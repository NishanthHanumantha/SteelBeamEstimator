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rision" sheetId="1" r:id="rId5"/>
    <sheet state="visible" name="Total" sheetId="2" r:id="rId6"/>
    <sheet state="visible" name="Sheet1 (1)" sheetId="3" r:id="rId7"/>
    <sheet state="visible" name="Total (1)" sheetId="4" r:id="rId8"/>
    <sheet state="visible" name="Sheet1" sheetId="5" r:id="rId9"/>
  </sheets>
  <definedNames/>
  <calcPr/>
</workbook>
</file>

<file path=xl/sharedStrings.xml><?xml version="1.0" encoding="utf-8"?>
<sst xmlns="http://schemas.openxmlformats.org/spreadsheetml/2006/main" count="202" uniqueCount="58">
  <si>
    <t>Sl.No</t>
  </si>
  <si>
    <t>Desc</t>
  </si>
  <si>
    <t>Description</t>
  </si>
  <si>
    <t>Unit</t>
  </si>
  <si>
    <t>I</t>
  </si>
  <si>
    <t>Concrete</t>
  </si>
  <si>
    <t>Beam</t>
  </si>
  <si>
    <t>Cum</t>
  </si>
  <si>
    <t>Headroom - LVL BEAMS</t>
  </si>
  <si>
    <t>Shuttering</t>
  </si>
  <si>
    <t>Headroom level</t>
  </si>
  <si>
    <t>sqm</t>
  </si>
  <si>
    <t>L</t>
  </si>
  <si>
    <t>B</t>
  </si>
  <si>
    <t>D</t>
  </si>
  <si>
    <t>Sl No</t>
  </si>
  <si>
    <t>Bottom Shuttering</t>
  </si>
  <si>
    <t>Side Total</t>
  </si>
  <si>
    <t>qty(m2)</t>
  </si>
  <si>
    <t>Slab tk</t>
  </si>
  <si>
    <t>Nos</t>
  </si>
  <si>
    <t>d(m)</t>
  </si>
  <si>
    <t>Total Shuttering</t>
  </si>
  <si>
    <t>B1</t>
  </si>
  <si>
    <t>B2</t>
  </si>
  <si>
    <t>Column left</t>
  </si>
  <si>
    <t>Column right</t>
  </si>
  <si>
    <t>Qty</t>
  </si>
  <si>
    <t xml:space="preserve">Beam </t>
  </si>
  <si>
    <t>B3</t>
  </si>
  <si>
    <t>D&lt;0.60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</si>
  <si>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</si>
  <si>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</si>
  <si>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</si>
  <si>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</si>
  <si>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</si>
  <si>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</si>
  <si>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</si>
  <si>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</si>
  <si>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</si>
  <si>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</si>
  <si>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</si>
  <si>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</si>
  <si>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</si>
  <si>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</si>
  <si>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</si>
  <si>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</si>
  <si>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</si>
  <si>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</si>
  <si>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</si>
  <si>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SHR &amp; OHT BOTTOM LVL FRAMING PLAN</t>
  </si>
  <si>
    <t>B23</t>
  </si>
  <si>
    <t>Review</t>
  </si>
  <si>
    <t>Notes</t>
  </si>
  <si>
    <t>B24</t>
  </si>
  <si>
    <t>Terrace Lvl Beam Total</t>
  </si>
  <si>
    <t>`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</si>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</sst>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_ * #,##0.00_ ;_ * \-#,##0.00_ ;_ * &quot;-&quot;??_ ;_ @_ "/>
    <numFmt numFmtId="166" formatCode="_(* #,##0.000_);_(* \(#,##0.000\);_(* &quot;-&quot;??_);_(@_)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Tahoma"/>
    </font>
    <font>
      <b/>
      <sz val="10.0"/>
      <color theme="1"/>
      <name val="Tahoma"/>
    </font>
    <font>
      <b/>
      <sz val="12.0"/>
      <color theme="1"/>
      <name val="Arial"/>
      <scheme val="minor"/>
    </font>
    <font>
      <b/>
      <sz val="10.0"/>
      <color rgb="FF00B0F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FFFFEB"/>
        <bgColor rgb="FFFFFFEB"/>
      </patternFill>
    </fill>
    <fill>
      <patternFill patternType="solid">
        <fgColor rgb="FFFCFEE6"/>
        <bgColor rgb="FFFCFEE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/>
      <right/>
      <top style="hair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left/>
      <right style="medium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2" fontId="1" numFmtId="164" xfId="0" applyBorder="1" applyFill="1" applyFont="1" applyNumberFormat="1"/>
    <xf borderId="0" fillId="0" fontId="3" numFmtId="0" xfId="0" applyFont="1"/>
    <xf borderId="1" fillId="0" fontId="1" numFmtId="0" xfId="0" applyBorder="1" applyFont="1"/>
    <xf borderId="2" fillId="2" fontId="4" numFmtId="0" xfId="0" applyAlignment="1" applyBorder="1" applyFill="1" applyFont="1">
      <alignment horizontal="center" vertical="center"/>
    </xf>
    <xf borderId="1" fillId="0" fontId="1" numFmtId="164" xfId="0" applyBorder="1" applyFont="1" applyNumberFormat="1"/>
    <xf borderId="2" fillId="2" fontId="5" numFmtId="2" xfId="0" applyAlignment="1" applyBorder="1" applyFill="1" applyFont="1" applyNumberFormat="1">
      <alignment horizontal="center" vertical="center"/>
    </xf>
    <xf borderId="2" fillId="2" fontId="4" numFmtId="165" xfId="0" applyAlignment="1" applyBorder="1" applyFill="1" applyFont="1" applyNumberFormat="1">
      <alignment vertical="center"/>
    </xf>
    <xf borderId="3" fillId="2" fontId="4" numFmtId="165" xfId="0" applyAlignment="1" applyBorder="1" applyFill="1" applyFont="1" applyNumberFormat="1">
      <alignment vertical="center"/>
    </xf>
    <xf borderId="1" fillId="0" fontId="2" numFmtId="0" xfId="0" applyBorder="1" applyFont="1"/>
    <xf borderId="2" fillId="2" fontId="4" numFmtId="166" xfId="0" applyAlignment="1" applyBorder="1" applyFill="1" applyFont="1" applyNumberFormat="1">
      <alignment vertical="center"/>
    </xf>
    <xf borderId="2" fillId="2" fontId="4" numFmtId="0" xfId="0" applyAlignment="1" applyBorder="1" applyFill="1" applyFont="1">
      <alignment vertical="center"/>
    </xf>
    <xf borderId="4" fillId="2" fontId="4" numFmtId="0" xfId="0" applyAlignment="1" applyBorder="1" applyFill="1" applyFont="1">
      <alignment vertical="center"/>
    </xf>
    <xf borderId="1" fillId="0" fontId="2" numFmtId="165" xfId="0" applyBorder="1" applyFont="1" applyNumberFormat="1"/>
    <xf borderId="5" fillId="3" fontId="5" numFmtId="0" xfId="0" applyAlignment="1" applyBorder="1" applyFill="1" applyFont="1">
      <alignment horizontal="center" vertical="center"/>
    </xf>
    <xf borderId="1" fillId="0" fontId="2" numFmtId="166" xfId="0" applyBorder="1" applyFont="1" applyNumberFormat="1"/>
    <xf borderId="5" fillId="3" fontId="5" numFmtId="165" xfId="0" applyAlignment="1" applyBorder="1" applyFill="1" applyFont="1" applyNumberFormat="1">
      <alignment horizontal="center" vertical="center"/>
    </xf>
    <xf borderId="5" fillId="3" fontId="5" numFmtId="165" xfId="0" applyAlignment="1" applyBorder="1" applyFill="1" applyFont="1" applyNumberFormat="1">
      <alignment horizontal="center" shrinkToFit="0" vertical="center" wrapText="1"/>
    </xf>
    <xf borderId="6" fillId="3" fontId="5" numFmtId="165" xfId="0" applyAlignment="1" applyBorder="1" applyFill="1" applyFont="1" applyNumberFormat="1">
      <alignment horizontal="center" shrinkToFit="0" vertical="center" wrapText="1"/>
    </xf>
    <xf borderId="1" fillId="0" fontId="3" numFmtId="0" xfId="0" applyBorder="1" applyFont="1"/>
    <xf borderId="5" fillId="3" fontId="5" numFmtId="166" xfId="0" applyAlignment="1" applyBorder="1" applyFill="1" applyFont="1" applyNumberFormat="1">
      <alignment horizontal="center" shrinkToFit="0" vertical="center" wrapText="1"/>
    </xf>
    <xf borderId="1" fillId="0" fontId="3" numFmtId="165" xfId="0" applyBorder="1" applyFont="1" applyNumberFormat="1"/>
    <xf borderId="7" fillId="3" fontId="5" numFmtId="0" xfId="0" applyAlignment="1" applyBorder="1" applyFill="1" applyFont="1">
      <alignment horizontal="center" shrinkToFit="0" vertical="center" wrapText="1"/>
    </xf>
    <xf borderId="1" fillId="0" fontId="3" numFmtId="166" xfId="0" applyBorder="1" applyFont="1" applyNumberFormat="1"/>
    <xf borderId="1" fillId="0" fontId="3" numFmtId="0" xfId="0" applyBorder="1" applyFont="1"/>
    <xf borderId="5" fillId="3" fontId="5" numFmtId="0" xfId="0" applyAlignment="1" applyBorder="1" applyFill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5" numFmtId="165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vertical="center"/>
    </xf>
    <xf borderId="10" fillId="0" fontId="4" numFmtId="165" xfId="0" applyAlignment="1" applyBorder="1" applyFont="1" applyNumberFormat="1">
      <alignment horizontal="center" vertical="center"/>
    </xf>
    <xf borderId="10" fillId="0" fontId="4" numFmtId="165" xfId="0" applyAlignment="1" applyBorder="1" applyFont="1" applyNumberFormat="1">
      <alignment vertical="center"/>
    </xf>
    <xf borderId="10" fillId="0" fontId="4" numFmtId="166" xfId="0" applyAlignment="1" applyBorder="1" applyFont="1" applyNumberFormat="1">
      <alignment horizontal="center" vertical="center"/>
    </xf>
    <xf borderId="0" fillId="0" fontId="6" numFmtId="0" xfId="0" applyFont="1"/>
    <xf borderId="1" fillId="0" fontId="3" numFmtId="2" xfId="0" applyBorder="1" applyFont="1" applyNumberFormat="1"/>
    <xf borderId="11" fillId="0" fontId="4" numFmtId="0" xfId="0" applyAlignment="1" applyBorder="1" applyFont="1">
      <alignment vertical="center"/>
    </xf>
    <xf borderId="0" fillId="0" fontId="4" numFmtId="165" xfId="0" applyAlignment="1" applyFont="1" applyNumberFormat="1">
      <alignment vertical="center"/>
    </xf>
    <xf borderId="0" fillId="0" fontId="2" numFmtId="165" xfId="0" applyFont="1" applyNumberFormat="1"/>
    <xf borderId="10" fillId="4" fontId="5" numFmtId="165" xfId="0" applyAlignment="1" applyBorder="1" applyFill="1" applyFont="1" applyNumberFormat="1">
      <alignment horizontal="center" vertical="center"/>
    </xf>
    <xf borderId="10" fillId="5" fontId="5" numFmtId="165" xfId="0" applyAlignment="1" applyBorder="1" applyFill="1" applyFont="1" applyNumberFormat="1">
      <alignment vertical="center"/>
    </xf>
    <xf borderId="10" fillId="5" fontId="5" numFmtId="0" xfId="0" applyAlignment="1" applyBorder="1" applyFill="1" applyFont="1">
      <alignment vertical="center"/>
    </xf>
    <xf borderId="11" fillId="5" fontId="5" numFmtId="0" xfId="0" applyAlignment="1" applyBorder="1" applyFill="1" applyFont="1">
      <alignment vertical="center"/>
    </xf>
    <xf borderId="10" fillId="5" fontId="5" numFmtId="2" xfId="0" applyAlignment="1" applyBorder="1" applyFill="1" applyFont="1" applyNumberFormat="1">
      <alignment horizontal="center" vertical="center"/>
    </xf>
    <xf borderId="10" fillId="5" fontId="7" numFmtId="166" xfId="0" applyAlignment="1" applyBorder="1" applyFill="1" applyFont="1" applyNumberFormat="1">
      <alignment vertical="center"/>
    </xf>
    <xf borderId="10" fillId="5" fontId="7" numFmtId="165" xfId="0" applyAlignment="1" applyBorder="1" applyFill="1" applyFont="1" applyNumberFormat="1">
      <alignment vertical="center"/>
    </xf>
    <xf borderId="10" fillId="4" fontId="5" numFmtId="165" xfId="0" applyAlignment="1" applyBorder="1" applyFill="1" applyFont="1" applyNumberFormat="1">
      <alignment vertical="center"/>
    </xf>
  </cellXfs>
  <cellStyles count="1">
    <cellStyle xfId="0" name="Normal" builtinId="0"/>
  </cellStyles>
  <dxfs count="1">
    <dxf>
      <font>
        <color rgb="FF00B05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</v>
      </c>
      <c r="B1" s="15" t="s">
        <v>12</v>
      </c>
      <c r="C1" s="15" t="s">
        <v>13</v>
      </c>
      <c r="D1" s="15" t="s">
        <v>14</v>
      </c>
      <c r="E1" s="15" t="s">
        <v>5</v>
      </c>
      <c r="F1" s="15" t="s">
        <v>16</v>
      </c>
      <c r="G1" s="15" t="s">
        <v>17</v>
      </c>
      <c r="H1" s="11" t="s">
        <v>18</v>
      </c>
      <c r="I1" s="17" t="s">
        <v>19</v>
      </c>
      <c r="J1" s="15" t="s">
        <v>21</v>
      </c>
      <c r="K1" s="11" t="s">
        <v>18</v>
      </c>
      <c r="L1" s="11" t="s">
        <v>1</v>
      </c>
      <c r="M1" s="11" t="s">
        <v>12</v>
      </c>
      <c r="N1" s="11" t="s">
        <v>13</v>
      </c>
      <c r="O1" s="11" t="s">
        <v>14</v>
      </c>
      <c r="P1" s="11" t="s">
        <v>5</v>
      </c>
      <c r="Q1" s="11" t="s">
        <v>16</v>
      </c>
      <c r="R1" s="11" t="s">
        <v>17</v>
      </c>
      <c r="S1" s="11" t="s">
        <v>18</v>
      </c>
      <c r="T1" s="11" t="s">
        <v>21</v>
      </c>
      <c r="U1" s="11" t="s">
        <v>18</v>
      </c>
      <c r="V1" s="11" t="s">
        <v>22</v>
      </c>
    </row>
    <row r="2">
      <c r="A2" s="21" t="s">
        <v>23</v>
      </c>
      <c r="B2" s="23">
        <v>3.95</v>
      </c>
      <c r="C2" s="23">
        <v>0.2</v>
      </c>
      <c r="D2" s="23">
        <v>0.6</v>
      </c>
      <c r="E2" s="23">
        <v>0.474</v>
      </c>
      <c r="F2" s="23">
        <v>0.79</v>
      </c>
      <c r="G2" s="23">
        <v>3.95</v>
      </c>
      <c r="H2" s="23">
        <v>1.5799999999999998</v>
      </c>
      <c r="I2" s="25"/>
      <c r="J2" s="23">
        <v>0.6</v>
      </c>
      <c r="K2" s="23">
        <v>2.37</v>
      </c>
      <c r="L2" s="26" t="s">
        <v>23</v>
      </c>
      <c r="M2" s="26">
        <v>5.092</v>
      </c>
      <c r="N2" s="26">
        <v>0.2</v>
      </c>
      <c r="O2" s="26">
        <v>0.6</v>
      </c>
      <c r="P2" s="26">
        <v>0.611</v>
      </c>
      <c r="Q2" s="26">
        <v>1.018</v>
      </c>
      <c r="R2" s="26">
        <v>8.147</v>
      </c>
      <c r="S2" s="26">
        <v>5.092</v>
      </c>
      <c r="T2" s="26">
        <v>0.6</v>
      </c>
      <c r="U2" s="26">
        <v>3.055</v>
      </c>
      <c r="V2" s="26">
        <v>9.165</v>
      </c>
    </row>
    <row r="3">
      <c r="A3" s="21" t="s">
        <v>24</v>
      </c>
      <c r="B3" s="23">
        <v>5.15</v>
      </c>
      <c r="C3" s="23">
        <v>0.2</v>
      </c>
      <c r="D3" s="23">
        <v>0.6</v>
      </c>
      <c r="E3" s="23">
        <v>0.618</v>
      </c>
      <c r="F3" s="23">
        <v>1.03</v>
      </c>
      <c r="G3" s="23">
        <v>8.24</v>
      </c>
      <c r="H3" s="23">
        <v>5.15</v>
      </c>
      <c r="I3" s="25"/>
      <c r="J3" s="23">
        <v>0.6</v>
      </c>
      <c r="K3" s="23">
        <v>3.0900000000000003</v>
      </c>
      <c r="L3" s="26" t="s">
        <v>24</v>
      </c>
      <c r="M3" s="26">
        <v>3.885</v>
      </c>
      <c r="N3" s="26">
        <v>0.2</v>
      </c>
      <c r="O3" s="26">
        <v>0.6</v>
      </c>
      <c r="P3" s="26">
        <v>0.466</v>
      </c>
      <c r="Q3" s="26">
        <v>0.777</v>
      </c>
      <c r="R3" s="26">
        <v>5.439</v>
      </c>
      <c r="S3" s="26">
        <v>3.885</v>
      </c>
      <c r="T3" s="26">
        <v>0.4</v>
      </c>
      <c r="U3" s="26">
        <v>1.554</v>
      </c>
      <c r="V3" s="26">
        <v>6.216</v>
      </c>
    </row>
    <row r="4">
      <c r="A4" s="21" t="s">
        <v>29</v>
      </c>
      <c r="B4" s="23">
        <v>3.1</v>
      </c>
      <c r="C4" s="23">
        <v>0.2</v>
      </c>
      <c r="D4" s="23">
        <v>0.6</v>
      </c>
      <c r="E4" s="23">
        <v>0.37200000000000005</v>
      </c>
      <c r="F4" s="23">
        <v>0.6200000000000001</v>
      </c>
      <c r="G4" s="23">
        <v>4.96</v>
      </c>
      <c r="H4" s="23">
        <v>3.1</v>
      </c>
      <c r="I4" s="25"/>
      <c r="J4" s="23">
        <v>0.6</v>
      </c>
      <c r="K4" s="23">
        <v>1.8599999999999999</v>
      </c>
      <c r="L4" s="26" t="s">
        <v>29</v>
      </c>
      <c r="M4" s="26">
        <v>5.419</v>
      </c>
      <c r="N4" s="26">
        <v>0.2</v>
      </c>
      <c r="O4" s="26">
        <v>0.6</v>
      </c>
      <c r="P4" s="26">
        <v>0.65</v>
      </c>
      <c r="Q4" s="26">
        <v>1.084</v>
      </c>
      <c r="R4" s="26">
        <v>8.67</v>
      </c>
      <c r="S4" s="26">
        <v>5.419</v>
      </c>
      <c r="T4" s="26">
        <v>0.6</v>
      </c>
      <c r="U4" s="26">
        <v>3.251</v>
      </c>
      <c r="V4" s="26">
        <v>9.754</v>
      </c>
    </row>
    <row r="5">
      <c r="A5" s="21" t="s">
        <v>31</v>
      </c>
      <c r="B5" s="23">
        <v>1.8</v>
      </c>
      <c r="C5" s="23">
        <v>0.2</v>
      </c>
      <c r="D5" s="23">
        <v>0.6</v>
      </c>
      <c r="E5" s="23">
        <v>0.21600000000000003</v>
      </c>
      <c r="F5" s="23">
        <v>0.36000000000000004</v>
      </c>
      <c r="G5" s="23">
        <v>2.88</v>
      </c>
      <c r="H5" s="23">
        <v>1.8</v>
      </c>
      <c r="I5" s="25"/>
      <c r="J5" s="23">
        <v>0.6</v>
      </c>
      <c r="K5" s="23">
        <v>1.08</v>
      </c>
      <c r="L5" s="26" t="s">
        <v>31</v>
      </c>
      <c r="M5" s="26">
        <v>4.059</v>
      </c>
      <c r="N5" s="26">
        <v>0.2</v>
      </c>
      <c r="O5" s="26">
        <v>0.6</v>
      </c>
      <c r="P5" s="26">
        <v>0.487</v>
      </c>
      <c r="Q5" s="26">
        <v>0.812</v>
      </c>
      <c r="R5" s="26">
        <v>6.494</v>
      </c>
      <c r="S5" s="26">
        <v>4.059</v>
      </c>
      <c r="T5" s="26">
        <v>0.6</v>
      </c>
      <c r="U5" s="26">
        <v>2.435</v>
      </c>
      <c r="V5" s="26">
        <v>7.306</v>
      </c>
    </row>
    <row r="6">
      <c r="A6" s="21" t="s">
        <v>32</v>
      </c>
      <c r="B6" s="23">
        <v>3.1</v>
      </c>
      <c r="C6" s="23">
        <v>0.2</v>
      </c>
      <c r="D6" s="23">
        <v>0.6</v>
      </c>
      <c r="E6" s="23">
        <v>0.37200000000000005</v>
      </c>
      <c r="F6" s="23">
        <v>0.6200000000000001</v>
      </c>
      <c r="G6" s="23">
        <v>4.96</v>
      </c>
      <c r="H6" s="23">
        <v>3.1</v>
      </c>
      <c r="I6" s="25"/>
      <c r="J6" s="23">
        <v>0.6</v>
      </c>
      <c r="K6" s="23">
        <v>1.8599999999999999</v>
      </c>
      <c r="L6" s="26" t="s">
        <v>32</v>
      </c>
      <c r="M6" s="26">
        <v>1.338</v>
      </c>
      <c r="N6" s="26">
        <v>0.2</v>
      </c>
      <c r="O6" s="26">
        <v>0.6</v>
      </c>
      <c r="P6" s="26">
        <v>0.161</v>
      </c>
      <c r="Q6" s="26">
        <v>0.268</v>
      </c>
      <c r="R6" s="26">
        <v>1.873</v>
      </c>
      <c r="S6" s="26">
        <v>1.338</v>
      </c>
      <c r="T6" s="26">
        <v>0.4</v>
      </c>
      <c r="U6" s="26">
        <v>0.535</v>
      </c>
      <c r="V6" s="26">
        <v>2.141</v>
      </c>
    </row>
    <row r="7">
      <c r="A7" s="21" t="s">
        <v>33</v>
      </c>
      <c r="B7" s="23">
        <v>3.2</v>
      </c>
      <c r="C7" s="23">
        <v>0.2</v>
      </c>
      <c r="D7" s="23">
        <v>0.6</v>
      </c>
      <c r="E7" s="23">
        <v>0.38400000000000006</v>
      </c>
      <c r="F7" s="23">
        <v>0.6400000000000001</v>
      </c>
      <c r="G7" s="23">
        <v>5.12</v>
      </c>
      <c r="H7" s="23">
        <v>3.2</v>
      </c>
      <c r="I7" s="25"/>
      <c r="J7" s="23">
        <v>0.6</v>
      </c>
      <c r="K7" s="23">
        <v>1.92</v>
      </c>
      <c r="L7" s="26" t="s">
        <v>33</v>
      </c>
      <c r="M7" s="26">
        <v>1.503</v>
      </c>
      <c r="N7" s="26">
        <v>0.2</v>
      </c>
      <c r="O7" s="26">
        <v>0.6</v>
      </c>
      <c r="P7" s="26">
        <v>0.18</v>
      </c>
      <c r="Q7" s="26">
        <v>0.301</v>
      </c>
      <c r="R7" s="26">
        <v>2.405</v>
      </c>
      <c r="S7" s="26">
        <v>1.503</v>
      </c>
      <c r="T7" s="26">
        <v>0.6</v>
      </c>
      <c r="U7" s="26">
        <v>0.902</v>
      </c>
      <c r="V7" s="26">
        <v>2.706</v>
      </c>
    </row>
    <row r="8">
      <c r="A8" s="21" t="s">
        <v>34</v>
      </c>
      <c r="B8" s="23">
        <v>2.9</v>
      </c>
      <c r="C8" s="23">
        <v>0.2</v>
      </c>
      <c r="D8" s="23">
        <v>0.6</v>
      </c>
      <c r="E8" s="23">
        <v>0.348</v>
      </c>
      <c r="F8" s="23">
        <v>0.58</v>
      </c>
      <c r="G8" s="23">
        <v>4.06</v>
      </c>
      <c r="H8" s="23">
        <v>2.9</v>
      </c>
      <c r="I8" s="25">
        <v>0.2</v>
      </c>
      <c r="J8" s="23">
        <v>0.39999999999999997</v>
      </c>
      <c r="K8" s="23">
        <v>1.16</v>
      </c>
      <c r="L8" s="26" t="s">
        <v>34</v>
      </c>
      <c r="M8" s="26">
        <v>4.612</v>
      </c>
      <c r="N8" s="26">
        <v>0.2</v>
      </c>
      <c r="O8" s="26">
        <v>0.6</v>
      </c>
      <c r="P8" s="26">
        <v>0.553</v>
      </c>
      <c r="Q8" s="26">
        <v>0.922</v>
      </c>
      <c r="R8" s="26">
        <v>6.457</v>
      </c>
      <c r="S8" s="26">
        <v>4.612</v>
      </c>
      <c r="T8" s="26">
        <v>0.4</v>
      </c>
      <c r="U8" s="26">
        <v>1.845</v>
      </c>
      <c r="V8" s="26">
        <v>7.379</v>
      </c>
    </row>
    <row r="9">
      <c r="A9" s="21" t="s">
        <v>35</v>
      </c>
      <c r="B9" s="23">
        <v>2.658</v>
      </c>
      <c r="C9" s="23">
        <v>0.2</v>
      </c>
      <c r="D9" s="23">
        <v>0.6</v>
      </c>
      <c r="E9" s="23">
        <v>0.31895999999999997</v>
      </c>
      <c r="F9" s="23">
        <v>0.5316</v>
      </c>
      <c r="G9" s="23">
        <v>3.7211999999999996</v>
      </c>
      <c r="H9" s="23">
        <v>2.658</v>
      </c>
      <c r="I9" s="25">
        <v>0.2</v>
      </c>
      <c r="J9" s="23">
        <v>0.39999999999999997</v>
      </c>
      <c r="K9" s="23">
        <v>1.0632</v>
      </c>
      <c r="L9" s="26" t="s">
        <v>35</v>
      </c>
      <c r="M9" s="26">
        <v>1.427</v>
      </c>
      <c r="N9" s="26">
        <v>0.2</v>
      </c>
      <c r="O9" s="26">
        <v>0.6</v>
      </c>
      <c r="P9" s="26">
        <v>0.171</v>
      </c>
      <c r="Q9" s="26">
        <v>0.285</v>
      </c>
      <c r="R9" s="26">
        <v>2.283</v>
      </c>
      <c r="S9" s="26">
        <v>1.427</v>
      </c>
      <c r="T9" s="26">
        <v>0.6</v>
      </c>
      <c r="U9" s="26">
        <v>0.856</v>
      </c>
      <c r="V9" s="26">
        <v>2.568</v>
      </c>
    </row>
    <row r="10">
      <c r="A10" s="21" t="s">
        <v>36</v>
      </c>
      <c r="B10" s="23">
        <v>1.4</v>
      </c>
      <c r="C10" s="23">
        <v>0.2</v>
      </c>
      <c r="D10" s="23">
        <v>0.6</v>
      </c>
      <c r="E10" s="23">
        <v>0.16799999999999998</v>
      </c>
      <c r="F10" s="23">
        <v>0.27999999999999997</v>
      </c>
      <c r="G10" s="23">
        <v>1.96</v>
      </c>
      <c r="H10" s="23">
        <v>1.4</v>
      </c>
      <c r="I10" s="25">
        <v>0.2</v>
      </c>
      <c r="J10" s="23">
        <v>0.39999999999999997</v>
      </c>
      <c r="K10" s="23">
        <v>0.5599999999999999</v>
      </c>
      <c r="L10" s="26" t="s">
        <v>36</v>
      </c>
      <c r="M10" s="26">
        <v>1.427</v>
      </c>
      <c r="N10" s="26">
        <v>0.2</v>
      </c>
      <c r="O10" s="26">
        <v>0.6</v>
      </c>
      <c r="P10" s="26">
        <v>0.171</v>
      </c>
      <c r="Q10" s="26">
        <v>0.285</v>
      </c>
      <c r="R10" s="26">
        <v>2.283</v>
      </c>
      <c r="S10" s="26">
        <v>1.427</v>
      </c>
      <c r="T10" s="26">
        <v>0.6</v>
      </c>
      <c r="U10" s="26">
        <v>0.856</v>
      </c>
      <c r="V10" s="26">
        <v>2.568</v>
      </c>
    </row>
    <row r="11">
      <c r="A11" s="21" t="s">
        <v>37</v>
      </c>
      <c r="B11" s="23">
        <v>1.5</v>
      </c>
      <c r="C11" s="23">
        <v>0.2</v>
      </c>
      <c r="D11" s="23">
        <v>0.6</v>
      </c>
      <c r="E11" s="23">
        <v>0.18000000000000002</v>
      </c>
      <c r="F11" s="23">
        <v>0.30000000000000004</v>
      </c>
      <c r="G11" s="23">
        <v>2.1</v>
      </c>
      <c r="H11" s="23">
        <v>1.5</v>
      </c>
      <c r="I11" s="25">
        <v>0.2</v>
      </c>
      <c r="J11" s="23">
        <v>0.39999999999999997</v>
      </c>
      <c r="K11" s="23">
        <v>0.6</v>
      </c>
      <c r="L11" s="26" t="s">
        <v>37</v>
      </c>
      <c r="M11" s="26">
        <v>1.499</v>
      </c>
      <c r="N11" s="26">
        <v>0.2</v>
      </c>
      <c r="O11" s="26">
        <v>0.6</v>
      </c>
      <c r="P11" s="26">
        <v>0.18</v>
      </c>
      <c r="Q11" s="26">
        <v>0.3</v>
      </c>
      <c r="R11" s="26">
        <v>2.398</v>
      </c>
      <c r="S11" s="26">
        <v>1.499</v>
      </c>
      <c r="T11" s="26">
        <v>0.6</v>
      </c>
      <c r="U11" s="26">
        <v>0.899</v>
      </c>
      <c r="V11" s="26">
        <v>2.698</v>
      </c>
    </row>
    <row r="12">
      <c r="A12" s="21" t="s">
        <v>38</v>
      </c>
      <c r="B12" s="23">
        <v>1.5</v>
      </c>
      <c r="C12" s="23">
        <v>0.2</v>
      </c>
      <c r="D12" s="23">
        <v>0.6</v>
      </c>
      <c r="E12" s="23">
        <v>0.18000000000000002</v>
      </c>
      <c r="F12" s="23">
        <v>0.30000000000000004</v>
      </c>
      <c r="G12" s="23">
        <v>2.1</v>
      </c>
      <c r="H12" s="23">
        <v>1.5</v>
      </c>
      <c r="I12" s="25">
        <v>0.2</v>
      </c>
      <c r="J12" s="23">
        <v>0.39999999999999997</v>
      </c>
      <c r="K12" s="23">
        <v>0.6</v>
      </c>
      <c r="L12" s="26" t="s">
        <v>38</v>
      </c>
      <c r="M12" s="26">
        <v>8.39</v>
      </c>
      <c r="N12" s="26">
        <v>0.2</v>
      </c>
      <c r="O12" s="26">
        <v>0.6</v>
      </c>
      <c r="P12" s="26">
        <v>1.007</v>
      </c>
      <c r="Q12" s="26">
        <v>1.678</v>
      </c>
      <c r="R12" s="26">
        <v>13.424</v>
      </c>
      <c r="S12" s="26">
        <v>8.39</v>
      </c>
      <c r="T12" s="26">
        <v>0.6</v>
      </c>
      <c r="U12" s="26">
        <v>5.034</v>
      </c>
      <c r="V12" s="26">
        <v>15.102</v>
      </c>
    </row>
    <row r="13">
      <c r="A13" s="21" t="s">
        <v>39</v>
      </c>
      <c r="B13" s="23">
        <v>5.565</v>
      </c>
      <c r="C13" s="23">
        <v>0.2</v>
      </c>
      <c r="D13" s="23">
        <v>0.6</v>
      </c>
      <c r="E13" s="23">
        <v>0.6678000000000001</v>
      </c>
      <c r="F13" s="23">
        <v>1.1130000000000002</v>
      </c>
      <c r="G13" s="23">
        <v>8.904</v>
      </c>
      <c r="H13" s="23">
        <v>5.565</v>
      </c>
      <c r="I13" s="25"/>
      <c r="J13" s="23">
        <v>0.6</v>
      </c>
      <c r="K13" s="23">
        <v>3.339</v>
      </c>
      <c r="L13" s="26" t="s">
        <v>39</v>
      </c>
      <c r="M13" s="26">
        <v>1.653</v>
      </c>
      <c r="N13" s="26">
        <v>0.2</v>
      </c>
      <c r="O13" s="26">
        <v>0.6</v>
      </c>
      <c r="P13" s="26">
        <v>0.198</v>
      </c>
      <c r="Q13" s="26">
        <v>0.331</v>
      </c>
      <c r="R13" s="26">
        <v>2.645</v>
      </c>
      <c r="S13" s="26">
        <v>1.653</v>
      </c>
      <c r="T13" s="26">
        <v>0.6</v>
      </c>
      <c r="U13" s="26">
        <v>0.992</v>
      </c>
      <c r="V13" s="26">
        <v>2.976</v>
      </c>
    </row>
    <row r="14">
      <c r="A14" s="21" t="s">
        <v>40</v>
      </c>
      <c r="B14" s="23">
        <v>1.855</v>
      </c>
      <c r="C14" s="23">
        <v>0.2</v>
      </c>
      <c r="D14" s="23">
        <v>0.6</v>
      </c>
      <c r="E14" s="23">
        <v>0.2226</v>
      </c>
      <c r="F14" s="23">
        <v>0.371</v>
      </c>
      <c r="G14" s="23">
        <v>2.597</v>
      </c>
      <c r="H14" s="23">
        <v>1.855</v>
      </c>
      <c r="I14" s="25">
        <v>0.2</v>
      </c>
      <c r="J14" s="23">
        <v>0.39999999999999997</v>
      </c>
      <c r="K14" s="23">
        <v>0.7419999999999999</v>
      </c>
      <c r="L14" s="26" t="s">
        <v>40</v>
      </c>
      <c r="M14" s="26">
        <v>1.653</v>
      </c>
      <c r="N14" s="26">
        <v>0.2</v>
      </c>
      <c r="O14" s="26">
        <v>0.6</v>
      </c>
      <c r="P14" s="26">
        <v>0.198</v>
      </c>
      <c r="Q14" s="26">
        <v>0.331</v>
      </c>
      <c r="R14" s="26">
        <v>1.653</v>
      </c>
      <c r="S14" s="26">
        <v>0.661</v>
      </c>
      <c r="T14" s="26">
        <v>0.6</v>
      </c>
      <c r="U14" s="26">
        <v>0.992</v>
      </c>
      <c r="V14" s="26">
        <v>1.984</v>
      </c>
    </row>
    <row r="15">
      <c r="A15" s="21" t="s">
        <v>41</v>
      </c>
      <c r="B15" s="23">
        <v>3.845</v>
      </c>
      <c r="C15" s="23">
        <v>0.2</v>
      </c>
      <c r="D15" s="23">
        <v>0.6</v>
      </c>
      <c r="E15" s="23">
        <v>0.46140000000000003</v>
      </c>
      <c r="F15" s="23">
        <v>0.7690000000000001</v>
      </c>
      <c r="G15" s="23">
        <v>6.152</v>
      </c>
      <c r="H15" s="23">
        <v>3.845</v>
      </c>
      <c r="I15" s="25"/>
      <c r="J15" s="23">
        <v>0.6</v>
      </c>
      <c r="K15" s="23">
        <v>2.307</v>
      </c>
      <c r="L15" s="26" t="s">
        <v>41</v>
      </c>
      <c r="M15" s="26">
        <v>1.81</v>
      </c>
      <c r="N15" s="26">
        <v>0.2</v>
      </c>
      <c r="O15" s="26">
        <v>0.6</v>
      </c>
      <c r="P15" s="26">
        <v>0.217</v>
      </c>
      <c r="Q15" s="26">
        <v>0.362</v>
      </c>
      <c r="R15" s="26">
        <v>2.896</v>
      </c>
      <c r="S15" s="26">
        <v>1.81</v>
      </c>
      <c r="T15" s="26">
        <v>0.6</v>
      </c>
      <c r="U15" s="26">
        <v>1.086</v>
      </c>
      <c r="V15" s="26">
        <v>3.258</v>
      </c>
    </row>
    <row r="16">
      <c r="A16" s="21" t="s">
        <v>42</v>
      </c>
      <c r="B16" s="23">
        <v>3.02</v>
      </c>
      <c r="C16" s="23">
        <v>0.2</v>
      </c>
      <c r="D16" s="23">
        <v>0.6</v>
      </c>
      <c r="E16" s="23">
        <v>0.36240000000000006</v>
      </c>
      <c r="F16" s="23">
        <v>0.6040000000000001</v>
      </c>
      <c r="G16" s="23">
        <v>4.832</v>
      </c>
      <c r="H16" s="23">
        <v>3.02</v>
      </c>
      <c r="I16" s="25"/>
      <c r="J16" s="23">
        <v>0.6</v>
      </c>
      <c r="K16" s="23">
        <v>1.8119999999999998</v>
      </c>
      <c r="L16" s="26" t="s">
        <v>42</v>
      </c>
      <c r="M16" s="26">
        <v>5.405</v>
      </c>
      <c r="N16" s="26">
        <v>0.2</v>
      </c>
      <c r="O16" s="26">
        <v>0.6</v>
      </c>
      <c r="P16" s="26">
        <v>0.649</v>
      </c>
      <c r="Q16" s="26">
        <v>1.081</v>
      </c>
      <c r="R16" s="26">
        <v>8.648</v>
      </c>
      <c r="S16" s="26">
        <v>5.405</v>
      </c>
      <c r="T16" s="26">
        <v>0.6</v>
      </c>
      <c r="U16" s="26">
        <v>3.243</v>
      </c>
      <c r="V16" s="26">
        <v>9.729</v>
      </c>
    </row>
    <row r="17">
      <c r="A17" s="21" t="s">
        <v>43</v>
      </c>
      <c r="B17" s="23">
        <v>2.236</v>
      </c>
      <c r="C17" s="23">
        <v>0.2</v>
      </c>
      <c r="D17" s="23">
        <v>0.6</v>
      </c>
      <c r="E17" s="23">
        <v>0.26832</v>
      </c>
      <c r="F17" s="23">
        <v>0.44720000000000004</v>
      </c>
      <c r="G17" s="23">
        <v>3.5776000000000003</v>
      </c>
      <c r="H17" s="23">
        <v>2.236</v>
      </c>
      <c r="I17" s="25"/>
      <c r="J17" s="23">
        <v>0.6</v>
      </c>
      <c r="K17" s="23">
        <v>1.3416000000000001</v>
      </c>
      <c r="L17" s="26" t="s">
        <v>43</v>
      </c>
      <c r="M17" s="26">
        <v>2.177</v>
      </c>
      <c r="N17" s="26">
        <v>0.2</v>
      </c>
      <c r="O17" s="26">
        <v>0.6</v>
      </c>
      <c r="P17" s="26">
        <v>0.261</v>
      </c>
      <c r="Q17" s="26">
        <v>0.435</v>
      </c>
      <c r="R17" s="26">
        <v>3.483</v>
      </c>
      <c r="S17" s="26">
        <v>2.177</v>
      </c>
      <c r="T17" s="26">
        <v>0.6</v>
      </c>
      <c r="U17" s="26">
        <v>1.306</v>
      </c>
      <c r="V17" s="26">
        <v>3.918</v>
      </c>
    </row>
    <row r="18">
      <c r="A18" s="21" t="s">
        <v>44</v>
      </c>
      <c r="B18" s="23">
        <v>6.565</v>
      </c>
      <c r="C18" s="23">
        <v>0.2</v>
      </c>
      <c r="D18" s="23">
        <v>0.6</v>
      </c>
      <c r="E18" s="23">
        <v>0.7878000000000001</v>
      </c>
      <c r="F18" s="23">
        <v>1.3130000000000002</v>
      </c>
      <c r="G18" s="23">
        <v>9.191</v>
      </c>
      <c r="H18" s="23">
        <v>6.565</v>
      </c>
      <c r="I18" s="25">
        <v>0.2</v>
      </c>
      <c r="J18" s="23">
        <v>0.39999999999999997</v>
      </c>
      <c r="K18" s="23">
        <v>2.626</v>
      </c>
      <c r="L18" s="26" t="s">
        <v>44</v>
      </c>
      <c r="M18" s="26">
        <v>1.653</v>
      </c>
      <c r="N18" s="26">
        <v>0.2</v>
      </c>
      <c r="O18" s="26">
        <v>0.6</v>
      </c>
      <c r="P18" s="26">
        <v>0.198</v>
      </c>
      <c r="Q18" s="26">
        <v>0.331</v>
      </c>
      <c r="R18" s="26">
        <v>2.645</v>
      </c>
      <c r="S18" s="26">
        <v>1.653</v>
      </c>
      <c r="T18" s="26">
        <v>0.6</v>
      </c>
      <c r="U18" s="26">
        <v>0.992</v>
      </c>
      <c r="V18" s="26">
        <v>2.976</v>
      </c>
    </row>
    <row r="19">
      <c r="A19" s="21" t="s">
        <v>45</v>
      </c>
      <c r="B19" s="23">
        <v>6.7</v>
      </c>
      <c r="C19" s="23">
        <v>0.2</v>
      </c>
      <c r="D19" s="23">
        <v>0.6</v>
      </c>
      <c r="E19" s="23">
        <v>0.804</v>
      </c>
      <c r="F19" s="23">
        <v>1.34</v>
      </c>
      <c r="G19" s="23">
        <v>9.379999999999999</v>
      </c>
      <c r="H19" s="23">
        <v>6.7</v>
      </c>
      <c r="I19" s="25">
        <v>0.2</v>
      </c>
      <c r="J19" s="23">
        <v>0.39999999999999997</v>
      </c>
      <c r="K19" s="23">
        <v>2.6799999999999997</v>
      </c>
      <c r="L19" s="26" t="s">
        <v>45</v>
      </c>
      <c r="M19" s="26">
        <v>1.653</v>
      </c>
      <c r="N19" s="26">
        <v>0.2</v>
      </c>
      <c r="O19" s="26">
        <v>0.6</v>
      </c>
      <c r="P19" s="26">
        <v>0.198</v>
      </c>
      <c r="Q19" s="26">
        <v>0.331</v>
      </c>
      <c r="R19" s="26">
        <v>1.653</v>
      </c>
      <c r="S19" s="26">
        <v>0.661</v>
      </c>
      <c r="T19" s="26">
        <v>0.6</v>
      </c>
      <c r="U19" s="26">
        <v>0.992</v>
      </c>
      <c r="V19" s="26">
        <v>1.984</v>
      </c>
    </row>
    <row r="20">
      <c r="A20" s="21" t="s">
        <v>46</v>
      </c>
      <c r="B20" s="23">
        <v>1.722</v>
      </c>
      <c r="C20" s="23">
        <v>0.2</v>
      </c>
      <c r="D20" s="23">
        <v>0.6</v>
      </c>
      <c r="E20" s="23">
        <v>0.20664000000000002</v>
      </c>
      <c r="F20" s="23">
        <v>0.34440000000000004</v>
      </c>
      <c r="G20" s="23">
        <v>2.4108</v>
      </c>
      <c r="H20" s="23">
        <v>1.722</v>
      </c>
      <c r="I20" s="25">
        <v>0.2</v>
      </c>
      <c r="J20" s="23">
        <v>0.39999999999999997</v>
      </c>
      <c r="K20" s="23">
        <v>0.6888</v>
      </c>
      <c r="L20" s="26" t="s">
        <v>46</v>
      </c>
      <c r="M20" s="26">
        <v>3.401</v>
      </c>
      <c r="N20" s="26">
        <v>0.2</v>
      </c>
      <c r="O20" s="26">
        <v>0.6</v>
      </c>
      <c r="P20" s="26">
        <v>0.408</v>
      </c>
      <c r="Q20" s="26">
        <v>0.68</v>
      </c>
      <c r="R20" s="26">
        <v>5.442</v>
      </c>
      <c r="S20" s="26">
        <v>3.401</v>
      </c>
      <c r="T20" s="26">
        <v>0.6</v>
      </c>
      <c r="U20" s="26">
        <v>2.041</v>
      </c>
      <c r="V20" s="26">
        <v>6.122</v>
      </c>
    </row>
    <row r="21">
      <c r="A21" s="21" t="s">
        <v>47</v>
      </c>
      <c r="B21" s="23">
        <v>1.722</v>
      </c>
      <c r="C21" s="23">
        <v>0.2</v>
      </c>
      <c r="D21" s="23">
        <v>0.6</v>
      </c>
      <c r="E21" s="23">
        <v>0.20664000000000002</v>
      </c>
      <c r="F21" s="23">
        <v>0.34440000000000004</v>
      </c>
      <c r="G21" s="23">
        <v>2.4108</v>
      </c>
      <c r="H21" s="23">
        <v>1.722</v>
      </c>
      <c r="I21" s="25">
        <v>0.2</v>
      </c>
      <c r="J21" s="23">
        <v>0.39999999999999997</v>
      </c>
      <c r="K21" s="23">
        <v>0.6888</v>
      </c>
      <c r="L21" s="26" t="s">
        <v>47</v>
      </c>
      <c r="M21" s="26">
        <v>3.304</v>
      </c>
      <c r="N21" s="26">
        <v>0.2</v>
      </c>
      <c r="O21" s="26">
        <v>0.6</v>
      </c>
      <c r="P21" s="26">
        <v>0.396</v>
      </c>
      <c r="Q21" s="26">
        <v>0.661</v>
      </c>
      <c r="R21" s="26">
        <v>5.286</v>
      </c>
      <c r="S21" s="26">
        <v>3.304</v>
      </c>
      <c r="T21" s="26">
        <v>0.6</v>
      </c>
      <c r="U21" s="26">
        <v>1.982</v>
      </c>
      <c r="V21" s="26">
        <v>5.947</v>
      </c>
    </row>
    <row r="22">
      <c r="A22" s="21" t="s">
        <v>48</v>
      </c>
      <c r="B22" s="23">
        <v>2.5</v>
      </c>
      <c r="C22" s="23">
        <v>0.2</v>
      </c>
      <c r="D22" s="23">
        <v>0.6</v>
      </c>
      <c r="E22" s="23">
        <v>0.3</v>
      </c>
      <c r="F22" s="23">
        <v>0.5</v>
      </c>
      <c r="G22" s="23">
        <v>3.5</v>
      </c>
      <c r="H22" s="23">
        <v>2.5</v>
      </c>
      <c r="I22" s="25">
        <v>0.2</v>
      </c>
      <c r="J22" s="23">
        <v>0.39999999999999997</v>
      </c>
      <c r="K22" s="23">
        <v>0.9999999999999999</v>
      </c>
      <c r="L22" s="26" t="s">
        <v>48</v>
      </c>
      <c r="M22" s="26">
        <v>1.422</v>
      </c>
      <c r="N22" s="26">
        <v>0.2</v>
      </c>
      <c r="O22" s="26">
        <v>0.6</v>
      </c>
      <c r="P22" s="26">
        <v>0.171</v>
      </c>
      <c r="Q22" s="26">
        <v>0.284</v>
      </c>
      <c r="R22" s="26">
        <v>2.275</v>
      </c>
      <c r="S22" s="26">
        <v>1.422</v>
      </c>
      <c r="T22" s="26">
        <v>0.6</v>
      </c>
      <c r="U22" s="26">
        <v>0.853</v>
      </c>
      <c r="V22" s="26">
        <v>2.559</v>
      </c>
    </row>
    <row r="23">
      <c r="A23" s="21" t="s">
        <v>49</v>
      </c>
      <c r="B23" s="23">
        <v>2.5</v>
      </c>
      <c r="C23" s="23">
        <v>0.2</v>
      </c>
      <c r="D23" s="23">
        <v>0.6</v>
      </c>
      <c r="E23" s="23">
        <v>0.3</v>
      </c>
      <c r="F23" s="23">
        <v>0.5</v>
      </c>
      <c r="G23" s="23">
        <v>3.5</v>
      </c>
      <c r="H23" s="23">
        <v>2.5</v>
      </c>
      <c r="I23" s="25">
        <v>0.2</v>
      </c>
      <c r="J23" s="23">
        <v>0.39999999999999997</v>
      </c>
      <c r="K23" s="23">
        <v>0.9999999999999999</v>
      </c>
      <c r="L23" s="26" t="s">
        <v>49</v>
      </c>
      <c r="M23" s="26">
        <v>1.422</v>
      </c>
      <c r="N23" s="26">
        <v>0.2</v>
      </c>
      <c r="O23" s="26">
        <v>0.6</v>
      </c>
      <c r="P23" s="26">
        <v>0.171</v>
      </c>
      <c r="Q23" s="26">
        <v>0.284</v>
      </c>
      <c r="R23" s="26">
        <v>2.275</v>
      </c>
      <c r="S23" s="26">
        <v>1.422</v>
      </c>
      <c r="T23" s="26">
        <v>0.6</v>
      </c>
      <c r="U23" s="26">
        <v>0.853</v>
      </c>
      <c r="V23" s="26">
        <v>2.559</v>
      </c>
    </row>
    <row r="24">
      <c r="A24" s="21" t="s">
        <v>51</v>
      </c>
      <c r="B24" s="23">
        <v>1.7</v>
      </c>
      <c r="C24" s="23">
        <v>0.2</v>
      </c>
      <c r="D24" s="23">
        <v>0.6</v>
      </c>
      <c r="E24" s="23">
        <v>0.20400000000000001</v>
      </c>
      <c r="F24" s="23">
        <v>0.34</v>
      </c>
      <c r="G24" s="23">
        <v>2.38</v>
      </c>
      <c r="H24" s="23">
        <v>1.7</v>
      </c>
      <c r="I24" s="25">
        <v>0.2</v>
      </c>
      <c r="J24" s="23">
        <v>0.39999999999999997</v>
      </c>
      <c r="K24" s="23">
        <v>0.6799999999999999</v>
      </c>
      <c r="L24" s="26" t="s">
        <v>51</v>
      </c>
      <c r="M24" s="26">
        <v>3.252</v>
      </c>
      <c r="N24" s="26">
        <v>0.2</v>
      </c>
      <c r="O24" s="26">
        <v>0.6</v>
      </c>
      <c r="P24" s="26">
        <v>0.39</v>
      </c>
      <c r="Q24" s="26">
        <v>0.65</v>
      </c>
      <c r="R24" s="26">
        <v>3.252</v>
      </c>
      <c r="S24" s="26">
        <v>1.301</v>
      </c>
      <c r="T24" s="26">
        <v>0.6</v>
      </c>
      <c r="U24" s="26">
        <v>1.951</v>
      </c>
      <c r="V24" s="26">
        <v>3.902</v>
      </c>
    </row>
    <row r="25">
      <c r="A25" s="21" t="s">
        <v>54</v>
      </c>
      <c r="B25" s="23">
        <v>1.7</v>
      </c>
      <c r="C25" s="23">
        <v>0.2</v>
      </c>
      <c r="D25" s="23">
        <v>0.6</v>
      </c>
      <c r="E25" s="23">
        <v>0.20400000000000001</v>
      </c>
      <c r="F25" s="23">
        <v>0.34</v>
      </c>
      <c r="G25" s="23">
        <v>2.38</v>
      </c>
      <c r="H25" s="23">
        <v>1.7</v>
      </c>
      <c r="I25" s="25">
        <v>0.2</v>
      </c>
      <c r="J25" s="23">
        <v>0.39999999999999997</v>
      </c>
      <c r="K25" s="23">
        <v>0.6799999999999999</v>
      </c>
      <c r="L25" s="26" t="s">
        <v>54</v>
      </c>
      <c r="M25" s="26">
        <v>2.996</v>
      </c>
      <c r="N25" s="26">
        <v>0.2</v>
      </c>
      <c r="O25" s="26">
        <v>0.6</v>
      </c>
      <c r="P25" s="26">
        <v>0.36</v>
      </c>
      <c r="Q25" s="26">
        <v>0.599</v>
      </c>
      <c r="R25" s="26">
        <v>2.996</v>
      </c>
      <c r="S25" s="26">
        <v>1.198</v>
      </c>
      <c r="T25" s="26">
        <v>0.6</v>
      </c>
      <c r="U25" s="26">
        <v>1.798</v>
      </c>
      <c r="V25" s="26">
        <v>3.595</v>
      </c>
    </row>
    <row r="26">
      <c r="A26" s="38" t="s">
        <v>55</v>
      </c>
      <c r="B26" s="23">
        <v>71.888</v>
      </c>
      <c r="C26" s="25">
        <v>0.20000000000000007</v>
      </c>
      <c r="D26" s="23"/>
      <c r="E26" s="15">
        <v>8.626560000000003</v>
      </c>
      <c r="F26" s="23">
        <v>14.377600000000001</v>
      </c>
      <c r="G26" s="23" t="s">
        <v>56</v>
      </c>
      <c r="H26" s="15">
        <v>69.518</v>
      </c>
      <c r="I26" s="25">
        <v>0.2</v>
      </c>
      <c r="J26" s="23">
        <v>0.48333333333333345</v>
      </c>
      <c r="K26" s="15">
        <v>35.7484</v>
      </c>
      <c r="L26" s="21" t="s">
        <v>57</v>
      </c>
      <c r="M26" s="21">
        <v>70.452</v>
      </c>
      <c r="N26" s="21">
        <v>0.2</v>
      </c>
      <c r="O26" s="21"/>
      <c r="P26" s="11">
        <v>8.452</v>
      </c>
      <c r="Q26" s="21">
        <v>14.09</v>
      </c>
      <c r="R26" s="21"/>
      <c r="S26" s="11">
        <v>64.719</v>
      </c>
      <c r="T26" s="21"/>
      <c r="U26" s="11">
        <v>40.303</v>
      </c>
      <c r="V26" s="11">
        <v>119.112</v>
      </c>
    </row>
    <row r="27">
      <c r="K27" s="41">
        <f>H26+K26</f>
        <v>105.2664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0.13"/>
    <col customWidth="1" min="3" max="3" width="7.63"/>
    <col customWidth="1" min="4" max="4" width="12.63"/>
    <col customWidth="1" min="5" max="26" width="7.63"/>
  </cols>
  <sheetData>
    <row r="1" ht="14.25" customHeight="1">
      <c r="A1" s="1" t="s">
        <v>0</v>
      </c>
      <c r="B1" s="1" t="s">
        <v>2</v>
      </c>
      <c r="C1" s="3" t="s">
        <v>3</v>
      </c>
      <c r="D1" s="3"/>
    </row>
    <row r="2" ht="14.25" customHeight="1">
      <c r="A2" s="5"/>
      <c r="B2" s="5"/>
      <c r="C2" s="7"/>
      <c r="D2" s="7" t="s">
        <v>10</v>
      </c>
    </row>
    <row r="3" ht="14.25" customHeight="1">
      <c r="A3" s="5"/>
      <c r="B3" s="5"/>
      <c r="C3" s="7"/>
      <c r="D3" s="7">
        <v>1.0</v>
      </c>
    </row>
    <row r="4" ht="14.25" customHeight="1">
      <c r="A4" s="5" t="s">
        <v>4</v>
      </c>
      <c r="B4" s="5" t="s">
        <v>5</v>
      </c>
      <c r="C4" s="7"/>
      <c r="D4" s="7"/>
    </row>
    <row r="5" ht="14.25" customHeight="1">
      <c r="A5" s="5"/>
      <c r="B5" s="5" t="s">
        <v>6</v>
      </c>
      <c r="C5" s="7" t="s">
        <v>7</v>
      </c>
      <c r="D5" s="7">
        <v>8.626560000000003</v>
      </c>
    </row>
    <row r="6" ht="14.25" customHeight="1">
      <c r="A6" s="5" t="s">
        <v>4</v>
      </c>
      <c r="B6" s="5" t="s">
        <v>9</v>
      </c>
      <c r="C6" s="7"/>
      <c r="D6" s="7"/>
    </row>
    <row r="7" ht="14.25" customHeight="1">
      <c r="A7" s="5"/>
      <c r="B7" s="5" t="s">
        <v>6</v>
      </c>
      <c r="C7" s="7" t="s">
        <v>11</v>
      </c>
      <c r="D7" s="7">
        <v>119.64399999999999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30" width="7.63"/>
  </cols>
  <sheetData>
    <row r="1" ht="14.25" customHeight="1">
      <c r="A1" s="6"/>
      <c r="B1" s="8" t="s">
        <v>8</v>
      </c>
      <c r="C1" s="9"/>
      <c r="D1" s="9"/>
      <c r="E1" s="9"/>
      <c r="F1" s="9"/>
      <c r="G1" s="9"/>
      <c r="H1" s="9"/>
      <c r="I1" s="10"/>
      <c r="J1" s="12"/>
      <c r="K1" s="13"/>
      <c r="L1" s="14"/>
      <c r="M1" s="12"/>
      <c r="N1" s="13"/>
      <c r="O1" s="13"/>
      <c r="P1" s="13"/>
      <c r="Q1" s="13"/>
      <c r="R1" s="13"/>
      <c r="S1" s="6"/>
      <c r="T1" s="6"/>
      <c r="U1" s="6"/>
      <c r="V1" s="6"/>
      <c r="W1" s="6"/>
      <c r="X1" s="6"/>
      <c r="Y1" s="13"/>
      <c r="Z1" s="13"/>
      <c r="AA1" s="13"/>
      <c r="AB1" s="13"/>
      <c r="AC1" s="13"/>
      <c r="AD1" s="13"/>
    </row>
    <row r="2" ht="14.25" customHeight="1">
      <c r="A2" s="16" t="s">
        <v>15</v>
      </c>
      <c r="B2" s="16" t="s">
        <v>1</v>
      </c>
      <c r="C2" s="18" t="s">
        <v>20</v>
      </c>
      <c r="D2" s="18" t="s">
        <v>12</v>
      </c>
      <c r="E2" s="18" t="s">
        <v>13</v>
      </c>
      <c r="F2" s="18" t="s">
        <v>14</v>
      </c>
      <c r="G2" s="18" t="s">
        <v>5</v>
      </c>
      <c r="H2" s="19" t="s">
        <v>16</v>
      </c>
      <c r="I2" s="20" t="s">
        <v>17</v>
      </c>
      <c r="J2" s="22" t="s">
        <v>19</v>
      </c>
      <c r="K2" s="19" t="s">
        <v>21</v>
      </c>
      <c r="L2" s="24" t="s">
        <v>18</v>
      </c>
      <c r="M2" s="22" t="s">
        <v>19</v>
      </c>
      <c r="N2" s="19" t="s">
        <v>21</v>
      </c>
      <c r="O2" s="27" t="s">
        <v>18</v>
      </c>
      <c r="P2" s="27" t="s">
        <v>25</v>
      </c>
      <c r="Q2" s="27" t="s">
        <v>26</v>
      </c>
      <c r="R2" s="27" t="s">
        <v>27</v>
      </c>
      <c r="S2" s="27" t="s">
        <v>28</v>
      </c>
      <c r="T2" s="27" t="s">
        <v>28</v>
      </c>
      <c r="U2" s="27" t="s">
        <v>28</v>
      </c>
      <c r="V2" s="28"/>
      <c r="W2" s="28"/>
      <c r="X2" s="28"/>
      <c r="Y2" s="28"/>
      <c r="Z2" s="28"/>
      <c r="AA2" s="28"/>
      <c r="AB2" s="29"/>
      <c r="AC2" s="30"/>
      <c r="AD2" s="31" t="s">
        <v>30</v>
      </c>
    </row>
    <row r="3" ht="14.25" customHeight="1">
      <c r="A3" s="32">
        <v>1.0</v>
      </c>
      <c r="B3" s="33" t="s">
        <v>23</v>
      </c>
      <c r="C3" s="34">
        <v>1.0</v>
      </c>
      <c r="D3" s="34">
        <v>3.95</v>
      </c>
      <c r="E3" s="34">
        <v>0.2</v>
      </c>
      <c r="F3" s="34">
        <v>0.6</v>
      </c>
      <c r="G3" s="35">
        <f t="shared" ref="G3:G26" si="1">+PRODUCT(C3:F3)</f>
        <v>0.474</v>
      </c>
      <c r="H3" s="35">
        <f t="shared" ref="H3:H26" si="2">PRODUCT(C3,D3,E3)</f>
        <v>0.79</v>
      </c>
      <c r="I3" s="35">
        <f t="shared" ref="I3:I26" si="3">+L3+O3</f>
        <v>3.95</v>
      </c>
      <c r="J3" s="36">
        <v>0.2</v>
      </c>
      <c r="K3" s="34">
        <f>F3-J3</f>
        <v>0.4</v>
      </c>
      <c r="L3" s="34">
        <f t="shared" ref="L3:L26" si="4">+PRODUCT(C3:D3,K3)</f>
        <v>1.58</v>
      </c>
      <c r="M3" s="36"/>
      <c r="N3" s="34">
        <f t="shared" ref="N3:N26" si="5">+F3-M3</f>
        <v>0.6</v>
      </c>
      <c r="O3" s="34">
        <f t="shared" ref="O3:O26" si="6">+PRODUCT(C3:D3,N3)</f>
        <v>2.37</v>
      </c>
      <c r="P3" s="34"/>
      <c r="Q3" s="34"/>
      <c r="R3" s="34">
        <f t="shared" ref="R3:R26" si="7">+SUM(P3:Q3)*(K3+N3)/2*2</f>
        <v>0</v>
      </c>
      <c r="S3" s="34"/>
      <c r="T3" s="32"/>
      <c r="U3" s="34"/>
      <c r="V3" s="34"/>
      <c r="W3" s="34"/>
      <c r="X3" s="34"/>
      <c r="Y3" s="34">
        <f t="shared" ref="Y3:Y25" si="8">IFERROR(VLOOKUP(S4,$B$163:$F$243,4,FALSE)*VLOOKUP(S4,$B$163:$F$243,5,FALSE),)+IFERROR(VLOOKUP(T4,$B$163:$F$243,4,FALSE)*VLOOKUP(T4,$B$163:$F$243,5,FALSE),)+IFERROR(VLOOKUP(U4,$B$163:$F$243,4,FALSE)*VLOOKUP(U4,$B$163:$F$243,5,FALSE),)+IFERROR(VLOOKUP(V3,$B$163:$F$243,4,FALSE)*VLOOKUP(V3,$B$163:$F$243,5,FALSE),)+IFERROR(VLOOKUP(W3,$B$163:$F$243,4,FALSE)*VLOOKUP(W3,$B$163:$F$243,5,FALSE),)+IFERROR(VLOOKUP(X3,$B$163:$F$243,4,FALSE)*VLOOKUP(X3,$B$163:$F$243,5,FALSE),)</f>
        <v>0</v>
      </c>
      <c r="Z3" s="34"/>
      <c r="AA3" s="33"/>
      <c r="AB3" s="35"/>
      <c r="AC3" s="39"/>
      <c r="AD3" s="40">
        <f t="shared" ref="AD3:AD25" si="9">+IF(F4&lt;0.75,(H4+I4),0)</f>
        <v>9.27</v>
      </c>
    </row>
    <row r="4" ht="14.25" customHeight="1">
      <c r="A4" s="32">
        <f t="shared" ref="A4:A26" si="10">+A3+1</f>
        <v>2</v>
      </c>
      <c r="B4" s="33" t="s">
        <v>24</v>
      </c>
      <c r="C4" s="34">
        <v>1.0</v>
      </c>
      <c r="D4" s="34">
        <v>5.15</v>
      </c>
      <c r="E4" s="34">
        <v>0.2</v>
      </c>
      <c r="F4" s="34">
        <v>0.6</v>
      </c>
      <c r="G4" s="35">
        <f t="shared" si="1"/>
        <v>0.618</v>
      </c>
      <c r="H4" s="35">
        <f t="shared" si="2"/>
        <v>1.03</v>
      </c>
      <c r="I4" s="35">
        <f t="shared" si="3"/>
        <v>8.24</v>
      </c>
      <c r="J4" s="36"/>
      <c r="K4" s="34"/>
      <c r="L4" s="34">
        <f t="shared" si="4"/>
        <v>5.15</v>
      </c>
      <c r="M4" s="36"/>
      <c r="N4" s="34">
        <f t="shared" si="5"/>
        <v>0.6</v>
      </c>
      <c r="O4" s="34">
        <f t="shared" si="6"/>
        <v>3.09</v>
      </c>
      <c r="P4" s="34"/>
      <c r="Q4" s="34"/>
      <c r="R4" s="34">
        <f t="shared" si="7"/>
        <v>0</v>
      </c>
      <c r="S4" s="34" t="s">
        <v>36</v>
      </c>
      <c r="T4" s="34"/>
      <c r="U4" s="34"/>
      <c r="V4" s="34"/>
      <c r="W4" s="34"/>
      <c r="X4" s="34"/>
      <c r="Y4" s="34">
        <f t="shared" si="8"/>
        <v>0</v>
      </c>
      <c r="Z4" s="34"/>
      <c r="AA4" s="33"/>
      <c r="AB4" s="35"/>
      <c r="AC4" s="39"/>
      <c r="AD4" s="40">
        <f t="shared" si="9"/>
        <v>5.58</v>
      </c>
    </row>
    <row r="5" ht="14.25" customHeight="1">
      <c r="A5" s="32">
        <f t="shared" si="10"/>
        <v>3</v>
      </c>
      <c r="B5" s="33" t="s">
        <v>29</v>
      </c>
      <c r="C5" s="34">
        <v>1.0</v>
      </c>
      <c r="D5" s="34">
        <v>3.1</v>
      </c>
      <c r="E5" s="34">
        <v>0.2</v>
      </c>
      <c r="F5" s="34">
        <v>0.6</v>
      </c>
      <c r="G5" s="35">
        <f t="shared" si="1"/>
        <v>0.372</v>
      </c>
      <c r="H5" s="35">
        <f t="shared" si="2"/>
        <v>0.62</v>
      </c>
      <c r="I5" s="35">
        <f t="shared" si="3"/>
        <v>4.96</v>
      </c>
      <c r="J5" s="36"/>
      <c r="K5" s="34"/>
      <c r="L5" s="34">
        <f t="shared" si="4"/>
        <v>3.1</v>
      </c>
      <c r="M5" s="36"/>
      <c r="N5" s="34">
        <f t="shared" si="5"/>
        <v>0.6</v>
      </c>
      <c r="O5" s="34">
        <f t="shared" si="6"/>
        <v>1.86</v>
      </c>
      <c r="P5" s="34"/>
      <c r="Q5" s="34"/>
      <c r="R5" s="34">
        <f t="shared" si="7"/>
        <v>0</v>
      </c>
      <c r="S5" s="34"/>
      <c r="T5" s="34"/>
      <c r="U5" s="34"/>
      <c r="V5" s="34"/>
      <c r="W5" s="34"/>
      <c r="X5" s="34"/>
      <c r="Y5" s="34">
        <f t="shared" si="8"/>
        <v>0</v>
      </c>
      <c r="Z5" s="34"/>
      <c r="AA5" s="33"/>
      <c r="AB5" s="35"/>
      <c r="AC5" s="39"/>
      <c r="AD5" s="40">
        <f t="shared" si="9"/>
        <v>3.24</v>
      </c>
    </row>
    <row r="6" ht="14.25" customHeight="1">
      <c r="A6" s="32">
        <f t="shared" si="10"/>
        <v>4</v>
      </c>
      <c r="B6" s="33" t="s">
        <v>31</v>
      </c>
      <c r="C6" s="34">
        <v>1.0</v>
      </c>
      <c r="D6" s="34">
        <v>1.8</v>
      </c>
      <c r="E6" s="34">
        <v>0.2</v>
      </c>
      <c r="F6" s="34">
        <v>0.6</v>
      </c>
      <c r="G6" s="35">
        <f t="shared" si="1"/>
        <v>0.216</v>
      </c>
      <c r="H6" s="35">
        <f t="shared" si="2"/>
        <v>0.36</v>
      </c>
      <c r="I6" s="35">
        <f t="shared" si="3"/>
        <v>2.88</v>
      </c>
      <c r="J6" s="36"/>
      <c r="K6" s="34"/>
      <c r="L6" s="34">
        <f t="shared" si="4"/>
        <v>1.8</v>
      </c>
      <c r="M6" s="36"/>
      <c r="N6" s="34">
        <f t="shared" si="5"/>
        <v>0.6</v>
      </c>
      <c r="O6" s="34">
        <f t="shared" si="6"/>
        <v>1.08</v>
      </c>
      <c r="P6" s="34"/>
      <c r="Q6" s="34"/>
      <c r="R6" s="34">
        <f t="shared" si="7"/>
        <v>0</v>
      </c>
      <c r="S6" s="34" t="s">
        <v>38</v>
      </c>
      <c r="T6" s="34"/>
      <c r="U6" s="34"/>
      <c r="V6" s="34"/>
      <c r="W6" s="34"/>
      <c r="X6" s="34"/>
      <c r="Y6" s="34">
        <f t="shared" si="8"/>
        <v>0</v>
      </c>
      <c r="Z6" s="34"/>
      <c r="AA6" s="33"/>
      <c r="AB6" s="35"/>
      <c r="AC6" s="39"/>
      <c r="AD6" s="40">
        <f t="shared" si="9"/>
        <v>5.58</v>
      </c>
    </row>
    <row r="7" ht="14.25" customHeight="1">
      <c r="A7" s="32">
        <f t="shared" si="10"/>
        <v>5</v>
      </c>
      <c r="B7" s="33" t="s">
        <v>32</v>
      </c>
      <c r="C7" s="34">
        <v>1.0</v>
      </c>
      <c r="D7" s="34">
        <v>3.1</v>
      </c>
      <c r="E7" s="34">
        <v>0.2</v>
      </c>
      <c r="F7" s="34">
        <v>0.6</v>
      </c>
      <c r="G7" s="35">
        <f t="shared" si="1"/>
        <v>0.372</v>
      </c>
      <c r="H7" s="35">
        <f t="shared" si="2"/>
        <v>0.62</v>
      </c>
      <c r="I7" s="35">
        <f t="shared" si="3"/>
        <v>4.96</v>
      </c>
      <c r="J7" s="36"/>
      <c r="K7" s="34"/>
      <c r="L7" s="34">
        <f t="shared" si="4"/>
        <v>3.1</v>
      </c>
      <c r="M7" s="36"/>
      <c r="N7" s="34">
        <f t="shared" si="5"/>
        <v>0.6</v>
      </c>
      <c r="O7" s="34">
        <f t="shared" si="6"/>
        <v>1.86</v>
      </c>
      <c r="P7" s="34"/>
      <c r="Q7" s="34"/>
      <c r="R7" s="34">
        <f t="shared" si="7"/>
        <v>0</v>
      </c>
      <c r="S7" s="34"/>
      <c r="T7" s="34"/>
      <c r="U7" s="34"/>
      <c r="V7" s="34"/>
      <c r="W7" s="34"/>
      <c r="X7" s="34"/>
      <c r="Y7" s="34">
        <f t="shared" si="8"/>
        <v>0</v>
      </c>
      <c r="Z7" s="34"/>
      <c r="AA7" s="33"/>
      <c r="AB7" s="35"/>
      <c r="AC7" s="39"/>
      <c r="AD7" s="40">
        <f t="shared" si="9"/>
        <v>5.76</v>
      </c>
    </row>
    <row r="8" ht="14.25" customHeight="1">
      <c r="A8" s="32">
        <f t="shared" si="10"/>
        <v>6</v>
      </c>
      <c r="B8" s="33" t="s">
        <v>33</v>
      </c>
      <c r="C8" s="34">
        <v>1.0</v>
      </c>
      <c r="D8" s="34">
        <v>3.2</v>
      </c>
      <c r="E8" s="34">
        <v>0.2</v>
      </c>
      <c r="F8" s="34">
        <v>0.6</v>
      </c>
      <c r="G8" s="35">
        <f t="shared" si="1"/>
        <v>0.384</v>
      </c>
      <c r="H8" s="35">
        <f t="shared" si="2"/>
        <v>0.64</v>
      </c>
      <c r="I8" s="35">
        <f t="shared" si="3"/>
        <v>5.12</v>
      </c>
      <c r="J8" s="36"/>
      <c r="K8" s="34"/>
      <c r="L8" s="34">
        <f t="shared" si="4"/>
        <v>3.2</v>
      </c>
      <c r="M8" s="36"/>
      <c r="N8" s="34">
        <f t="shared" si="5"/>
        <v>0.6</v>
      </c>
      <c r="O8" s="34">
        <f t="shared" si="6"/>
        <v>1.92</v>
      </c>
      <c r="P8" s="34"/>
      <c r="Q8" s="34"/>
      <c r="R8" s="34">
        <f t="shared" si="7"/>
        <v>0</v>
      </c>
      <c r="S8" s="34"/>
      <c r="T8" s="34"/>
      <c r="U8" s="34"/>
      <c r="V8" s="34"/>
      <c r="W8" s="34"/>
      <c r="X8" s="34"/>
      <c r="Y8" s="34">
        <f t="shared" si="8"/>
        <v>0</v>
      </c>
      <c r="Z8" s="34"/>
      <c r="AA8" s="33"/>
      <c r="AB8" s="35"/>
      <c r="AC8" s="39"/>
      <c r="AD8" s="40">
        <f t="shared" si="9"/>
        <v>4.64</v>
      </c>
    </row>
    <row r="9" ht="14.25" customHeight="1">
      <c r="A9" s="32">
        <f t="shared" si="10"/>
        <v>7</v>
      </c>
      <c r="B9" s="33" t="s">
        <v>34</v>
      </c>
      <c r="C9" s="34">
        <v>1.0</v>
      </c>
      <c r="D9" s="34">
        <v>2.9</v>
      </c>
      <c r="E9" s="34">
        <v>0.2</v>
      </c>
      <c r="F9" s="34">
        <v>0.6</v>
      </c>
      <c r="G9" s="35">
        <f t="shared" si="1"/>
        <v>0.348</v>
      </c>
      <c r="H9" s="35">
        <f t="shared" si="2"/>
        <v>0.58</v>
      </c>
      <c r="I9" s="35">
        <f t="shared" si="3"/>
        <v>4.06</v>
      </c>
      <c r="J9" s="36"/>
      <c r="K9" s="34"/>
      <c r="L9" s="34">
        <f t="shared" si="4"/>
        <v>2.9</v>
      </c>
      <c r="M9" s="36">
        <v>0.2</v>
      </c>
      <c r="N9" s="34">
        <f t="shared" si="5"/>
        <v>0.4</v>
      </c>
      <c r="O9" s="34">
        <f t="shared" si="6"/>
        <v>1.16</v>
      </c>
      <c r="P9" s="34"/>
      <c r="Q9" s="34"/>
      <c r="R9" s="34">
        <f t="shared" si="7"/>
        <v>0</v>
      </c>
      <c r="S9" s="34" t="s">
        <v>35</v>
      </c>
      <c r="T9" s="34"/>
      <c r="U9" s="34"/>
      <c r="V9" s="34"/>
      <c r="W9" s="34"/>
      <c r="X9" s="34"/>
      <c r="Y9" s="34">
        <f t="shared" si="8"/>
        <v>0</v>
      </c>
      <c r="Z9" s="34"/>
      <c r="AA9" s="33"/>
      <c r="AB9" s="35"/>
      <c r="AC9" s="39"/>
      <c r="AD9" s="40">
        <f t="shared" si="9"/>
        <v>4.2528</v>
      </c>
    </row>
    <row r="10" ht="14.25" customHeight="1">
      <c r="A10" s="32">
        <f t="shared" si="10"/>
        <v>8</v>
      </c>
      <c r="B10" s="33" t="s">
        <v>35</v>
      </c>
      <c r="C10" s="34">
        <v>1.0</v>
      </c>
      <c r="D10" s="34">
        <v>2.658</v>
      </c>
      <c r="E10" s="34">
        <v>0.2</v>
      </c>
      <c r="F10" s="34">
        <v>0.6</v>
      </c>
      <c r="G10" s="35">
        <f t="shared" si="1"/>
        <v>0.31896</v>
      </c>
      <c r="H10" s="35">
        <f t="shared" si="2"/>
        <v>0.5316</v>
      </c>
      <c r="I10" s="35">
        <f t="shared" si="3"/>
        <v>3.7212</v>
      </c>
      <c r="J10" s="36"/>
      <c r="K10" s="34"/>
      <c r="L10" s="34">
        <f t="shared" si="4"/>
        <v>2.658</v>
      </c>
      <c r="M10" s="36">
        <v>0.2</v>
      </c>
      <c r="N10" s="34">
        <f t="shared" si="5"/>
        <v>0.4</v>
      </c>
      <c r="O10" s="34">
        <f t="shared" si="6"/>
        <v>1.0632</v>
      </c>
      <c r="P10" s="34"/>
      <c r="Q10" s="34"/>
      <c r="R10" s="34">
        <f t="shared" si="7"/>
        <v>0</v>
      </c>
      <c r="S10" s="34"/>
      <c r="T10" s="34"/>
      <c r="U10" s="34"/>
      <c r="V10" s="34"/>
      <c r="W10" s="34"/>
      <c r="X10" s="34"/>
      <c r="Y10" s="34">
        <f t="shared" si="8"/>
        <v>0</v>
      </c>
      <c r="Z10" s="34"/>
      <c r="AA10" s="33"/>
      <c r="AB10" s="35"/>
      <c r="AC10" s="39"/>
      <c r="AD10" s="40">
        <f t="shared" si="9"/>
        <v>2.24</v>
      </c>
    </row>
    <row r="11" ht="14.25" customHeight="1">
      <c r="A11" s="32">
        <f t="shared" si="10"/>
        <v>9</v>
      </c>
      <c r="B11" s="33" t="s">
        <v>36</v>
      </c>
      <c r="C11" s="34">
        <v>1.0</v>
      </c>
      <c r="D11" s="34">
        <v>1.4</v>
      </c>
      <c r="E11" s="34">
        <v>0.2</v>
      </c>
      <c r="F11" s="34">
        <v>0.6</v>
      </c>
      <c r="G11" s="35">
        <f t="shared" si="1"/>
        <v>0.168</v>
      </c>
      <c r="H11" s="35">
        <f t="shared" si="2"/>
        <v>0.28</v>
      </c>
      <c r="I11" s="35">
        <f t="shared" si="3"/>
        <v>1.96</v>
      </c>
      <c r="J11" s="36"/>
      <c r="K11" s="34"/>
      <c r="L11" s="34">
        <f t="shared" si="4"/>
        <v>1.4</v>
      </c>
      <c r="M11" s="36">
        <v>0.2</v>
      </c>
      <c r="N11" s="34">
        <f t="shared" si="5"/>
        <v>0.4</v>
      </c>
      <c r="O11" s="34">
        <f t="shared" si="6"/>
        <v>0.56</v>
      </c>
      <c r="P11" s="34"/>
      <c r="Q11" s="34"/>
      <c r="R11" s="34">
        <f t="shared" si="7"/>
        <v>0</v>
      </c>
      <c r="S11" s="34"/>
      <c r="T11" s="34"/>
      <c r="U11" s="34"/>
      <c r="V11" s="34"/>
      <c r="W11" s="34"/>
      <c r="X11" s="34"/>
      <c r="Y11" s="34">
        <f t="shared" si="8"/>
        <v>0</v>
      </c>
      <c r="Z11" s="34"/>
      <c r="AA11" s="33"/>
      <c r="AB11" s="35"/>
      <c r="AC11" s="39"/>
      <c r="AD11" s="40">
        <f t="shared" si="9"/>
        <v>2.4</v>
      </c>
    </row>
    <row r="12" ht="14.25" customHeight="1">
      <c r="A12" s="32">
        <f t="shared" si="10"/>
        <v>10</v>
      </c>
      <c r="B12" s="33" t="s">
        <v>37</v>
      </c>
      <c r="C12" s="34">
        <v>1.0</v>
      </c>
      <c r="D12" s="34">
        <v>1.5</v>
      </c>
      <c r="E12" s="34">
        <v>0.2</v>
      </c>
      <c r="F12" s="34">
        <v>0.6</v>
      </c>
      <c r="G12" s="35">
        <f t="shared" si="1"/>
        <v>0.18</v>
      </c>
      <c r="H12" s="35">
        <f t="shared" si="2"/>
        <v>0.3</v>
      </c>
      <c r="I12" s="35">
        <f t="shared" si="3"/>
        <v>2.1</v>
      </c>
      <c r="J12" s="36"/>
      <c r="K12" s="34"/>
      <c r="L12" s="34">
        <f t="shared" si="4"/>
        <v>1.5</v>
      </c>
      <c r="M12" s="36">
        <v>0.2</v>
      </c>
      <c r="N12" s="34">
        <f t="shared" si="5"/>
        <v>0.4</v>
      </c>
      <c r="O12" s="34">
        <f t="shared" si="6"/>
        <v>0.6</v>
      </c>
      <c r="P12" s="34"/>
      <c r="Q12" s="34"/>
      <c r="R12" s="34">
        <f t="shared" si="7"/>
        <v>0</v>
      </c>
      <c r="S12" s="34"/>
      <c r="T12" s="34"/>
      <c r="U12" s="34"/>
      <c r="V12" s="34"/>
      <c r="W12" s="34"/>
      <c r="X12" s="34"/>
      <c r="Y12" s="34">
        <f t="shared" si="8"/>
        <v>0</v>
      </c>
      <c r="Z12" s="34"/>
      <c r="AA12" s="33"/>
      <c r="AB12" s="35"/>
      <c r="AC12" s="39"/>
      <c r="AD12" s="40">
        <f t="shared" si="9"/>
        <v>2.4</v>
      </c>
    </row>
    <row r="13" ht="14.25" customHeight="1">
      <c r="A13" s="32">
        <f t="shared" si="10"/>
        <v>11</v>
      </c>
      <c r="B13" s="33" t="s">
        <v>38</v>
      </c>
      <c r="C13" s="34">
        <v>1.0</v>
      </c>
      <c r="D13" s="34">
        <v>1.5</v>
      </c>
      <c r="E13" s="34">
        <v>0.2</v>
      </c>
      <c r="F13" s="34">
        <v>0.6</v>
      </c>
      <c r="G13" s="35">
        <f t="shared" si="1"/>
        <v>0.18</v>
      </c>
      <c r="H13" s="35">
        <f t="shared" si="2"/>
        <v>0.3</v>
      </c>
      <c r="I13" s="35">
        <f t="shared" si="3"/>
        <v>2.1</v>
      </c>
      <c r="J13" s="36"/>
      <c r="K13" s="34"/>
      <c r="L13" s="34">
        <f t="shared" si="4"/>
        <v>1.5</v>
      </c>
      <c r="M13" s="36">
        <v>0.2</v>
      </c>
      <c r="N13" s="34">
        <f t="shared" si="5"/>
        <v>0.4</v>
      </c>
      <c r="O13" s="34">
        <f t="shared" si="6"/>
        <v>0.6</v>
      </c>
      <c r="P13" s="34"/>
      <c r="Q13" s="34"/>
      <c r="R13" s="34">
        <f t="shared" si="7"/>
        <v>0</v>
      </c>
      <c r="S13" s="34"/>
      <c r="T13" s="34"/>
      <c r="U13" s="34"/>
      <c r="V13" s="34"/>
      <c r="W13" s="34"/>
      <c r="X13" s="34"/>
      <c r="Y13" s="34">
        <f t="shared" si="8"/>
        <v>0</v>
      </c>
      <c r="Z13" s="34"/>
      <c r="AA13" s="33"/>
      <c r="AB13" s="35"/>
      <c r="AC13" s="39"/>
      <c r="AD13" s="40">
        <f t="shared" si="9"/>
        <v>10.017</v>
      </c>
    </row>
    <row r="14" ht="14.25" customHeight="1">
      <c r="A14" s="32">
        <f t="shared" si="10"/>
        <v>12</v>
      </c>
      <c r="B14" s="33" t="s">
        <v>39</v>
      </c>
      <c r="C14" s="34">
        <v>1.0</v>
      </c>
      <c r="D14" s="34">
        <v>5.565</v>
      </c>
      <c r="E14" s="34">
        <v>0.2</v>
      </c>
      <c r="F14" s="34">
        <v>0.6</v>
      </c>
      <c r="G14" s="35">
        <f t="shared" si="1"/>
        <v>0.6678</v>
      </c>
      <c r="H14" s="35">
        <f t="shared" si="2"/>
        <v>1.113</v>
      </c>
      <c r="I14" s="35">
        <f t="shared" si="3"/>
        <v>8.904</v>
      </c>
      <c r="J14" s="36"/>
      <c r="K14" s="34"/>
      <c r="L14" s="34">
        <f t="shared" si="4"/>
        <v>5.565</v>
      </c>
      <c r="M14" s="36"/>
      <c r="N14" s="34">
        <f t="shared" si="5"/>
        <v>0.6</v>
      </c>
      <c r="O14" s="34">
        <f t="shared" si="6"/>
        <v>3.339</v>
      </c>
      <c r="P14" s="34"/>
      <c r="Q14" s="34"/>
      <c r="R14" s="34">
        <f t="shared" si="7"/>
        <v>0</v>
      </c>
      <c r="S14" s="34" t="s">
        <v>46</v>
      </c>
      <c r="T14" s="34" t="s">
        <v>47</v>
      </c>
      <c r="U14" s="34"/>
      <c r="V14" s="34"/>
      <c r="W14" s="34"/>
      <c r="X14" s="34"/>
      <c r="Y14" s="34">
        <f t="shared" si="8"/>
        <v>0</v>
      </c>
      <c r="Z14" s="34"/>
      <c r="AA14" s="33"/>
      <c r="AB14" s="35"/>
      <c r="AC14" s="39"/>
      <c r="AD14" s="40">
        <f t="shared" si="9"/>
        <v>2.968</v>
      </c>
    </row>
    <row r="15" ht="14.25" customHeight="1">
      <c r="A15" s="32">
        <f t="shared" si="10"/>
        <v>13</v>
      </c>
      <c r="B15" s="33" t="s">
        <v>40</v>
      </c>
      <c r="C15" s="34">
        <v>1.0</v>
      </c>
      <c r="D15" s="34">
        <v>1.855</v>
      </c>
      <c r="E15" s="34">
        <v>0.2</v>
      </c>
      <c r="F15" s="34">
        <v>0.6</v>
      </c>
      <c r="G15" s="35">
        <f t="shared" si="1"/>
        <v>0.2226</v>
      </c>
      <c r="H15" s="35">
        <f t="shared" si="2"/>
        <v>0.371</v>
      </c>
      <c r="I15" s="35">
        <f t="shared" si="3"/>
        <v>2.597</v>
      </c>
      <c r="J15" s="36"/>
      <c r="K15" s="34"/>
      <c r="L15" s="34">
        <f t="shared" si="4"/>
        <v>1.855</v>
      </c>
      <c r="M15" s="36">
        <v>0.2</v>
      </c>
      <c r="N15" s="34">
        <f t="shared" si="5"/>
        <v>0.4</v>
      </c>
      <c r="O15" s="34">
        <f t="shared" si="6"/>
        <v>0.742</v>
      </c>
      <c r="P15" s="34"/>
      <c r="Q15" s="34"/>
      <c r="R15" s="34">
        <f t="shared" si="7"/>
        <v>0</v>
      </c>
      <c r="S15" s="34"/>
      <c r="T15" s="34"/>
      <c r="U15" s="34"/>
      <c r="V15" s="34"/>
      <c r="W15" s="34"/>
      <c r="X15" s="34"/>
      <c r="Y15" s="34">
        <f t="shared" si="8"/>
        <v>0</v>
      </c>
      <c r="Z15" s="34"/>
      <c r="AA15" s="33"/>
      <c r="AB15" s="35"/>
      <c r="AC15" s="39"/>
      <c r="AD15" s="40">
        <f t="shared" si="9"/>
        <v>6.921</v>
      </c>
    </row>
    <row r="16" ht="14.25" customHeight="1">
      <c r="A16" s="32">
        <f t="shared" si="10"/>
        <v>14</v>
      </c>
      <c r="B16" s="33" t="s">
        <v>41</v>
      </c>
      <c r="C16" s="34">
        <v>1.0</v>
      </c>
      <c r="D16" s="34">
        <v>3.845</v>
      </c>
      <c r="E16" s="34">
        <v>0.2</v>
      </c>
      <c r="F16" s="34">
        <v>0.6</v>
      </c>
      <c r="G16" s="35">
        <f t="shared" si="1"/>
        <v>0.4614</v>
      </c>
      <c r="H16" s="35">
        <f t="shared" si="2"/>
        <v>0.769</v>
      </c>
      <c r="I16" s="35">
        <f t="shared" si="3"/>
        <v>6.152</v>
      </c>
      <c r="J16" s="36"/>
      <c r="K16" s="34"/>
      <c r="L16" s="34">
        <f t="shared" si="4"/>
        <v>3.845</v>
      </c>
      <c r="M16" s="36"/>
      <c r="N16" s="34">
        <f t="shared" si="5"/>
        <v>0.6</v>
      </c>
      <c r="O16" s="34">
        <f t="shared" si="6"/>
        <v>2.307</v>
      </c>
      <c r="P16" s="34"/>
      <c r="Q16" s="34"/>
      <c r="R16" s="34">
        <f t="shared" si="7"/>
        <v>0</v>
      </c>
      <c r="S16" s="34" t="s">
        <v>54</v>
      </c>
      <c r="T16" s="34"/>
      <c r="U16" s="34"/>
      <c r="V16" s="34"/>
      <c r="W16" s="34"/>
      <c r="X16" s="34"/>
      <c r="Y16" s="34">
        <f t="shared" si="8"/>
        <v>0</v>
      </c>
      <c r="Z16" s="34"/>
      <c r="AA16" s="33"/>
      <c r="AB16" s="35"/>
      <c r="AC16" s="39"/>
      <c r="AD16" s="40">
        <f t="shared" si="9"/>
        <v>5.436</v>
      </c>
    </row>
    <row r="17" ht="14.25" customHeight="1">
      <c r="A17" s="32">
        <f t="shared" si="10"/>
        <v>15</v>
      </c>
      <c r="B17" s="33" t="s">
        <v>42</v>
      </c>
      <c r="C17" s="34">
        <v>1.0</v>
      </c>
      <c r="D17" s="34">
        <v>3.02</v>
      </c>
      <c r="E17" s="34">
        <v>0.2</v>
      </c>
      <c r="F17" s="34">
        <v>0.6</v>
      </c>
      <c r="G17" s="35">
        <f t="shared" si="1"/>
        <v>0.3624</v>
      </c>
      <c r="H17" s="35">
        <f t="shared" si="2"/>
        <v>0.604</v>
      </c>
      <c r="I17" s="35">
        <f t="shared" si="3"/>
        <v>4.832</v>
      </c>
      <c r="J17" s="36"/>
      <c r="K17" s="34"/>
      <c r="L17" s="34">
        <f t="shared" si="4"/>
        <v>3.02</v>
      </c>
      <c r="M17" s="36"/>
      <c r="N17" s="34">
        <f t="shared" si="5"/>
        <v>0.6</v>
      </c>
      <c r="O17" s="34">
        <f t="shared" si="6"/>
        <v>1.812</v>
      </c>
      <c r="P17" s="34"/>
      <c r="Q17" s="34"/>
      <c r="R17" s="34">
        <f t="shared" si="7"/>
        <v>0</v>
      </c>
      <c r="S17" s="34" t="s">
        <v>51</v>
      </c>
      <c r="T17" s="34"/>
      <c r="U17" s="34"/>
      <c r="V17" s="34"/>
      <c r="W17" s="34"/>
      <c r="X17" s="34"/>
      <c r="Y17" s="34">
        <f t="shared" si="8"/>
        <v>0</v>
      </c>
      <c r="Z17" s="34"/>
      <c r="AA17" s="33"/>
      <c r="AB17" s="35"/>
      <c r="AC17" s="39"/>
      <c r="AD17" s="40">
        <f t="shared" si="9"/>
        <v>4.0248</v>
      </c>
    </row>
    <row r="18" ht="14.25" customHeight="1">
      <c r="A18" s="32">
        <f t="shared" si="10"/>
        <v>16</v>
      </c>
      <c r="B18" s="33" t="s">
        <v>43</v>
      </c>
      <c r="C18" s="34">
        <v>1.0</v>
      </c>
      <c r="D18" s="34">
        <v>2.236</v>
      </c>
      <c r="E18" s="34">
        <v>0.2</v>
      </c>
      <c r="F18" s="34">
        <v>0.6</v>
      </c>
      <c r="G18" s="35">
        <f t="shared" si="1"/>
        <v>0.26832</v>
      </c>
      <c r="H18" s="35">
        <f t="shared" si="2"/>
        <v>0.4472</v>
      </c>
      <c r="I18" s="35">
        <f t="shared" si="3"/>
        <v>3.5776</v>
      </c>
      <c r="J18" s="36"/>
      <c r="K18" s="34"/>
      <c r="L18" s="34">
        <f t="shared" si="4"/>
        <v>2.236</v>
      </c>
      <c r="M18" s="36"/>
      <c r="N18" s="34">
        <f t="shared" si="5"/>
        <v>0.6</v>
      </c>
      <c r="O18" s="34">
        <f t="shared" si="6"/>
        <v>1.3416</v>
      </c>
      <c r="P18" s="34"/>
      <c r="Q18" s="34"/>
      <c r="R18" s="34">
        <f t="shared" si="7"/>
        <v>0</v>
      </c>
      <c r="S18" s="34"/>
      <c r="T18" s="34"/>
      <c r="U18" s="34"/>
      <c r="V18" s="34"/>
      <c r="W18" s="34"/>
      <c r="X18" s="34"/>
      <c r="Y18" s="34">
        <f t="shared" si="8"/>
        <v>0</v>
      </c>
      <c r="Z18" s="34"/>
      <c r="AA18" s="33"/>
      <c r="AB18" s="35"/>
      <c r="AC18" s="39"/>
      <c r="AD18" s="40">
        <f t="shared" si="9"/>
        <v>10.504</v>
      </c>
    </row>
    <row r="19" ht="14.25" customHeight="1">
      <c r="A19" s="32">
        <f t="shared" si="10"/>
        <v>17</v>
      </c>
      <c r="B19" s="33" t="s">
        <v>44</v>
      </c>
      <c r="C19" s="34">
        <v>1.0</v>
      </c>
      <c r="D19" s="34">
        <v>6.565</v>
      </c>
      <c r="E19" s="34">
        <v>0.2</v>
      </c>
      <c r="F19" s="34">
        <v>0.6</v>
      </c>
      <c r="G19" s="35">
        <f t="shared" si="1"/>
        <v>0.7878</v>
      </c>
      <c r="H19" s="35">
        <f t="shared" si="2"/>
        <v>1.313</v>
      </c>
      <c r="I19" s="35">
        <f t="shared" si="3"/>
        <v>9.191</v>
      </c>
      <c r="J19" s="36"/>
      <c r="K19" s="34"/>
      <c r="L19" s="34">
        <f t="shared" si="4"/>
        <v>6.565</v>
      </c>
      <c r="M19" s="36">
        <v>0.2</v>
      </c>
      <c r="N19" s="34">
        <f t="shared" si="5"/>
        <v>0.4</v>
      </c>
      <c r="O19" s="34">
        <f t="shared" si="6"/>
        <v>2.626</v>
      </c>
      <c r="P19" s="34"/>
      <c r="Q19" s="34"/>
      <c r="R19" s="34">
        <f t="shared" si="7"/>
        <v>0</v>
      </c>
      <c r="S19" s="34" t="s">
        <v>46</v>
      </c>
      <c r="T19" s="34" t="s">
        <v>47</v>
      </c>
      <c r="U19" s="34"/>
      <c r="V19" s="34" t="s">
        <v>54</v>
      </c>
      <c r="W19" s="34"/>
      <c r="X19" s="34"/>
      <c r="Y19" s="34">
        <f t="shared" si="8"/>
        <v>0</v>
      </c>
      <c r="Z19" s="34"/>
      <c r="AA19" s="33"/>
      <c r="AB19" s="35"/>
      <c r="AC19" s="39"/>
      <c r="AD19" s="40">
        <f t="shared" si="9"/>
        <v>10.72</v>
      </c>
    </row>
    <row r="20" ht="14.25" customHeight="1">
      <c r="A20" s="32">
        <f t="shared" si="10"/>
        <v>18</v>
      </c>
      <c r="B20" s="33" t="s">
        <v>45</v>
      </c>
      <c r="C20" s="34">
        <v>1.0</v>
      </c>
      <c r="D20" s="34">
        <v>6.7</v>
      </c>
      <c r="E20" s="34">
        <v>0.2</v>
      </c>
      <c r="F20" s="34">
        <v>0.6</v>
      </c>
      <c r="G20" s="35">
        <f t="shared" si="1"/>
        <v>0.804</v>
      </c>
      <c r="H20" s="35">
        <f t="shared" si="2"/>
        <v>1.34</v>
      </c>
      <c r="I20" s="35">
        <f t="shared" si="3"/>
        <v>9.38</v>
      </c>
      <c r="J20" s="36"/>
      <c r="K20" s="34"/>
      <c r="L20" s="34">
        <f t="shared" si="4"/>
        <v>6.7</v>
      </c>
      <c r="M20" s="36">
        <v>0.2</v>
      </c>
      <c r="N20" s="34">
        <f t="shared" si="5"/>
        <v>0.4</v>
      </c>
      <c r="O20" s="34">
        <f t="shared" si="6"/>
        <v>2.68</v>
      </c>
      <c r="P20" s="34"/>
      <c r="Q20" s="34"/>
      <c r="R20" s="34">
        <f t="shared" si="7"/>
        <v>0</v>
      </c>
      <c r="S20" s="34" t="s">
        <v>48</v>
      </c>
      <c r="T20" s="34" t="s">
        <v>49</v>
      </c>
      <c r="U20" s="34" t="s">
        <v>51</v>
      </c>
      <c r="V20" s="34"/>
      <c r="W20" s="34"/>
      <c r="X20" s="34"/>
      <c r="Y20" s="34">
        <f t="shared" si="8"/>
        <v>0</v>
      </c>
      <c r="Z20" s="34"/>
      <c r="AA20" s="33"/>
      <c r="AB20" s="35"/>
      <c r="AC20" s="39"/>
      <c r="AD20" s="40">
        <f t="shared" si="9"/>
        <v>2.7552</v>
      </c>
    </row>
    <row r="21" ht="14.25" customHeight="1">
      <c r="A21" s="32">
        <f t="shared" si="10"/>
        <v>19</v>
      </c>
      <c r="B21" s="33" t="s">
        <v>46</v>
      </c>
      <c r="C21" s="34">
        <v>1.0</v>
      </c>
      <c r="D21" s="34">
        <v>1.722</v>
      </c>
      <c r="E21" s="34">
        <v>0.2</v>
      </c>
      <c r="F21" s="34">
        <v>0.6</v>
      </c>
      <c r="G21" s="35">
        <f t="shared" si="1"/>
        <v>0.20664</v>
      </c>
      <c r="H21" s="35">
        <f t="shared" si="2"/>
        <v>0.3444</v>
      </c>
      <c r="I21" s="35">
        <f t="shared" si="3"/>
        <v>2.4108</v>
      </c>
      <c r="J21" s="36"/>
      <c r="K21" s="34"/>
      <c r="L21" s="34">
        <f t="shared" si="4"/>
        <v>1.722</v>
      </c>
      <c r="M21" s="36">
        <v>0.2</v>
      </c>
      <c r="N21" s="34">
        <f t="shared" si="5"/>
        <v>0.4</v>
      </c>
      <c r="O21" s="34">
        <f t="shared" si="6"/>
        <v>0.6888</v>
      </c>
      <c r="P21" s="34"/>
      <c r="Q21" s="34"/>
      <c r="R21" s="34">
        <f t="shared" si="7"/>
        <v>0</v>
      </c>
      <c r="S21" s="34"/>
      <c r="T21" s="34"/>
      <c r="U21" s="34"/>
      <c r="V21" s="34"/>
      <c r="W21" s="34"/>
      <c r="X21" s="34"/>
      <c r="Y21" s="34">
        <f t="shared" si="8"/>
        <v>0</v>
      </c>
      <c r="Z21" s="34"/>
      <c r="AA21" s="33"/>
      <c r="AB21" s="35"/>
      <c r="AC21" s="39"/>
      <c r="AD21" s="40">
        <f t="shared" si="9"/>
        <v>2.7552</v>
      </c>
    </row>
    <row r="22" ht="14.25" customHeight="1">
      <c r="A22" s="32">
        <f t="shared" si="10"/>
        <v>20</v>
      </c>
      <c r="B22" s="33" t="s">
        <v>47</v>
      </c>
      <c r="C22" s="34">
        <v>1.0</v>
      </c>
      <c r="D22" s="34">
        <v>1.722</v>
      </c>
      <c r="E22" s="34">
        <v>0.2</v>
      </c>
      <c r="F22" s="34">
        <v>0.6</v>
      </c>
      <c r="G22" s="35">
        <f t="shared" si="1"/>
        <v>0.20664</v>
      </c>
      <c r="H22" s="35">
        <f t="shared" si="2"/>
        <v>0.3444</v>
      </c>
      <c r="I22" s="35">
        <f t="shared" si="3"/>
        <v>2.4108</v>
      </c>
      <c r="J22" s="36"/>
      <c r="K22" s="34"/>
      <c r="L22" s="34">
        <f t="shared" si="4"/>
        <v>1.722</v>
      </c>
      <c r="M22" s="36">
        <v>0.2</v>
      </c>
      <c r="N22" s="34">
        <f t="shared" si="5"/>
        <v>0.4</v>
      </c>
      <c r="O22" s="34">
        <f t="shared" si="6"/>
        <v>0.6888</v>
      </c>
      <c r="P22" s="34"/>
      <c r="Q22" s="34"/>
      <c r="R22" s="34">
        <f t="shared" si="7"/>
        <v>0</v>
      </c>
      <c r="S22" s="34"/>
      <c r="T22" s="34"/>
      <c r="U22" s="34"/>
      <c r="V22" s="34"/>
      <c r="W22" s="34"/>
      <c r="X22" s="34"/>
      <c r="Y22" s="34">
        <f t="shared" si="8"/>
        <v>0</v>
      </c>
      <c r="Z22" s="34"/>
      <c r="AA22" s="33"/>
      <c r="AB22" s="35"/>
      <c r="AC22" s="39"/>
      <c r="AD22" s="40">
        <f t="shared" si="9"/>
        <v>4</v>
      </c>
    </row>
    <row r="23" ht="14.25" customHeight="1">
      <c r="A23" s="32">
        <f t="shared" si="10"/>
        <v>21</v>
      </c>
      <c r="B23" s="33" t="s">
        <v>48</v>
      </c>
      <c r="C23" s="34">
        <v>1.0</v>
      </c>
      <c r="D23" s="34">
        <v>2.5</v>
      </c>
      <c r="E23" s="34">
        <v>0.2</v>
      </c>
      <c r="F23" s="34">
        <v>0.6</v>
      </c>
      <c r="G23" s="35">
        <f t="shared" si="1"/>
        <v>0.3</v>
      </c>
      <c r="H23" s="35">
        <f t="shared" si="2"/>
        <v>0.5</v>
      </c>
      <c r="I23" s="35">
        <f t="shared" si="3"/>
        <v>3.5</v>
      </c>
      <c r="J23" s="36"/>
      <c r="K23" s="34"/>
      <c r="L23" s="34">
        <f t="shared" si="4"/>
        <v>2.5</v>
      </c>
      <c r="M23" s="36">
        <v>0.2</v>
      </c>
      <c r="N23" s="34">
        <f t="shared" si="5"/>
        <v>0.4</v>
      </c>
      <c r="O23" s="34">
        <f t="shared" si="6"/>
        <v>1</v>
      </c>
      <c r="P23" s="34"/>
      <c r="Q23" s="34"/>
      <c r="R23" s="34">
        <f t="shared" si="7"/>
        <v>0</v>
      </c>
      <c r="S23" s="34"/>
      <c r="T23" s="34"/>
      <c r="U23" s="34"/>
      <c r="V23" s="34"/>
      <c r="W23" s="34"/>
      <c r="X23" s="34"/>
      <c r="Y23" s="34">
        <f t="shared" si="8"/>
        <v>0</v>
      </c>
      <c r="Z23" s="34"/>
      <c r="AA23" s="33"/>
      <c r="AB23" s="35"/>
      <c r="AC23" s="39"/>
      <c r="AD23" s="40">
        <f t="shared" si="9"/>
        <v>4</v>
      </c>
    </row>
    <row r="24" ht="14.25" customHeight="1">
      <c r="A24" s="32">
        <f t="shared" si="10"/>
        <v>22</v>
      </c>
      <c r="B24" s="33" t="s">
        <v>49</v>
      </c>
      <c r="C24" s="34">
        <v>1.0</v>
      </c>
      <c r="D24" s="34">
        <v>2.5</v>
      </c>
      <c r="E24" s="34">
        <v>0.2</v>
      </c>
      <c r="F24" s="34">
        <v>0.6</v>
      </c>
      <c r="G24" s="35">
        <f t="shared" si="1"/>
        <v>0.3</v>
      </c>
      <c r="H24" s="35">
        <f t="shared" si="2"/>
        <v>0.5</v>
      </c>
      <c r="I24" s="35">
        <f t="shared" si="3"/>
        <v>3.5</v>
      </c>
      <c r="J24" s="36"/>
      <c r="K24" s="34"/>
      <c r="L24" s="34">
        <f t="shared" si="4"/>
        <v>2.5</v>
      </c>
      <c r="M24" s="36">
        <v>0.2</v>
      </c>
      <c r="N24" s="34">
        <f t="shared" si="5"/>
        <v>0.4</v>
      </c>
      <c r="O24" s="34">
        <f t="shared" si="6"/>
        <v>1</v>
      </c>
      <c r="P24" s="34"/>
      <c r="Q24" s="34"/>
      <c r="R24" s="34">
        <f t="shared" si="7"/>
        <v>0</v>
      </c>
      <c r="S24" s="34"/>
      <c r="T24" s="34"/>
      <c r="U24" s="34"/>
      <c r="V24" s="34"/>
      <c r="W24" s="34"/>
      <c r="X24" s="34"/>
      <c r="Y24" s="34">
        <f t="shared" si="8"/>
        <v>0</v>
      </c>
      <c r="Z24" s="34"/>
      <c r="AA24" s="33"/>
      <c r="AB24" s="35"/>
      <c r="AC24" s="39"/>
      <c r="AD24" s="40">
        <f t="shared" si="9"/>
        <v>2.72</v>
      </c>
    </row>
    <row r="25" ht="14.25" customHeight="1">
      <c r="A25" s="32">
        <f t="shared" si="10"/>
        <v>23</v>
      </c>
      <c r="B25" s="33" t="s">
        <v>51</v>
      </c>
      <c r="C25" s="34">
        <v>1.0</v>
      </c>
      <c r="D25" s="34">
        <v>1.7</v>
      </c>
      <c r="E25" s="34">
        <v>0.2</v>
      </c>
      <c r="F25" s="34">
        <v>0.6</v>
      </c>
      <c r="G25" s="35">
        <f t="shared" si="1"/>
        <v>0.204</v>
      </c>
      <c r="H25" s="35">
        <f t="shared" si="2"/>
        <v>0.34</v>
      </c>
      <c r="I25" s="35">
        <f t="shared" si="3"/>
        <v>2.38</v>
      </c>
      <c r="J25" s="36"/>
      <c r="K25" s="34"/>
      <c r="L25" s="34">
        <f t="shared" si="4"/>
        <v>1.7</v>
      </c>
      <c r="M25" s="36">
        <v>0.2</v>
      </c>
      <c r="N25" s="34">
        <f t="shared" si="5"/>
        <v>0.4</v>
      </c>
      <c r="O25" s="34">
        <f t="shared" si="6"/>
        <v>0.68</v>
      </c>
      <c r="P25" s="34"/>
      <c r="Q25" s="34"/>
      <c r="R25" s="34">
        <f t="shared" si="7"/>
        <v>0</v>
      </c>
      <c r="S25" s="34"/>
      <c r="T25" s="34"/>
      <c r="U25" s="34"/>
      <c r="V25" s="34"/>
      <c r="W25" s="34"/>
      <c r="X25" s="34"/>
      <c r="Y25" s="34">
        <f t="shared" si="8"/>
        <v>0</v>
      </c>
      <c r="Z25" s="34"/>
      <c r="AA25" s="33"/>
      <c r="AB25" s="35"/>
      <c r="AC25" s="39"/>
      <c r="AD25" s="40">
        <f t="shared" si="9"/>
        <v>2.72</v>
      </c>
    </row>
    <row r="26" ht="14.25" customHeight="1">
      <c r="A26" s="32">
        <f t="shared" si="10"/>
        <v>24</v>
      </c>
      <c r="B26" s="33" t="s">
        <v>54</v>
      </c>
      <c r="C26" s="34">
        <v>1.0</v>
      </c>
      <c r="D26" s="34">
        <v>1.7</v>
      </c>
      <c r="E26" s="34">
        <v>0.2</v>
      </c>
      <c r="F26" s="34">
        <v>0.6</v>
      </c>
      <c r="G26" s="35">
        <f t="shared" si="1"/>
        <v>0.204</v>
      </c>
      <c r="H26" s="35">
        <f t="shared" si="2"/>
        <v>0.34</v>
      </c>
      <c r="I26" s="35">
        <f t="shared" si="3"/>
        <v>2.38</v>
      </c>
      <c r="J26" s="36"/>
      <c r="K26" s="34"/>
      <c r="L26" s="34">
        <f t="shared" si="4"/>
        <v>1.7</v>
      </c>
      <c r="M26" s="36">
        <v>0.2</v>
      </c>
      <c r="N26" s="34">
        <f t="shared" si="5"/>
        <v>0.4</v>
      </c>
      <c r="O26" s="34">
        <f t="shared" si="6"/>
        <v>0.68</v>
      </c>
      <c r="P26" s="34"/>
      <c r="Q26" s="34"/>
      <c r="R26" s="34">
        <f t="shared" si="7"/>
        <v>0</v>
      </c>
      <c r="S26" s="34"/>
      <c r="T26" s="34"/>
      <c r="U26" s="34"/>
      <c r="V26" s="42"/>
      <c r="W26" s="42"/>
      <c r="X26" s="42"/>
      <c r="Y26" s="43">
        <f>SUM(Y3:Y25)</f>
        <v>0</v>
      </c>
      <c r="Z26" s="43"/>
      <c r="AA26" s="44"/>
      <c r="AB26" s="43"/>
      <c r="AC26" s="45"/>
      <c r="AD26" s="43">
        <f>SUM(AD3:AD25)</f>
        <v>114.904</v>
      </c>
    </row>
    <row r="27" ht="14.25" customHeight="1">
      <c r="A27" s="32"/>
      <c r="B27" s="46" t="s">
        <v>55</v>
      </c>
      <c r="C27" s="43">
        <f t="shared" ref="C27:D27" si="11">SUM(C3:C26)</f>
        <v>24</v>
      </c>
      <c r="D27" s="43">
        <f t="shared" si="11"/>
        <v>71.888</v>
      </c>
      <c r="E27" s="47">
        <f>IFERROR(AVERAGE(E3:E26),0)</f>
        <v>0.2</v>
      </c>
      <c r="F27" s="43"/>
      <c r="G27" s="43">
        <f t="shared" ref="G27:H27" si="12">SUM(G3:G26)</f>
        <v>8.62656</v>
      </c>
      <c r="H27" s="43">
        <f t="shared" si="12"/>
        <v>14.3776</v>
      </c>
      <c r="I27" s="43" t="s">
        <v>56</v>
      </c>
      <c r="J27" s="47">
        <f t="shared" ref="J27:K27" si="13">IFERROR(AVERAGE(J3:J26),0)</f>
        <v>0.2</v>
      </c>
      <c r="K27" s="48">
        <f t="shared" si="13"/>
        <v>0.4</v>
      </c>
      <c r="L27" s="43">
        <f>SUM(L3:L26)</f>
        <v>69.518</v>
      </c>
      <c r="M27" s="47">
        <f t="shared" ref="M27:N27" si="14">IFERROR(AVERAGE(M3:M26),0)</f>
        <v>0.2</v>
      </c>
      <c r="N27" s="48">
        <f t="shared" si="14"/>
        <v>0.4833333333</v>
      </c>
      <c r="O27" s="43">
        <f>SUM(O3:O26)</f>
        <v>35.7484</v>
      </c>
      <c r="P27" s="43"/>
      <c r="Q27" s="49"/>
      <c r="R27" s="43">
        <f>SUM(R3:R26)</f>
        <v>0</v>
      </c>
      <c r="S27" s="42"/>
      <c r="T27" s="42"/>
      <c r="U27" s="42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27:F27">
    <cfRule type="cellIs" dxfId="0" priority="1" operator="equal">
      <formula>0.6</formula>
    </cfRule>
  </conditionalFormatting>
  <conditionalFormatting sqref="F1:F2 J1:J27 M1:M27">
    <cfRule type="cellIs" dxfId="0" priority="2" operator="equal">
      <formula>0.6</formula>
    </cfRule>
  </conditionalFormatting>
  <conditionalFormatting sqref="K27">
    <cfRule type="cellIs" dxfId="0" priority="3" operator="equal">
      <formula>0.6</formula>
    </cfRule>
  </conditionalFormatting>
  <conditionalFormatting sqref="L22">
    <cfRule type="cellIs" dxfId="0" priority="4" operator="equal">
      <formula>0.6</formula>
    </cfRule>
  </conditionalFormatting>
  <conditionalFormatting sqref="N27">
    <cfRule type="cellIs" dxfId="0" priority="5" operator="equal">
      <formula>0.6</formula>
    </cfRule>
  </conditionalFormatting>
  <conditionalFormatting sqref="O22">
    <cfRule type="cellIs" dxfId="0" priority="6" operator="equal">
      <formula>0.6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A1" s="2" t="s">
        <v>0</v>
      </c>
      <c r="B1" s="4" t="s">
        <v>2</v>
      </c>
      <c r="C1" s="4" t="s">
        <v>3</v>
      </c>
    </row>
    <row r="2">
      <c r="A2" s="4" t="s">
        <v>4</v>
      </c>
      <c r="B2" s="4" t="s">
        <v>5</v>
      </c>
    </row>
    <row r="3">
      <c r="B3" s="4" t="s">
        <v>6</v>
      </c>
      <c r="C3" s="4" t="s">
        <v>7</v>
      </c>
      <c r="D3" s="4">
        <v>8.452</v>
      </c>
    </row>
    <row r="4">
      <c r="A4" s="4" t="s">
        <v>4</v>
      </c>
      <c r="B4" s="4" t="s">
        <v>9</v>
      </c>
    </row>
    <row r="5">
      <c r="B5" s="4" t="s">
        <v>6</v>
      </c>
      <c r="C5" s="4" t="s">
        <v>11</v>
      </c>
      <c r="D5" s="4">
        <v>119.112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>
      <c r="B1" s="37" t="s">
        <v>50</v>
      </c>
    </row>
    <row r="2">
      <c r="A2" s="2" t="s">
        <v>15</v>
      </c>
      <c r="B2" s="2" t="s">
        <v>1</v>
      </c>
      <c r="C2" s="2" t="s">
        <v>20</v>
      </c>
      <c r="D2" s="2" t="s">
        <v>12</v>
      </c>
      <c r="E2" s="2" t="s">
        <v>13</v>
      </c>
      <c r="F2" s="2" t="s">
        <v>14</v>
      </c>
      <c r="G2" s="2" t="s">
        <v>5</v>
      </c>
      <c r="H2" s="2" t="s">
        <v>16</v>
      </c>
      <c r="I2" s="2" t="s">
        <v>17</v>
      </c>
      <c r="J2" s="2" t="s">
        <v>19</v>
      </c>
      <c r="K2" s="2" t="s">
        <v>21</v>
      </c>
      <c r="L2" s="2" t="s">
        <v>18</v>
      </c>
      <c r="M2" s="2" t="s">
        <v>19</v>
      </c>
      <c r="N2" s="2" t="s">
        <v>21</v>
      </c>
      <c r="O2" s="2" t="s">
        <v>18</v>
      </c>
      <c r="P2" s="2" t="s">
        <v>22</v>
      </c>
      <c r="Q2" s="2" t="s">
        <v>52</v>
      </c>
      <c r="R2" s="2" t="s">
        <v>53</v>
      </c>
    </row>
    <row r="3">
      <c r="A3" s="4">
        <v>1.0</v>
      </c>
      <c r="B3" s="4" t="s">
        <v>23</v>
      </c>
      <c r="C3" s="4">
        <v>1.0</v>
      </c>
      <c r="D3" s="4">
        <v>5.092</v>
      </c>
      <c r="E3" s="4">
        <v>0.2</v>
      </c>
      <c r="F3" s="4">
        <v>0.6</v>
      </c>
      <c r="G3" s="4">
        <v>0.611</v>
      </c>
      <c r="H3" s="4">
        <v>1.018</v>
      </c>
      <c r="I3" s="4">
        <v>8.147</v>
      </c>
      <c r="L3" s="4">
        <v>5.092</v>
      </c>
      <c r="N3" s="4">
        <v>0.6</v>
      </c>
      <c r="O3" s="4">
        <v>3.055</v>
      </c>
      <c r="P3" s="4">
        <v>9.165</v>
      </c>
    </row>
    <row r="4">
      <c r="A4" s="4">
        <v>2.0</v>
      </c>
      <c r="B4" s="4" t="s">
        <v>24</v>
      </c>
      <c r="C4" s="4">
        <v>1.0</v>
      </c>
      <c r="D4" s="4">
        <v>3.885</v>
      </c>
      <c r="E4" s="4">
        <v>0.2</v>
      </c>
      <c r="F4" s="4">
        <v>0.6</v>
      </c>
      <c r="G4" s="4">
        <v>0.466</v>
      </c>
      <c r="H4" s="4">
        <v>0.777</v>
      </c>
      <c r="I4" s="4">
        <v>5.439</v>
      </c>
      <c r="L4" s="4">
        <v>3.885</v>
      </c>
      <c r="M4" s="4">
        <v>0.2</v>
      </c>
      <c r="N4" s="4">
        <v>0.4</v>
      </c>
      <c r="O4" s="4">
        <v>1.554</v>
      </c>
      <c r="P4" s="4">
        <v>6.216</v>
      </c>
    </row>
    <row r="5">
      <c r="A5" s="4">
        <v>3.0</v>
      </c>
      <c r="B5" s="4" t="s">
        <v>29</v>
      </c>
      <c r="C5" s="4">
        <v>1.0</v>
      </c>
      <c r="D5" s="4">
        <v>5.419</v>
      </c>
      <c r="E5" s="4">
        <v>0.2</v>
      </c>
      <c r="F5" s="4">
        <v>0.6</v>
      </c>
      <c r="G5" s="4">
        <v>0.65</v>
      </c>
      <c r="H5" s="4">
        <v>1.084</v>
      </c>
      <c r="I5" s="4">
        <v>8.67</v>
      </c>
      <c r="L5" s="4">
        <v>5.419</v>
      </c>
      <c r="N5" s="4">
        <v>0.6</v>
      </c>
      <c r="O5" s="4">
        <v>3.251</v>
      </c>
      <c r="P5" s="4">
        <v>9.754</v>
      </c>
    </row>
    <row r="6">
      <c r="A6" s="4">
        <v>4.0</v>
      </c>
      <c r="B6" s="4" t="s">
        <v>31</v>
      </c>
      <c r="C6" s="4">
        <v>1.0</v>
      </c>
      <c r="D6" s="4">
        <v>4.059</v>
      </c>
      <c r="E6" s="4">
        <v>0.2</v>
      </c>
      <c r="F6" s="4">
        <v>0.6</v>
      </c>
      <c r="G6" s="4">
        <v>0.487</v>
      </c>
      <c r="H6" s="4">
        <v>0.812</v>
      </c>
      <c r="I6" s="4">
        <v>6.494</v>
      </c>
      <c r="L6" s="4">
        <v>4.059</v>
      </c>
      <c r="N6" s="4">
        <v>0.6</v>
      </c>
      <c r="O6" s="4">
        <v>2.435</v>
      </c>
      <c r="P6" s="4">
        <v>7.306</v>
      </c>
    </row>
    <row r="7">
      <c r="A7" s="4">
        <v>5.0</v>
      </c>
      <c r="B7" s="4" t="s">
        <v>32</v>
      </c>
      <c r="C7" s="4">
        <v>1.0</v>
      </c>
      <c r="D7" s="4">
        <v>1.338</v>
      </c>
      <c r="E7" s="4">
        <v>0.2</v>
      </c>
      <c r="F7" s="4">
        <v>0.6</v>
      </c>
      <c r="G7" s="4">
        <v>0.161</v>
      </c>
      <c r="H7" s="4">
        <v>0.268</v>
      </c>
      <c r="I7" s="4">
        <v>1.873</v>
      </c>
      <c r="L7" s="4">
        <v>1.338</v>
      </c>
      <c r="M7" s="4">
        <v>0.2</v>
      </c>
      <c r="N7" s="4">
        <v>0.4</v>
      </c>
      <c r="O7" s="4">
        <v>0.535</v>
      </c>
      <c r="P7" s="4">
        <v>2.141</v>
      </c>
    </row>
    <row r="8">
      <c r="A8" s="4">
        <v>6.0</v>
      </c>
      <c r="B8" s="4" t="s">
        <v>33</v>
      </c>
      <c r="C8" s="4">
        <v>1.0</v>
      </c>
      <c r="D8" s="4">
        <v>1.503</v>
      </c>
      <c r="E8" s="4">
        <v>0.2</v>
      </c>
      <c r="F8" s="4">
        <v>0.6</v>
      </c>
      <c r="G8" s="4">
        <v>0.18</v>
      </c>
      <c r="H8" s="4">
        <v>0.301</v>
      </c>
      <c r="I8" s="4">
        <v>2.405</v>
      </c>
      <c r="L8" s="4">
        <v>1.503</v>
      </c>
      <c r="N8" s="4">
        <v>0.6</v>
      </c>
      <c r="O8" s="4">
        <v>0.902</v>
      </c>
      <c r="P8" s="4">
        <v>2.706</v>
      </c>
    </row>
    <row r="9">
      <c r="A9" s="4">
        <v>7.0</v>
      </c>
      <c r="B9" s="4" t="s">
        <v>34</v>
      </c>
      <c r="C9" s="4">
        <v>1.0</v>
      </c>
      <c r="D9" s="4">
        <v>4.612</v>
      </c>
      <c r="E9" s="4">
        <v>0.2</v>
      </c>
      <c r="F9" s="4">
        <v>0.6</v>
      </c>
      <c r="G9" s="4">
        <v>0.553</v>
      </c>
      <c r="H9" s="4">
        <v>0.922</v>
      </c>
      <c r="I9" s="4">
        <v>6.457</v>
      </c>
      <c r="L9" s="4">
        <v>4.612</v>
      </c>
      <c r="M9" s="4">
        <v>0.2</v>
      </c>
      <c r="N9" s="4">
        <v>0.4</v>
      </c>
      <c r="O9" s="4">
        <v>1.845</v>
      </c>
      <c r="P9" s="4">
        <v>7.379</v>
      </c>
    </row>
    <row r="10">
      <c r="A10" s="4">
        <v>8.0</v>
      </c>
      <c r="B10" s="4" t="s">
        <v>35</v>
      </c>
      <c r="C10" s="4">
        <v>1.0</v>
      </c>
      <c r="D10" s="4">
        <v>1.427</v>
      </c>
      <c r="E10" s="4">
        <v>0.2</v>
      </c>
      <c r="F10" s="4">
        <v>0.6</v>
      </c>
      <c r="G10" s="4">
        <v>0.171</v>
      </c>
      <c r="H10" s="4">
        <v>0.285</v>
      </c>
      <c r="I10" s="4">
        <v>2.283</v>
      </c>
      <c r="L10" s="4">
        <v>1.427</v>
      </c>
      <c r="N10" s="4">
        <v>0.6</v>
      </c>
      <c r="O10" s="4">
        <v>0.856</v>
      </c>
      <c r="P10" s="4">
        <v>2.568</v>
      </c>
    </row>
    <row r="11">
      <c r="A11" s="4">
        <v>9.0</v>
      </c>
      <c r="B11" s="4" t="s">
        <v>36</v>
      </c>
      <c r="C11" s="4">
        <v>1.0</v>
      </c>
      <c r="D11" s="4">
        <v>1.427</v>
      </c>
      <c r="E11" s="4">
        <v>0.2</v>
      </c>
      <c r="F11" s="4">
        <v>0.6</v>
      </c>
      <c r="G11" s="4">
        <v>0.171</v>
      </c>
      <c r="H11" s="4">
        <v>0.285</v>
      </c>
      <c r="I11" s="4">
        <v>2.283</v>
      </c>
      <c r="L11" s="4">
        <v>1.427</v>
      </c>
      <c r="N11" s="4">
        <v>0.6</v>
      </c>
      <c r="O11" s="4">
        <v>0.856</v>
      </c>
      <c r="P11" s="4">
        <v>2.568</v>
      </c>
    </row>
    <row r="12">
      <c r="A12" s="4">
        <v>10.0</v>
      </c>
      <c r="B12" s="4" t="s">
        <v>37</v>
      </c>
      <c r="C12" s="4">
        <v>1.0</v>
      </c>
      <c r="D12" s="4">
        <v>1.499</v>
      </c>
      <c r="E12" s="4">
        <v>0.2</v>
      </c>
      <c r="F12" s="4">
        <v>0.6</v>
      </c>
      <c r="G12" s="4">
        <v>0.18</v>
      </c>
      <c r="H12" s="4">
        <v>0.3</v>
      </c>
      <c r="I12" s="4">
        <v>2.398</v>
      </c>
      <c r="L12" s="4">
        <v>1.499</v>
      </c>
      <c r="N12" s="4">
        <v>0.6</v>
      </c>
      <c r="O12" s="4">
        <v>0.899</v>
      </c>
      <c r="P12" s="4">
        <v>2.698</v>
      </c>
    </row>
    <row r="13">
      <c r="A13" s="4">
        <v>11.0</v>
      </c>
      <c r="B13" s="4" t="s">
        <v>38</v>
      </c>
      <c r="C13" s="4">
        <v>1.0</v>
      </c>
      <c r="D13" s="4">
        <v>8.39</v>
      </c>
      <c r="E13" s="4">
        <v>0.2</v>
      </c>
      <c r="F13" s="4">
        <v>0.6</v>
      </c>
      <c r="G13" s="4">
        <v>1.007</v>
      </c>
      <c r="H13" s="4">
        <v>1.678</v>
      </c>
      <c r="I13" s="4">
        <v>13.424</v>
      </c>
      <c r="L13" s="4">
        <v>8.39</v>
      </c>
      <c r="N13" s="4">
        <v>0.6</v>
      </c>
      <c r="O13" s="4">
        <v>5.034</v>
      </c>
      <c r="P13" s="4">
        <v>15.102</v>
      </c>
    </row>
    <row r="14">
      <c r="A14" s="4">
        <v>12.0</v>
      </c>
      <c r="B14" s="4" t="s">
        <v>39</v>
      </c>
      <c r="C14" s="4">
        <v>1.0</v>
      </c>
      <c r="D14" s="4">
        <v>1.653</v>
      </c>
      <c r="E14" s="4">
        <v>0.2</v>
      </c>
      <c r="F14" s="4">
        <v>0.6</v>
      </c>
      <c r="G14" s="4">
        <v>0.198</v>
      </c>
      <c r="H14" s="4">
        <v>0.331</v>
      </c>
      <c r="I14" s="4">
        <v>2.645</v>
      </c>
      <c r="L14" s="4">
        <v>1.653</v>
      </c>
      <c r="N14" s="4">
        <v>0.6</v>
      </c>
      <c r="O14" s="4">
        <v>0.992</v>
      </c>
      <c r="P14" s="4">
        <v>2.976</v>
      </c>
    </row>
    <row r="15">
      <c r="A15" s="4">
        <v>13.0</v>
      </c>
      <c r="B15" s="4" t="s">
        <v>40</v>
      </c>
      <c r="C15" s="4">
        <v>1.0</v>
      </c>
      <c r="D15" s="4">
        <v>1.653</v>
      </c>
      <c r="E15" s="4">
        <v>0.2</v>
      </c>
      <c r="F15" s="4">
        <v>0.6</v>
      </c>
      <c r="G15" s="4">
        <v>0.198</v>
      </c>
      <c r="H15" s="4">
        <v>0.331</v>
      </c>
      <c r="I15" s="4">
        <v>1.653</v>
      </c>
      <c r="J15" s="4">
        <v>0.2</v>
      </c>
      <c r="K15" s="4">
        <v>0.4</v>
      </c>
      <c r="L15" s="4">
        <v>0.661</v>
      </c>
      <c r="N15" s="4">
        <v>0.6</v>
      </c>
      <c r="O15" s="4">
        <v>0.992</v>
      </c>
      <c r="P15" s="4">
        <v>1.984</v>
      </c>
    </row>
    <row r="16">
      <c r="A16" s="4">
        <v>14.0</v>
      </c>
      <c r="B16" s="4" t="s">
        <v>41</v>
      </c>
      <c r="C16" s="4">
        <v>1.0</v>
      </c>
      <c r="D16" s="4">
        <v>1.81</v>
      </c>
      <c r="E16" s="4">
        <v>0.2</v>
      </c>
      <c r="F16" s="4">
        <v>0.6</v>
      </c>
      <c r="G16" s="4">
        <v>0.217</v>
      </c>
      <c r="H16" s="4">
        <v>0.362</v>
      </c>
      <c r="I16" s="4">
        <v>2.896</v>
      </c>
      <c r="L16" s="4">
        <v>1.81</v>
      </c>
      <c r="N16" s="4">
        <v>0.6</v>
      </c>
      <c r="O16" s="4">
        <v>1.086</v>
      </c>
      <c r="P16" s="4">
        <v>3.258</v>
      </c>
    </row>
    <row r="17">
      <c r="A17" s="4">
        <v>15.0</v>
      </c>
      <c r="B17" s="4" t="s">
        <v>42</v>
      </c>
      <c r="C17" s="4">
        <v>1.0</v>
      </c>
      <c r="D17" s="4">
        <v>5.405</v>
      </c>
      <c r="E17" s="4">
        <v>0.2</v>
      </c>
      <c r="F17" s="4">
        <v>0.6</v>
      </c>
      <c r="G17" s="4">
        <v>0.649</v>
      </c>
      <c r="H17" s="4">
        <v>1.081</v>
      </c>
      <c r="I17" s="4">
        <v>8.648</v>
      </c>
      <c r="L17" s="4">
        <v>5.405</v>
      </c>
      <c r="N17" s="4">
        <v>0.6</v>
      </c>
      <c r="O17" s="4">
        <v>3.243</v>
      </c>
      <c r="P17" s="4">
        <v>9.729</v>
      </c>
    </row>
    <row r="18">
      <c r="A18" s="4">
        <v>16.0</v>
      </c>
      <c r="B18" s="4" t="s">
        <v>43</v>
      </c>
      <c r="C18" s="4">
        <v>1.0</v>
      </c>
      <c r="D18" s="4">
        <v>2.177</v>
      </c>
      <c r="E18" s="4">
        <v>0.2</v>
      </c>
      <c r="F18" s="4">
        <v>0.6</v>
      </c>
      <c r="G18" s="4">
        <v>0.261</v>
      </c>
      <c r="H18" s="4">
        <v>0.435</v>
      </c>
      <c r="I18" s="4">
        <v>3.483</v>
      </c>
      <c r="L18" s="4">
        <v>2.177</v>
      </c>
      <c r="N18" s="4">
        <v>0.6</v>
      </c>
      <c r="O18" s="4">
        <v>1.306</v>
      </c>
      <c r="P18" s="4">
        <v>3.918</v>
      </c>
    </row>
    <row r="19">
      <c r="A19" s="4">
        <v>17.0</v>
      </c>
      <c r="B19" s="4" t="s">
        <v>44</v>
      </c>
      <c r="C19" s="4">
        <v>1.0</v>
      </c>
      <c r="D19" s="4">
        <v>1.653</v>
      </c>
      <c r="E19" s="4">
        <v>0.2</v>
      </c>
      <c r="F19" s="4">
        <v>0.6</v>
      </c>
      <c r="G19" s="4">
        <v>0.198</v>
      </c>
      <c r="H19" s="4">
        <v>0.331</v>
      </c>
      <c r="I19" s="4">
        <v>2.645</v>
      </c>
      <c r="L19" s="4">
        <v>1.653</v>
      </c>
      <c r="N19" s="4">
        <v>0.6</v>
      </c>
      <c r="O19" s="4">
        <v>0.992</v>
      </c>
      <c r="P19" s="4">
        <v>2.976</v>
      </c>
    </row>
    <row r="20">
      <c r="A20" s="4">
        <v>18.0</v>
      </c>
      <c r="B20" s="4" t="s">
        <v>45</v>
      </c>
      <c r="C20" s="4">
        <v>1.0</v>
      </c>
      <c r="D20" s="4">
        <v>1.653</v>
      </c>
      <c r="E20" s="4">
        <v>0.2</v>
      </c>
      <c r="F20" s="4">
        <v>0.6</v>
      </c>
      <c r="G20" s="4">
        <v>0.198</v>
      </c>
      <c r="H20" s="4">
        <v>0.331</v>
      </c>
      <c r="I20" s="4">
        <v>1.653</v>
      </c>
      <c r="J20" s="4">
        <v>0.2</v>
      </c>
      <c r="K20" s="4">
        <v>0.4</v>
      </c>
      <c r="L20" s="4">
        <v>0.661</v>
      </c>
      <c r="N20" s="4">
        <v>0.6</v>
      </c>
      <c r="O20" s="4">
        <v>0.992</v>
      </c>
      <c r="P20" s="4">
        <v>1.984</v>
      </c>
    </row>
    <row r="21">
      <c r="A21" s="4">
        <v>19.0</v>
      </c>
      <c r="B21" s="4" t="s">
        <v>46</v>
      </c>
      <c r="C21" s="4">
        <v>1.0</v>
      </c>
      <c r="D21" s="4">
        <v>3.401</v>
      </c>
      <c r="E21" s="4">
        <v>0.2</v>
      </c>
      <c r="F21" s="4">
        <v>0.6</v>
      </c>
      <c r="G21" s="4">
        <v>0.408</v>
      </c>
      <c r="H21" s="4">
        <v>0.68</v>
      </c>
      <c r="I21" s="4">
        <v>5.442</v>
      </c>
      <c r="L21" s="4">
        <v>3.401</v>
      </c>
      <c r="N21" s="4">
        <v>0.6</v>
      </c>
      <c r="O21" s="4">
        <v>2.041</v>
      </c>
      <c r="P21" s="4">
        <v>6.122</v>
      </c>
    </row>
    <row r="22">
      <c r="A22" s="4">
        <v>20.0</v>
      </c>
      <c r="B22" s="4" t="s">
        <v>47</v>
      </c>
      <c r="C22" s="4">
        <v>1.0</v>
      </c>
      <c r="D22" s="4">
        <v>3.304</v>
      </c>
      <c r="E22" s="4">
        <v>0.2</v>
      </c>
      <c r="F22" s="4">
        <v>0.6</v>
      </c>
      <c r="G22" s="4">
        <v>0.396</v>
      </c>
      <c r="H22" s="4">
        <v>0.661</v>
      </c>
      <c r="I22" s="4">
        <v>5.286</v>
      </c>
      <c r="L22" s="4">
        <v>3.304</v>
      </c>
      <c r="N22" s="4">
        <v>0.6</v>
      </c>
      <c r="O22" s="4">
        <v>1.982</v>
      </c>
      <c r="P22" s="4">
        <v>5.947</v>
      </c>
    </row>
    <row r="23">
      <c r="A23" s="4">
        <v>21.0</v>
      </c>
      <c r="B23" s="4" t="s">
        <v>48</v>
      </c>
      <c r="C23" s="4">
        <v>1.0</v>
      </c>
      <c r="D23" s="4">
        <v>1.422</v>
      </c>
      <c r="E23" s="4">
        <v>0.2</v>
      </c>
      <c r="F23" s="4">
        <v>0.6</v>
      </c>
      <c r="G23" s="4">
        <v>0.171</v>
      </c>
      <c r="H23" s="4">
        <v>0.284</v>
      </c>
      <c r="I23" s="4">
        <v>2.275</v>
      </c>
      <c r="L23" s="4">
        <v>1.422</v>
      </c>
      <c r="N23" s="4">
        <v>0.6</v>
      </c>
      <c r="O23" s="4">
        <v>0.853</v>
      </c>
      <c r="P23" s="4">
        <v>2.559</v>
      </c>
    </row>
    <row r="24">
      <c r="A24" s="4">
        <v>22.0</v>
      </c>
      <c r="B24" s="4" t="s">
        <v>49</v>
      </c>
      <c r="C24" s="4">
        <v>1.0</v>
      </c>
      <c r="D24" s="4">
        <v>1.422</v>
      </c>
      <c r="E24" s="4">
        <v>0.2</v>
      </c>
      <c r="F24" s="4">
        <v>0.6</v>
      </c>
      <c r="G24" s="4">
        <v>0.171</v>
      </c>
      <c r="H24" s="4">
        <v>0.284</v>
      </c>
      <c r="I24" s="4">
        <v>2.275</v>
      </c>
      <c r="L24" s="4">
        <v>1.422</v>
      </c>
      <c r="N24" s="4">
        <v>0.6</v>
      </c>
      <c r="O24" s="4">
        <v>0.853</v>
      </c>
      <c r="P24" s="4">
        <v>2.559</v>
      </c>
    </row>
    <row r="25">
      <c r="A25" s="4">
        <v>23.0</v>
      </c>
      <c r="B25" s="4" t="s">
        <v>51</v>
      </c>
      <c r="C25" s="4">
        <v>1.0</v>
      </c>
      <c r="D25" s="4">
        <v>3.252</v>
      </c>
      <c r="E25" s="4">
        <v>0.2</v>
      </c>
      <c r="F25" s="4">
        <v>0.6</v>
      </c>
      <c r="G25" s="4">
        <v>0.39</v>
      </c>
      <c r="H25" s="4">
        <v>0.65</v>
      </c>
      <c r="I25" s="4">
        <v>3.252</v>
      </c>
      <c r="J25" s="4">
        <v>0.2</v>
      </c>
      <c r="K25" s="4">
        <v>0.4</v>
      </c>
      <c r="L25" s="4">
        <v>1.301</v>
      </c>
      <c r="N25" s="4">
        <v>0.6</v>
      </c>
      <c r="O25" s="4">
        <v>1.951</v>
      </c>
      <c r="P25" s="4">
        <v>3.902</v>
      </c>
    </row>
    <row r="26">
      <c r="A26" s="4">
        <v>24.0</v>
      </c>
      <c r="B26" s="4" t="s">
        <v>54</v>
      </c>
      <c r="C26" s="4">
        <v>1.0</v>
      </c>
      <c r="D26" s="4">
        <v>2.996</v>
      </c>
      <c r="E26" s="4">
        <v>0.2</v>
      </c>
      <c r="F26" s="4">
        <v>0.6</v>
      </c>
      <c r="G26" s="4">
        <v>0.36</v>
      </c>
      <c r="H26" s="4">
        <v>0.599</v>
      </c>
      <c r="I26" s="4">
        <v>2.996</v>
      </c>
      <c r="J26" s="4">
        <v>0.2</v>
      </c>
      <c r="K26" s="4">
        <v>0.4</v>
      </c>
      <c r="L26" s="4">
        <v>1.198</v>
      </c>
      <c r="N26" s="4">
        <v>0.6</v>
      </c>
      <c r="O26" s="4">
        <v>1.798</v>
      </c>
      <c r="P26" s="4">
        <v>3.595</v>
      </c>
    </row>
    <row r="27">
      <c r="B27" s="2" t="s">
        <v>57</v>
      </c>
      <c r="C27" s="2">
        <v>24.0</v>
      </c>
      <c r="D27" s="2">
        <v>70.452</v>
      </c>
      <c r="E27" s="2">
        <v>0.2</v>
      </c>
      <c r="F27" s="2"/>
      <c r="G27" s="2">
        <v>8.452</v>
      </c>
      <c r="H27" s="2">
        <v>14.09</v>
      </c>
      <c r="I27" s="2"/>
      <c r="J27" s="2"/>
      <c r="K27" s="2"/>
      <c r="L27" s="2">
        <v>64.719</v>
      </c>
      <c r="M27" s="2"/>
      <c r="N27" s="2"/>
      <c r="O27" s="2">
        <v>40.303</v>
      </c>
      <c r="P27" s="2">
        <v>119.112</v>
      </c>
      <c r="Q27" s="2"/>
      <c r="R27" s="2"/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