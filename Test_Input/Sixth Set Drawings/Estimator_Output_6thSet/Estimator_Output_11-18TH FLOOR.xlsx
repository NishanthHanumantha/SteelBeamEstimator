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bha_Analysis_2\Steel Beam\Beams - Sobha Inizio_BBS_01Aug_15_15\11-18TH FLOOR\"/>
    </mc:Choice>
  </mc:AlternateContent>
  <xr:revisionPtr revIDLastSave="0" documentId="13_ncr:1_{F951471F-479E-49CD-8992-273E3FE96893}" xr6:coauthVersionLast="47" xr6:coauthVersionMax="47" xr10:uidLastSave="{00000000-0000-0000-0000-000000000000}"/>
  <bookViews>
    <workbookView xWindow="-108" yWindow="-108" windowWidth="23256" windowHeight="12456" xr2:uid="{941E64B2-0B47-4845-844A-C054F36B7765}"/>
  </bookViews>
  <sheets>
    <sheet name="Sheet1" sheetId="1" r:id="rId1"/>
  </sheets>
  <externalReferences>
    <externalReference r:id="rId2"/>
    <externalReference r:id="rId3"/>
  </externalReferences>
  <definedNames>
    <definedName name="\0">#REF!</definedName>
    <definedName name="\a">#REF!</definedName>
    <definedName name="\C">#REF!</definedName>
    <definedName name="\kl">#REF!</definedName>
    <definedName name="\l">#REF!</definedName>
    <definedName name="\p">#REF!</definedName>
    <definedName name="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iv66666">#REF!</definedName>
    <definedName name="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iv66666">#REF!</definedName>
    <definedName name="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iv66666">#REF!</definedName>
    <definedName name="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iv66666">#REF!</definedName>
    <definedName name="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iv66666">#REF!</definedName>
    <definedName name="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aj1">#REF!</definedName>
    <definedName name="_________________________________________b1">#REF!</definedName>
    <definedName name="_________________________________________B100000">#REF!</definedName>
    <definedName name="_________________________________________bol1">#REF!</definedName>
    <definedName name="_________________________________________can430">40.73</definedName>
    <definedName name="_________________________________________can435">43.3</definedName>
    <definedName name="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iv66666">#REF!</definedName>
    <definedName name="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sdb2">#REF!</definedName>
    <definedName name="________________________________________aj1">#REF!</definedName>
    <definedName name="________________________________________b1">#REF!</definedName>
    <definedName name="________________________________________B100000">#REF!</definedName>
    <definedName name="________________________________________bol1">#REF!</definedName>
    <definedName name="________________________________________can430">40.73</definedName>
    <definedName name="________________________________________can435">43.3</definedName>
    <definedName name="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iv66666">#REF!</definedName>
    <definedName name="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sdb2">#REF!</definedName>
    <definedName name="_______________________________________aj1">#REF!</definedName>
    <definedName name="_______________________________________b1">#REF!</definedName>
    <definedName name="_______________________________________B100000">#REF!</definedName>
    <definedName name="_______________________________________bol1">#REF!</definedName>
    <definedName name="_______________________________________can430">40.73</definedName>
    <definedName name="_______________________________________can435">43.3</definedName>
    <definedName name="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iv66666">#REF!</definedName>
    <definedName name="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sdb2">#REF!</definedName>
    <definedName name="______________________________________aj1">#REF!</definedName>
    <definedName name="______________________________________b1">#REF!</definedName>
    <definedName name="______________________________________B100000">#REF!</definedName>
    <definedName name="______________________________________bol1">#REF!</definedName>
    <definedName name="______________________________________can430">40.73</definedName>
    <definedName name="______________________________________can435">43.3</definedName>
    <definedName name="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iv66666">#REF!</definedName>
    <definedName name="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sdb2">#REF!</definedName>
    <definedName name="_____________________________________aj1">#REF!</definedName>
    <definedName name="_____________________________________b1">#REF!</definedName>
    <definedName name="_____________________________________B100000">#REF!</definedName>
    <definedName name="_____________________________________bol1">#REF!</definedName>
    <definedName name="_____________________________________can430">40.73</definedName>
    <definedName name="_____________________________________can435">43.3</definedName>
    <definedName name="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iv66666">#REF!</definedName>
    <definedName name="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sdb2">#REF!</definedName>
    <definedName name="____________________________________aj1">#REF!</definedName>
    <definedName name="____________________________________b1">#REF!</definedName>
    <definedName name="____________________________________B100000">#REF!</definedName>
    <definedName name="____________________________________bol1">#REF!</definedName>
    <definedName name="____________________________________can430">40.73</definedName>
    <definedName name="____________________________________can435">43.3</definedName>
    <definedName name="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iv66666">#REF!</definedName>
    <definedName name="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sdb2">#REF!</definedName>
    <definedName name="___________________________________aj1">#REF!</definedName>
    <definedName name="___________________________________b1">#REF!</definedName>
    <definedName name="___________________________________B100000">#REF!</definedName>
    <definedName name="___________________________________bol1">#REF!</definedName>
    <definedName name="___________________________________can430">40.73</definedName>
    <definedName name="___________________________________can435">43.3</definedName>
    <definedName name="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iv66666">#REF!</definedName>
    <definedName name="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sdb2">#REF!</definedName>
    <definedName name="__________________________________aj1">#REF!</definedName>
    <definedName name="__________________________________b1">#REF!</definedName>
    <definedName name="__________________________________B100000">#REF!</definedName>
    <definedName name="__________________________________bol1">#REF!</definedName>
    <definedName name="__________________________________can430">40.73</definedName>
    <definedName name="__________________________________can435">43.3</definedName>
    <definedName name="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iv66666">#REF!</definedName>
    <definedName name="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sdb2">#REF!</definedName>
    <definedName name="_________________________________aj1">#REF!</definedName>
    <definedName name="_________________________________b1">#REF!</definedName>
    <definedName name="_________________________________B100000">#REF!</definedName>
    <definedName name="_________________________________bol1">#REF!</definedName>
    <definedName name="_________________________________can430">40.73</definedName>
    <definedName name="_________________________________can435">43.3</definedName>
    <definedName name="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iv66666">#REF!</definedName>
    <definedName name="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PO1">#REF!</definedName>
    <definedName name="_________________________________PO2">#REF!</definedName>
    <definedName name="_________________________________sdb2">#REF!</definedName>
    <definedName name="________________________________aj1">#REF!</definedName>
    <definedName name="________________________________b1">#REF!</definedName>
    <definedName name="________________________________B100000">#REF!</definedName>
    <definedName name="________________________________bol1">#REF!</definedName>
    <definedName name="________________________________can430">40.73</definedName>
    <definedName name="________________________________can435">43.3</definedName>
    <definedName name="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iv66666">#REF!</definedName>
    <definedName name="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PO1">#REF!</definedName>
    <definedName name="________________________________PO2">#REF!</definedName>
    <definedName name="________________________________sdb2">#REF!</definedName>
    <definedName name="_______________________________aj1">#REF!</definedName>
    <definedName name="_______________________________b1">#REF!</definedName>
    <definedName name="_______________________________B100000">#REF!</definedName>
    <definedName name="_______________________________bol1">#REF!</definedName>
    <definedName name="_______________________________can430">40.73</definedName>
    <definedName name="_______________________________can435">43.3</definedName>
    <definedName name="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iv66666">#REF!</definedName>
    <definedName name="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sdb2">#REF!</definedName>
    <definedName name="______________________________aj1">#REF!</definedName>
    <definedName name="______________________________b1">#REF!</definedName>
    <definedName name="______________________________B100000">#REF!</definedName>
    <definedName name="______________________________bol1">#REF!</definedName>
    <definedName name="______________________________can430">40.73</definedName>
    <definedName name="______________________________can435">43.3</definedName>
    <definedName name="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iv66666">#REF!</definedName>
    <definedName name="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PO1">#REF!</definedName>
    <definedName name="______________________________PO2">#REF!</definedName>
    <definedName name="______________________________sdb2">#REF!</definedName>
    <definedName name="_____________________________aj1">#REF!</definedName>
    <definedName name="_____________________________b1">#REF!</definedName>
    <definedName name="_____________________________B100000">#REF!</definedName>
    <definedName name="_____________________________bol1">#REF!</definedName>
    <definedName name="_____________________________can430">40.73</definedName>
    <definedName name="_____________________________can435">43.3</definedName>
    <definedName name="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iv66666">#REF!</definedName>
    <definedName name="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PO1">#REF!</definedName>
    <definedName name="_____________________________PO2">#REF!</definedName>
    <definedName name="_____________________________sdb2">#REF!</definedName>
    <definedName name="____________________________aj1">#REF!</definedName>
    <definedName name="____________________________b1">#REF!</definedName>
    <definedName name="____________________________B100000">#REF!</definedName>
    <definedName name="____________________________bol1">#REF!</definedName>
    <definedName name="____________________________can430">40.73</definedName>
    <definedName name="____________________________can435">43.3</definedName>
    <definedName name="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iv66666">#REF!</definedName>
    <definedName name="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PO1">#REF!</definedName>
    <definedName name="____________________________PO2">#REF!</definedName>
    <definedName name="____________________________sdb2">#REF!</definedName>
    <definedName name="____________________________zz65536">#REF!</definedName>
    <definedName name="___________________________aj1">#REF!</definedName>
    <definedName name="___________________________b1">#REF!</definedName>
    <definedName name="___________________________B100000">#REF!</definedName>
    <definedName name="___________________________bol1">#REF!</definedName>
    <definedName name="___________________________can430">40.73</definedName>
    <definedName name="___________________________can435">43.3</definedName>
    <definedName name="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fS2">#REF!</definedName>
    <definedName name="___________________________iv66666">#REF!</definedName>
    <definedName name="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PO1">#REF!</definedName>
    <definedName name="___________________________PO2">#REF!</definedName>
    <definedName name="___________________________sdb2">#REF!</definedName>
    <definedName name="___________________________zz65536">#REF!</definedName>
    <definedName name="__________________________aj1">#REF!</definedName>
    <definedName name="__________________________b1">#REF!</definedName>
    <definedName name="__________________________B100000">#REF!</definedName>
    <definedName name="__________________________bol1">#REF!</definedName>
    <definedName name="__________________________can430">40.73</definedName>
    <definedName name="__________________________can435">43.3</definedName>
    <definedName name="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fS2">#REF!</definedName>
    <definedName name="__________________________DIA1">#REF!</definedName>
    <definedName name="__________________________DIA2">#REF!</definedName>
    <definedName name="__________________________iv66666">#REF!</definedName>
    <definedName name="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PO1">#REF!</definedName>
    <definedName name="__________________________PO2">#REF!</definedName>
    <definedName name="__________________________sdb2">#REF!</definedName>
    <definedName name="__________________________zz65536">#REF!</definedName>
    <definedName name="_________________________A1">#REF!</definedName>
    <definedName name="_________________________aj1">#REF!</definedName>
    <definedName name="_________________________b1">#REF!</definedName>
    <definedName name="_________________________B100000">#REF!</definedName>
    <definedName name="_________________________bol1">#REF!</definedName>
    <definedName name="_________________________can430">40.73</definedName>
    <definedName name="_________________________can435">43.3</definedName>
    <definedName name="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fS2">#REF!</definedName>
    <definedName name="_________________________iv66666">#REF!</definedName>
    <definedName name="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PO1">#REF!</definedName>
    <definedName name="_________________________PO2">#REF!</definedName>
    <definedName name="_________________________sdb2">#REF!</definedName>
    <definedName name="_________________________TB2">#REF!</definedName>
    <definedName name="_________________________zz65536">#REF!</definedName>
    <definedName name="________________________A1">#REF!</definedName>
    <definedName name="________________________aj1">#REF!</definedName>
    <definedName name="________________________b1">#REF!</definedName>
    <definedName name="________________________B100000">#REF!</definedName>
    <definedName name="________________________bak151">#REF!</definedName>
    <definedName name="________________________bol1">#REF!</definedName>
    <definedName name="________________________can430">40.73</definedName>
    <definedName name="________________________can435">43.3</definedName>
    <definedName name="________________________cbd148">#REF!</definedName>
    <definedName name="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fS2">#REF!</definedName>
    <definedName name="________________________DIA1">#REF!</definedName>
    <definedName name="________________________DIA2">#REF!</definedName>
    <definedName name="________________________iv66666">#REF!</definedName>
    <definedName name="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PO1">#REF!</definedName>
    <definedName name="________________________PO2">#REF!</definedName>
    <definedName name="________________________sdb2">#REF!</definedName>
    <definedName name="________________________TB2">#REF!</definedName>
    <definedName name="________________________zz65536">#REF!</definedName>
    <definedName name="_______________________A1">#REF!</definedName>
    <definedName name="_______________________aj1">#REF!</definedName>
    <definedName name="_______________________b1">#REF!</definedName>
    <definedName name="_______________________B100000">#REF!</definedName>
    <definedName name="_______________________bak151">#REF!</definedName>
    <definedName name="_______________________bol1">#REF!</definedName>
    <definedName name="_______________________can430">40.73</definedName>
    <definedName name="_______________________can435">43.3</definedName>
    <definedName name="_______________________cbd148">#REF!</definedName>
    <definedName name="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fS2">#REF!</definedName>
    <definedName name="_______________________DIA1">#REF!</definedName>
    <definedName name="_______________________DIA2">#REF!</definedName>
    <definedName name="_______________________iv66666">#REF!</definedName>
    <definedName name="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PO1">#REF!</definedName>
    <definedName name="_______________________PO2">#REF!</definedName>
    <definedName name="_______________________sdb2">#REF!</definedName>
    <definedName name="_______________________TB2">#REF!</definedName>
    <definedName name="_______________________zz65536">#REF!</definedName>
    <definedName name="______________________A1">#REF!</definedName>
    <definedName name="______________________aj1">#REF!</definedName>
    <definedName name="______________________b1">#REF!</definedName>
    <definedName name="______________________B100000">#REF!</definedName>
    <definedName name="______________________bak151">#REF!</definedName>
    <definedName name="______________________bol1">#REF!</definedName>
    <definedName name="______________________can430">40.73</definedName>
    <definedName name="______________________can435">43.3</definedName>
    <definedName name="______________________cbd148">#REF!</definedName>
    <definedName name="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fS2">#REF!</definedName>
    <definedName name="______________________DIA1">#REF!</definedName>
    <definedName name="______________________DIA2">#REF!</definedName>
    <definedName name="______________________fab1">#REF!</definedName>
    <definedName name="______________________iv66666">#REF!</definedName>
    <definedName name="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PO1">#REF!</definedName>
    <definedName name="______________________PO2">#REF!</definedName>
    <definedName name="______________________sdb2">#REF!</definedName>
    <definedName name="______________________TB2">#REF!</definedName>
    <definedName name="______________________zz65536">#REF!</definedName>
    <definedName name="_____________________A1">#REF!</definedName>
    <definedName name="_____________________aj1">#REF!</definedName>
    <definedName name="_____________________b1">#REF!</definedName>
    <definedName name="_____________________B100000">#REF!</definedName>
    <definedName name="_____________________bak151">#REF!</definedName>
    <definedName name="_____________________bol1">#REF!</definedName>
    <definedName name="_____________________can430">40.73</definedName>
    <definedName name="_____________________can435">43.3</definedName>
    <definedName name="_____________________cbd148">#REF!</definedName>
    <definedName name="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fS2">#REF!</definedName>
    <definedName name="_____________________DIA1">#REF!</definedName>
    <definedName name="_____________________DIA2">#REF!</definedName>
    <definedName name="_____________________fab1">#REF!</definedName>
    <definedName name="_____________________iv66666">#REF!</definedName>
    <definedName name="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MS010">#REF!</definedName>
    <definedName name="_____________________PO1">#REF!</definedName>
    <definedName name="_____________________PO2">#REF!</definedName>
    <definedName name="_____________________sdb2">#REF!</definedName>
    <definedName name="_____________________TB2">#REF!</definedName>
    <definedName name="_____________________zz65536">#REF!</definedName>
    <definedName name="____________________A1">#REF!</definedName>
    <definedName name="____________________aj1">#REF!</definedName>
    <definedName name="____________________b1">#REF!</definedName>
    <definedName name="____________________B100000">#REF!</definedName>
    <definedName name="____________________bak151">#REF!</definedName>
    <definedName name="____________________bol1">#REF!</definedName>
    <definedName name="____________________can430">40.73</definedName>
    <definedName name="____________________can435">43.3</definedName>
    <definedName name="____________________cbd148">#REF!</definedName>
    <definedName name="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fS2">#REF!</definedName>
    <definedName name="____________________DIA1">#REF!</definedName>
    <definedName name="____________________DIA2">#REF!</definedName>
    <definedName name="____________________fab1">#REF!</definedName>
    <definedName name="____________________iv66666">#REF!</definedName>
    <definedName name="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PO1">#REF!</definedName>
    <definedName name="____________________PO2">#REF!</definedName>
    <definedName name="____________________sdb2">#REF!</definedName>
    <definedName name="____________________TB2">#REF!</definedName>
    <definedName name="____________________zz65536">#REF!</definedName>
    <definedName name="___________________A1">#REF!</definedName>
    <definedName name="___________________aj1">#REF!</definedName>
    <definedName name="___________________b1">#REF!</definedName>
    <definedName name="___________________B100000">#REF!</definedName>
    <definedName name="___________________bak151">#REF!</definedName>
    <definedName name="___________________bol1">#REF!</definedName>
    <definedName name="___________________can430">40.73</definedName>
    <definedName name="___________________can435">43.3</definedName>
    <definedName name="___________________cbd148">#REF!</definedName>
    <definedName name="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fS2">#REF!</definedName>
    <definedName name="___________________DIA1">#REF!</definedName>
    <definedName name="___________________DIA2">#REF!</definedName>
    <definedName name="___________________fab1">#REF!</definedName>
    <definedName name="___________________FLG2">#REF!</definedName>
    <definedName name="___________________iv66666">#REF!</definedName>
    <definedName name="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MS010">#REF!</definedName>
    <definedName name="___________________PO1">#REF!</definedName>
    <definedName name="___________________PO2">#REF!</definedName>
    <definedName name="___________________sdb2">#REF!</definedName>
    <definedName name="___________________TB2">#REF!</definedName>
    <definedName name="___________________zz65536">#REF!</definedName>
    <definedName name="__________________A1">#REF!</definedName>
    <definedName name="__________________aj1">#REF!</definedName>
    <definedName name="__________________b1">#REF!</definedName>
    <definedName name="__________________B100000">#REF!</definedName>
    <definedName name="__________________bak151">#REF!</definedName>
    <definedName name="__________________bol1">#REF!</definedName>
    <definedName name="__________________can430">40.73</definedName>
    <definedName name="__________________can435">43.3</definedName>
    <definedName name="__________________cbd148">#REF!</definedName>
    <definedName name="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fS2">#REF!</definedName>
    <definedName name="__________________DIA1">#REF!</definedName>
    <definedName name="__________________DIA2">#REF!</definedName>
    <definedName name="__________________fab1">#REF!</definedName>
    <definedName name="__________________FLG2">#REF!</definedName>
    <definedName name="__________________iv66666">#REF!</definedName>
    <definedName name="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MS010">#REF!</definedName>
    <definedName name="__________________PO1">#REF!</definedName>
    <definedName name="__________________PO2">#REF!</definedName>
    <definedName name="__________________sdb2">#REF!</definedName>
    <definedName name="__________________TB2">#REF!</definedName>
    <definedName name="__________________zz65536">#REF!</definedName>
    <definedName name="_________________A1">#REF!</definedName>
    <definedName name="_________________aj1">#REF!</definedName>
    <definedName name="_________________b1">#REF!</definedName>
    <definedName name="_________________B100000">#REF!</definedName>
    <definedName name="_________________bak151">#REF!</definedName>
    <definedName name="_________________bol1">#REF!</definedName>
    <definedName name="_________________can430">40.73</definedName>
    <definedName name="_________________can435">43.3</definedName>
    <definedName name="_________________cbd148">#REF!</definedName>
    <definedName name="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fS2">#REF!</definedName>
    <definedName name="_________________DIA1">#REF!</definedName>
    <definedName name="_________________dia10">#REF!</definedName>
    <definedName name="_________________dia12">#REF!</definedName>
    <definedName name="_________________dia16">#REF!</definedName>
    <definedName name="_________________DIA2">#REF!</definedName>
    <definedName name="_________________dia20">#REF!</definedName>
    <definedName name="_________________dia25">#REF!</definedName>
    <definedName name="_________________dia8">#REF!</definedName>
    <definedName name="_________________fab1">#REF!</definedName>
    <definedName name="_________________FLG2">#REF!</definedName>
    <definedName name="_________________iv66666">#REF!</definedName>
    <definedName name="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MS010">#REF!</definedName>
    <definedName name="_________________PO1">#REF!</definedName>
    <definedName name="_________________PO2">#REF!</definedName>
    <definedName name="_________________sdb2">#REF!</definedName>
    <definedName name="_________________TB2">#REF!</definedName>
    <definedName name="_________________UGF1">#REF!</definedName>
    <definedName name="_________________zz65536">#REF!</definedName>
    <definedName name="________________A1">#REF!</definedName>
    <definedName name="________________aj1">#REF!</definedName>
    <definedName name="________________b1">#REF!</definedName>
    <definedName name="________________B100000">#REF!</definedName>
    <definedName name="________________bak151">#REF!</definedName>
    <definedName name="________________bol1">#REF!</definedName>
    <definedName name="________________can430">40.73</definedName>
    <definedName name="________________can435">43.3</definedName>
    <definedName name="________________cbd148">#REF!</definedName>
    <definedName name="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fS2">#REF!</definedName>
    <definedName name="________________DIA1">#REF!</definedName>
    <definedName name="________________dia10">#REF!</definedName>
    <definedName name="________________dia12">#REF!</definedName>
    <definedName name="________________dia16">#REF!</definedName>
    <definedName name="________________DIA2">#REF!</definedName>
    <definedName name="________________dia20">#REF!</definedName>
    <definedName name="________________dia25">#REF!</definedName>
    <definedName name="________________dia8">#REF!</definedName>
    <definedName name="________________fab1">#REF!</definedName>
    <definedName name="________________FLG2">#REF!</definedName>
    <definedName name="________________iv66666">#REF!</definedName>
    <definedName name="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MS010">#REF!</definedName>
    <definedName name="________________PO1">#REF!</definedName>
    <definedName name="________________PO2">#REF!</definedName>
    <definedName name="________________sdb2">#REF!</definedName>
    <definedName name="________________TB2">#REF!</definedName>
    <definedName name="________________UGF1">#REF!</definedName>
    <definedName name="________________zz65536">#REF!</definedName>
    <definedName name="_______________A1">#REF!</definedName>
    <definedName name="_______________aj1">#REF!</definedName>
    <definedName name="_______________b1">#REF!</definedName>
    <definedName name="_______________B100000">#REF!</definedName>
    <definedName name="_______________bak151">#REF!</definedName>
    <definedName name="_______________bol1">#REF!</definedName>
    <definedName name="_______________can430">40.73</definedName>
    <definedName name="_______________can435">43.3</definedName>
    <definedName name="_______________cbd148">#REF!</definedName>
    <definedName name="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fS2">#REF!</definedName>
    <definedName name="_______________DIA1">#REF!</definedName>
    <definedName name="_______________dia10">#REF!</definedName>
    <definedName name="_______________dia12">#REF!</definedName>
    <definedName name="_______________dia16">#REF!</definedName>
    <definedName name="_______________DIA2">#REF!</definedName>
    <definedName name="_______________dia20">#REF!</definedName>
    <definedName name="_______________dia25">#REF!</definedName>
    <definedName name="_______________dia8">#REF!</definedName>
    <definedName name="_______________fab1">#REF!</definedName>
    <definedName name="_______________FLG2">#REF!</definedName>
    <definedName name="_______________iv66666">#REF!</definedName>
    <definedName name="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MS010">#REF!</definedName>
    <definedName name="_______________PO1">#REF!</definedName>
    <definedName name="_______________PO2">#REF!</definedName>
    <definedName name="_______________sdb2">#REF!</definedName>
    <definedName name="_______________TB2">#REF!</definedName>
    <definedName name="_______________UGF1">#REF!</definedName>
    <definedName name="_______________zz65536">#REF!</definedName>
    <definedName name="______________A1">#REF!</definedName>
    <definedName name="______________aj1">#REF!</definedName>
    <definedName name="______________b1">#REF!</definedName>
    <definedName name="______________B100000">#REF!</definedName>
    <definedName name="______________bak151">#REF!</definedName>
    <definedName name="______________bol1">#REF!</definedName>
    <definedName name="______________can430">40.73</definedName>
    <definedName name="______________can435">43.3</definedName>
    <definedName name="______________cbd148">#REF!</definedName>
    <definedName name="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fS2">#REF!</definedName>
    <definedName name="______________DIA1">#REF!</definedName>
    <definedName name="______________dia10">#REF!</definedName>
    <definedName name="______________dia12">#REF!</definedName>
    <definedName name="______________dia16">#REF!</definedName>
    <definedName name="______________DIA2">#REF!</definedName>
    <definedName name="______________dia20">#REF!</definedName>
    <definedName name="______________dia25">#REF!</definedName>
    <definedName name="______________dia8">#REF!</definedName>
    <definedName name="______________fab1">#REF!</definedName>
    <definedName name="______________iv66666">#REF!</definedName>
    <definedName name="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MS010">#REF!</definedName>
    <definedName name="______________PO1">#REF!</definedName>
    <definedName name="______________PO2">#REF!</definedName>
    <definedName name="______________sdb2">#REF!</definedName>
    <definedName name="______________TB2">#REF!</definedName>
    <definedName name="______________UGF1">#REF!</definedName>
    <definedName name="______________zz65536">#REF!</definedName>
    <definedName name="_____________A1">#REF!</definedName>
    <definedName name="_____________aj1">#REF!</definedName>
    <definedName name="_____________b1">#REF!</definedName>
    <definedName name="_____________B100000">#REF!</definedName>
    <definedName name="_____________bak151">#REF!</definedName>
    <definedName name="_____________bol1">#REF!</definedName>
    <definedName name="_____________can430">40.73</definedName>
    <definedName name="_____________can435">43.3</definedName>
    <definedName name="_____________cbd148">#REF!</definedName>
    <definedName name="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fS2">#REF!</definedName>
    <definedName name="_____________DIA1">#REF!</definedName>
    <definedName name="_____________dia10">#REF!</definedName>
    <definedName name="_____________dia12">#REF!</definedName>
    <definedName name="_____________dia16">#REF!</definedName>
    <definedName name="_____________DIA2">#REF!</definedName>
    <definedName name="_____________dia20">#REF!</definedName>
    <definedName name="_____________dia25">#REF!</definedName>
    <definedName name="_____________dia8">#REF!</definedName>
    <definedName name="_____________fab1">#REF!</definedName>
    <definedName name="_____________FLG2">#REF!</definedName>
    <definedName name="_____________iv66666">#REF!</definedName>
    <definedName name="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MS010">#REF!</definedName>
    <definedName name="_____________PO1">#REF!</definedName>
    <definedName name="_____________PO2">#REF!</definedName>
    <definedName name="_____________sdb2">#REF!</definedName>
    <definedName name="_____________TB2">#REF!</definedName>
    <definedName name="_____________UGF1">#REF!</definedName>
    <definedName name="_____________zz65536">#REF!</definedName>
    <definedName name="____________A1">#REF!</definedName>
    <definedName name="____________aj1">#REF!</definedName>
    <definedName name="____________b1">#REF!</definedName>
    <definedName name="____________B100000">#REF!</definedName>
    <definedName name="____________bak151">#REF!</definedName>
    <definedName name="____________bol1">#REF!</definedName>
    <definedName name="____________can430">40.73</definedName>
    <definedName name="____________can435">43.3</definedName>
    <definedName name="____________cbd148">#REF!</definedName>
    <definedName name="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fS2">#REF!</definedName>
    <definedName name="____________DIA1">#REF!</definedName>
    <definedName name="____________dia10">#REF!</definedName>
    <definedName name="____________dia12">#REF!</definedName>
    <definedName name="____________dia16">#REF!</definedName>
    <definedName name="____________DIA2">#REF!</definedName>
    <definedName name="____________dia20">#REF!</definedName>
    <definedName name="____________dia25">#REF!</definedName>
    <definedName name="____________dia8">#REF!</definedName>
    <definedName name="____________fab1">#REF!</definedName>
    <definedName name="____________FLG2">#REF!</definedName>
    <definedName name="____________iv66666">#REF!</definedName>
    <definedName name="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MS010">#REF!</definedName>
    <definedName name="____________PO1">#REF!</definedName>
    <definedName name="____________PO2">#REF!</definedName>
    <definedName name="____________sdb2">#REF!</definedName>
    <definedName name="____________TB2">#REF!</definedName>
    <definedName name="____________UGF1">#REF!</definedName>
    <definedName name="____________zz65536">#REF!</definedName>
    <definedName name="___________A1">#REF!</definedName>
    <definedName name="___________aj1">#REF!</definedName>
    <definedName name="___________b1">#REF!</definedName>
    <definedName name="___________B100000">#REF!</definedName>
    <definedName name="___________bak151">#REF!</definedName>
    <definedName name="___________bol1">#REF!</definedName>
    <definedName name="___________can430">40.73</definedName>
    <definedName name="___________can435">43.3</definedName>
    <definedName name="___________cbd148">#REF!</definedName>
    <definedName name="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fS2">#REF!</definedName>
    <definedName name="___________DIA1">#REF!</definedName>
    <definedName name="___________dia10">#REF!</definedName>
    <definedName name="___________dia12">#REF!</definedName>
    <definedName name="___________dia16">#REF!</definedName>
    <definedName name="___________DIA2">#REF!</definedName>
    <definedName name="___________dia20">#REF!</definedName>
    <definedName name="___________dia25">#REF!</definedName>
    <definedName name="___________dia8">#REF!</definedName>
    <definedName name="___________fab1">#REF!</definedName>
    <definedName name="___________FLG2">#REF!</definedName>
    <definedName name="___________iv66666">#REF!</definedName>
    <definedName name="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MS010">#REF!</definedName>
    <definedName name="___________PO1">#REF!</definedName>
    <definedName name="___________PO2">#REF!</definedName>
    <definedName name="___________sdb2">#REF!</definedName>
    <definedName name="___________TB2">#REF!</definedName>
    <definedName name="___________UGF1">#REF!</definedName>
    <definedName name="___________zz65536">#REF!</definedName>
    <definedName name="__________A1">#REF!</definedName>
    <definedName name="__________aj1">#REF!</definedName>
    <definedName name="__________b1">#REF!</definedName>
    <definedName name="__________B100000">#REF!</definedName>
    <definedName name="__________bak151">#REF!</definedName>
    <definedName name="__________bol1">#REF!</definedName>
    <definedName name="__________can430">40.73</definedName>
    <definedName name="__________can435">43.3</definedName>
    <definedName name="__________cbd148">#REF!</definedName>
    <definedName name="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fS2">#REF!</definedName>
    <definedName name="__________DIA1">#REF!</definedName>
    <definedName name="__________dia10">#REF!</definedName>
    <definedName name="__________dia12">#REF!</definedName>
    <definedName name="__________dia16">#REF!</definedName>
    <definedName name="__________DIA2">#REF!</definedName>
    <definedName name="__________dia20">#REF!</definedName>
    <definedName name="__________dia25">#REF!</definedName>
    <definedName name="__________dia8">#REF!</definedName>
    <definedName name="__________fab1">#REF!</definedName>
    <definedName name="__________FLG2">#REF!</definedName>
    <definedName name="__________iv66666">#REF!</definedName>
    <definedName name="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MS010">#REF!</definedName>
    <definedName name="__________PO1">#REF!</definedName>
    <definedName name="__________PO2">#REF!</definedName>
    <definedName name="__________sdb2">#REF!</definedName>
    <definedName name="__________TB2">#REF!</definedName>
    <definedName name="__________UGF1">#REF!</definedName>
    <definedName name="__________zz65536">#REF!</definedName>
    <definedName name="_________A1">#REF!</definedName>
    <definedName name="_________aj1">#REF!</definedName>
    <definedName name="_________b1">#REF!</definedName>
    <definedName name="_________B100000">#REF!</definedName>
    <definedName name="_________bak151">#REF!</definedName>
    <definedName name="_________bol1">#REF!</definedName>
    <definedName name="_________can430">40.73</definedName>
    <definedName name="_________can435">43.3</definedName>
    <definedName name="_________cbd148">#REF!</definedName>
    <definedName name="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fS2">#REF!</definedName>
    <definedName name="_________DIA1">#REF!</definedName>
    <definedName name="_________dia10">#REF!</definedName>
    <definedName name="_________dia12">#REF!</definedName>
    <definedName name="_________dia16">#REF!</definedName>
    <definedName name="_________DIA2">#REF!</definedName>
    <definedName name="_________dia20">#REF!</definedName>
    <definedName name="_________dia25">#REF!</definedName>
    <definedName name="_________dia8">#REF!</definedName>
    <definedName name="_________fab1">#REF!</definedName>
    <definedName name="_________FLG2">#REF!</definedName>
    <definedName name="_________iv66666">#REF!</definedName>
    <definedName name="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MS010">#REF!</definedName>
    <definedName name="_________PO1">#REF!</definedName>
    <definedName name="_________PO2">#REF!</definedName>
    <definedName name="_________sdb2">#REF!</definedName>
    <definedName name="_________TB2">#REF!</definedName>
    <definedName name="_________UGF1">#REF!</definedName>
    <definedName name="_________zz65536">#REF!</definedName>
    <definedName name="________A1">#REF!</definedName>
    <definedName name="________aj1">#REF!</definedName>
    <definedName name="________b1">#REF!</definedName>
    <definedName name="________B100000">#REF!</definedName>
    <definedName name="________bak151">#REF!</definedName>
    <definedName name="________bol1">#REF!</definedName>
    <definedName name="________can430">40.73</definedName>
    <definedName name="________can435">43.3</definedName>
    <definedName name="________cbd148">#REF!</definedName>
    <definedName name="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fS2">#REF!</definedName>
    <definedName name="________DIA1">#REF!</definedName>
    <definedName name="________dia10">#REF!</definedName>
    <definedName name="________dia12">#REF!</definedName>
    <definedName name="________dia16">#REF!</definedName>
    <definedName name="________DIA2">#REF!</definedName>
    <definedName name="________dia20">#REF!</definedName>
    <definedName name="________dia25">#REF!</definedName>
    <definedName name="________dia8">#REF!</definedName>
    <definedName name="________fab1">#REF!</definedName>
    <definedName name="________FLG2">#REF!</definedName>
    <definedName name="________iv66666">#REF!</definedName>
    <definedName name="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MS010">#REF!</definedName>
    <definedName name="________PO1">#REF!</definedName>
    <definedName name="________PO2">#REF!</definedName>
    <definedName name="________sdb2">#REF!</definedName>
    <definedName name="________TB2">#REF!</definedName>
    <definedName name="________UGF1">#REF!</definedName>
    <definedName name="________zz65536">#REF!</definedName>
    <definedName name="_______A1">#REF!</definedName>
    <definedName name="_______aj1">#REF!</definedName>
    <definedName name="_______b1">#REF!</definedName>
    <definedName name="_______B100000">#REF!</definedName>
    <definedName name="_______bak151">#REF!</definedName>
    <definedName name="_______bol1">#REF!</definedName>
    <definedName name="_______can430">40.73</definedName>
    <definedName name="_______can435">43.3</definedName>
    <definedName name="_______cbd148">#REF!</definedName>
    <definedName name="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fS2">#REF!</definedName>
    <definedName name="_______DIA1">#REF!</definedName>
    <definedName name="_______dia10">#REF!</definedName>
    <definedName name="_______dia12">#REF!</definedName>
    <definedName name="_______dia16">#REF!</definedName>
    <definedName name="_______DIA2">#REF!</definedName>
    <definedName name="_______dia20">#REF!</definedName>
    <definedName name="_______dia25">#REF!</definedName>
    <definedName name="_______dia8">#REF!</definedName>
    <definedName name="_______fab1">#REF!</definedName>
    <definedName name="_______FLG2">#REF!</definedName>
    <definedName name="_______iv66666">#REF!</definedName>
    <definedName name="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MS010">#REF!</definedName>
    <definedName name="_______PO1">#REF!</definedName>
    <definedName name="_______PO2">#REF!</definedName>
    <definedName name="_______sdb2">#REF!</definedName>
    <definedName name="_______TB2">#REF!</definedName>
    <definedName name="_______UGF1">#REF!</definedName>
    <definedName name="_______zz65536">#REF!</definedName>
    <definedName name="______A1">#REF!</definedName>
    <definedName name="______aj1">#REF!</definedName>
    <definedName name="______b1">#REF!</definedName>
    <definedName name="______B100000">#REF!</definedName>
    <definedName name="______bak151">#REF!</definedName>
    <definedName name="______bol1">#REF!</definedName>
    <definedName name="______can430">40.73</definedName>
    <definedName name="______can435">43.3</definedName>
    <definedName name="______cbd148">#REF!</definedName>
    <definedName name="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fS2">#REF!</definedName>
    <definedName name="______DIA1">#REF!</definedName>
    <definedName name="______dia10">#REF!</definedName>
    <definedName name="______dia12">#REF!</definedName>
    <definedName name="______dia16">#REF!</definedName>
    <definedName name="______DIA2">#REF!</definedName>
    <definedName name="______dia20">#REF!</definedName>
    <definedName name="______dia25">#REF!</definedName>
    <definedName name="______dia8">#REF!</definedName>
    <definedName name="______fab1">#REF!</definedName>
    <definedName name="______FLG2">#REF!</definedName>
    <definedName name="______iv66666">#REF!</definedName>
    <definedName name="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MS010">#REF!</definedName>
    <definedName name="______PO1">#REF!</definedName>
    <definedName name="______PO2">#REF!</definedName>
    <definedName name="______sdb2">#REF!</definedName>
    <definedName name="______TB2">#REF!</definedName>
    <definedName name="______UGF1">#REF!</definedName>
    <definedName name="______zz65536">#REF!</definedName>
    <definedName name="_____A1">#REF!</definedName>
    <definedName name="_____aj1">#REF!</definedName>
    <definedName name="_____b1">#REF!</definedName>
    <definedName name="_____B100000">#REF!</definedName>
    <definedName name="_____bak151">#REF!</definedName>
    <definedName name="_____bol1">#REF!</definedName>
    <definedName name="_____can430">40.73</definedName>
    <definedName name="_____can435">43.3</definedName>
    <definedName name="_____cbd148">#REF!</definedName>
    <definedName name="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fS2">#REF!</definedName>
    <definedName name="_____DIA1">#REF!</definedName>
    <definedName name="_____dia10">#REF!</definedName>
    <definedName name="_____dia12">#REF!</definedName>
    <definedName name="_____dia16">#REF!</definedName>
    <definedName name="_____DIA2">#REF!</definedName>
    <definedName name="_____dia20">#REF!</definedName>
    <definedName name="_____dia25">#REF!</definedName>
    <definedName name="_____dia8">#REF!</definedName>
    <definedName name="_____fab1">#REF!</definedName>
    <definedName name="_____FLG2">#REF!</definedName>
    <definedName name="_____iv66666">#REF!</definedName>
    <definedName name="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MS010">#REF!</definedName>
    <definedName name="_____PO1">#REF!</definedName>
    <definedName name="_____PO2">#REF!</definedName>
    <definedName name="_____sdb2">#REF!</definedName>
    <definedName name="_____TB2">#REF!</definedName>
    <definedName name="_____UGF1">#REF!</definedName>
    <definedName name="_____zz65536">#REF!</definedName>
    <definedName name="____A1">#REF!</definedName>
    <definedName name="____aj1">#REF!</definedName>
    <definedName name="____b1">#REF!</definedName>
    <definedName name="____B100000">#REF!</definedName>
    <definedName name="____bak151">#REF!</definedName>
    <definedName name="____bol1">#REF!</definedName>
    <definedName name="____can430">40.73</definedName>
    <definedName name="____can435">43.3</definedName>
    <definedName name="____cbd148">#REF!</definedName>
    <definedName name="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fS2">#REF!</definedName>
    <definedName name="____DIA1">#REF!</definedName>
    <definedName name="____dia10">#REF!</definedName>
    <definedName name="____dia12">#REF!</definedName>
    <definedName name="____dia16">#REF!</definedName>
    <definedName name="____DIA2">#REF!</definedName>
    <definedName name="____dia20">#REF!</definedName>
    <definedName name="____dia25">#REF!</definedName>
    <definedName name="____dia8">#REF!</definedName>
    <definedName name="____fab1">#REF!</definedName>
    <definedName name="____FLG2">#REF!</definedName>
    <definedName name="____iv66666">#REF!</definedName>
    <definedName name="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MS010">#REF!</definedName>
    <definedName name="____PO1">#REF!</definedName>
    <definedName name="____PO2">#REF!</definedName>
    <definedName name="____sdb2">#REF!</definedName>
    <definedName name="____TB2">#REF!</definedName>
    <definedName name="____UGF1">#REF!</definedName>
    <definedName name="____zz65536">#REF!</definedName>
    <definedName name="___A1">#REF!</definedName>
    <definedName name="___aj1">#REF!</definedName>
    <definedName name="___b1">#REF!</definedName>
    <definedName name="___B100000">#REF!</definedName>
    <definedName name="___b111121">#REF!</definedName>
    <definedName name="___bak151">#REF!</definedName>
    <definedName name="___bol1">#REF!</definedName>
    <definedName name="___can430">40.73</definedName>
    <definedName name="___can435">43.3</definedName>
    <definedName name="___cbd148">#REF!</definedName>
    <definedName name="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fS2">#REF!</definedName>
    <definedName name="___DIA1">#REF!</definedName>
    <definedName name="___dia10">#REF!</definedName>
    <definedName name="___dia12">#REF!</definedName>
    <definedName name="___dia16">#REF!</definedName>
    <definedName name="___DIA2">#REF!</definedName>
    <definedName name="___dia20">#REF!</definedName>
    <definedName name="___dia25">#REF!</definedName>
    <definedName name="___dia8">#REF!</definedName>
    <definedName name="___fab1">#REF!</definedName>
    <definedName name="___FLG2">#REF!</definedName>
    <definedName name="___iv66666">#REF!</definedName>
    <definedName name="___Ki1">#REF!</definedName>
    <definedName name="___Ki2">#REF!</definedName>
    <definedName name="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MAN1">#REF!</definedName>
    <definedName name="___MS010">#REF!</definedName>
    <definedName name="___PB1">#REF!</definedName>
    <definedName name="___PO1">#REF!</definedName>
    <definedName name="___PO2">#REF!</definedName>
    <definedName name="___sdb2">#REF!</definedName>
    <definedName name="___TB2">#REF!</definedName>
    <definedName name="___UGF1">#REF!</definedName>
    <definedName name="___zz65536">#REF!</definedName>
    <definedName name="__A1">#REF!</definedName>
    <definedName name="__aj1">#REF!</definedName>
    <definedName name="__b1">#REF!</definedName>
    <definedName name="__B100000">#REF!</definedName>
    <definedName name="__b111121">#REF!</definedName>
    <definedName name="__bak151">#REF!</definedName>
    <definedName name="__bol1">#REF!</definedName>
    <definedName name="__can430">40.73</definedName>
    <definedName name="__can435">43.3</definedName>
    <definedName name="__cbd148">#REF!</definedName>
    <definedName name="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fS2">#REF!</definedName>
    <definedName name="__DIA1">#REF!</definedName>
    <definedName name="__dia10">#REF!</definedName>
    <definedName name="__dia12">#REF!</definedName>
    <definedName name="__dia16">#REF!</definedName>
    <definedName name="__DIA2">#REF!</definedName>
    <definedName name="__dia20">#REF!</definedName>
    <definedName name="__dia25">#REF!</definedName>
    <definedName name="__dia8">#REF!</definedName>
    <definedName name="__fab1">#REF!</definedName>
    <definedName name="__FLG2">#REF!</definedName>
    <definedName name="__iv66666">#REF!</definedName>
    <definedName name="__Ki1">#REF!</definedName>
    <definedName name="__Ki2">#REF!</definedName>
    <definedName name="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MAN1">#REF!</definedName>
    <definedName name="__MS010">#REF!</definedName>
    <definedName name="__PB1">#REF!</definedName>
    <definedName name="__PO1">#REF!</definedName>
    <definedName name="__PO2">#REF!</definedName>
    <definedName name="__sdb2">#REF!</definedName>
    <definedName name="__TB2">#REF!</definedName>
    <definedName name="__UGF1">#REF!</definedName>
    <definedName name="__xlnm.Print_Area_2">#REF!</definedName>
    <definedName name="__xlnm.Print_Titles_2">#REF!</definedName>
    <definedName name="__zz65536">#REF!</definedName>
    <definedName name="_0">#REF!</definedName>
    <definedName name="_0___0">#REF!</definedName>
    <definedName name="_0_1">#REF!</definedName>
    <definedName name="_06_26_03">#REF!</definedName>
    <definedName name="_1">#REF!</definedName>
    <definedName name="_1_a_1">#REF!</definedName>
    <definedName name="_10">#REF!</definedName>
    <definedName name="_100SalesMgr_4_1">#REF!</definedName>
    <definedName name="_101saud_4_1">#REF!</definedName>
    <definedName name="_102sauf_4_1">#REF!</definedName>
    <definedName name="_103sauif_4_1">#REF!</definedName>
    <definedName name="_104SelectedLanguage_4_1">#REF!</definedName>
    <definedName name="_105SiteID_4_1">#REF!</definedName>
    <definedName name="_106SiteType_4_1">#REF!</definedName>
    <definedName name="_107SmallProj_4_1">#REF!</definedName>
    <definedName name="_108SmallProj_Text_4_1">#REF!</definedName>
    <definedName name="_109SP1Branch_4_1">#REF!</definedName>
    <definedName name="_10BidClass_4_1">#REF!</definedName>
    <definedName name="_11">#REF!</definedName>
    <definedName name="_110SP1Credit_4_1">#REF!</definedName>
    <definedName name="_111SP1Name_4_1">#REF!</definedName>
    <definedName name="_112SP1Number_4_1">#REF!</definedName>
    <definedName name="_113SP2Branch_4_1">#REF!</definedName>
    <definedName name="_114SP2Credit_4_1">#REF!</definedName>
    <definedName name="_115SP2Name_4_1">#REF!</definedName>
    <definedName name="_116SP2Number_4_1">#REF!</definedName>
    <definedName name="_117SP3Branch_4_1">#REF!</definedName>
    <definedName name="_118SP3Credit_4_1">#REF!</definedName>
    <definedName name="_119SP3Name_4_1">#REF!</definedName>
    <definedName name="_11BidClass_Text_4_1">#REF!</definedName>
    <definedName name="_12">#REF!</definedName>
    <definedName name="_120SP3Number_4_1">#REF!</definedName>
    <definedName name="_121SP4Branch_4_1">#REF!</definedName>
    <definedName name="_122SP4Credit_4_1">#REF!</definedName>
    <definedName name="_123SP4Name_4_1">#REF!</definedName>
    <definedName name="_124SP4Number_4_1">#REF!</definedName>
    <definedName name="_125SP5Branch_4_1">#REF!</definedName>
    <definedName name="_126SP5Credit_4_1">#REF!</definedName>
    <definedName name="_127SP5Name_4_1">#REF!</definedName>
    <definedName name="_128SP5Number_4_1">#REF!</definedName>
    <definedName name="_129SpecClass_4_1">#REF!</definedName>
    <definedName name="_12BillingFreq_4_1">#REF!</definedName>
    <definedName name="_13">#REF!</definedName>
    <definedName name="_130SpecClass_Text_4_1">#REF!</definedName>
    <definedName name="_131SpecEnv1_4_1">#REF!</definedName>
    <definedName name="_132SpecEnv1_Text_4_1">#REF!</definedName>
    <definedName name="_133SpecEnv2_4_1">#REF!</definedName>
    <definedName name="_134SpecEnv2_Text_4_1">#REF!</definedName>
    <definedName name="_135SPLR_4_1">#REF!</definedName>
    <definedName name="_136SrvcCode1_4_1">#REF!</definedName>
    <definedName name="_137SrvcCode1_Text_4_1">#REF!</definedName>
    <definedName name="_138SrvcCode2_4_1">#REF!</definedName>
    <definedName name="_139SrvcCode2_Text_4_1">#REF!</definedName>
    <definedName name="_13BillingTiming_4_1">#REF!</definedName>
    <definedName name="_14">#REF!</definedName>
    <definedName name="_140SrvcCode3_4_1">#REF!</definedName>
    <definedName name="_141SrvcCode3_Text_4_1">#REF!</definedName>
    <definedName name="_142SrvcCode4_4_1">#REF!</definedName>
    <definedName name="_143SrvcCode4_Text_4_1">#REF!</definedName>
    <definedName name="_144SrvcCode5_4_1">#REF!</definedName>
    <definedName name="_145SrvcCode5_Text_4_1">#REF!</definedName>
    <definedName name="_146StartDate_4_1">#REF!</definedName>
    <definedName name="_147swf_4_1">#REF!</definedName>
    <definedName name="_148TierCode_4_1">#REF!</definedName>
    <definedName name="_149TierCode_Text_4_1">#REF!</definedName>
    <definedName name="_14BusType_4_1">#REF!</definedName>
    <definedName name="_15">#REF!</definedName>
    <definedName name="_150vatf_4_1">#REF!</definedName>
    <definedName name="_15BusType_Text_4_1">#REF!</definedName>
    <definedName name="_16">#REF!</definedName>
    <definedName name="_16cab21.5tp_4_1">#REF!</definedName>
    <definedName name="_17">#REF!</definedName>
    <definedName name="_17cab21s_4_1">#REF!</definedName>
    <definedName name="_18">#REF!</definedName>
    <definedName name="_18cab21us_4_1">#REF!</definedName>
    <definedName name="_19">#REF!</definedName>
    <definedName name="_19cab31s_4_1">#REF!</definedName>
    <definedName name="_1Excel_BuiltIn_Print_Titles_1_1">#REF!</definedName>
    <definedName name="_2">#REF!</definedName>
    <definedName name="_2_a_4_1">#REF!</definedName>
    <definedName name="_20">#REF!</definedName>
    <definedName name="_20cab31us_4_1">#REF!</definedName>
    <definedName name="_21">#REF!</definedName>
    <definedName name="_21cab41s_4_1">#REF!</definedName>
    <definedName name="_22">#REF!</definedName>
    <definedName name="_22cab41us_4_1">#REF!</definedName>
    <definedName name="_23">#REF!</definedName>
    <definedName name="_23cabf_4_1">#REF!</definedName>
    <definedName name="_24">#REF!</definedName>
    <definedName name="_24CABLE_4_1">#REF!</definedName>
    <definedName name="_25">#REF!</definedName>
    <definedName name="_25CALf_4_1">#REF!</definedName>
    <definedName name="_26">#REF!</definedName>
    <definedName name="_26ChangeBy_4_1">#REF!</definedName>
    <definedName name="_27">#REF!</definedName>
    <definedName name="_27ChangeDate_4_1">#REF!</definedName>
    <definedName name="_28">#REF!</definedName>
    <definedName name="_28CompDate_4_1">#REF!</definedName>
    <definedName name="_29">#REF!</definedName>
    <definedName name="_29conf_4_1">#REF!</definedName>
    <definedName name="_3">#REF!</definedName>
    <definedName name="_3_l_1">#REF!</definedName>
    <definedName name="_30">#REF!</definedName>
    <definedName name="_30cd___Horizontal_Strobe_light_speaker__wall_mounted">#REF!</definedName>
    <definedName name="_30cd__Vertical_strobe_light__wall_mounted">#REF!</definedName>
    <definedName name="_30ContAmt_4_1">#REF!</definedName>
    <definedName name="_31">#REF!</definedName>
    <definedName name="_31ContWithAcct_4_1">#REF!</definedName>
    <definedName name="_32">#REF!</definedName>
    <definedName name="_32ContWithName_4_1">#REF!</definedName>
    <definedName name="_33">#REF!</definedName>
    <definedName name="_33ContWithPrio_4_1">#REF!</definedName>
    <definedName name="_34">#REF!</definedName>
    <definedName name="_34ContWithPrio_Text_4_1">#REF!</definedName>
    <definedName name="_35">#REF!</definedName>
    <definedName name="_35CONum_4_1">#REF!</definedName>
    <definedName name="_36">#REF!</definedName>
    <definedName name="_36CorpClient_4_1">#REF!</definedName>
    <definedName name="_37">#REF!</definedName>
    <definedName name="_37CorpClient_Text_4_1">#REF!</definedName>
    <definedName name="_38">#REF!</definedName>
    <definedName name="_38CURR_4_1">#REF!</definedName>
    <definedName name="_39">#REF!</definedName>
    <definedName name="_39CurrencyRate_4_1">#REF!</definedName>
    <definedName name="_4">#REF!</definedName>
    <definedName name="_4_l_4_1">#REF!</definedName>
    <definedName name="_40">#REF!</definedName>
    <definedName name="_40dim4_4_1">#REF!</definedName>
    <definedName name="_41">#REF!</definedName>
    <definedName name="_41EngAddress_4_1">#REF!</definedName>
    <definedName name="_42">#REF!</definedName>
    <definedName name="_42EngCity_4_1">#REF!</definedName>
    <definedName name="_43">#REF!</definedName>
    <definedName name="_43EngName_4_1">#REF!</definedName>
    <definedName name="_44">#REF!</definedName>
    <definedName name="_44EngPostal_4_1">#REF!</definedName>
    <definedName name="_45">#REF!</definedName>
    <definedName name="_45EngPrio_4_1">#REF!</definedName>
    <definedName name="_46">#REF!</definedName>
    <definedName name="_46EngPrio_Text_4_1">#REF!</definedName>
    <definedName name="_47">#REF!</definedName>
    <definedName name="_47EngState_4_1">#REF!</definedName>
    <definedName name="_48">#REF!</definedName>
    <definedName name="_48EstCost_4_1">#REF!</definedName>
    <definedName name="_49">#REF!</definedName>
    <definedName name="_49eu_4_1">#REF!</definedName>
    <definedName name="_5">#REF!</definedName>
    <definedName name="_5_p_1">#REF!</definedName>
    <definedName name="_50">#REF!</definedName>
    <definedName name="_50Excel_BuiltIn_Print_Area_1">#REF!</definedName>
    <definedName name="_51">#REF!</definedName>
    <definedName name="_51Excel_BuiltIn_Print_Titles_3_4_1">#REF!</definedName>
    <definedName name="_52">#REF!</definedName>
    <definedName name="_52FiscalIDNum_4_1">#REF!</definedName>
    <definedName name="_53">#REF!</definedName>
    <definedName name="_53FormTitle_4_1">#REF!</definedName>
    <definedName name="_54">#REF!</definedName>
    <definedName name="_54GMAmount_4_1">#REF!</definedName>
    <definedName name="_55">#REF!</definedName>
    <definedName name="_55GMPercent_4_1">#REF!</definedName>
    <definedName name="_56">#REF!</definedName>
    <definedName name="_56Headings_4_1">#REF!</definedName>
    <definedName name="_57">#REF!</definedName>
    <definedName name="_57indf_4_1">#REF!</definedName>
    <definedName name="_58">#REF!</definedName>
    <definedName name="_58InstBillingMethod_4_1">#REF!</definedName>
    <definedName name="_59">#REF!</definedName>
    <definedName name="_59instf_4_1">#REF!</definedName>
    <definedName name="_6">#REF!</definedName>
    <definedName name="_6_p_4_1">#REF!</definedName>
    <definedName name="_60">#REF!</definedName>
    <definedName name="_60MarketType_4_1">#REF!</definedName>
    <definedName name="_61">#REF!</definedName>
    <definedName name="_61MarketType_Text_4_1">#REF!</definedName>
    <definedName name="_62">#REF!</definedName>
    <definedName name="_62nonmodular_4_1">#REF!</definedName>
    <definedName name="_63">#REF!</definedName>
    <definedName name="_63OwnAcctNum_4_1">#REF!</definedName>
    <definedName name="_64">#REF!</definedName>
    <definedName name="_64po_4_1">#REF!</definedName>
    <definedName name="_65">#REF!</definedName>
    <definedName name="_65PrimeAddress_4_1">#REF!</definedName>
    <definedName name="_66">#REF!</definedName>
    <definedName name="_66PrimeCity_4_1">#REF!</definedName>
    <definedName name="_67">#REF!</definedName>
    <definedName name="_67PrimeName_4_1">#REF!</definedName>
    <definedName name="_68">#REF!</definedName>
    <definedName name="_68PrimePostal_4_1">#REF!</definedName>
    <definedName name="_69">#REF!</definedName>
    <definedName name="_69PrimePrio_4_1">#REF!</definedName>
    <definedName name="_7">#REF!</definedName>
    <definedName name="_70">#REF!</definedName>
    <definedName name="_70PrimePrio_Text_4_1">#REF!</definedName>
    <definedName name="_71">#REF!</definedName>
    <definedName name="_71PrimeState_4_1">#REF!</definedName>
    <definedName name="_72">#REF!</definedName>
    <definedName name="_72PRINT_AREA_MI_4_1">#REF!</definedName>
    <definedName name="_73">#REF!</definedName>
    <definedName name="_73PROD_4_1">#REF!</definedName>
    <definedName name="_74">#REF!</definedName>
    <definedName name="_74ProdCode1_4_1">#REF!</definedName>
    <definedName name="_75">#REF!</definedName>
    <definedName name="_75ProdCode1_Text_4_1">#REF!</definedName>
    <definedName name="_76ProdCode2_4_1">#REF!</definedName>
    <definedName name="_77ProdCode2_Text_4_1">#REF!</definedName>
    <definedName name="_78ProdCode3_4_1">#REF!</definedName>
    <definedName name="_79ProdCode3_Text_4_1">#REF!</definedName>
    <definedName name="_7AcctName_4_1">#REF!</definedName>
    <definedName name="_8">#REF!</definedName>
    <definedName name="_80ProdCode4_4_1">#REF!</definedName>
    <definedName name="_81ProdCode4_Text_4_1">#REF!</definedName>
    <definedName name="_82ProdCode5_4_1">#REF!</definedName>
    <definedName name="_83ProdCode5_Text_4_1">#REF!</definedName>
    <definedName name="_84ProdPct1_4_1">#REF!</definedName>
    <definedName name="_85ProdPct2_4_1">#REF!</definedName>
    <definedName name="_86ProdPct3_4_1">#REF!</definedName>
    <definedName name="_87ProdPct4_4_1">#REF!</definedName>
    <definedName name="_88ProdPct5_4_1">#REF!</definedName>
    <definedName name="_89ProjAddress1_4_1">#REF!</definedName>
    <definedName name="_8AcctPrio_4_1">#REF!</definedName>
    <definedName name="_9">#REF!</definedName>
    <definedName name="_90ProjAddress2_4_1">#REF!</definedName>
    <definedName name="_91ProjCity_4_1">#REF!</definedName>
    <definedName name="_92ProjCountry_4_1">#REF!</definedName>
    <definedName name="_93ProjCounty_4_1">#REF!</definedName>
    <definedName name="_94ProjName_4_1">#REF!</definedName>
    <definedName name="_95ProjNum_4_1">#REF!</definedName>
    <definedName name="_96ProjPostal_4_1">#REF!</definedName>
    <definedName name="_97ProjState_4_1">#REF!</definedName>
    <definedName name="_98PSABillingMethod_4_1">#REF!</definedName>
    <definedName name="_99rim4_4_1">#REF!</definedName>
    <definedName name="_9AcctPrio_Text_4_1">#REF!</definedName>
    <definedName name="_a">#REF!</definedName>
    <definedName name="_a_4">#REF!</definedName>
    <definedName name="_a_6">#REF!</definedName>
    <definedName name="_A1">#REF!</definedName>
    <definedName name="_A31">#REF!</definedName>
    <definedName name="_AA1">#REF!</definedName>
    <definedName name="_aj1">#REF!</definedName>
    <definedName name="_alt1">#REF!</definedName>
    <definedName name="_ALT2">#REF!</definedName>
    <definedName name="_ALT3">#REF!</definedName>
    <definedName name="_ALT4">#REF!</definedName>
    <definedName name="_b1">#REF!</definedName>
    <definedName name="_B100000">#REF!</definedName>
    <definedName name="_b111121">#REF!</definedName>
    <definedName name="_bak151">#REF!</definedName>
    <definedName name="_bol1">#REF!</definedName>
    <definedName name="_C">#REF!</definedName>
    <definedName name="_C___0">#REF!</definedName>
    <definedName name="_C___13">#REF!</definedName>
    <definedName name="_C_1">#REF!</definedName>
    <definedName name="_can430">40.73</definedName>
    <definedName name="_can435">43.3</definedName>
    <definedName name="_cbd148">#REF!</definedName>
    <definedName name="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fS2">#REF!</definedName>
    <definedName name="_DIA1">#REF!</definedName>
    <definedName name="_dia10">#REF!</definedName>
    <definedName name="_dia12">#REF!</definedName>
    <definedName name="_dia16">#REF!</definedName>
    <definedName name="_DIA2">#REF!</definedName>
    <definedName name="_dia20">#REF!</definedName>
    <definedName name="_dia25">#REF!</definedName>
    <definedName name="_dia8">#REF!</definedName>
    <definedName name="_dim4">#REF!</definedName>
    <definedName name="_DSF4">Scheduled_Payment+Extra_Payment</definedName>
    <definedName name="_fab1">#REF!</definedName>
    <definedName name="_Fill" hidden="1">#REF!</definedName>
    <definedName name="_xlnm._FilterDatabase" hidden="1">#REF!</definedName>
    <definedName name="_FLG2">#REF!</definedName>
    <definedName name="_G72228">#REF!</definedName>
    <definedName name="_hf">#REF!</definedName>
    <definedName name="_ig541">#REF!</definedName>
    <definedName name="_iv66666">#REF!</definedName>
    <definedName name="_Ki1">#REF!</definedName>
    <definedName name="_Ki2">#REF!</definedName>
    <definedName name="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l">#REF!</definedName>
    <definedName name="_l_4">#REF!</definedName>
    <definedName name="_l_6">#REF!</definedName>
    <definedName name="_MAN1">#REF!</definedName>
    <definedName name="_MS010">#REF!</definedName>
    <definedName name="_Order1" hidden="1">255</definedName>
    <definedName name="_p">#REF!</definedName>
    <definedName name="_p_4">#REF!</definedName>
    <definedName name="_p_6">#REF!</definedName>
    <definedName name="_PB1">#REF!</definedName>
    <definedName name="_PO1">#REF!</definedName>
    <definedName name="_PO2">#REF!</definedName>
    <definedName name="_rim4">#REF!</definedName>
    <definedName name="_rm4">#REF!</definedName>
    <definedName name="_sdb2">#REF!</definedName>
    <definedName name="_TB2">#REF!</definedName>
    <definedName name="_UGF1">#REF!</definedName>
    <definedName name="_xleta.IF" hidden="1">#NAME?</definedName>
    <definedName name="_xleta.SUBTOTAL" hidden="1">#NAME?</definedName>
    <definedName name="_zz65536">#REF!</definedName>
    <definedName name="a">#REF!</definedName>
    <definedName name="a___0">#REF!</definedName>
    <definedName name="a___13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595H50">#REF!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aaaaaaaaaaaaa">#REF!</definedName>
    <definedName name="aaasa">#REF!</definedName>
    <definedName name="aad">#REF!</definedName>
    <definedName name="aadawawdaW">#REF!</definedName>
    <definedName name="ab">#REF!</definedName>
    <definedName name="abc">#REF!</definedName>
    <definedName name="ABCD">#REF!</definedName>
    <definedName name="abcdefghij">#REF!</definedName>
    <definedName name="ab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ta">#REF!</definedName>
    <definedName name="Abst">#REF!</definedName>
    <definedName name="abstrac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">#REF!</definedName>
    <definedName name="acc">#REF!</definedName>
    <definedName name="Acc.Recon">#REF!</definedName>
    <definedName name="AccessDatabase" hidden="1">"D:\MIS\TALLY  31.09.04 sep\AS PER TALLY 31.09.04.mdb"</definedName>
    <definedName name="accomation" hidden="1">#REF!</definedName>
    <definedName name="accounts">#REF!</definedName>
    <definedName name="AcctName">#REF!</definedName>
    <definedName name="AcctName_4">#REF!</definedName>
    <definedName name="AcctName_6">#REF!</definedName>
    <definedName name="AcctPrio">#REF!</definedName>
    <definedName name="AcctPrio_4">#REF!</definedName>
    <definedName name="AcctPrio_6">#REF!</definedName>
    <definedName name="AcctPrio_Text">#REF!</definedName>
    <definedName name="AcctPrio_Text_4">#REF!</definedName>
    <definedName name="AcctPrio_Text_6">#REF!</definedName>
    <definedName name="ACT">#REF!</definedName>
    <definedName name="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DAD">#REF!</definedName>
    <definedName name="ADADASASDASD">#REF!</definedName>
    <definedName name="ADADDA">#REF!</definedName>
    <definedName name="ADASASDASASDASDAS">#REF!</definedName>
    <definedName name="ADASASDASDASDAD">#REF!</definedName>
    <definedName name="ADASDASASDAS">#REF!</definedName>
    <definedName name="ADASDASDASDAS">#REF!</definedName>
    <definedName name="adf">#REF!</definedName>
    <definedName name="ADFADD">#REF!</definedName>
    <definedName name="adfadsff">#REF!</definedName>
    <definedName name="ADFASDAD">#REF!</definedName>
    <definedName name="ad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n_off">#REF!</definedName>
    <definedName name="admn_site">#REF!</definedName>
    <definedName name="ADSAD">#REF!</definedName>
    <definedName name="Ag">#REF!</definedName>
    <definedName name="Ag___0">#REF!</definedName>
    <definedName name="Ag___13">#REF!</definedName>
    <definedName name="agdfjk">#REF!</definedName>
    <definedName name="aham">#REF!</definedName>
    <definedName name="ahu">#REF!</definedName>
    <definedName name="aj">#REF!</definedName>
    <definedName name="aji">#REF!</definedName>
    <definedName name="ajitha">#REF!</definedName>
    <definedName name="Alarm_current_Amp_In_Minutes">#REF!</definedName>
    <definedName name="alpha">#REF!</definedName>
    <definedName name="alphabet">#REF!</definedName>
    <definedName name="Aluminium">#REF!</definedName>
    <definedName name="Alw">#REF!</definedName>
    <definedName name="AM_1">#REF!</definedName>
    <definedName name="ams">#REF!</definedName>
    <definedName name="anantha">#REF!</definedName>
    <definedName name="anch">#REF!</definedName>
    <definedName name="Anil148">#REF!</definedName>
    <definedName name="anil543">#REF!</definedName>
    <definedName name="ann">#REF!</definedName>
    <definedName name="anne">#REF!</definedName>
    <definedName name="annealing">#REF!</definedName>
    <definedName name="annealing1">#REF!</definedName>
    <definedName name="anscount" hidden="1">1</definedName>
    <definedName name="aoio">#REF!</definedName>
    <definedName name="AP_1">#REF!</definedName>
    <definedName name="AP_2">#REF!</definedName>
    <definedName name="AP_3">#REF!</definedName>
    <definedName name="ARCHITECT________M_s">#REF!</definedName>
    <definedName name="archon141">#REF!</definedName>
    <definedName name="archon142">#REF!</definedName>
    <definedName name="archon143">#REF!</definedName>
    <definedName name="area">#REF!</definedName>
    <definedName name="ARUN" hidden="1">#REF!</definedName>
    <definedName name="as">#REF!</definedName>
    <definedName name="AS_PER_TALLY_31_09_04_ONYX_List1">#REF!</definedName>
    <definedName name="asas">#REF!</definedName>
    <definedName name="asd">#REF!</definedName>
    <definedName name="asdads">#REF!</definedName>
    <definedName name="asdas">#REF!</definedName>
    <definedName name="asdasd">#REF!</definedName>
    <definedName name="ASDASDASD">#REF!</definedName>
    <definedName name="asdd">#REF!</definedName>
    <definedName name="asdf">#REF!</definedName>
    <definedName name="asdfasdf" hidden="1">#REF!</definedName>
    <definedName name="asdfsa" hidden="1">#REF!</definedName>
    <definedName name="asdfsad">#REF!</definedName>
    <definedName name="asdfsadf" hidden="1">#REF!</definedName>
    <definedName name="asdfsdfd">#N/A</definedName>
    <definedName name="asdsdfsda">#REF!</definedName>
    <definedName name="asf">#REF!</definedName>
    <definedName name="as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OKA">#REF!</definedName>
    <definedName name="ass">#REF!</definedName>
    <definedName name="assadg" hidden="1">#REF!</definedName>
    <definedName name="assd">#REF!</definedName>
    <definedName name="assfsdf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xlp">#REF!</definedName>
    <definedName name="av">#REF!</definedName>
    <definedName name="avi">#REF!</definedName>
    <definedName name="AWAWWWWAA">#REF!</definedName>
    <definedName name="AWWEDWER">#REF!</definedName>
    <definedName name="B">#REF!</definedName>
    <definedName name="B___0">#REF!</definedName>
    <definedName name="B___13">#REF!</definedName>
    <definedName name="b1210.">#REF!</definedName>
    <definedName name="B4a">#REF!</definedName>
    <definedName name="b5a">#REF!</definedName>
    <definedName name="b832.">#REF!</definedName>
    <definedName name="Backfilling">#REF!</definedName>
    <definedName name="BALCONY">#REF!</definedName>
    <definedName name="Base" hidden="1">#REF!</definedName>
    <definedName name="Basement" hidden="1">#REF!</definedName>
    <definedName name="BASIC">#REF!</definedName>
    <definedName name="bb">#REF!</definedName>
    <definedName name="bbbb">#REF!</definedName>
    <definedName name="bbbbbbbbbb" hidden="1">#REF!</definedName>
    <definedName name="BC">#REF!</definedName>
    <definedName name="BC_1">#REF!</definedName>
    <definedName name="bcbn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vv">#REF!</definedName>
    <definedName name="bdbdb">#REF!</definedName>
    <definedName name="be">#N/A</definedName>
    <definedName name="beam">#REF!</definedName>
    <definedName name="Beams">#REF!</definedName>
    <definedName name="BEAMS2">#N/A</definedName>
    <definedName name="Beg_Bal">#REF!</definedName>
    <definedName name="BELL__Polarised">#REF!</definedName>
    <definedName name="BEND">#REF!</definedName>
    <definedName name="bends">#REF!</definedName>
    <definedName name="beta">#REF!</definedName>
    <definedName name="bfdx" hidden="1">#REF!</definedName>
    <definedName name="bgbb">#REF!</definedName>
    <definedName name="bggfgj">Scheduled_Payment+Extra_Payment</definedName>
    <definedName name="bhg">#REF!</definedName>
    <definedName name="bhjbh">#REF!</definedName>
    <definedName name="BidClass">#REF!</definedName>
    <definedName name="BidClass_4">#REF!</definedName>
    <definedName name="BidClass_6">#REF!</definedName>
    <definedName name="BidClass_Text">#REF!</definedName>
    <definedName name="BidClass_Text_4">#REF!</definedName>
    <definedName name="BidClass_Text_6">#REF!</definedName>
    <definedName name="BillingFreq">#REF!</definedName>
    <definedName name="BillingFreq_4">#REF!</definedName>
    <definedName name="BillingFreq_6">#REF!</definedName>
    <definedName name="BillingTiming">#REF!</definedName>
    <definedName name="BillingTiming_4">#REF!</definedName>
    <definedName name="BillingTiming_6">#REF!</definedName>
    <definedName name="bit">#REF!</definedName>
    <definedName name="bl">#REF!</definedName>
    <definedName name="bloc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n">#REF!</definedName>
    <definedName name="bol">#REF!</definedName>
    <definedName name="boml">#REF!</definedName>
    <definedName name="boml1">#REF!</definedName>
    <definedName name="boq">#REF!</definedName>
    <definedName name="bore">#REF!</definedName>
    <definedName name="botl">#REF!</definedName>
    <definedName name="botl1">#REF!</definedName>
    <definedName name="botn">#REF!</definedName>
    <definedName name="box_speaker">#REF!</definedName>
    <definedName name="BQ">#REF!</definedName>
    <definedName name="Breaks">#REF!</definedName>
    <definedName name="BSSRAILING">#REF!</definedName>
    <definedName name="bua">#REF!</definedName>
    <definedName name="BUDDHA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Area___0___0">#REF!</definedName>
    <definedName name="BuiltIn_Print_Area___0_1">#REF!</definedName>
    <definedName name="BuiltIn_Print_Area___0_4">#REF!</definedName>
    <definedName name="BuiltIn_Print_Area_4">#REF!</definedName>
    <definedName name="BuiltIn_Print_Titles">#REF!</definedName>
    <definedName name="BuiltIn_Print_Titles___0">#N/A</definedName>
    <definedName name="BuiltIn_Print_Titles___0___0">#REF!</definedName>
    <definedName name="BuiltIn_Print_Titles_1">#REF!</definedName>
    <definedName name="BuiltIn_Print_Titles_4">#REF!</definedName>
    <definedName name="BusType">#REF!</definedName>
    <definedName name="BusType_4">#REF!</definedName>
    <definedName name="BusType_6">#REF!</definedName>
    <definedName name="BusType_Text">#REF!</definedName>
    <definedName name="BusType_Text_4">#REF!</definedName>
    <definedName name="BusType_Text_6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">#REF!</definedName>
    <definedName name="bvcvhcv">#REF!</definedName>
    <definedName name="Bx">#REF!</definedName>
    <definedName name="Bx___0">#REF!</definedName>
    <definedName name="Bx___13">#REF!</definedName>
    <definedName name="bxnvxnd">#REF!</definedName>
    <definedName name="CA_1">#REF!</definedName>
    <definedName name="CA_2">#REF!</definedName>
    <definedName name="CA_3">#REF!</definedName>
    <definedName name="ca1boq">#REF!</definedName>
    <definedName name="cab">#REF!</definedName>
    <definedName name="cab21.5tp">#REF!</definedName>
    <definedName name="cab21.5tp_4">#REF!</definedName>
    <definedName name="cab21.5tp_6">#REF!</definedName>
    <definedName name="cab21s">#REF!</definedName>
    <definedName name="cab21s_4">#REF!</definedName>
    <definedName name="cab21s_6">#REF!</definedName>
    <definedName name="cab21us">#REF!</definedName>
    <definedName name="cab21us_4">#REF!</definedName>
    <definedName name="cab21us_6">#REF!</definedName>
    <definedName name="cab31s">#REF!</definedName>
    <definedName name="cab31s_4">#REF!</definedName>
    <definedName name="cab31s_6">#REF!</definedName>
    <definedName name="cab31us">#REF!</definedName>
    <definedName name="cab31us_4">#REF!</definedName>
    <definedName name="cab31us_6">#REF!</definedName>
    <definedName name="cab41s">#REF!</definedName>
    <definedName name="cab41s_4">#REF!</definedName>
    <definedName name="cab41s_6">#REF!</definedName>
    <definedName name="cab41us">#REF!</definedName>
    <definedName name="cab41us_4">#REF!</definedName>
    <definedName name="cab41us_6">#REF!</definedName>
    <definedName name="cabf">#REF!</definedName>
    <definedName name="cabf_4">#REF!</definedName>
    <definedName name="cabf_6">#REF!</definedName>
    <definedName name="CABLE">#REF!</definedName>
    <definedName name="CABLE_4">#REF!</definedName>
    <definedName name="CABLE_6">#REF!</definedName>
    <definedName name="CALf">#REF!</definedName>
    <definedName name="CALf_4">#REF!</definedName>
    <definedName name="CALf_6">#REF!</definedName>
    <definedName name="cant">#REF!</definedName>
    <definedName name="capacity">#REF!</definedName>
    <definedName name="capacity1">#REF!</definedName>
    <definedName name="capacity2">#REF!</definedName>
    <definedName name="capacity3">#REF!</definedName>
    <definedName name="capital">#REF!</definedName>
    <definedName name="carpet">#REF!</definedName>
    <definedName name="carpet___0">#REF!</definedName>
    <definedName name="carpet___11">#REF!</definedName>
    <definedName name="carpet___12">#REF!</definedName>
    <definedName name="Ca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_bank">#REF!</definedName>
    <definedName name="CASH_OUT">#REF!</definedName>
    <definedName name="Casual">#REF!</definedName>
    <definedName name="category">#REF!</definedName>
    <definedName name="cb">#REF!</definedName>
    <definedName name="cbcbc">#REF!</definedName>
    <definedName name="cbcbxc">#REF!</definedName>
    <definedName name="cbccb">#REF!</definedName>
    <definedName name="cbcvbcbc">#REF!</definedName>
    <definedName name="CC">#REF!</definedName>
    <definedName name="CCC">#REF!</definedName>
    <definedName name="cccc">#REF!</definedName>
    <definedName name="cd">#REF!</definedName>
    <definedName name="cdds">#REF!</definedName>
    <definedName name="cdf">#REF!</definedName>
    <definedName name="Ceiling_Plaster">#REF!</definedName>
    <definedName name="Ceiling_speaker">#REF!</definedName>
    <definedName name="Ceiling_Speaker_Unsupervised">#REF!</definedName>
    <definedName name="CENTER" hidden="1">#REF!</definedName>
    <definedName name="ch">#REF!</definedName>
    <definedName name="ChangeBy">#REF!</definedName>
    <definedName name="ChangeBy_4">#REF!</definedName>
    <definedName name="ChangeBy_6">#REF!</definedName>
    <definedName name="ChangeDate">#REF!</definedName>
    <definedName name="ChangeDate_4">#REF!</definedName>
    <definedName name="ChangeDate_6">#REF!</definedName>
    <definedName name="charles">#REF!</definedName>
    <definedName name="checked">#REF!</definedName>
    <definedName name="chiller">#REF!</definedName>
    <definedName name="ciff">#REF!</definedName>
    <definedName name="CIMM">#REF!</definedName>
    <definedName name="Cinnam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k">#REF!</definedName>
    <definedName name="ckd">#REF!</definedName>
    <definedName name="cl">#REF!</definedName>
    <definedName name="Cleaning">#REF!</definedName>
    <definedName name="ClientAddress1">#REF!</definedName>
    <definedName name="ClientAddress2">#REF!</definedName>
    <definedName name="ClientCity">#REF!</definedName>
    <definedName name="ClientCountry">#REF!</definedName>
    <definedName name="ClientEmail">#REF!</definedName>
    <definedName name="ClientFax">#REF!</definedName>
    <definedName name="ClientPhone">#REF!</definedName>
    <definedName name="ClientState">#REF!</definedName>
    <definedName name="ClientZip">#REF!</definedName>
    <definedName name="clrf">#REF!</definedName>
    <definedName name="CO">#REF!</definedName>
    <definedName name="CO_1">#REF!</definedName>
    <definedName name="coimbatore">#REF!</definedName>
    <definedName name="co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___0">#REF!</definedName>
    <definedName name="col___11">#REF!</definedName>
    <definedName name="col___12">#REF!</definedName>
    <definedName name="coloumnR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Reft">#REF!</definedName>
    <definedName name="Columns">#REF!</definedName>
    <definedName name="Company">#REF!</definedName>
    <definedName name="CompDate">#REF!</definedName>
    <definedName name="CompDate_4">#REF!</definedName>
    <definedName name="CompDate_6">#REF!</definedName>
    <definedName name="con">#REF!</definedName>
    <definedName name="condf">#REF!</definedName>
    <definedName name="conf">#REF!</definedName>
    <definedName name="conf_4">#REF!</definedName>
    <definedName name="conf_6">#REF!</definedName>
    <definedName name="confli">#REF!</definedName>
    <definedName name="constrn">#REF!</definedName>
    <definedName name="Construction_Period">#REF!</definedName>
    <definedName name="consumables">#REF!</definedName>
    <definedName name="cont">#REF!</definedName>
    <definedName name="Contact">#REF!</definedName>
    <definedName name="ContAmt">#REF!</definedName>
    <definedName name="ContAmt_4">#REF!</definedName>
    <definedName name="ContAmt_6">#REF!</definedName>
    <definedName name="ContWithAcct">#REF!</definedName>
    <definedName name="ContWithAcct_4">#REF!</definedName>
    <definedName name="ContWithAcct_6">#REF!</definedName>
    <definedName name="ContWithName">#REF!</definedName>
    <definedName name="ContWithName_4">#REF!</definedName>
    <definedName name="ContWithName_6">#REF!</definedName>
    <definedName name="ContWithPrio">#REF!</definedName>
    <definedName name="ContWithPrio_4">#REF!</definedName>
    <definedName name="ContWithPrio_6">#REF!</definedName>
    <definedName name="ContWithPrio_Text">#REF!</definedName>
    <definedName name="ContWithPrio_Text_4">#REF!</definedName>
    <definedName name="ContWithPrio_Text_6">#REF!</definedName>
    <definedName name="CONum">#REF!</definedName>
    <definedName name="CONum_4">#REF!</definedName>
    <definedName name="CONum_6">#REF!</definedName>
    <definedName name="copper">#REF!</definedName>
    <definedName name="copy">#REF!</definedName>
    <definedName name="CorpClient">#REF!</definedName>
    <definedName name="CorpClient_4">#REF!</definedName>
    <definedName name="CorpClient_6">#REF!</definedName>
    <definedName name="CorpClient_Text">#REF!</definedName>
    <definedName name="CorpClient_Text_4">#REF!</definedName>
    <definedName name="CorpClient_Text_6">#REF!</definedName>
    <definedName name="CORRI">#REF!</definedName>
    <definedName name="cost">#REF!</definedName>
    <definedName name="costcomparisi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U">#REF!</definedName>
    <definedName name="COU___0">#REF!</definedName>
    <definedName name="COU___13">#REF!</definedName>
    <definedName name="COVER_FOR_SLAB">#REF!</definedName>
    <definedName name="c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xlnm.Criteria">#REF!</definedName>
    <definedName name="crsobpl">#REF!</definedName>
    <definedName name="CS">#REF!</definedName>
    <definedName name="Cs___0">#REF!</definedName>
    <definedName name="Cs___13">#REF!</definedName>
    <definedName name="cscsd">#REF!</definedName>
    <definedName name="cstf">#REF!</definedName>
    <definedName name="CURR">#REF!</definedName>
    <definedName name="CURR_4">#REF!</definedName>
    <definedName name="CURR_6">#REF!</definedName>
    <definedName name="curr_liab_prov">#REF!</definedName>
    <definedName name="CurrencyRate">#REF!</definedName>
    <definedName name="CurrencyRate_4">#REF!</definedName>
    <definedName name="CurrencyRate_6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">#REF!</definedName>
    <definedName name="cvdf">#REF!</definedName>
    <definedName name="cx">#REF!</definedName>
    <definedName name="d">#REF!</definedName>
    <definedName name="d___0">#REF!</definedName>
    <definedName name="d___13">#REF!</definedName>
    <definedName name="da" hidden="1">#REF!</definedName>
    <definedName name="dad">#REF!</definedName>
    <definedName name="daeawtwtg">#REF!</definedName>
    <definedName name="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f">#REF!</definedName>
    <definedName name="das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ta">#REF!</definedName>
    <definedName name="_xlnm.Database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cbcvbc">#REF!</definedName>
    <definedName name="dd">#REF!</definedName>
    <definedName name="ddd">#REF!</definedName>
    <definedName name="dddd">#REF!</definedName>
    <definedName name="ddddd">#REF!</definedName>
    <definedName name="dddddddd">#REF!</definedName>
    <definedName name="ddddddddd">#REF!</definedName>
    <definedName name="dddddddddd">#REF!</definedName>
    <definedName name="ddddddddddd">#REF!</definedName>
    <definedName name="dddddddddddddddddddd">#REF!</definedName>
    <definedName name="de">#REF!</definedName>
    <definedName name="deghdfjgf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LTA20">#REF!</definedName>
    <definedName name="DELTA20___0">#REF!</definedName>
    <definedName name="DELTA20___13">#REF!</definedName>
    <definedName name="Depn">#REF!</definedName>
    <definedName name="DER">#REF!</definedName>
    <definedName name="DES">#REF!</definedName>
    <definedName name="designed">#REF!</definedName>
    <definedName name="df">#REF!</definedName>
    <definedName name="DFADAD">#REF!</definedName>
    <definedName name="dfafdasdf">#REF!</definedName>
    <definedName name="dfd">#REF!</definedName>
    <definedName name="DFDDA">#REF!</definedName>
    <definedName name="dfdfdf">#N/A</definedName>
    <definedName name="DFDFG">#REF!</definedName>
    <definedName name="dfffb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DF">#REF!</definedName>
    <definedName name="dfgdfsg">#REF!</definedName>
    <definedName name="dfgdsfg">#REF!</definedName>
    <definedName name="dfhd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SDF">#REF!</definedName>
    <definedName name="dg">#REF!</definedName>
    <definedName name="DGDF">#REF!</definedName>
    <definedName name="DGDFG">#REF!</definedName>
    <definedName name="dghdd">#REF!</definedName>
    <definedName name="Di">#REF!</definedName>
    <definedName name="DIAMETER">#REF!</definedName>
    <definedName name="DICL">#REF!</definedName>
    <definedName name="dIESEL">#REF!</definedName>
    <definedName name="dim4_4">#REF!</definedName>
    <definedName name="dim4_6">#REF!</definedName>
    <definedName name="DIns">#REF!</definedName>
    <definedName name="div">#REF!</definedName>
    <definedName name="dl">#REF!</definedName>
    <definedName name="dl___0">#REF!</definedName>
    <definedName name="dl___13">#REF!</definedName>
    <definedName name="Do">#REF!</definedName>
    <definedName name="docu">#REF!</definedName>
    <definedName name="DONGRE_ASSOCIATES______________PROJECT">#REF!</definedName>
    <definedName name="door">#REF!</definedName>
    <definedName name="Doors">#REF!</definedName>
    <definedName name="DOW_CORNING_789_SILICONE_SEALANT">#REF!</definedName>
    <definedName name="DP">#REF!</definedName>
    <definedName name="dq">#REF!</definedName>
    <definedName name="Drivers">#REF!</definedName>
    <definedName name="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___0">#REF!</definedName>
    <definedName name="Ds___13">#REF!</definedName>
    <definedName name="dsds">#REF!</definedName>
    <definedName name="dsdud">#REF!</definedName>
    <definedName name="DSF">Scheduled_Payment+Extra_Payment</definedName>
    <definedName name="dsfa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gdsfgsgf">#REF!</definedName>
    <definedName name="dsfgsd">#REF!</definedName>
    <definedName name="dsfj" hidden="1">#REF!</definedName>
    <definedName name="dsfsd">#REF!</definedName>
    <definedName name="dsw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yu">#N/A</definedName>
    <definedName name="Duct_Plaster">#REF!</definedName>
    <definedName name="e">#REF!</definedName>
    <definedName name="earth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">#REF!</definedName>
    <definedName name="eeee">#REF!</definedName>
    <definedName name="eeeeeeeeeee">#REF!</definedName>
    <definedName name="ees">#REF!</definedName>
    <definedName name="em">#REF!</definedName>
    <definedName name="Em___0">#REF!</definedName>
    <definedName name="Em___13">#REF!</definedName>
    <definedName name="enckcolumn">#REF!</definedName>
    <definedName name="End_Bal">#REF!</definedName>
    <definedName name="EngAddress">#REF!</definedName>
    <definedName name="EngAddress_4">#REF!</definedName>
    <definedName name="EngAddress_6">#REF!</definedName>
    <definedName name="EngCity">#REF!</definedName>
    <definedName name="EngCity_4">#REF!</definedName>
    <definedName name="EngCity_6">#REF!</definedName>
    <definedName name="EngName">#REF!</definedName>
    <definedName name="EngName_4">#REF!</definedName>
    <definedName name="EngName_6">#REF!</definedName>
    <definedName name="EngPostal">#REF!</definedName>
    <definedName name="EngPostal_4">#REF!</definedName>
    <definedName name="EngPostal_6">#REF!</definedName>
    <definedName name="EngPrio">#REF!</definedName>
    <definedName name="EngPrio_4">#REF!</definedName>
    <definedName name="EngPrio_6">#REF!</definedName>
    <definedName name="EngPrio_Text">#REF!</definedName>
    <definedName name="EngPrio_Text_4">#REF!</definedName>
    <definedName name="EngPrio_Text_6">#REF!</definedName>
    <definedName name="EngState">#REF!</definedName>
    <definedName name="EngState_4">#REF!</definedName>
    <definedName name="EngState_6">#REF!</definedName>
    <definedName name="enter">#REF!</definedName>
    <definedName name="eqw">#REF!</definedName>
    <definedName name="er">#REF!</definedName>
    <definedName name="ererer">#REF!</definedName>
    <definedName name="ererwtert">#REF!</definedName>
    <definedName name="eret">#REF!</definedName>
    <definedName name="erhrhjurt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r">#REF!</definedName>
    <definedName name="erretr">#REF!</definedName>
    <definedName name="ert">#REF!</definedName>
    <definedName name="es">#REF!</definedName>
    <definedName name="Es___0">#REF!</definedName>
    <definedName name="Es___13">#REF!</definedName>
    <definedName name="est">#N/A</definedName>
    <definedName name="EstCost">#REF!</definedName>
    <definedName name="EstCost_4">#REF!</definedName>
    <definedName name="EstCost_6">#REF!</definedName>
    <definedName name="esti">#REF!</definedName>
    <definedName name="estim">#REF!</definedName>
    <definedName name="estimate">#REF!</definedName>
    <definedName name="estimate1">#REF!</definedName>
    <definedName name="Estimation">#REF!</definedName>
    <definedName name="estimation1">#REF!</definedName>
    <definedName name="et">#REF!</definedName>
    <definedName name="Et___0">#REF!</definedName>
    <definedName name="Et___13">#REF!</definedName>
    <definedName name="etew">#REF!</definedName>
    <definedName name="etewt">#REF!</definedName>
    <definedName name="E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">#REF!</definedName>
    <definedName name="eu_4">#REF!</definedName>
    <definedName name="eu_6">#REF!</definedName>
    <definedName name="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EDWFRW">#REF!</definedName>
    <definedName name="ewtew">#REF!</definedName>
    <definedName name="exc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Criteria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Titles">#REF!</definedName>
    <definedName name="Excel_BuiltIn_Print_Titles_1_1">#REF!</definedName>
    <definedName name="Excel_BuiltIn_Print_Titles_3">#REF!</definedName>
    <definedName name="Excel_BuiltIn_Print_Titles_3_16">#REF!</definedName>
    <definedName name="Excel_BuiltIn_Print_Titles_3_3">#REF!</definedName>
    <definedName name="Excel_BuiltIn_Print_Titles_3_4">#REF!</definedName>
    <definedName name="Excel_BuiltIn_Print_Titles_3_6">#REF!</definedName>
    <definedName name="Excel_BuiltIn_Print_Titles_3_9">#REF!</definedName>
    <definedName name="Excel_BuiltIn_Print_Titles_4">#REF!</definedName>
    <definedName name="Excel_BuiltIn_Recorder">#REF!</definedName>
    <definedName name="Exchange_rate">#REF!</definedName>
    <definedName name="EXIT">#REF!</definedName>
    <definedName name="ext">#REF!</definedName>
    <definedName name="External_Plaster">#REF!</definedName>
    <definedName name="Extra_Pay">#REF!</definedName>
    <definedName name="eyrlp">#REF!</definedName>
    <definedName name="f" hidden="1">#REF!</definedName>
    <definedName name="f534.">#REF!</definedName>
    <definedName name="facom">#REF!</definedName>
    <definedName name="fafur">#REF!</definedName>
    <definedName name="faofeq">#REF!</definedName>
    <definedName name="faplm">#REF!</definedName>
    <definedName name="fapms">#REF!</definedName>
    <definedName name="faveh">#REF!</definedName>
    <definedName name="Fb">#REF!</definedName>
    <definedName name="fd">#REF!</definedName>
    <definedName name="fdasds">#REF!</definedName>
    <definedName name="fdghdgfh">#REF!</definedName>
    <definedName name="fdhjfju">#REF!</definedName>
    <definedName name="FF">#REF!</definedName>
    <definedName name="FFGTET">MATCH(0.01,#REF!,-1)+1</definedName>
    <definedName name="FFL">#REF!</definedName>
    <definedName name="fg">#REF!</definedName>
    <definedName name="fgececf">#REF!</definedName>
    <definedName name="fgf">#REF!</definedName>
    <definedName name="fgfdg" hidden="1">#REF!</definedName>
    <definedName name="fgh">#REF!</definedName>
    <definedName name="FGH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g">#REF!</definedName>
    <definedName name="FGHGFH">#REF!</definedName>
    <definedName name="fgsadgsgfd">#REF!</definedName>
    <definedName name="fgty">#REF!</definedName>
    <definedName name="FH">#REF!</definedName>
    <definedName name="fhdsgbh">#REF!</definedName>
    <definedName name="FHFGHFF">#REF!</definedName>
    <definedName name="FHFGHGFH">#REF!</definedName>
    <definedName name="FHGFHFF">#REF!</definedName>
    <definedName name="FHGFHGFH">#REF!</definedName>
    <definedName name="FHJFHGFH">#REF!</definedName>
    <definedName name="FHNFHFHF">#REF!</definedName>
    <definedName name="fhryu">#REF!</definedName>
    <definedName name="Fhwl">#REF!</definedName>
    <definedName name="fin">#REF!</definedName>
    <definedName name="Final" hidden="1">#REF!</definedName>
    <definedName name="finish">#REF!</definedName>
    <definedName name="FINISHES">#REF!</definedName>
    <definedName name="first">#REF!</definedName>
    <definedName name="firstfloor">#REF!</definedName>
    <definedName name="FiscalIDNum">#REF!</definedName>
    <definedName name="FiscalIDNum_4">#REF!</definedName>
    <definedName name="FiscalIDNum_6">#REF!</definedName>
    <definedName name="FIT">#REF!</definedName>
    <definedName name="FIT___0">#REF!</definedName>
    <definedName name="FIT___13">#REF!</definedName>
    <definedName name="fixed">#REF!</definedName>
    <definedName name="fixed_asset">#REF!</definedName>
    <definedName name="fj">#REF!</definedName>
    <definedName name="flag1">#REF!</definedName>
    <definedName name="FLG">#REF!</definedName>
    <definedName name="Floor">#REF!</definedName>
    <definedName name="flr.tile">#REF!</definedName>
    <definedName name="fn">#REF!</definedName>
    <definedName name="fo">#REF!</definedName>
    <definedName name="foo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ing">#REF!</definedName>
    <definedName name="Footings">#REF!</definedName>
    <definedName name="ForestEdge" hidden="1">#REF!</definedName>
    <definedName name="FormTitle">#REF!</definedName>
    <definedName name="FormTitle_4">#REF!</definedName>
    <definedName name="FormTitle_6">#REF!</definedName>
    <definedName name="Fp">#REF!</definedName>
    <definedName name="FQAQ">#REF!</definedName>
    <definedName name="FR">#REF!</definedName>
    <definedName name="fRANCIS">#REF!</definedName>
    <definedName name="Francis.">#REF!</definedName>
    <definedName name="fRANCU">#REF!</definedName>
    <definedName name="frncis">#REF!</definedName>
    <definedName name="frt">#REF!</definedName>
    <definedName name="Fs">#REF!</definedName>
    <definedName name="fsaf">#REF!</definedName>
    <definedName name="fsds">#REF!</definedName>
    <definedName name="fsdsdf">#REF!</definedName>
    <definedName name="fsfs" hidden="1">#REF!</definedName>
    <definedName name="fsg">#REF!</definedName>
    <definedName name="FSRVRFR">#REF!</definedName>
    <definedName name="FSSDD">#REF!</definedName>
    <definedName name="ft">#REF!</definedName>
    <definedName name="ftg">#REF!</definedName>
    <definedName name="Full_Print">#REF!</definedName>
    <definedName name="Funiture">#REF!</definedName>
    <definedName name="Fv">#REF!</definedName>
    <definedName name="FWS">#REF!</definedName>
    <definedName name="g">#REF!</definedName>
    <definedName name="g1622.">#REF!</definedName>
    <definedName name="g2669.">#REF!</definedName>
    <definedName name="g2707.">#REF!</definedName>
    <definedName name="G31j1620">#REF!</definedName>
    <definedName name="G345d58">#REF!</definedName>
    <definedName name="g452.">#REF!</definedName>
    <definedName name="GA_1">#REF!</definedName>
    <definedName name="GA_2">#REF!</definedName>
    <definedName name="gala135">#REF!</definedName>
    <definedName name="gama">#REF!</definedName>
    <definedName name="gamah">#REF!</definedName>
    <definedName name="G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g">#REF!</definedName>
    <definedName name="g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neral">#REF!</definedName>
    <definedName name="ger">#REF!</definedName>
    <definedName name="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dgthj">#REF!</definedName>
    <definedName name="gfu">#REF!</definedName>
    <definedName name="ggg" hidden="1">#REF!</definedName>
    <definedName name="ggggggggggg">#REF!</definedName>
    <definedName name="ggrtr">#REF!</definedName>
    <definedName name="gh">#REF!</definedName>
    <definedName name="gherh">Scheduled_Payment+Extra_Payment</definedName>
    <definedName name="ghfghgfjfjgfjgfjgf" hidden="1">#REF!</definedName>
    <definedName name="ghjfhfhl">#REF!</definedName>
    <definedName name="ghjhjh" hidden="1">#REF!</definedName>
    <definedName name="ghjkhkj">#N/A</definedName>
    <definedName name="GHJT">#REF!</definedName>
    <definedName name="gj">#REF!</definedName>
    <definedName name="gk">#REF!</definedName>
    <definedName name="GL">#REF!</definedName>
    <definedName name="GLAND">#REF!</definedName>
    <definedName name="gm">#REF!</definedName>
    <definedName name="GMAmount">#REF!</definedName>
    <definedName name="GMAmount_4">#REF!</definedName>
    <definedName name="GMAmount_6">#REF!</definedName>
    <definedName name="GMPercent">#REF!</definedName>
    <definedName name="GMPercent_4">#REF!</definedName>
    <definedName name="GMPercent_6">#REF!</definedName>
    <definedName name="gnotes">#REF!</definedName>
    <definedName name="gopi">#REF!</definedName>
    <definedName name="Group1">#REF!</definedName>
    <definedName name="Group2">#REF!</definedName>
    <definedName name="Group3">#REF!</definedName>
    <definedName name="Group4">#REF!</definedName>
    <definedName name="gs">#REF!</definedName>
    <definedName name="GSDFSDF">#REF!</definedName>
    <definedName name="gsgfrr">#N/A</definedName>
    <definedName name="gt">#REF!</definedName>
    <definedName name="gyp">#REF!</definedName>
    <definedName name="h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608.">#REF!</definedName>
    <definedName name="Hafeez">#REF!</definedName>
    <definedName name="handrail">#REF!</definedName>
    <definedName name="handrails">#REF!</definedName>
    <definedName name="handrails\">#REF!</definedName>
    <definedName name="HARI">#REF!</definedName>
    <definedName name="hatmy145">#REF!</definedName>
    <definedName name="hb">#REF!</definedName>
    <definedName name="head">#N/A</definedName>
    <definedName name="Header_Row">ROW(#REF!)</definedName>
    <definedName name="Headings">#REF!</definedName>
    <definedName name="Headings_16">#REF!</definedName>
    <definedName name="Headings_3">#REF!</definedName>
    <definedName name="Headings_4">#REF!</definedName>
    <definedName name="Headings_6">#REF!</definedName>
    <definedName name="Headings_9">#REF!</definedName>
    <definedName name="hf">#REF!</definedName>
    <definedName name="hgg">#REF!</definedName>
    <definedName name="hgjjjgfj">#REF!</definedName>
    <definedName name="h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">#N/A</definedName>
    <definedName name="hh___0">#REF!</definedName>
    <definedName name="hh___13">#REF!</definedName>
    <definedName name="hhkj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">#REF!</definedName>
    <definedName name="HINDHUSTAN">#REF!</definedName>
    <definedName name="HIns">#REF!</definedName>
    <definedName name="hj" hidden="1">#REF!</definedName>
    <definedName name="HJGFJSDGHJ">#N/A</definedName>
    <definedName name="hjk">#REF!</definedName>
    <definedName name="hjkhjk">#REF!</definedName>
    <definedName name="ho">#REF!</definedName>
    <definedName name="ho___0">#REF!</definedName>
    <definedName name="ho___13">#REF!</definedName>
    <definedName name="hoi">#REF!</definedName>
    <definedName name="Horn_Speaker">#REF!</definedName>
    <definedName name="Housekeeping">#REF!</definedName>
    <definedName name="hr">#REF!</definedName>
    <definedName name="hS">#REF!</definedName>
    <definedName name="hS___0">#REF!</definedName>
    <definedName name="hS___13">#REF!</definedName>
    <definedName name="HU">#REF!</definedName>
    <definedName name="Hu___0">#REF!</definedName>
    <definedName name="Hu___13">#REF!</definedName>
    <definedName name="hxb">#REF!</definedName>
    <definedName name="hxi">#REF!</definedName>
    <definedName name="h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">#REF!</definedName>
    <definedName name="I___0">#REF!</definedName>
    <definedName name="I___13">#REF!</definedName>
    <definedName name="ie">#REF!</definedName>
    <definedName name="If">#REF!</definedName>
    <definedName name="Ig">#REF!</definedName>
    <definedName name="Ig___0">#REF!</definedName>
    <definedName name="Ig___13">#REF!</definedName>
    <definedName name="ihkjhkj">#REF!</definedName>
    <definedName name="iii">#REF!</definedName>
    <definedName name="iiiiiiiiiii">#REF!</definedName>
    <definedName name="iju">#REF!</definedName>
    <definedName name="ik">#REF!</definedName>
    <definedName name="IN">#REF!</definedName>
    <definedName name="income">#REF!</definedName>
    <definedName name="indf">#REF!</definedName>
    <definedName name="indf_4">#REF!</definedName>
    <definedName name="indf_6">#REF!</definedName>
    <definedName name="indu">#REF!</definedName>
    <definedName name="INFRASTRUCTURE_ENTRY">#REF!</definedName>
    <definedName name="insert_rows_1">#REF!</definedName>
    <definedName name="InstBillingMethod">#REF!</definedName>
    <definedName name="InstBillingMethod_4">#REF!</definedName>
    <definedName name="InstBillingMethod_6">#REF!</definedName>
    <definedName name="instf">#REF!</definedName>
    <definedName name="instf_4">#REF!</definedName>
    <definedName name="instf_6">#REF!</definedName>
    <definedName name="Int">#REF!</definedName>
    <definedName name="Interest_Rate">#REF!</definedName>
    <definedName name="Internal_Plaster">#REF!</definedName>
    <definedName name="inv">#REF!</definedName>
    <definedName name="INV_SCH">#REF!</definedName>
    <definedName name="investment">#REF!</definedName>
    <definedName name="ioio">#REF!</definedName>
    <definedName name="iop">#REF!</definedName>
    <definedName name="ipip">#REF!</definedName>
    <definedName name="ipu">#REF!</definedName>
    <definedName name="ipu___0">#REF!</definedName>
    <definedName name="ipu___13">#REF!</definedName>
    <definedName name="iri">#REF!</definedName>
    <definedName name="iris">#REF!</definedName>
    <definedName name="Is">#REF!</definedName>
    <definedName name="iui">#REF!</definedName>
    <definedName name="IV">#REF!</definedName>
    <definedName name="iyui">#REF!</definedName>
    <definedName name="j" hidden="1">#REF!</definedName>
    <definedName name="jas">#REF!</definedName>
    <definedName name="jaspre">#REF!</definedName>
    <definedName name="jbhjb">#REF!</definedName>
    <definedName name="jbvhbvh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ri">#REF!</definedName>
    <definedName name="jfjh" hidden="1">#REF!</definedName>
    <definedName name="jfjy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gjk">#REF!</definedName>
    <definedName name="jhjyhj">#REF!</definedName>
    <definedName name="jhkl">#REF!</definedName>
    <definedName name="jj">#REF!</definedName>
    <definedName name="jjj">#REF!</definedName>
    <definedName name="jjjjjjjjjj">#REF!</definedName>
    <definedName name="jjk">#REF!</definedName>
    <definedName name="jk">#REF!</definedName>
    <definedName name="jkkkj" hidden="1">#REF!</definedName>
    <definedName name="j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ui">#REF!</definedName>
    <definedName name="k">#REF!</definedName>
    <definedName name="K___0">#REF!</definedName>
    <definedName name="K___13">#REF!</definedName>
    <definedName name="k1_table">#REF!</definedName>
    <definedName name="k1x">#REF!</definedName>
    <definedName name="k1y">#REF!</definedName>
    <definedName name="k2x">#REF!</definedName>
    <definedName name="k2y">#REF!</definedName>
    <definedName name="ka">#REF!</definedName>
    <definedName name="kaja">#REF!</definedName>
    <definedName name="kan">#REF!</definedName>
    <definedName name="kanch">#REF!</definedName>
    <definedName name="KARNA">#REF!</definedName>
    <definedName name="kb">#REF!</definedName>
    <definedName name="kc">#REF!</definedName>
    <definedName name="Kh">#REF!</definedName>
    <definedName name="Kh___0">#REF!</definedName>
    <definedName name="Kh___13">#REF!</definedName>
    <definedName name="k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it">#REF!</definedName>
    <definedName name="kj">#REF!</definedName>
    <definedName name="kjbkjh">#REF!</definedName>
    <definedName name="kjdnfdf">#REF!</definedName>
    <definedName name="kjh">#REF!</definedName>
    <definedName name="k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k">#REF!</definedName>
    <definedName name="kkkj" hidden="1">#REF!</definedName>
    <definedName name="Km">#REF!</definedName>
    <definedName name="Km___0">#REF!</definedName>
    <definedName name="Km___13">#REF!</definedName>
    <definedName name="k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">#REF!</definedName>
    <definedName name="Ks___0">#REF!</definedName>
    <definedName name="Ks___13">#REF!</definedName>
    <definedName name="l">#REF!</definedName>
    <definedName name="L___0">#REF!</definedName>
    <definedName name="L___13">#REF!</definedName>
    <definedName name="labourrate">#REF!</definedName>
    <definedName name="LAMP">#REF!</definedName>
    <definedName name="LAMP___0">#REF!</definedName>
    <definedName name="LAMP___13">#REF!</definedName>
    <definedName name="Land_adv">#REF!</definedName>
    <definedName name="landscape">#REF!</definedName>
    <definedName name="landscpe">#REF!</definedName>
    <definedName name="lasdk">#REF!</definedName>
    <definedName name="Last_Row">IF(Values_Entered,Header_Row+Number_of_Payments,Header_Row)</definedName>
    <definedName name="Lc">#REF!</definedName>
    <definedName name="Lc___0">#REF!</definedName>
    <definedName name="Lc___13">#REF!</definedName>
    <definedName name="LCAR100">#REF!</definedName>
    <definedName name="Lead">#REF!</definedName>
    <definedName name="leela">#REF!</definedName>
    <definedName name="lef">#REF!</definedName>
    <definedName name="lel">#REF!</definedName>
    <definedName name="len">#REF!</definedName>
    <definedName name="LG_1">#REF!</definedName>
    <definedName name="LGF">#REF!</definedName>
    <definedName name="lhuuioyhuyhui">#REF!</definedName>
    <definedName name="limcount" hidden="1">1</definedName>
    <definedName name="li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l" hidden="1">#REF!</definedName>
    <definedName name="lo">#REF!</definedName>
    <definedName name="Loan_Amount">#REF!</definedName>
    <definedName name="Loan_Start">#REF!</definedName>
    <definedName name="Loan_Years">#REF!</definedName>
    <definedName name="loans_adv">#REF!</definedName>
    <definedName name="LOCAL_STAFF">#REF!</definedName>
    <definedName name="LOCAL_STAFF_ENTRY">#REF!</definedName>
    <definedName name="Lr">#REF!</definedName>
    <definedName name="Lr___0">#REF!</definedName>
    <definedName name="Lr___13">#REF!</definedName>
    <definedName name="lrt">#REF!</definedName>
    <definedName name="LSD_4100">#REF!</definedName>
    <definedName name="lsest">#REF!</definedName>
    <definedName name="lshead">#REF!</definedName>
    <definedName name="LUMEN">#REF!</definedName>
    <definedName name="LUMEN___0">#REF!</definedName>
    <definedName name="LUMEN___13">#REF!</definedName>
    <definedName name="Lump_Sum_Discount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m">#REF!</definedName>
    <definedName name="m___0">#REF!</definedName>
    <definedName name="m___13">#REF!</definedName>
    <definedName name="M1x">#REF!</definedName>
    <definedName name="M1y">#REF!</definedName>
    <definedName name="M2x">#REF!</definedName>
    <definedName name="M2y">#REF!</definedName>
    <definedName name="MACHINE_EQUIPMENT">#REF!</definedName>
    <definedName name="MACHINE_EQUIPMENT_ENTRY">#REF!</definedName>
    <definedName name="Macro1">#REF!</definedName>
    <definedName name="Macro2">#REF!</definedName>
    <definedName name="macrocopy">#N/A</definedName>
    <definedName name="m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iantrev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nhole">#REF!</definedName>
    <definedName name="manish">#REF!</definedName>
    <definedName name="MarketType">#REF!</definedName>
    <definedName name="MarketType_4">#REF!</definedName>
    <definedName name="MarketType_6">#REF!</definedName>
    <definedName name="MarketType_Text">#REF!</definedName>
    <definedName name="MarketType_Text_4">#REF!</definedName>
    <definedName name="MarketType_Text_6">#REF!</definedName>
    <definedName name="Masonary">#REF!</definedName>
    <definedName name="masterlist">#N/A</definedName>
    <definedName name="Mat">#REF!</definedName>
    <definedName name="Material_rate_entry">#REF!</definedName>
    <definedName name="MATV">#REF!</definedName>
    <definedName name="mayflower">#REF!</definedName>
    <definedName name="MDF">#REF!</definedName>
    <definedName name="meest">#REF!</definedName>
    <definedName name="mehead">#REF!</definedName>
    <definedName name="mena">#REF!</definedName>
    <definedName name="MF">#REF!</definedName>
    <definedName name="MF___0">#REF!</definedName>
    <definedName name="MF___13">#REF!</definedName>
    <definedName name="MIS">#N/A</definedName>
    <definedName name="mm">#REF!</definedName>
    <definedName name="mmm">#REF!</definedName>
    <definedName name="mmmmmmmmmm">#REF!</definedName>
    <definedName name="mnvgdg">#REF!</definedName>
    <definedName name="mobi">#REF!</definedName>
    <definedName name="Mobilization">#REF!</definedName>
    <definedName name="Month1_Ending_Bal">#REF!</definedName>
    <definedName name="Month2_Ending_Bal">#REF!</definedName>
    <definedName name="Month3_Ending_Bal">#REF!</definedName>
    <definedName name="Month4_Ending_Bal">#REF!</definedName>
    <definedName name="Month5_Ending_Bal">#REF!</definedName>
    <definedName name="Month6_Ending_Bal">#REF!</definedName>
    <definedName name="MP" hidden="1">#REF!</definedName>
    <definedName name="ms">#REF!</definedName>
    <definedName name="MT_1">#REF!</definedName>
    <definedName name="MT_2">#REF!</definedName>
    <definedName name="MT_3">#REF!</definedName>
    <definedName name="MTV">#REF!</definedName>
    <definedName name="MV_1">#REF!</definedName>
    <definedName name="MV_2">#REF!</definedName>
    <definedName name="MV_3">#REF!</definedName>
    <definedName name="MV_4">#REF!</definedName>
    <definedName name="MV_5">#REF!</definedName>
    <definedName name="n">MATCH(0.01,End_Bal,-1)+1</definedName>
    <definedName name="N___0">#REF!</definedName>
    <definedName name="N___13">#REF!</definedName>
    <definedName name="nagapp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k">#REF!</definedName>
    <definedName name="NBMF">#REF!</definedName>
    <definedName name="Neck">#REF!</definedName>
    <definedName name="NEW">#REF!</definedName>
    <definedName name="nmmn">#REF!</definedName>
    <definedName name="NN">#REF!</definedName>
    <definedName name="NN___0">#REF!</definedName>
    <definedName name="NN___13">#REF!</definedName>
    <definedName name="nnn">#REF!</definedName>
    <definedName name="no">#REF!</definedName>
    <definedName name="nonmodular">#REF!</definedName>
    <definedName name="nonmodular_4">#REF!</definedName>
    <definedName name="nonmodular_6">#REF!</definedName>
    <definedName name="NOT_SPECIFIED">#REF!</definedName>
    <definedName name="not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tesu">#REF!</definedName>
    <definedName name="Num_Pmt_Per_Year">#REF!</definedName>
    <definedName name="Number_of_Payments">MATCH(0.01,End_Bal,-1)+1</definedName>
    <definedName name="Nx">#REF!</definedName>
    <definedName name="Nx___0">#REF!</definedName>
    <definedName name="Nx___13">#REF!</definedName>
    <definedName name="Ny">#REF!</definedName>
    <definedName name="Ny___0">#REF!</definedName>
    <definedName name="Ny___13">#REF!</definedName>
    <definedName name="o">#REF!</definedName>
    <definedName name="obpl">#REF!</definedName>
    <definedName name="octf">#REF!</definedName>
    <definedName name="OfficeBoys">#REF!</definedName>
    <definedName name="oio">#REF!</definedName>
    <definedName name="oipo">#REF!</definedName>
    <definedName name="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l">#REF!</definedName>
    <definedName name="ooooooooo">#REF!</definedName>
    <definedName name="ooopp">#REF!</definedName>
    <definedName name="Open">#REF!</definedName>
    <definedName name="option22">#REF!</definedName>
    <definedName name="osdnvkls" hidden="1">#REF!</definedName>
    <definedName name="OVER_HEADS_ENTRY">#REF!</definedName>
    <definedName name="Overall_Summary_Title">#REF!</definedName>
    <definedName name="OVERHEADS">#REF!</definedName>
    <definedName name="OwnAcctNum">#REF!</definedName>
    <definedName name="OwnAcctNum_4">#REF!</definedName>
    <definedName name="OwnAcctNum_6">#REF!</definedName>
    <definedName name="P">#REF!</definedName>
    <definedName name="p___0">#REF!</definedName>
    <definedName name="p___13">#REF!</definedName>
    <definedName name="pa">#REF!</definedName>
    <definedName name="pa___0">#REF!</definedName>
    <definedName name="pa___13">#REF!</definedName>
    <definedName name="Pane2">#REF!</definedName>
    <definedName name="Pane2___0">#REF!</definedName>
    <definedName name="Pane2___13">#REF!</definedName>
    <definedName name="par">#N/A</definedName>
    <definedName name="part">#REF!</definedName>
    <definedName name="paul">50000</definedName>
    <definedName name="Pay_Date">#REF!</definedName>
    <definedName name="Pay_Num">#REF!</definedName>
    <definedName name="Payment_Date">DATE(YEAR(Loan_Start),MONTH(Loan_Start)+Payment_Number,DAY(Loan_Start))</definedName>
    <definedName name="pb">#REF!</definedName>
    <definedName name="pb___0">#REF!</definedName>
    <definedName name="pb___11">#REF!</definedName>
    <definedName name="pb___12">#REF!</definedName>
    <definedName name="PBILL">#REF!</definedName>
    <definedName name="Pbx">#REF!</definedName>
    <definedName name="Pby">#REF!</definedName>
    <definedName name="PCC">#REF!</definedName>
    <definedName name="pd">#REF!</definedName>
    <definedName name="PD_1">#REF!</definedName>
    <definedName name="PEDESTAL">#REF!</definedName>
    <definedName name="pH">#REF!</definedName>
    <definedName name="pH___0">#REF!</definedName>
    <definedName name="pH___13">#REF!</definedName>
    <definedName name="PhaseCode">#REF!</definedName>
    <definedName name="pioi">#REF!</definedName>
    <definedName name="PL_1">#REF!</definedName>
    <definedName name="Plant">#REF!</definedName>
    <definedName name="plants">#REF!</definedName>
    <definedName name="Plinth_beam">#REF!</definedName>
    <definedName name="plumbing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YWOOD">#REF!</definedName>
    <definedName name="PM">#REF!</definedName>
    <definedName name="p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.1">#REF!</definedName>
    <definedName name="PO.2">#REF!</definedName>
    <definedName name="PO_1">#REF!</definedName>
    <definedName name="PO_2">#REF!</definedName>
    <definedName name="PO_3">#REF!</definedName>
    <definedName name="po_4">#REF!</definedName>
    <definedName name="po_6">#REF!</definedName>
    <definedName name="poles">#REF!</definedName>
    <definedName name="pp" hidden="1">#REF!</definedName>
    <definedName name="pppppppppp">#REF!</definedName>
    <definedName name="pr">#REF!</definedName>
    <definedName name="prasad145">#REF!</definedName>
    <definedName name="prasad146">#REF!</definedName>
    <definedName name="pre">#REF!</definedName>
    <definedName name="preli">#REF!</definedName>
    <definedName name="PRELIM">#REF!</definedName>
    <definedName name="Preliminaries">#REF!</definedName>
    <definedName name="preliminary">#REF!</definedName>
    <definedName name="prelim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m_Exp">#REF!</definedName>
    <definedName name="PREM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">#REF!</definedName>
    <definedName name="PrimeAddress">#REF!</definedName>
    <definedName name="PrimeAddress_4">#REF!</definedName>
    <definedName name="PrimeAddress_6">#REF!</definedName>
    <definedName name="PrimeCity">#REF!</definedName>
    <definedName name="PrimeCity_4">#REF!</definedName>
    <definedName name="PrimeCity_6">#REF!</definedName>
    <definedName name="PrimeName">#REF!</definedName>
    <definedName name="PrimeName_4">#REF!</definedName>
    <definedName name="PrimeName_6">#REF!</definedName>
    <definedName name="PrimePostal">#REF!</definedName>
    <definedName name="PrimePostal_4">#REF!</definedName>
    <definedName name="PrimePostal_6">#REF!</definedName>
    <definedName name="PrimePrio">#REF!</definedName>
    <definedName name="PrimePrio_4">#REF!</definedName>
    <definedName name="PrimePrio_6">#REF!</definedName>
    <definedName name="PrimePrio_Text">#REF!</definedName>
    <definedName name="PrimePrio_Text_4">#REF!</definedName>
    <definedName name="PrimePrio_Text_6">#REF!</definedName>
    <definedName name="PrimeState">#REF!</definedName>
    <definedName name="PrimeState_4">#REF!</definedName>
    <definedName name="PrimeState_6">#REF!</definedName>
    <definedName name="prin">#REF!</definedName>
    <definedName name="Princ">#REF!</definedName>
    <definedName name="Principal">#REF!</definedName>
    <definedName name="Print">#REF!</definedName>
    <definedName name="print_ar">#REF!</definedName>
    <definedName name="_xlnm.Print_Area">#REF!</definedName>
    <definedName name="PRINT_AREA_MI">#REF!</definedName>
    <definedName name="PRINT_AREA_MI___0">#REF!</definedName>
    <definedName name="PRINT_AREA_MI_4">#REF!</definedName>
    <definedName name="PRINT_AREA_MI_6">#REF!</definedName>
    <definedName name="Print_Area_Reset">OFFSET(Full_Print,0,0,Last_Row)</definedName>
    <definedName name="_xlnm.Print_Titles">#REF!</definedName>
    <definedName name="priya">#REF!</definedName>
    <definedName name="priya1">#REF!</definedName>
    <definedName name="pro">#REF!</definedName>
    <definedName name="PROD">#REF!</definedName>
    <definedName name="PROD_4">#REF!</definedName>
    <definedName name="PROD_6">#REF!</definedName>
    <definedName name="ProdCode1">#REF!</definedName>
    <definedName name="ProdCode1_4">#REF!</definedName>
    <definedName name="ProdCode1_6">#REF!</definedName>
    <definedName name="ProdCode1_Text">#REF!</definedName>
    <definedName name="ProdCode1_Text_4">#REF!</definedName>
    <definedName name="ProdCode1_Text_6">#REF!</definedName>
    <definedName name="ProdCode2">#REF!</definedName>
    <definedName name="ProdCode2_4">#REF!</definedName>
    <definedName name="ProdCode2_6">#REF!</definedName>
    <definedName name="ProdCode2_Text">#REF!</definedName>
    <definedName name="ProdCode2_Text_4">#REF!</definedName>
    <definedName name="ProdCode2_Text_6">#REF!</definedName>
    <definedName name="ProdCode3">#REF!</definedName>
    <definedName name="ProdCode3_4">#REF!</definedName>
    <definedName name="ProdCode3_6">#REF!</definedName>
    <definedName name="ProdCode3_Text">#REF!</definedName>
    <definedName name="ProdCode3_Text_4">#REF!</definedName>
    <definedName name="ProdCode3_Text_6">#REF!</definedName>
    <definedName name="PRODCODE3KJGSCJKSDHCV">#REF!</definedName>
    <definedName name="ProdCode4">#REF!</definedName>
    <definedName name="ProdCode4_4">#REF!</definedName>
    <definedName name="ProdCode4_6">#REF!</definedName>
    <definedName name="ProdCode4_Text">#REF!</definedName>
    <definedName name="ProdCode4_Text_4">#REF!</definedName>
    <definedName name="ProdCode4_Text_6">#REF!</definedName>
    <definedName name="ProdCode5">#REF!</definedName>
    <definedName name="ProdCode5_4">#REF!</definedName>
    <definedName name="ProdCode5_6">#REF!</definedName>
    <definedName name="ProdCode5_Text">#REF!</definedName>
    <definedName name="ProdCode5_Text_4">#REF!</definedName>
    <definedName name="ProdCode5_Text_6">#REF!</definedName>
    <definedName name="ProdPct1">#REF!</definedName>
    <definedName name="ProdPct1_4">#REF!</definedName>
    <definedName name="ProdPct1_6">#REF!</definedName>
    <definedName name="ProdPct2">#REF!</definedName>
    <definedName name="ProdPct2_4">#REF!</definedName>
    <definedName name="ProdPct2_6">#REF!</definedName>
    <definedName name="ProdPct3">#REF!</definedName>
    <definedName name="ProdPct3_4">#REF!</definedName>
    <definedName name="ProdPct3_6">#REF!</definedName>
    <definedName name="ProdPct4">#REF!</definedName>
    <definedName name="ProdPct4_4">#REF!</definedName>
    <definedName name="ProdPct4_6">#REF!</definedName>
    <definedName name="ProdPct5">#REF!</definedName>
    <definedName name="ProdPct5_4">#REF!</definedName>
    <definedName name="ProdPct5_6">#REF!</definedName>
    <definedName name="ProjAddress1">#REF!</definedName>
    <definedName name="ProjAddress1_4">#REF!</definedName>
    <definedName name="ProjAddress1_6">#REF!</definedName>
    <definedName name="ProjAddress2">#REF!</definedName>
    <definedName name="ProjAddress2_4">#REF!</definedName>
    <definedName name="ProjAddress2_6">#REF!</definedName>
    <definedName name="ProjCity">#REF!</definedName>
    <definedName name="ProjCity_4">#REF!</definedName>
    <definedName name="ProjCity_6">#REF!</definedName>
    <definedName name="ProjCity1">#REF!</definedName>
    <definedName name="ProjCountry">#REF!</definedName>
    <definedName name="ProjCountry_4">#REF!</definedName>
    <definedName name="ProjCountry_6">#REF!</definedName>
    <definedName name="ProjCounty">#REF!</definedName>
    <definedName name="ProjCounty_4">#REF!</definedName>
    <definedName name="ProjCounty_6">#REF!</definedName>
    <definedName name="project">#REF!</definedName>
    <definedName name="ProjectLocation">#REF!</definedName>
    <definedName name="ProjectNumber">#REF!</definedName>
    <definedName name="ProjectSubtitle">#REF!</definedName>
    <definedName name="ProjectTitle">#REF!</definedName>
    <definedName name="ProjName">#REF!</definedName>
    <definedName name="ProjName_4">#REF!</definedName>
    <definedName name="ProjName_6">#REF!</definedName>
    <definedName name="ProjNum">#REF!</definedName>
    <definedName name="ProjNum_4">#REF!</definedName>
    <definedName name="ProjNum_6">#REF!</definedName>
    <definedName name="ProjPostal">#REF!</definedName>
    <definedName name="ProjPostal_4">#REF!</definedName>
    <definedName name="ProjPostal_6">#REF!</definedName>
    <definedName name="ProjState">#REF!</definedName>
    <definedName name="ProjState_4">#REF!</definedName>
    <definedName name="ProjState_6">#REF!</definedName>
    <definedName name="PS">#REF!</definedName>
    <definedName name="PS___0">#REF!</definedName>
    <definedName name="PS___13">#REF!</definedName>
    <definedName name="PSABillingMethod">#REF!</definedName>
    <definedName name="PSABillingMethod_4">#REF!</definedName>
    <definedName name="PSABillingMethod_6">#REF!</definedName>
    <definedName name="pss">#REF!</definedName>
    <definedName name="pt">'[1]HF Blk 1'!#REF!</definedName>
    <definedName name="pun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z">#REF!</definedName>
    <definedName name="PV">#REF!</definedName>
    <definedName name="q">#REF!</definedName>
    <definedName name="qa">#REF!</definedName>
    <definedName name="Qc">#REF!</definedName>
    <definedName name="Qc___0">#REF!</definedName>
    <definedName name="Qc___13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hidden="1">#REF!</definedName>
    <definedName name="QRQWD">#REF!</definedName>
    <definedName name="Qspan">#REF!</definedName>
    <definedName name="QTY">#REF!</definedName>
    <definedName name="qua">#REF!</definedName>
    <definedName name="Quantity">#REF!</definedName>
    <definedName name="QUANTITY1">#REF!</definedName>
    <definedName name="Quantity2">#REF!</definedName>
    <definedName name="quar">#REF!</definedName>
    <definedName name="QUARTZ">#REF!</definedName>
    <definedName name="quotient">"denominator"</definedName>
    <definedName name="qw">#REF!</definedName>
    <definedName name="qwe">#REF!</definedName>
    <definedName name="qwerwqerwe">#REF!</definedName>
    <definedName name="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d">#REF!</definedName>
    <definedName name="radhika">#REF!</definedName>
    <definedName name="rahaer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NGE">#REF!</definedName>
    <definedName name="RANGE1">#REF!</definedName>
    <definedName name="RANGE2">#REF!</definedName>
    <definedName name="RANGE21">#REF!</definedName>
    <definedName name="range3">#REF!</definedName>
    <definedName name="RASH">#REF!</definedName>
    <definedName name="rashmi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">#REF!</definedName>
    <definedName name="Re___0">#REF!</definedName>
    <definedName name="Re___13">#REF!</definedName>
    <definedName name="rec">#REF!</definedName>
    <definedName name="Recon">#REF!</definedName>
    <definedName name="reconcilation">#REF!</definedName>
    <definedName name="reconcile">#REF!</definedName>
    <definedName name="Reconcole">#N/A</definedName>
    <definedName name="_xlnm.Recorder">#REF!</definedName>
    <definedName name="rect_4_415">#REF!</definedName>
    <definedName name="reee">#REF!</definedName>
    <definedName name="rege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ULAR_STAFF">#REF!</definedName>
    <definedName name="REGULAR_STAFF_ENTRY">#REF!</definedName>
    <definedName name="rel">#REF!</definedName>
    <definedName name="RES">#REF!</definedName>
    <definedName name="resd">#REF!</definedName>
    <definedName name="reswe" hidden="1">#REF!</definedName>
    <definedName name="Rev">#REF!</definedName>
    <definedName name="REVISED">#REF!</definedName>
    <definedName name="Revision">#REF!</definedName>
    <definedName name="REW">#REF!</definedName>
    <definedName name="rg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D">#REF!</definedName>
    <definedName name="rig">#REF!</definedName>
    <definedName name="rim4_4">#REF!</definedName>
    <definedName name="rim4_6">#REF!</definedName>
    <definedName name="Rl">#REF!</definedName>
    <definedName name="Rl___0">#REF!</definedName>
    <definedName name="Rl___13">#REF!</definedName>
    <definedName name="robot">#REF!</definedName>
    <definedName name="rosid">#REF!</definedName>
    <definedName name="RQQQ">#REF!</definedName>
    <definedName name="rr">#REF!</definedName>
    <definedName name="rrr">#REF!</definedName>
    <definedName name="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r">#REF!</definedName>
    <definedName name="rrrrrrrrr">#REF!</definedName>
    <definedName name="rrrrrrrrrr">#REF!</definedName>
    <definedName name="rrrrrrrrrrr">#REF!</definedName>
    <definedName name="Rs">#REF!</definedName>
    <definedName name="Rs___0">#REF!</definedName>
    <definedName name="Rs___13">#REF!</definedName>
    <definedName name="Rse">#REF!</definedName>
    <definedName name="Rse___0">#REF!</definedName>
    <definedName name="Rse___13">#REF!</definedName>
    <definedName name="rt">#REF!</definedName>
    <definedName name="rtr">#REF!</definedName>
    <definedName name="rtrt">#REF!</definedName>
    <definedName name="rtr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t">#REF!</definedName>
    <definedName name="rttrt">#REF!</definedName>
    <definedName name="rty">#REF!</definedName>
    <definedName name="rtyu">#REF!</definedName>
    <definedName name="RUT">#REF!</definedName>
    <definedName name="ryy">#REF!</definedName>
    <definedName name="S">#REF!</definedName>
    <definedName name="S0">#REF!</definedName>
    <definedName name="SA">#REF!</definedName>
    <definedName name="saa">#REF!</definedName>
    <definedName name="sadd">#REF!</definedName>
    <definedName name="sadfasdf">#REF!</definedName>
    <definedName name="sadfdasf" hidden="1">#REF!</definedName>
    <definedName name="sadfsadf">#REF!</definedName>
    <definedName name="sadfsdaf">#REF!</definedName>
    <definedName name="safe">#REF!</definedName>
    <definedName name="Safety">#REF!</definedName>
    <definedName name="salary">#REF!</definedName>
    <definedName name="SalesMgr">#REF!</definedName>
    <definedName name="SalesMgr_4">#REF!</definedName>
    <definedName name="SalesMgr_6">#REF!</definedName>
    <definedName name="SASDASD">#REF!</definedName>
    <definedName name="saucomd">#REF!</definedName>
    <definedName name="saucstf">#REF!</definedName>
    <definedName name="saud">#REF!</definedName>
    <definedName name="saud_4">#REF!</definedName>
    <definedName name="saud_6">#REF!</definedName>
    <definedName name="saudirf">#REF!</definedName>
    <definedName name="sauf">#REF!</definedName>
    <definedName name="sauf_4">#REF!</definedName>
    <definedName name="sauf_6">#REF!</definedName>
    <definedName name="sauif">#REF!</definedName>
    <definedName name="sauif_4">#REF!</definedName>
    <definedName name="sauif_6">#REF!</definedName>
    <definedName name="sauspad">#REF!</definedName>
    <definedName name="sausysd">#REF!</definedName>
    <definedName name="scaffolding" hidden="1">#REF!</definedName>
    <definedName name="SCC">#REF!</definedName>
    <definedName name="SCD">#REF!</definedName>
    <definedName name="SCE">#REF!</definedName>
    <definedName name="SCED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roll">#REF!</definedName>
    <definedName name="SD">#REF!</definedName>
    <definedName name="sdasd">#REF!</definedName>
    <definedName name="Sdate">#REF!</definedName>
    <definedName name="sddff">#REF!</definedName>
    <definedName name="sdfd">#REF!</definedName>
    <definedName name="sdfdf">#REF!</definedName>
    <definedName name="sdffggg">#REF!</definedName>
    <definedName name="sdffs">#REF!</definedName>
    <definedName name="sdffsd">#REF!</definedName>
    <definedName name="sdfgdsfgdf">#REF!</definedName>
    <definedName name="sdfgsdg">#N/A</definedName>
    <definedName name="sdfgsdsdsdf">#REF!</definedName>
    <definedName name="sdfjasdfklj">#REF!</definedName>
    <definedName name="SDFS">#REF!</definedName>
    <definedName name="sdfsd">#REF!</definedName>
    <definedName name="sdfsdf">#REF!</definedName>
    <definedName name="sdggdsfgsdf">#REF!</definedName>
    <definedName name="sdgsdht">#REF!</definedName>
    <definedName name="sdgsdsdf">#REF!</definedName>
    <definedName name="sdpl">#REF!</definedName>
    <definedName name="SDPLBS">#REF!</definedName>
    <definedName name="SDPLFA">#REF!</definedName>
    <definedName name="SDPLPL">#REF!</definedName>
    <definedName name="sdsd">#REF!</definedName>
    <definedName name="sdsss">#REF!</definedName>
    <definedName name="SDW">#REF!</definedName>
    <definedName name="se">#REF!</definedName>
    <definedName name="sec">#REF!</definedName>
    <definedName name="sec_deposit">#REF!</definedName>
    <definedName name="SECT">#REF!</definedName>
    <definedName name="sect1">#REF!</definedName>
    <definedName name="SECTION">#REF!</definedName>
    <definedName name="Section_1_Title">#REF!</definedName>
    <definedName name="Section_2_Title">#REF!</definedName>
    <definedName name="Section_3_Title">#REF!</definedName>
    <definedName name="Section_4_Title">#REF!</definedName>
    <definedName name="Section_5_Title">#REF!</definedName>
    <definedName name="Section_6_Title">#REF!</definedName>
    <definedName name="Section_7_Title">#REF!</definedName>
    <definedName name="Section_8_Title">#REF!</definedName>
    <definedName name="secured">#REF!</definedName>
    <definedName name="securi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lectedLanguage">#REF!</definedName>
    <definedName name="SelectedLanguage_4">#REF!</definedName>
    <definedName name="SelectedLanguage_6">#REF!</definedName>
    <definedName name="sencount" hidden="1">1</definedName>
    <definedName name="SER">#REF!</definedName>
    <definedName name="servf">#REF!</definedName>
    <definedName name="Setflag">#REF!</definedName>
    <definedName name="SF">#REF!</definedName>
    <definedName name="sfdfsd">#REF!</definedName>
    <definedName name="sfe" hidden="1">#REF!</definedName>
    <definedName name="sfff">#REF!</definedName>
    <definedName name="SFFSDF">#REF!</definedName>
    <definedName name="sffsff">#REF!</definedName>
    <definedName name="sffssd">#REF!</definedName>
    <definedName name="SFL">#REF!</definedName>
    <definedName name="sfsd">#REF!</definedName>
    <definedName name="SFSDFS">#REF!</definedName>
    <definedName name="SFSDFSD">#REF!</definedName>
    <definedName name="SFSDFSDF">#REF!</definedName>
    <definedName name="SFSDFSF">#REF!</definedName>
    <definedName name="sfsf">#REF!</definedName>
    <definedName name="sfsfs">#REF!</definedName>
    <definedName name="sfssdfs">#REF!</definedName>
    <definedName name="sfssf" hidden="1">#REF!</definedName>
    <definedName name="SFWEWFRWER">#REF!</definedName>
    <definedName name="sg">#REF!</definedName>
    <definedName name="sgfe" hidden="1">#REF!</definedName>
    <definedName name="sgfssfs">#REF!</definedName>
    <definedName name="sgggggg" hidden="1">#REF!</definedName>
    <definedName name="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ji545">#REF!</definedName>
    <definedName name="shank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r">#REF!</definedName>
    <definedName name="Shear" hidden="1">#REF!</definedName>
    <definedName name="Sheet" hidden="1">#REF!</definedName>
    <definedName name="sheet1">#REF!</definedName>
    <definedName name="sheet1___0">#REF!</definedName>
    <definedName name="sheet1___13">#REF!</definedName>
    <definedName name="SHOPBOQ">#REF!</definedName>
    <definedName name="SHOPHED">#REF!</definedName>
    <definedName name="SHRLMR">Scheduled_Payment+Extra_Payment</definedName>
    <definedName name="Sht">#REF!</definedName>
    <definedName name="si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ni">#REF!</definedName>
    <definedName name="SiteID">#REF!</definedName>
    <definedName name="SiteID_4">#REF!</definedName>
    <definedName name="SiteID_6">#REF!</definedName>
    <definedName name="SiteType">#REF!</definedName>
    <definedName name="SiteType_4">#REF!</definedName>
    <definedName name="SiteType_6">#REF!</definedName>
    <definedName name="siva">#REF!</definedName>
    <definedName name="sl">#REF!</definedName>
    <definedName name="SmallProj">#REF!</definedName>
    <definedName name="SmallProj_4">#REF!</definedName>
    <definedName name="SmallProj_6">#REF!</definedName>
    <definedName name="SmallProj_Text">#REF!</definedName>
    <definedName name="SmallProj_Text_4">#REF!</definedName>
    <definedName name="SmallProj_Text_6">#REF!</definedName>
    <definedName name="soasia" hidden="1">#REF!</definedName>
    <definedName name="sob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">#REF!</definedName>
    <definedName name="SOLA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VENT">#REF!</definedName>
    <definedName name="solvents">#REF!</definedName>
    <definedName name="sond">#REF!</definedName>
    <definedName name="sondf">#REF!</definedName>
    <definedName name="soo" hidden="1">#REF!</definedName>
    <definedName name="sp">#REF!</definedName>
    <definedName name="SP_1">#REF!</definedName>
    <definedName name="SP_2">#REF!</definedName>
    <definedName name="SP1Branch">#REF!</definedName>
    <definedName name="SP1Branch_4">#REF!</definedName>
    <definedName name="SP1Branch_6">#REF!</definedName>
    <definedName name="SP1Credit">#REF!</definedName>
    <definedName name="SP1Credit_4">#REF!</definedName>
    <definedName name="SP1Credit_6">#REF!</definedName>
    <definedName name="SP1Name">#REF!</definedName>
    <definedName name="SP1Name_4">#REF!</definedName>
    <definedName name="SP1Name_6">#REF!</definedName>
    <definedName name="SP1Number">#REF!</definedName>
    <definedName name="SP1Number_4">#REF!</definedName>
    <definedName name="SP1Number_6">#REF!</definedName>
    <definedName name="SP2Branch">#REF!</definedName>
    <definedName name="SP2Branch_4">#REF!</definedName>
    <definedName name="SP2Branch_6">#REF!</definedName>
    <definedName name="SP2Credit">#REF!</definedName>
    <definedName name="SP2Credit_4">#REF!</definedName>
    <definedName name="SP2Credit_6">#REF!</definedName>
    <definedName name="SP2Name">#REF!</definedName>
    <definedName name="SP2Name_4">#REF!</definedName>
    <definedName name="SP2Name_6">#REF!</definedName>
    <definedName name="SP2Number">#REF!</definedName>
    <definedName name="SP2Number_4">#REF!</definedName>
    <definedName name="SP2Number_6">#REF!</definedName>
    <definedName name="SP3Branch">#REF!</definedName>
    <definedName name="SP3Branch_4">#REF!</definedName>
    <definedName name="SP3Branch_6">#REF!</definedName>
    <definedName name="SP3Credit">#REF!</definedName>
    <definedName name="SP3Credit_4">#REF!</definedName>
    <definedName name="SP3Credit_6">#REF!</definedName>
    <definedName name="SP3Name">#REF!</definedName>
    <definedName name="SP3Name_4">#REF!</definedName>
    <definedName name="SP3Name_6">#REF!</definedName>
    <definedName name="SP3Number">#REF!</definedName>
    <definedName name="SP3Number_4">#REF!</definedName>
    <definedName name="SP3Number_6">#REF!</definedName>
    <definedName name="SP4Branch">#REF!</definedName>
    <definedName name="SP4Branch_4">#REF!</definedName>
    <definedName name="SP4Branch_6">#REF!</definedName>
    <definedName name="SP4Credit">#REF!</definedName>
    <definedName name="SP4Credit_4">#REF!</definedName>
    <definedName name="SP4Credit_6">#REF!</definedName>
    <definedName name="SP4Name">#REF!</definedName>
    <definedName name="SP4Name_4">#REF!</definedName>
    <definedName name="SP4Name_6">#REF!</definedName>
    <definedName name="SP4Number">#REF!</definedName>
    <definedName name="SP4Number_4">#REF!</definedName>
    <definedName name="SP4Number_6">#REF!</definedName>
    <definedName name="SP5Branch">#REF!</definedName>
    <definedName name="SP5Branch_4">#REF!</definedName>
    <definedName name="SP5Branch_6">#REF!</definedName>
    <definedName name="SP5Credit">#REF!</definedName>
    <definedName name="SP5Credit_4">#REF!</definedName>
    <definedName name="SP5Credit_6">#REF!</definedName>
    <definedName name="SP5Name">#REF!</definedName>
    <definedName name="SP5Name_4">#REF!</definedName>
    <definedName name="SP5Name_6">#REF!</definedName>
    <definedName name="SP5Number">#REF!</definedName>
    <definedName name="SP5Number_4">#REF!</definedName>
    <definedName name="SP5Number_6">#REF!</definedName>
    <definedName name="spares">#REF!</definedName>
    <definedName name="SpecClass">#REF!</definedName>
    <definedName name="SpecClass_4">#REF!</definedName>
    <definedName name="SpecClass_6">#REF!</definedName>
    <definedName name="SpecClass_Text">#REF!</definedName>
    <definedName name="SpecClass_Text_4">#REF!</definedName>
    <definedName name="SpecClass_Text_6">#REF!</definedName>
    <definedName name="SpecEnv1">#REF!</definedName>
    <definedName name="SpecEnv1_4">#REF!</definedName>
    <definedName name="SpecEnv1_6">#REF!</definedName>
    <definedName name="SpecEnv1_Text">#REF!</definedName>
    <definedName name="SpecEnv1_Text_4">#REF!</definedName>
    <definedName name="SpecEnv1_Text_6">#REF!</definedName>
    <definedName name="SpecEnv2">#REF!</definedName>
    <definedName name="SpecEnv2_4">#REF!</definedName>
    <definedName name="SpecEnv2_6">#REF!</definedName>
    <definedName name="SpecEnv2_Text">#REF!</definedName>
    <definedName name="SpecEnv2_Text_4">#REF!</definedName>
    <definedName name="SpecEnv2_Text_6">#REF!</definedName>
    <definedName name="SPLR">#REF!</definedName>
    <definedName name="SPLR_4">#REF!</definedName>
    <definedName name="SPLR_6">#REF!</definedName>
    <definedName name="sprare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DATE(YEAR(#REF!),MONTH(#REF!)+Payment_Number,DAY(#REF!))</definedName>
    <definedName name="SR_NO.">#REF!</definedName>
    <definedName name="srasf">#REF!</definedName>
    <definedName name="SRRRRR">#REF!</definedName>
    <definedName name="SrvcCode1">#REF!</definedName>
    <definedName name="SrvcCode1_4">#REF!</definedName>
    <definedName name="SrvcCode1_6">#REF!</definedName>
    <definedName name="SrvcCode1_Text">#REF!</definedName>
    <definedName name="SrvcCode1_Text_4">#REF!</definedName>
    <definedName name="SrvcCode1_Text_6">#REF!</definedName>
    <definedName name="SrvcCode2">#REF!</definedName>
    <definedName name="SrvcCode2_4">#REF!</definedName>
    <definedName name="SrvcCode2_6">#REF!</definedName>
    <definedName name="SrvcCode2_Text">#REF!</definedName>
    <definedName name="SrvcCode2_Text_4">#REF!</definedName>
    <definedName name="SrvcCode2_Text_6">#REF!</definedName>
    <definedName name="SrvcCode3">#REF!</definedName>
    <definedName name="SrvcCode3_4">#REF!</definedName>
    <definedName name="SrvcCode3_6">#REF!</definedName>
    <definedName name="SrvcCode3_Text">#REF!</definedName>
    <definedName name="SrvcCode3_Text_4">#REF!</definedName>
    <definedName name="SrvcCode3_Text_6">#REF!</definedName>
    <definedName name="SrvcCode4">#REF!</definedName>
    <definedName name="SrvcCode4_4">#REF!</definedName>
    <definedName name="SrvcCode4_6">#REF!</definedName>
    <definedName name="SrvcCode4_Text">#REF!</definedName>
    <definedName name="SrvcCode4_Text_4">#REF!</definedName>
    <definedName name="SrvcCode4_Text_6">#REF!</definedName>
    <definedName name="SrvcCode5">#REF!</definedName>
    <definedName name="SrvcCode5_4">#REF!</definedName>
    <definedName name="SrvcCode5_6">#REF!</definedName>
    <definedName name="SrvcCode5_Text">#REF!</definedName>
    <definedName name="SrvcCode5_Text_4">#REF!</definedName>
    <definedName name="SrvcCode5_Text_6">#REF!</definedName>
    <definedName name="ss">#REF!</definedName>
    <definedName name="ssa">#REF!</definedName>
    <definedName name="ssfsfsf">#REF!</definedName>
    <definedName name="ssfss">#REF!</definedName>
    <definedName name="ssfssf">#REF!</definedName>
    <definedName name="sss">#REF!</definedName>
    <definedName name="sssdsf">#REF!</definedName>
    <definedName name="sssss" hidden="1">#REF!</definedName>
    <definedName name="SSWEWE" hidden="1">#REF!</definedName>
    <definedName name="ST">#REF!</definedName>
    <definedName name="staffing">#REF!</definedName>
    <definedName name="Stage">#REF!</definedName>
    <definedName name="Staircase">#REF!</definedName>
    <definedName name="Staircase2">#REF!</definedName>
    <definedName name="Start_Date">#REF!</definedName>
    <definedName name="StartDate">#REF!</definedName>
    <definedName name="StartDate_4">#REF!</definedName>
    <definedName name="StartDate_6">#REF!</definedName>
    <definedName name="steel">#REF!</definedName>
    <definedName name="steelc.b.d">#REF!</definedName>
    <definedName name="stetr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ock">#REF!</definedName>
    <definedName name="stoolag08">#REF!</definedName>
    <definedName name="stoolag50">#REF!</definedName>
    <definedName name="stoolag81">#REF!</definedName>
    <definedName name="StrID">#REF!</definedName>
    <definedName name="structure">#REF!</definedName>
    <definedName name="stt">#REF!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ject">#REF!</definedName>
    <definedName name="SUMMARY">#REF!</definedName>
    <definedName name="suresh">#REF!</definedName>
    <definedName name="SURYA">#REF!</definedName>
    <definedName name="sushma">#REF!</definedName>
    <definedName name="swf">#REF!</definedName>
    <definedName name="swf_4">#REF!</definedName>
    <definedName name="swf_6">#REF!</definedName>
    <definedName name="swimmingpool">#REF!</definedName>
    <definedName name="sysysey">Scheduled_Payment+Extra_Payment</definedName>
    <definedName name="sytey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ysysy">#N/A</definedName>
    <definedName name="t">#REF!</definedName>
    <definedName name="t___0">#REF!</definedName>
    <definedName name="t___13">#REF!</definedName>
    <definedName name="T0">#REF!</definedName>
    <definedName name="TA_1">#REF!</definedName>
    <definedName name="TA_2">#REF!</definedName>
    <definedName name="Table">#REF!</definedName>
    <definedName name="table1">#REF!</definedName>
    <definedName name="TABLE2">#REF!</definedName>
    <definedName name="table3">#REF!</definedName>
    <definedName name="TABLE4">#REF!</definedName>
    <definedName name="TableRange">#REF!</definedName>
    <definedName name="ta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llu">#REF!</definedName>
    <definedName name="tally">#REF!</definedName>
    <definedName name="tc">#REF!</definedName>
    <definedName name="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CHI">#REF!</definedName>
    <definedName name="TechnoSpace">#REF!</definedName>
    <definedName name="tee">#REF!</definedName>
    <definedName name="tel">#REF!</definedName>
    <definedName name="TELEVISION">#REF!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ND">#REF!</definedName>
    <definedName name="TEs">#REF!</definedName>
    <definedName name="TEs___0">#REF!</definedName>
    <definedName name="TEs___13">#REF!</definedName>
    <definedName name="testse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t">#REF!</definedName>
    <definedName name="TEt___0">#REF!</definedName>
    <definedName name="TEt___13">#REF!</definedName>
    <definedName name="TF">#REF!</definedName>
    <definedName name="TFL">#REF!</definedName>
    <definedName name="TierCode">#REF!</definedName>
    <definedName name="TierCode_4">#REF!</definedName>
    <definedName name="TierCode_6">#REF!</definedName>
    <definedName name="TierCode_Text">#REF!</definedName>
    <definedName name="TierCode_Text_4">#REF!</definedName>
    <definedName name="TierCode_Text_6">#REF!</definedName>
    <definedName name="tileaq">#REF!</definedName>
    <definedName name="Timberstep">#REF!</definedName>
    <definedName name="Title">#REF!</definedName>
    <definedName name="Title1">#REF!</definedName>
    <definedName name="Title2">#REF!</definedName>
    <definedName name="tol">#REF!</definedName>
    <definedName name="tools">#REF!</definedName>
    <definedName name="tools1">#REF!</definedName>
    <definedName name="topl">#REF!</definedName>
    <definedName name="topn">#REF!</definedName>
    <definedName name="TOTAL_CONSUMPTION">#REF!</definedName>
    <definedName name="Total_Interest">#REF!</definedName>
    <definedName name="Total_Pay">#REF!</definedName>
    <definedName name="Total_Payment">Scheduled_Payment+Extra_Payment</definedName>
    <definedName name="towre">#REF!</definedName>
    <definedName name="tr">#REF!</definedName>
    <definedName name="tranformer" hidden="1">#REF!</definedName>
    <definedName name="TRAN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tr">#REF!</definedName>
    <definedName name="tS">#REF!</definedName>
    <definedName name="tS___0">#REF!</definedName>
    <definedName name="tS___13">#REF!</definedName>
    <definedName name="tt">#REF!</definedName>
    <definedName name="ttt" hidden="1">#REF!</definedName>
    <definedName name="tttt">#REF!</definedName>
    <definedName name="ttttt">#REF!</definedName>
    <definedName name="tttttt">#REF!</definedName>
    <definedName name="tttttttt">#REF!</definedName>
    <definedName name="ttttttttt">#REF!</definedName>
    <definedName name="tu">#REF!</definedName>
    <definedName name="TUES1">#REF!</definedName>
    <definedName name="tulip">#REF!</definedName>
    <definedName name="tuti" hidden="1">#REF!</definedName>
    <definedName name="tutyoiou">#N/A</definedName>
    <definedName name="TV">#REF!</definedName>
    <definedName name="TVV">#REF!</definedName>
    <definedName name="ty" hidden="1">#REF!</definedName>
    <definedName name="tyeesgy">#REF!</definedName>
    <definedName name="type">#REF!</definedName>
    <definedName name="Type1">#REF!</definedName>
    <definedName name="Type2">#REF!</definedName>
    <definedName name="Type3">#REF!</definedName>
    <definedName name="tyt">#REF!</definedName>
    <definedName name="tyy">#REF!</definedName>
    <definedName name="u">#REF!</definedName>
    <definedName name="UGF">#REF!</definedName>
    <definedName name="uiui">#REF!</definedName>
    <definedName name="uiyo">#REF!</definedName>
    <definedName name="UNITS">#REF!</definedName>
    <definedName name="unsecured">#REF!</definedName>
    <definedName name="usd">#REF!</definedName>
    <definedName name="Use_Alternates">#REF!</definedName>
    <definedName name="uu">#REF!</definedName>
    <definedName name="uuu">#REF!</definedName>
    <definedName name="uuuuuuuu">#REF!</definedName>
    <definedName name="uyiui">#REF!</definedName>
    <definedName name="va">#REF!</definedName>
    <definedName name="va___0">#REF!</definedName>
    <definedName name="va___13">#REF!</definedName>
    <definedName name="VA_1">#REF!</definedName>
    <definedName name="VA_2">#REF!</definedName>
    <definedName name="VA_3">#REF!</definedName>
    <definedName name="VADODARA_________________________________CLIENT_______________M_s">#REF!</definedName>
    <definedName name="vahas">#REF!</definedName>
    <definedName name="Values_Entered">IF(Loan_Amount*Interest_Rate*Loan_Years*Loan_Start&gt;0,1,0)</definedName>
    <definedName name="VANDEMATARAM">#REF!</definedName>
    <definedName name="variance">#REF!</definedName>
    <definedName name="variance..">#REF!</definedName>
    <definedName name="vatf">#REF!</definedName>
    <definedName name="vatf_4">#REF!</definedName>
    <definedName name="vatf_6">#REF!</definedName>
    <definedName name="VB">#REF!</definedName>
    <definedName name="vbv">#REF!</definedName>
    <definedName name="vbvb">#REF!</definedName>
    <definedName name="vc">#REF!</definedName>
    <definedName name="VD">#REF!</definedName>
    <definedName name="veh">#REF!</definedName>
    <definedName name="vehicle">#REF!</definedName>
    <definedName name="Velocity_DiCL">#REF!</definedName>
    <definedName name="Velocity_ORD">#REF!</definedName>
    <definedName name="Vend">#REF!</definedName>
    <definedName name="VENEER">#REF!</definedName>
    <definedName name="Vf">#REF!</definedName>
    <definedName name="vgj">#REF!</definedName>
    <definedName name="vijay">#REF!</definedName>
    <definedName name="VIVEKANANDA">#REF!</definedName>
    <definedName name="vjj">#REF!</definedName>
    <definedName name="VNFVBDVFBZDSD">#REF!</definedName>
    <definedName name="Vsigma">#REF!</definedName>
    <definedName name="vv">#REF!</definedName>
    <definedName name="vxckbmjklbgjnklgbmjh" hidden="1">#REF!</definedName>
    <definedName name="Vz">#REF!</definedName>
    <definedName name="w">#REF!</definedName>
    <definedName name="Waiting">"Picture 1"</definedName>
    <definedName name="Water_Proofing">#REF!</definedName>
    <definedName name="wdf">#REF!</definedName>
    <definedName name="we">#REF!</definedName>
    <definedName name="wee">#REF!</definedName>
    <definedName name="werwe">#REF!</definedName>
    <definedName name="wetewt">#REF!</definedName>
    <definedName name="wewe">#REF!</definedName>
    <definedName name="wfrwfrwefw">#REF!</definedName>
    <definedName name="WHITEWOOD">#REF!</definedName>
    <definedName name="wid">#REF!</definedName>
    <definedName name="wip">#REF!</definedName>
    <definedName name="WLP">#REF!</definedName>
    <definedName name="wood1344">#REF!</definedName>
    <definedName name="woodc.b.d">#REF!</definedName>
    <definedName name="woodenflooring">#REF!</definedName>
    <definedName name="work">#REF!</definedName>
    <definedName name="WP">#REF!</definedName>
    <definedName name="wreqwrt">#REF!</definedName>
    <definedName name="wrftw">#REF!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swww">#REF!</definedName>
    <definedName name="wtrwwefr">#REF!</definedName>
    <definedName name="ww" hidden="1">#REF!</definedName>
    <definedName name="wwwwww" hidden="1">#REF!</definedName>
    <definedName name="wwwwwwe" hidden="1">#REF!</definedName>
    <definedName name="x">#REF!</definedName>
    <definedName name="xc">#REF!</definedName>
    <definedName name="xcv">#REF!</definedName>
    <definedName name="Xl">#REF!</definedName>
    <definedName name="Xl___0">#REF!</definedName>
    <definedName name="Xl___13">#REF!</definedName>
    <definedName name="x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">#REF!</definedName>
    <definedName name="xy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z">#REF!</definedName>
    <definedName name="xzfvv">#REF!</definedName>
    <definedName name="y5ey">#REF!</definedName>
    <definedName name="y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ryeruj">#N/A</definedName>
    <definedName name="ystyet">#N/A</definedName>
    <definedName name="ysysyr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">#N/A</definedName>
    <definedName name="ytut">#N/A</definedName>
    <definedName name="yt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">#REF!</definedName>
    <definedName name="yuyu">#REF!</definedName>
    <definedName name="ywerteqrt">#REF!</definedName>
    <definedName name="yyy">#REF!</definedName>
    <definedName name="yyyyyyyyyyy">#REF!</definedName>
    <definedName name="z">#REF!</definedName>
    <definedName name="Z_01EEECA8_52E8_4BA6_B221_CB6D3C468C80_.wvu.Cols" hidden="1">#REF!</definedName>
    <definedName name="Z_01EEECA8_52E8_4BA6_B221_CB6D3C468C80_.wvu.FilterData" hidden="1">#REF!</definedName>
    <definedName name="Z_0B3EF283_BAAE_40DA_B109_606B8002D5D4_.wvu.FilterData" hidden="1">#REF!</definedName>
    <definedName name="Z_0C509CAE_4B28_497F_9463_E056D87AE422_.wvu.Rows" hidden="1">#REF!</definedName>
    <definedName name="Z_5A4CDE39_BC84_48C0_8208_6970E7A71896_.wvu.Cols" hidden="1">#REF!,#REF!,#REF!</definedName>
    <definedName name="Z_64FBE21F_D610_4122_B662_C1CA556F0E6B_.wvu.Rows" hidden="1">#REF!,#REF!</definedName>
    <definedName name="Z_67879F2D_A365_4C5F_ACA2_06A222DC585F_.wvu.FilterData" hidden="1">#REF!</definedName>
    <definedName name="Z_6CDCF69B_5AF1_4147_8314_DDC51BBAE13A_.wvu.FilterData" hidden="1">#REF!</definedName>
    <definedName name="Z_821080B5_A53F_46D5_A7A8_C550E9A6DB8E_.wvu.Rows" hidden="1">#REF!</definedName>
    <definedName name="Z_89FC4C3A_6586_42BA_B0E6_F0959042E6A0_.wvu.Rows" hidden="1">#REF!</definedName>
    <definedName name="Z_8FCC9949_BB10_48DD_835F_9D6E68B3AE12_.wvu.PrintTitles" hidden="1">#REF!</definedName>
    <definedName name="Z_8FCC9949_BB10_48DD_835F_9D6E68B3AE12_.wvu.Rows" hidden="1">#REF!,#REF!</definedName>
    <definedName name="Z_97AF8B62_D04D_48F2_A853_93998C7922D6_.wvu.FilterData" hidden="1">#REF!</definedName>
    <definedName name="Z_9F278A40_BF82_4E3D_9E8B_F7A34E58042E_.wvu.FilterData" hidden="1">#REF!</definedName>
    <definedName name="Z_E61184E6_4A82_48AD_BD46_AD03682B9E61_.wvu.Rows" hidden="1">#REF!</definedName>
    <definedName name="Z_EA424862_9DB5_4158_B57E_464B76E20666_.wvu.FilterData" hidden="1">#REF!</definedName>
    <definedName name="Z_F56F135F_44F3_478B_BCC3_5E739B702BEF_.wvu.Cols" hidden="1">#REF!</definedName>
    <definedName name="Z_F56F135F_44F3_478B_BCC3_5E739B702BEF_.wvu.FilterData" hidden="1">#REF!</definedName>
    <definedName name="Z_F56F135F_44F3_478B_BCC3_5E739B702BEF_.wvu.PrintTitles" hidden="1">#REF!,#REF!</definedName>
    <definedName name="ZAS">#REF!</definedName>
    <definedName name="za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e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dgfeg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vzv">#REF!</definedName>
    <definedName name="zx">#REF!</definedName>
    <definedName name="zxv">#REF!</definedName>
    <definedName name="zxvxzcvb">#REF!</definedName>
    <definedName name="ZY">#REF!</definedName>
    <definedName name="ZY___0">#REF!</definedName>
    <definedName name="ZY___13">#REF!</definedName>
    <definedName name="zz">#REF!</definedName>
    <definedName name="zz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3" i="1" l="1"/>
  <c r="V3" i="1"/>
  <c r="U3" i="1"/>
  <c r="T3" i="1"/>
  <c r="S3" i="1"/>
  <c r="R3" i="1"/>
  <c r="Q3" i="1"/>
  <c r="S1072" i="1"/>
  <c r="R1072" i="1"/>
  <c r="Q1072" i="1"/>
  <c r="O1072" i="1"/>
  <c r="E1072" i="1"/>
  <c r="F1072" i="1" s="1"/>
  <c r="D1072" i="1"/>
  <c r="W1071" i="1"/>
  <c r="V1071" i="1"/>
  <c r="U1071" i="1"/>
  <c r="T1071" i="1"/>
  <c r="S1071" i="1"/>
  <c r="R1071" i="1"/>
  <c r="O1071" i="1"/>
  <c r="F1071" i="1"/>
  <c r="P1071" i="1" s="1"/>
  <c r="Q1071" i="1" s="1"/>
  <c r="W1070" i="1"/>
  <c r="V1070" i="1"/>
  <c r="U1070" i="1"/>
  <c r="T1070" i="1"/>
  <c r="S1070" i="1"/>
  <c r="R1070" i="1"/>
  <c r="Q1070" i="1"/>
  <c r="G1070" i="1"/>
  <c r="O1070" i="1" s="1"/>
  <c r="P1070" i="1" s="1"/>
  <c r="W1069" i="1"/>
  <c r="V1069" i="1"/>
  <c r="U1069" i="1"/>
  <c r="T1069" i="1"/>
  <c r="R1069" i="1"/>
  <c r="Q1069" i="1"/>
  <c r="G1069" i="1"/>
  <c r="O1069" i="1" s="1"/>
  <c r="P1069" i="1" s="1"/>
  <c r="S1069" i="1" s="1"/>
  <c r="W1068" i="1"/>
  <c r="V1068" i="1"/>
  <c r="U1068" i="1"/>
  <c r="T1068" i="1"/>
  <c r="R1068" i="1"/>
  <c r="Q1068" i="1"/>
  <c r="G1068" i="1"/>
  <c r="O1068" i="1" s="1"/>
  <c r="P1068" i="1" s="1"/>
  <c r="S1068" i="1" s="1"/>
  <c r="W1067" i="1"/>
  <c r="V1067" i="1"/>
  <c r="U1067" i="1"/>
  <c r="S1067" i="1"/>
  <c r="R1067" i="1"/>
  <c r="Q1067" i="1"/>
  <c r="G1067" i="1"/>
  <c r="O1067" i="1" s="1"/>
  <c r="P1067" i="1" s="1"/>
  <c r="T1067" i="1" s="1"/>
  <c r="M1066" i="1"/>
  <c r="L1066" i="1"/>
  <c r="K1066" i="1"/>
  <c r="I1066" i="1"/>
  <c r="H1066" i="1"/>
  <c r="J1066" i="1" s="1"/>
  <c r="N1066" i="1" s="1"/>
  <c r="W1065" i="1"/>
  <c r="V1065" i="1"/>
  <c r="U1065" i="1"/>
  <c r="T1065" i="1"/>
  <c r="S1065" i="1"/>
  <c r="R1065" i="1"/>
  <c r="O1065" i="1"/>
  <c r="F1065" i="1"/>
  <c r="W1064" i="1"/>
  <c r="V1064" i="1"/>
  <c r="U1064" i="1"/>
  <c r="S1064" i="1"/>
  <c r="R1064" i="1"/>
  <c r="Q1064" i="1"/>
  <c r="G1064" i="1"/>
  <c r="O1064" i="1" s="1"/>
  <c r="P1064" i="1" s="1"/>
  <c r="T1064" i="1" s="1"/>
  <c r="W1063" i="1"/>
  <c r="V1063" i="1"/>
  <c r="U1063" i="1"/>
  <c r="S1063" i="1"/>
  <c r="R1063" i="1"/>
  <c r="Q1063" i="1"/>
  <c r="G1063" i="1"/>
  <c r="O1063" i="1" s="1"/>
  <c r="P1063" i="1" s="1"/>
  <c r="T1063" i="1" s="1"/>
  <c r="M1062" i="1"/>
  <c r="L1062" i="1"/>
  <c r="K1062" i="1"/>
  <c r="I1062" i="1"/>
  <c r="H1062" i="1"/>
  <c r="J1062" i="1" s="1"/>
  <c r="N1062" i="1" s="1"/>
  <c r="O1061" i="1"/>
  <c r="E1061" i="1"/>
  <c r="F1061" i="1" s="1"/>
  <c r="D1061" i="1"/>
  <c r="E1060" i="1"/>
  <c r="F1060" i="1" s="1"/>
  <c r="D1060" i="1"/>
  <c r="S1060" i="1" s="1"/>
  <c r="W1059" i="1"/>
  <c r="V1059" i="1"/>
  <c r="U1059" i="1"/>
  <c r="T1059" i="1"/>
  <c r="S1059" i="1"/>
  <c r="Q1059" i="1"/>
  <c r="O1059" i="1"/>
  <c r="F1059" i="1"/>
  <c r="W1058" i="1"/>
  <c r="V1058" i="1"/>
  <c r="U1058" i="1"/>
  <c r="S1058" i="1"/>
  <c r="R1058" i="1"/>
  <c r="Q1058" i="1"/>
  <c r="O1058" i="1"/>
  <c r="P1058" i="1" s="1"/>
  <c r="T1058" i="1" s="1"/>
  <c r="G1058" i="1"/>
  <c r="W1057" i="1"/>
  <c r="V1057" i="1"/>
  <c r="T1057" i="1"/>
  <c r="S1057" i="1"/>
  <c r="R1057" i="1"/>
  <c r="Q1057" i="1"/>
  <c r="G1057" i="1"/>
  <c r="O1057" i="1" s="1"/>
  <c r="P1057" i="1" s="1"/>
  <c r="U1057" i="1" s="1"/>
  <c r="W1056" i="1"/>
  <c r="V1056" i="1"/>
  <c r="U1056" i="1"/>
  <c r="S1056" i="1"/>
  <c r="X1056" i="1" s="1"/>
  <c r="R1056" i="1"/>
  <c r="Q1056" i="1"/>
  <c r="G1056" i="1"/>
  <c r="O1056" i="1" s="1"/>
  <c r="P1056" i="1" s="1"/>
  <c r="T1056" i="1" s="1"/>
  <c r="W1055" i="1"/>
  <c r="V1055" i="1"/>
  <c r="T1055" i="1"/>
  <c r="S1055" i="1"/>
  <c r="R1055" i="1"/>
  <c r="Q1055" i="1"/>
  <c r="G1055" i="1"/>
  <c r="O1055" i="1" s="1"/>
  <c r="P1055" i="1" s="1"/>
  <c r="U1055" i="1" s="1"/>
  <c r="M1054" i="1"/>
  <c r="L1054" i="1"/>
  <c r="K1054" i="1"/>
  <c r="I1054" i="1"/>
  <c r="H1054" i="1"/>
  <c r="J1054" i="1" s="1"/>
  <c r="N1054" i="1" s="1"/>
  <c r="W1053" i="1"/>
  <c r="V1053" i="1"/>
  <c r="U1053" i="1"/>
  <c r="T1053" i="1"/>
  <c r="S1053" i="1"/>
  <c r="R1053" i="1"/>
  <c r="O1053" i="1"/>
  <c r="F1053" i="1"/>
  <c r="W1052" i="1"/>
  <c r="V1052" i="1"/>
  <c r="U1052" i="1"/>
  <c r="T1052" i="1"/>
  <c r="R1052" i="1"/>
  <c r="Q1052" i="1"/>
  <c r="G1052" i="1"/>
  <c r="O1052" i="1" s="1"/>
  <c r="P1052" i="1" s="1"/>
  <c r="S1052" i="1" s="1"/>
  <c r="W1051" i="1"/>
  <c r="V1051" i="1"/>
  <c r="U1051" i="1"/>
  <c r="T1051" i="1"/>
  <c r="R1051" i="1"/>
  <c r="Q1051" i="1"/>
  <c r="G1051" i="1"/>
  <c r="O1051" i="1" s="1"/>
  <c r="P1051" i="1" s="1"/>
  <c r="S1051" i="1" s="1"/>
  <c r="M1050" i="1"/>
  <c r="L1050" i="1"/>
  <c r="K1050" i="1"/>
  <c r="I1050" i="1"/>
  <c r="H1050" i="1"/>
  <c r="J1050" i="1" s="1"/>
  <c r="N1050" i="1" s="1"/>
  <c r="O1049" i="1"/>
  <c r="E1049" i="1"/>
  <c r="F1049" i="1" s="1"/>
  <c r="D1049" i="1"/>
  <c r="U1049" i="1" s="1"/>
  <c r="E1048" i="1"/>
  <c r="F1048" i="1" s="1"/>
  <c r="D1048" i="1"/>
  <c r="W1047" i="1"/>
  <c r="V1047" i="1"/>
  <c r="U1047" i="1"/>
  <c r="T1047" i="1"/>
  <c r="S1047" i="1"/>
  <c r="Q1047" i="1"/>
  <c r="O1047" i="1"/>
  <c r="F1047" i="1"/>
  <c r="W1046" i="1"/>
  <c r="V1046" i="1"/>
  <c r="T1046" i="1"/>
  <c r="S1046" i="1"/>
  <c r="R1046" i="1"/>
  <c r="Q1046" i="1"/>
  <c r="G1046" i="1"/>
  <c r="O1046" i="1" s="1"/>
  <c r="P1046" i="1" s="1"/>
  <c r="U1046" i="1" s="1"/>
  <c r="W1045" i="1"/>
  <c r="U1045" i="1"/>
  <c r="T1045" i="1"/>
  <c r="S1045" i="1"/>
  <c r="R1045" i="1"/>
  <c r="Q1045" i="1"/>
  <c r="G1045" i="1"/>
  <c r="O1045" i="1" s="1"/>
  <c r="P1045" i="1" s="1"/>
  <c r="V1045" i="1" s="1"/>
  <c r="W1044" i="1"/>
  <c r="V1044" i="1"/>
  <c r="T1044" i="1"/>
  <c r="S1044" i="1"/>
  <c r="R1044" i="1"/>
  <c r="Q1044" i="1"/>
  <c r="G1044" i="1"/>
  <c r="O1044" i="1" s="1"/>
  <c r="P1044" i="1" s="1"/>
  <c r="U1044" i="1" s="1"/>
  <c r="W1043" i="1"/>
  <c r="U1043" i="1"/>
  <c r="T1043" i="1"/>
  <c r="S1043" i="1"/>
  <c r="R1043" i="1"/>
  <c r="Q1043" i="1"/>
  <c r="G1043" i="1"/>
  <c r="O1043" i="1" s="1"/>
  <c r="P1043" i="1" s="1"/>
  <c r="V1043" i="1" s="1"/>
  <c r="M1042" i="1"/>
  <c r="L1042" i="1"/>
  <c r="K1042" i="1"/>
  <c r="I1042" i="1"/>
  <c r="H1042" i="1"/>
  <c r="J1042" i="1" s="1"/>
  <c r="N1042" i="1" s="1"/>
  <c r="U1041" i="1"/>
  <c r="O1041" i="1"/>
  <c r="E1041" i="1"/>
  <c r="F1041" i="1" s="1"/>
  <c r="D1041" i="1"/>
  <c r="W1041" i="1" s="1"/>
  <c r="V1040" i="1"/>
  <c r="E1040" i="1"/>
  <c r="F1040" i="1" s="1"/>
  <c r="D1040" i="1"/>
  <c r="U1040" i="1" s="1"/>
  <c r="W1039" i="1"/>
  <c r="V1039" i="1"/>
  <c r="U1039" i="1"/>
  <c r="T1039" i="1"/>
  <c r="R1039" i="1"/>
  <c r="Q1039" i="1"/>
  <c r="O1039" i="1"/>
  <c r="F1039" i="1"/>
  <c r="V1038" i="1"/>
  <c r="U1038" i="1"/>
  <c r="T1038" i="1"/>
  <c r="S1038" i="1"/>
  <c r="R1038" i="1"/>
  <c r="Q1038" i="1"/>
  <c r="G1038" i="1"/>
  <c r="O1038" i="1" s="1"/>
  <c r="P1038" i="1" s="1"/>
  <c r="W1038" i="1" s="1"/>
  <c r="V1037" i="1"/>
  <c r="U1037" i="1"/>
  <c r="T1037" i="1"/>
  <c r="S1037" i="1"/>
  <c r="R1037" i="1"/>
  <c r="Q1037" i="1"/>
  <c r="G1037" i="1"/>
  <c r="O1037" i="1" s="1"/>
  <c r="P1037" i="1" s="1"/>
  <c r="W1037" i="1" s="1"/>
  <c r="V1036" i="1"/>
  <c r="U1036" i="1"/>
  <c r="T1036" i="1"/>
  <c r="S1036" i="1"/>
  <c r="R1036" i="1"/>
  <c r="Q1036" i="1"/>
  <c r="G1036" i="1"/>
  <c r="O1036" i="1" s="1"/>
  <c r="P1036" i="1" s="1"/>
  <c r="W1036" i="1" s="1"/>
  <c r="V1035" i="1"/>
  <c r="U1035" i="1"/>
  <c r="T1035" i="1"/>
  <c r="S1035" i="1"/>
  <c r="R1035" i="1"/>
  <c r="Q1035" i="1"/>
  <c r="G1035" i="1"/>
  <c r="O1035" i="1" s="1"/>
  <c r="P1035" i="1" s="1"/>
  <c r="W1035" i="1" s="1"/>
  <c r="M1034" i="1"/>
  <c r="L1034" i="1"/>
  <c r="K1034" i="1"/>
  <c r="I1034" i="1"/>
  <c r="H1034" i="1"/>
  <c r="J1034" i="1" s="1"/>
  <c r="N1034" i="1" s="1"/>
  <c r="O1033" i="1"/>
  <c r="E1033" i="1"/>
  <c r="F1033" i="1" s="1"/>
  <c r="D1033" i="1"/>
  <c r="W1032" i="1"/>
  <c r="V1032" i="1"/>
  <c r="U1032" i="1"/>
  <c r="T1032" i="1"/>
  <c r="R1032" i="1"/>
  <c r="Q1032" i="1"/>
  <c r="O1032" i="1"/>
  <c r="F1032" i="1"/>
  <c r="W1031" i="1"/>
  <c r="V1031" i="1"/>
  <c r="T1031" i="1"/>
  <c r="S1031" i="1"/>
  <c r="R1031" i="1"/>
  <c r="Q1031" i="1"/>
  <c r="G1031" i="1"/>
  <c r="O1031" i="1" s="1"/>
  <c r="P1031" i="1" s="1"/>
  <c r="U1031" i="1" s="1"/>
  <c r="W1030" i="1"/>
  <c r="U1030" i="1"/>
  <c r="T1030" i="1"/>
  <c r="S1030" i="1"/>
  <c r="R1030" i="1"/>
  <c r="Q1030" i="1"/>
  <c r="G1030" i="1"/>
  <c r="O1030" i="1" s="1"/>
  <c r="P1030" i="1" s="1"/>
  <c r="V1030" i="1" s="1"/>
  <c r="W1029" i="1"/>
  <c r="V1029" i="1"/>
  <c r="T1029" i="1"/>
  <c r="S1029" i="1"/>
  <c r="R1029" i="1"/>
  <c r="Q1029" i="1"/>
  <c r="G1029" i="1"/>
  <c r="O1029" i="1" s="1"/>
  <c r="P1029" i="1" s="1"/>
  <c r="U1029" i="1" s="1"/>
  <c r="W1028" i="1"/>
  <c r="U1028" i="1"/>
  <c r="T1028" i="1"/>
  <c r="S1028" i="1"/>
  <c r="R1028" i="1"/>
  <c r="Q1028" i="1"/>
  <c r="G1028" i="1"/>
  <c r="O1028" i="1" s="1"/>
  <c r="P1028" i="1" s="1"/>
  <c r="V1028" i="1" s="1"/>
  <c r="W1027" i="1"/>
  <c r="U1027" i="1"/>
  <c r="T1027" i="1"/>
  <c r="S1027" i="1"/>
  <c r="R1027" i="1"/>
  <c r="Q1027" i="1"/>
  <c r="G1027" i="1"/>
  <c r="O1027" i="1" s="1"/>
  <c r="P1027" i="1" s="1"/>
  <c r="V1027" i="1" s="1"/>
  <c r="M1026" i="1"/>
  <c r="L1026" i="1"/>
  <c r="K1026" i="1"/>
  <c r="I1026" i="1"/>
  <c r="H1026" i="1"/>
  <c r="J1026" i="1" s="1"/>
  <c r="N1026" i="1" s="1"/>
  <c r="W1025" i="1"/>
  <c r="V1025" i="1"/>
  <c r="U1025" i="1"/>
  <c r="T1025" i="1"/>
  <c r="R1025" i="1"/>
  <c r="Q1025" i="1"/>
  <c r="O1025" i="1"/>
  <c r="P1025" i="1" s="1"/>
  <c r="S1025" i="1" s="1"/>
  <c r="F1025" i="1"/>
  <c r="W1024" i="1"/>
  <c r="V1024" i="1"/>
  <c r="T1024" i="1"/>
  <c r="S1024" i="1"/>
  <c r="R1024" i="1"/>
  <c r="Q1024" i="1"/>
  <c r="G1024" i="1"/>
  <c r="O1024" i="1" s="1"/>
  <c r="P1024" i="1" s="1"/>
  <c r="U1024" i="1" s="1"/>
  <c r="W1023" i="1"/>
  <c r="V1023" i="1"/>
  <c r="T1023" i="1"/>
  <c r="S1023" i="1"/>
  <c r="R1023" i="1"/>
  <c r="Q1023" i="1"/>
  <c r="G1023" i="1"/>
  <c r="O1023" i="1" s="1"/>
  <c r="P1023" i="1" s="1"/>
  <c r="U1023" i="1" s="1"/>
  <c r="M1022" i="1"/>
  <c r="L1022" i="1"/>
  <c r="K1022" i="1"/>
  <c r="I1022" i="1"/>
  <c r="H1022" i="1"/>
  <c r="J1022" i="1" s="1"/>
  <c r="N1022" i="1" s="1"/>
  <c r="W1021" i="1"/>
  <c r="V1021" i="1"/>
  <c r="U1021" i="1"/>
  <c r="T1021" i="1"/>
  <c r="S1021" i="1"/>
  <c r="Q1021" i="1"/>
  <c r="O1021" i="1"/>
  <c r="F1021" i="1"/>
  <c r="P1021" i="1" s="1"/>
  <c r="R1021" i="1" s="1"/>
  <c r="W1020" i="1"/>
  <c r="V1020" i="1"/>
  <c r="T1020" i="1"/>
  <c r="S1020" i="1"/>
  <c r="R1020" i="1"/>
  <c r="Q1020" i="1"/>
  <c r="G1020" i="1"/>
  <c r="O1020" i="1" s="1"/>
  <c r="P1020" i="1" s="1"/>
  <c r="U1020" i="1" s="1"/>
  <c r="W1019" i="1"/>
  <c r="V1019" i="1"/>
  <c r="T1019" i="1"/>
  <c r="S1019" i="1"/>
  <c r="R1019" i="1"/>
  <c r="Q1019" i="1"/>
  <c r="G1019" i="1"/>
  <c r="O1019" i="1" s="1"/>
  <c r="P1019" i="1" s="1"/>
  <c r="U1019" i="1" s="1"/>
  <c r="M1018" i="1"/>
  <c r="L1018" i="1"/>
  <c r="K1018" i="1"/>
  <c r="I1018" i="1"/>
  <c r="H1018" i="1"/>
  <c r="J1018" i="1" s="1"/>
  <c r="N1018" i="1" s="1"/>
  <c r="W1017" i="1"/>
  <c r="V1017" i="1"/>
  <c r="U1017" i="1"/>
  <c r="T1017" i="1"/>
  <c r="S1017" i="1"/>
  <c r="R1017" i="1"/>
  <c r="O1017" i="1"/>
  <c r="F1017" i="1"/>
  <c r="W1016" i="1"/>
  <c r="V1016" i="1"/>
  <c r="U1016" i="1"/>
  <c r="S1016" i="1"/>
  <c r="R1016" i="1"/>
  <c r="Q1016" i="1"/>
  <c r="G1016" i="1"/>
  <c r="O1016" i="1" s="1"/>
  <c r="P1016" i="1" s="1"/>
  <c r="T1016" i="1" s="1"/>
  <c r="W1015" i="1"/>
  <c r="V1015" i="1"/>
  <c r="U1015" i="1"/>
  <c r="S1015" i="1"/>
  <c r="R1015" i="1"/>
  <c r="Q1015" i="1"/>
  <c r="G1015" i="1"/>
  <c r="O1015" i="1" s="1"/>
  <c r="P1015" i="1" s="1"/>
  <c r="T1015" i="1" s="1"/>
  <c r="M1014" i="1"/>
  <c r="L1014" i="1"/>
  <c r="K1014" i="1"/>
  <c r="I1014" i="1"/>
  <c r="H1014" i="1"/>
  <c r="J1014" i="1" s="1"/>
  <c r="N1014" i="1" s="1"/>
  <c r="O1013" i="1"/>
  <c r="E1013" i="1"/>
  <c r="F1013" i="1" s="1"/>
  <c r="P1013" i="1" s="1"/>
  <c r="D1013" i="1"/>
  <c r="E1012" i="1"/>
  <c r="F1012" i="1" s="1"/>
  <c r="D1012" i="1"/>
  <c r="W1012" i="1" s="1"/>
  <c r="W1011" i="1"/>
  <c r="V1011" i="1"/>
  <c r="U1011" i="1"/>
  <c r="T1011" i="1"/>
  <c r="R1011" i="1"/>
  <c r="Q1011" i="1"/>
  <c r="O1011" i="1"/>
  <c r="P1011" i="1" s="1"/>
  <c r="S1011" i="1" s="1"/>
  <c r="F1011" i="1"/>
  <c r="W1010" i="1"/>
  <c r="V1010" i="1"/>
  <c r="T1010" i="1"/>
  <c r="S1010" i="1"/>
  <c r="R1010" i="1"/>
  <c r="Q1010" i="1"/>
  <c r="G1010" i="1"/>
  <c r="O1010" i="1" s="1"/>
  <c r="P1010" i="1" s="1"/>
  <c r="U1010" i="1" s="1"/>
  <c r="W1009" i="1"/>
  <c r="U1009" i="1"/>
  <c r="T1009" i="1"/>
  <c r="S1009" i="1"/>
  <c r="R1009" i="1"/>
  <c r="Q1009" i="1"/>
  <c r="G1009" i="1"/>
  <c r="O1009" i="1" s="1"/>
  <c r="P1009" i="1" s="1"/>
  <c r="V1009" i="1" s="1"/>
  <c r="W1008" i="1"/>
  <c r="V1008" i="1"/>
  <c r="T1008" i="1"/>
  <c r="S1008" i="1"/>
  <c r="R1008" i="1"/>
  <c r="Q1008" i="1"/>
  <c r="G1008" i="1"/>
  <c r="O1008" i="1" s="1"/>
  <c r="P1008" i="1" s="1"/>
  <c r="U1008" i="1" s="1"/>
  <c r="W1007" i="1"/>
  <c r="U1007" i="1"/>
  <c r="T1007" i="1"/>
  <c r="S1007" i="1"/>
  <c r="R1007" i="1"/>
  <c r="Q1007" i="1"/>
  <c r="G1007" i="1"/>
  <c r="O1007" i="1" s="1"/>
  <c r="P1007" i="1" s="1"/>
  <c r="V1007" i="1" s="1"/>
  <c r="N1006" i="1"/>
  <c r="L1006" i="1"/>
  <c r="K1006" i="1"/>
  <c r="I1006" i="1"/>
  <c r="H1006" i="1"/>
  <c r="J1006" i="1" s="1"/>
  <c r="M1006" i="1" s="1"/>
  <c r="T1005" i="1"/>
  <c r="O1005" i="1"/>
  <c r="E1005" i="1"/>
  <c r="F1005" i="1" s="1"/>
  <c r="P1005" i="1" s="1"/>
  <c r="D1005" i="1"/>
  <c r="S1005" i="1" s="1"/>
  <c r="E1004" i="1"/>
  <c r="F1004" i="1" s="1"/>
  <c r="D1004" i="1"/>
  <c r="W1003" i="1"/>
  <c r="V1003" i="1"/>
  <c r="U1003" i="1"/>
  <c r="T1003" i="1"/>
  <c r="R1003" i="1"/>
  <c r="Q1003" i="1"/>
  <c r="O1003" i="1"/>
  <c r="F1003" i="1"/>
  <c r="W1002" i="1"/>
  <c r="V1002" i="1"/>
  <c r="T1002" i="1"/>
  <c r="S1002" i="1"/>
  <c r="R1002" i="1"/>
  <c r="Q1002" i="1"/>
  <c r="G1002" i="1"/>
  <c r="O1002" i="1" s="1"/>
  <c r="P1002" i="1" s="1"/>
  <c r="U1002" i="1" s="1"/>
  <c r="W1001" i="1"/>
  <c r="U1001" i="1"/>
  <c r="T1001" i="1"/>
  <c r="S1001" i="1"/>
  <c r="R1001" i="1"/>
  <c r="Q1001" i="1"/>
  <c r="G1001" i="1"/>
  <c r="O1001" i="1" s="1"/>
  <c r="P1001" i="1" s="1"/>
  <c r="V1001" i="1" s="1"/>
  <c r="W1000" i="1"/>
  <c r="V1000" i="1"/>
  <c r="T1000" i="1"/>
  <c r="S1000" i="1"/>
  <c r="R1000" i="1"/>
  <c r="Q1000" i="1"/>
  <c r="O1000" i="1"/>
  <c r="P1000" i="1" s="1"/>
  <c r="U1000" i="1" s="1"/>
  <c r="G1000" i="1"/>
  <c r="W999" i="1"/>
  <c r="U999" i="1"/>
  <c r="T999" i="1"/>
  <c r="S999" i="1"/>
  <c r="R999" i="1"/>
  <c r="Q999" i="1"/>
  <c r="G999" i="1"/>
  <c r="O999" i="1" s="1"/>
  <c r="P999" i="1" s="1"/>
  <c r="V999" i="1" s="1"/>
  <c r="M998" i="1"/>
  <c r="L998" i="1"/>
  <c r="K998" i="1"/>
  <c r="I998" i="1"/>
  <c r="H998" i="1"/>
  <c r="J998" i="1" s="1"/>
  <c r="N998" i="1" s="1"/>
  <c r="O997" i="1"/>
  <c r="E997" i="1"/>
  <c r="F997" i="1" s="1"/>
  <c r="D997" i="1"/>
  <c r="E996" i="1"/>
  <c r="F996" i="1" s="1"/>
  <c r="D996" i="1"/>
  <c r="T996" i="1" s="1"/>
  <c r="W995" i="1"/>
  <c r="V995" i="1"/>
  <c r="U995" i="1"/>
  <c r="T995" i="1"/>
  <c r="S995" i="1"/>
  <c r="Q995" i="1"/>
  <c r="O995" i="1"/>
  <c r="F995" i="1"/>
  <c r="W994" i="1"/>
  <c r="V994" i="1"/>
  <c r="U994" i="1"/>
  <c r="S994" i="1"/>
  <c r="R994" i="1"/>
  <c r="Q994" i="1"/>
  <c r="G994" i="1"/>
  <c r="O994" i="1" s="1"/>
  <c r="P994" i="1" s="1"/>
  <c r="T994" i="1" s="1"/>
  <c r="W993" i="1"/>
  <c r="U993" i="1"/>
  <c r="T993" i="1"/>
  <c r="S993" i="1"/>
  <c r="R993" i="1"/>
  <c r="Q993" i="1"/>
  <c r="G993" i="1"/>
  <c r="O993" i="1" s="1"/>
  <c r="P993" i="1" s="1"/>
  <c r="V993" i="1" s="1"/>
  <c r="W992" i="1"/>
  <c r="U992" i="1"/>
  <c r="T992" i="1"/>
  <c r="S992" i="1"/>
  <c r="R992" i="1"/>
  <c r="Q992" i="1"/>
  <c r="G992" i="1"/>
  <c r="O992" i="1" s="1"/>
  <c r="P992" i="1" s="1"/>
  <c r="V992" i="1" s="1"/>
  <c r="W991" i="1"/>
  <c r="U991" i="1"/>
  <c r="T991" i="1"/>
  <c r="S991" i="1"/>
  <c r="R991" i="1"/>
  <c r="Q991" i="1"/>
  <c r="G991" i="1"/>
  <c r="O991" i="1" s="1"/>
  <c r="P991" i="1" s="1"/>
  <c r="V991" i="1" s="1"/>
  <c r="M990" i="1"/>
  <c r="L990" i="1"/>
  <c r="K990" i="1"/>
  <c r="I990" i="1"/>
  <c r="H990" i="1"/>
  <c r="J990" i="1" s="1"/>
  <c r="N990" i="1" s="1"/>
  <c r="E989" i="1"/>
  <c r="F989" i="1" s="1"/>
  <c r="D989" i="1"/>
  <c r="W988" i="1"/>
  <c r="V988" i="1"/>
  <c r="U988" i="1"/>
  <c r="T988" i="1"/>
  <c r="R988" i="1"/>
  <c r="Q988" i="1"/>
  <c r="O988" i="1"/>
  <c r="F988" i="1"/>
  <c r="W987" i="1"/>
  <c r="V987" i="1"/>
  <c r="U987" i="1"/>
  <c r="T987" i="1"/>
  <c r="S987" i="1"/>
  <c r="R987" i="1"/>
  <c r="Q987" i="1"/>
  <c r="G987" i="1"/>
  <c r="O987" i="1" s="1"/>
  <c r="P987" i="1" s="1"/>
  <c r="W986" i="1"/>
  <c r="U986" i="1"/>
  <c r="T986" i="1"/>
  <c r="S986" i="1"/>
  <c r="R986" i="1"/>
  <c r="Q986" i="1"/>
  <c r="O986" i="1"/>
  <c r="P986" i="1" s="1"/>
  <c r="V986" i="1" s="1"/>
  <c r="G986" i="1"/>
  <c r="W985" i="1"/>
  <c r="V985" i="1"/>
  <c r="T985" i="1"/>
  <c r="S985" i="1"/>
  <c r="R985" i="1"/>
  <c r="Q985" i="1"/>
  <c r="G985" i="1"/>
  <c r="O985" i="1" s="1"/>
  <c r="P985" i="1" s="1"/>
  <c r="U985" i="1" s="1"/>
  <c r="W984" i="1"/>
  <c r="U984" i="1"/>
  <c r="T984" i="1"/>
  <c r="S984" i="1"/>
  <c r="R984" i="1"/>
  <c r="Q984" i="1"/>
  <c r="G984" i="1"/>
  <c r="O984" i="1" s="1"/>
  <c r="P984" i="1" s="1"/>
  <c r="V984" i="1" s="1"/>
  <c r="M983" i="1"/>
  <c r="L983" i="1"/>
  <c r="K983" i="1"/>
  <c r="I983" i="1"/>
  <c r="H983" i="1"/>
  <c r="J983" i="1" s="1"/>
  <c r="N983" i="1" s="1"/>
  <c r="O982" i="1"/>
  <c r="E982" i="1"/>
  <c r="F982" i="1" s="1"/>
  <c r="D982" i="1"/>
  <c r="W981" i="1"/>
  <c r="V981" i="1"/>
  <c r="U981" i="1"/>
  <c r="T981" i="1"/>
  <c r="S981" i="1"/>
  <c r="R981" i="1"/>
  <c r="O981" i="1"/>
  <c r="F981" i="1"/>
  <c r="W980" i="1"/>
  <c r="V980" i="1"/>
  <c r="T980" i="1"/>
  <c r="S980" i="1"/>
  <c r="R980" i="1"/>
  <c r="Q980" i="1"/>
  <c r="G980" i="1"/>
  <c r="O980" i="1" s="1"/>
  <c r="P980" i="1" s="1"/>
  <c r="U980" i="1" s="1"/>
  <c r="W979" i="1"/>
  <c r="U979" i="1"/>
  <c r="T979" i="1"/>
  <c r="S979" i="1"/>
  <c r="R979" i="1"/>
  <c r="Q979" i="1"/>
  <c r="G979" i="1"/>
  <c r="O979" i="1" s="1"/>
  <c r="P979" i="1" s="1"/>
  <c r="V979" i="1" s="1"/>
  <c r="W978" i="1"/>
  <c r="V978" i="1"/>
  <c r="T978" i="1"/>
  <c r="S978" i="1"/>
  <c r="R978" i="1"/>
  <c r="Q978" i="1"/>
  <c r="G978" i="1"/>
  <c r="O978" i="1" s="1"/>
  <c r="P978" i="1" s="1"/>
  <c r="U978" i="1" s="1"/>
  <c r="W977" i="1"/>
  <c r="U977" i="1"/>
  <c r="T977" i="1"/>
  <c r="S977" i="1"/>
  <c r="R977" i="1"/>
  <c r="Q977" i="1"/>
  <c r="G977" i="1"/>
  <c r="O977" i="1" s="1"/>
  <c r="P977" i="1" s="1"/>
  <c r="V977" i="1" s="1"/>
  <c r="M976" i="1"/>
  <c r="L976" i="1"/>
  <c r="K976" i="1"/>
  <c r="I976" i="1"/>
  <c r="H976" i="1"/>
  <c r="J976" i="1" s="1"/>
  <c r="N976" i="1" s="1"/>
  <c r="Q975" i="1"/>
  <c r="O975" i="1"/>
  <c r="P975" i="1" s="1"/>
  <c r="E975" i="1"/>
  <c r="F975" i="1" s="1"/>
  <c r="D975" i="1"/>
  <c r="E974" i="1"/>
  <c r="F974" i="1" s="1"/>
  <c r="D974" i="1"/>
  <c r="T974" i="1" s="1"/>
  <c r="W973" i="1"/>
  <c r="V973" i="1"/>
  <c r="U973" i="1"/>
  <c r="T973" i="1"/>
  <c r="S973" i="1"/>
  <c r="R973" i="1"/>
  <c r="O973" i="1"/>
  <c r="F973" i="1"/>
  <c r="W972" i="1"/>
  <c r="U972" i="1"/>
  <c r="T972" i="1"/>
  <c r="S972" i="1"/>
  <c r="R972" i="1"/>
  <c r="Q972" i="1"/>
  <c r="G972" i="1"/>
  <c r="O972" i="1" s="1"/>
  <c r="P972" i="1" s="1"/>
  <c r="V972" i="1" s="1"/>
  <c r="W971" i="1"/>
  <c r="V971" i="1"/>
  <c r="T971" i="1"/>
  <c r="S971" i="1"/>
  <c r="R971" i="1"/>
  <c r="Q971" i="1"/>
  <c r="G971" i="1"/>
  <c r="O971" i="1" s="1"/>
  <c r="P971" i="1" s="1"/>
  <c r="U971" i="1" s="1"/>
  <c r="W970" i="1"/>
  <c r="U970" i="1"/>
  <c r="T970" i="1"/>
  <c r="S970" i="1"/>
  <c r="R970" i="1"/>
  <c r="Q970" i="1"/>
  <c r="G970" i="1"/>
  <c r="O970" i="1" s="1"/>
  <c r="P970" i="1" s="1"/>
  <c r="V970" i="1" s="1"/>
  <c r="W969" i="1"/>
  <c r="V969" i="1"/>
  <c r="T969" i="1"/>
  <c r="S969" i="1"/>
  <c r="R969" i="1"/>
  <c r="Q969" i="1"/>
  <c r="G969" i="1"/>
  <c r="O969" i="1" s="1"/>
  <c r="P969" i="1" s="1"/>
  <c r="U969" i="1" s="1"/>
  <c r="N968" i="1"/>
  <c r="M968" i="1"/>
  <c r="L968" i="1"/>
  <c r="K968" i="1"/>
  <c r="I968" i="1"/>
  <c r="H968" i="1"/>
  <c r="J968" i="1" s="1"/>
  <c r="O967" i="1"/>
  <c r="E967" i="1"/>
  <c r="F967" i="1" s="1"/>
  <c r="D967" i="1"/>
  <c r="W966" i="1"/>
  <c r="V966" i="1"/>
  <c r="U966" i="1"/>
  <c r="T966" i="1"/>
  <c r="S966" i="1"/>
  <c r="R966" i="1"/>
  <c r="O966" i="1"/>
  <c r="F966" i="1"/>
  <c r="P966" i="1" s="1"/>
  <c r="Q966" i="1" s="1"/>
  <c r="W965" i="1"/>
  <c r="V965" i="1"/>
  <c r="U965" i="1"/>
  <c r="T965" i="1"/>
  <c r="R965" i="1"/>
  <c r="Q965" i="1"/>
  <c r="G965" i="1"/>
  <c r="O965" i="1" s="1"/>
  <c r="P965" i="1" s="1"/>
  <c r="S965" i="1" s="1"/>
  <c r="W964" i="1"/>
  <c r="V964" i="1"/>
  <c r="U964" i="1"/>
  <c r="T964" i="1"/>
  <c r="R964" i="1"/>
  <c r="Q964" i="1"/>
  <c r="G964" i="1"/>
  <c r="O964" i="1" s="1"/>
  <c r="P964" i="1" s="1"/>
  <c r="S964" i="1" s="1"/>
  <c r="W963" i="1"/>
  <c r="V963" i="1"/>
  <c r="U963" i="1"/>
  <c r="S963" i="1"/>
  <c r="R963" i="1"/>
  <c r="Q963" i="1"/>
  <c r="G963" i="1"/>
  <c r="O963" i="1" s="1"/>
  <c r="P963" i="1" s="1"/>
  <c r="T963" i="1" s="1"/>
  <c r="W962" i="1"/>
  <c r="V962" i="1"/>
  <c r="U962" i="1"/>
  <c r="T962" i="1"/>
  <c r="R962" i="1"/>
  <c r="Q962" i="1"/>
  <c r="G962" i="1"/>
  <c r="O962" i="1" s="1"/>
  <c r="P962" i="1" s="1"/>
  <c r="S962" i="1" s="1"/>
  <c r="M961" i="1"/>
  <c r="L961" i="1"/>
  <c r="K961" i="1"/>
  <c r="I961" i="1"/>
  <c r="H961" i="1"/>
  <c r="J961" i="1" s="1"/>
  <c r="N961" i="1" s="1"/>
  <c r="E960" i="1"/>
  <c r="F960" i="1" s="1"/>
  <c r="E959" i="1"/>
  <c r="F959" i="1" s="1"/>
  <c r="D959" i="1"/>
  <c r="O959" i="1" s="1"/>
  <c r="F958" i="1"/>
  <c r="D958" i="1"/>
  <c r="W957" i="1"/>
  <c r="V957" i="1"/>
  <c r="U957" i="1"/>
  <c r="T957" i="1"/>
  <c r="R957" i="1"/>
  <c r="Q957" i="1"/>
  <c r="O957" i="1"/>
  <c r="F957" i="1"/>
  <c r="W956" i="1"/>
  <c r="V956" i="1"/>
  <c r="T956" i="1"/>
  <c r="S956" i="1"/>
  <c r="R956" i="1"/>
  <c r="Q956" i="1"/>
  <c r="G956" i="1"/>
  <c r="O956" i="1" s="1"/>
  <c r="P956" i="1" s="1"/>
  <c r="U956" i="1" s="1"/>
  <c r="W955" i="1"/>
  <c r="U955" i="1"/>
  <c r="T955" i="1"/>
  <c r="S955" i="1"/>
  <c r="R955" i="1"/>
  <c r="Q955" i="1"/>
  <c r="G955" i="1"/>
  <c r="O955" i="1" s="1"/>
  <c r="P955" i="1" s="1"/>
  <c r="V955" i="1" s="1"/>
  <c r="W954" i="1"/>
  <c r="V954" i="1"/>
  <c r="T954" i="1"/>
  <c r="S954" i="1"/>
  <c r="R954" i="1"/>
  <c r="Q954" i="1"/>
  <c r="O954" i="1"/>
  <c r="P954" i="1" s="1"/>
  <c r="U954" i="1" s="1"/>
  <c r="G954" i="1"/>
  <c r="W953" i="1"/>
  <c r="U953" i="1"/>
  <c r="T953" i="1"/>
  <c r="S953" i="1"/>
  <c r="R953" i="1"/>
  <c r="Q953" i="1"/>
  <c r="G953" i="1"/>
  <c r="O953" i="1" s="1"/>
  <c r="P953" i="1" s="1"/>
  <c r="V953" i="1" s="1"/>
  <c r="M952" i="1"/>
  <c r="L952" i="1"/>
  <c r="K952" i="1"/>
  <c r="I952" i="1"/>
  <c r="H952" i="1"/>
  <c r="J952" i="1" s="1"/>
  <c r="N952" i="1" s="1"/>
  <c r="W951" i="1"/>
  <c r="V951" i="1"/>
  <c r="U951" i="1"/>
  <c r="T951" i="1"/>
  <c r="S951" i="1"/>
  <c r="Q951" i="1"/>
  <c r="O951" i="1"/>
  <c r="F951" i="1"/>
  <c r="W950" i="1"/>
  <c r="V950" i="1"/>
  <c r="U950" i="1"/>
  <c r="T950" i="1"/>
  <c r="R950" i="1"/>
  <c r="Q950" i="1"/>
  <c r="G950" i="1"/>
  <c r="O950" i="1" s="1"/>
  <c r="P950" i="1" s="1"/>
  <c r="S950" i="1" s="1"/>
  <c r="W949" i="1"/>
  <c r="V949" i="1"/>
  <c r="U949" i="1"/>
  <c r="T949" i="1"/>
  <c r="R949" i="1"/>
  <c r="Q949" i="1"/>
  <c r="G949" i="1"/>
  <c r="O949" i="1" s="1"/>
  <c r="P949" i="1" s="1"/>
  <c r="S949" i="1" s="1"/>
  <c r="M948" i="1"/>
  <c r="L948" i="1"/>
  <c r="K948" i="1"/>
  <c r="I948" i="1"/>
  <c r="H948" i="1"/>
  <c r="J948" i="1" s="1"/>
  <c r="N948" i="1" s="1"/>
  <c r="O947" i="1"/>
  <c r="E947" i="1"/>
  <c r="F947" i="1" s="1"/>
  <c r="D947" i="1"/>
  <c r="W946" i="1"/>
  <c r="V946" i="1"/>
  <c r="U946" i="1"/>
  <c r="T946" i="1"/>
  <c r="S946" i="1"/>
  <c r="R946" i="1"/>
  <c r="O946" i="1"/>
  <c r="F946" i="1"/>
  <c r="W945" i="1"/>
  <c r="U945" i="1"/>
  <c r="T945" i="1"/>
  <c r="S945" i="1"/>
  <c r="R945" i="1"/>
  <c r="Q945" i="1"/>
  <c r="G945" i="1"/>
  <c r="O945" i="1" s="1"/>
  <c r="P945" i="1" s="1"/>
  <c r="V945" i="1" s="1"/>
  <c r="W944" i="1"/>
  <c r="V944" i="1"/>
  <c r="U944" i="1"/>
  <c r="S944" i="1"/>
  <c r="R944" i="1"/>
  <c r="Q944" i="1"/>
  <c r="G944" i="1"/>
  <c r="O944" i="1" s="1"/>
  <c r="P944" i="1" s="1"/>
  <c r="T944" i="1" s="1"/>
  <c r="W943" i="1"/>
  <c r="U943" i="1"/>
  <c r="T943" i="1"/>
  <c r="S943" i="1"/>
  <c r="R943" i="1"/>
  <c r="Q943" i="1"/>
  <c r="G943" i="1"/>
  <c r="O943" i="1" s="1"/>
  <c r="P943" i="1" s="1"/>
  <c r="V943" i="1" s="1"/>
  <c r="M942" i="1"/>
  <c r="L942" i="1"/>
  <c r="K942" i="1"/>
  <c r="I942" i="1"/>
  <c r="H942" i="1"/>
  <c r="J942" i="1" s="1"/>
  <c r="N942" i="1" s="1"/>
  <c r="W941" i="1"/>
  <c r="V941" i="1"/>
  <c r="U941" i="1"/>
  <c r="T941" i="1"/>
  <c r="S941" i="1"/>
  <c r="R941" i="1"/>
  <c r="O941" i="1"/>
  <c r="F941" i="1"/>
  <c r="W940" i="1"/>
  <c r="V940" i="1"/>
  <c r="U940" i="1"/>
  <c r="T940" i="1"/>
  <c r="R940" i="1"/>
  <c r="Q940" i="1"/>
  <c r="G940" i="1"/>
  <c r="O940" i="1" s="1"/>
  <c r="P940" i="1" s="1"/>
  <c r="S940" i="1" s="1"/>
  <c r="W939" i="1"/>
  <c r="V939" i="1"/>
  <c r="U939" i="1"/>
  <c r="S939" i="1"/>
  <c r="R939" i="1"/>
  <c r="Q939" i="1"/>
  <c r="G939" i="1"/>
  <c r="O939" i="1" s="1"/>
  <c r="P939" i="1" s="1"/>
  <c r="T939" i="1" s="1"/>
  <c r="W938" i="1"/>
  <c r="V938" i="1"/>
  <c r="U938" i="1"/>
  <c r="T938" i="1"/>
  <c r="R938" i="1"/>
  <c r="Q938" i="1"/>
  <c r="G938" i="1"/>
  <c r="O938" i="1" s="1"/>
  <c r="P938" i="1" s="1"/>
  <c r="S938" i="1" s="1"/>
  <c r="W937" i="1"/>
  <c r="V937" i="1"/>
  <c r="U937" i="1"/>
  <c r="S937" i="1"/>
  <c r="R937" i="1"/>
  <c r="Q937" i="1"/>
  <c r="G937" i="1"/>
  <c r="O937" i="1" s="1"/>
  <c r="P937" i="1" s="1"/>
  <c r="T937" i="1" s="1"/>
  <c r="M936" i="1"/>
  <c r="L936" i="1"/>
  <c r="K936" i="1"/>
  <c r="I936" i="1"/>
  <c r="H936" i="1"/>
  <c r="J936" i="1" s="1"/>
  <c r="N936" i="1" s="1"/>
  <c r="W935" i="1"/>
  <c r="V935" i="1"/>
  <c r="U935" i="1"/>
  <c r="T935" i="1"/>
  <c r="S935" i="1"/>
  <c r="Q935" i="1"/>
  <c r="O935" i="1"/>
  <c r="F935" i="1"/>
  <c r="W934" i="1"/>
  <c r="V934" i="1"/>
  <c r="T934" i="1"/>
  <c r="S934" i="1"/>
  <c r="R934" i="1"/>
  <c r="Q934" i="1"/>
  <c r="G934" i="1"/>
  <c r="O934" i="1" s="1"/>
  <c r="P934" i="1" s="1"/>
  <c r="U934" i="1" s="1"/>
  <c r="W933" i="1"/>
  <c r="U933" i="1"/>
  <c r="T933" i="1"/>
  <c r="S933" i="1"/>
  <c r="R933" i="1"/>
  <c r="Q933" i="1"/>
  <c r="G933" i="1"/>
  <c r="O933" i="1" s="1"/>
  <c r="P933" i="1" s="1"/>
  <c r="V933" i="1" s="1"/>
  <c r="W932" i="1"/>
  <c r="V932" i="1"/>
  <c r="T932" i="1"/>
  <c r="S932" i="1"/>
  <c r="R932" i="1"/>
  <c r="Q932" i="1"/>
  <c r="G932" i="1"/>
  <c r="O932" i="1" s="1"/>
  <c r="P932" i="1" s="1"/>
  <c r="U932" i="1" s="1"/>
  <c r="W931" i="1"/>
  <c r="U931" i="1"/>
  <c r="T931" i="1"/>
  <c r="S931" i="1"/>
  <c r="R931" i="1"/>
  <c r="Q931" i="1"/>
  <c r="G931" i="1"/>
  <c r="O931" i="1" s="1"/>
  <c r="P931" i="1" s="1"/>
  <c r="V931" i="1" s="1"/>
  <c r="M930" i="1"/>
  <c r="L930" i="1"/>
  <c r="K930" i="1"/>
  <c r="I930" i="1"/>
  <c r="H930" i="1"/>
  <c r="J930" i="1" s="1"/>
  <c r="N930" i="1" s="1"/>
  <c r="O929" i="1"/>
  <c r="E929" i="1"/>
  <c r="F929" i="1" s="1"/>
  <c r="D929" i="1"/>
  <c r="F928" i="1"/>
  <c r="D928" i="1"/>
  <c r="W927" i="1"/>
  <c r="V927" i="1"/>
  <c r="U927" i="1"/>
  <c r="T927" i="1"/>
  <c r="S927" i="1"/>
  <c r="Q927" i="1"/>
  <c r="O927" i="1"/>
  <c r="F927" i="1"/>
  <c r="W926" i="1"/>
  <c r="V926" i="1"/>
  <c r="U926" i="1"/>
  <c r="S926" i="1"/>
  <c r="R926" i="1"/>
  <c r="Q926" i="1"/>
  <c r="G926" i="1"/>
  <c r="O926" i="1" s="1"/>
  <c r="P926" i="1" s="1"/>
  <c r="T926" i="1" s="1"/>
  <c r="W925" i="1"/>
  <c r="V925" i="1"/>
  <c r="U925" i="1"/>
  <c r="S925" i="1"/>
  <c r="R925" i="1"/>
  <c r="Q925" i="1"/>
  <c r="G925" i="1"/>
  <c r="O925" i="1" s="1"/>
  <c r="P925" i="1" s="1"/>
  <c r="T925" i="1" s="1"/>
  <c r="W924" i="1"/>
  <c r="V924" i="1"/>
  <c r="U924" i="1"/>
  <c r="S924" i="1"/>
  <c r="R924" i="1"/>
  <c r="Q924" i="1"/>
  <c r="G924" i="1"/>
  <c r="O924" i="1" s="1"/>
  <c r="P924" i="1" s="1"/>
  <c r="T924" i="1" s="1"/>
  <c r="W923" i="1"/>
  <c r="V923" i="1"/>
  <c r="U923" i="1"/>
  <c r="S923" i="1"/>
  <c r="R923" i="1"/>
  <c r="Q923" i="1"/>
  <c r="G923" i="1"/>
  <c r="O923" i="1" s="1"/>
  <c r="P923" i="1" s="1"/>
  <c r="T923" i="1" s="1"/>
  <c r="N922" i="1"/>
  <c r="L922" i="1"/>
  <c r="K922" i="1"/>
  <c r="I922" i="1"/>
  <c r="H922" i="1"/>
  <c r="J922" i="1" s="1"/>
  <c r="M922" i="1" s="1"/>
  <c r="W921" i="1"/>
  <c r="U921" i="1"/>
  <c r="O921" i="1"/>
  <c r="E921" i="1"/>
  <c r="F921" i="1" s="1"/>
  <c r="D921" i="1"/>
  <c r="Q921" i="1" s="1"/>
  <c r="W920" i="1"/>
  <c r="V920" i="1"/>
  <c r="U920" i="1"/>
  <c r="T920" i="1"/>
  <c r="R920" i="1"/>
  <c r="Q920" i="1"/>
  <c r="O920" i="1"/>
  <c r="F920" i="1"/>
  <c r="W919" i="1"/>
  <c r="U919" i="1"/>
  <c r="T919" i="1"/>
  <c r="S919" i="1"/>
  <c r="R919" i="1"/>
  <c r="Q919" i="1"/>
  <c r="G919" i="1"/>
  <c r="O919" i="1" s="1"/>
  <c r="P919" i="1" s="1"/>
  <c r="V919" i="1" s="1"/>
  <c r="W918" i="1"/>
  <c r="U918" i="1"/>
  <c r="T918" i="1"/>
  <c r="S918" i="1"/>
  <c r="R918" i="1"/>
  <c r="Q918" i="1"/>
  <c r="G918" i="1"/>
  <c r="O918" i="1" s="1"/>
  <c r="P918" i="1" s="1"/>
  <c r="V918" i="1" s="1"/>
  <c r="W917" i="1"/>
  <c r="V917" i="1"/>
  <c r="U917" i="1"/>
  <c r="S917" i="1"/>
  <c r="R917" i="1"/>
  <c r="Q917" i="1"/>
  <c r="G917" i="1"/>
  <c r="O917" i="1" s="1"/>
  <c r="P917" i="1" s="1"/>
  <c r="T917" i="1" s="1"/>
  <c r="W916" i="1"/>
  <c r="U916" i="1"/>
  <c r="T916" i="1"/>
  <c r="S916" i="1"/>
  <c r="R916" i="1"/>
  <c r="Q916" i="1"/>
  <c r="G916" i="1"/>
  <c r="O916" i="1" s="1"/>
  <c r="P916" i="1" s="1"/>
  <c r="V916" i="1" s="1"/>
  <c r="M915" i="1"/>
  <c r="L915" i="1"/>
  <c r="K915" i="1"/>
  <c r="I915" i="1"/>
  <c r="H915" i="1"/>
  <c r="J915" i="1" s="1"/>
  <c r="N915" i="1" s="1"/>
  <c r="S914" i="1"/>
  <c r="R914" i="1"/>
  <c r="O914" i="1"/>
  <c r="E914" i="1"/>
  <c r="F914" i="1" s="1"/>
  <c r="D914" i="1"/>
  <c r="W914" i="1" s="1"/>
  <c r="E913" i="1"/>
  <c r="F913" i="1" s="1"/>
  <c r="Q912" i="1"/>
  <c r="E912" i="1"/>
  <c r="F912" i="1" s="1"/>
  <c r="D912" i="1"/>
  <c r="V912" i="1" s="1"/>
  <c r="F911" i="1"/>
  <c r="D911" i="1"/>
  <c r="R911" i="1" s="1"/>
  <c r="W910" i="1"/>
  <c r="V910" i="1"/>
  <c r="U910" i="1"/>
  <c r="T910" i="1"/>
  <c r="R910" i="1"/>
  <c r="Q910" i="1"/>
  <c r="O910" i="1"/>
  <c r="F910" i="1"/>
  <c r="W909" i="1"/>
  <c r="U909" i="1"/>
  <c r="T909" i="1"/>
  <c r="S909" i="1"/>
  <c r="R909" i="1"/>
  <c r="Q909" i="1"/>
  <c r="G909" i="1"/>
  <c r="O909" i="1" s="1"/>
  <c r="P909" i="1" s="1"/>
  <c r="V909" i="1" s="1"/>
  <c r="V908" i="1"/>
  <c r="U908" i="1"/>
  <c r="T908" i="1"/>
  <c r="S908" i="1"/>
  <c r="R908" i="1"/>
  <c r="Q908" i="1"/>
  <c r="O908" i="1"/>
  <c r="P908" i="1" s="1"/>
  <c r="W908" i="1" s="1"/>
  <c r="G908" i="1"/>
  <c r="W907" i="1"/>
  <c r="V907" i="1"/>
  <c r="T907" i="1"/>
  <c r="S907" i="1"/>
  <c r="R907" i="1"/>
  <c r="Q907" i="1"/>
  <c r="G907" i="1"/>
  <c r="O907" i="1" s="1"/>
  <c r="P907" i="1" s="1"/>
  <c r="U907" i="1" s="1"/>
  <c r="W906" i="1"/>
  <c r="U906" i="1"/>
  <c r="T906" i="1"/>
  <c r="S906" i="1"/>
  <c r="R906" i="1"/>
  <c r="Q906" i="1"/>
  <c r="G906" i="1"/>
  <c r="O906" i="1" s="1"/>
  <c r="P906" i="1" s="1"/>
  <c r="V906" i="1" s="1"/>
  <c r="M905" i="1"/>
  <c r="L905" i="1"/>
  <c r="K905" i="1"/>
  <c r="I905" i="1"/>
  <c r="H905" i="1"/>
  <c r="J905" i="1" s="1"/>
  <c r="N905" i="1" s="1"/>
  <c r="O904" i="1"/>
  <c r="E904" i="1"/>
  <c r="F904" i="1" s="1"/>
  <c r="D904" i="1"/>
  <c r="U904" i="1" s="1"/>
  <c r="E903" i="1"/>
  <c r="F903" i="1" s="1"/>
  <c r="E902" i="1"/>
  <c r="F902" i="1" s="1"/>
  <c r="D902" i="1"/>
  <c r="F901" i="1"/>
  <c r="D901" i="1"/>
  <c r="R901" i="1" s="1"/>
  <c r="W900" i="1"/>
  <c r="V900" i="1"/>
  <c r="U900" i="1"/>
  <c r="T900" i="1"/>
  <c r="R900" i="1"/>
  <c r="Q900" i="1"/>
  <c r="O900" i="1"/>
  <c r="F900" i="1"/>
  <c r="W899" i="1"/>
  <c r="U899" i="1"/>
  <c r="T899" i="1"/>
  <c r="S899" i="1"/>
  <c r="R899" i="1"/>
  <c r="Q899" i="1"/>
  <c r="G899" i="1"/>
  <c r="O899" i="1" s="1"/>
  <c r="P899" i="1" s="1"/>
  <c r="V899" i="1" s="1"/>
  <c r="V898" i="1"/>
  <c r="U898" i="1"/>
  <c r="T898" i="1"/>
  <c r="S898" i="1"/>
  <c r="R898" i="1"/>
  <c r="Q898" i="1"/>
  <c r="O898" i="1"/>
  <c r="P898" i="1" s="1"/>
  <c r="W898" i="1" s="1"/>
  <c r="G898" i="1"/>
  <c r="V897" i="1"/>
  <c r="U897" i="1"/>
  <c r="T897" i="1"/>
  <c r="S897" i="1"/>
  <c r="R897" i="1"/>
  <c r="Q897" i="1"/>
  <c r="G897" i="1"/>
  <c r="O897" i="1" s="1"/>
  <c r="P897" i="1" s="1"/>
  <c r="W897" i="1" s="1"/>
  <c r="M896" i="1"/>
  <c r="L896" i="1"/>
  <c r="K896" i="1"/>
  <c r="I896" i="1"/>
  <c r="H896" i="1"/>
  <c r="J896" i="1" s="1"/>
  <c r="N896" i="1" s="1"/>
  <c r="W895" i="1"/>
  <c r="V895" i="1"/>
  <c r="U895" i="1"/>
  <c r="T895" i="1"/>
  <c r="S895" i="1"/>
  <c r="R895" i="1"/>
  <c r="O895" i="1"/>
  <c r="F895" i="1"/>
  <c r="W894" i="1"/>
  <c r="V894" i="1"/>
  <c r="U894" i="1"/>
  <c r="S894" i="1"/>
  <c r="R894" i="1"/>
  <c r="Q894" i="1"/>
  <c r="G894" i="1"/>
  <c r="O894" i="1" s="1"/>
  <c r="P894" i="1" s="1"/>
  <c r="T894" i="1" s="1"/>
  <c r="W893" i="1"/>
  <c r="V893" i="1"/>
  <c r="U893" i="1"/>
  <c r="S893" i="1"/>
  <c r="R893" i="1"/>
  <c r="Q893" i="1"/>
  <c r="G893" i="1"/>
  <c r="O893" i="1" s="1"/>
  <c r="P893" i="1" s="1"/>
  <c r="T893" i="1" s="1"/>
  <c r="M892" i="1"/>
  <c r="L892" i="1"/>
  <c r="K892" i="1"/>
  <c r="I892" i="1"/>
  <c r="H892" i="1"/>
  <c r="J892" i="1" s="1"/>
  <c r="N892" i="1" s="1"/>
  <c r="W891" i="1"/>
  <c r="V891" i="1"/>
  <c r="U891" i="1"/>
  <c r="T891" i="1"/>
  <c r="S891" i="1"/>
  <c r="R891" i="1"/>
  <c r="O891" i="1"/>
  <c r="F891" i="1"/>
  <c r="W890" i="1"/>
  <c r="U890" i="1"/>
  <c r="T890" i="1"/>
  <c r="S890" i="1"/>
  <c r="R890" i="1"/>
  <c r="Q890" i="1"/>
  <c r="G890" i="1"/>
  <c r="O890" i="1" s="1"/>
  <c r="P890" i="1" s="1"/>
  <c r="V890" i="1" s="1"/>
  <c r="W889" i="1"/>
  <c r="V889" i="1"/>
  <c r="U889" i="1"/>
  <c r="S889" i="1"/>
  <c r="R889" i="1"/>
  <c r="Q889" i="1"/>
  <c r="G889" i="1"/>
  <c r="O889" i="1" s="1"/>
  <c r="P889" i="1" s="1"/>
  <c r="T889" i="1" s="1"/>
  <c r="M888" i="1"/>
  <c r="L888" i="1"/>
  <c r="K888" i="1"/>
  <c r="I888" i="1"/>
  <c r="H888" i="1"/>
  <c r="J888" i="1" s="1"/>
  <c r="N888" i="1" s="1"/>
  <c r="W887" i="1"/>
  <c r="V887" i="1"/>
  <c r="U887" i="1"/>
  <c r="T887" i="1"/>
  <c r="S887" i="1"/>
  <c r="R887" i="1"/>
  <c r="O887" i="1"/>
  <c r="F887" i="1"/>
  <c r="P887" i="1" s="1"/>
  <c r="Q887" i="1" s="1"/>
  <c r="W886" i="1"/>
  <c r="V886" i="1"/>
  <c r="U886" i="1"/>
  <c r="T886" i="1"/>
  <c r="R886" i="1"/>
  <c r="Q886" i="1"/>
  <c r="G886" i="1"/>
  <c r="O886" i="1" s="1"/>
  <c r="P886" i="1" s="1"/>
  <c r="S886" i="1" s="1"/>
  <c r="W885" i="1"/>
  <c r="V885" i="1"/>
  <c r="U885" i="1"/>
  <c r="T885" i="1"/>
  <c r="R885" i="1"/>
  <c r="Q885" i="1"/>
  <c r="G885" i="1"/>
  <c r="O885" i="1" s="1"/>
  <c r="P885" i="1" s="1"/>
  <c r="S885" i="1" s="1"/>
  <c r="M884" i="1"/>
  <c r="L884" i="1"/>
  <c r="K884" i="1"/>
  <c r="I884" i="1"/>
  <c r="H884" i="1"/>
  <c r="J884" i="1" s="1"/>
  <c r="N884" i="1" s="1"/>
  <c r="W883" i="1"/>
  <c r="V883" i="1"/>
  <c r="U883" i="1"/>
  <c r="T883" i="1"/>
  <c r="S883" i="1"/>
  <c r="R883" i="1"/>
  <c r="O883" i="1"/>
  <c r="F883" i="1"/>
  <c r="W882" i="1"/>
  <c r="V882" i="1"/>
  <c r="U882" i="1"/>
  <c r="S882" i="1"/>
  <c r="R882" i="1"/>
  <c r="Q882" i="1"/>
  <c r="G882" i="1"/>
  <c r="O882" i="1" s="1"/>
  <c r="P882" i="1" s="1"/>
  <c r="T882" i="1" s="1"/>
  <c r="W881" i="1"/>
  <c r="V881" i="1"/>
  <c r="U881" i="1"/>
  <c r="S881" i="1"/>
  <c r="R881" i="1"/>
  <c r="Q881" i="1"/>
  <c r="G881" i="1"/>
  <c r="O881" i="1" s="1"/>
  <c r="P881" i="1" s="1"/>
  <c r="T881" i="1" s="1"/>
  <c r="M880" i="1"/>
  <c r="L880" i="1"/>
  <c r="K880" i="1"/>
  <c r="J880" i="1"/>
  <c r="N880" i="1" s="1"/>
  <c r="I880" i="1"/>
  <c r="H880" i="1"/>
  <c r="E879" i="1"/>
  <c r="F879" i="1" s="1"/>
  <c r="D879" i="1"/>
  <c r="W878" i="1"/>
  <c r="V878" i="1"/>
  <c r="U878" i="1"/>
  <c r="T878" i="1"/>
  <c r="R878" i="1"/>
  <c r="Q878" i="1"/>
  <c r="O878" i="1"/>
  <c r="F878" i="1"/>
  <c r="P878" i="1" s="1"/>
  <c r="S878" i="1" s="1"/>
  <c r="W877" i="1"/>
  <c r="U877" i="1"/>
  <c r="T877" i="1"/>
  <c r="S877" i="1"/>
  <c r="R877" i="1"/>
  <c r="Q877" i="1"/>
  <c r="G877" i="1"/>
  <c r="O877" i="1" s="1"/>
  <c r="P877" i="1" s="1"/>
  <c r="V877" i="1" s="1"/>
  <c r="W876" i="1"/>
  <c r="U876" i="1"/>
  <c r="T876" i="1"/>
  <c r="S876" i="1"/>
  <c r="R876" i="1"/>
  <c r="Q876" i="1"/>
  <c r="G876" i="1"/>
  <c r="O876" i="1" s="1"/>
  <c r="P876" i="1" s="1"/>
  <c r="V876" i="1" s="1"/>
  <c r="N875" i="1"/>
  <c r="L875" i="1"/>
  <c r="K875" i="1"/>
  <c r="I875" i="1"/>
  <c r="H875" i="1"/>
  <c r="J875" i="1" s="1"/>
  <c r="M875" i="1" s="1"/>
  <c r="E874" i="1"/>
  <c r="F874" i="1" s="1"/>
  <c r="D874" i="1"/>
  <c r="W873" i="1"/>
  <c r="V873" i="1"/>
  <c r="U873" i="1"/>
  <c r="T873" i="1"/>
  <c r="R873" i="1"/>
  <c r="Q873" i="1"/>
  <c r="O873" i="1"/>
  <c r="F873" i="1"/>
  <c r="W872" i="1"/>
  <c r="U872" i="1"/>
  <c r="T872" i="1"/>
  <c r="S872" i="1"/>
  <c r="R872" i="1"/>
  <c r="Q872" i="1"/>
  <c r="G872" i="1"/>
  <c r="O872" i="1" s="1"/>
  <c r="P872" i="1" s="1"/>
  <c r="V872" i="1" s="1"/>
  <c r="W871" i="1"/>
  <c r="U871" i="1"/>
  <c r="T871" i="1"/>
  <c r="S871" i="1"/>
  <c r="R871" i="1"/>
  <c r="Q871" i="1"/>
  <c r="G871" i="1"/>
  <c r="O871" i="1" s="1"/>
  <c r="P871" i="1" s="1"/>
  <c r="V871" i="1" s="1"/>
  <c r="N870" i="1"/>
  <c r="L870" i="1"/>
  <c r="K870" i="1"/>
  <c r="I870" i="1"/>
  <c r="H870" i="1"/>
  <c r="J870" i="1" s="1"/>
  <c r="M870" i="1" s="1"/>
  <c r="O869" i="1"/>
  <c r="E869" i="1"/>
  <c r="F869" i="1" s="1"/>
  <c r="D869" i="1"/>
  <c r="W869" i="1" s="1"/>
  <c r="E868" i="1"/>
  <c r="F868" i="1" s="1"/>
  <c r="E867" i="1"/>
  <c r="F867" i="1" s="1"/>
  <c r="D867" i="1"/>
  <c r="F866" i="1"/>
  <c r="D866" i="1"/>
  <c r="D868" i="1" s="1"/>
  <c r="W865" i="1"/>
  <c r="V865" i="1"/>
  <c r="U865" i="1"/>
  <c r="T865" i="1"/>
  <c r="R865" i="1"/>
  <c r="Q865" i="1"/>
  <c r="O865" i="1"/>
  <c r="F865" i="1"/>
  <c r="W864" i="1"/>
  <c r="U864" i="1"/>
  <c r="T864" i="1"/>
  <c r="S864" i="1"/>
  <c r="R864" i="1"/>
  <c r="Q864" i="1"/>
  <c r="G864" i="1"/>
  <c r="O864" i="1" s="1"/>
  <c r="P864" i="1" s="1"/>
  <c r="V864" i="1" s="1"/>
  <c r="V863" i="1"/>
  <c r="U863" i="1"/>
  <c r="T863" i="1"/>
  <c r="S863" i="1"/>
  <c r="R863" i="1"/>
  <c r="Q863" i="1"/>
  <c r="O863" i="1"/>
  <c r="P863" i="1" s="1"/>
  <c r="W863" i="1" s="1"/>
  <c r="G863" i="1"/>
  <c r="W862" i="1"/>
  <c r="V862" i="1"/>
  <c r="T862" i="1"/>
  <c r="S862" i="1"/>
  <c r="R862" i="1"/>
  <c r="Q862" i="1"/>
  <c r="G862" i="1"/>
  <c r="O862" i="1" s="1"/>
  <c r="P862" i="1" s="1"/>
  <c r="U862" i="1" s="1"/>
  <c r="W861" i="1"/>
  <c r="U861" i="1"/>
  <c r="T861" i="1"/>
  <c r="S861" i="1"/>
  <c r="R861" i="1"/>
  <c r="Q861" i="1"/>
  <c r="G861" i="1"/>
  <c r="O861" i="1" s="1"/>
  <c r="P861" i="1" s="1"/>
  <c r="V861" i="1" s="1"/>
  <c r="M860" i="1"/>
  <c r="L860" i="1"/>
  <c r="K860" i="1"/>
  <c r="I860" i="1"/>
  <c r="H860" i="1"/>
  <c r="J860" i="1" s="1"/>
  <c r="N860" i="1" s="1"/>
  <c r="O859" i="1"/>
  <c r="E859" i="1"/>
  <c r="F859" i="1" s="1"/>
  <c r="D859" i="1"/>
  <c r="E858" i="1"/>
  <c r="F858" i="1" s="1"/>
  <c r="E857" i="1"/>
  <c r="F857" i="1" s="1"/>
  <c r="D857" i="1"/>
  <c r="F856" i="1"/>
  <c r="D856" i="1"/>
  <c r="O856" i="1" s="1"/>
  <c r="W855" i="1"/>
  <c r="V855" i="1"/>
  <c r="U855" i="1"/>
  <c r="T855" i="1"/>
  <c r="R855" i="1"/>
  <c r="Q855" i="1"/>
  <c r="O855" i="1"/>
  <c r="F855" i="1"/>
  <c r="W854" i="1"/>
  <c r="U854" i="1"/>
  <c r="T854" i="1"/>
  <c r="S854" i="1"/>
  <c r="R854" i="1"/>
  <c r="Q854" i="1"/>
  <c r="G854" i="1"/>
  <c r="O854" i="1" s="1"/>
  <c r="P854" i="1" s="1"/>
  <c r="V854" i="1" s="1"/>
  <c r="V853" i="1"/>
  <c r="U853" i="1"/>
  <c r="T853" i="1"/>
  <c r="S853" i="1"/>
  <c r="R853" i="1"/>
  <c r="Q853" i="1"/>
  <c r="O853" i="1"/>
  <c r="P853" i="1" s="1"/>
  <c r="W853" i="1" s="1"/>
  <c r="G853" i="1"/>
  <c r="V852" i="1"/>
  <c r="U852" i="1"/>
  <c r="T852" i="1"/>
  <c r="S852" i="1"/>
  <c r="R852" i="1"/>
  <c r="Q852" i="1"/>
  <c r="G852" i="1"/>
  <c r="O852" i="1" s="1"/>
  <c r="P852" i="1" s="1"/>
  <c r="W852" i="1" s="1"/>
  <c r="M851" i="1"/>
  <c r="L851" i="1"/>
  <c r="K851" i="1"/>
  <c r="I851" i="1"/>
  <c r="H851" i="1"/>
  <c r="J851" i="1" s="1"/>
  <c r="N851" i="1" s="1"/>
  <c r="W850" i="1"/>
  <c r="V850" i="1"/>
  <c r="U850" i="1"/>
  <c r="T850" i="1"/>
  <c r="S850" i="1"/>
  <c r="Q850" i="1"/>
  <c r="O850" i="1"/>
  <c r="F850" i="1"/>
  <c r="W849" i="1"/>
  <c r="V849" i="1"/>
  <c r="T849" i="1"/>
  <c r="S849" i="1"/>
  <c r="R849" i="1"/>
  <c r="Q849" i="1"/>
  <c r="G849" i="1"/>
  <c r="O849" i="1" s="1"/>
  <c r="P849" i="1" s="1"/>
  <c r="U849" i="1" s="1"/>
  <c r="W848" i="1"/>
  <c r="U848" i="1"/>
  <c r="T848" i="1"/>
  <c r="S848" i="1"/>
  <c r="R848" i="1"/>
  <c r="Q848" i="1"/>
  <c r="G848" i="1"/>
  <c r="O848" i="1" s="1"/>
  <c r="P848" i="1" s="1"/>
  <c r="V848" i="1" s="1"/>
  <c r="W847" i="1"/>
  <c r="V847" i="1"/>
  <c r="T847" i="1"/>
  <c r="S847" i="1"/>
  <c r="R847" i="1"/>
  <c r="Q847" i="1"/>
  <c r="G847" i="1"/>
  <c r="O847" i="1" s="1"/>
  <c r="P847" i="1" s="1"/>
  <c r="U847" i="1" s="1"/>
  <c r="W846" i="1"/>
  <c r="U846" i="1"/>
  <c r="T846" i="1"/>
  <c r="S846" i="1"/>
  <c r="R846" i="1"/>
  <c r="Q846" i="1"/>
  <c r="G846" i="1"/>
  <c r="O846" i="1" s="1"/>
  <c r="P846" i="1" s="1"/>
  <c r="V846" i="1" s="1"/>
  <c r="M845" i="1"/>
  <c r="L845" i="1"/>
  <c r="K845" i="1"/>
  <c r="I845" i="1"/>
  <c r="H845" i="1"/>
  <c r="J845" i="1" s="1"/>
  <c r="N845" i="1" s="1"/>
  <c r="O844" i="1"/>
  <c r="E844" i="1"/>
  <c r="F844" i="1" s="1"/>
  <c r="D844" i="1"/>
  <c r="W843" i="1"/>
  <c r="V843" i="1"/>
  <c r="U843" i="1"/>
  <c r="T843" i="1"/>
  <c r="R843" i="1"/>
  <c r="Q843" i="1"/>
  <c r="O843" i="1"/>
  <c r="F843" i="1"/>
  <c r="W842" i="1"/>
  <c r="U842" i="1"/>
  <c r="T842" i="1"/>
  <c r="S842" i="1"/>
  <c r="R842" i="1"/>
  <c r="Q842" i="1"/>
  <c r="G842" i="1"/>
  <c r="O842" i="1" s="1"/>
  <c r="P842" i="1" s="1"/>
  <c r="V842" i="1" s="1"/>
  <c r="W841" i="1"/>
  <c r="U841" i="1"/>
  <c r="T841" i="1"/>
  <c r="S841" i="1"/>
  <c r="R841" i="1"/>
  <c r="Q841" i="1"/>
  <c r="G841" i="1"/>
  <c r="O841" i="1" s="1"/>
  <c r="P841" i="1" s="1"/>
  <c r="V841" i="1" s="1"/>
  <c r="W840" i="1"/>
  <c r="V840" i="1"/>
  <c r="U840" i="1"/>
  <c r="S840" i="1"/>
  <c r="R840" i="1"/>
  <c r="Q840" i="1"/>
  <c r="G840" i="1"/>
  <c r="O840" i="1" s="1"/>
  <c r="P840" i="1" s="1"/>
  <c r="T840" i="1" s="1"/>
  <c r="W839" i="1"/>
  <c r="U839" i="1"/>
  <c r="T839" i="1"/>
  <c r="S839" i="1"/>
  <c r="R839" i="1"/>
  <c r="Q839" i="1"/>
  <c r="G839" i="1"/>
  <c r="O839" i="1" s="1"/>
  <c r="P839" i="1" s="1"/>
  <c r="V839" i="1" s="1"/>
  <c r="M838" i="1"/>
  <c r="L838" i="1"/>
  <c r="K838" i="1"/>
  <c r="I838" i="1"/>
  <c r="H838" i="1"/>
  <c r="J838" i="1" s="1"/>
  <c r="N838" i="1" s="1"/>
  <c r="O837" i="1"/>
  <c r="E837" i="1"/>
  <c r="F837" i="1" s="1"/>
  <c r="D837" i="1"/>
  <c r="F836" i="1"/>
  <c r="D836" i="1"/>
  <c r="W835" i="1"/>
  <c r="V835" i="1"/>
  <c r="U835" i="1"/>
  <c r="T835" i="1"/>
  <c r="S835" i="1"/>
  <c r="Q835" i="1"/>
  <c r="O835" i="1"/>
  <c r="F835" i="1"/>
  <c r="W834" i="1"/>
  <c r="V834" i="1"/>
  <c r="U834" i="1"/>
  <c r="S834" i="1"/>
  <c r="R834" i="1"/>
  <c r="Q834" i="1"/>
  <c r="G834" i="1"/>
  <c r="O834" i="1" s="1"/>
  <c r="P834" i="1" s="1"/>
  <c r="T834" i="1" s="1"/>
  <c r="W833" i="1"/>
  <c r="V833" i="1"/>
  <c r="U833" i="1"/>
  <c r="S833" i="1"/>
  <c r="R833" i="1"/>
  <c r="Q833" i="1"/>
  <c r="G833" i="1"/>
  <c r="O833" i="1" s="1"/>
  <c r="P833" i="1" s="1"/>
  <c r="T833" i="1" s="1"/>
  <c r="W832" i="1"/>
  <c r="V832" i="1"/>
  <c r="U832" i="1"/>
  <c r="S832" i="1"/>
  <c r="R832" i="1"/>
  <c r="Q832" i="1"/>
  <c r="G832" i="1"/>
  <c r="O832" i="1" s="1"/>
  <c r="P832" i="1" s="1"/>
  <c r="T832" i="1" s="1"/>
  <c r="W831" i="1"/>
  <c r="V831" i="1"/>
  <c r="U831" i="1"/>
  <c r="S831" i="1"/>
  <c r="R831" i="1"/>
  <c r="Q831" i="1"/>
  <c r="G831" i="1"/>
  <c r="O831" i="1" s="1"/>
  <c r="P831" i="1" s="1"/>
  <c r="T831" i="1" s="1"/>
  <c r="N830" i="1"/>
  <c r="L830" i="1"/>
  <c r="K830" i="1"/>
  <c r="I830" i="1"/>
  <c r="H830" i="1"/>
  <c r="J830" i="1" s="1"/>
  <c r="M830" i="1" s="1"/>
  <c r="E829" i="1"/>
  <c r="F829" i="1" s="1"/>
  <c r="E828" i="1"/>
  <c r="F828" i="1" s="1"/>
  <c r="D828" i="1"/>
  <c r="F827" i="1"/>
  <c r="D827" i="1"/>
  <c r="W826" i="1"/>
  <c r="V826" i="1"/>
  <c r="U826" i="1"/>
  <c r="T826" i="1"/>
  <c r="R826" i="1"/>
  <c r="Q826" i="1"/>
  <c r="O826" i="1"/>
  <c r="F826" i="1"/>
  <c r="W825" i="1"/>
  <c r="V825" i="1"/>
  <c r="T825" i="1"/>
  <c r="S825" i="1"/>
  <c r="R825" i="1"/>
  <c r="Q825" i="1"/>
  <c r="G825" i="1"/>
  <c r="O825" i="1" s="1"/>
  <c r="P825" i="1" s="1"/>
  <c r="U825" i="1" s="1"/>
  <c r="W824" i="1"/>
  <c r="U824" i="1"/>
  <c r="T824" i="1"/>
  <c r="S824" i="1"/>
  <c r="R824" i="1"/>
  <c r="Q824" i="1"/>
  <c r="G824" i="1"/>
  <c r="O824" i="1" s="1"/>
  <c r="P824" i="1" s="1"/>
  <c r="V824" i="1" s="1"/>
  <c r="W823" i="1"/>
  <c r="V823" i="1"/>
  <c r="T823" i="1"/>
  <c r="S823" i="1"/>
  <c r="R823" i="1"/>
  <c r="Q823" i="1"/>
  <c r="G823" i="1"/>
  <c r="O823" i="1" s="1"/>
  <c r="P823" i="1" s="1"/>
  <c r="U823" i="1" s="1"/>
  <c r="W822" i="1"/>
  <c r="U822" i="1"/>
  <c r="T822" i="1"/>
  <c r="S822" i="1"/>
  <c r="R822" i="1"/>
  <c r="Q822" i="1"/>
  <c r="G822" i="1"/>
  <c r="O822" i="1" s="1"/>
  <c r="P822" i="1" s="1"/>
  <c r="V822" i="1" s="1"/>
  <c r="M821" i="1"/>
  <c r="L821" i="1"/>
  <c r="K821" i="1"/>
  <c r="I821" i="1"/>
  <c r="H821" i="1"/>
  <c r="J821" i="1" s="1"/>
  <c r="N821" i="1" s="1"/>
  <c r="W820" i="1"/>
  <c r="V820" i="1"/>
  <c r="U820" i="1"/>
  <c r="T820" i="1"/>
  <c r="S820" i="1"/>
  <c r="R820" i="1"/>
  <c r="O820" i="1"/>
  <c r="P820" i="1" s="1"/>
  <c r="Q820" i="1" s="1"/>
  <c r="F820" i="1"/>
  <c r="W819" i="1"/>
  <c r="V819" i="1"/>
  <c r="U819" i="1"/>
  <c r="T819" i="1"/>
  <c r="R819" i="1"/>
  <c r="Q819" i="1"/>
  <c r="G819" i="1"/>
  <c r="O819" i="1" s="1"/>
  <c r="P819" i="1" s="1"/>
  <c r="S819" i="1" s="1"/>
  <c r="W818" i="1"/>
  <c r="V818" i="1"/>
  <c r="U818" i="1"/>
  <c r="S818" i="1"/>
  <c r="R818" i="1"/>
  <c r="Q818" i="1"/>
  <c r="G818" i="1"/>
  <c r="O818" i="1" s="1"/>
  <c r="P818" i="1" s="1"/>
  <c r="T818" i="1" s="1"/>
  <c r="W817" i="1"/>
  <c r="V817" i="1"/>
  <c r="U817" i="1"/>
  <c r="T817" i="1"/>
  <c r="R817" i="1"/>
  <c r="Q817" i="1"/>
  <c r="G817" i="1"/>
  <c r="O817" i="1" s="1"/>
  <c r="P817" i="1" s="1"/>
  <c r="S817" i="1" s="1"/>
  <c r="W816" i="1"/>
  <c r="V816" i="1"/>
  <c r="U816" i="1"/>
  <c r="S816" i="1"/>
  <c r="R816" i="1"/>
  <c r="Q816" i="1"/>
  <c r="G816" i="1"/>
  <c r="O816" i="1" s="1"/>
  <c r="P816" i="1" s="1"/>
  <c r="T816" i="1" s="1"/>
  <c r="M815" i="1"/>
  <c r="L815" i="1"/>
  <c r="K815" i="1"/>
  <c r="I815" i="1"/>
  <c r="H815" i="1"/>
  <c r="J815" i="1" s="1"/>
  <c r="N815" i="1" s="1"/>
  <c r="W814" i="1"/>
  <c r="V814" i="1"/>
  <c r="U814" i="1"/>
  <c r="T814" i="1"/>
  <c r="S814" i="1"/>
  <c r="R814" i="1"/>
  <c r="O814" i="1"/>
  <c r="F814" i="1"/>
  <c r="W813" i="1"/>
  <c r="V813" i="1"/>
  <c r="U813" i="1"/>
  <c r="T813" i="1"/>
  <c r="R813" i="1"/>
  <c r="Q813" i="1"/>
  <c r="G813" i="1"/>
  <c r="O813" i="1" s="1"/>
  <c r="P813" i="1" s="1"/>
  <c r="S813" i="1" s="1"/>
  <c r="W812" i="1"/>
  <c r="V812" i="1"/>
  <c r="U812" i="1"/>
  <c r="T812" i="1"/>
  <c r="R812" i="1"/>
  <c r="Q812" i="1"/>
  <c r="G812" i="1"/>
  <c r="O812" i="1" s="1"/>
  <c r="P812" i="1" s="1"/>
  <c r="S812" i="1" s="1"/>
  <c r="M811" i="1"/>
  <c r="L811" i="1"/>
  <c r="K811" i="1"/>
  <c r="I811" i="1"/>
  <c r="H811" i="1"/>
  <c r="J811" i="1" s="1"/>
  <c r="N811" i="1" s="1"/>
  <c r="E810" i="1"/>
  <c r="F810" i="1" s="1"/>
  <c r="E809" i="1"/>
  <c r="F809" i="1" s="1"/>
  <c r="D809" i="1"/>
  <c r="V808" i="1"/>
  <c r="F808" i="1"/>
  <c r="D808" i="1"/>
  <c r="D810" i="1" s="1"/>
  <c r="W807" i="1"/>
  <c r="V807" i="1"/>
  <c r="U807" i="1"/>
  <c r="T807" i="1"/>
  <c r="R807" i="1"/>
  <c r="Q807" i="1"/>
  <c r="O807" i="1"/>
  <c r="F807" i="1"/>
  <c r="W806" i="1"/>
  <c r="V806" i="1"/>
  <c r="T806" i="1"/>
  <c r="S806" i="1"/>
  <c r="R806" i="1"/>
  <c r="Q806" i="1"/>
  <c r="G806" i="1"/>
  <c r="O806" i="1" s="1"/>
  <c r="P806" i="1" s="1"/>
  <c r="U806" i="1" s="1"/>
  <c r="W805" i="1"/>
  <c r="U805" i="1"/>
  <c r="T805" i="1"/>
  <c r="S805" i="1"/>
  <c r="R805" i="1"/>
  <c r="Q805" i="1"/>
  <c r="G805" i="1"/>
  <c r="O805" i="1" s="1"/>
  <c r="P805" i="1" s="1"/>
  <c r="V805" i="1" s="1"/>
  <c r="W804" i="1"/>
  <c r="V804" i="1"/>
  <c r="T804" i="1"/>
  <c r="S804" i="1"/>
  <c r="R804" i="1"/>
  <c r="Q804" i="1"/>
  <c r="G804" i="1"/>
  <c r="O804" i="1" s="1"/>
  <c r="P804" i="1" s="1"/>
  <c r="U804" i="1" s="1"/>
  <c r="W803" i="1"/>
  <c r="U803" i="1"/>
  <c r="T803" i="1"/>
  <c r="S803" i="1"/>
  <c r="R803" i="1"/>
  <c r="Q803" i="1"/>
  <c r="G803" i="1"/>
  <c r="O803" i="1" s="1"/>
  <c r="P803" i="1" s="1"/>
  <c r="V803" i="1" s="1"/>
  <c r="M802" i="1"/>
  <c r="L802" i="1"/>
  <c r="K802" i="1"/>
  <c r="I802" i="1"/>
  <c r="H802" i="1"/>
  <c r="J802" i="1" s="1"/>
  <c r="N802" i="1" s="1"/>
  <c r="O801" i="1"/>
  <c r="E801" i="1"/>
  <c r="F801" i="1" s="1"/>
  <c r="D801" i="1"/>
  <c r="W800" i="1"/>
  <c r="V800" i="1"/>
  <c r="U800" i="1"/>
  <c r="T800" i="1"/>
  <c r="S800" i="1"/>
  <c r="R800" i="1"/>
  <c r="O800" i="1"/>
  <c r="F800" i="1"/>
  <c r="W799" i="1"/>
  <c r="V799" i="1"/>
  <c r="U799" i="1"/>
  <c r="T799" i="1"/>
  <c r="R799" i="1"/>
  <c r="Q799" i="1"/>
  <c r="G799" i="1"/>
  <c r="O799" i="1" s="1"/>
  <c r="P799" i="1" s="1"/>
  <c r="S799" i="1" s="1"/>
  <c r="W798" i="1"/>
  <c r="V798" i="1"/>
  <c r="U798" i="1"/>
  <c r="S798" i="1"/>
  <c r="R798" i="1"/>
  <c r="Q798" i="1"/>
  <c r="G798" i="1"/>
  <c r="O798" i="1" s="1"/>
  <c r="P798" i="1" s="1"/>
  <c r="T798" i="1" s="1"/>
  <c r="W797" i="1"/>
  <c r="V797" i="1"/>
  <c r="U797" i="1"/>
  <c r="T797" i="1"/>
  <c r="R797" i="1"/>
  <c r="Q797" i="1"/>
  <c r="G797" i="1"/>
  <c r="O797" i="1" s="1"/>
  <c r="P797" i="1" s="1"/>
  <c r="S797" i="1" s="1"/>
  <c r="M796" i="1"/>
  <c r="L796" i="1"/>
  <c r="K796" i="1"/>
  <c r="I796" i="1"/>
  <c r="H796" i="1"/>
  <c r="J796" i="1" s="1"/>
  <c r="N796" i="1" s="1"/>
  <c r="O795" i="1"/>
  <c r="E795" i="1"/>
  <c r="F795" i="1" s="1"/>
  <c r="D795" i="1"/>
  <c r="E794" i="1"/>
  <c r="F794" i="1" s="1"/>
  <c r="D794" i="1"/>
  <c r="W793" i="1"/>
  <c r="V793" i="1"/>
  <c r="U793" i="1"/>
  <c r="T793" i="1"/>
  <c r="S793" i="1"/>
  <c r="R793" i="1"/>
  <c r="O793" i="1"/>
  <c r="F793" i="1"/>
  <c r="P793" i="1" s="1"/>
  <c r="Q793" i="1" s="1"/>
  <c r="W792" i="1"/>
  <c r="U792" i="1"/>
  <c r="T792" i="1"/>
  <c r="S792" i="1"/>
  <c r="R792" i="1"/>
  <c r="Q792" i="1"/>
  <c r="G792" i="1"/>
  <c r="O792" i="1" s="1"/>
  <c r="P792" i="1" s="1"/>
  <c r="V792" i="1" s="1"/>
  <c r="W791" i="1"/>
  <c r="V791" i="1"/>
  <c r="T791" i="1"/>
  <c r="S791" i="1"/>
  <c r="R791" i="1"/>
  <c r="Q791" i="1"/>
  <c r="G791" i="1"/>
  <c r="O791" i="1" s="1"/>
  <c r="P791" i="1" s="1"/>
  <c r="U791" i="1" s="1"/>
  <c r="W790" i="1"/>
  <c r="U790" i="1"/>
  <c r="T790" i="1"/>
  <c r="S790" i="1"/>
  <c r="R790" i="1"/>
  <c r="Q790" i="1"/>
  <c r="G790" i="1"/>
  <c r="O790" i="1" s="1"/>
  <c r="P790" i="1" s="1"/>
  <c r="V790" i="1" s="1"/>
  <c r="W789" i="1"/>
  <c r="V789" i="1"/>
  <c r="T789" i="1"/>
  <c r="S789" i="1"/>
  <c r="R789" i="1"/>
  <c r="Q789" i="1"/>
  <c r="G789" i="1"/>
  <c r="O789" i="1" s="1"/>
  <c r="P789" i="1" s="1"/>
  <c r="U789" i="1" s="1"/>
  <c r="M788" i="1"/>
  <c r="L788" i="1"/>
  <c r="K788" i="1"/>
  <c r="I788" i="1"/>
  <c r="H788" i="1"/>
  <c r="J788" i="1" s="1"/>
  <c r="N788" i="1" s="1"/>
  <c r="W787" i="1"/>
  <c r="U787" i="1"/>
  <c r="S787" i="1"/>
  <c r="O787" i="1"/>
  <c r="E787" i="1"/>
  <c r="F787" i="1" s="1"/>
  <c r="P787" i="1" s="1"/>
  <c r="V787" i="1" s="1"/>
  <c r="D787" i="1"/>
  <c r="W786" i="1"/>
  <c r="V786" i="1"/>
  <c r="U786" i="1"/>
  <c r="T786" i="1"/>
  <c r="S786" i="1"/>
  <c r="R786" i="1"/>
  <c r="O786" i="1"/>
  <c r="F786" i="1"/>
  <c r="W785" i="1"/>
  <c r="V785" i="1"/>
  <c r="T785" i="1"/>
  <c r="S785" i="1"/>
  <c r="R785" i="1"/>
  <c r="Q785" i="1"/>
  <c r="G785" i="1"/>
  <c r="O785" i="1" s="1"/>
  <c r="P785" i="1" s="1"/>
  <c r="U785" i="1" s="1"/>
  <c r="W784" i="1"/>
  <c r="U784" i="1"/>
  <c r="T784" i="1"/>
  <c r="S784" i="1"/>
  <c r="R784" i="1"/>
  <c r="Q784" i="1"/>
  <c r="G784" i="1"/>
  <c r="O784" i="1" s="1"/>
  <c r="P784" i="1" s="1"/>
  <c r="V784" i="1" s="1"/>
  <c r="W783" i="1"/>
  <c r="V783" i="1"/>
  <c r="T783" i="1"/>
  <c r="S783" i="1"/>
  <c r="R783" i="1"/>
  <c r="Q783" i="1"/>
  <c r="G783" i="1"/>
  <c r="O783" i="1" s="1"/>
  <c r="P783" i="1" s="1"/>
  <c r="U783" i="1" s="1"/>
  <c r="W782" i="1"/>
  <c r="U782" i="1"/>
  <c r="T782" i="1"/>
  <c r="S782" i="1"/>
  <c r="R782" i="1"/>
  <c r="Q782" i="1"/>
  <c r="G782" i="1"/>
  <c r="O782" i="1" s="1"/>
  <c r="P782" i="1" s="1"/>
  <c r="V782" i="1" s="1"/>
  <c r="M781" i="1"/>
  <c r="L781" i="1"/>
  <c r="K781" i="1"/>
  <c r="I781" i="1"/>
  <c r="H781" i="1"/>
  <c r="J781" i="1" s="1"/>
  <c r="N781" i="1" s="1"/>
  <c r="V780" i="1"/>
  <c r="U780" i="1"/>
  <c r="E780" i="1"/>
  <c r="F780" i="1" s="1"/>
  <c r="D780" i="1"/>
  <c r="T780" i="1" s="1"/>
  <c r="W779" i="1"/>
  <c r="V779" i="1"/>
  <c r="U779" i="1"/>
  <c r="T779" i="1"/>
  <c r="R779" i="1"/>
  <c r="Q779" i="1"/>
  <c r="O779" i="1"/>
  <c r="F779" i="1"/>
  <c r="W778" i="1"/>
  <c r="V778" i="1"/>
  <c r="T778" i="1"/>
  <c r="S778" i="1"/>
  <c r="R778" i="1"/>
  <c r="Q778" i="1"/>
  <c r="G778" i="1"/>
  <c r="O778" i="1" s="1"/>
  <c r="P778" i="1" s="1"/>
  <c r="U778" i="1" s="1"/>
  <c r="W777" i="1"/>
  <c r="U777" i="1"/>
  <c r="T777" i="1"/>
  <c r="S777" i="1"/>
  <c r="R777" i="1"/>
  <c r="Q777" i="1"/>
  <c r="G777" i="1"/>
  <c r="O777" i="1" s="1"/>
  <c r="P777" i="1" s="1"/>
  <c r="V777" i="1" s="1"/>
  <c r="W776" i="1"/>
  <c r="V776" i="1"/>
  <c r="T776" i="1"/>
  <c r="S776" i="1"/>
  <c r="R776" i="1"/>
  <c r="Q776" i="1"/>
  <c r="G776" i="1"/>
  <c r="O776" i="1" s="1"/>
  <c r="P776" i="1" s="1"/>
  <c r="U776" i="1" s="1"/>
  <c r="W775" i="1"/>
  <c r="U775" i="1"/>
  <c r="T775" i="1"/>
  <c r="S775" i="1"/>
  <c r="R775" i="1"/>
  <c r="Q775" i="1"/>
  <c r="G775" i="1"/>
  <c r="O775" i="1" s="1"/>
  <c r="P775" i="1" s="1"/>
  <c r="V775" i="1" s="1"/>
  <c r="M774" i="1"/>
  <c r="L774" i="1"/>
  <c r="K774" i="1"/>
  <c r="I774" i="1"/>
  <c r="H774" i="1"/>
  <c r="J774" i="1" s="1"/>
  <c r="N774" i="1" s="1"/>
  <c r="O773" i="1"/>
  <c r="E773" i="1"/>
  <c r="F773" i="1" s="1"/>
  <c r="P773" i="1" s="1"/>
  <c r="D773" i="1"/>
  <c r="E772" i="1"/>
  <c r="F772" i="1" s="1"/>
  <c r="D772" i="1"/>
  <c r="W771" i="1"/>
  <c r="V771" i="1"/>
  <c r="U771" i="1"/>
  <c r="T771" i="1"/>
  <c r="S771" i="1"/>
  <c r="Q771" i="1"/>
  <c r="O771" i="1"/>
  <c r="F771" i="1"/>
  <c r="W770" i="1"/>
  <c r="V770" i="1"/>
  <c r="U770" i="1"/>
  <c r="S770" i="1"/>
  <c r="R770" i="1"/>
  <c r="Q770" i="1"/>
  <c r="G770" i="1"/>
  <c r="O770" i="1" s="1"/>
  <c r="P770" i="1" s="1"/>
  <c r="T770" i="1" s="1"/>
  <c r="W769" i="1"/>
  <c r="U769" i="1"/>
  <c r="T769" i="1"/>
  <c r="S769" i="1"/>
  <c r="R769" i="1"/>
  <c r="Q769" i="1"/>
  <c r="G769" i="1"/>
  <c r="O769" i="1" s="1"/>
  <c r="P769" i="1" s="1"/>
  <c r="V769" i="1" s="1"/>
  <c r="W768" i="1"/>
  <c r="U768" i="1"/>
  <c r="T768" i="1"/>
  <c r="S768" i="1"/>
  <c r="R768" i="1"/>
  <c r="Q768" i="1"/>
  <c r="G768" i="1"/>
  <c r="O768" i="1" s="1"/>
  <c r="P768" i="1" s="1"/>
  <c r="V768" i="1" s="1"/>
  <c r="W767" i="1"/>
  <c r="U767" i="1"/>
  <c r="T767" i="1"/>
  <c r="S767" i="1"/>
  <c r="R767" i="1"/>
  <c r="Q767" i="1"/>
  <c r="G767" i="1"/>
  <c r="O767" i="1" s="1"/>
  <c r="P767" i="1" s="1"/>
  <c r="V767" i="1" s="1"/>
  <c r="M766" i="1"/>
  <c r="L766" i="1"/>
  <c r="K766" i="1"/>
  <c r="I766" i="1"/>
  <c r="H766" i="1"/>
  <c r="J766" i="1" s="1"/>
  <c r="N766" i="1" s="1"/>
  <c r="E765" i="1"/>
  <c r="F765" i="1" s="1"/>
  <c r="D765" i="1"/>
  <c r="W764" i="1"/>
  <c r="V764" i="1"/>
  <c r="U764" i="1"/>
  <c r="T764" i="1"/>
  <c r="R764" i="1"/>
  <c r="Q764" i="1"/>
  <c r="O764" i="1"/>
  <c r="F764" i="1"/>
  <c r="W763" i="1"/>
  <c r="V763" i="1"/>
  <c r="T763" i="1"/>
  <c r="S763" i="1"/>
  <c r="R763" i="1"/>
  <c r="Q763" i="1"/>
  <c r="G763" i="1"/>
  <c r="O763" i="1" s="1"/>
  <c r="P763" i="1" s="1"/>
  <c r="U763" i="1" s="1"/>
  <c r="W762" i="1"/>
  <c r="U762" i="1"/>
  <c r="T762" i="1"/>
  <c r="S762" i="1"/>
  <c r="R762" i="1"/>
  <c r="Q762" i="1"/>
  <c r="G762" i="1"/>
  <c r="O762" i="1" s="1"/>
  <c r="P762" i="1" s="1"/>
  <c r="V762" i="1" s="1"/>
  <c r="W761" i="1"/>
  <c r="V761" i="1"/>
  <c r="T761" i="1"/>
  <c r="S761" i="1"/>
  <c r="R761" i="1"/>
  <c r="Q761" i="1"/>
  <c r="G761" i="1"/>
  <c r="O761" i="1" s="1"/>
  <c r="P761" i="1" s="1"/>
  <c r="U761" i="1" s="1"/>
  <c r="W760" i="1"/>
  <c r="U760" i="1"/>
  <c r="T760" i="1"/>
  <c r="S760" i="1"/>
  <c r="R760" i="1"/>
  <c r="Q760" i="1"/>
  <c r="G760" i="1"/>
  <c r="O760" i="1" s="1"/>
  <c r="P760" i="1" s="1"/>
  <c r="V760" i="1" s="1"/>
  <c r="N759" i="1"/>
  <c r="L759" i="1"/>
  <c r="K759" i="1"/>
  <c r="I759" i="1"/>
  <c r="H759" i="1"/>
  <c r="J759" i="1" s="1"/>
  <c r="M759" i="1" s="1"/>
  <c r="E758" i="1"/>
  <c r="F758" i="1" s="1"/>
  <c r="D758" i="1"/>
  <c r="W757" i="1"/>
  <c r="V757" i="1"/>
  <c r="U757" i="1"/>
  <c r="T757" i="1"/>
  <c r="R757" i="1"/>
  <c r="Q757" i="1"/>
  <c r="O757" i="1"/>
  <c r="F757" i="1"/>
  <c r="W756" i="1"/>
  <c r="V756" i="1"/>
  <c r="T756" i="1"/>
  <c r="S756" i="1"/>
  <c r="R756" i="1"/>
  <c r="Q756" i="1"/>
  <c r="G756" i="1"/>
  <c r="O756" i="1" s="1"/>
  <c r="P756" i="1" s="1"/>
  <c r="U756" i="1" s="1"/>
  <c r="W755" i="1"/>
  <c r="U755" i="1"/>
  <c r="T755" i="1"/>
  <c r="S755" i="1"/>
  <c r="R755" i="1"/>
  <c r="Q755" i="1"/>
  <c r="G755" i="1"/>
  <c r="O755" i="1" s="1"/>
  <c r="P755" i="1" s="1"/>
  <c r="V755" i="1" s="1"/>
  <c r="W754" i="1"/>
  <c r="V754" i="1"/>
  <c r="T754" i="1"/>
  <c r="S754" i="1"/>
  <c r="R754" i="1"/>
  <c r="Q754" i="1"/>
  <c r="G754" i="1"/>
  <c r="O754" i="1" s="1"/>
  <c r="P754" i="1" s="1"/>
  <c r="U754" i="1" s="1"/>
  <c r="W753" i="1"/>
  <c r="U753" i="1"/>
  <c r="T753" i="1"/>
  <c r="S753" i="1"/>
  <c r="R753" i="1"/>
  <c r="Q753" i="1"/>
  <c r="G753" i="1"/>
  <c r="O753" i="1" s="1"/>
  <c r="P753" i="1" s="1"/>
  <c r="V753" i="1" s="1"/>
  <c r="M752" i="1"/>
  <c r="L752" i="1"/>
  <c r="K752" i="1"/>
  <c r="I752" i="1"/>
  <c r="H752" i="1"/>
  <c r="J752" i="1" s="1"/>
  <c r="N752" i="1" s="1"/>
  <c r="W751" i="1"/>
  <c r="V751" i="1"/>
  <c r="U751" i="1"/>
  <c r="T751" i="1"/>
  <c r="S751" i="1"/>
  <c r="R751" i="1"/>
  <c r="O751" i="1"/>
  <c r="F751" i="1"/>
  <c r="W750" i="1"/>
  <c r="V750" i="1"/>
  <c r="U750" i="1"/>
  <c r="S750" i="1"/>
  <c r="R750" i="1"/>
  <c r="Q750" i="1"/>
  <c r="G750" i="1"/>
  <c r="O750" i="1" s="1"/>
  <c r="P750" i="1" s="1"/>
  <c r="T750" i="1" s="1"/>
  <c r="W749" i="1"/>
  <c r="V749" i="1"/>
  <c r="U749" i="1"/>
  <c r="S749" i="1"/>
  <c r="R749" i="1"/>
  <c r="Q749" i="1"/>
  <c r="G749" i="1"/>
  <c r="O749" i="1" s="1"/>
  <c r="P749" i="1" s="1"/>
  <c r="T749" i="1" s="1"/>
  <c r="M748" i="1"/>
  <c r="L748" i="1"/>
  <c r="K748" i="1"/>
  <c r="I748" i="1"/>
  <c r="H748" i="1"/>
  <c r="J748" i="1" s="1"/>
  <c r="N748" i="1" s="1"/>
  <c r="W747" i="1"/>
  <c r="V747" i="1"/>
  <c r="U747" i="1"/>
  <c r="T747" i="1"/>
  <c r="S747" i="1"/>
  <c r="R747" i="1"/>
  <c r="O747" i="1"/>
  <c r="F747" i="1"/>
  <c r="W746" i="1"/>
  <c r="V746" i="1"/>
  <c r="U746" i="1"/>
  <c r="S746" i="1"/>
  <c r="R746" i="1"/>
  <c r="Q746" i="1"/>
  <c r="G746" i="1"/>
  <c r="O746" i="1" s="1"/>
  <c r="P746" i="1" s="1"/>
  <c r="T746" i="1" s="1"/>
  <c r="W745" i="1"/>
  <c r="V745" i="1"/>
  <c r="U745" i="1"/>
  <c r="S745" i="1"/>
  <c r="R745" i="1"/>
  <c r="Q745" i="1"/>
  <c r="G745" i="1"/>
  <c r="O745" i="1" s="1"/>
  <c r="P745" i="1" s="1"/>
  <c r="T745" i="1" s="1"/>
  <c r="M744" i="1"/>
  <c r="L744" i="1"/>
  <c r="K744" i="1"/>
  <c r="I744" i="1"/>
  <c r="H744" i="1"/>
  <c r="J744" i="1" s="1"/>
  <c r="N744" i="1" s="1"/>
  <c r="O743" i="1"/>
  <c r="E743" i="1"/>
  <c r="F743" i="1" s="1"/>
  <c r="P743" i="1" s="1"/>
  <c r="D743" i="1"/>
  <c r="W742" i="1"/>
  <c r="V742" i="1"/>
  <c r="U742" i="1"/>
  <c r="T742" i="1"/>
  <c r="S742" i="1"/>
  <c r="R742" i="1"/>
  <c r="O742" i="1"/>
  <c r="F742" i="1"/>
  <c r="W741" i="1"/>
  <c r="V741" i="1"/>
  <c r="T741" i="1"/>
  <c r="S741" i="1"/>
  <c r="R741" i="1"/>
  <c r="Q741" i="1"/>
  <c r="O741" i="1"/>
  <c r="P741" i="1" s="1"/>
  <c r="U741" i="1" s="1"/>
  <c r="G741" i="1"/>
  <c r="W740" i="1"/>
  <c r="V740" i="1"/>
  <c r="U740" i="1"/>
  <c r="S740" i="1"/>
  <c r="R740" i="1"/>
  <c r="Q740" i="1"/>
  <c r="G740" i="1"/>
  <c r="O740" i="1" s="1"/>
  <c r="P740" i="1" s="1"/>
  <c r="T740" i="1" s="1"/>
  <c r="W739" i="1"/>
  <c r="V739" i="1"/>
  <c r="T739" i="1"/>
  <c r="S739" i="1"/>
  <c r="R739" i="1"/>
  <c r="Q739" i="1"/>
  <c r="G739" i="1"/>
  <c r="O739" i="1" s="1"/>
  <c r="P739" i="1" s="1"/>
  <c r="U739" i="1" s="1"/>
  <c r="W738" i="1"/>
  <c r="V738" i="1"/>
  <c r="U738" i="1"/>
  <c r="S738" i="1"/>
  <c r="R738" i="1"/>
  <c r="Q738" i="1"/>
  <c r="G738" i="1"/>
  <c r="O738" i="1" s="1"/>
  <c r="P738" i="1" s="1"/>
  <c r="T738" i="1" s="1"/>
  <c r="M737" i="1"/>
  <c r="L737" i="1"/>
  <c r="K737" i="1"/>
  <c r="I737" i="1"/>
  <c r="H737" i="1"/>
  <c r="J737" i="1" s="1"/>
  <c r="N737" i="1" s="1"/>
  <c r="R736" i="1"/>
  <c r="O736" i="1"/>
  <c r="F736" i="1"/>
  <c r="E736" i="1"/>
  <c r="D736" i="1"/>
  <c r="E735" i="1"/>
  <c r="F735" i="1" s="1"/>
  <c r="D735" i="1"/>
  <c r="W735" i="1" s="1"/>
  <c r="W734" i="1"/>
  <c r="V734" i="1"/>
  <c r="U734" i="1"/>
  <c r="T734" i="1"/>
  <c r="S734" i="1"/>
  <c r="Q734" i="1"/>
  <c r="O734" i="1"/>
  <c r="F734" i="1"/>
  <c r="W733" i="1"/>
  <c r="V733" i="1"/>
  <c r="U733" i="1"/>
  <c r="S733" i="1"/>
  <c r="R733" i="1"/>
  <c r="Q733" i="1"/>
  <c r="G733" i="1"/>
  <c r="O733" i="1" s="1"/>
  <c r="P733" i="1" s="1"/>
  <c r="T733" i="1" s="1"/>
  <c r="W732" i="1"/>
  <c r="V732" i="1"/>
  <c r="T732" i="1"/>
  <c r="S732" i="1"/>
  <c r="R732" i="1"/>
  <c r="Q732" i="1"/>
  <c r="G732" i="1"/>
  <c r="O732" i="1" s="1"/>
  <c r="P732" i="1" s="1"/>
  <c r="U732" i="1" s="1"/>
  <c r="W731" i="1"/>
  <c r="V731" i="1"/>
  <c r="U731" i="1"/>
  <c r="S731" i="1"/>
  <c r="R731" i="1"/>
  <c r="Q731" i="1"/>
  <c r="G731" i="1"/>
  <c r="O731" i="1" s="1"/>
  <c r="P731" i="1" s="1"/>
  <c r="T731" i="1" s="1"/>
  <c r="W730" i="1"/>
  <c r="V730" i="1"/>
  <c r="T730" i="1"/>
  <c r="S730" i="1"/>
  <c r="R730" i="1"/>
  <c r="Q730" i="1"/>
  <c r="G730" i="1"/>
  <c r="O730" i="1" s="1"/>
  <c r="P730" i="1" s="1"/>
  <c r="U730" i="1" s="1"/>
  <c r="M729" i="1"/>
  <c r="L729" i="1"/>
  <c r="K729" i="1"/>
  <c r="I729" i="1"/>
  <c r="H729" i="1"/>
  <c r="J729" i="1" s="1"/>
  <c r="N729" i="1" s="1"/>
  <c r="O728" i="1"/>
  <c r="E728" i="1"/>
  <c r="F728" i="1" s="1"/>
  <c r="D728" i="1"/>
  <c r="E727" i="1"/>
  <c r="F727" i="1" s="1"/>
  <c r="D727" i="1"/>
  <c r="T727" i="1" s="1"/>
  <c r="W726" i="1"/>
  <c r="V726" i="1"/>
  <c r="U726" i="1"/>
  <c r="T726" i="1"/>
  <c r="S726" i="1"/>
  <c r="Q726" i="1"/>
  <c r="O726" i="1"/>
  <c r="F726" i="1"/>
  <c r="W725" i="1"/>
  <c r="V725" i="1"/>
  <c r="T725" i="1"/>
  <c r="S725" i="1"/>
  <c r="R725" i="1"/>
  <c r="Q725" i="1"/>
  <c r="G725" i="1"/>
  <c r="O725" i="1" s="1"/>
  <c r="P725" i="1" s="1"/>
  <c r="U725" i="1" s="1"/>
  <c r="W724" i="1"/>
  <c r="U724" i="1"/>
  <c r="T724" i="1"/>
  <c r="S724" i="1"/>
  <c r="R724" i="1"/>
  <c r="Q724" i="1"/>
  <c r="G724" i="1"/>
  <c r="O724" i="1" s="1"/>
  <c r="P724" i="1" s="1"/>
  <c r="V724" i="1" s="1"/>
  <c r="W723" i="1"/>
  <c r="V723" i="1"/>
  <c r="T723" i="1"/>
  <c r="S723" i="1"/>
  <c r="R723" i="1"/>
  <c r="Q723" i="1"/>
  <c r="G723" i="1"/>
  <c r="O723" i="1" s="1"/>
  <c r="P723" i="1" s="1"/>
  <c r="U723" i="1" s="1"/>
  <c r="W722" i="1"/>
  <c r="U722" i="1"/>
  <c r="T722" i="1"/>
  <c r="S722" i="1"/>
  <c r="R722" i="1"/>
  <c r="Q722" i="1"/>
  <c r="G722" i="1"/>
  <c r="O722" i="1" s="1"/>
  <c r="P722" i="1" s="1"/>
  <c r="V722" i="1" s="1"/>
  <c r="M721" i="1"/>
  <c r="L721" i="1"/>
  <c r="K721" i="1"/>
  <c r="I721" i="1"/>
  <c r="H721" i="1"/>
  <c r="J721" i="1" s="1"/>
  <c r="N721" i="1" s="1"/>
  <c r="O720" i="1"/>
  <c r="E720" i="1"/>
  <c r="F720" i="1" s="1"/>
  <c r="D720" i="1"/>
  <c r="W720" i="1" s="1"/>
  <c r="E719" i="1"/>
  <c r="F719" i="1" s="1"/>
  <c r="D719" i="1"/>
  <c r="W718" i="1"/>
  <c r="V718" i="1"/>
  <c r="U718" i="1"/>
  <c r="T718" i="1"/>
  <c r="R718" i="1"/>
  <c r="Q718" i="1"/>
  <c r="O718" i="1"/>
  <c r="F718" i="1"/>
  <c r="V717" i="1"/>
  <c r="U717" i="1"/>
  <c r="T717" i="1"/>
  <c r="S717" i="1"/>
  <c r="R717" i="1"/>
  <c r="Q717" i="1"/>
  <c r="G717" i="1"/>
  <c r="O717" i="1" s="1"/>
  <c r="P717" i="1" s="1"/>
  <c r="W717" i="1" s="1"/>
  <c r="V716" i="1"/>
  <c r="U716" i="1"/>
  <c r="T716" i="1"/>
  <c r="S716" i="1"/>
  <c r="R716" i="1"/>
  <c r="Q716" i="1"/>
  <c r="G716" i="1"/>
  <c r="O716" i="1" s="1"/>
  <c r="P716" i="1" s="1"/>
  <c r="W716" i="1" s="1"/>
  <c r="V715" i="1"/>
  <c r="U715" i="1"/>
  <c r="T715" i="1"/>
  <c r="S715" i="1"/>
  <c r="R715" i="1"/>
  <c r="Q715" i="1"/>
  <c r="G715" i="1"/>
  <c r="O715" i="1" s="1"/>
  <c r="P715" i="1" s="1"/>
  <c r="W715" i="1" s="1"/>
  <c r="V714" i="1"/>
  <c r="U714" i="1"/>
  <c r="T714" i="1"/>
  <c r="S714" i="1"/>
  <c r="R714" i="1"/>
  <c r="Q714" i="1"/>
  <c r="G714" i="1"/>
  <c r="O714" i="1" s="1"/>
  <c r="P714" i="1" s="1"/>
  <c r="W714" i="1" s="1"/>
  <c r="M713" i="1"/>
  <c r="L713" i="1"/>
  <c r="K713" i="1"/>
  <c r="I713" i="1"/>
  <c r="H713" i="1"/>
  <c r="J713" i="1" s="1"/>
  <c r="N713" i="1" s="1"/>
  <c r="O712" i="1"/>
  <c r="E712" i="1"/>
  <c r="F712" i="1" s="1"/>
  <c r="D712" i="1"/>
  <c r="W711" i="1"/>
  <c r="V711" i="1"/>
  <c r="U711" i="1"/>
  <c r="T711" i="1"/>
  <c r="R711" i="1"/>
  <c r="Q711" i="1"/>
  <c r="O711" i="1"/>
  <c r="F711" i="1"/>
  <c r="W710" i="1"/>
  <c r="V710" i="1"/>
  <c r="T710" i="1"/>
  <c r="S710" i="1"/>
  <c r="R710" i="1"/>
  <c r="Q710" i="1"/>
  <c r="G710" i="1"/>
  <c r="O710" i="1" s="1"/>
  <c r="P710" i="1" s="1"/>
  <c r="U710" i="1" s="1"/>
  <c r="W709" i="1"/>
  <c r="U709" i="1"/>
  <c r="T709" i="1"/>
  <c r="S709" i="1"/>
  <c r="R709" i="1"/>
  <c r="Q709" i="1"/>
  <c r="G709" i="1"/>
  <c r="O709" i="1" s="1"/>
  <c r="P709" i="1" s="1"/>
  <c r="V709" i="1" s="1"/>
  <c r="W708" i="1"/>
  <c r="V708" i="1"/>
  <c r="T708" i="1"/>
  <c r="S708" i="1"/>
  <c r="R708" i="1"/>
  <c r="Q708" i="1"/>
  <c r="G708" i="1"/>
  <c r="O708" i="1" s="1"/>
  <c r="P708" i="1" s="1"/>
  <c r="U708" i="1" s="1"/>
  <c r="W707" i="1"/>
  <c r="U707" i="1"/>
  <c r="T707" i="1"/>
  <c r="S707" i="1"/>
  <c r="R707" i="1"/>
  <c r="Q707" i="1"/>
  <c r="G707" i="1"/>
  <c r="O707" i="1" s="1"/>
  <c r="P707" i="1" s="1"/>
  <c r="V707" i="1" s="1"/>
  <c r="W706" i="1"/>
  <c r="U706" i="1"/>
  <c r="T706" i="1"/>
  <c r="S706" i="1"/>
  <c r="R706" i="1"/>
  <c r="Q706" i="1"/>
  <c r="O706" i="1"/>
  <c r="P706" i="1" s="1"/>
  <c r="V706" i="1" s="1"/>
  <c r="G706" i="1"/>
  <c r="M705" i="1"/>
  <c r="L705" i="1"/>
  <c r="K705" i="1"/>
  <c r="I705" i="1"/>
  <c r="H705" i="1"/>
  <c r="J705" i="1" s="1"/>
  <c r="N705" i="1" s="1"/>
  <c r="W704" i="1"/>
  <c r="V704" i="1"/>
  <c r="U704" i="1"/>
  <c r="T704" i="1"/>
  <c r="S704" i="1"/>
  <c r="R704" i="1"/>
  <c r="O704" i="1"/>
  <c r="F704" i="1"/>
  <c r="W703" i="1"/>
  <c r="V703" i="1"/>
  <c r="U703" i="1"/>
  <c r="S703" i="1"/>
  <c r="R703" i="1"/>
  <c r="Q703" i="1"/>
  <c r="G703" i="1"/>
  <c r="O703" i="1" s="1"/>
  <c r="P703" i="1" s="1"/>
  <c r="T703" i="1" s="1"/>
  <c r="W702" i="1"/>
  <c r="V702" i="1"/>
  <c r="U702" i="1"/>
  <c r="S702" i="1"/>
  <c r="R702" i="1"/>
  <c r="Q702" i="1"/>
  <c r="G702" i="1"/>
  <c r="O702" i="1" s="1"/>
  <c r="P702" i="1" s="1"/>
  <c r="T702" i="1" s="1"/>
  <c r="M701" i="1"/>
  <c r="L701" i="1"/>
  <c r="K701" i="1"/>
  <c r="I701" i="1"/>
  <c r="H701" i="1"/>
  <c r="J701" i="1" s="1"/>
  <c r="N701" i="1" s="1"/>
  <c r="W700" i="1"/>
  <c r="V700" i="1"/>
  <c r="U700" i="1"/>
  <c r="T700" i="1"/>
  <c r="S700" i="1"/>
  <c r="R700" i="1"/>
  <c r="O700" i="1"/>
  <c r="P700" i="1" s="1"/>
  <c r="Q700" i="1" s="1"/>
  <c r="F700" i="1"/>
  <c r="W699" i="1"/>
  <c r="V699" i="1"/>
  <c r="U699" i="1"/>
  <c r="S699" i="1"/>
  <c r="R699" i="1"/>
  <c r="Q699" i="1"/>
  <c r="G699" i="1"/>
  <c r="O699" i="1" s="1"/>
  <c r="P699" i="1" s="1"/>
  <c r="T699" i="1" s="1"/>
  <c r="W698" i="1"/>
  <c r="V698" i="1"/>
  <c r="U698" i="1"/>
  <c r="S698" i="1"/>
  <c r="R698" i="1"/>
  <c r="Q698" i="1"/>
  <c r="G698" i="1"/>
  <c r="O698" i="1" s="1"/>
  <c r="P698" i="1" s="1"/>
  <c r="T698" i="1" s="1"/>
  <c r="M697" i="1"/>
  <c r="L697" i="1"/>
  <c r="K697" i="1"/>
  <c r="I697" i="1"/>
  <c r="H697" i="1"/>
  <c r="J697" i="1" s="1"/>
  <c r="N697" i="1" s="1"/>
  <c r="W696" i="1"/>
  <c r="V696" i="1"/>
  <c r="U696" i="1"/>
  <c r="T696" i="1"/>
  <c r="S696" i="1"/>
  <c r="R696" i="1"/>
  <c r="O696" i="1"/>
  <c r="F696" i="1"/>
  <c r="W695" i="1"/>
  <c r="V695" i="1"/>
  <c r="U695" i="1"/>
  <c r="S695" i="1"/>
  <c r="R695" i="1"/>
  <c r="Q695" i="1"/>
  <c r="G695" i="1"/>
  <c r="O695" i="1" s="1"/>
  <c r="P695" i="1" s="1"/>
  <c r="T695" i="1" s="1"/>
  <c r="W694" i="1"/>
  <c r="V694" i="1"/>
  <c r="U694" i="1"/>
  <c r="S694" i="1"/>
  <c r="R694" i="1"/>
  <c r="Q694" i="1"/>
  <c r="G694" i="1"/>
  <c r="O694" i="1" s="1"/>
  <c r="P694" i="1" s="1"/>
  <c r="T694" i="1" s="1"/>
  <c r="M693" i="1"/>
  <c r="L693" i="1"/>
  <c r="K693" i="1"/>
  <c r="I693" i="1"/>
  <c r="H693" i="1"/>
  <c r="J693" i="1" s="1"/>
  <c r="N693" i="1" s="1"/>
  <c r="E692" i="1"/>
  <c r="F692" i="1" s="1"/>
  <c r="D692" i="1"/>
  <c r="W691" i="1"/>
  <c r="V691" i="1"/>
  <c r="U691" i="1"/>
  <c r="T691" i="1"/>
  <c r="R691" i="1"/>
  <c r="Q691" i="1"/>
  <c r="O691" i="1"/>
  <c r="F691" i="1"/>
  <c r="W690" i="1"/>
  <c r="V690" i="1"/>
  <c r="T690" i="1"/>
  <c r="S690" i="1"/>
  <c r="R690" i="1"/>
  <c r="Q690" i="1"/>
  <c r="G690" i="1"/>
  <c r="O690" i="1" s="1"/>
  <c r="P690" i="1" s="1"/>
  <c r="U690" i="1" s="1"/>
  <c r="W689" i="1"/>
  <c r="U689" i="1"/>
  <c r="T689" i="1"/>
  <c r="S689" i="1"/>
  <c r="R689" i="1"/>
  <c r="Q689" i="1"/>
  <c r="G689" i="1"/>
  <c r="O689" i="1" s="1"/>
  <c r="P689" i="1" s="1"/>
  <c r="V689" i="1" s="1"/>
  <c r="W688" i="1"/>
  <c r="V688" i="1"/>
  <c r="T688" i="1"/>
  <c r="S688" i="1"/>
  <c r="R688" i="1"/>
  <c r="Q688" i="1"/>
  <c r="G688" i="1"/>
  <c r="O688" i="1" s="1"/>
  <c r="P688" i="1" s="1"/>
  <c r="U688" i="1" s="1"/>
  <c r="W687" i="1"/>
  <c r="U687" i="1"/>
  <c r="T687" i="1"/>
  <c r="S687" i="1"/>
  <c r="R687" i="1"/>
  <c r="Q687" i="1"/>
  <c r="G687" i="1"/>
  <c r="O687" i="1" s="1"/>
  <c r="P687" i="1" s="1"/>
  <c r="V687" i="1" s="1"/>
  <c r="M686" i="1"/>
  <c r="L686" i="1"/>
  <c r="K686" i="1"/>
  <c r="J686" i="1"/>
  <c r="N686" i="1" s="1"/>
  <c r="I686" i="1"/>
  <c r="H686" i="1"/>
  <c r="W685" i="1"/>
  <c r="V685" i="1"/>
  <c r="U685" i="1"/>
  <c r="T685" i="1"/>
  <c r="R685" i="1"/>
  <c r="Q685" i="1"/>
  <c r="O685" i="1"/>
  <c r="F685" i="1"/>
  <c r="P685" i="1" s="1"/>
  <c r="S685" i="1" s="1"/>
  <c r="W684" i="1"/>
  <c r="V684" i="1"/>
  <c r="T684" i="1"/>
  <c r="S684" i="1"/>
  <c r="R684" i="1"/>
  <c r="Q684" i="1"/>
  <c r="O684" i="1"/>
  <c r="P684" i="1" s="1"/>
  <c r="U684" i="1" s="1"/>
  <c r="G684" i="1"/>
  <c r="W683" i="1"/>
  <c r="U683" i="1"/>
  <c r="T683" i="1"/>
  <c r="S683" i="1"/>
  <c r="R683" i="1"/>
  <c r="Q683" i="1"/>
  <c r="O683" i="1"/>
  <c r="P683" i="1" s="1"/>
  <c r="V683" i="1" s="1"/>
  <c r="G683" i="1"/>
  <c r="W682" i="1"/>
  <c r="V682" i="1"/>
  <c r="T682" i="1"/>
  <c r="S682" i="1"/>
  <c r="R682" i="1"/>
  <c r="Q682" i="1"/>
  <c r="O682" i="1"/>
  <c r="P682" i="1" s="1"/>
  <c r="U682" i="1" s="1"/>
  <c r="G682" i="1"/>
  <c r="W681" i="1"/>
  <c r="V681" i="1"/>
  <c r="U681" i="1"/>
  <c r="T681" i="1"/>
  <c r="S681" i="1"/>
  <c r="R681" i="1"/>
  <c r="Q681" i="1"/>
  <c r="O681" i="1"/>
  <c r="P681" i="1" s="1"/>
  <c r="G681" i="1"/>
  <c r="M680" i="1"/>
  <c r="L680" i="1"/>
  <c r="K680" i="1"/>
  <c r="I680" i="1"/>
  <c r="H680" i="1"/>
  <c r="J680" i="1" s="1"/>
  <c r="N680" i="1" s="1"/>
  <c r="F679" i="1"/>
  <c r="D679" i="1"/>
  <c r="W678" i="1"/>
  <c r="V678" i="1"/>
  <c r="U678" i="1"/>
  <c r="T678" i="1"/>
  <c r="S678" i="1"/>
  <c r="Q678" i="1"/>
  <c r="O678" i="1"/>
  <c r="F678" i="1"/>
  <c r="P678" i="1" s="1"/>
  <c r="R678" i="1" s="1"/>
  <c r="W677" i="1"/>
  <c r="V677" i="1"/>
  <c r="U677" i="1"/>
  <c r="T677" i="1"/>
  <c r="S677" i="1"/>
  <c r="R677" i="1"/>
  <c r="Q677" i="1"/>
  <c r="G677" i="1"/>
  <c r="O677" i="1" s="1"/>
  <c r="P677" i="1" s="1"/>
  <c r="W676" i="1"/>
  <c r="U676" i="1"/>
  <c r="T676" i="1"/>
  <c r="S676" i="1"/>
  <c r="R676" i="1"/>
  <c r="Q676" i="1"/>
  <c r="G676" i="1"/>
  <c r="O676" i="1" s="1"/>
  <c r="P676" i="1" s="1"/>
  <c r="V676" i="1" s="1"/>
  <c r="M675" i="1"/>
  <c r="L675" i="1"/>
  <c r="K675" i="1"/>
  <c r="I675" i="1"/>
  <c r="H675" i="1"/>
  <c r="J675" i="1" s="1"/>
  <c r="N675" i="1" s="1"/>
  <c r="O674" i="1"/>
  <c r="E674" i="1"/>
  <c r="F674" i="1" s="1"/>
  <c r="D674" i="1"/>
  <c r="R674" i="1" s="1"/>
  <c r="E673" i="1"/>
  <c r="F673" i="1" s="1"/>
  <c r="E672" i="1"/>
  <c r="F672" i="1" s="1"/>
  <c r="D672" i="1"/>
  <c r="F671" i="1"/>
  <c r="D671" i="1"/>
  <c r="W670" i="1"/>
  <c r="V670" i="1"/>
  <c r="U670" i="1"/>
  <c r="T670" i="1"/>
  <c r="S670" i="1"/>
  <c r="R670" i="1"/>
  <c r="O670" i="1"/>
  <c r="F670" i="1"/>
  <c r="W669" i="1"/>
  <c r="V669" i="1"/>
  <c r="U669" i="1"/>
  <c r="S669" i="1"/>
  <c r="R669" i="1"/>
  <c r="Q669" i="1"/>
  <c r="O669" i="1"/>
  <c r="P669" i="1" s="1"/>
  <c r="T669" i="1" s="1"/>
  <c r="G669" i="1"/>
  <c r="W668" i="1"/>
  <c r="V668" i="1"/>
  <c r="T668" i="1"/>
  <c r="S668" i="1"/>
  <c r="R668" i="1"/>
  <c r="Q668" i="1"/>
  <c r="G668" i="1"/>
  <c r="O668" i="1" s="1"/>
  <c r="P668" i="1" s="1"/>
  <c r="U668" i="1" s="1"/>
  <c r="W667" i="1"/>
  <c r="V667" i="1"/>
  <c r="U667" i="1"/>
  <c r="S667" i="1"/>
  <c r="R667" i="1"/>
  <c r="Q667" i="1"/>
  <c r="G667" i="1"/>
  <c r="O667" i="1" s="1"/>
  <c r="P667" i="1" s="1"/>
  <c r="T667" i="1" s="1"/>
  <c r="W666" i="1"/>
  <c r="V666" i="1"/>
  <c r="T666" i="1"/>
  <c r="S666" i="1"/>
  <c r="R666" i="1"/>
  <c r="Q666" i="1"/>
  <c r="G666" i="1"/>
  <c r="O666" i="1" s="1"/>
  <c r="P666" i="1" s="1"/>
  <c r="U666" i="1" s="1"/>
  <c r="M665" i="1"/>
  <c r="L665" i="1"/>
  <c r="K665" i="1"/>
  <c r="I665" i="1"/>
  <c r="H665" i="1"/>
  <c r="J665" i="1" s="1"/>
  <c r="N665" i="1" s="1"/>
  <c r="W664" i="1"/>
  <c r="V664" i="1"/>
  <c r="U664" i="1"/>
  <c r="T664" i="1"/>
  <c r="S664" i="1"/>
  <c r="R664" i="1"/>
  <c r="O664" i="1"/>
  <c r="F664" i="1"/>
  <c r="W663" i="1"/>
  <c r="V663" i="1"/>
  <c r="U663" i="1"/>
  <c r="S663" i="1"/>
  <c r="R663" i="1"/>
  <c r="Q663" i="1"/>
  <c r="G663" i="1"/>
  <c r="O663" i="1" s="1"/>
  <c r="P663" i="1" s="1"/>
  <c r="T663" i="1" s="1"/>
  <c r="W662" i="1"/>
  <c r="V662" i="1"/>
  <c r="U662" i="1"/>
  <c r="S662" i="1"/>
  <c r="R662" i="1"/>
  <c r="Q662" i="1"/>
  <c r="G662" i="1"/>
  <c r="O662" i="1" s="1"/>
  <c r="P662" i="1" s="1"/>
  <c r="T662" i="1" s="1"/>
  <c r="M661" i="1"/>
  <c r="L661" i="1"/>
  <c r="K661" i="1"/>
  <c r="I661" i="1"/>
  <c r="H661" i="1"/>
  <c r="J661" i="1" s="1"/>
  <c r="N661" i="1" s="1"/>
  <c r="O660" i="1"/>
  <c r="E660" i="1"/>
  <c r="F660" i="1" s="1"/>
  <c r="D660" i="1"/>
  <c r="R660" i="1" s="1"/>
  <c r="F659" i="1"/>
  <c r="D659" i="1"/>
  <c r="Q659" i="1" s="1"/>
  <c r="W658" i="1"/>
  <c r="V658" i="1"/>
  <c r="U658" i="1"/>
  <c r="T658" i="1"/>
  <c r="S658" i="1"/>
  <c r="Q658" i="1"/>
  <c r="O658" i="1"/>
  <c r="F658" i="1"/>
  <c r="P658" i="1" s="1"/>
  <c r="R658" i="1" s="1"/>
  <c r="W657" i="1"/>
  <c r="V657" i="1"/>
  <c r="T657" i="1"/>
  <c r="S657" i="1"/>
  <c r="R657" i="1"/>
  <c r="Q657" i="1"/>
  <c r="G657" i="1"/>
  <c r="O657" i="1" s="1"/>
  <c r="P657" i="1" s="1"/>
  <c r="U657" i="1" s="1"/>
  <c r="W656" i="1"/>
  <c r="V656" i="1"/>
  <c r="U656" i="1"/>
  <c r="S656" i="1"/>
  <c r="R656" i="1"/>
  <c r="Q656" i="1"/>
  <c r="G656" i="1"/>
  <c r="O656" i="1" s="1"/>
  <c r="P656" i="1" s="1"/>
  <c r="T656" i="1" s="1"/>
  <c r="W655" i="1"/>
  <c r="V655" i="1"/>
  <c r="U655" i="1"/>
  <c r="S655" i="1"/>
  <c r="R655" i="1"/>
  <c r="Q655" i="1"/>
  <c r="G655" i="1"/>
  <c r="O655" i="1" s="1"/>
  <c r="P655" i="1" s="1"/>
  <c r="T655" i="1" s="1"/>
  <c r="W654" i="1"/>
  <c r="V654" i="1"/>
  <c r="U654" i="1"/>
  <c r="S654" i="1"/>
  <c r="R654" i="1"/>
  <c r="Q654" i="1"/>
  <c r="G654" i="1"/>
  <c r="O654" i="1" s="1"/>
  <c r="P654" i="1" s="1"/>
  <c r="T654" i="1" s="1"/>
  <c r="M653" i="1"/>
  <c r="L653" i="1"/>
  <c r="K653" i="1"/>
  <c r="I653" i="1"/>
  <c r="H653" i="1"/>
  <c r="J653" i="1" s="1"/>
  <c r="N653" i="1" s="1"/>
  <c r="O652" i="1"/>
  <c r="E652" i="1"/>
  <c r="F652" i="1" s="1"/>
  <c r="D652" i="1"/>
  <c r="O651" i="1"/>
  <c r="F651" i="1"/>
  <c r="E651" i="1"/>
  <c r="E650" i="1"/>
  <c r="F650" i="1" s="1"/>
  <c r="D650" i="1"/>
  <c r="F649" i="1"/>
  <c r="D649" i="1"/>
  <c r="D651" i="1" s="1"/>
  <c r="W651" i="1" s="1"/>
  <c r="W648" i="1"/>
  <c r="V648" i="1"/>
  <c r="U648" i="1"/>
  <c r="T648" i="1"/>
  <c r="S648" i="1"/>
  <c r="R648" i="1"/>
  <c r="O648" i="1"/>
  <c r="P648" i="1" s="1"/>
  <c r="Q648" i="1" s="1"/>
  <c r="F648" i="1"/>
  <c r="W647" i="1"/>
  <c r="V647" i="1"/>
  <c r="U647" i="1"/>
  <c r="S647" i="1"/>
  <c r="R647" i="1"/>
  <c r="Q647" i="1"/>
  <c r="O647" i="1"/>
  <c r="P647" i="1" s="1"/>
  <c r="T647" i="1" s="1"/>
  <c r="G647" i="1"/>
  <c r="W646" i="1"/>
  <c r="V646" i="1"/>
  <c r="T646" i="1"/>
  <c r="S646" i="1"/>
  <c r="R646" i="1"/>
  <c r="Q646" i="1"/>
  <c r="G646" i="1"/>
  <c r="O646" i="1" s="1"/>
  <c r="P646" i="1" s="1"/>
  <c r="U646" i="1" s="1"/>
  <c r="W645" i="1"/>
  <c r="V645" i="1"/>
  <c r="U645" i="1"/>
  <c r="S645" i="1"/>
  <c r="R645" i="1"/>
  <c r="Q645" i="1"/>
  <c r="G645" i="1"/>
  <c r="O645" i="1" s="1"/>
  <c r="P645" i="1" s="1"/>
  <c r="T645" i="1" s="1"/>
  <c r="W644" i="1"/>
  <c r="V644" i="1"/>
  <c r="T644" i="1"/>
  <c r="S644" i="1"/>
  <c r="R644" i="1"/>
  <c r="Q644" i="1"/>
  <c r="G644" i="1"/>
  <c r="O644" i="1" s="1"/>
  <c r="P644" i="1" s="1"/>
  <c r="U644" i="1" s="1"/>
  <c r="M643" i="1"/>
  <c r="L643" i="1"/>
  <c r="K643" i="1"/>
  <c r="I643" i="1"/>
  <c r="H643" i="1"/>
  <c r="J643" i="1" s="1"/>
  <c r="N643" i="1" s="1"/>
  <c r="W642" i="1"/>
  <c r="V642" i="1"/>
  <c r="U642" i="1"/>
  <c r="T642" i="1"/>
  <c r="F642" i="1"/>
  <c r="D642" i="1"/>
  <c r="Q642" i="1" s="1"/>
  <c r="W641" i="1"/>
  <c r="V641" i="1"/>
  <c r="U641" i="1"/>
  <c r="T641" i="1"/>
  <c r="S641" i="1"/>
  <c r="Q641" i="1"/>
  <c r="O641" i="1"/>
  <c r="F641" i="1"/>
  <c r="P641" i="1" s="1"/>
  <c r="R641" i="1" s="1"/>
  <c r="W640" i="1"/>
  <c r="U640" i="1"/>
  <c r="T640" i="1"/>
  <c r="S640" i="1"/>
  <c r="R640" i="1"/>
  <c r="Q640" i="1"/>
  <c r="G640" i="1"/>
  <c r="O640" i="1" s="1"/>
  <c r="P640" i="1" s="1"/>
  <c r="V640" i="1" s="1"/>
  <c r="W639" i="1"/>
  <c r="U639" i="1"/>
  <c r="T639" i="1"/>
  <c r="S639" i="1"/>
  <c r="R639" i="1"/>
  <c r="Q639" i="1"/>
  <c r="G639" i="1"/>
  <c r="O639" i="1" s="1"/>
  <c r="P639" i="1" s="1"/>
  <c r="V639" i="1" s="1"/>
  <c r="M638" i="1"/>
  <c r="L638" i="1"/>
  <c r="K638" i="1"/>
  <c r="I638" i="1"/>
  <c r="H638" i="1"/>
  <c r="J638" i="1" s="1"/>
  <c r="N638" i="1" s="1"/>
  <c r="E637" i="1"/>
  <c r="F637" i="1" s="1"/>
  <c r="D637" i="1"/>
  <c r="W636" i="1"/>
  <c r="V636" i="1"/>
  <c r="U636" i="1"/>
  <c r="T636" i="1"/>
  <c r="R636" i="1"/>
  <c r="Q636" i="1"/>
  <c r="O636" i="1"/>
  <c r="F636" i="1"/>
  <c r="W635" i="1"/>
  <c r="V635" i="1"/>
  <c r="T635" i="1"/>
  <c r="S635" i="1"/>
  <c r="R635" i="1"/>
  <c r="Q635" i="1"/>
  <c r="O635" i="1"/>
  <c r="P635" i="1" s="1"/>
  <c r="U635" i="1" s="1"/>
  <c r="G635" i="1"/>
  <c r="W634" i="1"/>
  <c r="U634" i="1"/>
  <c r="T634" i="1"/>
  <c r="S634" i="1"/>
  <c r="R634" i="1"/>
  <c r="Q634" i="1"/>
  <c r="O634" i="1"/>
  <c r="P634" i="1" s="1"/>
  <c r="V634" i="1" s="1"/>
  <c r="G634" i="1"/>
  <c r="W633" i="1"/>
  <c r="V633" i="1"/>
  <c r="T633" i="1"/>
  <c r="S633" i="1"/>
  <c r="R633" i="1"/>
  <c r="Q633" i="1"/>
  <c r="O633" i="1"/>
  <c r="P633" i="1" s="1"/>
  <c r="U633" i="1" s="1"/>
  <c r="G633" i="1"/>
  <c r="W632" i="1"/>
  <c r="U632" i="1"/>
  <c r="T632" i="1"/>
  <c r="S632" i="1"/>
  <c r="R632" i="1"/>
  <c r="Q632" i="1"/>
  <c r="O632" i="1"/>
  <c r="P632" i="1" s="1"/>
  <c r="V632" i="1" s="1"/>
  <c r="G632" i="1"/>
  <c r="M631" i="1"/>
  <c r="L631" i="1"/>
  <c r="K631" i="1"/>
  <c r="I631" i="1"/>
  <c r="H631" i="1"/>
  <c r="J631" i="1" s="1"/>
  <c r="N631" i="1" s="1"/>
  <c r="E630" i="1"/>
  <c r="F630" i="1" s="1"/>
  <c r="D630" i="1"/>
  <c r="W629" i="1"/>
  <c r="V629" i="1"/>
  <c r="U629" i="1"/>
  <c r="T629" i="1"/>
  <c r="R629" i="1"/>
  <c r="Q629" i="1"/>
  <c r="O629" i="1"/>
  <c r="F629" i="1"/>
  <c r="W628" i="1"/>
  <c r="V628" i="1"/>
  <c r="T628" i="1"/>
  <c r="S628" i="1"/>
  <c r="R628" i="1"/>
  <c r="Q628" i="1"/>
  <c r="G628" i="1"/>
  <c r="O628" i="1" s="1"/>
  <c r="P628" i="1" s="1"/>
  <c r="U628" i="1" s="1"/>
  <c r="W627" i="1"/>
  <c r="U627" i="1"/>
  <c r="T627" i="1"/>
  <c r="S627" i="1"/>
  <c r="R627" i="1"/>
  <c r="Q627" i="1"/>
  <c r="G627" i="1"/>
  <c r="O627" i="1" s="1"/>
  <c r="P627" i="1" s="1"/>
  <c r="V627" i="1" s="1"/>
  <c r="W626" i="1"/>
  <c r="V626" i="1"/>
  <c r="T626" i="1"/>
  <c r="S626" i="1"/>
  <c r="R626" i="1"/>
  <c r="Q626" i="1"/>
  <c r="G626" i="1"/>
  <c r="O626" i="1" s="1"/>
  <c r="P626" i="1" s="1"/>
  <c r="U626" i="1" s="1"/>
  <c r="W625" i="1"/>
  <c r="U625" i="1"/>
  <c r="T625" i="1"/>
  <c r="S625" i="1"/>
  <c r="R625" i="1"/>
  <c r="Q625" i="1"/>
  <c r="G625" i="1"/>
  <c r="O625" i="1" s="1"/>
  <c r="P625" i="1" s="1"/>
  <c r="V625" i="1" s="1"/>
  <c r="M624" i="1"/>
  <c r="L624" i="1"/>
  <c r="K624" i="1"/>
  <c r="I624" i="1"/>
  <c r="H624" i="1"/>
  <c r="J624" i="1" s="1"/>
  <c r="N624" i="1" s="1"/>
  <c r="W623" i="1"/>
  <c r="V623" i="1"/>
  <c r="U623" i="1"/>
  <c r="T623" i="1"/>
  <c r="R623" i="1"/>
  <c r="Q623" i="1"/>
  <c r="O623" i="1"/>
  <c r="F623" i="1"/>
  <c r="W622" i="1"/>
  <c r="V622" i="1"/>
  <c r="T622" i="1"/>
  <c r="S622" i="1"/>
  <c r="R622" i="1"/>
  <c r="Q622" i="1"/>
  <c r="G622" i="1"/>
  <c r="O622" i="1" s="1"/>
  <c r="P622" i="1" s="1"/>
  <c r="U622" i="1" s="1"/>
  <c r="W621" i="1"/>
  <c r="V621" i="1"/>
  <c r="T621" i="1"/>
  <c r="S621" i="1"/>
  <c r="R621" i="1"/>
  <c r="Q621" i="1"/>
  <c r="G621" i="1"/>
  <c r="O621" i="1" s="1"/>
  <c r="P621" i="1" s="1"/>
  <c r="U621" i="1" s="1"/>
  <c r="M620" i="1"/>
  <c r="L620" i="1"/>
  <c r="K620" i="1"/>
  <c r="I620" i="1"/>
  <c r="H620" i="1"/>
  <c r="J620" i="1" s="1"/>
  <c r="N620" i="1" s="1"/>
  <c r="W619" i="1"/>
  <c r="V619" i="1"/>
  <c r="U619" i="1"/>
  <c r="T619" i="1"/>
  <c r="R619" i="1"/>
  <c r="Q619" i="1"/>
  <c r="O619" i="1"/>
  <c r="F619" i="1"/>
  <c r="W618" i="1"/>
  <c r="V618" i="1"/>
  <c r="T618" i="1"/>
  <c r="S618" i="1"/>
  <c r="R618" i="1"/>
  <c r="Q618" i="1"/>
  <c r="G618" i="1"/>
  <c r="O618" i="1" s="1"/>
  <c r="P618" i="1" s="1"/>
  <c r="U618" i="1" s="1"/>
  <c r="W617" i="1"/>
  <c r="V617" i="1"/>
  <c r="U617" i="1"/>
  <c r="S617" i="1"/>
  <c r="R617" i="1"/>
  <c r="Q617" i="1"/>
  <c r="G617" i="1"/>
  <c r="O617" i="1" s="1"/>
  <c r="P617" i="1" s="1"/>
  <c r="T617" i="1" s="1"/>
  <c r="W616" i="1"/>
  <c r="V616" i="1"/>
  <c r="T616" i="1"/>
  <c r="S616" i="1"/>
  <c r="R616" i="1"/>
  <c r="Q616" i="1"/>
  <c r="G616" i="1"/>
  <c r="O616" i="1" s="1"/>
  <c r="P616" i="1" s="1"/>
  <c r="U616" i="1" s="1"/>
  <c r="W615" i="1"/>
  <c r="U615" i="1"/>
  <c r="T615" i="1"/>
  <c r="S615" i="1"/>
  <c r="R615" i="1"/>
  <c r="Q615" i="1"/>
  <c r="G615" i="1"/>
  <c r="O615" i="1" s="1"/>
  <c r="P615" i="1" s="1"/>
  <c r="V615" i="1" s="1"/>
  <c r="M614" i="1"/>
  <c r="L614" i="1"/>
  <c r="K614" i="1"/>
  <c r="I614" i="1"/>
  <c r="H614" i="1"/>
  <c r="J614" i="1" s="1"/>
  <c r="N614" i="1" s="1"/>
  <c r="W613" i="1"/>
  <c r="V613" i="1"/>
  <c r="U613" i="1"/>
  <c r="T613" i="1"/>
  <c r="R613" i="1"/>
  <c r="Q613" i="1"/>
  <c r="O613" i="1"/>
  <c r="F613" i="1"/>
  <c r="W612" i="1"/>
  <c r="V612" i="1"/>
  <c r="T612" i="1"/>
  <c r="S612" i="1"/>
  <c r="R612" i="1"/>
  <c r="Q612" i="1"/>
  <c r="G612" i="1"/>
  <c r="O612" i="1" s="1"/>
  <c r="P612" i="1" s="1"/>
  <c r="U612" i="1" s="1"/>
  <c r="W611" i="1"/>
  <c r="V611" i="1"/>
  <c r="U611" i="1"/>
  <c r="S611" i="1"/>
  <c r="R611" i="1"/>
  <c r="Q611" i="1"/>
  <c r="G611" i="1"/>
  <c r="O611" i="1" s="1"/>
  <c r="P611" i="1" s="1"/>
  <c r="T611" i="1" s="1"/>
  <c r="W610" i="1"/>
  <c r="V610" i="1"/>
  <c r="T610" i="1"/>
  <c r="S610" i="1"/>
  <c r="R610" i="1"/>
  <c r="Q610" i="1"/>
  <c r="G610" i="1"/>
  <c r="O610" i="1" s="1"/>
  <c r="P610" i="1" s="1"/>
  <c r="U610" i="1" s="1"/>
  <c r="W609" i="1"/>
  <c r="U609" i="1"/>
  <c r="T609" i="1"/>
  <c r="S609" i="1"/>
  <c r="R609" i="1"/>
  <c r="Q609" i="1"/>
  <c r="G609" i="1"/>
  <c r="O609" i="1" s="1"/>
  <c r="P609" i="1" s="1"/>
  <c r="V609" i="1" s="1"/>
  <c r="M608" i="1"/>
  <c r="L608" i="1"/>
  <c r="K608" i="1"/>
  <c r="I608" i="1"/>
  <c r="H608" i="1"/>
  <c r="J608" i="1" s="1"/>
  <c r="N608" i="1" s="1"/>
  <c r="W607" i="1"/>
  <c r="V607" i="1"/>
  <c r="U607" i="1"/>
  <c r="T607" i="1"/>
  <c r="R607" i="1"/>
  <c r="Q607" i="1"/>
  <c r="O607" i="1"/>
  <c r="F607" i="1"/>
  <c r="W606" i="1"/>
  <c r="U606" i="1"/>
  <c r="T606" i="1"/>
  <c r="S606" i="1"/>
  <c r="R606" i="1"/>
  <c r="Q606" i="1"/>
  <c r="G606" i="1"/>
  <c r="O606" i="1" s="1"/>
  <c r="P606" i="1" s="1"/>
  <c r="V606" i="1" s="1"/>
  <c r="W605" i="1"/>
  <c r="U605" i="1"/>
  <c r="T605" i="1"/>
  <c r="S605" i="1"/>
  <c r="R605" i="1"/>
  <c r="Q605" i="1"/>
  <c r="G605" i="1"/>
  <c r="O605" i="1" s="1"/>
  <c r="P605" i="1" s="1"/>
  <c r="V605" i="1" s="1"/>
  <c r="M604" i="1"/>
  <c r="L604" i="1"/>
  <c r="K604" i="1"/>
  <c r="I604" i="1"/>
  <c r="H604" i="1"/>
  <c r="J604" i="1" s="1"/>
  <c r="N604" i="1" s="1"/>
  <c r="W603" i="1"/>
  <c r="V603" i="1"/>
  <c r="U603" i="1"/>
  <c r="T603" i="1"/>
  <c r="R603" i="1"/>
  <c r="Q603" i="1"/>
  <c r="O603" i="1"/>
  <c r="F603" i="1"/>
  <c r="P603" i="1" s="1"/>
  <c r="S603" i="1" s="1"/>
  <c r="W602" i="1"/>
  <c r="V602" i="1"/>
  <c r="T602" i="1"/>
  <c r="S602" i="1"/>
  <c r="R602" i="1"/>
  <c r="Q602" i="1"/>
  <c r="G602" i="1"/>
  <c r="O602" i="1" s="1"/>
  <c r="P602" i="1" s="1"/>
  <c r="U602" i="1" s="1"/>
  <c r="W601" i="1"/>
  <c r="U601" i="1"/>
  <c r="T601" i="1"/>
  <c r="S601" i="1"/>
  <c r="R601" i="1"/>
  <c r="Q601" i="1"/>
  <c r="G601" i="1"/>
  <c r="O601" i="1" s="1"/>
  <c r="P601" i="1" s="1"/>
  <c r="V601" i="1" s="1"/>
  <c r="W600" i="1"/>
  <c r="U600" i="1"/>
  <c r="T600" i="1"/>
  <c r="S600" i="1"/>
  <c r="R600" i="1"/>
  <c r="Q600" i="1"/>
  <c r="G600" i="1"/>
  <c r="O600" i="1" s="1"/>
  <c r="P600" i="1" s="1"/>
  <c r="V600" i="1" s="1"/>
  <c r="M599" i="1"/>
  <c r="L599" i="1"/>
  <c r="K599" i="1"/>
  <c r="I599" i="1"/>
  <c r="H599" i="1"/>
  <c r="J599" i="1" s="1"/>
  <c r="N599" i="1" s="1"/>
  <c r="E598" i="1"/>
  <c r="F598" i="1" s="1"/>
  <c r="D598" i="1"/>
  <c r="U598" i="1" s="1"/>
  <c r="W597" i="1"/>
  <c r="V597" i="1"/>
  <c r="U597" i="1"/>
  <c r="T597" i="1"/>
  <c r="S597" i="1"/>
  <c r="Q597" i="1"/>
  <c r="O597" i="1"/>
  <c r="F597" i="1"/>
  <c r="W596" i="1"/>
  <c r="V596" i="1"/>
  <c r="T596" i="1"/>
  <c r="S596" i="1"/>
  <c r="R596" i="1"/>
  <c r="Q596" i="1"/>
  <c r="G596" i="1"/>
  <c r="O596" i="1" s="1"/>
  <c r="P596" i="1" s="1"/>
  <c r="U596" i="1" s="1"/>
  <c r="W595" i="1"/>
  <c r="V595" i="1"/>
  <c r="T595" i="1"/>
  <c r="S595" i="1"/>
  <c r="R595" i="1"/>
  <c r="Q595" i="1"/>
  <c r="G595" i="1"/>
  <c r="O595" i="1" s="1"/>
  <c r="P595" i="1" s="1"/>
  <c r="U595" i="1" s="1"/>
  <c r="M594" i="1"/>
  <c r="L594" i="1"/>
  <c r="K594" i="1"/>
  <c r="I594" i="1"/>
  <c r="H594" i="1"/>
  <c r="J594" i="1" s="1"/>
  <c r="N594" i="1" s="1"/>
  <c r="W593" i="1"/>
  <c r="V593" i="1"/>
  <c r="U593" i="1"/>
  <c r="T593" i="1"/>
  <c r="S593" i="1"/>
  <c r="Q593" i="1"/>
  <c r="O593" i="1"/>
  <c r="F593" i="1"/>
  <c r="W592" i="1"/>
  <c r="V592" i="1"/>
  <c r="T592" i="1"/>
  <c r="S592" i="1"/>
  <c r="R592" i="1"/>
  <c r="Q592" i="1"/>
  <c r="G592" i="1"/>
  <c r="O592" i="1" s="1"/>
  <c r="P592" i="1" s="1"/>
  <c r="U592" i="1" s="1"/>
  <c r="W591" i="1"/>
  <c r="V591" i="1"/>
  <c r="T591" i="1"/>
  <c r="S591" i="1"/>
  <c r="R591" i="1"/>
  <c r="Q591" i="1"/>
  <c r="G591" i="1"/>
  <c r="O591" i="1" s="1"/>
  <c r="P591" i="1" s="1"/>
  <c r="U591" i="1" s="1"/>
  <c r="M590" i="1"/>
  <c r="L590" i="1"/>
  <c r="K590" i="1"/>
  <c r="I590" i="1"/>
  <c r="H590" i="1"/>
  <c r="J590" i="1" s="1"/>
  <c r="N590" i="1" s="1"/>
  <c r="W589" i="1"/>
  <c r="V589" i="1"/>
  <c r="U589" i="1"/>
  <c r="T589" i="1"/>
  <c r="R589" i="1"/>
  <c r="Q589" i="1"/>
  <c r="O589" i="1"/>
  <c r="F589" i="1"/>
  <c r="W588" i="1"/>
  <c r="V588" i="1"/>
  <c r="T588" i="1"/>
  <c r="S588" i="1"/>
  <c r="R588" i="1"/>
  <c r="Q588" i="1"/>
  <c r="G588" i="1"/>
  <c r="O588" i="1" s="1"/>
  <c r="P588" i="1" s="1"/>
  <c r="U588" i="1" s="1"/>
  <c r="W587" i="1"/>
  <c r="U587" i="1"/>
  <c r="T587" i="1"/>
  <c r="S587" i="1"/>
  <c r="R587" i="1"/>
  <c r="Q587" i="1"/>
  <c r="G587" i="1"/>
  <c r="O587" i="1" s="1"/>
  <c r="P587" i="1" s="1"/>
  <c r="V587" i="1" s="1"/>
  <c r="W586" i="1"/>
  <c r="U586" i="1"/>
  <c r="T586" i="1"/>
  <c r="S586" i="1"/>
  <c r="R586" i="1"/>
  <c r="Q586" i="1"/>
  <c r="G586" i="1"/>
  <c r="O586" i="1" s="1"/>
  <c r="P586" i="1" s="1"/>
  <c r="V586" i="1" s="1"/>
  <c r="M585" i="1"/>
  <c r="L585" i="1"/>
  <c r="K585" i="1"/>
  <c r="I585" i="1"/>
  <c r="H585" i="1"/>
  <c r="J585" i="1" s="1"/>
  <c r="N585" i="1" s="1"/>
  <c r="W584" i="1"/>
  <c r="V584" i="1"/>
  <c r="U584" i="1"/>
  <c r="T584" i="1"/>
  <c r="S584" i="1"/>
  <c r="R584" i="1"/>
  <c r="O584" i="1"/>
  <c r="F584" i="1"/>
  <c r="W583" i="1"/>
  <c r="V583" i="1"/>
  <c r="U583" i="1"/>
  <c r="S583" i="1"/>
  <c r="R583" i="1"/>
  <c r="Q583" i="1"/>
  <c r="G583" i="1"/>
  <c r="O583" i="1" s="1"/>
  <c r="P583" i="1" s="1"/>
  <c r="T583" i="1" s="1"/>
  <c r="W582" i="1"/>
  <c r="V582" i="1"/>
  <c r="U582" i="1"/>
  <c r="S582" i="1"/>
  <c r="R582" i="1"/>
  <c r="Q582" i="1"/>
  <c r="G582" i="1"/>
  <c r="O582" i="1" s="1"/>
  <c r="P582" i="1" s="1"/>
  <c r="T582" i="1" s="1"/>
  <c r="M581" i="1"/>
  <c r="L581" i="1"/>
  <c r="K581" i="1"/>
  <c r="I581" i="1"/>
  <c r="H581" i="1"/>
  <c r="J581" i="1" s="1"/>
  <c r="N581" i="1" s="1"/>
  <c r="E580" i="1"/>
  <c r="F580" i="1" s="1"/>
  <c r="D580" i="1"/>
  <c r="T580" i="1" s="1"/>
  <c r="W579" i="1"/>
  <c r="V579" i="1"/>
  <c r="U579" i="1"/>
  <c r="T579" i="1"/>
  <c r="R579" i="1"/>
  <c r="Q579" i="1"/>
  <c r="O579" i="1"/>
  <c r="F579" i="1"/>
  <c r="W578" i="1"/>
  <c r="U578" i="1"/>
  <c r="T578" i="1"/>
  <c r="S578" i="1"/>
  <c r="R578" i="1"/>
  <c r="Q578" i="1"/>
  <c r="G578" i="1"/>
  <c r="O578" i="1" s="1"/>
  <c r="P578" i="1" s="1"/>
  <c r="V578" i="1" s="1"/>
  <c r="W577" i="1"/>
  <c r="U577" i="1"/>
  <c r="T577" i="1"/>
  <c r="S577" i="1"/>
  <c r="R577" i="1"/>
  <c r="Q577" i="1"/>
  <c r="G577" i="1"/>
  <c r="O577" i="1" s="1"/>
  <c r="P577" i="1" s="1"/>
  <c r="V577" i="1" s="1"/>
  <c r="M576" i="1"/>
  <c r="L576" i="1"/>
  <c r="K576" i="1"/>
  <c r="I576" i="1"/>
  <c r="H576" i="1"/>
  <c r="J576" i="1" s="1"/>
  <c r="N576" i="1" s="1"/>
  <c r="E575" i="1"/>
  <c r="F575" i="1" s="1"/>
  <c r="U574" i="1"/>
  <c r="E574" i="1"/>
  <c r="F574" i="1" s="1"/>
  <c r="D574" i="1"/>
  <c r="F573" i="1"/>
  <c r="D573" i="1"/>
  <c r="V573" i="1" s="1"/>
  <c r="W572" i="1"/>
  <c r="V572" i="1"/>
  <c r="U572" i="1"/>
  <c r="T572" i="1"/>
  <c r="R572" i="1"/>
  <c r="Q572" i="1"/>
  <c r="O572" i="1"/>
  <c r="F572" i="1"/>
  <c r="W571" i="1"/>
  <c r="U571" i="1"/>
  <c r="T571" i="1"/>
  <c r="S571" i="1"/>
  <c r="R571" i="1"/>
  <c r="Q571" i="1"/>
  <c r="G571" i="1"/>
  <c r="O571" i="1" s="1"/>
  <c r="P571" i="1" s="1"/>
  <c r="V571" i="1" s="1"/>
  <c r="W570" i="1"/>
  <c r="U570" i="1"/>
  <c r="T570" i="1"/>
  <c r="S570" i="1"/>
  <c r="R570" i="1"/>
  <c r="Q570" i="1"/>
  <c r="G570" i="1"/>
  <c r="O570" i="1" s="1"/>
  <c r="P570" i="1" s="1"/>
  <c r="V570" i="1" s="1"/>
  <c r="M569" i="1"/>
  <c r="L569" i="1"/>
  <c r="K569" i="1"/>
  <c r="I569" i="1"/>
  <c r="H569" i="1"/>
  <c r="J569" i="1" s="1"/>
  <c r="N569" i="1" s="1"/>
  <c r="O568" i="1"/>
  <c r="E568" i="1"/>
  <c r="F568" i="1" s="1"/>
  <c r="P568" i="1" s="1"/>
  <c r="D568" i="1"/>
  <c r="S568" i="1" s="1"/>
  <c r="E567" i="1"/>
  <c r="F567" i="1" s="1"/>
  <c r="E566" i="1"/>
  <c r="F566" i="1" s="1"/>
  <c r="D566" i="1"/>
  <c r="O566" i="1" s="1"/>
  <c r="F565" i="1"/>
  <c r="D565" i="1"/>
  <c r="W564" i="1"/>
  <c r="V564" i="1"/>
  <c r="U564" i="1"/>
  <c r="T564" i="1"/>
  <c r="S564" i="1"/>
  <c r="Q564" i="1"/>
  <c r="O564" i="1"/>
  <c r="F564" i="1"/>
  <c r="W563" i="1"/>
  <c r="V563" i="1"/>
  <c r="U563" i="1"/>
  <c r="S563" i="1"/>
  <c r="R563" i="1"/>
  <c r="Q563" i="1"/>
  <c r="G563" i="1"/>
  <c r="O563" i="1" s="1"/>
  <c r="P563" i="1" s="1"/>
  <c r="T563" i="1" s="1"/>
  <c r="W562" i="1"/>
  <c r="V562" i="1"/>
  <c r="T562" i="1"/>
  <c r="S562" i="1"/>
  <c r="R562" i="1"/>
  <c r="Q562" i="1"/>
  <c r="G562" i="1"/>
  <c r="O562" i="1" s="1"/>
  <c r="P562" i="1" s="1"/>
  <c r="U562" i="1" s="1"/>
  <c r="W561" i="1"/>
  <c r="V561" i="1"/>
  <c r="U561" i="1"/>
  <c r="S561" i="1"/>
  <c r="R561" i="1"/>
  <c r="Q561" i="1"/>
  <c r="G561" i="1"/>
  <c r="O561" i="1" s="1"/>
  <c r="P561" i="1" s="1"/>
  <c r="T561" i="1" s="1"/>
  <c r="W560" i="1"/>
  <c r="V560" i="1"/>
  <c r="U560" i="1"/>
  <c r="S560" i="1"/>
  <c r="R560" i="1"/>
  <c r="Q560" i="1"/>
  <c r="G560" i="1"/>
  <c r="O560" i="1" s="1"/>
  <c r="P560" i="1" s="1"/>
  <c r="T560" i="1" s="1"/>
  <c r="W559" i="1"/>
  <c r="V559" i="1"/>
  <c r="T559" i="1"/>
  <c r="S559" i="1"/>
  <c r="R559" i="1"/>
  <c r="Q559" i="1"/>
  <c r="G559" i="1"/>
  <c r="O559" i="1" s="1"/>
  <c r="P559" i="1" s="1"/>
  <c r="U559" i="1" s="1"/>
  <c r="M558" i="1"/>
  <c r="L558" i="1"/>
  <c r="K558" i="1"/>
  <c r="I558" i="1"/>
  <c r="H558" i="1"/>
  <c r="J558" i="1" s="1"/>
  <c r="N558" i="1" s="1"/>
  <c r="R557" i="1"/>
  <c r="O557" i="1"/>
  <c r="E557" i="1"/>
  <c r="F557" i="1" s="1"/>
  <c r="D557" i="1"/>
  <c r="W557" i="1" s="1"/>
  <c r="E556" i="1"/>
  <c r="F556" i="1" s="1"/>
  <c r="E555" i="1"/>
  <c r="F555" i="1" s="1"/>
  <c r="D555" i="1"/>
  <c r="F554" i="1"/>
  <c r="D554" i="1"/>
  <c r="W554" i="1" s="1"/>
  <c r="W553" i="1"/>
  <c r="V553" i="1"/>
  <c r="U553" i="1"/>
  <c r="T553" i="1"/>
  <c r="S553" i="1"/>
  <c r="Q553" i="1"/>
  <c r="O553" i="1"/>
  <c r="F553" i="1"/>
  <c r="W552" i="1"/>
  <c r="V552" i="1"/>
  <c r="U552" i="1"/>
  <c r="S552" i="1"/>
  <c r="R552" i="1"/>
  <c r="Q552" i="1"/>
  <c r="G552" i="1"/>
  <c r="O552" i="1" s="1"/>
  <c r="P552" i="1" s="1"/>
  <c r="T552" i="1" s="1"/>
  <c r="W551" i="1"/>
  <c r="V551" i="1"/>
  <c r="T551" i="1"/>
  <c r="S551" i="1"/>
  <c r="R551" i="1"/>
  <c r="Q551" i="1"/>
  <c r="G551" i="1"/>
  <c r="O551" i="1" s="1"/>
  <c r="P551" i="1" s="1"/>
  <c r="U551" i="1" s="1"/>
  <c r="W550" i="1"/>
  <c r="V550" i="1"/>
  <c r="U550" i="1"/>
  <c r="T550" i="1"/>
  <c r="S550" i="1"/>
  <c r="R550" i="1"/>
  <c r="Q550" i="1"/>
  <c r="G550" i="1"/>
  <c r="O550" i="1" s="1"/>
  <c r="P550" i="1" s="1"/>
  <c r="M549" i="1"/>
  <c r="L549" i="1"/>
  <c r="K549" i="1"/>
  <c r="I549" i="1"/>
  <c r="H549" i="1"/>
  <c r="J549" i="1" s="1"/>
  <c r="N549" i="1" s="1"/>
  <c r="O548" i="1"/>
  <c r="E548" i="1"/>
  <c r="D548" i="1"/>
  <c r="R548" i="1" s="1"/>
  <c r="F547" i="1"/>
  <c r="D547" i="1"/>
  <c r="W546" i="1"/>
  <c r="V546" i="1"/>
  <c r="U546" i="1"/>
  <c r="T546" i="1"/>
  <c r="S546" i="1"/>
  <c r="Q546" i="1"/>
  <c r="O546" i="1"/>
  <c r="F546" i="1"/>
  <c r="W545" i="1"/>
  <c r="V545" i="1"/>
  <c r="U545" i="1"/>
  <c r="S545" i="1"/>
  <c r="R545" i="1"/>
  <c r="Q545" i="1"/>
  <c r="O545" i="1"/>
  <c r="P545" i="1" s="1"/>
  <c r="T545" i="1" s="1"/>
  <c r="G545" i="1"/>
  <c r="W544" i="1"/>
  <c r="U544" i="1"/>
  <c r="T544" i="1"/>
  <c r="S544" i="1"/>
  <c r="R544" i="1"/>
  <c r="Q544" i="1"/>
  <c r="G544" i="1"/>
  <c r="O544" i="1" s="1"/>
  <c r="P544" i="1" s="1"/>
  <c r="V544" i="1" s="1"/>
  <c r="W543" i="1"/>
  <c r="U543" i="1"/>
  <c r="T543" i="1"/>
  <c r="S543" i="1"/>
  <c r="R543" i="1"/>
  <c r="Q543" i="1"/>
  <c r="G543" i="1"/>
  <c r="O543" i="1" s="1"/>
  <c r="P543" i="1" s="1"/>
  <c r="V543" i="1" s="1"/>
  <c r="M542" i="1"/>
  <c r="L542" i="1"/>
  <c r="K542" i="1"/>
  <c r="I542" i="1"/>
  <c r="H542" i="1"/>
  <c r="J542" i="1" s="1"/>
  <c r="N542" i="1" s="1"/>
  <c r="O541" i="1"/>
  <c r="E541" i="1"/>
  <c r="F541" i="1" s="1"/>
  <c r="D541" i="1"/>
  <c r="R541" i="1" s="1"/>
  <c r="E540" i="1"/>
  <c r="F540" i="1" s="1"/>
  <c r="E539" i="1"/>
  <c r="F539" i="1" s="1"/>
  <c r="D539" i="1"/>
  <c r="V539" i="1" s="1"/>
  <c r="F538" i="1"/>
  <c r="D538" i="1"/>
  <c r="V538" i="1" s="1"/>
  <c r="W537" i="1"/>
  <c r="V537" i="1"/>
  <c r="U537" i="1"/>
  <c r="T537" i="1"/>
  <c r="S537" i="1"/>
  <c r="Q537" i="1"/>
  <c r="O537" i="1"/>
  <c r="F537" i="1"/>
  <c r="W536" i="1"/>
  <c r="V536" i="1"/>
  <c r="U536" i="1"/>
  <c r="S536" i="1"/>
  <c r="R536" i="1"/>
  <c r="Q536" i="1"/>
  <c r="G536" i="1"/>
  <c r="O536" i="1" s="1"/>
  <c r="P536" i="1" s="1"/>
  <c r="T536" i="1" s="1"/>
  <c r="W535" i="1"/>
  <c r="V535" i="1"/>
  <c r="T535" i="1"/>
  <c r="S535" i="1"/>
  <c r="R535" i="1"/>
  <c r="Q535" i="1"/>
  <c r="G535" i="1"/>
  <c r="O535" i="1" s="1"/>
  <c r="P535" i="1" s="1"/>
  <c r="U535" i="1" s="1"/>
  <c r="W534" i="1"/>
  <c r="V534" i="1"/>
  <c r="U534" i="1"/>
  <c r="S534" i="1"/>
  <c r="R534" i="1"/>
  <c r="Q534" i="1"/>
  <c r="G534" i="1"/>
  <c r="O534" i="1" s="1"/>
  <c r="P534" i="1" s="1"/>
  <c r="T534" i="1" s="1"/>
  <c r="W533" i="1"/>
  <c r="V533" i="1"/>
  <c r="U533" i="1"/>
  <c r="S533" i="1"/>
  <c r="R533" i="1"/>
  <c r="Q533" i="1"/>
  <c r="G533" i="1"/>
  <c r="O533" i="1" s="1"/>
  <c r="P533" i="1" s="1"/>
  <c r="T533" i="1" s="1"/>
  <c r="W532" i="1"/>
  <c r="V532" i="1"/>
  <c r="T532" i="1"/>
  <c r="S532" i="1"/>
  <c r="R532" i="1"/>
  <c r="Q532" i="1"/>
  <c r="G532" i="1"/>
  <c r="O532" i="1" s="1"/>
  <c r="P532" i="1" s="1"/>
  <c r="U532" i="1" s="1"/>
  <c r="M531" i="1"/>
  <c r="L531" i="1"/>
  <c r="K531" i="1"/>
  <c r="I531" i="1"/>
  <c r="H531" i="1"/>
  <c r="J531" i="1" s="1"/>
  <c r="N531" i="1" s="1"/>
  <c r="W530" i="1"/>
  <c r="V530" i="1"/>
  <c r="U530" i="1"/>
  <c r="T530" i="1"/>
  <c r="S530" i="1"/>
  <c r="Q530" i="1"/>
  <c r="O530" i="1"/>
  <c r="F530" i="1"/>
  <c r="W529" i="1"/>
  <c r="V529" i="1"/>
  <c r="T529" i="1"/>
  <c r="S529" i="1"/>
  <c r="R529" i="1"/>
  <c r="Q529" i="1"/>
  <c r="G529" i="1"/>
  <c r="O529" i="1" s="1"/>
  <c r="P529" i="1" s="1"/>
  <c r="U529" i="1" s="1"/>
  <c r="W528" i="1"/>
  <c r="V528" i="1"/>
  <c r="T528" i="1"/>
  <c r="S528" i="1"/>
  <c r="R528" i="1"/>
  <c r="Q528" i="1"/>
  <c r="G528" i="1"/>
  <c r="O528" i="1" s="1"/>
  <c r="P528" i="1" s="1"/>
  <c r="U528" i="1" s="1"/>
  <c r="M527" i="1"/>
  <c r="L527" i="1"/>
  <c r="K527" i="1"/>
  <c r="I527" i="1"/>
  <c r="H527" i="1"/>
  <c r="J527" i="1" s="1"/>
  <c r="N527" i="1" s="1"/>
  <c r="E526" i="1"/>
  <c r="F526" i="1" s="1"/>
  <c r="E525" i="1"/>
  <c r="F525" i="1" s="1"/>
  <c r="D525" i="1"/>
  <c r="V525" i="1" s="1"/>
  <c r="R524" i="1"/>
  <c r="F524" i="1"/>
  <c r="D524" i="1"/>
  <c r="O524" i="1" s="1"/>
  <c r="P524" i="1" s="1"/>
  <c r="S524" i="1" s="1"/>
  <c r="W523" i="1"/>
  <c r="V523" i="1"/>
  <c r="U523" i="1"/>
  <c r="T523" i="1"/>
  <c r="R523" i="1"/>
  <c r="Q523" i="1"/>
  <c r="O523" i="1"/>
  <c r="F523" i="1"/>
  <c r="W522" i="1"/>
  <c r="U522" i="1"/>
  <c r="T522" i="1"/>
  <c r="S522" i="1"/>
  <c r="R522" i="1"/>
  <c r="Q522" i="1"/>
  <c r="G522" i="1"/>
  <c r="O522" i="1" s="1"/>
  <c r="P522" i="1" s="1"/>
  <c r="V522" i="1" s="1"/>
  <c r="W521" i="1"/>
  <c r="U521" i="1"/>
  <c r="T521" i="1"/>
  <c r="S521" i="1"/>
  <c r="R521" i="1"/>
  <c r="Q521" i="1"/>
  <c r="G521" i="1"/>
  <c r="O521" i="1" s="1"/>
  <c r="P521" i="1" s="1"/>
  <c r="V521" i="1" s="1"/>
  <c r="M520" i="1"/>
  <c r="L520" i="1"/>
  <c r="K520" i="1"/>
  <c r="I520" i="1"/>
  <c r="H520" i="1"/>
  <c r="J520" i="1" s="1"/>
  <c r="N520" i="1" s="1"/>
  <c r="E519" i="1"/>
  <c r="F519" i="1" s="1"/>
  <c r="D519" i="1"/>
  <c r="V519" i="1" s="1"/>
  <c r="W518" i="1"/>
  <c r="V518" i="1"/>
  <c r="U518" i="1"/>
  <c r="T518" i="1"/>
  <c r="R518" i="1"/>
  <c r="Q518" i="1"/>
  <c r="O518" i="1"/>
  <c r="F518" i="1"/>
  <c r="W517" i="1"/>
  <c r="U517" i="1"/>
  <c r="T517" i="1"/>
  <c r="S517" i="1"/>
  <c r="R517" i="1"/>
  <c r="Q517" i="1"/>
  <c r="G517" i="1"/>
  <c r="O517" i="1" s="1"/>
  <c r="P517" i="1" s="1"/>
  <c r="V517" i="1" s="1"/>
  <c r="W516" i="1"/>
  <c r="U516" i="1"/>
  <c r="T516" i="1"/>
  <c r="S516" i="1"/>
  <c r="R516" i="1"/>
  <c r="Q516" i="1"/>
  <c r="G516" i="1"/>
  <c r="O516" i="1" s="1"/>
  <c r="P516" i="1" s="1"/>
  <c r="V516" i="1" s="1"/>
  <c r="M515" i="1"/>
  <c r="L515" i="1"/>
  <c r="K515" i="1"/>
  <c r="I515" i="1"/>
  <c r="H515" i="1"/>
  <c r="J515" i="1" s="1"/>
  <c r="N515" i="1" s="1"/>
  <c r="O514" i="1"/>
  <c r="E514" i="1"/>
  <c r="F514" i="1" s="1"/>
  <c r="D514" i="1"/>
  <c r="U514" i="1" s="1"/>
  <c r="E513" i="1"/>
  <c r="F513" i="1" s="1"/>
  <c r="D513" i="1"/>
  <c r="V513" i="1" s="1"/>
  <c r="W512" i="1"/>
  <c r="V512" i="1"/>
  <c r="U512" i="1"/>
  <c r="T512" i="1"/>
  <c r="R512" i="1"/>
  <c r="Q512" i="1"/>
  <c r="O512" i="1"/>
  <c r="F512" i="1"/>
  <c r="W511" i="1"/>
  <c r="V511" i="1"/>
  <c r="T511" i="1"/>
  <c r="S511" i="1"/>
  <c r="R511" i="1"/>
  <c r="Q511" i="1"/>
  <c r="O511" i="1"/>
  <c r="P511" i="1" s="1"/>
  <c r="U511" i="1" s="1"/>
  <c r="G511" i="1"/>
  <c r="W510" i="1"/>
  <c r="U510" i="1"/>
  <c r="T510" i="1"/>
  <c r="S510" i="1"/>
  <c r="R510" i="1"/>
  <c r="Q510" i="1"/>
  <c r="G510" i="1"/>
  <c r="O510" i="1" s="1"/>
  <c r="P510" i="1" s="1"/>
  <c r="V510" i="1" s="1"/>
  <c r="W509" i="1"/>
  <c r="V509" i="1"/>
  <c r="T509" i="1"/>
  <c r="S509" i="1"/>
  <c r="R509" i="1"/>
  <c r="Q509" i="1"/>
  <c r="G509" i="1"/>
  <c r="O509" i="1" s="1"/>
  <c r="P509" i="1" s="1"/>
  <c r="U509" i="1" s="1"/>
  <c r="W508" i="1"/>
  <c r="U508" i="1"/>
  <c r="T508" i="1"/>
  <c r="S508" i="1"/>
  <c r="R508" i="1"/>
  <c r="Q508" i="1"/>
  <c r="G508" i="1"/>
  <c r="O508" i="1" s="1"/>
  <c r="P508" i="1" s="1"/>
  <c r="V508" i="1" s="1"/>
  <c r="N507" i="1"/>
  <c r="L507" i="1"/>
  <c r="K507" i="1"/>
  <c r="I507" i="1"/>
  <c r="H507" i="1"/>
  <c r="J507" i="1" s="1"/>
  <c r="M507" i="1" s="1"/>
  <c r="O506" i="1"/>
  <c r="E506" i="1"/>
  <c r="F506" i="1" s="1"/>
  <c r="P506" i="1" s="1"/>
  <c r="D506" i="1"/>
  <c r="E505" i="1"/>
  <c r="F505" i="1" s="1"/>
  <c r="D505" i="1"/>
  <c r="Q505" i="1" s="1"/>
  <c r="W504" i="1"/>
  <c r="V504" i="1"/>
  <c r="U504" i="1"/>
  <c r="T504" i="1"/>
  <c r="R504" i="1"/>
  <c r="Q504" i="1"/>
  <c r="O504" i="1"/>
  <c r="F504" i="1"/>
  <c r="W503" i="1"/>
  <c r="V503" i="1"/>
  <c r="T503" i="1"/>
  <c r="S503" i="1"/>
  <c r="R503" i="1"/>
  <c r="Q503" i="1"/>
  <c r="G503" i="1"/>
  <c r="O503" i="1" s="1"/>
  <c r="P503" i="1" s="1"/>
  <c r="U503" i="1" s="1"/>
  <c r="W502" i="1"/>
  <c r="U502" i="1"/>
  <c r="T502" i="1"/>
  <c r="S502" i="1"/>
  <c r="R502" i="1"/>
  <c r="Q502" i="1"/>
  <c r="G502" i="1"/>
  <c r="O502" i="1" s="1"/>
  <c r="P502" i="1" s="1"/>
  <c r="V502" i="1" s="1"/>
  <c r="W501" i="1"/>
  <c r="V501" i="1"/>
  <c r="U501" i="1"/>
  <c r="S501" i="1"/>
  <c r="R501" i="1"/>
  <c r="Q501" i="1"/>
  <c r="G501" i="1"/>
  <c r="O501" i="1" s="1"/>
  <c r="P501" i="1" s="1"/>
  <c r="T501" i="1" s="1"/>
  <c r="W500" i="1"/>
  <c r="U500" i="1"/>
  <c r="T500" i="1"/>
  <c r="S500" i="1"/>
  <c r="R500" i="1"/>
  <c r="Q500" i="1"/>
  <c r="G500" i="1"/>
  <c r="O500" i="1" s="1"/>
  <c r="P500" i="1" s="1"/>
  <c r="V500" i="1" s="1"/>
  <c r="M499" i="1"/>
  <c r="L499" i="1"/>
  <c r="K499" i="1"/>
  <c r="I499" i="1"/>
  <c r="H499" i="1"/>
  <c r="J499" i="1" s="1"/>
  <c r="N499" i="1" s="1"/>
  <c r="W498" i="1"/>
  <c r="V498" i="1"/>
  <c r="U498" i="1"/>
  <c r="T498" i="1"/>
  <c r="S498" i="1"/>
  <c r="R498" i="1"/>
  <c r="O498" i="1"/>
  <c r="P498" i="1" s="1"/>
  <c r="Q498" i="1" s="1"/>
  <c r="F498" i="1"/>
  <c r="W497" i="1"/>
  <c r="V497" i="1"/>
  <c r="U497" i="1"/>
  <c r="S497" i="1"/>
  <c r="R497" i="1"/>
  <c r="Q497" i="1"/>
  <c r="G497" i="1"/>
  <c r="O497" i="1" s="1"/>
  <c r="P497" i="1" s="1"/>
  <c r="T497" i="1" s="1"/>
  <c r="W496" i="1"/>
  <c r="V496" i="1"/>
  <c r="U496" i="1"/>
  <c r="T496" i="1"/>
  <c r="R496" i="1"/>
  <c r="Q496" i="1"/>
  <c r="G496" i="1"/>
  <c r="O496" i="1" s="1"/>
  <c r="P496" i="1" s="1"/>
  <c r="S496" i="1" s="1"/>
  <c r="M495" i="1"/>
  <c r="L495" i="1"/>
  <c r="K495" i="1"/>
  <c r="I495" i="1"/>
  <c r="H495" i="1"/>
  <c r="J495" i="1" s="1"/>
  <c r="N495" i="1" s="1"/>
  <c r="O494" i="1"/>
  <c r="E494" i="1"/>
  <c r="F494" i="1" s="1"/>
  <c r="D494" i="1"/>
  <c r="E493" i="1"/>
  <c r="F493" i="1" s="1"/>
  <c r="D493" i="1"/>
  <c r="T493" i="1" s="1"/>
  <c r="W492" i="1"/>
  <c r="V492" i="1"/>
  <c r="U492" i="1"/>
  <c r="T492" i="1"/>
  <c r="R492" i="1"/>
  <c r="Q492" i="1"/>
  <c r="O492" i="1"/>
  <c r="F492" i="1"/>
  <c r="W491" i="1"/>
  <c r="V491" i="1"/>
  <c r="T491" i="1"/>
  <c r="S491" i="1"/>
  <c r="R491" i="1"/>
  <c r="Q491" i="1"/>
  <c r="G491" i="1"/>
  <c r="O491" i="1" s="1"/>
  <c r="P491" i="1" s="1"/>
  <c r="U491" i="1" s="1"/>
  <c r="W490" i="1"/>
  <c r="U490" i="1"/>
  <c r="T490" i="1"/>
  <c r="S490" i="1"/>
  <c r="R490" i="1"/>
  <c r="Q490" i="1"/>
  <c r="G490" i="1"/>
  <c r="O490" i="1" s="1"/>
  <c r="P490" i="1" s="1"/>
  <c r="V490" i="1" s="1"/>
  <c r="W489" i="1"/>
  <c r="V489" i="1"/>
  <c r="U489" i="1"/>
  <c r="S489" i="1"/>
  <c r="R489" i="1"/>
  <c r="Q489" i="1"/>
  <c r="G489" i="1"/>
  <c r="O489" i="1" s="1"/>
  <c r="P489" i="1" s="1"/>
  <c r="T489" i="1" s="1"/>
  <c r="W488" i="1"/>
  <c r="U488" i="1"/>
  <c r="T488" i="1"/>
  <c r="S488" i="1"/>
  <c r="R488" i="1"/>
  <c r="Q488" i="1"/>
  <c r="G488" i="1"/>
  <c r="O488" i="1" s="1"/>
  <c r="P488" i="1" s="1"/>
  <c r="V488" i="1" s="1"/>
  <c r="M487" i="1"/>
  <c r="L487" i="1"/>
  <c r="K487" i="1"/>
  <c r="I487" i="1"/>
  <c r="H487" i="1"/>
  <c r="J487" i="1" s="1"/>
  <c r="N487" i="1" s="1"/>
  <c r="O486" i="1"/>
  <c r="E486" i="1"/>
  <c r="F486" i="1" s="1"/>
  <c r="D486" i="1"/>
  <c r="U486" i="1" s="1"/>
  <c r="W485" i="1"/>
  <c r="V485" i="1"/>
  <c r="U485" i="1"/>
  <c r="T485" i="1"/>
  <c r="R485" i="1"/>
  <c r="Q485" i="1"/>
  <c r="O485" i="1"/>
  <c r="F485" i="1"/>
  <c r="W484" i="1"/>
  <c r="U484" i="1"/>
  <c r="T484" i="1"/>
  <c r="S484" i="1"/>
  <c r="R484" i="1"/>
  <c r="Q484" i="1"/>
  <c r="G484" i="1"/>
  <c r="O484" i="1" s="1"/>
  <c r="P484" i="1" s="1"/>
  <c r="V484" i="1" s="1"/>
  <c r="W483" i="1"/>
  <c r="U483" i="1"/>
  <c r="T483" i="1"/>
  <c r="S483" i="1"/>
  <c r="R483" i="1"/>
  <c r="Q483" i="1"/>
  <c r="G483" i="1"/>
  <c r="O483" i="1" s="1"/>
  <c r="P483" i="1" s="1"/>
  <c r="V483" i="1" s="1"/>
  <c r="W482" i="1"/>
  <c r="U482" i="1"/>
  <c r="T482" i="1"/>
  <c r="S482" i="1"/>
  <c r="R482" i="1"/>
  <c r="Q482" i="1"/>
  <c r="O482" i="1"/>
  <c r="P482" i="1" s="1"/>
  <c r="V482" i="1" s="1"/>
  <c r="G482" i="1"/>
  <c r="W481" i="1"/>
  <c r="U481" i="1"/>
  <c r="T481" i="1"/>
  <c r="S481" i="1"/>
  <c r="R481" i="1"/>
  <c r="Q481" i="1"/>
  <c r="G481" i="1"/>
  <c r="O481" i="1" s="1"/>
  <c r="P481" i="1" s="1"/>
  <c r="V481" i="1" s="1"/>
  <c r="W480" i="1"/>
  <c r="V480" i="1"/>
  <c r="T480" i="1"/>
  <c r="S480" i="1"/>
  <c r="R480" i="1"/>
  <c r="Q480" i="1"/>
  <c r="G480" i="1"/>
  <c r="O480" i="1" s="1"/>
  <c r="P480" i="1" s="1"/>
  <c r="U480" i="1" s="1"/>
  <c r="W479" i="1"/>
  <c r="U479" i="1"/>
  <c r="T479" i="1"/>
  <c r="S479" i="1"/>
  <c r="R479" i="1"/>
  <c r="Q479" i="1"/>
  <c r="G479" i="1"/>
  <c r="O479" i="1" s="1"/>
  <c r="P479" i="1" s="1"/>
  <c r="V479" i="1" s="1"/>
  <c r="M478" i="1"/>
  <c r="L478" i="1"/>
  <c r="K478" i="1"/>
  <c r="I478" i="1"/>
  <c r="H478" i="1"/>
  <c r="J478" i="1" s="1"/>
  <c r="N478" i="1" s="1"/>
  <c r="O477" i="1"/>
  <c r="E477" i="1"/>
  <c r="F477" i="1" s="1"/>
  <c r="D477" i="1"/>
  <c r="R477" i="1" s="1"/>
  <c r="E476" i="1"/>
  <c r="F476" i="1" s="1"/>
  <c r="D476" i="1"/>
  <c r="W475" i="1"/>
  <c r="V475" i="1"/>
  <c r="U475" i="1"/>
  <c r="T475" i="1"/>
  <c r="S475" i="1"/>
  <c r="Q475" i="1"/>
  <c r="O475" i="1"/>
  <c r="F475" i="1"/>
  <c r="W474" i="1"/>
  <c r="V474" i="1"/>
  <c r="U474" i="1"/>
  <c r="S474" i="1"/>
  <c r="R474" i="1"/>
  <c r="Q474" i="1"/>
  <c r="G474" i="1"/>
  <c r="O474" i="1" s="1"/>
  <c r="P474" i="1" s="1"/>
  <c r="T474" i="1" s="1"/>
  <c r="W473" i="1"/>
  <c r="U473" i="1"/>
  <c r="T473" i="1"/>
  <c r="S473" i="1"/>
  <c r="R473" i="1"/>
  <c r="Q473" i="1"/>
  <c r="P473" i="1"/>
  <c r="V473" i="1" s="1"/>
  <c r="G473" i="1"/>
  <c r="O473" i="1" s="1"/>
  <c r="W472" i="1"/>
  <c r="V472" i="1"/>
  <c r="T472" i="1"/>
  <c r="S472" i="1"/>
  <c r="R472" i="1"/>
  <c r="Q472" i="1"/>
  <c r="O472" i="1"/>
  <c r="P472" i="1" s="1"/>
  <c r="U472" i="1" s="1"/>
  <c r="G472" i="1"/>
  <c r="W471" i="1"/>
  <c r="U471" i="1"/>
  <c r="T471" i="1"/>
  <c r="S471" i="1"/>
  <c r="R471" i="1"/>
  <c r="Q471" i="1"/>
  <c r="G471" i="1"/>
  <c r="O471" i="1" s="1"/>
  <c r="P471" i="1" s="1"/>
  <c r="V471" i="1" s="1"/>
  <c r="W470" i="1"/>
  <c r="U470" i="1"/>
  <c r="T470" i="1"/>
  <c r="S470" i="1"/>
  <c r="R470" i="1"/>
  <c r="Q470" i="1"/>
  <c r="O470" i="1"/>
  <c r="P470" i="1" s="1"/>
  <c r="V470" i="1" s="1"/>
  <c r="G470" i="1"/>
  <c r="W469" i="1"/>
  <c r="V469" i="1"/>
  <c r="U469" i="1"/>
  <c r="S469" i="1"/>
  <c r="R469" i="1"/>
  <c r="Q469" i="1"/>
  <c r="O469" i="1"/>
  <c r="P469" i="1" s="1"/>
  <c r="T469" i="1" s="1"/>
  <c r="G469" i="1"/>
  <c r="W468" i="1"/>
  <c r="V468" i="1"/>
  <c r="U468" i="1"/>
  <c r="T468" i="1"/>
  <c r="S468" i="1"/>
  <c r="R468" i="1"/>
  <c r="Q468" i="1"/>
  <c r="O468" i="1"/>
  <c r="P468" i="1" s="1"/>
  <c r="G468" i="1"/>
  <c r="W467" i="1"/>
  <c r="U467" i="1"/>
  <c r="T467" i="1"/>
  <c r="S467" i="1"/>
  <c r="R467" i="1"/>
  <c r="Q467" i="1"/>
  <c r="O467" i="1"/>
  <c r="P467" i="1" s="1"/>
  <c r="V467" i="1" s="1"/>
  <c r="G467" i="1"/>
  <c r="M466" i="1"/>
  <c r="L466" i="1"/>
  <c r="K466" i="1"/>
  <c r="I466" i="1"/>
  <c r="H466" i="1"/>
  <c r="J466" i="1" s="1"/>
  <c r="N466" i="1" s="1"/>
  <c r="O465" i="1"/>
  <c r="E465" i="1"/>
  <c r="F465" i="1" s="1"/>
  <c r="D465" i="1"/>
  <c r="T465" i="1" s="1"/>
  <c r="E464" i="1"/>
  <c r="F464" i="1" s="1"/>
  <c r="D464" i="1"/>
  <c r="W463" i="1"/>
  <c r="V463" i="1"/>
  <c r="U463" i="1"/>
  <c r="T463" i="1"/>
  <c r="R463" i="1"/>
  <c r="Q463" i="1"/>
  <c r="O463" i="1"/>
  <c r="F463" i="1"/>
  <c r="W462" i="1"/>
  <c r="V462" i="1"/>
  <c r="T462" i="1"/>
  <c r="S462" i="1"/>
  <c r="R462" i="1"/>
  <c r="Q462" i="1"/>
  <c r="G462" i="1"/>
  <c r="O462" i="1" s="1"/>
  <c r="P462" i="1" s="1"/>
  <c r="U462" i="1" s="1"/>
  <c r="W461" i="1"/>
  <c r="V461" i="1"/>
  <c r="T461" i="1"/>
  <c r="S461" i="1"/>
  <c r="R461" i="1"/>
  <c r="Q461" i="1"/>
  <c r="G461" i="1"/>
  <c r="W460" i="1"/>
  <c r="U460" i="1"/>
  <c r="T460" i="1"/>
  <c r="S460" i="1"/>
  <c r="R460" i="1"/>
  <c r="Q460" i="1"/>
  <c r="G460" i="1"/>
  <c r="O460" i="1" s="1"/>
  <c r="P460" i="1" s="1"/>
  <c r="V460" i="1" s="1"/>
  <c r="W459" i="1"/>
  <c r="V459" i="1"/>
  <c r="U459" i="1"/>
  <c r="S459" i="1"/>
  <c r="R459" i="1"/>
  <c r="Q459" i="1"/>
  <c r="O459" i="1"/>
  <c r="P459" i="1" s="1"/>
  <c r="T459" i="1" s="1"/>
  <c r="G459" i="1"/>
  <c r="W458" i="1"/>
  <c r="V458" i="1"/>
  <c r="T458" i="1"/>
  <c r="S458" i="1"/>
  <c r="R458" i="1"/>
  <c r="Q458" i="1"/>
  <c r="G458" i="1"/>
  <c r="O458" i="1" s="1"/>
  <c r="P458" i="1" s="1"/>
  <c r="U458" i="1" s="1"/>
  <c r="W457" i="1"/>
  <c r="U457" i="1"/>
  <c r="T457" i="1"/>
  <c r="S457" i="1"/>
  <c r="R457" i="1"/>
  <c r="Q457" i="1"/>
  <c r="G457" i="1"/>
  <c r="O457" i="1" s="1"/>
  <c r="P457" i="1" s="1"/>
  <c r="V457" i="1" s="1"/>
  <c r="M456" i="1"/>
  <c r="L456" i="1"/>
  <c r="K456" i="1"/>
  <c r="I456" i="1"/>
  <c r="H456" i="1"/>
  <c r="J456" i="1" s="1"/>
  <c r="N456" i="1" s="1"/>
  <c r="O455" i="1"/>
  <c r="E455" i="1"/>
  <c r="D455" i="1"/>
  <c r="Q455" i="1" s="1"/>
  <c r="E454" i="1"/>
  <c r="F454" i="1" s="1"/>
  <c r="D454" i="1"/>
  <c r="V454" i="1" s="1"/>
  <c r="W453" i="1"/>
  <c r="V453" i="1"/>
  <c r="U453" i="1"/>
  <c r="T453" i="1"/>
  <c r="R453" i="1"/>
  <c r="Q453" i="1"/>
  <c r="O453" i="1"/>
  <c r="F453" i="1"/>
  <c r="W452" i="1"/>
  <c r="V452" i="1"/>
  <c r="T452" i="1"/>
  <c r="S452" i="1"/>
  <c r="R452" i="1"/>
  <c r="Q452" i="1"/>
  <c r="G452" i="1"/>
  <c r="O452" i="1" s="1"/>
  <c r="P452" i="1" s="1"/>
  <c r="U452" i="1" s="1"/>
  <c r="W451" i="1"/>
  <c r="U451" i="1"/>
  <c r="T451" i="1"/>
  <c r="S451" i="1"/>
  <c r="R451" i="1"/>
  <c r="Q451" i="1"/>
  <c r="G451" i="1"/>
  <c r="O451" i="1" s="1"/>
  <c r="P451" i="1" s="1"/>
  <c r="V451" i="1" s="1"/>
  <c r="W450" i="1"/>
  <c r="V450" i="1"/>
  <c r="T450" i="1"/>
  <c r="S450" i="1"/>
  <c r="R450" i="1"/>
  <c r="Q450" i="1"/>
  <c r="G450" i="1"/>
  <c r="O450" i="1" s="1"/>
  <c r="P450" i="1" s="1"/>
  <c r="U450" i="1" s="1"/>
  <c r="W449" i="1"/>
  <c r="U449" i="1"/>
  <c r="T449" i="1"/>
  <c r="S449" i="1"/>
  <c r="R449" i="1"/>
  <c r="Q449" i="1"/>
  <c r="G449" i="1"/>
  <c r="O449" i="1" s="1"/>
  <c r="P449" i="1" s="1"/>
  <c r="V449" i="1" s="1"/>
  <c r="N448" i="1"/>
  <c r="L448" i="1"/>
  <c r="K448" i="1"/>
  <c r="I448" i="1"/>
  <c r="H448" i="1"/>
  <c r="J448" i="1" s="1"/>
  <c r="M448" i="1" s="1"/>
  <c r="O447" i="1"/>
  <c r="E447" i="1"/>
  <c r="F447" i="1" s="1"/>
  <c r="D447" i="1"/>
  <c r="S447" i="1" s="1"/>
  <c r="W446" i="1"/>
  <c r="V446" i="1"/>
  <c r="U446" i="1"/>
  <c r="T446" i="1"/>
  <c r="S446" i="1"/>
  <c r="R446" i="1"/>
  <c r="O446" i="1"/>
  <c r="F446" i="1"/>
  <c r="W445" i="1"/>
  <c r="V445" i="1"/>
  <c r="U445" i="1"/>
  <c r="T445" i="1"/>
  <c r="R445" i="1"/>
  <c r="Q445" i="1"/>
  <c r="G445" i="1"/>
  <c r="O445" i="1" s="1"/>
  <c r="P445" i="1" s="1"/>
  <c r="S445" i="1" s="1"/>
  <c r="W444" i="1"/>
  <c r="V444" i="1"/>
  <c r="U444" i="1"/>
  <c r="S444" i="1"/>
  <c r="R444" i="1"/>
  <c r="Q444" i="1"/>
  <c r="G444" i="1"/>
  <c r="O444" i="1" s="1"/>
  <c r="P444" i="1" s="1"/>
  <c r="T444" i="1" s="1"/>
  <c r="W443" i="1"/>
  <c r="V443" i="1"/>
  <c r="U443" i="1"/>
  <c r="T443" i="1"/>
  <c r="R443" i="1"/>
  <c r="Q443" i="1"/>
  <c r="G443" i="1"/>
  <c r="O443" i="1" s="1"/>
  <c r="P443" i="1" s="1"/>
  <c r="S443" i="1" s="1"/>
  <c r="W442" i="1"/>
  <c r="V442" i="1"/>
  <c r="U442" i="1"/>
  <c r="T442" i="1"/>
  <c r="R442" i="1"/>
  <c r="Q442" i="1"/>
  <c r="G442" i="1"/>
  <c r="O442" i="1" s="1"/>
  <c r="P442" i="1" s="1"/>
  <c r="S442" i="1" s="1"/>
  <c r="W441" i="1"/>
  <c r="V441" i="1"/>
  <c r="U441" i="1"/>
  <c r="S441" i="1"/>
  <c r="R441" i="1"/>
  <c r="Q441" i="1"/>
  <c r="G441" i="1"/>
  <c r="O441" i="1" s="1"/>
  <c r="P441" i="1" s="1"/>
  <c r="T441" i="1" s="1"/>
  <c r="M440" i="1"/>
  <c r="L440" i="1"/>
  <c r="K440" i="1"/>
  <c r="I440" i="1"/>
  <c r="H440" i="1"/>
  <c r="J440" i="1" s="1"/>
  <c r="N440" i="1" s="1"/>
  <c r="O439" i="1"/>
  <c r="E439" i="1"/>
  <c r="F439" i="1" s="1"/>
  <c r="D439" i="1"/>
  <c r="W438" i="1"/>
  <c r="V438" i="1"/>
  <c r="U438" i="1"/>
  <c r="T438" i="1"/>
  <c r="S438" i="1"/>
  <c r="Q438" i="1"/>
  <c r="O438" i="1"/>
  <c r="F438" i="1"/>
  <c r="W437" i="1"/>
  <c r="U437" i="1"/>
  <c r="T437" i="1"/>
  <c r="S437" i="1"/>
  <c r="R437" i="1"/>
  <c r="Q437" i="1"/>
  <c r="G437" i="1"/>
  <c r="W436" i="1"/>
  <c r="V436" i="1"/>
  <c r="U436" i="1"/>
  <c r="S436" i="1"/>
  <c r="R436" i="1"/>
  <c r="Q436" i="1"/>
  <c r="G436" i="1"/>
  <c r="W435" i="1"/>
  <c r="U435" i="1"/>
  <c r="T435" i="1"/>
  <c r="S435" i="1"/>
  <c r="R435" i="1"/>
  <c r="Q435" i="1"/>
  <c r="G435" i="1"/>
  <c r="M434" i="1"/>
  <c r="L434" i="1"/>
  <c r="K434" i="1"/>
  <c r="I434" i="1"/>
  <c r="H434" i="1"/>
  <c r="J434" i="1" s="1"/>
  <c r="N434" i="1" s="1"/>
  <c r="O433" i="1"/>
  <c r="E433" i="1"/>
  <c r="F433" i="1" s="1"/>
  <c r="D433" i="1"/>
  <c r="T432" i="1"/>
  <c r="F432" i="1"/>
  <c r="D432" i="1"/>
  <c r="W432" i="1" s="1"/>
  <c r="W431" i="1"/>
  <c r="V431" i="1"/>
  <c r="U431" i="1"/>
  <c r="T431" i="1"/>
  <c r="S431" i="1"/>
  <c r="R431" i="1"/>
  <c r="O431" i="1"/>
  <c r="F431" i="1"/>
  <c r="W430" i="1"/>
  <c r="V430" i="1"/>
  <c r="U430" i="1"/>
  <c r="S430" i="1"/>
  <c r="R430" i="1"/>
  <c r="Q430" i="1"/>
  <c r="O430" i="1"/>
  <c r="P430" i="1" s="1"/>
  <c r="T430" i="1" s="1"/>
  <c r="G430" i="1"/>
  <c r="W429" i="1"/>
  <c r="U429" i="1"/>
  <c r="T429" i="1"/>
  <c r="S429" i="1"/>
  <c r="R429" i="1"/>
  <c r="Q429" i="1"/>
  <c r="O429" i="1"/>
  <c r="P429" i="1" s="1"/>
  <c r="V429" i="1" s="1"/>
  <c r="G429" i="1"/>
  <c r="W428" i="1"/>
  <c r="U428" i="1"/>
  <c r="T428" i="1"/>
  <c r="S428" i="1"/>
  <c r="R428" i="1"/>
  <c r="Q428" i="1"/>
  <c r="O428" i="1"/>
  <c r="P428" i="1" s="1"/>
  <c r="V428" i="1" s="1"/>
  <c r="G428" i="1"/>
  <c r="M427" i="1"/>
  <c r="L427" i="1"/>
  <c r="K427" i="1"/>
  <c r="I427" i="1"/>
  <c r="H427" i="1"/>
  <c r="J427" i="1" s="1"/>
  <c r="N427" i="1" s="1"/>
  <c r="O426" i="1"/>
  <c r="E426" i="1"/>
  <c r="F426" i="1" s="1"/>
  <c r="D426" i="1"/>
  <c r="W426" i="1" s="1"/>
  <c r="E425" i="1"/>
  <c r="F425" i="1" s="1"/>
  <c r="D425" i="1"/>
  <c r="T425" i="1" s="1"/>
  <c r="W424" i="1"/>
  <c r="V424" i="1"/>
  <c r="U424" i="1"/>
  <c r="T424" i="1"/>
  <c r="S424" i="1"/>
  <c r="Q424" i="1"/>
  <c r="O424" i="1"/>
  <c r="F424" i="1"/>
  <c r="W423" i="1"/>
  <c r="U423" i="1"/>
  <c r="T423" i="1"/>
  <c r="S423" i="1"/>
  <c r="R423" i="1"/>
  <c r="Q423" i="1"/>
  <c r="G423" i="1"/>
  <c r="O437" i="1" s="1"/>
  <c r="P437" i="1" s="1"/>
  <c r="V437" i="1" s="1"/>
  <c r="W422" i="1"/>
  <c r="V422" i="1"/>
  <c r="U422" i="1"/>
  <c r="S422" i="1"/>
  <c r="R422" i="1"/>
  <c r="Q422" i="1"/>
  <c r="G422" i="1"/>
  <c r="O422" i="1" s="1"/>
  <c r="P422" i="1" s="1"/>
  <c r="T422" i="1" s="1"/>
  <c r="W421" i="1"/>
  <c r="U421" i="1"/>
  <c r="T421" i="1"/>
  <c r="S421" i="1"/>
  <c r="R421" i="1"/>
  <c r="Q421" i="1"/>
  <c r="G421" i="1"/>
  <c r="M420" i="1"/>
  <c r="L420" i="1"/>
  <c r="K420" i="1"/>
  <c r="I420" i="1"/>
  <c r="H420" i="1"/>
  <c r="J420" i="1" s="1"/>
  <c r="N420" i="1" s="1"/>
  <c r="O419" i="1"/>
  <c r="P419" i="1" s="1"/>
  <c r="E419" i="1"/>
  <c r="F419" i="1" s="1"/>
  <c r="D419" i="1"/>
  <c r="E418" i="1"/>
  <c r="F418" i="1" s="1"/>
  <c r="D418" i="1"/>
  <c r="W417" i="1"/>
  <c r="V417" i="1"/>
  <c r="U417" i="1"/>
  <c r="T417" i="1"/>
  <c r="R417" i="1"/>
  <c r="Q417" i="1"/>
  <c r="O417" i="1"/>
  <c r="F417" i="1"/>
  <c r="W416" i="1"/>
  <c r="V416" i="1"/>
  <c r="T416" i="1"/>
  <c r="S416" i="1"/>
  <c r="R416" i="1"/>
  <c r="Q416" i="1"/>
  <c r="G416" i="1"/>
  <c r="O416" i="1" s="1"/>
  <c r="P416" i="1" s="1"/>
  <c r="U416" i="1" s="1"/>
  <c r="W415" i="1"/>
  <c r="V415" i="1"/>
  <c r="T415" i="1"/>
  <c r="S415" i="1"/>
  <c r="R415" i="1"/>
  <c r="Q415" i="1"/>
  <c r="G415" i="1"/>
  <c r="O415" i="1" s="1"/>
  <c r="P415" i="1" s="1"/>
  <c r="U415" i="1" s="1"/>
  <c r="W414" i="1"/>
  <c r="U414" i="1"/>
  <c r="T414" i="1"/>
  <c r="S414" i="1"/>
  <c r="R414" i="1"/>
  <c r="Q414" i="1"/>
  <c r="G414" i="1"/>
  <c r="O414" i="1" s="1"/>
  <c r="P414" i="1" s="1"/>
  <c r="V414" i="1" s="1"/>
  <c r="W413" i="1"/>
  <c r="V413" i="1"/>
  <c r="U413" i="1"/>
  <c r="S413" i="1"/>
  <c r="R413" i="1"/>
  <c r="Q413" i="1"/>
  <c r="O413" i="1"/>
  <c r="P413" i="1" s="1"/>
  <c r="T413" i="1" s="1"/>
  <c r="G413" i="1"/>
  <c r="W412" i="1"/>
  <c r="V412" i="1"/>
  <c r="T412" i="1"/>
  <c r="S412" i="1"/>
  <c r="R412" i="1"/>
  <c r="Q412" i="1"/>
  <c r="G412" i="1"/>
  <c r="O412" i="1" s="1"/>
  <c r="P412" i="1" s="1"/>
  <c r="U412" i="1" s="1"/>
  <c r="W411" i="1"/>
  <c r="U411" i="1"/>
  <c r="T411" i="1"/>
  <c r="S411" i="1"/>
  <c r="R411" i="1"/>
  <c r="Q411" i="1"/>
  <c r="G411" i="1"/>
  <c r="O411" i="1" s="1"/>
  <c r="P411" i="1" s="1"/>
  <c r="V411" i="1" s="1"/>
  <c r="M410" i="1"/>
  <c r="L410" i="1"/>
  <c r="K410" i="1"/>
  <c r="I410" i="1"/>
  <c r="H410" i="1"/>
  <c r="J410" i="1" s="1"/>
  <c r="N410" i="1" s="1"/>
  <c r="O409" i="1"/>
  <c r="E409" i="1"/>
  <c r="F409" i="1" s="1"/>
  <c r="D409" i="1"/>
  <c r="U408" i="1"/>
  <c r="T408" i="1"/>
  <c r="E408" i="1"/>
  <c r="F408" i="1" s="1"/>
  <c r="D408" i="1"/>
  <c r="O408" i="1" s="1"/>
  <c r="W407" i="1"/>
  <c r="V407" i="1"/>
  <c r="U407" i="1"/>
  <c r="T407" i="1"/>
  <c r="S407" i="1"/>
  <c r="Q407" i="1"/>
  <c r="O407" i="1"/>
  <c r="F407" i="1"/>
  <c r="W406" i="1"/>
  <c r="V406" i="1"/>
  <c r="U406" i="1"/>
  <c r="S406" i="1"/>
  <c r="R406" i="1"/>
  <c r="Q406" i="1"/>
  <c r="G406" i="1"/>
  <c r="O406" i="1" s="1"/>
  <c r="P406" i="1" s="1"/>
  <c r="T406" i="1" s="1"/>
  <c r="W405" i="1"/>
  <c r="U405" i="1"/>
  <c r="T405" i="1"/>
  <c r="S405" i="1"/>
  <c r="R405" i="1"/>
  <c r="Q405" i="1"/>
  <c r="G405" i="1"/>
  <c r="O405" i="1" s="1"/>
  <c r="P405" i="1" s="1"/>
  <c r="V405" i="1" s="1"/>
  <c r="W404" i="1"/>
  <c r="V404" i="1"/>
  <c r="T404" i="1"/>
  <c r="S404" i="1"/>
  <c r="R404" i="1"/>
  <c r="Q404" i="1"/>
  <c r="G404" i="1"/>
  <c r="O404" i="1" s="1"/>
  <c r="P404" i="1" s="1"/>
  <c r="U404" i="1" s="1"/>
  <c r="W403" i="1"/>
  <c r="U403" i="1"/>
  <c r="T403" i="1"/>
  <c r="S403" i="1"/>
  <c r="R403" i="1"/>
  <c r="Q403" i="1"/>
  <c r="G403" i="1"/>
  <c r="O403" i="1" s="1"/>
  <c r="P403" i="1" s="1"/>
  <c r="V403" i="1" s="1"/>
  <c r="W402" i="1"/>
  <c r="V402" i="1"/>
  <c r="U402" i="1"/>
  <c r="S402" i="1"/>
  <c r="R402" i="1"/>
  <c r="Q402" i="1"/>
  <c r="P402" i="1"/>
  <c r="T402" i="1" s="1"/>
  <c r="O402" i="1"/>
  <c r="G402" i="1"/>
  <c r="W401" i="1"/>
  <c r="U401" i="1"/>
  <c r="T401" i="1"/>
  <c r="S401" i="1"/>
  <c r="R401" i="1"/>
  <c r="Q401" i="1"/>
  <c r="O401" i="1"/>
  <c r="P401" i="1" s="1"/>
  <c r="V401" i="1" s="1"/>
  <c r="G401" i="1"/>
  <c r="W400" i="1"/>
  <c r="V400" i="1"/>
  <c r="T400" i="1"/>
  <c r="S400" i="1"/>
  <c r="R400" i="1"/>
  <c r="Q400" i="1"/>
  <c r="O400" i="1"/>
  <c r="P400" i="1" s="1"/>
  <c r="U400" i="1" s="1"/>
  <c r="G400" i="1"/>
  <c r="W399" i="1"/>
  <c r="U399" i="1"/>
  <c r="T399" i="1"/>
  <c r="S399" i="1"/>
  <c r="R399" i="1"/>
  <c r="Q399" i="1"/>
  <c r="O399" i="1"/>
  <c r="P399" i="1" s="1"/>
  <c r="V399" i="1" s="1"/>
  <c r="G399" i="1"/>
  <c r="M398" i="1"/>
  <c r="L398" i="1"/>
  <c r="K398" i="1"/>
  <c r="I398" i="1"/>
  <c r="H398" i="1"/>
  <c r="J398" i="1" s="1"/>
  <c r="N398" i="1" s="1"/>
  <c r="S397" i="1"/>
  <c r="O397" i="1"/>
  <c r="E397" i="1"/>
  <c r="F397" i="1" s="1"/>
  <c r="D397" i="1"/>
  <c r="W397" i="1" s="1"/>
  <c r="W396" i="1"/>
  <c r="V396" i="1"/>
  <c r="U396" i="1"/>
  <c r="T396" i="1"/>
  <c r="R396" i="1"/>
  <c r="Q396" i="1"/>
  <c r="O396" i="1"/>
  <c r="F396" i="1"/>
  <c r="W395" i="1"/>
  <c r="U395" i="1"/>
  <c r="T395" i="1"/>
  <c r="S395" i="1"/>
  <c r="R395" i="1"/>
  <c r="Q395" i="1"/>
  <c r="G395" i="1"/>
  <c r="O395" i="1" s="1"/>
  <c r="P395" i="1" s="1"/>
  <c r="V395" i="1" s="1"/>
  <c r="W394" i="1"/>
  <c r="U394" i="1"/>
  <c r="T394" i="1"/>
  <c r="S394" i="1"/>
  <c r="R394" i="1"/>
  <c r="Q394" i="1"/>
  <c r="G394" i="1"/>
  <c r="O394" i="1" s="1"/>
  <c r="P394" i="1" s="1"/>
  <c r="V394" i="1" s="1"/>
  <c r="W393" i="1"/>
  <c r="U393" i="1"/>
  <c r="T393" i="1"/>
  <c r="S393" i="1"/>
  <c r="R393" i="1"/>
  <c r="Q393" i="1"/>
  <c r="O393" i="1"/>
  <c r="P393" i="1" s="1"/>
  <c r="V393" i="1" s="1"/>
  <c r="G393" i="1"/>
  <c r="W392" i="1"/>
  <c r="U392" i="1"/>
  <c r="T392" i="1"/>
  <c r="S392" i="1"/>
  <c r="R392" i="1"/>
  <c r="Q392" i="1"/>
  <c r="G392" i="1"/>
  <c r="O392" i="1" s="1"/>
  <c r="P392" i="1" s="1"/>
  <c r="V392" i="1" s="1"/>
  <c r="W391" i="1"/>
  <c r="V391" i="1"/>
  <c r="T391" i="1"/>
  <c r="S391" i="1"/>
  <c r="R391" i="1"/>
  <c r="Q391" i="1"/>
  <c r="G391" i="1"/>
  <c r="O391" i="1" s="1"/>
  <c r="P391" i="1" s="1"/>
  <c r="U391" i="1" s="1"/>
  <c r="W390" i="1"/>
  <c r="U390" i="1"/>
  <c r="T390" i="1"/>
  <c r="S390" i="1"/>
  <c r="R390" i="1"/>
  <c r="Q390" i="1"/>
  <c r="G390" i="1"/>
  <c r="O390" i="1" s="1"/>
  <c r="P390" i="1" s="1"/>
  <c r="V390" i="1" s="1"/>
  <c r="M389" i="1"/>
  <c r="L389" i="1"/>
  <c r="K389" i="1"/>
  <c r="I389" i="1"/>
  <c r="H389" i="1"/>
  <c r="J389" i="1" s="1"/>
  <c r="N389" i="1" s="1"/>
  <c r="O388" i="1"/>
  <c r="E388" i="1"/>
  <c r="F388" i="1" s="1"/>
  <c r="D388" i="1"/>
  <c r="W387" i="1"/>
  <c r="V387" i="1"/>
  <c r="U387" i="1"/>
  <c r="T387" i="1"/>
  <c r="S387" i="1"/>
  <c r="R387" i="1"/>
  <c r="O387" i="1"/>
  <c r="F387" i="1"/>
  <c r="W386" i="1"/>
  <c r="V386" i="1"/>
  <c r="U386" i="1"/>
  <c r="T386" i="1"/>
  <c r="R386" i="1"/>
  <c r="Q386" i="1"/>
  <c r="G386" i="1"/>
  <c r="O386" i="1" s="1"/>
  <c r="P386" i="1" s="1"/>
  <c r="S386" i="1" s="1"/>
  <c r="W385" i="1"/>
  <c r="V385" i="1"/>
  <c r="U385" i="1"/>
  <c r="S385" i="1"/>
  <c r="R385" i="1"/>
  <c r="Q385" i="1"/>
  <c r="G385" i="1"/>
  <c r="O385" i="1" s="1"/>
  <c r="P385" i="1" s="1"/>
  <c r="T385" i="1" s="1"/>
  <c r="W384" i="1"/>
  <c r="V384" i="1"/>
  <c r="U384" i="1"/>
  <c r="T384" i="1"/>
  <c r="R384" i="1"/>
  <c r="Q384" i="1"/>
  <c r="G384" i="1"/>
  <c r="O384" i="1" s="1"/>
  <c r="P384" i="1" s="1"/>
  <c r="S384" i="1" s="1"/>
  <c r="W383" i="1"/>
  <c r="V383" i="1"/>
  <c r="U383" i="1"/>
  <c r="T383" i="1"/>
  <c r="R383" i="1"/>
  <c r="Q383" i="1"/>
  <c r="G383" i="1"/>
  <c r="O383" i="1" s="1"/>
  <c r="P383" i="1" s="1"/>
  <c r="S383" i="1" s="1"/>
  <c r="W382" i="1"/>
  <c r="V382" i="1"/>
  <c r="U382" i="1"/>
  <c r="S382" i="1"/>
  <c r="R382" i="1"/>
  <c r="Q382" i="1"/>
  <c r="G382" i="1"/>
  <c r="O382" i="1" s="1"/>
  <c r="P382" i="1" s="1"/>
  <c r="T382" i="1" s="1"/>
  <c r="M381" i="1"/>
  <c r="L381" i="1"/>
  <c r="K381" i="1"/>
  <c r="I381" i="1"/>
  <c r="H381" i="1"/>
  <c r="J381" i="1" s="1"/>
  <c r="N381" i="1" s="1"/>
  <c r="O380" i="1"/>
  <c r="E380" i="1"/>
  <c r="F380" i="1" s="1"/>
  <c r="D380" i="1"/>
  <c r="E379" i="1"/>
  <c r="F379" i="1" s="1"/>
  <c r="D379" i="1"/>
  <c r="W378" i="1"/>
  <c r="V378" i="1"/>
  <c r="U378" i="1"/>
  <c r="T378" i="1"/>
  <c r="S378" i="1"/>
  <c r="Q378" i="1"/>
  <c r="O378" i="1"/>
  <c r="F378" i="1"/>
  <c r="W377" i="1"/>
  <c r="V377" i="1"/>
  <c r="T377" i="1"/>
  <c r="S377" i="1"/>
  <c r="R377" i="1"/>
  <c r="Q377" i="1"/>
  <c r="G377" i="1"/>
  <c r="O377" i="1" s="1"/>
  <c r="P377" i="1" s="1"/>
  <c r="U377" i="1" s="1"/>
  <c r="W376" i="1"/>
  <c r="U376" i="1"/>
  <c r="T376" i="1"/>
  <c r="S376" i="1"/>
  <c r="R376" i="1"/>
  <c r="Q376" i="1"/>
  <c r="G376" i="1"/>
  <c r="O376" i="1" s="1"/>
  <c r="P376" i="1" s="1"/>
  <c r="V376" i="1" s="1"/>
  <c r="W375" i="1"/>
  <c r="U375" i="1"/>
  <c r="T375" i="1"/>
  <c r="S375" i="1"/>
  <c r="R375" i="1"/>
  <c r="Q375" i="1"/>
  <c r="G375" i="1"/>
  <c r="O375" i="1" s="1"/>
  <c r="P375" i="1" s="1"/>
  <c r="V375" i="1" s="1"/>
  <c r="W374" i="1"/>
  <c r="V374" i="1"/>
  <c r="T374" i="1"/>
  <c r="S374" i="1"/>
  <c r="R374" i="1"/>
  <c r="Q374" i="1"/>
  <c r="G374" i="1"/>
  <c r="O374" i="1" s="1"/>
  <c r="P374" i="1" s="1"/>
  <c r="U374" i="1" s="1"/>
  <c r="W373" i="1"/>
  <c r="U373" i="1"/>
  <c r="T373" i="1"/>
  <c r="S373" i="1"/>
  <c r="R373" i="1"/>
  <c r="Q373" i="1"/>
  <c r="G373" i="1"/>
  <c r="O373" i="1" s="1"/>
  <c r="P373" i="1" s="1"/>
  <c r="V373" i="1" s="1"/>
  <c r="W372" i="1"/>
  <c r="U372" i="1"/>
  <c r="T372" i="1"/>
  <c r="S372" i="1"/>
  <c r="R372" i="1"/>
  <c r="Q372" i="1"/>
  <c r="G372" i="1"/>
  <c r="O372" i="1" s="1"/>
  <c r="P372" i="1" s="1"/>
  <c r="V372" i="1" s="1"/>
  <c r="M371" i="1"/>
  <c r="L371" i="1"/>
  <c r="K371" i="1"/>
  <c r="I371" i="1"/>
  <c r="H371" i="1"/>
  <c r="J371" i="1" s="1"/>
  <c r="N371" i="1" s="1"/>
  <c r="O370" i="1"/>
  <c r="E370" i="1"/>
  <c r="F370" i="1" s="1"/>
  <c r="D370" i="1"/>
  <c r="S370" i="1" s="1"/>
  <c r="W369" i="1"/>
  <c r="V369" i="1"/>
  <c r="U369" i="1"/>
  <c r="T369" i="1"/>
  <c r="R369" i="1"/>
  <c r="Q369" i="1"/>
  <c r="O369" i="1"/>
  <c r="F369" i="1"/>
  <c r="W368" i="1"/>
  <c r="V368" i="1"/>
  <c r="T368" i="1"/>
  <c r="S368" i="1"/>
  <c r="R368" i="1"/>
  <c r="Q368" i="1"/>
  <c r="G368" i="1"/>
  <c r="O368" i="1" s="1"/>
  <c r="P368" i="1" s="1"/>
  <c r="U368" i="1" s="1"/>
  <c r="W367" i="1"/>
  <c r="U367" i="1"/>
  <c r="T367" i="1"/>
  <c r="S367" i="1"/>
  <c r="R367" i="1"/>
  <c r="Q367" i="1"/>
  <c r="G367" i="1"/>
  <c r="O367" i="1" s="1"/>
  <c r="P367" i="1" s="1"/>
  <c r="V367" i="1" s="1"/>
  <c r="W366" i="1"/>
  <c r="V366" i="1"/>
  <c r="T366" i="1"/>
  <c r="S366" i="1"/>
  <c r="R366" i="1"/>
  <c r="Q366" i="1"/>
  <c r="G366" i="1"/>
  <c r="O366" i="1" s="1"/>
  <c r="P366" i="1" s="1"/>
  <c r="U366" i="1" s="1"/>
  <c r="W365" i="1"/>
  <c r="U365" i="1"/>
  <c r="T365" i="1"/>
  <c r="S365" i="1"/>
  <c r="R365" i="1"/>
  <c r="Q365" i="1"/>
  <c r="G365" i="1"/>
  <c r="O365" i="1" s="1"/>
  <c r="P365" i="1" s="1"/>
  <c r="V365" i="1" s="1"/>
  <c r="N364" i="1"/>
  <c r="M364" i="1"/>
  <c r="L364" i="1"/>
  <c r="K364" i="1"/>
  <c r="I364" i="1"/>
  <c r="H364" i="1"/>
  <c r="J364" i="1" s="1"/>
  <c r="O363" i="1"/>
  <c r="E363" i="1"/>
  <c r="F363" i="1" s="1"/>
  <c r="D363" i="1"/>
  <c r="E362" i="1"/>
  <c r="F362" i="1" s="1"/>
  <c r="E361" i="1"/>
  <c r="F361" i="1" s="1"/>
  <c r="D361" i="1"/>
  <c r="F360" i="1"/>
  <c r="D360" i="1"/>
  <c r="Q360" i="1" s="1"/>
  <c r="W359" i="1"/>
  <c r="V359" i="1"/>
  <c r="U359" i="1"/>
  <c r="T359" i="1"/>
  <c r="R359" i="1"/>
  <c r="Q359" i="1"/>
  <c r="O359" i="1"/>
  <c r="F359" i="1"/>
  <c r="W358" i="1"/>
  <c r="V358" i="1"/>
  <c r="T358" i="1"/>
  <c r="S358" i="1"/>
  <c r="R358" i="1"/>
  <c r="Q358" i="1"/>
  <c r="G358" i="1"/>
  <c r="O358" i="1" s="1"/>
  <c r="P358" i="1" s="1"/>
  <c r="U358" i="1" s="1"/>
  <c r="W357" i="1"/>
  <c r="U357" i="1"/>
  <c r="T357" i="1"/>
  <c r="S357" i="1"/>
  <c r="R357" i="1"/>
  <c r="Q357" i="1"/>
  <c r="G357" i="1"/>
  <c r="O357" i="1" s="1"/>
  <c r="P357" i="1" s="1"/>
  <c r="V357" i="1" s="1"/>
  <c r="W356" i="1"/>
  <c r="V356" i="1"/>
  <c r="T356" i="1"/>
  <c r="S356" i="1"/>
  <c r="R356" i="1"/>
  <c r="Q356" i="1"/>
  <c r="G356" i="1"/>
  <c r="O356" i="1" s="1"/>
  <c r="P356" i="1" s="1"/>
  <c r="U356" i="1" s="1"/>
  <c r="W355" i="1"/>
  <c r="V355" i="1"/>
  <c r="T355" i="1"/>
  <c r="S355" i="1"/>
  <c r="R355" i="1"/>
  <c r="Q355" i="1"/>
  <c r="O355" i="1"/>
  <c r="P355" i="1" s="1"/>
  <c r="U355" i="1" s="1"/>
  <c r="G355" i="1"/>
  <c r="W354" i="1"/>
  <c r="V354" i="1"/>
  <c r="T354" i="1"/>
  <c r="S354" i="1"/>
  <c r="R354" i="1"/>
  <c r="Q354" i="1"/>
  <c r="G354" i="1"/>
  <c r="O354" i="1" s="1"/>
  <c r="P354" i="1" s="1"/>
  <c r="U354" i="1" s="1"/>
  <c r="W353" i="1"/>
  <c r="U353" i="1"/>
  <c r="T353" i="1"/>
  <c r="S353" i="1"/>
  <c r="R353" i="1"/>
  <c r="Q353" i="1"/>
  <c r="G353" i="1"/>
  <c r="O353" i="1" s="1"/>
  <c r="P353" i="1" s="1"/>
  <c r="V353" i="1" s="1"/>
  <c r="M352" i="1"/>
  <c r="L352" i="1"/>
  <c r="K352" i="1"/>
  <c r="I352" i="1"/>
  <c r="H352" i="1"/>
  <c r="J352" i="1" s="1"/>
  <c r="N352" i="1" s="1"/>
  <c r="O351" i="1"/>
  <c r="E351" i="1"/>
  <c r="F351" i="1" s="1"/>
  <c r="D351" i="1"/>
  <c r="E350" i="1"/>
  <c r="F350" i="1" s="1"/>
  <c r="E349" i="1"/>
  <c r="F349" i="1" s="1"/>
  <c r="D349" i="1"/>
  <c r="F348" i="1"/>
  <c r="D348" i="1"/>
  <c r="D350" i="1" s="1"/>
  <c r="O350" i="1" s="1"/>
  <c r="W347" i="1"/>
  <c r="V347" i="1"/>
  <c r="U347" i="1"/>
  <c r="T347" i="1"/>
  <c r="R347" i="1"/>
  <c r="Q347" i="1"/>
  <c r="O347" i="1"/>
  <c r="F347" i="1"/>
  <c r="W346" i="1"/>
  <c r="V346" i="1"/>
  <c r="T346" i="1"/>
  <c r="S346" i="1"/>
  <c r="R346" i="1"/>
  <c r="Q346" i="1"/>
  <c r="O346" i="1"/>
  <c r="P346" i="1" s="1"/>
  <c r="U346" i="1" s="1"/>
  <c r="G346" i="1"/>
  <c r="W345" i="1"/>
  <c r="U345" i="1"/>
  <c r="T345" i="1"/>
  <c r="S345" i="1"/>
  <c r="R345" i="1"/>
  <c r="Q345" i="1"/>
  <c r="O345" i="1"/>
  <c r="P345" i="1" s="1"/>
  <c r="V345" i="1" s="1"/>
  <c r="G345" i="1"/>
  <c r="W344" i="1"/>
  <c r="V344" i="1"/>
  <c r="U344" i="1"/>
  <c r="T344" i="1"/>
  <c r="S344" i="1"/>
  <c r="R344" i="1"/>
  <c r="Q344" i="1"/>
  <c r="O344" i="1"/>
  <c r="P344" i="1" s="1"/>
  <c r="G344" i="1"/>
  <c r="W343" i="1"/>
  <c r="V343" i="1"/>
  <c r="T343" i="1"/>
  <c r="S343" i="1"/>
  <c r="R343" i="1"/>
  <c r="Q343" i="1"/>
  <c r="G343" i="1"/>
  <c r="O343" i="1" s="1"/>
  <c r="P343" i="1" s="1"/>
  <c r="U343" i="1" s="1"/>
  <c r="W342" i="1"/>
  <c r="U342" i="1"/>
  <c r="T342" i="1"/>
  <c r="S342" i="1"/>
  <c r="R342" i="1"/>
  <c r="Q342" i="1"/>
  <c r="G342" i="1"/>
  <c r="O342" i="1" s="1"/>
  <c r="P342" i="1" s="1"/>
  <c r="V342" i="1" s="1"/>
  <c r="M341" i="1"/>
  <c r="L341" i="1"/>
  <c r="K341" i="1"/>
  <c r="I341" i="1"/>
  <c r="H341" i="1"/>
  <c r="J341" i="1" s="1"/>
  <c r="N341" i="1" s="1"/>
  <c r="O340" i="1"/>
  <c r="E340" i="1"/>
  <c r="F340" i="1" s="1"/>
  <c r="D340" i="1"/>
  <c r="E339" i="1"/>
  <c r="F339" i="1" s="1"/>
  <c r="E338" i="1"/>
  <c r="F338" i="1" s="1"/>
  <c r="D338" i="1"/>
  <c r="F337" i="1"/>
  <c r="D337" i="1"/>
  <c r="W336" i="1"/>
  <c r="V336" i="1"/>
  <c r="U336" i="1"/>
  <c r="T336" i="1"/>
  <c r="R336" i="1"/>
  <c r="Q336" i="1"/>
  <c r="O336" i="1"/>
  <c r="F336" i="1"/>
  <c r="W335" i="1"/>
  <c r="U335" i="1"/>
  <c r="T335" i="1"/>
  <c r="S335" i="1"/>
  <c r="R335" i="1"/>
  <c r="Q335" i="1"/>
  <c r="O335" i="1"/>
  <c r="P335" i="1" s="1"/>
  <c r="V335" i="1" s="1"/>
  <c r="G335" i="1"/>
  <c r="W334" i="1"/>
  <c r="V334" i="1"/>
  <c r="U334" i="1"/>
  <c r="S334" i="1"/>
  <c r="R334" i="1"/>
  <c r="Q334" i="1"/>
  <c r="O334" i="1"/>
  <c r="P334" i="1" s="1"/>
  <c r="T334" i="1" s="1"/>
  <c r="G334" i="1"/>
  <c r="W333" i="1"/>
  <c r="V333" i="1"/>
  <c r="T333" i="1"/>
  <c r="S333" i="1"/>
  <c r="R333" i="1"/>
  <c r="Q333" i="1"/>
  <c r="O333" i="1"/>
  <c r="P333" i="1" s="1"/>
  <c r="U333" i="1" s="1"/>
  <c r="G333" i="1"/>
  <c r="W332" i="1"/>
  <c r="U332" i="1"/>
  <c r="T332" i="1"/>
  <c r="S332" i="1"/>
  <c r="R332" i="1"/>
  <c r="Q332" i="1"/>
  <c r="O332" i="1"/>
  <c r="P332" i="1" s="1"/>
  <c r="V332" i="1" s="1"/>
  <c r="G332" i="1"/>
  <c r="W331" i="1"/>
  <c r="U331" i="1"/>
  <c r="T331" i="1"/>
  <c r="S331" i="1"/>
  <c r="R331" i="1"/>
  <c r="Q331" i="1"/>
  <c r="G331" i="1"/>
  <c r="O331" i="1" s="1"/>
  <c r="P331" i="1" s="1"/>
  <c r="V331" i="1" s="1"/>
  <c r="W330" i="1"/>
  <c r="V330" i="1"/>
  <c r="T330" i="1"/>
  <c r="S330" i="1"/>
  <c r="R330" i="1"/>
  <c r="Q330" i="1"/>
  <c r="G330" i="1"/>
  <c r="O330" i="1" s="1"/>
  <c r="P330" i="1" s="1"/>
  <c r="U330" i="1" s="1"/>
  <c r="W329" i="1"/>
  <c r="U329" i="1"/>
  <c r="T329" i="1"/>
  <c r="S329" i="1"/>
  <c r="R329" i="1"/>
  <c r="Q329" i="1"/>
  <c r="G329" i="1"/>
  <c r="O329" i="1" s="1"/>
  <c r="P329" i="1" s="1"/>
  <c r="V329" i="1" s="1"/>
  <c r="M328" i="1"/>
  <c r="L328" i="1"/>
  <c r="K328" i="1"/>
  <c r="I328" i="1"/>
  <c r="H328" i="1"/>
  <c r="J328" i="1" s="1"/>
  <c r="N328" i="1" s="1"/>
  <c r="O327" i="1"/>
  <c r="E327" i="1"/>
  <c r="F327" i="1" s="1"/>
  <c r="D327" i="1"/>
  <c r="T327" i="1" s="1"/>
  <c r="E326" i="1"/>
  <c r="F326" i="1" s="1"/>
  <c r="E325" i="1"/>
  <c r="F325" i="1" s="1"/>
  <c r="D325" i="1"/>
  <c r="W325" i="1" s="1"/>
  <c r="F324" i="1"/>
  <c r="D324" i="1"/>
  <c r="U324" i="1" s="1"/>
  <c r="W323" i="1"/>
  <c r="V323" i="1"/>
  <c r="U323" i="1"/>
  <c r="T323" i="1"/>
  <c r="R323" i="1"/>
  <c r="Q323" i="1"/>
  <c r="O323" i="1"/>
  <c r="F323" i="1"/>
  <c r="W322" i="1"/>
  <c r="V322" i="1"/>
  <c r="T322" i="1"/>
  <c r="S322" i="1"/>
  <c r="R322" i="1"/>
  <c r="Q322" i="1"/>
  <c r="G322" i="1"/>
  <c r="O322" i="1" s="1"/>
  <c r="P322" i="1" s="1"/>
  <c r="U322" i="1" s="1"/>
  <c r="W321" i="1"/>
  <c r="U321" i="1"/>
  <c r="T321" i="1"/>
  <c r="S321" i="1"/>
  <c r="R321" i="1"/>
  <c r="Q321" i="1"/>
  <c r="G321" i="1"/>
  <c r="O321" i="1" s="1"/>
  <c r="P321" i="1" s="1"/>
  <c r="V321" i="1" s="1"/>
  <c r="W320" i="1"/>
  <c r="U320" i="1"/>
  <c r="T320" i="1"/>
  <c r="S320" i="1"/>
  <c r="R320" i="1"/>
  <c r="Q320" i="1"/>
  <c r="G320" i="1"/>
  <c r="O320" i="1" s="1"/>
  <c r="P320" i="1" s="1"/>
  <c r="V320" i="1" s="1"/>
  <c r="W319" i="1"/>
  <c r="V319" i="1"/>
  <c r="T319" i="1"/>
  <c r="S319" i="1"/>
  <c r="R319" i="1"/>
  <c r="Q319" i="1"/>
  <c r="G319" i="1"/>
  <c r="O319" i="1" s="1"/>
  <c r="P319" i="1" s="1"/>
  <c r="U319" i="1" s="1"/>
  <c r="W318" i="1"/>
  <c r="U318" i="1"/>
  <c r="T318" i="1"/>
  <c r="S318" i="1"/>
  <c r="R318" i="1"/>
  <c r="Q318" i="1"/>
  <c r="G318" i="1"/>
  <c r="O318" i="1" s="1"/>
  <c r="P318" i="1" s="1"/>
  <c r="V318" i="1" s="1"/>
  <c r="M317" i="1"/>
  <c r="L317" i="1"/>
  <c r="K317" i="1"/>
  <c r="I317" i="1"/>
  <c r="H317" i="1"/>
  <c r="J317" i="1" s="1"/>
  <c r="N317" i="1" s="1"/>
  <c r="O316" i="1"/>
  <c r="E316" i="1"/>
  <c r="F316" i="1" s="1"/>
  <c r="D316" i="1"/>
  <c r="Q316" i="1" s="1"/>
  <c r="W315" i="1"/>
  <c r="V315" i="1"/>
  <c r="U315" i="1"/>
  <c r="T315" i="1"/>
  <c r="R315" i="1"/>
  <c r="Q315" i="1"/>
  <c r="O315" i="1"/>
  <c r="F315" i="1"/>
  <c r="W314" i="1"/>
  <c r="V314" i="1"/>
  <c r="T314" i="1"/>
  <c r="S314" i="1"/>
  <c r="R314" i="1"/>
  <c r="Q314" i="1"/>
  <c r="G314" i="1"/>
  <c r="O314" i="1" s="1"/>
  <c r="P314" i="1" s="1"/>
  <c r="U314" i="1" s="1"/>
  <c r="W313" i="1"/>
  <c r="V313" i="1"/>
  <c r="T313" i="1"/>
  <c r="S313" i="1"/>
  <c r="R313" i="1"/>
  <c r="Q313" i="1"/>
  <c r="G313" i="1"/>
  <c r="O313" i="1" s="1"/>
  <c r="P313" i="1" s="1"/>
  <c r="U313" i="1" s="1"/>
  <c r="W312" i="1"/>
  <c r="V312" i="1"/>
  <c r="U312" i="1"/>
  <c r="T312" i="1"/>
  <c r="R312" i="1"/>
  <c r="Q312" i="1"/>
  <c r="G312" i="1"/>
  <c r="O312" i="1" s="1"/>
  <c r="P312" i="1" s="1"/>
  <c r="S312" i="1" s="1"/>
  <c r="W311" i="1"/>
  <c r="V311" i="1"/>
  <c r="T311" i="1"/>
  <c r="S311" i="1"/>
  <c r="R311" i="1"/>
  <c r="Q311" i="1"/>
  <c r="G311" i="1"/>
  <c r="O311" i="1" s="1"/>
  <c r="P311" i="1" s="1"/>
  <c r="U311" i="1" s="1"/>
  <c r="W310" i="1"/>
  <c r="U310" i="1"/>
  <c r="T310" i="1"/>
  <c r="S310" i="1"/>
  <c r="R310" i="1"/>
  <c r="Q310" i="1"/>
  <c r="G310" i="1"/>
  <c r="O310" i="1" s="1"/>
  <c r="P310" i="1" s="1"/>
  <c r="V310" i="1" s="1"/>
  <c r="M309" i="1"/>
  <c r="L309" i="1"/>
  <c r="K309" i="1"/>
  <c r="I309" i="1"/>
  <c r="H309" i="1"/>
  <c r="J309" i="1" s="1"/>
  <c r="N309" i="1" s="1"/>
  <c r="O308" i="1"/>
  <c r="E308" i="1"/>
  <c r="F308" i="1" s="1"/>
  <c r="D308" i="1"/>
  <c r="W308" i="1" s="1"/>
  <c r="W307" i="1"/>
  <c r="V307" i="1"/>
  <c r="U307" i="1"/>
  <c r="T307" i="1"/>
  <c r="S307" i="1"/>
  <c r="Q307" i="1"/>
  <c r="O307" i="1"/>
  <c r="F307" i="1"/>
  <c r="W306" i="1"/>
  <c r="V306" i="1"/>
  <c r="T306" i="1"/>
  <c r="S306" i="1"/>
  <c r="R306" i="1"/>
  <c r="Q306" i="1"/>
  <c r="G306" i="1"/>
  <c r="O306" i="1" s="1"/>
  <c r="P306" i="1" s="1"/>
  <c r="U306" i="1" s="1"/>
  <c r="W305" i="1"/>
  <c r="U305" i="1"/>
  <c r="T305" i="1"/>
  <c r="S305" i="1"/>
  <c r="R305" i="1"/>
  <c r="Q305" i="1"/>
  <c r="G305" i="1"/>
  <c r="O305" i="1" s="1"/>
  <c r="P305" i="1" s="1"/>
  <c r="V305" i="1" s="1"/>
  <c r="W304" i="1"/>
  <c r="V304" i="1"/>
  <c r="T304" i="1"/>
  <c r="S304" i="1"/>
  <c r="R304" i="1"/>
  <c r="Q304" i="1"/>
  <c r="G304" i="1"/>
  <c r="O304" i="1" s="1"/>
  <c r="P304" i="1" s="1"/>
  <c r="U304" i="1" s="1"/>
  <c r="W303" i="1"/>
  <c r="U303" i="1"/>
  <c r="T303" i="1"/>
  <c r="S303" i="1"/>
  <c r="R303" i="1"/>
  <c r="Q303" i="1"/>
  <c r="G303" i="1"/>
  <c r="O303" i="1" s="1"/>
  <c r="P303" i="1" s="1"/>
  <c r="V303" i="1" s="1"/>
  <c r="M302" i="1"/>
  <c r="L302" i="1"/>
  <c r="K302" i="1"/>
  <c r="I302" i="1"/>
  <c r="H302" i="1"/>
  <c r="J302" i="1" s="1"/>
  <c r="N302" i="1" s="1"/>
  <c r="O301" i="1"/>
  <c r="E301" i="1"/>
  <c r="F301" i="1" s="1"/>
  <c r="D301" i="1"/>
  <c r="U301" i="1" s="1"/>
  <c r="W300" i="1"/>
  <c r="V300" i="1"/>
  <c r="U300" i="1"/>
  <c r="T300" i="1"/>
  <c r="R300" i="1"/>
  <c r="Q300" i="1"/>
  <c r="O300" i="1"/>
  <c r="F300" i="1"/>
  <c r="P300" i="1" s="1"/>
  <c r="S300" i="1" s="1"/>
  <c r="W299" i="1"/>
  <c r="V299" i="1"/>
  <c r="T299" i="1"/>
  <c r="S299" i="1"/>
  <c r="R299" i="1"/>
  <c r="Q299" i="1"/>
  <c r="G299" i="1"/>
  <c r="O299" i="1" s="1"/>
  <c r="P299" i="1" s="1"/>
  <c r="U299" i="1" s="1"/>
  <c r="W298" i="1"/>
  <c r="U298" i="1"/>
  <c r="T298" i="1"/>
  <c r="S298" i="1"/>
  <c r="R298" i="1"/>
  <c r="Q298" i="1"/>
  <c r="G298" i="1"/>
  <c r="O298" i="1" s="1"/>
  <c r="P298" i="1" s="1"/>
  <c r="V298" i="1" s="1"/>
  <c r="W297" i="1"/>
  <c r="V297" i="1"/>
  <c r="T297" i="1"/>
  <c r="S297" i="1"/>
  <c r="R297" i="1"/>
  <c r="Q297" i="1"/>
  <c r="G297" i="1"/>
  <c r="O297" i="1" s="1"/>
  <c r="P297" i="1" s="1"/>
  <c r="U297" i="1" s="1"/>
  <c r="W296" i="1"/>
  <c r="U296" i="1"/>
  <c r="T296" i="1"/>
  <c r="S296" i="1"/>
  <c r="R296" i="1"/>
  <c r="Q296" i="1"/>
  <c r="G296" i="1"/>
  <c r="O296" i="1" s="1"/>
  <c r="P296" i="1" s="1"/>
  <c r="V296" i="1" s="1"/>
  <c r="M295" i="1"/>
  <c r="L295" i="1"/>
  <c r="K295" i="1"/>
  <c r="I295" i="1"/>
  <c r="H295" i="1"/>
  <c r="J295" i="1" s="1"/>
  <c r="N295" i="1" s="1"/>
  <c r="O294" i="1"/>
  <c r="E294" i="1"/>
  <c r="F294" i="1" s="1"/>
  <c r="D294" i="1"/>
  <c r="E293" i="1"/>
  <c r="F293" i="1" s="1"/>
  <c r="D293" i="1"/>
  <c r="W292" i="1"/>
  <c r="V292" i="1"/>
  <c r="U292" i="1"/>
  <c r="T292" i="1"/>
  <c r="R292" i="1"/>
  <c r="Q292" i="1"/>
  <c r="O292" i="1"/>
  <c r="F292" i="1"/>
  <c r="W291" i="1"/>
  <c r="V291" i="1"/>
  <c r="T291" i="1"/>
  <c r="S291" i="1"/>
  <c r="R291" i="1"/>
  <c r="Q291" i="1"/>
  <c r="G291" i="1"/>
  <c r="O291" i="1" s="1"/>
  <c r="P291" i="1" s="1"/>
  <c r="U291" i="1" s="1"/>
  <c r="W290" i="1"/>
  <c r="V290" i="1"/>
  <c r="T290" i="1"/>
  <c r="S290" i="1"/>
  <c r="R290" i="1"/>
  <c r="Q290" i="1"/>
  <c r="G290" i="1"/>
  <c r="O290" i="1" s="1"/>
  <c r="P290" i="1" s="1"/>
  <c r="U290" i="1" s="1"/>
  <c r="W289" i="1"/>
  <c r="V289" i="1"/>
  <c r="U289" i="1"/>
  <c r="T289" i="1"/>
  <c r="R289" i="1"/>
  <c r="Q289" i="1"/>
  <c r="G289" i="1"/>
  <c r="O289" i="1" s="1"/>
  <c r="P289" i="1" s="1"/>
  <c r="S289" i="1" s="1"/>
  <c r="W288" i="1"/>
  <c r="V288" i="1"/>
  <c r="T288" i="1"/>
  <c r="S288" i="1"/>
  <c r="R288" i="1"/>
  <c r="Q288" i="1"/>
  <c r="G288" i="1"/>
  <c r="O288" i="1" s="1"/>
  <c r="P288" i="1" s="1"/>
  <c r="U288" i="1" s="1"/>
  <c r="W287" i="1"/>
  <c r="U287" i="1"/>
  <c r="T287" i="1"/>
  <c r="S287" i="1"/>
  <c r="R287" i="1"/>
  <c r="Q287" i="1"/>
  <c r="G287" i="1"/>
  <c r="O287" i="1" s="1"/>
  <c r="P287" i="1" s="1"/>
  <c r="V287" i="1" s="1"/>
  <c r="N286" i="1"/>
  <c r="M286" i="1"/>
  <c r="L286" i="1"/>
  <c r="K286" i="1"/>
  <c r="I286" i="1"/>
  <c r="H286" i="1"/>
  <c r="J286" i="1" s="1"/>
  <c r="O285" i="1"/>
  <c r="E285" i="1"/>
  <c r="F285" i="1" s="1"/>
  <c r="D285" i="1"/>
  <c r="R285" i="1" s="1"/>
  <c r="E284" i="1"/>
  <c r="F284" i="1" s="1"/>
  <c r="E283" i="1"/>
  <c r="F283" i="1" s="1"/>
  <c r="D283" i="1"/>
  <c r="F282" i="1"/>
  <c r="D282" i="1"/>
  <c r="W281" i="1"/>
  <c r="V281" i="1"/>
  <c r="U281" i="1"/>
  <c r="T281" i="1"/>
  <c r="R281" i="1"/>
  <c r="Q281" i="1"/>
  <c r="O281" i="1"/>
  <c r="F281" i="1"/>
  <c r="W280" i="1"/>
  <c r="V280" i="1"/>
  <c r="T280" i="1"/>
  <c r="S280" i="1"/>
  <c r="R280" i="1"/>
  <c r="Q280" i="1"/>
  <c r="G280" i="1"/>
  <c r="O280" i="1" s="1"/>
  <c r="P280" i="1" s="1"/>
  <c r="U280" i="1" s="1"/>
  <c r="W279" i="1"/>
  <c r="U279" i="1"/>
  <c r="T279" i="1"/>
  <c r="S279" i="1"/>
  <c r="R279" i="1"/>
  <c r="Q279" i="1"/>
  <c r="G279" i="1"/>
  <c r="O279" i="1" s="1"/>
  <c r="P279" i="1" s="1"/>
  <c r="V279" i="1" s="1"/>
  <c r="W278" i="1"/>
  <c r="U278" i="1"/>
  <c r="T278" i="1"/>
  <c r="S278" i="1"/>
  <c r="R278" i="1"/>
  <c r="Q278" i="1"/>
  <c r="G278" i="1"/>
  <c r="O278" i="1" s="1"/>
  <c r="P278" i="1" s="1"/>
  <c r="V278" i="1" s="1"/>
  <c r="W277" i="1"/>
  <c r="V277" i="1"/>
  <c r="T277" i="1"/>
  <c r="S277" i="1"/>
  <c r="R277" i="1"/>
  <c r="Q277" i="1"/>
  <c r="G277" i="1"/>
  <c r="O277" i="1" s="1"/>
  <c r="P277" i="1" s="1"/>
  <c r="U277" i="1" s="1"/>
  <c r="W276" i="1"/>
  <c r="U276" i="1"/>
  <c r="T276" i="1"/>
  <c r="S276" i="1"/>
  <c r="R276" i="1"/>
  <c r="Q276" i="1"/>
  <c r="G276" i="1"/>
  <c r="O276" i="1" s="1"/>
  <c r="P276" i="1" s="1"/>
  <c r="V276" i="1" s="1"/>
  <c r="M275" i="1"/>
  <c r="L275" i="1"/>
  <c r="K275" i="1"/>
  <c r="I275" i="1"/>
  <c r="H275" i="1"/>
  <c r="J275" i="1" s="1"/>
  <c r="N275" i="1" s="1"/>
  <c r="O274" i="1"/>
  <c r="E274" i="1"/>
  <c r="F274" i="1" s="1"/>
  <c r="D274" i="1"/>
  <c r="W274" i="1" s="1"/>
  <c r="F273" i="1"/>
  <c r="D273" i="1"/>
  <c r="W272" i="1"/>
  <c r="V272" i="1"/>
  <c r="U272" i="1"/>
  <c r="T272" i="1"/>
  <c r="R272" i="1"/>
  <c r="Q272" i="1"/>
  <c r="O272" i="1"/>
  <c r="F272" i="1"/>
  <c r="W271" i="1"/>
  <c r="U271" i="1"/>
  <c r="T271" i="1"/>
  <c r="S271" i="1"/>
  <c r="R271" i="1"/>
  <c r="Q271" i="1"/>
  <c r="O271" i="1"/>
  <c r="P271" i="1" s="1"/>
  <c r="V271" i="1" s="1"/>
  <c r="G271" i="1"/>
  <c r="W270" i="1"/>
  <c r="V270" i="1"/>
  <c r="U270" i="1"/>
  <c r="S270" i="1"/>
  <c r="R270" i="1"/>
  <c r="Q270" i="1"/>
  <c r="O270" i="1"/>
  <c r="P270" i="1" s="1"/>
  <c r="T270" i="1" s="1"/>
  <c r="G270" i="1"/>
  <c r="W269" i="1"/>
  <c r="V269" i="1"/>
  <c r="T269" i="1"/>
  <c r="S269" i="1"/>
  <c r="R269" i="1"/>
  <c r="Q269" i="1"/>
  <c r="O269" i="1"/>
  <c r="P269" i="1" s="1"/>
  <c r="U269" i="1" s="1"/>
  <c r="G269" i="1"/>
  <c r="W268" i="1"/>
  <c r="U268" i="1"/>
  <c r="T268" i="1"/>
  <c r="S268" i="1"/>
  <c r="R268" i="1"/>
  <c r="Q268" i="1"/>
  <c r="O268" i="1"/>
  <c r="P268" i="1" s="1"/>
  <c r="V268" i="1" s="1"/>
  <c r="G268" i="1"/>
  <c r="W267" i="1"/>
  <c r="U267" i="1"/>
  <c r="T267" i="1"/>
  <c r="S267" i="1"/>
  <c r="R267" i="1"/>
  <c r="Q267" i="1"/>
  <c r="G267" i="1"/>
  <c r="O267" i="1" s="1"/>
  <c r="P267" i="1" s="1"/>
  <c r="V267" i="1" s="1"/>
  <c r="W266" i="1"/>
  <c r="V266" i="1"/>
  <c r="T266" i="1"/>
  <c r="S266" i="1"/>
  <c r="R266" i="1"/>
  <c r="Q266" i="1"/>
  <c r="G266" i="1"/>
  <c r="O266" i="1" s="1"/>
  <c r="P266" i="1" s="1"/>
  <c r="U266" i="1" s="1"/>
  <c r="W265" i="1"/>
  <c r="U265" i="1"/>
  <c r="T265" i="1"/>
  <c r="S265" i="1"/>
  <c r="R265" i="1"/>
  <c r="Q265" i="1"/>
  <c r="G265" i="1"/>
  <c r="O265" i="1" s="1"/>
  <c r="P265" i="1" s="1"/>
  <c r="V265" i="1" s="1"/>
  <c r="M264" i="1"/>
  <c r="L264" i="1"/>
  <c r="K264" i="1"/>
  <c r="I264" i="1"/>
  <c r="H264" i="1"/>
  <c r="J264" i="1" s="1"/>
  <c r="N264" i="1" s="1"/>
  <c r="O263" i="1"/>
  <c r="E263" i="1"/>
  <c r="F263" i="1" s="1"/>
  <c r="P263" i="1" s="1"/>
  <c r="D263" i="1"/>
  <c r="W263" i="1" s="1"/>
  <c r="F262" i="1"/>
  <c r="D262" i="1"/>
  <c r="V262" i="1" s="1"/>
  <c r="W261" i="1"/>
  <c r="V261" i="1"/>
  <c r="U261" i="1"/>
  <c r="T261" i="1"/>
  <c r="R261" i="1"/>
  <c r="Q261" i="1"/>
  <c r="O261" i="1"/>
  <c r="F261" i="1"/>
  <c r="W260" i="1"/>
  <c r="V260" i="1"/>
  <c r="T260" i="1"/>
  <c r="S260" i="1"/>
  <c r="R260" i="1"/>
  <c r="Q260" i="1"/>
  <c r="G260" i="1"/>
  <c r="O260" i="1" s="1"/>
  <c r="P260" i="1" s="1"/>
  <c r="U260" i="1" s="1"/>
  <c r="W259" i="1"/>
  <c r="V259" i="1"/>
  <c r="U259" i="1"/>
  <c r="T259" i="1"/>
  <c r="S259" i="1"/>
  <c r="R259" i="1"/>
  <c r="Q259" i="1"/>
  <c r="G259" i="1"/>
  <c r="O259" i="1" s="1"/>
  <c r="P259" i="1" s="1"/>
  <c r="W258" i="1"/>
  <c r="V258" i="1"/>
  <c r="T258" i="1"/>
  <c r="S258" i="1"/>
  <c r="R258" i="1"/>
  <c r="Q258" i="1"/>
  <c r="O258" i="1"/>
  <c r="P258" i="1" s="1"/>
  <c r="U258" i="1" s="1"/>
  <c r="G258" i="1"/>
  <c r="W257" i="1"/>
  <c r="V257" i="1"/>
  <c r="T257" i="1"/>
  <c r="S257" i="1"/>
  <c r="R257" i="1"/>
  <c r="Q257" i="1"/>
  <c r="G257" i="1"/>
  <c r="O257" i="1" s="1"/>
  <c r="P257" i="1" s="1"/>
  <c r="U257" i="1" s="1"/>
  <c r="W256" i="1"/>
  <c r="U256" i="1"/>
  <c r="T256" i="1"/>
  <c r="S256" i="1"/>
  <c r="R256" i="1"/>
  <c r="Q256" i="1"/>
  <c r="G256" i="1"/>
  <c r="O256" i="1" s="1"/>
  <c r="P256" i="1" s="1"/>
  <c r="V256" i="1" s="1"/>
  <c r="M255" i="1"/>
  <c r="L255" i="1"/>
  <c r="K255" i="1"/>
  <c r="I255" i="1"/>
  <c r="H255" i="1"/>
  <c r="J255" i="1" s="1"/>
  <c r="N255" i="1" s="1"/>
  <c r="O254" i="1"/>
  <c r="E254" i="1"/>
  <c r="F254" i="1" s="1"/>
  <c r="D254" i="1"/>
  <c r="T253" i="1"/>
  <c r="O253" i="1"/>
  <c r="F253" i="1"/>
  <c r="D253" i="1"/>
  <c r="W252" i="1"/>
  <c r="V252" i="1"/>
  <c r="U252" i="1"/>
  <c r="T252" i="1"/>
  <c r="R252" i="1"/>
  <c r="Q252" i="1"/>
  <c r="O252" i="1"/>
  <c r="F252" i="1"/>
  <c r="W251" i="1"/>
  <c r="V251" i="1"/>
  <c r="T251" i="1"/>
  <c r="S251" i="1"/>
  <c r="R251" i="1"/>
  <c r="Q251" i="1"/>
  <c r="G251" i="1"/>
  <c r="O251" i="1" s="1"/>
  <c r="P251" i="1" s="1"/>
  <c r="U251" i="1" s="1"/>
  <c r="W250" i="1"/>
  <c r="U250" i="1"/>
  <c r="T250" i="1"/>
  <c r="S250" i="1"/>
  <c r="R250" i="1"/>
  <c r="Q250" i="1"/>
  <c r="G250" i="1"/>
  <c r="O250" i="1" s="1"/>
  <c r="P250" i="1" s="1"/>
  <c r="V250" i="1" s="1"/>
  <c r="W249" i="1"/>
  <c r="V249" i="1"/>
  <c r="T249" i="1"/>
  <c r="S249" i="1"/>
  <c r="R249" i="1"/>
  <c r="Q249" i="1"/>
  <c r="O249" i="1"/>
  <c r="P249" i="1" s="1"/>
  <c r="U249" i="1" s="1"/>
  <c r="G249" i="1"/>
  <c r="W248" i="1"/>
  <c r="V248" i="1"/>
  <c r="T248" i="1"/>
  <c r="S248" i="1"/>
  <c r="R248" i="1"/>
  <c r="Q248" i="1"/>
  <c r="G248" i="1"/>
  <c r="O248" i="1" s="1"/>
  <c r="P248" i="1" s="1"/>
  <c r="U248" i="1" s="1"/>
  <c r="W247" i="1"/>
  <c r="V247" i="1"/>
  <c r="T247" i="1"/>
  <c r="S247" i="1"/>
  <c r="R247" i="1"/>
  <c r="Q247" i="1"/>
  <c r="G247" i="1"/>
  <c r="O247" i="1" s="1"/>
  <c r="P247" i="1" s="1"/>
  <c r="U247" i="1" s="1"/>
  <c r="W246" i="1"/>
  <c r="U246" i="1"/>
  <c r="T246" i="1"/>
  <c r="S246" i="1"/>
  <c r="R246" i="1"/>
  <c r="Q246" i="1"/>
  <c r="G246" i="1"/>
  <c r="O246" i="1" s="1"/>
  <c r="P246" i="1" s="1"/>
  <c r="V246" i="1" s="1"/>
  <c r="M245" i="1"/>
  <c r="L245" i="1"/>
  <c r="K245" i="1"/>
  <c r="I245" i="1"/>
  <c r="H245" i="1"/>
  <c r="J245" i="1" s="1"/>
  <c r="N245" i="1" s="1"/>
  <c r="O244" i="1"/>
  <c r="E244" i="1"/>
  <c r="F244" i="1" s="1"/>
  <c r="P244" i="1" s="1"/>
  <c r="D244" i="1"/>
  <c r="E243" i="1"/>
  <c r="F243" i="1" s="1"/>
  <c r="D243" i="1"/>
  <c r="W242" i="1"/>
  <c r="V242" i="1"/>
  <c r="U242" i="1"/>
  <c r="T242" i="1"/>
  <c r="S242" i="1"/>
  <c r="Q242" i="1"/>
  <c r="O242" i="1"/>
  <c r="F242" i="1"/>
  <c r="W241" i="1"/>
  <c r="V241" i="1"/>
  <c r="T241" i="1"/>
  <c r="S241" i="1"/>
  <c r="R241" i="1"/>
  <c r="Q241" i="1"/>
  <c r="G241" i="1"/>
  <c r="O241" i="1" s="1"/>
  <c r="P241" i="1" s="1"/>
  <c r="U241" i="1" s="1"/>
  <c r="W240" i="1"/>
  <c r="U240" i="1"/>
  <c r="T240" i="1"/>
  <c r="S240" i="1"/>
  <c r="R240" i="1"/>
  <c r="Q240" i="1"/>
  <c r="G240" i="1"/>
  <c r="O240" i="1" s="1"/>
  <c r="P240" i="1" s="1"/>
  <c r="V240" i="1" s="1"/>
  <c r="W239" i="1"/>
  <c r="U239" i="1"/>
  <c r="T239" i="1"/>
  <c r="S239" i="1"/>
  <c r="R239" i="1"/>
  <c r="Q239" i="1"/>
  <c r="G239" i="1"/>
  <c r="O239" i="1" s="1"/>
  <c r="P239" i="1" s="1"/>
  <c r="V239" i="1" s="1"/>
  <c r="W238" i="1"/>
  <c r="V238" i="1"/>
  <c r="T238" i="1"/>
  <c r="S238" i="1"/>
  <c r="R238" i="1"/>
  <c r="Q238" i="1"/>
  <c r="G238" i="1"/>
  <c r="O238" i="1" s="1"/>
  <c r="P238" i="1" s="1"/>
  <c r="U238" i="1" s="1"/>
  <c r="W237" i="1"/>
  <c r="U237" i="1"/>
  <c r="T237" i="1"/>
  <c r="S237" i="1"/>
  <c r="R237" i="1"/>
  <c r="Q237" i="1"/>
  <c r="G237" i="1"/>
  <c r="O237" i="1" s="1"/>
  <c r="P237" i="1" s="1"/>
  <c r="V237" i="1" s="1"/>
  <c r="W236" i="1"/>
  <c r="U236" i="1"/>
  <c r="T236" i="1"/>
  <c r="S236" i="1"/>
  <c r="R236" i="1"/>
  <c r="Q236" i="1"/>
  <c r="G236" i="1"/>
  <c r="O236" i="1" s="1"/>
  <c r="P236" i="1" s="1"/>
  <c r="V236" i="1" s="1"/>
  <c r="M235" i="1"/>
  <c r="L235" i="1"/>
  <c r="K235" i="1"/>
  <c r="I235" i="1"/>
  <c r="H235" i="1"/>
  <c r="J235" i="1" s="1"/>
  <c r="N235" i="1" s="1"/>
  <c r="O234" i="1"/>
  <c r="E234" i="1"/>
  <c r="F234" i="1" s="1"/>
  <c r="D234" i="1"/>
  <c r="T234" i="1" s="1"/>
  <c r="W233" i="1"/>
  <c r="V233" i="1"/>
  <c r="U233" i="1"/>
  <c r="T233" i="1"/>
  <c r="S233" i="1"/>
  <c r="R233" i="1"/>
  <c r="O233" i="1"/>
  <c r="F233" i="1"/>
  <c r="W232" i="1"/>
  <c r="V232" i="1"/>
  <c r="U232" i="1"/>
  <c r="T232" i="1"/>
  <c r="R232" i="1"/>
  <c r="Q232" i="1"/>
  <c r="G232" i="1"/>
  <c r="O232" i="1" s="1"/>
  <c r="P232" i="1" s="1"/>
  <c r="S232" i="1" s="1"/>
  <c r="W231" i="1"/>
  <c r="V231" i="1"/>
  <c r="U231" i="1"/>
  <c r="S231" i="1"/>
  <c r="R231" i="1"/>
  <c r="Q231" i="1"/>
  <c r="G231" i="1"/>
  <c r="O231" i="1" s="1"/>
  <c r="P231" i="1" s="1"/>
  <c r="T231" i="1" s="1"/>
  <c r="W230" i="1"/>
  <c r="V230" i="1"/>
  <c r="U230" i="1"/>
  <c r="S230" i="1"/>
  <c r="R230" i="1"/>
  <c r="Q230" i="1"/>
  <c r="G230" i="1"/>
  <c r="O230" i="1" s="1"/>
  <c r="P230" i="1" s="1"/>
  <c r="T230" i="1" s="1"/>
  <c r="M229" i="1"/>
  <c r="L229" i="1"/>
  <c r="K229" i="1"/>
  <c r="I229" i="1"/>
  <c r="H229" i="1"/>
  <c r="J229" i="1" s="1"/>
  <c r="N229" i="1" s="1"/>
  <c r="O228" i="1"/>
  <c r="E228" i="1"/>
  <c r="F228" i="1" s="1"/>
  <c r="D228" i="1"/>
  <c r="R228" i="1" s="1"/>
  <c r="W227" i="1"/>
  <c r="V227" i="1"/>
  <c r="U227" i="1"/>
  <c r="T227" i="1"/>
  <c r="S227" i="1"/>
  <c r="R227" i="1"/>
  <c r="O227" i="1"/>
  <c r="F227" i="1"/>
  <c r="W226" i="1"/>
  <c r="V226" i="1"/>
  <c r="U226" i="1"/>
  <c r="T226" i="1"/>
  <c r="R226" i="1"/>
  <c r="Q226" i="1"/>
  <c r="G226" i="1"/>
  <c r="O226" i="1" s="1"/>
  <c r="P226" i="1" s="1"/>
  <c r="S226" i="1" s="1"/>
  <c r="W225" i="1"/>
  <c r="V225" i="1"/>
  <c r="U225" i="1"/>
  <c r="S225" i="1"/>
  <c r="R225" i="1"/>
  <c r="Q225" i="1"/>
  <c r="G225" i="1"/>
  <c r="O225" i="1" s="1"/>
  <c r="P225" i="1" s="1"/>
  <c r="T225" i="1" s="1"/>
  <c r="W224" i="1"/>
  <c r="V224" i="1"/>
  <c r="U224" i="1"/>
  <c r="S224" i="1"/>
  <c r="R224" i="1"/>
  <c r="Q224" i="1"/>
  <c r="G224" i="1"/>
  <c r="O224" i="1" s="1"/>
  <c r="P224" i="1" s="1"/>
  <c r="T224" i="1" s="1"/>
  <c r="M223" i="1"/>
  <c r="L223" i="1"/>
  <c r="K223" i="1"/>
  <c r="I223" i="1"/>
  <c r="H223" i="1"/>
  <c r="J223" i="1" s="1"/>
  <c r="N223" i="1" s="1"/>
  <c r="O222" i="1"/>
  <c r="E222" i="1"/>
  <c r="F222" i="1" s="1"/>
  <c r="D222" i="1"/>
  <c r="U222" i="1" s="1"/>
  <c r="W221" i="1"/>
  <c r="V221" i="1"/>
  <c r="U221" i="1"/>
  <c r="T221" i="1"/>
  <c r="S221" i="1"/>
  <c r="Q221" i="1"/>
  <c r="O221" i="1"/>
  <c r="F221" i="1"/>
  <c r="W220" i="1"/>
  <c r="U220" i="1"/>
  <c r="T220" i="1"/>
  <c r="S220" i="1"/>
  <c r="R220" i="1"/>
  <c r="Q220" i="1"/>
  <c r="G220" i="1"/>
  <c r="O220" i="1" s="1"/>
  <c r="P220" i="1" s="1"/>
  <c r="V220" i="1" s="1"/>
  <c r="W219" i="1"/>
  <c r="V219" i="1"/>
  <c r="T219" i="1"/>
  <c r="S219" i="1"/>
  <c r="R219" i="1"/>
  <c r="Q219" i="1"/>
  <c r="G219" i="1"/>
  <c r="O219" i="1" s="1"/>
  <c r="P219" i="1" s="1"/>
  <c r="U219" i="1" s="1"/>
  <c r="W218" i="1"/>
  <c r="V218" i="1"/>
  <c r="T218" i="1"/>
  <c r="S218" i="1"/>
  <c r="R218" i="1"/>
  <c r="Q218" i="1"/>
  <c r="G218" i="1"/>
  <c r="O218" i="1" s="1"/>
  <c r="P218" i="1" s="1"/>
  <c r="U218" i="1" s="1"/>
  <c r="M217" i="1"/>
  <c r="L217" i="1"/>
  <c r="K217" i="1"/>
  <c r="I217" i="1"/>
  <c r="H217" i="1"/>
  <c r="J217" i="1" s="1"/>
  <c r="N217" i="1" s="1"/>
  <c r="O216" i="1"/>
  <c r="E216" i="1"/>
  <c r="F216" i="1" s="1"/>
  <c r="D216" i="1"/>
  <c r="W216" i="1" s="1"/>
  <c r="F215" i="1"/>
  <c r="D215" i="1"/>
  <c r="W214" i="1"/>
  <c r="V214" i="1"/>
  <c r="U214" i="1"/>
  <c r="T214" i="1"/>
  <c r="R214" i="1"/>
  <c r="Q214" i="1"/>
  <c r="O214" i="1"/>
  <c r="F214" i="1"/>
  <c r="W213" i="1"/>
  <c r="V213" i="1"/>
  <c r="U213" i="1"/>
  <c r="S213" i="1"/>
  <c r="R213" i="1"/>
  <c r="Q213" i="1"/>
  <c r="G213" i="1"/>
  <c r="O213" i="1" s="1"/>
  <c r="P213" i="1" s="1"/>
  <c r="T213" i="1" s="1"/>
  <c r="W212" i="1"/>
  <c r="V212" i="1"/>
  <c r="T212" i="1"/>
  <c r="S212" i="1"/>
  <c r="R212" i="1"/>
  <c r="Q212" i="1"/>
  <c r="G212" i="1"/>
  <c r="O212" i="1" s="1"/>
  <c r="P212" i="1" s="1"/>
  <c r="U212" i="1" s="1"/>
  <c r="W211" i="1"/>
  <c r="U211" i="1"/>
  <c r="T211" i="1"/>
  <c r="S211" i="1"/>
  <c r="R211" i="1"/>
  <c r="Q211" i="1"/>
  <c r="G211" i="1"/>
  <c r="O211" i="1" s="1"/>
  <c r="P211" i="1" s="1"/>
  <c r="V211" i="1" s="1"/>
  <c r="W210" i="1"/>
  <c r="U210" i="1"/>
  <c r="T210" i="1"/>
  <c r="S210" i="1"/>
  <c r="R210" i="1"/>
  <c r="Q210" i="1"/>
  <c r="G210" i="1"/>
  <c r="O210" i="1" s="1"/>
  <c r="P210" i="1" s="1"/>
  <c r="V210" i="1" s="1"/>
  <c r="M209" i="1"/>
  <c r="L209" i="1"/>
  <c r="K209" i="1"/>
  <c r="I209" i="1"/>
  <c r="H209" i="1"/>
  <c r="J209" i="1" s="1"/>
  <c r="N209" i="1" s="1"/>
  <c r="O208" i="1"/>
  <c r="E208" i="1"/>
  <c r="F208" i="1" s="1"/>
  <c r="D208" i="1"/>
  <c r="F207" i="1"/>
  <c r="D207" i="1"/>
  <c r="T207" i="1" s="1"/>
  <c r="W206" i="1"/>
  <c r="V206" i="1"/>
  <c r="U206" i="1"/>
  <c r="T206" i="1"/>
  <c r="S206" i="1"/>
  <c r="Q206" i="1"/>
  <c r="O206" i="1"/>
  <c r="F206" i="1"/>
  <c r="W205" i="1"/>
  <c r="V205" i="1"/>
  <c r="U205" i="1"/>
  <c r="S205" i="1"/>
  <c r="R205" i="1"/>
  <c r="Q205" i="1"/>
  <c r="O205" i="1"/>
  <c r="P205" i="1" s="1"/>
  <c r="T205" i="1" s="1"/>
  <c r="G205" i="1"/>
  <c r="W204" i="1"/>
  <c r="V204" i="1"/>
  <c r="T204" i="1"/>
  <c r="S204" i="1"/>
  <c r="R204" i="1"/>
  <c r="Q204" i="1"/>
  <c r="G204" i="1"/>
  <c r="O204" i="1" s="1"/>
  <c r="P204" i="1" s="1"/>
  <c r="U204" i="1" s="1"/>
  <c r="W203" i="1"/>
  <c r="U203" i="1"/>
  <c r="T203" i="1"/>
  <c r="S203" i="1"/>
  <c r="R203" i="1"/>
  <c r="Q203" i="1"/>
  <c r="O203" i="1"/>
  <c r="P203" i="1" s="1"/>
  <c r="V203" i="1" s="1"/>
  <c r="G203" i="1"/>
  <c r="W202" i="1"/>
  <c r="U202" i="1"/>
  <c r="T202" i="1"/>
  <c r="S202" i="1"/>
  <c r="R202" i="1"/>
  <c r="Q202" i="1"/>
  <c r="G202" i="1"/>
  <c r="O202" i="1" s="1"/>
  <c r="P202" i="1" s="1"/>
  <c r="V202" i="1" s="1"/>
  <c r="M201" i="1"/>
  <c r="L201" i="1"/>
  <c r="K201" i="1"/>
  <c r="I201" i="1"/>
  <c r="H201" i="1"/>
  <c r="J201" i="1" s="1"/>
  <c r="N201" i="1" s="1"/>
  <c r="O200" i="1"/>
  <c r="E200" i="1"/>
  <c r="F200" i="1" s="1"/>
  <c r="D200" i="1"/>
  <c r="W200" i="1" s="1"/>
  <c r="F199" i="1"/>
  <c r="D199" i="1"/>
  <c r="Q199" i="1" s="1"/>
  <c r="W198" i="1"/>
  <c r="V198" i="1"/>
  <c r="U198" i="1"/>
  <c r="T198" i="1"/>
  <c r="S198" i="1"/>
  <c r="Q198" i="1"/>
  <c r="O198" i="1"/>
  <c r="F198" i="1"/>
  <c r="W197" i="1"/>
  <c r="V197" i="1"/>
  <c r="U197" i="1"/>
  <c r="S197" i="1"/>
  <c r="R197" i="1"/>
  <c r="Q197" i="1"/>
  <c r="O197" i="1"/>
  <c r="P197" i="1" s="1"/>
  <c r="T197" i="1" s="1"/>
  <c r="G197" i="1"/>
  <c r="W196" i="1"/>
  <c r="V196" i="1"/>
  <c r="T196" i="1"/>
  <c r="S196" i="1"/>
  <c r="R196" i="1"/>
  <c r="Q196" i="1"/>
  <c r="G196" i="1"/>
  <c r="O196" i="1" s="1"/>
  <c r="P196" i="1" s="1"/>
  <c r="U196" i="1" s="1"/>
  <c r="W195" i="1"/>
  <c r="U195" i="1"/>
  <c r="T195" i="1"/>
  <c r="S195" i="1"/>
  <c r="R195" i="1"/>
  <c r="Q195" i="1"/>
  <c r="O195" i="1"/>
  <c r="P195" i="1" s="1"/>
  <c r="V195" i="1" s="1"/>
  <c r="G195" i="1"/>
  <c r="W194" i="1"/>
  <c r="U194" i="1"/>
  <c r="T194" i="1"/>
  <c r="S194" i="1"/>
  <c r="R194" i="1"/>
  <c r="Q194" i="1"/>
  <c r="G194" i="1"/>
  <c r="O194" i="1" s="1"/>
  <c r="P194" i="1" s="1"/>
  <c r="V194" i="1" s="1"/>
  <c r="M193" i="1"/>
  <c r="L193" i="1"/>
  <c r="K193" i="1"/>
  <c r="I193" i="1"/>
  <c r="H193" i="1"/>
  <c r="J193" i="1" s="1"/>
  <c r="N193" i="1" s="1"/>
  <c r="O192" i="1"/>
  <c r="E192" i="1"/>
  <c r="F192" i="1" s="1"/>
  <c r="D192" i="1"/>
  <c r="S192" i="1" s="1"/>
  <c r="W191" i="1"/>
  <c r="V191" i="1"/>
  <c r="F191" i="1"/>
  <c r="D191" i="1"/>
  <c r="W190" i="1"/>
  <c r="V190" i="1"/>
  <c r="U190" i="1"/>
  <c r="T190" i="1"/>
  <c r="R190" i="1"/>
  <c r="Q190" i="1"/>
  <c r="O190" i="1"/>
  <c r="F190" i="1"/>
  <c r="W189" i="1"/>
  <c r="V189" i="1"/>
  <c r="U189" i="1"/>
  <c r="S189" i="1"/>
  <c r="R189" i="1"/>
  <c r="Q189" i="1"/>
  <c r="G189" i="1"/>
  <c r="O189" i="1" s="1"/>
  <c r="P189" i="1" s="1"/>
  <c r="T189" i="1" s="1"/>
  <c r="W188" i="1"/>
  <c r="V188" i="1"/>
  <c r="T188" i="1"/>
  <c r="S188" i="1"/>
  <c r="R188" i="1"/>
  <c r="Q188" i="1"/>
  <c r="G188" i="1"/>
  <c r="O188" i="1" s="1"/>
  <c r="P188" i="1" s="1"/>
  <c r="U188" i="1" s="1"/>
  <c r="W187" i="1"/>
  <c r="U187" i="1"/>
  <c r="T187" i="1"/>
  <c r="S187" i="1"/>
  <c r="R187" i="1"/>
  <c r="Q187" i="1"/>
  <c r="G187" i="1"/>
  <c r="O187" i="1" s="1"/>
  <c r="P187" i="1" s="1"/>
  <c r="V187" i="1" s="1"/>
  <c r="W186" i="1"/>
  <c r="U186" i="1"/>
  <c r="T186" i="1"/>
  <c r="S186" i="1"/>
  <c r="R186" i="1"/>
  <c r="Q186" i="1"/>
  <c r="G186" i="1"/>
  <c r="O186" i="1" s="1"/>
  <c r="P186" i="1" s="1"/>
  <c r="V186" i="1" s="1"/>
  <c r="M185" i="1"/>
  <c r="L185" i="1"/>
  <c r="K185" i="1"/>
  <c r="I185" i="1"/>
  <c r="H185" i="1"/>
  <c r="J185" i="1" s="1"/>
  <c r="N185" i="1" s="1"/>
  <c r="O184" i="1"/>
  <c r="E184" i="1"/>
  <c r="F184" i="1" s="1"/>
  <c r="D184" i="1"/>
  <c r="W183" i="1"/>
  <c r="V183" i="1"/>
  <c r="U183" i="1"/>
  <c r="T183" i="1"/>
  <c r="S183" i="1"/>
  <c r="Q183" i="1"/>
  <c r="O183" i="1"/>
  <c r="F183" i="1"/>
  <c r="W182" i="1"/>
  <c r="U182" i="1"/>
  <c r="T182" i="1"/>
  <c r="S182" i="1"/>
  <c r="R182" i="1"/>
  <c r="Q182" i="1"/>
  <c r="G182" i="1"/>
  <c r="O182" i="1" s="1"/>
  <c r="P182" i="1" s="1"/>
  <c r="V182" i="1" s="1"/>
  <c r="W181" i="1"/>
  <c r="V181" i="1"/>
  <c r="T181" i="1"/>
  <c r="S181" i="1"/>
  <c r="R181" i="1"/>
  <c r="Q181" i="1"/>
  <c r="G181" i="1"/>
  <c r="O181" i="1" s="1"/>
  <c r="P181" i="1" s="1"/>
  <c r="U181" i="1" s="1"/>
  <c r="W180" i="1"/>
  <c r="V180" i="1"/>
  <c r="U180" i="1"/>
  <c r="T180" i="1"/>
  <c r="S180" i="1"/>
  <c r="R180" i="1"/>
  <c r="Q180" i="1"/>
  <c r="G180" i="1"/>
  <c r="O180" i="1" s="1"/>
  <c r="P180" i="1" s="1"/>
  <c r="M179" i="1"/>
  <c r="L179" i="1"/>
  <c r="K179" i="1"/>
  <c r="I179" i="1"/>
  <c r="H179" i="1"/>
  <c r="J179" i="1" s="1"/>
  <c r="N179" i="1" s="1"/>
  <c r="O178" i="1"/>
  <c r="E178" i="1"/>
  <c r="F178" i="1" s="1"/>
  <c r="P178" i="1" s="1"/>
  <c r="D178" i="1"/>
  <c r="Q178" i="1" s="1"/>
  <c r="W177" i="1"/>
  <c r="V177" i="1"/>
  <c r="U177" i="1"/>
  <c r="T177" i="1"/>
  <c r="S177" i="1"/>
  <c r="Q177" i="1"/>
  <c r="O177" i="1"/>
  <c r="F177" i="1"/>
  <c r="W176" i="1"/>
  <c r="U176" i="1"/>
  <c r="T176" i="1"/>
  <c r="S176" i="1"/>
  <c r="R176" i="1"/>
  <c r="Q176" i="1"/>
  <c r="G176" i="1"/>
  <c r="O176" i="1" s="1"/>
  <c r="P176" i="1" s="1"/>
  <c r="V176" i="1" s="1"/>
  <c r="W175" i="1"/>
  <c r="V175" i="1"/>
  <c r="T175" i="1"/>
  <c r="S175" i="1"/>
  <c r="R175" i="1"/>
  <c r="Q175" i="1"/>
  <c r="G175" i="1"/>
  <c r="O175" i="1" s="1"/>
  <c r="P175" i="1" s="1"/>
  <c r="U175" i="1" s="1"/>
  <c r="W174" i="1"/>
  <c r="V174" i="1"/>
  <c r="T174" i="1"/>
  <c r="S174" i="1"/>
  <c r="R174" i="1"/>
  <c r="Q174" i="1"/>
  <c r="G174" i="1"/>
  <c r="O174" i="1" s="1"/>
  <c r="P174" i="1" s="1"/>
  <c r="U174" i="1" s="1"/>
  <c r="M173" i="1"/>
  <c r="L173" i="1"/>
  <c r="K173" i="1"/>
  <c r="I173" i="1"/>
  <c r="H173" i="1"/>
  <c r="J173" i="1" s="1"/>
  <c r="N173" i="1" s="1"/>
  <c r="O172" i="1"/>
  <c r="E172" i="1"/>
  <c r="F172" i="1" s="1"/>
  <c r="P172" i="1" s="1"/>
  <c r="D172" i="1"/>
  <c r="W171" i="1"/>
  <c r="V171" i="1"/>
  <c r="U171" i="1"/>
  <c r="T171" i="1"/>
  <c r="R171" i="1"/>
  <c r="Q171" i="1"/>
  <c r="O171" i="1"/>
  <c r="F171" i="1"/>
  <c r="W170" i="1"/>
  <c r="U170" i="1"/>
  <c r="T170" i="1"/>
  <c r="S170" i="1"/>
  <c r="R170" i="1"/>
  <c r="Q170" i="1"/>
  <c r="G170" i="1"/>
  <c r="O170" i="1" s="1"/>
  <c r="P170" i="1" s="1"/>
  <c r="V170" i="1" s="1"/>
  <c r="W169" i="1"/>
  <c r="V169" i="1"/>
  <c r="T169" i="1"/>
  <c r="S169" i="1"/>
  <c r="R169" i="1"/>
  <c r="Q169" i="1"/>
  <c r="G169" i="1"/>
  <c r="O169" i="1" s="1"/>
  <c r="P169" i="1" s="1"/>
  <c r="U169" i="1" s="1"/>
  <c r="W168" i="1"/>
  <c r="U168" i="1"/>
  <c r="T168" i="1"/>
  <c r="S168" i="1"/>
  <c r="R168" i="1"/>
  <c r="Q168" i="1"/>
  <c r="G168" i="1"/>
  <c r="O168" i="1" s="1"/>
  <c r="P168" i="1" s="1"/>
  <c r="V168" i="1" s="1"/>
  <c r="M167" i="1"/>
  <c r="L167" i="1"/>
  <c r="K167" i="1"/>
  <c r="I167" i="1"/>
  <c r="H167" i="1"/>
  <c r="J167" i="1" s="1"/>
  <c r="N167" i="1" s="1"/>
  <c r="O166" i="1"/>
  <c r="E166" i="1"/>
  <c r="F166" i="1" s="1"/>
  <c r="D166" i="1"/>
  <c r="W165" i="1"/>
  <c r="V165" i="1"/>
  <c r="U165" i="1"/>
  <c r="T165" i="1"/>
  <c r="R165" i="1"/>
  <c r="Q165" i="1"/>
  <c r="O165" i="1"/>
  <c r="F165" i="1"/>
  <c r="W164" i="1"/>
  <c r="V164" i="1"/>
  <c r="T164" i="1"/>
  <c r="S164" i="1"/>
  <c r="R164" i="1"/>
  <c r="Q164" i="1"/>
  <c r="G164" i="1"/>
  <c r="O164" i="1" s="1"/>
  <c r="P164" i="1" s="1"/>
  <c r="U164" i="1" s="1"/>
  <c r="W163" i="1"/>
  <c r="V163" i="1"/>
  <c r="U163" i="1"/>
  <c r="S163" i="1"/>
  <c r="R163" i="1"/>
  <c r="Q163" i="1"/>
  <c r="G163" i="1"/>
  <c r="O163" i="1" s="1"/>
  <c r="P163" i="1" s="1"/>
  <c r="T163" i="1" s="1"/>
  <c r="W162" i="1"/>
  <c r="V162" i="1"/>
  <c r="T162" i="1"/>
  <c r="S162" i="1"/>
  <c r="R162" i="1"/>
  <c r="Q162" i="1"/>
  <c r="G162" i="1"/>
  <c r="O162" i="1" s="1"/>
  <c r="P162" i="1" s="1"/>
  <c r="U162" i="1" s="1"/>
  <c r="W161" i="1"/>
  <c r="V161" i="1"/>
  <c r="U161" i="1"/>
  <c r="S161" i="1"/>
  <c r="R161" i="1"/>
  <c r="Q161" i="1"/>
  <c r="G161" i="1"/>
  <c r="O161" i="1" s="1"/>
  <c r="P161" i="1" s="1"/>
  <c r="T161" i="1" s="1"/>
  <c r="M160" i="1"/>
  <c r="L160" i="1"/>
  <c r="K160" i="1"/>
  <c r="I160" i="1"/>
  <c r="H160" i="1"/>
  <c r="J160" i="1" s="1"/>
  <c r="N160" i="1" s="1"/>
  <c r="O159" i="1"/>
  <c r="E159" i="1"/>
  <c r="F159" i="1" s="1"/>
  <c r="D159" i="1"/>
  <c r="W158" i="1"/>
  <c r="V158" i="1"/>
  <c r="U158" i="1"/>
  <c r="T158" i="1"/>
  <c r="R158" i="1"/>
  <c r="Q158" i="1"/>
  <c r="O158" i="1"/>
  <c r="F158" i="1"/>
  <c r="W157" i="1"/>
  <c r="V157" i="1"/>
  <c r="T157" i="1"/>
  <c r="S157" i="1"/>
  <c r="R157" i="1"/>
  <c r="Q157" i="1"/>
  <c r="G157" i="1"/>
  <c r="O157" i="1" s="1"/>
  <c r="P157" i="1" s="1"/>
  <c r="U157" i="1" s="1"/>
  <c r="W156" i="1"/>
  <c r="V156" i="1"/>
  <c r="U156" i="1"/>
  <c r="S156" i="1"/>
  <c r="R156" i="1"/>
  <c r="Q156" i="1"/>
  <c r="G156" i="1"/>
  <c r="O156" i="1" s="1"/>
  <c r="P156" i="1" s="1"/>
  <c r="T156" i="1" s="1"/>
  <c r="W155" i="1"/>
  <c r="V155" i="1"/>
  <c r="T155" i="1"/>
  <c r="S155" i="1"/>
  <c r="R155" i="1"/>
  <c r="Q155" i="1"/>
  <c r="G155" i="1"/>
  <c r="O155" i="1" s="1"/>
  <c r="P155" i="1" s="1"/>
  <c r="U155" i="1" s="1"/>
  <c r="W154" i="1"/>
  <c r="V154" i="1"/>
  <c r="U154" i="1"/>
  <c r="S154" i="1"/>
  <c r="R154" i="1"/>
  <c r="Q154" i="1"/>
  <c r="G154" i="1"/>
  <c r="O154" i="1" s="1"/>
  <c r="P154" i="1" s="1"/>
  <c r="T154" i="1" s="1"/>
  <c r="M153" i="1"/>
  <c r="L153" i="1"/>
  <c r="K153" i="1"/>
  <c r="I153" i="1"/>
  <c r="H153" i="1"/>
  <c r="J153" i="1" s="1"/>
  <c r="N153" i="1" s="1"/>
  <c r="O152" i="1"/>
  <c r="E152" i="1"/>
  <c r="F152" i="1" s="1"/>
  <c r="P152" i="1" s="1"/>
  <c r="D152" i="1"/>
  <c r="W151" i="1"/>
  <c r="V151" i="1"/>
  <c r="U151" i="1"/>
  <c r="T151" i="1"/>
  <c r="S151" i="1"/>
  <c r="Q151" i="1"/>
  <c r="O151" i="1"/>
  <c r="F151" i="1"/>
  <c r="W150" i="1"/>
  <c r="U150" i="1"/>
  <c r="T150" i="1"/>
  <c r="S150" i="1"/>
  <c r="R150" i="1"/>
  <c r="Q150" i="1"/>
  <c r="G150" i="1"/>
  <c r="O150" i="1" s="1"/>
  <c r="P150" i="1" s="1"/>
  <c r="V150" i="1" s="1"/>
  <c r="W149" i="1"/>
  <c r="V149" i="1"/>
  <c r="T149" i="1"/>
  <c r="S149" i="1"/>
  <c r="R149" i="1"/>
  <c r="Q149" i="1"/>
  <c r="G149" i="1"/>
  <c r="O149" i="1" s="1"/>
  <c r="P149" i="1" s="1"/>
  <c r="U149" i="1" s="1"/>
  <c r="W148" i="1"/>
  <c r="V148" i="1"/>
  <c r="T148" i="1"/>
  <c r="S148" i="1"/>
  <c r="R148" i="1"/>
  <c r="Q148" i="1"/>
  <c r="G148" i="1"/>
  <c r="O148" i="1" s="1"/>
  <c r="P148" i="1" s="1"/>
  <c r="U148" i="1" s="1"/>
  <c r="M147" i="1"/>
  <c r="L147" i="1"/>
  <c r="K147" i="1"/>
  <c r="I147" i="1"/>
  <c r="H147" i="1"/>
  <c r="J147" i="1" s="1"/>
  <c r="N147" i="1" s="1"/>
  <c r="O146" i="1"/>
  <c r="E146" i="1"/>
  <c r="F146" i="1" s="1"/>
  <c r="D146" i="1"/>
  <c r="R146" i="1" s="1"/>
  <c r="W145" i="1"/>
  <c r="V145" i="1"/>
  <c r="U145" i="1"/>
  <c r="T145" i="1"/>
  <c r="R145" i="1"/>
  <c r="Q145" i="1"/>
  <c r="O145" i="1"/>
  <c r="F145" i="1"/>
  <c r="W144" i="1"/>
  <c r="U144" i="1"/>
  <c r="T144" i="1"/>
  <c r="S144" i="1"/>
  <c r="R144" i="1"/>
  <c r="Q144" i="1"/>
  <c r="G144" i="1"/>
  <c r="O144" i="1" s="1"/>
  <c r="P144" i="1" s="1"/>
  <c r="V144" i="1" s="1"/>
  <c r="W143" i="1"/>
  <c r="V143" i="1"/>
  <c r="T143" i="1"/>
  <c r="S143" i="1"/>
  <c r="R143" i="1"/>
  <c r="Q143" i="1"/>
  <c r="G143" i="1"/>
  <c r="O143" i="1" s="1"/>
  <c r="P143" i="1" s="1"/>
  <c r="U143" i="1" s="1"/>
  <c r="W142" i="1"/>
  <c r="U142" i="1"/>
  <c r="T142" i="1"/>
  <c r="S142" i="1"/>
  <c r="R142" i="1"/>
  <c r="Q142" i="1"/>
  <c r="G142" i="1"/>
  <c r="O142" i="1" s="1"/>
  <c r="P142" i="1" s="1"/>
  <c r="V142" i="1" s="1"/>
  <c r="M141" i="1"/>
  <c r="L141" i="1"/>
  <c r="K141" i="1"/>
  <c r="I141" i="1"/>
  <c r="H141" i="1"/>
  <c r="J141" i="1" s="1"/>
  <c r="N141" i="1" s="1"/>
  <c r="O140" i="1"/>
  <c r="E140" i="1"/>
  <c r="F140" i="1" s="1"/>
  <c r="D140" i="1"/>
  <c r="T140" i="1" s="1"/>
  <c r="W139" i="1"/>
  <c r="V139" i="1"/>
  <c r="U139" i="1"/>
  <c r="T139" i="1"/>
  <c r="R139" i="1"/>
  <c r="Q139" i="1"/>
  <c r="O139" i="1"/>
  <c r="F139" i="1"/>
  <c r="W138" i="1"/>
  <c r="U138" i="1"/>
  <c r="T138" i="1"/>
  <c r="S138" i="1"/>
  <c r="R138" i="1"/>
  <c r="Q138" i="1"/>
  <c r="G138" i="1"/>
  <c r="O138" i="1" s="1"/>
  <c r="P138" i="1" s="1"/>
  <c r="V138" i="1" s="1"/>
  <c r="W137" i="1"/>
  <c r="U137" i="1"/>
  <c r="T137" i="1"/>
  <c r="S137" i="1"/>
  <c r="R137" i="1"/>
  <c r="Q137" i="1"/>
  <c r="G137" i="1"/>
  <c r="O137" i="1" s="1"/>
  <c r="P137" i="1" s="1"/>
  <c r="V137" i="1" s="1"/>
  <c r="W136" i="1"/>
  <c r="V136" i="1"/>
  <c r="T136" i="1"/>
  <c r="S136" i="1"/>
  <c r="R136" i="1"/>
  <c r="Q136" i="1"/>
  <c r="O136" i="1"/>
  <c r="P136" i="1" s="1"/>
  <c r="U136" i="1" s="1"/>
  <c r="G136" i="1"/>
  <c r="W135" i="1"/>
  <c r="U135" i="1"/>
  <c r="T135" i="1"/>
  <c r="S135" i="1"/>
  <c r="R135" i="1"/>
  <c r="Q135" i="1"/>
  <c r="G135" i="1"/>
  <c r="O135" i="1" s="1"/>
  <c r="P135" i="1" s="1"/>
  <c r="V135" i="1" s="1"/>
  <c r="M134" i="1"/>
  <c r="L134" i="1"/>
  <c r="K134" i="1"/>
  <c r="I134" i="1"/>
  <c r="H134" i="1"/>
  <c r="J134" i="1" s="1"/>
  <c r="N134" i="1" s="1"/>
  <c r="O133" i="1"/>
  <c r="E133" i="1"/>
  <c r="F133" i="1" s="1"/>
  <c r="D133" i="1"/>
  <c r="W132" i="1"/>
  <c r="V132" i="1"/>
  <c r="U132" i="1"/>
  <c r="T132" i="1"/>
  <c r="R132" i="1"/>
  <c r="Q132" i="1"/>
  <c r="O132" i="1"/>
  <c r="F132" i="1"/>
  <c r="W131" i="1"/>
  <c r="U131" i="1"/>
  <c r="T131" i="1"/>
  <c r="S131" i="1"/>
  <c r="R131" i="1"/>
  <c r="Q131" i="1"/>
  <c r="O131" i="1"/>
  <c r="P131" i="1" s="1"/>
  <c r="V131" i="1" s="1"/>
  <c r="G131" i="1"/>
  <c r="W130" i="1"/>
  <c r="V130" i="1"/>
  <c r="T130" i="1"/>
  <c r="S130" i="1"/>
  <c r="R130" i="1"/>
  <c r="Q130" i="1"/>
  <c r="O130" i="1"/>
  <c r="P130" i="1" s="1"/>
  <c r="U130" i="1" s="1"/>
  <c r="G130" i="1"/>
  <c r="W129" i="1"/>
  <c r="U129" i="1"/>
  <c r="T129" i="1"/>
  <c r="S129" i="1"/>
  <c r="R129" i="1"/>
  <c r="Q129" i="1"/>
  <c r="G129" i="1"/>
  <c r="O129" i="1" s="1"/>
  <c r="P129" i="1" s="1"/>
  <c r="V129" i="1" s="1"/>
  <c r="M128" i="1"/>
  <c r="L128" i="1"/>
  <c r="K128" i="1"/>
  <c r="I128" i="1"/>
  <c r="H128" i="1"/>
  <c r="J128" i="1" s="1"/>
  <c r="N128" i="1" s="1"/>
  <c r="U127" i="1"/>
  <c r="T127" i="1"/>
  <c r="O127" i="1"/>
  <c r="E127" i="1"/>
  <c r="F127" i="1" s="1"/>
  <c r="D127" i="1"/>
  <c r="W126" i="1"/>
  <c r="V126" i="1"/>
  <c r="U126" i="1"/>
  <c r="T126" i="1"/>
  <c r="S126" i="1"/>
  <c r="Q126" i="1"/>
  <c r="O126" i="1"/>
  <c r="F126" i="1"/>
  <c r="W125" i="1"/>
  <c r="V125" i="1"/>
  <c r="U125" i="1"/>
  <c r="S125" i="1"/>
  <c r="R125" i="1"/>
  <c r="Q125" i="1"/>
  <c r="G125" i="1"/>
  <c r="O125" i="1" s="1"/>
  <c r="P125" i="1" s="1"/>
  <c r="T125" i="1" s="1"/>
  <c r="W124" i="1"/>
  <c r="V124" i="1"/>
  <c r="T124" i="1"/>
  <c r="S124" i="1"/>
  <c r="R124" i="1"/>
  <c r="Q124" i="1"/>
  <c r="G124" i="1"/>
  <c r="O124" i="1" s="1"/>
  <c r="P124" i="1" s="1"/>
  <c r="U124" i="1" s="1"/>
  <c r="W123" i="1"/>
  <c r="V123" i="1"/>
  <c r="U123" i="1"/>
  <c r="S123" i="1"/>
  <c r="R123" i="1"/>
  <c r="Q123" i="1"/>
  <c r="G123" i="1"/>
  <c r="O123" i="1" s="1"/>
  <c r="P123" i="1" s="1"/>
  <c r="T123" i="1" s="1"/>
  <c r="W122" i="1"/>
  <c r="V122" i="1"/>
  <c r="T122" i="1"/>
  <c r="S122" i="1"/>
  <c r="R122" i="1"/>
  <c r="Q122" i="1"/>
  <c r="G122" i="1"/>
  <c r="O122" i="1" s="1"/>
  <c r="P122" i="1" s="1"/>
  <c r="U122" i="1" s="1"/>
  <c r="M121" i="1"/>
  <c r="L121" i="1"/>
  <c r="K121" i="1"/>
  <c r="I121" i="1"/>
  <c r="H121" i="1"/>
  <c r="J121" i="1" s="1"/>
  <c r="N121" i="1" s="1"/>
  <c r="O120" i="1"/>
  <c r="E120" i="1"/>
  <c r="F120" i="1" s="1"/>
  <c r="D120" i="1"/>
  <c r="W119" i="1"/>
  <c r="V119" i="1"/>
  <c r="U119" i="1"/>
  <c r="T119" i="1"/>
  <c r="R119" i="1"/>
  <c r="Q119" i="1"/>
  <c r="O119" i="1"/>
  <c r="F119" i="1"/>
  <c r="P119" i="1" s="1"/>
  <c r="S119" i="1" s="1"/>
  <c r="W118" i="1"/>
  <c r="U118" i="1"/>
  <c r="T118" i="1"/>
  <c r="S118" i="1"/>
  <c r="R118" i="1"/>
  <c r="Q118" i="1"/>
  <c r="G118" i="1"/>
  <c r="O118" i="1" s="1"/>
  <c r="P118" i="1" s="1"/>
  <c r="V118" i="1" s="1"/>
  <c r="W117" i="1"/>
  <c r="V117" i="1"/>
  <c r="T117" i="1"/>
  <c r="S117" i="1"/>
  <c r="R117" i="1"/>
  <c r="Q117" i="1"/>
  <c r="O117" i="1"/>
  <c r="P117" i="1" s="1"/>
  <c r="U117" i="1" s="1"/>
  <c r="G117" i="1"/>
  <c r="W116" i="1"/>
  <c r="U116" i="1"/>
  <c r="T116" i="1"/>
  <c r="S116" i="1"/>
  <c r="R116" i="1"/>
  <c r="Q116" i="1"/>
  <c r="G116" i="1"/>
  <c r="O116" i="1" s="1"/>
  <c r="P116" i="1" s="1"/>
  <c r="V116" i="1" s="1"/>
  <c r="M115" i="1"/>
  <c r="L115" i="1"/>
  <c r="K115" i="1"/>
  <c r="I115" i="1"/>
  <c r="H115" i="1"/>
  <c r="J115" i="1" s="1"/>
  <c r="N115" i="1" s="1"/>
  <c r="O114" i="1"/>
  <c r="E114" i="1"/>
  <c r="F114" i="1" s="1"/>
  <c r="D114" i="1"/>
  <c r="W113" i="1"/>
  <c r="V113" i="1"/>
  <c r="U113" i="1"/>
  <c r="T113" i="1"/>
  <c r="R113" i="1"/>
  <c r="Q113" i="1"/>
  <c r="O113" i="1"/>
  <c r="F113" i="1"/>
  <c r="W112" i="1"/>
  <c r="U112" i="1"/>
  <c r="T112" i="1"/>
  <c r="S112" i="1"/>
  <c r="R112" i="1"/>
  <c r="Q112" i="1"/>
  <c r="G112" i="1"/>
  <c r="O112" i="1" s="1"/>
  <c r="P112" i="1" s="1"/>
  <c r="V112" i="1" s="1"/>
  <c r="W111" i="1"/>
  <c r="U111" i="1"/>
  <c r="T111" i="1"/>
  <c r="S111" i="1"/>
  <c r="R111" i="1"/>
  <c r="Q111" i="1"/>
  <c r="G111" i="1"/>
  <c r="O111" i="1" s="1"/>
  <c r="P111" i="1" s="1"/>
  <c r="V111" i="1" s="1"/>
  <c r="W110" i="1"/>
  <c r="V110" i="1"/>
  <c r="T110" i="1"/>
  <c r="S110" i="1"/>
  <c r="R110" i="1"/>
  <c r="Q110" i="1"/>
  <c r="O110" i="1"/>
  <c r="P110" i="1" s="1"/>
  <c r="U110" i="1" s="1"/>
  <c r="G110" i="1"/>
  <c r="W109" i="1"/>
  <c r="U109" i="1"/>
  <c r="T109" i="1"/>
  <c r="S109" i="1"/>
  <c r="R109" i="1"/>
  <c r="Q109" i="1"/>
  <c r="G109" i="1"/>
  <c r="O109" i="1" s="1"/>
  <c r="P109" i="1" s="1"/>
  <c r="V109" i="1" s="1"/>
  <c r="M108" i="1"/>
  <c r="L108" i="1"/>
  <c r="K108" i="1"/>
  <c r="I108" i="1"/>
  <c r="H108" i="1"/>
  <c r="J108" i="1" s="1"/>
  <c r="N108" i="1" s="1"/>
  <c r="O107" i="1"/>
  <c r="E107" i="1"/>
  <c r="F107" i="1" s="1"/>
  <c r="D107" i="1"/>
  <c r="E106" i="1"/>
  <c r="F106" i="1" s="1"/>
  <c r="E105" i="1"/>
  <c r="F105" i="1" s="1"/>
  <c r="D105" i="1"/>
  <c r="W105" i="1" s="1"/>
  <c r="F104" i="1"/>
  <c r="D104" i="1"/>
  <c r="W103" i="1"/>
  <c r="V103" i="1"/>
  <c r="U103" i="1"/>
  <c r="T103" i="1"/>
  <c r="S103" i="1"/>
  <c r="Q103" i="1"/>
  <c r="O103" i="1"/>
  <c r="F103" i="1"/>
  <c r="W102" i="1"/>
  <c r="V102" i="1"/>
  <c r="T102" i="1"/>
  <c r="S102" i="1"/>
  <c r="R102" i="1"/>
  <c r="Q102" i="1"/>
  <c r="G102" i="1"/>
  <c r="O102" i="1" s="1"/>
  <c r="P102" i="1" s="1"/>
  <c r="U102" i="1" s="1"/>
  <c r="W101" i="1"/>
  <c r="V101" i="1"/>
  <c r="U101" i="1"/>
  <c r="S101" i="1"/>
  <c r="R101" i="1"/>
  <c r="Q101" i="1"/>
  <c r="O101" i="1"/>
  <c r="P101" i="1" s="1"/>
  <c r="T101" i="1" s="1"/>
  <c r="G101" i="1"/>
  <c r="W100" i="1"/>
  <c r="V100" i="1"/>
  <c r="T100" i="1"/>
  <c r="S100" i="1"/>
  <c r="R100" i="1"/>
  <c r="Q100" i="1"/>
  <c r="G100" i="1"/>
  <c r="O100" i="1" s="1"/>
  <c r="P100" i="1" s="1"/>
  <c r="U100" i="1" s="1"/>
  <c r="M99" i="1"/>
  <c r="L99" i="1"/>
  <c r="K99" i="1"/>
  <c r="I99" i="1"/>
  <c r="H99" i="1"/>
  <c r="J99" i="1" s="1"/>
  <c r="N99" i="1" s="1"/>
  <c r="O98" i="1"/>
  <c r="E98" i="1"/>
  <c r="F98" i="1" s="1"/>
  <c r="D98" i="1"/>
  <c r="E97" i="1"/>
  <c r="F97" i="1" s="1"/>
  <c r="E96" i="1"/>
  <c r="F96" i="1" s="1"/>
  <c r="D96" i="1"/>
  <c r="W96" i="1" s="1"/>
  <c r="F95" i="1"/>
  <c r="D95" i="1"/>
  <c r="W94" i="1"/>
  <c r="V94" i="1"/>
  <c r="U94" i="1"/>
  <c r="T94" i="1"/>
  <c r="S94" i="1"/>
  <c r="Q94" i="1"/>
  <c r="P94" i="1"/>
  <c r="R94" i="1" s="1"/>
  <c r="O94" i="1"/>
  <c r="F94" i="1"/>
  <c r="W93" i="1"/>
  <c r="V93" i="1"/>
  <c r="T93" i="1"/>
  <c r="S93" i="1"/>
  <c r="R93" i="1"/>
  <c r="Q93" i="1"/>
  <c r="O93" i="1"/>
  <c r="P93" i="1" s="1"/>
  <c r="U93" i="1" s="1"/>
  <c r="G93" i="1"/>
  <c r="W92" i="1"/>
  <c r="V92" i="1"/>
  <c r="T92" i="1"/>
  <c r="S92" i="1"/>
  <c r="R92" i="1"/>
  <c r="Q92" i="1"/>
  <c r="O92" i="1"/>
  <c r="P92" i="1" s="1"/>
  <c r="U92" i="1" s="1"/>
  <c r="G92" i="1"/>
  <c r="W91" i="1"/>
  <c r="V91" i="1"/>
  <c r="T91" i="1"/>
  <c r="S91" i="1"/>
  <c r="R91" i="1"/>
  <c r="Q91" i="1"/>
  <c r="O91" i="1"/>
  <c r="P91" i="1" s="1"/>
  <c r="U91" i="1" s="1"/>
  <c r="G91" i="1"/>
  <c r="W90" i="1"/>
  <c r="V90" i="1"/>
  <c r="T90" i="1"/>
  <c r="S90" i="1"/>
  <c r="R90" i="1"/>
  <c r="Q90" i="1"/>
  <c r="O90" i="1"/>
  <c r="P90" i="1" s="1"/>
  <c r="U90" i="1" s="1"/>
  <c r="G90" i="1"/>
  <c r="M89" i="1"/>
  <c r="L89" i="1"/>
  <c r="K89" i="1"/>
  <c r="I89" i="1"/>
  <c r="H89" i="1"/>
  <c r="J89" i="1" s="1"/>
  <c r="N89" i="1" s="1"/>
  <c r="A89" i="1"/>
  <c r="O88" i="1"/>
  <c r="E88" i="1"/>
  <c r="F88" i="1" s="1"/>
  <c r="P88" i="1" s="1"/>
  <c r="D88" i="1"/>
  <c r="V87" i="1"/>
  <c r="E87" i="1"/>
  <c r="F87" i="1" s="1"/>
  <c r="E86" i="1"/>
  <c r="F86" i="1" s="1"/>
  <c r="D86" i="1"/>
  <c r="W85" i="1"/>
  <c r="F85" i="1"/>
  <c r="D85" i="1"/>
  <c r="D87" i="1" s="1"/>
  <c r="S87" i="1" s="1"/>
  <c r="W84" i="1"/>
  <c r="V84" i="1"/>
  <c r="U84" i="1"/>
  <c r="T84" i="1"/>
  <c r="S84" i="1"/>
  <c r="Q84" i="1"/>
  <c r="O84" i="1"/>
  <c r="F84" i="1"/>
  <c r="W83" i="1"/>
  <c r="V83" i="1"/>
  <c r="T83" i="1"/>
  <c r="S83" i="1"/>
  <c r="R83" i="1"/>
  <c r="Q83" i="1"/>
  <c r="O83" i="1"/>
  <c r="P83" i="1" s="1"/>
  <c r="U83" i="1" s="1"/>
  <c r="G83" i="1"/>
  <c r="W82" i="1"/>
  <c r="V82" i="1"/>
  <c r="U82" i="1"/>
  <c r="S82" i="1"/>
  <c r="R82" i="1"/>
  <c r="Q82" i="1"/>
  <c r="O82" i="1"/>
  <c r="P82" i="1" s="1"/>
  <c r="T82" i="1" s="1"/>
  <c r="G82" i="1"/>
  <c r="W81" i="1"/>
  <c r="V81" i="1"/>
  <c r="T81" i="1"/>
  <c r="S81" i="1"/>
  <c r="R81" i="1"/>
  <c r="Q81" i="1"/>
  <c r="G81" i="1"/>
  <c r="O81" i="1" s="1"/>
  <c r="P81" i="1" s="1"/>
  <c r="U81" i="1" s="1"/>
  <c r="M80" i="1"/>
  <c r="L80" i="1"/>
  <c r="K80" i="1"/>
  <c r="I80" i="1"/>
  <c r="H80" i="1"/>
  <c r="J80" i="1" s="1"/>
  <c r="N80" i="1" s="1"/>
  <c r="A80" i="1"/>
  <c r="O79" i="1"/>
  <c r="E79" i="1"/>
  <c r="F79" i="1" s="1"/>
  <c r="D79" i="1"/>
  <c r="E78" i="1"/>
  <c r="F78" i="1" s="1"/>
  <c r="E77" i="1"/>
  <c r="F77" i="1" s="1"/>
  <c r="D77" i="1"/>
  <c r="F76" i="1"/>
  <c r="D76" i="1"/>
  <c r="W75" i="1"/>
  <c r="V75" i="1"/>
  <c r="U75" i="1"/>
  <c r="T75" i="1"/>
  <c r="S75" i="1"/>
  <c r="Q75" i="1"/>
  <c r="O75" i="1"/>
  <c r="F75" i="1"/>
  <c r="W74" i="1"/>
  <c r="V74" i="1"/>
  <c r="T74" i="1"/>
  <c r="S74" i="1"/>
  <c r="R74" i="1"/>
  <c r="Q74" i="1"/>
  <c r="O74" i="1"/>
  <c r="P74" i="1" s="1"/>
  <c r="U74" i="1" s="1"/>
  <c r="G74" i="1"/>
  <c r="W73" i="1"/>
  <c r="V73" i="1"/>
  <c r="T73" i="1"/>
  <c r="S73" i="1"/>
  <c r="R73" i="1"/>
  <c r="Q73" i="1"/>
  <c r="G73" i="1"/>
  <c r="O73" i="1" s="1"/>
  <c r="P73" i="1" s="1"/>
  <c r="U73" i="1" s="1"/>
  <c r="W72" i="1"/>
  <c r="V72" i="1"/>
  <c r="T72" i="1"/>
  <c r="S72" i="1"/>
  <c r="R72" i="1"/>
  <c r="Q72" i="1"/>
  <c r="G72" i="1"/>
  <c r="O72" i="1" s="1"/>
  <c r="P72" i="1" s="1"/>
  <c r="U72" i="1" s="1"/>
  <c r="M71" i="1"/>
  <c r="L71" i="1"/>
  <c r="K71" i="1"/>
  <c r="I71" i="1"/>
  <c r="H71" i="1"/>
  <c r="J71" i="1" s="1"/>
  <c r="N71" i="1" s="1"/>
  <c r="A71" i="1"/>
  <c r="O70" i="1"/>
  <c r="E70" i="1"/>
  <c r="F70" i="1" s="1"/>
  <c r="P70" i="1" s="1"/>
  <c r="D70" i="1"/>
  <c r="V70" i="1" s="1"/>
  <c r="V69" i="1"/>
  <c r="E69" i="1"/>
  <c r="F69" i="1" s="1"/>
  <c r="D69" i="1"/>
  <c r="W69" i="1" s="1"/>
  <c r="W68" i="1"/>
  <c r="V68" i="1"/>
  <c r="U68" i="1"/>
  <c r="T68" i="1"/>
  <c r="S68" i="1"/>
  <c r="Q68" i="1"/>
  <c r="O68" i="1"/>
  <c r="F68" i="1"/>
  <c r="W67" i="1"/>
  <c r="V67" i="1"/>
  <c r="T67" i="1"/>
  <c r="S67" i="1"/>
  <c r="R67" i="1"/>
  <c r="Q67" i="1"/>
  <c r="O67" i="1"/>
  <c r="P67" i="1" s="1"/>
  <c r="U67" i="1" s="1"/>
  <c r="G67" i="1"/>
  <c r="W66" i="1"/>
  <c r="V66" i="1"/>
  <c r="T66" i="1"/>
  <c r="S66" i="1"/>
  <c r="R66" i="1"/>
  <c r="Q66" i="1"/>
  <c r="G66" i="1"/>
  <c r="O66" i="1" s="1"/>
  <c r="P66" i="1" s="1"/>
  <c r="U66" i="1" s="1"/>
  <c r="W65" i="1"/>
  <c r="V65" i="1"/>
  <c r="U65" i="1"/>
  <c r="S65" i="1"/>
  <c r="R65" i="1"/>
  <c r="Q65" i="1"/>
  <c r="O65" i="1"/>
  <c r="P65" i="1" s="1"/>
  <c r="T65" i="1" s="1"/>
  <c r="G65" i="1"/>
  <c r="W64" i="1"/>
  <c r="V64" i="1"/>
  <c r="U64" i="1"/>
  <c r="S64" i="1"/>
  <c r="R64" i="1"/>
  <c r="Q64" i="1"/>
  <c r="G64" i="1"/>
  <c r="O64" i="1" s="1"/>
  <c r="P64" i="1" s="1"/>
  <c r="T64" i="1" s="1"/>
  <c r="W63" i="1"/>
  <c r="V63" i="1"/>
  <c r="T63" i="1"/>
  <c r="S63" i="1"/>
  <c r="R63" i="1"/>
  <c r="Q63" i="1"/>
  <c r="G63" i="1"/>
  <c r="O63" i="1" s="1"/>
  <c r="P63" i="1" s="1"/>
  <c r="U63" i="1" s="1"/>
  <c r="M62" i="1"/>
  <c r="L62" i="1"/>
  <c r="K62" i="1"/>
  <c r="I62" i="1"/>
  <c r="H62" i="1"/>
  <c r="J62" i="1" s="1"/>
  <c r="N62" i="1" s="1"/>
  <c r="O61" i="1"/>
  <c r="E61" i="1"/>
  <c r="F61" i="1" s="1"/>
  <c r="D61" i="1"/>
  <c r="E60" i="1"/>
  <c r="F60" i="1" s="1"/>
  <c r="D60" i="1"/>
  <c r="U60" i="1" s="1"/>
  <c r="W59" i="1"/>
  <c r="V59" i="1"/>
  <c r="U59" i="1"/>
  <c r="T59" i="1"/>
  <c r="S59" i="1"/>
  <c r="Q59" i="1"/>
  <c r="O59" i="1"/>
  <c r="F59" i="1"/>
  <c r="W58" i="1"/>
  <c r="V58" i="1"/>
  <c r="U58" i="1"/>
  <c r="S58" i="1"/>
  <c r="R58" i="1"/>
  <c r="Q58" i="1"/>
  <c r="G58" i="1"/>
  <c r="O58" i="1" s="1"/>
  <c r="P58" i="1" s="1"/>
  <c r="T58" i="1" s="1"/>
  <c r="W57" i="1"/>
  <c r="V57" i="1"/>
  <c r="T57" i="1"/>
  <c r="S57" i="1"/>
  <c r="R57" i="1"/>
  <c r="Q57" i="1"/>
  <c r="G57" i="1"/>
  <c r="O57" i="1" s="1"/>
  <c r="P57" i="1" s="1"/>
  <c r="U57" i="1" s="1"/>
  <c r="W56" i="1"/>
  <c r="V56" i="1"/>
  <c r="U56" i="1"/>
  <c r="S56" i="1"/>
  <c r="R56" i="1"/>
  <c r="Q56" i="1"/>
  <c r="G56" i="1"/>
  <c r="O56" i="1" s="1"/>
  <c r="P56" i="1" s="1"/>
  <c r="T56" i="1" s="1"/>
  <c r="W55" i="1"/>
  <c r="V55" i="1"/>
  <c r="T55" i="1"/>
  <c r="S55" i="1"/>
  <c r="R55" i="1"/>
  <c r="Q55" i="1"/>
  <c r="G55" i="1"/>
  <c r="O55" i="1" s="1"/>
  <c r="P55" i="1" s="1"/>
  <c r="U55" i="1" s="1"/>
  <c r="N54" i="1"/>
  <c r="M54" i="1"/>
  <c r="L54" i="1"/>
  <c r="K54" i="1"/>
  <c r="I54" i="1"/>
  <c r="H54" i="1"/>
  <c r="J54" i="1" s="1"/>
  <c r="O53" i="1"/>
  <c r="E53" i="1"/>
  <c r="F53" i="1" s="1"/>
  <c r="D53" i="1"/>
  <c r="E52" i="1"/>
  <c r="F52" i="1" s="1"/>
  <c r="D52" i="1"/>
  <c r="Q52" i="1" s="1"/>
  <c r="W51" i="1"/>
  <c r="V51" i="1"/>
  <c r="U51" i="1"/>
  <c r="T51" i="1"/>
  <c r="S51" i="1"/>
  <c r="Q51" i="1"/>
  <c r="O51" i="1"/>
  <c r="F51" i="1"/>
  <c r="W50" i="1"/>
  <c r="V50" i="1"/>
  <c r="T50" i="1"/>
  <c r="S50" i="1"/>
  <c r="R50" i="1"/>
  <c r="Q50" i="1"/>
  <c r="O50" i="1"/>
  <c r="P50" i="1" s="1"/>
  <c r="U50" i="1" s="1"/>
  <c r="G50" i="1"/>
  <c r="W49" i="1"/>
  <c r="V49" i="1"/>
  <c r="T49" i="1"/>
  <c r="S49" i="1"/>
  <c r="R49" i="1"/>
  <c r="Q49" i="1"/>
  <c r="O49" i="1"/>
  <c r="P49" i="1" s="1"/>
  <c r="U49" i="1" s="1"/>
  <c r="G49" i="1"/>
  <c r="W48" i="1"/>
  <c r="V48" i="1"/>
  <c r="U48" i="1"/>
  <c r="S48" i="1"/>
  <c r="R48" i="1"/>
  <c r="Q48" i="1"/>
  <c r="O48" i="1"/>
  <c r="P48" i="1" s="1"/>
  <c r="T48" i="1" s="1"/>
  <c r="G48" i="1"/>
  <c r="W47" i="1"/>
  <c r="V47" i="1"/>
  <c r="U47" i="1"/>
  <c r="S47" i="1"/>
  <c r="R47" i="1"/>
  <c r="Q47" i="1"/>
  <c r="O47" i="1"/>
  <c r="P47" i="1" s="1"/>
  <c r="T47" i="1" s="1"/>
  <c r="G47" i="1"/>
  <c r="W46" i="1"/>
  <c r="V46" i="1"/>
  <c r="T46" i="1"/>
  <c r="S46" i="1"/>
  <c r="R46" i="1"/>
  <c r="Q46" i="1"/>
  <c r="G46" i="1"/>
  <c r="O46" i="1" s="1"/>
  <c r="P46" i="1" s="1"/>
  <c r="U46" i="1" s="1"/>
  <c r="M45" i="1"/>
  <c r="L45" i="1"/>
  <c r="K45" i="1"/>
  <c r="I45" i="1"/>
  <c r="H45" i="1"/>
  <c r="J45" i="1" s="1"/>
  <c r="N45" i="1" s="1"/>
  <c r="A45" i="1"/>
  <c r="O44" i="1"/>
  <c r="E44" i="1"/>
  <c r="F44" i="1" s="1"/>
  <c r="D44" i="1"/>
  <c r="E43" i="1"/>
  <c r="F43" i="1" s="1"/>
  <c r="E42" i="1"/>
  <c r="F42" i="1" s="1"/>
  <c r="D42" i="1"/>
  <c r="Q42" i="1" s="1"/>
  <c r="F41" i="1"/>
  <c r="D41" i="1"/>
  <c r="Q41" i="1" s="1"/>
  <c r="W40" i="1"/>
  <c r="V40" i="1"/>
  <c r="U40" i="1"/>
  <c r="T40" i="1"/>
  <c r="S40" i="1"/>
  <c r="Q40" i="1"/>
  <c r="O40" i="1"/>
  <c r="F40" i="1"/>
  <c r="W39" i="1"/>
  <c r="V39" i="1"/>
  <c r="T39" i="1"/>
  <c r="S39" i="1"/>
  <c r="R39" i="1"/>
  <c r="Q39" i="1"/>
  <c r="O39" i="1"/>
  <c r="P39" i="1" s="1"/>
  <c r="U39" i="1" s="1"/>
  <c r="G39" i="1"/>
  <c r="W38" i="1"/>
  <c r="V38" i="1"/>
  <c r="U38" i="1"/>
  <c r="S38" i="1"/>
  <c r="R38" i="1"/>
  <c r="Q38" i="1"/>
  <c r="O38" i="1"/>
  <c r="P38" i="1" s="1"/>
  <c r="T38" i="1" s="1"/>
  <c r="G38" i="1"/>
  <c r="W37" i="1"/>
  <c r="V37" i="1"/>
  <c r="T37" i="1"/>
  <c r="S37" i="1"/>
  <c r="R37" i="1"/>
  <c r="Q37" i="1"/>
  <c r="G37" i="1"/>
  <c r="O37" i="1" s="1"/>
  <c r="P37" i="1" s="1"/>
  <c r="U37" i="1" s="1"/>
  <c r="M36" i="1"/>
  <c r="L36" i="1"/>
  <c r="K36" i="1"/>
  <c r="I36" i="1"/>
  <c r="H36" i="1"/>
  <c r="J36" i="1" s="1"/>
  <c r="N36" i="1" s="1"/>
  <c r="A36" i="1"/>
  <c r="O35" i="1"/>
  <c r="E35" i="1"/>
  <c r="F35" i="1" s="1"/>
  <c r="D35" i="1"/>
  <c r="E34" i="1"/>
  <c r="F34" i="1" s="1"/>
  <c r="V33" i="1"/>
  <c r="E33" i="1"/>
  <c r="F33" i="1" s="1"/>
  <c r="D33" i="1"/>
  <c r="U33" i="1" s="1"/>
  <c r="F32" i="1"/>
  <c r="D32" i="1"/>
  <c r="D34" i="1" s="1"/>
  <c r="W34" i="1" s="1"/>
  <c r="W31" i="1"/>
  <c r="V31" i="1"/>
  <c r="U31" i="1"/>
  <c r="T31" i="1"/>
  <c r="S31" i="1"/>
  <c r="Q31" i="1"/>
  <c r="O31" i="1"/>
  <c r="F31" i="1"/>
  <c r="W30" i="1"/>
  <c r="V30" i="1"/>
  <c r="T30" i="1"/>
  <c r="S30" i="1"/>
  <c r="R30" i="1"/>
  <c r="Q30" i="1"/>
  <c r="O30" i="1"/>
  <c r="P30" i="1" s="1"/>
  <c r="U30" i="1" s="1"/>
  <c r="G30" i="1"/>
  <c r="W29" i="1"/>
  <c r="V29" i="1"/>
  <c r="T29" i="1"/>
  <c r="S29" i="1"/>
  <c r="R29" i="1"/>
  <c r="Q29" i="1"/>
  <c r="G29" i="1"/>
  <c r="O29" i="1" s="1"/>
  <c r="P29" i="1" s="1"/>
  <c r="U29" i="1" s="1"/>
  <c r="W28" i="1"/>
  <c r="V28" i="1"/>
  <c r="T28" i="1"/>
  <c r="S28" i="1"/>
  <c r="R28" i="1"/>
  <c r="Q28" i="1"/>
  <c r="G28" i="1"/>
  <c r="O28" i="1" s="1"/>
  <c r="P28" i="1" s="1"/>
  <c r="U28" i="1" s="1"/>
  <c r="M27" i="1"/>
  <c r="L27" i="1"/>
  <c r="K27" i="1"/>
  <c r="I27" i="1"/>
  <c r="H27" i="1"/>
  <c r="J27" i="1" s="1"/>
  <c r="N27" i="1" s="1"/>
  <c r="A27" i="1"/>
  <c r="O26" i="1"/>
  <c r="E26" i="1"/>
  <c r="F26" i="1" s="1"/>
  <c r="D26" i="1"/>
  <c r="E25" i="1"/>
  <c r="F25" i="1" s="1"/>
  <c r="E24" i="1"/>
  <c r="F24" i="1" s="1"/>
  <c r="D24" i="1"/>
  <c r="Q24" i="1" s="1"/>
  <c r="F23" i="1"/>
  <c r="D23" i="1"/>
  <c r="W22" i="1"/>
  <c r="V22" i="1"/>
  <c r="U22" i="1"/>
  <c r="T22" i="1"/>
  <c r="S22" i="1"/>
  <c r="Q22" i="1"/>
  <c r="O22" i="1"/>
  <c r="F22" i="1"/>
  <c r="W21" i="1"/>
  <c r="U21" i="1"/>
  <c r="T21" i="1"/>
  <c r="S21" i="1"/>
  <c r="R21" i="1"/>
  <c r="Q21" i="1"/>
  <c r="G21" i="1"/>
  <c r="O21" i="1" s="1"/>
  <c r="P21" i="1" s="1"/>
  <c r="V21" i="1" s="1"/>
  <c r="W20" i="1"/>
  <c r="V20" i="1"/>
  <c r="T20" i="1"/>
  <c r="S20" i="1"/>
  <c r="R20" i="1"/>
  <c r="Q20" i="1"/>
  <c r="O20" i="1"/>
  <c r="P20" i="1" s="1"/>
  <c r="U20" i="1" s="1"/>
  <c r="G20" i="1"/>
  <c r="W19" i="1"/>
  <c r="V19" i="1"/>
  <c r="T19" i="1"/>
  <c r="S19" i="1"/>
  <c r="R19" i="1"/>
  <c r="Q19" i="1"/>
  <c r="O19" i="1"/>
  <c r="P19" i="1" s="1"/>
  <c r="U19" i="1" s="1"/>
  <c r="G19" i="1"/>
  <c r="W18" i="1"/>
  <c r="V18" i="1"/>
  <c r="U18" i="1"/>
  <c r="S18" i="1"/>
  <c r="R18" i="1"/>
  <c r="Q18" i="1"/>
  <c r="O18" i="1"/>
  <c r="P18" i="1" s="1"/>
  <c r="T18" i="1" s="1"/>
  <c r="G18" i="1"/>
  <c r="W17" i="1"/>
  <c r="V17" i="1"/>
  <c r="T17" i="1"/>
  <c r="S17" i="1"/>
  <c r="R17" i="1"/>
  <c r="Q17" i="1"/>
  <c r="G17" i="1"/>
  <c r="O17" i="1" s="1"/>
  <c r="P17" i="1" s="1"/>
  <c r="U17" i="1" s="1"/>
  <c r="M16" i="1"/>
  <c r="L16" i="1"/>
  <c r="K16" i="1"/>
  <c r="I16" i="1"/>
  <c r="H16" i="1"/>
  <c r="J16" i="1" s="1"/>
  <c r="N16" i="1" s="1"/>
  <c r="A16" i="1"/>
  <c r="O15" i="1"/>
  <c r="E15" i="1"/>
  <c r="F15" i="1" s="1"/>
  <c r="D15" i="1"/>
  <c r="T15" i="1" s="1"/>
  <c r="E14" i="1"/>
  <c r="F14" i="1" s="1"/>
  <c r="E13" i="1"/>
  <c r="F13" i="1" s="1"/>
  <c r="D13" i="1"/>
  <c r="W13" i="1" s="1"/>
  <c r="F12" i="1"/>
  <c r="D12" i="1"/>
  <c r="O12" i="1" s="1"/>
  <c r="P12" i="1" s="1"/>
  <c r="R12" i="1" s="1"/>
  <c r="W11" i="1"/>
  <c r="V11" i="1"/>
  <c r="U11" i="1"/>
  <c r="T11" i="1"/>
  <c r="S11" i="1"/>
  <c r="Q11" i="1"/>
  <c r="O11" i="1"/>
  <c r="F11" i="1"/>
  <c r="W10" i="1"/>
  <c r="V10" i="1"/>
  <c r="T10" i="1"/>
  <c r="S10" i="1"/>
  <c r="R10" i="1"/>
  <c r="Q10" i="1"/>
  <c r="G10" i="1"/>
  <c r="O10" i="1" s="1"/>
  <c r="P10" i="1" s="1"/>
  <c r="U10" i="1" s="1"/>
  <c r="W9" i="1"/>
  <c r="V9" i="1"/>
  <c r="U9" i="1"/>
  <c r="S9" i="1"/>
  <c r="R9" i="1"/>
  <c r="Q9" i="1"/>
  <c r="O9" i="1"/>
  <c r="P9" i="1" s="1"/>
  <c r="T9" i="1" s="1"/>
  <c r="G9" i="1"/>
  <c r="W8" i="1"/>
  <c r="V8" i="1"/>
  <c r="T8" i="1"/>
  <c r="S8" i="1"/>
  <c r="R8" i="1"/>
  <c r="Q8" i="1"/>
  <c r="O8" i="1"/>
  <c r="G8" i="1"/>
  <c r="M7" i="1"/>
  <c r="L7" i="1"/>
  <c r="K7" i="1"/>
  <c r="I7" i="1"/>
  <c r="H7" i="1"/>
  <c r="J7" i="1" s="1"/>
  <c r="U360" i="1" l="1"/>
  <c r="U914" i="1"/>
  <c r="Q959" i="1"/>
  <c r="O1012" i="1"/>
  <c r="X1064" i="1"/>
  <c r="X17" i="1"/>
  <c r="U397" i="1"/>
  <c r="X93" i="1"/>
  <c r="P221" i="1"/>
  <c r="R221" i="1" s="1"/>
  <c r="P292" i="1"/>
  <c r="S292" i="1" s="1"/>
  <c r="X635" i="1"/>
  <c r="P691" i="1"/>
  <c r="S691" i="1" s="1"/>
  <c r="X691" i="1" s="1"/>
  <c r="O780" i="1"/>
  <c r="Q808" i="1"/>
  <c r="R959" i="1"/>
  <c r="Q1012" i="1"/>
  <c r="X404" i="1"/>
  <c r="T397" i="1"/>
  <c r="X194" i="1"/>
  <c r="U538" i="1"/>
  <c r="Q780" i="1"/>
  <c r="T808" i="1"/>
  <c r="R1005" i="1"/>
  <c r="R1012" i="1"/>
  <c r="X48" i="1"/>
  <c r="P764" i="1"/>
  <c r="S764" i="1" s="1"/>
  <c r="P26" i="1"/>
  <c r="V26" i="1" s="1"/>
  <c r="U69" i="1"/>
  <c r="P79" i="1"/>
  <c r="T566" i="1"/>
  <c r="P660" i="1"/>
  <c r="P757" i="1"/>
  <c r="S757" i="1" s="1"/>
  <c r="R780" i="1"/>
  <c r="U808" i="1"/>
  <c r="O912" i="1"/>
  <c r="P912" i="1" s="1"/>
  <c r="S912" i="1" s="1"/>
  <c r="V1012" i="1"/>
  <c r="O735" i="1"/>
  <c r="O901" i="1"/>
  <c r="P901" i="1" s="1"/>
  <c r="S901" i="1" s="1"/>
  <c r="P11" i="1"/>
  <c r="R11" i="1" s="1"/>
  <c r="O13" i="1"/>
  <c r="W52" i="1"/>
  <c r="X63" i="1"/>
  <c r="P171" i="1"/>
  <c r="S171" i="1" s="1"/>
  <c r="T308" i="1"/>
  <c r="V408" i="1"/>
  <c r="T447" i="1"/>
  <c r="P475" i="1"/>
  <c r="R475" i="1" s="1"/>
  <c r="X475" i="1" s="1"/>
  <c r="P504" i="1"/>
  <c r="S504" i="1" s="1"/>
  <c r="X504" i="1" s="1"/>
  <c r="R525" i="1"/>
  <c r="P800" i="1"/>
  <c r="Q800" i="1" s="1"/>
  <c r="V901" i="1"/>
  <c r="S199" i="1"/>
  <c r="S539" i="1"/>
  <c r="W780" i="1"/>
  <c r="X162" i="1"/>
  <c r="U216" i="1"/>
  <c r="U262" i="1"/>
  <c r="X366" i="1"/>
  <c r="Q397" i="1"/>
  <c r="X397" i="1" s="1"/>
  <c r="O432" i="1"/>
  <c r="P432" i="1" s="1"/>
  <c r="Q432" i="1" s="1"/>
  <c r="U447" i="1"/>
  <c r="Q568" i="1"/>
  <c r="W901" i="1"/>
  <c r="P988" i="1"/>
  <c r="S988" i="1" s="1"/>
  <c r="Q1041" i="1"/>
  <c r="X169" i="1"/>
  <c r="P323" i="1"/>
  <c r="S323" i="1" s="1"/>
  <c r="P369" i="1"/>
  <c r="S369" i="1" s="1"/>
  <c r="Q13" i="1"/>
  <c r="V13" i="1"/>
  <c r="P31" i="1"/>
  <c r="R31" i="1" s="1"/>
  <c r="T33" i="1"/>
  <c r="P59" i="1"/>
  <c r="R59" i="1" s="1"/>
  <c r="P61" i="1"/>
  <c r="U85" i="1"/>
  <c r="R397" i="1"/>
  <c r="S432" i="1"/>
  <c r="W447" i="1"/>
  <c r="P463" i="1"/>
  <c r="S463" i="1" s="1"/>
  <c r="P593" i="1"/>
  <c r="R593" i="1" s="1"/>
  <c r="P895" i="1"/>
  <c r="Q895" i="1" s="1"/>
  <c r="Q914" i="1"/>
  <c r="P967" i="1"/>
  <c r="R1041" i="1"/>
  <c r="Q827" i="1"/>
  <c r="W827" i="1"/>
  <c r="P253" i="1"/>
  <c r="U166" i="1"/>
  <c r="W166" i="1"/>
  <c r="X334" i="1"/>
  <c r="P359" i="1"/>
  <c r="S359" i="1" s="1"/>
  <c r="P407" i="1"/>
  <c r="R407" i="1" s="1"/>
  <c r="P103" i="1"/>
  <c r="R103" i="1" s="1"/>
  <c r="X103" i="1" s="1"/>
  <c r="U114" i="1"/>
  <c r="W114" i="1"/>
  <c r="Q152" i="1"/>
  <c r="S152" i="1"/>
  <c r="R152" i="1"/>
  <c r="Q285" i="1"/>
  <c r="U388" i="1"/>
  <c r="T388" i="1"/>
  <c r="S388" i="1"/>
  <c r="Q493" i="1"/>
  <c r="R651" i="1"/>
  <c r="P696" i="1"/>
  <c r="Q696" i="1" s="1"/>
  <c r="X696" i="1" s="1"/>
  <c r="P786" i="1"/>
  <c r="Q786" i="1" s="1"/>
  <c r="X786" i="1" s="1"/>
  <c r="R869" i="1"/>
  <c r="P873" i="1"/>
  <c r="S873" i="1" s="1"/>
  <c r="X873" i="1" s="1"/>
  <c r="X956" i="1"/>
  <c r="X1045" i="1"/>
  <c r="P1053" i="1"/>
  <c r="Q1053" i="1" s="1"/>
  <c r="T105" i="1"/>
  <c r="V152" i="1"/>
  <c r="P192" i="1"/>
  <c r="V192" i="1" s="1"/>
  <c r="R222" i="1"/>
  <c r="P272" i="1"/>
  <c r="S272" i="1" s="1"/>
  <c r="P363" i="1"/>
  <c r="V363" i="1" s="1"/>
  <c r="S477" i="1"/>
  <c r="R493" i="1"/>
  <c r="P537" i="1"/>
  <c r="R537" i="1" s="1"/>
  <c r="X562" i="1"/>
  <c r="Q598" i="1"/>
  <c r="O649" i="1"/>
  <c r="P649" i="1" s="1"/>
  <c r="Q649" i="1" s="1"/>
  <c r="S651" i="1"/>
  <c r="P674" i="1"/>
  <c r="V674" i="1" s="1"/>
  <c r="P843" i="1"/>
  <c r="S843" i="1" s="1"/>
  <c r="X843" i="1" s="1"/>
  <c r="O866" i="1"/>
  <c r="S869" i="1"/>
  <c r="X877" i="1"/>
  <c r="T929" i="1"/>
  <c r="W929" i="1"/>
  <c r="U929" i="1"/>
  <c r="O996" i="1"/>
  <c r="P996" i="1" s="1"/>
  <c r="P1049" i="1"/>
  <c r="V1049" i="1" s="1"/>
  <c r="P198" i="1"/>
  <c r="R198" i="1" s="1"/>
  <c r="X198" i="1" s="1"/>
  <c r="P214" i="1"/>
  <c r="S214" i="1" s="1"/>
  <c r="W285" i="1"/>
  <c r="T285" i="1"/>
  <c r="P779" i="1"/>
  <c r="S779" i="1" s="1"/>
  <c r="X39" i="1"/>
  <c r="X343" i="1"/>
  <c r="P426" i="1"/>
  <c r="V426" i="1" s="1"/>
  <c r="O827" i="1"/>
  <c r="P827" i="1" s="1"/>
  <c r="S827" i="1" s="1"/>
  <c r="O493" i="1"/>
  <c r="P493" i="1" s="1"/>
  <c r="S493" i="1" s="1"/>
  <c r="Q192" i="1"/>
  <c r="S285" i="1"/>
  <c r="T651" i="1"/>
  <c r="X651" i="1" s="1"/>
  <c r="T152" i="1"/>
  <c r="R192" i="1"/>
  <c r="U243" i="1"/>
  <c r="V243" i="1"/>
  <c r="W243" i="1"/>
  <c r="U493" i="1"/>
  <c r="U539" i="1"/>
  <c r="S649" i="1"/>
  <c r="X649" i="1" s="1"/>
  <c r="P664" i="1"/>
  <c r="Q664" i="1" s="1"/>
  <c r="X664" i="1" s="1"/>
  <c r="Q879" i="1"/>
  <c r="U879" i="1"/>
  <c r="T879" i="1"/>
  <c r="R879" i="1"/>
  <c r="P910" i="1"/>
  <c r="S910" i="1" s="1"/>
  <c r="X910" i="1" s="1"/>
  <c r="Q996" i="1"/>
  <c r="P22" i="1"/>
  <c r="R22" i="1" s="1"/>
  <c r="W152" i="1"/>
  <c r="X180" i="1"/>
  <c r="R370" i="1"/>
  <c r="Q388" i="1"/>
  <c r="P564" i="1"/>
  <c r="R564" i="1" s="1"/>
  <c r="X564" i="1" s="1"/>
  <c r="Q573" i="1"/>
  <c r="T649" i="1"/>
  <c r="P735" i="1"/>
  <c r="X757" i="1"/>
  <c r="U866" i="1"/>
  <c r="P920" i="1"/>
  <c r="S920" i="1" s="1"/>
  <c r="X920" i="1" s="1"/>
  <c r="X938" i="1"/>
  <c r="X943" i="1"/>
  <c r="P982" i="1"/>
  <c r="V982" i="1" s="1"/>
  <c r="S996" i="1"/>
  <c r="Q1060" i="1"/>
  <c r="P711" i="1"/>
  <c r="S711" i="1" s="1"/>
  <c r="X711" i="1" s="1"/>
  <c r="P396" i="1"/>
  <c r="S396" i="1" s="1"/>
  <c r="X890" i="1"/>
  <c r="X232" i="1"/>
  <c r="R649" i="1"/>
  <c r="U869" i="1"/>
  <c r="W127" i="1"/>
  <c r="Q127" i="1"/>
  <c r="T652" i="1"/>
  <c r="U652" i="1"/>
  <c r="R912" i="1"/>
  <c r="X917" i="1"/>
  <c r="Q929" i="1"/>
  <c r="W996" i="1"/>
  <c r="X1007" i="1"/>
  <c r="Q1040" i="1"/>
  <c r="P190" i="1"/>
  <c r="S190" i="1" s="1"/>
  <c r="X190" i="1" s="1"/>
  <c r="P294" i="1"/>
  <c r="P557" i="1"/>
  <c r="P736" i="1"/>
  <c r="P1032" i="1"/>
  <c r="S1032" i="1" s="1"/>
  <c r="X1032" i="1" s="1"/>
  <c r="X354" i="1"/>
  <c r="P607" i="1"/>
  <c r="S607" i="1" s="1"/>
  <c r="X607" i="1" s="1"/>
  <c r="P670" i="1"/>
  <c r="Q670" i="1" s="1"/>
  <c r="X670" i="1" s="1"/>
  <c r="P742" i="1"/>
  <c r="Q742" i="1" s="1"/>
  <c r="X742" i="1" s="1"/>
  <c r="P751" i="1"/>
  <c r="Q751" i="1" s="1"/>
  <c r="X751" i="1" s="1"/>
  <c r="X248" i="1"/>
  <c r="P261" i="1"/>
  <c r="S261" i="1" s="1"/>
  <c r="X261" i="1" s="1"/>
  <c r="P584" i="1"/>
  <c r="Q584" i="1" s="1"/>
  <c r="X584" i="1" s="1"/>
  <c r="P651" i="1"/>
  <c r="Q651" i="1" s="1"/>
  <c r="X657" i="1"/>
  <c r="T827" i="1"/>
  <c r="P951" i="1"/>
  <c r="R951" i="1" s="1"/>
  <c r="X951" i="1" s="1"/>
  <c r="W98" i="1"/>
  <c r="U98" i="1"/>
  <c r="T98" i="1"/>
  <c r="X130" i="1"/>
  <c r="W222" i="1"/>
  <c r="W477" i="1"/>
  <c r="W674" i="1"/>
  <c r="X861" i="1"/>
  <c r="Q866" i="1"/>
  <c r="W1060" i="1"/>
  <c r="T1060" i="1"/>
  <c r="Q114" i="1"/>
  <c r="X656" i="1"/>
  <c r="R866" i="1"/>
  <c r="P941" i="1"/>
  <c r="Q941" i="1" s="1"/>
  <c r="X941" i="1" s="1"/>
  <c r="O69" i="1"/>
  <c r="P69" i="1" s="1"/>
  <c r="R69" i="1" s="1"/>
  <c r="R114" i="1"/>
  <c r="P158" i="1"/>
  <c r="S158" i="1" s="1"/>
  <c r="O191" i="1"/>
  <c r="P191" i="1" s="1"/>
  <c r="S191" i="1" s="1"/>
  <c r="U191" i="1"/>
  <c r="R191" i="1"/>
  <c r="T191" i="1"/>
  <c r="Q228" i="1"/>
  <c r="S52" i="1"/>
  <c r="Q69" i="1"/>
  <c r="O85" i="1"/>
  <c r="P85" i="1" s="1"/>
  <c r="R85" i="1" s="1"/>
  <c r="Q98" i="1"/>
  <c r="U228" i="1"/>
  <c r="X306" i="1"/>
  <c r="X314" i="1"/>
  <c r="Q379" i="1"/>
  <c r="T379" i="1"/>
  <c r="W379" i="1"/>
  <c r="X382" i="1"/>
  <c r="R388" i="1"/>
  <c r="X429" i="1"/>
  <c r="Q447" i="1"/>
  <c r="U519" i="1"/>
  <c r="V649" i="1"/>
  <c r="X846" i="1"/>
  <c r="W866" i="1"/>
  <c r="O879" i="1"/>
  <c r="P879" i="1" s="1"/>
  <c r="S879" i="1" s="1"/>
  <c r="T52" i="1"/>
  <c r="S69" i="1"/>
  <c r="S85" i="1"/>
  <c r="R98" i="1"/>
  <c r="R127" i="1"/>
  <c r="X221" i="1"/>
  <c r="O243" i="1"/>
  <c r="P243" i="1" s="1"/>
  <c r="R243" i="1" s="1"/>
  <c r="P301" i="1"/>
  <c r="V301" i="1" s="1"/>
  <c r="W388" i="1"/>
  <c r="Q425" i="1"/>
  <c r="R447" i="1"/>
  <c r="O454" i="1"/>
  <c r="X615" i="1"/>
  <c r="W649" i="1"/>
  <c r="X702" i="1"/>
  <c r="P734" i="1"/>
  <c r="R734" i="1" s="1"/>
  <c r="X862" i="1"/>
  <c r="V879" i="1"/>
  <c r="U912" i="1"/>
  <c r="R929" i="1"/>
  <c r="P973" i="1"/>
  <c r="Q973" i="1" s="1"/>
  <c r="X973" i="1" s="1"/>
  <c r="W1005" i="1"/>
  <c r="Q1005" i="1"/>
  <c r="R1040" i="1"/>
  <c r="V493" i="1"/>
  <c r="W493" i="1"/>
  <c r="W904" i="1"/>
  <c r="T904" i="1"/>
  <c r="S904" i="1"/>
  <c r="W192" i="1"/>
  <c r="U192" i="1"/>
  <c r="T192" i="1"/>
  <c r="X192" i="1" s="1"/>
  <c r="P35" i="1"/>
  <c r="V35" i="1" s="1"/>
  <c r="V52" i="1"/>
  <c r="X66" i="1"/>
  <c r="T69" i="1"/>
  <c r="T85" i="1"/>
  <c r="S98" i="1"/>
  <c r="X117" i="1"/>
  <c r="P120" i="1"/>
  <c r="V120" i="1" s="1"/>
  <c r="S127" i="1"/>
  <c r="X155" i="1"/>
  <c r="Q191" i="1"/>
  <c r="P234" i="1"/>
  <c r="V234" i="1" s="1"/>
  <c r="Q243" i="1"/>
  <c r="P307" i="1"/>
  <c r="R307" i="1" s="1"/>
  <c r="P424" i="1"/>
  <c r="R424" i="1" s="1"/>
  <c r="W425" i="1"/>
  <c r="P446" i="1"/>
  <c r="Q446" i="1" s="1"/>
  <c r="X446" i="1" s="1"/>
  <c r="W454" i="1"/>
  <c r="S476" i="1"/>
  <c r="W476" i="1"/>
  <c r="T476" i="1"/>
  <c r="Q476" i="1"/>
  <c r="P629" i="1"/>
  <c r="S629" i="1" s="1"/>
  <c r="X629" i="1" s="1"/>
  <c r="S720" i="1"/>
  <c r="X799" i="1"/>
  <c r="P856" i="1"/>
  <c r="W912" i="1"/>
  <c r="S929" i="1"/>
  <c r="T1040" i="1"/>
  <c r="P1059" i="1"/>
  <c r="R1059" i="1" s="1"/>
  <c r="X1059" i="1" s="1"/>
  <c r="X1044" i="1"/>
  <c r="P242" i="1"/>
  <c r="R242" i="1" s="1"/>
  <c r="X242" i="1" s="1"/>
  <c r="P350" i="1"/>
  <c r="S350" i="1" s="1"/>
  <c r="X359" i="1"/>
  <c r="X450" i="1"/>
  <c r="P619" i="1"/>
  <c r="S619" i="1" s="1"/>
  <c r="X619" i="1" s="1"/>
  <c r="P1003" i="1"/>
  <c r="S1003" i="1" s="1"/>
  <c r="P145" i="1"/>
  <c r="S145" i="1" s="1"/>
  <c r="P183" i="1"/>
  <c r="R183" i="1" s="1"/>
  <c r="P336" i="1"/>
  <c r="S336" i="1" s="1"/>
  <c r="X336" i="1" s="1"/>
  <c r="P438" i="1"/>
  <c r="R438" i="1" s="1"/>
  <c r="X545" i="1"/>
  <c r="X616" i="1"/>
  <c r="X887" i="1"/>
  <c r="X984" i="1"/>
  <c r="X10" i="1"/>
  <c r="P132" i="1"/>
  <c r="S132" i="1" s="1"/>
  <c r="X132" i="1" s="1"/>
  <c r="X149" i="1"/>
  <c r="X287" i="1"/>
  <c r="X621" i="1"/>
  <c r="P891" i="1"/>
  <c r="Q891" i="1" s="1"/>
  <c r="X891" i="1" s="1"/>
  <c r="X288" i="1"/>
  <c r="P378" i="1"/>
  <c r="R378" i="1" s="1"/>
  <c r="P579" i="1"/>
  <c r="S579" i="1" s="1"/>
  <c r="P623" i="1"/>
  <c r="S623" i="1" s="1"/>
  <c r="X623" i="1" s="1"/>
  <c r="O642" i="1"/>
  <c r="P642" i="1" s="1"/>
  <c r="R642" i="1" s="1"/>
  <c r="X756" i="1"/>
  <c r="P850" i="1"/>
  <c r="R850" i="1" s="1"/>
  <c r="X850" i="1" s="1"/>
  <c r="P883" i="1"/>
  <c r="Q883" i="1" s="1"/>
  <c r="X883" i="1" s="1"/>
  <c r="Y880" i="1" s="1"/>
  <c r="Q86" i="1"/>
  <c r="W86" i="1"/>
  <c r="V86" i="1"/>
  <c r="T86" i="1"/>
  <c r="S86" i="1"/>
  <c r="P139" i="1"/>
  <c r="S139" i="1" s="1"/>
  <c r="X139" i="1" s="1"/>
  <c r="P216" i="1"/>
  <c r="V216" i="1" s="1"/>
  <c r="P140" i="1"/>
  <c r="V140" i="1" s="1"/>
  <c r="T208" i="1"/>
  <c r="W208" i="1"/>
  <c r="S208" i="1"/>
  <c r="W26" i="1"/>
  <c r="U26" i="1"/>
  <c r="S26" i="1"/>
  <c r="T26" i="1"/>
  <c r="R26" i="1"/>
  <c r="W44" i="1"/>
  <c r="R44" i="1"/>
  <c r="X170" i="1"/>
  <c r="X213" i="1"/>
  <c r="X583" i="1"/>
  <c r="V989" i="1"/>
  <c r="W989" i="1"/>
  <c r="U989" i="1"/>
  <c r="R989" i="1"/>
  <c r="Q989" i="1"/>
  <c r="T989" i="1"/>
  <c r="T340" i="1"/>
  <c r="R340" i="1"/>
  <c r="W363" i="1"/>
  <c r="T363" i="1"/>
  <c r="Q363" i="1"/>
  <c r="R363" i="1"/>
  <c r="D78" i="1"/>
  <c r="W78" i="1" s="1"/>
  <c r="S76" i="1"/>
  <c r="Q76" i="1"/>
  <c r="O76" i="1"/>
  <c r="P76" i="1" s="1"/>
  <c r="U76" i="1"/>
  <c r="T76" i="1"/>
  <c r="W76" i="1"/>
  <c r="V76" i="1"/>
  <c r="X183" i="1"/>
  <c r="P206" i="1"/>
  <c r="R206" i="1" s="1"/>
  <c r="X206" i="1" s="1"/>
  <c r="T215" i="1"/>
  <c r="R215" i="1"/>
  <c r="Q215" i="1"/>
  <c r="O215" i="1"/>
  <c r="P215" i="1" s="1"/>
  <c r="S215" i="1" s="1"/>
  <c r="W337" i="1"/>
  <c r="D339" i="1"/>
  <c r="P340" i="1"/>
  <c r="W361" i="1"/>
  <c r="T361" i="1"/>
  <c r="R361" i="1"/>
  <c r="Q361" i="1"/>
  <c r="V418" i="1"/>
  <c r="R418" i="1"/>
  <c r="P431" i="1"/>
  <c r="Q431" i="1" s="1"/>
  <c r="X431" i="1" s="1"/>
  <c r="W433" i="1"/>
  <c r="Q433" i="1"/>
  <c r="S433" i="1"/>
  <c r="R433" i="1"/>
  <c r="O554" i="1"/>
  <c r="P554" i="1" s="1"/>
  <c r="P947" i="1"/>
  <c r="T41" i="1"/>
  <c r="X92" i="1"/>
  <c r="X136" i="1"/>
  <c r="P146" i="1"/>
  <c r="V146" i="1" s="1"/>
  <c r="W159" i="1"/>
  <c r="S159" i="1"/>
  <c r="R159" i="1"/>
  <c r="X239" i="1"/>
  <c r="X322" i="1"/>
  <c r="X469" i="1"/>
  <c r="X479" i="1"/>
  <c r="P530" i="1"/>
  <c r="R530" i="1" s="1"/>
  <c r="X543" i="1"/>
  <c r="R554" i="1"/>
  <c r="X582" i="1"/>
  <c r="X304" i="1"/>
  <c r="P177" i="1"/>
  <c r="R177" i="1" s="1"/>
  <c r="X210" i="1"/>
  <c r="U380" i="1"/>
  <c r="T380" i="1"/>
  <c r="Q380" i="1"/>
  <c r="W380" i="1"/>
  <c r="S380" i="1"/>
  <c r="R380" i="1"/>
  <c r="X642" i="1"/>
  <c r="X90" i="1"/>
  <c r="U172" i="1"/>
  <c r="R172" i="1"/>
  <c r="R337" i="1"/>
  <c r="O361" i="1"/>
  <c r="P361" i="1" s="1"/>
  <c r="X415" i="1"/>
  <c r="Q418" i="1"/>
  <c r="X72" i="1"/>
  <c r="Q88" i="1"/>
  <c r="U88" i="1"/>
  <c r="W88" i="1"/>
  <c r="T88" i="1"/>
  <c r="R88" i="1"/>
  <c r="S146" i="1"/>
  <c r="T159" i="1"/>
  <c r="R200" i="1"/>
  <c r="W215" i="1"/>
  <c r="Q234" i="1"/>
  <c r="V244" i="1"/>
  <c r="X257" i="1"/>
  <c r="X320" i="1"/>
  <c r="V338" i="1"/>
  <c r="O338" i="1"/>
  <c r="P338" i="1" s="1"/>
  <c r="S338" i="1" s="1"/>
  <c r="R338" i="1"/>
  <c r="P397" i="1"/>
  <c r="V397" i="1" s="1"/>
  <c r="W418" i="1"/>
  <c r="P477" i="1"/>
  <c r="V547" i="1"/>
  <c r="S547" i="1"/>
  <c r="O547" i="1"/>
  <c r="P547" i="1" s="1"/>
  <c r="R547" i="1" s="1"/>
  <c r="U547" i="1"/>
  <c r="X645" i="1"/>
  <c r="S743" i="1"/>
  <c r="W743" i="1"/>
  <c r="U743" i="1"/>
  <c r="T743" i="1"/>
  <c r="R743" i="1"/>
  <c r="Q743" i="1"/>
  <c r="W844" i="1"/>
  <c r="U844" i="1"/>
  <c r="T844" i="1"/>
  <c r="S844" i="1"/>
  <c r="R844" i="1"/>
  <c r="Q844" i="1"/>
  <c r="U928" i="1"/>
  <c r="T928" i="1"/>
  <c r="S928" i="1"/>
  <c r="Q928" i="1"/>
  <c r="O928" i="1"/>
  <c r="W928" i="1"/>
  <c r="V928" i="1"/>
  <c r="X1024" i="1"/>
  <c r="W650" i="1"/>
  <c r="T650" i="1"/>
  <c r="S650" i="1"/>
  <c r="R650" i="1"/>
  <c r="O650" i="1"/>
  <c r="P650" i="1" s="1"/>
  <c r="Q650" i="1" s="1"/>
  <c r="V650" i="1"/>
  <c r="U650" i="1"/>
  <c r="W254" i="1"/>
  <c r="S254" i="1"/>
  <c r="T254" i="1"/>
  <c r="W409" i="1"/>
  <c r="T409" i="1"/>
  <c r="S409" i="1"/>
  <c r="U409" i="1"/>
  <c r="R409" i="1"/>
  <c r="Q409" i="1"/>
  <c r="U772" i="1"/>
  <c r="W772" i="1"/>
  <c r="V772" i="1"/>
  <c r="T772" i="1"/>
  <c r="S772" i="1"/>
  <c r="Q772" i="1"/>
  <c r="O772" i="1"/>
  <c r="P772" i="1" s="1"/>
  <c r="R772" i="1" s="1"/>
  <c r="X38" i="1"/>
  <c r="P127" i="1"/>
  <c r="V127" i="1" s="1"/>
  <c r="X182" i="1"/>
  <c r="P252" i="1"/>
  <c r="S252" i="1" s="1"/>
  <c r="X252" i="1" s="1"/>
  <c r="R348" i="1"/>
  <c r="T348" i="1"/>
  <c r="Q348" i="1"/>
  <c r="O348" i="1"/>
  <c r="P348" i="1" s="1"/>
  <c r="S348" i="1" s="1"/>
  <c r="X348" i="1" s="1"/>
  <c r="P859" i="1"/>
  <c r="V859" i="1" s="1"/>
  <c r="X124" i="1"/>
  <c r="U215" i="1"/>
  <c r="V273" i="1"/>
  <c r="W273" i="1"/>
  <c r="U273" i="1"/>
  <c r="O337" i="1"/>
  <c r="P337" i="1" s="1"/>
  <c r="S337" i="1" s="1"/>
  <c r="O435" i="1"/>
  <c r="P435" i="1" s="1"/>
  <c r="V435" i="1" s="1"/>
  <c r="X435" i="1" s="1"/>
  <c r="O421" i="1"/>
  <c r="P421" i="1" s="1"/>
  <c r="V421" i="1" s="1"/>
  <c r="X421" i="1" s="1"/>
  <c r="Q35" i="1"/>
  <c r="T35" i="1"/>
  <c r="W35" i="1"/>
  <c r="S35" i="1"/>
  <c r="R35" i="1"/>
  <c r="X176" i="1"/>
  <c r="X203" i="1"/>
  <c r="V215" i="1"/>
  <c r="X225" i="1"/>
  <c r="R244" i="1"/>
  <c r="W244" i="1"/>
  <c r="T244" i="1"/>
  <c r="S244" i="1"/>
  <c r="Q244" i="1"/>
  <c r="X413" i="1"/>
  <c r="X462" i="1"/>
  <c r="X30" i="1"/>
  <c r="Q32" i="1"/>
  <c r="X55" i="1"/>
  <c r="W60" i="1"/>
  <c r="S60" i="1"/>
  <c r="O60" i="1"/>
  <c r="Q60" i="1"/>
  <c r="X81" i="1"/>
  <c r="P113" i="1"/>
  <c r="S113" i="1" s="1"/>
  <c r="X113" i="1" s="1"/>
  <c r="W146" i="1"/>
  <c r="X148" i="1"/>
  <c r="U159" i="1"/>
  <c r="S200" i="1"/>
  <c r="X202" i="1"/>
  <c r="T216" i="1"/>
  <c r="S216" i="1"/>
  <c r="R216" i="1"/>
  <c r="Q216" i="1"/>
  <c r="X218" i="1"/>
  <c r="O325" i="1"/>
  <c r="P325" i="1" s="1"/>
  <c r="X333" i="1"/>
  <c r="X344" i="1"/>
  <c r="P439" i="1"/>
  <c r="V439" i="1" s="1"/>
  <c r="X451" i="1"/>
  <c r="V743" i="1"/>
  <c r="D43" i="1"/>
  <c r="U43" i="1" s="1"/>
  <c r="U41" i="1"/>
  <c r="U32" i="1"/>
  <c r="X145" i="1"/>
  <c r="Q166" i="1"/>
  <c r="X251" i="1"/>
  <c r="R294" i="1"/>
  <c r="W294" i="1"/>
  <c r="T325" i="1"/>
  <c r="S351" i="1"/>
  <c r="Q351" i="1"/>
  <c r="T464" i="1"/>
  <c r="O464" i="1"/>
  <c r="P464" i="1" s="1"/>
  <c r="S464" i="1" s="1"/>
  <c r="V524" i="1"/>
  <c r="Q524" i="1"/>
  <c r="D526" i="1"/>
  <c r="W526" i="1" s="1"/>
  <c r="T524" i="1"/>
  <c r="W902" i="1"/>
  <c r="U902" i="1"/>
  <c r="Q902" i="1"/>
  <c r="X1029" i="1"/>
  <c r="U541" i="1"/>
  <c r="W541" i="1"/>
  <c r="S541" i="1"/>
  <c r="Q541" i="1"/>
  <c r="X644" i="1"/>
  <c r="X65" i="1"/>
  <c r="W107" i="1"/>
  <c r="U107" i="1"/>
  <c r="T107" i="1"/>
  <c r="S107" i="1"/>
  <c r="R107" i="1"/>
  <c r="P866" i="1"/>
  <c r="W184" i="1"/>
  <c r="T184" i="1"/>
  <c r="P208" i="1"/>
  <c r="X56" i="1"/>
  <c r="W77" i="1"/>
  <c r="V77" i="1"/>
  <c r="U77" i="1"/>
  <c r="T77" i="1"/>
  <c r="S77" i="1"/>
  <c r="O77" i="1"/>
  <c r="P77" i="1" s="1"/>
  <c r="R77" i="1" s="1"/>
  <c r="X154" i="1"/>
  <c r="X236" i="1"/>
  <c r="O418" i="1"/>
  <c r="P200" i="1"/>
  <c r="X22" i="1"/>
  <c r="X168" i="1"/>
  <c r="Q172" i="1"/>
  <c r="U244" i="1"/>
  <c r="V32" i="1"/>
  <c r="P53" i="1"/>
  <c r="V53" i="1" s="1"/>
  <c r="T60" i="1"/>
  <c r="P98" i="1"/>
  <c r="V98" i="1" s="1"/>
  <c r="P165" i="1"/>
  <c r="S165" i="1" s="1"/>
  <c r="X165" i="1" s="1"/>
  <c r="R166" i="1"/>
  <c r="X226" i="1"/>
  <c r="P351" i="1"/>
  <c r="P795" i="1"/>
  <c r="X897" i="1"/>
  <c r="T773" i="1"/>
  <c r="W773" i="1"/>
  <c r="U773" i="1"/>
  <c r="S773" i="1"/>
  <c r="P904" i="1"/>
  <c r="P107" i="1"/>
  <c r="V107" i="1" s="1"/>
  <c r="X109" i="1"/>
  <c r="X241" i="1"/>
  <c r="X280" i="1"/>
  <c r="P285" i="1"/>
  <c r="V285" i="1" s="1"/>
  <c r="X297" i="1"/>
  <c r="W494" i="1"/>
  <c r="T494" i="1"/>
  <c r="X544" i="1"/>
  <c r="P652" i="1"/>
  <c r="V652" i="1" s="1"/>
  <c r="X716" i="1"/>
  <c r="V773" i="1"/>
  <c r="X886" i="1"/>
  <c r="Y884" i="1" s="1"/>
  <c r="X918" i="1"/>
  <c r="V958" i="1"/>
  <c r="O958" i="1"/>
  <c r="P958" i="1" s="1"/>
  <c r="S958" i="1" s="1"/>
  <c r="X783" i="1"/>
  <c r="V857" i="1"/>
  <c r="W857" i="1"/>
  <c r="U857" i="1"/>
  <c r="X1023" i="1"/>
  <c r="X21" i="1"/>
  <c r="X37" i="1"/>
  <c r="P40" i="1"/>
  <c r="R40" i="1" s="1"/>
  <c r="X40" i="1" s="1"/>
  <c r="X123" i="1"/>
  <c r="X197" i="1"/>
  <c r="P228" i="1"/>
  <c r="V228" i="1" s="1"/>
  <c r="X249" i="1"/>
  <c r="P380" i="1"/>
  <c r="V380" i="1" s="1"/>
  <c r="R486" i="1"/>
  <c r="W486" i="1"/>
  <c r="P494" i="1"/>
  <c r="V494" i="1" s="1"/>
  <c r="X498" i="1"/>
  <c r="P512" i="1"/>
  <c r="S512" i="1" s="1"/>
  <c r="X512" i="1" s="1"/>
  <c r="P523" i="1"/>
  <c r="S523" i="1" s="1"/>
  <c r="X523" i="1" s="1"/>
  <c r="S660" i="1"/>
  <c r="U660" i="1"/>
  <c r="Q660" i="1"/>
  <c r="T660" i="1"/>
  <c r="W727" i="1"/>
  <c r="V727" i="1"/>
  <c r="U727" i="1"/>
  <c r="P855" i="1"/>
  <c r="S855" i="1" s="1"/>
  <c r="X855" i="1" s="1"/>
  <c r="O857" i="1"/>
  <c r="P857" i="1" s="1"/>
  <c r="S857" i="1" s="1"/>
  <c r="Q911" i="1"/>
  <c r="V911" i="1"/>
  <c r="U911" i="1"/>
  <c r="W1049" i="1"/>
  <c r="Q1049" i="1"/>
  <c r="X138" i="1"/>
  <c r="X161" i="1"/>
  <c r="X355" i="1"/>
  <c r="X422" i="1"/>
  <c r="Q548" i="1"/>
  <c r="U548" i="1"/>
  <c r="X561" i="1"/>
  <c r="U568" i="1"/>
  <c r="T568" i="1"/>
  <c r="X570" i="1"/>
  <c r="X641" i="1"/>
  <c r="X646" i="1"/>
  <c r="V735" i="1"/>
  <c r="U735" i="1"/>
  <c r="T735" i="1"/>
  <c r="S735" i="1"/>
  <c r="R735" i="1"/>
  <c r="Q735" i="1"/>
  <c r="Q773" i="1"/>
  <c r="X782" i="1"/>
  <c r="Q857" i="1"/>
  <c r="X988" i="1"/>
  <c r="W1061" i="1"/>
  <c r="R1061" i="1"/>
  <c r="P222" i="1"/>
  <c r="V222" i="1" s="1"/>
  <c r="X238" i="1"/>
  <c r="X276" i="1"/>
  <c r="P347" i="1"/>
  <c r="S347" i="1" s="1"/>
  <c r="X347" i="1" s="1"/>
  <c r="D362" i="1"/>
  <c r="R360" i="1"/>
  <c r="O360" i="1"/>
  <c r="P360" i="1" s="1"/>
  <c r="S360" i="1" s="1"/>
  <c r="X374" i="1"/>
  <c r="P387" i="1"/>
  <c r="Q387" i="1" s="1"/>
  <c r="X391" i="1"/>
  <c r="X402" i="1"/>
  <c r="V505" i="1"/>
  <c r="T505" i="1"/>
  <c r="V568" i="1"/>
  <c r="V574" i="1"/>
  <c r="T574" i="1"/>
  <c r="W574" i="1"/>
  <c r="R574" i="1"/>
  <c r="X593" i="1"/>
  <c r="X622" i="1"/>
  <c r="Y620" i="1" s="1"/>
  <c r="R773" i="1"/>
  <c r="R857" i="1"/>
  <c r="X57" i="1"/>
  <c r="X118" i="1"/>
  <c r="L4" i="1"/>
  <c r="P75" i="1"/>
  <c r="R75" i="1" s="1"/>
  <c r="X75" i="1" s="1"/>
  <c r="X94" i="1"/>
  <c r="X131" i="1"/>
  <c r="P133" i="1"/>
  <c r="V133" i="1" s="1"/>
  <c r="X204" i="1"/>
  <c r="X214" i="1"/>
  <c r="Q222" i="1"/>
  <c r="P227" i="1"/>
  <c r="Q227" i="1" s="1"/>
  <c r="X227" i="1" s="1"/>
  <c r="X270" i="1"/>
  <c r="P274" i="1"/>
  <c r="V274" i="1" s="1"/>
  <c r="T349" i="1"/>
  <c r="R349" i="1"/>
  <c r="S425" i="1"/>
  <c r="X460" i="1"/>
  <c r="S465" i="1"/>
  <c r="S486" i="1"/>
  <c r="W514" i="1"/>
  <c r="X552" i="1"/>
  <c r="X563" i="1"/>
  <c r="P572" i="1"/>
  <c r="S572" i="1" s="1"/>
  <c r="X602" i="1"/>
  <c r="X715" i="1"/>
  <c r="T720" i="1"/>
  <c r="X761" i="1"/>
  <c r="X831" i="1"/>
  <c r="T911" i="1"/>
  <c r="P929" i="1"/>
  <c r="V929" i="1" s="1"/>
  <c r="S967" i="1"/>
  <c r="Q967" i="1"/>
  <c r="X972" i="1"/>
  <c r="T1049" i="1"/>
  <c r="P935" i="1"/>
  <c r="R935" i="1" s="1"/>
  <c r="X935" i="1" s="1"/>
  <c r="W982" i="1"/>
  <c r="U982" i="1"/>
  <c r="T982" i="1"/>
  <c r="S982" i="1"/>
  <c r="P1039" i="1"/>
  <c r="S1039" i="1" s="1"/>
  <c r="X1039" i="1" s="1"/>
  <c r="X1051" i="1"/>
  <c r="P409" i="1"/>
  <c r="X458" i="1"/>
  <c r="X516" i="1"/>
  <c r="X517" i="1"/>
  <c r="X533" i="1"/>
  <c r="X536" i="1"/>
  <c r="W598" i="1"/>
  <c r="O598" i="1"/>
  <c r="P598" i="1" s="1"/>
  <c r="R598" i="1" s="1"/>
  <c r="P613" i="1"/>
  <c r="S613" i="1" s="1"/>
  <c r="X613" i="1" s="1"/>
  <c r="V660" i="1"/>
  <c r="X710" i="1"/>
  <c r="W765" i="1"/>
  <c r="V765" i="1"/>
  <c r="U765" i="1"/>
  <c r="T765" i="1"/>
  <c r="R765" i="1"/>
  <c r="P865" i="1"/>
  <c r="S865" i="1" s="1"/>
  <c r="X865" i="1" s="1"/>
  <c r="X933" i="1"/>
  <c r="W997" i="1"/>
  <c r="S997" i="1"/>
  <c r="R997" i="1"/>
  <c r="X1063" i="1"/>
  <c r="X365" i="1"/>
  <c r="X373" i="1"/>
  <c r="O379" i="1"/>
  <c r="P379" i="1" s="1"/>
  <c r="R379" i="1" s="1"/>
  <c r="X399" i="1"/>
  <c r="X414" i="1"/>
  <c r="Q454" i="1"/>
  <c r="X482" i="1"/>
  <c r="X483" i="1"/>
  <c r="P485" i="1"/>
  <c r="S485" i="1" s="1"/>
  <c r="X508" i="1"/>
  <c r="P546" i="1"/>
  <c r="R546" i="1" s="1"/>
  <c r="X546" i="1" s="1"/>
  <c r="P597" i="1"/>
  <c r="R597" i="1" s="1"/>
  <c r="X597" i="1" s="1"/>
  <c r="S598" i="1"/>
  <c r="X605" i="1"/>
  <c r="Q674" i="1"/>
  <c r="X699" i="1"/>
  <c r="O765" i="1"/>
  <c r="P765" i="1" s="1"/>
  <c r="S765" i="1" s="1"/>
  <c r="T787" i="1"/>
  <c r="Q787" i="1"/>
  <c r="X789" i="1"/>
  <c r="P807" i="1"/>
  <c r="S807" i="1" s="1"/>
  <c r="X807" i="1" s="1"/>
  <c r="X841" i="1"/>
  <c r="P844" i="1"/>
  <c r="V844" i="1" s="1"/>
  <c r="D858" i="1"/>
  <c r="V856" i="1"/>
  <c r="T856" i="1"/>
  <c r="S856" i="1"/>
  <c r="R856" i="1"/>
  <c r="Q856" i="1"/>
  <c r="U1013" i="1"/>
  <c r="T1013" i="1"/>
  <c r="R1013" i="1"/>
  <c r="Q1013" i="1"/>
  <c r="X256" i="1"/>
  <c r="P281" i="1"/>
  <c r="S281" i="1" s="1"/>
  <c r="X281" i="1" s="1"/>
  <c r="X299" i="1"/>
  <c r="X312" i="1"/>
  <c r="X323" i="1"/>
  <c r="S379" i="1"/>
  <c r="X411" i="1"/>
  <c r="O423" i="1"/>
  <c r="P423" i="1" s="1"/>
  <c r="V423" i="1" s="1"/>
  <c r="X423" i="1" s="1"/>
  <c r="X437" i="1"/>
  <c r="P453" i="1"/>
  <c r="S453" i="1" s="1"/>
  <c r="X453" i="1" s="1"/>
  <c r="R454" i="1"/>
  <c r="P465" i="1"/>
  <c r="X532" i="1"/>
  <c r="P566" i="1"/>
  <c r="R566" i="1" s="1"/>
  <c r="X572" i="1"/>
  <c r="P589" i="1"/>
  <c r="S589" i="1" s="1"/>
  <c r="X589" i="1" s="1"/>
  <c r="T598" i="1"/>
  <c r="X776" i="1"/>
  <c r="V794" i="1"/>
  <c r="R794" i="1"/>
  <c r="X832" i="1"/>
  <c r="W859" i="1"/>
  <c r="U859" i="1"/>
  <c r="S859" i="1"/>
  <c r="R859" i="1"/>
  <c r="Q859" i="1"/>
  <c r="P981" i="1"/>
  <c r="Q981" i="1" s="1"/>
  <c r="X981" i="1" s="1"/>
  <c r="X1008" i="1"/>
  <c r="X1003" i="1"/>
  <c r="R262" i="1"/>
  <c r="X271" i="1"/>
  <c r="X291" i="1"/>
  <c r="P370" i="1"/>
  <c r="U379" i="1"/>
  <c r="P388" i="1"/>
  <c r="Q408" i="1"/>
  <c r="X416" i="1"/>
  <c r="R432" i="1"/>
  <c r="P447" i="1"/>
  <c r="V447" i="1" s="1"/>
  <c r="X473" i="1"/>
  <c r="T477" i="1"/>
  <c r="X490" i="1"/>
  <c r="X571" i="1"/>
  <c r="V598" i="1"/>
  <c r="X669" i="1"/>
  <c r="X725" i="1"/>
  <c r="V736" i="1"/>
  <c r="U736" i="1"/>
  <c r="T736" i="1"/>
  <c r="S736" i="1"/>
  <c r="P771" i="1"/>
  <c r="R771" i="1" s="1"/>
  <c r="X771" i="1" s="1"/>
  <c r="R787" i="1"/>
  <c r="O794" i="1"/>
  <c r="P794" i="1" s="1"/>
  <c r="Q794" i="1" s="1"/>
  <c r="X816" i="1"/>
  <c r="X924" i="1"/>
  <c r="X1030" i="1"/>
  <c r="W1033" i="1"/>
  <c r="T1033" i="1"/>
  <c r="W1048" i="1"/>
  <c r="V1048" i="1"/>
  <c r="U1048" i="1"/>
  <c r="Q1048" i="1"/>
  <c r="O1048" i="1"/>
  <c r="P1048" i="1" s="1"/>
  <c r="R1048" i="1" s="1"/>
  <c r="W1072" i="1"/>
  <c r="U1072" i="1"/>
  <c r="X703" i="1"/>
  <c r="X750" i="1"/>
  <c r="X784" i="1"/>
  <c r="X822" i="1"/>
  <c r="X825" i="1"/>
  <c r="X893" i="1"/>
  <c r="P946" i="1"/>
  <c r="Q946" i="1" s="1"/>
  <c r="X946" i="1" s="1"/>
  <c r="U1005" i="1"/>
  <c r="X1005" i="1" s="1"/>
  <c r="X1009" i="1"/>
  <c r="W1040" i="1"/>
  <c r="X1040" i="1" s="1"/>
  <c r="U651" i="1"/>
  <c r="X655" i="1"/>
  <c r="X682" i="1"/>
  <c r="P712" i="1"/>
  <c r="V712" i="1" s="1"/>
  <c r="P747" i="1"/>
  <c r="Q747" i="1" s="1"/>
  <c r="X747" i="1" s="1"/>
  <c r="X775" i="1"/>
  <c r="X800" i="1"/>
  <c r="X955" i="1"/>
  <c r="V1005" i="1"/>
  <c r="P518" i="1"/>
  <c r="S518" i="1" s="1"/>
  <c r="X518" i="1" s="1"/>
  <c r="P541" i="1"/>
  <c r="V541" i="1" s="1"/>
  <c r="X609" i="1"/>
  <c r="V651" i="1"/>
  <c r="X689" i="1"/>
  <c r="X717" i="1"/>
  <c r="P726" i="1"/>
  <c r="R726" i="1" s="1"/>
  <c r="X726" i="1" s="1"/>
  <c r="X834" i="1"/>
  <c r="W879" i="1"/>
  <c r="X882" i="1"/>
  <c r="P927" i="1"/>
  <c r="R927" i="1" s="1"/>
  <c r="X927" i="1" s="1"/>
  <c r="X953" i="1"/>
  <c r="Y952" i="1" s="1"/>
  <c r="X991" i="1"/>
  <c r="P1017" i="1"/>
  <c r="Q1017" i="1" s="1"/>
  <c r="X1017" i="1" s="1"/>
  <c r="P1047" i="1"/>
  <c r="R1047" i="1" s="1"/>
  <c r="X1047" i="1" s="1"/>
  <c r="P1065" i="1"/>
  <c r="Q1065" i="1" s="1"/>
  <c r="X1065" i="1" s="1"/>
  <c r="X678" i="1"/>
  <c r="X700" i="1"/>
  <c r="X1002" i="1"/>
  <c r="P1012" i="1"/>
  <c r="S1012" i="1" s="1"/>
  <c r="P1041" i="1"/>
  <c r="V1041" i="1" s="1"/>
  <c r="O1060" i="1"/>
  <c r="X667" i="1"/>
  <c r="P835" i="1"/>
  <c r="R835" i="1" s="1"/>
  <c r="X835" i="1" s="1"/>
  <c r="D903" i="1"/>
  <c r="V903" i="1" s="1"/>
  <c r="X925" i="1"/>
  <c r="P995" i="1"/>
  <c r="R995" i="1" s="1"/>
  <c r="X995" i="1" s="1"/>
  <c r="X550" i="1"/>
  <c r="X586" i="1"/>
  <c r="X587" i="1"/>
  <c r="S642" i="1"/>
  <c r="U649" i="1"/>
  <c r="P704" i="1"/>
  <c r="Q704" i="1" s="1"/>
  <c r="X704" i="1" s="1"/>
  <c r="P718" i="1"/>
  <c r="S718" i="1" s="1"/>
  <c r="X739" i="1"/>
  <c r="P826" i="1"/>
  <c r="S826" i="1" s="1"/>
  <c r="X826" i="1" s="1"/>
  <c r="X872" i="1"/>
  <c r="P900" i="1"/>
  <c r="S900" i="1" s="1"/>
  <c r="T912" i="1"/>
  <c r="X926" i="1"/>
  <c r="X939" i="1"/>
  <c r="X949" i="1"/>
  <c r="U1012" i="1"/>
  <c r="O1040" i="1"/>
  <c r="P1040" i="1" s="1"/>
  <c r="S1040" i="1" s="1"/>
  <c r="S1041" i="1"/>
  <c r="W61" i="1"/>
  <c r="V61" i="1"/>
  <c r="U61" i="1"/>
  <c r="R61" i="1"/>
  <c r="T61" i="1"/>
  <c r="S61" i="1"/>
  <c r="Q61" i="1"/>
  <c r="X231" i="1"/>
  <c r="I4" i="1"/>
  <c r="O104" i="1"/>
  <c r="P104" i="1" s="1"/>
  <c r="R104" i="1" s="1"/>
  <c r="D106" i="1"/>
  <c r="W104" i="1"/>
  <c r="T104" i="1"/>
  <c r="S104" i="1"/>
  <c r="V104" i="1"/>
  <c r="U104" i="1"/>
  <c r="Q104" i="1"/>
  <c r="X110" i="1"/>
  <c r="X49" i="1"/>
  <c r="X144" i="1"/>
  <c r="S133" i="1"/>
  <c r="R133" i="1"/>
  <c r="Q133" i="1"/>
  <c r="W133" i="1"/>
  <c r="U133" i="1"/>
  <c r="T133" i="1"/>
  <c r="X205" i="1"/>
  <c r="X59" i="1"/>
  <c r="X186" i="1"/>
  <c r="X246" i="1"/>
  <c r="O23" i="1"/>
  <c r="P23" i="1" s="1"/>
  <c r="R23" i="1" s="1"/>
  <c r="D25" i="1"/>
  <c r="W23" i="1"/>
  <c r="T23" i="1"/>
  <c r="V23" i="1"/>
  <c r="U23" i="1"/>
  <c r="S23" i="1"/>
  <c r="Q23" i="1"/>
  <c r="K4" i="1"/>
  <c r="P15" i="1"/>
  <c r="V15" i="1" s="1"/>
  <c r="X29" i="1"/>
  <c r="X100" i="1"/>
  <c r="W120" i="1"/>
  <c r="T120" i="1"/>
  <c r="S120" i="1"/>
  <c r="U120" i="1"/>
  <c r="R120" i="1"/>
  <c r="Q120" i="1"/>
  <c r="X260" i="1"/>
  <c r="P8" i="1"/>
  <c r="X11" i="1"/>
  <c r="O24" i="1"/>
  <c r="P24" i="1" s="1"/>
  <c r="R24" i="1" s="1"/>
  <c r="V24" i="1"/>
  <c r="S24" i="1"/>
  <c r="W24" i="1"/>
  <c r="U24" i="1"/>
  <c r="T24" i="1"/>
  <c r="X175" i="1"/>
  <c r="X82" i="1"/>
  <c r="X102" i="1"/>
  <c r="O283" i="1"/>
  <c r="P283" i="1" s="1"/>
  <c r="S283" i="1" s="1"/>
  <c r="W283" i="1"/>
  <c r="U283" i="1"/>
  <c r="Q283" i="1"/>
  <c r="V283" i="1"/>
  <c r="T283" i="1"/>
  <c r="R283" i="1"/>
  <c r="X9" i="1"/>
  <c r="P51" i="1"/>
  <c r="R51" i="1" s="1"/>
  <c r="X51" i="1" s="1"/>
  <c r="P84" i="1"/>
  <c r="R84" i="1" s="1"/>
  <c r="X84" i="1" s="1"/>
  <c r="O87" i="1"/>
  <c r="P87" i="1" s="1"/>
  <c r="R87" i="1" s="1"/>
  <c r="W87" i="1"/>
  <c r="T87" i="1"/>
  <c r="V96" i="1"/>
  <c r="U96" i="1"/>
  <c r="T96" i="1"/>
  <c r="Q96" i="1"/>
  <c r="U105" i="1"/>
  <c r="P126" i="1"/>
  <c r="R126" i="1" s="1"/>
  <c r="X126" i="1" s="1"/>
  <c r="S140" i="1"/>
  <c r="R140" i="1"/>
  <c r="X156" i="1"/>
  <c r="X196" i="1"/>
  <c r="S207" i="1"/>
  <c r="Q207" i="1"/>
  <c r="W207" i="1"/>
  <c r="V207" i="1"/>
  <c r="X224" i="1"/>
  <c r="W234" i="1"/>
  <c r="U234" i="1"/>
  <c r="R234" i="1"/>
  <c r="P254" i="1"/>
  <c r="V254" i="1" s="1"/>
  <c r="X268" i="1"/>
  <c r="X356" i="1"/>
  <c r="P13" i="1"/>
  <c r="R13" i="1" s="1"/>
  <c r="T32" i="1"/>
  <c r="S32" i="1"/>
  <c r="O32" i="1"/>
  <c r="P32" i="1" s="1"/>
  <c r="R32" i="1" s="1"/>
  <c r="X46" i="1"/>
  <c r="X58" i="1"/>
  <c r="X67" i="1"/>
  <c r="X111" i="1"/>
  <c r="X129" i="1"/>
  <c r="X164" i="1"/>
  <c r="W172" i="1"/>
  <c r="T172" i="1"/>
  <c r="S172" i="1"/>
  <c r="X220" i="1"/>
  <c r="X230" i="1"/>
  <c r="X250" i="1"/>
  <c r="X296" i="1"/>
  <c r="X534" i="1"/>
  <c r="V12" i="1"/>
  <c r="U12" i="1"/>
  <c r="T12" i="1"/>
  <c r="Q12" i="1"/>
  <c r="D14" i="1"/>
  <c r="S15" i="1"/>
  <c r="R15" i="1"/>
  <c r="Q15" i="1"/>
  <c r="W15" i="1"/>
  <c r="X20" i="1"/>
  <c r="X28" i="1"/>
  <c r="W42" i="1"/>
  <c r="V42" i="1"/>
  <c r="U42" i="1"/>
  <c r="O42" i="1"/>
  <c r="P42" i="1" s="1"/>
  <c r="R42" i="1" s="1"/>
  <c r="W79" i="1"/>
  <c r="V79" i="1"/>
  <c r="U79" i="1"/>
  <c r="R79" i="1"/>
  <c r="Q87" i="1"/>
  <c r="O96" i="1"/>
  <c r="P96" i="1" s="1"/>
  <c r="R96" i="1" s="1"/>
  <c r="X122" i="1"/>
  <c r="Y121" i="1" s="1"/>
  <c r="X135" i="1"/>
  <c r="W178" i="1"/>
  <c r="V178" i="1"/>
  <c r="U178" i="1"/>
  <c r="R178" i="1"/>
  <c r="X189" i="1"/>
  <c r="W199" i="1"/>
  <c r="V199" i="1"/>
  <c r="U199" i="1"/>
  <c r="O199" i="1"/>
  <c r="P199" i="1" s="1"/>
  <c r="R199" i="1" s="1"/>
  <c r="O207" i="1"/>
  <c r="P207" i="1" s="1"/>
  <c r="R207" i="1" s="1"/>
  <c r="S253" i="1"/>
  <c r="R253" i="1"/>
  <c r="Q253" i="1"/>
  <c r="W253" i="1"/>
  <c r="V253" i="1"/>
  <c r="X342" i="1"/>
  <c r="X369" i="1"/>
  <c r="X405" i="1"/>
  <c r="P408" i="1"/>
  <c r="R408" i="1" s="1"/>
  <c r="W419" i="1"/>
  <c r="U419" i="1"/>
  <c r="T419" i="1"/>
  <c r="S419" i="1"/>
  <c r="Q419" i="1"/>
  <c r="V419" i="1"/>
  <c r="R419" i="1"/>
  <c r="X195" i="1"/>
  <c r="X237" i="1"/>
  <c r="V263" i="1"/>
  <c r="S263" i="1"/>
  <c r="R263" i="1"/>
  <c r="X331" i="1"/>
  <c r="J4" i="1"/>
  <c r="Q34" i="1"/>
  <c r="V34" i="1"/>
  <c r="W53" i="1"/>
  <c r="T53" i="1"/>
  <c r="X125" i="1"/>
  <c r="X143" i="1"/>
  <c r="X174" i="1"/>
  <c r="X219" i="1"/>
  <c r="Y217" i="1" s="1"/>
  <c r="P233" i="1"/>
  <c r="Q233" i="1" s="1"/>
  <c r="X233" i="1" s="1"/>
  <c r="X266" i="1"/>
  <c r="X394" i="1"/>
  <c r="X401" i="1"/>
  <c r="X19" i="1"/>
  <c r="S70" i="1"/>
  <c r="R70" i="1"/>
  <c r="Q70" i="1"/>
  <c r="W70" i="1"/>
  <c r="U87" i="1"/>
  <c r="W95" i="1"/>
  <c r="V95" i="1"/>
  <c r="U95" i="1"/>
  <c r="O95" i="1"/>
  <c r="P95" i="1" s="1"/>
  <c r="R95" i="1" s="1"/>
  <c r="D97" i="1"/>
  <c r="S96" i="1"/>
  <c r="X119" i="1"/>
  <c r="Q140" i="1"/>
  <c r="P151" i="1"/>
  <c r="R151" i="1" s="1"/>
  <c r="X151" i="1" s="1"/>
  <c r="P159" i="1"/>
  <c r="V159" i="1" s="1"/>
  <c r="X163" i="1"/>
  <c r="X188" i="1"/>
  <c r="U207" i="1"/>
  <c r="S234" i="1"/>
  <c r="X290" i="1"/>
  <c r="W293" i="1"/>
  <c r="V293" i="1"/>
  <c r="U293" i="1"/>
  <c r="T293" i="1"/>
  <c r="R293" i="1"/>
  <c r="Q293" i="1"/>
  <c r="X310" i="1"/>
  <c r="U506" i="1"/>
  <c r="R506" i="1"/>
  <c r="Q506" i="1"/>
  <c r="W506" i="1"/>
  <c r="V506" i="1"/>
  <c r="T506" i="1"/>
  <c r="S506" i="1"/>
  <c r="X18" i="1"/>
  <c r="U44" i="1"/>
  <c r="T44" i="1"/>
  <c r="S44" i="1"/>
  <c r="X50" i="1"/>
  <c r="X83" i="1"/>
  <c r="X91" i="1"/>
  <c r="O105" i="1"/>
  <c r="P105" i="1" s="1"/>
  <c r="R105" i="1" s="1"/>
  <c r="V105" i="1"/>
  <c r="S105" i="1"/>
  <c r="X181" i="1"/>
  <c r="R184" i="1"/>
  <c r="Q184" i="1"/>
  <c r="U184" i="1"/>
  <c r="X212" i="1"/>
  <c r="X240" i="1"/>
  <c r="X259" i="1"/>
  <c r="M4" i="1"/>
  <c r="S12" i="1"/>
  <c r="U15" i="1"/>
  <c r="X31" i="1"/>
  <c r="W32" i="1"/>
  <c r="O34" i="1"/>
  <c r="P34" i="1" s="1"/>
  <c r="R34" i="1" s="1"/>
  <c r="W41" i="1"/>
  <c r="V41" i="1"/>
  <c r="S41" i="1"/>
  <c r="S42" i="1"/>
  <c r="Q53" i="1"/>
  <c r="X64" i="1"/>
  <c r="Q79" i="1"/>
  <c r="P114" i="1"/>
  <c r="V114" i="1" s="1"/>
  <c r="U140" i="1"/>
  <c r="X142" i="1"/>
  <c r="U146" i="1"/>
  <c r="T146" i="1"/>
  <c r="Q146" i="1"/>
  <c r="X158" i="1"/>
  <c r="X171" i="1"/>
  <c r="V172" i="1"/>
  <c r="X177" i="1"/>
  <c r="S178" i="1"/>
  <c r="T199" i="1"/>
  <c r="R208" i="1"/>
  <c r="Q208" i="1"/>
  <c r="V208" i="1"/>
  <c r="U208" i="1"/>
  <c r="U253" i="1"/>
  <c r="X279" i="1"/>
  <c r="Q282" i="1"/>
  <c r="O282" i="1"/>
  <c r="P282" i="1" s="1"/>
  <c r="S282" i="1" s="1"/>
  <c r="D284" i="1"/>
  <c r="T282" i="1"/>
  <c r="W282" i="1"/>
  <c r="V282" i="1"/>
  <c r="U282" i="1"/>
  <c r="O293" i="1"/>
  <c r="P293" i="1" s="1"/>
  <c r="S293" i="1" s="1"/>
  <c r="X298" i="1"/>
  <c r="X625" i="1"/>
  <c r="N7" i="1"/>
  <c r="N4" i="1" s="1"/>
  <c r="W12" i="1"/>
  <c r="S33" i="1"/>
  <c r="Q33" i="1"/>
  <c r="W33" i="1"/>
  <c r="S34" i="1"/>
  <c r="T42" i="1"/>
  <c r="R53" i="1"/>
  <c r="X74" i="1"/>
  <c r="S79" i="1"/>
  <c r="V88" i="1"/>
  <c r="S88" i="1"/>
  <c r="Q95" i="1"/>
  <c r="X101" i="1"/>
  <c r="X137" i="1"/>
  <c r="W140" i="1"/>
  <c r="T178" i="1"/>
  <c r="X187" i="1"/>
  <c r="X247" i="1"/>
  <c r="O262" i="1"/>
  <c r="P262" i="1" s="1"/>
  <c r="W262" i="1"/>
  <c r="T262" i="1"/>
  <c r="S262" i="1"/>
  <c r="Q263" i="1"/>
  <c r="T34" i="1"/>
  <c r="O41" i="1"/>
  <c r="P41" i="1" s="1"/>
  <c r="R41" i="1" s="1"/>
  <c r="P44" i="1"/>
  <c r="V44" i="1" s="1"/>
  <c r="S53" i="1"/>
  <c r="P60" i="1"/>
  <c r="R60" i="1" s="1"/>
  <c r="P68" i="1"/>
  <c r="R68" i="1" s="1"/>
  <c r="X68" i="1" s="1"/>
  <c r="T70" i="1"/>
  <c r="X73" i="1"/>
  <c r="T79" i="1"/>
  <c r="S95" i="1"/>
  <c r="X116" i="1"/>
  <c r="P166" i="1"/>
  <c r="V166" i="1" s="1"/>
  <c r="P184" i="1"/>
  <c r="V184" i="1" s="1"/>
  <c r="V200" i="1"/>
  <c r="U200" i="1"/>
  <c r="T200" i="1"/>
  <c r="Q200" i="1"/>
  <c r="X211" i="1"/>
  <c r="R254" i="1"/>
  <c r="Q254" i="1"/>
  <c r="U254" i="1"/>
  <c r="X258" i="1"/>
  <c r="T263" i="1"/>
  <c r="X265" i="1"/>
  <c r="X278" i="1"/>
  <c r="R282" i="1"/>
  <c r="X289" i="1"/>
  <c r="X307" i="1"/>
  <c r="X330" i="1"/>
  <c r="X383" i="1"/>
  <c r="X390" i="1"/>
  <c r="X393" i="1"/>
  <c r="U13" i="1"/>
  <c r="T13" i="1"/>
  <c r="S13" i="1"/>
  <c r="O33" i="1"/>
  <c r="P33" i="1" s="1"/>
  <c r="R33" i="1" s="1"/>
  <c r="U34" i="1"/>
  <c r="V43" i="1"/>
  <c r="Q44" i="1"/>
  <c r="X47" i="1"/>
  <c r="U53" i="1"/>
  <c r="U70" i="1"/>
  <c r="T95" i="1"/>
  <c r="Q105" i="1"/>
  <c r="X112" i="1"/>
  <c r="X150" i="1"/>
  <c r="X157" i="1"/>
  <c r="S184" i="1"/>
  <c r="W228" i="1"/>
  <c r="T228" i="1"/>
  <c r="S228" i="1"/>
  <c r="Q262" i="1"/>
  <c r="U263" i="1"/>
  <c r="X272" i="1"/>
  <c r="X313" i="1"/>
  <c r="D326" i="1"/>
  <c r="T324" i="1"/>
  <c r="R324" i="1"/>
  <c r="Q324" i="1"/>
  <c r="O324" i="1"/>
  <c r="P324" i="1" s="1"/>
  <c r="S324" i="1" s="1"/>
  <c r="W324" i="1"/>
  <c r="V324" i="1"/>
  <c r="X329" i="1"/>
  <c r="V294" i="1"/>
  <c r="X318" i="1"/>
  <c r="X332" i="1"/>
  <c r="Q349" i="1"/>
  <c r="W349" i="1"/>
  <c r="V349" i="1"/>
  <c r="U349" i="1"/>
  <c r="W351" i="1"/>
  <c r="V351" i="1"/>
  <c r="U351" i="1"/>
  <c r="T351" i="1"/>
  <c r="R351" i="1"/>
  <c r="X358" i="1"/>
  <c r="X395" i="1"/>
  <c r="X676" i="1"/>
  <c r="Q1004" i="1"/>
  <c r="W1004" i="1"/>
  <c r="U1004" i="1"/>
  <c r="T1004" i="1"/>
  <c r="V1004" i="1"/>
  <c r="R1004" i="1"/>
  <c r="O1004" i="1"/>
  <c r="P1004" i="1" s="1"/>
  <c r="S1004" i="1" s="1"/>
  <c r="X428" i="1"/>
  <c r="O679" i="1"/>
  <c r="P679" i="1" s="1"/>
  <c r="R679" i="1" s="1"/>
  <c r="S679" i="1"/>
  <c r="Q679" i="1"/>
  <c r="W679" i="1"/>
  <c r="V679" i="1"/>
  <c r="U679" i="1"/>
  <c r="T679" i="1"/>
  <c r="X267" i="1"/>
  <c r="X311" i="1"/>
  <c r="X346" i="1"/>
  <c r="O349" i="1"/>
  <c r="P349" i="1" s="1"/>
  <c r="S349" i="1" s="1"/>
  <c r="X377" i="1"/>
  <c r="X387" i="1"/>
  <c r="X392" i="1"/>
  <c r="S439" i="1"/>
  <c r="Q439" i="1"/>
  <c r="W439" i="1"/>
  <c r="R439" i="1"/>
  <c r="U439" i="1"/>
  <c r="X578" i="1"/>
  <c r="T692" i="1"/>
  <c r="O692" i="1"/>
  <c r="P692" i="1" s="1"/>
  <c r="S692" i="1" s="1"/>
  <c r="W692" i="1"/>
  <c r="V692" i="1"/>
  <c r="U692" i="1"/>
  <c r="R692" i="1"/>
  <c r="Q692" i="1"/>
  <c r="Q26" i="1"/>
  <c r="U35" i="1"/>
  <c r="U52" i="1"/>
  <c r="R76" i="1"/>
  <c r="Q77" i="1"/>
  <c r="V85" i="1"/>
  <c r="U86" i="1"/>
  <c r="Q107" i="1"/>
  <c r="U152" i="1"/>
  <c r="Q159" i="1"/>
  <c r="X305" i="1"/>
  <c r="S308" i="1"/>
  <c r="R308" i="1"/>
  <c r="Q308" i="1"/>
  <c r="U308" i="1"/>
  <c r="P315" i="1"/>
  <c r="S315" i="1" s="1"/>
  <c r="X315" i="1" s="1"/>
  <c r="X345" i="1"/>
  <c r="X353" i="1"/>
  <c r="X384" i="1"/>
  <c r="X463" i="1"/>
  <c r="X509" i="1"/>
  <c r="S274" i="1"/>
  <c r="R274" i="1"/>
  <c r="Q274" i="1"/>
  <c r="P308" i="1"/>
  <c r="V308" i="1" s="1"/>
  <c r="W350" i="1"/>
  <c r="V350" i="1"/>
  <c r="U350" i="1"/>
  <c r="X376" i="1"/>
  <c r="X386" i="1"/>
  <c r="T439" i="1"/>
  <c r="X443" i="1"/>
  <c r="X467" i="1"/>
  <c r="W555" i="1"/>
  <c r="U555" i="1"/>
  <c r="T555" i="1"/>
  <c r="S555" i="1"/>
  <c r="Q555" i="1"/>
  <c r="V555" i="1"/>
  <c r="O555" i="1"/>
  <c r="P555" i="1" s="1"/>
  <c r="R555" i="1" s="1"/>
  <c r="X820" i="1"/>
  <c r="O52" i="1"/>
  <c r="P52" i="1" s="1"/>
  <c r="R52" i="1" s="1"/>
  <c r="V60" i="1"/>
  <c r="O86" i="1"/>
  <c r="P86" i="1" s="1"/>
  <c r="R86" i="1" s="1"/>
  <c r="S114" i="1"/>
  <c r="S166" i="1"/>
  <c r="S222" i="1"/>
  <c r="S243" i="1"/>
  <c r="T274" i="1"/>
  <c r="X277" i="1"/>
  <c r="W301" i="1"/>
  <c r="T301" i="1"/>
  <c r="S301" i="1"/>
  <c r="R301" i="1"/>
  <c r="Q301" i="1"/>
  <c r="W327" i="1"/>
  <c r="S327" i="1"/>
  <c r="R327" i="1"/>
  <c r="Q327" i="1"/>
  <c r="U327" i="1"/>
  <c r="X335" i="1"/>
  <c r="Q350" i="1"/>
  <c r="X368" i="1"/>
  <c r="V388" i="1"/>
  <c r="X424" i="1"/>
  <c r="Q426" i="1"/>
  <c r="U426" i="1"/>
  <c r="T426" i="1"/>
  <c r="S426" i="1"/>
  <c r="R426" i="1"/>
  <c r="X511" i="1"/>
  <c r="X601" i="1"/>
  <c r="Q85" i="1"/>
  <c r="T114" i="1"/>
  <c r="T166" i="1"/>
  <c r="T222" i="1"/>
  <c r="T243" i="1"/>
  <c r="X269" i="1"/>
  <c r="U274" i="1"/>
  <c r="U316" i="1"/>
  <c r="T316" i="1"/>
  <c r="S316" i="1"/>
  <c r="R316" i="1"/>
  <c r="W316" i="1"/>
  <c r="X319" i="1"/>
  <c r="S325" i="1"/>
  <c r="R325" i="1"/>
  <c r="Q325" i="1"/>
  <c r="V325" i="1"/>
  <c r="U325" i="1"/>
  <c r="R350" i="1"/>
  <c r="X367" i="1"/>
  <c r="X378" i="1"/>
  <c r="X442" i="1"/>
  <c r="X449" i="1"/>
  <c r="X489" i="1"/>
  <c r="X500" i="1"/>
  <c r="T273" i="1"/>
  <c r="S273" i="1"/>
  <c r="R273" i="1"/>
  <c r="Q273" i="1"/>
  <c r="O273" i="1"/>
  <c r="P273" i="1" s="1"/>
  <c r="X292" i="1"/>
  <c r="X303" i="1"/>
  <c r="P327" i="1"/>
  <c r="V327" i="1" s="1"/>
  <c r="T350" i="1"/>
  <c r="X375" i="1"/>
  <c r="X385" i="1"/>
  <c r="X400" i="1"/>
  <c r="D567" i="1"/>
  <c r="S565" i="1"/>
  <c r="W565" i="1"/>
  <c r="V565" i="1"/>
  <c r="U565" i="1"/>
  <c r="Q565" i="1"/>
  <c r="T565" i="1"/>
  <c r="O565" i="1"/>
  <c r="P565" i="1" s="1"/>
  <c r="R565" i="1" s="1"/>
  <c r="V637" i="1"/>
  <c r="Q637" i="1"/>
  <c r="O637" i="1"/>
  <c r="P637" i="1" s="1"/>
  <c r="S637" i="1" s="1"/>
  <c r="W637" i="1"/>
  <c r="U637" i="1"/>
  <c r="T637" i="1"/>
  <c r="R637" i="1"/>
  <c r="X396" i="1"/>
  <c r="X406" i="1"/>
  <c r="X438" i="1"/>
  <c r="W455" i="1"/>
  <c r="U455" i="1"/>
  <c r="T455" i="1"/>
  <c r="S455" i="1"/>
  <c r="R455" i="1"/>
  <c r="X471" i="1"/>
  <c r="X559" i="1"/>
  <c r="T659" i="1"/>
  <c r="W659" i="1"/>
  <c r="V659" i="1"/>
  <c r="U659" i="1"/>
  <c r="S659" i="1"/>
  <c r="O659" i="1"/>
  <c r="P659" i="1" s="1"/>
  <c r="R659" i="1" s="1"/>
  <c r="X659" i="1" s="1"/>
  <c r="X666" i="1"/>
  <c r="X791" i="1"/>
  <c r="V409" i="1"/>
  <c r="P417" i="1"/>
  <c r="S417" i="1" s="1"/>
  <c r="X417" i="1" s="1"/>
  <c r="P418" i="1"/>
  <c r="S418" i="1" s="1"/>
  <c r="X444" i="1"/>
  <c r="X452" i="1"/>
  <c r="O461" i="1"/>
  <c r="P461" i="1" s="1"/>
  <c r="U461" i="1" s="1"/>
  <c r="X461" i="1" s="1"/>
  <c r="F455" i="1"/>
  <c r="P455" i="1" s="1"/>
  <c r="V455" i="1" s="1"/>
  <c r="Q464" i="1"/>
  <c r="W464" i="1"/>
  <c r="V464" i="1"/>
  <c r="U464" i="1"/>
  <c r="R464" i="1"/>
  <c r="X474" i="1"/>
  <c r="X480" i="1"/>
  <c r="X496" i="1"/>
  <c r="X510" i="1"/>
  <c r="O519" i="1"/>
  <c r="P519" i="1" s="1"/>
  <c r="S519" i="1" s="1"/>
  <c r="T519" i="1"/>
  <c r="R519" i="1"/>
  <c r="Q519" i="1"/>
  <c r="W519" i="1"/>
  <c r="X521" i="1"/>
  <c r="T538" i="1"/>
  <c r="S538" i="1"/>
  <c r="Q538" i="1"/>
  <c r="O538" i="1"/>
  <c r="P538" i="1" s="1"/>
  <c r="R538" i="1" s="1"/>
  <c r="D540" i="1"/>
  <c r="W538" i="1"/>
  <c r="X551" i="1"/>
  <c r="X579" i="1"/>
  <c r="X484" i="1"/>
  <c r="U513" i="1"/>
  <c r="R513" i="1"/>
  <c r="T513" i="1"/>
  <c r="Q513" i="1"/>
  <c r="O513" i="1"/>
  <c r="P513" i="1" s="1"/>
  <c r="S513" i="1" s="1"/>
  <c r="X535" i="1"/>
  <c r="X592" i="1"/>
  <c r="U285" i="1"/>
  <c r="Q294" i="1"/>
  <c r="P316" i="1"/>
  <c r="V316" i="1" s="1"/>
  <c r="Q337" i="1"/>
  <c r="Q338" i="1"/>
  <c r="Q339" i="1"/>
  <c r="Q340" i="1"/>
  <c r="X357" i="1"/>
  <c r="T360" i="1"/>
  <c r="S361" i="1"/>
  <c r="S363" i="1"/>
  <c r="Q370" i="1"/>
  <c r="V379" i="1"/>
  <c r="P492" i="1"/>
  <c r="S492" i="1" s="1"/>
  <c r="X492" i="1" s="1"/>
  <c r="X503" i="1"/>
  <c r="W513" i="1"/>
  <c r="X591" i="1"/>
  <c r="S294" i="1"/>
  <c r="X300" i="1"/>
  <c r="S340" i="1"/>
  <c r="U348" i="1"/>
  <c r="V360" i="1"/>
  <c r="U361" i="1"/>
  <c r="U363" i="1"/>
  <c r="T370" i="1"/>
  <c r="X412" i="1"/>
  <c r="X430" i="1"/>
  <c r="W465" i="1"/>
  <c r="V465" i="1"/>
  <c r="U465" i="1"/>
  <c r="R465" i="1"/>
  <c r="Q465" i="1"/>
  <c r="X488" i="1"/>
  <c r="X617" i="1"/>
  <c r="T294" i="1"/>
  <c r="T337" i="1"/>
  <c r="T338" i="1"/>
  <c r="T339" i="1"/>
  <c r="U340" i="1"/>
  <c r="V348" i="1"/>
  <c r="W360" i="1"/>
  <c r="V361" i="1"/>
  <c r="U370" i="1"/>
  <c r="O425" i="1"/>
  <c r="P425" i="1" s="1"/>
  <c r="R425" i="1" s="1"/>
  <c r="V425" i="1"/>
  <c r="U425" i="1"/>
  <c r="P433" i="1"/>
  <c r="V433" i="1" s="1"/>
  <c r="P454" i="1"/>
  <c r="S454" i="1" s="1"/>
  <c r="X459" i="1"/>
  <c r="X485" i="1"/>
  <c r="X530" i="1"/>
  <c r="V672" i="1"/>
  <c r="U672" i="1"/>
  <c r="T672" i="1"/>
  <c r="S672" i="1"/>
  <c r="W672" i="1"/>
  <c r="R672" i="1"/>
  <c r="O672" i="1"/>
  <c r="P672" i="1" s="1"/>
  <c r="Q672" i="1" s="1"/>
  <c r="U294" i="1"/>
  <c r="U337" i="1"/>
  <c r="U338" i="1"/>
  <c r="V339" i="1"/>
  <c r="V340" i="1"/>
  <c r="W348" i="1"/>
  <c r="V370" i="1"/>
  <c r="X403" i="1"/>
  <c r="X407" i="1"/>
  <c r="X441" i="1"/>
  <c r="X472" i="1"/>
  <c r="X497" i="1"/>
  <c r="X502" i="1"/>
  <c r="P514" i="1"/>
  <c r="V514" i="1" s="1"/>
  <c r="X522" i="1"/>
  <c r="X529" i="1"/>
  <c r="X577" i="1"/>
  <c r="X321" i="1"/>
  <c r="V337" i="1"/>
  <c r="W338" i="1"/>
  <c r="W339" i="1"/>
  <c r="W340" i="1"/>
  <c r="W370" i="1"/>
  <c r="X372" i="1"/>
  <c r="X445" i="1"/>
  <c r="X468" i="1"/>
  <c r="X628" i="1"/>
  <c r="X634" i="1"/>
  <c r="U476" i="1"/>
  <c r="U477" i="1"/>
  <c r="X481" i="1"/>
  <c r="U505" i="1"/>
  <c r="U525" i="1"/>
  <c r="V554" i="1"/>
  <c r="X633" i="1"/>
  <c r="W671" i="1"/>
  <c r="U671" i="1"/>
  <c r="T671" i="1"/>
  <c r="S671" i="1"/>
  <c r="V671" i="1"/>
  <c r="D673" i="1"/>
  <c r="R671" i="1"/>
  <c r="O671" i="1"/>
  <c r="P671" i="1" s="1"/>
  <c r="Q671" i="1" s="1"/>
  <c r="X677" i="1"/>
  <c r="U712" i="1"/>
  <c r="T712" i="1"/>
  <c r="S712" i="1"/>
  <c r="R712" i="1"/>
  <c r="W712" i="1"/>
  <c r="Q712" i="1"/>
  <c r="X732" i="1"/>
  <c r="X819" i="1"/>
  <c r="W828" i="1"/>
  <c r="U828" i="1"/>
  <c r="T828" i="1"/>
  <c r="Q828" i="1"/>
  <c r="O828" i="1"/>
  <c r="P828" i="1" s="1"/>
  <c r="S828" i="1" s="1"/>
  <c r="V828" i="1"/>
  <c r="R828" i="1"/>
  <c r="X848" i="1"/>
  <c r="V867" i="1"/>
  <c r="T867" i="1"/>
  <c r="U867" i="1"/>
  <c r="R867" i="1"/>
  <c r="Q867" i="1"/>
  <c r="W867" i="1"/>
  <c r="O867" i="1"/>
  <c r="P867" i="1" s="1"/>
  <c r="S867" i="1" s="1"/>
  <c r="S408" i="1"/>
  <c r="V476" i="1"/>
  <c r="V477" i="1"/>
  <c r="X501" i="1"/>
  <c r="W505" i="1"/>
  <c r="T514" i="1"/>
  <c r="R514" i="1"/>
  <c r="W539" i="1"/>
  <c r="T539" i="1"/>
  <c r="P553" i="1"/>
  <c r="R553" i="1" s="1"/>
  <c r="X553" i="1" s="1"/>
  <c r="X668" i="1"/>
  <c r="X688" i="1"/>
  <c r="X709" i="1"/>
  <c r="X718" i="1"/>
  <c r="X778" i="1"/>
  <c r="X804" i="1"/>
  <c r="X470" i="1"/>
  <c r="P486" i="1"/>
  <c r="V486" i="1" s="1"/>
  <c r="T525" i="1"/>
  <c r="W525" i="1"/>
  <c r="O539" i="1"/>
  <c r="P539" i="1" s="1"/>
  <c r="R539" i="1" s="1"/>
  <c r="U557" i="1"/>
  <c r="V557" i="1"/>
  <c r="T557" i="1"/>
  <c r="S557" i="1"/>
  <c r="Q557" i="1"/>
  <c r="V580" i="1"/>
  <c r="W580" i="1"/>
  <c r="U580" i="1"/>
  <c r="R580" i="1"/>
  <c r="X600" i="1"/>
  <c r="W630" i="1"/>
  <c r="V630" i="1"/>
  <c r="U630" i="1"/>
  <c r="T630" i="1"/>
  <c r="R630" i="1"/>
  <c r="O630" i="1"/>
  <c r="P630" i="1" s="1"/>
  <c r="S630" i="1" s="1"/>
  <c r="W652" i="1"/>
  <c r="S652" i="1"/>
  <c r="R652" i="1"/>
  <c r="Q652" i="1"/>
  <c r="V719" i="1"/>
  <c r="R719" i="1"/>
  <c r="Q719" i="1"/>
  <c r="O719" i="1"/>
  <c r="P719" i="1" s="1"/>
  <c r="S719" i="1" s="1"/>
  <c r="W719" i="1"/>
  <c r="U719" i="1"/>
  <c r="T719" i="1"/>
  <c r="X818" i="1"/>
  <c r="X847" i="1"/>
  <c r="W408" i="1"/>
  <c r="T418" i="1"/>
  <c r="U432" i="1"/>
  <c r="T433" i="1"/>
  <c r="T454" i="1"/>
  <c r="Q486" i="1"/>
  <c r="Q494" i="1"/>
  <c r="W548" i="1"/>
  <c r="T548" i="1"/>
  <c r="S548" i="1"/>
  <c r="X596" i="1"/>
  <c r="X606" i="1"/>
  <c r="X612" i="1"/>
  <c r="X658" i="1"/>
  <c r="X687" i="1"/>
  <c r="X698" i="1"/>
  <c r="X723" i="1"/>
  <c r="Q758" i="1"/>
  <c r="U758" i="1"/>
  <c r="R758" i="1"/>
  <c r="W758" i="1"/>
  <c r="V758" i="1"/>
  <c r="T758" i="1"/>
  <c r="O758" i="1"/>
  <c r="P758" i="1" s="1"/>
  <c r="S758" i="1" s="1"/>
  <c r="X777" i="1"/>
  <c r="U801" i="1"/>
  <c r="S801" i="1"/>
  <c r="R801" i="1"/>
  <c r="W801" i="1"/>
  <c r="T801" i="1"/>
  <c r="Q801" i="1"/>
  <c r="U836" i="1"/>
  <c r="S836" i="1"/>
  <c r="Q836" i="1"/>
  <c r="T836" i="1"/>
  <c r="O836" i="1"/>
  <c r="P836" i="1" s="1"/>
  <c r="R836" i="1" s="1"/>
  <c r="W836" i="1"/>
  <c r="V836" i="1"/>
  <c r="U418" i="1"/>
  <c r="V432" i="1"/>
  <c r="U433" i="1"/>
  <c r="O436" i="1"/>
  <c r="P436" i="1" s="1"/>
  <c r="T436" i="1" s="1"/>
  <c r="X436" i="1" s="1"/>
  <c r="U454" i="1"/>
  <c r="R494" i="1"/>
  <c r="O505" i="1"/>
  <c r="P505" i="1" s="1"/>
  <c r="S505" i="1" s="1"/>
  <c r="Q514" i="1"/>
  <c r="U524" i="1"/>
  <c r="W524" i="1"/>
  <c r="Q539" i="1"/>
  <c r="X603" i="1"/>
  <c r="X627" i="1"/>
  <c r="X648" i="1"/>
  <c r="X690" i="1"/>
  <c r="U810" i="1"/>
  <c r="R810" i="1"/>
  <c r="O810" i="1"/>
  <c r="P810" i="1" s="1"/>
  <c r="S810" i="1" s="1"/>
  <c r="W810" i="1"/>
  <c r="V810" i="1"/>
  <c r="Q810" i="1"/>
  <c r="O476" i="1"/>
  <c r="P476" i="1" s="1"/>
  <c r="R476" i="1" s="1"/>
  <c r="T486" i="1"/>
  <c r="X491" i="1"/>
  <c r="S494" i="1"/>
  <c r="S514" i="1"/>
  <c r="O525" i="1"/>
  <c r="P525" i="1" s="1"/>
  <c r="S525" i="1" s="1"/>
  <c r="F548" i="1"/>
  <c r="P548" i="1" s="1"/>
  <c r="V548" i="1" s="1"/>
  <c r="X560" i="1"/>
  <c r="R573" i="1"/>
  <c r="O573" i="1"/>
  <c r="P573" i="1" s="1"/>
  <c r="S573" i="1" s="1"/>
  <c r="D575" i="1"/>
  <c r="W573" i="1"/>
  <c r="U573" i="1"/>
  <c r="T573" i="1"/>
  <c r="O580" i="1"/>
  <c r="P580" i="1" s="1"/>
  <c r="S580" i="1" s="1"/>
  <c r="Q630" i="1"/>
  <c r="X663" i="1"/>
  <c r="X684" i="1"/>
  <c r="X707" i="1"/>
  <c r="X734" i="1"/>
  <c r="X755" i="1"/>
  <c r="P801" i="1"/>
  <c r="V801" i="1" s="1"/>
  <c r="P957" i="1"/>
  <c r="S957" i="1" s="1"/>
  <c r="X957" i="1" s="1"/>
  <c r="X537" i="1"/>
  <c r="U554" i="1"/>
  <c r="T554" i="1"/>
  <c r="S554" i="1"/>
  <c r="Q554" i="1"/>
  <c r="X595" i="1"/>
  <c r="X640" i="1"/>
  <c r="X647" i="1"/>
  <c r="X654" i="1"/>
  <c r="X683" i="1"/>
  <c r="P720" i="1"/>
  <c r="V720" i="1" s="1"/>
  <c r="S728" i="1"/>
  <c r="R728" i="1"/>
  <c r="Q728" i="1"/>
  <c r="W728" i="1"/>
  <c r="U728" i="1"/>
  <c r="T728" i="1"/>
  <c r="X754" i="1"/>
  <c r="X457" i="1"/>
  <c r="Q477" i="1"/>
  <c r="U494" i="1"/>
  <c r="R505" i="1"/>
  <c r="Q525" i="1"/>
  <c r="Q547" i="1"/>
  <c r="W547" i="1"/>
  <c r="T547" i="1"/>
  <c r="D556" i="1"/>
  <c r="W566" i="1"/>
  <c r="V566" i="1"/>
  <c r="U566" i="1"/>
  <c r="S566" i="1"/>
  <c r="Q566" i="1"/>
  <c r="Q580" i="1"/>
  <c r="X611" i="1"/>
  <c r="X722" i="1"/>
  <c r="X749" i="1"/>
  <c r="X793" i="1"/>
  <c r="X798" i="1"/>
  <c r="X805" i="1"/>
  <c r="T810" i="1"/>
  <c r="X839" i="1"/>
  <c r="P869" i="1"/>
  <c r="V869" i="1" s="1"/>
  <c r="X792" i="1"/>
  <c r="S795" i="1"/>
  <c r="W795" i="1"/>
  <c r="U795" i="1"/>
  <c r="T795" i="1"/>
  <c r="V795" i="1"/>
  <c r="R795" i="1"/>
  <c r="Q795" i="1"/>
  <c r="X823" i="1"/>
  <c r="X854" i="1"/>
  <c r="X923" i="1"/>
  <c r="X931" i="1"/>
  <c r="X964" i="1"/>
  <c r="X1016" i="1"/>
  <c r="X618" i="1"/>
  <c r="P636" i="1"/>
  <c r="S636" i="1" s="1"/>
  <c r="X636" i="1" s="1"/>
  <c r="X733" i="1"/>
  <c r="X738" i="1"/>
  <c r="X906" i="1"/>
  <c r="P921" i="1"/>
  <c r="V921" i="1" s="1"/>
  <c r="X1043" i="1"/>
  <c r="X1046" i="1"/>
  <c r="X610" i="1"/>
  <c r="X695" i="1"/>
  <c r="X746" i="1"/>
  <c r="X833" i="1"/>
  <c r="X842" i="1"/>
  <c r="X864" i="1"/>
  <c r="W874" i="1"/>
  <c r="T874" i="1"/>
  <c r="R874" i="1"/>
  <c r="Q874" i="1"/>
  <c r="O874" i="1"/>
  <c r="P874" i="1" s="1"/>
  <c r="S874" i="1" s="1"/>
  <c r="V874" i="1"/>
  <c r="U874" i="1"/>
  <c r="W974" i="1"/>
  <c r="V974" i="1"/>
  <c r="S974" i="1"/>
  <c r="U974" i="1"/>
  <c r="R974" i="1"/>
  <c r="O974" i="1"/>
  <c r="P974" i="1" s="1"/>
  <c r="Q974" i="1" s="1"/>
  <c r="X974" i="1" s="1"/>
  <c r="X980" i="1"/>
  <c r="X1058" i="1"/>
  <c r="X528" i="1"/>
  <c r="T541" i="1"/>
  <c r="X588" i="1"/>
  <c r="T674" i="1"/>
  <c r="U674" i="1"/>
  <c r="S674" i="1"/>
  <c r="X731" i="1"/>
  <c r="W736" i="1"/>
  <c r="Q736" i="1"/>
  <c r="X741" i="1"/>
  <c r="X753" i="1"/>
  <c r="X768" i="1"/>
  <c r="X950" i="1"/>
  <c r="X1020" i="1"/>
  <c r="X639" i="1"/>
  <c r="X694" i="1"/>
  <c r="X714" i="1"/>
  <c r="V809" i="1"/>
  <c r="R809" i="1"/>
  <c r="O809" i="1"/>
  <c r="P809" i="1" s="1"/>
  <c r="S809" i="1" s="1"/>
  <c r="W809" i="1"/>
  <c r="U809" i="1"/>
  <c r="T809" i="1"/>
  <c r="Q809" i="1"/>
  <c r="X878" i="1"/>
  <c r="X945" i="1"/>
  <c r="X971" i="1"/>
  <c r="X1000" i="1"/>
  <c r="X681" i="1"/>
  <c r="X706" i="1"/>
  <c r="X724" i="1"/>
  <c r="X740" i="1"/>
  <c r="X745" i="1"/>
  <c r="X764" i="1"/>
  <c r="X785" i="1"/>
  <c r="X885" i="1"/>
  <c r="X626" i="1"/>
  <c r="X632" i="1"/>
  <c r="Q727" i="1"/>
  <c r="S727" i="1"/>
  <c r="O727" i="1"/>
  <c r="P727" i="1" s="1"/>
  <c r="R727" i="1" s="1"/>
  <c r="X730" i="1"/>
  <c r="X763" i="1"/>
  <c r="X767" i="1"/>
  <c r="X779" i="1"/>
  <c r="X790" i="1"/>
  <c r="X806" i="1"/>
  <c r="T837" i="1"/>
  <c r="R837" i="1"/>
  <c r="W837" i="1"/>
  <c r="U837" i="1"/>
  <c r="S837" i="1"/>
  <c r="Q837" i="1"/>
  <c r="X852" i="1"/>
  <c r="R868" i="1"/>
  <c r="V868" i="1"/>
  <c r="T868" i="1"/>
  <c r="W868" i="1"/>
  <c r="U868" i="1"/>
  <c r="Q868" i="1"/>
  <c r="O868" i="1"/>
  <c r="P868" i="1" s="1"/>
  <c r="S868" i="1" s="1"/>
  <c r="Y888" i="1"/>
  <c r="X932" i="1"/>
  <c r="X994" i="1"/>
  <c r="X1019" i="1"/>
  <c r="W568" i="1"/>
  <c r="R568" i="1"/>
  <c r="Q574" i="1"/>
  <c r="O574" i="1"/>
  <c r="P574" i="1" s="1"/>
  <c r="S574" i="1" s="1"/>
  <c r="U720" i="1"/>
  <c r="R720" i="1"/>
  <c r="Q720" i="1"/>
  <c r="X813" i="1"/>
  <c r="X849" i="1"/>
  <c r="X881" i="1"/>
  <c r="Q947" i="1"/>
  <c r="V947" i="1"/>
  <c r="T947" i="1"/>
  <c r="R947" i="1"/>
  <c r="W947" i="1"/>
  <c r="U947" i="1"/>
  <c r="S947" i="1"/>
  <c r="P914" i="1"/>
  <c r="V914" i="1" s="1"/>
  <c r="X944" i="1"/>
  <c r="X970" i="1"/>
  <c r="W660" i="1"/>
  <c r="X662" i="1"/>
  <c r="X685" i="1"/>
  <c r="T794" i="1"/>
  <c r="W794" i="1"/>
  <c r="U794" i="1"/>
  <c r="S794" i="1"/>
  <c r="X863" i="1"/>
  <c r="X871" i="1"/>
  <c r="X876" i="1"/>
  <c r="W967" i="1"/>
  <c r="R967" i="1"/>
  <c r="V967" i="1"/>
  <c r="U967" i="1"/>
  <c r="T967" i="1"/>
  <c r="P997" i="1"/>
  <c r="V997" i="1" s="1"/>
  <c r="X1015" i="1"/>
  <c r="P1060" i="1"/>
  <c r="R1060" i="1" s="1"/>
  <c r="X1069" i="1"/>
  <c r="P1072" i="1"/>
  <c r="V1072" i="1" s="1"/>
  <c r="P728" i="1"/>
  <c r="V728" i="1" s="1"/>
  <c r="Q765" i="1"/>
  <c r="X770" i="1"/>
  <c r="W808" i="1"/>
  <c r="R808" i="1"/>
  <c r="O808" i="1"/>
  <c r="P808" i="1" s="1"/>
  <c r="S808" i="1" s="1"/>
  <c r="X812" i="1"/>
  <c r="X817" i="1"/>
  <c r="X900" i="1"/>
  <c r="X919" i="1"/>
  <c r="X937" i="1"/>
  <c r="X940" i="1"/>
  <c r="X963" i="1"/>
  <c r="X985" i="1"/>
  <c r="X993" i="1"/>
  <c r="X1035" i="1"/>
  <c r="X1071" i="1"/>
  <c r="X760" i="1"/>
  <c r="X803" i="1"/>
  <c r="P837" i="1"/>
  <c r="V837" i="1" s="1"/>
  <c r="U958" i="1"/>
  <c r="T958" i="1"/>
  <c r="Q958" i="1"/>
  <c r="D960" i="1"/>
  <c r="W958" i="1"/>
  <c r="R958" i="1"/>
  <c r="X708" i="1"/>
  <c r="X840" i="1"/>
  <c r="X853" i="1"/>
  <c r="X899" i="1"/>
  <c r="X977" i="1"/>
  <c r="X992" i="1"/>
  <c r="X1052" i="1"/>
  <c r="X1055" i="1"/>
  <c r="X1068" i="1"/>
  <c r="X769" i="1"/>
  <c r="X824" i="1"/>
  <c r="D829" i="1"/>
  <c r="V827" i="1"/>
  <c r="U827" i="1"/>
  <c r="R827" i="1"/>
  <c r="X895" i="1"/>
  <c r="X954" i="1"/>
  <c r="X962" i="1"/>
  <c r="X1001" i="1"/>
  <c r="X1031" i="1"/>
  <c r="T866" i="1"/>
  <c r="V866" i="1"/>
  <c r="S866" i="1"/>
  <c r="T902" i="1"/>
  <c r="V902" i="1"/>
  <c r="R902" i="1"/>
  <c r="O902" i="1"/>
  <c r="P902" i="1" s="1"/>
  <c r="S902" i="1" s="1"/>
  <c r="X909" i="1"/>
  <c r="T959" i="1"/>
  <c r="W959" i="1"/>
  <c r="V959" i="1"/>
  <c r="U959" i="1"/>
  <c r="X969" i="1"/>
  <c r="V975" i="1"/>
  <c r="U975" i="1"/>
  <c r="R975" i="1"/>
  <c r="W975" i="1"/>
  <c r="T975" i="1"/>
  <c r="S975" i="1"/>
  <c r="X979" i="1"/>
  <c r="X999" i="1"/>
  <c r="X1011" i="1"/>
  <c r="Q1033" i="1"/>
  <c r="U1033" i="1"/>
  <c r="S1033" i="1"/>
  <c r="R1033" i="1"/>
  <c r="X898" i="1"/>
  <c r="X916" i="1"/>
  <c r="T921" i="1"/>
  <c r="S921" i="1"/>
  <c r="R921" i="1"/>
  <c r="R982" i="1"/>
  <c r="Q982" i="1"/>
  <c r="X987" i="1"/>
  <c r="U1061" i="1"/>
  <c r="T1061" i="1"/>
  <c r="Q1061" i="1"/>
  <c r="S1061" i="1"/>
  <c r="Q869" i="1"/>
  <c r="T869" i="1"/>
  <c r="X894" i="1"/>
  <c r="R904" i="1"/>
  <c r="Q904" i="1"/>
  <c r="V904" i="1"/>
  <c r="X934" i="1"/>
  <c r="X1036" i="1"/>
  <c r="T1048" i="1"/>
  <c r="S1048" i="1"/>
  <c r="X1053" i="1"/>
  <c r="X762" i="1"/>
  <c r="P780" i="1"/>
  <c r="S780" i="1" s="1"/>
  <c r="X797" i="1"/>
  <c r="P814" i="1"/>
  <c r="Q814" i="1" s="1"/>
  <c r="X814" i="1" s="1"/>
  <c r="X908" i="1"/>
  <c r="P959" i="1"/>
  <c r="S959" i="1" s="1"/>
  <c r="X965" i="1"/>
  <c r="X1010" i="1"/>
  <c r="X1021" i="1"/>
  <c r="X1025" i="1"/>
  <c r="P1061" i="1"/>
  <c r="V1061" i="1" s="1"/>
  <c r="X986" i="1"/>
  <c r="X1028" i="1"/>
  <c r="X1057" i="1"/>
  <c r="X1067" i="1"/>
  <c r="U856" i="1"/>
  <c r="T857" i="1"/>
  <c r="T859" i="1"/>
  <c r="U901" i="1"/>
  <c r="T901" i="1"/>
  <c r="Q901" i="1"/>
  <c r="X907" i="1"/>
  <c r="X978" i="1"/>
  <c r="U997" i="1"/>
  <c r="T997" i="1"/>
  <c r="Q997" i="1"/>
  <c r="X1027" i="1"/>
  <c r="P1033" i="1"/>
  <c r="V1033" i="1" s="1"/>
  <c r="V1060" i="1"/>
  <c r="U1060" i="1"/>
  <c r="W1013" i="1"/>
  <c r="V1013" i="1"/>
  <c r="S1013" i="1"/>
  <c r="X1038" i="1"/>
  <c r="S1049" i="1"/>
  <c r="R1049" i="1"/>
  <c r="W856" i="1"/>
  <c r="O911" i="1"/>
  <c r="P911" i="1" s="1"/>
  <c r="S911" i="1" s="1"/>
  <c r="D913" i="1"/>
  <c r="W911" i="1"/>
  <c r="V996" i="1"/>
  <c r="U996" i="1"/>
  <c r="R996" i="1"/>
  <c r="X1070" i="1"/>
  <c r="X889" i="1"/>
  <c r="P928" i="1"/>
  <c r="R928" i="1" s="1"/>
  <c r="X966" i="1"/>
  <c r="O989" i="1"/>
  <c r="P989" i="1" s="1"/>
  <c r="S989" i="1" s="1"/>
  <c r="X1037" i="1"/>
  <c r="T914" i="1"/>
  <c r="X914" i="1" s="1"/>
  <c r="T1012" i="1"/>
  <c r="T1041" i="1"/>
  <c r="T1072" i="1"/>
  <c r="X493" i="1" l="1"/>
  <c r="O526" i="1"/>
  <c r="P526" i="1" s="1"/>
  <c r="S526" i="1" s="1"/>
  <c r="Y604" i="1"/>
  <c r="X1041" i="1"/>
  <c r="R526" i="1"/>
  <c r="Q526" i="1"/>
  <c r="X1012" i="1"/>
  <c r="Y147" i="1"/>
  <c r="X244" i="1"/>
  <c r="X191" i="1"/>
  <c r="X780" i="1"/>
  <c r="Y585" i="1"/>
  <c r="X351" i="1"/>
  <c r="X787" i="1"/>
  <c r="X929" i="1"/>
  <c r="Y892" i="1"/>
  <c r="Y875" i="1"/>
  <c r="X541" i="1"/>
  <c r="X379" i="1"/>
  <c r="X285" i="1"/>
  <c r="Q43" i="1"/>
  <c r="X598" i="1"/>
  <c r="X967" i="1"/>
  <c r="X301" i="1"/>
  <c r="X86" i="1"/>
  <c r="T43" i="1"/>
  <c r="Y701" i="1"/>
  <c r="X216" i="1"/>
  <c r="X98" i="1"/>
  <c r="X409" i="1"/>
  <c r="X773" i="1"/>
  <c r="X60" i="1"/>
  <c r="X650" i="1"/>
  <c r="Y643" i="1" s="1"/>
  <c r="X388" i="1"/>
  <c r="Y774" i="1"/>
  <c r="X735" i="1"/>
  <c r="Y729" i="1" s="1"/>
  <c r="X844" i="1"/>
  <c r="X52" i="1"/>
  <c r="X959" i="1"/>
  <c r="Y680" i="1"/>
  <c r="X514" i="1"/>
  <c r="Y845" i="1"/>
  <c r="X41" i="1"/>
  <c r="X447" i="1"/>
  <c r="X69" i="1"/>
  <c r="Y581" i="1"/>
  <c r="Y936" i="1"/>
  <c r="X720" i="1"/>
  <c r="X859" i="1"/>
  <c r="X152" i="1"/>
  <c r="Y638" i="1"/>
  <c r="X454" i="1"/>
  <c r="Y448" i="1" s="1"/>
  <c r="Y115" i="1"/>
  <c r="Y223" i="1"/>
  <c r="X879" i="1"/>
  <c r="Y860" i="1"/>
  <c r="O903" i="1"/>
  <c r="P903" i="1" s="1"/>
  <c r="S903" i="1" s="1"/>
  <c r="Y838" i="1"/>
  <c r="Y614" i="1"/>
  <c r="Y434" i="1"/>
  <c r="X61" i="1"/>
  <c r="X912" i="1"/>
  <c r="X426" i="1"/>
  <c r="Y748" i="1"/>
  <c r="X857" i="1"/>
  <c r="X1060" i="1"/>
  <c r="R903" i="1"/>
  <c r="Y686" i="1"/>
  <c r="X127" i="1"/>
  <c r="X234" i="1"/>
  <c r="Y108" i="1"/>
  <c r="X477" i="1"/>
  <c r="X1049" i="1"/>
  <c r="X921" i="1"/>
  <c r="X262" i="1"/>
  <c r="Y255" i="1" s="1"/>
  <c r="Y1062" i="1"/>
  <c r="X380" i="1"/>
  <c r="V858" i="1"/>
  <c r="W858" i="1"/>
  <c r="Q858" i="1"/>
  <c r="O858" i="1"/>
  <c r="P858" i="1" s="1"/>
  <c r="S858" i="1" s="1"/>
  <c r="U858" i="1"/>
  <c r="R858" i="1"/>
  <c r="X159" i="1"/>
  <c r="Y624" i="1"/>
  <c r="Y160" i="1"/>
  <c r="X856" i="1"/>
  <c r="X363" i="1"/>
  <c r="Y870" i="1"/>
  <c r="X432" i="1"/>
  <c r="Y427" i="1" s="1"/>
  <c r="X1013" i="1"/>
  <c r="Y905" i="1"/>
  <c r="Y495" i="1"/>
  <c r="X360" i="1"/>
  <c r="Y590" i="1"/>
  <c r="X316" i="1"/>
  <c r="Y389" i="1"/>
  <c r="X88" i="1"/>
  <c r="X70" i="1"/>
  <c r="Y153" i="1"/>
  <c r="O78" i="1"/>
  <c r="P78" i="1" s="1"/>
  <c r="R78" i="1" s="1"/>
  <c r="X982" i="1"/>
  <c r="Y693" i="1"/>
  <c r="Y62" i="1"/>
  <c r="Y173" i="1"/>
  <c r="X928" i="1"/>
  <c r="Y922" i="1" s="1"/>
  <c r="X107" i="1"/>
  <c r="Y781" i="1"/>
  <c r="X672" i="1"/>
  <c r="Y128" i="1"/>
  <c r="X120" i="1"/>
  <c r="Q78" i="1"/>
  <c r="Y948" i="1"/>
  <c r="X660" i="1"/>
  <c r="X947" i="1"/>
  <c r="X568" i="1"/>
  <c r="U903" i="1"/>
  <c r="X674" i="1"/>
  <c r="Y697" i="1"/>
  <c r="X671" i="1"/>
  <c r="Y440" i="1"/>
  <c r="U362" i="1"/>
  <c r="X243" i="1"/>
  <c r="X76" i="1"/>
  <c r="X419" i="1"/>
  <c r="S78" i="1"/>
  <c r="S43" i="1"/>
  <c r="O43" i="1"/>
  <c r="P43" i="1" s="1"/>
  <c r="R43" i="1" s="1"/>
  <c r="W43" i="1"/>
  <c r="Y527" i="1"/>
  <c r="X548" i="1"/>
  <c r="X33" i="1"/>
  <c r="Y815" i="1"/>
  <c r="X172" i="1"/>
  <c r="T78" i="1"/>
  <c r="T526" i="1"/>
  <c r="U526" i="1"/>
  <c r="Y594" i="1"/>
  <c r="X85" i="1"/>
  <c r="X178" i="1"/>
  <c r="Y1034" i="1"/>
  <c r="Q903" i="1"/>
  <c r="Y1050" i="1"/>
  <c r="W903" i="1"/>
  <c r="X476" i="1"/>
  <c r="Y466" i="1" s="1"/>
  <c r="X433" i="1"/>
  <c r="Y599" i="1"/>
  <c r="X425" i="1"/>
  <c r="Y420" i="1" s="1"/>
  <c r="Y364" i="1"/>
  <c r="X222" i="1"/>
  <c r="Y179" i="1"/>
  <c r="V78" i="1"/>
  <c r="X772" i="1"/>
  <c r="Y766" i="1" s="1"/>
  <c r="X743" i="1"/>
  <c r="Y737" i="1" s="1"/>
  <c r="U339" i="1"/>
  <c r="O339" i="1"/>
  <c r="P339" i="1" s="1"/>
  <c r="S339" i="1" s="1"/>
  <c r="R339" i="1"/>
  <c r="Y478" i="1"/>
  <c r="Y998" i="1"/>
  <c r="Y235" i="1"/>
  <c r="Y942" i="1"/>
  <c r="X408" i="1"/>
  <c r="X361" i="1"/>
  <c r="Y167" i="1"/>
  <c r="U78" i="1"/>
  <c r="Y302" i="1"/>
  <c r="Y381" i="1"/>
  <c r="X146" i="1"/>
  <c r="X42" i="1"/>
  <c r="Y1022" i="1"/>
  <c r="X1072" i="1"/>
  <c r="Y1066" i="1" s="1"/>
  <c r="X975" i="1"/>
  <c r="Y968" i="1" s="1"/>
  <c r="Y744" i="1"/>
  <c r="Y1006" i="1"/>
  <c r="X1048" i="1"/>
  <c r="Y1042" i="1" s="1"/>
  <c r="X827" i="1"/>
  <c r="Y1018" i="1"/>
  <c r="T903" i="1"/>
  <c r="X903" i="1" s="1"/>
  <c r="X525" i="1"/>
  <c r="X652" i="1"/>
  <c r="Y487" i="1"/>
  <c r="X166" i="1"/>
  <c r="X35" i="1"/>
  <c r="Y185" i="1"/>
  <c r="Y295" i="1"/>
  <c r="Y569" i="1"/>
  <c r="X989" i="1"/>
  <c r="X24" i="1"/>
  <c r="Y811" i="1"/>
  <c r="T858" i="1"/>
  <c r="X505" i="1"/>
  <c r="Y499" i="1" s="1"/>
  <c r="X524" i="1"/>
  <c r="Y608" i="1"/>
  <c r="X418" i="1"/>
  <c r="Y410" i="1" s="1"/>
  <c r="X465" i="1"/>
  <c r="V526" i="1"/>
  <c r="X26" i="1"/>
  <c r="X215" i="1"/>
  <c r="Y209" i="1" s="1"/>
  <c r="W362" i="1"/>
  <c r="Q362" i="1"/>
  <c r="O362" i="1"/>
  <c r="P362" i="1" s="1"/>
  <c r="S362" i="1" s="1"/>
  <c r="T362" i="1"/>
  <c r="R362" i="1"/>
  <c r="X911" i="1"/>
  <c r="X866" i="1"/>
  <c r="Y976" i="1"/>
  <c r="Y930" i="1"/>
  <c r="X573" i="1"/>
  <c r="V362" i="1"/>
  <c r="X114" i="1"/>
  <c r="X199" i="1"/>
  <c r="Y193" i="1" s="1"/>
  <c r="X32" i="1"/>
  <c r="Y915" i="1"/>
  <c r="Y398" i="1"/>
  <c r="X580" i="1"/>
  <c r="X728" i="1"/>
  <c r="T14" i="1"/>
  <c r="S14" i="1"/>
  <c r="O14" i="1"/>
  <c r="Q14" i="1"/>
  <c r="W14" i="1"/>
  <c r="V14" i="1"/>
  <c r="U14" i="1"/>
  <c r="U106" i="1"/>
  <c r="Q106" i="1"/>
  <c r="W106" i="1"/>
  <c r="V106" i="1"/>
  <c r="T106" i="1"/>
  <c r="S106" i="1"/>
  <c r="O106" i="1"/>
  <c r="P106" i="1" s="1"/>
  <c r="R106" i="1" s="1"/>
  <c r="X901" i="1"/>
  <c r="Y1014" i="1"/>
  <c r="X794" i="1"/>
  <c r="X566" i="1"/>
  <c r="X630" i="1"/>
  <c r="X324" i="1"/>
  <c r="X44" i="1"/>
  <c r="X282" i="1"/>
  <c r="Y275" i="1" s="1"/>
  <c r="X253" i="1"/>
  <c r="Y245" i="1" s="1"/>
  <c r="X12" i="1"/>
  <c r="X23" i="1"/>
  <c r="R960" i="1"/>
  <c r="O960" i="1"/>
  <c r="P960" i="1" s="1"/>
  <c r="S960" i="1" s="1"/>
  <c r="W960" i="1"/>
  <c r="V960" i="1"/>
  <c r="U960" i="1"/>
  <c r="T960" i="1"/>
  <c r="Q960" i="1"/>
  <c r="X801" i="1"/>
  <c r="Y796" i="1" s="1"/>
  <c r="X679" i="1"/>
  <c r="Y675" i="1" s="1"/>
  <c r="X506" i="1"/>
  <c r="U913" i="1"/>
  <c r="Q913" i="1"/>
  <c r="O913" i="1"/>
  <c r="P913" i="1" s="1"/>
  <c r="S913" i="1" s="1"/>
  <c r="V913" i="1"/>
  <c r="T913" i="1"/>
  <c r="R913" i="1"/>
  <c r="W913" i="1"/>
  <c r="X869" i="1"/>
  <c r="V829" i="1"/>
  <c r="T829" i="1"/>
  <c r="W829" i="1"/>
  <c r="U829" i="1"/>
  <c r="R829" i="1"/>
  <c r="Q829" i="1"/>
  <c r="O829" i="1"/>
  <c r="P829" i="1" s="1"/>
  <c r="S829" i="1" s="1"/>
  <c r="X958" i="1"/>
  <c r="X340" i="1"/>
  <c r="X513" i="1"/>
  <c r="Y507" i="1" s="1"/>
  <c r="V540" i="1"/>
  <c r="T540" i="1"/>
  <c r="W540" i="1"/>
  <c r="U540" i="1"/>
  <c r="S540" i="1"/>
  <c r="Q540" i="1"/>
  <c r="O540" i="1"/>
  <c r="P540" i="1" s="1"/>
  <c r="R540" i="1" s="1"/>
  <c r="Y520" i="1"/>
  <c r="X565" i="1"/>
  <c r="X274" i="1"/>
  <c r="U97" i="1"/>
  <c r="T97" i="1"/>
  <c r="S97" i="1"/>
  <c r="O97" i="1"/>
  <c r="P97" i="1" s="1"/>
  <c r="R97" i="1" s="1"/>
  <c r="W97" i="1"/>
  <c r="V97" i="1"/>
  <c r="Q97" i="1"/>
  <c r="X808" i="1"/>
  <c r="X837" i="1"/>
  <c r="X809" i="1"/>
  <c r="Y821" i="1"/>
  <c r="X828" i="1"/>
  <c r="Y631" i="1"/>
  <c r="X77" i="1"/>
  <c r="X1004" i="1"/>
  <c r="X263" i="1"/>
  <c r="Y134" i="1"/>
  <c r="X13" i="1"/>
  <c r="X1061" i="1"/>
  <c r="X795" i="1"/>
  <c r="X758" i="1"/>
  <c r="Y752" i="1" s="1"/>
  <c r="X867" i="1"/>
  <c r="Y371" i="1"/>
  <c r="Y576" i="1"/>
  <c r="X338" i="1"/>
  <c r="X538" i="1"/>
  <c r="X519" i="1"/>
  <c r="Y515" i="1" s="1"/>
  <c r="X350" i="1"/>
  <c r="X349" i="1"/>
  <c r="Y341" i="1" s="1"/>
  <c r="R326" i="1"/>
  <c r="Q326" i="1"/>
  <c r="V326" i="1"/>
  <c r="U326" i="1"/>
  <c r="O326" i="1"/>
  <c r="P326" i="1" s="1"/>
  <c r="S326" i="1" s="1"/>
  <c r="W326" i="1"/>
  <c r="T326" i="1"/>
  <c r="X254" i="1"/>
  <c r="X184" i="1"/>
  <c r="U8" i="1"/>
  <c r="X104" i="1"/>
  <c r="Y99" i="1" s="1"/>
  <c r="Y961" i="1"/>
  <c r="Y983" i="1"/>
  <c r="Y661" i="1"/>
  <c r="Y653" i="1"/>
  <c r="O575" i="1"/>
  <c r="P575" i="1" s="1"/>
  <c r="S575" i="1" s="1"/>
  <c r="W575" i="1"/>
  <c r="V575" i="1"/>
  <c r="U575" i="1"/>
  <c r="R575" i="1"/>
  <c r="Q575" i="1"/>
  <c r="T575" i="1"/>
  <c r="X539" i="1"/>
  <c r="Y721" i="1"/>
  <c r="X494" i="1"/>
  <c r="X337" i="1"/>
  <c r="Y328" i="1" s="1"/>
  <c r="X464" i="1"/>
  <c r="Y456" i="1" s="1"/>
  <c r="X95" i="1"/>
  <c r="X208" i="1"/>
  <c r="Y141" i="1"/>
  <c r="X902" i="1"/>
  <c r="X765" i="1"/>
  <c r="Y759" i="1" s="1"/>
  <c r="X874" i="1"/>
  <c r="V556" i="1"/>
  <c r="U556" i="1"/>
  <c r="T556" i="1"/>
  <c r="S556" i="1"/>
  <c r="Q556" i="1"/>
  <c r="O556" i="1"/>
  <c r="P556" i="1" s="1"/>
  <c r="R556" i="1" s="1"/>
  <c r="W556" i="1"/>
  <c r="X810" i="1"/>
  <c r="X557" i="1"/>
  <c r="X455" i="1"/>
  <c r="X273" i="1"/>
  <c r="Y264" i="1" s="1"/>
  <c r="X308" i="1"/>
  <c r="X105" i="1"/>
  <c r="Y309" i="1"/>
  <c r="X87" i="1"/>
  <c r="X207" i="1"/>
  <c r="Y201" i="1" s="1"/>
  <c r="X96" i="1"/>
  <c r="X997" i="1"/>
  <c r="X868" i="1"/>
  <c r="X727" i="1"/>
  <c r="X736" i="1"/>
  <c r="X486" i="1"/>
  <c r="X370" i="1"/>
  <c r="X294" i="1"/>
  <c r="U25" i="1"/>
  <c r="W25" i="1"/>
  <c r="V25" i="1"/>
  <c r="S25" i="1"/>
  <c r="Q25" i="1"/>
  <c r="T25" i="1"/>
  <c r="O25" i="1"/>
  <c r="P25" i="1" s="1"/>
  <c r="R25" i="1" s="1"/>
  <c r="X133" i="1"/>
  <c r="X719" i="1"/>
  <c r="Y713" i="1" s="1"/>
  <c r="W567" i="1"/>
  <c r="V567" i="1"/>
  <c r="T567" i="1"/>
  <c r="S567" i="1"/>
  <c r="U567" i="1"/>
  <c r="Q567" i="1"/>
  <c r="O567" i="1"/>
  <c r="P567" i="1" s="1"/>
  <c r="R567" i="1" s="1"/>
  <c r="X327" i="1"/>
  <c r="X692" i="1"/>
  <c r="X200" i="1"/>
  <c r="X79" i="1"/>
  <c r="X293" i="1"/>
  <c r="Y286" i="1" s="1"/>
  <c r="X34" i="1"/>
  <c r="X15" i="1"/>
  <c r="Y229" i="1"/>
  <c r="X904" i="1"/>
  <c r="X1033" i="1"/>
  <c r="Y1026" i="1" s="1"/>
  <c r="X574" i="1"/>
  <c r="U673" i="1"/>
  <c r="V673" i="1"/>
  <c r="T673" i="1"/>
  <c r="S673" i="1"/>
  <c r="O673" i="1"/>
  <c r="P673" i="1" s="1"/>
  <c r="Q673" i="1" s="1"/>
  <c r="W673" i="1"/>
  <c r="R673" i="1"/>
  <c r="X325" i="1"/>
  <c r="X555" i="1"/>
  <c r="X439" i="1"/>
  <c r="X996" i="1"/>
  <c r="X547" i="1"/>
  <c r="Y542" i="1" s="1"/>
  <c r="X554" i="1"/>
  <c r="X836" i="1"/>
  <c r="X712" i="1"/>
  <c r="Y705" i="1" s="1"/>
  <c r="X637" i="1"/>
  <c r="X228" i="1"/>
  <c r="O284" i="1"/>
  <c r="P284" i="1" s="1"/>
  <c r="S284" i="1" s="1"/>
  <c r="V284" i="1"/>
  <c r="R284" i="1"/>
  <c r="Q284" i="1"/>
  <c r="W284" i="1"/>
  <c r="U284" i="1"/>
  <c r="T284" i="1"/>
  <c r="X53" i="1"/>
  <c r="Y45" i="1" s="1"/>
  <c r="X140" i="1"/>
  <c r="X283" i="1"/>
  <c r="X339" i="1" l="1"/>
  <c r="Y1054" i="1"/>
  <c r="X362" i="1"/>
  <c r="Y352" i="1" s="1"/>
  <c r="X43" i="1"/>
  <c r="Y36" i="1" s="1"/>
  <c r="X78" i="1"/>
  <c r="X526" i="1"/>
  <c r="Y54" i="1"/>
  <c r="Y990" i="1"/>
  <c r="W4" i="1"/>
  <c r="Y80" i="1"/>
  <c r="Y802" i="1"/>
  <c r="Y27" i="1"/>
  <c r="X673" i="1"/>
  <c r="Y665" i="1" s="1"/>
  <c r="Y788" i="1"/>
  <c r="Y830" i="1"/>
  <c r="Y896" i="1"/>
  <c r="X858" i="1"/>
  <c r="Y851" i="1" s="1"/>
  <c r="Y71" i="1"/>
  <c r="S4" i="1"/>
  <c r="T4" i="1"/>
  <c r="V4" i="1"/>
  <c r="X284" i="1"/>
  <c r="X326" i="1"/>
  <c r="Y317" i="1" s="1"/>
  <c r="X567" i="1"/>
  <c r="Y558" i="1" s="1"/>
  <c r="P14" i="1"/>
  <c r="O4" i="1"/>
  <c r="U4" i="1"/>
  <c r="X8" i="1"/>
  <c r="X960" i="1"/>
  <c r="X106" i="1"/>
  <c r="Q4" i="1"/>
  <c r="X25" i="1"/>
  <c r="Y16" i="1" s="1"/>
  <c r="X575" i="1"/>
  <c r="X97" i="1"/>
  <c r="Y89" i="1" s="1"/>
  <c r="X540" i="1"/>
  <c r="Y531" i="1" s="1"/>
  <c r="X829" i="1"/>
  <c r="X913" i="1"/>
  <c r="X556" i="1"/>
  <c r="Y549" i="1" s="1"/>
  <c r="P4" i="1" l="1"/>
  <c r="R14" i="1"/>
  <c r="R4" i="1" l="1"/>
  <c r="X14" i="1"/>
  <c r="Y7" i="1" l="1"/>
  <c r="X4" i="1"/>
  <c r="Y4" i="1" s="1"/>
</calcChain>
</file>

<file path=xl/sharedStrings.xml><?xml version="1.0" encoding="utf-8"?>
<sst xmlns="http://schemas.openxmlformats.org/spreadsheetml/2006/main" count="2155" uniqueCount="185">
  <si>
    <t>Total - INIZIO- Typical floor -11 to 18 floor</t>
  </si>
  <si>
    <t xml:space="preserve"> INIZIO- Typical floor -11 to 18 floor</t>
  </si>
  <si>
    <t>11th</t>
  </si>
  <si>
    <t>B1</t>
  </si>
  <si>
    <t>Top bars</t>
  </si>
  <si>
    <t>Top bars-extra</t>
  </si>
  <si>
    <t xml:space="preserve">Bottom bars </t>
  </si>
  <si>
    <t>Stirupps - Main ends</t>
  </si>
  <si>
    <t>Stirupps - Main center</t>
  </si>
  <si>
    <t>Stirupps - Secondary ends</t>
  </si>
  <si>
    <t>Stirupps - Secondary center</t>
  </si>
  <si>
    <t xml:space="preserve">Spacer bars </t>
  </si>
  <si>
    <t>B2</t>
  </si>
  <si>
    <t>Bottom bars -extra</t>
  </si>
  <si>
    <t>B3</t>
  </si>
  <si>
    <t>B3A</t>
  </si>
  <si>
    <t>B4</t>
  </si>
  <si>
    <t>Stirupps - Main</t>
  </si>
  <si>
    <t xml:space="preserve">Stirupps - Secondary </t>
  </si>
  <si>
    <t>B9</t>
  </si>
  <si>
    <t>B5</t>
  </si>
  <si>
    <t>B6</t>
  </si>
  <si>
    <t>B6A</t>
  </si>
  <si>
    <t>B7</t>
  </si>
  <si>
    <t>B8</t>
  </si>
  <si>
    <t>B10</t>
  </si>
  <si>
    <t xml:space="preserve">Stirupps </t>
  </si>
  <si>
    <t>B11</t>
  </si>
  <si>
    <t>B14</t>
  </si>
  <si>
    <t>B12</t>
  </si>
  <si>
    <t>B13</t>
  </si>
  <si>
    <t>B15</t>
  </si>
  <si>
    <t>B19</t>
  </si>
  <si>
    <t>B20</t>
  </si>
  <si>
    <t>B21</t>
  </si>
  <si>
    <t>B22</t>
  </si>
  <si>
    <t>B23</t>
  </si>
  <si>
    <t>B28</t>
  </si>
  <si>
    <t>B24</t>
  </si>
  <si>
    <t>B25</t>
  </si>
  <si>
    <t>B26</t>
  </si>
  <si>
    <t>B27</t>
  </si>
  <si>
    <t>B29</t>
  </si>
  <si>
    <t>B34</t>
  </si>
  <si>
    <t>B35</t>
  </si>
  <si>
    <t>B40</t>
  </si>
  <si>
    <t>Top bars -extra</t>
  </si>
  <si>
    <t>C - Hook</t>
  </si>
  <si>
    <t>B30</t>
  </si>
  <si>
    <t>B31</t>
  </si>
  <si>
    <t>B31A</t>
  </si>
  <si>
    <t>B32</t>
  </si>
  <si>
    <t>B33</t>
  </si>
  <si>
    <t>B41</t>
  </si>
  <si>
    <t>B42</t>
  </si>
  <si>
    <t>B36</t>
  </si>
  <si>
    <t>B37</t>
  </si>
  <si>
    <t>B38</t>
  </si>
  <si>
    <t>B38A</t>
  </si>
  <si>
    <t>B39</t>
  </si>
  <si>
    <t>B43</t>
  </si>
  <si>
    <t>B44</t>
  </si>
  <si>
    <t>B54</t>
  </si>
  <si>
    <t>B45</t>
  </si>
  <si>
    <t>B46</t>
  </si>
  <si>
    <t>B47</t>
  </si>
  <si>
    <t>B48</t>
  </si>
  <si>
    <t>B49</t>
  </si>
  <si>
    <t>B50</t>
  </si>
  <si>
    <t>B55</t>
  </si>
  <si>
    <t>B56</t>
  </si>
  <si>
    <t>B51</t>
  </si>
  <si>
    <t>B52</t>
  </si>
  <si>
    <t>B53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</si>
  <si>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</si>
  <si>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</si>
  <si>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</si>
  <si>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</si>
  <si>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</si>
  <si>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</si>
  <si>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</si>
  <si>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</si>
  <si>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</si>
  <si>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</si>
  <si>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</si>
  <si>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</si>
  <si>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</si>
  <si>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</si>
  <si>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</si>
  <si>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</si>
  <si>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</si>
  <si>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</si>
  <si>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</si>
  <si>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</si>
  <si>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</si>
  <si>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B90</t>
  </si>
  <si>
    <t>B78</t>
  </si>
  <si>
    <t>B79</t>
  </si>
  <si>
    <t>B80</t>
  </si>
  <si>
    <t>B81</t>
  </si>
  <si>
    <t>B82</t>
  </si>
  <si>
    <t>B87</t>
  </si>
  <si>
    <t>B83</t>
  </si>
  <si>
    <t>B84</t>
  </si>
  <si>
    <t>B85</t>
  </si>
  <si>
    <t>B86</t>
  </si>
  <si>
    <t>B88</t>
  </si>
  <si>
    <t>B89A</t>
  </si>
  <si>
    <t>B89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</si>
  <si>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</si>
  <si>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</si>
  <si>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</si>
  <si>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</si>
  <si>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</si>
  <si>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</si>
  <si>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</si>
  <si>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</si>
  <si>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</si>
  <si>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</si>
  <si>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</si>
  <si>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</si>
  <si>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</si>
  <si>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</si>
  <si>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</si>
  <si>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</si>
  <si>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</si>
  <si>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</si>
  <si>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</si>
  <si>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</si>
  <si>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</si>
  <si>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B112A</t>
  </si>
  <si>
    <t>B112</t>
  </si>
  <si>
    <t>B113</t>
  </si>
  <si>
    <t>B120</t>
  </si>
  <si>
    <t>B114</t>
  </si>
  <si>
    <t>B116</t>
  </si>
  <si>
    <t>B115</t>
  </si>
  <si>
    <t>B117</t>
  </si>
  <si>
    <t>B118</t>
  </si>
  <si>
    <t>B119</t>
  </si>
  <si>
    <t>B121</t>
  </si>
  <si>
    <t>B122</t>
  </si>
  <si>
    <t>B123</t>
  </si>
  <si>
    <t>B124</t>
  </si>
  <si>
    <t>B124A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</si>
  <si>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</si>
  <si>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</si>
  <si>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</si>
  <si>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</si>
  <si>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</si>
  <si>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</si>
  <si>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</si>
  <si>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</si>
  <si>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</si>
  <si>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 &amp; B135</t>
  </si>
  <si>
    <t>B136</t>
  </si>
  <si>
    <t>B137</t>
  </si>
  <si>
    <t>B138</t>
  </si>
  <si>
    <t>B139</t>
  </si>
  <si>
    <t>B140</t>
  </si>
  <si>
    <t>B58A</t>
  </si>
  <si>
    <t>B141</t>
  </si>
  <si>
    <t>B142A &amp; B142</t>
  </si>
  <si>
    <t>B115A</t>
  </si>
  <si>
    <t>SI no</t>
  </si>
  <si>
    <t>Description</t>
  </si>
  <si>
    <t>No./Dia.</t>
  </si>
  <si>
    <t>L/ Spcng (m)</t>
  </si>
  <si>
    <t>B(m)/ No.</t>
  </si>
  <si>
    <t>D/Dvlp L (m)</t>
  </si>
  <si>
    <t>D (m)</t>
  </si>
  <si>
    <t>Quantity</t>
  </si>
  <si>
    <t>Shuttering (m²)</t>
  </si>
  <si>
    <t>Shuttering Size wise Splitup</t>
  </si>
  <si>
    <t>Cutting Length</t>
  </si>
  <si>
    <t>Total Length</t>
  </si>
  <si>
    <t>Steel in KG</t>
  </si>
  <si>
    <t>Kg/Cum</t>
  </si>
  <si>
    <t>Reinf.</t>
  </si>
  <si>
    <t>Conc/Shtr</t>
  </si>
  <si>
    <t>Concrete (m³)</t>
  </si>
  <si>
    <t>L = 0.3</t>
  </si>
  <si>
    <t>0.3 &lt; L &lt;= 0.75</t>
  </si>
  <si>
    <t>0.75 &lt; L &lt;= 1.2</t>
  </si>
  <si>
    <t>L &gt;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</si>
</sst>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vertAlign val="superscript"/>
      <sz val="10"/>
      <color theme="1"/>
      <name val="Tahoma"/>
      <family val="2"/>
    </font>
    <font>
      <sz val="10"/>
      <color rgb="FF0070C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9">
    <xf numFmtId="0" fontId="0" fillId="0" borderId="0" xfId="0"/>
    <xf numFmtId="164" fontId="2" fillId="0" borderId="0" xfId="1" applyFont="1" applyFill="1"/>
    <xf numFmtId="1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64" fontId="5" fillId="0" borderId="0" xfId="1" applyFont="1" applyFill="1" applyBorder="1" applyAlignment="1">
      <alignment horizontal="center" vertical="center" wrapText="1"/>
    </xf>
    <xf numFmtId="164" fontId="5" fillId="0" borderId="0" xfId="1" applyFont="1" applyFill="1" applyBorder="1" applyAlignment="1">
      <alignment horizontal="center" vertical="center"/>
    </xf>
    <xf numFmtId="164" fontId="3" fillId="0" borderId="0" xfId="1" applyFont="1" applyAlignment="1">
      <alignment horizontal="center" vertical="center"/>
    </xf>
    <xf numFmtId="164" fontId="1" fillId="0" borderId="0" xfId="1" applyFont="1" applyAlignment="1">
      <alignment horizontal="center" vertical="center"/>
    </xf>
    <xf numFmtId="164" fontId="1" fillId="0" borderId="0" xfId="1" applyFont="1" applyAlignment="1">
      <alignment horizontal="center" vertical="center" wrapText="1"/>
    </xf>
    <xf numFmtId="164" fontId="1" fillId="0" borderId="0" xfId="1" applyFont="1"/>
    <xf numFmtId="164" fontId="6" fillId="0" borderId="0" xfId="1" applyFont="1" applyAlignment="1">
      <alignment horizontal="center" vertical="center"/>
    </xf>
    <xf numFmtId="164" fontId="1" fillId="3" borderId="0" xfId="1" applyFont="1" applyFill="1" applyAlignment="1">
      <alignment horizontal="center" vertical="center"/>
    </xf>
    <xf numFmtId="164" fontId="7" fillId="0" borderId="0" xfId="1" applyFont="1" applyAlignment="1">
      <alignment horizontal="center" vertical="center" wrapText="1"/>
    </xf>
    <xf numFmtId="164" fontId="1" fillId="0" borderId="0" xfId="1" applyFont="1" applyAlignment="1">
      <alignment horizontal="left" vertical="center"/>
    </xf>
    <xf numFmtId="164" fontId="1" fillId="0" borderId="0" xfId="1" applyFont="1" applyAlignment="1">
      <alignment vertical="center"/>
    </xf>
    <xf numFmtId="164" fontId="6" fillId="4" borderId="0" xfId="1" applyFont="1" applyFill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 wrapText="1"/>
    </xf>
    <xf numFmtId="2" fontId="3" fillId="5" borderId="3" xfId="0" applyNumberFormat="1" applyFont="1" applyFill="1" applyBorder="1" applyAlignment="1">
      <alignment horizontal="center" vertical="center" wrapText="1"/>
    </xf>
    <xf numFmtId="164" fontId="5" fillId="5" borderId="3" xfId="1" applyFont="1" applyFill="1" applyBorder="1" applyAlignment="1">
      <alignment horizontal="center" vertical="center"/>
    </xf>
    <xf numFmtId="164" fontId="5" fillId="5" borderId="5" xfId="1" applyFont="1" applyFill="1" applyBorder="1" applyAlignment="1">
      <alignment horizontal="center" vertical="center"/>
    </xf>
    <xf numFmtId="164" fontId="5" fillId="5" borderId="9" xfId="1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 wrapText="1"/>
    </xf>
    <xf numFmtId="2" fontId="3" fillId="5" borderId="8" xfId="0" applyNumberFormat="1" applyFont="1" applyFill="1" applyBorder="1" applyAlignment="1">
      <alignment horizontal="center" vertical="center" wrapText="1"/>
    </xf>
    <xf numFmtId="2" fontId="3" fillId="5" borderId="3" xfId="0" applyNumberFormat="1" applyFont="1" applyFill="1" applyBorder="1" applyAlignment="1">
      <alignment horizontal="center" vertical="center" wrapText="1"/>
    </xf>
    <xf numFmtId="2" fontId="3" fillId="5" borderId="7" xfId="0" applyNumberFormat="1" applyFont="1" applyFill="1" applyBorder="1" applyAlignment="1">
      <alignment horizontal="center" vertical="center" wrapText="1"/>
    </xf>
    <xf numFmtId="164" fontId="5" fillId="5" borderId="3" xfId="1" applyFont="1" applyFill="1" applyBorder="1" applyAlignment="1">
      <alignment horizontal="center" vertical="center" wrapText="1"/>
    </xf>
    <xf numFmtId="164" fontId="5" fillId="5" borderId="7" xfId="1" applyFont="1" applyFill="1" applyBorder="1" applyAlignment="1">
      <alignment horizontal="center" vertical="center" wrapText="1"/>
    </xf>
    <xf numFmtId="164" fontId="3" fillId="2" borderId="0" xfId="1" applyFont="1" applyFill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 wrapText="1"/>
    </xf>
    <xf numFmtId="1" fontId="3" fillId="5" borderId="6" xfId="0" applyNumberFormat="1" applyFont="1" applyFill="1" applyBorder="1" applyAlignment="1">
      <alignment horizontal="center" vertical="center" wrapText="1"/>
    </xf>
    <xf numFmtId="1" fontId="3" fillId="5" borderId="3" xfId="0" applyNumberFormat="1" applyFont="1" applyFill="1" applyBorder="1" applyAlignment="1">
      <alignment horizontal="center" vertical="center" wrapText="1"/>
    </xf>
    <xf numFmtId="1" fontId="3" fillId="5" borderId="7" xfId="0" applyNumberFormat="1" applyFont="1" applyFill="1" applyBorder="1" applyAlignment="1">
      <alignment horizontal="center" vertical="center" wrapText="1"/>
    </xf>
    <xf numFmtId="1" fontId="3" fillId="5" borderId="11" xfId="0" applyNumberFormat="1" applyFont="1" applyFill="1" applyBorder="1" applyAlignment="1">
      <alignment horizontal="center" vertical="center" wrapText="1"/>
    </xf>
    <xf numFmtId="2" fontId="3" fillId="5" borderId="12" xfId="0" applyNumberFormat="1" applyFont="1" applyFill="1" applyBorder="1" applyAlignment="1">
      <alignment horizontal="center" vertical="center" wrapText="1"/>
    </xf>
    <xf numFmtId="164" fontId="5" fillId="5" borderId="12" xfId="1" applyFont="1" applyFill="1" applyBorder="1" applyAlignment="1">
      <alignment horizontal="center" vertical="center" wrapText="1"/>
    </xf>
    <xf numFmtId="164" fontId="3" fillId="0" borderId="10" xfId="1" applyFont="1" applyFill="1" applyBorder="1" applyAlignment="1">
      <alignment horizontal="center" vertical="center" wrapText="1"/>
    </xf>
    <xf numFmtId="164" fontId="3" fillId="0" borderId="10" xfId="1" applyFont="1" applyFill="1" applyBorder="1" applyAlignment="1">
      <alignment horizontal="center" vertical="center" wrapText="1"/>
    </xf>
    <xf numFmtId="164" fontId="1" fillId="0" borderId="10" xfId="1" applyFont="1" applyBorder="1" applyAlignment="1">
      <alignment horizontal="center" vertical="center"/>
    </xf>
    <xf numFmtId="164" fontId="1" fillId="0" borderId="10" xfId="1" applyFont="1" applyBorder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hared%20folder\Prelaunch%20Estimates\HAL%20Property\00.Estimate\02.Finish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bhaindia-my.sharepoint.com/personal/hemanth_s_sobha_com1/Documents/Desktop/Beam%20-%20GFC-%20Inizio.xlsx" TargetMode="External"/><Relationship Id="rId1" Type="http://schemas.openxmlformats.org/officeDocument/2006/relationships/externalLinkPath" Target="https://sobhaindia-my.sharepoint.com/personal/hemanth_s_sobha_com1/Documents/Desktop/Beam%20-%20GFC-%20Iniz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DW Basement"/>
      <sheetName val="HF Blk 1"/>
      <sheetName val="DW - Block 01,02"/>
      <sheetName val="Plas Blk 01,02"/>
      <sheetName val="Waterproofing"/>
      <sheetName val="HF Blk 4 "/>
      <sheetName val="BW Blk 04"/>
      <sheetName val="BW Blk 3,5"/>
      <sheetName val="Plas - Blk 03,05"/>
      <sheetName val="Plas - Blk 04"/>
      <sheetName val="DW - Block 03,04,05"/>
      <sheetName val="HF Blk 03,05"/>
      <sheetName val="BW Blk 1"/>
      <sheetName val="Basement Fin"/>
      <sheetName val="DW_Basement"/>
      <sheetName val="HF_Blk_1"/>
      <sheetName val="DW_-_Block_01,02"/>
      <sheetName val="Plas_Blk_01,02"/>
      <sheetName val="HF_Blk_4_"/>
      <sheetName val="BW_Blk_04"/>
      <sheetName val="BW_Blk_3,5"/>
      <sheetName val="Plas_-_Blk_03,05"/>
      <sheetName val="Plas_-_Blk_04"/>
      <sheetName val="DW_-_Block_03,04,05"/>
      <sheetName val="HF_Blk_03,05"/>
      <sheetName val="BW_Blk_1"/>
      <sheetName val="Basement_Fin"/>
      <sheetName val="Break up Sheet"/>
      <sheetName val="Sheet1"/>
      <sheetName val="RA-markate"/>
      <sheetName val="SPT vs PHI"/>
      <sheetName val="Rate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am "/>
      <sheetName val="Sheet1"/>
    </sheetNames>
    <sheetDataSet>
      <sheetData sheetId="0">
        <row r="11">
          <cell r="D11">
            <v>0.03</v>
          </cell>
        </row>
        <row r="15">
          <cell r="D15">
            <v>25</v>
          </cell>
          <cell r="E15">
            <v>1</v>
          </cell>
          <cell r="F15">
            <v>0.06</v>
          </cell>
        </row>
        <row r="20">
          <cell r="C20">
            <v>8</v>
          </cell>
          <cell r="D20">
            <v>0.5</v>
          </cell>
          <cell r="E20">
            <v>0.32500000000000001</v>
          </cell>
          <cell r="F20">
            <v>0.42499999999999999</v>
          </cell>
          <cell r="G20">
            <v>0.35</v>
          </cell>
          <cell r="H20">
            <v>0.36499999999999999</v>
          </cell>
        </row>
        <row r="21">
          <cell r="C21">
            <v>10</v>
          </cell>
          <cell r="D21">
            <v>0.625</v>
          </cell>
          <cell r="E21">
            <v>0.4</v>
          </cell>
          <cell r="F21">
            <v>0.55000000000000004</v>
          </cell>
          <cell r="G21">
            <v>0.45</v>
          </cell>
          <cell r="H21">
            <v>0.45500000000000002</v>
          </cell>
        </row>
        <row r="22">
          <cell r="C22">
            <v>12</v>
          </cell>
          <cell r="D22">
            <v>0.75</v>
          </cell>
          <cell r="E22">
            <v>0.47499999999999998</v>
          </cell>
          <cell r="F22">
            <v>0.65</v>
          </cell>
          <cell r="G22">
            <v>0.52500000000000002</v>
          </cell>
          <cell r="H22">
            <v>0.54500000000000004</v>
          </cell>
        </row>
        <row r="23">
          <cell r="C23">
            <v>16</v>
          </cell>
          <cell r="D23">
            <v>1</v>
          </cell>
          <cell r="E23">
            <v>0.625</v>
          </cell>
          <cell r="F23">
            <v>0.85</v>
          </cell>
          <cell r="G23">
            <v>0.7</v>
          </cell>
          <cell r="H23">
            <v>0.72499999999999998</v>
          </cell>
        </row>
        <row r="24">
          <cell r="C24">
            <v>20</v>
          </cell>
          <cell r="D24">
            <v>1.25</v>
          </cell>
          <cell r="E24">
            <v>0.8</v>
          </cell>
          <cell r="F24">
            <v>1.05</v>
          </cell>
          <cell r="G24">
            <v>0.875</v>
          </cell>
          <cell r="H24">
            <v>0.91</v>
          </cell>
        </row>
        <row r="25">
          <cell r="C25">
            <v>25</v>
          </cell>
          <cell r="D25">
            <v>1.55</v>
          </cell>
          <cell r="E25">
            <v>1</v>
          </cell>
          <cell r="F25">
            <v>1.35</v>
          </cell>
          <cell r="G25">
            <v>1.1000000000000001</v>
          </cell>
          <cell r="H25">
            <v>1.135</v>
          </cell>
        </row>
        <row r="26">
          <cell r="C26">
            <v>32</v>
          </cell>
          <cell r="D26">
            <v>2</v>
          </cell>
          <cell r="E26">
            <v>1.25</v>
          </cell>
          <cell r="F26">
            <v>1.7</v>
          </cell>
          <cell r="G26">
            <v>1.4</v>
          </cell>
          <cell r="H26">
            <v>1.45</v>
          </cell>
        </row>
        <row r="44">
          <cell r="Q44">
            <v>8</v>
          </cell>
          <cell r="R44">
            <v>10</v>
          </cell>
          <cell r="S44">
            <v>12</v>
          </cell>
          <cell r="T44">
            <v>16</v>
          </cell>
          <cell r="U44">
            <v>20</v>
          </cell>
          <cell r="V44">
            <v>25</v>
          </cell>
          <cell r="W44">
            <v>32</v>
          </cell>
        </row>
        <row r="45">
          <cell r="Q45">
            <v>0.39474285714285717</v>
          </cell>
          <cell r="R45">
            <v>0.61678571428571427</v>
          </cell>
          <cell r="S45">
            <v>0.88817142857142872</v>
          </cell>
          <cell r="T45">
            <v>1.5789714285714287</v>
          </cell>
          <cell r="U45">
            <v>2.4671428571428571</v>
          </cell>
          <cell r="V45">
            <v>3.8549107142857149</v>
          </cell>
          <cell r="W45">
            <v>6.3158857142857148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6BA0-4A0E-4DC2-96C7-40DAB68AD9AE}">
  <dimension ref="A1:AF1072"/>
  <sheetViews>
    <sheetView tabSelected="1" workbookViewId="0">
      <selection activeCell="O11" sqref="O11"/>
    </sheetView>
  </sheetViews>
  <sheetFormatPr defaultRowHeight="14.4" x14ac:dyDescent="0.3"/>
  <cols>
    <col min="15" max="15" width="12.77734375" customWidth="1"/>
    <col min="16" max="16" width="14" customWidth="1"/>
  </cols>
  <sheetData>
    <row r="1" spans="1:32" ht="15" thickBot="1" x14ac:dyDescent="0.35"/>
    <row r="2" spans="1:32" ht="26.4" x14ac:dyDescent="0.3">
      <c r="A2" s="28" t="s">
        <v>164</v>
      </c>
      <c r="B2" s="16"/>
      <c r="C2" s="23" t="s">
        <v>165</v>
      </c>
      <c r="D2" s="30" t="s">
        <v>166</v>
      </c>
      <c r="E2" s="23" t="s">
        <v>167</v>
      </c>
      <c r="F2" s="23" t="s">
        <v>168</v>
      </c>
      <c r="G2" s="17" t="s">
        <v>169</v>
      </c>
      <c r="H2" s="17" t="s">
        <v>170</v>
      </c>
      <c r="I2" s="17" t="s">
        <v>171</v>
      </c>
      <c r="J2" s="21" t="s">
        <v>172</v>
      </c>
      <c r="K2" s="23" t="s">
        <v>173</v>
      </c>
      <c r="L2" s="23"/>
      <c r="M2" s="23"/>
      <c r="N2" s="23"/>
      <c r="O2" s="21" t="s">
        <v>174</v>
      </c>
      <c r="P2" s="23" t="s">
        <v>175</v>
      </c>
      <c r="Q2" s="18">
        <v>8</v>
      </c>
      <c r="R2" s="18">
        <v>10</v>
      </c>
      <c r="S2" s="18">
        <v>12</v>
      </c>
      <c r="T2" s="18">
        <v>16</v>
      </c>
      <c r="U2" s="18">
        <v>20</v>
      </c>
      <c r="V2" s="18">
        <v>25</v>
      </c>
      <c r="W2" s="18">
        <v>32</v>
      </c>
      <c r="X2" s="25" t="s">
        <v>176</v>
      </c>
      <c r="Y2" s="19" t="s">
        <v>177</v>
      </c>
    </row>
    <row r="3" spans="1:32" s="1" customFormat="1" ht="27" customHeight="1" thickBot="1" x14ac:dyDescent="0.3">
      <c r="A3" s="29"/>
      <c r="B3" s="32"/>
      <c r="C3" s="24"/>
      <c r="D3" s="31"/>
      <c r="E3" s="24"/>
      <c r="F3" s="24"/>
      <c r="G3" s="33" t="s">
        <v>178</v>
      </c>
      <c r="H3" s="33" t="s">
        <v>179</v>
      </c>
      <c r="I3" s="33" t="s">
        <v>180</v>
      </c>
      <c r="J3" s="22"/>
      <c r="K3" s="33" t="s">
        <v>181</v>
      </c>
      <c r="L3" s="33" t="s">
        <v>182</v>
      </c>
      <c r="M3" s="33" t="s">
        <v>183</v>
      </c>
      <c r="N3" s="33" t="s">
        <v>184</v>
      </c>
      <c r="O3" s="22"/>
      <c r="P3" s="24"/>
      <c r="Q3" s="34">
        <f t="shared" ref="Q3:W3" si="0">22/7/4/1000/1000*7850*Q2*Q2</f>
        <v>0.39474285714285717</v>
      </c>
      <c r="R3" s="34">
        <f t="shared" si="0"/>
        <v>0.61678571428571427</v>
      </c>
      <c r="S3" s="34">
        <f t="shared" si="0"/>
        <v>0.88817142857142872</v>
      </c>
      <c r="T3" s="34">
        <f t="shared" si="0"/>
        <v>1.5789714285714287</v>
      </c>
      <c r="U3" s="34">
        <f t="shared" si="0"/>
        <v>2.4671428571428571</v>
      </c>
      <c r="V3" s="34">
        <f t="shared" si="0"/>
        <v>3.8549107142857149</v>
      </c>
      <c r="W3" s="34">
        <f t="shared" si="0"/>
        <v>6.3158857142857148</v>
      </c>
      <c r="X3" s="26"/>
      <c r="Y3" s="20"/>
    </row>
    <row r="4" spans="1:32" s="38" customFormat="1" ht="20.100000000000001" customHeight="1" x14ac:dyDescent="0.25">
      <c r="A4" s="35"/>
      <c r="B4" s="35"/>
      <c r="C4" s="36" t="s">
        <v>0</v>
      </c>
      <c r="D4" s="36"/>
      <c r="E4" s="36"/>
      <c r="F4" s="36"/>
      <c r="G4" s="36"/>
      <c r="H4" s="35"/>
      <c r="I4" s="35">
        <f t="shared" ref="I4:P4" si="1">SUM(I5:I1072)</f>
        <v>140.24981</v>
      </c>
      <c r="J4" s="35">
        <f t="shared" si="1"/>
        <v>828.17460000000051</v>
      </c>
      <c r="K4" s="35">
        <f t="shared" si="1"/>
        <v>0</v>
      </c>
      <c r="L4" s="35">
        <f t="shared" si="1"/>
        <v>0</v>
      </c>
      <c r="M4" s="35">
        <f t="shared" si="1"/>
        <v>17.141400000000001</v>
      </c>
      <c r="N4" s="35">
        <f t="shared" si="1"/>
        <v>811.03320000000042</v>
      </c>
      <c r="O4" s="35">
        <f t="shared" si="1"/>
        <v>2824.4886666666589</v>
      </c>
      <c r="P4" s="35">
        <f t="shared" si="1"/>
        <v>19750.26099999998</v>
      </c>
      <c r="Q4" s="35">
        <f t="shared" ref="Q4:X4" si="2">SUM(Q5:Q1072)/1000</f>
        <v>0.79793584304761911</v>
      </c>
      <c r="R4" s="35">
        <f t="shared" si="2"/>
        <v>3.9107257095238124</v>
      </c>
      <c r="S4" s="35">
        <f t="shared" si="2"/>
        <v>5.3465806151999997</v>
      </c>
      <c r="T4" s="35">
        <f t="shared" si="2"/>
        <v>1.4180426605714287</v>
      </c>
      <c r="U4" s="35">
        <f t="shared" si="2"/>
        <v>5.0629299442857079</v>
      </c>
      <c r="V4" s="35">
        <f t="shared" si="2"/>
        <v>8.3120201607142867</v>
      </c>
      <c r="W4" s="35">
        <f t="shared" si="2"/>
        <v>1.6557725988571428</v>
      </c>
      <c r="X4" s="35">
        <f t="shared" si="2"/>
        <v>26.504007532200053</v>
      </c>
      <c r="Y4" s="35">
        <f>X4*1000/I4</f>
        <v>188.97713681180781</v>
      </c>
      <c r="Z4" s="37"/>
      <c r="AA4" s="37"/>
      <c r="AB4" s="37"/>
      <c r="AC4" s="37"/>
      <c r="AD4" s="37"/>
      <c r="AE4" s="37"/>
    </row>
    <row r="5" spans="1:32" s="9" customFormat="1" ht="21" customHeight="1" x14ac:dyDescent="0.25">
      <c r="A5" s="2"/>
      <c r="B5" s="2"/>
      <c r="C5" s="3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/>
      <c r="R5" s="4"/>
      <c r="S5" s="4"/>
      <c r="T5" s="4"/>
      <c r="U5" s="4"/>
      <c r="V5" s="4"/>
      <c r="W5" s="4"/>
      <c r="X5" s="4"/>
      <c r="Y5" s="5"/>
      <c r="Z5" s="7"/>
      <c r="AA5" s="7"/>
      <c r="AB5" s="7"/>
      <c r="AC5" s="7"/>
      <c r="AD5" s="7"/>
      <c r="AE5" s="7"/>
      <c r="AF5" s="7"/>
    </row>
    <row r="6" spans="1:32" s="9" customFormat="1" ht="20.100000000000001" customHeight="1" x14ac:dyDescent="0.25">
      <c r="A6" s="6"/>
      <c r="B6" s="6"/>
      <c r="C6" s="27" t="s">
        <v>1</v>
      </c>
      <c r="D6" s="27"/>
      <c r="E6" s="27"/>
      <c r="F6" s="27"/>
      <c r="G6" s="2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  <c r="W6" s="8"/>
      <c r="X6" s="7"/>
      <c r="Y6" s="7"/>
      <c r="Z6" s="7"/>
      <c r="AA6" s="7"/>
      <c r="AB6" s="7"/>
      <c r="AC6" s="7"/>
      <c r="AD6" s="7"/>
      <c r="AE6" s="7"/>
    </row>
    <row r="7" spans="1:32" s="9" customFormat="1" ht="20.100000000000001" customHeight="1" x14ac:dyDescent="0.25">
      <c r="A7" s="7">
        <v>1</v>
      </c>
      <c r="B7" s="10" t="s">
        <v>2</v>
      </c>
      <c r="C7" s="11" t="s">
        <v>3</v>
      </c>
      <c r="D7" s="11">
        <v>1</v>
      </c>
      <c r="E7" s="11">
        <v>4.8490000000000002</v>
      </c>
      <c r="F7" s="11">
        <v>0.6</v>
      </c>
      <c r="G7" s="11">
        <v>0.8</v>
      </c>
      <c r="H7" s="7">
        <f>G7-0.2</f>
        <v>0.60000000000000009</v>
      </c>
      <c r="I7" s="7">
        <f>E7*F7*G7*D7</f>
        <v>2.3275200000000003</v>
      </c>
      <c r="J7" s="7">
        <f>(2*(E7)*H7*D7)+(E7*F7)</f>
        <v>8.7282000000000011</v>
      </c>
      <c r="K7" s="12">
        <f>IF(E7=0.3,J7,0)</f>
        <v>0</v>
      </c>
      <c r="L7" s="12">
        <f>IF(AND(E7&gt;0.3,E7&lt;=0.75),J7,0)</f>
        <v>0</v>
      </c>
      <c r="M7" s="12">
        <f>IF(AND(E7&gt;0.75,E7&lt;=1.2),J7,0)</f>
        <v>0</v>
      </c>
      <c r="N7" s="12">
        <f>IF(E7&gt;1.2,J7,0)</f>
        <v>8.7282000000000011</v>
      </c>
      <c r="O7" s="7"/>
      <c r="P7" s="7"/>
      <c r="Q7" s="7"/>
      <c r="R7" s="7"/>
      <c r="S7" s="7"/>
      <c r="T7" s="7"/>
      <c r="U7" s="7"/>
      <c r="V7" s="7"/>
      <c r="W7" s="7"/>
      <c r="X7" s="7"/>
      <c r="Y7" s="7">
        <f>SUM(X8:X15)/I7</f>
        <v>138.8917943930511</v>
      </c>
      <c r="Z7" s="7"/>
      <c r="AA7" s="7"/>
      <c r="AB7" s="7"/>
      <c r="AC7" s="7"/>
      <c r="AD7" s="7"/>
      <c r="AE7" s="7"/>
    </row>
    <row r="8" spans="1:32" s="9" customFormat="1" ht="20.100000000000001" customHeight="1" x14ac:dyDescent="0.25">
      <c r="A8" s="6"/>
      <c r="B8" s="10" t="s">
        <v>2</v>
      </c>
      <c r="C8" s="13" t="s">
        <v>4</v>
      </c>
      <c r="D8" s="7">
        <v>20</v>
      </c>
      <c r="E8" s="7"/>
      <c r="F8" s="7">
        <v>6</v>
      </c>
      <c r="G8" s="8">
        <f>VLOOKUP(D8,'[2]Beam '!$C$20:$H$26,3,0)</f>
        <v>0.8</v>
      </c>
      <c r="H8" s="8"/>
      <c r="I8" s="7"/>
      <c r="J8" s="7"/>
      <c r="K8" s="7"/>
      <c r="L8" s="7"/>
      <c r="M8" s="7"/>
      <c r="N8" s="7"/>
      <c r="O8" s="7">
        <f>(E7+1*(G8+(12*D8/1000))+1*(0.55/2))*D7</f>
        <v>6.1640000000000006</v>
      </c>
      <c r="P8" s="7">
        <f t="shared" ref="P8:P15" si="3">O8*F8</f>
        <v>36.984000000000002</v>
      </c>
      <c r="Q8" s="7">
        <f>IF($D8='[2]Beam '!Q$44,$P8*'[2]Beam '!Q$45,0)</f>
        <v>0</v>
      </c>
      <c r="R8" s="7">
        <f>IF($D8='[2]Beam '!R$44,$P8*'[2]Beam '!R$45,0)</f>
        <v>0</v>
      </c>
      <c r="S8" s="7">
        <f>IF($D8='[2]Beam '!S$44,$P8*'[2]Beam '!S$45,0)</f>
        <v>0</v>
      </c>
      <c r="T8" s="7">
        <f>IF($D8='[2]Beam '!T$44,$P8*'[2]Beam '!T$45,0)</f>
        <v>0</v>
      </c>
      <c r="U8" s="7">
        <f>IF($D8='[2]Beam '!U$44,$P8*'[2]Beam '!U$45,0)</f>
        <v>91.244811428571424</v>
      </c>
      <c r="V8" s="7">
        <f>IF($D8='[2]Beam '!V$44,$P8*'[2]Beam '!V$45,0)</f>
        <v>0</v>
      </c>
      <c r="W8" s="7">
        <f>IF($D8='[2]Beam '!W$44,$P8*'[2]Beam '!W$45,0)</f>
        <v>0</v>
      </c>
      <c r="X8" s="7">
        <f t="shared" ref="X8:X15" si="4">SUM(Q8:W8)</f>
        <v>91.244811428571424</v>
      </c>
      <c r="Y8" s="7"/>
      <c r="Z8" s="7"/>
      <c r="AA8" s="7"/>
      <c r="AB8" s="7"/>
      <c r="AC8" s="7"/>
      <c r="AD8" s="7"/>
      <c r="AE8" s="7"/>
    </row>
    <row r="9" spans="1:32" s="9" customFormat="1" ht="20.100000000000001" customHeight="1" x14ac:dyDescent="0.25">
      <c r="A9" s="6"/>
      <c r="B9" s="10" t="s">
        <v>2</v>
      </c>
      <c r="C9" s="13" t="s">
        <v>5</v>
      </c>
      <c r="D9" s="7">
        <v>16</v>
      </c>
      <c r="E9" s="7"/>
      <c r="F9" s="7">
        <v>4</v>
      </c>
      <c r="G9" s="8">
        <f>VLOOKUP(D9,'[2]Beam '!$C$20:$H$26,3,0)</f>
        <v>0.625</v>
      </c>
      <c r="H9" s="8"/>
      <c r="I9" s="7"/>
      <c r="J9" s="7"/>
      <c r="K9" s="7"/>
      <c r="L9" s="7"/>
      <c r="M9" s="7"/>
      <c r="N9" s="7"/>
      <c r="O9" s="7">
        <f>(1.35+1*(0.55/2))*D7</f>
        <v>1.625</v>
      </c>
      <c r="P9" s="7">
        <f t="shared" si="3"/>
        <v>6.5</v>
      </c>
      <c r="Q9" s="7">
        <f>IF($D9='[2]Beam '!Q$44,$P9*'[2]Beam '!Q$45,0)</f>
        <v>0</v>
      </c>
      <c r="R9" s="7">
        <f>IF($D9='[2]Beam '!R$44,$P9*'[2]Beam '!R$45,0)</f>
        <v>0</v>
      </c>
      <c r="S9" s="7">
        <f>IF($D9='[2]Beam '!S$44,$P9*'[2]Beam '!S$45,0)</f>
        <v>0</v>
      </c>
      <c r="T9" s="7">
        <f>IF($D9='[2]Beam '!T$44,$P9*'[2]Beam '!T$45,0)</f>
        <v>10.263314285714287</v>
      </c>
      <c r="U9" s="7">
        <f>IF($D9='[2]Beam '!U$44,$P9*'[2]Beam '!U$45,0)</f>
        <v>0</v>
      </c>
      <c r="V9" s="7">
        <f>IF($D9='[2]Beam '!V$44,$P9*'[2]Beam '!V$45,0)</f>
        <v>0</v>
      </c>
      <c r="W9" s="7">
        <f>IF($D9='[2]Beam '!W$44,$P9*'[2]Beam '!W$45,0)</f>
        <v>0</v>
      </c>
      <c r="X9" s="7">
        <f t="shared" si="4"/>
        <v>10.263314285714287</v>
      </c>
      <c r="Y9" s="7"/>
      <c r="Z9" s="7"/>
      <c r="AA9" s="7"/>
      <c r="AB9" s="7"/>
      <c r="AC9" s="7"/>
      <c r="AD9" s="7"/>
      <c r="AE9" s="7"/>
    </row>
    <row r="10" spans="1:32" s="14" customFormat="1" ht="20.100000000000001" customHeight="1" x14ac:dyDescent="0.3">
      <c r="A10" s="6"/>
      <c r="B10" s="10" t="s">
        <v>2</v>
      </c>
      <c r="C10" s="13" t="s">
        <v>6</v>
      </c>
      <c r="D10" s="7">
        <v>20</v>
      </c>
      <c r="E10" s="7"/>
      <c r="F10" s="7">
        <v>6</v>
      </c>
      <c r="G10" s="8">
        <f>VLOOKUP(D10,'[2]Beam '!$C$20:$H$26,3,0)</f>
        <v>0.8</v>
      </c>
      <c r="H10" s="7"/>
      <c r="I10" s="7"/>
      <c r="J10" s="7"/>
      <c r="K10" s="7"/>
      <c r="L10" s="7"/>
      <c r="M10" s="7"/>
      <c r="N10" s="7"/>
      <c r="O10" s="7">
        <f>(E7+1*(G10+(12*D10/1000))+1*(0.55/2))*D7</f>
        <v>6.1640000000000006</v>
      </c>
      <c r="P10" s="7">
        <f t="shared" si="3"/>
        <v>36.984000000000002</v>
      </c>
      <c r="Q10" s="7">
        <f>IF($D10='[2]Beam '!Q$44,$P10*'[2]Beam '!Q$45,0)</f>
        <v>0</v>
      </c>
      <c r="R10" s="7">
        <f>IF($D10='[2]Beam '!R$44,$P10*'[2]Beam '!R$45,0)</f>
        <v>0</v>
      </c>
      <c r="S10" s="7">
        <f>IF($D10='[2]Beam '!S$44,$P10*'[2]Beam '!S$45,0)</f>
        <v>0</v>
      </c>
      <c r="T10" s="7">
        <f>IF($D10='[2]Beam '!T$44,$P10*'[2]Beam '!T$45,0)</f>
        <v>0</v>
      </c>
      <c r="U10" s="7">
        <f>IF($D10='[2]Beam '!U$44,$P10*'[2]Beam '!U$45,0)</f>
        <v>91.244811428571424</v>
      </c>
      <c r="V10" s="7">
        <f>IF($D10='[2]Beam '!V$44,$P10*'[2]Beam '!V$45,0)</f>
        <v>0</v>
      </c>
      <c r="W10" s="7">
        <f>IF($D10='[2]Beam '!W$44,$P10*'[2]Beam '!W$45,0)</f>
        <v>0</v>
      </c>
      <c r="X10" s="7">
        <f t="shared" si="4"/>
        <v>91.244811428571424</v>
      </c>
      <c r="Y10" s="7"/>
    </row>
    <row r="11" spans="1:32" s="14" customFormat="1" ht="20.100000000000001" customHeight="1" x14ac:dyDescent="0.25">
      <c r="A11" s="6"/>
      <c r="B11" s="10" t="s">
        <v>2</v>
      </c>
      <c r="C11" s="13" t="s">
        <v>7</v>
      </c>
      <c r="D11" s="7">
        <v>10</v>
      </c>
      <c r="E11" s="7">
        <v>0.1</v>
      </c>
      <c r="F11" s="7">
        <f>ROUND(IF(E7/3&gt;(2*G7),(E7/3)/E11,(2*G7)/E11),0)*2+1</f>
        <v>33</v>
      </c>
      <c r="G11" s="9"/>
      <c r="H11" s="7"/>
      <c r="I11" s="7"/>
      <c r="J11" s="7"/>
      <c r="K11" s="7"/>
      <c r="L11" s="7"/>
      <c r="M11" s="7"/>
      <c r="N11" s="7"/>
      <c r="O11" s="7">
        <f>(2*((G7-(2*'[2]Beam '!$D$11))+(F7-(2*'[2]Beam '!$D$11)))+(2*10*D11/1000))*D7</f>
        <v>2.7600000000000002</v>
      </c>
      <c r="P11" s="7">
        <f t="shared" si="3"/>
        <v>91.080000000000013</v>
      </c>
      <c r="Q11" s="7">
        <f>IF($D11='[2]Beam '!Q$44,$P11*'[2]Beam '!Q$45,0)</f>
        <v>0</v>
      </c>
      <c r="R11" s="7">
        <f>IF($D11='[2]Beam '!R$44,$P11*'[2]Beam '!R$45,0)</f>
        <v>56.176842857142866</v>
      </c>
      <c r="S11" s="7">
        <f>IF($D11='[2]Beam '!S$44,$P11*'[2]Beam '!S$45,0)</f>
        <v>0</v>
      </c>
      <c r="T11" s="7">
        <f>IF($D11='[2]Beam '!T$44,$P11*'[2]Beam '!T$45,0)</f>
        <v>0</v>
      </c>
      <c r="U11" s="7">
        <f>IF($D11='[2]Beam '!U$44,$P11*'[2]Beam '!U$45,0)</f>
        <v>0</v>
      </c>
      <c r="V11" s="7">
        <f>IF($D11='[2]Beam '!V$44,$P11*'[2]Beam '!V$45,0)</f>
        <v>0</v>
      </c>
      <c r="W11" s="7">
        <f>IF($D11='[2]Beam '!W$44,$P11*'[2]Beam '!W$45,0)</f>
        <v>0</v>
      </c>
      <c r="X11" s="7">
        <f t="shared" si="4"/>
        <v>56.176842857142866</v>
      </c>
      <c r="Y11" s="7"/>
    </row>
    <row r="12" spans="1:32" s="14" customFormat="1" ht="20.100000000000001" customHeight="1" x14ac:dyDescent="0.25">
      <c r="B12" s="10" t="s">
        <v>2</v>
      </c>
      <c r="C12" s="13" t="s">
        <v>8</v>
      </c>
      <c r="D12" s="14">
        <f>D11</f>
        <v>10</v>
      </c>
      <c r="E12" s="14">
        <v>0.15</v>
      </c>
      <c r="F12" s="14">
        <f>ROUND((E7-(IF(E7/3&gt;2*G7,E7/3*2,G7*2*2)))/E12,0)</f>
        <v>11</v>
      </c>
      <c r="G12" s="9"/>
      <c r="O12" s="7">
        <f>(2*((G7-(2*'[2]Beam '!$D$11))+(F7-(2*'[2]Beam '!$D$11)))+(2*10*D12/1000))*D7</f>
        <v>2.7600000000000002</v>
      </c>
      <c r="P12" s="7">
        <f t="shared" si="3"/>
        <v>30.360000000000003</v>
      </c>
      <c r="Q12" s="7">
        <f>IF($D12='[2]Beam '!Q$44,$P12*'[2]Beam '!Q$45,0)</f>
        <v>0</v>
      </c>
      <c r="R12" s="7">
        <f>IF($D12='[2]Beam '!R$44,$P12*'[2]Beam '!R$45,0)</f>
        <v>18.725614285714286</v>
      </c>
      <c r="S12" s="7">
        <f>IF($D12='[2]Beam '!S$44,$P12*'[2]Beam '!S$45,0)</f>
        <v>0</v>
      </c>
      <c r="T12" s="7">
        <f>IF($D12='[2]Beam '!T$44,$P12*'[2]Beam '!T$45,0)</f>
        <v>0</v>
      </c>
      <c r="U12" s="7">
        <f>IF($D12='[2]Beam '!U$44,$P12*'[2]Beam '!U$45,0)</f>
        <v>0</v>
      </c>
      <c r="V12" s="7">
        <f>IF($D12='[2]Beam '!V$44,$P12*'[2]Beam '!V$45,0)</f>
        <v>0</v>
      </c>
      <c r="W12" s="7">
        <f>IF($D12='[2]Beam '!W$44,$P12*'[2]Beam '!W$45,0)</f>
        <v>0</v>
      </c>
      <c r="X12" s="7">
        <f t="shared" si="4"/>
        <v>18.725614285714286</v>
      </c>
    </row>
    <row r="13" spans="1:32" s="9" customFormat="1" ht="20.100000000000001" customHeight="1" x14ac:dyDescent="0.25">
      <c r="A13" s="14"/>
      <c r="B13" s="10" t="s">
        <v>2</v>
      </c>
      <c r="C13" s="13" t="s">
        <v>9</v>
      </c>
      <c r="D13" s="14">
        <f>D11</f>
        <v>10</v>
      </c>
      <c r="E13" s="14">
        <f>+E11</f>
        <v>0.1</v>
      </c>
      <c r="F13" s="7">
        <f>ROUND(IF(E7/3&gt;(2*G7),(E7/3)/E13,(2*G7)/E13),0)*2+1</f>
        <v>33</v>
      </c>
      <c r="H13" s="14"/>
      <c r="I13" s="14"/>
      <c r="J13" s="14"/>
      <c r="K13" s="14"/>
      <c r="L13" s="14"/>
      <c r="M13" s="14"/>
      <c r="N13" s="14"/>
      <c r="O13" s="7">
        <f>(2*(((F7-'[2]Beam '!$D$11*2)/(F8-1))+(G7-'[2]Beam '!$D$11*2))+(2*10*D13/1000))*D7</f>
        <v>1.8959999999999999</v>
      </c>
      <c r="P13" s="7">
        <f t="shared" si="3"/>
        <v>62.567999999999998</v>
      </c>
      <c r="Q13" s="7">
        <f>IF($D13='[2]Beam '!Q$44,$P13*'[2]Beam '!Q$45,0)</f>
        <v>0</v>
      </c>
      <c r="R13" s="7">
        <f>IF($D13='[2]Beam '!R$44,$P13*'[2]Beam '!R$45,0)</f>
        <v>38.591048571428566</v>
      </c>
      <c r="S13" s="7">
        <f>IF($D13='[2]Beam '!S$44,$P13*'[2]Beam '!S$45,0)</f>
        <v>0</v>
      </c>
      <c r="T13" s="7">
        <f>IF($D13='[2]Beam '!T$44,$P13*'[2]Beam '!T$45,0)</f>
        <v>0</v>
      </c>
      <c r="U13" s="7">
        <f>IF($D13='[2]Beam '!U$44,$P13*'[2]Beam '!U$45,0)</f>
        <v>0</v>
      </c>
      <c r="V13" s="7">
        <f>IF($D13='[2]Beam '!V$44,$P13*'[2]Beam '!V$45,0)</f>
        <v>0</v>
      </c>
      <c r="W13" s="7">
        <f>IF($D13='[2]Beam '!W$44,$P13*'[2]Beam '!W$45,0)</f>
        <v>0</v>
      </c>
      <c r="X13" s="7">
        <f t="shared" si="4"/>
        <v>38.591048571428566</v>
      </c>
      <c r="Y13" s="14"/>
      <c r="Z13" s="7"/>
      <c r="AA13" s="7"/>
      <c r="AB13" s="7"/>
      <c r="AC13" s="7"/>
      <c r="AD13" s="7"/>
      <c r="AE13" s="7"/>
    </row>
    <row r="14" spans="1:32" s="9" customFormat="1" ht="21" customHeight="1" x14ac:dyDescent="0.25">
      <c r="A14" s="14"/>
      <c r="B14" s="10" t="s">
        <v>2</v>
      </c>
      <c r="C14" s="13" t="s">
        <v>10</v>
      </c>
      <c r="D14" s="14">
        <f>D12</f>
        <v>10</v>
      </c>
      <c r="E14" s="14">
        <f>+E12</f>
        <v>0.15</v>
      </c>
      <c r="F14" s="14">
        <f>ROUND((E7-(IF(E7/3&gt;2*G7,E7/3*2,G7*2*2)))/E14,0)</f>
        <v>11</v>
      </c>
      <c r="H14" s="14"/>
      <c r="I14" s="14"/>
      <c r="J14" s="14"/>
      <c r="K14" s="14"/>
      <c r="L14" s="14"/>
      <c r="M14" s="14"/>
      <c r="N14" s="14"/>
      <c r="O14" s="7">
        <f>(2*(((F7-'[2]Beam '!$D$11*2)/(F8-1))+(G7-'[2]Beam '!$D$11*2))+(2*10*D14/1000))*D7</f>
        <v>1.8959999999999999</v>
      </c>
      <c r="P14" s="7">
        <f t="shared" si="3"/>
        <v>20.855999999999998</v>
      </c>
      <c r="Q14" s="7">
        <f>IF($D14='[2]Beam '!Q$44,$P14*'[2]Beam '!Q$45,0)</f>
        <v>0</v>
      </c>
      <c r="R14" s="7">
        <f>IF($D14='[2]Beam '!R$44,$P14*'[2]Beam '!R$45,0)</f>
        <v>12.863682857142855</v>
      </c>
      <c r="S14" s="7">
        <f>IF($D14='[2]Beam '!S$44,$P14*'[2]Beam '!S$45,0)</f>
        <v>0</v>
      </c>
      <c r="T14" s="7">
        <f>IF($D14='[2]Beam '!T$44,$P14*'[2]Beam '!T$45,0)</f>
        <v>0</v>
      </c>
      <c r="U14" s="7">
        <f>IF($D14='[2]Beam '!U$44,$P14*'[2]Beam '!U$45,0)</f>
        <v>0</v>
      </c>
      <c r="V14" s="7">
        <f>IF($D14='[2]Beam '!V$44,$P14*'[2]Beam '!V$45,0)</f>
        <v>0</v>
      </c>
      <c r="W14" s="7">
        <f>IF($D14='[2]Beam '!W$44,$P14*'[2]Beam '!W$45,0)</f>
        <v>0</v>
      </c>
      <c r="X14" s="7">
        <f t="shared" si="4"/>
        <v>12.863682857142855</v>
      </c>
      <c r="Y14" s="14"/>
      <c r="Z14" s="7"/>
      <c r="AA14" s="7"/>
      <c r="AB14" s="7"/>
      <c r="AC14" s="7"/>
      <c r="AD14" s="7"/>
      <c r="AE14" s="7"/>
      <c r="AF14" s="7"/>
    </row>
    <row r="15" spans="1:32" s="9" customFormat="1" ht="20.100000000000001" customHeight="1" x14ac:dyDescent="0.25">
      <c r="A15" s="6"/>
      <c r="B15" s="10" t="s">
        <v>2</v>
      </c>
      <c r="C15" s="13" t="s">
        <v>11</v>
      </c>
      <c r="D15" s="7">
        <f>+'[2]Beam '!$D$15</f>
        <v>25</v>
      </c>
      <c r="E15" s="7">
        <f>+'[2]Beam '!$E$15</f>
        <v>1</v>
      </c>
      <c r="F15" s="7">
        <f>ROUNDUP((1.35)/E15,0)</f>
        <v>2</v>
      </c>
      <c r="G15" s="8"/>
      <c r="H15" s="8"/>
      <c r="I15" s="7"/>
      <c r="J15" s="7"/>
      <c r="K15" s="7"/>
      <c r="L15" s="7"/>
      <c r="M15" s="7"/>
      <c r="N15" s="7"/>
      <c r="O15" s="7">
        <f>F7-'[2]Beam '!$F$15</f>
        <v>0.54</v>
      </c>
      <c r="P15" s="7">
        <f t="shared" si="3"/>
        <v>1.08</v>
      </c>
      <c r="Q15" s="7">
        <f>IF($D15='[2]Beam '!Q$44,$P15*'[2]Beam '!Q$45,0)</f>
        <v>0</v>
      </c>
      <c r="R15" s="7">
        <f>IF($D15='[2]Beam '!R$44,$P15*'[2]Beam '!R$45,0)</f>
        <v>0</v>
      </c>
      <c r="S15" s="7">
        <f>IF($D15='[2]Beam '!S$44,$P15*'[2]Beam '!S$45,0)</f>
        <v>0</v>
      </c>
      <c r="T15" s="7">
        <f>IF($D15='[2]Beam '!T$44,$P15*'[2]Beam '!T$45,0)</f>
        <v>0</v>
      </c>
      <c r="U15" s="7">
        <f>IF($D15='[2]Beam '!U$44,$P15*'[2]Beam '!U$45,0)</f>
        <v>0</v>
      </c>
      <c r="V15" s="7">
        <f>IF($D15='[2]Beam '!V$44,$P15*'[2]Beam '!V$45,0)</f>
        <v>4.163303571428572</v>
      </c>
      <c r="W15" s="7">
        <f>IF($D15='[2]Beam '!W$44,$P15*'[2]Beam '!W$45,0)</f>
        <v>0</v>
      </c>
      <c r="X15" s="7">
        <f t="shared" si="4"/>
        <v>4.163303571428572</v>
      </c>
      <c r="Y15" s="7"/>
      <c r="Z15" s="7"/>
      <c r="AA15" s="7"/>
      <c r="AB15" s="7"/>
      <c r="AC15" s="7"/>
      <c r="AD15" s="7"/>
      <c r="AE15" s="7"/>
    </row>
    <row r="16" spans="1:32" s="9" customFormat="1" ht="20.100000000000001" customHeight="1" x14ac:dyDescent="0.25">
      <c r="A16" s="7">
        <f>+A7+1</f>
        <v>2</v>
      </c>
      <c r="B16" s="10" t="s">
        <v>2</v>
      </c>
      <c r="C16" s="11" t="s">
        <v>12</v>
      </c>
      <c r="D16" s="11">
        <v>1</v>
      </c>
      <c r="E16" s="11">
        <v>6.55</v>
      </c>
      <c r="F16" s="11">
        <v>0.6</v>
      </c>
      <c r="G16" s="11">
        <v>0.8</v>
      </c>
      <c r="H16" s="7">
        <f>G16-0.2</f>
        <v>0.60000000000000009</v>
      </c>
      <c r="I16" s="7">
        <f>E16*F16*G16*D16</f>
        <v>3.1440000000000001</v>
      </c>
      <c r="J16" s="7">
        <f>(2*(E16)*H16*D16)+(E16*F16)</f>
        <v>11.790000000000001</v>
      </c>
      <c r="K16" s="12">
        <f>IF(E16=0.3,J16,0)</f>
        <v>0</v>
      </c>
      <c r="L16" s="12">
        <f>IF(AND(E16&gt;0.3,E16&lt;=0.75),J16,0)</f>
        <v>0</v>
      </c>
      <c r="M16" s="12">
        <f>IF(AND(E16&gt;0.75,E16&lt;=1.2),J16,0)</f>
        <v>0</v>
      </c>
      <c r="N16" s="12">
        <f>IF(E16&gt;1.2,J16,0)</f>
        <v>11.790000000000001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>
        <f>SUM(X17:X26)/I16</f>
        <v>160.71814297641765</v>
      </c>
      <c r="Z16" s="7"/>
      <c r="AA16" s="7"/>
      <c r="AB16" s="7"/>
      <c r="AC16" s="7"/>
      <c r="AD16" s="7"/>
      <c r="AE16" s="7"/>
    </row>
    <row r="17" spans="1:32" s="9" customFormat="1" ht="20.100000000000001" customHeight="1" x14ac:dyDescent="0.25">
      <c r="A17" s="6"/>
      <c r="B17" s="10" t="s">
        <v>2</v>
      </c>
      <c r="C17" s="13" t="s">
        <v>4</v>
      </c>
      <c r="D17" s="7">
        <v>20</v>
      </c>
      <c r="E17" s="7"/>
      <c r="F17" s="7">
        <v>6</v>
      </c>
      <c r="G17" s="8">
        <f>VLOOKUP(D17,'[2]Beam '!$C$20:$H$26,3,0)</f>
        <v>0.8</v>
      </c>
      <c r="H17" s="8"/>
      <c r="I17" s="7"/>
      <c r="J17" s="7"/>
      <c r="K17" s="7"/>
      <c r="L17" s="7"/>
      <c r="M17" s="7"/>
      <c r="N17" s="7"/>
      <c r="O17" s="7">
        <f>(E16+1*(0.55/2)+G17)*D16</f>
        <v>7.625</v>
      </c>
      <c r="P17" s="7">
        <f t="shared" ref="P17:P26" si="5">O17*F17</f>
        <v>45.75</v>
      </c>
      <c r="Q17" s="7">
        <f>IF($D17='[2]Beam '!Q$44,$P17*'[2]Beam '!Q$45,0)</f>
        <v>0</v>
      </c>
      <c r="R17" s="7">
        <f>IF($D17='[2]Beam '!R$44,$P17*'[2]Beam '!R$45,0)</f>
        <v>0</v>
      </c>
      <c r="S17" s="7">
        <f>IF($D17='[2]Beam '!S$44,$P17*'[2]Beam '!S$45,0)</f>
        <v>0</v>
      </c>
      <c r="T17" s="7">
        <f>IF($D17='[2]Beam '!T$44,$P17*'[2]Beam '!T$45,0)</f>
        <v>0</v>
      </c>
      <c r="U17" s="7">
        <f>IF($D17='[2]Beam '!U$44,$P17*'[2]Beam '!U$45,0)</f>
        <v>112.87178571428571</v>
      </c>
      <c r="V17" s="7">
        <f>IF($D17='[2]Beam '!V$44,$P17*'[2]Beam '!V$45,0)</f>
        <v>0</v>
      </c>
      <c r="W17" s="7">
        <f>IF($D17='[2]Beam '!W$44,$P17*'[2]Beam '!W$45,0)</f>
        <v>0</v>
      </c>
      <c r="X17" s="7">
        <f t="shared" ref="X17:X26" si="6">SUM(Q17:W17)</f>
        <v>112.87178571428571</v>
      </c>
      <c r="Y17" s="7"/>
      <c r="Z17" s="7"/>
      <c r="AA17" s="7"/>
      <c r="AB17" s="7"/>
      <c r="AC17" s="7"/>
      <c r="AD17" s="7"/>
      <c r="AE17" s="7"/>
    </row>
    <row r="18" spans="1:32" s="9" customFormat="1" ht="20.100000000000001" customHeight="1" x14ac:dyDescent="0.25">
      <c r="A18" s="6"/>
      <c r="B18" s="10" t="s">
        <v>2</v>
      </c>
      <c r="C18" s="13" t="s">
        <v>5</v>
      </c>
      <c r="D18" s="7">
        <v>16</v>
      </c>
      <c r="E18" s="7"/>
      <c r="F18" s="7">
        <v>4</v>
      </c>
      <c r="G18" s="8">
        <f>VLOOKUP(D18,'[2]Beam '!$C$20:$H$26,3,0)</f>
        <v>0.625</v>
      </c>
      <c r="H18" s="8"/>
      <c r="I18" s="7"/>
      <c r="J18" s="7"/>
      <c r="K18" s="7"/>
      <c r="L18" s="7"/>
      <c r="M18" s="7"/>
      <c r="N18" s="7"/>
      <c r="O18" s="7">
        <f>(1.35+1*(0.55/2))*D16</f>
        <v>1.625</v>
      </c>
      <c r="P18" s="7">
        <f t="shared" si="5"/>
        <v>6.5</v>
      </c>
      <c r="Q18" s="7">
        <f>IF($D18='[2]Beam '!Q$44,$P18*'[2]Beam '!Q$45,0)</f>
        <v>0</v>
      </c>
      <c r="R18" s="7">
        <f>IF($D18='[2]Beam '!R$44,$P18*'[2]Beam '!R$45,0)</f>
        <v>0</v>
      </c>
      <c r="S18" s="7">
        <f>IF($D18='[2]Beam '!S$44,$P18*'[2]Beam '!S$45,0)</f>
        <v>0</v>
      </c>
      <c r="T18" s="7">
        <f>IF($D18='[2]Beam '!T$44,$P18*'[2]Beam '!T$45,0)</f>
        <v>10.263314285714287</v>
      </c>
      <c r="U18" s="7">
        <f>IF($D18='[2]Beam '!U$44,$P18*'[2]Beam '!U$45,0)</f>
        <v>0</v>
      </c>
      <c r="V18" s="7">
        <f>IF($D18='[2]Beam '!V$44,$P18*'[2]Beam '!V$45,0)</f>
        <v>0</v>
      </c>
      <c r="W18" s="7">
        <f>IF($D18='[2]Beam '!W$44,$P18*'[2]Beam '!W$45,0)</f>
        <v>0</v>
      </c>
      <c r="X18" s="7">
        <f t="shared" si="6"/>
        <v>10.263314285714287</v>
      </c>
      <c r="Y18" s="7"/>
      <c r="Z18" s="7"/>
      <c r="AA18" s="7"/>
      <c r="AB18" s="7"/>
      <c r="AC18" s="7"/>
      <c r="AD18" s="7"/>
      <c r="AE18" s="7"/>
    </row>
    <row r="19" spans="1:32" s="9" customFormat="1" ht="20.100000000000001" customHeight="1" x14ac:dyDescent="0.25">
      <c r="A19" s="6"/>
      <c r="B19" s="10" t="s">
        <v>2</v>
      </c>
      <c r="C19" s="13" t="s">
        <v>5</v>
      </c>
      <c r="D19" s="7">
        <v>20</v>
      </c>
      <c r="E19" s="7"/>
      <c r="F19" s="7">
        <v>2</v>
      </c>
      <c r="G19" s="8">
        <f>VLOOKUP(D19,'[2]Beam '!$C$20:$H$26,3,0)</f>
        <v>0.8</v>
      </c>
      <c r="H19" s="8"/>
      <c r="I19" s="7"/>
      <c r="J19" s="7"/>
      <c r="K19" s="7"/>
      <c r="L19" s="7"/>
      <c r="M19" s="7"/>
      <c r="N19" s="7"/>
      <c r="O19" s="7">
        <f>(1.35+1*(0.55/2))*D16</f>
        <v>1.625</v>
      </c>
      <c r="P19" s="7">
        <f t="shared" si="5"/>
        <v>3.25</v>
      </c>
      <c r="Q19" s="7">
        <f>IF($D19='[2]Beam '!Q$44,$P19*'[2]Beam '!Q$45,0)</f>
        <v>0</v>
      </c>
      <c r="R19" s="7">
        <f>IF($D19='[2]Beam '!R$44,$P19*'[2]Beam '!R$45,0)</f>
        <v>0</v>
      </c>
      <c r="S19" s="7">
        <f>IF($D19='[2]Beam '!S$44,$P19*'[2]Beam '!S$45,0)</f>
        <v>0</v>
      </c>
      <c r="T19" s="7">
        <f>IF($D19='[2]Beam '!T$44,$P19*'[2]Beam '!T$45,0)</f>
        <v>0</v>
      </c>
      <c r="U19" s="7">
        <f>IF($D19='[2]Beam '!U$44,$P19*'[2]Beam '!U$45,0)</f>
        <v>8.0182142857142864</v>
      </c>
      <c r="V19" s="7">
        <f>IF($D19='[2]Beam '!V$44,$P19*'[2]Beam '!V$45,0)</f>
        <v>0</v>
      </c>
      <c r="W19" s="7">
        <f>IF($D19='[2]Beam '!W$44,$P19*'[2]Beam '!W$45,0)</f>
        <v>0</v>
      </c>
      <c r="X19" s="7">
        <f t="shared" si="6"/>
        <v>8.0182142857142864</v>
      </c>
      <c r="Y19" s="7"/>
      <c r="Z19" s="7"/>
      <c r="AA19" s="7"/>
      <c r="AB19" s="7"/>
      <c r="AC19" s="7"/>
      <c r="AD19" s="7"/>
      <c r="AE19" s="7"/>
    </row>
    <row r="20" spans="1:32" s="9" customFormat="1" ht="20.100000000000001" customHeight="1" x14ac:dyDescent="0.25">
      <c r="A20" s="6"/>
      <c r="B20" s="10" t="s">
        <v>2</v>
      </c>
      <c r="C20" s="13" t="s">
        <v>6</v>
      </c>
      <c r="D20" s="7">
        <v>20</v>
      </c>
      <c r="E20" s="7"/>
      <c r="F20" s="7">
        <v>6</v>
      </c>
      <c r="G20" s="8">
        <f>VLOOKUP(D20,'[2]Beam '!$C$20:$H$26,3,0)</f>
        <v>0.8</v>
      </c>
      <c r="H20" s="7"/>
      <c r="I20" s="7"/>
      <c r="J20" s="7"/>
      <c r="K20" s="7"/>
      <c r="L20" s="7"/>
      <c r="M20" s="7"/>
      <c r="N20" s="7"/>
      <c r="O20" s="7">
        <f>(E16+2*(0.55/2))*D16</f>
        <v>7.1</v>
      </c>
      <c r="P20" s="7">
        <f t="shared" si="5"/>
        <v>42.599999999999994</v>
      </c>
      <c r="Q20" s="7">
        <f>IF($D20='[2]Beam '!Q$44,$P20*'[2]Beam '!Q$45,0)</f>
        <v>0</v>
      </c>
      <c r="R20" s="7">
        <f>IF($D20='[2]Beam '!R$44,$P20*'[2]Beam '!R$45,0)</f>
        <v>0</v>
      </c>
      <c r="S20" s="7">
        <f>IF($D20='[2]Beam '!S$44,$P20*'[2]Beam '!S$45,0)</f>
        <v>0</v>
      </c>
      <c r="T20" s="7">
        <f>IF($D20='[2]Beam '!T$44,$P20*'[2]Beam '!T$45,0)</f>
        <v>0</v>
      </c>
      <c r="U20" s="7">
        <f>IF($D20='[2]Beam '!U$44,$P20*'[2]Beam '!U$45,0)</f>
        <v>105.1002857142857</v>
      </c>
      <c r="V20" s="7">
        <f>IF($D20='[2]Beam '!V$44,$P20*'[2]Beam '!V$45,0)</f>
        <v>0</v>
      </c>
      <c r="W20" s="7">
        <f>IF($D20='[2]Beam '!W$44,$P20*'[2]Beam '!W$45,0)</f>
        <v>0</v>
      </c>
      <c r="X20" s="7">
        <f t="shared" si="6"/>
        <v>105.1002857142857</v>
      </c>
      <c r="Y20" s="7"/>
      <c r="Z20" s="7"/>
      <c r="AA20" s="7"/>
      <c r="AB20" s="7"/>
      <c r="AC20" s="7"/>
      <c r="AD20" s="7"/>
      <c r="AE20" s="7"/>
    </row>
    <row r="21" spans="1:32" s="14" customFormat="1" ht="20.100000000000001" customHeight="1" x14ac:dyDescent="0.3">
      <c r="A21" s="6"/>
      <c r="B21" s="10" t="s">
        <v>2</v>
      </c>
      <c r="C21" s="13" t="s">
        <v>13</v>
      </c>
      <c r="D21" s="7">
        <v>25</v>
      </c>
      <c r="E21" s="7"/>
      <c r="F21" s="7">
        <v>3</v>
      </c>
      <c r="G21" s="8">
        <f>VLOOKUP(D21,'[2]Beam '!$C$20:$H$26,3,0)</f>
        <v>1</v>
      </c>
      <c r="H21" s="7"/>
      <c r="I21" s="7"/>
      <c r="J21" s="7"/>
      <c r="K21" s="7"/>
      <c r="L21" s="7"/>
      <c r="M21" s="7"/>
      <c r="N21" s="7"/>
      <c r="O21" s="7">
        <f>(E16+1*(0.55/2))+G21*D16</f>
        <v>7.8250000000000002</v>
      </c>
      <c r="P21" s="7">
        <f t="shared" si="5"/>
        <v>23.475000000000001</v>
      </c>
      <c r="Q21" s="7">
        <f>IF($D21='[2]Beam '!Q$44,$P21*'[2]Beam '!Q$45,0)</f>
        <v>0</v>
      </c>
      <c r="R21" s="7">
        <f>IF($D21='[2]Beam '!R$44,$P21*'[2]Beam '!R$45,0)</f>
        <v>0</v>
      </c>
      <c r="S21" s="7">
        <f>IF($D21='[2]Beam '!S$44,$P21*'[2]Beam '!S$45,0)</f>
        <v>0</v>
      </c>
      <c r="T21" s="7">
        <f>IF($D21='[2]Beam '!T$44,$P21*'[2]Beam '!T$45,0)</f>
        <v>0</v>
      </c>
      <c r="U21" s="7">
        <f>IF($D21='[2]Beam '!U$44,$P21*'[2]Beam '!U$45,0)</f>
        <v>0</v>
      </c>
      <c r="V21" s="7">
        <f>IF($D21='[2]Beam '!V$44,$P21*'[2]Beam '!V$45,0)</f>
        <v>90.494029017857159</v>
      </c>
      <c r="W21" s="7">
        <f>IF($D21='[2]Beam '!W$44,$P21*'[2]Beam '!W$45,0)</f>
        <v>0</v>
      </c>
      <c r="X21" s="7">
        <f t="shared" si="6"/>
        <v>90.494029017857159</v>
      </c>
      <c r="Y21" s="7"/>
    </row>
    <row r="22" spans="1:32" s="14" customFormat="1" ht="20.100000000000001" customHeight="1" x14ac:dyDescent="0.25">
      <c r="A22" s="6"/>
      <c r="B22" s="10" t="s">
        <v>2</v>
      </c>
      <c r="C22" s="13" t="s">
        <v>7</v>
      </c>
      <c r="D22" s="7">
        <v>10</v>
      </c>
      <c r="E22" s="7">
        <v>0.1</v>
      </c>
      <c r="F22" s="7">
        <f>ROUND(IF(E16/3&gt;(2*G16),(E16/3)/E22,(2*G16)/E22),0)*2+1</f>
        <v>45</v>
      </c>
      <c r="G22" s="9"/>
      <c r="H22" s="7"/>
      <c r="I22" s="7"/>
      <c r="J22" s="7"/>
      <c r="K22" s="7"/>
      <c r="L22" s="7"/>
      <c r="M22" s="7"/>
      <c r="N22" s="7"/>
      <c r="O22" s="7">
        <f>(2*((G16-(2*'[2]Beam '!$D$11))+(F16-(2*'[2]Beam '!$D$11)))+(2*10*D22/1000))*D16</f>
        <v>2.7600000000000002</v>
      </c>
      <c r="P22" s="7">
        <f t="shared" si="5"/>
        <v>124.20000000000002</v>
      </c>
      <c r="Q22" s="7">
        <f>IF($D22='[2]Beam '!Q$44,$P22*'[2]Beam '!Q$45,0)</f>
        <v>0</v>
      </c>
      <c r="R22" s="7">
        <f>IF($D22='[2]Beam '!R$44,$P22*'[2]Beam '!R$45,0)</f>
        <v>76.604785714285725</v>
      </c>
      <c r="S22" s="7">
        <f>IF($D22='[2]Beam '!S$44,$P22*'[2]Beam '!S$45,0)</f>
        <v>0</v>
      </c>
      <c r="T22" s="7">
        <f>IF($D22='[2]Beam '!T$44,$P22*'[2]Beam '!T$45,0)</f>
        <v>0</v>
      </c>
      <c r="U22" s="7">
        <f>IF($D22='[2]Beam '!U$44,$P22*'[2]Beam '!U$45,0)</f>
        <v>0</v>
      </c>
      <c r="V22" s="7">
        <f>IF($D22='[2]Beam '!V$44,$P22*'[2]Beam '!V$45,0)</f>
        <v>0</v>
      </c>
      <c r="W22" s="7">
        <f>IF($D22='[2]Beam '!W$44,$P22*'[2]Beam '!W$45,0)</f>
        <v>0</v>
      </c>
      <c r="X22" s="7">
        <f t="shared" si="6"/>
        <v>76.604785714285725</v>
      </c>
      <c r="Y22" s="7"/>
    </row>
    <row r="23" spans="1:32" s="14" customFormat="1" ht="20.100000000000001" customHeight="1" x14ac:dyDescent="0.25">
      <c r="B23" s="10" t="s">
        <v>2</v>
      </c>
      <c r="C23" s="13" t="s">
        <v>8</v>
      </c>
      <c r="D23" s="14">
        <f>D22</f>
        <v>10</v>
      </c>
      <c r="E23" s="14">
        <v>0.15</v>
      </c>
      <c r="F23" s="14">
        <f>ROUND((E16-(IF(E16/3&gt;2*G16,E16/3*2,G16*2*2)))/E23,0)</f>
        <v>15</v>
      </c>
      <c r="G23" s="9"/>
      <c r="O23" s="7">
        <f>(2*((G16-(2*'[2]Beam '!$D$11))+(F16-(2*'[2]Beam '!$D$11)))+(2*10*D23/1000))*D16</f>
        <v>2.7600000000000002</v>
      </c>
      <c r="P23" s="7">
        <f t="shared" si="5"/>
        <v>41.400000000000006</v>
      </c>
      <c r="Q23" s="7">
        <f>IF($D23='[2]Beam '!Q$44,$P23*'[2]Beam '!Q$45,0)</f>
        <v>0</v>
      </c>
      <c r="R23" s="7">
        <f>IF($D23='[2]Beam '!R$44,$P23*'[2]Beam '!R$45,0)</f>
        <v>25.534928571428573</v>
      </c>
      <c r="S23" s="7">
        <f>IF($D23='[2]Beam '!S$44,$P23*'[2]Beam '!S$45,0)</f>
        <v>0</v>
      </c>
      <c r="T23" s="7">
        <f>IF($D23='[2]Beam '!T$44,$P23*'[2]Beam '!T$45,0)</f>
        <v>0</v>
      </c>
      <c r="U23" s="7">
        <f>IF($D23='[2]Beam '!U$44,$P23*'[2]Beam '!U$45,0)</f>
        <v>0</v>
      </c>
      <c r="V23" s="7">
        <f>IF($D23='[2]Beam '!V$44,$P23*'[2]Beam '!V$45,0)</f>
        <v>0</v>
      </c>
      <c r="W23" s="7">
        <f>IF($D23='[2]Beam '!W$44,$P23*'[2]Beam '!W$45,0)</f>
        <v>0</v>
      </c>
      <c r="X23" s="7">
        <f t="shared" si="6"/>
        <v>25.534928571428573</v>
      </c>
    </row>
    <row r="24" spans="1:32" s="9" customFormat="1" ht="20.100000000000001" customHeight="1" x14ac:dyDescent="0.25">
      <c r="A24" s="14"/>
      <c r="B24" s="10" t="s">
        <v>2</v>
      </c>
      <c r="C24" s="13" t="s">
        <v>9</v>
      </c>
      <c r="D24" s="14">
        <f>D22</f>
        <v>10</v>
      </c>
      <c r="E24" s="14">
        <f>+E22</f>
        <v>0.1</v>
      </c>
      <c r="F24" s="7">
        <f>ROUND(IF(E16/3&gt;(2*G16),(E16/3)/E24,(2*G16)/E24),0)*2+1</f>
        <v>45</v>
      </c>
      <c r="H24" s="14"/>
      <c r="I24" s="14"/>
      <c r="J24" s="14"/>
      <c r="K24" s="14"/>
      <c r="L24" s="14"/>
      <c r="M24" s="14"/>
      <c r="N24" s="14"/>
      <c r="O24" s="7">
        <f>(2*(((F16-'[2]Beam '!$D$11*2)/(F17-1))+(G16-'[2]Beam '!$D$11*2))+(2*10*D24/1000))*D16</f>
        <v>1.8959999999999999</v>
      </c>
      <c r="P24" s="7">
        <f t="shared" si="5"/>
        <v>85.32</v>
      </c>
      <c r="Q24" s="7">
        <f>IF($D24='[2]Beam '!Q$44,$P24*'[2]Beam '!Q$45,0)</f>
        <v>0</v>
      </c>
      <c r="R24" s="7">
        <f>IF($D24='[2]Beam '!R$44,$P24*'[2]Beam '!R$45,0)</f>
        <v>52.624157142857136</v>
      </c>
      <c r="S24" s="7">
        <f>IF($D24='[2]Beam '!S$44,$P24*'[2]Beam '!S$45,0)</f>
        <v>0</v>
      </c>
      <c r="T24" s="7">
        <f>IF($D24='[2]Beam '!T$44,$P24*'[2]Beam '!T$45,0)</f>
        <v>0</v>
      </c>
      <c r="U24" s="7">
        <f>IF($D24='[2]Beam '!U$44,$P24*'[2]Beam '!U$45,0)</f>
        <v>0</v>
      </c>
      <c r="V24" s="7">
        <f>IF($D24='[2]Beam '!V$44,$P24*'[2]Beam '!V$45,0)</f>
        <v>0</v>
      </c>
      <c r="W24" s="7">
        <f>IF($D24='[2]Beam '!W$44,$P24*'[2]Beam '!W$45,0)</f>
        <v>0</v>
      </c>
      <c r="X24" s="7">
        <f t="shared" si="6"/>
        <v>52.624157142857136</v>
      </c>
      <c r="Y24" s="14"/>
      <c r="Z24" s="7"/>
      <c r="AA24" s="7"/>
      <c r="AB24" s="7"/>
      <c r="AC24" s="7"/>
      <c r="AD24" s="7"/>
      <c r="AE24" s="7"/>
    </row>
    <row r="25" spans="1:32" s="9" customFormat="1" ht="21" customHeight="1" x14ac:dyDescent="0.25">
      <c r="A25" s="14"/>
      <c r="B25" s="10" t="s">
        <v>2</v>
      </c>
      <c r="C25" s="13" t="s">
        <v>10</v>
      </c>
      <c r="D25" s="14">
        <f>D23</f>
        <v>10</v>
      </c>
      <c r="E25" s="14">
        <f>+E23</f>
        <v>0.15</v>
      </c>
      <c r="F25" s="14">
        <f>ROUND((E16-(IF(E16/3&gt;2*G16,E16/3*2,G16*2*2)))/E25,0)</f>
        <v>15</v>
      </c>
      <c r="H25" s="14"/>
      <c r="I25" s="14"/>
      <c r="J25" s="14"/>
      <c r="K25" s="14"/>
      <c r="L25" s="14"/>
      <c r="M25" s="14"/>
      <c r="N25" s="14"/>
      <c r="O25" s="7">
        <f>(2*(((F16-'[2]Beam '!$D$11*2)/(F17-1))+(G16-'[2]Beam '!$D$11*2))+(2*10*D25/1000))*D16</f>
        <v>1.8959999999999999</v>
      </c>
      <c r="P25" s="7">
        <f t="shared" si="5"/>
        <v>28.439999999999998</v>
      </c>
      <c r="Q25" s="7">
        <f>IF($D25='[2]Beam '!Q$44,$P25*'[2]Beam '!Q$45,0)</f>
        <v>0</v>
      </c>
      <c r="R25" s="7">
        <f>IF($D25='[2]Beam '!R$44,$P25*'[2]Beam '!R$45,0)</f>
        <v>17.541385714285713</v>
      </c>
      <c r="S25" s="7">
        <f>IF($D25='[2]Beam '!S$44,$P25*'[2]Beam '!S$45,0)</f>
        <v>0</v>
      </c>
      <c r="T25" s="7">
        <f>IF($D25='[2]Beam '!T$44,$P25*'[2]Beam '!T$45,0)</f>
        <v>0</v>
      </c>
      <c r="U25" s="7">
        <f>IF($D25='[2]Beam '!U$44,$P25*'[2]Beam '!U$45,0)</f>
        <v>0</v>
      </c>
      <c r="V25" s="7">
        <f>IF($D25='[2]Beam '!V$44,$P25*'[2]Beam '!V$45,0)</f>
        <v>0</v>
      </c>
      <c r="W25" s="7">
        <f>IF($D25='[2]Beam '!W$44,$P25*'[2]Beam '!W$45,0)</f>
        <v>0</v>
      </c>
      <c r="X25" s="7">
        <f t="shared" si="6"/>
        <v>17.541385714285713</v>
      </c>
      <c r="Y25" s="14"/>
      <c r="Z25" s="7"/>
      <c r="AA25" s="7"/>
      <c r="AB25" s="7"/>
      <c r="AC25" s="7"/>
      <c r="AD25" s="7"/>
      <c r="AE25" s="7"/>
      <c r="AF25" s="7"/>
    </row>
    <row r="26" spans="1:32" s="9" customFormat="1" ht="20.100000000000001" customHeight="1" x14ac:dyDescent="0.25">
      <c r="A26" s="6"/>
      <c r="B26" s="10" t="s">
        <v>2</v>
      </c>
      <c r="C26" s="13" t="s">
        <v>11</v>
      </c>
      <c r="D26" s="7">
        <f>+'[2]Beam '!$D$15</f>
        <v>25</v>
      </c>
      <c r="E26" s="7">
        <f>+'[2]Beam '!$E$15</f>
        <v>1</v>
      </c>
      <c r="F26" s="7">
        <f>ROUNDUP((1.35+1.35)/E26,0)</f>
        <v>3</v>
      </c>
      <c r="G26" s="8"/>
      <c r="H26" s="8"/>
      <c r="I26" s="7"/>
      <c r="J26" s="7"/>
      <c r="K26" s="7"/>
      <c r="L26" s="7"/>
      <c r="M26" s="7"/>
      <c r="N26" s="7"/>
      <c r="O26" s="7">
        <f>F16-'[2]Beam '!$F$15</f>
        <v>0.54</v>
      </c>
      <c r="P26" s="7">
        <f t="shared" si="5"/>
        <v>1.62</v>
      </c>
      <c r="Q26" s="7">
        <f>IF($D26='[2]Beam '!Q$44,$P26*'[2]Beam '!Q$45,0)</f>
        <v>0</v>
      </c>
      <c r="R26" s="7">
        <f>IF($D26='[2]Beam '!R$44,$P26*'[2]Beam '!R$45,0)</f>
        <v>0</v>
      </c>
      <c r="S26" s="7">
        <f>IF($D26='[2]Beam '!S$44,$P26*'[2]Beam '!S$45,0)</f>
        <v>0</v>
      </c>
      <c r="T26" s="7">
        <f>IF($D26='[2]Beam '!T$44,$P26*'[2]Beam '!T$45,0)</f>
        <v>0</v>
      </c>
      <c r="U26" s="7">
        <f>IF($D26='[2]Beam '!U$44,$P26*'[2]Beam '!U$45,0)</f>
        <v>0</v>
      </c>
      <c r="V26" s="7">
        <f>IF($D26='[2]Beam '!V$44,$P26*'[2]Beam '!V$45,0)</f>
        <v>6.2449553571428584</v>
      </c>
      <c r="W26" s="7">
        <f>IF($D26='[2]Beam '!W$44,$P26*'[2]Beam '!W$45,0)</f>
        <v>0</v>
      </c>
      <c r="X26" s="7">
        <f t="shared" si="6"/>
        <v>6.2449553571428584</v>
      </c>
      <c r="Y26" s="7"/>
      <c r="Z26" s="7"/>
      <c r="AA26" s="7"/>
      <c r="AB26" s="7"/>
      <c r="AC26" s="7"/>
      <c r="AD26" s="7"/>
      <c r="AE26" s="7"/>
    </row>
    <row r="27" spans="1:32" s="9" customFormat="1" ht="20.100000000000001" customHeight="1" x14ac:dyDescent="0.25">
      <c r="A27" s="7" t="e">
        <f>+#REF!+1</f>
        <v>#REF!</v>
      </c>
      <c r="B27" s="10" t="s">
        <v>2</v>
      </c>
      <c r="C27" s="11" t="s">
        <v>14</v>
      </c>
      <c r="D27" s="11">
        <v>1</v>
      </c>
      <c r="E27" s="11">
        <v>3.05</v>
      </c>
      <c r="F27" s="11">
        <v>0.6</v>
      </c>
      <c r="G27" s="11">
        <v>1.05</v>
      </c>
      <c r="H27" s="7">
        <f>G27-0.2</f>
        <v>0.85000000000000009</v>
      </c>
      <c r="I27" s="7">
        <f>E27*F27*G27*D27</f>
        <v>1.9215</v>
      </c>
      <c r="J27" s="7">
        <f>(2*(E27)*H27*D27)+(E27*F27)</f>
        <v>7.0150000000000006</v>
      </c>
      <c r="K27" s="12">
        <f>IF(E27=0.3,J27,0)</f>
        <v>0</v>
      </c>
      <c r="L27" s="12">
        <f>IF(AND(E27&gt;0.3,E27&lt;=0.75),J27,0)</f>
        <v>0</v>
      </c>
      <c r="M27" s="12">
        <f>IF(AND(E27&gt;0.75,E27&lt;=1.2),J27,0)</f>
        <v>0</v>
      </c>
      <c r="N27" s="12">
        <f>IF(E27&gt;1.2,J27,0)</f>
        <v>7.0150000000000006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>
        <f>SUM(X28:X35)/I27</f>
        <v>124.20777108657673</v>
      </c>
      <c r="Z27" s="7"/>
      <c r="AA27" s="7"/>
      <c r="AB27" s="7"/>
      <c r="AC27" s="7"/>
      <c r="AD27" s="7"/>
      <c r="AE27" s="7"/>
    </row>
    <row r="28" spans="1:32" s="9" customFormat="1" ht="20.100000000000001" customHeight="1" x14ac:dyDescent="0.25">
      <c r="A28" s="6"/>
      <c r="B28" s="10" t="s">
        <v>2</v>
      </c>
      <c r="C28" s="13" t="s">
        <v>4</v>
      </c>
      <c r="D28" s="7">
        <v>20</v>
      </c>
      <c r="E28" s="7"/>
      <c r="F28" s="7">
        <v>6</v>
      </c>
      <c r="G28" s="8">
        <f>VLOOKUP(D28,'[2]Beam '!$C$20:$H$26,3,0)</f>
        <v>0.8</v>
      </c>
      <c r="H28" s="8"/>
      <c r="I28" s="7"/>
      <c r="J28" s="7"/>
      <c r="K28" s="7"/>
      <c r="L28" s="7"/>
      <c r="M28" s="7"/>
      <c r="N28" s="7"/>
      <c r="O28" s="7">
        <f>(E27+2*(G28))*D27</f>
        <v>4.6500000000000004</v>
      </c>
      <c r="P28" s="7">
        <f t="shared" ref="P28:P35" si="7">O28*F28</f>
        <v>27.900000000000002</v>
      </c>
      <c r="Q28" s="7">
        <f>IF($D28='[2]Beam '!Q$44,$P28*'[2]Beam '!Q$45,0)</f>
        <v>0</v>
      </c>
      <c r="R28" s="7">
        <f>IF($D28='[2]Beam '!R$44,$P28*'[2]Beam '!R$45,0)</f>
        <v>0</v>
      </c>
      <c r="S28" s="7">
        <f>IF($D28='[2]Beam '!S$44,$P28*'[2]Beam '!S$45,0)</f>
        <v>0</v>
      </c>
      <c r="T28" s="7">
        <f>IF($D28='[2]Beam '!T$44,$P28*'[2]Beam '!T$45,0)</f>
        <v>0</v>
      </c>
      <c r="U28" s="7">
        <f>IF($D28='[2]Beam '!U$44,$P28*'[2]Beam '!U$45,0)</f>
        <v>68.833285714285722</v>
      </c>
      <c r="V28" s="7">
        <f>IF($D28='[2]Beam '!V$44,$P28*'[2]Beam '!V$45,0)</f>
        <v>0</v>
      </c>
      <c r="W28" s="7">
        <f>IF($D28='[2]Beam '!W$44,$P28*'[2]Beam '!W$45,0)</f>
        <v>0</v>
      </c>
      <c r="X28" s="7">
        <f t="shared" ref="X28:X35" si="8">SUM(Q28:W28)</f>
        <v>68.833285714285722</v>
      </c>
      <c r="Y28" s="7"/>
      <c r="Z28" s="7"/>
      <c r="AA28" s="7"/>
      <c r="AB28" s="7"/>
      <c r="AC28" s="7"/>
      <c r="AD28" s="7"/>
      <c r="AE28" s="7"/>
    </row>
    <row r="29" spans="1:32" s="9" customFormat="1" ht="20.100000000000001" customHeight="1" x14ac:dyDescent="0.25">
      <c r="A29" s="6"/>
      <c r="B29" s="10" t="s">
        <v>2</v>
      </c>
      <c r="C29" s="13" t="s">
        <v>5</v>
      </c>
      <c r="D29" s="7">
        <v>20</v>
      </c>
      <c r="E29" s="7"/>
      <c r="F29" s="7">
        <v>2</v>
      </c>
      <c r="G29" s="8">
        <f>VLOOKUP(D29,'[2]Beam '!$C$20:$H$26,3,0)</f>
        <v>0.8</v>
      </c>
      <c r="H29" s="8"/>
      <c r="I29" s="7"/>
      <c r="J29" s="7"/>
      <c r="K29" s="7"/>
      <c r="L29" s="7"/>
      <c r="M29" s="7"/>
      <c r="N29" s="7"/>
      <c r="O29" s="7">
        <f>(1.35+1*(G29+(12*D29/1000))*D27)</f>
        <v>2.39</v>
      </c>
      <c r="P29" s="7">
        <f t="shared" si="7"/>
        <v>4.78</v>
      </c>
      <c r="Q29" s="7">
        <f>IF($D29='[2]Beam '!Q$44,$P29*'[2]Beam '!Q$45,0)</f>
        <v>0</v>
      </c>
      <c r="R29" s="7">
        <f>IF($D29='[2]Beam '!R$44,$P29*'[2]Beam '!R$45,0)</f>
        <v>0</v>
      </c>
      <c r="S29" s="7">
        <f>IF($D29='[2]Beam '!S$44,$P29*'[2]Beam '!S$45,0)</f>
        <v>0</v>
      </c>
      <c r="T29" s="7">
        <f>IF($D29='[2]Beam '!T$44,$P29*'[2]Beam '!T$45,0)</f>
        <v>0</v>
      </c>
      <c r="U29" s="7">
        <f>IF($D29='[2]Beam '!U$44,$P29*'[2]Beam '!U$45,0)</f>
        <v>11.792942857142858</v>
      </c>
      <c r="V29" s="7">
        <f>IF($D29='[2]Beam '!V$44,$P29*'[2]Beam '!V$45,0)</f>
        <v>0</v>
      </c>
      <c r="W29" s="7">
        <f>IF($D29='[2]Beam '!W$44,$P29*'[2]Beam '!W$45,0)</f>
        <v>0</v>
      </c>
      <c r="X29" s="7">
        <f t="shared" si="8"/>
        <v>11.792942857142858</v>
      </c>
      <c r="Y29" s="7"/>
      <c r="Z29" s="7"/>
      <c r="AA29" s="7"/>
      <c r="AB29" s="7"/>
      <c r="AC29" s="7"/>
      <c r="AD29" s="7"/>
      <c r="AE29" s="7"/>
    </row>
    <row r="30" spans="1:32" s="14" customFormat="1" ht="20.100000000000001" customHeight="1" x14ac:dyDescent="0.3">
      <c r="A30" s="6"/>
      <c r="B30" s="10" t="s">
        <v>2</v>
      </c>
      <c r="C30" s="13" t="s">
        <v>6</v>
      </c>
      <c r="D30" s="7">
        <v>20</v>
      </c>
      <c r="E30" s="7"/>
      <c r="F30" s="7">
        <v>6</v>
      </c>
      <c r="G30" s="8">
        <f>VLOOKUP(D30,'[2]Beam '!$C$20:$H$26,3,0)</f>
        <v>0.8</v>
      </c>
      <c r="H30" s="7"/>
      <c r="I30" s="7"/>
      <c r="J30" s="7"/>
      <c r="K30" s="7"/>
      <c r="L30" s="7"/>
      <c r="M30" s="7"/>
      <c r="N30" s="7"/>
      <c r="O30" s="7">
        <f>(E27+1*(0.55/2)*D27)</f>
        <v>3.3249999999999997</v>
      </c>
      <c r="P30" s="7">
        <f t="shared" si="7"/>
        <v>19.95</v>
      </c>
      <c r="Q30" s="7">
        <f>IF($D30='[2]Beam '!Q$44,$P30*'[2]Beam '!Q$45,0)</f>
        <v>0</v>
      </c>
      <c r="R30" s="7">
        <f>IF($D30='[2]Beam '!R$44,$P30*'[2]Beam '!R$45,0)</f>
        <v>0</v>
      </c>
      <c r="S30" s="7">
        <f>IF($D30='[2]Beam '!S$44,$P30*'[2]Beam '!S$45,0)</f>
        <v>0</v>
      </c>
      <c r="T30" s="7">
        <f>IF($D30='[2]Beam '!T$44,$P30*'[2]Beam '!T$45,0)</f>
        <v>0</v>
      </c>
      <c r="U30" s="7">
        <f>IF($D30='[2]Beam '!U$44,$P30*'[2]Beam '!U$45,0)</f>
        <v>49.219499999999996</v>
      </c>
      <c r="V30" s="7">
        <f>IF($D30='[2]Beam '!V$44,$P30*'[2]Beam '!V$45,0)</f>
        <v>0</v>
      </c>
      <c r="W30" s="7">
        <f>IF($D30='[2]Beam '!W$44,$P30*'[2]Beam '!W$45,0)</f>
        <v>0</v>
      </c>
      <c r="X30" s="7">
        <f t="shared" si="8"/>
        <v>49.219499999999996</v>
      </c>
      <c r="Y30" s="7"/>
    </row>
    <row r="31" spans="1:32" s="14" customFormat="1" ht="20.100000000000001" customHeight="1" x14ac:dyDescent="0.25">
      <c r="A31" s="6"/>
      <c r="B31" s="10" t="s">
        <v>2</v>
      </c>
      <c r="C31" s="13" t="s">
        <v>7</v>
      </c>
      <c r="D31" s="7">
        <v>10</v>
      </c>
      <c r="E31" s="7">
        <v>0.1</v>
      </c>
      <c r="F31" s="7">
        <f>ROUNDUP((E27/3*2)/E31,0)+1</f>
        <v>22</v>
      </c>
      <c r="G31" s="9"/>
      <c r="H31" s="7"/>
      <c r="I31" s="7"/>
      <c r="J31" s="7"/>
      <c r="K31" s="7"/>
      <c r="L31" s="7"/>
      <c r="M31" s="7"/>
      <c r="N31" s="7"/>
      <c r="O31" s="7">
        <f>(2*((G27-(2*'[2]Beam '!$D$11))+(F27-(2*'[2]Beam '!$D$11)))+(2*10*D31/1000))*D27</f>
        <v>3.2600000000000002</v>
      </c>
      <c r="P31" s="7">
        <f t="shared" si="7"/>
        <v>71.72</v>
      </c>
      <c r="Q31" s="7">
        <f>IF($D31='[2]Beam '!Q$44,$P31*'[2]Beam '!Q$45,0)</f>
        <v>0</v>
      </c>
      <c r="R31" s="7">
        <f>IF($D31='[2]Beam '!R$44,$P31*'[2]Beam '!R$45,0)</f>
        <v>44.235871428571429</v>
      </c>
      <c r="S31" s="7">
        <f>IF($D31='[2]Beam '!S$44,$P31*'[2]Beam '!S$45,0)</f>
        <v>0</v>
      </c>
      <c r="T31" s="7">
        <f>IF($D31='[2]Beam '!T$44,$P31*'[2]Beam '!T$45,0)</f>
        <v>0</v>
      </c>
      <c r="U31" s="7">
        <f>IF($D31='[2]Beam '!U$44,$P31*'[2]Beam '!U$45,0)</f>
        <v>0</v>
      </c>
      <c r="V31" s="7">
        <f>IF($D31='[2]Beam '!V$44,$P31*'[2]Beam '!V$45,0)</f>
        <v>0</v>
      </c>
      <c r="W31" s="7">
        <f>IF($D31='[2]Beam '!W$44,$P31*'[2]Beam '!W$45,0)</f>
        <v>0</v>
      </c>
      <c r="X31" s="7">
        <f t="shared" si="8"/>
        <v>44.235871428571429</v>
      </c>
      <c r="Y31" s="7"/>
    </row>
    <row r="32" spans="1:32" s="14" customFormat="1" ht="20.100000000000001" customHeight="1" x14ac:dyDescent="0.25">
      <c r="B32" s="10" t="s">
        <v>2</v>
      </c>
      <c r="C32" s="13" t="s">
        <v>8</v>
      </c>
      <c r="D32" s="14">
        <f>D31</f>
        <v>10</v>
      </c>
      <c r="E32" s="14">
        <v>0.15</v>
      </c>
      <c r="F32" s="7">
        <f>ROUNDUP((E27/3)/E32,0)+1</f>
        <v>8</v>
      </c>
      <c r="G32" s="9"/>
      <c r="O32" s="7">
        <f>(2*((G27-(2*'[2]Beam '!$D$11))+(F27-(2*'[2]Beam '!$D$11)))+(2*10*D32/1000))*D27</f>
        <v>3.2600000000000002</v>
      </c>
      <c r="P32" s="7">
        <f t="shared" si="7"/>
        <v>26.080000000000002</v>
      </c>
      <c r="Q32" s="7">
        <f>IF($D32='[2]Beam '!Q$44,$P32*'[2]Beam '!Q$45,0)</f>
        <v>0</v>
      </c>
      <c r="R32" s="7">
        <f>IF($D32='[2]Beam '!R$44,$P32*'[2]Beam '!R$45,0)</f>
        <v>16.08577142857143</v>
      </c>
      <c r="S32" s="7">
        <f>IF($D32='[2]Beam '!S$44,$P32*'[2]Beam '!S$45,0)</f>
        <v>0</v>
      </c>
      <c r="T32" s="7">
        <f>IF($D32='[2]Beam '!T$44,$P32*'[2]Beam '!T$45,0)</f>
        <v>0</v>
      </c>
      <c r="U32" s="7">
        <f>IF($D32='[2]Beam '!U$44,$P32*'[2]Beam '!U$45,0)</f>
        <v>0</v>
      </c>
      <c r="V32" s="7">
        <f>IF($D32='[2]Beam '!V$44,$P32*'[2]Beam '!V$45,0)</f>
        <v>0</v>
      </c>
      <c r="W32" s="7">
        <f>IF($D32='[2]Beam '!W$44,$P32*'[2]Beam '!W$45,0)</f>
        <v>0</v>
      </c>
      <c r="X32" s="7">
        <f t="shared" si="8"/>
        <v>16.08577142857143</v>
      </c>
    </row>
    <row r="33" spans="1:32" s="9" customFormat="1" ht="20.100000000000001" customHeight="1" x14ac:dyDescent="0.25">
      <c r="A33" s="14"/>
      <c r="B33" s="10" t="s">
        <v>2</v>
      </c>
      <c r="C33" s="13" t="s">
        <v>9</v>
      </c>
      <c r="D33" s="14">
        <f>D31</f>
        <v>10</v>
      </c>
      <c r="E33" s="14">
        <f>+E31</f>
        <v>0.1</v>
      </c>
      <c r="F33" s="7">
        <f>ROUNDUP((E27/3*2)/E33,0)+1</f>
        <v>22</v>
      </c>
      <c r="H33" s="14"/>
      <c r="I33" s="14"/>
      <c r="J33" s="14"/>
      <c r="K33" s="14"/>
      <c r="L33" s="14"/>
      <c r="M33" s="14"/>
      <c r="N33" s="14"/>
      <c r="O33" s="7">
        <f>(2*(((F27-'[2]Beam '!$D$11*2)/(F28-1))+(G27-'[2]Beam '!$D$11*2))+(2*10*D33/1000))*D27</f>
        <v>2.3960000000000004</v>
      </c>
      <c r="P33" s="7">
        <f t="shared" si="7"/>
        <v>52.71200000000001</v>
      </c>
      <c r="Q33" s="7">
        <f>IF($D33='[2]Beam '!Q$44,$P33*'[2]Beam '!Q$45,0)</f>
        <v>0</v>
      </c>
      <c r="R33" s="7">
        <f>IF($D33='[2]Beam '!R$44,$P33*'[2]Beam '!R$45,0)</f>
        <v>32.512008571428574</v>
      </c>
      <c r="S33" s="7">
        <f>IF($D33='[2]Beam '!S$44,$P33*'[2]Beam '!S$45,0)</f>
        <v>0</v>
      </c>
      <c r="T33" s="7">
        <f>IF($D33='[2]Beam '!T$44,$P33*'[2]Beam '!T$45,0)</f>
        <v>0</v>
      </c>
      <c r="U33" s="7">
        <f>IF($D33='[2]Beam '!U$44,$P33*'[2]Beam '!U$45,0)</f>
        <v>0</v>
      </c>
      <c r="V33" s="7">
        <f>IF($D33='[2]Beam '!V$44,$P33*'[2]Beam '!V$45,0)</f>
        <v>0</v>
      </c>
      <c r="W33" s="7">
        <f>IF($D33='[2]Beam '!W$44,$P33*'[2]Beam '!W$45,0)</f>
        <v>0</v>
      </c>
      <c r="X33" s="7">
        <f t="shared" si="8"/>
        <v>32.512008571428574</v>
      </c>
      <c r="Y33" s="14"/>
      <c r="Z33" s="7"/>
      <c r="AA33" s="7"/>
      <c r="AB33" s="7"/>
      <c r="AC33" s="7"/>
      <c r="AD33" s="7"/>
      <c r="AE33" s="7"/>
    </row>
    <row r="34" spans="1:32" s="9" customFormat="1" ht="21" customHeight="1" x14ac:dyDescent="0.25">
      <c r="A34" s="14"/>
      <c r="B34" s="10" t="s">
        <v>2</v>
      </c>
      <c r="C34" s="13" t="s">
        <v>10</v>
      </c>
      <c r="D34" s="14">
        <f>D32</f>
        <v>10</v>
      </c>
      <c r="E34" s="14">
        <f>+E32</f>
        <v>0.15</v>
      </c>
      <c r="F34" s="7">
        <f>ROUNDUP((E27/3)/E34,0)+1</f>
        <v>8</v>
      </c>
      <c r="H34" s="14"/>
      <c r="I34" s="14"/>
      <c r="J34" s="14"/>
      <c r="K34" s="14"/>
      <c r="L34" s="14"/>
      <c r="M34" s="14"/>
      <c r="N34" s="14"/>
      <c r="O34" s="7">
        <f>(2*(((F27-'[2]Beam '!$D$11*2)/(F28-1))+(G27-'[2]Beam '!$D$11*2))+(2*10*D34/1000))*D27</f>
        <v>2.3960000000000004</v>
      </c>
      <c r="P34" s="7">
        <f t="shared" si="7"/>
        <v>19.168000000000003</v>
      </c>
      <c r="Q34" s="7">
        <f>IF($D34='[2]Beam '!Q$44,$P34*'[2]Beam '!Q$45,0)</f>
        <v>0</v>
      </c>
      <c r="R34" s="7">
        <f>IF($D34='[2]Beam '!R$44,$P34*'[2]Beam '!R$45,0)</f>
        <v>11.822548571428573</v>
      </c>
      <c r="S34" s="7">
        <f>IF($D34='[2]Beam '!S$44,$P34*'[2]Beam '!S$45,0)</f>
        <v>0</v>
      </c>
      <c r="T34" s="7">
        <f>IF($D34='[2]Beam '!T$44,$P34*'[2]Beam '!T$45,0)</f>
        <v>0</v>
      </c>
      <c r="U34" s="7">
        <f>IF($D34='[2]Beam '!U$44,$P34*'[2]Beam '!U$45,0)</f>
        <v>0</v>
      </c>
      <c r="V34" s="7">
        <f>IF($D34='[2]Beam '!V$44,$P34*'[2]Beam '!V$45,0)</f>
        <v>0</v>
      </c>
      <c r="W34" s="7">
        <f>IF($D34='[2]Beam '!W$44,$P34*'[2]Beam '!W$45,0)</f>
        <v>0</v>
      </c>
      <c r="X34" s="7">
        <f t="shared" si="8"/>
        <v>11.822548571428573</v>
      </c>
      <c r="Y34" s="14"/>
      <c r="Z34" s="7"/>
      <c r="AA34" s="7"/>
      <c r="AB34" s="7"/>
      <c r="AC34" s="7"/>
      <c r="AD34" s="7"/>
      <c r="AE34" s="7"/>
      <c r="AF34" s="7"/>
    </row>
    <row r="35" spans="1:32" s="9" customFormat="1" ht="20.100000000000001" customHeight="1" x14ac:dyDescent="0.25">
      <c r="A35" s="6"/>
      <c r="B35" s="10" t="s">
        <v>2</v>
      </c>
      <c r="C35" s="13" t="s">
        <v>11</v>
      </c>
      <c r="D35" s="7">
        <f>+'[2]Beam '!$D$15</f>
        <v>25</v>
      </c>
      <c r="E35" s="7">
        <f>+'[2]Beam '!$E$15</f>
        <v>1</v>
      </c>
      <c r="F35" s="7">
        <f>ROUNDUP((1.35)/E35,0)</f>
        <v>2</v>
      </c>
      <c r="G35" s="8"/>
      <c r="H35" s="8"/>
      <c r="I35" s="7"/>
      <c r="J35" s="7"/>
      <c r="K35" s="7"/>
      <c r="L35" s="7"/>
      <c r="M35" s="7"/>
      <c r="N35" s="7"/>
      <c r="O35" s="7">
        <f>F27-'[2]Beam '!$F$15</f>
        <v>0.54</v>
      </c>
      <c r="P35" s="7">
        <f t="shared" si="7"/>
        <v>1.08</v>
      </c>
      <c r="Q35" s="7">
        <f>IF($D35='[2]Beam '!Q$44,$P35*'[2]Beam '!Q$45,0)</f>
        <v>0</v>
      </c>
      <c r="R35" s="7">
        <f>IF($D35='[2]Beam '!R$44,$P35*'[2]Beam '!R$45,0)</f>
        <v>0</v>
      </c>
      <c r="S35" s="7">
        <f>IF($D35='[2]Beam '!S$44,$P35*'[2]Beam '!S$45,0)</f>
        <v>0</v>
      </c>
      <c r="T35" s="7">
        <f>IF($D35='[2]Beam '!T$44,$P35*'[2]Beam '!T$45,0)</f>
        <v>0</v>
      </c>
      <c r="U35" s="7">
        <f>IF($D35='[2]Beam '!U$44,$P35*'[2]Beam '!U$45,0)</f>
        <v>0</v>
      </c>
      <c r="V35" s="7">
        <f>IF($D35='[2]Beam '!V$44,$P35*'[2]Beam '!V$45,0)</f>
        <v>4.163303571428572</v>
      </c>
      <c r="W35" s="7">
        <f>IF($D35='[2]Beam '!W$44,$P35*'[2]Beam '!W$45,0)</f>
        <v>0</v>
      </c>
      <c r="X35" s="7">
        <f t="shared" si="8"/>
        <v>4.163303571428572</v>
      </c>
      <c r="Y35" s="7"/>
      <c r="Z35" s="7"/>
      <c r="AA35" s="7"/>
      <c r="AB35" s="7"/>
      <c r="AC35" s="7"/>
      <c r="AD35" s="7"/>
      <c r="AE35" s="7"/>
    </row>
    <row r="36" spans="1:32" s="9" customFormat="1" ht="20.100000000000001" customHeight="1" x14ac:dyDescent="0.25">
      <c r="A36" s="7" t="e">
        <f>+#REF!+1</f>
        <v>#REF!</v>
      </c>
      <c r="B36" s="10" t="s">
        <v>2</v>
      </c>
      <c r="C36" s="11" t="s">
        <v>15</v>
      </c>
      <c r="D36" s="11">
        <v>1</v>
      </c>
      <c r="E36" s="11">
        <v>3.5</v>
      </c>
      <c r="F36" s="11">
        <v>0.6</v>
      </c>
      <c r="G36" s="11">
        <v>0.73499999999999999</v>
      </c>
      <c r="H36" s="7">
        <f>G36-0.2</f>
        <v>0.53499999999999992</v>
      </c>
      <c r="I36" s="7">
        <f>E36*F36*G36*D36</f>
        <v>1.5435000000000001</v>
      </c>
      <c r="J36" s="7">
        <f>(2*(E36)*H36*D36)+(E36*F36)</f>
        <v>5.8449999999999989</v>
      </c>
      <c r="K36" s="12">
        <f>IF(E36=0.3,J36,0)</f>
        <v>0</v>
      </c>
      <c r="L36" s="12">
        <f>IF(AND(E36&gt;0.3,E36&lt;=0.75),J36,0)</f>
        <v>0</v>
      </c>
      <c r="M36" s="12">
        <f>IF(AND(E36&gt;0.75,E36&lt;=1.2),J36,0)</f>
        <v>0</v>
      </c>
      <c r="N36" s="12">
        <f>IF(E36&gt;1.2,J36,0)</f>
        <v>5.8449999999999989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>
        <f>SUM(X37:X44)/I36</f>
        <v>167.13514230181869</v>
      </c>
      <c r="Z36" s="7"/>
      <c r="AA36" s="7"/>
      <c r="AB36" s="7"/>
      <c r="AC36" s="7"/>
      <c r="AD36" s="7"/>
      <c r="AE36" s="7"/>
    </row>
    <row r="37" spans="1:32" s="9" customFormat="1" ht="20.100000000000001" customHeight="1" x14ac:dyDescent="0.25">
      <c r="A37" s="6"/>
      <c r="B37" s="10" t="s">
        <v>2</v>
      </c>
      <c r="C37" s="13" t="s">
        <v>4</v>
      </c>
      <c r="D37" s="7">
        <v>20</v>
      </c>
      <c r="E37" s="7"/>
      <c r="F37" s="7">
        <v>6</v>
      </c>
      <c r="G37" s="8">
        <f>VLOOKUP(D37,'[2]Beam '!$C$20:$H$26,3,0)</f>
        <v>0.8</v>
      </c>
      <c r="H37" s="8"/>
      <c r="I37" s="7"/>
      <c r="J37" s="7"/>
      <c r="K37" s="7"/>
      <c r="L37" s="7"/>
      <c r="M37" s="7"/>
      <c r="N37" s="7"/>
      <c r="O37" s="7">
        <f>(E36+G37+2*(G37+1*(0.55/2))*D36)</f>
        <v>6.45</v>
      </c>
      <c r="P37" s="7">
        <f t="shared" ref="P37:P44" si="9">O37*F37</f>
        <v>38.700000000000003</v>
      </c>
      <c r="Q37" s="7">
        <f>IF($D37='[2]Beam '!Q$44,$P37*'[2]Beam '!Q$45,0)</f>
        <v>0</v>
      </c>
      <c r="R37" s="7">
        <f>IF($D37='[2]Beam '!R$44,$P37*'[2]Beam '!R$45,0)</f>
        <v>0</v>
      </c>
      <c r="S37" s="7">
        <f>IF($D37='[2]Beam '!S$44,$P37*'[2]Beam '!S$45,0)</f>
        <v>0</v>
      </c>
      <c r="T37" s="7">
        <f>IF($D37='[2]Beam '!T$44,$P37*'[2]Beam '!T$45,0)</f>
        <v>0</v>
      </c>
      <c r="U37" s="7">
        <f>IF($D37='[2]Beam '!U$44,$P37*'[2]Beam '!U$45,0)</f>
        <v>95.47842857142858</v>
      </c>
      <c r="V37" s="7">
        <f>IF($D37='[2]Beam '!V$44,$P37*'[2]Beam '!V$45,0)</f>
        <v>0</v>
      </c>
      <c r="W37" s="7">
        <f>IF($D37='[2]Beam '!W$44,$P37*'[2]Beam '!W$45,0)</f>
        <v>0</v>
      </c>
      <c r="X37" s="7">
        <f t="shared" ref="X37:X44" si="10">SUM(Q37:W37)</f>
        <v>95.47842857142858</v>
      </c>
      <c r="Y37" s="7"/>
      <c r="Z37" s="7"/>
      <c r="AA37" s="7"/>
      <c r="AB37" s="7"/>
      <c r="AC37" s="7"/>
      <c r="AD37" s="7"/>
      <c r="AE37" s="7"/>
    </row>
    <row r="38" spans="1:32" s="9" customFormat="1" ht="20.100000000000001" customHeight="1" x14ac:dyDescent="0.25">
      <c r="A38" s="6"/>
      <c r="B38" s="10" t="s">
        <v>2</v>
      </c>
      <c r="C38" s="13" t="s">
        <v>5</v>
      </c>
      <c r="D38" s="7">
        <v>16</v>
      </c>
      <c r="E38" s="7"/>
      <c r="F38" s="7">
        <v>4</v>
      </c>
      <c r="G38" s="8">
        <f>VLOOKUP(D38,'[2]Beam '!$C$20:$H$26,3,0)</f>
        <v>0.625</v>
      </c>
      <c r="H38" s="8"/>
      <c r="I38" s="7"/>
      <c r="J38" s="7"/>
      <c r="K38" s="7"/>
      <c r="L38" s="7"/>
      <c r="M38" s="7"/>
      <c r="N38" s="7"/>
      <c r="O38" s="7">
        <f>(1.35+1*(+(0.55/2))*D36)</f>
        <v>1.625</v>
      </c>
      <c r="P38" s="7">
        <f t="shared" si="9"/>
        <v>6.5</v>
      </c>
      <c r="Q38" s="7">
        <f>IF($D38='[2]Beam '!Q$44,$P38*'[2]Beam '!Q$45,0)</f>
        <v>0</v>
      </c>
      <c r="R38" s="7">
        <f>IF($D38='[2]Beam '!R$44,$P38*'[2]Beam '!R$45,0)</f>
        <v>0</v>
      </c>
      <c r="S38" s="7">
        <f>IF($D38='[2]Beam '!S$44,$P38*'[2]Beam '!S$45,0)</f>
        <v>0</v>
      </c>
      <c r="T38" s="7">
        <f>IF($D38='[2]Beam '!T$44,$P38*'[2]Beam '!T$45,0)</f>
        <v>10.263314285714287</v>
      </c>
      <c r="U38" s="7">
        <f>IF($D38='[2]Beam '!U$44,$P38*'[2]Beam '!U$45,0)</f>
        <v>0</v>
      </c>
      <c r="V38" s="7">
        <f>IF($D38='[2]Beam '!V$44,$P38*'[2]Beam '!V$45,0)</f>
        <v>0</v>
      </c>
      <c r="W38" s="7">
        <f>IF($D38='[2]Beam '!W$44,$P38*'[2]Beam '!W$45,0)</f>
        <v>0</v>
      </c>
      <c r="X38" s="7">
        <f t="shared" si="10"/>
        <v>10.263314285714287</v>
      </c>
      <c r="Y38" s="7"/>
      <c r="Z38" s="7"/>
      <c r="AA38" s="7"/>
      <c r="AB38" s="7"/>
      <c r="AC38" s="7"/>
      <c r="AD38" s="7"/>
      <c r="AE38" s="7"/>
    </row>
    <row r="39" spans="1:32" s="14" customFormat="1" ht="20.100000000000001" customHeight="1" x14ac:dyDescent="0.3">
      <c r="A39" s="6"/>
      <c r="B39" s="10" t="s">
        <v>2</v>
      </c>
      <c r="C39" s="13" t="s">
        <v>6</v>
      </c>
      <c r="D39" s="7">
        <v>20</v>
      </c>
      <c r="E39" s="7"/>
      <c r="F39" s="7">
        <v>6</v>
      </c>
      <c r="G39" s="8">
        <f>VLOOKUP(D39,'[2]Beam '!$C$20:$H$26,3,0)</f>
        <v>0.8</v>
      </c>
      <c r="H39" s="7"/>
      <c r="I39" s="7"/>
      <c r="J39" s="7"/>
      <c r="K39" s="7"/>
      <c r="L39" s="7"/>
      <c r="M39" s="7"/>
      <c r="N39" s="7"/>
      <c r="O39" s="7">
        <f>(E36+1*(0.55/2)*D36)</f>
        <v>3.7749999999999999</v>
      </c>
      <c r="P39" s="7">
        <f t="shared" si="9"/>
        <v>22.65</v>
      </c>
      <c r="Q39" s="7">
        <f>IF($D39='[2]Beam '!Q$44,$P39*'[2]Beam '!Q$45,0)</f>
        <v>0</v>
      </c>
      <c r="R39" s="7">
        <f>IF($D39='[2]Beam '!R$44,$P39*'[2]Beam '!R$45,0)</f>
        <v>0</v>
      </c>
      <c r="S39" s="7">
        <f>IF($D39='[2]Beam '!S$44,$P39*'[2]Beam '!S$45,0)</f>
        <v>0</v>
      </c>
      <c r="T39" s="7">
        <f>IF($D39='[2]Beam '!T$44,$P39*'[2]Beam '!T$45,0)</f>
        <v>0</v>
      </c>
      <c r="U39" s="7">
        <f>IF($D39='[2]Beam '!U$44,$P39*'[2]Beam '!U$45,0)</f>
        <v>55.880785714285707</v>
      </c>
      <c r="V39" s="7">
        <f>IF($D39='[2]Beam '!V$44,$P39*'[2]Beam '!V$45,0)</f>
        <v>0</v>
      </c>
      <c r="W39" s="7">
        <f>IF($D39='[2]Beam '!W$44,$P39*'[2]Beam '!W$45,0)</f>
        <v>0</v>
      </c>
      <c r="X39" s="7">
        <f t="shared" si="10"/>
        <v>55.880785714285707</v>
      </c>
      <c r="Y39" s="7"/>
    </row>
    <row r="40" spans="1:32" s="14" customFormat="1" ht="20.100000000000001" customHeight="1" x14ac:dyDescent="0.25">
      <c r="A40" s="6"/>
      <c r="B40" s="10" t="s">
        <v>2</v>
      </c>
      <c r="C40" s="13" t="s">
        <v>7</v>
      </c>
      <c r="D40" s="7">
        <v>10</v>
      </c>
      <c r="E40" s="7">
        <v>0.1</v>
      </c>
      <c r="F40" s="7">
        <f>ROUNDUP((E36/3*2)/E40,0)+1</f>
        <v>25</v>
      </c>
      <c r="G40" s="9"/>
      <c r="H40" s="7"/>
      <c r="I40" s="7"/>
      <c r="J40" s="7"/>
      <c r="K40" s="7"/>
      <c r="L40" s="7"/>
      <c r="M40" s="7"/>
      <c r="N40" s="7"/>
      <c r="O40" s="7">
        <f>(2*((G36-(2*'[2]Beam '!$D$11))+(F36-(2*'[2]Beam '!$D$11)))+(2*10*D40/1000))*D36</f>
        <v>2.6300000000000003</v>
      </c>
      <c r="P40" s="7">
        <f t="shared" si="9"/>
        <v>65.750000000000014</v>
      </c>
      <c r="Q40" s="7">
        <f>IF($D40='[2]Beam '!Q$44,$P40*'[2]Beam '!Q$45,0)</f>
        <v>0</v>
      </c>
      <c r="R40" s="7">
        <f>IF($D40='[2]Beam '!R$44,$P40*'[2]Beam '!R$45,0)</f>
        <v>40.553660714285719</v>
      </c>
      <c r="S40" s="7">
        <f>IF($D40='[2]Beam '!S$44,$P40*'[2]Beam '!S$45,0)</f>
        <v>0</v>
      </c>
      <c r="T40" s="7">
        <f>IF($D40='[2]Beam '!T$44,$P40*'[2]Beam '!T$45,0)</f>
        <v>0</v>
      </c>
      <c r="U40" s="7">
        <f>IF($D40='[2]Beam '!U$44,$P40*'[2]Beam '!U$45,0)</f>
        <v>0</v>
      </c>
      <c r="V40" s="7">
        <f>IF($D40='[2]Beam '!V$44,$P40*'[2]Beam '!V$45,0)</f>
        <v>0</v>
      </c>
      <c r="W40" s="7">
        <f>IF($D40='[2]Beam '!W$44,$P40*'[2]Beam '!W$45,0)</f>
        <v>0</v>
      </c>
      <c r="X40" s="7">
        <f t="shared" si="10"/>
        <v>40.553660714285719</v>
      </c>
      <c r="Y40" s="7"/>
    </row>
    <row r="41" spans="1:32" s="14" customFormat="1" ht="20.100000000000001" customHeight="1" x14ac:dyDescent="0.25">
      <c r="B41" s="10" t="s">
        <v>2</v>
      </c>
      <c r="C41" s="13" t="s">
        <v>8</v>
      </c>
      <c r="D41" s="14">
        <f>D40</f>
        <v>10</v>
      </c>
      <c r="E41" s="14">
        <v>0.15</v>
      </c>
      <c r="F41" s="7">
        <f>ROUNDUP((E36/3)/E41,0)+1</f>
        <v>9</v>
      </c>
      <c r="G41" s="9"/>
      <c r="O41" s="7">
        <f>(2*((G36-(2*'[2]Beam '!$D$11))+(F36-(2*'[2]Beam '!$D$11)))+(2*10*D41/1000))*D36</f>
        <v>2.6300000000000003</v>
      </c>
      <c r="P41" s="7">
        <f t="shared" si="9"/>
        <v>23.67</v>
      </c>
      <c r="Q41" s="7">
        <f>IF($D41='[2]Beam '!Q$44,$P41*'[2]Beam '!Q$45,0)</f>
        <v>0</v>
      </c>
      <c r="R41" s="7">
        <f>IF($D41='[2]Beam '!R$44,$P41*'[2]Beam '!R$45,0)</f>
        <v>14.599317857142857</v>
      </c>
      <c r="S41" s="7">
        <f>IF($D41='[2]Beam '!S$44,$P41*'[2]Beam '!S$45,0)</f>
        <v>0</v>
      </c>
      <c r="T41" s="7">
        <f>IF($D41='[2]Beam '!T$44,$P41*'[2]Beam '!T$45,0)</f>
        <v>0</v>
      </c>
      <c r="U41" s="7">
        <f>IF($D41='[2]Beam '!U$44,$P41*'[2]Beam '!U$45,0)</f>
        <v>0</v>
      </c>
      <c r="V41" s="7">
        <f>IF($D41='[2]Beam '!V$44,$P41*'[2]Beam '!V$45,0)</f>
        <v>0</v>
      </c>
      <c r="W41" s="7">
        <f>IF($D41='[2]Beam '!W$44,$P41*'[2]Beam '!W$45,0)</f>
        <v>0</v>
      </c>
      <c r="X41" s="7">
        <f t="shared" si="10"/>
        <v>14.599317857142857</v>
      </c>
    </row>
    <row r="42" spans="1:32" s="9" customFormat="1" ht="20.100000000000001" customHeight="1" x14ac:dyDescent="0.25">
      <c r="A42" s="14"/>
      <c r="B42" s="10" t="s">
        <v>2</v>
      </c>
      <c r="C42" s="13" t="s">
        <v>9</v>
      </c>
      <c r="D42" s="14">
        <f>D40</f>
        <v>10</v>
      </c>
      <c r="E42" s="14">
        <f>+E40</f>
        <v>0.1</v>
      </c>
      <c r="F42" s="7">
        <f>ROUNDUP((E36/3*2)/E42,0)+1</f>
        <v>25</v>
      </c>
      <c r="H42" s="14"/>
      <c r="I42" s="14"/>
      <c r="J42" s="14"/>
      <c r="K42" s="14"/>
      <c r="L42" s="14"/>
      <c r="M42" s="14"/>
      <c r="N42" s="14"/>
      <c r="O42" s="7">
        <f>(2*(((F36-'[2]Beam '!$D$11*2)/(F37-1))+(G36-'[2]Beam '!$D$11*2))+(2*10*D42/1000))*D36</f>
        <v>1.766</v>
      </c>
      <c r="P42" s="7">
        <f t="shared" si="9"/>
        <v>44.15</v>
      </c>
      <c r="Q42" s="7">
        <f>IF($D42='[2]Beam '!Q$44,$P42*'[2]Beam '!Q$45,0)</f>
        <v>0</v>
      </c>
      <c r="R42" s="7">
        <f>IF($D42='[2]Beam '!R$44,$P42*'[2]Beam '!R$45,0)</f>
        <v>27.231089285714283</v>
      </c>
      <c r="S42" s="7">
        <f>IF($D42='[2]Beam '!S$44,$P42*'[2]Beam '!S$45,0)</f>
        <v>0</v>
      </c>
      <c r="T42" s="7">
        <f>IF($D42='[2]Beam '!T$44,$P42*'[2]Beam '!T$45,0)</f>
        <v>0</v>
      </c>
      <c r="U42" s="7">
        <f>IF($D42='[2]Beam '!U$44,$P42*'[2]Beam '!U$45,0)</f>
        <v>0</v>
      </c>
      <c r="V42" s="7">
        <f>IF($D42='[2]Beam '!V$44,$P42*'[2]Beam '!V$45,0)</f>
        <v>0</v>
      </c>
      <c r="W42" s="7">
        <f>IF($D42='[2]Beam '!W$44,$P42*'[2]Beam '!W$45,0)</f>
        <v>0</v>
      </c>
      <c r="X42" s="7">
        <f t="shared" si="10"/>
        <v>27.231089285714283</v>
      </c>
      <c r="Y42" s="14"/>
      <c r="Z42" s="7"/>
      <c r="AA42" s="7"/>
      <c r="AB42" s="7"/>
      <c r="AC42" s="7"/>
      <c r="AD42" s="7"/>
      <c r="AE42" s="7"/>
    </row>
    <row r="43" spans="1:32" s="9" customFormat="1" ht="21" customHeight="1" x14ac:dyDescent="0.25">
      <c r="A43" s="14"/>
      <c r="B43" s="10" t="s">
        <v>2</v>
      </c>
      <c r="C43" s="13" t="s">
        <v>10</v>
      </c>
      <c r="D43" s="14">
        <f>D41</f>
        <v>10</v>
      </c>
      <c r="E43" s="14">
        <f>+E41</f>
        <v>0.15</v>
      </c>
      <c r="F43" s="7">
        <f>ROUNDUP((E36/3)/E43,0)+1</f>
        <v>9</v>
      </c>
      <c r="H43" s="14"/>
      <c r="I43" s="14"/>
      <c r="J43" s="14"/>
      <c r="K43" s="14"/>
      <c r="L43" s="14"/>
      <c r="M43" s="14"/>
      <c r="N43" s="14"/>
      <c r="O43" s="7">
        <f>(2*(((F36-'[2]Beam '!$D$11*2)/(F37-1))+(G36-'[2]Beam '!$D$11*2))+(2*10*D43/1000))*D36</f>
        <v>1.766</v>
      </c>
      <c r="P43" s="7">
        <f t="shared" si="9"/>
        <v>15.894</v>
      </c>
      <c r="Q43" s="7">
        <f>IF($D43='[2]Beam '!Q$44,$P43*'[2]Beam '!Q$45,0)</f>
        <v>0</v>
      </c>
      <c r="R43" s="7">
        <f>IF($D43='[2]Beam '!R$44,$P43*'[2]Beam '!R$45,0)</f>
        <v>9.8031921428571422</v>
      </c>
      <c r="S43" s="7">
        <f>IF($D43='[2]Beam '!S$44,$P43*'[2]Beam '!S$45,0)</f>
        <v>0</v>
      </c>
      <c r="T43" s="7">
        <f>IF($D43='[2]Beam '!T$44,$P43*'[2]Beam '!T$45,0)</f>
        <v>0</v>
      </c>
      <c r="U43" s="7">
        <f>IF($D43='[2]Beam '!U$44,$P43*'[2]Beam '!U$45,0)</f>
        <v>0</v>
      </c>
      <c r="V43" s="7">
        <f>IF($D43='[2]Beam '!V$44,$P43*'[2]Beam '!V$45,0)</f>
        <v>0</v>
      </c>
      <c r="W43" s="7">
        <f>IF($D43='[2]Beam '!W$44,$P43*'[2]Beam '!W$45,0)</f>
        <v>0</v>
      </c>
      <c r="X43" s="7">
        <f t="shared" si="10"/>
        <v>9.8031921428571422</v>
      </c>
      <c r="Y43" s="14"/>
      <c r="Z43" s="7"/>
      <c r="AA43" s="7"/>
      <c r="AB43" s="7"/>
      <c r="AC43" s="7"/>
      <c r="AD43" s="7"/>
      <c r="AE43" s="7"/>
      <c r="AF43" s="7"/>
    </row>
    <row r="44" spans="1:32" s="9" customFormat="1" ht="20.100000000000001" customHeight="1" x14ac:dyDescent="0.25">
      <c r="A44" s="6"/>
      <c r="B44" s="10" t="s">
        <v>2</v>
      </c>
      <c r="C44" s="13" t="s">
        <v>11</v>
      </c>
      <c r="D44" s="7">
        <f>+'[2]Beam '!$D$15</f>
        <v>25</v>
      </c>
      <c r="E44" s="7">
        <f>+'[2]Beam '!$E$15</f>
        <v>1</v>
      </c>
      <c r="F44" s="7">
        <f>ROUNDUP((1.35)/E44,0)</f>
        <v>2</v>
      </c>
      <c r="G44" s="8"/>
      <c r="H44" s="8"/>
      <c r="I44" s="7"/>
      <c r="J44" s="7"/>
      <c r="K44" s="7"/>
      <c r="L44" s="7"/>
      <c r="M44" s="7"/>
      <c r="N44" s="7"/>
      <c r="O44" s="7">
        <f>F36-'[2]Beam '!$F$15</f>
        <v>0.54</v>
      </c>
      <c r="P44" s="7">
        <f t="shared" si="9"/>
        <v>1.08</v>
      </c>
      <c r="Q44" s="7">
        <f>IF($D44='[2]Beam '!Q$44,$P44*'[2]Beam '!Q$45,0)</f>
        <v>0</v>
      </c>
      <c r="R44" s="7">
        <f>IF($D44='[2]Beam '!R$44,$P44*'[2]Beam '!R$45,0)</f>
        <v>0</v>
      </c>
      <c r="S44" s="7">
        <f>IF($D44='[2]Beam '!S$44,$P44*'[2]Beam '!S$45,0)</f>
        <v>0</v>
      </c>
      <c r="T44" s="7">
        <f>IF($D44='[2]Beam '!T$44,$P44*'[2]Beam '!T$45,0)</f>
        <v>0</v>
      </c>
      <c r="U44" s="7">
        <f>IF($D44='[2]Beam '!U$44,$P44*'[2]Beam '!U$45,0)</f>
        <v>0</v>
      </c>
      <c r="V44" s="7">
        <f>IF($D44='[2]Beam '!V$44,$P44*'[2]Beam '!V$45,0)</f>
        <v>4.163303571428572</v>
      </c>
      <c r="W44" s="7">
        <f>IF($D44='[2]Beam '!W$44,$P44*'[2]Beam '!W$45,0)</f>
        <v>0</v>
      </c>
      <c r="X44" s="7">
        <f t="shared" si="10"/>
        <v>4.163303571428572</v>
      </c>
      <c r="Y44" s="7"/>
      <c r="Z44" s="7"/>
      <c r="AA44" s="7"/>
      <c r="AB44" s="7"/>
      <c r="AC44" s="7"/>
      <c r="AD44" s="7"/>
      <c r="AE44" s="7"/>
    </row>
    <row r="45" spans="1:32" s="9" customFormat="1" ht="20.100000000000001" customHeight="1" x14ac:dyDescent="0.25">
      <c r="A45" s="7" t="e">
        <f>+#REF!+1</f>
        <v>#REF!</v>
      </c>
      <c r="B45" s="10" t="s">
        <v>2</v>
      </c>
      <c r="C45" s="11" t="s">
        <v>16</v>
      </c>
      <c r="D45" s="11">
        <v>1</v>
      </c>
      <c r="E45" s="11">
        <v>3.05</v>
      </c>
      <c r="F45" s="11">
        <v>0.6</v>
      </c>
      <c r="G45" s="11">
        <v>0.8</v>
      </c>
      <c r="H45" s="7">
        <f>G45-0.2</f>
        <v>0.60000000000000009</v>
      </c>
      <c r="I45" s="7">
        <f>E45*F45*G45*D45</f>
        <v>1.464</v>
      </c>
      <c r="J45" s="7">
        <f>(2*(E45)*H45*D45)+(E45*F45)</f>
        <v>5.49</v>
      </c>
      <c r="K45" s="12">
        <f>IF(E45=0.3,J45,0)</f>
        <v>0</v>
      </c>
      <c r="L45" s="12">
        <f>IF(AND(E45&gt;0.3,E45&lt;=0.75),J45,0)</f>
        <v>0</v>
      </c>
      <c r="M45" s="12">
        <f>IF(AND(E45&gt;0.75,E45&lt;=1.2),J45,0)</f>
        <v>0</v>
      </c>
      <c r="N45" s="12">
        <f>IF(E45&gt;1.2,J45,0)</f>
        <v>5.49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>
        <f>SUM(X46:X53)/I45</f>
        <v>160.76708386026542</v>
      </c>
      <c r="Z45" s="7"/>
      <c r="AA45" s="7"/>
      <c r="AB45" s="7"/>
      <c r="AC45" s="7"/>
      <c r="AD45" s="7"/>
      <c r="AE45" s="7"/>
    </row>
    <row r="46" spans="1:32" s="9" customFormat="1" ht="20.100000000000001" customHeight="1" x14ac:dyDescent="0.25">
      <c r="A46" s="6"/>
      <c r="B46" s="10" t="s">
        <v>2</v>
      </c>
      <c r="C46" s="13" t="s">
        <v>4</v>
      </c>
      <c r="D46" s="7">
        <v>20</v>
      </c>
      <c r="E46" s="7"/>
      <c r="F46" s="7">
        <v>6</v>
      </c>
      <c r="G46" s="8">
        <f>VLOOKUP(D46,'[2]Beam '!$C$20:$H$26,3,0)</f>
        <v>0.8</v>
      </c>
      <c r="H46" s="8"/>
      <c r="I46" s="7"/>
      <c r="J46" s="7"/>
      <c r="K46" s="7"/>
      <c r="L46" s="7"/>
      <c r="M46" s="7"/>
      <c r="N46" s="7"/>
      <c r="O46" s="7">
        <f>(E45+1*(G46+(12*D46/1000))+1*(0.55/2)*D45)</f>
        <v>4.3650000000000002</v>
      </c>
      <c r="P46" s="7">
        <f t="shared" ref="P46:P53" si="11">O46*F46</f>
        <v>26.19</v>
      </c>
      <c r="Q46" s="7">
        <f>IF($D46='[2]Beam '!Q$44,$P46*'[2]Beam '!Q$45,0)</f>
        <v>0</v>
      </c>
      <c r="R46" s="7">
        <f>IF($D46='[2]Beam '!R$44,$P46*'[2]Beam '!R$45,0)</f>
        <v>0</v>
      </c>
      <c r="S46" s="7">
        <f>IF($D46='[2]Beam '!S$44,$P46*'[2]Beam '!S$45,0)</f>
        <v>0</v>
      </c>
      <c r="T46" s="7">
        <f>IF($D46='[2]Beam '!T$44,$P46*'[2]Beam '!T$45,0)</f>
        <v>0</v>
      </c>
      <c r="U46" s="7">
        <f>IF($D46='[2]Beam '!U$44,$P46*'[2]Beam '!U$45,0)</f>
        <v>64.614471428571434</v>
      </c>
      <c r="V46" s="7">
        <f>IF($D46='[2]Beam '!V$44,$P46*'[2]Beam '!V$45,0)</f>
        <v>0</v>
      </c>
      <c r="W46" s="7">
        <f>IF($D46='[2]Beam '!W$44,$P46*'[2]Beam '!W$45,0)</f>
        <v>0</v>
      </c>
      <c r="X46" s="7">
        <f t="shared" ref="X46:X53" si="12">SUM(Q46:W46)</f>
        <v>64.614471428571434</v>
      </c>
      <c r="Y46" s="7"/>
      <c r="Z46" s="7"/>
      <c r="AA46" s="7"/>
      <c r="AB46" s="7"/>
      <c r="AC46" s="7"/>
      <c r="AD46" s="7"/>
      <c r="AE46" s="7"/>
    </row>
    <row r="47" spans="1:32" s="9" customFormat="1" ht="20.100000000000001" customHeight="1" x14ac:dyDescent="0.25">
      <c r="A47" s="6"/>
      <c r="B47" s="10" t="s">
        <v>2</v>
      </c>
      <c r="C47" s="13" t="s">
        <v>5</v>
      </c>
      <c r="D47" s="7">
        <v>16</v>
      </c>
      <c r="E47" s="7"/>
      <c r="F47" s="7">
        <v>4</v>
      </c>
      <c r="G47" s="8">
        <f>VLOOKUP(D47,'[2]Beam '!$C$20:$H$26,3,0)</f>
        <v>0.625</v>
      </c>
      <c r="H47" s="8"/>
      <c r="I47" s="7"/>
      <c r="J47" s="7"/>
      <c r="K47" s="7"/>
      <c r="L47" s="7"/>
      <c r="M47" s="7"/>
      <c r="N47" s="7"/>
      <c r="O47" s="7">
        <f>(0.85+1*(0.55/2))*D45</f>
        <v>1.125</v>
      </c>
      <c r="P47" s="7">
        <f t="shared" si="11"/>
        <v>4.5</v>
      </c>
      <c r="Q47" s="7">
        <f>IF($D47='[2]Beam '!Q$44,$P47*'[2]Beam '!Q$45,0)</f>
        <v>0</v>
      </c>
      <c r="R47" s="7">
        <f>IF($D47='[2]Beam '!R$44,$P47*'[2]Beam '!R$45,0)</f>
        <v>0</v>
      </c>
      <c r="S47" s="7">
        <f>IF($D47='[2]Beam '!S$44,$P47*'[2]Beam '!S$45,0)</f>
        <v>0</v>
      </c>
      <c r="T47" s="7">
        <f>IF($D47='[2]Beam '!T$44,$P47*'[2]Beam '!T$45,0)</f>
        <v>7.1053714285714289</v>
      </c>
      <c r="U47" s="7">
        <f>IF($D47='[2]Beam '!U$44,$P47*'[2]Beam '!U$45,0)</f>
        <v>0</v>
      </c>
      <c r="V47" s="7">
        <f>IF($D47='[2]Beam '!V$44,$P47*'[2]Beam '!V$45,0)</f>
        <v>0</v>
      </c>
      <c r="W47" s="7">
        <f>IF($D47='[2]Beam '!W$44,$P47*'[2]Beam '!W$45,0)</f>
        <v>0</v>
      </c>
      <c r="X47" s="7">
        <f t="shared" si="12"/>
        <v>7.1053714285714289</v>
      </c>
      <c r="Y47" s="7"/>
      <c r="Z47" s="7"/>
      <c r="AA47" s="7"/>
      <c r="AB47" s="7"/>
      <c r="AC47" s="7"/>
      <c r="AD47" s="7"/>
      <c r="AE47" s="7"/>
    </row>
    <row r="48" spans="1:32" s="9" customFormat="1" ht="20.100000000000001" customHeight="1" x14ac:dyDescent="0.25">
      <c r="A48" s="6"/>
      <c r="B48" s="10" t="s">
        <v>2</v>
      </c>
      <c r="C48" s="13" t="s">
        <v>4</v>
      </c>
      <c r="D48" s="7">
        <v>16</v>
      </c>
      <c r="E48" s="7"/>
      <c r="F48" s="7">
        <v>4</v>
      </c>
      <c r="G48" s="8">
        <f>VLOOKUP(D48,'[2]Beam '!$C$20:$H$26,3,0)</f>
        <v>0.625</v>
      </c>
      <c r="H48" s="8"/>
      <c r="I48" s="7"/>
      <c r="J48" s="7"/>
      <c r="K48" s="7"/>
      <c r="L48" s="7"/>
      <c r="M48" s="7"/>
      <c r="N48" s="7"/>
      <c r="O48" s="7">
        <f>(0.85+1*(12*D48/1000))*D45</f>
        <v>1.042</v>
      </c>
      <c r="P48" s="7">
        <f t="shared" si="11"/>
        <v>4.1680000000000001</v>
      </c>
      <c r="Q48" s="7">
        <f>IF($D48='[2]Beam '!Q$44,$P48*'[2]Beam '!Q$45,0)</f>
        <v>0</v>
      </c>
      <c r="R48" s="7">
        <f>IF($D48='[2]Beam '!R$44,$P48*'[2]Beam '!R$45,0)</f>
        <v>0</v>
      </c>
      <c r="S48" s="7">
        <f>IF($D48='[2]Beam '!S$44,$P48*'[2]Beam '!S$45,0)</f>
        <v>0</v>
      </c>
      <c r="T48" s="7">
        <f>IF($D48='[2]Beam '!T$44,$P48*'[2]Beam '!T$45,0)</f>
        <v>6.581152914285715</v>
      </c>
      <c r="U48" s="7">
        <f>IF($D48='[2]Beam '!U$44,$P48*'[2]Beam '!U$45,0)</f>
        <v>0</v>
      </c>
      <c r="V48" s="7">
        <f>IF($D48='[2]Beam '!V$44,$P48*'[2]Beam '!V$45,0)</f>
        <v>0</v>
      </c>
      <c r="W48" s="7">
        <f>IF($D48='[2]Beam '!W$44,$P48*'[2]Beam '!W$45,0)</f>
        <v>0</v>
      </c>
      <c r="X48" s="7">
        <f t="shared" si="12"/>
        <v>6.581152914285715</v>
      </c>
      <c r="Y48" s="7"/>
      <c r="Z48" s="7"/>
      <c r="AA48" s="7"/>
      <c r="AB48" s="7"/>
      <c r="AC48" s="7"/>
      <c r="AD48" s="7"/>
      <c r="AE48" s="7"/>
    </row>
    <row r="49" spans="1:32" s="9" customFormat="1" ht="20.100000000000001" customHeight="1" x14ac:dyDescent="0.25">
      <c r="A49" s="6"/>
      <c r="B49" s="10" t="s">
        <v>2</v>
      </c>
      <c r="C49" s="13" t="s">
        <v>6</v>
      </c>
      <c r="D49" s="7">
        <v>20</v>
      </c>
      <c r="E49" s="7"/>
      <c r="F49" s="7">
        <v>6</v>
      </c>
      <c r="G49" s="8">
        <f>VLOOKUP(D49,'[2]Beam '!$C$20:$H$26,3,0)</f>
        <v>0.8</v>
      </c>
      <c r="H49" s="7"/>
      <c r="I49" s="7"/>
      <c r="J49" s="7"/>
      <c r="K49" s="7"/>
      <c r="L49" s="7"/>
      <c r="M49" s="7"/>
      <c r="N49" s="7"/>
      <c r="O49" s="7">
        <f>(E45+1*(12*D49/1000))+1*(0.55/2)*D45</f>
        <v>3.5649999999999999</v>
      </c>
      <c r="P49" s="7">
        <f t="shared" si="11"/>
        <v>21.39</v>
      </c>
      <c r="Q49" s="7">
        <f>IF($D49='[2]Beam '!Q$44,$P49*'[2]Beam '!Q$45,0)</f>
        <v>0</v>
      </c>
      <c r="R49" s="7">
        <f>IF($D49='[2]Beam '!R$44,$P49*'[2]Beam '!R$45,0)</f>
        <v>0</v>
      </c>
      <c r="S49" s="7">
        <f>IF($D49='[2]Beam '!S$44,$P49*'[2]Beam '!S$45,0)</f>
        <v>0</v>
      </c>
      <c r="T49" s="7">
        <f>IF($D49='[2]Beam '!T$44,$P49*'[2]Beam '!T$45,0)</f>
        <v>0</v>
      </c>
      <c r="U49" s="7">
        <f>IF($D49='[2]Beam '!U$44,$P49*'[2]Beam '!U$45,0)</f>
        <v>52.772185714285712</v>
      </c>
      <c r="V49" s="7">
        <f>IF($D49='[2]Beam '!V$44,$P49*'[2]Beam '!V$45,0)</f>
        <v>0</v>
      </c>
      <c r="W49" s="7">
        <f>IF($D49='[2]Beam '!W$44,$P49*'[2]Beam '!W$45,0)</f>
        <v>0</v>
      </c>
      <c r="X49" s="7">
        <f t="shared" si="12"/>
        <v>52.772185714285712</v>
      </c>
      <c r="Y49" s="7"/>
      <c r="Z49" s="7"/>
      <c r="AA49" s="7"/>
      <c r="AB49" s="7"/>
      <c r="AC49" s="7"/>
      <c r="AD49" s="7"/>
      <c r="AE49" s="7"/>
    </row>
    <row r="50" spans="1:32" s="14" customFormat="1" ht="20.100000000000001" customHeight="1" x14ac:dyDescent="0.3">
      <c r="A50" s="6"/>
      <c r="B50" s="10" t="s">
        <v>2</v>
      </c>
      <c r="C50" s="13" t="s">
        <v>13</v>
      </c>
      <c r="D50" s="7">
        <v>20</v>
      </c>
      <c r="E50" s="7"/>
      <c r="F50" s="7">
        <v>4</v>
      </c>
      <c r="G50" s="8">
        <f>VLOOKUP(D50,'[2]Beam '!$C$20:$H$26,3,0)</f>
        <v>0.8</v>
      </c>
      <c r="H50" s="7"/>
      <c r="I50" s="7"/>
      <c r="J50" s="7"/>
      <c r="K50" s="7"/>
      <c r="L50" s="7"/>
      <c r="M50" s="7"/>
      <c r="N50" s="7"/>
      <c r="O50" s="7">
        <f>(0.85+1*(0.55/2))*D45</f>
        <v>1.125</v>
      </c>
      <c r="P50" s="7">
        <f t="shared" si="11"/>
        <v>4.5</v>
      </c>
      <c r="Q50" s="7">
        <f>IF($D50='[2]Beam '!Q$44,$P50*'[2]Beam '!Q$45,0)</f>
        <v>0</v>
      </c>
      <c r="R50" s="7">
        <f>IF($D50='[2]Beam '!R$44,$P50*'[2]Beam '!R$45,0)</f>
        <v>0</v>
      </c>
      <c r="S50" s="7">
        <f>IF($D50='[2]Beam '!S$44,$P50*'[2]Beam '!S$45,0)</f>
        <v>0</v>
      </c>
      <c r="T50" s="7">
        <f>IF($D50='[2]Beam '!T$44,$P50*'[2]Beam '!T$45,0)</f>
        <v>0</v>
      </c>
      <c r="U50" s="7">
        <f>IF($D50='[2]Beam '!U$44,$P50*'[2]Beam '!U$45,0)</f>
        <v>11.102142857142857</v>
      </c>
      <c r="V50" s="7">
        <f>IF($D50='[2]Beam '!V$44,$P50*'[2]Beam '!V$45,0)</f>
        <v>0</v>
      </c>
      <c r="W50" s="7">
        <f>IF($D50='[2]Beam '!W$44,$P50*'[2]Beam '!W$45,0)</f>
        <v>0</v>
      </c>
      <c r="X50" s="7">
        <f t="shared" si="12"/>
        <v>11.102142857142857</v>
      </c>
      <c r="Y50" s="7"/>
    </row>
    <row r="51" spans="1:32" s="9" customFormat="1" ht="20.100000000000001" customHeight="1" x14ac:dyDescent="0.25">
      <c r="A51" s="6"/>
      <c r="B51" s="10" t="s">
        <v>2</v>
      </c>
      <c r="C51" s="13" t="s">
        <v>17</v>
      </c>
      <c r="D51" s="7">
        <v>10</v>
      </c>
      <c r="E51" s="7">
        <v>0.1</v>
      </c>
      <c r="F51" s="7">
        <f>ROUNDUP(E45/E51,0)</f>
        <v>31</v>
      </c>
      <c r="H51" s="7"/>
      <c r="I51" s="7"/>
      <c r="J51" s="7"/>
      <c r="K51" s="7"/>
      <c r="L51" s="7"/>
      <c r="M51" s="7"/>
      <c r="N51" s="7"/>
      <c r="O51" s="7">
        <f>(2*((G45-(2*'[2]Beam '!$D$11))+(F45-(2*'[2]Beam '!$D$11)))+(2*10*D51/1000))*D45</f>
        <v>2.7600000000000002</v>
      </c>
      <c r="P51" s="7">
        <f t="shared" si="11"/>
        <v>85.56</v>
      </c>
      <c r="Q51" s="7">
        <f>IF($D51='[2]Beam '!Q$44,$P51*'[2]Beam '!Q$45,0)</f>
        <v>0</v>
      </c>
      <c r="R51" s="7">
        <f>IF($D51='[2]Beam '!R$44,$P51*'[2]Beam '!R$45,0)</f>
        <v>52.772185714285712</v>
      </c>
      <c r="S51" s="7">
        <f>IF($D51='[2]Beam '!S$44,$P51*'[2]Beam '!S$45,0)</f>
        <v>0</v>
      </c>
      <c r="T51" s="7">
        <f>IF($D51='[2]Beam '!T$44,$P51*'[2]Beam '!T$45,0)</f>
        <v>0</v>
      </c>
      <c r="U51" s="7">
        <f>IF($D51='[2]Beam '!U$44,$P51*'[2]Beam '!U$45,0)</f>
        <v>0</v>
      </c>
      <c r="V51" s="7">
        <f>IF($D51='[2]Beam '!V$44,$P51*'[2]Beam '!V$45,0)</f>
        <v>0</v>
      </c>
      <c r="W51" s="7">
        <f>IF($D51='[2]Beam '!W$44,$P51*'[2]Beam '!W$45,0)</f>
        <v>0</v>
      </c>
      <c r="X51" s="7">
        <f t="shared" si="12"/>
        <v>52.772185714285712</v>
      </c>
      <c r="Y51" s="7"/>
      <c r="Z51" s="7"/>
      <c r="AA51" s="7"/>
      <c r="AB51" s="7"/>
      <c r="AC51" s="7"/>
      <c r="AD51" s="7"/>
      <c r="AE51" s="7"/>
    </row>
    <row r="52" spans="1:32" s="9" customFormat="1" ht="21" customHeight="1" x14ac:dyDescent="0.25">
      <c r="A52" s="14"/>
      <c r="B52" s="10" t="s">
        <v>2</v>
      </c>
      <c r="C52" s="13" t="s">
        <v>18</v>
      </c>
      <c r="D52" s="14">
        <f>D51</f>
        <v>10</v>
      </c>
      <c r="E52" s="14">
        <f>+E51</f>
        <v>0.1</v>
      </c>
      <c r="F52" s="7">
        <f>ROUNDUP(E45/E52,0)</f>
        <v>31</v>
      </c>
      <c r="H52" s="14"/>
      <c r="I52" s="14"/>
      <c r="J52" s="14"/>
      <c r="K52" s="14"/>
      <c r="L52" s="14"/>
      <c r="M52" s="14"/>
      <c r="N52" s="14"/>
      <c r="O52" s="7">
        <f>(2*(((F45-'[2]Beam '!$D$11*2)/(F46-1))+(G45-'[2]Beam '!$D$11*2))+(2*10*D52/1000))*D45</f>
        <v>1.8959999999999999</v>
      </c>
      <c r="P52" s="7">
        <f t="shared" si="11"/>
        <v>58.775999999999996</v>
      </c>
      <c r="Q52" s="7">
        <f>IF($D52='[2]Beam '!Q$44,$P52*'[2]Beam '!Q$45,0)</f>
        <v>0</v>
      </c>
      <c r="R52" s="7">
        <f>IF($D52='[2]Beam '!R$44,$P52*'[2]Beam '!R$45,0)</f>
        <v>36.252197142857142</v>
      </c>
      <c r="S52" s="7">
        <f>IF($D52='[2]Beam '!S$44,$P52*'[2]Beam '!S$45,0)</f>
        <v>0</v>
      </c>
      <c r="T52" s="7">
        <f>IF($D52='[2]Beam '!T$44,$P52*'[2]Beam '!T$45,0)</f>
        <v>0</v>
      </c>
      <c r="U52" s="7">
        <f>IF($D52='[2]Beam '!U$44,$P52*'[2]Beam '!U$45,0)</f>
        <v>0</v>
      </c>
      <c r="V52" s="7">
        <f>IF($D52='[2]Beam '!V$44,$P52*'[2]Beam '!V$45,0)</f>
        <v>0</v>
      </c>
      <c r="W52" s="7">
        <f>IF($D52='[2]Beam '!W$44,$P52*'[2]Beam '!W$45,0)</f>
        <v>0</v>
      </c>
      <c r="X52" s="7">
        <f t="shared" si="12"/>
        <v>36.252197142857142</v>
      </c>
      <c r="Y52" s="14"/>
      <c r="Z52" s="7"/>
      <c r="AA52" s="7"/>
      <c r="AB52" s="7"/>
      <c r="AC52" s="7"/>
      <c r="AD52" s="7"/>
      <c r="AE52" s="7"/>
      <c r="AF52" s="7"/>
    </row>
    <row r="53" spans="1:32" s="9" customFormat="1" ht="20.100000000000001" customHeight="1" x14ac:dyDescent="0.25">
      <c r="A53" s="6"/>
      <c r="B53" s="10" t="s">
        <v>2</v>
      </c>
      <c r="C53" s="13" t="s">
        <v>11</v>
      </c>
      <c r="D53" s="7">
        <f>+'[2]Beam '!$D$15</f>
        <v>25</v>
      </c>
      <c r="E53" s="7">
        <f>+'[2]Beam '!$E$15</f>
        <v>1</v>
      </c>
      <c r="F53" s="7">
        <f>ROUNDUP((1.35)/E53,0)</f>
        <v>2</v>
      </c>
      <c r="G53" s="8"/>
      <c r="H53" s="8"/>
      <c r="I53" s="7"/>
      <c r="J53" s="7"/>
      <c r="K53" s="7"/>
      <c r="L53" s="7"/>
      <c r="M53" s="7"/>
      <c r="N53" s="7"/>
      <c r="O53" s="7">
        <f>F45-'[2]Beam '!$F$15</f>
        <v>0.54</v>
      </c>
      <c r="P53" s="7">
        <f t="shared" si="11"/>
        <v>1.08</v>
      </c>
      <c r="Q53" s="7">
        <f>IF($D53='[2]Beam '!Q$44,$P53*'[2]Beam '!Q$45,0)</f>
        <v>0</v>
      </c>
      <c r="R53" s="7">
        <f>IF($D53='[2]Beam '!R$44,$P53*'[2]Beam '!R$45,0)</f>
        <v>0</v>
      </c>
      <c r="S53" s="7">
        <f>IF($D53='[2]Beam '!S$44,$P53*'[2]Beam '!S$45,0)</f>
        <v>0</v>
      </c>
      <c r="T53" s="7">
        <f>IF($D53='[2]Beam '!T$44,$P53*'[2]Beam '!T$45,0)</f>
        <v>0</v>
      </c>
      <c r="U53" s="7">
        <f>IF($D53='[2]Beam '!U$44,$P53*'[2]Beam '!U$45,0)</f>
        <v>0</v>
      </c>
      <c r="V53" s="7">
        <f>IF($D53='[2]Beam '!V$44,$P53*'[2]Beam '!V$45,0)</f>
        <v>4.163303571428572</v>
      </c>
      <c r="W53" s="7">
        <f>IF($D53='[2]Beam '!W$44,$P53*'[2]Beam '!W$45,0)</f>
        <v>0</v>
      </c>
      <c r="X53" s="7">
        <f t="shared" si="12"/>
        <v>4.163303571428572</v>
      </c>
      <c r="Y53" s="7"/>
      <c r="Z53" s="7"/>
      <c r="AA53" s="7"/>
      <c r="AB53" s="7"/>
      <c r="AC53" s="7"/>
      <c r="AD53" s="7"/>
      <c r="AE53" s="7"/>
    </row>
    <row r="54" spans="1:32" s="9" customFormat="1" ht="20.100000000000001" customHeight="1" x14ac:dyDescent="0.25">
      <c r="A54" s="7">
        <v>1</v>
      </c>
      <c r="B54" s="10" t="s">
        <v>2</v>
      </c>
      <c r="C54" s="11" t="s">
        <v>19</v>
      </c>
      <c r="D54" s="11">
        <v>1</v>
      </c>
      <c r="E54" s="11">
        <v>1.5</v>
      </c>
      <c r="F54" s="11">
        <v>0.4</v>
      </c>
      <c r="G54" s="11">
        <v>1.1000000000000001</v>
      </c>
      <c r="H54" s="7">
        <f>G54-0.2</f>
        <v>0.90000000000000013</v>
      </c>
      <c r="I54" s="7">
        <f>E54*F54*G54*D54</f>
        <v>0.66000000000000014</v>
      </c>
      <c r="J54" s="7">
        <f>(2*(E54)*H54*D54)+(E54*F54)</f>
        <v>3.3000000000000003</v>
      </c>
      <c r="K54" s="12">
        <f>IF(E54=0.3,J54,0)</f>
        <v>0</v>
      </c>
      <c r="L54" s="12">
        <f>IF(AND(E54&gt;0.3,E54&lt;=0.75),J54,0)</f>
        <v>0</v>
      </c>
      <c r="M54" s="12">
        <f>IF(AND(E54&gt;0.75,E54&lt;=1.2),J54,0)</f>
        <v>0</v>
      </c>
      <c r="N54" s="12">
        <f>IF(E54&gt;1.2,J54,0)</f>
        <v>3.3000000000000003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>
        <f>SUM(X55:X61)/I54</f>
        <v>217.65261380952379</v>
      </c>
      <c r="Z54" s="7"/>
      <c r="AA54" s="7"/>
      <c r="AB54" s="7"/>
      <c r="AC54" s="7"/>
      <c r="AD54" s="7"/>
      <c r="AE54" s="7"/>
    </row>
    <row r="55" spans="1:32" s="9" customFormat="1" ht="20.100000000000001" customHeight="1" x14ac:dyDescent="0.25">
      <c r="A55" s="6"/>
      <c r="B55" s="10" t="s">
        <v>2</v>
      </c>
      <c r="C55" s="13" t="s">
        <v>4</v>
      </c>
      <c r="D55" s="7">
        <v>20</v>
      </c>
      <c r="E55" s="7"/>
      <c r="F55" s="7">
        <v>4</v>
      </c>
      <c r="G55" s="8">
        <f>VLOOKUP(D55,'[2]Beam '!$C$20:$H$26,3,0)</f>
        <v>0.8</v>
      </c>
      <c r="H55" s="8"/>
      <c r="I55" s="7"/>
      <c r="J55" s="7"/>
      <c r="K55" s="7"/>
      <c r="L55" s="7"/>
      <c r="M55" s="7"/>
      <c r="N55" s="7"/>
      <c r="O55" s="7">
        <f>(E54+2*(G55+(12*D55/1000)*D54))</f>
        <v>3.58</v>
      </c>
      <c r="P55" s="7">
        <f t="shared" ref="P55:P61" si="13">O55*F55</f>
        <v>14.32</v>
      </c>
      <c r="Q55" s="7">
        <f>IF($D55='[2]Beam '!Q$44,$P55*'[2]Beam '!Q$45,0)</f>
        <v>0</v>
      </c>
      <c r="R55" s="7">
        <f>IF($D55='[2]Beam '!R$44,$P55*'[2]Beam '!R$45,0)</f>
        <v>0</v>
      </c>
      <c r="S55" s="7">
        <f>IF($D55='[2]Beam '!S$44,$P55*'[2]Beam '!S$45,0)</f>
        <v>0</v>
      </c>
      <c r="T55" s="7">
        <f>IF($D55='[2]Beam '!T$44,$P55*'[2]Beam '!T$45,0)</f>
        <v>0</v>
      </c>
      <c r="U55" s="7">
        <f>IF($D55='[2]Beam '!U$44,$P55*'[2]Beam '!U$45,0)</f>
        <v>35.329485714285717</v>
      </c>
      <c r="V55" s="7">
        <f>IF($D55='[2]Beam '!V$44,$P55*'[2]Beam '!V$45,0)</f>
        <v>0</v>
      </c>
      <c r="W55" s="7">
        <f>IF($D55='[2]Beam '!W$44,$P55*'[2]Beam '!W$45,0)</f>
        <v>0</v>
      </c>
      <c r="X55" s="7">
        <f t="shared" ref="X55:X61" si="14">SUM(Q55:W55)</f>
        <v>35.329485714285717</v>
      </c>
      <c r="Y55" s="7"/>
      <c r="Z55" s="7"/>
      <c r="AA55" s="7"/>
      <c r="AB55" s="7"/>
      <c r="AC55" s="7"/>
      <c r="AD55" s="7"/>
      <c r="AE55" s="7"/>
    </row>
    <row r="56" spans="1:32" s="9" customFormat="1" ht="20.100000000000001" customHeight="1" x14ac:dyDescent="0.25">
      <c r="A56" s="6"/>
      <c r="B56" s="10" t="s">
        <v>2</v>
      </c>
      <c r="C56" s="13" t="s">
        <v>5</v>
      </c>
      <c r="D56" s="7">
        <v>16</v>
      </c>
      <c r="E56" s="7"/>
      <c r="F56" s="7">
        <v>2</v>
      </c>
      <c r="G56" s="8">
        <f>VLOOKUP(D56,'[2]Beam '!$C$20:$H$26,3,0)</f>
        <v>0.625</v>
      </c>
      <c r="H56" s="8"/>
      <c r="I56" s="7"/>
      <c r="J56" s="7"/>
      <c r="K56" s="7"/>
      <c r="L56" s="7"/>
      <c r="M56" s="7"/>
      <c r="N56" s="7"/>
      <c r="O56" s="7">
        <f>(E54+2*(G56+(12*D56/1000)*D54))</f>
        <v>3.1339999999999999</v>
      </c>
      <c r="P56" s="7">
        <f t="shared" si="13"/>
        <v>6.2679999999999998</v>
      </c>
      <c r="Q56" s="7">
        <f>IF($D56='[2]Beam '!Q$44,$P56*'[2]Beam '!Q$45,0)</f>
        <v>0</v>
      </c>
      <c r="R56" s="7">
        <f>IF($D56='[2]Beam '!R$44,$P56*'[2]Beam '!R$45,0)</f>
        <v>0</v>
      </c>
      <c r="S56" s="7">
        <f>IF($D56='[2]Beam '!S$44,$P56*'[2]Beam '!S$45,0)</f>
        <v>0</v>
      </c>
      <c r="T56" s="7">
        <f>IF($D56='[2]Beam '!T$44,$P56*'[2]Beam '!T$45,0)</f>
        <v>9.8969929142857147</v>
      </c>
      <c r="U56" s="7">
        <f>IF($D56='[2]Beam '!U$44,$P56*'[2]Beam '!U$45,0)</f>
        <v>0</v>
      </c>
      <c r="V56" s="7">
        <f>IF($D56='[2]Beam '!V$44,$P56*'[2]Beam '!V$45,0)</f>
        <v>0</v>
      </c>
      <c r="W56" s="7">
        <f>IF($D56='[2]Beam '!W$44,$P56*'[2]Beam '!W$45,0)</f>
        <v>0</v>
      </c>
      <c r="X56" s="7">
        <f t="shared" si="14"/>
        <v>9.8969929142857147</v>
      </c>
      <c r="Y56" s="7"/>
      <c r="Z56" s="7"/>
      <c r="AA56" s="7"/>
      <c r="AB56" s="7"/>
      <c r="AC56" s="7"/>
      <c r="AD56" s="7"/>
      <c r="AE56" s="7"/>
    </row>
    <row r="57" spans="1:32" s="9" customFormat="1" ht="20.100000000000001" customHeight="1" x14ac:dyDescent="0.25">
      <c r="A57" s="6"/>
      <c r="B57" s="10" t="s">
        <v>2</v>
      </c>
      <c r="C57" s="13" t="s">
        <v>6</v>
      </c>
      <c r="D57" s="7">
        <v>20</v>
      </c>
      <c r="E57" s="7"/>
      <c r="F57" s="7">
        <v>4</v>
      </c>
      <c r="G57" s="8">
        <f>VLOOKUP(D57,'[2]Beam '!$C$20:$H$26,3,0)</f>
        <v>0.8</v>
      </c>
      <c r="H57" s="7"/>
      <c r="I57" s="7"/>
      <c r="J57" s="7"/>
      <c r="K57" s="7"/>
      <c r="L57" s="7"/>
      <c r="M57" s="7"/>
      <c r="N57" s="7"/>
      <c r="O57" s="7">
        <f>(E54+2*(G57+(12*D57/1000)*D54))</f>
        <v>3.58</v>
      </c>
      <c r="P57" s="7">
        <f t="shared" si="13"/>
        <v>14.32</v>
      </c>
      <c r="Q57" s="7">
        <f>IF($D57='[2]Beam '!Q$44,$P57*'[2]Beam '!Q$45,0)</f>
        <v>0</v>
      </c>
      <c r="R57" s="7">
        <f>IF($D57='[2]Beam '!R$44,$P57*'[2]Beam '!R$45,0)</f>
        <v>0</v>
      </c>
      <c r="S57" s="7">
        <f>IF($D57='[2]Beam '!S$44,$P57*'[2]Beam '!S$45,0)</f>
        <v>0</v>
      </c>
      <c r="T57" s="7">
        <f>IF($D57='[2]Beam '!T$44,$P57*'[2]Beam '!T$45,0)</f>
        <v>0</v>
      </c>
      <c r="U57" s="7">
        <f>IF($D57='[2]Beam '!U$44,$P57*'[2]Beam '!U$45,0)</f>
        <v>35.329485714285717</v>
      </c>
      <c r="V57" s="7">
        <f>IF($D57='[2]Beam '!V$44,$P57*'[2]Beam '!V$45,0)</f>
        <v>0</v>
      </c>
      <c r="W57" s="7">
        <f>IF($D57='[2]Beam '!W$44,$P57*'[2]Beam '!W$45,0)</f>
        <v>0</v>
      </c>
      <c r="X57" s="7">
        <f t="shared" si="14"/>
        <v>35.329485714285717</v>
      </c>
      <c r="Y57" s="7"/>
      <c r="Z57" s="7"/>
      <c r="AA57" s="7"/>
      <c r="AB57" s="7"/>
      <c r="AC57" s="7"/>
      <c r="AD57" s="7"/>
      <c r="AE57" s="7"/>
    </row>
    <row r="58" spans="1:32" s="14" customFormat="1" ht="20.100000000000001" customHeight="1" x14ac:dyDescent="0.3">
      <c r="A58" s="6"/>
      <c r="B58" s="10" t="s">
        <v>2</v>
      </c>
      <c r="C58" s="13" t="s">
        <v>13</v>
      </c>
      <c r="D58" s="7">
        <v>16</v>
      </c>
      <c r="E58" s="7"/>
      <c r="F58" s="7">
        <v>2</v>
      </c>
      <c r="G58" s="8">
        <f>VLOOKUP(D58,'[2]Beam '!$C$20:$H$26,3,0)</f>
        <v>0.625</v>
      </c>
      <c r="H58" s="7"/>
      <c r="I58" s="7"/>
      <c r="J58" s="7"/>
      <c r="K58" s="7"/>
      <c r="L58" s="7"/>
      <c r="M58" s="7"/>
      <c r="N58" s="7"/>
      <c r="O58" s="7">
        <f>(E54+2*(G58+(12*D58/1000)*D54))</f>
        <v>3.1339999999999999</v>
      </c>
      <c r="P58" s="7">
        <f t="shared" si="13"/>
        <v>6.2679999999999998</v>
      </c>
      <c r="Q58" s="7">
        <f>IF($D58='[2]Beam '!Q$44,$P58*'[2]Beam '!Q$45,0)</f>
        <v>0</v>
      </c>
      <c r="R58" s="7">
        <f>IF($D58='[2]Beam '!R$44,$P58*'[2]Beam '!R$45,0)</f>
        <v>0</v>
      </c>
      <c r="S58" s="7">
        <f>IF($D58='[2]Beam '!S$44,$P58*'[2]Beam '!S$45,0)</f>
        <v>0</v>
      </c>
      <c r="T58" s="7">
        <f>IF($D58='[2]Beam '!T$44,$P58*'[2]Beam '!T$45,0)</f>
        <v>9.8969929142857147</v>
      </c>
      <c r="U58" s="7">
        <f>IF($D58='[2]Beam '!U$44,$P58*'[2]Beam '!U$45,0)</f>
        <v>0</v>
      </c>
      <c r="V58" s="7">
        <f>IF($D58='[2]Beam '!V$44,$P58*'[2]Beam '!V$45,0)</f>
        <v>0</v>
      </c>
      <c r="W58" s="7">
        <f>IF($D58='[2]Beam '!W$44,$P58*'[2]Beam '!W$45,0)</f>
        <v>0</v>
      </c>
      <c r="X58" s="7">
        <f t="shared" si="14"/>
        <v>9.8969929142857147</v>
      </c>
      <c r="Y58" s="7"/>
    </row>
    <row r="59" spans="1:32" s="9" customFormat="1" ht="20.100000000000001" customHeight="1" x14ac:dyDescent="0.25">
      <c r="A59" s="6"/>
      <c r="B59" s="10" t="s">
        <v>2</v>
      </c>
      <c r="C59" s="13" t="s">
        <v>17</v>
      </c>
      <c r="D59" s="7">
        <v>10</v>
      </c>
      <c r="E59" s="7">
        <v>0.1</v>
      </c>
      <c r="F59" s="7">
        <f>ROUNDUP(E54/E59,0)</f>
        <v>15</v>
      </c>
      <c r="H59" s="7"/>
      <c r="I59" s="7"/>
      <c r="J59" s="7"/>
      <c r="K59" s="7"/>
      <c r="L59" s="7"/>
      <c r="M59" s="7"/>
      <c r="N59" s="7"/>
      <c r="O59" s="7">
        <f>(2*((G54-(2*'[2]Beam '!$D$11))+(F54-(2*'[2]Beam '!$D$11)))+(2*10*D59/1000))*D54</f>
        <v>2.9600000000000004</v>
      </c>
      <c r="P59" s="7">
        <f t="shared" si="13"/>
        <v>44.400000000000006</v>
      </c>
      <c r="Q59" s="7">
        <f>IF($D59='[2]Beam '!Q$44,$P59*'[2]Beam '!Q$45,0)</f>
        <v>0</v>
      </c>
      <c r="R59" s="7">
        <f>IF($D59='[2]Beam '!R$44,$P59*'[2]Beam '!R$45,0)</f>
        <v>27.385285714285718</v>
      </c>
      <c r="S59" s="7">
        <f>IF($D59='[2]Beam '!S$44,$P59*'[2]Beam '!S$45,0)</f>
        <v>0</v>
      </c>
      <c r="T59" s="7">
        <f>IF($D59='[2]Beam '!T$44,$P59*'[2]Beam '!T$45,0)</f>
        <v>0</v>
      </c>
      <c r="U59" s="7">
        <f>IF($D59='[2]Beam '!U$44,$P59*'[2]Beam '!U$45,0)</f>
        <v>0</v>
      </c>
      <c r="V59" s="7">
        <f>IF($D59='[2]Beam '!V$44,$P59*'[2]Beam '!V$45,0)</f>
        <v>0</v>
      </c>
      <c r="W59" s="7">
        <f>IF($D59='[2]Beam '!W$44,$P59*'[2]Beam '!W$45,0)</f>
        <v>0</v>
      </c>
      <c r="X59" s="7">
        <f t="shared" si="14"/>
        <v>27.385285714285718</v>
      </c>
      <c r="Y59" s="7"/>
      <c r="Z59" s="7"/>
      <c r="AA59" s="7"/>
      <c r="AB59" s="7"/>
      <c r="AC59" s="7"/>
      <c r="AD59" s="7"/>
      <c r="AE59" s="7"/>
    </row>
    <row r="60" spans="1:32" s="9" customFormat="1" ht="21" customHeight="1" x14ac:dyDescent="0.25">
      <c r="A60" s="14"/>
      <c r="B60" s="10" t="s">
        <v>2</v>
      </c>
      <c r="C60" s="13" t="s">
        <v>18</v>
      </c>
      <c r="D60" s="14">
        <f>D59</f>
        <v>10</v>
      </c>
      <c r="E60" s="14">
        <f>+E59</f>
        <v>0.1</v>
      </c>
      <c r="F60" s="7">
        <f>ROUNDUP(E54/E60,0)</f>
        <v>15</v>
      </c>
      <c r="H60" s="14"/>
      <c r="I60" s="14"/>
      <c r="J60" s="14"/>
      <c r="K60" s="14"/>
      <c r="L60" s="14"/>
      <c r="M60" s="14"/>
      <c r="N60" s="14"/>
      <c r="O60" s="7">
        <f>(2*(((F54-'[2]Beam '!$D$11*2)/(F55-1))+(G54-'[2]Beam '!$D$11*2))+(2*10*D60/1000))*D54</f>
        <v>2.5066666666666668</v>
      </c>
      <c r="P60" s="7">
        <f t="shared" si="13"/>
        <v>37.6</v>
      </c>
      <c r="Q60" s="7">
        <f>IF($D60='[2]Beam '!Q$44,$P60*'[2]Beam '!Q$45,0)</f>
        <v>0</v>
      </c>
      <c r="R60" s="7">
        <f>IF($D60='[2]Beam '!R$44,$P60*'[2]Beam '!R$45,0)</f>
        <v>23.191142857142857</v>
      </c>
      <c r="S60" s="7">
        <f>IF($D60='[2]Beam '!S$44,$P60*'[2]Beam '!S$45,0)</f>
        <v>0</v>
      </c>
      <c r="T60" s="7">
        <f>IF($D60='[2]Beam '!T$44,$P60*'[2]Beam '!T$45,0)</f>
        <v>0</v>
      </c>
      <c r="U60" s="7">
        <f>IF($D60='[2]Beam '!U$44,$P60*'[2]Beam '!U$45,0)</f>
        <v>0</v>
      </c>
      <c r="V60" s="7">
        <f>IF($D60='[2]Beam '!V$44,$P60*'[2]Beam '!V$45,0)</f>
        <v>0</v>
      </c>
      <c r="W60" s="7">
        <f>IF($D60='[2]Beam '!W$44,$P60*'[2]Beam '!W$45,0)</f>
        <v>0</v>
      </c>
      <c r="X60" s="7">
        <f t="shared" si="14"/>
        <v>23.191142857142857</v>
      </c>
      <c r="Y60" s="14"/>
      <c r="Z60" s="7"/>
      <c r="AA60" s="7"/>
      <c r="AB60" s="7"/>
      <c r="AC60" s="7"/>
      <c r="AD60" s="7"/>
      <c r="AE60" s="7"/>
      <c r="AF60" s="7"/>
    </row>
    <row r="61" spans="1:32" s="9" customFormat="1" ht="20.100000000000001" customHeight="1" x14ac:dyDescent="0.25">
      <c r="A61" s="6"/>
      <c r="B61" s="10" t="s">
        <v>2</v>
      </c>
      <c r="C61" s="13" t="s">
        <v>11</v>
      </c>
      <c r="D61" s="7">
        <f>+'[2]Beam '!$D$15</f>
        <v>25</v>
      </c>
      <c r="E61" s="7">
        <f>+'[2]Beam '!$E$15</f>
        <v>1</v>
      </c>
      <c r="F61" s="7">
        <f>ROUNDUP((E54)/E61,0)</f>
        <v>2</v>
      </c>
      <c r="G61" s="8"/>
      <c r="H61" s="8"/>
      <c r="I61" s="7"/>
      <c r="J61" s="7"/>
      <c r="K61" s="7"/>
      <c r="L61" s="7"/>
      <c r="M61" s="7"/>
      <c r="N61" s="7"/>
      <c r="O61" s="7">
        <f>F54-'[2]Beam '!$F$15</f>
        <v>0.34</v>
      </c>
      <c r="P61" s="7">
        <f t="shared" si="13"/>
        <v>0.68</v>
      </c>
      <c r="Q61" s="7">
        <f>IF($D61='[2]Beam '!Q$44,$P61*'[2]Beam '!Q$45,0)</f>
        <v>0</v>
      </c>
      <c r="R61" s="7">
        <f>IF($D61='[2]Beam '!R$44,$P61*'[2]Beam '!R$45,0)</f>
        <v>0</v>
      </c>
      <c r="S61" s="7">
        <f>IF($D61='[2]Beam '!S$44,$P61*'[2]Beam '!S$45,0)</f>
        <v>0</v>
      </c>
      <c r="T61" s="7">
        <f>IF($D61='[2]Beam '!T$44,$P61*'[2]Beam '!T$45,0)</f>
        <v>0</v>
      </c>
      <c r="U61" s="7">
        <f>IF($D61='[2]Beam '!U$44,$P61*'[2]Beam '!U$45,0)</f>
        <v>0</v>
      </c>
      <c r="V61" s="7">
        <f>IF($D61='[2]Beam '!V$44,$P61*'[2]Beam '!V$45,0)</f>
        <v>2.6213392857142863</v>
      </c>
      <c r="W61" s="7">
        <f>IF($D61='[2]Beam '!W$44,$P61*'[2]Beam '!W$45,0)</f>
        <v>0</v>
      </c>
      <c r="X61" s="7">
        <f t="shared" si="14"/>
        <v>2.6213392857142863</v>
      </c>
      <c r="Y61" s="7"/>
      <c r="Z61" s="7"/>
      <c r="AA61" s="7"/>
      <c r="AB61" s="7"/>
      <c r="AC61" s="7"/>
      <c r="AD61" s="7"/>
      <c r="AE61" s="7"/>
    </row>
    <row r="62" spans="1:32" s="9" customFormat="1" ht="20.100000000000001" customHeight="1" x14ac:dyDescent="0.25">
      <c r="A62" s="7">
        <v>1</v>
      </c>
      <c r="B62" s="10" t="s">
        <v>2</v>
      </c>
      <c r="C62" s="11" t="s">
        <v>20</v>
      </c>
      <c r="D62" s="11">
        <v>1</v>
      </c>
      <c r="E62" s="11">
        <v>3.05</v>
      </c>
      <c r="F62" s="11">
        <v>0.6</v>
      </c>
      <c r="G62" s="11">
        <v>0.8</v>
      </c>
      <c r="H62" s="7">
        <f>G62-0.2</f>
        <v>0.60000000000000009</v>
      </c>
      <c r="I62" s="7">
        <f>E62*F62*G62*D62</f>
        <v>1.464</v>
      </c>
      <c r="J62" s="7">
        <f>(2*(E62)*H62*D62)+(E62*F62)</f>
        <v>5.49</v>
      </c>
      <c r="K62" s="12">
        <f>IF(E62=0.3,J62,0)</f>
        <v>0</v>
      </c>
      <c r="L62" s="12">
        <f>IF(AND(E62&gt;0.3,E62&lt;=0.75),J62,0)</f>
        <v>0</v>
      </c>
      <c r="M62" s="12">
        <f>IF(AND(E62&gt;0.75,E62&lt;=1.2),J62,0)</f>
        <v>0</v>
      </c>
      <c r="N62" s="12">
        <f>IF(E62&gt;1.2,J62,0)</f>
        <v>5.49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>
        <f>SUM(X63:X70)/I62</f>
        <v>171.55240782591727</v>
      </c>
      <c r="Z62" s="7"/>
      <c r="AA62" s="7"/>
      <c r="AB62" s="7"/>
      <c r="AC62" s="7"/>
      <c r="AD62" s="7"/>
      <c r="AE62" s="7"/>
    </row>
    <row r="63" spans="1:32" s="9" customFormat="1" ht="20.100000000000001" customHeight="1" x14ac:dyDescent="0.25">
      <c r="A63" s="6"/>
      <c r="B63" s="10" t="s">
        <v>2</v>
      </c>
      <c r="C63" s="13" t="s">
        <v>4</v>
      </c>
      <c r="D63" s="7">
        <v>20</v>
      </c>
      <c r="E63" s="7"/>
      <c r="F63" s="7">
        <v>6</v>
      </c>
      <c r="G63" s="8">
        <f>VLOOKUP(D63,'[2]Beam '!$C$20:$H$26,3,0)</f>
        <v>0.8</v>
      </c>
      <c r="H63" s="8"/>
      <c r="I63" s="7"/>
      <c r="J63" s="7"/>
      <c r="K63" s="7"/>
      <c r="L63" s="7"/>
      <c r="M63" s="7"/>
      <c r="N63" s="7"/>
      <c r="O63" s="7">
        <f>(E62+1*(G63+(12*D63/1000)+1*(0.55/2))*D62)</f>
        <v>4.3650000000000002</v>
      </c>
      <c r="P63" s="7">
        <f t="shared" ref="P63:P70" si="15">O63*F63</f>
        <v>26.19</v>
      </c>
      <c r="Q63" s="7">
        <f>IF($D63='[2]Beam '!Q$44,$P63*'[2]Beam '!Q$45,0)</f>
        <v>0</v>
      </c>
      <c r="R63" s="7">
        <f>IF($D63='[2]Beam '!R$44,$P63*'[2]Beam '!R$45,0)</f>
        <v>0</v>
      </c>
      <c r="S63" s="7">
        <f>IF($D63='[2]Beam '!S$44,$P63*'[2]Beam '!S$45,0)</f>
        <v>0</v>
      </c>
      <c r="T63" s="7">
        <f>IF($D63='[2]Beam '!T$44,$P63*'[2]Beam '!T$45,0)</f>
        <v>0</v>
      </c>
      <c r="U63" s="7">
        <f>IF($D63='[2]Beam '!U$44,$P63*'[2]Beam '!U$45,0)</f>
        <v>64.614471428571434</v>
      </c>
      <c r="V63" s="7">
        <f>IF($D63='[2]Beam '!V$44,$P63*'[2]Beam '!V$45,0)</f>
        <v>0</v>
      </c>
      <c r="W63" s="7">
        <f>IF($D63='[2]Beam '!W$44,$P63*'[2]Beam '!W$45,0)</f>
        <v>0</v>
      </c>
      <c r="X63" s="7">
        <f t="shared" ref="X63:X70" si="16">SUM(Q63:W63)</f>
        <v>64.614471428571434</v>
      </c>
      <c r="Y63" s="7"/>
      <c r="Z63" s="7"/>
      <c r="AA63" s="7"/>
      <c r="AB63" s="7"/>
      <c r="AC63" s="7"/>
      <c r="AD63" s="7"/>
      <c r="AE63" s="7"/>
    </row>
    <row r="64" spans="1:32" s="9" customFormat="1" ht="20.100000000000001" customHeight="1" x14ac:dyDescent="0.25">
      <c r="A64" s="6"/>
      <c r="B64" s="10" t="s">
        <v>2</v>
      </c>
      <c r="C64" s="13" t="s">
        <v>5</v>
      </c>
      <c r="D64" s="7">
        <v>16</v>
      </c>
      <c r="E64" s="7"/>
      <c r="F64" s="7">
        <v>4</v>
      </c>
      <c r="G64" s="8">
        <f>VLOOKUP(D64,'[2]Beam '!$C$20:$H$26,3,0)</f>
        <v>0.625</v>
      </c>
      <c r="H64" s="8"/>
      <c r="I64" s="7"/>
      <c r="J64" s="7"/>
      <c r="K64" s="7"/>
      <c r="L64" s="7"/>
      <c r="M64" s="7"/>
      <c r="N64" s="7"/>
      <c r="O64" s="7">
        <f>(0.85+1*(G64+(12*D64/1000)*D62))</f>
        <v>1.6669999999999998</v>
      </c>
      <c r="P64" s="7">
        <f t="shared" si="15"/>
        <v>6.6679999999999993</v>
      </c>
      <c r="Q64" s="7">
        <f>IF($D64='[2]Beam '!Q$44,$P64*'[2]Beam '!Q$45,0)</f>
        <v>0</v>
      </c>
      <c r="R64" s="7">
        <f>IF($D64='[2]Beam '!R$44,$P64*'[2]Beam '!R$45,0)</f>
        <v>0</v>
      </c>
      <c r="S64" s="7">
        <f>IF($D64='[2]Beam '!S$44,$P64*'[2]Beam '!S$45,0)</f>
        <v>0</v>
      </c>
      <c r="T64" s="7">
        <f>IF($D64='[2]Beam '!T$44,$P64*'[2]Beam '!T$45,0)</f>
        <v>10.528581485714286</v>
      </c>
      <c r="U64" s="7">
        <f>IF($D64='[2]Beam '!U$44,$P64*'[2]Beam '!U$45,0)</f>
        <v>0</v>
      </c>
      <c r="V64" s="7">
        <f>IF($D64='[2]Beam '!V$44,$P64*'[2]Beam '!V$45,0)</f>
        <v>0</v>
      </c>
      <c r="W64" s="7">
        <f>IF($D64='[2]Beam '!W$44,$P64*'[2]Beam '!W$45,0)</f>
        <v>0</v>
      </c>
      <c r="X64" s="7">
        <f t="shared" si="16"/>
        <v>10.528581485714286</v>
      </c>
      <c r="Y64" s="7"/>
      <c r="Z64" s="7"/>
      <c r="AA64" s="7"/>
      <c r="AB64" s="7"/>
      <c r="AC64" s="7"/>
      <c r="AD64" s="7"/>
      <c r="AE64" s="7"/>
    </row>
    <row r="65" spans="1:32" s="9" customFormat="1" ht="20.100000000000001" customHeight="1" x14ac:dyDescent="0.25">
      <c r="A65" s="6"/>
      <c r="B65" s="10" t="s">
        <v>2</v>
      </c>
      <c r="C65" s="13" t="s">
        <v>5</v>
      </c>
      <c r="D65" s="7">
        <v>16</v>
      </c>
      <c r="E65" s="7"/>
      <c r="F65" s="7">
        <v>4</v>
      </c>
      <c r="G65" s="8">
        <f>VLOOKUP(D65,'[2]Beam '!$C$20:$H$26,3,0)</f>
        <v>0.625</v>
      </c>
      <c r="H65" s="8"/>
      <c r="I65" s="7"/>
      <c r="J65" s="7"/>
      <c r="K65" s="7"/>
      <c r="L65" s="7"/>
      <c r="M65" s="7"/>
      <c r="N65" s="7"/>
      <c r="O65" s="7">
        <f>(0.85+1*(0.55/2)*D62)</f>
        <v>1.125</v>
      </c>
      <c r="P65" s="7">
        <f t="shared" si="15"/>
        <v>4.5</v>
      </c>
      <c r="Q65" s="7">
        <f>IF($D65='[2]Beam '!Q$44,$P65*'[2]Beam '!Q$45,0)</f>
        <v>0</v>
      </c>
      <c r="R65" s="7">
        <f>IF($D65='[2]Beam '!R$44,$P65*'[2]Beam '!R$45,0)</f>
        <v>0</v>
      </c>
      <c r="S65" s="7">
        <f>IF($D65='[2]Beam '!S$44,$P65*'[2]Beam '!S$45,0)</f>
        <v>0</v>
      </c>
      <c r="T65" s="7">
        <f>IF($D65='[2]Beam '!T$44,$P65*'[2]Beam '!T$45,0)</f>
        <v>7.1053714285714289</v>
      </c>
      <c r="U65" s="7">
        <f>IF($D65='[2]Beam '!U$44,$P65*'[2]Beam '!U$45,0)</f>
        <v>0</v>
      </c>
      <c r="V65" s="7">
        <f>IF($D65='[2]Beam '!V$44,$P65*'[2]Beam '!V$45,0)</f>
        <v>0</v>
      </c>
      <c r="W65" s="7">
        <f>IF($D65='[2]Beam '!W$44,$P65*'[2]Beam '!W$45,0)</f>
        <v>0</v>
      </c>
      <c r="X65" s="7">
        <f t="shared" si="16"/>
        <v>7.1053714285714289</v>
      </c>
      <c r="Y65" s="7"/>
      <c r="Z65" s="7"/>
      <c r="AA65" s="7"/>
      <c r="AB65" s="7"/>
      <c r="AC65" s="7"/>
      <c r="AD65" s="7"/>
      <c r="AE65" s="7"/>
    </row>
    <row r="66" spans="1:32" s="9" customFormat="1" ht="20.100000000000001" customHeight="1" x14ac:dyDescent="0.25">
      <c r="A66" s="6"/>
      <c r="B66" s="10" t="s">
        <v>2</v>
      </c>
      <c r="C66" s="13" t="s">
        <v>6</v>
      </c>
      <c r="D66" s="7">
        <v>20</v>
      </c>
      <c r="E66" s="7"/>
      <c r="F66" s="7">
        <v>6</v>
      </c>
      <c r="G66" s="8">
        <f>VLOOKUP(D66,'[2]Beam '!$C$20:$H$26,3,0)</f>
        <v>0.8</v>
      </c>
      <c r="H66" s="7"/>
      <c r="I66" s="7"/>
      <c r="J66" s="7"/>
      <c r="K66" s="7"/>
      <c r="L66" s="7"/>
      <c r="M66" s="7"/>
      <c r="N66" s="7"/>
      <c r="O66" s="7">
        <f>(E62+1*(G66+(12*D66/1000)+1*(0.55/2))*D62)</f>
        <v>4.3650000000000002</v>
      </c>
      <c r="P66" s="7">
        <f t="shared" si="15"/>
        <v>26.19</v>
      </c>
      <c r="Q66" s="7">
        <f>IF($D66='[2]Beam '!Q$44,$P66*'[2]Beam '!Q$45,0)</f>
        <v>0</v>
      </c>
      <c r="R66" s="7">
        <f>IF($D66='[2]Beam '!R$44,$P66*'[2]Beam '!R$45,0)</f>
        <v>0</v>
      </c>
      <c r="S66" s="7">
        <f>IF($D66='[2]Beam '!S$44,$P66*'[2]Beam '!S$45,0)</f>
        <v>0</v>
      </c>
      <c r="T66" s="7">
        <f>IF($D66='[2]Beam '!T$44,$P66*'[2]Beam '!T$45,0)</f>
        <v>0</v>
      </c>
      <c r="U66" s="7">
        <f>IF($D66='[2]Beam '!U$44,$P66*'[2]Beam '!U$45,0)</f>
        <v>64.614471428571434</v>
      </c>
      <c r="V66" s="7">
        <f>IF($D66='[2]Beam '!V$44,$P66*'[2]Beam '!V$45,0)</f>
        <v>0</v>
      </c>
      <c r="W66" s="7">
        <f>IF($D66='[2]Beam '!W$44,$P66*'[2]Beam '!W$45,0)</f>
        <v>0</v>
      </c>
      <c r="X66" s="7">
        <f t="shared" si="16"/>
        <v>64.614471428571434</v>
      </c>
      <c r="Y66" s="7"/>
      <c r="Z66" s="7"/>
      <c r="AA66" s="7"/>
      <c r="AB66" s="7"/>
      <c r="AC66" s="7"/>
      <c r="AD66" s="7"/>
      <c r="AE66" s="7"/>
    </row>
    <row r="67" spans="1:32" s="14" customFormat="1" ht="20.100000000000001" customHeight="1" x14ac:dyDescent="0.3">
      <c r="A67" s="6"/>
      <c r="B67" s="10" t="s">
        <v>2</v>
      </c>
      <c r="C67" s="13" t="s">
        <v>13</v>
      </c>
      <c r="D67" s="7">
        <v>20</v>
      </c>
      <c r="E67" s="7"/>
      <c r="F67" s="7">
        <v>4</v>
      </c>
      <c r="G67" s="8">
        <f>VLOOKUP(D67,'[2]Beam '!$C$20:$H$26,3,0)</f>
        <v>0.8</v>
      </c>
      <c r="H67" s="7"/>
      <c r="I67" s="7"/>
      <c r="J67" s="7"/>
      <c r="K67" s="7"/>
      <c r="L67" s="7"/>
      <c r="M67" s="7"/>
      <c r="N67" s="7"/>
      <c r="O67" s="7">
        <f>(0.85+1*(0.55/2)*D62)</f>
        <v>1.125</v>
      </c>
      <c r="P67" s="7">
        <f t="shared" si="15"/>
        <v>4.5</v>
      </c>
      <c r="Q67" s="7">
        <f>IF($D67='[2]Beam '!Q$44,$P67*'[2]Beam '!Q$45,0)</f>
        <v>0</v>
      </c>
      <c r="R67" s="7">
        <f>IF($D67='[2]Beam '!R$44,$P67*'[2]Beam '!R$45,0)</f>
        <v>0</v>
      </c>
      <c r="S67" s="7">
        <f>IF($D67='[2]Beam '!S$44,$P67*'[2]Beam '!S$45,0)</f>
        <v>0</v>
      </c>
      <c r="T67" s="7">
        <f>IF($D67='[2]Beam '!T$44,$P67*'[2]Beam '!T$45,0)</f>
        <v>0</v>
      </c>
      <c r="U67" s="7">
        <f>IF($D67='[2]Beam '!U$44,$P67*'[2]Beam '!U$45,0)</f>
        <v>11.102142857142857</v>
      </c>
      <c r="V67" s="7">
        <f>IF($D67='[2]Beam '!V$44,$P67*'[2]Beam '!V$45,0)</f>
        <v>0</v>
      </c>
      <c r="W67" s="7">
        <f>IF($D67='[2]Beam '!W$44,$P67*'[2]Beam '!W$45,0)</f>
        <v>0</v>
      </c>
      <c r="X67" s="7">
        <f t="shared" si="16"/>
        <v>11.102142857142857</v>
      </c>
      <c r="Y67" s="7"/>
    </row>
    <row r="68" spans="1:32" s="9" customFormat="1" ht="20.100000000000001" customHeight="1" x14ac:dyDescent="0.25">
      <c r="A68" s="6"/>
      <c r="B68" s="10" t="s">
        <v>2</v>
      </c>
      <c r="C68" s="13" t="s">
        <v>17</v>
      </c>
      <c r="D68" s="7">
        <v>10</v>
      </c>
      <c r="E68" s="7">
        <v>0.1</v>
      </c>
      <c r="F68" s="7">
        <f>ROUNDUP(E62/E68,0)</f>
        <v>31</v>
      </c>
      <c r="H68" s="7"/>
      <c r="I68" s="7"/>
      <c r="J68" s="7"/>
      <c r="K68" s="7"/>
      <c r="L68" s="7"/>
      <c r="M68" s="7"/>
      <c r="N68" s="7"/>
      <c r="O68" s="7">
        <f>(2*((G62-(2*'[2]Beam '!$D$11))+(F62-(2*'[2]Beam '!$D$11)))+(2*10*D68/1000))*D62</f>
        <v>2.7600000000000002</v>
      </c>
      <c r="P68" s="7">
        <f t="shared" si="15"/>
        <v>85.56</v>
      </c>
      <c r="Q68" s="7">
        <f>IF($D68='[2]Beam '!Q$44,$P68*'[2]Beam '!Q$45,0)</f>
        <v>0</v>
      </c>
      <c r="R68" s="7">
        <f>IF($D68='[2]Beam '!R$44,$P68*'[2]Beam '!R$45,0)</f>
        <v>52.772185714285712</v>
      </c>
      <c r="S68" s="7">
        <f>IF($D68='[2]Beam '!S$44,$P68*'[2]Beam '!S$45,0)</f>
        <v>0</v>
      </c>
      <c r="T68" s="7">
        <f>IF($D68='[2]Beam '!T$44,$P68*'[2]Beam '!T$45,0)</f>
        <v>0</v>
      </c>
      <c r="U68" s="7">
        <f>IF($D68='[2]Beam '!U$44,$P68*'[2]Beam '!U$45,0)</f>
        <v>0</v>
      </c>
      <c r="V68" s="7">
        <f>IF($D68='[2]Beam '!V$44,$P68*'[2]Beam '!V$45,0)</f>
        <v>0</v>
      </c>
      <c r="W68" s="7">
        <f>IF($D68='[2]Beam '!W$44,$P68*'[2]Beam '!W$45,0)</f>
        <v>0</v>
      </c>
      <c r="X68" s="7">
        <f t="shared" si="16"/>
        <v>52.772185714285712</v>
      </c>
      <c r="Y68" s="7"/>
      <c r="Z68" s="7"/>
      <c r="AA68" s="7"/>
      <c r="AB68" s="7"/>
      <c r="AC68" s="7"/>
      <c r="AD68" s="7"/>
      <c r="AE68" s="7"/>
    </row>
    <row r="69" spans="1:32" s="9" customFormat="1" ht="21" customHeight="1" x14ac:dyDescent="0.25">
      <c r="A69" s="14"/>
      <c r="B69" s="10" t="s">
        <v>2</v>
      </c>
      <c r="C69" s="13" t="s">
        <v>18</v>
      </c>
      <c r="D69" s="14">
        <f>D68</f>
        <v>10</v>
      </c>
      <c r="E69" s="14">
        <f>+E68</f>
        <v>0.1</v>
      </c>
      <c r="F69" s="7">
        <f>ROUNDUP(E62/E69,0)</f>
        <v>31</v>
      </c>
      <c r="H69" s="14"/>
      <c r="I69" s="14"/>
      <c r="J69" s="14"/>
      <c r="K69" s="14"/>
      <c r="L69" s="14"/>
      <c r="M69" s="14"/>
      <c r="N69" s="14"/>
      <c r="O69" s="7">
        <f>(2*(((F62-'[2]Beam '!$D$11*2)/(F63-1))+(G62-'[2]Beam '!$D$11*2))+(2*10*D69/1000))*D62</f>
        <v>1.8959999999999999</v>
      </c>
      <c r="P69" s="7">
        <f t="shared" si="15"/>
        <v>58.775999999999996</v>
      </c>
      <c r="Q69" s="7">
        <f>IF($D69='[2]Beam '!Q$44,$P69*'[2]Beam '!Q$45,0)</f>
        <v>0</v>
      </c>
      <c r="R69" s="7">
        <f>IF($D69='[2]Beam '!R$44,$P69*'[2]Beam '!R$45,0)</f>
        <v>36.252197142857142</v>
      </c>
      <c r="S69" s="7">
        <f>IF($D69='[2]Beam '!S$44,$P69*'[2]Beam '!S$45,0)</f>
        <v>0</v>
      </c>
      <c r="T69" s="7">
        <f>IF($D69='[2]Beam '!T$44,$P69*'[2]Beam '!T$45,0)</f>
        <v>0</v>
      </c>
      <c r="U69" s="7">
        <f>IF($D69='[2]Beam '!U$44,$P69*'[2]Beam '!U$45,0)</f>
        <v>0</v>
      </c>
      <c r="V69" s="7">
        <f>IF($D69='[2]Beam '!V$44,$P69*'[2]Beam '!V$45,0)</f>
        <v>0</v>
      </c>
      <c r="W69" s="7">
        <f>IF($D69='[2]Beam '!W$44,$P69*'[2]Beam '!W$45,0)</f>
        <v>0</v>
      </c>
      <c r="X69" s="7">
        <f t="shared" si="16"/>
        <v>36.252197142857142</v>
      </c>
      <c r="Y69" s="14"/>
      <c r="Z69" s="7"/>
      <c r="AA69" s="7"/>
      <c r="AB69" s="7"/>
      <c r="AC69" s="7"/>
      <c r="AD69" s="7"/>
      <c r="AE69" s="7"/>
      <c r="AF69" s="7"/>
    </row>
    <row r="70" spans="1:32" s="9" customFormat="1" ht="20.100000000000001" customHeight="1" x14ac:dyDescent="0.25">
      <c r="A70" s="6"/>
      <c r="B70" s="10" t="s">
        <v>2</v>
      </c>
      <c r="C70" s="13" t="s">
        <v>11</v>
      </c>
      <c r="D70" s="7">
        <f>+'[2]Beam '!$D$15</f>
        <v>25</v>
      </c>
      <c r="E70" s="7">
        <f>+'[2]Beam '!$E$15</f>
        <v>1</v>
      </c>
      <c r="F70" s="7">
        <f>ROUNDUP((0.85+0.85)/E70,0)</f>
        <v>2</v>
      </c>
      <c r="G70" s="8"/>
      <c r="H70" s="8"/>
      <c r="I70" s="7"/>
      <c r="J70" s="7"/>
      <c r="K70" s="7"/>
      <c r="L70" s="7"/>
      <c r="M70" s="7"/>
      <c r="N70" s="7"/>
      <c r="O70" s="7">
        <f>F62-'[2]Beam '!$F$15</f>
        <v>0.54</v>
      </c>
      <c r="P70" s="7">
        <f t="shared" si="15"/>
        <v>1.08</v>
      </c>
      <c r="Q70" s="7">
        <f>IF($D70='[2]Beam '!Q$44,$P70*'[2]Beam '!Q$45,0)</f>
        <v>0</v>
      </c>
      <c r="R70" s="7">
        <f>IF($D70='[2]Beam '!R$44,$P70*'[2]Beam '!R$45,0)</f>
        <v>0</v>
      </c>
      <c r="S70" s="7">
        <f>IF($D70='[2]Beam '!S$44,$P70*'[2]Beam '!S$45,0)</f>
        <v>0</v>
      </c>
      <c r="T70" s="7">
        <f>IF($D70='[2]Beam '!T$44,$P70*'[2]Beam '!T$45,0)</f>
        <v>0</v>
      </c>
      <c r="U70" s="7">
        <f>IF($D70='[2]Beam '!U$44,$P70*'[2]Beam '!U$45,0)</f>
        <v>0</v>
      </c>
      <c r="V70" s="7">
        <f>IF($D70='[2]Beam '!V$44,$P70*'[2]Beam '!V$45,0)</f>
        <v>4.163303571428572</v>
      </c>
      <c r="W70" s="7">
        <f>IF($D70='[2]Beam '!W$44,$P70*'[2]Beam '!W$45,0)</f>
        <v>0</v>
      </c>
      <c r="X70" s="7">
        <f t="shared" si="16"/>
        <v>4.163303571428572</v>
      </c>
      <c r="Y70" s="7"/>
      <c r="Z70" s="7"/>
      <c r="AA70" s="7"/>
      <c r="AB70" s="7"/>
      <c r="AC70" s="7"/>
      <c r="AD70" s="7"/>
      <c r="AE70" s="7"/>
    </row>
    <row r="71" spans="1:32" s="9" customFormat="1" ht="20.100000000000001" customHeight="1" x14ac:dyDescent="0.25">
      <c r="A71" s="7" t="e">
        <f>+#REF!+1</f>
        <v>#REF!</v>
      </c>
      <c r="B71" s="10" t="s">
        <v>2</v>
      </c>
      <c r="C71" s="11" t="s">
        <v>21</v>
      </c>
      <c r="D71" s="11">
        <v>1</v>
      </c>
      <c r="E71" s="11">
        <v>3.05</v>
      </c>
      <c r="F71" s="11">
        <v>0.6</v>
      </c>
      <c r="G71" s="11">
        <v>1.05</v>
      </c>
      <c r="H71" s="7">
        <f>G71-0.2</f>
        <v>0.85000000000000009</v>
      </c>
      <c r="I71" s="7">
        <f>E71*F71*G71*D71</f>
        <v>1.9215</v>
      </c>
      <c r="J71" s="7">
        <f>(2*(E71)*H71*D71)+(E71*F71)</f>
        <v>7.0150000000000006</v>
      </c>
      <c r="K71" s="12">
        <f>IF(E71=0.3,J71,0)</f>
        <v>0</v>
      </c>
      <c r="L71" s="12">
        <f>IF(AND(E71&gt;0.3,E71&lt;=0.75),J71,0)</f>
        <v>0</v>
      </c>
      <c r="M71" s="12">
        <f>IF(AND(E71&gt;0.75,E71&lt;=1.2),J71,0)</f>
        <v>0</v>
      </c>
      <c r="N71" s="12">
        <f>IF(E71&gt;1.2,J71,0)</f>
        <v>7.0150000000000006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>
        <f>SUM(X72:X79)/I71</f>
        <v>127.90559644622877</v>
      </c>
      <c r="Z71" s="7"/>
      <c r="AA71" s="7"/>
      <c r="AB71" s="7"/>
      <c r="AC71" s="7"/>
      <c r="AD71" s="7"/>
      <c r="AE71" s="7"/>
    </row>
    <row r="72" spans="1:32" s="9" customFormat="1" ht="20.100000000000001" customHeight="1" x14ac:dyDescent="0.25">
      <c r="A72" s="6"/>
      <c r="B72" s="10" t="s">
        <v>2</v>
      </c>
      <c r="C72" s="13" t="s">
        <v>4</v>
      </c>
      <c r="D72" s="7">
        <v>20</v>
      </c>
      <c r="E72" s="7"/>
      <c r="F72" s="7">
        <v>6</v>
      </c>
      <c r="G72" s="8">
        <f>VLOOKUP(D72,'[2]Beam '!$C$20:$H$26,3,0)</f>
        <v>0.8</v>
      </c>
      <c r="H72" s="8"/>
      <c r="I72" s="7"/>
      <c r="J72" s="7"/>
      <c r="K72" s="7"/>
      <c r="L72" s="7"/>
      <c r="M72" s="7"/>
      <c r="N72" s="7"/>
      <c r="O72" s="7">
        <f>(E71+2*(G72+(12*D72/1000))*D71)</f>
        <v>5.13</v>
      </c>
      <c r="P72" s="7">
        <f t="shared" ref="P72:P79" si="17">O72*F72</f>
        <v>30.78</v>
      </c>
      <c r="Q72" s="7">
        <f>IF($D72='[2]Beam '!Q$44,$P72*'[2]Beam '!Q$45,0)</f>
        <v>0</v>
      </c>
      <c r="R72" s="7">
        <f>IF($D72='[2]Beam '!R$44,$P72*'[2]Beam '!R$45,0)</f>
        <v>0</v>
      </c>
      <c r="S72" s="7">
        <f>IF($D72='[2]Beam '!S$44,$P72*'[2]Beam '!S$45,0)</f>
        <v>0</v>
      </c>
      <c r="T72" s="7">
        <f>IF($D72='[2]Beam '!T$44,$P72*'[2]Beam '!T$45,0)</f>
        <v>0</v>
      </c>
      <c r="U72" s="7">
        <f>IF($D72='[2]Beam '!U$44,$P72*'[2]Beam '!U$45,0)</f>
        <v>75.938657142857139</v>
      </c>
      <c r="V72" s="7">
        <f>IF($D72='[2]Beam '!V$44,$P72*'[2]Beam '!V$45,0)</f>
        <v>0</v>
      </c>
      <c r="W72" s="7">
        <f>IF($D72='[2]Beam '!W$44,$P72*'[2]Beam '!W$45,0)</f>
        <v>0</v>
      </c>
      <c r="X72" s="7">
        <f t="shared" ref="X72:X79" si="18">SUM(Q72:W72)</f>
        <v>75.938657142857139</v>
      </c>
      <c r="Y72" s="7"/>
      <c r="Z72" s="7"/>
      <c r="AA72" s="7"/>
      <c r="AB72" s="7"/>
      <c r="AC72" s="7"/>
      <c r="AD72" s="7"/>
      <c r="AE72" s="7"/>
    </row>
    <row r="73" spans="1:32" s="9" customFormat="1" ht="20.100000000000001" customHeight="1" x14ac:dyDescent="0.25">
      <c r="A73" s="6"/>
      <c r="B73" s="10" t="s">
        <v>2</v>
      </c>
      <c r="C73" s="13" t="s">
        <v>5</v>
      </c>
      <c r="D73" s="7">
        <v>20</v>
      </c>
      <c r="E73" s="7"/>
      <c r="F73" s="7">
        <v>2</v>
      </c>
      <c r="G73" s="8">
        <f>VLOOKUP(D73,'[2]Beam '!$C$20:$H$26,3,0)</f>
        <v>0.8</v>
      </c>
      <c r="H73" s="8"/>
      <c r="I73" s="7"/>
      <c r="J73" s="7"/>
      <c r="K73" s="7"/>
      <c r="L73" s="7"/>
      <c r="M73" s="7"/>
      <c r="N73" s="7"/>
      <c r="O73" s="7">
        <f>(1.35+1*(G73+(12*D73/1000))*D71)</f>
        <v>2.39</v>
      </c>
      <c r="P73" s="7">
        <f t="shared" si="17"/>
        <v>4.78</v>
      </c>
      <c r="Q73" s="7">
        <f>IF($D73='[2]Beam '!Q$44,$P73*'[2]Beam '!Q$45,0)</f>
        <v>0</v>
      </c>
      <c r="R73" s="7">
        <f>IF($D73='[2]Beam '!R$44,$P73*'[2]Beam '!R$45,0)</f>
        <v>0</v>
      </c>
      <c r="S73" s="7">
        <f>IF($D73='[2]Beam '!S$44,$P73*'[2]Beam '!S$45,0)</f>
        <v>0</v>
      </c>
      <c r="T73" s="7">
        <f>IF($D73='[2]Beam '!T$44,$P73*'[2]Beam '!T$45,0)</f>
        <v>0</v>
      </c>
      <c r="U73" s="7">
        <f>IF($D73='[2]Beam '!U$44,$P73*'[2]Beam '!U$45,0)</f>
        <v>11.792942857142858</v>
      </c>
      <c r="V73" s="7">
        <f>IF($D73='[2]Beam '!V$44,$P73*'[2]Beam '!V$45,0)</f>
        <v>0</v>
      </c>
      <c r="W73" s="7">
        <f>IF($D73='[2]Beam '!W$44,$P73*'[2]Beam '!W$45,0)</f>
        <v>0</v>
      </c>
      <c r="X73" s="7">
        <f t="shared" si="18"/>
        <v>11.792942857142858</v>
      </c>
      <c r="Y73" s="7"/>
      <c r="Z73" s="7"/>
      <c r="AA73" s="7"/>
      <c r="AB73" s="7"/>
      <c r="AC73" s="7"/>
      <c r="AD73" s="7"/>
      <c r="AE73" s="7"/>
    </row>
    <row r="74" spans="1:32" s="14" customFormat="1" ht="20.100000000000001" customHeight="1" x14ac:dyDescent="0.3">
      <c r="A74" s="6"/>
      <c r="B74" s="10" t="s">
        <v>2</v>
      </c>
      <c r="C74" s="13" t="s">
        <v>6</v>
      </c>
      <c r="D74" s="7">
        <v>20</v>
      </c>
      <c r="E74" s="7"/>
      <c r="F74" s="7">
        <v>6</v>
      </c>
      <c r="G74" s="8">
        <f>VLOOKUP(D74,'[2]Beam '!$C$20:$H$26,3,0)</f>
        <v>0.8</v>
      </c>
      <c r="H74" s="7"/>
      <c r="I74" s="7"/>
      <c r="J74" s="7"/>
      <c r="K74" s="7"/>
      <c r="L74" s="7"/>
      <c r="M74" s="7"/>
      <c r="N74" s="7"/>
      <c r="O74" s="7">
        <f>(E71+1*(0.55/2)*D71)</f>
        <v>3.3249999999999997</v>
      </c>
      <c r="P74" s="7">
        <f t="shared" si="17"/>
        <v>19.95</v>
      </c>
      <c r="Q74" s="7">
        <f>IF($D74='[2]Beam '!Q$44,$P74*'[2]Beam '!Q$45,0)</f>
        <v>0</v>
      </c>
      <c r="R74" s="7">
        <f>IF($D74='[2]Beam '!R$44,$P74*'[2]Beam '!R$45,0)</f>
        <v>0</v>
      </c>
      <c r="S74" s="7">
        <f>IF($D74='[2]Beam '!S$44,$P74*'[2]Beam '!S$45,0)</f>
        <v>0</v>
      </c>
      <c r="T74" s="7">
        <f>IF($D74='[2]Beam '!T$44,$P74*'[2]Beam '!T$45,0)</f>
        <v>0</v>
      </c>
      <c r="U74" s="7">
        <f>IF($D74='[2]Beam '!U$44,$P74*'[2]Beam '!U$45,0)</f>
        <v>49.219499999999996</v>
      </c>
      <c r="V74" s="7">
        <f>IF($D74='[2]Beam '!V$44,$P74*'[2]Beam '!V$45,0)</f>
        <v>0</v>
      </c>
      <c r="W74" s="7">
        <f>IF($D74='[2]Beam '!W$44,$P74*'[2]Beam '!W$45,0)</f>
        <v>0</v>
      </c>
      <c r="X74" s="7">
        <f t="shared" si="18"/>
        <v>49.219499999999996</v>
      </c>
      <c r="Y74" s="7"/>
    </row>
    <row r="75" spans="1:32" s="14" customFormat="1" ht="20.100000000000001" customHeight="1" x14ac:dyDescent="0.25">
      <c r="A75" s="6"/>
      <c r="B75" s="10" t="s">
        <v>2</v>
      </c>
      <c r="C75" s="13" t="s">
        <v>7</v>
      </c>
      <c r="D75" s="7">
        <v>10</v>
      </c>
      <c r="E75" s="7">
        <v>0.1</v>
      </c>
      <c r="F75" s="7">
        <f>ROUNDUP((E71/3*2)/E75,0)+1</f>
        <v>22</v>
      </c>
      <c r="G75" s="9"/>
      <c r="H75" s="7"/>
      <c r="I75" s="7"/>
      <c r="J75" s="7"/>
      <c r="K75" s="7"/>
      <c r="L75" s="7"/>
      <c r="M75" s="7"/>
      <c r="N75" s="7"/>
      <c r="O75" s="7">
        <f>(2*((G71-(2*'[2]Beam '!$D$11))+(F71-(2*'[2]Beam '!$D$11)))+(2*10*D75/1000))*D71</f>
        <v>3.2600000000000002</v>
      </c>
      <c r="P75" s="7">
        <f t="shared" si="17"/>
        <v>71.72</v>
      </c>
      <c r="Q75" s="7">
        <f>IF($D75='[2]Beam '!Q$44,$P75*'[2]Beam '!Q$45,0)</f>
        <v>0</v>
      </c>
      <c r="R75" s="7">
        <f>IF($D75='[2]Beam '!R$44,$P75*'[2]Beam '!R$45,0)</f>
        <v>44.235871428571429</v>
      </c>
      <c r="S75" s="7">
        <f>IF($D75='[2]Beam '!S$44,$P75*'[2]Beam '!S$45,0)</f>
        <v>0</v>
      </c>
      <c r="T75" s="7">
        <f>IF($D75='[2]Beam '!T$44,$P75*'[2]Beam '!T$45,0)</f>
        <v>0</v>
      </c>
      <c r="U75" s="7">
        <f>IF($D75='[2]Beam '!U$44,$P75*'[2]Beam '!U$45,0)</f>
        <v>0</v>
      </c>
      <c r="V75" s="7">
        <f>IF($D75='[2]Beam '!V$44,$P75*'[2]Beam '!V$45,0)</f>
        <v>0</v>
      </c>
      <c r="W75" s="7">
        <f>IF($D75='[2]Beam '!W$44,$P75*'[2]Beam '!W$45,0)</f>
        <v>0</v>
      </c>
      <c r="X75" s="7">
        <f t="shared" si="18"/>
        <v>44.235871428571429</v>
      </c>
      <c r="Y75" s="7"/>
    </row>
    <row r="76" spans="1:32" s="14" customFormat="1" ht="20.100000000000001" customHeight="1" x14ac:dyDescent="0.25">
      <c r="B76" s="10" t="s">
        <v>2</v>
      </c>
      <c r="C76" s="13" t="s">
        <v>8</v>
      </c>
      <c r="D76" s="14">
        <f>D75</f>
        <v>10</v>
      </c>
      <c r="E76" s="14">
        <v>0.15</v>
      </c>
      <c r="F76" s="7">
        <f>ROUNDUP((E71/3)/E76,0)+1</f>
        <v>8</v>
      </c>
      <c r="G76" s="9"/>
      <c r="O76" s="7">
        <f>(2*((G71-(2*'[2]Beam '!$D$11))+(F71-(2*'[2]Beam '!$D$11)))+(2*10*D76/1000))*D71</f>
        <v>3.2600000000000002</v>
      </c>
      <c r="P76" s="7">
        <f t="shared" si="17"/>
        <v>26.080000000000002</v>
      </c>
      <c r="Q76" s="7">
        <f>IF($D76='[2]Beam '!Q$44,$P76*'[2]Beam '!Q$45,0)</f>
        <v>0</v>
      </c>
      <c r="R76" s="7">
        <f>IF($D76='[2]Beam '!R$44,$P76*'[2]Beam '!R$45,0)</f>
        <v>16.08577142857143</v>
      </c>
      <c r="S76" s="7">
        <f>IF($D76='[2]Beam '!S$44,$P76*'[2]Beam '!S$45,0)</f>
        <v>0</v>
      </c>
      <c r="T76" s="7">
        <f>IF($D76='[2]Beam '!T$44,$P76*'[2]Beam '!T$45,0)</f>
        <v>0</v>
      </c>
      <c r="U76" s="7">
        <f>IF($D76='[2]Beam '!U$44,$P76*'[2]Beam '!U$45,0)</f>
        <v>0</v>
      </c>
      <c r="V76" s="7">
        <f>IF($D76='[2]Beam '!V$44,$P76*'[2]Beam '!V$45,0)</f>
        <v>0</v>
      </c>
      <c r="W76" s="7">
        <f>IF($D76='[2]Beam '!W$44,$P76*'[2]Beam '!W$45,0)</f>
        <v>0</v>
      </c>
      <c r="X76" s="7">
        <f t="shared" si="18"/>
        <v>16.08577142857143</v>
      </c>
    </row>
    <row r="77" spans="1:32" s="9" customFormat="1" ht="20.100000000000001" customHeight="1" x14ac:dyDescent="0.25">
      <c r="A77" s="14"/>
      <c r="B77" s="10" t="s">
        <v>2</v>
      </c>
      <c r="C77" s="13" t="s">
        <v>9</v>
      </c>
      <c r="D77" s="14">
        <f>D75</f>
        <v>10</v>
      </c>
      <c r="E77" s="14">
        <f>+E75</f>
        <v>0.1</v>
      </c>
      <c r="F77" s="7">
        <f>ROUNDUP((E71/3*2)/E77,0)+1</f>
        <v>22</v>
      </c>
      <c r="H77" s="14"/>
      <c r="I77" s="14"/>
      <c r="J77" s="14"/>
      <c r="K77" s="14"/>
      <c r="L77" s="14"/>
      <c r="M77" s="14"/>
      <c r="N77" s="14"/>
      <c r="O77" s="7">
        <f>(2*(((F71-'[2]Beam '!$D$11*2)/(F72-1))+(G71-'[2]Beam '!$D$11*2))+(2*10*D77/1000))*D71</f>
        <v>2.3960000000000004</v>
      </c>
      <c r="P77" s="7">
        <f t="shared" si="17"/>
        <v>52.71200000000001</v>
      </c>
      <c r="Q77" s="7">
        <f>IF($D77='[2]Beam '!Q$44,$P77*'[2]Beam '!Q$45,0)</f>
        <v>0</v>
      </c>
      <c r="R77" s="7">
        <f>IF($D77='[2]Beam '!R$44,$P77*'[2]Beam '!R$45,0)</f>
        <v>32.512008571428574</v>
      </c>
      <c r="S77" s="7">
        <f>IF($D77='[2]Beam '!S$44,$P77*'[2]Beam '!S$45,0)</f>
        <v>0</v>
      </c>
      <c r="T77" s="7">
        <f>IF($D77='[2]Beam '!T$44,$P77*'[2]Beam '!T$45,0)</f>
        <v>0</v>
      </c>
      <c r="U77" s="7">
        <f>IF($D77='[2]Beam '!U$44,$P77*'[2]Beam '!U$45,0)</f>
        <v>0</v>
      </c>
      <c r="V77" s="7">
        <f>IF($D77='[2]Beam '!V$44,$P77*'[2]Beam '!V$45,0)</f>
        <v>0</v>
      </c>
      <c r="W77" s="7">
        <f>IF($D77='[2]Beam '!W$44,$P77*'[2]Beam '!W$45,0)</f>
        <v>0</v>
      </c>
      <c r="X77" s="7">
        <f t="shared" si="18"/>
        <v>32.512008571428574</v>
      </c>
      <c r="Y77" s="14"/>
      <c r="Z77" s="7"/>
      <c r="AA77" s="7"/>
      <c r="AB77" s="7"/>
      <c r="AC77" s="7"/>
      <c r="AD77" s="7"/>
      <c r="AE77" s="7"/>
    </row>
    <row r="78" spans="1:32" s="9" customFormat="1" ht="21" customHeight="1" x14ac:dyDescent="0.25">
      <c r="A78" s="14"/>
      <c r="B78" s="10" t="s">
        <v>2</v>
      </c>
      <c r="C78" s="13" t="s">
        <v>10</v>
      </c>
      <c r="D78" s="14">
        <f>D76</f>
        <v>10</v>
      </c>
      <c r="E78" s="14">
        <f>+E76</f>
        <v>0.15</v>
      </c>
      <c r="F78" s="7">
        <f>ROUNDUP((E71/3)/E78,0)+1</f>
        <v>8</v>
      </c>
      <c r="H78" s="14"/>
      <c r="I78" s="14"/>
      <c r="J78" s="14"/>
      <c r="K78" s="14"/>
      <c r="L78" s="14"/>
      <c r="M78" s="14"/>
      <c r="N78" s="14"/>
      <c r="O78" s="7">
        <f>(2*(((F71-'[2]Beam '!$D$11*2)/(F72-1))+(G71-'[2]Beam '!$D$11*2))+(2*10*D78/1000))*D71</f>
        <v>2.3960000000000004</v>
      </c>
      <c r="P78" s="7">
        <f t="shared" si="17"/>
        <v>19.168000000000003</v>
      </c>
      <c r="Q78" s="7">
        <f>IF($D78='[2]Beam '!Q$44,$P78*'[2]Beam '!Q$45,0)</f>
        <v>0</v>
      </c>
      <c r="R78" s="7">
        <f>IF($D78='[2]Beam '!R$44,$P78*'[2]Beam '!R$45,0)</f>
        <v>11.822548571428573</v>
      </c>
      <c r="S78" s="7">
        <f>IF($D78='[2]Beam '!S$44,$P78*'[2]Beam '!S$45,0)</f>
        <v>0</v>
      </c>
      <c r="T78" s="7">
        <f>IF($D78='[2]Beam '!T$44,$P78*'[2]Beam '!T$45,0)</f>
        <v>0</v>
      </c>
      <c r="U78" s="7">
        <f>IF($D78='[2]Beam '!U$44,$P78*'[2]Beam '!U$45,0)</f>
        <v>0</v>
      </c>
      <c r="V78" s="7">
        <f>IF($D78='[2]Beam '!V$44,$P78*'[2]Beam '!V$45,0)</f>
        <v>0</v>
      </c>
      <c r="W78" s="7">
        <f>IF($D78='[2]Beam '!W$44,$P78*'[2]Beam '!W$45,0)</f>
        <v>0</v>
      </c>
      <c r="X78" s="7">
        <f t="shared" si="18"/>
        <v>11.822548571428573</v>
      </c>
      <c r="Y78" s="14"/>
      <c r="Z78" s="7"/>
      <c r="AA78" s="7"/>
      <c r="AB78" s="7"/>
      <c r="AC78" s="7"/>
      <c r="AD78" s="7"/>
      <c r="AE78" s="7"/>
      <c r="AF78" s="7"/>
    </row>
    <row r="79" spans="1:32" s="9" customFormat="1" ht="20.100000000000001" customHeight="1" x14ac:dyDescent="0.25">
      <c r="A79" s="6"/>
      <c r="B79" s="10" t="s">
        <v>2</v>
      </c>
      <c r="C79" s="13" t="s">
        <v>11</v>
      </c>
      <c r="D79" s="7">
        <f>+'[2]Beam '!$D$15</f>
        <v>25</v>
      </c>
      <c r="E79" s="7">
        <f>+'[2]Beam '!$E$15</f>
        <v>1</v>
      </c>
      <c r="F79" s="7">
        <f>ROUNDUP((1.35)/E79,0)</f>
        <v>2</v>
      </c>
      <c r="G79" s="8"/>
      <c r="H79" s="8"/>
      <c r="I79" s="7"/>
      <c r="J79" s="7"/>
      <c r="K79" s="7"/>
      <c r="L79" s="7"/>
      <c r="M79" s="7"/>
      <c r="N79" s="7"/>
      <c r="O79" s="7">
        <f>F71-'[2]Beam '!$F$15</f>
        <v>0.54</v>
      </c>
      <c r="P79" s="7">
        <f t="shared" si="17"/>
        <v>1.08</v>
      </c>
      <c r="Q79" s="7">
        <f>IF($D79='[2]Beam '!Q$44,$P79*'[2]Beam '!Q$45,0)</f>
        <v>0</v>
      </c>
      <c r="R79" s="7">
        <f>IF($D79='[2]Beam '!R$44,$P79*'[2]Beam '!R$45,0)</f>
        <v>0</v>
      </c>
      <c r="S79" s="7">
        <f>IF($D79='[2]Beam '!S$44,$P79*'[2]Beam '!S$45,0)</f>
        <v>0</v>
      </c>
      <c r="T79" s="7">
        <f>IF($D79='[2]Beam '!T$44,$P79*'[2]Beam '!T$45,0)</f>
        <v>0</v>
      </c>
      <c r="U79" s="7">
        <f>IF($D79='[2]Beam '!U$44,$P79*'[2]Beam '!U$45,0)</f>
        <v>0</v>
      </c>
      <c r="V79" s="7">
        <f>IF($D79='[2]Beam '!V$44,$P79*'[2]Beam '!V$45,0)</f>
        <v>4.163303571428572</v>
      </c>
      <c r="W79" s="7">
        <f>IF($D79='[2]Beam '!W$44,$P79*'[2]Beam '!W$45,0)</f>
        <v>0</v>
      </c>
      <c r="X79" s="7">
        <f t="shared" si="18"/>
        <v>4.163303571428572</v>
      </c>
      <c r="Y79" s="7"/>
      <c r="Z79" s="7"/>
      <c r="AA79" s="7"/>
      <c r="AB79" s="7"/>
      <c r="AC79" s="7"/>
      <c r="AD79" s="7"/>
      <c r="AE79" s="7"/>
    </row>
    <row r="80" spans="1:32" s="9" customFormat="1" ht="20.100000000000001" customHeight="1" x14ac:dyDescent="0.25">
      <c r="A80" s="7" t="e">
        <f>+#REF!+1</f>
        <v>#REF!</v>
      </c>
      <c r="B80" s="10" t="s">
        <v>2</v>
      </c>
      <c r="C80" s="11" t="s">
        <v>22</v>
      </c>
      <c r="D80" s="11">
        <v>1</v>
      </c>
      <c r="E80" s="11">
        <v>3.5</v>
      </c>
      <c r="F80" s="11">
        <v>0.6</v>
      </c>
      <c r="G80" s="11">
        <v>0.73499999999999999</v>
      </c>
      <c r="H80" s="7">
        <f>G80-0.2</f>
        <v>0.53499999999999992</v>
      </c>
      <c r="I80" s="7">
        <f>E80*F80*G80*D80</f>
        <v>1.5435000000000001</v>
      </c>
      <c r="J80" s="7">
        <f>(2*(E80)*H80*D80)+(E80*F80)</f>
        <v>5.8449999999999989</v>
      </c>
      <c r="K80" s="12">
        <f>IF(E80=0.3,J80,0)</f>
        <v>0</v>
      </c>
      <c r="L80" s="12">
        <f>IF(AND(E80&gt;0.3,E80&lt;=0.75),J80,0)</f>
        <v>0</v>
      </c>
      <c r="M80" s="12">
        <f>IF(AND(E80&gt;0.75,E80&lt;=1.2),J80,0)</f>
        <v>0</v>
      </c>
      <c r="N80" s="12">
        <f>IF(E80&gt;1.2,J80,0)</f>
        <v>5.8449999999999989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>
        <f>SUM(X81:X88)/I80</f>
        <v>167.13514230181869</v>
      </c>
      <c r="Z80" s="7"/>
      <c r="AA80" s="7"/>
      <c r="AB80" s="7"/>
      <c r="AC80" s="7"/>
      <c r="AD80" s="7"/>
      <c r="AE80" s="7"/>
    </row>
    <row r="81" spans="1:32" s="9" customFormat="1" ht="20.100000000000001" customHeight="1" x14ac:dyDescent="0.25">
      <c r="A81" s="6"/>
      <c r="B81" s="10" t="s">
        <v>2</v>
      </c>
      <c r="C81" s="13" t="s">
        <v>4</v>
      </c>
      <c r="D81" s="7">
        <v>20</v>
      </c>
      <c r="E81" s="7"/>
      <c r="F81" s="7">
        <v>6</v>
      </c>
      <c r="G81" s="8">
        <f>VLOOKUP(D81,'[2]Beam '!$C$20:$H$26,3,0)</f>
        <v>0.8</v>
      </c>
      <c r="H81" s="8"/>
      <c r="I81" s="7"/>
      <c r="J81" s="7"/>
      <c r="K81" s="7"/>
      <c r="L81" s="7"/>
      <c r="M81" s="7"/>
      <c r="N81" s="7"/>
      <c r="O81" s="7">
        <f>(E80+G81+2*(G81+1*(0.55/2))*D80)</f>
        <v>6.45</v>
      </c>
      <c r="P81" s="7">
        <f t="shared" ref="P81:P88" si="19">O81*F81</f>
        <v>38.700000000000003</v>
      </c>
      <c r="Q81" s="7">
        <f>IF($D81='[2]Beam '!Q$44,$P81*'[2]Beam '!Q$45,0)</f>
        <v>0</v>
      </c>
      <c r="R81" s="7">
        <f>IF($D81='[2]Beam '!R$44,$P81*'[2]Beam '!R$45,0)</f>
        <v>0</v>
      </c>
      <c r="S81" s="7">
        <f>IF($D81='[2]Beam '!S$44,$P81*'[2]Beam '!S$45,0)</f>
        <v>0</v>
      </c>
      <c r="T81" s="7">
        <f>IF($D81='[2]Beam '!T$44,$P81*'[2]Beam '!T$45,0)</f>
        <v>0</v>
      </c>
      <c r="U81" s="7">
        <f>IF($D81='[2]Beam '!U$44,$P81*'[2]Beam '!U$45,0)</f>
        <v>95.47842857142858</v>
      </c>
      <c r="V81" s="7">
        <f>IF($D81='[2]Beam '!V$44,$P81*'[2]Beam '!V$45,0)</f>
        <v>0</v>
      </c>
      <c r="W81" s="7">
        <f>IF($D81='[2]Beam '!W$44,$P81*'[2]Beam '!W$45,0)</f>
        <v>0</v>
      </c>
      <c r="X81" s="7">
        <f t="shared" ref="X81:X88" si="20">SUM(Q81:W81)</f>
        <v>95.47842857142858</v>
      </c>
      <c r="Y81" s="7"/>
      <c r="Z81" s="7"/>
      <c r="AA81" s="7"/>
      <c r="AB81" s="7"/>
      <c r="AC81" s="7"/>
      <c r="AD81" s="7"/>
      <c r="AE81" s="7"/>
    </row>
    <row r="82" spans="1:32" s="9" customFormat="1" ht="20.100000000000001" customHeight="1" x14ac:dyDescent="0.25">
      <c r="A82" s="6"/>
      <c r="B82" s="10" t="s">
        <v>2</v>
      </c>
      <c r="C82" s="13" t="s">
        <v>5</v>
      </c>
      <c r="D82" s="7">
        <v>16</v>
      </c>
      <c r="E82" s="7"/>
      <c r="F82" s="7">
        <v>4</v>
      </c>
      <c r="G82" s="8">
        <f>VLOOKUP(D82,'[2]Beam '!$C$20:$H$26,3,0)</f>
        <v>0.625</v>
      </c>
      <c r="H82" s="8"/>
      <c r="I82" s="7"/>
      <c r="J82" s="7"/>
      <c r="K82" s="7"/>
      <c r="L82" s="7"/>
      <c r="M82" s="7"/>
      <c r="N82" s="7"/>
      <c r="O82" s="7">
        <f>(1.35+1*(+(0.55/2))*D80)</f>
        <v>1.625</v>
      </c>
      <c r="P82" s="7">
        <f t="shared" si="19"/>
        <v>6.5</v>
      </c>
      <c r="Q82" s="7">
        <f>IF($D82='[2]Beam '!Q$44,$P82*'[2]Beam '!Q$45,0)</f>
        <v>0</v>
      </c>
      <c r="R82" s="7">
        <f>IF($D82='[2]Beam '!R$44,$P82*'[2]Beam '!R$45,0)</f>
        <v>0</v>
      </c>
      <c r="S82" s="7">
        <f>IF($D82='[2]Beam '!S$44,$P82*'[2]Beam '!S$45,0)</f>
        <v>0</v>
      </c>
      <c r="T82" s="7">
        <f>IF($D82='[2]Beam '!T$44,$P82*'[2]Beam '!T$45,0)</f>
        <v>10.263314285714287</v>
      </c>
      <c r="U82" s="7">
        <f>IF($D82='[2]Beam '!U$44,$P82*'[2]Beam '!U$45,0)</f>
        <v>0</v>
      </c>
      <c r="V82" s="7">
        <f>IF($D82='[2]Beam '!V$44,$P82*'[2]Beam '!V$45,0)</f>
        <v>0</v>
      </c>
      <c r="W82" s="7">
        <f>IF($D82='[2]Beam '!W$44,$P82*'[2]Beam '!W$45,0)</f>
        <v>0</v>
      </c>
      <c r="X82" s="7">
        <f t="shared" si="20"/>
        <v>10.263314285714287</v>
      </c>
      <c r="Y82" s="7"/>
      <c r="Z82" s="7"/>
      <c r="AA82" s="7"/>
      <c r="AB82" s="7"/>
      <c r="AC82" s="7"/>
      <c r="AD82" s="7"/>
      <c r="AE82" s="7"/>
    </row>
    <row r="83" spans="1:32" s="14" customFormat="1" ht="20.100000000000001" customHeight="1" x14ac:dyDescent="0.3">
      <c r="A83" s="6"/>
      <c r="B83" s="10" t="s">
        <v>2</v>
      </c>
      <c r="C83" s="13" t="s">
        <v>6</v>
      </c>
      <c r="D83" s="7">
        <v>20</v>
      </c>
      <c r="E83" s="7"/>
      <c r="F83" s="7">
        <v>6</v>
      </c>
      <c r="G83" s="8">
        <f>VLOOKUP(D83,'[2]Beam '!$C$20:$H$26,3,0)</f>
        <v>0.8</v>
      </c>
      <c r="H83" s="7"/>
      <c r="I83" s="7"/>
      <c r="J83" s="7"/>
      <c r="K83" s="7"/>
      <c r="L83" s="7"/>
      <c r="M83" s="7"/>
      <c r="N83" s="7"/>
      <c r="O83" s="7">
        <f>(E80+1*(0.55/2)*D80)</f>
        <v>3.7749999999999999</v>
      </c>
      <c r="P83" s="7">
        <f t="shared" si="19"/>
        <v>22.65</v>
      </c>
      <c r="Q83" s="7">
        <f>IF($D83='[2]Beam '!Q$44,$P83*'[2]Beam '!Q$45,0)</f>
        <v>0</v>
      </c>
      <c r="R83" s="7">
        <f>IF($D83='[2]Beam '!R$44,$P83*'[2]Beam '!R$45,0)</f>
        <v>0</v>
      </c>
      <c r="S83" s="7">
        <f>IF($D83='[2]Beam '!S$44,$P83*'[2]Beam '!S$45,0)</f>
        <v>0</v>
      </c>
      <c r="T83" s="7">
        <f>IF($D83='[2]Beam '!T$44,$P83*'[2]Beam '!T$45,0)</f>
        <v>0</v>
      </c>
      <c r="U83" s="7">
        <f>IF($D83='[2]Beam '!U$44,$P83*'[2]Beam '!U$45,0)</f>
        <v>55.880785714285707</v>
      </c>
      <c r="V83" s="7">
        <f>IF($D83='[2]Beam '!V$44,$P83*'[2]Beam '!V$45,0)</f>
        <v>0</v>
      </c>
      <c r="W83" s="7">
        <f>IF($D83='[2]Beam '!W$44,$P83*'[2]Beam '!W$45,0)</f>
        <v>0</v>
      </c>
      <c r="X83" s="7">
        <f t="shared" si="20"/>
        <v>55.880785714285707</v>
      </c>
      <c r="Y83" s="7"/>
    </row>
    <row r="84" spans="1:32" s="14" customFormat="1" ht="20.100000000000001" customHeight="1" x14ac:dyDescent="0.25">
      <c r="A84" s="6"/>
      <c r="B84" s="10" t="s">
        <v>2</v>
      </c>
      <c r="C84" s="13" t="s">
        <v>7</v>
      </c>
      <c r="D84" s="7">
        <v>10</v>
      </c>
      <c r="E84" s="7">
        <v>0.1</v>
      </c>
      <c r="F84" s="7">
        <f>ROUNDUP((E80/3*2)/E84,0)+1</f>
        <v>25</v>
      </c>
      <c r="G84" s="9"/>
      <c r="H84" s="7"/>
      <c r="I84" s="7"/>
      <c r="J84" s="7"/>
      <c r="K84" s="7"/>
      <c r="L84" s="7"/>
      <c r="M84" s="7"/>
      <c r="N84" s="7"/>
      <c r="O84" s="7">
        <f>(2*((G80-(2*'[2]Beam '!$D$11))+(F80-(2*'[2]Beam '!$D$11)))+(2*10*D84/1000))*D80</f>
        <v>2.6300000000000003</v>
      </c>
      <c r="P84" s="7">
        <f t="shared" si="19"/>
        <v>65.750000000000014</v>
      </c>
      <c r="Q84" s="7">
        <f>IF($D84='[2]Beam '!Q$44,$P84*'[2]Beam '!Q$45,0)</f>
        <v>0</v>
      </c>
      <c r="R84" s="7">
        <f>IF($D84='[2]Beam '!R$44,$P84*'[2]Beam '!R$45,0)</f>
        <v>40.553660714285719</v>
      </c>
      <c r="S84" s="7">
        <f>IF($D84='[2]Beam '!S$44,$P84*'[2]Beam '!S$45,0)</f>
        <v>0</v>
      </c>
      <c r="T84" s="7">
        <f>IF($D84='[2]Beam '!T$44,$P84*'[2]Beam '!T$45,0)</f>
        <v>0</v>
      </c>
      <c r="U84" s="7">
        <f>IF($D84='[2]Beam '!U$44,$P84*'[2]Beam '!U$45,0)</f>
        <v>0</v>
      </c>
      <c r="V84" s="7">
        <f>IF($D84='[2]Beam '!V$44,$P84*'[2]Beam '!V$45,0)</f>
        <v>0</v>
      </c>
      <c r="W84" s="7">
        <f>IF($D84='[2]Beam '!W$44,$P84*'[2]Beam '!W$45,0)</f>
        <v>0</v>
      </c>
      <c r="X84" s="7">
        <f t="shared" si="20"/>
        <v>40.553660714285719</v>
      </c>
      <c r="Y84" s="7"/>
    </row>
    <row r="85" spans="1:32" s="14" customFormat="1" ht="20.100000000000001" customHeight="1" x14ac:dyDescent="0.25">
      <c r="B85" s="10" t="s">
        <v>2</v>
      </c>
      <c r="C85" s="13" t="s">
        <v>8</v>
      </c>
      <c r="D85" s="14">
        <f>D84</f>
        <v>10</v>
      </c>
      <c r="E85" s="14">
        <v>0.15</v>
      </c>
      <c r="F85" s="7">
        <f>ROUNDUP((E80/3)/E85,0)+1</f>
        <v>9</v>
      </c>
      <c r="G85" s="9"/>
      <c r="O85" s="7">
        <f>(2*((G80-(2*'[2]Beam '!$D$11))+(F80-(2*'[2]Beam '!$D$11)))+(2*10*D85/1000))*D80</f>
        <v>2.6300000000000003</v>
      </c>
      <c r="P85" s="7">
        <f t="shared" si="19"/>
        <v>23.67</v>
      </c>
      <c r="Q85" s="7">
        <f>IF($D85='[2]Beam '!Q$44,$P85*'[2]Beam '!Q$45,0)</f>
        <v>0</v>
      </c>
      <c r="R85" s="7">
        <f>IF($D85='[2]Beam '!R$44,$P85*'[2]Beam '!R$45,0)</f>
        <v>14.599317857142857</v>
      </c>
      <c r="S85" s="7">
        <f>IF($D85='[2]Beam '!S$44,$P85*'[2]Beam '!S$45,0)</f>
        <v>0</v>
      </c>
      <c r="T85" s="7">
        <f>IF($D85='[2]Beam '!T$44,$P85*'[2]Beam '!T$45,0)</f>
        <v>0</v>
      </c>
      <c r="U85" s="7">
        <f>IF($D85='[2]Beam '!U$44,$P85*'[2]Beam '!U$45,0)</f>
        <v>0</v>
      </c>
      <c r="V85" s="7">
        <f>IF($D85='[2]Beam '!V$44,$P85*'[2]Beam '!V$45,0)</f>
        <v>0</v>
      </c>
      <c r="W85" s="7">
        <f>IF($D85='[2]Beam '!W$44,$P85*'[2]Beam '!W$45,0)</f>
        <v>0</v>
      </c>
      <c r="X85" s="7">
        <f t="shared" si="20"/>
        <v>14.599317857142857</v>
      </c>
    </row>
    <row r="86" spans="1:32" s="9" customFormat="1" ht="20.100000000000001" customHeight="1" x14ac:dyDescent="0.25">
      <c r="A86" s="14"/>
      <c r="B86" s="10" t="s">
        <v>2</v>
      </c>
      <c r="C86" s="13" t="s">
        <v>9</v>
      </c>
      <c r="D86" s="14">
        <f>D84</f>
        <v>10</v>
      </c>
      <c r="E86" s="14">
        <f>+E84</f>
        <v>0.1</v>
      </c>
      <c r="F86" s="7">
        <f>ROUNDUP((E80/3*2)/E86,0)+1</f>
        <v>25</v>
      </c>
      <c r="H86" s="14"/>
      <c r="I86" s="14"/>
      <c r="J86" s="14"/>
      <c r="K86" s="14"/>
      <c r="L86" s="14"/>
      <c r="M86" s="14"/>
      <c r="N86" s="14"/>
      <c r="O86" s="7">
        <f>(2*(((F80-'[2]Beam '!$D$11*2)/(F81-1))+(G80-'[2]Beam '!$D$11*2))+(2*10*D86/1000))*D80</f>
        <v>1.766</v>
      </c>
      <c r="P86" s="7">
        <f t="shared" si="19"/>
        <v>44.15</v>
      </c>
      <c r="Q86" s="7">
        <f>IF($D86='[2]Beam '!Q$44,$P86*'[2]Beam '!Q$45,0)</f>
        <v>0</v>
      </c>
      <c r="R86" s="7">
        <f>IF($D86='[2]Beam '!R$44,$P86*'[2]Beam '!R$45,0)</f>
        <v>27.231089285714283</v>
      </c>
      <c r="S86" s="7">
        <f>IF($D86='[2]Beam '!S$44,$P86*'[2]Beam '!S$45,0)</f>
        <v>0</v>
      </c>
      <c r="T86" s="7">
        <f>IF($D86='[2]Beam '!T$44,$P86*'[2]Beam '!T$45,0)</f>
        <v>0</v>
      </c>
      <c r="U86" s="7">
        <f>IF($D86='[2]Beam '!U$44,$P86*'[2]Beam '!U$45,0)</f>
        <v>0</v>
      </c>
      <c r="V86" s="7">
        <f>IF($D86='[2]Beam '!V$44,$P86*'[2]Beam '!V$45,0)</f>
        <v>0</v>
      </c>
      <c r="W86" s="7">
        <f>IF($D86='[2]Beam '!W$44,$P86*'[2]Beam '!W$45,0)</f>
        <v>0</v>
      </c>
      <c r="X86" s="7">
        <f t="shared" si="20"/>
        <v>27.231089285714283</v>
      </c>
      <c r="Y86" s="14"/>
      <c r="Z86" s="7"/>
      <c r="AA86" s="7"/>
      <c r="AB86" s="7"/>
      <c r="AC86" s="7"/>
      <c r="AD86" s="7"/>
      <c r="AE86" s="7"/>
    </row>
    <row r="87" spans="1:32" s="9" customFormat="1" ht="21" customHeight="1" x14ac:dyDescent="0.25">
      <c r="A87" s="14"/>
      <c r="B87" s="10" t="s">
        <v>2</v>
      </c>
      <c r="C87" s="13" t="s">
        <v>10</v>
      </c>
      <c r="D87" s="14">
        <f>D85</f>
        <v>10</v>
      </c>
      <c r="E87" s="14">
        <f>+E85</f>
        <v>0.15</v>
      </c>
      <c r="F87" s="7">
        <f>ROUNDUP((E80/3)/E87,0)+1</f>
        <v>9</v>
      </c>
      <c r="H87" s="14"/>
      <c r="I87" s="14"/>
      <c r="J87" s="14"/>
      <c r="K87" s="14"/>
      <c r="L87" s="14"/>
      <c r="M87" s="14"/>
      <c r="N87" s="14"/>
      <c r="O87" s="7">
        <f>(2*(((F80-'[2]Beam '!$D$11*2)/(F81-1))+(G80-'[2]Beam '!$D$11*2))+(2*10*D87/1000))*D80</f>
        <v>1.766</v>
      </c>
      <c r="P87" s="7">
        <f t="shared" si="19"/>
        <v>15.894</v>
      </c>
      <c r="Q87" s="7">
        <f>IF($D87='[2]Beam '!Q$44,$P87*'[2]Beam '!Q$45,0)</f>
        <v>0</v>
      </c>
      <c r="R87" s="7">
        <f>IF($D87='[2]Beam '!R$44,$P87*'[2]Beam '!R$45,0)</f>
        <v>9.8031921428571422</v>
      </c>
      <c r="S87" s="7">
        <f>IF($D87='[2]Beam '!S$44,$P87*'[2]Beam '!S$45,0)</f>
        <v>0</v>
      </c>
      <c r="T87" s="7">
        <f>IF($D87='[2]Beam '!T$44,$P87*'[2]Beam '!T$45,0)</f>
        <v>0</v>
      </c>
      <c r="U87" s="7">
        <f>IF($D87='[2]Beam '!U$44,$P87*'[2]Beam '!U$45,0)</f>
        <v>0</v>
      </c>
      <c r="V87" s="7">
        <f>IF($D87='[2]Beam '!V$44,$P87*'[2]Beam '!V$45,0)</f>
        <v>0</v>
      </c>
      <c r="W87" s="7">
        <f>IF($D87='[2]Beam '!W$44,$P87*'[2]Beam '!W$45,0)</f>
        <v>0</v>
      </c>
      <c r="X87" s="7">
        <f t="shared" si="20"/>
        <v>9.8031921428571422</v>
      </c>
      <c r="Y87" s="14"/>
      <c r="Z87" s="7"/>
      <c r="AA87" s="7"/>
      <c r="AB87" s="7"/>
      <c r="AC87" s="7"/>
      <c r="AD87" s="7"/>
      <c r="AE87" s="7"/>
      <c r="AF87" s="7"/>
    </row>
    <row r="88" spans="1:32" s="9" customFormat="1" ht="20.100000000000001" customHeight="1" x14ac:dyDescent="0.25">
      <c r="A88" s="6"/>
      <c r="B88" s="10" t="s">
        <v>2</v>
      </c>
      <c r="C88" s="13" t="s">
        <v>11</v>
      </c>
      <c r="D88" s="7">
        <f>+'[2]Beam '!$D$15</f>
        <v>25</v>
      </c>
      <c r="E88" s="7">
        <f>+'[2]Beam '!$E$15</f>
        <v>1</v>
      </c>
      <c r="F88" s="7">
        <f>ROUNDUP((1.35)/E88,0)</f>
        <v>2</v>
      </c>
      <c r="G88" s="8"/>
      <c r="H88" s="8"/>
      <c r="I88" s="7"/>
      <c r="J88" s="7"/>
      <c r="K88" s="7"/>
      <c r="L88" s="7"/>
      <c r="M88" s="7"/>
      <c r="N88" s="7"/>
      <c r="O88" s="7">
        <f>F80-'[2]Beam '!$F$15</f>
        <v>0.54</v>
      </c>
      <c r="P88" s="7">
        <f t="shared" si="19"/>
        <v>1.08</v>
      </c>
      <c r="Q88" s="7">
        <f>IF($D88='[2]Beam '!Q$44,$P88*'[2]Beam '!Q$45,0)</f>
        <v>0</v>
      </c>
      <c r="R88" s="7">
        <f>IF($D88='[2]Beam '!R$44,$P88*'[2]Beam '!R$45,0)</f>
        <v>0</v>
      </c>
      <c r="S88" s="7">
        <f>IF($D88='[2]Beam '!S$44,$P88*'[2]Beam '!S$45,0)</f>
        <v>0</v>
      </c>
      <c r="T88" s="7">
        <f>IF($D88='[2]Beam '!T$44,$P88*'[2]Beam '!T$45,0)</f>
        <v>0</v>
      </c>
      <c r="U88" s="7">
        <f>IF($D88='[2]Beam '!U$44,$P88*'[2]Beam '!U$45,0)</f>
        <v>0</v>
      </c>
      <c r="V88" s="7">
        <f>IF($D88='[2]Beam '!V$44,$P88*'[2]Beam '!V$45,0)</f>
        <v>4.163303571428572</v>
      </c>
      <c r="W88" s="7">
        <f>IF($D88='[2]Beam '!W$44,$P88*'[2]Beam '!W$45,0)</f>
        <v>0</v>
      </c>
      <c r="X88" s="7">
        <f t="shared" si="20"/>
        <v>4.163303571428572</v>
      </c>
      <c r="Y88" s="7"/>
      <c r="Z88" s="7"/>
      <c r="AA88" s="7"/>
      <c r="AB88" s="7"/>
      <c r="AC88" s="7"/>
      <c r="AD88" s="7"/>
      <c r="AE88" s="7"/>
    </row>
    <row r="89" spans="1:32" s="9" customFormat="1" ht="20.100000000000001" customHeight="1" x14ac:dyDescent="0.25">
      <c r="A89" s="7" t="e">
        <f>+#REF!+1</f>
        <v>#REF!</v>
      </c>
      <c r="B89" s="10" t="s">
        <v>2</v>
      </c>
      <c r="C89" s="11" t="s">
        <v>23</v>
      </c>
      <c r="D89" s="11">
        <v>1</v>
      </c>
      <c r="E89" s="11">
        <v>6.55</v>
      </c>
      <c r="F89" s="11">
        <v>0.6</v>
      </c>
      <c r="G89" s="11">
        <v>0.8</v>
      </c>
      <c r="H89" s="7">
        <f>G89-0.2</f>
        <v>0.60000000000000009</v>
      </c>
      <c r="I89" s="7">
        <f>E89*F89*G89*D89</f>
        <v>3.1440000000000001</v>
      </c>
      <c r="J89" s="7">
        <f>(2*(E89)*H89*D89)+(E89*F89)</f>
        <v>11.790000000000001</v>
      </c>
      <c r="K89" s="12">
        <f>IF(E89=0.3,J89,0)</f>
        <v>0</v>
      </c>
      <c r="L89" s="12">
        <f>IF(AND(E89&gt;0.3,E89&lt;=0.75),J89,0)</f>
        <v>0</v>
      </c>
      <c r="M89" s="12">
        <f>IF(AND(E89&gt;0.75,E89&lt;=1.2),J89,0)</f>
        <v>0</v>
      </c>
      <c r="N89" s="12">
        <f>IF(E89&gt;1.2,J89,0)</f>
        <v>11.790000000000001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>
        <f>SUM(X90:X98)/I89</f>
        <v>128.74911339058525</v>
      </c>
      <c r="Z89" s="7"/>
      <c r="AA89" s="7"/>
      <c r="AB89" s="7"/>
      <c r="AC89" s="7"/>
      <c r="AD89" s="7"/>
      <c r="AE89" s="7"/>
    </row>
    <row r="90" spans="1:32" s="9" customFormat="1" ht="20.100000000000001" customHeight="1" x14ac:dyDescent="0.25">
      <c r="A90" s="6"/>
      <c r="B90" s="10" t="s">
        <v>2</v>
      </c>
      <c r="C90" s="13" t="s">
        <v>4</v>
      </c>
      <c r="D90" s="7">
        <v>20</v>
      </c>
      <c r="E90" s="7"/>
      <c r="F90" s="7">
        <v>6</v>
      </c>
      <c r="G90" s="8">
        <f>VLOOKUP(D90,'[2]Beam '!$C$20:$H$26,3,0)</f>
        <v>0.8</v>
      </c>
      <c r="H90" s="8"/>
      <c r="I90" s="7"/>
      <c r="J90" s="7"/>
      <c r="K90" s="7"/>
      <c r="L90" s="7"/>
      <c r="M90" s="7"/>
      <c r="N90" s="7"/>
      <c r="O90" s="7">
        <f>(E89+2*(0.55/2))*D89</f>
        <v>7.1</v>
      </c>
      <c r="P90" s="7">
        <f t="shared" ref="P90:P98" si="21">O90*F90</f>
        <v>42.599999999999994</v>
      </c>
      <c r="Q90" s="7">
        <f>IF($D90='[2]Beam '!Q$44,$P90*'[2]Beam '!Q$45,0)</f>
        <v>0</v>
      </c>
      <c r="R90" s="7">
        <f>IF($D90='[2]Beam '!R$44,$P90*'[2]Beam '!R$45,0)</f>
        <v>0</v>
      </c>
      <c r="S90" s="7">
        <f>IF($D90='[2]Beam '!S$44,$P90*'[2]Beam '!S$45,0)</f>
        <v>0</v>
      </c>
      <c r="T90" s="7">
        <f>IF($D90='[2]Beam '!T$44,$P90*'[2]Beam '!T$45,0)</f>
        <v>0</v>
      </c>
      <c r="U90" s="7">
        <f>IF($D90='[2]Beam '!U$44,$P90*'[2]Beam '!U$45,0)</f>
        <v>105.1002857142857</v>
      </c>
      <c r="V90" s="7">
        <f>IF($D90='[2]Beam '!V$44,$P90*'[2]Beam '!V$45,0)</f>
        <v>0</v>
      </c>
      <c r="W90" s="7">
        <f>IF($D90='[2]Beam '!W$44,$P90*'[2]Beam '!W$45,0)</f>
        <v>0</v>
      </c>
      <c r="X90" s="7">
        <f t="shared" ref="X90:X98" si="22">SUM(Q90:W90)</f>
        <v>105.1002857142857</v>
      </c>
      <c r="Y90" s="7"/>
      <c r="Z90" s="7"/>
      <c r="AA90" s="7"/>
      <c r="AB90" s="7"/>
      <c r="AC90" s="7"/>
      <c r="AD90" s="7"/>
      <c r="AE90" s="7"/>
    </row>
    <row r="91" spans="1:32" s="9" customFormat="1" ht="20.100000000000001" customHeight="1" x14ac:dyDescent="0.25">
      <c r="A91" s="6"/>
      <c r="B91" s="10" t="s">
        <v>2</v>
      </c>
      <c r="C91" s="13" t="s">
        <v>5</v>
      </c>
      <c r="D91" s="7">
        <v>20</v>
      </c>
      <c r="E91" s="7"/>
      <c r="F91" s="7">
        <v>2</v>
      </c>
      <c r="G91" s="8">
        <f>VLOOKUP(D91,'[2]Beam '!$C$20:$H$26,3,0)</f>
        <v>0.8</v>
      </c>
      <c r="H91" s="8"/>
      <c r="I91" s="7"/>
      <c r="J91" s="7"/>
      <c r="K91" s="7"/>
      <c r="L91" s="7"/>
      <c r="M91" s="7"/>
      <c r="N91" s="7"/>
      <c r="O91" s="7">
        <f>(1.35+1*(0.55/2))*D89</f>
        <v>1.625</v>
      </c>
      <c r="P91" s="7">
        <f t="shared" si="21"/>
        <v>3.25</v>
      </c>
      <c r="Q91" s="7">
        <f>IF($D91='[2]Beam '!Q$44,$P91*'[2]Beam '!Q$45,0)</f>
        <v>0</v>
      </c>
      <c r="R91" s="7">
        <f>IF($D91='[2]Beam '!R$44,$P91*'[2]Beam '!R$45,0)</f>
        <v>0</v>
      </c>
      <c r="S91" s="7">
        <f>IF($D91='[2]Beam '!S$44,$P91*'[2]Beam '!S$45,0)</f>
        <v>0</v>
      </c>
      <c r="T91" s="7">
        <f>IF($D91='[2]Beam '!T$44,$P91*'[2]Beam '!T$45,0)</f>
        <v>0</v>
      </c>
      <c r="U91" s="7">
        <f>IF($D91='[2]Beam '!U$44,$P91*'[2]Beam '!U$45,0)</f>
        <v>8.0182142857142864</v>
      </c>
      <c r="V91" s="7">
        <f>IF($D91='[2]Beam '!V$44,$P91*'[2]Beam '!V$45,0)</f>
        <v>0</v>
      </c>
      <c r="W91" s="7">
        <f>IF($D91='[2]Beam '!W$44,$P91*'[2]Beam '!W$45,0)</f>
        <v>0</v>
      </c>
      <c r="X91" s="7">
        <f t="shared" si="22"/>
        <v>8.0182142857142864</v>
      </c>
      <c r="Y91" s="7"/>
      <c r="Z91" s="7"/>
      <c r="AA91" s="7"/>
      <c r="AB91" s="7"/>
      <c r="AC91" s="7"/>
      <c r="AD91" s="7"/>
      <c r="AE91" s="7"/>
    </row>
    <row r="92" spans="1:32" s="9" customFormat="1" ht="20.100000000000001" customHeight="1" x14ac:dyDescent="0.25">
      <c r="A92" s="6"/>
      <c r="B92" s="10" t="s">
        <v>2</v>
      </c>
      <c r="C92" s="13" t="s">
        <v>5</v>
      </c>
      <c r="D92" s="7">
        <v>20</v>
      </c>
      <c r="E92" s="7"/>
      <c r="F92" s="7">
        <v>2</v>
      </c>
      <c r="G92" s="8">
        <f>VLOOKUP(D92,'[2]Beam '!$C$20:$H$26,3,0)</f>
        <v>0.8</v>
      </c>
      <c r="H92" s="8"/>
      <c r="I92" s="7"/>
      <c r="J92" s="7"/>
      <c r="K92" s="7"/>
      <c r="L92" s="7"/>
      <c r="M92" s="7"/>
      <c r="N92" s="7"/>
      <c r="O92" s="7">
        <f>(1.35+1*(0.55/2))*D89</f>
        <v>1.625</v>
      </c>
      <c r="P92" s="7">
        <f t="shared" si="21"/>
        <v>3.25</v>
      </c>
      <c r="Q92" s="7">
        <f>IF($D92='[2]Beam '!Q$44,$P92*'[2]Beam '!Q$45,0)</f>
        <v>0</v>
      </c>
      <c r="R92" s="7">
        <f>IF($D92='[2]Beam '!R$44,$P92*'[2]Beam '!R$45,0)</f>
        <v>0</v>
      </c>
      <c r="S92" s="7">
        <f>IF($D92='[2]Beam '!S$44,$P92*'[2]Beam '!S$45,0)</f>
        <v>0</v>
      </c>
      <c r="T92" s="7">
        <f>IF($D92='[2]Beam '!T$44,$P92*'[2]Beam '!T$45,0)</f>
        <v>0</v>
      </c>
      <c r="U92" s="7">
        <f>IF($D92='[2]Beam '!U$44,$P92*'[2]Beam '!U$45,0)</f>
        <v>8.0182142857142864</v>
      </c>
      <c r="V92" s="7">
        <f>IF($D92='[2]Beam '!V$44,$P92*'[2]Beam '!V$45,0)</f>
        <v>0</v>
      </c>
      <c r="W92" s="7">
        <f>IF($D92='[2]Beam '!W$44,$P92*'[2]Beam '!W$45,0)</f>
        <v>0</v>
      </c>
      <c r="X92" s="7">
        <f t="shared" si="22"/>
        <v>8.0182142857142864</v>
      </c>
      <c r="Y92" s="7"/>
      <c r="Z92" s="7"/>
      <c r="AA92" s="7"/>
      <c r="AB92" s="7"/>
      <c r="AC92" s="7"/>
      <c r="AD92" s="7"/>
      <c r="AE92" s="7"/>
    </row>
    <row r="93" spans="1:32" s="14" customFormat="1" ht="20.100000000000001" customHeight="1" x14ac:dyDescent="0.3">
      <c r="A93" s="6"/>
      <c r="B93" s="10" t="s">
        <v>2</v>
      </c>
      <c r="C93" s="13" t="s">
        <v>6</v>
      </c>
      <c r="D93" s="7">
        <v>20</v>
      </c>
      <c r="E93" s="7"/>
      <c r="F93" s="7">
        <v>6</v>
      </c>
      <c r="G93" s="8">
        <f>VLOOKUP(D93,'[2]Beam '!$C$20:$H$26,3,0)</f>
        <v>0.8</v>
      </c>
      <c r="H93" s="7"/>
      <c r="I93" s="7"/>
      <c r="J93" s="7"/>
      <c r="K93" s="7"/>
      <c r="L93" s="7"/>
      <c r="M93" s="7"/>
      <c r="N93" s="7"/>
      <c r="O93" s="7">
        <f>(E89+2*(0.55/2))*D89</f>
        <v>7.1</v>
      </c>
      <c r="P93" s="7">
        <f t="shared" si="21"/>
        <v>42.599999999999994</v>
      </c>
      <c r="Q93" s="7">
        <f>IF($D93='[2]Beam '!Q$44,$P93*'[2]Beam '!Q$45,0)</f>
        <v>0</v>
      </c>
      <c r="R93" s="7">
        <f>IF($D93='[2]Beam '!R$44,$P93*'[2]Beam '!R$45,0)</f>
        <v>0</v>
      </c>
      <c r="S93" s="7">
        <f>IF($D93='[2]Beam '!S$44,$P93*'[2]Beam '!S$45,0)</f>
        <v>0</v>
      </c>
      <c r="T93" s="7">
        <f>IF($D93='[2]Beam '!T$44,$P93*'[2]Beam '!T$45,0)</f>
        <v>0</v>
      </c>
      <c r="U93" s="7">
        <f>IF($D93='[2]Beam '!U$44,$P93*'[2]Beam '!U$45,0)</f>
        <v>105.1002857142857</v>
      </c>
      <c r="V93" s="7">
        <f>IF($D93='[2]Beam '!V$44,$P93*'[2]Beam '!V$45,0)</f>
        <v>0</v>
      </c>
      <c r="W93" s="7">
        <f>IF($D93='[2]Beam '!W$44,$P93*'[2]Beam '!W$45,0)</f>
        <v>0</v>
      </c>
      <c r="X93" s="7">
        <f t="shared" si="22"/>
        <v>105.1002857142857</v>
      </c>
      <c r="Y93" s="7"/>
    </row>
    <row r="94" spans="1:32" s="14" customFormat="1" ht="20.100000000000001" customHeight="1" x14ac:dyDescent="0.25">
      <c r="A94" s="6"/>
      <c r="B94" s="10" t="s">
        <v>2</v>
      </c>
      <c r="C94" s="13" t="s">
        <v>7</v>
      </c>
      <c r="D94" s="7">
        <v>10</v>
      </c>
      <c r="E94" s="7">
        <v>0.1</v>
      </c>
      <c r="F94" s="7">
        <f>ROUND(IF(E89/3&gt;(2*G89),(E89/3)/E94,(2*G89)/E94),0)*2+1</f>
        <v>45</v>
      </c>
      <c r="G94" s="9"/>
      <c r="H94" s="7"/>
      <c r="I94" s="7"/>
      <c r="J94" s="7"/>
      <c r="K94" s="7"/>
      <c r="L94" s="7"/>
      <c r="M94" s="7"/>
      <c r="N94" s="7"/>
      <c r="O94" s="7">
        <f>(2*((G89-(2*'[2]Beam '!$D$11))+(F89-(2*'[2]Beam '!$D$11)))+(2*10*D94/1000))*D89</f>
        <v>2.7600000000000002</v>
      </c>
      <c r="P94" s="7">
        <f t="shared" si="21"/>
        <v>124.20000000000002</v>
      </c>
      <c r="Q94" s="7">
        <f>IF($D94='[2]Beam '!Q$44,$P94*'[2]Beam '!Q$45,0)</f>
        <v>0</v>
      </c>
      <c r="R94" s="7">
        <f>IF($D94='[2]Beam '!R$44,$P94*'[2]Beam '!R$45,0)</f>
        <v>76.604785714285725</v>
      </c>
      <c r="S94" s="7">
        <f>IF($D94='[2]Beam '!S$44,$P94*'[2]Beam '!S$45,0)</f>
        <v>0</v>
      </c>
      <c r="T94" s="7">
        <f>IF($D94='[2]Beam '!T$44,$P94*'[2]Beam '!T$45,0)</f>
        <v>0</v>
      </c>
      <c r="U94" s="7">
        <f>IF($D94='[2]Beam '!U$44,$P94*'[2]Beam '!U$45,0)</f>
        <v>0</v>
      </c>
      <c r="V94" s="7">
        <f>IF($D94='[2]Beam '!V$44,$P94*'[2]Beam '!V$45,0)</f>
        <v>0</v>
      </c>
      <c r="W94" s="7">
        <f>IF($D94='[2]Beam '!W$44,$P94*'[2]Beam '!W$45,0)</f>
        <v>0</v>
      </c>
      <c r="X94" s="7">
        <f t="shared" si="22"/>
        <v>76.604785714285725</v>
      </c>
      <c r="Y94" s="7"/>
    </row>
    <row r="95" spans="1:32" s="14" customFormat="1" ht="20.100000000000001" customHeight="1" x14ac:dyDescent="0.25">
      <c r="B95" s="10" t="s">
        <v>2</v>
      </c>
      <c r="C95" s="13" t="s">
        <v>8</v>
      </c>
      <c r="D95" s="14">
        <f>D94</f>
        <v>10</v>
      </c>
      <c r="E95" s="14">
        <v>0.15</v>
      </c>
      <c r="F95" s="14">
        <f>ROUND((E89-(IF(E89/3&gt;2*G89,E89/3*2,G89*2*2)))/E95,0)</f>
        <v>15</v>
      </c>
      <c r="G95" s="9"/>
      <c r="O95" s="7">
        <f>(2*((G89-(2*'[2]Beam '!$D$11))+(F89-(2*'[2]Beam '!$D$11)))+(2*10*D95/1000))*D89</f>
        <v>2.7600000000000002</v>
      </c>
      <c r="P95" s="7">
        <f t="shared" si="21"/>
        <v>41.400000000000006</v>
      </c>
      <c r="Q95" s="7">
        <f>IF($D95='[2]Beam '!Q$44,$P95*'[2]Beam '!Q$45,0)</f>
        <v>0</v>
      </c>
      <c r="R95" s="7">
        <f>IF($D95='[2]Beam '!R$44,$P95*'[2]Beam '!R$45,0)</f>
        <v>25.534928571428573</v>
      </c>
      <c r="S95" s="7">
        <f>IF($D95='[2]Beam '!S$44,$P95*'[2]Beam '!S$45,0)</f>
        <v>0</v>
      </c>
      <c r="T95" s="7">
        <f>IF($D95='[2]Beam '!T$44,$P95*'[2]Beam '!T$45,0)</f>
        <v>0</v>
      </c>
      <c r="U95" s="7">
        <f>IF($D95='[2]Beam '!U$44,$P95*'[2]Beam '!U$45,0)</f>
        <v>0</v>
      </c>
      <c r="V95" s="7">
        <f>IF($D95='[2]Beam '!V$44,$P95*'[2]Beam '!V$45,0)</f>
        <v>0</v>
      </c>
      <c r="W95" s="7">
        <f>IF($D95='[2]Beam '!W$44,$P95*'[2]Beam '!W$45,0)</f>
        <v>0</v>
      </c>
      <c r="X95" s="7">
        <f t="shared" si="22"/>
        <v>25.534928571428573</v>
      </c>
    </row>
    <row r="96" spans="1:32" s="9" customFormat="1" ht="20.100000000000001" customHeight="1" x14ac:dyDescent="0.25">
      <c r="A96" s="14"/>
      <c r="B96" s="10" t="s">
        <v>2</v>
      </c>
      <c r="C96" s="13" t="s">
        <v>9</v>
      </c>
      <c r="D96" s="14">
        <f>D94</f>
        <v>10</v>
      </c>
      <c r="E96" s="14">
        <f>+E94</f>
        <v>0.1</v>
      </c>
      <c r="F96" s="7">
        <f>ROUND(IF(E89/3&gt;(2*G89),(E89/3)/E96,(2*G89)/E96),0)*2+1</f>
        <v>45</v>
      </c>
      <c r="H96" s="14"/>
      <c r="I96" s="14"/>
      <c r="J96" s="14"/>
      <c r="K96" s="14"/>
      <c r="L96" s="14"/>
      <c r="M96" s="14"/>
      <c r="N96" s="14"/>
      <c r="O96" s="7">
        <f>(2*(((F89-'[2]Beam '!$D$11*2)/(F90-1))+(G89-'[2]Beam '!$D$11*2))+(2*10*D96/1000))*D89</f>
        <v>1.8959999999999999</v>
      </c>
      <c r="P96" s="7">
        <f t="shared" si="21"/>
        <v>85.32</v>
      </c>
      <c r="Q96" s="7">
        <f>IF($D96='[2]Beam '!Q$44,$P96*'[2]Beam '!Q$45,0)</f>
        <v>0</v>
      </c>
      <c r="R96" s="7">
        <f>IF($D96='[2]Beam '!R$44,$P96*'[2]Beam '!R$45,0)</f>
        <v>52.624157142857136</v>
      </c>
      <c r="S96" s="7">
        <f>IF($D96='[2]Beam '!S$44,$P96*'[2]Beam '!S$45,0)</f>
        <v>0</v>
      </c>
      <c r="T96" s="7">
        <f>IF($D96='[2]Beam '!T$44,$P96*'[2]Beam '!T$45,0)</f>
        <v>0</v>
      </c>
      <c r="U96" s="7">
        <f>IF($D96='[2]Beam '!U$44,$P96*'[2]Beam '!U$45,0)</f>
        <v>0</v>
      </c>
      <c r="V96" s="7">
        <f>IF($D96='[2]Beam '!V$44,$P96*'[2]Beam '!V$45,0)</f>
        <v>0</v>
      </c>
      <c r="W96" s="7">
        <f>IF($D96='[2]Beam '!W$44,$P96*'[2]Beam '!W$45,0)</f>
        <v>0</v>
      </c>
      <c r="X96" s="7">
        <f t="shared" si="22"/>
        <v>52.624157142857136</v>
      </c>
      <c r="Y96" s="14"/>
      <c r="Z96" s="7"/>
      <c r="AA96" s="7"/>
      <c r="AB96" s="7"/>
      <c r="AC96" s="7"/>
      <c r="AD96" s="7"/>
      <c r="AE96" s="7"/>
    </row>
    <row r="97" spans="1:32" s="9" customFormat="1" ht="21" customHeight="1" x14ac:dyDescent="0.25">
      <c r="A97" s="14"/>
      <c r="B97" s="10" t="s">
        <v>2</v>
      </c>
      <c r="C97" s="13" t="s">
        <v>10</v>
      </c>
      <c r="D97" s="14">
        <f>D95</f>
        <v>10</v>
      </c>
      <c r="E97" s="14">
        <f>+E95</f>
        <v>0.15</v>
      </c>
      <c r="F97" s="14">
        <f>ROUND((E89-(IF(E89/3&gt;2*G89,E89/3*2,G89*2*2)))/E97,0)</f>
        <v>15</v>
      </c>
      <c r="H97" s="14"/>
      <c r="I97" s="14"/>
      <c r="J97" s="14"/>
      <c r="K97" s="14"/>
      <c r="L97" s="14"/>
      <c r="M97" s="14"/>
      <c r="N97" s="14"/>
      <c r="O97" s="7">
        <f>(2*(((F89-'[2]Beam '!$D$11*2)/(F90-1))+(G89-'[2]Beam '!$D$11*2))+(2*10*D97/1000))*D89</f>
        <v>1.8959999999999999</v>
      </c>
      <c r="P97" s="7">
        <f t="shared" si="21"/>
        <v>28.439999999999998</v>
      </c>
      <c r="Q97" s="7">
        <f>IF($D97='[2]Beam '!Q$44,$P97*'[2]Beam '!Q$45,0)</f>
        <v>0</v>
      </c>
      <c r="R97" s="7">
        <f>IF($D97='[2]Beam '!R$44,$P97*'[2]Beam '!R$45,0)</f>
        <v>17.541385714285713</v>
      </c>
      <c r="S97" s="7">
        <f>IF($D97='[2]Beam '!S$44,$P97*'[2]Beam '!S$45,0)</f>
        <v>0</v>
      </c>
      <c r="T97" s="7">
        <f>IF($D97='[2]Beam '!T$44,$P97*'[2]Beam '!T$45,0)</f>
        <v>0</v>
      </c>
      <c r="U97" s="7">
        <f>IF($D97='[2]Beam '!U$44,$P97*'[2]Beam '!U$45,0)</f>
        <v>0</v>
      </c>
      <c r="V97" s="7">
        <f>IF($D97='[2]Beam '!V$44,$P97*'[2]Beam '!V$45,0)</f>
        <v>0</v>
      </c>
      <c r="W97" s="7">
        <f>IF($D97='[2]Beam '!W$44,$P97*'[2]Beam '!W$45,0)</f>
        <v>0</v>
      </c>
      <c r="X97" s="7">
        <f t="shared" si="22"/>
        <v>17.541385714285713</v>
      </c>
      <c r="Y97" s="14"/>
      <c r="Z97" s="7"/>
      <c r="AA97" s="7"/>
      <c r="AB97" s="7"/>
      <c r="AC97" s="7"/>
      <c r="AD97" s="7"/>
      <c r="AE97" s="7"/>
      <c r="AF97" s="7"/>
    </row>
    <row r="98" spans="1:32" s="9" customFormat="1" ht="20.100000000000001" customHeight="1" x14ac:dyDescent="0.25">
      <c r="A98" s="6"/>
      <c r="B98" s="10" t="s">
        <v>2</v>
      </c>
      <c r="C98" s="13" t="s">
        <v>11</v>
      </c>
      <c r="D98" s="7">
        <f>+'[2]Beam '!$D$15</f>
        <v>25</v>
      </c>
      <c r="E98" s="7">
        <f>+'[2]Beam '!$E$15</f>
        <v>1</v>
      </c>
      <c r="F98" s="7">
        <f>ROUNDUP((1.35+1.35)/E98,0)</f>
        <v>3</v>
      </c>
      <c r="G98" s="8"/>
      <c r="H98" s="8"/>
      <c r="I98" s="7"/>
      <c r="J98" s="7"/>
      <c r="K98" s="7"/>
      <c r="L98" s="7"/>
      <c r="M98" s="7"/>
      <c r="N98" s="7"/>
      <c r="O98" s="7">
        <f>F89-'[2]Beam '!$F$15</f>
        <v>0.54</v>
      </c>
      <c r="P98" s="7">
        <f t="shared" si="21"/>
        <v>1.62</v>
      </c>
      <c r="Q98" s="7">
        <f>IF($D98='[2]Beam '!Q$44,$P98*'[2]Beam '!Q$45,0)</f>
        <v>0</v>
      </c>
      <c r="R98" s="7">
        <f>IF($D98='[2]Beam '!R$44,$P98*'[2]Beam '!R$45,0)</f>
        <v>0</v>
      </c>
      <c r="S98" s="7">
        <f>IF($D98='[2]Beam '!S$44,$P98*'[2]Beam '!S$45,0)</f>
        <v>0</v>
      </c>
      <c r="T98" s="7">
        <f>IF($D98='[2]Beam '!T$44,$P98*'[2]Beam '!T$45,0)</f>
        <v>0</v>
      </c>
      <c r="U98" s="7">
        <f>IF($D98='[2]Beam '!U$44,$P98*'[2]Beam '!U$45,0)</f>
        <v>0</v>
      </c>
      <c r="V98" s="7">
        <f>IF($D98='[2]Beam '!V$44,$P98*'[2]Beam '!V$45,0)</f>
        <v>6.2449553571428584</v>
      </c>
      <c r="W98" s="7">
        <f>IF($D98='[2]Beam '!W$44,$P98*'[2]Beam '!W$45,0)</f>
        <v>0</v>
      </c>
      <c r="X98" s="7">
        <f t="shared" si="22"/>
        <v>6.2449553571428584</v>
      </c>
      <c r="Y98" s="7"/>
      <c r="Z98" s="7"/>
      <c r="AA98" s="7"/>
      <c r="AB98" s="7"/>
      <c r="AC98" s="7"/>
      <c r="AD98" s="7"/>
      <c r="AE98" s="7"/>
    </row>
    <row r="99" spans="1:32" s="9" customFormat="1" ht="20.100000000000001" customHeight="1" x14ac:dyDescent="0.25">
      <c r="A99" s="7">
        <v>1</v>
      </c>
      <c r="B99" s="10" t="s">
        <v>2</v>
      </c>
      <c r="C99" s="11" t="s">
        <v>24</v>
      </c>
      <c r="D99" s="11">
        <v>1</v>
      </c>
      <c r="E99" s="11">
        <v>4.8490000000000002</v>
      </c>
      <c r="F99" s="11">
        <v>0.6</v>
      </c>
      <c r="G99" s="11">
        <v>0.8</v>
      </c>
      <c r="H99" s="7">
        <f>G99-0.2</f>
        <v>0.60000000000000009</v>
      </c>
      <c r="I99" s="7">
        <f>E99*F99*G99*D99</f>
        <v>2.3275200000000003</v>
      </c>
      <c r="J99" s="7">
        <f>(2*(E99)*H99*D99)+(E99*F99)</f>
        <v>8.7282000000000011</v>
      </c>
      <c r="K99" s="12">
        <f>IF(E99=0.3,J99,0)</f>
        <v>0</v>
      </c>
      <c r="L99" s="12">
        <f>IF(AND(E99&gt;0.3,E99&lt;=0.75),J99,0)</f>
        <v>0</v>
      </c>
      <c r="M99" s="12">
        <f>IF(AND(E99&gt;0.75,E99&lt;=1.2),J99,0)</f>
        <v>0</v>
      </c>
      <c r="N99" s="12">
        <f>IF(E99&gt;1.2,J99,0)</f>
        <v>8.7282000000000011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>
        <f>SUM(X100:X104)/I99</f>
        <v>116.45874210686543</v>
      </c>
      <c r="Z99" s="7"/>
      <c r="AA99" s="7"/>
      <c r="AB99" s="7"/>
      <c r="AC99" s="7"/>
      <c r="AD99" s="7"/>
      <c r="AE99" s="7"/>
    </row>
    <row r="100" spans="1:32" s="9" customFormat="1" ht="20.100000000000001" customHeight="1" x14ac:dyDescent="0.25">
      <c r="A100" s="6"/>
      <c r="B100" s="10" t="s">
        <v>2</v>
      </c>
      <c r="C100" s="13" t="s">
        <v>4</v>
      </c>
      <c r="D100" s="7">
        <v>20</v>
      </c>
      <c r="E100" s="7"/>
      <c r="F100" s="7">
        <v>6</v>
      </c>
      <c r="G100" s="8">
        <f>VLOOKUP(D100,'[2]Beam '!$C$20:$H$26,3,0)</f>
        <v>0.8</v>
      </c>
      <c r="H100" s="8"/>
      <c r="I100" s="7"/>
      <c r="J100" s="7"/>
      <c r="K100" s="7"/>
      <c r="L100" s="7"/>
      <c r="M100" s="7"/>
      <c r="N100" s="7"/>
      <c r="O100" s="7">
        <f>(E99+1*(G100+(12*D100/1000))+1*(0.55/2)*D99)</f>
        <v>6.1640000000000006</v>
      </c>
      <c r="P100" s="7">
        <f t="shared" ref="P100:P107" si="23">O100*F100</f>
        <v>36.984000000000002</v>
      </c>
      <c r="Q100" s="7">
        <f>IF($D100='[2]Beam '!Q$44,$P100*'[2]Beam '!Q$45,0)</f>
        <v>0</v>
      </c>
      <c r="R100" s="7">
        <f>IF($D100='[2]Beam '!R$44,$P100*'[2]Beam '!R$45,0)</f>
        <v>0</v>
      </c>
      <c r="S100" s="7">
        <f>IF($D100='[2]Beam '!S$44,$P100*'[2]Beam '!S$45,0)</f>
        <v>0</v>
      </c>
      <c r="T100" s="7">
        <f>IF($D100='[2]Beam '!T$44,$P100*'[2]Beam '!T$45,0)</f>
        <v>0</v>
      </c>
      <c r="U100" s="7">
        <f>IF($D100='[2]Beam '!U$44,$P100*'[2]Beam '!U$45,0)</f>
        <v>91.244811428571424</v>
      </c>
      <c r="V100" s="7">
        <f>IF($D100='[2]Beam '!V$44,$P100*'[2]Beam '!V$45,0)</f>
        <v>0</v>
      </c>
      <c r="W100" s="7">
        <f>IF($D100='[2]Beam '!W$44,$P100*'[2]Beam '!W$45,0)</f>
        <v>0</v>
      </c>
      <c r="X100" s="7">
        <f t="shared" ref="X100:X107" si="24">SUM(Q100:W100)</f>
        <v>91.244811428571424</v>
      </c>
      <c r="Y100" s="7"/>
      <c r="Z100" s="7"/>
      <c r="AA100" s="7"/>
      <c r="AB100" s="7"/>
      <c r="AC100" s="7"/>
      <c r="AD100" s="7"/>
      <c r="AE100" s="7"/>
    </row>
    <row r="101" spans="1:32" s="9" customFormat="1" ht="20.100000000000001" customHeight="1" x14ac:dyDescent="0.25">
      <c r="A101" s="6"/>
      <c r="B101" s="10" t="s">
        <v>2</v>
      </c>
      <c r="C101" s="13" t="s">
        <v>5</v>
      </c>
      <c r="D101" s="7">
        <v>16</v>
      </c>
      <c r="E101" s="7"/>
      <c r="F101" s="7">
        <v>4</v>
      </c>
      <c r="G101" s="8">
        <f>VLOOKUP(D101,'[2]Beam '!$C$20:$H$26,3,0)</f>
        <v>0.625</v>
      </c>
      <c r="H101" s="8"/>
      <c r="I101" s="7"/>
      <c r="J101" s="7"/>
      <c r="K101" s="7"/>
      <c r="L101" s="7"/>
      <c r="M101" s="7"/>
      <c r="N101" s="7"/>
      <c r="O101" s="7">
        <f>(1.35+1*(0.55/2))*D99</f>
        <v>1.625</v>
      </c>
      <c r="P101" s="7">
        <f t="shared" si="23"/>
        <v>6.5</v>
      </c>
      <c r="Q101" s="7">
        <f>IF($D101='[2]Beam '!Q$44,$P101*'[2]Beam '!Q$45,0)</f>
        <v>0</v>
      </c>
      <c r="R101" s="7">
        <f>IF($D101='[2]Beam '!R$44,$P101*'[2]Beam '!R$45,0)</f>
        <v>0</v>
      </c>
      <c r="S101" s="7">
        <f>IF($D101='[2]Beam '!S$44,$P101*'[2]Beam '!S$45,0)</f>
        <v>0</v>
      </c>
      <c r="T101" s="7">
        <f>IF($D101='[2]Beam '!T$44,$P101*'[2]Beam '!T$45,0)</f>
        <v>10.263314285714287</v>
      </c>
      <c r="U101" s="7">
        <f>IF($D101='[2]Beam '!U$44,$P101*'[2]Beam '!U$45,0)</f>
        <v>0</v>
      </c>
      <c r="V101" s="7">
        <f>IF($D101='[2]Beam '!V$44,$P101*'[2]Beam '!V$45,0)</f>
        <v>0</v>
      </c>
      <c r="W101" s="7">
        <f>IF($D101='[2]Beam '!W$44,$P101*'[2]Beam '!W$45,0)</f>
        <v>0</v>
      </c>
      <c r="X101" s="7">
        <f t="shared" si="24"/>
        <v>10.263314285714287</v>
      </c>
      <c r="Y101" s="7"/>
      <c r="Z101" s="7"/>
      <c r="AA101" s="7"/>
      <c r="AB101" s="7"/>
      <c r="AC101" s="7"/>
      <c r="AD101" s="7"/>
      <c r="AE101" s="7"/>
    </row>
    <row r="102" spans="1:32" s="14" customFormat="1" ht="20.100000000000001" customHeight="1" x14ac:dyDescent="0.3">
      <c r="A102" s="6"/>
      <c r="B102" s="10" t="s">
        <v>2</v>
      </c>
      <c r="C102" s="13" t="s">
        <v>6</v>
      </c>
      <c r="D102" s="7">
        <v>20</v>
      </c>
      <c r="E102" s="7"/>
      <c r="F102" s="7">
        <v>6</v>
      </c>
      <c r="G102" s="8">
        <f>VLOOKUP(D102,'[2]Beam '!$C$20:$H$26,3,0)</f>
        <v>0.8</v>
      </c>
      <c r="H102" s="7"/>
      <c r="I102" s="7"/>
      <c r="J102" s="7"/>
      <c r="K102" s="7"/>
      <c r="L102" s="7"/>
      <c r="M102" s="7"/>
      <c r="N102" s="7"/>
      <c r="O102" s="7">
        <f>(E99+1*(G102+(12*D102/1000))+1*(0.55/2)*D99)</f>
        <v>6.1640000000000006</v>
      </c>
      <c r="P102" s="7">
        <f t="shared" si="23"/>
        <v>36.984000000000002</v>
      </c>
      <c r="Q102" s="7">
        <f>IF($D102='[2]Beam '!Q$44,$P102*'[2]Beam '!Q$45,0)</f>
        <v>0</v>
      </c>
      <c r="R102" s="7">
        <f>IF($D102='[2]Beam '!R$44,$P102*'[2]Beam '!R$45,0)</f>
        <v>0</v>
      </c>
      <c r="S102" s="7">
        <f>IF($D102='[2]Beam '!S$44,$P102*'[2]Beam '!S$45,0)</f>
        <v>0</v>
      </c>
      <c r="T102" s="7">
        <f>IF($D102='[2]Beam '!T$44,$P102*'[2]Beam '!T$45,0)</f>
        <v>0</v>
      </c>
      <c r="U102" s="7">
        <f>IF($D102='[2]Beam '!U$44,$P102*'[2]Beam '!U$45,0)</f>
        <v>91.244811428571424</v>
      </c>
      <c r="V102" s="7">
        <f>IF($D102='[2]Beam '!V$44,$P102*'[2]Beam '!V$45,0)</f>
        <v>0</v>
      </c>
      <c r="W102" s="7">
        <f>IF($D102='[2]Beam '!W$44,$P102*'[2]Beam '!W$45,0)</f>
        <v>0</v>
      </c>
      <c r="X102" s="7">
        <f t="shared" si="24"/>
        <v>91.244811428571424</v>
      </c>
      <c r="Y102" s="7"/>
    </row>
    <row r="103" spans="1:32" s="14" customFormat="1" ht="20.100000000000001" customHeight="1" x14ac:dyDescent="0.25">
      <c r="A103" s="6"/>
      <c r="B103" s="10" t="s">
        <v>2</v>
      </c>
      <c r="C103" s="13" t="s">
        <v>7</v>
      </c>
      <c r="D103" s="7">
        <v>10</v>
      </c>
      <c r="E103" s="7">
        <v>0.1</v>
      </c>
      <c r="F103" s="7">
        <f>ROUNDUP((E99/3*2)/E103,0)+1</f>
        <v>34</v>
      </c>
      <c r="G103" s="9"/>
      <c r="H103" s="7"/>
      <c r="I103" s="7"/>
      <c r="J103" s="7"/>
      <c r="K103" s="7"/>
      <c r="L103" s="7"/>
      <c r="M103" s="7"/>
      <c r="N103" s="7"/>
      <c r="O103" s="7">
        <f>(2*((G99-(2*'[2]Beam '!$D$11))+(F99-(2*'[2]Beam '!$D$11)))+(2*10*D103/1000))*D99</f>
        <v>2.7600000000000002</v>
      </c>
      <c r="P103" s="7">
        <f t="shared" si="23"/>
        <v>93.84</v>
      </c>
      <c r="Q103" s="7">
        <f>IF($D103='[2]Beam '!Q$44,$P103*'[2]Beam '!Q$45,0)</f>
        <v>0</v>
      </c>
      <c r="R103" s="7">
        <f>IF($D103='[2]Beam '!R$44,$P103*'[2]Beam '!R$45,0)</f>
        <v>57.879171428571432</v>
      </c>
      <c r="S103" s="7">
        <f>IF($D103='[2]Beam '!S$44,$P103*'[2]Beam '!S$45,0)</f>
        <v>0</v>
      </c>
      <c r="T103" s="7">
        <f>IF($D103='[2]Beam '!T$44,$P103*'[2]Beam '!T$45,0)</f>
        <v>0</v>
      </c>
      <c r="U103" s="7">
        <f>IF($D103='[2]Beam '!U$44,$P103*'[2]Beam '!U$45,0)</f>
        <v>0</v>
      </c>
      <c r="V103" s="7">
        <f>IF($D103='[2]Beam '!V$44,$P103*'[2]Beam '!V$45,0)</f>
        <v>0</v>
      </c>
      <c r="W103" s="7">
        <f>IF($D103='[2]Beam '!W$44,$P103*'[2]Beam '!W$45,0)</f>
        <v>0</v>
      </c>
      <c r="X103" s="7">
        <f t="shared" si="24"/>
        <v>57.879171428571432</v>
      </c>
      <c r="Y103" s="7"/>
    </row>
    <row r="104" spans="1:32" s="14" customFormat="1" ht="20.100000000000001" customHeight="1" x14ac:dyDescent="0.25">
      <c r="B104" s="10" t="s">
        <v>2</v>
      </c>
      <c r="C104" s="13" t="s">
        <v>8</v>
      </c>
      <c r="D104" s="14">
        <f>D103</f>
        <v>10</v>
      </c>
      <c r="E104" s="14">
        <v>0.15</v>
      </c>
      <c r="F104" s="7">
        <f>ROUNDUP((E99/3)/E104,0)+1</f>
        <v>12</v>
      </c>
      <c r="G104" s="9"/>
      <c r="O104" s="7">
        <f>(2*((G99-(2*'[2]Beam '!$D$11))+(F99-(2*'[2]Beam '!$D$11)))+(2*10*D104/1000))*D99</f>
        <v>2.7600000000000002</v>
      </c>
      <c r="P104" s="7">
        <f t="shared" si="23"/>
        <v>33.120000000000005</v>
      </c>
      <c r="Q104" s="7">
        <f>IF($D104='[2]Beam '!Q$44,$P104*'[2]Beam '!Q$45,0)</f>
        <v>0</v>
      </c>
      <c r="R104" s="7">
        <f>IF($D104='[2]Beam '!R$44,$P104*'[2]Beam '!R$45,0)</f>
        <v>20.42794285714286</v>
      </c>
      <c r="S104" s="7">
        <f>IF($D104='[2]Beam '!S$44,$P104*'[2]Beam '!S$45,0)</f>
        <v>0</v>
      </c>
      <c r="T104" s="7">
        <f>IF($D104='[2]Beam '!T$44,$P104*'[2]Beam '!T$45,0)</f>
        <v>0</v>
      </c>
      <c r="U104" s="7">
        <f>IF($D104='[2]Beam '!U$44,$P104*'[2]Beam '!U$45,0)</f>
        <v>0</v>
      </c>
      <c r="V104" s="7">
        <f>IF($D104='[2]Beam '!V$44,$P104*'[2]Beam '!V$45,0)</f>
        <v>0</v>
      </c>
      <c r="W104" s="7">
        <f>IF($D104='[2]Beam '!W$44,$P104*'[2]Beam '!W$45,0)</f>
        <v>0</v>
      </c>
      <c r="X104" s="7">
        <f t="shared" si="24"/>
        <v>20.42794285714286</v>
      </c>
    </row>
    <row r="105" spans="1:32" s="9" customFormat="1" ht="20.100000000000001" customHeight="1" x14ac:dyDescent="0.25">
      <c r="A105" s="14"/>
      <c r="B105" s="10" t="s">
        <v>2</v>
      </c>
      <c r="C105" s="13" t="s">
        <v>9</v>
      </c>
      <c r="D105" s="14">
        <f>D103</f>
        <v>10</v>
      </c>
      <c r="E105" s="14">
        <f>+E103</f>
        <v>0.1</v>
      </c>
      <c r="F105" s="7">
        <f>ROUNDUP((E99/3*2)/E105,0)+1</f>
        <v>34</v>
      </c>
      <c r="H105" s="14"/>
      <c r="I105" s="14"/>
      <c r="J105" s="14"/>
      <c r="K105" s="14"/>
      <c r="L105" s="14"/>
      <c r="M105" s="14"/>
      <c r="N105" s="14"/>
      <c r="O105" s="7">
        <f>(2*(((F99-'[2]Beam '!$D$11*2)/(F100-1))+(G99-'[2]Beam '!$D$11*2))+(2*10*D105/1000))*D99</f>
        <v>1.8959999999999999</v>
      </c>
      <c r="P105" s="7">
        <f t="shared" si="23"/>
        <v>64.463999999999999</v>
      </c>
      <c r="Q105" s="7">
        <f>IF($D105='[2]Beam '!Q$44,$P105*'[2]Beam '!Q$45,0)</f>
        <v>0</v>
      </c>
      <c r="R105" s="7">
        <f>IF($D105='[2]Beam '!R$44,$P105*'[2]Beam '!R$45,0)</f>
        <v>39.760474285714281</v>
      </c>
      <c r="S105" s="7">
        <f>IF($D105='[2]Beam '!S$44,$P105*'[2]Beam '!S$45,0)</f>
        <v>0</v>
      </c>
      <c r="T105" s="7">
        <f>IF($D105='[2]Beam '!T$44,$P105*'[2]Beam '!T$45,0)</f>
        <v>0</v>
      </c>
      <c r="U105" s="7">
        <f>IF($D105='[2]Beam '!U$44,$P105*'[2]Beam '!U$45,0)</f>
        <v>0</v>
      </c>
      <c r="V105" s="7">
        <f>IF($D105='[2]Beam '!V$44,$P105*'[2]Beam '!V$45,0)</f>
        <v>0</v>
      </c>
      <c r="W105" s="7">
        <f>IF($D105='[2]Beam '!W$44,$P105*'[2]Beam '!W$45,0)</f>
        <v>0</v>
      </c>
      <c r="X105" s="7">
        <f t="shared" si="24"/>
        <v>39.760474285714281</v>
      </c>
      <c r="Y105" s="14"/>
      <c r="Z105" s="7"/>
      <c r="AA105" s="7"/>
      <c r="AB105" s="7"/>
      <c r="AC105" s="7"/>
      <c r="AD105" s="7"/>
      <c r="AE105" s="7"/>
    </row>
    <row r="106" spans="1:32" s="9" customFormat="1" ht="21" customHeight="1" x14ac:dyDescent="0.25">
      <c r="A106" s="14"/>
      <c r="B106" s="10" t="s">
        <v>2</v>
      </c>
      <c r="C106" s="13" t="s">
        <v>10</v>
      </c>
      <c r="D106" s="14">
        <f>D104</f>
        <v>10</v>
      </c>
      <c r="E106" s="14">
        <f>+E104</f>
        <v>0.15</v>
      </c>
      <c r="F106" s="7">
        <f>ROUNDUP((E99/3)/E106,0)+1</f>
        <v>12</v>
      </c>
      <c r="H106" s="14"/>
      <c r="I106" s="14"/>
      <c r="J106" s="14"/>
      <c r="K106" s="14"/>
      <c r="L106" s="14"/>
      <c r="M106" s="14"/>
      <c r="N106" s="14"/>
      <c r="O106" s="7">
        <f>(2*(((F99-'[2]Beam '!$D$11*2)/(F100-1))+(G99-'[2]Beam '!$D$11*2))+(2*10*D106/1000))*D99</f>
        <v>1.8959999999999999</v>
      </c>
      <c r="P106" s="7">
        <f t="shared" si="23"/>
        <v>22.751999999999999</v>
      </c>
      <c r="Q106" s="7">
        <f>IF($D106='[2]Beam '!Q$44,$P106*'[2]Beam '!Q$45,0)</f>
        <v>0</v>
      </c>
      <c r="R106" s="7">
        <f>IF($D106='[2]Beam '!R$44,$P106*'[2]Beam '!R$45,0)</f>
        <v>14.033108571428571</v>
      </c>
      <c r="S106" s="7">
        <f>IF($D106='[2]Beam '!S$44,$P106*'[2]Beam '!S$45,0)</f>
        <v>0</v>
      </c>
      <c r="T106" s="7">
        <f>IF($D106='[2]Beam '!T$44,$P106*'[2]Beam '!T$45,0)</f>
        <v>0</v>
      </c>
      <c r="U106" s="7">
        <f>IF($D106='[2]Beam '!U$44,$P106*'[2]Beam '!U$45,0)</f>
        <v>0</v>
      </c>
      <c r="V106" s="7">
        <f>IF($D106='[2]Beam '!V$44,$P106*'[2]Beam '!V$45,0)</f>
        <v>0</v>
      </c>
      <c r="W106" s="7">
        <f>IF($D106='[2]Beam '!W$44,$P106*'[2]Beam '!W$45,0)</f>
        <v>0</v>
      </c>
      <c r="X106" s="7">
        <f t="shared" si="24"/>
        <v>14.033108571428571</v>
      </c>
      <c r="Y106" s="14"/>
      <c r="Z106" s="7"/>
      <c r="AA106" s="7"/>
      <c r="AB106" s="7"/>
      <c r="AC106" s="7"/>
      <c r="AD106" s="7"/>
      <c r="AE106" s="7"/>
      <c r="AF106" s="7"/>
    </row>
    <row r="107" spans="1:32" s="9" customFormat="1" ht="20.100000000000001" customHeight="1" x14ac:dyDescent="0.25">
      <c r="A107" s="6"/>
      <c r="B107" s="10" t="s">
        <v>2</v>
      </c>
      <c r="C107" s="13" t="s">
        <v>11</v>
      </c>
      <c r="D107" s="7">
        <f>+'[2]Beam '!$D$15</f>
        <v>25</v>
      </c>
      <c r="E107" s="7">
        <f>+'[2]Beam '!$E$15</f>
        <v>1</v>
      </c>
      <c r="F107" s="7">
        <f>ROUNDUP((1.35)/E107,0)</f>
        <v>2</v>
      </c>
      <c r="G107" s="8"/>
      <c r="H107" s="8"/>
      <c r="I107" s="7"/>
      <c r="J107" s="7"/>
      <c r="K107" s="7"/>
      <c r="L107" s="7"/>
      <c r="M107" s="7"/>
      <c r="N107" s="7"/>
      <c r="O107" s="7">
        <f>F99-'[2]Beam '!$F$15</f>
        <v>0.54</v>
      </c>
      <c r="P107" s="7">
        <f t="shared" si="23"/>
        <v>1.08</v>
      </c>
      <c r="Q107" s="7">
        <f>IF($D107='[2]Beam '!Q$44,$P107*'[2]Beam '!Q$45,0)</f>
        <v>0</v>
      </c>
      <c r="R107" s="7">
        <f>IF($D107='[2]Beam '!R$44,$P107*'[2]Beam '!R$45,0)</f>
        <v>0</v>
      </c>
      <c r="S107" s="7">
        <f>IF($D107='[2]Beam '!S$44,$P107*'[2]Beam '!S$45,0)</f>
        <v>0</v>
      </c>
      <c r="T107" s="7">
        <f>IF($D107='[2]Beam '!T$44,$P107*'[2]Beam '!T$45,0)</f>
        <v>0</v>
      </c>
      <c r="U107" s="7">
        <f>IF($D107='[2]Beam '!U$44,$P107*'[2]Beam '!U$45,0)</f>
        <v>0</v>
      </c>
      <c r="V107" s="7">
        <f>IF($D107='[2]Beam '!V$44,$P107*'[2]Beam '!V$45,0)</f>
        <v>4.163303571428572</v>
      </c>
      <c r="W107" s="7">
        <f>IF($D107='[2]Beam '!W$44,$P107*'[2]Beam '!W$45,0)</f>
        <v>0</v>
      </c>
      <c r="X107" s="7">
        <f t="shared" si="24"/>
        <v>4.163303571428572</v>
      </c>
      <c r="Y107" s="7"/>
      <c r="Z107" s="7"/>
      <c r="AA107" s="7"/>
      <c r="AB107" s="7"/>
      <c r="AC107" s="7"/>
      <c r="AD107" s="7"/>
      <c r="AE107" s="7"/>
    </row>
    <row r="108" spans="1:32" s="9" customFormat="1" ht="20.100000000000001" customHeight="1" x14ac:dyDescent="0.25">
      <c r="A108" s="7">
        <v>1</v>
      </c>
      <c r="B108" s="10" t="s">
        <v>2</v>
      </c>
      <c r="C108" s="11" t="s">
        <v>25</v>
      </c>
      <c r="D108" s="11">
        <v>1</v>
      </c>
      <c r="E108" s="11">
        <v>3.05</v>
      </c>
      <c r="F108" s="11">
        <v>0.2</v>
      </c>
      <c r="G108" s="11">
        <v>1.1000000000000001</v>
      </c>
      <c r="H108" s="7">
        <f>G108-0.2</f>
        <v>0.90000000000000013</v>
      </c>
      <c r="I108" s="7">
        <f>E108*F108*G108*D108</f>
        <v>0.67100000000000004</v>
      </c>
      <c r="J108" s="7">
        <f>(2*(E108)*H108*D108)+(E108*F108)</f>
        <v>6.1000000000000005</v>
      </c>
      <c r="K108" s="12">
        <f>IF(E108=0.3,J108,0)</f>
        <v>0</v>
      </c>
      <c r="L108" s="12">
        <f>IF(AND(E108&gt;0.3,E108&lt;=0.75),J108,0)</f>
        <v>0</v>
      </c>
      <c r="M108" s="12">
        <f>IF(AND(E108&gt;0.75,E108&lt;=1.2),J108,0)</f>
        <v>0</v>
      </c>
      <c r="N108" s="12">
        <f>IF(E108&gt;1.2,J108,0)</f>
        <v>6.1000000000000005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>
        <f>SUM(X109:X113)/I108</f>
        <v>263.57156323185018</v>
      </c>
      <c r="Z108" s="7"/>
      <c r="AA108" s="7"/>
      <c r="AB108" s="7"/>
      <c r="AC108" s="7"/>
      <c r="AD108" s="7"/>
      <c r="AE108" s="7"/>
    </row>
    <row r="109" spans="1:32" s="9" customFormat="1" ht="20.100000000000001" customHeight="1" x14ac:dyDescent="0.25">
      <c r="A109" s="6"/>
      <c r="B109" s="10" t="s">
        <v>2</v>
      </c>
      <c r="C109" s="13" t="s">
        <v>4</v>
      </c>
      <c r="D109" s="7">
        <v>25</v>
      </c>
      <c r="E109" s="7"/>
      <c r="F109" s="7">
        <v>2</v>
      </c>
      <c r="G109" s="8">
        <f>VLOOKUP(D109,'[2]Beam '!$C$20:$H$26,3,0)</f>
        <v>1</v>
      </c>
      <c r="H109" s="8"/>
      <c r="I109" s="7"/>
      <c r="J109" s="7"/>
      <c r="K109" s="7"/>
      <c r="L109" s="7"/>
      <c r="M109" s="7"/>
      <c r="N109" s="7"/>
      <c r="O109" s="7">
        <f>(E108+1*(G109+(12*D109/1000))+1*(0.4/2))*D108</f>
        <v>4.55</v>
      </c>
      <c r="P109" s="7">
        <f t="shared" ref="P109:P114" si="25">O109*F109</f>
        <v>9.1</v>
      </c>
      <c r="Q109" s="7">
        <f>IF($D109='[2]Beam '!Q$44,$P109*'[2]Beam '!Q$45,0)</f>
        <v>0</v>
      </c>
      <c r="R109" s="7">
        <f>IF($D109='[2]Beam '!R$44,$P109*'[2]Beam '!R$45,0)</f>
        <v>0</v>
      </c>
      <c r="S109" s="7">
        <f>IF($D109='[2]Beam '!S$44,$P109*'[2]Beam '!S$45,0)</f>
        <v>0</v>
      </c>
      <c r="T109" s="7">
        <f>IF($D109='[2]Beam '!T$44,$P109*'[2]Beam '!T$45,0)</f>
        <v>0</v>
      </c>
      <c r="U109" s="7">
        <f>IF($D109='[2]Beam '!U$44,$P109*'[2]Beam '!U$45,0)</f>
        <v>0</v>
      </c>
      <c r="V109" s="7">
        <f>IF($D109='[2]Beam '!V$44,$P109*'[2]Beam '!V$45,0)</f>
        <v>35.079687500000006</v>
      </c>
      <c r="W109" s="7">
        <f>IF($D109='[2]Beam '!W$44,$P109*'[2]Beam '!W$45,0)</f>
        <v>0</v>
      </c>
      <c r="X109" s="7">
        <f t="shared" ref="X109:X114" si="26">SUM(Q109:W109)</f>
        <v>35.079687500000006</v>
      </c>
      <c r="Y109" s="7"/>
      <c r="Z109" s="7"/>
      <c r="AA109" s="7"/>
      <c r="AB109" s="7"/>
      <c r="AC109" s="7"/>
      <c r="AD109" s="7"/>
      <c r="AE109" s="7"/>
    </row>
    <row r="110" spans="1:32" s="9" customFormat="1" ht="20.100000000000001" customHeight="1" x14ac:dyDescent="0.25">
      <c r="A110" s="6"/>
      <c r="B110" s="10" t="s">
        <v>2</v>
      </c>
      <c r="C110" s="13" t="s">
        <v>5</v>
      </c>
      <c r="D110" s="7">
        <v>20</v>
      </c>
      <c r="E110" s="7"/>
      <c r="F110" s="7">
        <v>2</v>
      </c>
      <c r="G110" s="8">
        <f>VLOOKUP(D110,'[2]Beam '!$C$20:$H$26,3,0)</f>
        <v>0.8</v>
      </c>
      <c r="H110" s="8"/>
      <c r="I110" s="7"/>
      <c r="J110" s="7"/>
      <c r="K110" s="7"/>
      <c r="L110" s="7"/>
      <c r="M110" s="7"/>
      <c r="N110" s="7"/>
      <c r="O110" s="7">
        <f>(0.9+1*(0.4/2))*D108</f>
        <v>1.1000000000000001</v>
      </c>
      <c r="P110" s="7">
        <f t="shared" si="25"/>
        <v>2.2000000000000002</v>
      </c>
      <c r="Q110" s="7">
        <f>IF($D110='[2]Beam '!Q$44,$P110*'[2]Beam '!Q$45,0)</f>
        <v>0</v>
      </c>
      <c r="R110" s="7">
        <f>IF($D110='[2]Beam '!R$44,$P110*'[2]Beam '!R$45,0)</f>
        <v>0</v>
      </c>
      <c r="S110" s="7">
        <f>IF($D110='[2]Beam '!S$44,$P110*'[2]Beam '!S$45,0)</f>
        <v>0</v>
      </c>
      <c r="T110" s="7">
        <f>IF($D110='[2]Beam '!T$44,$P110*'[2]Beam '!T$45,0)</f>
        <v>0</v>
      </c>
      <c r="U110" s="7">
        <f>IF($D110='[2]Beam '!U$44,$P110*'[2]Beam '!U$45,0)</f>
        <v>5.4277142857142859</v>
      </c>
      <c r="V110" s="7">
        <f>IF($D110='[2]Beam '!V$44,$P110*'[2]Beam '!V$45,0)</f>
        <v>0</v>
      </c>
      <c r="W110" s="7">
        <f>IF($D110='[2]Beam '!W$44,$P110*'[2]Beam '!W$45,0)</f>
        <v>0</v>
      </c>
      <c r="X110" s="7">
        <f t="shared" si="26"/>
        <v>5.4277142857142859</v>
      </c>
      <c r="Y110" s="7"/>
      <c r="Z110" s="7"/>
      <c r="AA110" s="7"/>
      <c r="AB110" s="7"/>
      <c r="AC110" s="7"/>
      <c r="AD110" s="7"/>
      <c r="AE110" s="7"/>
    </row>
    <row r="111" spans="1:32" s="9" customFormat="1" ht="20.100000000000001" customHeight="1" x14ac:dyDescent="0.25">
      <c r="A111" s="6"/>
      <c r="B111" s="10" t="s">
        <v>2</v>
      </c>
      <c r="C111" s="13" t="s">
        <v>6</v>
      </c>
      <c r="D111" s="7">
        <v>25</v>
      </c>
      <c r="E111" s="7"/>
      <c r="F111" s="7">
        <v>2</v>
      </c>
      <c r="G111" s="8">
        <f>VLOOKUP(D111,'[2]Beam '!$C$20:$H$26,3,0)</f>
        <v>1</v>
      </c>
      <c r="H111" s="7"/>
      <c r="I111" s="7"/>
      <c r="J111" s="7"/>
      <c r="K111" s="7"/>
      <c r="L111" s="7"/>
      <c r="M111" s="7"/>
      <c r="N111" s="7"/>
      <c r="O111" s="7">
        <f>(E108+1*(G111+(12*D111/1000))+1*(0.4/2))*D108</f>
        <v>4.55</v>
      </c>
      <c r="P111" s="7">
        <f t="shared" si="25"/>
        <v>9.1</v>
      </c>
      <c r="Q111" s="7">
        <f>IF($D111='[2]Beam '!Q$44,$P111*'[2]Beam '!Q$45,0)</f>
        <v>0</v>
      </c>
      <c r="R111" s="7">
        <f>IF($D111='[2]Beam '!R$44,$P111*'[2]Beam '!R$45,0)</f>
        <v>0</v>
      </c>
      <c r="S111" s="7">
        <f>IF($D111='[2]Beam '!S$44,$P111*'[2]Beam '!S$45,0)</f>
        <v>0</v>
      </c>
      <c r="T111" s="7">
        <f>IF($D111='[2]Beam '!T$44,$P111*'[2]Beam '!T$45,0)</f>
        <v>0</v>
      </c>
      <c r="U111" s="7">
        <f>IF($D111='[2]Beam '!U$44,$P111*'[2]Beam '!U$45,0)</f>
        <v>0</v>
      </c>
      <c r="V111" s="7">
        <f>IF($D111='[2]Beam '!V$44,$P111*'[2]Beam '!V$45,0)</f>
        <v>35.079687500000006</v>
      </c>
      <c r="W111" s="7">
        <f>IF($D111='[2]Beam '!W$44,$P111*'[2]Beam '!W$45,0)</f>
        <v>0</v>
      </c>
      <c r="X111" s="7">
        <f t="shared" si="26"/>
        <v>35.079687500000006</v>
      </c>
      <c r="Y111" s="7"/>
      <c r="Z111" s="7"/>
      <c r="AA111" s="7"/>
      <c r="AB111" s="7"/>
      <c r="AC111" s="7"/>
      <c r="AD111" s="7"/>
      <c r="AE111" s="7"/>
    </row>
    <row r="112" spans="1:32" s="9" customFormat="1" ht="20.100000000000001" customHeight="1" x14ac:dyDescent="0.25">
      <c r="A112" s="6"/>
      <c r="B112" s="10" t="s">
        <v>2</v>
      </c>
      <c r="C112" s="13" t="s">
        <v>13</v>
      </c>
      <c r="D112" s="7">
        <v>25</v>
      </c>
      <c r="E112" s="7"/>
      <c r="F112" s="7">
        <v>2</v>
      </c>
      <c r="G112" s="8">
        <f>VLOOKUP(D112,'[2]Beam '!$C$20:$H$26,3,0)</f>
        <v>1</v>
      </c>
      <c r="H112" s="7"/>
      <c r="I112" s="7"/>
      <c r="J112" s="7"/>
      <c r="K112" s="7"/>
      <c r="L112" s="7"/>
      <c r="M112" s="7"/>
      <c r="N112" s="7"/>
      <c r="O112" s="7">
        <f>(E108-0.5+1*(G112+(12*D112/1000))*D108)</f>
        <v>3.8499999999999996</v>
      </c>
      <c r="P112" s="7">
        <f t="shared" si="25"/>
        <v>7.6999999999999993</v>
      </c>
      <c r="Q112" s="7">
        <f>IF($D112='[2]Beam '!Q$44,$P112*'[2]Beam '!Q$45,0)</f>
        <v>0</v>
      </c>
      <c r="R112" s="7">
        <f>IF($D112='[2]Beam '!R$44,$P112*'[2]Beam '!R$45,0)</f>
        <v>0</v>
      </c>
      <c r="S112" s="7">
        <f>IF($D112='[2]Beam '!S$44,$P112*'[2]Beam '!S$45,0)</f>
        <v>0</v>
      </c>
      <c r="T112" s="7">
        <f>IF($D112='[2]Beam '!T$44,$P112*'[2]Beam '!T$45,0)</f>
        <v>0</v>
      </c>
      <c r="U112" s="7">
        <f>IF($D112='[2]Beam '!U$44,$P112*'[2]Beam '!U$45,0)</f>
        <v>0</v>
      </c>
      <c r="V112" s="7">
        <f>IF($D112='[2]Beam '!V$44,$P112*'[2]Beam '!V$45,0)</f>
        <v>29.682812500000001</v>
      </c>
      <c r="W112" s="7">
        <f>IF($D112='[2]Beam '!W$44,$P112*'[2]Beam '!W$45,0)</f>
        <v>0</v>
      </c>
      <c r="X112" s="7">
        <f t="shared" si="26"/>
        <v>29.682812500000001</v>
      </c>
      <c r="Y112" s="7"/>
      <c r="Z112" s="7"/>
      <c r="AA112" s="7"/>
      <c r="AB112" s="7"/>
      <c r="AC112" s="7"/>
      <c r="AD112" s="7"/>
      <c r="AE112" s="7"/>
    </row>
    <row r="113" spans="1:32" s="9" customFormat="1" ht="21" customHeight="1" x14ac:dyDescent="0.25">
      <c r="A113" s="6"/>
      <c r="B113" s="10" t="s">
        <v>2</v>
      </c>
      <c r="C113" s="13" t="s">
        <v>26</v>
      </c>
      <c r="D113" s="7">
        <v>12</v>
      </c>
      <c r="E113" s="7">
        <v>0.1</v>
      </c>
      <c r="F113" s="7">
        <f>ROUNDUP(E108/E113,0)</f>
        <v>31</v>
      </c>
      <c r="H113" s="7"/>
      <c r="I113" s="7"/>
      <c r="J113" s="7"/>
      <c r="K113" s="7"/>
      <c r="L113" s="7"/>
      <c r="M113" s="7"/>
      <c r="N113" s="7"/>
      <c r="O113" s="7">
        <f>(2*((G108-(2*'[2]Beam '!$D$11))+(F108-(2*'[2]Beam '!$D$11)))+(2*10*D113/1000))*D108</f>
        <v>2.6000000000000005</v>
      </c>
      <c r="P113" s="7">
        <f t="shared" si="25"/>
        <v>80.600000000000023</v>
      </c>
      <c r="Q113" s="7">
        <f>IF($D113='[2]Beam '!Q$44,$P113*'[2]Beam '!Q$45,0)</f>
        <v>0</v>
      </c>
      <c r="R113" s="7">
        <f>IF($D113='[2]Beam '!R$44,$P113*'[2]Beam '!R$45,0)</f>
        <v>0</v>
      </c>
      <c r="S113" s="7">
        <f>IF($D113='[2]Beam '!S$44,$P113*'[2]Beam '!S$45,0)</f>
        <v>71.586617142857179</v>
      </c>
      <c r="T113" s="7">
        <f>IF($D113='[2]Beam '!T$44,$P113*'[2]Beam '!T$45,0)</f>
        <v>0</v>
      </c>
      <c r="U113" s="7">
        <f>IF($D113='[2]Beam '!U$44,$P113*'[2]Beam '!U$45,0)</f>
        <v>0</v>
      </c>
      <c r="V113" s="7">
        <f>IF($D113='[2]Beam '!V$44,$P113*'[2]Beam '!V$45,0)</f>
        <v>0</v>
      </c>
      <c r="W113" s="7">
        <f>IF($D113='[2]Beam '!W$44,$P113*'[2]Beam '!W$45,0)</f>
        <v>0</v>
      </c>
      <c r="X113" s="7">
        <f t="shared" si="26"/>
        <v>71.586617142857179</v>
      </c>
      <c r="Y113" s="7"/>
      <c r="Z113" s="7"/>
      <c r="AA113" s="7"/>
      <c r="AB113" s="7"/>
      <c r="AC113" s="7"/>
      <c r="AD113" s="7"/>
      <c r="AE113" s="7"/>
      <c r="AF113" s="7"/>
    </row>
    <row r="114" spans="1:32" s="9" customFormat="1" ht="20.100000000000001" customHeight="1" x14ac:dyDescent="0.25">
      <c r="A114" s="6"/>
      <c r="B114" s="10" t="s">
        <v>2</v>
      </c>
      <c r="C114" s="13" t="s">
        <v>11</v>
      </c>
      <c r="D114" s="7">
        <f>+'[2]Beam '!$D$15</f>
        <v>25</v>
      </c>
      <c r="E114" s="7">
        <f>+'[2]Beam '!$E$15</f>
        <v>1</v>
      </c>
      <c r="F114" s="7">
        <f>ROUNDUP((0.9+E108)/E114,0)</f>
        <v>4</v>
      </c>
      <c r="G114" s="8"/>
      <c r="H114" s="8"/>
      <c r="I114" s="7"/>
      <c r="J114" s="7"/>
      <c r="K114" s="7"/>
      <c r="L114" s="7"/>
      <c r="M114" s="7"/>
      <c r="N114" s="7"/>
      <c r="O114" s="7">
        <f>F108-'[2]Beam '!$F$15</f>
        <v>0.14000000000000001</v>
      </c>
      <c r="P114" s="7">
        <f t="shared" si="25"/>
        <v>0.56000000000000005</v>
      </c>
      <c r="Q114" s="7">
        <f>IF($D114='[2]Beam '!Q$44,$P114*'[2]Beam '!Q$45,0)</f>
        <v>0</v>
      </c>
      <c r="R114" s="7">
        <f>IF($D114='[2]Beam '!R$44,$P114*'[2]Beam '!R$45,0)</f>
        <v>0</v>
      </c>
      <c r="S114" s="7">
        <f>IF($D114='[2]Beam '!S$44,$P114*'[2]Beam '!S$45,0)</f>
        <v>0</v>
      </c>
      <c r="T114" s="7">
        <f>IF($D114='[2]Beam '!T$44,$P114*'[2]Beam '!T$45,0)</f>
        <v>0</v>
      </c>
      <c r="U114" s="7">
        <f>IF($D114='[2]Beam '!U$44,$P114*'[2]Beam '!U$45,0)</f>
        <v>0</v>
      </c>
      <c r="V114" s="7">
        <f>IF($D114='[2]Beam '!V$44,$P114*'[2]Beam '!V$45,0)</f>
        <v>2.1587500000000004</v>
      </c>
      <c r="W114" s="7">
        <f>IF($D114='[2]Beam '!W$44,$P114*'[2]Beam '!W$45,0)</f>
        <v>0</v>
      </c>
      <c r="X114" s="7">
        <f t="shared" si="26"/>
        <v>2.1587500000000004</v>
      </c>
      <c r="Y114" s="7"/>
      <c r="Z114" s="7"/>
      <c r="AA114" s="7"/>
      <c r="AB114" s="7"/>
      <c r="AC114" s="7"/>
      <c r="AD114" s="7"/>
      <c r="AE114" s="7"/>
    </row>
    <row r="115" spans="1:32" s="9" customFormat="1" ht="20.100000000000001" customHeight="1" x14ac:dyDescent="0.25">
      <c r="A115" s="7">
        <v>1</v>
      </c>
      <c r="B115" s="10" t="s">
        <v>2</v>
      </c>
      <c r="C115" s="11" t="s">
        <v>27</v>
      </c>
      <c r="D115" s="11">
        <v>1</v>
      </c>
      <c r="E115" s="11">
        <v>1.25</v>
      </c>
      <c r="F115" s="11">
        <v>0.2</v>
      </c>
      <c r="G115" s="11">
        <v>1.05</v>
      </c>
      <c r="H115" s="7">
        <f>G115-0.2</f>
        <v>0.85000000000000009</v>
      </c>
      <c r="I115" s="7">
        <f>E115*F115*G115*D115</f>
        <v>0.26250000000000001</v>
      </c>
      <c r="J115" s="7">
        <f>(2*(E115)*H115*D115)+(E115*F115)</f>
        <v>2.375</v>
      </c>
      <c r="K115" s="12">
        <f>IF(E115=0.3,J115,0)</f>
        <v>0</v>
      </c>
      <c r="L115" s="12">
        <f>IF(AND(E115&gt;0.3,E115&lt;=0.75),J115,0)</f>
        <v>0</v>
      </c>
      <c r="M115" s="12">
        <f>IF(AND(E115&gt;0.75,E115&lt;=1.2),J115,0)</f>
        <v>0</v>
      </c>
      <c r="N115" s="12">
        <f>IF(E115&gt;1.2,J115,0)</f>
        <v>2.375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>
        <f>SUM(X116:X119)/I115</f>
        <v>282.78156462585036</v>
      </c>
      <c r="Z115" s="7"/>
      <c r="AA115" s="7"/>
      <c r="AB115" s="7"/>
      <c r="AC115" s="7"/>
      <c r="AD115" s="7"/>
      <c r="AE115" s="7"/>
    </row>
    <row r="116" spans="1:32" s="9" customFormat="1" ht="20.100000000000001" customHeight="1" x14ac:dyDescent="0.25">
      <c r="A116" s="6"/>
      <c r="B116" s="10" t="s">
        <v>2</v>
      </c>
      <c r="C116" s="13" t="s">
        <v>4</v>
      </c>
      <c r="D116" s="7">
        <v>25</v>
      </c>
      <c r="E116" s="7"/>
      <c r="F116" s="7">
        <v>2</v>
      </c>
      <c r="G116" s="8">
        <f>VLOOKUP(D116,'[2]Beam '!$C$20:$H$26,3,0)</f>
        <v>1</v>
      </c>
      <c r="H116" s="8"/>
      <c r="I116" s="7"/>
      <c r="J116" s="7"/>
      <c r="K116" s="7"/>
      <c r="L116" s="7"/>
      <c r="M116" s="7"/>
      <c r="N116" s="7"/>
      <c r="O116" s="7">
        <f>(E115+1*(G116+(12*D116/1000))+1*(0.4/2))*D115</f>
        <v>2.75</v>
      </c>
      <c r="P116" s="7">
        <f>O116*F116</f>
        <v>5.5</v>
      </c>
      <c r="Q116" s="7">
        <f>IF($D116='[2]Beam '!Q$44,$P116*'[2]Beam '!Q$45,0)</f>
        <v>0</v>
      </c>
      <c r="R116" s="7">
        <f>IF($D116='[2]Beam '!R$44,$P116*'[2]Beam '!R$45,0)</f>
        <v>0</v>
      </c>
      <c r="S116" s="7">
        <f>IF($D116='[2]Beam '!S$44,$P116*'[2]Beam '!S$45,0)</f>
        <v>0</v>
      </c>
      <c r="T116" s="7">
        <f>IF($D116='[2]Beam '!T$44,$P116*'[2]Beam '!T$45,0)</f>
        <v>0</v>
      </c>
      <c r="U116" s="7">
        <f>IF($D116='[2]Beam '!U$44,$P116*'[2]Beam '!U$45,0)</f>
        <v>0</v>
      </c>
      <c r="V116" s="7">
        <f>IF($D116='[2]Beam '!V$44,$P116*'[2]Beam '!V$45,0)</f>
        <v>21.202008928571431</v>
      </c>
      <c r="W116" s="7">
        <f>IF($D116='[2]Beam '!W$44,$P116*'[2]Beam '!W$45,0)</f>
        <v>0</v>
      </c>
      <c r="X116" s="7">
        <f>SUM(Q116:W116)</f>
        <v>21.202008928571431</v>
      </c>
      <c r="Y116" s="7"/>
      <c r="Z116" s="7"/>
      <c r="AA116" s="7"/>
      <c r="AB116" s="7"/>
      <c r="AC116" s="7"/>
      <c r="AD116" s="7"/>
      <c r="AE116" s="7"/>
    </row>
    <row r="117" spans="1:32" s="9" customFormat="1" ht="20.100000000000001" customHeight="1" x14ac:dyDescent="0.25">
      <c r="A117" s="6"/>
      <c r="B117" s="10" t="s">
        <v>2</v>
      </c>
      <c r="C117" s="13" t="s">
        <v>5</v>
      </c>
      <c r="D117" s="7">
        <v>20</v>
      </c>
      <c r="E117" s="7"/>
      <c r="F117" s="7">
        <v>2</v>
      </c>
      <c r="G117" s="8">
        <f>VLOOKUP(D117,'[2]Beam '!$C$20:$H$26,3,0)</f>
        <v>0.8</v>
      </c>
      <c r="H117" s="8"/>
      <c r="I117" s="7"/>
      <c r="J117" s="7"/>
      <c r="K117" s="7"/>
      <c r="L117" s="7"/>
      <c r="M117" s="7"/>
      <c r="N117" s="7"/>
      <c r="O117" s="7">
        <f>(0.4+1*(0.4/2))*D115</f>
        <v>0.60000000000000009</v>
      </c>
      <c r="P117" s="7">
        <f>O117*F117</f>
        <v>1.2000000000000002</v>
      </c>
      <c r="Q117" s="7">
        <f>IF($D117='[2]Beam '!Q$44,$P117*'[2]Beam '!Q$45,0)</f>
        <v>0</v>
      </c>
      <c r="R117" s="7">
        <f>IF($D117='[2]Beam '!R$44,$P117*'[2]Beam '!R$45,0)</f>
        <v>0</v>
      </c>
      <c r="S117" s="7">
        <f>IF($D117='[2]Beam '!S$44,$P117*'[2]Beam '!S$45,0)</f>
        <v>0</v>
      </c>
      <c r="T117" s="7">
        <f>IF($D117='[2]Beam '!T$44,$P117*'[2]Beam '!T$45,0)</f>
        <v>0</v>
      </c>
      <c r="U117" s="7">
        <f>IF($D117='[2]Beam '!U$44,$P117*'[2]Beam '!U$45,0)</f>
        <v>2.9605714285714289</v>
      </c>
      <c r="V117" s="7">
        <f>IF($D117='[2]Beam '!V$44,$P117*'[2]Beam '!V$45,0)</f>
        <v>0</v>
      </c>
      <c r="W117" s="7">
        <f>IF($D117='[2]Beam '!W$44,$P117*'[2]Beam '!W$45,0)</f>
        <v>0</v>
      </c>
      <c r="X117" s="7">
        <f>SUM(Q117:W117)</f>
        <v>2.9605714285714289</v>
      </c>
      <c r="Y117" s="7"/>
      <c r="Z117" s="7"/>
      <c r="AA117" s="7"/>
      <c r="AB117" s="7"/>
      <c r="AC117" s="7"/>
      <c r="AD117" s="7"/>
      <c r="AE117" s="7"/>
    </row>
    <row r="118" spans="1:32" s="9" customFormat="1" ht="20.100000000000001" customHeight="1" x14ac:dyDescent="0.25">
      <c r="A118" s="6"/>
      <c r="B118" s="10" t="s">
        <v>2</v>
      </c>
      <c r="C118" s="13" t="s">
        <v>6</v>
      </c>
      <c r="D118" s="7">
        <v>25</v>
      </c>
      <c r="E118" s="7"/>
      <c r="F118" s="7">
        <v>2</v>
      </c>
      <c r="G118" s="8">
        <f>VLOOKUP(D118,'[2]Beam '!$C$20:$H$26,3,0)</f>
        <v>1</v>
      </c>
      <c r="H118" s="7"/>
      <c r="I118" s="7"/>
      <c r="J118" s="7"/>
      <c r="K118" s="7"/>
      <c r="L118" s="7"/>
      <c r="M118" s="7"/>
      <c r="N118" s="7"/>
      <c r="O118" s="7">
        <f>(E115+1*(G118+(12*D118/1000))+1*(0.4/2))*D115</f>
        <v>2.75</v>
      </c>
      <c r="P118" s="7">
        <f>O118*F118</f>
        <v>5.5</v>
      </c>
      <c r="Q118" s="7">
        <f>IF($D118='[2]Beam '!Q$44,$P118*'[2]Beam '!Q$45,0)</f>
        <v>0</v>
      </c>
      <c r="R118" s="7">
        <f>IF($D118='[2]Beam '!R$44,$P118*'[2]Beam '!R$45,0)</f>
        <v>0</v>
      </c>
      <c r="S118" s="7">
        <f>IF($D118='[2]Beam '!S$44,$P118*'[2]Beam '!S$45,0)</f>
        <v>0</v>
      </c>
      <c r="T118" s="7">
        <f>IF($D118='[2]Beam '!T$44,$P118*'[2]Beam '!T$45,0)</f>
        <v>0</v>
      </c>
      <c r="U118" s="7">
        <f>IF($D118='[2]Beam '!U$44,$P118*'[2]Beam '!U$45,0)</f>
        <v>0</v>
      </c>
      <c r="V118" s="7">
        <f>IF($D118='[2]Beam '!V$44,$P118*'[2]Beam '!V$45,0)</f>
        <v>21.202008928571431</v>
      </c>
      <c r="W118" s="7">
        <f>IF($D118='[2]Beam '!W$44,$P118*'[2]Beam '!W$45,0)</f>
        <v>0</v>
      </c>
      <c r="X118" s="7">
        <f>SUM(Q118:W118)</f>
        <v>21.202008928571431</v>
      </c>
      <c r="Y118" s="7"/>
      <c r="Z118" s="7"/>
      <c r="AA118" s="7"/>
      <c r="AB118" s="7"/>
      <c r="AC118" s="7"/>
      <c r="AD118" s="7"/>
      <c r="AE118" s="7"/>
    </row>
    <row r="119" spans="1:32" s="9" customFormat="1" ht="21" customHeight="1" x14ac:dyDescent="0.25">
      <c r="A119" s="6"/>
      <c r="B119" s="10" t="s">
        <v>2</v>
      </c>
      <c r="C119" s="13" t="s">
        <v>26</v>
      </c>
      <c r="D119" s="7">
        <v>12</v>
      </c>
      <c r="E119" s="7">
        <v>0.1</v>
      </c>
      <c r="F119" s="7">
        <f>ROUNDUP(E115/E119,0)</f>
        <v>13</v>
      </c>
      <c r="H119" s="7"/>
      <c r="I119" s="7"/>
      <c r="J119" s="7"/>
      <c r="K119" s="7"/>
      <c r="L119" s="7"/>
      <c r="M119" s="7"/>
      <c r="N119" s="7"/>
      <c r="O119" s="7">
        <f>(2*((G115-(2*'[2]Beam '!$D$11))+(F115-(2*'[2]Beam '!$D$11)))+(2*10*D119/1000))*D115</f>
        <v>2.5</v>
      </c>
      <c r="P119" s="7">
        <f>O119*F119</f>
        <v>32.5</v>
      </c>
      <c r="Q119" s="7">
        <f>IF($D119='[2]Beam '!Q$44,$P119*'[2]Beam '!Q$45,0)</f>
        <v>0</v>
      </c>
      <c r="R119" s="7">
        <f>IF($D119='[2]Beam '!R$44,$P119*'[2]Beam '!R$45,0)</f>
        <v>0</v>
      </c>
      <c r="S119" s="7">
        <f>IF($D119='[2]Beam '!S$44,$P119*'[2]Beam '!S$45,0)</f>
        <v>28.865571428571432</v>
      </c>
      <c r="T119" s="7">
        <f>IF($D119='[2]Beam '!T$44,$P119*'[2]Beam '!T$45,0)</f>
        <v>0</v>
      </c>
      <c r="U119" s="7">
        <f>IF($D119='[2]Beam '!U$44,$P119*'[2]Beam '!U$45,0)</f>
        <v>0</v>
      </c>
      <c r="V119" s="7">
        <f>IF($D119='[2]Beam '!V$44,$P119*'[2]Beam '!V$45,0)</f>
        <v>0</v>
      </c>
      <c r="W119" s="7">
        <f>IF($D119='[2]Beam '!W$44,$P119*'[2]Beam '!W$45,0)</f>
        <v>0</v>
      </c>
      <c r="X119" s="7">
        <f>SUM(Q119:W119)</f>
        <v>28.865571428571432</v>
      </c>
      <c r="Y119" s="7"/>
      <c r="Z119" s="7"/>
      <c r="AA119" s="7"/>
      <c r="AB119" s="7"/>
      <c r="AC119" s="7"/>
      <c r="AD119" s="7"/>
      <c r="AE119" s="7"/>
      <c r="AF119" s="7"/>
    </row>
    <row r="120" spans="1:32" s="9" customFormat="1" ht="20.100000000000001" customHeight="1" x14ac:dyDescent="0.25">
      <c r="A120" s="6"/>
      <c r="B120" s="10" t="s">
        <v>2</v>
      </c>
      <c r="C120" s="13" t="s">
        <v>11</v>
      </c>
      <c r="D120" s="7">
        <f>+'[2]Beam '!$D$15</f>
        <v>25</v>
      </c>
      <c r="E120" s="7">
        <f>+'[2]Beam '!$E$15</f>
        <v>1</v>
      </c>
      <c r="F120" s="7">
        <f>ROUNDUP((0.4+E115)/E120,0)</f>
        <v>2</v>
      </c>
      <c r="G120" s="8"/>
      <c r="H120" s="8"/>
      <c r="I120" s="7"/>
      <c r="J120" s="7"/>
      <c r="K120" s="7"/>
      <c r="L120" s="7"/>
      <c r="M120" s="7"/>
      <c r="N120" s="7"/>
      <c r="O120" s="7">
        <f>F115-'[2]Beam '!$F$15</f>
        <v>0.14000000000000001</v>
      </c>
      <c r="P120" s="7">
        <f>O120*F120</f>
        <v>0.28000000000000003</v>
      </c>
      <c r="Q120" s="7">
        <f>IF($D120='[2]Beam '!Q$44,$P120*'[2]Beam '!Q$45,0)</f>
        <v>0</v>
      </c>
      <c r="R120" s="7">
        <f>IF($D120='[2]Beam '!R$44,$P120*'[2]Beam '!R$45,0)</f>
        <v>0</v>
      </c>
      <c r="S120" s="7">
        <f>IF($D120='[2]Beam '!S$44,$P120*'[2]Beam '!S$45,0)</f>
        <v>0</v>
      </c>
      <c r="T120" s="7">
        <f>IF($D120='[2]Beam '!T$44,$P120*'[2]Beam '!T$45,0)</f>
        <v>0</v>
      </c>
      <c r="U120" s="7">
        <f>IF($D120='[2]Beam '!U$44,$P120*'[2]Beam '!U$45,0)</f>
        <v>0</v>
      </c>
      <c r="V120" s="7">
        <f>IF($D120='[2]Beam '!V$44,$P120*'[2]Beam '!V$45,0)</f>
        <v>1.0793750000000002</v>
      </c>
      <c r="W120" s="7">
        <f>IF($D120='[2]Beam '!W$44,$P120*'[2]Beam '!W$45,0)</f>
        <v>0</v>
      </c>
      <c r="X120" s="7">
        <f>SUM(Q120:W120)</f>
        <v>1.0793750000000002</v>
      </c>
      <c r="Y120" s="7"/>
      <c r="Z120" s="7"/>
      <c r="AA120" s="7"/>
      <c r="AB120" s="7"/>
      <c r="AC120" s="7"/>
      <c r="AD120" s="7"/>
      <c r="AE120" s="7"/>
    </row>
    <row r="121" spans="1:32" s="9" customFormat="1" ht="20.100000000000001" customHeight="1" x14ac:dyDescent="0.25">
      <c r="A121" s="7">
        <v>1</v>
      </c>
      <c r="B121" s="10" t="s">
        <v>2</v>
      </c>
      <c r="C121" s="11" t="s">
        <v>28</v>
      </c>
      <c r="D121" s="11">
        <v>1</v>
      </c>
      <c r="E121" s="11">
        <v>1.5</v>
      </c>
      <c r="F121" s="11">
        <v>0.4</v>
      </c>
      <c r="G121" s="11">
        <v>1.1000000000000001</v>
      </c>
      <c r="H121" s="7">
        <f>G121-0.2</f>
        <v>0.90000000000000013</v>
      </c>
      <c r="I121" s="7">
        <f>E121*F121*G121*D121</f>
        <v>0.66000000000000014</v>
      </c>
      <c r="J121" s="7">
        <f>(2*(E121)*H121*D121)+(E121*F121)</f>
        <v>3.3000000000000003</v>
      </c>
      <c r="K121" s="12">
        <f>IF(E121=0.3,J121,0)</f>
        <v>0</v>
      </c>
      <c r="L121" s="12">
        <f>IF(AND(E121&gt;0.3,E121&lt;=0.75),J121,0)</f>
        <v>0</v>
      </c>
      <c r="M121" s="12">
        <f>IF(AND(E121&gt;0.75,E121&lt;=1.2),J121,0)</f>
        <v>0</v>
      </c>
      <c r="N121" s="12">
        <f>IF(E121&gt;1.2,J121,0)</f>
        <v>3.3000000000000003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>
        <f>SUM(X122:X126)/I121</f>
        <v>178.54279238095236</v>
      </c>
      <c r="Z121" s="7"/>
      <c r="AA121" s="7"/>
      <c r="AB121" s="7"/>
      <c r="AC121" s="7"/>
      <c r="AD121" s="7"/>
      <c r="AE121" s="7"/>
    </row>
    <row r="122" spans="1:32" s="9" customFormat="1" ht="20.100000000000001" customHeight="1" x14ac:dyDescent="0.25">
      <c r="A122" s="6"/>
      <c r="B122" s="10" t="s">
        <v>2</v>
      </c>
      <c r="C122" s="13" t="s">
        <v>4</v>
      </c>
      <c r="D122" s="7">
        <v>20</v>
      </c>
      <c r="E122" s="7"/>
      <c r="F122" s="7">
        <v>4</v>
      </c>
      <c r="G122" s="8">
        <f>VLOOKUP(D122,'[2]Beam '!$C$20:$H$26,3,0)</f>
        <v>0.8</v>
      </c>
      <c r="H122" s="8"/>
      <c r="I122" s="7"/>
      <c r="J122" s="7"/>
      <c r="K122" s="7"/>
      <c r="L122" s="7"/>
      <c r="M122" s="7"/>
      <c r="N122" s="7"/>
      <c r="O122" s="7">
        <f>(E121+2*(G122+(12*D122/1000)))*D121</f>
        <v>3.58</v>
      </c>
      <c r="P122" s="7">
        <f t="shared" ref="P122:P127" si="27">O122*F122</f>
        <v>14.32</v>
      </c>
      <c r="Q122" s="7">
        <f>IF($D122='[2]Beam '!Q$44,$P122*'[2]Beam '!Q$45,0)</f>
        <v>0</v>
      </c>
      <c r="R122" s="7">
        <f>IF($D122='[2]Beam '!R$44,$P122*'[2]Beam '!R$45,0)</f>
        <v>0</v>
      </c>
      <c r="S122" s="7">
        <f>IF($D122='[2]Beam '!S$44,$P122*'[2]Beam '!S$45,0)</f>
        <v>0</v>
      </c>
      <c r="T122" s="7">
        <f>IF($D122='[2]Beam '!T$44,$P122*'[2]Beam '!T$45,0)</f>
        <v>0</v>
      </c>
      <c r="U122" s="7">
        <f>IF($D122='[2]Beam '!U$44,$P122*'[2]Beam '!U$45,0)</f>
        <v>35.329485714285717</v>
      </c>
      <c r="V122" s="7">
        <f>IF($D122='[2]Beam '!V$44,$P122*'[2]Beam '!V$45,0)</f>
        <v>0</v>
      </c>
      <c r="W122" s="7">
        <f>IF($D122='[2]Beam '!W$44,$P122*'[2]Beam '!W$45,0)</f>
        <v>0</v>
      </c>
      <c r="X122" s="7">
        <f t="shared" ref="X122:X127" si="28">SUM(Q122:W122)</f>
        <v>35.329485714285717</v>
      </c>
      <c r="Y122" s="7"/>
      <c r="Z122" s="7"/>
      <c r="AA122" s="7"/>
      <c r="AB122" s="7"/>
      <c r="AC122" s="7"/>
      <c r="AD122" s="7"/>
      <c r="AE122" s="7"/>
    </row>
    <row r="123" spans="1:32" s="9" customFormat="1" ht="20.100000000000001" customHeight="1" x14ac:dyDescent="0.25">
      <c r="A123" s="6"/>
      <c r="B123" s="10" t="s">
        <v>2</v>
      </c>
      <c r="C123" s="13" t="s">
        <v>5</v>
      </c>
      <c r="D123" s="7">
        <v>16</v>
      </c>
      <c r="E123" s="7"/>
      <c r="F123" s="7">
        <v>2</v>
      </c>
      <c r="G123" s="8">
        <f>VLOOKUP(D123,'[2]Beam '!$C$20:$H$26,3,0)</f>
        <v>0.625</v>
      </c>
      <c r="H123" s="8"/>
      <c r="I123" s="7"/>
      <c r="J123" s="7"/>
      <c r="K123" s="7"/>
      <c r="L123" s="7"/>
      <c r="M123" s="7"/>
      <c r="N123" s="7"/>
      <c r="O123" s="7">
        <f>(E121+2*(G123+(12*D123/1000)))*D121</f>
        <v>3.1339999999999999</v>
      </c>
      <c r="P123" s="7">
        <f t="shared" si="27"/>
        <v>6.2679999999999998</v>
      </c>
      <c r="Q123" s="7">
        <f>IF($D123='[2]Beam '!Q$44,$P123*'[2]Beam '!Q$45,0)</f>
        <v>0</v>
      </c>
      <c r="R123" s="7">
        <f>IF($D123='[2]Beam '!R$44,$P123*'[2]Beam '!R$45,0)</f>
        <v>0</v>
      </c>
      <c r="S123" s="7">
        <f>IF($D123='[2]Beam '!S$44,$P123*'[2]Beam '!S$45,0)</f>
        <v>0</v>
      </c>
      <c r="T123" s="7">
        <f>IF($D123='[2]Beam '!T$44,$P123*'[2]Beam '!T$45,0)</f>
        <v>9.8969929142857147</v>
      </c>
      <c r="U123" s="7">
        <f>IF($D123='[2]Beam '!U$44,$P123*'[2]Beam '!U$45,0)</f>
        <v>0</v>
      </c>
      <c r="V123" s="7">
        <f>IF($D123='[2]Beam '!V$44,$P123*'[2]Beam '!V$45,0)</f>
        <v>0</v>
      </c>
      <c r="W123" s="7">
        <f>IF($D123='[2]Beam '!W$44,$P123*'[2]Beam '!W$45,0)</f>
        <v>0</v>
      </c>
      <c r="X123" s="7">
        <f t="shared" si="28"/>
        <v>9.8969929142857147</v>
      </c>
      <c r="Y123" s="7"/>
      <c r="Z123" s="7"/>
      <c r="AA123" s="7"/>
      <c r="AB123" s="7"/>
      <c r="AC123" s="7"/>
      <c r="AD123" s="7"/>
      <c r="AE123" s="7"/>
    </row>
    <row r="124" spans="1:32" s="9" customFormat="1" ht="20.100000000000001" customHeight="1" x14ac:dyDescent="0.25">
      <c r="A124" s="6"/>
      <c r="B124" s="10" t="s">
        <v>2</v>
      </c>
      <c r="C124" s="13" t="s">
        <v>6</v>
      </c>
      <c r="D124" s="7">
        <v>20</v>
      </c>
      <c r="E124" s="7"/>
      <c r="F124" s="7">
        <v>4</v>
      </c>
      <c r="G124" s="8">
        <f>VLOOKUP(D124,'[2]Beam '!$C$20:$H$26,3,0)</f>
        <v>0.8</v>
      </c>
      <c r="H124" s="7"/>
      <c r="I124" s="7"/>
      <c r="J124" s="7"/>
      <c r="K124" s="7"/>
      <c r="L124" s="7"/>
      <c r="M124" s="7"/>
      <c r="N124" s="7"/>
      <c r="O124" s="7">
        <f>(E121+2*(G124+(12*D124/1000)))*D121</f>
        <v>3.58</v>
      </c>
      <c r="P124" s="7">
        <f t="shared" si="27"/>
        <v>14.32</v>
      </c>
      <c r="Q124" s="7">
        <f>IF($D124='[2]Beam '!Q$44,$P124*'[2]Beam '!Q$45,0)</f>
        <v>0</v>
      </c>
      <c r="R124" s="7">
        <f>IF($D124='[2]Beam '!R$44,$P124*'[2]Beam '!R$45,0)</f>
        <v>0</v>
      </c>
      <c r="S124" s="7">
        <f>IF($D124='[2]Beam '!S$44,$P124*'[2]Beam '!S$45,0)</f>
        <v>0</v>
      </c>
      <c r="T124" s="7">
        <f>IF($D124='[2]Beam '!T$44,$P124*'[2]Beam '!T$45,0)</f>
        <v>0</v>
      </c>
      <c r="U124" s="7">
        <f>IF($D124='[2]Beam '!U$44,$P124*'[2]Beam '!U$45,0)</f>
        <v>35.329485714285717</v>
      </c>
      <c r="V124" s="7">
        <f>IF($D124='[2]Beam '!V$44,$P124*'[2]Beam '!V$45,0)</f>
        <v>0</v>
      </c>
      <c r="W124" s="7">
        <f>IF($D124='[2]Beam '!W$44,$P124*'[2]Beam '!W$45,0)</f>
        <v>0</v>
      </c>
      <c r="X124" s="7">
        <f t="shared" si="28"/>
        <v>35.329485714285717</v>
      </c>
      <c r="Y124" s="7"/>
      <c r="Z124" s="7"/>
      <c r="AA124" s="7"/>
      <c r="AB124" s="7"/>
      <c r="AC124" s="7"/>
      <c r="AD124" s="7"/>
      <c r="AE124" s="7"/>
    </row>
    <row r="125" spans="1:32" s="9" customFormat="1" ht="20.100000000000001" customHeight="1" x14ac:dyDescent="0.25">
      <c r="A125" s="6"/>
      <c r="B125" s="10" t="s">
        <v>2</v>
      </c>
      <c r="C125" s="13" t="s">
        <v>13</v>
      </c>
      <c r="D125" s="7">
        <v>16</v>
      </c>
      <c r="E125" s="7"/>
      <c r="F125" s="7">
        <v>2</v>
      </c>
      <c r="G125" s="8">
        <f>VLOOKUP(D125,'[2]Beam '!$C$20:$H$26,3,0)</f>
        <v>0.625</v>
      </c>
      <c r="H125" s="7"/>
      <c r="I125" s="7"/>
      <c r="J125" s="7"/>
      <c r="K125" s="7"/>
      <c r="L125" s="7"/>
      <c r="M125" s="7"/>
      <c r="N125" s="7"/>
      <c r="O125" s="7">
        <f>(E121+2*(G125+(12*D125/1000)))*D121</f>
        <v>3.1339999999999999</v>
      </c>
      <c r="P125" s="7">
        <f t="shared" si="27"/>
        <v>6.2679999999999998</v>
      </c>
      <c r="Q125" s="7">
        <f>IF($D125='[2]Beam '!Q$44,$P125*'[2]Beam '!Q$45,0)</f>
        <v>0</v>
      </c>
      <c r="R125" s="7">
        <f>IF($D125='[2]Beam '!R$44,$P125*'[2]Beam '!R$45,0)</f>
        <v>0</v>
      </c>
      <c r="S125" s="7">
        <f>IF($D125='[2]Beam '!S$44,$P125*'[2]Beam '!S$45,0)</f>
        <v>0</v>
      </c>
      <c r="T125" s="7">
        <f>IF($D125='[2]Beam '!T$44,$P125*'[2]Beam '!T$45,0)</f>
        <v>9.8969929142857147</v>
      </c>
      <c r="U125" s="7">
        <f>IF($D125='[2]Beam '!U$44,$P125*'[2]Beam '!U$45,0)</f>
        <v>0</v>
      </c>
      <c r="V125" s="7">
        <f>IF($D125='[2]Beam '!V$44,$P125*'[2]Beam '!V$45,0)</f>
        <v>0</v>
      </c>
      <c r="W125" s="7">
        <f>IF($D125='[2]Beam '!W$44,$P125*'[2]Beam '!W$45,0)</f>
        <v>0</v>
      </c>
      <c r="X125" s="7">
        <f t="shared" si="28"/>
        <v>9.8969929142857147</v>
      </c>
      <c r="Y125" s="7"/>
      <c r="Z125" s="7"/>
      <c r="AA125" s="7"/>
      <c r="AB125" s="7"/>
      <c r="AC125" s="7"/>
      <c r="AD125" s="7"/>
      <c r="AE125" s="7"/>
    </row>
    <row r="126" spans="1:32" s="9" customFormat="1" ht="21" customHeight="1" x14ac:dyDescent="0.25">
      <c r="A126" s="6"/>
      <c r="B126" s="10" t="s">
        <v>2</v>
      </c>
      <c r="C126" s="13" t="s">
        <v>26</v>
      </c>
      <c r="D126" s="7">
        <v>10</v>
      </c>
      <c r="E126" s="7">
        <v>0.1</v>
      </c>
      <c r="F126" s="7">
        <f>ROUNDUP(E121/E126,0)</f>
        <v>15</v>
      </c>
      <c r="H126" s="7"/>
      <c r="I126" s="7"/>
      <c r="J126" s="7"/>
      <c r="K126" s="7"/>
      <c r="L126" s="7"/>
      <c r="M126" s="7"/>
      <c r="N126" s="7"/>
      <c r="O126" s="7">
        <f>(2*((G121-(2*'[2]Beam '!$D$11))+(F121-(2*'[2]Beam '!$D$11)))+(2*10*D126/1000))*D121</f>
        <v>2.9600000000000004</v>
      </c>
      <c r="P126" s="7">
        <f t="shared" si="27"/>
        <v>44.400000000000006</v>
      </c>
      <c r="Q126" s="7">
        <f>IF($D126='[2]Beam '!Q$44,$P126*'[2]Beam '!Q$45,0)</f>
        <v>0</v>
      </c>
      <c r="R126" s="7">
        <f>IF($D126='[2]Beam '!R$44,$P126*'[2]Beam '!R$45,0)</f>
        <v>27.385285714285718</v>
      </c>
      <c r="S126" s="7">
        <f>IF($D126='[2]Beam '!S$44,$P126*'[2]Beam '!S$45,0)</f>
        <v>0</v>
      </c>
      <c r="T126" s="7">
        <f>IF($D126='[2]Beam '!T$44,$P126*'[2]Beam '!T$45,0)</f>
        <v>0</v>
      </c>
      <c r="U126" s="7">
        <f>IF($D126='[2]Beam '!U$44,$P126*'[2]Beam '!U$45,0)</f>
        <v>0</v>
      </c>
      <c r="V126" s="7">
        <f>IF($D126='[2]Beam '!V$44,$P126*'[2]Beam '!V$45,0)</f>
        <v>0</v>
      </c>
      <c r="W126" s="7">
        <f>IF($D126='[2]Beam '!W$44,$P126*'[2]Beam '!W$45,0)</f>
        <v>0</v>
      </c>
      <c r="X126" s="7">
        <f t="shared" si="28"/>
        <v>27.385285714285718</v>
      </c>
      <c r="Y126" s="7"/>
      <c r="Z126" s="7"/>
      <c r="AA126" s="7"/>
      <c r="AB126" s="7"/>
      <c r="AC126" s="7"/>
      <c r="AD126" s="7"/>
      <c r="AE126" s="7"/>
      <c r="AF126" s="7"/>
    </row>
    <row r="127" spans="1:32" s="9" customFormat="1" ht="20.100000000000001" customHeight="1" x14ac:dyDescent="0.25">
      <c r="A127" s="6"/>
      <c r="B127" s="10" t="s">
        <v>2</v>
      </c>
      <c r="C127" s="13" t="s">
        <v>11</v>
      </c>
      <c r="D127" s="7">
        <f>+'[2]Beam '!$D$15</f>
        <v>25</v>
      </c>
      <c r="E127" s="7">
        <f>+'[2]Beam '!$E$15</f>
        <v>1</v>
      </c>
      <c r="F127" s="7">
        <f>ROUNDUP((+E121)/E127,0)</f>
        <v>2</v>
      </c>
      <c r="G127" s="8"/>
      <c r="H127" s="8"/>
      <c r="I127" s="7"/>
      <c r="J127" s="7"/>
      <c r="K127" s="7"/>
      <c r="L127" s="7"/>
      <c r="M127" s="7"/>
      <c r="N127" s="7"/>
      <c r="O127" s="7">
        <f>F121-'[2]Beam '!$F$15</f>
        <v>0.34</v>
      </c>
      <c r="P127" s="7">
        <f t="shared" si="27"/>
        <v>0.68</v>
      </c>
      <c r="Q127" s="7">
        <f>IF($D127='[2]Beam '!Q$44,$P127*'[2]Beam '!Q$45,0)</f>
        <v>0</v>
      </c>
      <c r="R127" s="7">
        <f>IF($D127='[2]Beam '!R$44,$P127*'[2]Beam '!R$45,0)</f>
        <v>0</v>
      </c>
      <c r="S127" s="7">
        <f>IF($D127='[2]Beam '!S$44,$P127*'[2]Beam '!S$45,0)</f>
        <v>0</v>
      </c>
      <c r="T127" s="7">
        <f>IF($D127='[2]Beam '!T$44,$P127*'[2]Beam '!T$45,0)</f>
        <v>0</v>
      </c>
      <c r="U127" s="7">
        <f>IF($D127='[2]Beam '!U$44,$P127*'[2]Beam '!U$45,0)</f>
        <v>0</v>
      </c>
      <c r="V127" s="7">
        <f>IF($D127='[2]Beam '!V$44,$P127*'[2]Beam '!V$45,0)</f>
        <v>2.6213392857142863</v>
      </c>
      <c r="W127" s="7">
        <f>IF($D127='[2]Beam '!W$44,$P127*'[2]Beam '!W$45,0)</f>
        <v>0</v>
      </c>
      <c r="X127" s="7">
        <f t="shared" si="28"/>
        <v>2.6213392857142863</v>
      </c>
      <c r="Y127" s="7"/>
      <c r="Z127" s="7"/>
      <c r="AA127" s="7"/>
      <c r="AB127" s="7"/>
      <c r="AC127" s="7"/>
      <c r="AD127" s="7"/>
      <c r="AE127" s="7"/>
    </row>
    <row r="128" spans="1:32" s="9" customFormat="1" ht="20.100000000000001" customHeight="1" x14ac:dyDescent="0.25">
      <c r="A128" s="7">
        <v>1</v>
      </c>
      <c r="B128" s="10" t="s">
        <v>2</v>
      </c>
      <c r="C128" s="11" t="s">
        <v>29</v>
      </c>
      <c r="D128" s="11">
        <v>1</v>
      </c>
      <c r="E128" s="11">
        <v>1.25</v>
      </c>
      <c r="F128" s="11">
        <v>0.2</v>
      </c>
      <c r="G128" s="11">
        <v>1.05</v>
      </c>
      <c r="H128" s="7">
        <f>G128-0.2</f>
        <v>0.85000000000000009</v>
      </c>
      <c r="I128" s="7">
        <f>E128*F128*G128*D128</f>
        <v>0.26250000000000001</v>
      </c>
      <c r="J128" s="7">
        <f>(2*(E128)*H128*D128)+(E128*F128)</f>
        <v>2.375</v>
      </c>
      <c r="K128" s="12">
        <f>IF(E128=0.3,J128,0)</f>
        <v>0</v>
      </c>
      <c r="L128" s="12">
        <f>IF(AND(E128&gt;0.3,E128&lt;=0.75),J128,0)</f>
        <v>0</v>
      </c>
      <c r="M128" s="12">
        <f>IF(AND(E128&gt;0.75,E128&lt;=1.2),J128,0)</f>
        <v>0</v>
      </c>
      <c r="N128" s="12">
        <f>IF(E128&gt;1.2,J128,0)</f>
        <v>2.375</v>
      </c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>
        <f>SUM(X129:X132)/I128</f>
        <v>282.78156462585036</v>
      </c>
      <c r="Z128" s="7"/>
      <c r="AA128" s="7"/>
      <c r="AB128" s="7"/>
      <c r="AC128" s="7"/>
      <c r="AD128" s="7"/>
      <c r="AE128" s="7"/>
    </row>
    <row r="129" spans="1:32" s="9" customFormat="1" ht="20.100000000000001" customHeight="1" x14ac:dyDescent="0.25">
      <c r="A129" s="6"/>
      <c r="B129" s="10" t="s">
        <v>2</v>
      </c>
      <c r="C129" s="13" t="s">
        <v>4</v>
      </c>
      <c r="D129" s="7">
        <v>25</v>
      </c>
      <c r="E129" s="7"/>
      <c r="F129" s="7">
        <v>2</v>
      </c>
      <c r="G129" s="8">
        <f>VLOOKUP(D129,'[2]Beam '!$C$20:$H$26,3,0)</f>
        <v>1</v>
      </c>
      <c r="H129" s="8"/>
      <c r="I129" s="7"/>
      <c r="J129" s="7"/>
      <c r="K129" s="7"/>
      <c r="L129" s="7"/>
      <c r="M129" s="7"/>
      <c r="N129" s="7"/>
      <c r="O129" s="7">
        <f>(E128+1*(G129+(12*D129/1000)))+1*(0.4/2)*D128</f>
        <v>2.75</v>
      </c>
      <c r="P129" s="7">
        <f>O129*F129</f>
        <v>5.5</v>
      </c>
      <c r="Q129" s="7">
        <f>IF($D129='[2]Beam '!Q$44,$P129*'[2]Beam '!Q$45,0)</f>
        <v>0</v>
      </c>
      <c r="R129" s="7">
        <f>IF($D129='[2]Beam '!R$44,$P129*'[2]Beam '!R$45,0)</f>
        <v>0</v>
      </c>
      <c r="S129" s="7">
        <f>IF($D129='[2]Beam '!S$44,$P129*'[2]Beam '!S$45,0)</f>
        <v>0</v>
      </c>
      <c r="T129" s="7">
        <f>IF($D129='[2]Beam '!T$44,$P129*'[2]Beam '!T$45,0)</f>
        <v>0</v>
      </c>
      <c r="U129" s="7">
        <f>IF($D129='[2]Beam '!U$44,$P129*'[2]Beam '!U$45,0)</f>
        <v>0</v>
      </c>
      <c r="V129" s="7">
        <f>IF($D129='[2]Beam '!V$44,$P129*'[2]Beam '!V$45,0)</f>
        <v>21.202008928571431</v>
      </c>
      <c r="W129" s="7">
        <f>IF($D129='[2]Beam '!W$44,$P129*'[2]Beam '!W$45,0)</f>
        <v>0</v>
      </c>
      <c r="X129" s="7">
        <f>SUM(Q129:W129)</f>
        <v>21.202008928571431</v>
      </c>
      <c r="Y129" s="7"/>
      <c r="Z129" s="7"/>
      <c r="AA129" s="7"/>
      <c r="AB129" s="7"/>
      <c r="AC129" s="7"/>
      <c r="AD129" s="7"/>
      <c r="AE129" s="7"/>
    </row>
    <row r="130" spans="1:32" s="9" customFormat="1" ht="20.100000000000001" customHeight="1" x14ac:dyDescent="0.25">
      <c r="A130" s="6"/>
      <c r="B130" s="10" t="s">
        <v>2</v>
      </c>
      <c r="C130" s="13" t="s">
        <v>5</v>
      </c>
      <c r="D130" s="7">
        <v>20</v>
      </c>
      <c r="E130" s="7"/>
      <c r="F130" s="7">
        <v>2</v>
      </c>
      <c r="G130" s="8">
        <f>VLOOKUP(D130,'[2]Beam '!$C$20:$H$26,3,0)</f>
        <v>0.8</v>
      </c>
      <c r="H130" s="8"/>
      <c r="I130" s="7"/>
      <c r="J130" s="7"/>
      <c r="K130" s="7"/>
      <c r="L130" s="7"/>
      <c r="M130" s="7"/>
      <c r="N130" s="7"/>
      <c r="O130" s="7">
        <f>(0.4+1*(0.4/2))*D128</f>
        <v>0.60000000000000009</v>
      </c>
      <c r="P130" s="7">
        <f>O130*F130</f>
        <v>1.2000000000000002</v>
      </c>
      <c r="Q130" s="7">
        <f>IF($D130='[2]Beam '!Q$44,$P130*'[2]Beam '!Q$45,0)</f>
        <v>0</v>
      </c>
      <c r="R130" s="7">
        <f>IF($D130='[2]Beam '!R$44,$P130*'[2]Beam '!R$45,0)</f>
        <v>0</v>
      </c>
      <c r="S130" s="7">
        <f>IF($D130='[2]Beam '!S$44,$P130*'[2]Beam '!S$45,0)</f>
        <v>0</v>
      </c>
      <c r="T130" s="7">
        <f>IF($D130='[2]Beam '!T$44,$P130*'[2]Beam '!T$45,0)</f>
        <v>0</v>
      </c>
      <c r="U130" s="7">
        <f>IF($D130='[2]Beam '!U$44,$P130*'[2]Beam '!U$45,0)</f>
        <v>2.9605714285714289</v>
      </c>
      <c r="V130" s="7">
        <f>IF($D130='[2]Beam '!V$44,$P130*'[2]Beam '!V$45,0)</f>
        <v>0</v>
      </c>
      <c r="W130" s="7">
        <f>IF($D130='[2]Beam '!W$44,$P130*'[2]Beam '!W$45,0)</f>
        <v>0</v>
      </c>
      <c r="X130" s="7">
        <f>SUM(Q130:W130)</f>
        <v>2.9605714285714289</v>
      </c>
      <c r="Y130" s="7"/>
      <c r="Z130" s="7"/>
      <c r="AA130" s="7"/>
      <c r="AB130" s="7"/>
      <c r="AC130" s="7"/>
      <c r="AD130" s="7"/>
      <c r="AE130" s="7"/>
    </row>
    <row r="131" spans="1:32" s="9" customFormat="1" ht="20.100000000000001" customHeight="1" x14ac:dyDescent="0.25">
      <c r="A131" s="6"/>
      <c r="B131" s="10" t="s">
        <v>2</v>
      </c>
      <c r="C131" s="13" t="s">
        <v>6</v>
      </c>
      <c r="D131" s="7">
        <v>25</v>
      </c>
      <c r="E131" s="7"/>
      <c r="F131" s="7">
        <v>2</v>
      </c>
      <c r="G131" s="8">
        <f>VLOOKUP(D131,'[2]Beam '!$C$20:$H$26,3,0)</f>
        <v>1</v>
      </c>
      <c r="H131" s="7"/>
      <c r="I131" s="7"/>
      <c r="J131" s="7"/>
      <c r="K131" s="7"/>
      <c r="L131" s="7"/>
      <c r="M131" s="7"/>
      <c r="N131" s="7"/>
      <c r="O131" s="7">
        <f>(E128+1*(G131+(12*D131/1000)))+1*(0.4/2)*D128</f>
        <v>2.75</v>
      </c>
      <c r="P131" s="7">
        <f>O131*F131</f>
        <v>5.5</v>
      </c>
      <c r="Q131" s="7">
        <f>IF($D131='[2]Beam '!Q$44,$P131*'[2]Beam '!Q$45,0)</f>
        <v>0</v>
      </c>
      <c r="R131" s="7">
        <f>IF($D131='[2]Beam '!R$44,$P131*'[2]Beam '!R$45,0)</f>
        <v>0</v>
      </c>
      <c r="S131" s="7">
        <f>IF($D131='[2]Beam '!S$44,$P131*'[2]Beam '!S$45,0)</f>
        <v>0</v>
      </c>
      <c r="T131" s="7">
        <f>IF($D131='[2]Beam '!T$44,$P131*'[2]Beam '!T$45,0)</f>
        <v>0</v>
      </c>
      <c r="U131" s="7">
        <f>IF($D131='[2]Beam '!U$44,$P131*'[2]Beam '!U$45,0)</f>
        <v>0</v>
      </c>
      <c r="V131" s="7">
        <f>IF($D131='[2]Beam '!V$44,$P131*'[2]Beam '!V$45,0)</f>
        <v>21.202008928571431</v>
      </c>
      <c r="W131" s="7">
        <f>IF($D131='[2]Beam '!W$44,$P131*'[2]Beam '!W$45,0)</f>
        <v>0</v>
      </c>
      <c r="X131" s="7">
        <f>SUM(Q131:W131)</f>
        <v>21.202008928571431</v>
      </c>
      <c r="Y131" s="7"/>
      <c r="Z131" s="7"/>
      <c r="AA131" s="7"/>
      <c r="AB131" s="7"/>
      <c r="AC131" s="7"/>
      <c r="AD131" s="7"/>
      <c r="AE131" s="7"/>
    </row>
    <row r="132" spans="1:32" s="9" customFormat="1" ht="21" customHeight="1" x14ac:dyDescent="0.25">
      <c r="A132" s="6"/>
      <c r="B132" s="10" t="s">
        <v>2</v>
      </c>
      <c r="C132" s="13" t="s">
        <v>26</v>
      </c>
      <c r="D132" s="7">
        <v>12</v>
      </c>
      <c r="E132" s="7">
        <v>0.1</v>
      </c>
      <c r="F132" s="7">
        <f>ROUNDUP(E128/E132,0)</f>
        <v>13</v>
      </c>
      <c r="H132" s="7"/>
      <c r="I132" s="7"/>
      <c r="J132" s="7"/>
      <c r="K132" s="7"/>
      <c r="L132" s="7"/>
      <c r="M132" s="7"/>
      <c r="N132" s="7"/>
      <c r="O132" s="7">
        <f>(2*((G128-(2*'[2]Beam '!$D$11))+(F128-(2*'[2]Beam '!$D$11)))+(2*10*D132/1000))*D128</f>
        <v>2.5</v>
      </c>
      <c r="P132" s="7">
        <f>O132*F132</f>
        <v>32.5</v>
      </c>
      <c r="Q132" s="7">
        <f>IF($D132='[2]Beam '!Q$44,$P132*'[2]Beam '!Q$45,0)</f>
        <v>0</v>
      </c>
      <c r="R132" s="7">
        <f>IF($D132='[2]Beam '!R$44,$P132*'[2]Beam '!R$45,0)</f>
        <v>0</v>
      </c>
      <c r="S132" s="7">
        <f>IF($D132='[2]Beam '!S$44,$P132*'[2]Beam '!S$45,0)</f>
        <v>28.865571428571432</v>
      </c>
      <c r="T132" s="7">
        <f>IF($D132='[2]Beam '!T$44,$P132*'[2]Beam '!T$45,0)</f>
        <v>0</v>
      </c>
      <c r="U132" s="7">
        <f>IF($D132='[2]Beam '!U$44,$P132*'[2]Beam '!U$45,0)</f>
        <v>0</v>
      </c>
      <c r="V132" s="7">
        <f>IF($D132='[2]Beam '!V$44,$P132*'[2]Beam '!V$45,0)</f>
        <v>0</v>
      </c>
      <c r="W132" s="7">
        <f>IF($D132='[2]Beam '!W$44,$P132*'[2]Beam '!W$45,0)</f>
        <v>0</v>
      </c>
      <c r="X132" s="7">
        <f>SUM(Q132:W132)</f>
        <v>28.865571428571432</v>
      </c>
      <c r="Y132" s="7"/>
      <c r="Z132" s="7"/>
      <c r="AA132" s="7"/>
      <c r="AB132" s="7"/>
      <c r="AC132" s="7"/>
      <c r="AD132" s="7"/>
      <c r="AE132" s="7"/>
      <c r="AF132" s="7"/>
    </row>
    <row r="133" spans="1:32" s="9" customFormat="1" ht="20.100000000000001" customHeight="1" x14ac:dyDescent="0.25">
      <c r="A133" s="6"/>
      <c r="B133" s="10" t="s">
        <v>2</v>
      </c>
      <c r="C133" s="13" t="s">
        <v>11</v>
      </c>
      <c r="D133" s="7">
        <f>+'[2]Beam '!$D$15</f>
        <v>25</v>
      </c>
      <c r="E133" s="7">
        <f>+'[2]Beam '!$E$15</f>
        <v>1</v>
      </c>
      <c r="F133" s="7">
        <f>ROUNDUP((0.4+E128)/E133,0)</f>
        <v>2</v>
      </c>
      <c r="G133" s="8"/>
      <c r="H133" s="8"/>
      <c r="I133" s="7"/>
      <c r="J133" s="7"/>
      <c r="K133" s="7"/>
      <c r="L133" s="7"/>
      <c r="M133" s="7"/>
      <c r="N133" s="7"/>
      <c r="O133" s="7">
        <f>F128-'[2]Beam '!$F$15</f>
        <v>0.14000000000000001</v>
      </c>
      <c r="P133" s="7">
        <f>O133*F133</f>
        <v>0.28000000000000003</v>
      </c>
      <c r="Q133" s="7">
        <f>IF($D133='[2]Beam '!Q$44,$P133*'[2]Beam '!Q$45,0)</f>
        <v>0</v>
      </c>
      <c r="R133" s="7">
        <f>IF($D133='[2]Beam '!R$44,$P133*'[2]Beam '!R$45,0)</f>
        <v>0</v>
      </c>
      <c r="S133" s="7">
        <f>IF($D133='[2]Beam '!S$44,$P133*'[2]Beam '!S$45,0)</f>
        <v>0</v>
      </c>
      <c r="T133" s="7">
        <f>IF($D133='[2]Beam '!T$44,$P133*'[2]Beam '!T$45,0)</f>
        <v>0</v>
      </c>
      <c r="U133" s="7">
        <f>IF($D133='[2]Beam '!U$44,$P133*'[2]Beam '!U$45,0)</f>
        <v>0</v>
      </c>
      <c r="V133" s="7">
        <f>IF($D133='[2]Beam '!V$44,$P133*'[2]Beam '!V$45,0)</f>
        <v>1.0793750000000002</v>
      </c>
      <c r="W133" s="7">
        <f>IF($D133='[2]Beam '!W$44,$P133*'[2]Beam '!W$45,0)</f>
        <v>0</v>
      </c>
      <c r="X133" s="7">
        <f>SUM(Q133:W133)</f>
        <v>1.0793750000000002</v>
      </c>
      <c r="Y133" s="7"/>
      <c r="Z133" s="7"/>
      <c r="AA133" s="7"/>
      <c r="AB133" s="7"/>
      <c r="AC133" s="7"/>
      <c r="AD133" s="7"/>
      <c r="AE133" s="7"/>
    </row>
    <row r="134" spans="1:32" s="9" customFormat="1" ht="20.100000000000001" customHeight="1" x14ac:dyDescent="0.25">
      <c r="A134" s="7">
        <v>1</v>
      </c>
      <c r="B134" s="10" t="s">
        <v>2</v>
      </c>
      <c r="C134" s="11" t="s">
        <v>30</v>
      </c>
      <c r="D134" s="11">
        <v>1</v>
      </c>
      <c r="E134" s="11">
        <v>3.05</v>
      </c>
      <c r="F134" s="11">
        <v>0.2</v>
      </c>
      <c r="G134" s="11">
        <v>1.1000000000000001</v>
      </c>
      <c r="H134" s="7">
        <f>G134-0.2</f>
        <v>0.90000000000000013</v>
      </c>
      <c r="I134" s="7">
        <f>E134*F134*G134*D134</f>
        <v>0.67100000000000004</v>
      </c>
      <c r="J134" s="7">
        <f>(2*(E134)*H134*D134)+(E134*F134)</f>
        <v>6.1000000000000005</v>
      </c>
      <c r="K134" s="12">
        <f>IF(E134=0.3,J134,0)</f>
        <v>0</v>
      </c>
      <c r="L134" s="12">
        <f>IF(AND(E134&gt;0.3,E134&lt;=0.75),J134,0)</f>
        <v>0</v>
      </c>
      <c r="M134" s="12">
        <f>IF(AND(E134&gt;0.75,E134&lt;=1.2),J134,0)</f>
        <v>0</v>
      </c>
      <c r="N134" s="12">
        <f>IF(E134&gt;1.2,J134,0)</f>
        <v>6.1000000000000005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>
        <f>SUM(X135:X139)/I134</f>
        <v>263.57156323185018</v>
      </c>
      <c r="Z134" s="7"/>
      <c r="AA134" s="7"/>
      <c r="AB134" s="7"/>
      <c r="AC134" s="7"/>
      <c r="AD134" s="7"/>
      <c r="AE134" s="7"/>
    </row>
    <row r="135" spans="1:32" s="9" customFormat="1" ht="20.100000000000001" customHeight="1" x14ac:dyDescent="0.25">
      <c r="A135" s="6"/>
      <c r="B135" s="10" t="s">
        <v>2</v>
      </c>
      <c r="C135" s="13" t="s">
        <v>4</v>
      </c>
      <c r="D135" s="7">
        <v>25</v>
      </c>
      <c r="E135" s="7"/>
      <c r="F135" s="7">
        <v>2</v>
      </c>
      <c r="G135" s="8">
        <f>VLOOKUP(D135,'[2]Beam '!$C$20:$H$26,3,0)</f>
        <v>1</v>
      </c>
      <c r="H135" s="8"/>
      <c r="I135" s="7"/>
      <c r="J135" s="7"/>
      <c r="K135" s="7"/>
      <c r="L135" s="7"/>
      <c r="M135" s="7"/>
      <c r="N135" s="7"/>
      <c r="O135" s="7">
        <f>(E134+1*(G135+(12*D135/1000)))+1*(0.4/2)*D134</f>
        <v>4.55</v>
      </c>
      <c r="P135" s="7">
        <f t="shared" ref="P135:P140" si="29">O135*F135</f>
        <v>9.1</v>
      </c>
      <c r="Q135" s="7">
        <f>IF($D135='[2]Beam '!Q$44,$P135*'[2]Beam '!Q$45,0)</f>
        <v>0</v>
      </c>
      <c r="R135" s="7">
        <f>IF($D135='[2]Beam '!R$44,$P135*'[2]Beam '!R$45,0)</f>
        <v>0</v>
      </c>
      <c r="S135" s="7">
        <f>IF($D135='[2]Beam '!S$44,$P135*'[2]Beam '!S$45,0)</f>
        <v>0</v>
      </c>
      <c r="T135" s="7">
        <f>IF($D135='[2]Beam '!T$44,$P135*'[2]Beam '!T$45,0)</f>
        <v>0</v>
      </c>
      <c r="U135" s="7">
        <f>IF($D135='[2]Beam '!U$44,$P135*'[2]Beam '!U$45,0)</f>
        <v>0</v>
      </c>
      <c r="V135" s="7">
        <f>IF($D135='[2]Beam '!V$44,$P135*'[2]Beam '!V$45,0)</f>
        <v>35.079687500000006</v>
      </c>
      <c r="W135" s="7">
        <f>IF($D135='[2]Beam '!W$44,$P135*'[2]Beam '!W$45,0)</f>
        <v>0</v>
      </c>
      <c r="X135" s="7">
        <f t="shared" ref="X135:X140" si="30">SUM(Q135:W135)</f>
        <v>35.079687500000006</v>
      </c>
      <c r="Y135" s="7"/>
      <c r="Z135" s="7"/>
      <c r="AA135" s="7"/>
      <c r="AB135" s="7"/>
      <c r="AC135" s="7"/>
      <c r="AD135" s="7"/>
      <c r="AE135" s="7"/>
    </row>
    <row r="136" spans="1:32" s="9" customFormat="1" ht="20.100000000000001" customHeight="1" x14ac:dyDescent="0.25">
      <c r="A136" s="6"/>
      <c r="B136" s="10" t="s">
        <v>2</v>
      </c>
      <c r="C136" s="13" t="s">
        <v>5</v>
      </c>
      <c r="D136" s="7">
        <v>20</v>
      </c>
      <c r="E136" s="7"/>
      <c r="F136" s="7">
        <v>2</v>
      </c>
      <c r="G136" s="8">
        <f>VLOOKUP(D136,'[2]Beam '!$C$20:$H$26,3,0)</f>
        <v>0.8</v>
      </c>
      <c r="H136" s="8"/>
      <c r="I136" s="7"/>
      <c r="J136" s="7"/>
      <c r="K136" s="7"/>
      <c r="L136" s="7"/>
      <c r="M136" s="7"/>
      <c r="N136" s="7"/>
      <c r="O136" s="7">
        <f>(0.9+1*(0.4/2))*D134</f>
        <v>1.1000000000000001</v>
      </c>
      <c r="P136" s="7">
        <f t="shared" si="29"/>
        <v>2.2000000000000002</v>
      </c>
      <c r="Q136" s="7">
        <f>IF($D136='[2]Beam '!Q$44,$P136*'[2]Beam '!Q$45,0)</f>
        <v>0</v>
      </c>
      <c r="R136" s="7">
        <f>IF($D136='[2]Beam '!R$44,$P136*'[2]Beam '!R$45,0)</f>
        <v>0</v>
      </c>
      <c r="S136" s="7">
        <f>IF($D136='[2]Beam '!S$44,$P136*'[2]Beam '!S$45,0)</f>
        <v>0</v>
      </c>
      <c r="T136" s="7">
        <f>IF($D136='[2]Beam '!T$44,$P136*'[2]Beam '!T$45,0)</f>
        <v>0</v>
      </c>
      <c r="U136" s="7">
        <f>IF($D136='[2]Beam '!U$44,$P136*'[2]Beam '!U$45,0)</f>
        <v>5.4277142857142859</v>
      </c>
      <c r="V136" s="7">
        <f>IF($D136='[2]Beam '!V$44,$P136*'[2]Beam '!V$45,0)</f>
        <v>0</v>
      </c>
      <c r="W136" s="7">
        <f>IF($D136='[2]Beam '!W$44,$P136*'[2]Beam '!W$45,0)</f>
        <v>0</v>
      </c>
      <c r="X136" s="7">
        <f t="shared" si="30"/>
        <v>5.4277142857142859</v>
      </c>
      <c r="Y136" s="7"/>
      <c r="Z136" s="7"/>
      <c r="AA136" s="7"/>
      <c r="AB136" s="7"/>
      <c r="AC136" s="7"/>
      <c r="AD136" s="7"/>
      <c r="AE136" s="7"/>
    </row>
    <row r="137" spans="1:32" s="9" customFormat="1" ht="20.100000000000001" customHeight="1" x14ac:dyDescent="0.25">
      <c r="A137" s="6"/>
      <c r="B137" s="10" t="s">
        <v>2</v>
      </c>
      <c r="C137" s="13" t="s">
        <v>6</v>
      </c>
      <c r="D137" s="7">
        <v>25</v>
      </c>
      <c r="E137" s="7"/>
      <c r="F137" s="7">
        <v>2</v>
      </c>
      <c r="G137" s="8">
        <f>VLOOKUP(D137,'[2]Beam '!$C$20:$H$26,3,0)</f>
        <v>1</v>
      </c>
      <c r="H137" s="7"/>
      <c r="I137" s="7"/>
      <c r="J137" s="7"/>
      <c r="K137" s="7"/>
      <c r="L137" s="7"/>
      <c r="M137" s="7"/>
      <c r="N137" s="7"/>
      <c r="O137" s="7">
        <f>(E134+1*(G137+(12*D137/1000)))+1*(0.4/2)*D134</f>
        <v>4.55</v>
      </c>
      <c r="P137" s="7">
        <f t="shared" si="29"/>
        <v>9.1</v>
      </c>
      <c r="Q137" s="7">
        <f>IF($D137='[2]Beam '!Q$44,$P137*'[2]Beam '!Q$45,0)</f>
        <v>0</v>
      </c>
      <c r="R137" s="7">
        <f>IF($D137='[2]Beam '!R$44,$P137*'[2]Beam '!R$45,0)</f>
        <v>0</v>
      </c>
      <c r="S137" s="7">
        <f>IF($D137='[2]Beam '!S$44,$P137*'[2]Beam '!S$45,0)</f>
        <v>0</v>
      </c>
      <c r="T137" s="7">
        <f>IF($D137='[2]Beam '!T$44,$P137*'[2]Beam '!T$45,0)</f>
        <v>0</v>
      </c>
      <c r="U137" s="7">
        <f>IF($D137='[2]Beam '!U$44,$P137*'[2]Beam '!U$45,0)</f>
        <v>0</v>
      </c>
      <c r="V137" s="7">
        <f>IF($D137='[2]Beam '!V$44,$P137*'[2]Beam '!V$45,0)</f>
        <v>35.079687500000006</v>
      </c>
      <c r="W137" s="7">
        <f>IF($D137='[2]Beam '!W$44,$P137*'[2]Beam '!W$45,0)</f>
        <v>0</v>
      </c>
      <c r="X137" s="7">
        <f t="shared" si="30"/>
        <v>35.079687500000006</v>
      </c>
      <c r="Y137" s="7"/>
      <c r="Z137" s="7"/>
      <c r="AA137" s="7"/>
      <c r="AB137" s="7"/>
      <c r="AC137" s="7"/>
      <c r="AD137" s="7"/>
      <c r="AE137" s="7"/>
    </row>
    <row r="138" spans="1:32" s="9" customFormat="1" ht="20.100000000000001" customHeight="1" x14ac:dyDescent="0.25">
      <c r="A138" s="6"/>
      <c r="B138" s="10" t="s">
        <v>2</v>
      </c>
      <c r="C138" s="13" t="s">
        <v>6</v>
      </c>
      <c r="D138" s="7">
        <v>25</v>
      </c>
      <c r="E138" s="7"/>
      <c r="F138" s="7">
        <v>2</v>
      </c>
      <c r="G138" s="8">
        <f>VLOOKUP(D138,'[2]Beam '!$C$20:$H$26,3,0)</f>
        <v>1</v>
      </c>
      <c r="H138" s="7"/>
      <c r="I138" s="7"/>
      <c r="J138" s="7"/>
      <c r="K138" s="7"/>
      <c r="L138" s="7"/>
      <c r="M138" s="7"/>
      <c r="N138" s="7"/>
      <c r="O138" s="7">
        <f>(E134-0.5+1*(G138+(12*D138/1000)))*D134</f>
        <v>3.8499999999999996</v>
      </c>
      <c r="P138" s="7">
        <f t="shared" si="29"/>
        <v>7.6999999999999993</v>
      </c>
      <c r="Q138" s="7">
        <f>IF($D138='[2]Beam '!Q$44,$P138*'[2]Beam '!Q$45,0)</f>
        <v>0</v>
      </c>
      <c r="R138" s="7">
        <f>IF($D138='[2]Beam '!R$44,$P138*'[2]Beam '!R$45,0)</f>
        <v>0</v>
      </c>
      <c r="S138" s="7">
        <f>IF($D138='[2]Beam '!S$44,$P138*'[2]Beam '!S$45,0)</f>
        <v>0</v>
      </c>
      <c r="T138" s="7">
        <f>IF($D138='[2]Beam '!T$44,$P138*'[2]Beam '!T$45,0)</f>
        <v>0</v>
      </c>
      <c r="U138" s="7">
        <f>IF($D138='[2]Beam '!U$44,$P138*'[2]Beam '!U$45,0)</f>
        <v>0</v>
      </c>
      <c r="V138" s="7">
        <f>IF($D138='[2]Beam '!V$44,$P138*'[2]Beam '!V$45,0)</f>
        <v>29.682812500000001</v>
      </c>
      <c r="W138" s="7">
        <f>IF($D138='[2]Beam '!W$44,$P138*'[2]Beam '!W$45,0)</f>
        <v>0</v>
      </c>
      <c r="X138" s="7">
        <f t="shared" si="30"/>
        <v>29.682812500000001</v>
      </c>
      <c r="Y138" s="7"/>
      <c r="Z138" s="7"/>
      <c r="AA138" s="7"/>
      <c r="AB138" s="7"/>
      <c r="AC138" s="7"/>
      <c r="AD138" s="7"/>
      <c r="AE138" s="7"/>
    </row>
    <row r="139" spans="1:32" s="9" customFormat="1" ht="21" customHeight="1" x14ac:dyDescent="0.25">
      <c r="A139" s="6"/>
      <c r="B139" s="10" t="s">
        <v>2</v>
      </c>
      <c r="C139" s="13" t="s">
        <v>26</v>
      </c>
      <c r="D139" s="7">
        <v>12</v>
      </c>
      <c r="E139" s="7">
        <v>0.1</v>
      </c>
      <c r="F139" s="7">
        <f>ROUNDUP(E134/E139,0)</f>
        <v>31</v>
      </c>
      <c r="H139" s="7"/>
      <c r="I139" s="7"/>
      <c r="J139" s="7"/>
      <c r="K139" s="7"/>
      <c r="L139" s="7"/>
      <c r="M139" s="7"/>
      <c r="N139" s="7"/>
      <c r="O139" s="7">
        <f>(2*((G134-(2*'[2]Beam '!$D$11))+(F134-(2*'[2]Beam '!$D$11)))+(2*10*D139/1000))*D134</f>
        <v>2.6000000000000005</v>
      </c>
      <c r="P139" s="7">
        <f t="shared" si="29"/>
        <v>80.600000000000023</v>
      </c>
      <c r="Q139" s="7">
        <f>IF($D139='[2]Beam '!Q$44,$P139*'[2]Beam '!Q$45,0)</f>
        <v>0</v>
      </c>
      <c r="R139" s="7">
        <f>IF($D139='[2]Beam '!R$44,$P139*'[2]Beam '!R$45,0)</f>
        <v>0</v>
      </c>
      <c r="S139" s="7">
        <f>IF($D139='[2]Beam '!S$44,$P139*'[2]Beam '!S$45,0)</f>
        <v>71.586617142857179</v>
      </c>
      <c r="T139" s="7">
        <f>IF($D139='[2]Beam '!T$44,$P139*'[2]Beam '!T$45,0)</f>
        <v>0</v>
      </c>
      <c r="U139" s="7">
        <f>IF($D139='[2]Beam '!U$44,$P139*'[2]Beam '!U$45,0)</f>
        <v>0</v>
      </c>
      <c r="V139" s="7">
        <f>IF($D139='[2]Beam '!V$44,$P139*'[2]Beam '!V$45,0)</f>
        <v>0</v>
      </c>
      <c r="W139" s="7">
        <f>IF($D139='[2]Beam '!W$44,$P139*'[2]Beam '!W$45,0)</f>
        <v>0</v>
      </c>
      <c r="X139" s="7">
        <f t="shared" si="30"/>
        <v>71.586617142857179</v>
      </c>
      <c r="Y139" s="7"/>
      <c r="Z139" s="7"/>
      <c r="AA139" s="7"/>
      <c r="AB139" s="7"/>
      <c r="AC139" s="7"/>
      <c r="AD139" s="7"/>
      <c r="AE139" s="7"/>
      <c r="AF139" s="7"/>
    </row>
    <row r="140" spans="1:32" s="9" customFormat="1" ht="20.100000000000001" customHeight="1" x14ac:dyDescent="0.25">
      <c r="A140" s="6"/>
      <c r="B140" s="10" t="s">
        <v>2</v>
      </c>
      <c r="C140" s="13" t="s">
        <v>11</v>
      </c>
      <c r="D140" s="7">
        <f>+'[2]Beam '!$D$15</f>
        <v>25</v>
      </c>
      <c r="E140" s="7">
        <f>+'[2]Beam '!$E$15</f>
        <v>1</v>
      </c>
      <c r="F140" s="7">
        <f>ROUNDUP((0.9+E134)/E140,0)</f>
        <v>4</v>
      </c>
      <c r="G140" s="8"/>
      <c r="H140" s="8"/>
      <c r="I140" s="7"/>
      <c r="J140" s="7"/>
      <c r="K140" s="7"/>
      <c r="L140" s="7"/>
      <c r="M140" s="7"/>
      <c r="N140" s="7"/>
      <c r="O140" s="7">
        <f>F134-'[2]Beam '!$F$15</f>
        <v>0.14000000000000001</v>
      </c>
      <c r="P140" s="7">
        <f t="shared" si="29"/>
        <v>0.56000000000000005</v>
      </c>
      <c r="Q140" s="7">
        <f>IF($D140='[2]Beam '!Q$44,$P140*'[2]Beam '!Q$45,0)</f>
        <v>0</v>
      </c>
      <c r="R140" s="7">
        <f>IF($D140='[2]Beam '!R$44,$P140*'[2]Beam '!R$45,0)</f>
        <v>0</v>
      </c>
      <c r="S140" s="7">
        <f>IF($D140='[2]Beam '!S$44,$P140*'[2]Beam '!S$45,0)</f>
        <v>0</v>
      </c>
      <c r="T140" s="7">
        <f>IF($D140='[2]Beam '!T$44,$P140*'[2]Beam '!T$45,0)</f>
        <v>0</v>
      </c>
      <c r="U140" s="7">
        <f>IF($D140='[2]Beam '!U$44,$P140*'[2]Beam '!U$45,0)</f>
        <v>0</v>
      </c>
      <c r="V140" s="7">
        <f>IF($D140='[2]Beam '!V$44,$P140*'[2]Beam '!V$45,0)</f>
        <v>2.1587500000000004</v>
      </c>
      <c r="W140" s="7">
        <f>IF($D140='[2]Beam '!W$44,$P140*'[2]Beam '!W$45,0)</f>
        <v>0</v>
      </c>
      <c r="X140" s="7">
        <f t="shared" si="30"/>
        <v>2.1587500000000004</v>
      </c>
      <c r="Y140" s="7"/>
      <c r="Z140" s="7"/>
      <c r="AA140" s="7"/>
      <c r="AB140" s="7"/>
      <c r="AC140" s="7"/>
      <c r="AD140" s="7"/>
      <c r="AE140" s="7"/>
    </row>
    <row r="141" spans="1:32" s="9" customFormat="1" ht="20.100000000000001" customHeight="1" x14ac:dyDescent="0.25">
      <c r="A141" s="7">
        <v>1</v>
      </c>
      <c r="B141" s="10" t="s">
        <v>2</v>
      </c>
      <c r="C141" s="11" t="s">
        <v>31</v>
      </c>
      <c r="D141" s="11">
        <v>1</v>
      </c>
      <c r="E141" s="11">
        <v>2.85</v>
      </c>
      <c r="F141" s="11">
        <v>0.3</v>
      </c>
      <c r="G141" s="11">
        <v>1.1000000000000001</v>
      </c>
      <c r="H141" s="7">
        <f>G141-0.2</f>
        <v>0.90000000000000013</v>
      </c>
      <c r="I141" s="7">
        <f>E141*F141*G141*D141</f>
        <v>0.9405</v>
      </c>
      <c r="J141" s="7">
        <f>(2*(E141)*H141*D141)+(E141*F141)</f>
        <v>5.9850000000000012</v>
      </c>
      <c r="K141" s="12">
        <f>IF(E141=0.3,J141,0)</f>
        <v>0</v>
      </c>
      <c r="L141" s="12">
        <f>IF(AND(E141&gt;0.3,E141&lt;=0.75),J141,0)</f>
        <v>0</v>
      </c>
      <c r="M141" s="12">
        <f>IF(AND(E141&gt;0.75,E141&lt;=1.2),J141,0)</f>
        <v>0</v>
      </c>
      <c r="N141" s="12">
        <f>IF(E141&gt;1.2,J141,0)</f>
        <v>5.9850000000000012</v>
      </c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>
        <f>SUM(X142:X145)/I141</f>
        <v>220.36596073517129</v>
      </c>
      <c r="Z141" s="7"/>
      <c r="AA141" s="7"/>
      <c r="AB141" s="7"/>
      <c r="AC141" s="7"/>
      <c r="AD141" s="7"/>
      <c r="AE141" s="7"/>
    </row>
    <row r="142" spans="1:32" s="9" customFormat="1" ht="20.100000000000001" customHeight="1" x14ac:dyDescent="0.25">
      <c r="A142" s="6"/>
      <c r="B142" s="10" t="s">
        <v>2</v>
      </c>
      <c r="C142" s="13" t="s">
        <v>4</v>
      </c>
      <c r="D142" s="7">
        <v>25</v>
      </c>
      <c r="E142" s="7"/>
      <c r="F142" s="7">
        <v>3</v>
      </c>
      <c r="G142" s="8">
        <f>VLOOKUP(D142,'[2]Beam '!$C$20:$H$26,3,0)</f>
        <v>1</v>
      </c>
      <c r="H142" s="8"/>
      <c r="I142" s="7"/>
      <c r="J142" s="7"/>
      <c r="K142" s="7"/>
      <c r="L142" s="7"/>
      <c r="M142" s="7"/>
      <c r="N142" s="7"/>
      <c r="O142" s="7">
        <f>(E141+2*(G142+(12*D142/1000)))*D141</f>
        <v>5.45</v>
      </c>
      <c r="P142" s="7">
        <f>O142*F142</f>
        <v>16.350000000000001</v>
      </c>
      <c r="Q142" s="7">
        <f>IF($D142='[2]Beam '!Q$44,$P142*'[2]Beam '!Q$45,0)</f>
        <v>0</v>
      </c>
      <c r="R142" s="7">
        <f>IF($D142='[2]Beam '!R$44,$P142*'[2]Beam '!R$45,0)</f>
        <v>0</v>
      </c>
      <c r="S142" s="7">
        <f>IF($D142='[2]Beam '!S$44,$P142*'[2]Beam '!S$45,0)</f>
        <v>0</v>
      </c>
      <c r="T142" s="7">
        <f>IF($D142='[2]Beam '!T$44,$P142*'[2]Beam '!T$45,0)</f>
        <v>0</v>
      </c>
      <c r="U142" s="7">
        <f>IF($D142='[2]Beam '!U$44,$P142*'[2]Beam '!U$45,0)</f>
        <v>0</v>
      </c>
      <c r="V142" s="7">
        <f>IF($D142='[2]Beam '!V$44,$P142*'[2]Beam '!V$45,0)</f>
        <v>63.027790178571443</v>
      </c>
      <c r="W142" s="7">
        <f>IF($D142='[2]Beam '!W$44,$P142*'[2]Beam '!W$45,0)</f>
        <v>0</v>
      </c>
      <c r="X142" s="7">
        <f>SUM(Q142:W142)</f>
        <v>63.027790178571443</v>
      </c>
      <c r="Y142" s="7"/>
      <c r="Z142" s="7"/>
      <c r="AA142" s="7"/>
      <c r="AB142" s="7"/>
      <c r="AC142" s="7"/>
      <c r="AD142" s="7"/>
      <c r="AE142" s="7"/>
    </row>
    <row r="143" spans="1:32" s="9" customFormat="1" ht="20.100000000000001" customHeight="1" x14ac:dyDescent="0.25">
      <c r="A143" s="6"/>
      <c r="B143" s="10" t="s">
        <v>2</v>
      </c>
      <c r="C143" s="13" t="s">
        <v>5</v>
      </c>
      <c r="D143" s="7">
        <v>20</v>
      </c>
      <c r="E143" s="7"/>
      <c r="F143" s="7">
        <v>2</v>
      </c>
      <c r="G143" s="8">
        <f>VLOOKUP(D143,'[2]Beam '!$C$20:$H$26,3,0)</f>
        <v>0.8</v>
      </c>
      <c r="H143" s="8"/>
      <c r="I143" s="7"/>
      <c r="J143" s="7"/>
      <c r="K143" s="7"/>
      <c r="L143" s="7"/>
      <c r="M143" s="7"/>
      <c r="N143" s="7"/>
      <c r="O143" s="7">
        <f>(0.8+1*(G143+(12*D143/1000)))*D141</f>
        <v>1.84</v>
      </c>
      <c r="P143" s="7">
        <f>O143*F143</f>
        <v>3.68</v>
      </c>
      <c r="Q143" s="7">
        <f>IF($D143='[2]Beam '!Q$44,$P143*'[2]Beam '!Q$45,0)</f>
        <v>0</v>
      </c>
      <c r="R143" s="7">
        <f>IF($D143='[2]Beam '!R$44,$P143*'[2]Beam '!R$45,0)</f>
        <v>0</v>
      </c>
      <c r="S143" s="7">
        <f>IF($D143='[2]Beam '!S$44,$P143*'[2]Beam '!S$45,0)</f>
        <v>0</v>
      </c>
      <c r="T143" s="7">
        <f>IF($D143='[2]Beam '!T$44,$P143*'[2]Beam '!T$45,0)</f>
        <v>0</v>
      </c>
      <c r="U143" s="7">
        <f>IF($D143='[2]Beam '!U$44,$P143*'[2]Beam '!U$45,0)</f>
        <v>9.0790857142857142</v>
      </c>
      <c r="V143" s="7">
        <f>IF($D143='[2]Beam '!V$44,$P143*'[2]Beam '!V$45,0)</f>
        <v>0</v>
      </c>
      <c r="W143" s="7">
        <f>IF($D143='[2]Beam '!W$44,$P143*'[2]Beam '!W$45,0)</f>
        <v>0</v>
      </c>
      <c r="X143" s="7">
        <f>SUM(Q143:W143)</f>
        <v>9.0790857142857142</v>
      </c>
      <c r="Y143" s="7"/>
      <c r="Z143" s="7"/>
      <c r="AA143" s="7"/>
      <c r="AB143" s="7"/>
      <c r="AC143" s="7"/>
      <c r="AD143" s="7"/>
      <c r="AE143" s="7"/>
    </row>
    <row r="144" spans="1:32" s="9" customFormat="1" ht="20.100000000000001" customHeight="1" x14ac:dyDescent="0.25">
      <c r="A144" s="6"/>
      <c r="B144" s="10" t="s">
        <v>2</v>
      </c>
      <c r="C144" s="13" t="s">
        <v>6</v>
      </c>
      <c r="D144" s="7">
        <v>25</v>
      </c>
      <c r="E144" s="7"/>
      <c r="F144" s="7">
        <v>3</v>
      </c>
      <c r="G144" s="8">
        <f>VLOOKUP(D144,'[2]Beam '!$C$20:$H$26,3,0)</f>
        <v>1</v>
      </c>
      <c r="H144" s="7"/>
      <c r="I144" s="7"/>
      <c r="J144" s="7"/>
      <c r="K144" s="7"/>
      <c r="L144" s="7"/>
      <c r="M144" s="7"/>
      <c r="N144" s="7"/>
      <c r="O144" s="7">
        <f>(E141+2*(G144+(12*D144/1000)))*D141</f>
        <v>5.45</v>
      </c>
      <c r="P144" s="7">
        <f>O144*F144</f>
        <v>16.350000000000001</v>
      </c>
      <c r="Q144" s="7">
        <f>IF($D144='[2]Beam '!Q$44,$P144*'[2]Beam '!Q$45,0)</f>
        <v>0</v>
      </c>
      <c r="R144" s="7">
        <f>IF($D144='[2]Beam '!R$44,$P144*'[2]Beam '!R$45,0)</f>
        <v>0</v>
      </c>
      <c r="S144" s="7">
        <f>IF($D144='[2]Beam '!S$44,$P144*'[2]Beam '!S$45,0)</f>
        <v>0</v>
      </c>
      <c r="T144" s="7">
        <f>IF($D144='[2]Beam '!T$44,$P144*'[2]Beam '!T$45,0)</f>
        <v>0</v>
      </c>
      <c r="U144" s="7">
        <f>IF($D144='[2]Beam '!U$44,$P144*'[2]Beam '!U$45,0)</f>
        <v>0</v>
      </c>
      <c r="V144" s="7">
        <f>IF($D144='[2]Beam '!V$44,$P144*'[2]Beam '!V$45,0)</f>
        <v>63.027790178571443</v>
      </c>
      <c r="W144" s="7">
        <f>IF($D144='[2]Beam '!W$44,$P144*'[2]Beam '!W$45,0)</f>
        <v>0</v>
      </c>
      <c r="X144" s="7">
        <f>SUM(Q144:W144)</f>
        <v>63.027790178571443</v>
      </c>
      <c r="Y144" s="7"/>
      <c r="Z144" s="7"/>
      <c r="AA144" s="7"/>
      <c r="AB144" s="7"/>
      <c r="AC144" s="7"/>
      <c r="AD144" s="7"/>
      <c r="AE144" s="7"/>
    </row>
    <row r="145" spans="1:32" s="9" customFormat="1" ht="21" customHeight="1" x14ac:dyDescent="0.25">
      <c r="A145" s="6"/>
      <c r="B145" s="10" t="s">
        <v>2</v>
      </c>
      <c r="C145" s="13" t="s">
        <v>26</v>
      </c>
      <c r="D145" s="7">
        <v>12</v>
      </c>
      <c r="E145" s="7">
        <v>0.1</v>
      </c>
      <c r="F145" s="7">
        <f>ROUNDUP(E141/E145,0)</f>
        <v>29</v>
      </c>
      <c r="H145" s="7"/>
      <c r="I145" s="7"/>
      <c r="J145" s="7"/>
      <c r="K145" s="7"/>
      <c r="L145" s="7"/>
      <c r="M145" s="7"/>
      <c r="N145" s="7"/>
      <c r="O145" s="7">
        <f>(2*((G141-(2*'[2]Beam '!$D$11))+(F141-(2*'[2]Beam '!$D$11)))+(2*10*D145/1000))*D141</f>
        <v>2.8</v>
      </c>
      <c r="P145" s="7">
        <f>O145*F145</f>
        <v>81.199999999999989</v>
      </c>
      <c r="Q145" s="7">
        <f>IF($D145='[2]Beam '!Q$44,$P145*'[2]Beam '!Q$45,0)</f>
        <v>0</v>
      </c>
      <c r="R145" s="7">
        <f>IF($D145='[2]Beam '!R$44,$P145*'[2]Beam '!R$45,0)</f>
        <v>0</v>
      </c>
      <c r="S145" s="7">
        <f>IF($D145='[2]Beam '!S$44,$P145*'[2]Beam '!S$45,0)</f>
        <v>72.119520000000009</v>
      </c>
      <c r="T145" s="7">
        <f>IF($D145='[2]Beam '!T$44,$P145*'[2]Beam '!T$45,0)</f>
        <v>0</v>
      </c>
      <c r="U145" s="7">
        <f>IF($D145='[2]Beam '!U$44,$P145*'[2]Beam '!U$45,0)</f>
        <v>0</v>
      </c>
      <c r="V145" s="7">
        <f>IF($D145='[2]Beam '!V$44,$P145*'[2]Beam '!V$45,0)</f>
        <v>0</v>
      </c>
      <c r="W145" s="7">
        <f>IF($D145='[2]Beam '!W$44,$P145*'[2]Beam '!W$45,0)</f>
        <v>0</v>
      </c>
      <c r="X145" s="7">
        <f>SUM(Q145:W145)</f>
        <v>72.119520000000009</v>
      </c>
      <c r="Y145" s="7"/>
      <c r="Z145" s="7"/>
      <c r="AA145" s="7"/>
      <c r="AB145" s="7"/>
      <c r="AC145" s="7"/>
      <c r="AD145" s="7"/>
      <c r="AE145" s="7"/>
      <c r="AF145" s="7"/>
    </row>
    <row r="146" spans="1:32" s="9" customFormat="1" ht="20.100000000000001" customHeight="1" x14ac:dyDescent="0.25">
      <c r="A146" s="6"/>
      <c r="B146" s="10" t="s">
        <v>2</v>
      </c>
      <c r="C146" s="13" t="s">
        <v>11</v>
      </c>
      <c r="D146" s="7">
        <f>+'[2]Beam '!$D$15</f>
        <v>25</v>
      </c>
      <c r="E146" s="7">
        <f>+'[2]Beam '!$E$15</f>
        <v>1</v>
      </c>
      <c r="F146" s="7">
        <f>ROUNDUP((0.8)/E146,0)</f>
        <v>1</v>
      </c>
      <c r="G146" s="8"/>
      <c r="H146" s="8"/>
      <c r="I146" s="7"/>
      <c r="J146" s="7"/>
      <c r="K146" s="7"/>
      <c r="L146" s="7"/>
      <c r="M146" s="7"/>
      <c r="N146" s="7"/>
      <c r="O146" s="7">
        <f>F141-'[2]Beam '!$F$15</f>
        <v>0.24</v>
      </c>
      <c r="P146" s="7">
        <f>O146*F146</f>
        <v>0.24</v>
      </c>
      <c r="Q146" s="7">
        <f>IF($D146='[2]Beam '!Q$44,$P146*'[2]Beam '!Q$45,0)</f>
        <v>0</v>
      </c>
      <c r="R146" s="7">
        <f>IF($D146='[2]Beam '!R$44,$P146*'[2]Beam '!R$45,0)</f>
        <v>0</v>
      </c>
      <c r="S146" s="7">
        <f>IF($D146='[2]Beam '!S$44,$P146*'[2]Beam '!S$45,0)</f>
        <v>0</v>
      </c>
      <c r="T146" s="7">
        <f>IF($D146='[2]Beam '!T$44,$P146*'[2]Beam '!T$45,0)</f>
        <v>0</v>
      </c>
      <c r="U146" s="7">
        <f>IF($D146='[2]Beam '!U$44,$P146*'[2]Beam '!U$45,0)</f>
        <v>0</v>
      </c>
      <c r="V146" s="7">
        <f>IF($D146='[2]Beam '!V$44,$P146*'[2]Beam '!V$45,0)</f>
        <v>0.92517857142857152</v>
      </c>
      <c r="W146" s="7">
        <f>IF($D146='[2]Beam '!W$44,$P146*'[2]Beam '!W$45,0)</f>
        <v>0</v>
      </c>
      <c r="X146" s="7">
        <f>SUM(Q146:W146)</f>
        <v>0.92517857142857152</v>
      </c>
      <c r="Y146" s="7"/>
      <c r="Z146" s="7"/>
      <c r="AA146" s="7"/>
      <c r="AB146" s="7"/>
      <c r="AC146" s="7"/>
      <c r="AD146" s="7"/>
      <c r="AE146" s="7"/>
    </row>
    <row r="147" spans="1:32" s="9" customFormat="1" ht="20.100000000000001" customHeight="1" x14ac:dyDescent="0.25">
      <c r="A147" s="7">
        <v>1</v>
      </c>
      <c r="B147" s="10" t="s">
        <v>2</v>
      </c>
      <c r="C147" s="11" t="s">
        <v>32</v>
      </c>
      <c r="D147" s="11">
        <v>1</v>
      </c>
      <c r="E147" s="11">
        <v>2.85</v>
      </c>
      <c r="F147" s="11">
        <v>0.2</v>
      </c>
      <c r="G147" s="11">
        <v>1.1000000000000001</v>
      </c>
      <c r="H147" s="7">
        <f>G147-0.2</f>
        <v>0.90000000000000013</v>
      </c>
      <c r="I147" s="7">
        <f>E147*F147*G147*D147</f>
        <v>0.62700000000000011</v>
      </c>
      <c r="J147" s="7">
        <f>(2*(E147)*H147*D147)+(E147*F147)</f>
        <v>5.7000000000000011</v>
      </c>
      <c r="K147" s="12">
        <f>IF(E147=0.3,J147,0)</f>
        <v>0</v>
      </c>
      <c r="L147" s="12">
        <f>IF(AND(E147&gt;0.3,E147&lt;=0.75),J147,0)</f>
        <v>0</v>
      </c>
      <c r="M147" s="12">
        <f>IF(AND(E147&gt;0.75,E147&lt;=1.2),J147,0)</f>
        <v>0</v>
      </c>
      <c r="N147" s="12">
        <f>IF(E147&gt;1.2,J147,0)</f>
        <v>5.7000000000000011</v>
      </c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>
        <f>SUM(X148:X151)/I147</f>
        <v>193.32346491228068</v>
      </c>
      <c r="Z147" s="7"/>
      <c r="AA147" s="7"/>
      <c r="AB147" s="7"/>
      <c r="AC147" s="7"/>
      <c r="AD147" s="7"/>
      <c r="AE147" s="7"/>
    </row>
    <row r="148" spans="1:32" s="9" customFormat="1" ht="20.100000000000001" customHeight="1" x14ac:dyDescent="0.25">
      <c r="A148" s="6"/>
      <c r="B148" s="10" t="s">
        <v>2</v>
      </c>
      <c r="C148" s="13" t="s">
        <v>4</v>
      </c>
      <c r="D148" s="7">
        <v>20</v>
      </c>
      <c r="E148" s="7"/>
      <c r="F148" s="7">
        <v>2</v>
      </c>
      <c r="G148" s="8">
        <f>VLOOKUP(D148,'[2]Beam '!$C$20:$H$26,3,0)</f>
        <v>0.8</v>
      </c>
      <c r="H148" s="8"/>
      <c r="I148" s="7"/>
      <c r="J148" s="7"/>
      <c r="K148" s="7"/>
      <c r="L148" s="7"/>
      <c r="M148" s="7"/>
      <c r="N148" s="7"/>
      <c r="O148" s="7">
        <f>(E147+2*(G148+(12*D148/1000)))*D147</f>
        <v>4.93</v>
      </c>
      <c r="P148" s="7">
        <f>O148*F148</f>
        <v>9.86</v>
      </c>
      <c r="Q148" s="7">
        <f>IF($D148='[2]Beam '!Q$44,$P148*'[2]Beam '!Q$45,0)</f>
        <v>0</v>
      </c>
      <c r="R148" s="7">
        <f>IF($D148='[2]Beam '!R$44,$P148*'[2]Beam '!R$45,0)</f>
        <v>0</v>
      </c>
      <c r="S148" s="7">
        <f>IF($D148='[2]Beam '!S$44,$P148*'[2]Beam '!S$45,0)</f>
        <v>0</v>
      </c>
      <c r="T148" s="7">
        <f>IF($D148='[2]Beam '!T$44,$P148*'[2]Beam '!T$45,0)</f>
        <v>0</v>
      </c>
      <c r="U148" s="7">
        <f>IF($D148='[2]Beam '!U$44,$P148*'[2]Beam '!U$45,0)</f>
        <v>24.326028571428569</v>
      </c>
      <c r="V148" s="7">
        <f>IF($D148='[2]Beam '!V$44,$P148*'[2]Beam '!V$45,0)</f>
        <v>0</v>
      </c>
      <c r="W148" s="7">
        <f>IF($D148='[2]Beam '!W$44,$P148*'[2]Beam '!W$45,0)</f>
        <v>0</v>
      </c>
      <c r="X148" s="7">
        <f>SUM(Q148:W148)</f>
        <v>24.326028571428569</v>
      </c>
      <c r="Y148" s="7"/>
      <c r="Z148" s="7"/>
      <c r="AA148" s="7"/>
      <c r="AB148" s="7"/>
      <c r="AC148" s="7"/>
      <c r="AD148" s="7"/>
      <c r="AE148" s="7"/>
    </row>
    <row r="149" spans="1:32" s="9" customFormat="1" ht="20.100000000000001" customHeight="1" x14ac:dyDescent="0.25">
      <c r="A149" s="6"/>
      <c r="B149" s="10" t="s">
        <v>2</v>
      </c>
      <c r="C149" s="13" t="s">
        <v>5</v>
      </c>
      <c r="D149" s="7">
        <v>20</v>
      </c>
      <c r="E149" s="7"/>
      <c r="F149" s="7">
        <v>2</v>
      </c>
      <c r="G149" s="8">
        <f>VLOOKUP(D149,'[2]Beam '!$C$20:$H$26,3,0)</f>
        <v>0.8</v>
      </c>
      <c r="H149" s="8"/>
      <c r="I149" s="7"/>
      <c r="J149" s="7"/>
      <c r="K149" s="7"/>
      <c r="L149" s="7"/>
      <c r="M149" s="7"/>
      <c r="N149" s="7"/>
      <c r="O149" s="7">
        <f>(0.8+1*(G149+(12*D149/1000)))*D147</f>
        <v>1.84</v>
      </c>
      <c r="P149" s="7">
        <f>O149*F149</f>
        <v>3.68</v>
      </c>
      <c r="Q149" s="7">
        <f>IF($D149='[2]Beam '!Q$44,$P149*'[2]Beam '!Q$45,0)</f>
        <v>0</v>
      </c>
      <c r="R149" s="7">
        <f>IF($D149='[2]Beam '!R$44,$P149*'[2]Beam '!R$45,0)</f>
        <v>0</v>
      </c>
      <c r="S149" s="7">
        <f>IF($D149='[2]Beam '!S$44,$P149*'[2]Beam '!S$45,0)</f>
        <v>0</v>
      </c>
      <c r="T149" s="7">
        <f>IF($D149='[2]Beam '!T$44,$P149*'[2]Beam '!T$45,0)</f>
        <v>0</v>
      </c>
      <c r="U149" s="7">
        <f>IF($D149='[2]Beam '!U$44,$P149*'[2]Beam '!U$45,0)</f>
        <v>9.0790857142857142</v>
      </c>
      <c r="V149" s="7">
        <f>IF($D149='[2]Beam '!V$44,$P149*'[2]Beam '!V$45,0)</f>
        <v>0</v>
      </c>
      <c r="W149" s="7">
        <f>IF($D149='[2]Beam '!W$44,$P149*'[2]Beam '!W$45,0)</f>
        <v>0</v>
      </c>
      <c r="X149" s="7">
        <f>SUM(Q149:W149)</f>
        <v>9.0790857142857142</v>
      </c>
      <c r="Y149" s="7"/>
      <c r="Z149" s="7"/>
      <c r="AA149" s="7"/>
      <c r="AB149" s="7"/>
      <c r="AC149" s="7"/>
      <c r="AD149" s="7"/>
      <c r="AE149" s="7"/>
    </row>
    <row r="150" spans="1:32" s="9" customFormat="1" ht="20.100000000000001" customHeight="1" x14ac:dyDescent="0.25">
      <c r="A150" s="6"/>
      <c r="B150" s="10" t="s">
        <v>2</v>
      </c>
      <c r="C150" s="13" t="s">
        <v>6</v>
      </c>
      <c r="D150" s="7">
        <v>25</v>
      </c>
      <c r="E150" s="7"/>
      <c r="F150" s="7">
        <v>2</v>
      </c>
      <c r="G150" s="8">
        <f>VLOOKUP(D150,'[2]Beam '!$C$20:$H$26,3,0)</f>
        <v>1</v>
      </c>
      <c r="H150" s="7"/>
      <c r="I150" s="7"/>
      <c r="J150" s="7"/>
      <c r="K150" s="7"/>
      <c r="L150" s="7"/>
      <c r="M150" s="7"/>
      <c r="N150" s="7"/>
      <c r="O150" s="7">
        <f>(E147+2*(G150+(12*D150/1000)))*D147</f>
        <v>5.45</v>
      </c>
      <c r="P150" s="7">
        <f>O150*F150</f>
        <v>10.9</v>
      </c>
      <c r="Q150" s="7">
        <f>IF($D150='[2]Beam '!Q$44,$P150*'[2]Beam '!Q$45,0)</f>
        <v>0</v>
      </c>
      <c r="R150" s="7">
        <f>IF($D150='[2]Beam '!R$44,$P150*'[2]Beam '!R$45,0)</f>
        <v>0</v>
      </c>
      <c r="S150" s="7">
        <f>IF($D150='[2]Beam '!S$44,$P150*'[2]Beam '!S$45,0)</f>
        <v>0</v>
      </c>
      <c r="T150" s="7">
        <f>IF($D150='[2]Beam '!T$44,$P150*'[2]Beam '!T$45,0)</f>
        <v>0</v>
      </c>
      <c r="U150" s="7">
        <f>IF($D150='[2]Beam '!U$44,$P150*'[2]Beam '!U$45,0)</f>
        <v>0</v>
      </c>
      <c r="V150" s="7">
        <f>IF($D150='[2]Beam '!V$44,$P150*'[2]Beam '!V$45,0)</f>
        <v>42.018526785714293</v>
      </c>
      <c r="W150" s="7">
        <f>IF($D150='[2]Beam '!W$44,$P150*'[2]Beam '!W$45,0)</f>
        <v>0</v>
      </c>
      <c r="X150" s="7">
        <f>SUM(Q150:W150)</f>
        <v>42.018526785714293</v>
      </c>
      <c r="Y150" s="7"/>
      <c r="Z150" s="7"/>
      <c r="AA150" s="7"/>
      <c r="AB150" s="7"/>
      <c r="AC150" s="7"/>
      <c r="AD150" s="7"/>
      <c r="AE150" s="7"/>
    </row>
    <row r="151" spans="1:32" s="9" customFormat="1" ht="21" customHeight="1" x14ac:dyDescent="0.25">
      <c r="A151" s="6"/>
      <c r="B151" s="10" t="s">
        <v>2</v>
      </c>
      <c r="C151" s="13" t="s">
        <v>26</v>
      </c>
      <c r="D151" s="7">
        <v>10</v>
      </c>
      <c r="E151" s="7">
        <v>0.1</v>
      </c>
      <c r="F151" s="7">
        <f>ROUNDUP(E147/E151,0)</f>
        <v>29</v>
      </c>
      <c r="H151" s="7"/>
      <c r="I151" s="7"/>
      <c r="J151" s="7"/>
      <c r="K151" s="7"/>
      <c r="L151" s="7"/>
      <c r="M151" s="7"/>
      <c r="N151" s="7"/>
      <c r="O151" s="7">
        <f>(2*((G147-(2*'[2]Beam '!$D$11))+(F147-(2*'[2]Beam '!$D$11)))+(2*10*D151/1000))*D147</f>
        <v>2.5600000000000005</v>
      </c>
      <c r="P151" s="7">
        <f>O151*F151</f>
        <v>74.240000000000009</v>
      </c>
      <c r="Q151" s="7">
        <f>IF($D151='[2]Beam '!Q$44,$P151*'[2]Beam '!Q$45,0)</f>
        <v>0</v>
      </c>
      <c r="R151" s="7">
        <f>IF($D151='[2]Beam '!R$44,$P151*'[2]Beam '!R$45,0)</f>
        <v>45.790171428571433</v>
      </c>
      <c r="S151" s="7">
        <f>IF($D151='[2]Beam '!S$44,$P151*'[2]Beam '!S$45,0)</f>
        <v>0</v>
      </c>
      <c r="T151" s="7">
        <f>IF($D151='[2]Beam '!T$44,$P151*'[2]Beam '!T$45,0)</f>
        <v>0</v>
      </c>
      <c r="U151" s="7">
        <f>IF($D151='[2]Beam '!U$44,$P151*'[2]Beam '!U$45,0)</f>
        <v>0</v>
      </c>
      <c r="V151" s="7">
        <f>IF($D151='[2]Beam '!V$44,$P151*'[2]Beam '!V$45,0)</f>
        <v>0</v>
      </c>
      <c r="W151" s="7">
        <f>IF($D151='[2]Beam '!W$44,$P151*'[2]Beam '!W$45,0)</f>
        <v>0</v>
      </c>
      <c r="X151" s="7">
        <f>SUM(Q151:W151)</f>
        <v>45.790171428571433</v>
      </c>
      <c r="Y151" s="7"/>
      <c r="Z151" s="7"/>
      <c r="AA151" s="7"/>
      <c r="AB151" s="7"/>
      <c r="AC151" s="7"/>
      <c r="AD151" s="7"/>
      <c r="AE151" s="7"/>
      <c r="AF151" s="7"/>
    </row>
    <row r="152" spans="1:32" s="9" customFormat="1" ht="20.100000000000001" customHeight="1" x14ac:dyDescent="0.25">
      <c r="A152" s="6"/>
      <c r="B152" s="10" t="s">
        <v>2</v>
      </c>
      <c r="C152" s="13" t="s">
        <v>11</v>
      </c>
      <c r="D152" s="7">
        <f>+'[2]Beam '!$D$15</f>
        <v>25</v>
      </c>
      <c r="E152" s="7">
        <f>+'[2]Beam '!$E$15</f>
        <v>1</v>
      </c>
      <c r="F152" s="7">
        <f>ROUNDUP((0.8)/E152,0)</f>
        <v>1</v>
      </c>
      <c r="G152" s="8"/>
      <c r="H152" s="8"/>
      <c r="I152" s="7"/>
      <c r="J152" s="7"/>
      <c r="K152" s="7"/>
      <c r="L152" s="7"/>
      <c r="M152" s="7"/>
      <c r="N152" s="7"/>
      <c r="O152" s="7">
        <f>F147-'[2]Beam '!$F$15</f>
        <v>0.14000000000000001</v>
      </c>
      <c r="P152" s="7">
        <f>O152*F152</f>
        <v>0.14000000000000001</v>
      </c>
      <c r="Q152" s="7">
        <f>IF($D152='[2]Beam '!Q$44,$P152*'[2]Beam '!Q$45,0)</f>
        <v>0</v>
      </c>
      <c r="R152" s="7">
        <f>IF($D152='[2]Beam '!R$44,$P152*'[2]Beam '!R$45,0)</f>
        <v>0</v>
      </c>
      <c r="S152" s="7">
        <f>IF($D152='[2]Beam '!S$44,$P152*'[2]Beam '!S$45,0)</f>
        <v>0</v>
      </c>
      <c r="T152" s="7">
        <f>IF($D152='[2]Beam '!T$44,$P152*'[2]Beam '!T$45,0)</f>
        <v>0</v>
      </c>
      <c r="U152" s="7">
        <f>IF($D152='[2]Beam '!U$44,$P152*'[2]Beam '!U$45,0)</f>
        <v>0</v>
      </c>
      <c r="V152" s="7">
        <f>IF($D152='[2]Beam '!V$44,$P152*'[2]Beam '!V$45,0)</f>
        <v>0.5396875000000001</v>
      </c>
      <c r="W152" s="7">
        <f>IF($D152='[2]Beam '!W$44,$P152*'[2]Beam '!W$45,0)</f>
        <v>0</v>
      </c>
      <c r="X152" s="7">
        <f>SUM(Q152:W152)</f>
        <v>0.5396875000000001</v>
      </c>
      <c r="Y152" s="7"/>
      <c r="Z152" s="7"/>
      <c r="AA152" s="7"/>
      <c r="AB152" s="7"/>
      <c r="AC152" s="7"/>
      <c r="AD152" s="7"/>
      <c r="AE152" s="7"/>
    </row>
    <row r="153" spans="1:32" s="9" customFormat="1" ht="20.100000000000001" customHeight="1" x14ac:dyDescent="0.25">
      <c r="A153" s="7">
        <v>1</v>
      </c>
      <c r="B153" s="10" t="s">
        <v>2</v>
      </c>
      <c r="C153" s="11" t="s">
        <v>33</v>
      </c>
      <c r="D153" s="11">
        <v>1</v>
      </c>
      <c r="E153" s="11">
        <v>1.25</v>
      </c>
      <c r="F153" s="11">
        <v>0.3</v>
      </c>
      <c r="G153" s="11">
        <v>1.1000000000000001</v>
      </c>
      <c r="H153" s="7">
        <f>G153-0.2</f>
        <v>0.90000000000000013</v>
      </c>
      <c r="I153" s="7">
        <f>E153*F153*G153*D153</f>
        <v>0.41250000000000003</v>
      </c>
      <c r="J153" s="7">
        <f>(2*(E153)*H153*D153)+(E153*F153)</f>
        <v>2.6250000000000004</v>
      </c>
      <c r="K153" s="12">
        <f>IF(E153=0.3,J153,0)</f>
        <v>0</v>
      </c>
      <c r="L153" s="12">
        <f>IF(AND(E153&gt;0.3,E153&lt;=0.75),J153,0)</f>
        <v>0</v>
      </c>
      <c r="M153" s="12">
        <f>IF(AND(E153&gt;0.75,E153&lt;=1.2),J153,0)</f>
        <v>0</v>
      </c>
      <c r="N153" s="12">
        <f>IF(E153&gt;1.2,J153,0)</f>
        <v>2.6250000000000004</v>
      </c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>
        <f>SUM(X154:X158)/I153</f>
        <v>214.12575085714286</v>
      </c>
      <c r="Z153" s="7"/>
      <c r="AA153" s="7"/>
      <c r="AB153" s="7"/>
      <c r="AC153" s="7"/>
      <c r="AD153" s="7"/>
      <c r="AE153" s="7"/>
    </row>
    <row r="154" spans="1:32" s="9" customFormat="1" ht="20.100000000000001" customHeight="1" x14ac:dyDescent="0.25">
      <c r="A154" s="6"/>
      <c r="B154" s="10" t="s">
        <v>2</v>
      </c>
      <c r="C154" s="13" t="s">
        <v>4</v>
      </c>
      <c r="D154" s="7">
        <v>16</v>
      </c>
      <c r="E154" s="7"/>
      <c r="F154" s="7">
        <v>3</v>
      </c>
      <c r="G154" s="8">
        <f>VLOOKUP(D154,'[2]Beam '!$C$20:$H$26,3,0)</f>
        <v>0.625</v>
      </c>
      <c r="H154" s="8"/>
      <c r="I154" s="7"/>
      <c r="J154" s="7"/>
      <c r="K154" s="7"/>
      <c r="L154" s="7"/>
      <c r="M154" s="7"/>
      <c r="N154" s="7"/>
      <c r="O154" s="7">
        <f>(E153+1*(G154+(12*D154/1000)))+G154*D153</f>
        <v>2.6920000000000002</v>
      </c>
      <c r="P154" s="7">
        <f t="shared" ref="P154:P159" si="31">O154*F154</f>
        <v>8.0760000000000005</v>
      </c>
      <c r="Q154" s="7">
        <f>IF($D154='[2]Beam '!Q$44,$P154*'[2]Beam '!Q$45,0)</f>
        <v>0</v>
      </c>
      <c r="R154" s="7">
        <f>IF($D154='[2]Beam '!R$44,$P154*'[2]Beam '!R$45,0)</f>
        <v>0</v>
      </c>
      <c r="S154" s="7">
        <f>IF($D154='[2]Beam '!S$44,$P154*'[2]Beam '!S$45,0)</f>
        <v>0</v>
      </c>
      <c r="T154" s="7">
        <f>IF($D154='[2]Beam '!T$44,$P154*'[2]Beam '!T$45,0)</f>
        <v>12.751773257142858</v>
      </c>
      <c r="U154" s="7">
        <f>IF($D154='[2]Beam '!U$44,$P154*'[2]Beam '!U$45,0)</f>
        <v>0</v>
      </c>
      <c r="V154" s="7">
        <f>IF($D154='[2]Beam '!V$44,$P154*'[2]Beam '!V$45,0)</f>
        <v>0</v>
      </c>
      <c r="W154" s="7">
        <f>IF($D154='[2]Beam '!W$44,$P154*'[2]Beam '!W$45,0)</f>
        <v>0</v>
      </c>
      <c r="X154" s="7">
        <f t="shared" ref="X154:X159" si="32">SUM(Q154:W154)</f>
        <v>12.751773257142858</v>
      </c>
      <c r="Y154" s="7"/>
      <c r="Z154" s="7"/>
      <c r="AA154" s="7"/>
      <c r="AB154" s="7"/>
      <c r="AC154" s="7"/>
      <c r="AD154" s="7"/>
      <c r="AE154" s="7"/>
    </row>
    <row r="155" spans="1:32" s="9" customFormat="1" ht="20.100000000000001" customHeight="1" x14ac:dyDescent="0.25">
      <c r="A155" s="6"/>
      <c r="B155" s="10" t="s">
        <v>2</v>
      </c>
      <c r="C155" s="13" t="s">
        <v>5</v>
      </c>
      <c r="D155" s="7">
        <v>20</v>
      </c>
      <c r="E155" s="7"/>
      <c r="F155" s="7">
        <v>2</v>
      </c>
      <c r="G155" s="8">
        <f>VLOOKUP(D155,'[2]Beam '!$C$20:$H$26,3,0)</f>
        <v>0.8</v>
      </c>
      <c r="H155" s="8"/>
      <c r="I155" s="7"/>
      <c r="J155" s="7"/>
      <c r="K155" s="7"/>
      <c r="L155" s="7"/>
      <c r="M155" s="7"/>
      <c r="N155" s="7"/>
      <c r="O155" s="7">
        <f>(E153+1*(G155+(12*D155/1000)))+G155*D153</f>
        <v>3.09</v>
      </c>
      <c r="P155" s="7">
        <f t="shared" si="31"/>
        <v>6.18</v>
      </c>
      <c r="Q155" s="7">
        <f>IF($D155='[2]Beam '!Q$44,$P155*'[2]Beam '!Q$45,0)</f>
        <v>0</v>
      </c>
      <c r="R155" s="7">
        <f>IF($D155='[2]Beam '!R$44,$P155*'[2]Beam '!R$45,0)</f>
        <v>0</v>
      </c>
      <c r="S155" s="7">
        <f>IF($D155='[2]Beam '!S$44,$P155*'[2]Beam '!S$45,0)</f>
        <v>0</v>
      </c>
      <c r="T155" s="7">
        <f>IF($D155='[2]Beam '!T$44,$P155*'[2]Beam '!T$45,0)</f>
        <v>0</v>
      </c>
      <c r="U155" s="7">
        <f>IF($D155='[2]Beam '!U$44,$P155*'[2]Beam '!U$45,0)</f>
        <v>15.246942857142857</v>
      </c>
      <c r="V155" s="7">
        <f>IF($D155='[2]Beam '!V$44,$P155*'[2]Beam '!V$45,0)</f>
        <v>0</v>
      </c>
      <c r="W155" s="7">
        <f>IF($D155='[2]Beam '!W$44,$P155*'[2]Beam '!W$45,0)</f>
        <v>0</v>
      </c>
      <c r="X155" s="7">
        <f t="shared" si="32"/>
        <v>15.246942857142857</v>
      </c>
      <c r="Y155" s="7"/>
      <c r="Z155" s="7"/>
      <c r="AA155" s="7"/>
      <c r="AB155" s="7"/>
      <c r="AC155" s="7"/>
      <c r="AD155" s="7"/>
      <c r="AE155" s="7"/>
    </row>
    <row r="156" spans="1:32" s="9" customFormat="1" ht="20.100000000000001" customHeight="1" x14ac:dyDescent="0.25">
      <c r="A156" s="6"/>
      <c r="B156" s="10" t="s">
        <v>2</v>
      </c>
      <c r="C156" s="13" t="s">
        <v>6</v>
      </c>
      <c r="D156" s="7">
        <v>16</v>
      </c>
      <c r="E156" s="7"/>
      <c r="F156" s="7">
        <v>3</v>
      </c>
      <c r="G156" s="8">
        <f>VLOOKUP(D156,'[2]Beam '!$C$20:$H$26,3,0)</f>
        <v>0.625</v>
      </c>
      <c r="H156" s="7"/>
      <c r="I156" s="7"/>
      <c r="J156" s="7"/>
      <c r="K156" s="7"/>
      <c r="L156" s="7"/>
      <c r="M156" s="7"/>
      <c r="N156" s="7"/>
      <c r="O156" s="7">
        <f>(E153+1*(G156+(12*D156/1000)))+G156*D153</f>
        <v>2.6920000000000002</v>
      </c>
      <c r="P156" s="7">
        <f t="shared" si="31"/>
        <v>8.0760000000000005</v>
      </c>
      <c r="Q156" s="7">
        <f>IF($D156='[2]Beam '!Q$44,$P156*'[2]Beam '!Q$45,0)</f>
        <v>0</v>
      </c>
      <c r="R156" s="7">
        <f>IF($D156='[2]Beam '!R$44,$P156*'[2]Beam '!R$45,0)</f>
        <v>0</v>
      </c>
      <c r="S156" s="7">
        <f>IF($D156='[2]Beam '!S$44,$P156*'[2]Beam '!S$45,0)</f>
        <v>0</v>
      </c>
      <c r="T156" s="7">
        <f>IF($D156='[2]Beam '!T$44,$P156*'[2]Beam '!T$45,0)</f>
        <v>12.751773257142858</v>
      </c>
      <c r="U156" s="7">
        <f>IF($D156='[2]Beam '!U$44,$P156*'[2]Beam '!U$45,0)</f>
        <v>0</v>
      </c>
      <c r="V156" s="7">
        <f>IF($D156='[2]Beam '!V$44,$P156*'[2]Beam '!V$45,0)</f>
        <v>0</v>
      </c>
      <c r="W156" s="7">
        <f>IF($D156='[2]Beam '!W$44,$P156*'[2]Beam '!W$45,0)</f>
        <v>0</v>
      </c>
      <c r="X156" s="7">
        <f t="shared" si="32"/>
        <v>12.751773257142858</v>
      </c>
      <c r="Y156" s="7"/>
      <c r="Z156" s="7"/>
      <c r="AA156" s="7"/>
      <c r="AB156" s="7"/>
      <c r="AC156" s="7"/>
      <c r="AD156" s="7"/>
      <c r="AE156" s="7"/>
    </row>
    <row r="157" spans="1:32" s="9" customFormat="1" ht="20.100000000000001" customHeight="1" x14ac:dyDescent="0.25">
      <c r="A157" s="6"/>
      <c r="B157" s="10" t="s">
        <v>2</v>
      </c>
      <c r="C157" s="13" t="s">
        <v>13</v>
      </c>
      <c r="D157" s="7">
        <v>20</v>
      </c>
      <c r="E157" s="7"/>
      <c r="F157" s="7">
        <v>2</v>
      </c>
      <c r="G157" s="8">
        <f>VLOOKUP(D157,'[2]Beam '!$C$20:$H$26,3,0)</f>
        <v>0.8</v>
      </c>
      <c r="H157" s="7"/>
      <c r="I157" s="7"/>
      <c r="J157" s="7"/>
      <c r="K157" s="7"/>
      <c r="L157" s="7"/>
      <c r="M157" s="7"/>
      <c r="N157" s="7"/>
      <c r="O157" s="7">
        <f>(E153+1*(G157+(12*D157/1000)))+G157*D153</f>
        <v>3.09</v>
      </c>
      <c r="P157" s="7">
        <f t="shared" si="31"/>
        <v>6.18</v>
      </c>
      <c r="Q157" s="7">
        <f>IF($D157='[2]Beam '!Q$44,$P157*'[2]Beam '!Q$45,0)</f>
        <v>0</v>
      </c>
      <c r="R157" s="7">
        <f>IF($D157='[2]Beam '!R$44,$P157*'[2]Beam '!R$45,0)</f>
        <v>0</v>
      </c>
      <c r="S157" s="7">
        <f>IF($D157='[2]Beam '!S$44,$P157*'[2]Beam '!S$45,0)</f>
        <v>0</v>
      </c>
      <c r="T157" s="7">
        <f>IF($D157='[2]Beam '!T$44,$P157*'[2]Beam '!T$45,0)</f>
        <v>0</v>
      </c>
      <c r="U157" s="7">
        <f>IF($D157='[2]Beam '!U$44,$P157*'[2]Beam '!U$45,0)</f>
        <v>15.246942857142857</v>
      </c>
      <c r="V157" s="7">
        <f>IF($D157='[2]Beam '!V$44,$P157*'[2]Beam '!V$45,0)</f>
        <v>0</v>
      </c>
      <c r="W157" s="7">
        <f>IF($D157='[2]Beam '!W$44,$P157*'[2]Beam '!W$45,0)</f>
        <v>0</v>
      </c>
      <c r="X157" s="7">
        <f t="shared" si="32"/>
        <v>15.246942857142857</v>
      </c>
      <c r="Y157" s="7"/>
      <c r="Z157" s="7"/>
      <c r="AA157" s="7"/>
      <c r="AB157" s="7"/>
      <c r="AC157" s="7"/>
      <c r="AD157" s="7"/>
      <c r="AE157" s="7"/>
    </row>
    <row r="158" spans="1:32" s="9" customFormat="1" ht="21" customHeight="1" x14ac:dyDescent="0.25">
      <c r="A158" s="6"/>
      <c r="B158" s="10" t="s">
        <v>2</v>
      </c>
      <c r="C158" s="13" t="s">
        <v>26</v>
      </c>
      <c r="D158" s="7">
        <v>12</v>
      </c>
      <c r="E158" s="7">
        <v>0.1</v>
      </c>
      <c r="F158" s="7">
        <f>ROUNDUP(E153/E158,0)</f>
        <v>13</v>
      </c>
      <c r="H158" s="7"/>
      <c r="I158" s="7"/>
      <c r="J158" s="7"/>
      <c r="K158" s="7"/>
      <c r="L158" s="7"/>
      <c r="M158" s="7"/>
      <c r="N158" s="7"/>
      <c r="O158" s="7">
        <f>(2*((G153-(2*'[2]Beam '!$D$11))+(F153-(2*'[2]Beam '!$D$11)))+(2*10*D158/1000))*D153</f>
        <v>2.8</v>
      </c>
      <c r="P158" s="7">
        <f t="shared" si="31"/>
        <v>36.4</v>
      </c>
      <c r="Q158" s="7">
        <f>IF($D158='[2]Beam '!Q$44,$P158*'[2]Beam '!Q$45,0)</f>
        <v>0</v>
      </c>
      <c r="R158" s="7">
        <f>IF($D158='[2]Beam '!R$44,$P158*'[2]Beam '!R$45,0)</f>
        <v>0</v>
      </c>
      <c r="S158" s="7">
        <f>IF($D158='[2]Beam '!S$44,$P158*'[2]Beam '!S$45,0)</f>
        <v>32.329440000000005</v>
      </c>
      <c r="T158" s="7">
        <f>IF($D158='[2]Beam '!T$44,$P158*'[2]Beam '!T$45,0)</f>
        <v>0</v>
      </c>
      <c r="U158" s="7">
        <f>IF($D158='[2]Beam '!U$44,$P158*'[2]Beam '!U$45,0)</f>
        <v>0</v>
      </c>
      <c r="V158" s="7">
        <f>IF($D158='[2]Beam '!V$44,$P158*'[2]Beam '!V$45,0)</f>
        <v>0</v>
      </c>
      <c r="W158" s="7">
        <f>IF($D158='[2]Beam '!W$44,$P158*'[2]Beam '!W$45,0)</f>
        <v>0</v>
      </c>
      <c r="X158" s="7">
        <f t="shared" si="32"/>
        <v>32.329440000000005</v>
      </c>
      <c r="Y158" s="7"/>
      <c r="Z158" s="7"/>
      <c r="AA158" s="7"/>
      <c r="AB158" s="7"/>
      <c r="AC158" s="7"/>
      <c r="AD158" s="7"/>
      <c r="AE158" s="7"/>
      <c r="AF158" s="7"/>
    </row>
    <row r="159" spans="1:32" s="9" customFormat="1" ht="20.100000000000001" customHeight="1" x14ac:dyDescent="0.25">
      <c r="A159" s="6"/>
      <c r="B159" s="10" t="s">
        <v>2</v>
      </c>
      <c r="C159" s="13" t="s">
        <v>11</v>
      </c>
      <c r="D159" s="7">
        <f>+'[2]Beam '!$D$15</f>
        <v>25</v>
      </c>
      <c r="E159" s="7">
        <f>+'[2]Beam '!$E$15</f>
        <v>1</v>
      </c>
      <c r="F159" s="7">
        <f>ROUNDUP((E153)/E159,0)</f>
        <v>2</v>
      </c>
      <c r="G159" s="8"/>
      <c r="H159" s="8"/>
      <c r="I159" s="7"/>
      <c r="J159" s="7"/>
      <c r="K159" s="7"/>
      <c r="L159" s="7"/>
      <c r="M159" s="7"/>
      <c r="N159" s="7"/>
      <c r="O159" s="7">
        <f>F153-'[2]Beam '!$F$15</f>
        <v>0.24</v>
      </c>
      <c r="P159" s="7">
        <f t="shared" si="31"/>
        <v>0.48</v>
      </c>
      <c r="Q159" s="7">
        <f>IF($D159='[2]Beam '!Q$44,$P159*'[2]Beam '!Q$45,0)</f>
        <v>0</v>
      </c>
      <c r="R159" s="7">
        <f>IF($D159='[2]Beam '!R$44,$P159*'[2]Beam '!R$45,0)</f>
        <v>0</v>
      </c>
      <c r="S159" s="7">
        <f>IF($D159='[2]Beam '!S$44,$P159*'[2]Beam '!S$45,0)</f>
        <v>0</v>
      </c>
      <c r="T159" s="7">
        <f>IF($D159='[2]Beam '!T$44,$P159*'[2]Beam '!T$45,0)</f>
        <v>0</v>
      </c>
      <c r="U159" s="7">
        <f>IF($D159='[2]Beam '!U$44,$P159*'[2]Beam '!U$45,0)</f>
        <v>0</v>
      </c>
      <c r="V159" s="7">
        <f>IF($D159='[2]Beam '!V$44,$P159*'[2]Beam '!V$45,0)</f>
        <v>1.850357142857143</v>
      </c>
      <c r="W159" s="7">
        <f>IF($D159='[2]Beam '!W$44,$P159*'[2]Beam '!W$45,0)</f>
        <v>0</v>
      </c>
      <c r="X159" s="7">
        <f t="shared" si="32"/>
        <v>1.850357142857143</v>
      </c>
      <c r="Y159" s="7"/>
      <c r="Z159" s="7"/>
      <c r="AA159" s="7"/>
      <c r="AB159" s="7"/>
      <c r="AC159" s="7"/>
      <c r="AD159" s="7"/>
      <c r="AE159" s="7"/>
    </row>
    <row r="160" spans="1:32" s="9" customFormat="1" ht="20.100000000000001" customHeight="1" x14ac:dyDescent="0.25">
      <c r="A160" s="7">
        <v>1</v>
      </c>
      <c r="B160" s="10" t="s">
        <v>2</v>
      </c>
      <c r="C160" s="11" t="s">
        <v>34</v>
      </c>
      <c r="D160" s="11">
        <v>1</v>
      </c>
      <c r="E160" s="11">
        <v>1.25</v>
      </c>
      <c r="F160" s="11">
        <v>0.3</v>
      </c>
      <c r="G160" s="11">
        <v>1.1000000000000001</v>
      </c>
      <c r="H160" s="7">
        <f>G160-0.2</f>
        <v>0.90000000000000013</v>
      </c>
      <c r="I160" s="7">
        <f>E160*F160*G160*D160</f>
        <v>0.41250000000000003</v>
      </c>
      <c r="J160" s="7">
        <f>(2*(E160)*H160*D160)+(E160*F160)</f>
        <v>2.6250000000000004</v>
      </c>
      <c r="K160" s="12">
        <f>IF(E160=0.3,J160,0)</f>
        <v>0</v>
      </c>
      <c r="L160" s="12">
        <f>IF(AND(E160&gt;0.3,E160&lt;=0.75),J160,0)</f>
        <v>0</v>
      </c>
      <c r="M160" s="12">
        <f>IF(AND(E160&gt;0.75,E160&lt;=1.2),J160,0)</f>
        <v>0</v>
      </c>
      <c r="N160" s="12">
        <f>IF(E160&gt;1.2,J160,0)</f>
        <v>2.6250000000000004</v>
      </c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>
        <f>SUM(X161:X165)/I160</f>
        <v>214.12575085714286</v>
      </c>
      <c r="Z160" s="7"/>
      <c r="AA160" s="7"/>
      <c r="AB160" s="7"/>
      <c r="AC160" s="7"/>
      <c r="AD160" s="7"/>
      <c r="AE160" s="7"/>
    </row>
    <row r="161" spans="1:32" s="9" customFormat="1" ht="20.100000000000001" customHeight="1" x14ac:dyDescent="0.25">
      <c r="A161" s="6"/>
      <c r="B161" s="10" t="s">
        <v>2</v>
      </c>
      <c r="C161" s="13" t="s">
        <v>4</v>
      </c>
      <c r="D161" s="7">
        <v>16</v>
      </c>
      <c r="E161" s="7"/>
      <c r="F161" s="7">
        <v>3</v>
      </c>
      <c r="G161" s="8">
        <f>VLOOKUP(D161,'[2]Beam '!$C$20:$H$26,3,0)</f>
        <v>0.625</v>
      </c>
      <c r="H161" s="8"/>
      <c r="I161" s="7"/>
      <c r="J161" s="7"/>
      <c r="K161" s="7"/>
      <c r="L161" s="7"/>
      <c r="M161" s="7"/>
      <c r="N161" s="7"/>
      <c r="O161" s="7">
        <f>(E160+1*(G161+(12*D161/1000)))+G161*D160</f>
        <v>2.6920000000000002</v>
      </c>
      <c r="P161" s="7">
        <f t="shared" ref="P161:P166" si="33">O161*F161</f>
        <v>8.0760000000000005</v>
      </c>
      <c r="Q161" s="7">
        <f>IF($D161='[2]Beam '!Q$44,$P161*'[2]Beam '!Q$45,0)</f>
        <v>0</v>
      </c>
      <c r="R161" s="7">
        <f>IF($D161='[2]Beam '!R$44,$P161*'[2]Beam '!R$45,0)</f>
        <v>0</v>
      </c>
      <c r="S161" s="7">
        <f>IF($D161='[2]Beam '!S$44,$P161*'[2]Beam '!S$45,0)</f>
        <v>0</v>
      </c>
      <c r="T161" s="7">
        <f>IF($D161='[2]Beam '!T$44,$P161*'[2]Beam '!T$45,0)</f>
        <v>12.751773257142858</v>
      </c>
      <c r="U161" s="7">
        <f>IF($D161='[2]Beam '!U$44,$P161*'[2]Beam '!U$45,0)</f>
        <v>0</v>
      </c>
      <c r="V161" s="7">
        <f>IF($D161='[2]Beam '!V$44,$P161*'[2]Beam '!V$45,0)</f>
        <v>0</v>
      </c>
      <c r="W161" s="7">
        <f>IF($D161='[2]Beam '!W$44,$P161*'[2]Beam '!W$45,0)</f>
        <v>0</v>
      </c>
      <c r="X161" s="7">
        <f t="shared" ref="X161:X166" si="34">SUM(Q161:W161)</f>
        <v>12.751773257142858</v>
      </c>
      <c r="Y161" s="7"/>
      <c r="Z161" s="7"/>
      <c r="AA161" s="7"/>
      <c r="AB161" s="7"/>
      <c r="AC161" s="7"/>
      <c r="AD161" s="7"/>
      <c r="AE161" s="7"/>
    </row>
    <row r="162" spans="1:32" s="9" customFormat="1" ht="20.100000000000001" customHeight="1" x14ac:dyDescent="0.25">
      <c r="A162" s="6"/>
      <c r="B162" s="10" t="s">
        <v>2</v>
      </c>
      <c r="C162" s="13" t="s">
        <v>5</v>
      </c>
      <c r="D162" s="7">
        <v>20</v>
      </c>
      <c r="E162" s="7"/>
      <c r="F162" s="7">
        <v>2</v>
      </c>
      <c r="G162" s="8">
        <f>VLOOKUP(D162,'[2]Beam '!$C$20:$H$26,3,0)</f>
        <v>0.8</v>
      </c>
      <c r="H162" s="8"/>
      <c r="I162" s="7"/>
      <c r="J162" s="7"/>
      <c r="K162" s="7"/>
      <c r="L162" s="7"/>
      <c r="M162" s="7"/>
      <c r="N162" s="7"/>
      <c r="O162" s="7">
        <f>(E160+1*(G162+(12*D162/1000)))+G162*D160</f>
        <v>3.09</v>
      </c>
      <c r="P162" s="7">
        <f t="shared" si="33"/>
        <v>6.18</v>
      </c>
      <c r="Q162" s="7">
        <f>IF($D162='[2]Beam '!Q$44,$P162*'[2]Beam '!Q$45,0)</f>
        <v>0</v>
      </c>
      <c r="R162" s="7">
        <f>IF($D162='[2]Beam '!R$44,$P162*'[2]Beam '!R$45,0)</f>
        <v>0</v>
      </c>
      <c r="S162" s="7">
        <f>IF($D162='[2]Beam '!S$44,$P162*'[2]Beam '!S$45,0)</f>
        <v>0</v>
      </c>
      <c r="T162" s="7">
        <f>IF($D162='[2]Beam '!T$44,$P162*'[2]Beam '!T$45,0)</f>
        <v>0</v>
      </c>
      <c r="U162" s="7">
        <f>IF($D162='[2]Beam '!U$44,$P162*'[2]Beam '!U$45,0)</f>
        <v>15.246942857142857</v>
      </c>
      <c r="V162" s="7">
        <f>IF($D162='[2]Beam '!V$44,$P162*'[2]Beam '!V$45,0)</f>
        <v>0</v>
      </c>
      <c r="W162" s="7">
        <f>IF($D162='[2]Beam '!W$44,$P162*'[2]Beam '!W$45,0)</f>
        <v>0</v>
      </c>
      <c r="X162" s="7">
        <f t="shared" si="34"/>
        <v>15.246942857142857</v>
      </c>
      <c r="Y162" s="7"/>
      <c r="Z162" s="7"/>
      <c r="AA162" s="7"/>
      <c r="AB162" s="7"/>
      <c r="AC162" s="7"/>
      <c r="AD162" s="7"/>
      <c r="AE162" s="7"/>
    </row>
    <row r="163" spans="1:32" s="9" customFormat="1" ht="20.100000000000001" customHeight="1" x14ac:dyDescent="0.25">
      <c r="A163" s="6"/>
      <c r="B163" s="10" t="s">
        <v>2</v>
      </c>
      <c r="C163" s="13" t="s">
        <v>6</v>
      </c>
      <c r="D163" s="7">
        <v>16</v>
      </c>
      <c r="E163" s="7"/>
      <c r="F163" s="7">
        <v>3</v>
      </c>
      <c r="G163" s="8">
        <f>VLOOKUP(D163,'[2]Beam '!$C$20:$H$26,3,0)</f>
        <v>0.625</v>
      </c>
      <c r="H163" s="7"/>
      <c r="I163" s="7"/>
      <c r="J163" s="7"/>
      <c r="K163" s="7"/>
      <c r="L163" s="7"/>
      <c r="M163" s="7"/>
      <c r="N163" s="7"/>
      <c r="O163" s="7">
        <f>(E160+1*(G163+(12*D163/1000)))+G163*D160</f>
        <v>2.6920000000000002</v>
      </c>
      <c r="P163" s="7">
        <f t="shared" si="33"/>
        <v>8.0760000000000005</v>
      </c>
      <c r="Q163" s="7">
        <f>IF($D163='[2]Beam '!Q$44,$P163*'[2]Beam '!Q$45,0)</f>
        <v>0</v>
      </c>
      <c r="R163" s="7">
        <f>IF($D163='[2]Beam '!R$44,$P163*'[2]Beam '!R$45,0)</f>
        <v>0</v>
      </c>
      <c r="S163" s="7">
        <f>IF($D163='[2]Beam '!S$44,$P163*'[2]Beam '!S$45,0)</f>
        <v>0</v>
      </c>
      <c r="T163" s="7">
        <f>IF($D163='[2]Beam '!T$44,$P163*'[2]Beam '!T$45,0)</f>
        <v>12.751773257142858</v>
      </c>
      <c r="U163" s="7">
        <f>IF($D163='[2]Beam '!U$44,$P163*'[2]Beam '!U$45,0)</f>
        <v>0</v>
      </c>
      <c r="V163" s="7">
        <f>IF($D163='[2]Beam '!V$44,$P163*'[2]Beam '!V$45,0)</f>
        <v>0</v>
      </c>
      <c r="W163" s="7">
        <f>IF($D163='[2]Beam '!W$44,$P163*'[2]Beam '!W$45,0)</f>
        <v>0</v>
      </c>
      <c r="X163" s="7">
        <f t="shared" si="34"/>
        <v>12.751773257142858</v>
      </c>
      <c r="Y163" s="7"/>
      <c r="Z163" s="7"/>
      <c r="AA163" s="7"/>
      <c r="AB163" s="7"/>
      <c r="AC163" s="7"/>
      <c r="AD163" s="7"/>
      <c r="AE163" s="7"/>
    </row>
    <row r="164" spans="1:32" s="9" customFormat="1" ht="20.100000000000001" customHeight="1" x14ac:dyDescent="0.25">
      <c r="A164" s="6"/>
      <c r="B164" s="10" t="s">
        <v>2</v>
      </c>
      <c r="C164" s="13" t="s">
        <v>13</v>
      </c>
      <c r="D164" s="7">
        <v>20</v>
      </c>
      <c r="E164" s="7"/>
      <c r="F164" s="7">
        <v>2</v>
      </c>
      <c r="G164" s="8">
        <f>VLOOKUP(D164,'[2]Beam '!$C$20:$H$26,3,0)</f>
        <v>0.8</v>
      </c>
      <c r="H164" s="7"/>
      <c r="I164" s="7"/>
      <c r="J164" s="7"/>
      <c r="K164" s="7"/>
      <c r="L164" s="7"/>
      <c r="M164" s="7"/>
      <c r="N164" s="7"/>
      <c r="O164" s="7">
        <f>(E160+1*(G164+(12*D164/1000)))+G164*D160</f>
        <v>3.09</v>
      </c>
      <c r="P164" s="7">
        <f t="shared" si="33"/>
        <v>6.18</v>
      </c>
      <c r="Q164" s="7">
        <f>IF($D164='[2]Beam '!Q$44,$P164*'[2]Beam '!Q$45,0)</f>
        <v>0</v>
      </c>
      <c r="R164" s="7">
        <f>IF($D164='[2]Beam '!R$44,$P164*'[2]Beam '!R$45,0)</f>
        <v>0</v>
      </c>
      <c r="S164" s="7">
        <f>IF($D164='[2]Beam '!S$44,$P164*'[2]Beam '!S$45,0)</f>
        <v>0</v>
      </c>
      <c r="T164" s="7">
        <f>IF($D164='[2]Beam '!T$44,$P164*'[2]Beam '!T$45,0)</f>
        <v>0</v>
      </c>
      <c r="U164" s="7">
        <f>IF($D164='[2]Beam '!U$44,$P164*'[2]Beam '!U$45,0)</f>
        <v>15.246942857142857</v>
      </c>
      <c r="V164" s="7">
        <f>IF($D164='[2]Beam '!V$44,$P164*'[2]Beam '!V$45,0)</f>
        <v>0</v>
      </c>
      <c r="W164" s="7">
        <f>IF($D164='[2]Beam '!W$44,$P164*'[2]Beam '!W$45,0)</f>
        <v>0</v>
      </c>
      <c r="X164" s="7">
        <f t="shared" si="34"/>
        <v>15.246942857142857</v>
      </c>
      <c r="Y164" s="7"/>
      <c r="Z164" s="7"/>
      <c r="AA164" s="7"/>
      <c r="AB164" s="7"/>
      <c r="AC164" s="7"/>
      <c r="AD164" s="7"/>
      <c r="AE164" s="7"/>
    </row>
    <row r="165" spans="1:32" s="9" customFormat="1" ht="21" customHeight="1" x14ac:dyDescent="0.25">
      <c r="A165" s="6"/>
      <c r="B165" s="10" t="s">
        <v>2</v>
      </c>
      <c r="C165" s="13" t="s">
        <v>26</v>
      </c>
      <c r="D165" s="7">
        <v>12</v>
      </c>
      <c r="E165" s="7">
        <v>0.1</v>
      </c>
      <c r="F165" s="7">
        <f>ROUNDUP(E160/E165,0)</f>
        <v>13</v>
      </c>
      <c r="H165" s="7"/>
      <c r="I165" s="7"/>
      <c r="J165" s="7"/>
      <c r="K165" s="7"/>
      <c r="L165" s="7"/>
      <c r="M165" s="7"/>
      <c r="N165" s="7"/>
      <c r="O165" s="7">
        <f>(2*((G160-(2*'[2]Beam '!$D$11))+(F160-(2*'[2]Beam '!$D$11)))+(2*10*D165/1000))*D160</f>
        <v>2.8</v>
      </c>
      <c r="P165" s="7">
        <f t="shared" si="33"/>
        <v>36.4</v>
      </c>
      <c r="Q165" s="7">
        <f>IF($D165='[2]Beam '!Q$44,$P165*'[2]Beam '!Q$45,0)</f>
        <v>0</v>
      </c>
      <c r="R165" s="7">
        <f>IF($D165='[2]Beam '!R$44,$P165*'[2]Beam '!R$45,0)</f>
        <v>0</v>
      </c>
      <c r="S165" s="7">
        <f>IF($D165='[2]Beam '!S$44,$P165*'[2]Beam '!S$45,0)</f>
        <v>32.329440000000005</v>
      </c>
      <c r="T165" s="7">
        <f>IF($D165='[2]Beam '!T$44,$P165*'[2]Beam '!T$45,0)</f>
        <v>0</v>
      </c>
      <c r="U165" s="7">
        <f>IF($D165='[2]Beam '!U$44,$P165*'[2]Beam '!U$45,0)</f>
        <v>0</v>
      </c>
      <c r="V165" s="7">
        <f>IF($D165='[2]Beam '!V$44,$P165*'[2]Beam '!V$45,0)</f>
        <v>0</v>
      </c>
      <c r="W165" s="7">
        <f>IF($D165='[2]Beam '!W$44,$P165*'[2]Beam '!W$45,0)</f>
        <v>0</v>
      </c>
      <c r="X165" s="7">
        <f t="shared" si="34"/>
        <v>32.329440000000005</v>
      </c>
      <c r="Y165" s="7"/>
      <c r="Z165" s="7"/>
      <c r="AA165" s="7"/>
      <c r="AB165" s="7"/>
      <c r="AC165" s="7"/>
      <c r="AD165" s="7"/>
      <c r="AE165" s="7"/>
      <c r="AF165" s="7"/>
    </row>
    <row r="166" spans="1:32" s="9" customFormat="1" ht="20.100000000000001" customHeight="1" x14ac:dyDescent="0.25">
      <c r="A166" s="6"/>
      <c r="B166" s="10" t="s">
        <v>2</v>
      </c>
      <c r="C166" s="13" t="s">
        <v>11</v>
      </c>
      <c r="D166" s="7">
        <f>+'[2]Beam '!$D$15</f>
        <v>25</v>
      </c>
      <c r="E166" s="7">
        <f>+'[2]Beam '!$E$15</f>
        <v>1</v>
      </c>
      <c r="F166" s="7">
        <f>ROUNDUP((E160)/E166,0)</f>
        <v>2</v>
      </c>
      <c r="G166" s="8"/>
      <c r="H166" s="8"/>
      <c r="I166" s="7"/>
      <c r="J166" s="7"/>
      <c r="K166" s="7"/>
      <c r="L166" s="7"/>
      <c r="M166" s="7"/>
      <c r="N166" s="7"/>
      <c r="O166" s="7">
        <f>F160-'[2]Beam '!$F$15</f>
        <v>0.24</v>
      </c>
      <c r="P166" s="7">
        <f t="shared" si="33"/>
        <v>0.48</v>
      </c>
      <c r="Q166" s="7">
        <f>IF($D166='[2]Beam '!Q$44,$P166*'[2]Beam '!Q$45,0)</f>
        <v>0</v>
      </c>
      <c r="R166" s="7">
        <f>IF($D166='[2]Beam '!R$44,$P166*'[2]Beam '!R$45,0)</f>
        <v>0</v>
      </c>
      <c r="S166" s="7">
        <f>IF($D166='[2]Beam '!S$44,$P166*'[2]Beam '!S$45,0)</f>
        <v>0</v>
      </c>
      <c r="T166" s="7">
        <f>IF($D166='[2]Beam '!T$44,$P166*'[2]Beam '!T$45,0)</f>
        <v>0</v>
      </c>
      <c r="U166" s="7">
        <f>IF($D166='[2]Beam '!U$44,$P166*'[2]Beam '!U$45,0)</f>
        <v>0</v>
      </c>
      <c r="V166" s="7">
        <f>IF($D166='[2]Beam '!V$44,$P166*'[2]Beam '!V$45,0)</f>
        <v>1.850357142857143</v>
      </c>
      <c r="W166" s="7">
        <f>IF($D166='[2]Beam '!W$44,$P166*'[2]Beam '!W$45,0)</f>
        <v>0</v>
      </c>
      <c r="X166" s="7">
        <f t="shared" si="34"/>
        <v>1.850357142857143</v>
      </c>
      <c r="Y166" s="7"/>
      <c r="Z166" s="7"/>
      <c r="AA166" s="7"/>
      <c r="AB166" s="7"/>
      <c r="AC166" s="7"/>
      <c r="AD166" s="7"/>
      <c r="AE166" s="7"/>
    </row>
    <row r="167" spans="1:32" s="9" customFormat="1" ht="20.100000000000001" customHeight="1" x14ac:dyDescent="0.25">
      <c r="A167" s="7">
        <v>1</v>
      </c>
      <c r="B167" s="10" t="s">
        <v>2</v>
      </c>
      <c r="C167" s="11" t="s">
        <v>35</v>
      </c>
      <c r="D167" s="11">
        <v>1</v>
      </c>
      <c r="E167" s="11">
        <v>2.85</v>
      </c>
      <c r="F167" s="11">
        <v>0.3</v>
      </c>
      <c r="G167" s="11">
        <v>1.1000000000000001</v>
      </c>
      <c r="H167" s="7">
        <f>G167-0.2</f>
        <v>0.90000000000000013</v>
      </c>
      <c r="I167" s="7">
        <f>E167*F167*G167*D167</f>
        <v>0.9405</v>
      </c>
      <c r="J167" s="7">
        <f>(2*(E167)*H167*D167)+(E167*F167)</f>
        <v>5.9850000000000012</v>
      </c>
      <c r="K167" s="12">
        <f>IF(E167=0.3,J167,0)</f>
        <v>0</v>
      </c>
      <c r="L167" s="12">
        <f>IF(AND(E167&gt;0.3,E167&lt;=0.75),J167,0)</f>
        <v>0</v>
      </c>
      <c r="M167" s="12">
        <f>IF(AND(E167&gt;0.75,E167&lt;=1.2),J167,0)</f>
        <v>0</v>
      </c>
      <c r="N167" s="12">
        <f>IF(E167&gt;1.2,J167,0)</f>
        <v>5.9850000000000012</v>
      </c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>
        <f>SUM(X168:X171)/I167</f>
        <v>220.36596073517129</v>
      </c>
      <c r="Z167" s="7"/>
      <c r="AA167" s="7"/>
      <c r="AB167" s="7"/>
      <c r="AC167" s="7"/>
      <c r="AD167" s="7"/>
      <c r="AE167" s="7"/>
    </row>
    <row r="168" spans="1:32" s="9" customFormat="1" ht="20.100000000000001" customHeight="1" x14ac:dyDescent="0.25">
      <c r="A168" s="6"/>
      <c r="B168" s="10" t="s">
        <v>2</v>
      </c>
      <c r="C168" s="13" t="s">
        <v>4</v>
      </c>
      <c r="D168" s="7">
        <v>25</v>
      </c>
      <c r="E168" s="7"/>
      <c r="F168" s="7">
        <v>3</v>
      </c>
      <c r="G168" s="8">
        <f>VLOOKUP(D168,'[2]Beam '!$C$20:$H$26,3,0)</f>
        <v>1</v>
      </c>
      <c r="H168" s="8"/>
      <c r="I168" s="7"/>
      <c r="J168" s="7"/>
      <c r="K168" s="7"/>
      <c r="L168" s="7"/>
      <c r="M168" s="7"/>
      <c r="N168" s="7"/>
      <c r="O168" s="7">
        <f>(E167+2*(G168+(12*D168/1000)))*D167</f>
        <v>5.45</v>
      </c>
      <c r="P168" s="7">
        <f>O168*F168</f>
        <v>16.350000000000001</v>
      </c>
      <c r="Q168" s="7">
        <f>IF($D168='[2]Beam '!Q$44,$P168*'[2]Beam '!Q$45,0)</f>
        <v>0</v>
      </c>
      <c r="R168" s="7">
        <f>IF($D168='[2]Beam '!R$44,$P168*'[2]Beam '!R$45,0)</f>
        <v>0</v>
      </c>
      <c r="S168" s="7">
        <f>IF($D168='[2]Beam '!S$44,$P168*'[2]Beam '!S$45,0)</f>
        <v>0</v>
      </c>
      <c r="T168" s="7">
        <f>IF($D168='[2]Beam '!T$44,$P168*'[2]Beam '!T$45,0)</f>
        <v>0</v>
      </c>
      <c r="U168" s="7">
        <f>IF($D168='[2]Beam '!U$44,$P168*'[2]Beam '!U$45,0)</f>
        <v>0</v>
      </c>
      <c r="V168" s="7">
        <f>IF($D168='[2]Beam '!V$44,$P168*'[2]Beam '!V$45,0)</f>
        <v>63.027790178571443</v>
      </c>
      <c r="W168" s="7">
        <f>IF($D168='[2]Beam '!W$44,$P168*'[2]Beam '!W$45,0)</f>
        <v>0</v>
      </c>
      <c r="X168" s="7">
        <f>SUM(Q168:W168)</f>
        <v>63.027790178571443</v>
      </c>
      <c r="Y168" s="7"/>
      <c r="Z168" s="7"/>
      <c r="AA168" s="7"/>
      <c r="AB168" s="7"/>
      <c r="AC168" s="7"/>
      <c r="AD168" s="7"/>
      <c r="AE168" s="7"/>
    </row>
    <row r="169" spans="1:32" s="9" customFormat="1" ht="20.100000000000001" customHeight="1" x14ac:dyDescent="0.25">
      <c r="A169" s="6"/>
      <c r="B169" s="10" t="s">
        <v>2</v>
      </c>
      <c r="C169" s="13" t="s">
        <v>5</v>
      </c>
      <c r="D169" s="7">
        <v>20</v>
      </c>
      <c r="E169" s="7"/>
      <c r="F169" s="7">
        <v>2</v>
      </c>
      <c r="G169" s="8">
        <f>VLOOKUP(D169,'[2]Beam '!$C$20:$H$26,3,0)</f>
        <v>0.8</v>
      </c>
      <c r="H169" s="8"/>
      <c r="I169" s="7"/>
      <c r="J169" s="7"/>
      <c r="K169" s="7"/>
      <c r="L169" s="7"/>
      <c r="M169" s="7"/>
      <c r="N169" s="7"/>
      <c r="O169" s="7">
        <f>(0.8+1*(G169+(12*D169/1000)))*D167</f>
        <v>1.84</v>
      </c>
      <c r="P169" s="7">
        <f>O169*F169</f>
        <v>3.68</v>
      </c>
      <c r="Q169" s="7">
        <f>IF($D169='[2]Beam '!Q$44,$P169*'[2]Beam '!Q$45,0)</f>
        <v>0</v>
      </c>
      <c r="R169" s="7">
        <f>IF($D169='[2]Beam '!R$44,$P169*'[2]Beam '!R$45,0)</f>
        <v>0</v>
      </c>
      <c r="S169" s="7">
        <f>IF($D169='[2]Beam '!S$44,$P169*'[2]Beam '!S$45,0)</f>
        <v>0</v>
      </c>
      <c r="T169" s="7">
        <f>IF($D169='[2]Beam '!T$44,$P169*'[2]Beam '!T$45,0)</f>
        <v>0</v>
      </c>
      <c r="U169" s="7">
        <f>IF($D169='[2]Beam '!U$44,$P169*'[2]Beam '!U$45,0)</f>
        <v>9.0790857142857142</v>
      </c>
      <c r="V169" s="7">
        <f>IF($D169='[2]Beam '!V$44,$P169*'[2]Beam '!V$45,0)</f>
        <v>0</v>
      </c>
      <c r="W169" s="7">
        <f>IF($D169='[2]Beam '!W$44,$P169*'[2]Beam '!W$45,0)</f>
        <v>0</v>
      </c>
      <c r="X169" s="7">
        <f>SUM(Q169:W169)</f>
        <v>9.0790857142857142</v>
      </c>
      <c r="Y169" s="7"/>
      <c r="Z169" s="7"/>
      <c r="AA169" s="7"/>
      <c r="AB169" s="7"/>
      <c r="AC169" s="7"/>
      <c r="AD169" s="7"/>
      <c r="AE169" s="7"/>
    </row>
    <row r="170" spans="1:32" s="9" customFormat="1" ht="20.100000000000001" customHeight="1" x14ac:dyDescent="0.25">
      <c r="A170" s="6"/>
      <c r="B170" s="10" t="s">
        <v>2</v>
      </c>
      <c r="C170" s="13" t="s">
        <v>6</v>
      </c>
      <c r="D170" s="7">
        <v>25</v>
      </c>
      <c r="E170" s="7"/>
      <c r="F170" s="7">
        <v>3</v>
      </c>
      <c r="G170" s="8">
        <f>VLOOKUP(D170,'[2]Beam '!$C$20:$H$26,3,0)</f>
        <v>1</v>
      </c>
      <c r="H170" s="7"/>
      <c r="I170" s="7"/>
      <c r="J170" s="7"/>
      <c r="K170" s="7"/>
      <c r="L170" s="7"/>
      <c r="M170" s="7"/>
      <c r="N170" s="7"/>
      <c r="O170" s="7">
        <f>(E167+2*(G170+(12*D170/1000)))*D167</f>
        <v>5.45</v>
      </c>
      <c r="P170" s="7">
        <f>O170*F170</f>
        <v>16.350000000000001</v>
      </c>
      <c r="Q170" s="7">
        <f>IF($D170='[2]Beam '!Q$44,$P170*'[2]Beam '!Q$45,0)</f>
        <v>0</v>
      </c>
      <c r="R170" s="7">
        <f>IF($D170='[2]Beam '!R$44,$P170*'[2]Beam '!R$45,0)</f>
        <v>0</v>
      </c>
      <c r="S170" s="7">
        <f>IF($D170='[2]Beam '!S$44,$P170*'[2]Beam '!S$45,0)</f>
        <v>0</v>
      </c>
      <c r="T170" s="7">
        <f>IF($D170='[2]Beam '!T$44,$P170*'[2]Beam '!T$45,0)</f>
        <v>0</v>
      </c>
      <c r="U170" s="7">
        <f>IF($D170='[2]Beam '!U$44,$P170*'[2]Beam '!U$45,0)</f>
        <v>0</v>
      </c>
      <c r="V170" s="7">
        <f>IF($D170='[2]Beam '!V$44,$P170*'[2]Beam '!V$45,0)</f>
        <v>63.027790178571443</v>
      </c>
      <c r="W170" s="7">
        <f>IF($D170='[2]Beam '!W$44,$P170*'[2]Beam '!W$45,0)</f>
        <v>0</v>
      </c>
      <c r="X170" s="7">
        <f>SUM(Q170:W170)</f>
        <v>63.027790178571443</v>
      </c>
      <c r="Y170" s="7"/>
      <c r="Z170" s="7"/>
      <c r="AA170" s="7"/>
      <c r="AB170" s="7"/>
      <c r="AC170" s="7"/>
      <c r="AD170" s="7"/>
      <c r="AE170" s="7"/>
    </row>
    <row r="171" spans="1:32" s="9" customFormat="1" ht="21" customHeight="1" x14ac:dyDescent="0.25">
      <c r="A171" s="6"/>
      <c r="B171" s="10" t="s">
        <v>2</v>
      </c>
      <c r="C171" s="13" t="s">
        <v>26</v>
      </c>
      <c r="D171" s="7">
        <v>12</v>
      </c>
      <c r="E171" s="7">
        <v>0.1</v>
      </c>
      <c r="F171" s="7">
        <f>ROUNDUP(E167/E171,0)</f>
        <v>29</v>
      </c>
      <c r="H171" s="7"/>
      <c r="I171" s="7"/>
      <c r="J171" s="7"/>
      <c r="K171" s="7"/>
      <c r="L171" s="7"/>
      <c r="M171" s="7"/>
      <c r="N171" s="7"/>
      <c r="O171" s="7">
        <f>(2*((G167-(2*'[2]Beam '!$D$11))+(F167-(2*'[2]Beam '!$D$11)))+(2*10*D171/1000))*D167</f>
        <v>2.8</v>
      </c>
      <c r="P171" s="7">
        <f>O171*F171</f>
        <v>81.199999999999989</v>
      </c>
      <c r="Q171" s="7">
        <f>IF($D171='[2]Beam '!Q$44,$P171*'[2]Beam '!Q$45,0)</f>
        <v>0</v>
      </c>
      <c r="R171" s="7">
        <f>IF($D171='[2]Beam '!R$44,$P171*'[2]Beam '!R$45,0)</f>
        <v>0</v>
      </c>
      <c r="S171" s="7">
        <f>IF($D171='[2]Beam '!S$44,$P171*'[2]Beam '!S$45,0)</f>
        <v>72.119520000000009</v>
      </c>
      <c r="T171" s="7">
        <f>IF($D171='[2]Beam '!T$44,$P171*'[2]Beam '!T$45,0)</f>
        <v>0</v>
      </c>
      <c r="U171" s="7">
        <f>IF($D171='[2]Beam '!U$44,$P171*'[2]Beam '!U$45,0)</f>
        <v>0</v>
      </c>
      <c r="V171" s="7">
        <f>IF($D171='[2]Beam '!V$44,$P171*'[2]Beam '!V$45,0)</f>
        <v>0</v>
      </c>
      <c r="W171" s="7">
        <f>IF($D171='[2]Beam '!W$44,$P171*'[2]Beam '!W$45,0)</f>
        <v>0</v>
      </c>
      <c r="X171" s="7">
        <f>SUM(Q171:W171)</f>
        <v>72.119520000000009</v>
      </c>
      <c r="Y171" s="7"/>
      <c r="Z171" s="7"/>
      <c r="AA171" s="7"/>
      <c r="AB171" s="7"/>
      <c r="AC171" s="7"/>
      <c r="AD171" s="7"/>
      <c r="AE171" s="7"/>
      <c r="AF171" s="7"/>
    </row>
    <row r="172" spans="1:32" s="9" customFormat="1" ht="20.100000000000001" customHeight="1" x14ac:dyDescent="0.25">
      <c r="A172" s="6"/>
      <c r="B172" s="10" t="s">
        <v>2</v>
      </c>
      <c r="C172" s="13" t="s">
        <v>11</v>
      </c>
      <c r="D172" s="7">
        <f>+'[2]Beam '!$D$15</f>
        <v>25</v>
      </c>
      <c r="E172" s="7">
        <f>+'[2]Beam '!$E$15</f>
        <v>1</v>
      </c>
      <c r="F172" s="7">
        <f>ROUNDUP((0.8)/E172,0)</f>
        <v>1</v>
      </c>
      <c r="G172" s="8"/>
      <c r="H172" s="8"/>
      <c r="I172" s="7"/>
      <c r="J172" s="7"/>
      <c r="K172" s="7"/>
      <c r="L172" s="7"/>
      <c r="M172" s="7"/>
      <c r="N172" s="7"/>
      <c r="O172" s="7">
        <f>F167-'[2]Beam '!$F$15</f>
        <v>0.24</v>
      </c>
      <c r="P172" s="7">
        <f>O172*F172</f>
        <v>0.24</v>
      </c>
      <c r="Q172" s="7">
        <f>IF($D172='[2]Beam '!Q$44,$P172*'[2]Beam '!Q$45,0)</f>
        <v>0</v>
      </c>
      <c r="R172" s="7">
        <f>IF($D172='[2]Beam '!R$44,$P172*'[2]Beam '!R$45,0)</f>
        <v>0</v>
      </c>
      <c r="S172" s="7">
        <f>IF($D172='[2]Beam '!S$44,$P172*'[2]Beam '!S$45,0)</f>
        <v>0</v>
      </c>
      <c r="T172" s="7">
        <f>IF($D172='[2]Beam '!T$44,$P172*'[2]Beam '!T$45,0)</f>
        <v>0</v>
      </c>
      <c r="U172" s="7">
        <f>IF($D172='[2]Beam '!U$44,$P172*'[2]Beam '!U$45,0)</f>
        <v>0</v>
      </c>
      <c r="V172" s="7">
        <f>IF($D172='[2]Beam '!V$44,$P172*'[2]Beam '!V$45,0)</f>
        <v>0.92517857142857152</v>
      </c>
      <c r="W172" s="7">
        <f>IF($D172='[2]Beam '!W$44,$P172*'[2]Beam '!W$45,0)</f>
        <v>0</v>
      </c>
      <c r="X172" s="7">
        <f>SUM(Q172:W172)</f>
        <v>0.92517857142857152</v>
      </c>
      <c r="Y172" s="7"/>
      <c r="Z172" s="7"/>
      <c r="AA172" s="7"/>
      <c r="AB172" s="7"/>
      <c r="AC172" s="7"/>
      <c r="AD172" s="7"/>
      <c r="AE172" s="7"/>
    </row>
    <row r="173" spans="1:32" s="9" customFormat="1" ht="20.100000000000001" customHeight="1" x14ac:dyDescent="0.25">
      <c r="A173" s="7">
        <v>1</v>
      </c>
      <c r="B173" s="10" t="s">
        <v>2</v>
      </c>
      <c r="C173" s="11" t="s">
        <v>36</v>
      </c>
      <c r="D173" s="11">
        <v>1</v>
      </c>
      <c r="E173" s="11">
        <v>2.85</v>
      </c>
      <c r="F173" s="11">
        <v>0.2</v>
      </c>
      <c r="G173" s="11">
        <v>1.1000000000000001</v>
      </c>
      <c r="H173" s="7">
        <f>G173-0.2</f>
        <v>0.90000000000000013</v>
      </c>
      <c r="I173" s="7">
        <f>E173*F173*G173*D173</f>
        <v>0.62700000000000011</v>
      </c>
      <c r="J173" s="7">
        <f>(2*(E173)*H173*D173)+(E173*F173)</f>
        <v>5.7000000000000011</v>
      </c>
      <c r="K173" s="12">
        <f>IF(E173=0.3,J173,0)</f>
        <v>0</v>
      </c>
      <c r="L173" s="12">
        <f>IF(AND(E173&gt;0.3,E173&lt;=0.75),J173,0)</f>
        <v>0</v>
      </c>
      <c r="M173" s="12">
        <f>IF(AND(E173&gt;0.75,E173&lt;=1.2),J173,0)</f>
        <v>0</v>
      </c>
      <c r="N173" s="12">
        <f>IF(E173&gt;1.2,J173,0)</f>
        <v>5.7000000000000011</v>
      </c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>
        <f>SUM(X174:X177)/I173</f>
        <v>193.32346491228068</v>
      </c>
      <c r="Z173" s="7"/>
      <c r="AA173" s="7"/>
      <c r="AB173" s="7"/>
      <c r="AC173" s="7"/>
      <c r="AD173" s="7"/>
      <c r="AE173" s="7"/>
    </row>
    <row r="174" spans="1:32" s="9" customFormat="1" ht="20.100000000000001" customHeight="1" x14ac:dyDescent="0.25">
      <c r="A174" s="6"/>
      <c r="B174" s="10" t="s">
        <v>2</v>
      </c>
      <c r="C174" s="13" t="s">
        <v>4</v>
      </c>
      <c r="D174" s="7">
        <v>20</v>
      </c>
      <c r="E174" s="7"/>
      <c r="F174" s="7">
        <v>2</v>
      </c>
      <c r="G174" s="8">
        <f>VLOOKUP(D174,'[2]Beam '!$C$20:$H$26,3,0)</f>
        <v>0.8</v>
      </c>
      <c r="H174" s="8"/>
      <c r="I174" s="7"/>
      <c r="J174" s="7"/>
      <c r="K174" s="7"/>
      <c r="L174" s="7"/>
      <c r="M174" s="7"/>
      <c r="N174" s="7"/>
      <c r="O174" s="7">
        <f>(E173+2*(G174+(12*D174/1000)))*D173</f>
        <v>4.93</v>
      </c>
      <c r="P174" s="7">
        <f>O174*F174</f>
        <v>9.86</v>
      </c>
      <c r="Q174" s="7">
        <f>IF($D174='[2]Beam '!Q$44,$P174*'[2]Beam '!Q$45,0)</f>
        <v>0</v>
      </c>
      <c r="R174" s="7">
        <f>IF($D174='[2]Beam '!R$44,$P174*'[2]Beam '!R$45,0)</f>
        <v>0</v>
      </c>
      <c r="S174" s="7">
        <f>IF($D174='[2]Beam '!S$44,$P174*'[2]Beam '!S$45,0)</f>
        <v>0</v>
      </c>
      <c r="T174" s="7">
        <f>IF($D174='[2]Beam '!T$44,$P174*'[2]Beam '!T$45,0)</f>
        <v>0</v>
      </c>
      <c r="U174" s="7">
        <f>IF($D174='[2]Beam '!U$44,$P174*'[2]Beam '!U$45,0)</f>
        <v>24.326028571428569</v>
      </c>
      <c r="V174" s="7">
        <f>IF($D174='[2]Beam '!V$44,$P174*'[2]Beam '!V$45,0)</f>
        <v>0</v>
      </c>
      <c r="W174" s="7">
        <f>IF($D174='[2]Beam '!W$44,$P174*'[2]Beam '!W$45,0)</f>
        <v>0</v>
      </c>
      <c r="X174" s="7">
        <f>SUM(Q174:W174)</f>
        <v>24.326028571428569</v>
      </c>
      <c r="Y174" s="7"/>
      <c r="Z174" s="7"/>
      <c r="AA174" s="7"/>
      <c r="AB174" s="7"/>
      <c r="AC174" s="7"/>
      <c r="AD174" s="7"/>
      <c r="AE174" s="7"/>
    </row>
    <row r="175" spans="1:32" s="9" customFormat="1" ht="20.100000000000001" customHeight="1" x14ac:dyDescent="0.25">
      <c r="A175" s="6"/>
      <c r="B175" s="10" t="s">
        <v>2</v>
      </c>
      <c r="C175" s="13" t="s">
        <v>5</v>
      </c>
      <c r="D175" s="7">
        <v>20</v>
      </c>
      <c r="E175" s="7"/>
      <c r="F175" s="7">
        <v>2</v>
      </c>
      <c r="G175" s="8">
        <f>VLOOKUP(D175,'[2]Beam '!$C$20:$H$26,3,0)</f>
        <v>0.8</v>
      </c>
      <c r="H175" s="8"/>
      <c r="I175" s="7"/>
      <c r="J175" s="7"/>
      <c r="K175" s="7"/>
      <c r="L175" s="7"/>
      <c r="M175" s="7"/>
      <c r="N175" s="7"/>
      <c r="O175" s="7">
        <f>(0.8+1*(G175+(12*D175/1000)))*D173</f>
        <v>1.84</v>
      </c>
      <c r="P175" s="7">
        <f>O175*F175</f>
        <v>3.68</v>
      </c>
      <c r="Q175" s="7">
        <f>IF($D175='[2]Beam '!Q$44,$P175*'[2]Beam '!Q$45,0)</f>
        <v>0</v>
      </c>
      <c r="R175" s="7">
        <f>IF($D175='[2]Beam '!R$44,$P175*'[2]Beam '!R$45,0)</f>
        <v>0</v>
      </c>
      <c r="S175" s="7">
        <f>IF($D175='[2]Beam '!S$44,$P175*'[2]Beam '!S$45,0)</f>
        <v>0</v>
      </c>
      <c r="T175" s="7">
        <f>IF($D175='[2]Beam '!T$44,$P175*'[2]Beam '!T$45,0)</f>
        <v>0</v>
      </c>
      <c r="U175" s="7">
        <f>IF($D175='[2]Beam '!U$44,$P175*'[2]Beam '!U$45,0)</f>
        <v>9.0790857142857142</v>
      </c>
      <c r="V175" s="7">
        <f>IF($D175='[2]Beam '!V$44,$P175*'[2]Beam '!V$45,0)</f>
        <v>0</v>
      </c>
      <c r="W175" s="7">
        <f>IF($D175='[2]Beam '!W$44,$P175*'[2]Beam '!W$45,0)</f>
        <v>0</v>
      </c>
      <c r="X175" s="7">
        <f>SUM(Q175:W175)</f>
        <v>9.0790857142857142</v>
      </c>
      <c r="Y175" s="7"/>
      <c r="Z175" s="7"/>
      <c r="AA175" s="7"/>
      <c r="AB175" s="7"/>
      <c r="AC175" s="7"/>
      <c r="AD175" s="7"/>
      <c r="AE175" s="7"/>
    </row>
    <row r="176" spans="1:32" s="9" customFormat="1" ht="20.100000000000001" customHeight="1" x14ac:dyDescent="0.25">
      <c r="A176" s="6"/>
      <c r="B176" s="10" t="s">
        <v>2</v>
      </c>
      <c r="C176" s="13" t="s">
        <v>6</v>
      </c>
      <c r="D176" s="7">
        <v>25</v>
      </c>
      <c r="E176" s="7"/>
      <c r="F176" s="7">
        <v>2</v>
      </c>
      <c r="G176" s="8">
        <f>VLOOKUP(D176,'[2]Beam '!$C$20:$H$26,3,0)</f>
        <v>1</v>
      </c>
      <c r="H176" s="7"/>
      <c r="I176" s="7"/>
      <c r="J176" s="7"/>
      <c r="K176" s="7"/>
      <c r="L176" s="7"/>
      <c r="M176" s="7"/>
      <c r="N176" s="7"/>
      <c r="O176" s="7">
        <f>(E173+2*(G176+(12*D176/1000)))*D173</f>
        <v>5.45</v>
      </c>
      <c r="P176" s="7">
        <f>O176*F176</f>
        <v>10.9</v>
      </c>
      <c r="Q176" s="7">
        <f>IF($D176='[2]Beam '!Q$44,$P176*'[2]Beam '!Q$45,0)</f>
        <v>0</v>
      </c>
      <c r="R176" s="7">
        <f>IF($D176='[2]Beam '!R$44,$P176*'[2]Beam '!R$45,0)</f>
        <v>0</v>
      </c>
      <c r="S176" s="7">
        <f>IF($D176='[2]Beam '!S$44,$P176*'[2]Beam '!S$45,0)</f>
        <v>0</v>
      </c>
      <c r="T176" s="7">
        <f>IF($D176='[2]Beam '!T$44,$P176*'[2]Beam '!T$45,0)</f>
        <v>0</v>
      </c>
      <c r="U176" s="7">
        <f>IF($D176='[2]Beam '!U$44,$P176*'[2]Beam '!U$45,0)</f>
        <v>0</v>
      </c>
      <c r="V176" s="7">
        <f>IF($D176='[2]Beam '!V$44,$P176*'[2]Beam '!V$45,0)</f>
        <v>42.018526785714293</v>
      </c>
      <c r="W176" s="7">
        <f>IF($D176='[2]Beam '!W$44,$P176*'[2]Beam '!W$45,0)</f>
        <v>0</v>
      </c>
      <c r="X176" s="7">
        <f>SUM(Q176:W176)</f>
        <v>42.018526785714293</v>
      </c>
      <c r="Y176" s="7"/>
      <c r="Z176" s="7"/>
      <c r="AA176" s="7"/>
      <c r="AB176" s="7"/>
      <c r="AC176" s="7"/>
      <c r="AD176" s="7"/>
      <c r="AE176" s="7"/>
    </row>
    <row r="177" spans="1:32" s="9" customFormat="1" ht="21" customHeight="1" x14ac:dyDescent="0.25">
      <c r="A177" s="6"/>
      <c r="B177" s="10" t="s">
        <v>2</v>
      </c>
      <c r="C177" s="13" t="s">
        <v>26</v>
      </c>
      <c r="D177" s="7">
        <v>10</v>
      </c>
      <c r="E177" s="7">
        <v>0.1</v>
      </c>
      <c r="F177" s="7">
        <f>ROUNDUP(E173/E177,0)</f>
        <v>29</v>
      </c>
      <c r="H177" s="7"/>
      <c r="I177" s="7"/>
      <c r="J177" s="7"/>
      <c r="K177" s="7"/>
      <c r="L177" s="7"/>
      <c r="M177" s="7"/>
      <c r="N177" s="7"/>
      <c r="O177" s="7">
        <f>(2*((G173-(2*'[2]Beam '!$D$11))+(F173-(2*'[2]Beam '!$D$11)))+(2*10*D177/1000))*D173</f>
        <v>2.5600000000000005</v>
      </c>
      <c r="P177" s="7">
        <f>O177*F177</f>
        <v>74.240000000000009</v>
      </c>
      <c r="Q177" s="7">
        <f>IF($D177='[2]Beam '!Q$44,$P177*'[2]Beam '!Q$45,0)</f>
        <v>0</v>
      </c>
      <c r="R177" s="7">
        <f>IF($D177='[2]Beam '!R$44,$P177*'[2]Beam '!R$45,0)</f>
        <v>45.790171428571433</v>
      </c>
      <c r="S177" s="7">
        <f>IF($D177='[2]Beam '!S$44,$P177*'[2]Beam '!S$45,0)</f>
        <v>0</v>
      </c>
      <c r="T177" s="7">
        <f>IF($D177='[2]Beam '!T$44,$P177*'[2]Beam '!T$45,0)</f>
        <v>0</v>
      </c>
      <c r="U177" s="7">
        <f>IF($D177='[2]Beam '!U$44,$P177*'[2]Beam '!U$45,0)</f>
        <v>0</v>
      </c>
      <c r="V177" s="7">
        <f>IF($D177='[2]Beam '!V$44,$P177*'[2]Beam '!V$45,0)</f>
        <v>0</v>
      </c>
      <c r="W177" s="7">
        <f>IF($D177='[2]Beam '!W$44,$P177*'[2]Beam '!W$45,0)</f>
        <v>0</v>
      </c>
      <c r="X177" s="7">
        <f>SUM(Q177:W177)</f>
        <v>45.790171428571433</v>
      </c>
      <c r="Y177" s="7"/>
      <c r="Z177" s="7"/>
      <c r="AA177" s="7"/>
      <c r="AB177" s="7"/>
      <c r="AC177" s="7"/>
      <c r="AD177" s="7"/>
      <c r="AE177" s="7"/>
      <c r="AF177" s="7"/>
    </row>
    <row r="178" spans="1:32" s="9" customFormat="1" ht="20.100000000000001" customHeight="1" x14ac:dyDescent="0.25">
      <c r="A178" s="6"/>
      <c r="B178" s="10" t="s">
        <v>2</v>
      </c>
      <c r="C178" s="13" t="s">
        <v>11</v>
      </c>
      <c r="D178" s="7">
        <f>+'[2]Beam '!$D$15</f>
        <v>25</v>
      </c>
      <c r="E178" s="7">
        <f>+'[2]Beam '!$E$15</f>
        <v>1</v>
      </c>
      <c r="F178" s="7">
        <f>ROUNDUP((0.8)/E178,0)</f>
        <v>1</v>
      </c>
      <c r="G178" s="8"/>
      <c r="H178" s="8"/>
      <c r="I178" s="7"/>
      <c r="J178" s="7"/>
      <c r="K178" s="7"/>
      <c r="L178" s="7"/>
      <c r="M178" s="7"/>
      <c r="N178" s="7"/>
      <c r="O178" s="7">
        <f>F173-'[2]Beam '!$F$15</f>
        <v>0.14000000000000001</v>
      </c>
      <c r="P178" s="7">
        <f>O178*F178</f>
        <v>0.14000000000000001</v>
      </c>
      <c r="Q178" s="7">
        <f>IF($D178='[2]Beam '!Q$44,$P178*'[2]Beam '!Q$45,0)</f>
        <v>0</v>
      </c>
      <c r="R178" s="7">
        <f>IF($D178='[2]Beam '!R$44,$P178*'[2]Beam '!R$45,0)</f>
        <v>0</v>
      </c>
      <c r="S178" s="7">
        <f>IF($D178='[2]Beam '!S$44,$P178*'[2]Beam '!S$45,0)</f>
        <v>0</v>
      </c>
      <c r="T178" s="7">
        <f>IF($D178='[2]Beam '!T$44,$P178*'[2]Beam '!T$45,0)</f>
        <v>0</v>
      </c>
      <c r="U178" s="7">
        <f>IF($D178='[2]Beam '!U$44,$P178*'[2]Beam '!U$45,0)</f>
        <v>0</v>
      </c>
      <c r="V178" s="7">
        <f>IF($D178='[2]Beam '!V$44,$P178*'[2]Beam '!V$45,0)</f>
        <v>0.5396875000000001</v>
      </c>
      <c r="W178" s="7">
        <f>IF($D178='[2]Beam '!W$44,$P178*'[2]Beam '!W$45,0)</f>
        <v>0</v>
      </c>
      <c r="X178" s="7">
        <f>SUM(Q178:W178)</f>
        <v>0.5396875000000001</v>
      </c>
      <c r="Y178" s="7"/>
      <c r="Z178" s="7"/>
      <c r="AA178" s="7"/>
      <c r="AB178" s="7"/>
      <c r="AC178" s="7"/>
      <c r="AD178" s="7"/>
      <c r="AE178" s="7"/>
    </row>
    <row r="179" spans="1:32" s="9" customFormat="1" ht="20.100000000000001" customHeight="1" x14ac:dyDescent="0.25">
      <c r="A179" s="7">
        <v>1</v>
      </c>
      <c r="B179" s="10" t="s">
        <v>2</v>
      </c>
      <c r="C179" s="11" t="s">
        <v>37</v>
      </c>
      <c r="D179" s="11">
        <v>1</v>
      </c>
      <c r="E179" s="11">
        <v>2.85</v>
      </c>
      <c r="F179" s="11">
        <v>0.2</v>
      </c>
      <c r="G179" s="11">
        <v>1.1000000000000001</v>
      </c>
      <c r="H179" s="7">
        <f>G179-0.2</f>
        <v>0.90000000000000013</v>
      </c>
      <c r="I179" s="7">
        <f>E179*F179*G179*D179</f>
        <v>0.62700000000000011</v>
      </c>
      <c r="J179" s="7">
        <f>(2*(E179)*H179*D179)+(E179*F179)</f>
        <v>5.7000000000000011</v>
      </c>
      <c r="K179" s="12">
        <f>IF(E179=0.3,J179,0)</f>
        <v>0</v>
      </c>
      <c r="L179" s="12">
        <f>IF(AND(E179&gt;0.3,E179&lt;=0.75),J179,0)</f>
        <v>0</v>
      </c>
      <c r="M179" s="12">
        <f>IF(AND(E179&gt;0.75,E179&lt;=1.2),J179,0)</f>
        <v>0</v>
      </c>
      <c r="N179" s="12">
        <f>IF(E179&gt;1.2,J179,0)</f>
        <v>5.7000000000000011</v>
      </c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>
        <f>SUM(X180:X183)/I179</f>
        <v>193.32346491228068</v>
      </c>
      <c r="Z179" s="7"/>
      <c r="AA179" s="7"/>
      <c r="AB179" s="7"/>
      <c r="AC179" s="7"/>
      <c r="AD179" s="7"/>
      <c r="AE179" s="7"/>
    </row>
    <row r="180" spans="1:32" s="9" customFormat="1" ht="20.100000000000001" customHeight="1" x14ac:dyDescent="0.25">
      <c r="A180" s="6"/>
      <c r="B180" s="10" t="s">
        <v>2</v>
      </c>
      <c r="C180" s="13" t="s">
        <v>4</v>
      </c>
      <c r="D180" s="7">
        <v>20</v>
      </c>
      <c r="E180" s="7"/>
      <c r="F180" s="7">
        <v>2</v>
      </c>
      <c r="G180" s="8">
        <f>VLOOKUP(D180,'[2]Beam '!$C$20:$H$26,3,0)</f>
        <v>0.8</v>
      </c>
      <c r="H180" s="8"/>
      <c r="I180" s="7"/>
      <c r="J180" s="7"/>
      <c r="K180" s="7"/>
      <c r="L180" s="7"/>
      <c r="M180" s="7"/>
      <c r="N180" s="7"/>
      <c r="O180" s="7">
        <f>(E179+2*(G180+(12*D180/1000)))*D179</f>
        <v>4.93</v>
      </c>
      <c r="P180" s="7">
        <f>O180*F180</f>
        <v>9.86</v>
      </c>
      <c r="Q180" s="7">
        <f>IF($D180='[2]Beam '!Q$44,$P180*'[2]Beam '!Q$45,0)</f>
        <v>0</v>
      </c>
      <c r="R180" s="7">
        <f>IF($D180='[2]Beam '!R$44,$P180*'[2]Beam '!R$45,0)</f>
        <v>0</v>
      </c>
      <c r="S180" s="7">
        <f>IF($D180='[2]Beam '!S$44,$P180*'[2]Beam '!S$45,0)</f>
        <v>0</v>
      </c>
      <c r="T180" s="7">
        <f>IF($D180='[2]Beam '!T$44,$P180*'[2]Beam '!T$45,0)</f>
        <v>0</v>
      </c>
      <c r="U180" s="7">
        <f>IF($D180='[2]Beam '!U$44,$P180*'[2]Beam '!U$45,0)</f>
        <v>24.326028571428569</v>
      </c>
      <c r="V180" s="7">
        <f>IF($D180='[2]Beam '!V$44,$P180*'[2]Beam '!V$45,0)</f>
        <v>0</v>
      </c>
      <c r="W180" s="7">
        <f>IF($D180='[2]Beam '!W$44,$P180*'[2]Beam '!W$45,0)</f>
        <v>0</v>
      </c>
      <c r="X180" s="7">
        <f>SUM(Q180:W180)</f>
        <v>24.326028571428569</v>
      </c>
      <c r="Y180" s="7"/>
      <c r="Z180" s="7"/>
      <c r="AA180" s="7"/>
      <c r="AB180" s="7"/>
      <c r="AC180" s="7"/>
      <c r="AD180" s="7"/>
      <c r="AE180" s="7"/>
    </row>
    <row r="181" spans="1:32" s="9" customFormat="1" ht="20.100000000000001" customHeight="1" x14ac:dyDescent="0.25">
      <c r="A181" s="6"/>
      <c r="B181" s="10" t="s">
        <v>2</v>
      </c>
      <c r="C181" s="13" t="s">
        <v>5</v>
      </c>
      <c r="D181" s="7">
        <v>20</v>
      </c>
      <c r="E181" s="7"/>
      <c r="F181" s="7">
        <v>2</v>
      </c>
      <c r="G181" s="8">
        <f>VLOOKUP(D181,'[2]Beam '!$C$20:$H$26,3,0)</f>
        <v>0.8</v>
      </c>
      <c r="H181" s="8"/>
      <c r="I181" s="7"/>
      <c r="J181" s="7"/>
      <c r="K181" s="7"/>
      <c r="L181" s="7"/>
      <c r="M181" s="7"/>
      <c r="N181" s="7"/>
      <c r="O181" s="7">
        <f>(0.8+1*(G181+(12*D181/1000)))*D179</f>
        <v>1.84</v>
      </c>
      <c r="P181" s="7">
        <f>O181*F181</f>
        <v>3.68</v>
      </c>
      <c r="Q181" s="7">
        <f>IF($D181='[2]Beam '!Q$44,$P181*'[2]Beam '!Q$45,0)</f>
        <v>0</v>
      </c>
      <c r="R181" s="7">
        <f>IF($D181='[2]Beam '!R$44,$P181*'[2]Beam '!R$45,0)</f>
        <v>0</v>
      </c>
      <c r="S181" s="7">
        <f>IF($D181='[2]Beam '!S$44,$P181*'[2]Beam '!S$45,0)</f>
        <v>0</v>
      </c>
      <c r="T181" s="7">
        <f>IF($D181='[2]Beam '!T$44,$P181*'[2]Beam '!T$45,0)</f>
        <v>0</v>
      </c>
      <c r="U181" s="7">
        <f>IF($D181='[2]Beam '!U$44,$P181*'[2]Beam '!U$45,0)</f>
        <v>9.0790857142857142</v>
      </c>
      <c r="V181" s="7">
        <f>IF($D181='[2]Beam '!V$44,$P181*'[2]Beam '!V$45,0)</f>
        <v>0</v>
      </c>
      <c r="W181" s="7">
        <f>IF($D181='[2]Beam '!W$44,$P181*'[2]Beam '!W$45,0)</f>
        <v>0</v>
      </c>
      <c r="X181" s="7">
        <f>SUM(Q181:W181)</f>
        <v>9.0790857142857142</v>
      </c>
      <c r="Y181" s="7"/>
      <c r="Z181" s="7"/>
      <c r="AA181" s="7"/>
      <c r="AB181" s="7"/>
      <c r="AC181" s="7"/>
      <c r="AD181" s="7"/>
      <c r="AE181" s="7"/>
    </row>
    <row r="182" spans="1:32" s="9" customFormat="1" ht="20.100000000000001" customHeight="1" x14ac:dyDescent="0.25">
      <c r="A182" s="6"/>
      <c r="B182" s="10" t="s">
        <v>2</v>
      </c>
      <c r="C182" s="13" t="s">
        <v>6</v>
      </c>
      <c r="D182" s="7">
        <v>25</v>
      </c>
      <c r="E182" s="7"/>
      <c r="F182" s="7">
        <v>2</v>
      </c>
      <c r="G182" s="8">
        <f>VLOOKUP(D182,'[2]Beam '!$C$20:$H$26,3,0)</f>
        <v>1</v>
      </c>
      <c r="H182" s="7"/>
      <c r="I182" s="7"/>
      <c r="J182" s="7"/>
      <c r="K182" s="7"/>
      <c r="L182" s="7"/>
      <c r="M182" s="7"/>
      <c r="N182" s="7"/>
      <c r="O182" s="7">
        <f>(E179+2*(G182+(12*D182/1000)))*D179</f>
        <v>5.45</v>
      </c>
      <c r="P182" s="7">
        <f>O182*F182</f>
        <v>10.9</v>
      </c>
      <c r="Q182" s="7">
        <f>IF($D182='[2]Beam '!Q$44,$P182*'[2]Beam '!Q$45,0)</f>
        <v>0</v>
      </c>
      <c r="R182" s="7">
        <f>IF($D182='[2]Beam '!R$44,$P182*'[2]Beam '!R$45,0)</f>
        <v>0</v>
      </c>
      <c r="S182" s="7">
        <f>IF($D182='[2]Beam '!S$44,$P182*'[2]Beam '!S$45,0)</f>
        <v>0</v>
      </c>
      <c r="T182" s="7">
        <f>IF($D182='[2]Beam '!T$44,$P182*'[2]Beam '!T$45,0)</f>
        <v>0</v>
      </c>
      <c r="U182" s="7">
        <f>IF($D182='[2]Beam '!U$44,$P182*'[2]Beam '!U$45,0)</f>
        <v>0</v>
      </c>
      <c r="V182" s="7">
        <f>IF($D182='[2]Beam '!V$44,$P182*'[2]Beam '!V$45,0)</f>
        <v>42.018526785714293</v>
      </c>
      <c r="W182" s="7">
        <f>IF($D182='[2]Beam '!W$44,$P182*'[2]Beam '!W$45,0)</f>
        <v>0</v>
      </c>
      <c r="X182" s="7">
        <f>SUM(Q182:W182)</f>
        <v>42.018526785714293</v>
      </c>
      <c r="Y182" s="7"/>
      <c r="Z182" s="7"/>
      <c r="AA182" s="7"/>
      <c r="AB182" s="7"/>
      <c r="AC182" s="7"/>
      <c r="AD182" s="7"/>
      <c r="AE182" s="7"/>
    </row>
    <row r="183" spans="1:32" s="9" customFormat="1" ht="21" customHeight="1" x14ac:dyDescent="0.25">
      <c r="A183" s="6"/>
      <c r="B183" s="10" t="s">
        <v>2</v>
      </c>
      <c r="C183" s="13" t="s">
        <v>26</v>
      </c>
      <c r="D183" s="7">
        <v>10</v>
      </c>
      <c r="E183" s="7">
        <v>0.1</v>
      </c>
      <c r="F183" s="7">
        <f>ROUNDUP(E179/E183,0)</f>
        <v>29</v>
      </c>
      <c r="H183" s="7"/>
      <c r="I183" s="7"/>
      <c r="J183" s="7"/>
      <c r="K183" s="7"/>
      <c r="L183" s="7"/>
      <c r="M183" s="7"/>
      <c r="N183" s="7"/>
      <c r="O183" s="7">
        <f>(2*((G179-(2*'[2]Beam '!$D$11))+(F179-(2*'[2]Beam '!$D$11)))+(2*10*D183/1000))*D179</f>
        <v>2.5600000000000005</v>
      </c>
      <c r="P183" s="7">
        <f>O183*F183</f>
        <v>74.240000000000009</v>
      </c>
      <c r="Q183" s="7">
        <f>IF($D183='[2]Beam '!Q$44,$P183*'[2]Beam '!Q$45,0)</f>
        <v>0</v>
      </c>
      <c r="R183" s="7">
        <f>IF($D183='[2]Beam '!R$44,$P183*'[2]Beam '!R$45,0)</f>
        <v>45.790171428571433</v>
      </c>
      <c r="S183" s="7">
        <f>IF($D183='[2]Beam '!S$44,$P183*'[2]Beam '!S$45,0)</f>
        <v>0</v>
      </c>
      <c r="T183" s="7">
        <f>IF($D183='[2]Beam '!T$44,$P183*'[2]Beam '!T$45,0)</f>
        <v>0</v>
      </c>
      <c r="U183" s="7">
        <f>IF($D183='[2]Beam '!U$44,$P183*'[2]Beam '!U$45,0)</f>
        <v>0</v>
      </c>
      <c r="V183" s="7">
        <f>IF($D183='[2]Beam '!V$44,$P183*'[2]Beam '!V$45,0)</f>
        <v>0</v>
      </c>
      <c r="W183" s="7">
        <f>IF($D183='[2]Beam '!W$44,$P183*'[2]Beam '!W$45,0)</f>
        <v>0</v>
      </c>
      <c r="X183" s="7">
        <f>SUM(Q183:W183)</f>
        <v>45.790171428571433</v>
      </c>
      <c r="Y183" s="7"/>
      <c r="Z183" s="7"/>
      <c r="AA183" s="7"/>
      <c r="AB183" s="7"/>
      <c r="AC183" s="7"/>
      <c r="AD183" s="7"/>
      <c r="AE183" s="7"/>
      <c r="AF183" s="7"/>
    </row>
    <row r="184" spans="1:32" s="9" customFormat="1" ht="20.100000000000001" customHeight="1" x14ac:dyDescent="0.25">
      <c r="A184" s="6"/>
      <c r="B184" s="10" t="s">
        <v>2</v>
      </c>
      <c r="C184" s="13" t="s">
        <v>11</v>
      </c>
      <c r="D184" s="7">
        <f>+'[2]Beam '!$D$15</f>
        <v>25</v>
      </c>
      <c r="E184" s="7">
        <f>+'[2]Beam '!$E$15</f>
        <v>1</v>
      </c>
      <c r="F184" s="7">
        <f>ROUNDUP((0.8)/E184,0)</f>
        <v>1</v>
      </c>
      <c r="G184" s="8"/>
      <c r="H184" s="8"/>
      <c r="I184" s="7"/>
      <c r="J184" s="7"/>
      <c r="K184" s="7"/>
      <c r="L184" s="7"/>
      <c r="M184" s="7"/>
      <c r="N184" s="7"/>
      <c r="O184" s="7">
        <f>F179-'[2]Beam '!$F$15</f>
        <v>0.14000000000000001</v>
      </c>
      <c r="P184" s="7">
        <f>O184*F184</f>
        <v>0.14000000000000001</v>
      </c>
      <c r="Q184" s="7">
        <f>IF($D184='[2]Beam '!Q$44,$P184*'[2]Beam '!Q$45,0)</f>
        <v>0</v>
      </c>
      <c r="R184" s="7">
        <f>IF($D184='[2]Beam '!R$44,$P184*'[2]Beam '!R$45,0)</f>
        <v>0</v>
      </c>
      <c r="S184" s="7">
        <f>IF($D184='[2]Beam '!S$44,$P184*'[2]Beam '!S$45,0)</f>
        <v>0</v>
      </c>
      <c r="T184" s="7">
        <f>IF($D184='[2]Beam '!T$44,$P184*'[2]Beam '!T$45,0)</f>
        <v>0</v>
      </c>
      <c r="U184" s="7">
        <f>IF($D184='[2]Beam '!U$44,$P184*'[2]Beam '!U$45,0)</f>
        <v>0</v>
      </c>
      <c r="V184" s="7">
        <f>IF($D184='[2]Beam '!V$44,$P184*'[2]Beam '!V$45,0)</f>
        <v>0.5396875000000001</v>
      </c>
      <c r="W184" s="7">
        <f>IF($D184='[2]Beam '!W$44,$P184*'[2]Beam '!W$45,0)</f>
        <v>0</v>
      </c>
      <c r="X184" s="7">
        <f>SUM(Q184:W184)</f>
        <v>0.5396875000000001</v>
      </c>
      <c r="Y184" s="7"/>
      <c r="Z184" s="7"/>
      <c r="AA184" s="7"/>
      <c r="AB184" s="7"/>
      <c r="AC184" s="7"/>
      <c r="AD184" s="7"/>
      <c r="AE184" s="7"/>
    </row>
    <row r="185" spans="1:32" s="9" customFormat="1" ht="20.100000000000001" customHeight="1" x14ac:dyDescent="0.25">
      <c r="A185" s="7">
        <v>1</v>
      </c>
      <c r="B185" s="10" t="s">
        <v>2</v>
      </c>
      <c r="C185" s="11" t="s">
        <v>38</v>
      </c>
      <c r="D185" s="11">
        <v>1</v>
      </c>
      <c r="E185" s="11">
        <v>1.73</v>
      </c>
      <c r="F185" s="11">
        <v>0.2</v>
      </c>
      <c r="G185" s="11">
        <v>1.1000000000000001</v>
      </c>
      <c r="H185" s="7">
        <f>G185-0.2</f>
        <v>0.90000000000000013</v>
      </c>
      <c r="I185" s="7">
        <f>E185*F185*G185*D185</f>
        <v>0.38060000000000005</v>
      </c>
      <c r="J185" s="7">
        <f>(2*(E185)*H185*D185)+(E185*F185)</f>
        <v>3.4600000000000004</v>
      </c>
      <c r="K185" s="12">
        <f>IF(E185=0.3,J185,0)</f>
        <v>0</v>
      </c>
      <c r="L185" s="12">
        <f>IF(AND(E185&gt;0.3,E185&lt;=0.75),J185,0)</f>
        <v>0</v>
      </c>
      <c r="M185" s="12">
        <f>IF(AND(E185&gt;0.75,E185&lt;=1.2),J185,0)</f>
        <v>0</v>
      </c>
      <c r="N185" s="12">
        <f>IF(E185&gt;1.2,J185,0)</f>
        <v>3.4600000000000004</v>
      </c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>
        <f>SUM(X186:X191)/I185</f>
        <v>310.52655326176716</v>
      </c>
      <c r="Z185" s="7"/>
      <c r="AA185" s="7"/>
      <c r="AB185" s="7"/>
      <c r="AC185" s="7"/>
      <c r="AD185" s="7"/>
      <c r="AE185" s="7"/>
    </row>
    <row r="186" spans="1:32" s="9" customFormat="1" ht="20.100000000000001" customHeight="1" x14ac:dyDescent="0.25">
      <c r="A186" s="6"/>
      <c r="B186" s="10" t="s">
        <v>2</v>
      </c>
      <c r="C186" s="13" t="s">
        <v>4</v>
      </c>
      <c r="D186" s="7">
        <v>25</v>
      </c>
      <c r="E186" s="7"/>
      <c r="F186" s="7">
        <v>2</v>
      </c>
      <c r="G186" s="8">
        <f>VLOOKUP(D186,'[2]Beam '!$C$20:$H$26,3,0)</f>
        <v>1</v>
      </c>
      <c r="H186" s="8"/>
      <c r="I186" s="7"/>
      <c r="J186" s="7"/>
      <c r="K186" s="7"/>
      <c r="L186" s="7"/>
      <c r="M186" s="7"/>
      <c r="N186" s="7"/>
      <c r="O186" s="7">
        <f>(E185+1*(G186+(12*D186/1000)))+1*(0.5/2)*D185</f>
        <v>3.2800000000000002</v>
      </c>
      <c r="P186" s="7">
        <f t="shared" ref="P186:P192" si="35">O186*F186</f>
        <v>6.5600000000000005</v>
      </c>
      <c r="Q186" s="7">
        <f>IF($D186='[2]Beam '!Q$44,$P186*'[2]Beam '!Q$45,0)</f>
        <v>0</v>
      </c>
      <c r="R186" s="7">
        <f>IF($D186='[2]Beam '!R$44,$P186*'[2]Beam '!R$45,0)</f>
        <v>0</v>
      </c>
      <c r="S186" s="7">
        <f>IF($D186='[2]Beam '!S$44,$P186*'[2]Beam '!S$45,0)</f>
        <v>0</v>
      </c>
      <c r="T186" s="7">
        <f>IF($D186='[2]Beam '!T$44,$P186*'[2]Beam '!T$45,0)</f>
        <v>0</v>
      </c>
      <c r="U186" s="7">
        <f>IF($D186='[2]Beam '!U$44,$P186*'[2]Beam '!U$45,0)</f>
        <v>0</v>
      </c>
      <c r="V186" s="7">
        <f>IF($D186='[2]Beam '!V$44,$P186*'[2]Beam '!V$45,0)</f>
        <v>25.288214285714293</v>
      </c>
      <c r="W186" s="7">
        <f>IF($D186='[2]Beam '!W$44,$P186*'[2]Beam '!W$45,0)</f>
        <v>0</v>
      </c>
      <c r="X186" s="7">
        <f t="shared" ref="X186:X192" si="36">SUM(Q186:W186)</f>
        <v>25.288214285714293</v>
      </c>
      <c r="Y186" s="7"/>
      <c r="Z186" s="7"/>
      <c r="AA186" s="7"/>
      <c r="AB186" s="7"/>
      <c r="AC186" s="7"/>
      <c r="AD186" s="7"/>
      <c r="AE186" s="7"/>
    </row>
    <row r="187" spans="1:32" s="9" customFormat="1" ht="20.100000000000001" customHeight="1" x14ac:dyDescent="0.25">
      <c r="A187" s="6"/>
      <c r="B187" s="10" t="s">
        <v>2</v>
      </c>
      <c r="C187" s="13" t="s">
        <v>5</v>
      </c>
      <c r="D187" s="7">
        <v>25</v>
      </c>
      <c r="E187" s="7"/>
      <c r="F187" s="7">
        <v>2</v>
      </c>
      <c r="G187" s="8">
        <f>VLOOKUP(D187,'[2]Beam '!$C$20:$H$26,3,0)</f>
        <v>1</v>
      </c>
      <c r="H187" s="8"/>
      <c r="I187" s="7"/>
      <c r="J187" s="7"/>
      <c r="K187" s="7"/>
      <c r="L187" s="7"/>
      <c r="M187" s="7"/>
      <c r="N187" s="7"/>
      <c r="O187" s="7">
        <f>(E185+1*(G187+(12*D187/1000)))+1*(0.5/2)*D185</f>
        <v>3.2800000000000002</v>
      </c>
      <c r="P187" s="7">
        <f t="shared" si="35"/>
        <v>6.5600000000000005</v>
      </c>
      <c r="Q187" s="7">
        <f>IF($D187='[2]Beam '!Q$44,$P187*'[2]Beam '!Q$45,0)</f>
        <v>0</v>
      </c>
      <c r="R187" s="7">
        <f>IF($D187='[2]Beam '!R$44,$P187*'[2]Beam '!R$45,0)</f>
        <v>0</v>
      </c>
      <c r="S187" s="7">
        <f>IF($D187='[2]Beam '!S$44,$P187*'[2]Beam '!S$45,0)</f>
        <v>0</v>
      </c>
      <c r="T187" s="7">
        <f>IF($D187='[2]Beam '!T$44,$P187*'[2]Beam '!T$45,0)</f>
        <v>0</v>
      </c>
      <c r="U187" s="7">
        <f>IF($D187='[2]Beam '!U$44,$P187*'[2]Beam '!U$45,0)</f>
        <v>0</v>
      </c>
      <c r="V187" s="7">
        <f>IF($D187='[2]Beam '!V$44,$P187*'[2]Beam '!V$45,0)</f>
        <v>25.288214285714293</v>
      </c>
      <c r="W187" s="7">
        <f>IF($D187='[2]Beam '!W$44,$P187*'[2]Beam '!W$45,0)</f>
        <v>0</v>
      </c>
      <c r="X187" s="7">
        <f t="shared" si="36"/>
        <v>25.288214285714293</v>
      </c>
      <c r="Y187" s="7"/>
      <c r="Z187" s="7"/>
      <c r="AA187" s="7"/>
      <c r="AB187" s="7"/>
      <c r="AC187" s="7"/>
      <c r="AD187" s="7"/>
      <c r="AE187" s="7"/>
    </row>
    <row r="188" spans="1:32" s="9" customFormat="1" ht="20.100000000000001" customHeight="1" x14ac:dyDescent="0.25">
      <c r="A188" s="6"/>
      <c r="B188" s="10" t="s">
        <v>2</v>
      </c>
      <c r="C188" s="13" t="s">
        <v>6</v>
      </c>
      <c r="D188" s="7">
        <v>20</v>
      </c>
      <c r="E188" s="7"/>
      <c r="F188" s="7">
        <v>2</v>
      </c>
      <c r="G188" s="8">
        <f>VLOOKUP(D188,'[2]Beam '!$C$20:$H$26,3,0)</f>
        <v>0.8</v>
      </c>
      <c r="H188" s="7"/>
      <c r="I188" s="7"/>
      <c r="J188" s="7"/>
      <c r="K188" s="7"/>
      <c r="L188" s="7"/>
      <c r="M188" s="7"/>
      <c r="N188" s="7"/>
      <c r="O188" s="7">
        <f>(E185+1*(G188+(12*D188/1000)))+1*(0.5/2)*D185</f>
        <v>3.02</v>
      </c>
      <c r="P188" s="7">
        <f t="shared" si="35"/>
        <v>6.04</v>
      </c>
      <c r="Q188" s="7">
        <f>IF($D188='[2]Beam '!Q$44,$P188*'[2]Beam '!Q$45,0)</f>
        <v>0</v>
      </c>
      <c r="R188" s="7">
        <f>IF($D188='[2]Beam '!R$44,$P188*'[2]Beam '!R$45,0)</f>
        <v>0</v>
      </c>
      <c r="S188" s="7">
        <f>IF($D188='[2]Beam '!S$44,$P188*'[2]Beam '!S$45,0)</f>
        <v>0</v>
      </c>
      <c r="T188" s="7">
        <f>IF($D188='[2]Beam '!T$44,$P188*'[2]Beam '!T$45,0)</f>
        <v>0</v>
      </c>
      <c r="U188" s="7">
        <f>IF($D188='[2]Beam '!U$44,$P188*'[2]Beam '!U$45,0)</f>
        <v>14.901542857142857</v>
      </c>
      <c r="V188" s="7">
        <f>IF($D188='[2]Beam '!V$44,$P188*'[2]Beam '!V$45,0)</f>
        <v>0</v>
      </c>
      <c r="W188" s="7">
        <f>IF($D188='[2]Beam '!W$44,$P188*'[2]Beam '!W$45,0)</f>
        <v>0</v>
      </c>
      <c r="X188" s="7">
        <f t="shared" si="36"/>
        <v>14.901542857142857</v>
      </c>
      <c r="Y188" s="7"/>
      <c r="Z188" s="7"/>
      <c r="AA188" s="7"/>
      <c r="AB188" s="7"/>
      <c r="AC188" s="7"/>
      <c r="AD188" s="7"/>
      <c r="AE188" s="7"/>
    </row>
    <row r="189" spans="1:32" s="14" customFormat="1" ht="20.100000000000001" customHeight="1" x14ac:dyDescent="0.3">
      <c r="A189" s="6"/>
      <c r="B189" s="10" t="s">
        <v>2</v>
      </c>
      <c r="C189" s="13" t="s">
        <v>6</v>
      </c>
      <c r="D189" s="7">
        <v>16</v>
      </c>
      <c r="E189" s="7"/>
      <c r="F189" s="7">
        <v>2</v>
      </c>
      <c r="G189" s="8">
        <f>VLOOKUP(D189,'[2]Beam '!$C$20:$H$26,3,0)</f>
        <v>0.625</v>
      </c>
      <c r="H189" s="7"/>
      <c r="I189" s="7"/>
      <c r="J189" s="7"/>
      <c r="K189" s="7"/>
      <c r="L189" s="7"/>
      <c r="M189" s="7"/>
      <c r="N189" s="7"/>
      <c r="O189" s="7">
        <f>(E185+1*(G189+(12*D189/1000)))+1*(0.5/2)*D185</f>
        <v>2.7969999999999997</v>
      </c>
      <c r="P189" s="7">
        <f t="shared" si="35"/>
        <v>5.5939999999999994</v>
      </c>
      <c r="Q189" s="7">
        <f>IF($D189='[2]Beam '!Q$44,$P189*'[2]Beam '!Q$45,0)</f>
        <v>0</v>
      </c>
      <c r="R189" s="7">
        <f>IF($D189='[2]Beam '!R$44,$P189*'[2]Beam '!R$45,0)</f>
        <v>0</v>
      </c>
      <c r="S189" s="7">
        <f>IF($D189='[2]Beam '!S$44,$P189*'[2]Beam '!S$45,0)</f>
        <v>0</v>
      </c>
      <c r="T189" s="7">
        <f>IF($D189='[2]Beam '!T$44,$P189*'[2]Beam '!T$45,0)</f>
        <v>8.8327661714285703</v>
      </c>
      <c r="U189" s="7">
        <f>IF($D189='[2]Beam '!U$44,$P189*'[2]Beam '!U$45,0)</f>
        <v>0</v>
      </c>
      <c r="V189" s="7">
        <f>IF($D189='[2]Beam '!V$44,$P189*'[2]Beam '!V$45,0)</f>
        <v>0</v>
      </c>
      <c r="W189" s="7">
        <f>IF($D189='[2]Beam '!W$44,$P189*'[2]Beam '!W$45,0)</f>
        <v>0</v>
      </c>
      <c r="X189" s="7">
        <f t="shared" si="36"/>
        <v>8.8327661714285703</v>
      </c>
      <c r="Y189" s="7"/>
    </row>
    <row r="190" spans="1:32" s="9" customFormat="1" ht="20.100000000000001" customHeight="1" x14ac:dyDescent="0.25">
      <c r="A190" s="6"/>
      <c r="B190" s="10" t="s">
        <v>2</v>
      </c>
      <c r="C190" s="13" t="s">
        <v>7</v>
      </c>
      <c r="D190" s="7">
        <v>12</v>
      </c>
      <c r="E190" s="7">
        <v>0.1</v>
      </c>
      <c r="F190" s="7">
        <f>ROUNDUP((E185/3*2)/E190,0)+1</f>
        <v>13</v>
      </c>
      <c r="H190" s="7"/>
      <c r="I190" s="7"/>
      <c r="J190" s="7"/>
      <c r="K190" s="7"/>
      <c r="L190" s="7"/>
      <c r="M190" s="7"/>
      <c r="N190" s="7"/>
      <c r="O190" s="7">
        <f>(2*((G185-(2*'[2]Beam '!$D$11))+(F185-(2*'[2]Beam '!$D$11)))+(2*10*D190/1000))*D185</f>
        <v>2.6000000000000005</v>
      </c>
      <c r="P190" s="7">
        <f t="shared" si="35"/>
        <v>33.800000000000004</v>
      </c>
      <c r="Q190" s="7">
        <f>IF($D190='[2]Beam '!Q$44,$P190*'[2]Beam '!Q$45,0)</f>
        <v>0</v>
      </c>
      <c r="R190" s="7">
        <f>IF($D190='[2]Beam '!R$44,$P190*'[2]Beam '!R$45,0)</f>
        <v>0</v>
      </c>
      <c r="S190" s="7">
        <f>IF($D190='[2]Beam '!S$44,$P190*'[2]Beam '!S$45,0)</f>
        <v>30.020194285714293</v>
      </c>
      <c r="T190" s="7">
        <f>IF($D190='[2]Beam '!T$44,$P190*'[2]Beam '!T$45,0)</f>
        <v>0</v>
      </c>
      <c r="U190" s="7">
        <f>IF($D190='[2]Beam '!U$44,$P190*'[2]Beam '!U$45,0)</f>
        <v>0</v>
      </c>
      <c r="V190" s="7">
        <f>IF($D190='[2]Beam '!V$44,$P190*'[2]Beam '!V$45,0)</f>
        <v>0</v>
      </c>
      <c r="W190" s="7">
        <f>IF($D190='[2]Beam '!W$44,$P190*'[2]Beam '!W$45,0)</f>
        <v>0</v>
      </c>
      <c r="X190" s="7">
        <f t="shared" si="36"/>
        <v>30.020194285714293</v>
      </c>
      <c r="Y190" s="7"/>
      <c r="Z190" s="7"/>
      <c r="AA190" s="7"/>
      <c r="AB190" s="7"/>
      <c r="AC190" s="7"/>
      <c r="AD190" s="7"/>
      <c r="AE190" s="7"/>
    </row>
    <row r="191" spans="1:32" s="9" customFormat="1" ht="21" customHeight="1" x14ac:dyDescent="0.25">
      <c r="A191" s="14"/>
      <c r="B191" s="10" t="s">
        <v>2</v>
      </c>
      <c r="C191" s="13" t="s">
        <v>8</v>
      </c>
      <c r="D191" s="14">
        <f>D190</f>
        <v>12</v>
      </c>
      <c r="E191" s="14">
        <v>0.125</v>
      </c>
      <c r="F191" s="7">
        <f>ROUNDUP((E185/3)/E191,0)+1</f>
        <v>6</v>
      </c>
      <c r="H191" s="14"/>
      <c r="I191" s="14"/>
      <c r="J191" s="14"/>
      <c r="K191" s="14"/>
      <c r="L191" s="14"/>
      <c r="M191" s="14"/>
      <c r="N191" s="14"/>
      <c r="O191" s="7">
        <f>(2*((G185-(2*'[2]Beam '!$D$11))+(F185-(2*'[2]Beam '!$D$11)))+(2*10*D191/1000))*D185</f>
        <v>2.6000000000000005</v>
      </c>
      <c r="P191" s="7">
        <f t="shared" si="35"/>
        <v>15.600000000000003</v>
      </c>
      <c r="Q191" s="7">
        <f>IF($D191='[2]Beam '!Q$44,$P191*'[2]Beam '!Q$45,0)</f>
        <v>0</v>
      </c>
      <c r="R191" s="7">
        <f>IF($D191='[2]Beam '!R$44,$P191*'[2]Beam '!R$45,0)</f>
        <v>0</v>
      </c>
      <c r="S191" s="7">
        <f>IF($D191='[2]Beam '!S$44,$P191*'[2]Beam '!S$45,0)</f>
        <v>13.855474285714291</v>
      </c>
      <c r="T191" s="7">
        <f>IF($D191='[2]Beam '!T$44,$P191*'[2]Beam '!T$45,0)</f>
        <v>0</v>
      </c>
      <c r="U191" s="7">
        <f>IF($D191='[2]Beam '!U$44,$P191*'[2]Beam '!U$45,0)</f>
        <v>0</v>
      </c>
      <c r="V191" s="7">
        <f>IF($D191='[2]Beam '!V$44,$P191*'[2]Beam '!V$45,0)</f>
        <v>0</v>
      </c>
      <c r="W191" s="7">
        <f>IF($D191='[2]Beam '!W$44,$P191*'[2]Beam '!W$45,0)</f>
        <v>0</v>
      </c>
      <c r="X191" s="7">
        <f t="shared" si="36"/>
        <v>13.855474285714291</v>
      </c>
      <c r="Y191" s="14"/>
      <c r="Z191" s="7"/>
      <c r="AA191" s="7"/>
      <c r="AB191" s="7"/>
      <c r="AC191" s="7"/>
      <c r="AD191" s="7"/>
      <c r="AE191" s="7"/>
      <c r="AF191" s="7"/>
    </row>
    <row r="192" spans="1:32" s="9" customFormat="1" ht="20.100000000000001" customHeight="1" x14ac:dyDescent="0.25">
      <c r="A192" s="6"/>
      <c r="B192" s="10" t="s">
        <v>2</v>
      </c>
      <c r="C192" s="13" t="s">
        <v>11</v>
      </c>
      <c r="D192" s="7">
        <f>+'[2]Beam '!$D$15</f>
        <v>25</v>
      </c>
      <c r="E192" s="7">
        <f>+'[2]Beam '!$E$15</f>
        <v>1</v>
      </c>
      <c r="F192" s="7">
        <f>ROUNDUP((E185)/E192,0)</f>
        <v>2</v>
      </c>
      <c r="G192" s="8"/>
      <c r="H192" s="8"/>
      <c r="I192" s="7"/>
      <c r="J192" s="7"/>
      <c r="K192" s="7"/>
      <c r="L192" s="7"/>
      <c r="M192" s="7"/>
      <c r="N192" s="7"/>
      <c r="O192" s="7">
        <f>F185-'[2]Beam '!$F$15</f>
        <v>0.14000000000000001</v>
      </c>
      <c r="P192" s="7">
        <f t="shared" si="35"/>
        <v>0.28000000000000003</v>
      </c>
      <c r="Q192" s="7">
        <f>IF($D192='[2]Beam '!Q$44,$P192*'[2]Beam '!Q$45,0)</f>
        <v>0</v>
      </c>
      <c r="R192" s="7">
        <f>IF($D192='[2]Beam '!R$44,$P192*'[2]Beam '!R$45,0)</f>
        <v>0</v>
      </c>
      <c r="S192" s="7">
        <f>IF($D192='[2]Beam '!S$44,$P192*'[2]Beam '!S$45,0)</f>
        <v>0</v>
      </c>
      <c r="T192" s="7">
        <f>IF($D192='[2]Beam '!T$44,$P192*'[2]Beam '!T$45,0)</f>
        <v>0</v>
      </c>
      <c r="U192" s="7">
        <f>IF($D192='[2]Beam '!U$44,$P192*'[2]Beam '!U$45,0)</f>
        <v>0</v>
      </c>
      <c r="V192" s="7">
        <f>IF($D192='[2]Beam '!V$44,$P192*'[2]Beam '!V$45,0)</f>
        <v>1.0793750000000002</v>
      </c>
      <c r="W192" s="7">
        <f>IF($D192='[2]Beam '!W$44,$P192*'[2]Beam '!W$45,0)</f>
        <v>0</v>
      </c>
      <c r="X192" s="7">
        <f t="shared" si="36"/>
        <v>1.0793750000000002</v>
      </c>
      <c r="Y192" s="7"/>
      <c r="Z192" s="7"/>
      <c r="AA192" s="7"/>
      <c r="AB192" s="7"/>
      <c r="AC192" s="7"/>
      <c r="AD192" s="7"/>
      <c r="AE192" s="7"/>
    </row>
    <row r="193" spans="1:32" s="9" customFormat="1" ht="20.100000000000001" customHeight="1" x14ac:dyDescent="0.25">
      <c r="A193" s="7">
        <v>1</v>
      </c>
      <c r="B193" s="10" t="s">
        <v>2</v>
      </c>
      <c r="C193" s="11" t="s">
        <v>39</v>
      </c>
      <c r="D193" s="11">
        <v>1</v>
      </c>
      <c r="E193" s="11">
        <v>3.15</v>
      </c>
      <c r="F193" s="11">
        <v>0.2</v>
      </c>
      <c r="G193" s="11">
        <v>1.1000000000000001</v>
      </c>
      <c r="H193" s="7">
        <f>G193-0.2</f>
        <v>0.90000000000000013</v>
      </c>
      <c r="I193" s="7">
        <f>E193*F193*G193*D193</f>
        <v>0.69300000000000006</v>
      </c>
      <c r="J193" s="7">
        <f>(2*(E193)*H193*D193)+(E193*F193)</f>
        <v>6.3000000000000007</v>
      </c>
      <c r="K193" s="12">
        <f>IF(E193=0.3,J193,0)</f>
        <v>0</v>
      </c>
      <c r="L193" s="12">
        <f>IF(AND(E193&gt;0.3,E193&lt;=0.75),J193,0)</f>
        <v>0</v>
      </c>
      <c r="M193" s="12">
        <f>IF(AND(E193&gt;0.75,E193&lt;=1.2),J193,0)</f>
        <v>0</v>
      </c>
      <c r="N193" s="12">
        <f>IF(E193&gt;1.2,J193,0)</f>
        <v>6.3000000000000007</v>
      </c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>
        <f>SUM(X194:X199)/I193</f>
        <v>161.17687641723356</v>
      </c>
      <c r="Z193" s="7"/>
      <c r="AA193" s="7"/>
      <c r="AB193" s="7"/>
      <c r="AC193" s="7"/>
      <c r="AD193" s="7"/>
      <c r="AE193" s="7"/>
    </row>
    <row r="194" spans="1:32" s="9" customFormat="1" ht="20.100000000000001" customHeight="1" x14ac:dyDescent="0.25">
      <c r="A194" s="6"/>
      <c r="B194" s="10" t="s">
        <v>2</v>
      </c>
      <c r="C194" s="13" t="s">
        <v>4</v>
      </c>
      <c r="D194" s="7">
        <v>25</v>
      </c>
      <c r="E194" s="7"/>
      <c r="F194" s="7">
        <v>2</v>
      </c>
      <c r="G194" s="8">
        <f>VLOOKUP(D194,'[2]Beam '!$C$20:$H$26,3,0)</f>
        <v>1</v>
      </c>
      <c r="H194" s="8"/>
      <c r="I194" s="7"/>
      <c r="J194" s="7"/>
      <c r="K194" s="7"/>
      <c r="L194" s="7"/>
      <c r="M194" s="7"/>
      <c r="N194" s="7"/>
      <c r="O194" s="7">
        <f>(E193+1*(G194+(12*D194/1000)))+1*(0.5/2)*D193</f>
        <v>4.7</v>
      </c>
      <c r="P194" s="7">
        <f t="shared" ref="P194:P200" si="37">O194*F194</f>
        <v>9.4</v>
      </c>
      <c r="Q194" s="7">
        <f>IF($D194='[2]Beam '!Q$44,$P194*'[2]Beam '!Q$45,0)</f>
        <v>0</v>
      </c>
      <c r="R194" s="7">
        <f>IF($D194='[2]Beam '!R$44,$P194*'[2]Beam '!R$45,0)</f>
        <v>0</v>
      </c>
      <c r="S194" s="7">
        <f>IF($D194='[2]Beam '!S$44,$P194*'[2]Beam '!S$45,0)</f>
        <v>0</v>
      </c>
      <c r="T194" s="7">
        <f>IF($D194='[2]Beam '!T$44,$P194*'[2]Beam '!T$45,0)</f>
        <v>0</v>
      </c>
      <c r="U194" s="7">
        <f>IF($D194='[2]Beam '!U$44,$P194*'[2]Beam '!U$45,0)</f>
        <v>0</v>
      </c>
      <c r="V194" s="7">
        <f>IF($D194='[2]Beam '!V$44,$P194*'[2]Beam '!V$45,0)</f>
        <v>36.236160714285724</v>
      </c>
      <c r="W194" s="7">
        <f>IF($D194='[2]Beam '!W$44,$P194*'[2]Beam '!W$45,0)</f>
        <v>0</v>
      </c>
      <c r="X194" s="7">
        <f t="shared" ref="X194:X200" si="38">SUM(Q194:W194)</f>
        <v>36.236160714285724</v>
      </c>
      <c r="Y194" s="7"/>
      <c r="Z194" s="7"/>
      <c r="AA194" s="7"/>
      <c r="AB194" s="7"/>
      <c r="AC194" s="7"/>
      <c r="AD194" s="7"/>
      <c r="AE194" s="7"/>
    </row>
    <row r="195" spans="1:32" s="9" customFormat="1" ht="20.100000000000001" customHeight="1" x14ac:dyDescent="0.25">
      <c r="A195" s="6"/>
      <c r="B195" s="10" t="s">
        <v>2</v>
      </c>
      <c r="C195" s="13" t="s">
        <v>5</v>
      </c>
      <c r="D195" s="7">
        <v>25</v>
      </c>
      <c r="E195" s="7"/>
      <c r="F195" s="7">
        <v>2</v>
      </c>
      <c r="G195" s="8">
        <f>VLOOKUP(D195,'[2]Beam '!$C$20:$H$26,3,0)</f>
        <v>1</v>
      </c>
      <c r="H195" s="8"/>
      <c r="I195" s="7"/>
      <c r="J195" s="7"/>
      <c r="K195" s="7"/>
      <c r="L195" s="7"/>
      <c r="M195" s="7"/>
      <c r="N195" s="7"/>
      <c r="O195" s="7">
        <f>(0.9+1*(0.5/2)*D193)</f>
        <v>1.1499999999999999</v>
      </c>
      <c r="P195" s="7">
        <f t="shared" si="37"/>
        <v>2.2999999999999998</v>
      </c>
      <c r="Q195" s="7">
        <f>IF($D195='[2]Beam '!Q$44,$P195*'[2]Beam '!Q$45,0)</f>
        <v>0</v>
      </c>
      <c r="R195" s="7">
        <f>IF($D195='[2]Beam '!R$44,$P195*'[2]Beam '!R$45,0)</f>
        <v>0</v>
      </c>
      <c r="S195" s="7">
        <f>IF($D195='[2]Beam '!S$44,$P195*'[2]Beam '!S$45,0)</f>
        <v>0</v>
      </c>
      <c r="T195" s="7">
        <f>IF($D195='[2]Beam '!T$44,$P195*'[2]Beam '!T$45,0)</f>
        <v>0</v>
      </c>
      <c r="U195" s="7">
        <f>IF($D195='[2]Beam '!U$44,$P195*'[2]Beam '!U$45,0)</f>
        <v>0</v>
      </c>
      <c r="V195" s="7">
        <f>IF($D195='[2]Beam '!V$44,$P195*'[2]Beam '!V$45,0)</f>
        <v>8.8662946428571434</v>
      </c>
      <c r="W195" s="7">
        <f>IF($D195='[2]Beam '!W$44,$P195*'[2]Beam '!W$45,0)</f>
        <v>0</v>
      </c>
      <c r="X195" s="7">
        <f t="shared" si="38"/>
        <v>8.8662946428571434</v>
      </c>
      <c r="Y195" s="7"/>
      <c r="Z195" s="7"/>
      <c r="AA195" s="7"/>
      <c r="AB195" s="7"/>
      <c r="AC195" s="7"/>
      <c r="AD195" s="7"/>
      <c r="AE195" s="7"/>
    </row>
    <row r="196" spans="1:32" s="9" customFormat="1" ht="20.100000000000001" customHeight="1" x14ac:dyDescent="0.25">
      <c r="A196" s="6"/>
      <c r="B196" s="10" t="s">
        <v>2</v>
      </c>
      <c r="C196" s="13" t="s">
        <v>6</v>
      </c>
      <c r="D196" s="7">
        <v>20</v>
      </c>
      <c r="E196" s="7"/>
      <c r="F196" s="7">
        <v>2</v>
      </c>
      <c r="G196" s="8">
        <f>VLOOKUP(D196,'[2]Beam '!$C$20:$H$26,3,0)</f>
        <v>0.8</v>
      </c>
      <c r="H196" s="7"/>
      <c r="I196" s="7"/>
      <c r="J196" s="7"/>
      <c r="K196" s="7"/>
      <c r="L196" s="7"/>
      <c r="M196" s="7"/>
      <c r="N196" s="7"/>
      <c r="O196" s="7">
        <f>(E193+1*(G196+(12*D196/1000)))+1*(0.5/2)*D193</f>
        <v>4.4399999999999995</v>
      </c>
      <c r="P196" s="7">
        <f t="shared" si="37"/>
        <v>8.879999999999999</v>
      </c>
      <c r="Q196" s="7">
        <f>IF($D196='[2]Beam '!Q$44,$P196*'[2]Beam '!Q$45,0)</f>
        <v>0</v>
      </c>
      <c r="R196" s="7">
        <f>IF($D196='[2]Beam '!R$44,$P196*'[2]Beam '!R$45,0)</f>
        <v>0</v>
      </c>
      <c r="S196" s="7">
        <f>IF($D196='[2]Beam '!S$44,$P196*'[2]Beam '!S$45,0)</f>
        <v>0</v>
      </c>
      <c r="T196" s="7">
        <f>IF($D196='[2]Beam '!T$44,$P196*'[2]Beam '!T$45,0)</f>
        <v>0</v>
      </c>
      <c r="U196" s="7">
        <f>IF($D196='[2]Beam '!U$44,$P196*'[2]Beam '!U$45,0)</f>
        <v>21.90822857142857</v>
      </c>
      <c r="V196" s="7">
        <f>IF($D196='[2]Beam '!V$44,$P196*'[2]Beam '!V$45,0)</f>
        <v>0</v>
      </c>
      <c r="W196" s="7">
        <f>IF($D196='[2]Beam '!W$44,$P196*'[2]Beam '!W$45,0)</f>
        <v>0</v>
      </c>
      <c r="X196" s="7">
        <f t="shared" si="38"/>
        <v>21.90822857142857</v>
      </c>
      <c r="Y196" s="7"/>
      <c r="Z196" s="7"/>
      <c r="AA196" s="7"/>
      <c r="AB196" s="7"/>
      <c r="AC196" s="7"/>
      <c r="AD196" s="7"/>
      <c r="AE196" s="7"/>
    </row>
    <row r="197" spans="1:32" s="14" customFormat="1" ht="20.100000000000001" customHeight="1" x14ac:dyDescent="0.3">
      <c r="A197" s="6"/>
      <c r="B197" s="10" t="s">
        <v>2</v>
      </c>
      <c r="C197" s="13" t="s">
        <v>13</v>
      </c>
      <c r="D197" s="7">
        <v>16</v>
      </c>
      <c r="E197" s="7"/>
      <c r="F197" s="7">
        <v>2</v>
      </c>
      <c r="G197" s="8">
        <f>VLOOKUP(D197,'[2]Beam '!$C$20:$H$26,3,0)</f>
        <v>0.625</v>
      </c>
      <c r="H197" s="7"/>
      <c r="I197" s="7"/>
      <c r="J197" s="7"/>
      <c r="K197" s="7"/>
      <c r="L197" s="7"/>
      <c r="M197" s="7"/>
      <c r="N197" s="7"/>
      <c r="O197" s="7">
        <f>(0.9+1*(0.5/2)*D193)</f>
        <v>1.1499999999999999</v>
      </c>
      <c r="P197" s="7">
        <f t="shared" si="37"/>
        <v>2.2999999999999998</v>
      </c>
      <c r="Q197" s="7">
        <f>IF($D197='[2]Beam '!Q$44,$P197*'[2]Beam '!Q$45,0)</f>
        <v>0</v>
      </c>
      <c r="R197" s="7">
        <f>IF($D197='[2]Beam '!R$44,$P197*'[2]Beam '!R$45,0)</f>
        <v>0</v>
      </c>
      <c r="S197" s="7">
        <f>IF($D197='[2]Beam '!S$44,$P197*'[2]Beam '!S$45,0)</f>
        <v>0</v>
      </c>
      <c r="T197" s="7">
        <f>IF($D197='[2]Beam '!T$44,$P197*'[2]Beam '!T$45,0)</f>
        <v>3.6316342857142856</v>
      </c>
      <c r="U197" s="7">
        <f>IF($D197='[2]Beam '!U$44,$P197*'[2]Beam '!U$45,0)</f>
        <v>0</v>
      </c>
      <c r="V197" s="7">
        <f>IF($D197='[2]Beam '!V$44,$P197*'[2]Beam '!V$45,0)</f>
        <v>0</v>
      </c>
      <c r="W197" s="7">
        <f>IF($D197='[2]Beam '!W$44,$P197*'[2]Beam '!W$45,0)</f>
        <v>0</v>
      </c>
      <c r="X197" s="7">
        <f t="shared" si="38"/>
        <v>3.6316342857142856</v>
      </c>
      <c r="Y197" s="7"/>
    </row>
    <row r="198" spans="1:32" s="9" customFormat="1" ht="20.100000000000001" customHeight="1" x14ac:dyDescent="0.25">
      <c r="A198" s="6"/>
      <c r="B198" s="10" t="s">
        <v>2</v>
      </c>
      <c r="C198" s="13" t="s">
        <v>7</v>
      </c>
      <c r="D198" s="7">
        <v>10</v>
      </c>
      <c r="E198" s="7">
        <v>0.125</v>
      </c>
      <c r="F198" s="7">
        <f>ROUNDUP((E193/3*2)/E198,0)+1</f>
        <v>18</v>
      </c>
      <c r="H198" s="7"/>
      <c r="I198" s="7"/>
      <c r="J198" s="7"/>
      <c r="K198" s="7"/>
      <c r="L198" s="7"/>
      <c r="M198" s="7"/>
      <c r="N198" s="7"/>
      <c r="O198" s="7">
        <f>(2*((G193-(2*'[2]Beam '!$D$11))+(F193-(2*'[2]Beam '!$D$11)))+(2*10*D198/1000))*D193</f>
        <v>2.5600000000000005</v>
      </c>
      <c r="P198" s="7">
        <f t="shared" si="37"/>
        <v>46.080000000000013</v>
      </c>
      <c r="Q198" s="7">
        <f>IF($D198='[2]Beam '!Q$44,$P198*'[2]Beam '!Q$45,0)</f>
        <v>0</v>
      </c>
      <c r="R198" s="7">
        <f>IF($D198='[2]Beam '!R$44,$P198*'[2]Beam '!R$45,0)</f>
        <v>28.421485714285723</v>
      </c>
      <c r="S198" s="7">
        <f>IF($D198='[2]Beam '!S$44,$P198*'[2]Beam '!S$45,0)</f>
        <v>0</v>
      </c>
      <c r="T198" s="7">
        <f>IF($D198='[2]Beam '!T$44,$P198*'[2]Beam '!T$45,0)</f>
        <v>0</v>
      </c>
      <c r="U198" s="7">
        <f>IF($D198='[2]Beam '!U$44,$P198*'[2]Beam '!U$45,0)</f>
        <v>0</v>
      </c>
      <c r="V198" s="7">
        <f>IF($D198='[2]Beam '!V$44,$P198*'[2]Beam '!V$45,0)</f>
        <v>0</v>
      </c>
      <c r="W198" s="7">
        <f>IF($D198='[2]Beam '!W$44,$P198*'[2]Beam '!W$45,0)</f>
        <v>0</v>
      </c>
      <c r="X198" s="7">
        <f t="shared" si="38"/>
        <v>28.421485714285723</v>
      </c>
      <c r="Y198" s="7"/>
      <c r="Z198" s="7"/>
      <c r="AA198" s="7"/>
      <c r="AB198" s="7"/>
      <c r="AC198" s="7"/>
      <c r="AD198" s="7"/>
      <c r="AE198" s="7"/>
    </row>
    <row r="199" spans="1:32" s="9" customFormat="1" ht="21" customHeight="1" x14ac:dyDescent="0.25">
      <c r="A199" s="14"/>
      <c r="B199" s="10" t="s">
        <v>2</v>
      </c>
      <c r="C199" s="13" t="s">
        <v>8</v>
      </c>
      <c r="D199" s="14">
        <f>D198</f>
        <v>10</v>
      </c>
      <c r="E199" s="14">
        <v>0.15</v>
      </c>
      <c r="F199" s="7">
        <f>ROUNDUP((E193/3)/E199,0)+1</f>
        <v>8</v>
      </c>
      <c r="H199" s="14"/>
      <c r="I199" s="14"/>
      <c r="J199" s="14"/>
      <c r="K199" s="14"/>
      <c r="L199" s="14"/>
      <c r="M199" s="14"/>
      <c r="N199" s="14"/>
      <c r="O199" s="7">
        <f>(2*((G193-(2*'[2]Beam '!$D$11))+(F193-(2*'[2]Beam '!$D$11)))+(2*10*D199/1000))*D193</f>
        <v>2.5600000000000005</v>
      </c>
      <c r="P199" s="7">
        <f t="shared" si="37"/>
        <v>20.480000000000004</v>
      </c>
      <c r="Q199" s="7">
        <f>IF($D199='[2]Beam '!Q$44,$P199*'[2]Beam '!Q$45,0)</f>
        <v>0</v>
      </c>
      <c r="R199" s="7">
        <f>IF($D199='[2]Beam '!R$44,$P199*'[2]Beam '!R$45,0)</f>
        <v>12.631771428571431</v>
      </c>
      <c r="S199" s="7">
        <f>IF($D199='[2]Beam '!S$44,$P199*'[2]Beam '!S$45,0)</f>
        <v>0</v>
      </c>
      <c r="T199" s="7">
        <f>IF($D199='[2]Beam '!T$44,$P199*'[2]Beam '!T$45,0)</f>
        <v>0</v>
      </c>
      <c r="U199" s="7">
        <f>IF($D199='[2]Beam '!U$44,$P199*'[2]Beam '!U$45,0)</f>
        <v>0</v>
      </c>
      <c r="V199" s="7">
        <f>IF($D199='[2]Beam '!V$44,$P199*'[2]Beam '!V$45,0)</f>
        <v>0</v>
      </c>
      <c r="W199" s="7">
        <f>IF($D199='[2]Beam '!W$44,$P199*'[2]Beam '!W$45,0)</f>
        <v>0</v>
      </c>
      <c r="X199" s="7">
        <f t="shared" si="38"/>
        <v>12.631771428571431</v>
      </c>
      <c r="Y199" s="14"/>
      <c r="Z199" s="7"/>
      <c r="AA199" s="7"/>
      <c r="AB199" s="7"/>
      <c r="AC199" s="7"/>
      <c r="AD199" s="7"/>
      <c r="AE199" s="7"/>
      <c r="AF199" s="7"/>
    </row>
    <row r="200" spans="1:32" s="9" customFormat="1" ht="20.100000000000001" customHeight="1" x14ac:dyDescent="0.25">
      <c r="A200" s="6"/>
      <c r="B200" s="10" t="s">
        <v>2</v>
      </c>
      <c r="C200" s="13" t="s">
        <v>11</v>
      </c>
      <c r="D200" s="7">
        <f>+'[2]Beam '!$D$15</f>
        <v>25</v>
      </c>
      <c r="E200" s="7">
        <f>+'[2]Beam '!$E$15</f>
        <v>1</v>
      </c>
      <c r="F200" s="7">
        <f>ROUNDUP((0.9+0.9)/E200,0)</f>
        <v>2</v>
      </c>
      <c r="G200" s="8"/>
      <c r="H200" s="8"/>
      <c r="I200" s="7"/>
      <c r="J200" s="7"/>
      <c r="K200" s="7"/>
      <c r="L200" s="7"/>
      <c r="M200" s="7"/>
      <c r="N200" s="7"/>
      <c r="O200" s="7">
        <f>F193-'[2]Beam '!$F$15</f>
        <v>0.14000000000000001</v>
      </c>
      <c r="P200" s="7">
        <f t="shared" si="37"/>
        <v>0.28000000000000003</v>
      </c>
      <c r="Q200" s="7">
        <f>IF($D200='[2]Beam '!Q$44,$P200*'[2]Beam '!Q$45,0)</f>
        <v>0</v>
      </c>
      <c r="R200" s="7">
        <f>IF($D200='[2]Beam '!R$44,$P200*'[2]Beam '!R$45,0)</f>
        <v>0</v>
      </c>
      <c r="S200" s="7">
        <f>IF($D200='[2]Beam '!S$44,$P200*'[2]Beam '!S$45,0)</f>
        <v>0</v>
      </c>
      <c r="T200" s="7">
        <f>IF($D200='[2]Beam '!T$44,$P200*'[2]Beam '!T$45,0)</f>
        <v>0</v>
      </c>
      <c r="U200" s="7">
        <f>IF($D200='[2]Beam '!U$44,$P200*'[2]Beam '!U$45,0)</f>
        <v>0</v>
      </c>
      <c r="V200" s="7">
        <f>IF($D200='[2]Beam '!V$44,$P200*'[2]Beam '!V$45,0)</f>
        <v>1.0793750000000002</v>
      </c>
      <c r="W200" s="7">
        <f>IF($D200='[2]Beam '!W$44,$P200*'[2]Beam '!W$45,0)</f>
        <v>0</v>
      </c>
      <c r="X200" s="7">
        <f t="shared" si="38"/>
        <v>1.0793750000000002</v>
      </c>
      <c r="Y200" s="7"/>
      <c r="Z200" s="7"/>
      <c r="AA200" s="7"/>
      <c r="AB200" s="7"/>
      <c r="AC200" s="7"/>
      <c r="AD200" s="7"/>
      <c r="AE200" s="7"/>
    </row>
    <row r="201" spans="1:32" s="9" customFormat="1" ht="20.100000000000001" customHeight="1" x14ac:dyDescent="0.25">
      <c r="A201" s="7">
        <v>1</v>
      </c>
      <c r="B201" s="10" t="s">
        <v>2</v>
      </c>
      <c r="C201" s="11" t="s">
        <v>40</v>
      </c>
      <c r="D201" s="11">
        <v>1</v>
      </c>
      <c r="E201" s="11">
        <v>3.15</v>
      </c>
      <c r="F201" s="11">
        <v>0.2</v>
      </c>
      <c r="G201" s="11">
        <v>1.1000000000000001</v>
      </c>
      <c r="H201" s="7">
        <f>G201-0.2</f>
        <v>0.90000000000000013</v>
      </c>
      <c r="I201" s="7">
        <f>E201*F201*G201*D201</f>
        <v>0.69300000000000006</v>
      </c>
      <c r="J201" s="7">
        <f>(2*(E201)*H201*D201)+(E201*F201)</f>
        <v>6.3000000000000007</v>
      </c>
      <c r="K201" s="12">
        <f>IF(E201=0.3,J201,0)</f>
        <v>0</v>
      </c>
      <c r="L201" s="12">
        <f>IF(AND(E201&gt;0.3,E201&lt;=0.75),J201,0)</f>
        <v>0</v>
      </c>
      <c r="M201" s="12">
        <f>IF(AND(E201&gt;0.75,E201&lt;=1.2),J201,0)</f>
        <v>0</v>
      </c>
      <c r="N201" s="12">
        <f>IF(E201&gt;1.2,J201,0)</f>
        <v>6.3000000000000007</v>
      </c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>
        <f>SUM(X202:X207)/I201</f>
        <v>161.17687641723356</v>
      </c>
      <c r="Z201" s="7"/>
      <c r="AA201" s="7"/>
      <c r="AB201" s="7"/>
      <c r="AC201" s="7"/>
      <c r="AD201" s="7"/>
      <c r="AE201" s="7"/>
    </row>
    <row r="202" spans="1:32" s="9" customFormat="1" ht="20.100000000000001" customHeight="1" x14ac:dyDescent="0.25">
      <c r="A202" s="6"/>
      <c r="B202" s="10" t="s">
        <v>2</v>
      </c>
      <c r="C202" s="13" t="s">
        <v>4</v>
      </c>
      <c r="D202" s="7">
        <v>25</v>
      </c>
      <c r="E202" s="7"/>
      <c r="F202" s="7">
        <v>2</v>
      </c>
      <c r="G202" s="8">
        <f>VLOOKUP(D202,'[2]Beam '!$C$20:$H$26,3,0)</f>
        <v>1</v>
      </c>
      <c r="H202" s="8"/>
      <c r="I202" s="7"/>
      <c r="J202" s="7"/>
      <c r="K202" s="7"/>
      <c r="L202" s="7"/>
      <c r="M202" s="7"/>
      <c r="N202" s="7"/>
      <c r="O202" s="7">
        <f>(E201+1*(G202+(12*D202/1000)))+1*(0.5/2)*D201</f>
        <v>4.7</v>
      </c>
      <c r="P202" s="7">
        <f t="shared" ref="P202:P208" si="39">O202*F202</f>
        <v>9.4</v>
      </c>
      <c r="Q202" s="7">
        <f>IF($D202='[2]Beam '!Q$44,$P202*'[2]Beam '!Q$45,0)</f>
        <v>0</v>
      </c>
      <c r="R202" s="7">
        <f>IF($D202='[2]Beam '!R$44,$P202*'[2]Beam '!R$45,0)</f>
        <v>0</v>
      </c>
      <c r="S202" s="7">
        <f>IF($D202='[2]Beam '!S$44,$P202*'[2]Beam '!S$45,0)</f>
        <v>0</v>
      </c>
      <c r="T202" s="7">
        <f>IF($D202='[2]Beam '!T$44,$P202*'[2]Beam '!T$45,0)</f>
        <v>0</v>
      </c>
      <c r="U202" s="7">
        <f>IF($D202='[2]Beam '!U$44,$P202*'[2]Beam '!U$45,0)</f>
        <v>0</v>
      </c>
      <c r="V202" s="7">
        <f>IF($D202='[2]Beam '!V$44,$P202*'[2]Beam '!V$45,0)</f>
        <v>36.236160714285724</v>
      </c>
      <c r="W202" s="7">
        <f>IF($D202='[2]Beam '!W$44,$P202*'[2]Beam '!W$45,0)</f>
        <v>0</v>
      </c>
      <c r="X202" s="7">
        <f t="shared" ref="X202:X208" si="40">SUM(Q202:W202)</f>
        <v>36.236160714285724</v>
      </c>
      <c r="Y202" s="7"/>
      <c r="Z202" s="7"/>
      <c r="AA202" s="7"/>
      <c r="AB202" s="7"/>
      <c r="AC202" s="7"/>
      <c r="AD202" s="7"/>
      <c r="AE202" s="7"/>
    </row>
    <row r="203" spans="1:32" s="9" customFormat="1" ht="20.100000000000001" customHeight="1" x14ac:dyDescent="0.25">
      <c r="A203" s="6"/>
      <c r="B203" s="10" t="s">
        <v>2</v>
      </c>
      <c r="C203" s="13" t="s">
        <v>5</v>
      </c>
      <c r="D203" s="7">
        <v>25</v>
      </c>
      <c r="E203" s="7"/>
      <c r="F203" s="7">
        <v>2</v>
      </c>
      <c r="G203" s="8">
        <f>VLOOKUP(D203,'[2]Beam '!$C$20:$H$26,3,0)</f>
        <v>1</v>
      </c>
      <c r="H203" s="8"/>
      <c r="I203" s="7"/>
      <c r="J203" s="7"/>
      <c r="K203" s="7"/>
      <c r="L203" s="7"/>
      <c r="M203" s="7"/>
      <c r="N203" s="7"/>
      <c r="O203" s="7">
        <f>(0.9+1*(0.5/2)*D201)</f>
        <v>1.1499999999999999</v>
      </c>
      <c r="P203" s="7">
        <f t="shared" si="39"/>
        <v>2.2999999999999998</v>
      </c>
      <c r="Q203" s="7">
        <f>IF($D203='[2]Beam '!Q$44,$P203*'[2]Beam '!Q$45,0)</f>
        <v>0</v>
      </c>
      <c r="R203" s="7">
        <f>IF($D203='[2]Beam '!R$44,$P203*'[2]Beam '!R$45,0)</f>
        <v>0</v>
      </c>
      <c r="S203" s="7">
        <f>IF($D203='[2]Beam '!S$44,$P203*'[2]Beam '!S$45,0)</f>
        <v>0</v>
      </c>
      <c r="T203" s="7">
        <f>IF($D203='[2]Beam '!T$44,$P203*'[2]Beam '!T$45,0)</f>
        <v>0</v>
      </c>
      <c r="U203" s="7">
        <f>IF($D203='[2]Beam '!U$44,$P203*'[2]Beam '!U$45,0)</f>
        <v>0</v>
      </c>
      <c r="V203" s="7">
        <f>IF($D203='[2]Beam '!V$44,$P203*'[2]Beam '!V$45,0)</f>
        <v>8.8662946428571434</v>
      </c>
      <c r="W203" s="7">
        <f>IF($D203='[2]Beam '!W$44,$P203*'[2]Beam '!W$45,0)</f>
        <v>0</v>
      </c>
      <c r="X203" s="7">
        <f t="shared" si="40"/>
        <v>8.8662946428571434</v>
      </c>
      <c r="Y203" s="7"/>
      <c r="Z203" s="7"/>
      <c r="AA203" s="7"/>
      <c r="AB203" s="7"/>
      <c r="AC203" s="7"/>
      <c r="AD203" s="7"/>
      <c r="AE203" s="7"/>
    </row>
    <row r="204" spans="1:32" s="9" customFormat="1" ht="20.100000000000001" customHeight="1" x14ac:dyDescent="0.25">
      <c r="A204" s="6"/>
      <c r="B204" s="10" t="s">
        <v>2</v>
      </c>
      <c r="C204" s="13" t="s">
        <v>6</v>
      </c>
      <c r="D204" s="7">
        <v>20</v>
      </c>
      <c r="E204" s="7"/>
      <c r="F204" s="7">
        <v>2</v>
      </c>
      <c r="G204" s="8">
        <f>VLOOKUP(D204,'[2]Beam '!$C$20:$H$26,3,0)</f>
        <v>0.8</v>
      </c>
      <c r="H204" s="7"/>
      <c r="I204" s="7"/>
      <c r="J204" s="7"/>
      <c r="K204" s="7"/>
      <c r="L204" s="7"/>
      <c r="M204" s="7"/>
      <c r="N204" s="7"/>
      <c r="O204" s="7">
        <f>(E201+1*(G204+(12*D204/1000)))+1*(0.5/2)*D201</f>
        <v>4.4399999999999995</v>
      </c>
      <c r="P204" s="7">
        <f t="shared" si="39"/>
        <v>8.879999999999999</v>
      </c>
      <c r="Q204" s="7">
        <f>IF($D204='[2]Beam '!Q$44,$P204*'[2]Beam '!Q$45,0)</f>
        <v>0</v>
      </c>
      <c r="R204" s="7">
        <f>IF($D204='[2]Beam '!R$44,$P204*'[2]Beam '!R$45,0)</f>
        <v>0</v>
      </c>
      <c r="S204" s="7">
        <f>IF($D204='[2]Beam '!S$44,$P204*'[2]Beam '!S$45,0)</f>
        <v>0</v>
      </c>
      <c r="T204" s="7">
        <f>IF($D204='[2]Beam '!T$44,$P204*'[2]Beam '!T$45,0)</f>
        <v>0</v>
      </c>
      <c r="U204" s="7">
        <f>IF($D204='[2]Beam '!U$44,$P204*'[2]Beam '!U$45,0)</f>
        <v>21.90822857142857</v>
      </c>
      <c r="V204" s="7">
        <f>IF($D204='[2]Beam '!V$44,$P204*'[2]Beam '!V$45,0)</f>
        <v>0</v>
      </c>
      <c r="W204" s="7">
        <f>IF($D204='[2]Beam '!W$44,$P204*'[2]Beam '!W$45,0)</f>
        <v>0</v>
      </c>
      <c r="X204" s="7">
        <f t="shared" si="40"/>
        <v>21.90822857142857</v>
      </c>
      <c r="Y204" s="7"/>
      <c r="Z204" s="7"/>
      <c r="AA204" s="7"/>
      <c r="AB204" s="7"/>
      <c r="AC204" s="7"/>
      <c r="AD204" s="7"/>
      <c r="AE204" s="7"/>
    </row>
    <row r="205" spans="1:32" s="14" customFormat="1" ht="20.100000000000001" customHeight="1" x14ac:dyDescent="0.3">
      <c r="A205" s="6"/>
      <c r="B205" s="10" t="s">
        <v>2</v>
      </c>
      <c r="C205" s="13" t="s">
        <v>13</v>
      </c>
      <c r="D205" s="7">
        <v>16</v>
      </c>
      <c r="E205" s="7"/>
      <c r="F205" s="7">
        <v>2</v>
      </c>
      <c r="G205" s="8">
        <f>VLOOKUP(D205,'[2]Beam '!$C$20:$H$26,3,0)</f>
        <v>0.625</v>
      </c>
      <c r="H205" s="7"/>
      <c r="I205" s="7"/>
      <c r="J205" s="7"/>
      <c r="K205" s="7"/>
      <c r="L205" s="7"/>
      <c r="M205" s="7"/>
      <c r="N205" s="7"/>
      <c r="O205" s="7">
        <f>(0.9+1*(0.5/2)*D201)</f>
        <v>1.1499999999999999</v>
      </c>
      <c r="P205" s="7">
        <f t="shared" si="39"/>
        <v>2.2999999999999998</v>
      </c>
      <c r="Q205" s="7">
        <f>IF($D205='[2]Beam '!Q$44,$P205*'[2]Beam '!Q$45,0)</f>
        <v>0</v>
      </c>
      <c r="R205" s="7">
        <f>IF($D205='[2]Beam '!R$44,$P205*'[2]Beam '!R$45,0)</f>
        <v>0</v>
      </c>
      <c r="S205" s="7">
        <f>IF($D205='[2]Beam '!S$44,$P205*'[2]Beam '!S$45,0)</f>
        <v>0</v>
      </c>
      <c r="T205" s="7">
        <f>IF($D205='[2]Beam '!T$44,$P205*'[2]Beam '!T$45,0)</f>
        <v>3.6316342857142856</v>
      </c>
      <c r="U205" s="7">
        <f>IF($D205='[2]Beam '!U$44,$P205*'[2]Beam '!U$45,0)</f>
        <v>0</v>
      </c>
      <c r="V205" s="7">
        <f>IF($D205='[2]Beam '!V$44,$P205*'[2]Beam '!V$45,0)</f>
        <v>0</v>
      </c>
      <c r="W205" s="7">
        <f>IF($D205='[2]Beam '!W$44,$P205*'[2]Beam '!W$45,0)</f>
        <v>0</v>
      </c>
      <c r="X205" s="7">
        <f t="shared" si="40"/>
        <v>3.6316342857142856</v>
      </c>
      <c r="Y205" s="7"/>
    </row>
    <row r="206" spans="1:32" s="9" customFormat="1" ht="20.100000000000001" customHeight="1" x14ac:dyDescent="0.25">
      <c r="A206" s="6"/>
      <c r="B206" s="10" t="s">
        <v>2</v>
      </c>
      <c r="C206" s="13" t="s">
        <v>7</v>
      </c>
      <c r="D206" s="7">
        <v>10</v>
      </c>
      <c r="E206" s="7">
        <v>0.125</v>
      </c>
      <c r="F206" s="7">
        <f>ROUNDUP((E201/3*2)/E206,0)+1</f>
        <v>18</v>
      </c>
      <c r="H206" s="7"/>
      <c r="I206" s="7"/>
      <c r="J206" s="7"/>
      <c r="K206" s="7"/>
      <c r="L206" s="7"/>
      <c r="M206" s="7"/>
      <c r="N206" s="7"/>
      <c r="O206" s="7">
        <f>(2*((G201-(2*'[2]Beam '!$D$11))+(F201-(2*'[2]Beam '!$D$11)))+(2*10*D206/1000))*D201</f>
        <v>2.5600000000000005</v>
      </c>
      <c r="P206" s="7">
        <f t="shared" si="39"/>
        <v>46.080000000000013</v>
      </c>
      <c r="Q206" s="7">
        <f>IF($D206='[2]Beam '!Q$44,$P206*'[2]Beam '!Q$45,0)</f>
        <v>0</v>
      </c>
      <c r="R206" s="7">
        <f>IF($D206='[2]Beam '!R$44,$P206*'[2]Beam '!R$45,0)</f>
        <v>28.421485714285723</v>
      </c>
      <c r="S206" s="7">
        <f>IF($D206='[2]Beam '!S$44,$P206*'[2]Beam '!S$45,0)</f>
        <v>0</v>
      </c>
      <c r="T206" s="7">
        <f>IF($D206='[2]Beam '!T$44,$P206*'[2]Beam '!T$45,0)</f>
        <v>0</v>
      </c>
      <c r="U206" s="7">
        <f>IF($D206='[2]Beam '!U$44,$P206*'[2]Beam '!U$45,0)</f>
        <v>0</v>
      </c>
      <c r="V206" s="7">
        <f>IF($D206='[2]Beam '!V$44,$P206*'[2]Beam '!V$45,0)</f>
        <v>0</v>
      </c>
      <c r="W206" s="7">
        <f>IF($D206='[2]Beam '!W$44,$P206*'[2]Beam '!W$45,0)</f>
        <v>0</v>
      </c>
      <c r="X206" s="7">
        <f t="shared" si="40"/>
        <v>28.421485714285723</v>
      </c>
      <c r="Y206" s="7"/>
      <c r="Z206" s="7"/>
      <c r="AA206" s="7"/>
      <c r="AB206" s="7"/>
      <c r="AC206" s="7"/>
      <c r="AD206" s="7"/>
      <c r="AE206" s="7"/>
    </row>
    <row r="207" spans="1:32" s="9" customFormat="1" ht="21" customHeight="1" x14ac:dyDescent="0.25">
      <c r="A207" s="14"/>
      <c r="B207" s="10" t="s">
        <v>2</v>
      </c>
      <c r="C207" s="13" t="s">
        <v>8</v>
      </c>
      <c r="D207" s="14">
        <f>D206</f>
        <v>10</v>
      </c>
      <c r="E207" s="14">
        <v>0.15</v>
      </c>
      <c r="F207" s="7">
        <f>ROUNDUP((E201/3)/E207,0)+1</f>
        <v>8</v>
      </c>
      <c r="H207" s="14"/>
      <c r="I207" s="14"/>
      <c r="J207" s="14"/>
      <c r="K207" s="14"/>
      <c r="L207" s="14"/>
      <c r="M207" s="14"/>
      <c r="N207" s="14"/>
      <c r="O207" s="7">
        <f>(2*((G201-(2*'[2]Beam '!$D$11))+(F201-(2*'[2]Beam '!$D$11)))+(2*10*D207/1000))*D201</f>
        <v>2.5600000000000005</v>
      </c>
      <c r="P207" s="7">
        <f t="shared" si="39"/>
        <v>20.480000000000004</v>
      </c>
      <c r="Q207" s="7">
        <f>IF($D207='[2]Beam '!Q$44,$P207*'[2]Beam '!Q$45,0)</f>
        <v>0</v>
      </c>
      <c r="R207" s="7">
        <f>IF($D207='[2]Beam '!R$44,$P207*'[2]Beam '!R$45,0)</f>
        <v>12.631771428571431</v>
      </c>
      <c r="S207" s="7">
        <f>IF($D207='[2]Beam '!S$44,$P207*'[2]Beam '!S$45,0)</f>
        <v>0</v>
      </c>
      <c r="T207" s="7">
        <f>IF($D207='[2]Beam '!T$44,$P207*'[2]Beam '!T$45,0)</f>
        <v>0</v>
      </c>
      <c r="U207" s="7">
        <f>IF($D207='[2]Beam '!U$44,$P207*'[2]Beam '!U$45,0)</f>
        <v>0</v>
      </c>
      <c r="V207" s="7">
        <f>IF($D207='[2]Beam '!V$44,$P207*'[2]Beam '!V$45,0)</f>
        <v>0</v>
      </c>
      <c r="W207" s="7">
        <f>IF($D207='[2]Beam '!W$44,$P207*'[2]Beam '!W$45,0)</f>
        <v>0</v>
      </c>
      <c r="X207" s="7">
        <f t="shared" si="40"/>
        <v>12.631771428571431</v>
      </c>
      <c r="Y207" s="14"/>
      <c r="Z207" s="7"/>
      <c r="AA207" s="7"/>
      <c r="AB207" s="7"/>
      <c r="AC207" s="7"/>
      <c r="AD207" s="7"/>
      <c r="AE207" s="7"/>
      <c r="AF207" s="7"/>
    </row>
    <row r="208" spans="1:32" s="9" customFormat="1" ht="20.100000000000001" customHeight="1" x14ac:dyDescent="0.25">
      <c r="A208" s="6"/>
      <c r="B208" s="10" t="s">
        <v>2</v>
      </c>
      <c r="C208" s="13" t="s">
        <v>11</v>
      </c>
      <c r="D208" s="7">
        <f>+'[2]Beam '!$D$15</f>
        <v>25</v>
      </c>
      <c r="E208" s="7">
        <f>+'[2]Beam '!$E$15</f>
        <v>1</v>
      </c>
      <c r="F208" s="7">
        <f>ROUNDUP((0.9+0.9)/E208,0)</f>
        <v>2</v>
      </c>
      <c r="G208" s="8"/>
      <c r="H208" s="8"/>
      <c r="I208" s="7"/>
      <c r="J208" s="7"/>
      <c r="K208" s="7"/>
      <c r="L208" s="7"/>
      <c r="M208" s="7"/>
      <c r="N208" s="7"/>
      <c r="O208" s="7">
        <f>F201-'[2]Beam '!$F$15</f>
        <v>0.14000000000000001</v>
      </c>
      <c r="P208" s="7">
        <f t="shared" si="39"/>
        <v>0.28000000000000003</v>
      </c>
      <c r="Q208" s="7">
        <f>IF($D208='[2]Beam '!Q$44,$P208*'[2]Beam '!Q$45,0)</f>
        <v>0</v>
      </c>
      <c r="R208" s="7">
        <f>IF($D208='[2]Beam '!R$44,$P208*'[2]Beam '!R$45,0)</f>
        <v>0</v>
      </c>
      <c r="S208" s="7">
        <f>IF($D208='[2]Beam '!S$44,$P208*'[2]Beam '!S$45,0)</f>
        <v>0</v>
      </c>
      <c r="T208" s="7">
        <f>IF($D208='[2]Beam '!T$44,$P208*'[2]Beam '!T$45,0)</f>
        <v>0</v>
      </c>
      <c r="U208" s="7">
        <f>IF($D208='[2]Beam '!U$44,$P208*'[2]Beam '!U$45,0)</f>
        <v>0</v>
      </c>
      <c r="V208" s="7">
        <f>IF($D208='[2]Beam '!V$44,$P208*'[2]Beam '!V$45,0)</f>
        <v>1.0793750000000002</v>
      </c>
      <c r="W208" s="7">
        <f>IF($D208='[2]Beam '!W$44,$P208*'[2]Beam '!W$45,0)</f>
        <v>0</v>
      </c>
      <c r="X208" s="7">
        <f t="shared" si="40"/>
        <v>1.0793750000000002</v>
      </c>
      <c r="Y208" s="7"/>
      <c r="Z208" s="7"/>
      <c r="AA208" s="7"/>
      <c r="AB208" s="7"/>
      <c r="AC208" s="7"/>
      <c r="AD208" s="7"/>
      <c r="AE208" s="7"/>
    </row>
    <row r="209" spans="1:32" s="9" customFormat="1" ht="20.100000000000001" customHeight="1" x14ac:dyDescent="0.25">
      <c r="A209" s="7">
        <v>1</v>
      </c>
      <c r="B209" s="10" t="s">
        <v>2</v>
      </c>
      <c r="C209" s="11" t="s">
        <v>41</v>
      </c>
      <c r="D209" s="11">
        <v>1</v>
      </c>
      <c r="E209" s="11">
        <v>1.73</v>
      </c>
      <c r="F209" s="11">
        <v>0.2</v>
      </c>
      <c r="G209" s="11">
        <v>1.1000000000000001</v>
      </c>
      <c r="H209" s="7">
        <f>G209-0.2</f>
        <v>0.90000000000000013</v>
      </c>
      <c r="I209" s="7">
        <f>E209*F209*G209*D209</f>
        <v>0.38060000000000005</v>
      </c>
      <c r="J209" s="7">
        <f>(2*(E209)*H209*D209)+(E209*F209)</f>
        <v>3.4600000000000004</v>
      </c>
      <c r="K209" s="12">
        <f>IF(E209=0.3,J209,0)</f>
        <v>0</v>
      </c>
      <c r="L209" s="12">
        <f>IF(AND(E209&gt;0.3,E209&lt;=0.75),J209,0)</f>
        <v>0</v>
      </c>
      <c r="M209" s="12">
        <f>IF(AND(E209&gt;0.75,E209&lt;=1.2),J209,0)</f>
        <v>0</v>
      </c>
      <c r="N209" s="12">
        <f>IF(E209&gt;1.2,J209,0)</f>
        <v>3.4600000000000004</v>
      </c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>
        <f>SUM(X210:X215)/I209</f>
        <v>310.52655326176716</v>
      </c>
      <c r="Z209" s="7"/>
      <c r="AA209" s="7"/>
      <c r="AB209" s="7"/>
      <c r="AC209" s="7"/>
      <c r="AD209" s="7"/>
      <c r="AE209" s="7"/>
    </row>
    <row r="210" spans="1:32" s="9" customFormat="1" ht="20.100000000000001" customHeight="1" x14ac:dyDescent="0.25">
      <c r="A210" s="6"/>
      <c r="B210" s="10" t="s">
        <v>2</v>
      </c>
      <c r="C210" s="13" t="s">
        <v>4</v>
      </c>
      <c r="D210" s="7">
        <v>25</v>
      </c>
      <c r="E210" s="7"/>
      <c r="F210" s="7">
        <v>2</v>
      </c>
      <c r="G210" s="8">
        <f>VLOOKUP(D210,'[2]Beam '!$C$20:$H$26,3,0)</f>
        <v>1</v>
      </c>
      <c r="H210" s="8"/>
      <c r="I210" s="7"/>
      <c r="J210" s="7"/>
      <c r="K210" s="7"/>
      <c r="L210" s="7"/>
      <c r="M210" s="7"/>
      <c r="N210" s="7"/>
      <c r="O210" s="7">
        <f>(E209+1*(G210+(12*D210/1000)))+1*(0.5/2)*D209</f>
        <v>3.2800000000000002</v>
      </c>
      <c r="P210" s="7">
        <f t="shared" ref="P210:P216" si="41">O210*F210</f>
        <v>6.5600000000000005</v>
      </c>
      <c r="Q210" s="7">
        <f>IF($D210='[2]Beam '!Q$44,$P210*'[2]Beam '!Q$45,0)</f>
        <v>0</v>
      </c>
      <c r="R210" s="7">
        <f>IF($D210='[2]Beam '!R$44,$P210*'[2]Beam '!R$45,0)</f>
        <v>0</v>
      </c>
      <c r="S210" s="7">
        <f>IF($D210='[2]Beam '!S$44,$P210*'[2]Beam '!S$45,0)</f>
        <v>0</v>
      </c>
      <c r="T210" s="7">
        <f>IF($D210='[2]Beam '!T$44,$P210*'[2]Beam '!T$45,0)</f>
        <v>0</v>
      </c>
      <c r="U210" s="7">
        <f>IF($D210='[2]Beam '!U$44,$P210*'[2]Beam '!U$45,0)</f>
        <v>0</v>
      </c>
      <c r="V210" s="7">
        <f>IF($D210='[2]Beam '!V$44,$P210*'[2]Beam '!V$45,0)</f>
        <v>25.288214285714293</v>
      </c>
      <c r="W210" s="7">
        <f>IF($D210='[2]Beam '!W$44,$P210*'[2]Beam '!W$45,0)</f>
        <v>0</v>
      </c>
      <c r="X210" s="7">
        <f t="shared" ref="X210:X216" si="42">SUM(Q210:W210)</f>
        <v>25.288214285714293</v>
      </c>
      <c r="Y210" s="7"/>
      <c r="Z210" s="7"/>
      <c r="AA210" s="7"/>
      <c r="AB210" s="7"/>
      <c r="AC210" s="7"/>
      <c r="AD210" s="7"/>
      <c r="AE210" s="7"/>
    </row>
    <row r="211" spans="1:32" s="9" customFormat="1" ht="20.100000000000001" customHeight="1" x14ac:dyDescent="0.25">
      <c r="A211" s="6"/>
      <c r="B211" s="10" t="s">
        <v>2</v>
      </c>
      <c r="C211" s="13" t="s">
        <v>5</v>
      </c>
      <c r="D211" s="7">
        <v>25</v>
      </c>
      <c r="E211" s="7"/>
      <c r="F211" s="7">
        <v>2</v>
      </c>
      <c r="G211" s="8">
        <f>VLOOKUP(D211,'[2]Beam '!$C$20:$H$26,3,0)</f>
        <v>1</v>
      </c>
      <c r="H211" s="8"/>
      <c r="I211" s="7"/>
      <c r="J211" s="7"/>
      <c r="K211" s="7"/>
      <c r="L211" s="7"/>
      <c r="M211" s="7"/>
      <c r="N211" s="7"/>
      <c r="O211" s="7">
        <f>(E209+1*(G211+(12*D211/1000)))+1*(0.5/2)*D209</f>
        <v>3.2800000000000002</v>
      </c>
      <c r="P211" s="7">
        <f t="shared" si="41"/>
        <v>6.5600000000000005</v>
      </c>
      <c r="Q211" s="7">
        <f>IF($D211='[2]Beam '!Q$44,$P211*'[2]Beam '!Q$45,0)</f>
        <v>0</v>
      </c>
      <c r="R211" s="7">
        <f>IF($D211='[2]Beam '!R$44,$P211*'[2]Beam '!R$45,0)</f>
        <v>0</v>
      </c>
      <c r="S211" s="7">
        <f>IF($D211='[2]Beam '!S$44,$P211*'[2]Beam '!S$45,0)</f>
        <v>0</v>
      </c>
      <c r="T211" s="7">
        <f>IF($D211='[2]Beam '!T$44,$P211*'[2]Beam '!T$45,0)</f>
        <v>0</v>
      </c>
      <c r="U211" s="7">
        <f>IF($D211='[2]Beam '!U$44,$P211*'[2]Beam '!U$45,0)</f>
        <v>0</v>
      </c>
      <c r="V211" s="7">
        <f>IF($D211='[2]Beam '!V$44,$P211*'[2]Beam '!V$45,0)</f>
        <v>25.288214285714293</v>
      </c>
      <c r="W211" s="7">
        <f>IF($D211='[2]Beam '!W$44,$P211*'[2]Beam '!W$45,0)</f>
        <v>0</v>
      </c>
      <c r="X211" s="7">
        <f t="shared" si="42"/>
        <v>25.288214285714293</v>
      </c>
      <c r="Y211" s="7"/>
      <c r="Z211" s="7"/>
      <c r="AA211" s="7"/>
      <c r="AB211" s="7"/>
      <c r="AC211" s="7"/>
      <c r="AD211" s="7"/>
      <c r="AE211" s="7"/>
    </row>
    <row r="212" spans="1:32" s="9" customFormat="1" ht="20.100000000000001" customHeight="1" x14ac:dyDescent="0.25">
      <c r="A212" s="6"/>
      <c r="B212" s="10" t="s">
        <v>2</v>
      </c>
      <c r="C212" s="13" t="s">
        <v>6</v>
      </c>
      <c r="D212" s="7">
        <v>20</v>
      </c>
      <c r="E212" s="7"/>
      <c r="F212" s="7">
        <v>2</v>
      </c>
      <c r="G212" s="8">
        <f>VLOOKUP(D212,'[2]Beam '!$C$20:$H$26,3,0)</f>
        <v>0.8</v>
      </c>
      <c r="H212" s="7"/>
      <c r="I212" s="7"/>
      <c r="J212" s="7"/>
      <c r="K212" s="7"/>
      <c r="L212" s="7"/>
      <c r="M212" s="7"/>
      <c r="N212" s="7"/>
      <c r="O212" s="7">
        <f>(E209+1*(G212+(12*D212/1000)))+1*(0.5/2)*D209</f>
        <v>3.02</v>
      </c>
      <c r="P212" s="7">
        <f t="shared" si="41"/>
        <v>6.04</v>
      </c>
      <c r="Q212" s="7">
        <f>IF($D212='[2]Beam '!Q$44,$P212*'[2]Beam '!Q$45,0)</f>
        <v>0</v>
      </c>
      <c r="R212" s="7">
        <f>IF($D212='[2]Beam '!R$44,$P212*'[2]Beam '!R$45,0)</f>
        <v>0</v>
      </c>
      <c r="S212" s="7">
        <f>IF($D212='[2]Beam '!S$44,$P212*'[2]Beam '!S$45,0)</f>
        <v>0</v>
      </c>
      <c r="T212" s="7">
        <f>IF($D212='[2]Beam '!T$44,$P212*'[2]Beam '!T$45,0)</f>
        <v>0</v>
      </c>
      <c r="U212" s="7">
        <f>IF($D212='[2]Beam '!U$44,$P212*'[2]Beam '!U$45,0)</f>
        <v>14.901542857142857</v>
      </c>
      <c r="V212" s="7">
        <f>IF($D212='[2]Beam '!V$44,$P212*'[2]Beam '!V$45,0)</f>
        <v>0</v>
      </c>
      <c r="W212" s="7">
        <f>IF($D212='[2]Beam '!W$44,$P212*'[2]Beam '!W$45,0)</f>
        <v>0</v>
      </c>
      <c r="X212" s="7">
        <f t="shared" si="42"/>
        <v>14.901542857142857</v>
      </c>
      <c r="Y212" s="7"/>
      <c r="Z212" s="7"/>
      <c r="AA212" s="7"/>
      <c r="AB212" s="7"/>
      <c r="AC212" s="7"/>
      <c r="AD212" s="7"/>
      <c r="AE212" s="7"/>
    </row>
    <row r="213" spans="1:32" s="14" customFormat="1" ht="20.100000000000001" customHeight="1" x14ac:dyDescent="0.3">
      <c r="A213" s="6"/>
      <c r="B213" s="10" t="s">
        <v>2</v>
      </c>
      <c r="C213" s="13" t="s">
        <v>13</v>
      </c>
      <c r="D213" s="7">
        <v>16</v>
      </c>
      <c r="E213" s="7"/>
      <c r="F213" s="7">
        <v>2</v>
      </c>
      <c r="G213" s="8">
        <f>VLOOKUP(D213,'[2]Beam '!$C$20:$H$26,3,0)</f>
        <v>0.625</v>
      </c>
      <c r="H213" s="7"/>
      <c r="I213" s="7"/>
      <c r="J213" s="7"/>
      <c r="K213" s="7"/>
      <c r="L213" s="7"/>
      <c r="M213" s="7"/>
      <c r="N213" s="7"/>
      <c r="O213" s="7">
        <f>(E209+1*(G213+(12*D213/1000)))+1*(0.5/2)*D209</f>
        <v>2.7969999999999997</v>
      </c>
      <c r="P213" s="7">
        <f t="shared" si="41"/>
        <v>5.5939999999999994</v>
      </c>
      <c r="Q213" s="7">
        <f>IF($D213='[2]Beam '!Q$44,$P213*'[2]Beam '!Q$45,0)</f>
        <v>0</v>
      </c>
      <c r="R213" s="7">
        <f>IF($D213='[2]Beam '!R$44,$P213*'[2]Beam '!R$45,0)</f>
        <v>0</v>
      </c>
      <c r="S213" s="7">
        <f>IF($D213='[2]Beam '!S$44,$P213*'[2]Beam '!S$45,0)</f>
        <v>0</v>
      </c>
      <c r="T213" s="7">
        <f>IF($D213='[2]Beam '!T$44,$P213*'[2]Beam '!T$45,0)</f>
        <v>8.8327661714285703</v>
      </c>
      <c r="U213" s="7">
        <f>IF($D213='[2]Beam '!U$44,$P213*'[2]Beam '!U$45,0)</f>
        <v>0</v>
      </c>
      <c r="V213" s="7">
        <f>IF($D213='[2]Beam '!V$44,$P213*'[2]Beam '!V$45,0)</f>
        <v>0</v>
      </c>
      <c r="W213" s="7">
        <f>IF($D213='[2]Beam '!W$44,$P213*'[2]Beam '!W$45,0)</f>
        <v>0</v>
      </c>
      <c r="X213" s="7">
        <f t="shared" si="42"/>
        <v>8.8327661714285703</v>
      </c>
      <c r="Y213" s="7"/>
    </row>
    <row r="214" spans="1:32" s="9" customFormat="1" ht="20.100000000000001" customHeight="1" x14ac:dyDescent="0.25">
      <c r="A214" s="6"/>
      <c r="B214" s="10" t="s">
        <v>2</v>
      </c>
      <c r="C214" s="13" t="s">
        <v>7</v>
      </c>
      <c r="D214" s="7">
        <v>12</v>
      </c>
      <c r="E214" s="7">
        <v>0.1</v>
      </c>
      <c r="F214" s="7">
        <f>ROUNDUP((E209/3*2)/E214,0)+1</f>
        <v>13</v>
      </c>
      <c r="H214" s="7"/>
      <c r="I214" s="7"/>
      <c r="J214" s="7"/>
      <c r="K214" s="7"/>
      <c r="L214" s="7"/>
      <c r="M214" s="7"/>
      <c r="N214" s="7"/>
      <c r="O214" s="7">
        <f>(2*((G209-(2*'[2]Beam '!$D$11))+(F209-(2*'[2]Beam '!$D$11)))+(2*10*D214/1000))*D209</f>
        <v>2.6000000000000005</v>
      </c>
      <c r="P214" s="7">
        <f t="shared" si="41"/>
        <v>33.800000000000004</v>
      </c>
      <c r="Q214" s="7">
        <f>IF($D214='[2]Beam '!Q$44,$P214*'[2]Beam '!Q$45,0)</f>
        <v>0</v>
      </c>
      <c r="R214" s="7">
        <f>IF($D214='[2]Beam '!R$44,$P214*'[2]Beam '!R$45,0)</f>
        <v>0</v>
      </c>
      <c r="S214" s="7">
        <f>IF($D214='[2]Beam '!S$44,$P214*'[2]Beam '!S$45,0)</f>
        <v>30.020194285714293</v>
      </c>
      <c r="T214" s="7">
        <f>IF($D214='[2]Beam '!T$44,$P214*'[2]Beam '!T$45,0)</f>
        <v>0</v>
      </c>
      <c r="U214" s="7">
        <f>IF($D214='[2]Beam '!U$44,$P214*'[2]Beam '!U$45,0)</f>
        <v>0</v>
      </c>
      <c r="V214" s="7">
        <f>IF($D214='[2]Beam '!V$44,$P214*'[2]Beam '!V$45,0)</f>
        <v>0</v>
      </c>
      <c r="W214" s="7">
        <f>IF($D214='[2]Beam '!W$44,$P214*'[2]Beam '!W$45,0)</f>
        <v>0</v>
      </c>
      <c r="X214" s="7">
        <f t="shared" si="42"/>
        <v>30.020194285714293</v>
      </c>
      <c r="Y214" s="7"/>
      <c r="Z214" s="7"/>
      <c r="AA214" s="7"/>
      <c r="AB214" s="7"/>
      <c r="AC214" s="7"/>
      <c r="AD214" s="7"/>
      <c r="AE214" s="7"/>
    </row>
    <row r="215" spans="1:32" s="9" customFormat="1" ht="21" customHeight="1" x14ac:dyDescent="0.25">
      <c r="A215" s="14"/>
      <c r="B215" s="10" t="s">
        <v>2</v>
      </c>
      <c r="C215" s="13" t="s">
        <v>8</v>
      </c>
      <c r="D215" s="14">
        <f>D214</f>
        <v>12</v>
      </c>
      <c r="E215" s="14">
        <v>0.125</v>
      </c>
      <c r="F215" s="7">
        <f>ROUNDUP((E209/3)/E215,0)+1</f>
        <v>6</v>
      </c>
      <c r="H215" s="14"/>
      <c r="I215" s="14"/>
      <c r="J215" s="14"/>
      <c r="K215" s="14"/>
      <c r="L215" s="14"/>
      <c r="M215" s="14"/>
      <c r="N215" s="14"/>
      <c r="O215" s="7">
        <f>(2*((G209-(2*'[2]Beam '!$D$11))+(F209-(2*'[2]Beam '!$D$11)))+(2*10*D215/1000))*D209</f>
        <v>2.6000000000000005</v>
      </c>
      <c r="P215" s="7">
        <f t="shared" si="41"/>
        <v>15.600000000000003</v>
      </c>
      <c r="Q215" s="7">
        <f>IF($D215='[2]Beam '!Q$44,$P215*'[2]Beam '!Q$45,0)</f>
        <v>0</v>
      </c>
      <c r="R215" s="7">
        <f>IF($D215='[2]Beam '!R$44,$P215*'[2]Beam '!R$45,0)</f>
        <v>0</v>
      </c>
      <c r="S215" s="7">
        <f>IF($D215='[2]Beam '!S$44,$P215*'[2]Beam '!S$45,0)</f>
        <v>13.855474285714291</v>
      </c>
      <c r="T215" s="7">
        <f>IF($D215='[2]Beam '!T$44,$P215*'[2]Beam '!T$45,0)</f>
        <v>0</v>
      </c>
      <c r="U215" s="7">
        <f>IF($D215='[2]Beam '!U$44,$P215*'[2]Beam '!U$45,0)</f>
        <v>0</v>
      </c>
      <c r="V215" s="7">
        <f>IF($D215='[2]Beam '!V$44,$P215*'[2]Beam '!V$45,0)</f>
        <v>0</v>
      </c>
      <c r="W215" s="7">
        <f>IF($D215='[2]Beam '!W$44,$P215*'[2]Beam '!W$45,0)</f>
        <v>0</v>
      </c>
      <c r="X215" s="7">
        <f t="shared" si="42"/>
        <v>13.855474285714291</v>
      </c>
      <c r="Y215" s="14"/>
      <c r="Z215" s="7"/>
      <c r="AA215" s="7"/>
      <c r="AB215" s="7"/>
      <c r="AC215" s="7"/>
      <c r="AD215" s="7"/>
      <c r="AE215" s="7"/>
      <c r="AF215" s="7"/>
    </row>
    <row r="216" spans="1:32" s="9" customFormat="1" ht="20.100000000000001" customHeight="1" x14ac:dyDescent="0.25">
      <c r="A216" s="6"/>
      <c r="B216" s="10" t="s">
        <v>2</v>
      </c>
      <c r="C216" s="13" t="s">
        <v>11</v>
      </c>
      <c r="D216" s="7">
        <f>+'[2]Beam '!$D$15</f>
        <v>25</v>
      </c>
      <c r="E216" s="7">
        <f>+'[2]Beam '!$E$15</f>
        <v>1</v>
      </c>
      <c r="F216" s="7">
        <f>ROUNDUP((0.9+0.9)/E216,0)</f>
        <v>2</v>
      </c>
      <c r="G216" s="8"/>
      <c r="H216" s="8"/>
      <c r="I216" s="7"/>
      <c r="J216" s="7"/>
      <c r="K216" s="7"/>
      <c r="L216" s="7"/>
      <c r="M216" s="7"/>
      <c r="N216" s="7"/>
      <c r="O216" s="7">
        <f>F209-'[2]Beam '!$F$15</f>
        <v>0.14000000000000001</v>
      </c>
      <c r="P216" s="7">
        <f t="shared" si="41"/>
        <v>0.28000000000000003</v>
      </c>
      <c r="Q216" s="7">
        <f>IF($D216='[2]Beam '!Q$44,$P216*'[2]Beam '!Q$45,0)</f>
        <v>0</v>
      </c>
      <c r="R216" s="7">
        <f>IF($D216='[2]Beam '!R$44,$P216*'[2]Beam '!R$45,0)</f>
        <v>0</v>
      </c>
      <c r="S216" s="7">
        <f>IF($D216='[2]Beam '!S$44,$P216*'[2]Beam '!S$45,0)</f>
        <v>0</v>
      </c>
      <c r="T216" s="7">
        <f>IF($D216='[2]Beam '!T$44,$P216*'[2]Beam '!T$45,0)</f>
        <v>0</v>
      </c>
      <c r="U216" s="7">
        <f>IF($D216='[2]Beam '!U$44,$P216*'[2]Beam '!U$45,0)</f>
        <v>0</v>
      </c>
      <c r="V216" s="7">
        <f>IF($D216='[2]Beam '!V$44,$P216*'[2]Beam '!V$45,0)</f>
        <v>1.0793750000000002</v>
      </c>
      <c r="W216" s="7">
        <f>IF($D216='[2]Beam '!W$44,$P216*'[2]Beam '!W$45,0)</f>
        <v>0</v>
      </c>
      <c r="X216" s="7">
        <f t="shared" si="42"/>
        <v>1.0793750000000002</v>
      </c>
      <c r="Y216" s="7"/>
      <c r="Z216" s="7"/>
      <c r="AA216" s="7"/>
      <c r="AB216" s="7"/>
      <c r="AC216" s="7"/>
      <c r="AD216" s="7"/>
      <c r="AE216" s="7"/>
    </row>
    <row r="217" spans="1:32" s="9" customFormat="1" ht="20.100000000000001" customHeight="1" x14ac:dyDescent="0.25">
      <c r="A217" s="7">
        <v>1</v>
      </c>
      <c r="B217" s="10" t="s">
        <v>2</v>
      </c>
      <c r="C217" s="11" t="s">
        <v>42</v>
      </c>
      <c r="D217" s="11">
        <v>1</v>
      </c>
      <c r="E217" s="11">
        <v>2.8479999999999999</v>
      </c>
      <c r="F217" s="11">
        <v>0.2</v>
      </c>
      <c r="G217" s="11">
        <v>1.1000000000000001</v>
      </c>
      <c r="H217" s="7">
        <f>G217-0.2</f>
        <v>0.90000000000000013</v>
      </c>
      <c r="I217" s="7">
        <f>E217*F217*G217*D217</f>
        <v>0.62656000000000001</v>
      </c>
      <c r="J217" s="7">
        <f>(2*(E217)*H217*D217)+(E217*F217)</f>
        <v>5.6960000000000006</v>
      </c>
      <c r="K217" s="12">
        <f>IF(E217=0.3,J217,0)</f>
        <v>0</v>
      </c>
      <c r="L217" s="12">
        <f>IF(AND(E217&gt;0.3,E217&lt;=0.75),J217,0)</f>
        <v>0</v>
      </c>
      <c r="M217" s="12">
        <f>IF(AND(E217&gt;0.75,E217&lt;=1.2),J217,0)</f>
        <v>0</v>
      </c>
      <c r="N217" s="12">
        <f>IF(E217&gt;1.2,J217,0)</f>
        <v>5.6960000000000006</v>
      </c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>
        <f>SUM(X218:X221)/I217</f>
        <v>193.81262540128412</v>
      </c>
      <c r="Z217" s="7"/>
      <c r="AA217" s="7"/>
      <c r="AB217" s="7"/>
      <c r="AC217" s="7"/>
      <c r="AD217" s="7"/>
      <c r="AE217" s="7"/>
    </row>
    <row r="218" spans="1:32" s="9" customFormat="1" ht="20.100000000000001" customHeight="1" x14ac:dyDescent="0.25">
      <c r="A218" s="6"/>
      <c r="B218" s="10" t="s">
        <v>2</v>
      </c>
      <c r="C218" s="13" t="s">
        <v>4</v>
      </c>
      <c r="D218" s="7">
        <v>20</v>
      </c>
      <c r="E218" s="7"/>
      <c r="F218" s="7">
        <v>2</v>
      </c>
      <c r="G218" s="8">
        <f>VLOOKUP(D218,'[2]Beam '!$C$20:$H$26,3,0)</f>
        <v>0.8</v>
      </c>
      <c r="H218" s="8"/>
      <c r="I218" s="7"/>
      <c r="J218" s="7"/>
      <c r="K218" s="7"/>
      <c r="L218" s="7"/>
      <c r="M218" s="7"/>
      <c r="N218" s="7"/>
      <c r="O218" s="7">
        <f>(E217+2*(G218+(12*D218/1000)))*D217</f>
        <v>4.9279999999999999</v>
      </c>
      <c r="P218" s="7">
        <f>O218*F218</f>
        <v>9.8559999999999999</v>
      </c>
      <c r="Q218" s="7">
        <f>IF($D218='[2]Beam '!Q$44,$P218*'[2]Beam '!Q$45,0)</f>
        <v>0</v>
      </c>
      <c r="R218" s="7">
        <f>IF($D218='[2]Beam '!R$44,$P218*'[2]Beam '!R$45,0)</f>
        <v>0</v>
      </c>
      <c r="S218" s="7">
        <f>IF($D218='[2]Beam '!S$44,$P218*'[2]Beam '!S$45,0)</f>
        <v>0</v>
      </c>
      <c r="T218" s="7">
        <f>IF($D218='[2]Beam '!T$44,$P218*'[2]Beam '!T$45,0)</f>
        <v>0</v>
      </c>
      <c r="U218" s="7">
        <f>IF($D218='[2]Beam '!U$44,$P218*'[2]Beam '!U$45,0)</f>
        <v>24.31616</v>
      </c>
      <c r="V218" s="7">
        <f>IF($D218='[2]Beam '!V$44,$P218*'[2]Beam '!V$45,0)</f>
        <v>0</v>
      </c>
      <c r="W218" s="7">
        <f>IF($D218='[2]Beam '!W$44,$P218*'[2]Beam '!W$45,0)</f>
        <v>0</v>
      </c>
      <c r="X218" s="7">
        <f>SUM(Q218:W218)</f>
        <v>24.31616</v>
      </c>
      <c r="Y218" s="7"/>
      <c r="Z218" s="7"/>
      <c r="AA218" s="7"/>
      <c r="AB218" s="7"/>
      <c r="AC218" s="7"/>
      <c r="AD218" s="7"/>
      <c r="AE218" s="7"/>
    </row>
    <row r="219" spans="1:32" s="9" customFormat="1" ht="20.100000000000001" customHeight="1" x14ac:dyDescent="0.25">
      <c r="A219" s="6"/>
      <c r="B219" s="10" t="s">
        <v>2</v>
      </c>
      <c r="C219" s="13" t="s">
        <v>5</v>
      </c>
      <c r="D219" s="7">
        <v>20</v>
      </c>
      <c r="E219" s="7"/>
      <c r="F219" s="7">
        <v>2</v>
      </c>
      <c r="G219" s="8">
        <f>VLOOKUP(D219,'[2]Beam '!$C$20:$H$26,3,0)</f>
        <v>0.8</v>
      </c>
      <c r="H219" s="8"/>
      <c r="I219" s="7"/>
      <c r="J219" s="7"/>
      <c r="K219" s="7"/>
      <c r="L219" s="7"/>
      <c r="M219" s="7"/>
      <c r="N219" s="7"/>
      <c r="O219" s="7">
        <f>(0.85+1*(G219+(12*D219/1000)))*D217</f>
        <v>1.8900000000000001</v>
      </c>
      <c r="P219" s="7">
        <f>O219*F219</f>
        <v>3.7800000000000002</v>
      </c>
      <c r="Q219" s="7">
        <f>IF($D219='[2]Beam '!Q$44,$P219*'[2]Beam '!Q$45,0)</f>
        <v>0</v>
      </c>
      <c r="R219" s="7">
        <f>IF($D219='[2]Beam '!R$44,$P219*'[2]Beam '!R$45,0)</f>
        <v>0</v>
      </c>
      <c r="S219" s="7">
        <f>IF($D219='[2]Beam '!S$44,$P219*'[2]Beam '!S$45,0)</f>
        <v>0</v>
      </c>
      <c r="T219" s="7">
        <f>IF($D219='[2]Beam '!T$44,$P219*'[2]Beam '!T$45,0)</f>
        <v>0</v>
      </c>
      <c r="U219" s="7">
        <f>IF($D219='[2]Beam '!U$44,$P219*'[2]Beam '!U$45,0)</f>
        <v>9.325800000000001</v>
      </c>
      <c r="V219" s="7">
        <f>IF($D219='[2]Beam '!V$44,$P219*'[2]Beam '!V$45,0)</f>
        <v>0</v>
      </c>
      <c r="W219" s="7">
        <f>IF($D219='[2]Beam '!W$44,$P219*'[2]Beam '!W$45,0)</f>
        <v>0</v>
      </c>
      <c r="X219" s="7">
        <f>SUM(Q219:W219)</f>
        <v>9.325800000000001</v>
      </c>
      <c r="Y219" s="7"/>
      <c r="Z219" s="7"/>
      <c r="AA219" s="7"/>
      <c r="AB219" s="7"/>
      <c r="AC219" s="7"/>
      <c r="AD219" s="7"/>
      <c r="AE219" s="7"/>
    </row>
    <row r="220" spans="1:32" s="9" customFormat="1" ht="20.100000000000001" customHeight="1" x14ac:dyDescent="0.25">
      <c r="A220" s="6"/>
      <c r="B220" s="10" t="s">
        <v>2</v>
      </c>
      <c r="C220" s="13" t="s">
        <v>6</v>
      </c>
      <c r="D220" s="7">
        <v>25</v>
      </c>
      <c r="E220" s="7"/>
      <c r="F220" s="7">
        <v>2</v>
      </c>
      <c r="G220" s="8">
        <f>VLOOKUP(D220,'[2]Beam '!$C$20:$H$26,3,0)</f>
        <v>1</v>
      </c>
      <c r="H220" s="7"/>
      <c r="I220" s="7"/>
      <c r="J220" s="7"/>
      <c r="K220" s="7"/>
      <c r="L220" s="7"/>
      <c r="M220" s="7"/>
      <c r="N220" s="7"/>
      <c r="O220" s="7">
        <f>(E217+2*(G220+(12*D220/1000)))*D217</f>
        <v>5.4480000000000004</v>
      </c>
      <c r="P220" s="7">
        <f>O220*F220</f>
        <v>10.896000000000001</v>
      </c>
      <c r="Q220" s="7">
        <f>IF($D220='[2]Beam '!Q$44,$P220*'[2]Beam '!Q$45,0)</f>
        <v>0</v>
      </c>
      <c r="R220" s="7">
        <f>IF($D220='[2]Beam '!R$44,$P220*'[2]Beam '!R$45,0)</f>
        <v>0</v>
      </c>
      <c r="S220" s="7">
        <f>IF($D220='[2]Beam '!S$44,$P220*'[2]Beam '!S$45,0)</f>
        <v>0</v>
      </c>
      <c r="T220" s="7">
        <f>IF($D220='[2]Beam '!T$44,$P220*'[2]Beam '!T$45,0)</f>
        <v>0</v>
      </c>
      <c r="U220" s="7">
        <f>IF($D220='[2]Beam '!U$44,$P220*'[2]Beam '!U$45,0)</f>
        <v>0</v>
      </c>
      <c r="V220" s="7">
        <f>IF($D220='[2]Beam '!V$44,$P220*'[2]Beam '!V$45,0)</f>
        <v>42.003107142857154</v>
      </c>
      <c r="W220" s="7">
        <f>IF($D220='[2]Beam '!W$44,$P220*'[2]Beam '!W$45,0)</f>
        <v>0</v>
      </c>
      <c r="X220" s="7">
        <f>SUM(Q220:W220)</f>
        <v>42.003107142857154</v>
      </c>
      <c r="Y220" s="7"/>
      <c r="Z220" s="7"/>
      <c r="AA220" s="7"/>
      <c r="AB220" s="7"/>
      <c r="AC220" s="7"/>
      <c r="AD220" s="7"/>
      <c r="AE220" s="7"/>
    </row>
    <row r="221" spans="1:32" s="9" customFormat="1" ht="21" customHeight="1" x14ac:dyDescent="0.25">
      <c r="A221" s="6"/>
      <c r="B221" s="10" t="s">
        <v>2</v>
      </c>
      <c r="C221" s="13" t="s">
        <v>26</v>
      </c>
      <c r="D221" s="7">
        <v>10</v>
      </c>
      <c r="E221" s="7">
        <v>0.1</v>
      </c>
      <c r="F221" s="7">
        <f>ROUNDUP(E217/E221,0)</f>
        <v>29</v>
      </c>
      <c r="H221" s="7"/>
      <c r="I221" s="7"/>
      <c r="J221" s="7"/>
      <c r="K221" s="7"/>
      <c r="L221" s="7"/>
      <c r="M221" s="7"/>
      <c r="N221" s="7"/>
      <c r="O221" s="7">
        <f>(2*((G217-(2*'[2]Beam '!$D$11))+(F217-(2*'[2]Beam '!$D$11)))+(2*10*D221/1000))*D217</f>
        <v>2.5600000000000005</v>
      </c>
      <c r="P221" s="7">
        <f>O221*F221</f>
        <v>74.240000000000009</v>
      </c>
      <c r="Q221" s="7">
        <f>IF($D221='[2]Beam '!Q$44,$P221*'[2]Beam '!Q$45,0)</f>
        <v>0</v>
      </c>
      <c r="R221" s="7">
        <f>IF($D221='[2]Beam '!R$44,$P221*'[2]Beam '!R$45,0)</f>
        <v>45.790171428571433</v>
      </c>
      <c r="S221" s="7">
        <f>IF($D221='[2]Beam '!S$44,$P221*'[2]Beam '!S$45,0)</f>
        <v>0</v>
      </c>
      <c r="T221" s="7">
        <f>IF($D221='[2]Beam '!T$44,$P221*'[2]Beam '!T$45,0)</f>
        <v>0</v>
      </c>
      <c r="U221" s="7">
        <f>IF($D221='[2]Beam '!U$44,$P221*'[2]Beam '!U$45,0)</f>
        <v>0</v>
      </c>
      <c r="V221" s="7">
        <f>IF($D221='[2]Beam '!V$44,$P221*'[2]Beam '!V$45,0)</f>
        <v>0</v>
      </c>
      <c r="W221" s="7">
        <f>IF($D221='[2]Beam '!W$44,$P221*'[2]Beam '!W$45,0)</f>
        <v>0</v>
      </c>
      <c r="X221" s="7">
        <f>SUM(Q221:W221)</f>
        <v>45.790171428571433</v>
      </c>
      <c r="Y221" s="7"/>
      <c r="Z221" s="7"/>
      <c r="AA221" s="7"/>
      <c r="AB221" s="7"/>
      <c r="AC221" s="7"/>
      <c r="AD221" s="7"/>
      <c r="AE221" s="7"/>
      <c r="AF221" s="7"/>
    </row>
    <row r="222" spans="1:32" s="9" customFormat="1" ht="20.100000000000001" customHeight="1" x14ac:dyDescent="0.25">
      <c r="A222" s="6"/>
      <c r="B222" s="10" t="s">
        <v>2</v>
      </c>
      <c r="C222" s="13" t="s">
        <v>11</v>
      </c>
      <c r="D222" s="7">
        <f>+'[2]Beam '!$D$15</f>
        <v>25</v>
      </c>
      <c r="E222" s="7">
        <f>+'[2]Beam '!$E$15</f>
        <v>1</v>
      </c>
      <c r="F222" s="7">
        <f>ROUNDUP((0.85)/E222,0)</f>
        <v>1</v>
      </c>
      <c r="G222" s="8"/>
      <c r="H222" s="8"/>
      <c r="I222" s="7"/>
      <c r="J222" s="7"/>
      <c r="K222" s="7"/>
      <c r="L222" s="7"/>
      <c r="M222" s="7"/>
      <c r="N222" s="7"/>
      <c r="O222" s="7">
        <f>F217-'[2]Beam '!$F$15</f>
        <v>0.14000000000000001</v>
      </c>
      <c r="P222" s="7">
        <f>O222*F222</f>
        <v>0.14000000000000001</v>
      </c>
      <c r="Q222" s="7">
        <f>IF($D222='[2]Beam '!Q$44,$P222*'[2]Beam '!Q$45,0)</f>
        <v>0</v>
      </c>
      <c r="R222" s="7">
        <f>IF($D222='[2]Beam '!R$44,$P222*'[2]Beam '!R$45,0)</f>
        <v>0</v>
      </c>
      <c r="S222" s="7">
        <f>IF($D222='[2]Beam '!S$44,$P222*'[2]Beam '!S$45,0)</f>
        <v>0</v>
      </c>
      <c r="T222" s="7">
        <f>IF($D222='[2]Beam '!T$44,$P222*'[2]Beam '!T$45,0)</f>
        <v>0</v>
      </c>
      <c r="U222" s="7">
        <f>IF($D222='[2]Beam '!U$44,$P222*'[2]Beam '!U$45,0)</f>
        <v>0</v>
      </c>
      <c r="V222" s="7">
        <f>IF($D222='[2]Beam '!V$44,$P222*'[2]Beam '!V$45,0)</f>
        <v>0.5396875000000001</v>
      </c>
      <c r="W222" s="7">
        <f>IF($D222='[2]Beam '!W$44,$P222*'[2]Beam '!W$45,0)</f>
        <v>0</v>
      </c>
      <c r="X222" s="7">
        <f>SUM(Q222:W222)</f>
        <v>0.5396875000000001</v>
      </c>
      <c r="Y222" s="7"/>
      <c r="Z222" s="7"/>
      <c r="AA222" s="7"/>
      <c r="AB222" s="7"/>
      <c r="AC222" s="7"/>
      <c r="AD222" s="7"/>
      <c r="AE222" s="7"/>
    </row>
    <row r="223" spans="1:32" s="9" customFormat="1" ht="20.100000000000001" customHeight="1" x14ac:dyDescent="0.25">
      <c r="A223" s="7">
        <v>1</v>
      </c>
      <c r="B223" s="10" t="s">
        <v>2</v>
      </c>
      <c r="C223" s="11" t="s">
        <v>43</v>
      </c>
      <c r="D223" s="11">
        <v>1</v>
      </c>
      <c r="E223" s="11">
        <v>2.78</v>
      </c>
      <c r="F223" s="11">
        <v>0.3</v>
      </c>
      <c r="G223" s="11">
        <v>0.6</v>
      </c>
      <c r="H223" s="7">
        <f>G223-0.2</f>
        <v>0.39999999999999997</v>
      </c>
      <c r="I223" s="7">
        <f>E223*F223*G223*D223</f>
        <v>0.50039999999999996</v>
      </c>
      <c r="J223" s="7">
        <f>(2*(E223)*H223*D223)+(E223*F223)</f>
        <v>3.0579999999999998</v>
      </c>
      <c r="K223" s="12">
        <f>IF(E223=0.3,J223,0)</f>
        <v>0</v>
      </c>
      <c r="L223" s="12">
        <f>IF(AND(E223&gt;0.3,E223&lt;=0.75),J223,0)</f>
        <v>0</v>
      </c>
      <c r="M223" s="12">
        <f>IF(AND(E223&gt;0.75,E223&lt;=1.2),J223,0)</f>
        <v>0</v>
      </c>
      <c r="N223" s="12">
        <f>IF(E223&gt;1.2,J223,0)</f>
        <v>3.0579999999999998</v>
      </c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>
        <f>SUM(X224:X227)/I223</f>
        <v>79.38993559438164</v>
      </c>
      <c r="Z223" s="7"/>
      <c r="AA223" s="7"/>
      <c r="AB223" s="7"/>
      <c r="AC223" s="7"/>
      <c r="AD223" s="7"/>
      <c r="AE223" s="7"/>
    </row>
    <row r="224" spans="1:32" s="9" customFormat="1" ht="20.100000000000001" customHeight="1" x14ac:dyDescent="0.25">
      <c r="A224" s="6"/>
      <c r="B224" s="10" t="s">
        <v>2</v>
      </c>
      <c r="C224" s="13" t="s">
        <v>4</v>
      </c>
      <c r="D224" s="7">
        <v>16</v>
      </c>
      <c r="E224" s="7"/>
      <c r="F224" s="7">
        <v>2</v>
      </c>
      <c r="G224" s="8">
        <f>VLOOKUP(D224,'[2]Beam '!$C$20:$H$26,3,0)</f>
        <v>0.625</v>
      </c>
      <c r="H224" s="8"/>
      <c r="I224" s="7"/>
      <c r="J224" s="7"/>
      <c r="K224" s="7"/>
      <c r="L224" s="7"/>
      <c r="M224" s="7"/>
      <c r="N224" s="7"/>
      <c r="O224" s="7">
        <f>(E223+2*(G224+(12*D224/1000)))*D223</f>
        <v>4.4139999999999997</v>
      </c>
      <c r="P224" s="7">
        <f>O224*F224</f>
        <v>8.8279999999999994</v>
      </c>
      <c r="Q224" s="7">
        <f>IF($D224='[2]Beam '!Q$44,$P224*'[2]Beam '!Q$45,0)</f>
        <v>0</v>
      </c>
      <c r="R224" s="7">
        <f>IF($D224='[2]Beam '!R$44,$P224*'[2]Beam '!R$45,0)</f>
        <v>0</v>
      </c>
      <c r="S224" s="7">
        <f>IF($D224='[2]Beam '!S$44,$P224*'[2]Beam '!S$45,0)</f>
        <v>0</v>
      </c>
      <c r="T224" s="7">
        <f>IF($D224='[2]Beam '!T$44,$P224*'[2]Beam '!T$45,0)</f>
        <v>13.939159771428571</v>
      </c>
      <c r="U224" s="7">
        <f>IF($D224='[2]Beam '!U$44,$P224*'[2]Beam '!U$45,0)</f>
        <v>0</v>
      </c>
      <c r="V224" s="7">
        <f>IF($D224='[2]Beam '!V$44,$P224*'[2]Beam '!V$45,0)</f>
        <v>0</v>
      </c>
      <c r="W224" s="7">
        <f>IF($D224='[2]Beam '!W$44,$P224*'[2]Beam '!W$45,0)</f>
        <v>0</v>
      </c>
      <c r="X224" s="7">
        <f>SUM(Q224:W224)</f>
        <v>13.939159771428571</v>
      </c>
      <c r="Y224" s="7"/>
      <c r="Z224" s="7"/>
      <c r="AA224" s="7"/>
      <c r="AB224" s="7"/>
      <c r="AC224" s="7"/>
      <c r="AD224" s="7"/>
      <c r="AE224" s="7"/>
    </row>
    <row r="225" spans="1:32" s="9" customFormat="1" ht="20.100000000000001" customHeight="1" x14ac:dyDescent="0.25">
      <c r="A225" s="6"/>
      <c r="B225" s="10" t="s">
        <v>2</v>
      </c>
      <c r="C225" s="13" t="s">
        <v>6</v>
      </c>
      <c r="D225" s="7">
        <v>16</v>
      </c>
      <c r="E225" s="7"/>
      <c r="F225" s="7">
        <v>2</v>
      </c>
      <c r="G225" s="8">
        <f>VLOOKUP(D225,'[2]Beam '!$C$20:$H$26,3,0)</f>
        <v>0.625</v>
      </c>
      <c r="H225" s="7"/>
      <c r="I225" s="7"/>
      <c r="J225" s="7"/>
      <c r="K225" s="7"/>
      <c r="L225" s="7"/>
      <c r="M225" s="7"/>
      <c r="N225" s="7"/>
      <c r="O225" s="7">
        <f>(E223+2*(G225+(12*D225/1000)))*D223</f>
        <v>4.4139999999999997</v>
      </c>
      <c r="P225" s="7">
        <f>O225*F225</f>
        <v>8.8279999999999994</v>
      </c>
      <c r="Q225" s="7">
        <f>IF($D225='[2]Beam '!Q$44,$P225*'[2]Beam '!Q$45,0)</f>
        <v>0</v>
      </c>
      <c r="R225" s="7">
        <f>IF($D225='[2]Beam '!R$44,$P225*'[2]Beam '!R$45,0)</f>
        <v>0</v>
      </c>
      <c r="S225" s="7">
        <f>IF($D225='[2]Beam '!S$44,$P225*'[2]Beam '!S$45,0)</f>
        <v>0</v>
      </c>
      <c r="T225" s="7">
        <f>IF($D225='[2]Beam '!T$44,$P225*'[2]Beam '!T$45,0)</f>
        <v>13.939159771428571</v>
      </c>
      <c r="U225" s="7">
        <f>IF($D225='[2]Beam '!U$44,$P225*'[2]Beam '!U$45,0)</f>
        <v>0</v>
      </c>
      <c r="V225" s="7">
        <f>IF($D225='[2]Beam '!V$44,$P225*'[2]Beam '!V$45,0)</f>
        <v>0</v>
      </c>
      <c r="W225" s="7">
        <f>IF($D225='[2]Beam '!W$44,$P225*'[2]Beam '!W$45,0)</f>
        <v>0</v>
      </c>
      <c r="X225" s="7">
        <f>SUM(Q225:W225)</f>
        <v>13.939159771428571</v>
      </c>
      <c r="Y225" s="7"/>
      <c r="Z225" s="7"/>
      <c r="AA225" s="7"/>
      <c r="AB225" s="7"/>
      <c r="AC225" s="7"/>
      <c r="AD225" s="7"/>
      <c r="AE225" s="7"/>
    </row>
    <row r="226" spans="1:32" s="9" customFormat="1" ht="20.100000000000001" customHeight="1" x14ac:dyDescent="0.25">
      <c r="A226" s="6"/>
      <c r="B226" s="10" t="s">
        <v>2</v>
      </c>
      <c r="C226" s="13" t="s">
        <v>13</v>
      </c>
      <c r="D226" s="7">
        <v>12</v>
      </c>
      <c r="E226" s="7"/>
      <c r="F226" s="7">
        <v>2</v>
      </c>
      <c r="G226" s="8">
        <f>VLOOKUP(D226,'[2]Beam '!$C$20:$H$26,3,0)</f>
        <v>0.47499999999999998</v>
      </c>
      <c r="H226" s="7"/>
      <c r="I226" s="7"/>
      <c r="J226" s="7"/>
      <c r="K226" s="7"/>
      <c r="L226" s="7"/>
      <c r="M226" s="7"/>
      <c r="N226" s="7"/>
      <c r="O226" s="7">
        <f>(0.7+1*(G226+(12*D226/1000)))*D223</f>
        <v>1.319</v>
      </c>
      <c r="P226" s="7">
        <f>O226*F226</f>
        <v>2.6379999999999999</v>
      </c>
      <c r="Q226" s="7">
        <f>IF($D226='[2]Beam '!Q$44,$P226*'[2]Beam '!Q$45,0)</f>
        <v>0</v>
      </c>
      <c r="R226" s="7">
        <f>IF($D226='[2]Beam '!R$44,$P226*'[2]Beam '!R$45,0)</f>
        <v>0</v>
      </c>
      <c r="S226" s="7">
        <f>IF($D226='[2]Beam '!S$44,$P226*'[2]Beam '!S$45,0)</f>
        <v>2.3429962285714288</v>
      </c>
      <c r="T226" s="7">
        <f>IF($D226='[2]Beam '!T$44,$P226*'[2]Beam '!T$45,0)</f>
        <v>0</v>
      </c>
      <c r="U226" s="7">
        <f>IF($D226='[2]Beam '!U$44,$P226*'[2]Beam '!U$45,0)</f>
        <v>0</v>
      </c>
      <c r="V226" s="7">
        <f>IF($D226='[2]Beam '!V$44,$P226*'[2]Beam '!V$45,0)</f>
        <v>0</v>
      </c>
      <c r="W226" s="7">
        <f>IF($D226='[2]Beam '!W$44,$P226*'[2]Beam '!W$45,0)</f>
        <v>0</v>
      </c>
      <c r="X226" s="7">
        <f>SUM(Q226:W226)</f>
        <v>2.3429962285714288</v>
      </c>
      <c r="Y226" s="7"/>
      <c r="Z226" s="7"/>
      <c r="AA226" s="7"/>
      <c r="AB226" s="7"/>
      <c r="AC226" s="7"/>
      <c r="AD226" s="7"/>
      <c r="AE226" s="7"/>
    </row>
    <row r="227" spans="1:32" s="9" customFormat="1" ht="21" customHeight="1" x14ac:dyDescent="0.25">
      <c r="A227" s="6"/>
      <c r="B227" s="10" t="s">
        <v>2</v>
      </c>
      <c r="C227" s="13" t="s">
        <v>26</v>
      </c>
      <c r="D227" s="7">
        <v>8</v>
      </c>
      <c r="E227" s="7">
        <v>0.2</v>
      </c>
      <c r="F227" s="7">
        <f>ROUNDUP(E223/E227,0)</f>
        <v>14</v>
      </c>
      <c r="H227" s="7"/>
      <c r="I227" s="7"/>
      <c r="J227" s="7"/>
      <c r="K227" s="7"/>
      <c r="L227" s="7"/>
      <c r="M227" s="7"/>
      <c r="N227" s="7"/>
      <c r="O227" s="7">
        <f>(2*((G223-(2*'[2]Beam '!$D$11))+(F223-(2*'[2]Beam '!$D$11)))+(2*10*D227/1000))*D223</f>
        <v>1.72</v>
      </c>
      <c r="P227" s="7">
        <f>O227*F227</f>
        <v>24.08</v>
      </c>
      <c r="Q227" s="7">
        <f>IF($D227='[2]Beam '!Q$44,$P227*'[2]Beam '!Q$45,0)</f>
        <v>9.5054079999999992</v>
      </c>
      <c r="R227" s="7">
        <f>IF($D227='[2]Beam '!R$44,$P227*'[2]Beam '!R$45,0)</f>
        <v>0</v>
      </c>
      <c r="S227" s="7">
        <f>IF($D227='[2]Beam '!S$44,$P227*'[2]Beam '!S$45,0)</f>
        <v>0</v>
      </c>
      <c r="T227" s="7">
        <f>IF($D227='[2]Beam '!T$44,$P227*'[2]Beam '!T$45,0)</f>
        <v>0</v>
      </c>
      <c r="U227" s="7">
        <f>IF($D227='[2]Beam '!U$44,$P227*'[2]Beam '!U$45,0)</f>
        <v>0</v>
      </c>
      <c r="V227" s="7">
        <f>IF($D227='[2]Beam '!V$44,$P227*'[2]Beam '!V$45,0)</f>
        <v>0</v>
      </c>
      <c r="W227" s="7">
        <f>IF($D227='[2]Beam '!W$44,$P227*'[2]Beam '!W$45,0)</f>
        <v>0</v>
      </c>
      <c r="X227" s="7">
        <f>SUM(Q227:W227)</f>
        <v>9.5054079999999992</v>
      </c>
      <c r="Y227" s="7"/>
      <c r="Z227" s="7"/>
      <c r="AA227" s="7"/>
      <c r="AB227" s="7"/>
      <c r="AC227" s="7"/>
      <c r="AD227" s="7"/>
      <c r="AE227" s="7"/>
      <c r="AF227" s="7"/>
    </row>
    <row r="228" spans="1:32" s="9" customFormat="1" ht="20.100000000000001" customHeight="1" x14ac:dyDescent="0.25">
      <c r="A228" s="6"/>
      <c r="B228" s="10" t="s">
        <v>2</v>
      </c>
      <c r="C228" s="13" t="s">
        <v>11</v>
      </c>
      <c r="D228" s="7">
        <f>+'[2]Beam '!$D$15</f>
        <v>25</v>
      </c>
      <c r="E228" s="7">
        <f>+'[2]Beam '!$E$15</f>
        <v>1</v>
      </c>
      <c r="F228" s="7">
        <f>ROUNDUP((0.7)/E228,0)</f>
        <v>1</v>
      </c>
      <c r="G228" s="8"/>
      <c r="H228" s="8"/>
      <c r="I228" s="7"/>
      <c r="J228" s="7"/>
      <c r="K228" s="7"/>
      <c r="L228" s="7"/>
      <c r="M228" s="7"/>
      <c r="N228" s="7"/>
      <c r="O228" s="7">
        <f>F223-'[2]Beam '!$F$15</f>
        <v>0.24</v>
      </c>
      <c r="P228" s="7">
        <f>O228*F228</f>
        <v>0.24</v>
      </c>
      <c r="Q228" s="7">
        <f>IF($D228='[2]Beam '!Q$44,$P228*'[2]Beam '!Q$45,0)</f>
        <v>0</v>
      </c>
      <c r="R228" s="7">
        <f>IF($D228='[2]Beam '!R$44,$P228*'[2]Beam '!R$45,0)</f>
        <v>0</v>
      </c>
      <c r="S228" s="7">
        <f>IF($D228='[2]Beam '!S$44,$P228*'[2]Beam '!S$45,0)</f>
        <v>0</v>
      </c>
      <c r="T228" s="7">
        <f>IF($D228='[2]Beam '!T$44,$P228*'[2]Beam '!T$45,0)</f>
        <v>0</v>
      </c>
      <c r="U228" s="7">
        <f>IF($D228='[2]Beam '!U$44,$P228*'[2]Beam '!U$45,0)</f>
        <v>0</v>
      </c>
      <c r="V228" s="7">
        <f>IF($D228='[2]Beam '!V$44,$P228*'[2]Beam '!V$45,0)</f>
        <v>0.92517857142857152</v>
      </c>
      <c r="W228" s="7">
        <f>IF($D228='[2]Beam '!W$44,$P228*'[2]Beam '!W$45,0)</f>
        <v>0</v>
      </c>
      <c r="X228" s="7">
        <f>SUM(Q228:W228)</f>
        <v>0.92517857142857152</v>
      </c>
      <c r="Y228" s="7"/>
      <c r="Z228" s="7"/>
      <c r="AA228" s="7"/>
      <c r="AB228" s="7"/>
      <c r="AC228" s="7"/>
      <c r="AD228" s="7"/>
      <c r="AE228" s="7"/>
    </row>
    <row r="229" spans="1:32" s="9" customFormat="1" ht="20.100000000000001" customHeight="1" x14ac:dyDescent="0.25">
      <c r="A229" s="7">
        <v>1</v>
      </c>
      <c r="B229" s="10" t="s">
        <v>2</v>
      </c>
      <c r="C229" s="11" t="s">
        <v>44</v>
      </c>
      <c r="D229" s="11">
        <v>1</v>
      </c>
      <c r="E229" s="11">
        <v>2.78</v>
      </c>
      <c r="F229" s="11">
        <v>0.3</v>
      </c>
      <c r="G229" s="11">
        <v>0.6</v>
      </c>
      <c r="H229" s="7">
        <f>G229-0.2</f>
        <v>0.39999999999999997</v>
      </c>
      <c r="I229" s="7">
        <f>E229*F229*G229*D229</f>
        <v>0.50039999999999996</v>
      </c>
      <c r="J229" s="7">
        <f>(2*(E229)*H229*D229)+(E229*F229)</f>
        <v>3.0579999999999998</v>
      </c>
      <c r="K229" s="12">
        <f>IF(E229=0.3,J229,0)</f>
        <v>0</v>
      </c>
      <c r="L229" s="12">
        <f>IF(AND(E229&gt;0.3,E229&lt;=0.75),J229,0)</f>
        <v>0</v>
      </c>
      <c r="M229" s="12">
        <f>IF(AND(E229&gt;0.75,E229&lt;=1.2),J229,0)</f>
        <v>0</v>
      </c>
      <c r="N229" s="12">
        <f>IF(E229&gt;1.2,J229,0)</f>
        <v>3.0579999999999998</v>
      </c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>
        <f>SUM(X230:X233)/I229</f>
        <v>79.38993559438164</v>
      </c>
      <c r="Z229" s="7"/>
      <c r="AA229" s="7"/>
      <c r="AB229" s="7"/>
      <c r="AC229" s="7"/>
      <c r="AD229" s="7"/>
      <c r="AE229" s="7"/>
    </row>
    <row r="230" spans="1:32" s="9" customFormat="1" ht="20.100000000000001" customHeight="1" x14ac:dyDescent="0.25">
      <c r="A230" s="6"/>
      <c r="B230" s="10" t="s">
        <v>2</v>
      </c>
      <c r="C230" s="13" t="s">
        <v>4</v>
      </c>
      <c r="D230" s="7">
        <v>16</v>
      </c>
      <c r="E230" s="7"/>
      <c r="F230" s="7">
        <v>2</v>
      </c>
      <c r="G230" s="8">
        <f>VLOOKUP(D230,'[2]Beam '!$C$20:$H$26,3,0)</f>
        <v>0.625</v>
      </c>
      <c r="H230" s="8"/>
      <c r="I230" s="7"/>
      <c r="J230" s="7"/>
      <c r="K230" s="7"/>
      <c r="L230" s="7"/>
      <c r="M230" s="7"/>
      <c r="N230" s="7"/>
      <c r="O230" s="7">
        <f>(E229+2*(G230+(12*D230/1000)))*D229</f>
        <v>4.4139999999999997</v>
      </c>
      <c r="P230" s="7">
        <f>O230*F230</f>
        <v>8.8279999999999994</v>
      </c>
      <c r="Q230" s="7">
        <f>IF($D230='[2]Beam '!Q$44,$P230*'[2]Beam '!Q$45,0)</f>
        <v>0</v>
      </c>
      <c r="R230" s="7">
        <f>IF($D230='[2]Beam '!R$44,$P230*'[2]Beam '!R$45,0)</f>
        <v>0</v>
      </c>
      <c r="S230" s="7">
        <f>IF($D230='[2]Beam '!S$44,$P230*'[2]Beam '!S$45,0)</f>
        <v>0</v>
      </c>
      <c r="T230" s="7">
        <f>IF($D230='[2]Beam '!T$44,$P230*'[2]Beam '!T$45,0)</f>
        <v>13.939159771428571</v>
      </c>
      <c r="U230" s="7">
        <f>IF($D230='[2]Beam '!U$44,$P230*'[2]Beam '!U$45,0)</f>
        <v>0</v>
      </c>
      <c r="V230" s="7">
        <f>IF($D230='[2]Beam '!V$44,$P230*'[2]Beam '!V$45,0)</f>
        <v>0</v>
      </c>
      <c r="W230" s="7">
        <f>IF($D230='[2]Beam '!W$44,$P230*'[2]Beam '!W$45,0)</f>
        <v>0</v>
      </c>
      <c r="X230" s="7">
        <f>SUM(Q230:W230)</f>
        <v>13.939159771428571</v>
      </c>
      <c r="Y230" s="7"/>
      <c r="Z230" s="7"/>
      <c r="AA230" s="7"/>
      <c r="AB230" s="7"/>
      <c r="AC230" s="7"/>
      <c r="AD230" s="7"/>
      <c r="AE230" s="7"/>
    </row>
    <row r="231" spans="1:32" s="9" customFormat="1" ht="20.100000000000001" customHeight="1" x14ac:dyDescent="0.25">
      <c r="A231" s="6"/>
      <c r="B231" s="10" t="s">
        <v>2</v>
      </c>
      <c r="C231" s="13" t="s">
        <v>6</v>
      </c>
      <c r="D231" s="7">
        <v>16</v>
      </c>
      <c r="E231" s="7"/>
      <c r="F231" s="7">
        <v>2</v>
      </c>
      <c r="G231" s="8">
        <f>VLOOKUP(D231,'[2]Beam '!$C$20:$H$26,3,0)</f>
        <v>0.625</v>
      </c>
      <c r="H231" s="7"/>
      <c r="I231" s="7"/>
      <c r="J231" s="7"/>
      <c r="K231" s="7"/>
      <c r="L231" s="7"/>
      <c r="M231" s="7"/>
      <c r="N231" s="7"/>
      <c r="O231" s="7">
        <f>(E229+2*(G231+(12*D231/1000)))*D229</f>
        <v>4.4139999999999997</v>
      </c>
      <c r="P231" s="7">
        <f>O231*F231</f>
        <v>8.8279999999999994</v>
      </c>
      <c r="Q231" s="7">
        <f>IF($D231='[2]Beam '!Q$44,$P231*'[2]Beam '!Q$45,0)</f>
        <v>0</v>
      </c>
      <c r="R231" s="7">
        <f>IF($D231='[2]Beam '!R$44,$P231*'[2]Beam '!R$45,0)</f>
        <v>0</v>
      </c>
      <c r="S231" s="7">
        <f>IF($D231='[2]Beam '!S$44,$P231*'[2]Beam '!S$45,0)</f>
        <v>0</v>
      </c>
      <c r="T231" s="7">
        <f>IF($D231='[2]Beam '!T$44,$P231*'[2]Beam '!T$45,0)</f>
        <v>13.939159771428571</v>
      </c>
      <c r="U231" s="7">
        <f>IF($D231='[2]Beam '!U$44,$P231*'[2]Beam '!U$45,0)</f>
        <v>0</v>
      </c>
      <c r="V231" s="7">
        <f>IF($D231='[2]Beam '!V$44,$P231*'[2]Beam '!V$45,0)</f>
        <v>0</v>
      </c>
      <c r="W231" s="7">
        <f>IF($D231='[2]Beam '!W$44,$P231*'[2]Beam '!W$45,0)</f>
        <v>0</v>
      </c>
      <c r="X231" s="7">
        <f>SUM(Q231:W231)</f>
        <v>13.939159771428571</v>
      </c>
      <c r="Y231" s="7"/>
      <c r="Z231" s="7"/>
      <c r="AA231" s="7"/>
      <c r="AB231" s="7"/>
      <c r="AC231" s="7"/>
      <c r="AD231" s="7"/>
      <c r="AE231" s="7"/>
    </row>
    <row r="232" spans="1:32" s="9" customFormat="1" ht="20.100000000000001" customHeight="1" x14ac:dyDescent="0.25">
      <c r="A232" s="6"/>
      <c r="B232" s="10" t="s">
        <v>2</v>
      </c>
      <c r="C232" s="13" t="s">
        <v>13</v>
      </c>
      <c r="D232" s="7">
        <v>12</v>
      </c>
      <c r="E232" s="7"/>
      <c r="F232" s="7">
        <v>2</v>
      </c>
      <c r="G232" s="8">
        <f>VLOOKUP(D232,'[2]Beam '!$C$20:$H$26,3,0)</f>
        <v>0.47499999999999998</v>
      </c>
      <c r="H232" s="7"/>
      <c r="I232" s="7"/>
      <c r="J232" s="7"/>
      <c r="K232" s="7"/>
      <c r="L232" s="7"/>
      <c r="M232" s="7"/>
      <c r="N232" s="7"/>
      <c r="O232" s="7">
        <f>(0.7+1*(G232+(12*D232/1000)))*D229</f>
        <v>1.319</v>
      </c>
      <c r="P232" s="7">
        <f>O232*F232</f>
        <v>2.6379999999999999</v>
      </c>
      <c r="Q232" s="7">
        <f>IF($D232='[2]Beam '!Q$44,$P232*'[2]Beam '!Q$45,0)</f>
        <v>0</v>
      </c>
      <c r="R232" s="7">
        <f>IF($D232='[2]Beam '!R$44,$P232*'[2]Beam '!R$45,0)</f>
        <v>0</v>
      </c>
      <c r="S232" s="7">
        <f>IF($D232='[2]Beam '!S$44,$P232*'[2]Beam '!S$45,0)</f>
        <v>2.3429962285714288</v>
      </c>
      <c r="T232" s="7">
        <f>IF($D232='[2]Beam '!T$44,$P232*'[2]Beam '!T$45,0)</f>
        <v>0</v>
      </c>
      <c r="U232" s="7">
        <f>IF($D232='[2]Beam '!U$44,$P232*'[2]Beam '!U$45,0)</f>
        <v>0</v>
      </c>
      <c r="V232" s="7">
        <f>IF($D232='[2]Beam '!V$44,$P232*'[2]Beam '!V$45,0)</f>
        <v>0</v>
      </c>
      <c r="W232" s="7">
        <f>IF($D232='[2]Beam '!W$44,$P232*'[2]Beam '!W$45,0)</f>
        <v>0</v>
      </c>
      <c r="X232" s="7">
        <f>SUM(Q232:W232)</f>
        <v>2.3429962285714288</v>
      </c>
      <c r="Y232" s="7"/>
      <c r="Z232" s="7"/>
      <c r="AA232" s="7"/>
      <c r="AB232" s="7"/>
      <c r="AC232" s="7"/>
      <c r="AD232" s="7"/>
      <c r="AE232" s="7"/>
    </row>
    <row r="233" spans="1:32" s="9" customFormat="1" ht="21" customHeight="1" x14ac:dyDescent="0.25">
      <c r="A233" s="6"/>
      <c r="B233" s="10" t="s">
        <v>2</v>
      </c>
      <c r="C233" s="13" t="s">
        <v>26</v>
      </c>
      <c r="D233" s="7">
        <v>8</v>
      </c>
      <c r="E233" s="7">
        <v>0.2</v>
      </c>
      <c r="F233" s="7">
        <f>ROUNDUP(E229/E233,0)</f>
        <v>14</v>
      </c>
      <c r="H233" s="7"/>
      <c r="I233" s="7"/>
      <c r="J233" s="7"/>
      <c r="K233" s="7"/>
      <c r="L233" s="7"/>
      <c r="M233" s="7"/>
      <c r="N233" s="7"/>
      <c r="O233" s="7">
        <f>(2*((G229-(2*'[2]Beam '!$D$11))+(F229-(2*'[2]Beam '!$D$11)))+(2*10*D233/1000))*D229</f>
        <v>1.72</v>
      </c>
      <c r="P233" s="7">
        <f>O233*F233</f>
        <v>24.08</v>
      </c>
      <c r="Q233" s="7">
        <f>IF($D233='[2]Beam '!Q$44,$P233*'[2]Beam '!Q$45,0)</f>
        <v>9.5054079999999992</v>
      </c>
      <c r="R233" s="7">
        <f>IF($D233='[2]Beam '!R$44,$P233*'[2]Beam '!R$45,0)</f>
        <v>0</v>
      </c>
      <c r="S233" s="7">
        <f>IF($D233='[2]Beam '!S$44,$P233*'[2]Beam '!S$45,0)</f>
        <v>0</v>
      </c>
      <c r="T233" s="7">
        <f>IF($D233='[2]Beam '!T$44,$P233*'[2]Beam '!T$45,0)</f>
        <v>0</v>
      </c>
      <c r="U233" s="7">
        <f>IF($D233='[2]Beam '!U$44,$P233*'[2]Beam '!U$45,0)</f>
        <v>0</v>
      </c>
      <c r="V233" s="7">
        <f>IF($D233='[2]Beam '!V$44,$P233*'[2]Beam '!V$45,0)</f>
        <v>0</v>
      </c>
      <c r="W233" s="7">
        <f>IF($D233='[2]Beam '!W$44,$P233*'[2]Beam '!W$45,0)</f>
        <v>0</v>
      </c>
      <c r="X233" s="7">
        <f>SUM(Q233:W233)</f>
        <v>9.5054079999999992</v>
      </c>
      <c r="Y233" s="7"/>
      <c r="Z233" s="7"/>
      <c r="AA233" s="7"/>
      <c r="AB233" s="7"/>
      <c r="AC233" s="7"/>
      <c r="AD233" s="7"/>
      <c r="AE233" s="7"/>
      <c r="AF233" s="7"/>
    </row>
    <row r="234" spans="1:32" s="9" customFormat="1" ht="20.100000000000001" customHeight="1" x14ac:dyDescent="0.25">
      <c r="A234" s="6"/>
      <c r="B234" s="10" t="s">
        <v>2</v>
      </c>
      <c r="C234" s="13" t="s">
        <v>11</v>
      </c>
      <c r="D234" s="7">
        <f>+'[2]Beam '!$D$15</f>
        <v>25</v>
      </c>
      <c r="E234" s="7">
        <f>+'[2]Beam '!$E$15</f>
        <v>1</v>
      </c>
      <c r="F234" s="7">
        <f>ROUNDUP((0.7)/E234,0)</f>
        <v>1</v>
      </c>
      <c r="G234" s="8"/>
      <c r="H234" s="8"/>
      <c r="I234" s="7"/>
      <c r="J234" s="7"/>
      <c r="K234" s="7"/>
      <c r="L234" s="7"/>
      <c r="M234" s="7"/>
      <c r="N234" s="7"/>
      <c r="O234" s="7">
        <f>F229-'[2]Beam '!$F$15</f>
        <v>0.24</v>
      </c>
      <c r="P234" s="7">
        <f>O234*F234</f>
        <v>0.24</v>
      </c>
      <c r="Q234" s="7">
        <f>IF($D234='[2]Beam '!Q$44,$P234*'[2]Beam '!Q$45,0)</f>
        <v>0</v>
      </c>
      <c r="R234" s="7">
        <f>IF($D234='[2]Beam '!R$44,$P234*'[2]Beam '!R$45,0)</f>
        <v>0</v>
      </c>
      <c r="S234" s="7">
        <f>IF($D234='[2]Beam '!S$44,$P234*'[2]Beam '!S$45,0)</f>
        <v>0</v>
      </c>
      <c r="T234" s="7">
        <f>IF($D234='[2]Beam '!T$44,$P234*'[2]Beam '!T$45,0)</f>
        <v>0</v>
      </c>
      <c r="U234" s="7">
        <f>IF($D234='[2]Beam '!U$44,$P234*'[2]Beam '!U$45,0)</f>
        <v>0</v>
      </c>
      <c r="V234" s="7">
        <f>IF($D234='[2]Beam '!V$44,$P234*'[2]Beam '!V$45,0)</f>
        <v>0.92517857142857152</v>
      </c>
      <c r="W234" s="7">
        <f>IF($D234='[2]Beam '!W$44,$P234*'[2]Beam '!W$45,0)</f>
        <v>0</v>
      </c>
      <c r="X234" s="7">
        <f>SUM(Q234:W234)</f>
        <v>0.92517857142857152</v>
      </c>
      <c r="Y234" s="7"/>
      <c r="Z234" s="7"/>
      <c r="AA234" s="7"/>
      <c r="AB234" s="7"/>
      <c r="AC234" s="7"/>
      <c r="AD234" s="7"/>
      <c r="AE234" s="7"/>
    </row>
    <row r="235" spans="1:32" s="9" customFormat="1" ht="20.100000000000001" customHeight="1" x14ac:dyDescent="0.25">
      <c r="A235" s="7">
        <v>1</v>
      </c>
      <c r="B235" s="10" t="s">
        <v>2</v>
      </c>
      <c r="C235" s="11" t="s">
        <v>45</v>
      </c>
      <c r="D235" s="11">
        <v>1</v>
      </c>
      <c r="E235" s="11">
        <v>4.91</v>
      </c>
      <c r="F235" s="11">
        <v>0.3</v>
      </c>
      <c r="G235" s="11">
        <v>2.2999999999999998</v>
      </c>
      <c r="H235" s="7">
        <f>G235-0.2</f>
        <v>2.0999999999999996</v>
      </c>
      <c r="I235" s="7">
        <f>E235*F235*G235*D235</f>
        <v>3.3879000000000001</v>
      </c>
      <c r="J235" s="7">
        <f>(2*(E235)*H235*D235)+(E235*F235)</f>
        <v>22.094999999999995</v>
      </c>
      <c r="K235" s="12">
        <f>IF(E235=0.3,J235,0)</f>
        <v>0</v>
      </c>
      <c r="L235" s="12">
        <f>IF(AND(E235&gt;0.3,E235&lt;=0.75),J235,0)</f>
        <v>0</v>
      </c>
      <c r="M235" s="12">
        <f>IF(AND(E235&gt;0.75,E235&lt;=1.2),J235,0)</f>
        <v>0</v>
      </c>
      <c r="N235" s="12">
        <f>IF(E235&gt;1.2,J235,0)</f>
        <v>22.094999999999995</v>
      </c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>
        <f>SUM(X236:X243)/I235</f>
        <v>161.05081687771187</v>
      </c>
      <c r="Z235" s="7"/>
      <c r="AA235" s="7"/>
      <c r="AB235" s="7"/>
      <c r="AC235" s="7"/>
      <c r="AD235" s="7"/>
      <c r="AE235" s="7"/>
    </row>
    <row r="236" spans="1:32" s="9" customFormat="1" ht="20.100000000000001" customHeight="1" x14ac:dyDescent="0.25">
      <c r="A236" s="6"/>
      <c r="B236" s="10" t="s">
        <v>2</v>
      </c>
      <c r="C236" s="13" t="s">
        <v>4</v>
      </c>
      <c r="D236" s="7">
        <v>25</v>
      </c>
      <c r="E236" s="7"/>
      <c r="F236" s="7">
        <v>3</v>
      </c>
      <c r="G236" s="8">
        <f>VLOOKUP(D236,'[2]Beam '!$C$20:$H$26,3,0)</f>
        <v>1</v>
      </c>
      <c r="H236" s="8"/>
      <c r="I236" s="7"/>
      <c r="J236" s="7"/>
      <c r="K236" s="7"/>
      <c r="L236" s="7"/>
      <c r="M236" s="7"/>
      <c r="N236" s="7"/>
      <c r="O236" s="7">
        <f>(E235+1*(G236+(12*D236/1000)))+G236*D235</f>
        <v>7.21</v>
      </c>
      <c r="P236" s="7">
        <f t="shared" ref="P236:P244" si="43">O236*F236</f>
        <v>21.63</v>
      </c>
      <c r="Q236" s="7">
        <f>IF($D236='[2]Beam '!Q$44,$P236*'[2]Beam '!Q$45,0)</f>
        <v>0</v>
      </c>
      <c r="R236" s="7">
        <f>IF($D236='[2]Beam '!R$44,$P236*'[2]Beam '!R$45,0)</f>
        <v>0</v>
      </c>
      <c r="S236" s="7">
        <f>IF($D236='[2]Beam '!S$44,$P236*'[2]Beam '!S$45,0)</f>
        <v>0</v>
      </c>
      <c r="T236" s="7">
        <f>IF($D236='[2]Beam '!T$44,$P236*'[2]Beam '!T$45,0)</f>
        <v>0</v>
      </c>
      <c r="U236" s="7">
        <f>IF($D236='[2]Beam '!U$44,$P236*'[2]Beam '!U$45,0)</f>
        <v>0</v>
      </c>
      <c r="V236" s="7">
        <f>IF($D236='[2]Beam '!V$44,$P236*'[2]Beam '!V$45,0)</f>
        <v>83.381718750000005</v>
      </c>
      <c r="W236" s="7">
        <f>IF($D236='[2]Beam '!W$44,$P236*'[2]Beam '!W$45,0)</f>
        <v>0</v>
      </c>
      <c r="X236" s="7">
        <f t="shared" ref="X236:X244" si="44">SUM(Q236:W236)</f>
        <v>83.381718750000005</v>
      </c>
      <c r="Y236" s="7"/>
      <c r="Z236" s="7"/>
      <c r="AA236" s="7"/>
      <c r="AB236" s="7"/>
      <c r="AC236" s="7"/>
      <c r="AD236" s="7"/>
      <c r="AE236" s="7"/>
    </row>
    <row r="237" spans="1:32" s="9" customFormat="1" ht="20.100000000000001" customHeight="1" x14ac:dyDescent="0.25">
      <c r="A237" s="6"/>
      <c r="B237" s="10" t="s">
        <v>2</v>
      </c>
      <c r="C237" s="13" t="s">
        <v>46</v>
      </c>
      <c r="D237" s="7">
        <v>25</v>
      </c>
      <c r="E237" s="7"/>
      <c r="F237" s="7">
        <v>2</v>
      </c>
      <c r="G237" s="8">
        <f>VLOOKUP(D237,'[2]Beam '!$C$20:$H$26,3,0)</f>
        <v>1</v>
      </c>
      <c r="H237" s="7"/>
      <c r="I237" s="7"/>
      <c r="J237" s="7"/>
      <c r="K237" s="7"/>
      <c r="L237" s="7"/>
      <c r="M237" s="7"/>
      <c r="N237" s="7"/>
      <c r="O237" s="7">
        <f>(E235+1*(G237+(12*D237/1000)))+G237*D235</f>
        <v>7.21</v>
      </c>
      <c r="P237" s="7">
        <f t="shared" si="43"/>
        <v>14.42</v>
      </c>
      <c r="Q237" s="7">
        <f>IF($D237='[2]Beam '!Q$44,$P237*'[2]Beam '!Q$45,0)</f>
        <v>0</v>
      </c>
      <c r="R237" s="7">
        <f>IF($D237='[2]Beam '!R$44,$P237*'[2]Beam '!R$45,0)</f>
        <v>0</v>
      </c>
      <c r="S237" s="7">
        <f>IF($D237='[2]Beam '!S$44,$P237*'[2]Beam '!S$45,0)</f>
        <v>0</v>
      </c>
      <c r="T237" s="7">
        <f>IF($D237='[2]Beam '!T$44,$P237*'[2]Beam '!T$45,0)</f>
        <v>0</v>
      </c>
      <c r="U237" s="7">
        <f>IF($D237='[2]Beam '!U$44,$P237*'[2]Beam '!U$45,0)</f>
        <v>0</v>
      </c>
      <c r="V237" s="7">
        <f>IF($D237='[2]Beam '!V$44,$P237*'[2]Beam '!V$45,0)</f>
        <v>55.587812500000005</v>
      </c>
      <c r="W237" s="7">
        <f>IF($D237='[2]Beam '!W$44,$P237*'[2]Beam '!W$45,0)</f>
        <v>0</v>
      </c>
      <c r="X237" s="7">
        <f t="shared" si="44"/>
        <v>55.587812500000005</v>
      </c>
      <c r="Y237" s="7"/>
      <c r="Z237" s="7"/>
      <c r="AA237" s="7"/>
      <c r="AB237" s="7"/>
      <c r="AC237" s="7"/>
      <c r="AD237" s="7"/>
      <c r="AE237" s="7"/>
    </row>
    <row r="238" spans="1:32" s="9" customFormat="1" ht="20.100000000000001" customHeight="1" x14ac:dyDescent="0.25">
      <c r="A238" s="6"/>
      <c r="B238" s="10" t="s">
        <v>2</v>
      </c>
      <c r="C238" s="13" t="s">
        <v>46</v>
      </c>
      <c r="D238" s="7">
        <v>20</v>
      </c>
      <c r="E238" s="7"/>
      <c r="F238" s="7">
        <v>1</v>
      </c>
      <c r="G238" s="8">
        <f>VLOOKUP(D238,'[2]Beam '!$C$20:$H$26,3,0)</f>
        <v>0.8</v>
      </c>
      <c r="H238" s="7"/>
      <c r="I238" s="7"/>
      <c r="J238" s="7"/>
      <c r="K238" s="7"/>
      <c r="L238" s="7"/>
      <c r="M238" s="7"/>
      <c r="N238" s="7"/>
      <c r="O238" s="7">
        <f>(E235+1*(G238+(12*D238/1000)))+G238*D235</f>
        <v>6.75</v>
      </c>
      <c r="P238" s="7">
        <f t="shared" si="43"/>
        <v>6.75</v>
      </c>
      <c r="Q238" s="7">
        <f>IF($D238='[2]Beam '!Q$44,$P238*'[2]Beam '!Q$45,0)</f>
        <v>0</v>
      </c>
      <c r="R238" s="7">
        <f>IF($D238='[2]Beam '!R$44,$P238*'[2]Beam '!R$45,0)</f>
        <v>0</v>
      </c>
      <c r="S238" s="7">
        <f>IF($D238='[2]Beam '!S$44,$P238*'[2]Beam '!S$45,0)</f>
        <v>0</v>
      </c>
      <c r="T238" s="7">
        <f>IF($D238='[2]Beam '!T$44,$P238*'[2]Beam '!T$45,0)</f>
        <v>0</v>
      </c>
      <c r="U238" s="7">
        <f>IF($D238='[2]Beam '!U$44,$P238*'[2]Beam '!U$45,0)</f>
        <v>16.653214285714284</v>
      </c>
      <c r="V238" s="7">
        <f>IF($D238='[2]Beam '!V$44,$P238*'[2]Beam '!V$45,0)</f>
        <v>0</v>
      </c>
      <c r="W238" s="7">
        <f>IF($D238='[2]Beam '!W$44,$P238*'[2]Beam '!W$45,0)</f>
        <v>0</v>
      </c>
      <c r="X238" s="7">
        <f t="shared" si="44"/>
        <v>16.653214285714284</v>
      </c>
      <c r="Y238" s="7"/>
      <c r="Z238" s="7"/>
      <c r="AA238" s="7"/>
      <c r="AB238" s="7"/>
      <c r="AC238" s="7"/>
      <c r="AD238" s="7"/>
      <c r="AE238" s="7"/>
    </row>
    <row r="239" spans="1:32" s="9" customFormat="1" ht="20.100000000000001" customHeight="1" x14ac:dyDescent="0.25">
      <c r="A239" s="6"/>
      <c r="B239" s="10" t="s">
        <v>2</v>
      </c>
      <c r="C239" s="13" t="s">
        <v>6</v>
      </c>
      <c r="D239" s="7">
        <v>25</v>
      </c>
      <c r="E239" s="7"/>
      <c r="F239" s="7">
        <v>3</v>
      </c>
      <c r="G239" s="8">
        <f>VLOOKUP(D239,'[2]Beam '!$C$20:$H$26,3,0)</f>
        <v>1</v>
      </c>
      <c r="H239" s="7"/>
      <c r="I239" s="7"/>
      <c r="J239" s="7"/>
      <c r="K239" s="7"/>
      <c r="L239" s="7"/>
      <c r="M239" s="7"/>
      <c r="N239" s="7"/>
      <c r="O239" s="7">
        <f>(E235+1*(G239+(12*D239/1000)))+G239*D235</f>
        <v>7.21</v>
      </c>
      <c r="P239" s="7">
        <f t="shared" si="43"/>
        <v>21.63</v>
      </c>
      <c r="Q239" s="7">
        <f>IF($D239='[2]Beam '!Q$44,$P239*'[2]Beam '!Q$45,0)</f>
        <v>0</v>
      </c>
      <c r="R239" s="7">
        <f>IF($D239='[2]Beam '!R$44,$P239*'[2]Beam '!R$45,0)</f>
        <v>0</v>
      </c>
      <c r="S239" s="7">
        <f>IF($D239='[2]Beam '!S$44,$P239*'[2]Beam '!S$45,0)</f>
        <v>0</v>
      </c>
      <c r="T239" s="7">
        <f>IF($D239='[2]Beam '!T$44,$P239*'[2]Beam '!T$45,0)</f>
        <v>0</v>
      </c>
      <c r="U239" s="7">
        <f>IF($D239='[2]Beam '!U$44,$P239*'[2]Beam '!U$45,0)</f>
        <v>0</v>
      </c>
      <c r="V239" s="7">
        <f>IF($D239='[2]Beam '!V$44,$P239*'[2]Beam '!V$45,0)</f>
        <v>83.381718750000005</v>
      </c>
      <c r="W239" s="7">
        <f>IF($D239='[2]Beam '!W$44,$P239*'[2]Beam '!W$45,0)</f>
        <v>0</v>
      </c>
      <c r="X239" s="7">
        <f t="shared" si="44"/>
        <v>83.381718750000005</v>
      </c>
      <c r="Y239" s="7"/>
      <c r="Z239" s="7"/>
      <c r="AA239" s="7"/>
      <c r="AB239" s="7"/>
      <c r="AC239" s="7"/>
      <c r="AD239" s="7"/>
      <c r="AE239" s="7"/>
    </row>
    <row r="240" spans="1:32" s="9" customFormat="1" ht="20.100000000000001" customHeight="1" x14ac:dyDescent="0.25">
      <c r="A240" s="6"/>
      <c r="B240" s="10" t="s">
        <v>2</v>
      </c>
      <c r="C240" s="13" t="s">
        <v>13</v>
      </c>
      <c r="D240" s="7">
        <v>25</v>
      </c>
      <c r="E240" s="7"/>
      <c r="F240" s="7">
        <v>2</v>
      </c>
      <c r="G240" s="8">
        <f>VLOOKUP(D240,'[2]Beam '!$C$20:$H$26,3,0)</f>
        <v>1</v>
      </c>
      <c r="H240" s="7"/>
      <c r="I240" s="7"/>
      <c r="J240" s="7"/>
      <c r="K240" s="7"/>
      <c r="L240" s="7"/>
      <c r="M240" s="7"/>
      <c r="N240" s="7"/>
      <c r="O240" s="7">
        <f>(E235+1*(G240+(12*D240/1000)))+G240*D235</f>
        <v>7.21</v>
      </c>
      <c r="P240" s="7">
        <f t="shared" si="43"/>
        <v>14.42</v>
      </c>
      <c r="Q240" s="7">
        <f>IF($D240='[2]Beam '!Q$44,$P240*'[2]Beam '!Q$45,0)</f>
        <v>0</v>
      </c>
      <c r="R240" s="7">
        <f>IF($D240='[2]Beam '!R$44,$P240*'[2]Beam '!R$45,0)</f>
        <v>0</v>
      </c>
      <c r="S240" s="7">
        <f>IF($D240='[2]Beam '!S$44,$P240*'[2]Beam '!S$45,0)</f>
        <v>0</v>
      </c>
      <c r="T240" s="7">
        <f>IF($D240='[2]Beam '!T$44,$P240*'[2]Beam '!T$45,0)</f>
        <v>0</v>
      </c>
      <c r="U240" s="7">
        <f>IF($D240='[2]Beam '!U$44,$P240*'[2]Beam '!U$45,0)</f>
        <v>0</v>
      </c>
      <c r="V240" s="7">
        <f>IF($D240='[2]Beam '!V$44,$P240*'[2]Beam '!V$45,0)</f>
        <v>55.587812500000005</v>
      </c>
      <c r="W240" s="7">
        <f>IF($D240='[2]Beam '!W$44,$P240*'[2]Beam '!W$45,0)</f>
        <v>0</v>
      </c>
      <c r="X240" s="7">
        <f t="shared" si="44"/>
        <v>55.587812500000005</v>
      </c>
      <c r="Y240" s="7"/>
      <c r="Z240" s="7"/>
      <c r="AA240" s="7"/>
      <c r="AB240" s="7"/>
      <c r="AC240" s="7"/>
      <c r="AD240" s="7"/>
      <c r="AE240" s="7"/>
    </row>
    <row r="241" spans="1:32" s="14" customFormat="1" ht="20.100000000000001" customHeight="1" x14ac:dyDescent="0.3">
      <c r="A241" s="6"/>
      <c r="B241" s="10" t="s">
        <v>2</v>
      </c>
      <c r="C241" s="13" t="s">
        <v>13</v>
      </c>
      <c r="D241" s="7">
        <v>20</v>
      </c>
      <c r="E241" s="7"/>
      <c r="F241" s="7">
        <v>1</v>
      </c>
      <c r="G241" s="8">
        <f>VLOOKUP(D241,'[2]Beam '!$C$20:$H$26,3,0)</f>
        <v>0.8</v>
      </c>
      <c r="H241" s="7"/>
      <c r="I241" s="7"/>
      <c r="J241" s="7"/>
      <c r="K241" s="7"/>
      <c r="L241" s="7"/>
      <c r="M241" s="7"/>
      <c r="N241" s="7"/>
      <c r="O241" s="7">
        <f>(E235+1*(G241+(12*D241/1000)))+G241*D235</f>
        <v>6.75</v>
      </c>
      <c r="P241" s="7">
        <f t="shared" si="43"/>
        <v>6.75</v>
      </c>
      <c r="Q241" s="7">
        <f>IF($D241='[2]Beam '!Q$44,$P241*'[2]Beam '!Q$45,0)</f>
        <v>0</v>
      </c>
      <c r="R241" s="7">
        <f>IF($D241='[2]Beam '!R$44,$P241*'[2]Beam '!R$45,0)</f>
        <v>0</v>
      </c>
      <c r="S241" s="7">
        <f>IF($D241='[2]Beam '!S$44,$P241*'[2]Beam '!S$45,0)</f>
        <v>0</v>
      </c>
      <c r="T241" s="7">
        <f>IF($D241='[2]Beam '!T$44,$P241*'[2]Beam '!T$45,0)</f>
        <v>0</v>
      </c>
      <c r="U241" s="7">
        <f>IF($D241='[2]Beam '!U$44,$P241*'[2]Beam '!U$45,0)</f>
        <v>16.653214285714284</v>
      </c>
      <c r="V241" s="7">
        <f>IF($D241='[2]Beam '!V$44,$P241*'[2]Beam '!V$45,0)</f>
        <v>0</v>
      </c>
      <c r="W241" s="7">
        <f>IF($D241='[2]Beam '!W$44,$P241*'[2]Beam '!W$45,0)</f>
        <v>0</v>
      </c>
      <c r="X241" s="7">
        <f t="shared" si="44"/>
        <v>16.653214285714284</v>
      </c>
      <c r="Y241" s="7"/>
    </row>
    <row r="242" spans="1:32" s="9" customFormat="1" ht="20.100000000000001" customHeight="1" x14ac:dyDescent="0.25">
      <c r="A242" s="6"/>
      <c r="B242" s="10" t="s">
        <v>2</v>
      </c>
      <c r="C242" s="13" t="s">
        <v>26</v>
      </c>
      <c r="D242" s="7">
        <v>10</v>
      </c>
      <c r="E242" s="7">
        <v>0.1</v>
      </c>
      <c r="F242" s="7">
        <f>ROUNDUP(E235/E242,0)</f>
        <v>50</v>
      </c>
      <c r="H242" s="7"/>
      <c r="I242" s="7"/>
      <c r="J242" s="7"/>
      <c r="K242" s="7"/>
      <c r="L242" s="7"/>
      <c r="M242" s="7"/>
      <c r="N242" s="7"/>
      <c r="O242" s="7">
        <f>(2*((G235-(2*'[2]Beam '!$D$11))+(F235-(2*'[2]Beam '!$D$11)))+(2*10*D242/1000))*D235</f>
        <v>5.1599999999999993</v>
      </c>
      <c r="P242" s="7">
        <f t="shared" si="43"/>
        <v>257.99999999999994</v>
      </c>
      <c r="Q242" s="7">
        <f>IF($D242='[2]Beam '!Q$44,$P242*'[2]Beam '!Q$45,0)</f>
        <v>0</v>
      </c>
      <c r="R242" s="7">
        <f>IF($D242='[2]Beam '!R$44,$P242*'[2]Beam '!R$45,0)</f>
        <v>159.13071428571425</v>
      </c>
      <c r="S242" s="7">
        <f>IF($D242='[2]Beam '!S$44,$P242*'[2]Beam '!S$45,0)</f>
        <v>0</v>
      </c>
      <c r="T242" s="7">
        <f>IF($D242='[2]Beam '!T$44,$P242*'[2]Beam '!T$45,0)</f>
        <v>0</v>
      </c>
      <c r="U242" s="7">
        <f>IF($D242='[2]Beam '!U$44,$P242*'[2]Beam '!U$45,0)</f>
        <v>0</v>
      </c>
      <c r="V242" s="7">
        <f>IF($D242='[2]Beam '!V$44,$P242*'[2]Beam '!V$45,0)</f>
        <v>0</v>
      </c>
      <c r="W242" s="7">
        <f>IF($D242='[2]Beam '!W$44,$P242*'[2]Beam '!W$45,0)</f>
        <v>0</v>
      </c>
      <c r="X242" s="7">
        <f t="shared" si="44"/>
        <v>159.13071428571425</v>
      </c>
      <c r="Y242" s="7"/>
      <c r="Z242" s="7"/>
      <c r="AA242" s="7"/>
      <c r="AB242" s="7"/>
      <c r="AC242" s="7"/>
      <c r="AD242" s="7"/>
      <c r="AE242" s="7"/>
    </row>
    <row r="243" spans="1:32" s="9" customFormat="1" ht="21" customHeight="1" x14ac:dyDescent="0.25">
      <c r="A243" s="14"/>
      <c r="B243" s="10" t="s">
        <v>2</v>
      </c>
      <c r="C243" s="13" t="s">
        <v>47</v>
      </c>
      <c r="D243" s="7">
        <f>+D242</f>
        <v>10</v>
      </c>
      <c r="E243" s="14">
        <f>+E242</f>
        <v>0.1</v>
      </c>
      <c r="F243" s="7">
        <f>ROUNDUP(E235/E243,0)</f>
        <v>50</v>
      </c>
      <c r="H243" s="14"/>
      <c r="I243" s="14"/>
      <c r="J243" s="14"/>
      <c r="K243" s="14"/>
      <c r="L243" s="14"/>
      <c r="M243" s="14"/>
      <c r="N243" s="14"/>
      <c r="O243" s="7">
        <f>((((G235-(2*'[2]Beam '!$D$11))+(2*10*D243/1000))*D235))</f>
        <v>2.44</v>
      </c>
      <c r="P243" s="7">
        <f t="shared" si="43"/>
        <v>122</v>
      </c>
      <c r="Q243" s="7">
        <f>IF($D243='[2]Beam '!Q$44,$P243*'[2]Beam '!Q$45,0)</f>
        <v>0</v>
      </c>
      <c r="R243" s="7">
        <f>IF($D243='[2]Beam '!R$44,$P243*'[2]Beam '!R$45,0)</f>
        <v>75.247857142857143</v>
      </c>
      <c r="S243" s="7">
        <f>IF($D243='[2]Beam '!S$44,$P243*'[2]Beam '!S$45,0)</f>
        <v>0</v>
      </c>
      <c r="T243" s="7">
        <f>IF($D243='[2]Beam '!T$44,$P243*'[2]Beam '!T$45,0)</f>
        <v>0</v>
      </c>
      <c r="U243" s="7">
        <f>IF($D243='[2]Beam '!U$44,$P243*'[2]Beam '!U$45,0)</f>
        <v>0</v>
      </c>
      <c r="V243" s="7">
        <f>IF($D243='[2]Beam '!V$44,$P243*'[2]Beam '!V$45,0)</f>
        <v>0</v>
      </c>
      <c r="W243" s="7">
        <f>IF($D243='[2]Beam '!W$44,$P243*'[2]Beam '!W$45,0)</f>
        <v>0</v>
      </c>
      <c r="X243" s="7">
        <f t="shared" si="44"/>
        <v>75.247857142857143</v>
      </c>
      <c r="Y243" s="14"/>
      <c r="Z243" s="7"/>
      <c r="AA243" s="7"/>
      <c r="AB243" s="7"/>
      <c r="AC243" s="7"/>
      <c r="AD243" s="7"/>
      <c r="AE243" s="7"/>
      <c r="AF243" s="7"/>
    </row>
    <row r="244" spans="1:32" s="9" customFormat="1" ht="20.100000000000001" customHeight="1" x14ac:dyDescent="0.25">
      <c r="A244" s="6"/>
      <c r="B244" s="10" t="s">
        <v>2</v>
      </c>
      <c r="C244" s="13" t="s">
        <v>11</v>
      </c>
      <c r="D244" s="7">
        <f>+'[2]Beam '!$D$15</f>
        <v>25</v>
      </c>
      <c r="E244" s="7">
        <f>+'[2]Beam '!$E$15</f>
        <v>1</v>
      </c>
      <c r="F244" s="7">
        <f>ROUNDUP((E235)/E244,0)</f>
        <v>5</v>
      </c>
      <c r="G244" s="8"/>
      <c r="H244" s="8"/>
      <c r="I244" s="7"/>
      <c r="J244" s="7"/>
      <c r="K244" s="7"/>
      <c r="L244" s="7"/>
      <c r="M244" s="7"/>
      <c r="N244" s="7"/>
      <c r="O244" s="7">
        <f>F235-'[2]Beam '!$F$15</f>
        <v>0.24</v>
      </c>
      <c r="P244" s="7">
        <f t="shared" si="43"/>
        <v>1.2</v>
      </c>
      <c r="Q244" s="7">
        <f>IF($D244='[2]Beam '!Q$44,$P244*'[2]Beam '!Q$45,0)</f>
        <v>0</v>
      </c>
      <c r="R244" s="7">
        <f>IF($D244='[2]Beam '!R$44,$P244*'[2]Beam '!R$45,0)</f>
        <v>0</v>
      </c>
      <c r="S244" s="7">
        <f>IF($D244='[2]Beam '!S$44,$P244*'[2]Beam '!S$45,0)</f>
        <v>0</v>
      </c>
      <c r="T244" s="7">
        <f>IF($D244='[2]Beam '!T$44,$P244*'[2]Beam '!T$45,0)</f>
        <v>0</v>
      </c>
      <c r="U244" s="7">
        <f>IF($D244='[2]Beam '!U$44,$P244*'[2]Beam '!U$45,0)</f>
        <v>0</v>
      </c>
      <c r="V244" s="7">
        <f>IF($D244='[2]Beam '!V$44,$P244*'[2]Beam '!V$45,0)</f>
        <v>4.6258928571428575</v>
      </c>
      <c r="W244" s="7">
        <f>IF($D244='[2]Beam '!W$44,$P244*'[2]Beam '!W$45,0)</f>
        <v>0</v>
      </c>
      <c r="X244" s="7">
        <f t="shared" si="44"/>
        <v>4.6258928571428575</v>
      </c>
      <c r="Y244" s="7"/>
      <c r="Z244" s="7"/>
      <c r="AA244" s="7"/>
      <c r="AB244" s="7"/>
      <c r="AC244" s="7"/>
      <c r="AD244" s="7"/>
      <c r="AE244" s="7"/>
    </row>
    <row r="245" spans="1:32" s="9" customFormat="1" ht="20.100000000000001" customHeight="1" x14ac:dyDescent="0.25">
      <c r="A245" s="7">
        <v>1</v>
      </c>
      <c r="B245" s="10" t="s">
        <v>2</v>
      </c>
      <c r="C245" s="11" t="s">
        <v>48</v>
      </c>
      <c r="D245" s="11">
        <v>1</v>
      </c>
      <c r="E245" s="11">
        <v>4.8979999999999997</v>
      </c>
      <c r="F245" s="11">
        <v>0.3</v>
      </c>
      <c r="G245" s="11">
        <v>1.1000000000000001</v>
      </c>
      <c r="H245" s="7">
        <f>G245-0.2</f>
        <v>0.90000000000000013</v>
      </c>
      <c r="I245" s="7">
        <f>E245*F245*G245*D245</f>
        <v>1.6163399999999999</v>
      </c>
      <c r="J245" s="7">
        <f>(2*(E245)*H245*D245)+(E245*F245)</f>
        <v>10.285800000000002</v>
      </c>
      <c r="K245" s="12">
        <f>IF(E245=0.3,J245,0)</f>
        <v>0</v>
      </c>
      <c r="L245" s="12">
        <f>IF(AND(E245&gt;0.3,E245&lt;=0.75),J245,0)</f>
        <v>0</v>
      </c>
      <c r="M245" s="12">
        <f>IF(AND(E245&gt;0.75,E245&lt;=1.2),J245,0)</f>
        <v>0</v>
      </c>
      <c r="N245" s="12">
        <f>IF(E245&gt;1.2,J245,0)</f>
        <v>10.285800000000002</v>
      </c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>
        <f>SUM(X246:X253)/I245</f>
        <v>167.97464465573901</v>
      </c>
      <c r="Z245" s="7"/>
      <c r="AA245" s="7"/>
      <c r="AB245" s="7"/>
      <c r="AC245" s="7"/>
      <c r="AD245" s="7"/>
      <c r="AE245" s="7"/>
    </row>
    <row r="246" spans="1:32" s="9" customFormat="1" ht="20.100000000000001" customHeight="1" x14ac:dyDescent="0.25">
      <c r="A246" s="6"/>
      <c r="B246" s="10" t="s">
        <v>2</v>
      </c>
      <c r="C246" s="13" t="s">
        <v>4</v>
      </c>
      <c r="D246" s="7">
        <v>25</v>
      </c>
      <c r="E246" s="7"/>
      <c r="F246" s="7">
        <v>2</v>
      </c>
      <c r="G246" s="8">
        <f>VLOOKUP(D246,'[2]Beam '!$C$20:$H$26,3,0)</f>
        <v>1</v>
      </c>
      <c r="H246" s="8"/>
      <c r="I246" s="7"/>
      <c r="J246" s="7"/>
      <c r="K246" s="7"/>
      <c r="L246" s="7"/>
      <c r="M246" s="7"/>
      <c r="N246" s="7"/>
      <c r="O246" s="7">
        <f>(E245+1*(G246+(12*D246/1000)))+1*(0.5/2)*D245</f>
        <v>6.4479999999999995</v>
      </c>
      <c r="P246" s="7">
        <f t="shared" ref="P246:P254" si="45">O246*F246</f>
        <v>12.895999999999999</v>
      </c>
      <c r="Q246" s="7">
        <f>IF($D246='[2]Beam '!Q$44,$P246*'[2]Beam '!Q$45,0)</f>
        <v>0</v>
      </c>
      <c r="R246" s="7">
        <f>IF($D246='[2]Beam '!R$44,$P246*'[2]Beam '!R$45,0)</f>
        <v>0</v>
      </c>
      <c r="S246" s="7">
        <f>IF($D246='[2]Beam '!S$44,$P246*'[2]Beam '!S$45,0)</f>
        <v>0</v>
      </c>
      <c r="T246" s="7">
        <f>IF($D246='[2]Beam '!T$44,$P246*'[2]Beam '!T$45,0)</f>
        <v>0</v>
      </c>
      <c r="U246" s="7">
        <f>IF($D246='[2]Beam '!U$44,$P246*'[2]Beam '!U$45,0)</f>
        <v>0</v>
      </c>
      <c r="V246" s="7">
        <f>IF($D246='[2]Beam '!V$44,$P246*'[2]Beam '!V$45,0)</f>
        <v>49.712928571428577</v>
      </c>
      <c r="W246" s="7">
        <f>IF($D246='[2]Beam '!W$44,$P246*'[2]Beam '!W$45,0)</f>
        <v>0</v>
      </c>
      <c r="X246" s="7">
        <f t="shared" ref="X246:X254" si="46">SUM(Q246:W246)</f>
        <v>49.712928571428577</v>
      </c>
      <c r="Y246" s="7"/>
      <c r="Z246" s="7"/>
      <c r="AA246" s="7"/>
      <c r="AB246" s="7"/>
      <c r="AC246" s="7"/>
      <c r="AD246" s="7"/>
      <c r="AE246" s="7"/>
    </row>
    <row r="247" spans="1:32" s="9" customFormat="1" ht="20.100000000000001" customHeight="1" x14ac:dyDescent="0.25">
      <c r="A247" s="6"/>
      <c r="B247" s="10" t="s">
        <v>2</v>
      </c>
      <c r="C247" s="13" t="s">
        <v>5</v>
      </c>
      <c r="D247" s="7">
        <v>20</v>
      </c>
      <c r="E247" s="7"/>
      <c r="F247" s="7">
        <v>1</v>
      </c>
      <c r="G247" s="8">
        <f>VLOOKUP(D247,'[2]Beam '!$C$20:$H$26,3,0)</f>
        <v>0.8</v>
      </c>
      <c r="H247" s="8"/>
      <c r="I247" s="7"/>
      <c r="J247" s="7"/>
      <c r="K247" s="7"/>
      <c r="L247" s="7"/>
      <c r="M247" s="7"/>
      <c r="N247" s="7"/>
      <c r="O247" s="7">
        <f>(E245+1*(G247+(12*D247/1000)))+1*(0.5/2)*D245</f>
        <v>6.1879999999999997</v>
      </c>
      <c r="P247" s="7">
        <f t="shared" si="45"/>
        <v>6.1879999999999997</v>
      </c>
      <c r="Q247" s="7">
        <f>IF($D247='[2]Beam '!Q$44,$P247*'[2]Beam '!Q$45,0)</f>
        <v>0</v>
      </c>
      <c r="R247" s="7">
        <f>IF($D247='[2]Beam '!R$44,$P247*'[2]Beam '!R$45,0)</f>
        <v>0</v>
      </c>
      <c r="S247" s="7">
        <f>IF($D247='[2]Beam '!S$44,$P247*'[2]Beam '!S$45,0)</f>
        <v>0</v>
      </c>
      <c r="T247" s="7">
        <f>IF($D247='[2]Beam '!T$44,$P247*'[2]Beam '!T$45,0)</f>
        <v>0</v>
      </c>
      <c r="U247" s="7">
        <f>IF($D247='[2]Beam '!U$44,$P247*'[2]Beam '!U$45,0)</f>
        <v>15.266679999999999</v>
      </c>
      <c r="V247" s="7">
        <f>IF($D247='[2]Beam '!V$44,$P247*'[2]Beam '!V$45,0)</f>
        <v>0</v>
      </c>
      <c r="W247" s="7">
        <f>IF($D247='[2]Beam '!W$44,$P247*'[2]Beam '!W$45,0)</f>
        <v>0</v>
      </c>
      <c r="X247" s="7">
        <f t="shared" si="46"/>
        <v>15.266679999999999</v>
      </c>
      <c r="Y247" s="7"/>
      <c r="Z247" s="7"/>
      <c r="AA247" s="7"/>
      <c r="AB247" s="7"/>
      <c r="AC247" s="7"/>
      <c r="AD247" s="7"/>
      <c r="AE247" s="7"/>
    </row>
    <row r="248" spans="1:32" s="9" customFormat="1" ht="20.100000000000001" customHeight="1" x14ac:dyDescent="0.25">
      <c r="A248" s="6"/>
      <c r="B248" s="10" t="s">
        <v>2</v>
      </c>
      <c r="C248" s="13" t="s">
        <v>5</v>
      </c>
      <c r="D248" s="7">
        <v>20</v>
      </c>
      <c r="E248" s="7"/>
      <c r="F248" s="7">
        <v>2</v>
      </c>
      <c r="G248" s="8">
        <f>VLOOKUP(D248,'[2]Beam '!$C$20:$H$26,3,0)</f>
        <v>0.8</v>
      </c>
      <c r="H248" s="8"/>
      <c r="I248" s="7"/>
      <c r="J248" s="7"/>
      <c r="K248" s="7"/>
      <c r="L248" s="7"/>
      <c r="M248" s="7"/>
      <c r="N248" s="7"/>
      <c r="O248" s="7">
        <f>(1.35+1*(G248+(12*D248/1000)))*D245</f>
        <v>2.39</v>
      </c>
      <c r="P248" s="7">
        <f t="shared" si="45"/>
        <v>4.78</v>
      </c>
      <c r="Q248" s="7">
        <f>IF($D248='[2]Beam '!Q$44,$P248*'[2]Beam '!Q$45,0)</f>
        <v>0</v>
      </c>
      <c r="R248" s="7">
        <f>IF($D248='[2]Beam '!R$44,$P248*'[2]Beam '!R$45,0)</f>
        <v>0</v>
      </c>
      <c r="S248" s="7">
        <f>IF($D248='[2]Beam '!S$44,$P248*'[2]Beam '!S$45,0)</f>
        <v>0</v>
      </c>
      <c r="T248" s="7">
        <f>IF($D248='[2]Beam '!T$44,$P248*'[2]Beam '!T$45,0)</f>
        <v>0</v>
      </c>
      <c r="U248" s="7">
        <f>IF($D248='[2]Beam '!U$44,$P248*'[2]Beam '!U$45,0)</f>
        <v>11.792942857142858</v>
      </c>
      <c r="V248" s="7">
        <f>IF($D248='[2]Beam '!V$44,$P248*'[2]Beam '!V$45,0)</f>
        <v>0</v>
      </c>
      <c r="W248" s="7">
        <f>IF($D248='[2]Beam '!W$44,$P248*'[2]Beam '!W$45,0)</f>
        <v>0</v>
      </c>
      <c r="X248" s="7">
        <f t="shared" si="46"/>
        <v>11.792942857142858</v>
      </c>
      <c r="Y248" s="7"/>
      <c r="Z248" s="7"/>
      <c r="AA248" s="7"/>
      <c r="AB248" s="7"/>
      <c r="AC248" s="7"/>
      <c r="AD248" s="7"/>
      <c r="AE248" s="7"/>
    </row>
    <row r="249" spans="1:32" s="9" customFormat="1" ht="20.100000000000001" customHeight="1" x14ac:dyDescent="0.25">
      <c r="A249" s="6"/>
      <c r="B249" s="10" t="s">
        <v>2</v>
      </c>
      <c r="C249" s="13" t="s">
        <v>5</v>
      </c>
      <c r="D249" s="7">
        <v>20</v>
      </c>
      <c r="E249" s="7"/>
      <c r="F249" s="7">
        <v>2</v>
      </c>
      <c r="G249" s="8">
        <f>VLOOKUP(D249,'[2]Beam '!$C$20:$H$26,3,0)</f>
        <v>0.8</v>
      </c>
      <c r="H249" s="8"/>
      <c r="I249" s="7"/>
      <c r="J249" s="7"/>
      <c r="K249" s="7"/>
      <c r="L249" s="7"/>
      <c r="M249" s="7"/>
      <c r="N249" s="7"/>
      <c r="O249" s="7">
        <f>(1.35+1*(0.5/2)*D245)</f>
        <v>1.6</v>
      </c>
      <c r="P249" s="7">
        <f t="shared" si="45"/>
        <v>3.2</v>
      </c>
      <c r="Q249" s="7">
        <f>IF($D249='[2]Beam '!Q$44,$P249*'[2]Beam '!Q$45,0)</f>
        <v>0</v>
      </c>
      <c r="R249" s="7">
        <f>IF($D249='[2]Beam '!R$44,$P249*'[2]Beam '!R$45,0)</f>
        <v>0</v>
      </c>
      <c r="S249" s="7">
        <f>IF($D249='[2]Beam '!S$44,$P249*'[2]Beam '!S$45,0)</f>
        <v>0</v>
      </c>
      <c r="T249" s="7">
        <f>IF($D249='[2]Beam '!T$44,$P249*'[2]Beam '!T$45,0)</f>
        <v>0</v>
      </c>
      <c r="U249" s="7">
        <f>IF($D249='[2]Beam '!U$44,$P249*'[2]Beam '!U$45,0)</f>
        <v>7.894857142857143</v>
      </c>
      <c r="V249" s="7">
        <f>IF($D249='[2]Beam '!V$44,$P249*'[2]Beam '!V$45,0)</f>
        <v>0</v>
      </c>
      <c r="W249" s="7">
        <f>IF($D249='[2]Beam '!W$44,$P249*'[2]Beam '!W$45,0)</f>
        <v>0</v>
      </c>
      <c r="X249" s="7">
        <f t="shared" si="46"/>
        <v>7.894857142857143</v>
      </c>
      <c r="Y249" s="7"/>
      <c r="Z249" s="7"/>
      <c r="AA249" s="7"/>
      <c r="AB249" s="7"/>
      <c r="AC249" s="7"/>
      <c r="AD249" s="7"/>
      <c r="AE249" s="7"/>
    </row>
    <row r="250" spans="1:32" s="9" customFormat="1" ht="20.100000000000001" customHeight="1" x14ac:dyDescent="0.25">
      <c r="A250" s="6"/>
      <c r="B250" s="10" t="s">
        <v>2</v>
      </c>
      <c r="C250" s="13" t="s">
        <v>6</v>
      </c>
      <c r="D250" s="7">
        <v>25</v>
      </c>
      <c r="E250" s="7"/>
      <c r="F250" s="7">
        <v>2</v>
      </c>
      <c r="G250" s="8">
        <f>VLOOKUP(D250,'[2]Beam '!$C$20:$H$26,3,0)</f>
        <v>1</v>
      </c>
      <c r="H250" s="7"/>
      <c r="I250" s="7"/>
      <c r="J250" s="7"/>
      <c r="K250" s="7"/>
      <c r="L250" s="7"/>
      <c r="M250" s="7"/>
      <c r="N250" s="7"/>
      <c r="O250" s="7">
        <f>(E245+1*(G250+(12*D250/1000))+1*(0.5/2))*D245</f>
        <v>6.4479999999999995</v>
      </c>
      <c r="P250" s="7">
        <f t="shared" si="45"/>
        <v>12.895999999999999</v>
      </c>
      <c r="Q250" s="7">
        <f>IF($D250='[2]Beam '!Q$44,$P250*'[2]Beam '!Q$45,0)</f>
        <v>0</v>
      </c>
      <c r="R250" s="7">
        <f>IF($D250='[2]Beam '!R$44,$P250*'[2]Beam '!R$45,0)</f>
        <v>0</v>
      </c>
      <c r="S250" s="7">
        <f>IF($D250='[2]Beam '!S$44,$P250*'[2]Beam '!S$45,0)</f>
        <v>0</v>
      </c>
      <c r="T250" s="7">
        <f>IF($D250='[2]Beam '!T$44,$P250*'[2]Beam '!T$45,0)</f>
        <v>0</v>
      </c>
      <c r="U250" s="7">
        <f>IF($D250='[2]Beam '!U$44,$P250*'[2]Beam '!U$45,0)</f>
        <v>0</v>
      </c>
      <c r="V250" s="7">
        <f>IF($D250='[2]Beam '!V$44,$P250*'[2]Beam '!V$45,0)</f>
        <v>49.712928571428577</v>
      </c>
      <c r="W250" s="7">
        <f>IF($D250='[2]Beam '!W$44,$P250*'[2]Beam '!W$45,0)</f>
        <v>0</v>
      </c>
      <c r="X250" s="7">
        <f t="shared" si="46"/>
        <v>49.712928571428577</v>
      </c>
      <c r="Y250" s="7"/>
      <c r="Z250" s="7"/>
      <c r="AA250" s="7"/>
      <c r="AB250" s="7"/>
      <c r="AC250" s="7"/>
      <c r="AD250" s="7"/>
      <c r="AE250" s="7"/>
    </row>
    <row r="251" spans="1:32" s="14" customFormat="1" ht="20.100000000000001" customHeight="1" x14ac:dyDescent="0.3">
      <c r="A251" s="6"/>
      <c r="B251" s="10" t="s">
        <v>2</v>
      </c>
      <c r="C251" s="13" t="s">
        <v>6</v>
      </c>
      <c r="D251" s="7">
        <v>20</v>
      </c>
      <c r="E251" s="7"/>
      <c r="F251" s="7">
        <v>1</v>
      </c>
      <c r="G251" s="8">
        <f>VLOOKUP(D251,'[2]Beam '!$C$20:$H$26,3,0)</f>
        <v>0.8</v>
      </c>
      <c r="H251" s="7"/>
      <c r="I251" s="7"/>
      <c r="J251" s="7"/>
      <c r="K251" s="7"/>
      <c r="L251" s="7"/>
      <c r="M251" s="7"/>
      <c r="N251" s="7"/>
      <c r="O251" s="7">
        <f>(E245+1*(G251+(12*D251/1000))+1*(0.5/2))*D245</f>
        <v>6.1879999999999997</v>
      </c>
      <c r="P251" s="7">
        <f t="shared" si="45"/>
        <v>6.1879999999999997</v>
      </c>
      <c r="Q251" s="7">
        <f>IF($D251='[2]Beam '!Q$44,$P251*'[2]Beam '!Q$45,0)</f>
        <v>0</v>
      </c>
      <c r="R251" s="7">
        <f>IF($D251='[2]Beam '!R$44,$P251*'[2]Beam '!R$45,0)</f>
        <v>0</v>
      </c>
      <c r="S251" s="7">
        <f>IF($D251='[2]Beam '!S$44,$P251*'[2]Beam '!S$45,0)</f>
        <v>0</v>
      </c>
      <c r="T251" s="7">
        <f>IF($D251='[2]Beam '!T$44,$P251*'[2]Beam '!T$45,0)</f>
        <v>0</v>
      </c>
      <c r="U251" s="7">
        <f>IF($D251='[2]Beam '!U$44,$P251*'[2]Beam '!U$45,0)</f>
        <v>15.266679999999999</v>
      </c>
      <c r="V251" s="7">
        <f>IF($D251='[2]Beam '!V$44,$P251*'[2]Beam '!V$45,0)</f>
        <v>0</v>
      </c>
      <c r="W251" s="7">
        <f>IF($D251='[2]Beam '!W$44,$P251*'[2]Beam '!W$45,0)</f>
        <v>0</v>
      </c>
      <c r="X251" s="7">
        <f t="shared" si="46"/>
        <v>15.266679999999999</v>
      </c>
      <c r="Y251" s="7"/>
    </row>
    <row r="252" spans="1:32" s="9" customFormat="1" ht="20.100000000000001" customHeight="1" x14ac:dyDescent="0.25">
      <c r="A252" s="6"/>
      <c r="B252" s="10" t="s">
        <v>2</v>
      </c>
      <c r="C252" s="13" t="s">
        <v>7</v>
      </c>
      <c r="D252" s="7">
        <v>12</v>
      </c>
      <c r="E252" s="7">
        <v>0.1</v>
      </c>
      <c r="F252" s="7">
        <f>ROUNDUP((E245/3*2)/E252,0)+1</f>
        <v>34</v>
      </c>
      <c r="H252" s="7"/>
      <c r="I252" s="7"/>
      <c r="J252" s="7"/>
      <c r="K252" s="7"/>
      <c r="L252" s="7"/>
      <c r="M252" s="7"/>
      <c r="N252" s="7"/>
      <c r="O252" s="7">
        <f>(2*((G245-(2*'[2]Beam '!$D$11))+(F245-(2*'[2]Beam '!$D$11)))+(2*10*D252/1000))*D245</f>
        <v>2.8</v>
      </c>
      <c r="P252" s="7">
        <f t="shared" si="45"/>
        <v>95.199999999999989</v>
      </c>
      <c r="Q252" s="7">
        <f>IF($D252='[2]Beam '!Q$44,$P252*'[2]Beam '!Q$45,0)</f>
        <v>0</v>
      </c>
      <c r="R252" s="7">
        <f>IF($D252='[2]Beam '!R$44,$P252*'[2]Beam '!R$45,0)</f>
        <v>0</v>
      </c>
      <c r="S252" s="7">
        <f>IF($D252='[2]Beam '!S$44,$P252*'[2]Beam '!S$45,0)</f>
        <v>84.553920000000005</v>
      </c>
      <c r="T252" s="7">
        <f>IF($D252='[2]Beam '!T$44,$P252*'[2]Beam '!T$45,0)</f>
        <v>0</v>
      </c>
      <c r="U252" s="7">
        <f>IF($D252='[2]Beam '!U$44,$P252*'[2]Beam '!U$45,0)</f>
        <v>0</v>
      </c>
      <c r="V252" s="7">
        <f>IF($D252='[2]Beam '!V$44,$P252*'[2]Beam '!V$45,0)</f>
        <v>0</v>
      </c>
      <c r="W252" s="7">
        <f>IF($D252='[2]Beam '!W$44,$P252*'[2]Beam '!W$45,0)</f>
        <v>0</v>
      </c>
      <c r="X252" s="7">
        <f t="shared" si="46"/>
        <v>84.553920000000005</v>
      </c>
      <c r="Y252" s="7"/>
      <c r="Z252" s="7"/>
      <c r="AA252" s="7"/>
      <c r="AB252" s="7"/>
      <c r="AC252" s="7"/>
      <c r="AD252" s="7"/>
      <c r="AE252" s="7"/>
    </row>
    <row r="253" spans="1:32" s="9" customFormat="1" ht="21" customHeight="1" x14ac:dyDescent="0.25">
      <c r="A253" s="14"/>
      <c r="B253" s="10" t="s">
        <v>2</v>
      </c>
      <c r="C253" s="13" t="s">
        <v>8</v>
      </c>
      <c r="D253" s="14">
        <f>D252</f>
        <v>12</v>
      </c>
      <c r="E253" s="14">
        <v>0.125</v>
      </c>
      <c r="F253" s="7">
        <f>ROUNDUP((E245/3)/E253,0)+1</f>
        <v>15</v>
      </c>
      <c r="H253" s="14"/>
      <c r="I253" s="14"/>
      <c r="J253" s="14"/>
      <c r="K253" s="14"/>
      <c r="L253" s="14"/>
      <c r="M253" s="14"/>
      <c r="N253" s="14"/>
      <c r="O253" s="7">
        <f>(2*((G245-(2*'[2]Beam '!$D$11))+(F245-(2*'[2]Beam '!$D$11)))+(2*10*D253/1000))*D245</f>
        <v>2.8</v>
      </c>
      <c r="P253" s="7">
        <f t="shared" si="45"/>
        <v>42</v>
      </c>
      <c r="Q253" s="7">
        <f>IF($D253='[2]Beam '!Q$44,$P253*'[2]Beam '!Q$45,0)</f>
        <v>0</v>
      </c>
      <c r="R253" s="7">
        <f>IF($D253='[2]Beam '!R$44,$P253*'[2]Beam '!R$45,0)</f>
        <v>0</v>
      </c>
      <c r="S253" s="7">
        <f>IF($D253='[2]Beam '!S$44,$P253*'[2]Beam '!S$45,0)</f>
        <v>37.303200000000004</v>
      </c>
      <c r="T253" s="7">
        <f>IF($D253='[2]Beam '!T$44,$P253*'[2]Beam '!T$45,0)</f>
        <v>0</v>
      </c>
      <c r="U253" s="7">
        <f>IF($D253='[2]Beam '!U$44,$P253*'[2]Beam '!U$45,0)</f>
        <v>0</v>
      </c>
      <c r="V253" s="7">
        <f>IF($D253='[2]Beam '!V$44,$P253*'[2]Beam '!V$45,0)</f>
        <v>0</v>
      </c>
      <c r="W253" s="7">
        <f>IF($D253='[2]Beam '!W$44,$P253*'[2]Beam '!W$45,0)</f>
        <v>0</v>
      </c>
      <c r="X253" s="7">
        <f t="shared" si="46"/>
        <v>37.303200000000004</v>
      </c>
      <c r="Y253" s="14"/>
      <c r="Z253" s="7"/>
      <c r="AA253" s="7"/>
      <c r="AB253" s="7"/>
      <c r="AC253" s="7"/>
      <c r="AD253" s="7"/>
      <c r="AE253" s="7"/>
      <c r="AF253" s="7"/>
    </row>
    <row r="254" spans="1:32" s="9" customFormat="1" ht="20.100000000000001" customHeight="1" x14ac:dyDescent="0.25">
      <c r="A254" s="6"/>
      <c r="B254" s="10" t="s">
        <v>2</v>
      </c>
      <c r="C254" s="13" t="s">
        <v>11</v>
      </c>
      <c r="D254" s="7">
        <f>+'[2]Beam '!$D$15</f>
        <v>25</v>
      </c>
      <c r="E254" s="7">
        <f>+'[2]Beam '!$E$15</f>
        <v>1</v>
      </c>
      <c r="F254" s="7">
        <f>ROUNDUP((1.35+1.35)/E254,0)</f>
        <v>3</v>
      </c>
      <c r="G254" s="8"/>
      <c r="H254" s="8"/>
      <c r="I254" s="7"/>
      <c r="J254" s="7"/>
      <c r="K254" s="7"/>
      <c r="L254" s="7"/>
      <c r="M254" s="7"/>
      <c r="N254" s="7"/>
      <c r="O254" s="7">
        <f>F245-'[2]Beam '!$F$15</f>
        <v>0.24</v>
      </c>
      <c r="P254" s="7">
        <f t="shared" si="45"/>
        <v>0.72</v>
      </c>
      <c r="Q254" s="7">
        <f>IF($D254='[2]Beam '!Q$44,$P254*'[2]Beam '!Q$45,0)</f>
        <v>0</v>
      </c>
      <c r="R254" s="7">
        <f>IF($D254='[2]Beam '!R$44,$P254*'[2]Beam '!R$45,0)</f>
        <v>0</v>
      </c>
      <c r="S254" s="7">
        <f>IF($D254='[2]Beam '!S$44,$P254*'[2]Beam '!S$45,0)</f>
        <v>0</v>
      </c>
      <c r="T254" s="7">
        <f>IF($D254='[2]Beam '!T$44,$P254*'[2]Beam '!T$45,0)</f>
        <v>0</v>
      </c>
      <c r="U254" s="7">
        <f>IF($D254='[2]Beam '!U$44,$P254*'[2]Beam '!U$45,0)</f>
        <v>0</v>
      </c>
      <c r="V254" s="7">
        <f>IF($D254='[2]Beam '!V$44,$P254*'[2]Beam '!V$45,0)</f>
        <v>2.7755357142857147</v>
      </c>
      <c r="W254" s="7">
        <f>IF($D254='[2]Beam '!W$44,$P254*'[2]Beam '!W$45,0)</f>
        <v>0</v>
      </c>
      <c r="X254" s="7">
        <f t="shared" si="46"/>
        <v>2.7755357142857147</v>
      </c>
      <c r="Y254" s="7"/>
      <c r="Z254" s="7"/>
      <c r="AA254" s="7"/>
      <c r="AB254" s="7"/>
      <c r="AC254" s="7"/>
      <c r="AD254" s="7"/>
      <c r="AE254" s="7"/>
    </row>
    <row r="255" spans="1:32" s="9" customFormat="1" ht="20.100000000000001" customHeight="1" x14ac:dyDescent="0.25">
      <c r="A255" s="7">
        <v>1</v>
      </c>
      <c r="B255" s="10" t="s">
        <v>2</v>
      </c>
      <c r="C255" s="11" t="s">
        <v>49</v>
      </c>
      <c r="D255" s="11">
        <v>1</v>
      </c>
      <c r="E255" s="11">
        <v>4.1989999999999998</v>
      </c>
      <c r="F255" s="11">
        <v>0.3</v>
      </c>
      <c r="G255" s="11">
        <v>1.1000000000000001</v>
      </c>
      <c r="H255" s="7">
        <f>G255-0.2</f>
        <v>0.90000000000000013</v>
      </c>
      <c r="I255" s="7">
        <f>E255*F255*G255*D255</f>
        <v>1.38567</v>
      </c>
      <c r="J255" s="7">
        <f>(2*(E255)*H255*D255)+(E255*F255)</f>
        <v>8.8179000000000016</v>
      </c>
      <c r="K255" s="12">
        <f>IF(E255=0.3,J255,0)</f>
        <v>0</v>
      </c>
      <c r="L255" s="12">
        <f>IF(AND(E255&gt;0.3,E255&lt;=0.75),J255,0)</f>
        <v>0</v>
      </c>
      <c r="M255" s="12">
        <f>IF(AND(E255&gt;0.75,E255&lt;=1.2),J255,0)</f>
        <v>0</v>
      </c>
      <c r="N255" s="12">
        <f>IF(E255&gt;1.2,J255,0)</f>
        <v>8.8179000000000016</v>
      </c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>
        <f>SUM(X256:X262)/I255</f>
        <v>166.19834938023794</v>
      </c>
      <c r="Z255" s="7"/>
      <c r="AA255" s="7"/>
      <c r="AB255" s="7"/>
      <c r="AC255" s="7"/>
      <c r="AD255" s="7"/>
      <c r="AE255" s="7"/>
    </row>
    <row r="256" spans="1:32" s="9" customFormat="1" ht="20.100000000000001" customHeight="1" x14ac:dyDescent="0.25">
      <c r="A256" s="6"/>
      <c r="B256" s="10" t="s">
        <v>2</v>
      </c>
      <c r="C256" s="13" t="s">
        <v>4</v>
      </c>
      <c r="D256" s="7">
        <v>25</v>
      </c>
      <c r="E256" s="7"/>
      <c r="F256" s="7">
        <v>2</v>
      </c>
      <c r="G256" s="8">
        <f>VLOOKUP(D256,'[2]Beam '!$C$20:$H$26,3,0)</f>
        <v>1</v>
      </c>
      <c r="H256" s="8"/>
      <c r="I256" s="7"/>
      <c r="J256" s="7"/>
      <c r="K256" s="7"/>
      <c r="L256" s="7"/>
      <c r="M256" s="7"/>
      <c r="N256" s="7"/>
      <c r="O256" s="7">
        <f>(E255+1*(G256+(12*D256/1000)))+1*(0.5/2)*D255</f>
        <v>5.7489999999999997</v>
      </c>
      <c r="P256" s="7">
        <f t="shared" ref="P256:P263" si="47">O256*F256</f>
        <v>11.497999999999999</v>
      </c>
      <c r="Q256" s="7">
        <f>IF($D256='[2]Beam '!Q$44,$P256*'[2]Beam '!Q$45,0)</f>
        <v>0</v>
      </c>
      <c r="R256" s="7">
        <f>IF($D256='[2]Beam '!R$44,$P256*'[2]Beam '!R$45,0)</f>
        <v>0</v>
      </c>
      <c r="S256" s="7">
        <f>IF($D256='[2]Beam '!S$44,$P256*'[2]Beam '!S$45,0)</f>
        <v>0</v>
      </c>
      <c r="T256" s="7">
        <f>IF($D256='[2]Beam '!T$44,$P256*'[2]Beam '!T$45,0)</f>
        <v>0</v>
      </c>
      <c r="U256" s="7">
        <f>IF($D256='[2]Beam '!U$44,$P256*'[2]Beam '!U$45,0)</f>
        <v>0</v>
      </c>
      <c r="V256" s="7">
        <f>IF($D256='[2]Beam '!V$44,$P256*'[2]Beam '!V$45,0)</f>
        <v>44.323763392857146</v>
      </c>
      <c r="W256" s="7">
        <f>IF($D256='[2]Beam '!W$44,$P256*'[2]Beam '!W$45,0)</f>
        <v>0</v>
      </c>
      <c r="X256" s="7">
        <f t="shared" ref="X256:X263" si="48">SUM(Q256:W256)</f>
        <v>44.323763392857146</v>
      </c>
      <c r="Y256" s="7"/>
      <c r="Z256" s="7"/>
      <c r="AA256" s="7"/>
      <c r="AB256" s="7"/>
      <c r="AC256" s="7"/>
      <c r="AD256" s="7"/>
      <c r="AE256" s="7"/>
    </row>
    <row r="257" spans="1:32" s="9" customFormat="1" ht="20.100000000000001" customHeight="1" x14ac:dyDescent="0.25">
      <c r="A257" s="6"/>
      <c r="B257" s="10" t="s">
        <v>2</v>
      </c>
      <c r="C257" s="13" t="s">
        <v>5</v>
      </c>
      <c r="D257" s="7">
        <v>20</v>
      </c>
      <c r="E257" s="7"/>
      <c r="F257" s="7">
        <v>1</v>
      </c>
      <c r="G257" s="8">
        <f>VLOOKUP(D257,'[2]Beam '!$C$20:$H$26,3,0)</f>
        <v>0.8</v>
      </c>
      <c r="H257" s="8"/>
      <c r="I257" s="7"/>
      <c r="J257" s="7"/>
      <c r="K257" s="7"/>
      <c r="L257" s="7"/>
      <c r="M257" s="7"/>
      <c r="N257" s="7"/>
      <c r="O257" s="7">
        <f>(E255+1*(G257+(12*D257/1000)))+1*(0.5/2)*D255</f>
        <v>5.4889999999999999</v>
      </c>
      <c r="P257" s="7">
        <f t="shared" si="47"/>
        <v>5.4889999999999999</v>
      </c>
      <c r="Q257" s="7">
        <f>IF($D257='[2]Beam '!Q$44,$P257*'[2]Beam '!Q$45,0)</f>
        <v>0</v>
      </c>
      <c r="R257" s="7">
        <f>IF($D257='[2]Beam '!R$44,$P257*'[2]Beam '!R$45,0)</f>
        <v>0</v>
      </c>
      <c r="S257" s="7">
        <f>IF($D257='[2]Beam '!S$44,$P257*'[2]Beam '!S$45,0)</f>
        <v>0</v>
      </c>
      <c r="T257" s="7">
        <f>IF($D257='[2]Beam '!T$44,$P257*'[2]Beam '!T$45,0)</f>
        <v>0</v>
      </c>
      <c r="U257" s="7">
        <f>IF($D257='[2]Beam '!U$44,$P257*'[2]Beam '!U$45,0)</f>
        <v>13.542147142857143</v>
      </c>
      <c r="V257" s="7">
        <f>IF($D257='[2]Beam '!V$44,$P257*'[2]Beam '!V$45,0)</f>
        <v>0</v>
      </c>
      <c r="W257" s="7">
        <f>IF($D257='[2]Beam '!W$44,$P257*'[2]Beam '!W$45,0)</f>
        <v>0</v>
      </c>
      <c r="X257" s="7">
        <f t="shared" si="48"/>
        <v>13.542147142857143</v>
      </c>
      <c r="Y257" s="7"/>
      <c r="Z257" s="7"/>
      <c r="AA257" s="7"/>
      <c r="AB257" s="7"/>
      <c r="AC257" s="7"/>
      <c r="AD257" s="7"/>
      <c r="AE257" s="7"/>
    </row>
    <row r="258" spans="1:32" s="9" customFormat="1" ht="20.100000000000001" customHeight="1" x14ac:dyDescent="0.25">
      <c r="A258" s="6"/>
      <c r="B258" s="10" t="s">
        <v>2</v>
      </c>
      <c r="C258" s="13" t="s">
        <v>5</v>
      </c>
      <c r="D258" s="7">
        <v>20</v>
      </c>
      <c r="E258" s="7"/>
      <c r="F258" s="7">
        <v>2</v>
      </c>
      <c r="G258" s="8">
        <f>VLOOKUP(D258,'[2]Beam '!$C$20:$H$26,3,0)</f>
        <v>0.8</v>
      </c>
      <c r="H258" s="8"/>
      <c r="I258" s="7"/>
      <c r="J258" s="7"/>
      <c r="K258" s="7"/>
      <c r="L258" s="7"/>
      <c r="M258" s="7"/>
      <c r="N258" s="7"/>
      <c r="O258" s="7">
        <f>(1.8+1*(0.5/2)*D255)</f>
        <v>2.0499999999999998</v>
      </c>
      <c r="P258" s="7">
        <f t="shared" si="47"/>
        <v>4.0999999999999996</v>
      </c>
      <c r="Q258" s="7">
        <f>IF($D258='[2]Beam '!Q$44,$P258*'[2]Beam '!Q$45,0)</f>
        <v>0</v>
      </c>
      <c r="R258" s="7">
        <f>IF($D258='[2]Beam '!R$44,$P258*'[2]Beam '!R$45,0)</f>
        <v>0</v>
      </c>
      <c r="S258" s="7">
        <f>IF($D258='[2]Beam '!S$44,$P258*'[2]Beam '!S$45,0)</f>
        <v>0</v>
      </c>
      <c r="T258" s="7">
        <f>IF($D258='[2]Beam '!T$44,$P258*'[2]Beam '!T$45,0)</f>
        <v>0</v>
      </c>
      <c r="U258" s="7">
        <f>IF($D258='[2]Beam '!U$44,$P258*'[2]Beam '!U$45,0)</f>
        <v>10.115285714285713</v>
      </c>
      <c r="V258" s="7">
        <f>IF($D258='[2]Beam '!V$44,$P258*'[2]Beam '!V$45,0)</f>
        <v>0</v>
      </c>
      <c r="W258" s="7">
        <f>IF($D258='[2]Beam '!W$44,$P258*'[2]Beam '!W$45,0)</f>
        <v>0</v>
      </c>
      <c r="X258" s="7">
        <f t="shared" si="48"/>
        <v>10.115285714285713</v>
      </c>
      <c r="Y258" s="7"/>
      <c r="Z258" s="7"/>
      <c r="AA258" s="7"/>
      <c r="AB258" s="7"/>
      <c r="AC258" s="7"/>
      <c r="AD258" s="7"/>
      <c r="AE258" s="7"/>
    </row>
    <row r="259" spans="1:32" s="9" customFormat="1" ht="20.100000000000001" customHeight="1" x14ac:dyDescent="0.25">
      <c r="A259" s="6"/>
      <c r="B259" s="10" t="s">
        <v>2</v>
      </c>
      <c r="C259" s="13" t="s">
        <v>6</v>
      </c>
      <c r="D259" s="7">
        <v>25</v>
      </c>
      <c r="E259" s="7"/>
      <c r="F259" s="7">
        <v>2</v>
      </c>
      <c r="G259" s="8">
        <f>VLOOKUP(D259,'[2]Beam '!$C$20:$H$26,3,0)</f>
        <v>1</v>
      </c>
      <c r="H259" s="7"/>
      <c r="I259" s="7"/>
      <c r="J259" s="7"/>
      <c r="K259" s="7"/>
      <c r="L259" s="7"/>
      <c r="M259" s="7"/>
      <c r="N259" s="7"/>
      <c r="O259" s="7">
        <f>(E255+1*(G259+(12*D259/1000))+1*(0.5/2))*D255</f>
        <v>5.7489999999999997</v>
      </c>
      <c r="P259" s="7">
        <f t="shared" si="47"/>
        <v>11.497999999999999</v>
      </c>
      <c r="Q259" s="7">
        <f>IF($D259='[2]Beam '!Q$44,$P259*'[2]Beam '!Q$45,0)</f>
        <v>0</v>
      </c>
      <c r="R259" s="7">
        <f>IF($D259='[2]Beam '!R$44,$P259*'[2]Beam '!R$45,0)</f>
        <v>0</v>
      </c>
      <c r="S259" s="7">
        <f>IF($D259='[2]Beam '!S$44,$P259*'[2]Beam '!S$45,0)</f>
        <v>0</v>
      </c>
      <c r="T259" s="7">
        <f>IF($D259='[2]Beam '!T$44,$P259*'[2]Beam '!T$45,0)</f>
        <v>0</v>
      </c>
      <c r="U259" s="7">
        <f>IF($D259='[2]Beam '!U$44,$P259*'[2]Beam '!U$45,0)</f>
        <v>0</v>
      </c>
      <c r="V259" s="7">
        <f>IF($D259='[2]Beam '!V$44,$P259*'[2]Beam '!V$45,0)</f>
        <v>44.323763392857146</v>
      </c>
      <c r="W259" s="7">
        <f>IF($D259='[2]Beam '!W$44,$P259*'[2]Beam '!W$45,0)</f>
        <v>0</v>
      </c>
      <c r="X259" s="7">
        <f t="shared" si="48"/>
        <v>44.323763392857146</v>
      </c>
      <c r="Y259" s="7"/>
      <c r="Z259" s="7"/>
      <c r="AA259" s="7"/>
      <c r="AB259" s="7"/>
      <c r="AC259" s="7"/>
      <c r="AD259" s="7"/>
      <c r="AE259" s="7"/>
    </row>
    <row r="260" spans="1:32" s="14" customFormat="1" ht="20.100000000000001" customHeight="1" x14ac:dyDescent="0.3">
      <c r="A260" s="6"/>
      <c r="B260" s="10" t="s">
        <v>2</v>
      </c>
      <c r="C260" s="13" t="s">
        <v>6</v>
      </c>
      <c r="D260" s="7">
        <v>20</v>
      </c>
      <c r="E260" s="7"/>
      <c r="F260" s="7">
        <v>1</v>
      </c>
      <c r="G260" s="8">
        <f>VLOOKUP(D260,'[2]Beam '!$C$20:$H$26,3,0)</f>
        <v>0.8</v>
      </c>
      <c r="H260" s="7"/>
      <c r="I260" s="7"/>
      <c r="J260" s="7"/>
      <c r="K260" s="7"/>
      <c r="L260" s="7"/>
      <c r="M260" s="7"/>
      <c r="N260" s="7"/>
      <c r="O260" s="7">
        <f>(E255+1*(G260+(12*D260/1000))+1*(0.5/2))*D255</f>
        <v>5.4889999999999999</v>
      </c>
      <c r="P260" s="7">
        <f t="shared" si="47"/>
        <v>5.4889999999999999</v>
      </c>
      <c r="Q260" s="7">
        <f>IF($D260='[2]Beam '!Q$44,$P260*'[2]Beam '!Q$45,0)</f>
        <v>0</v>
      </c>
      <c r="R260" s="7">
        <f>IF($D260='[2]Beam '!R$44,$P260*'[2]Beam '!R$45,0)</f>
        <v>0</v>
      </c>
      <c r="S260" s="7">
        <f>IF($D260='[2]Beam '!S$44,$P260*'[2]Beam '!S$45,0)</f>
        <v>0</v>
      </c>
      <c r="T260" s="7">
        <f>IF($D260='[2]Beam '!T$44,$P260*'[2]Beam '!T$45,0)</f>
        <v>0</v>
      </c>
      <c r="U260" s="7">
        <f>IF($D260='[2]Beam '!U$44,$P260*'[2]Beam '!U$45,0)</f>
        <v>13.542147142857143</v>
      </c>
      <c r="V260" s="7">
        <f>IF($D260='[2]Beam '!V$44,$P260*'[2]Beam '!V$45,0)</f>
        <v>0</v>
      </c>
      <c r="W260" s="7">
        <f>IF($D260='[2]Beam '!W$44,$P260*'[2]Beam '!W$45,0)</f>
        <v>0</v>
      </c>
      <c r="X260" s="7">
        <f t="shared" si="48"/>
        <v>13.542147142857143</v>
      </c>
      <c r="Y260" s="7"/>
    </row>
    <row r="261" spans="1:32" s="9" customFormat="1" ht="20.100000000000001" customHeight="1" x14ac:dyDescent="0.25">
      <c r="A261" s="6"/>
      <c r="B261" s="10" t="s">
        <v>2</v>
      </c>
      <c r="C261" s="13" t="s">
        <v>7</v>
      </c>
      <c r="D261" s="7">
        <v>12</v>
      </c>
      <c r="E261" s="7">
        <v>0.1</v>
      </c>
      <c r="F261" s="7">
        <f>ROUNDUP((E255/3*2)/E261,0)+1</f>
        <v>29</v>
      </c>
      <c r="H261" s="7"/>
      <c r="I261" s="7"/>
      <c r="J261" s="7"/>
      <c r="K261" s="7"/>
      <c r="L261" s="7"/>
      <c r="M261" s="7"/>
      <c r="N261" s="7"/>
      <c r="O261" s="7">
        <f>(2*((G255-(2*'[2]Beam '!$D$11))+(F255-(2*'[2]Beam '!$D$11)))+(2*10*D261/1000))*D255</f>
        <v>2.8</v>
      </c>
      <c r="P261" s="7">
        <f t="shared" si="47"/>
        <v>81.199999999999989</v>
      </c>
      <c r="Q261" s="7">
        <f>IF($D261='[2]Beam '!Q$44,$P261*'[2]Beam '!Q$45,0)</f>
        <v>0</v>
      </c>
      <c r="R261" s="7">
        <f>IF($D261='[2]Beam '!R$44,$P261*'[2]Beam '!R$45,0)</f>
        <v>0</v>
      </c>
      <c r="S261" s="7">
        <f>IF($D261='[2]Beam '!S$44,$P261*'[2]Beam '!S$45,0)</f>
        <v>72.119520000000009</v>
      </c>
      <c r="T261" s="7">
        <f>IF($D261='[2]Beam '!T$44,$P261*'[2]Beam '!T$45,0)</f>
        <v>0</v>
      </c>
      <c r="U261" s="7">
        <f>IF($D261='[2]Beam '!U$44,$P261*'[2]Beam '!U$45,0)</f>
        <v>0</v>
      </c>
      <c r="V261" s="7">
        <f>IF($D261='[2]Beam '!V$44,$P261*'[2]Beam '!V$45,0)</f>
        <v>0</v>
      </c>
      <c r="W261" s="7">
        <f>IF($D261='[2]Beam '!W$44,$P261*'[2]Beam '!W$45,0)</f>
        <v>0</v>
      </c>
      <c r="X261" s="7">
        <f t="shared" si="48"/>
        <v>72.119520000000009</v>
      </c>
      <c r="Y261" s="7"/>
      <c r="Z261" s="7"/>
      <c r="AA261" s="7"/>
      <c r="AB261" s="7"/>
      <c r="AC261" s="7"/>
      <c r="AD261" s="7"/>
      <c r="AE261" s="7"/>
    </row>
    <row r="262" spans="1:32" s="9" customFormat="1" ht="21" customHeight="1" x14ac:dyDescent="0.25">
      <c r="A262" s="14"/>
      <c r="B262" s="10" t="s">
        <v>2</v>
      </c>
      <c r="C262" s="13" t="s">
        <v>8</v>
      </c>
      <c r="D262" s="14">
        <f>D261</f>
        <v>12</v>
      </c>
      <c r="E262" s="14">
        <v>0.125</v>
      </c>
      <c r="F262" s="7">
        <f>ROUNDUP((E255/3)/E262,0)+1</f>
        <v>13</v>
      </c>
      <c r="H262" s="14"/>
      <c r="I262" s="14"/>
      <c r="J262" s="14"/>
      <c r="K262" s="14"/>
      <c r="L262" s="14"/>
      <c r="M262" s="14"/>
      <c r="N262" s="14"/>
      <c r="O262" s="7">
        <f>(2*((G255-(2*'[2]Beam '!$D$11))+(F255-(2*'[2]Beam '!$D$11)))+(2*10*D262/1000))*D255</f>
        <v>2.8</v>
      </c>
      <c r="P262" s="7">
        <f t="shared" si="47"/>
        <v>36.4</v>
      </c>
      <c r="Q262" s="7">
        <f>IF($D262='[2]Beam '!Q$44,$P262*'[2]Beam '!Q$45,0)</f>
        <v>0</v>
      </c>
      <c r="R262" s="7">
        <f>IF($D262='[2]Beam '!R$44,$P262*'[2]Beam '!R$45,0)</f>
        <v>0</v>
      </c>
      <c r="S262" s="7">
        <f>IF($D262='[2]Beam '!S$44,$P262*'[2]Beam '!S$45,0)</f>
        <v>32.329440000000005</v>
      </c>
      <c r="T262" s="7">
        <f>IF($D262='[2]Beam '!T$44,$P262*'[2]Beam '!T$45,0)</f>
        <v>0</v>
      </c>
      <c r="U262" s="7">
        <f>IF($D262='[2]Beam '!U$44,$P262*'[2]Beam '!U$45,0)</f>
        <v>0</v>
      </c>
      <c r="V262" s="7">
        <f>IF($D262='[2]Beam '!V$44,$P262*'[2]Beam '!V$45,0)</f>
        <v>0</v>
      </c>
      <c r="W262" s="7">
        <f>IF($D262='[2]Beam '!W$44,$P262*'[2]Beam '!W$45,0)</f>
        <v>0</v>
      </c>
      <c r="X262" s="7">
        <f t="shared" si="48"/>
        <v>32.329440000000005</v>
      </c>
      <c r="Y262" s="14"/>
      <c r="Z262" s="7"/>
      <c r="AA262" s="7"/>
      <c r="AB262" s="7"/>
      <c r="AC262" s="7"/>
      <c r="AD262" s="7"/>
      <c r="AE262" s="7"/>
      <c r="AF262" s="7"/>
    </row>
    <row r="263" spans="1:32" s="9" customFormat="1" ht="20.100000000000001" customHeight="1" x14ac:dyDescent="0.25">
      <c r="A263" s="6"/>
      <c r="B263" s="10" t="s">
        <v>2</v>
      </c>
      <c r="C263" s="13" t="s">
        <v>11</v>
      </c>
      <c r="D263" s="7">
        <f>+'[2]Beam '!$D$15</f>
        <v>25</v>
      </c>
      <c r="E263" s="7">
        <f>+'[2]Beam '!$E$15</f>
        <v>1</v>
      </c>
      <c r="F263" s="7">
        <f>ROUNDUP((1.8)/E263,0)</f>
        <v>2</v>
      </c>
      <c r="G263" s="8"/>
      <c r="H263" s="8"/>
      <c r="I263" s="7"/>
      <c r="J263" s="7"/>
      <c r="K263" s="7"/>
      <c r="L263" s="7"/>
      <c r="M263" s="7"/>
      <c r="N263" s="7"/>
      <c r="O263" s="7">
        <f>F255-'[2]Beam '!$F$15</f>
        <v>0.24</v>
      </c>
      <c r="P263" s="7">
        <f t="shared" si="47"/>
        <v>0.48</v>
      </c>
      <c r="Q263" s="7">
        <f>IF($D263='[2]Beam '!Q$44,$P263*'[2]Beam '!Q$45,0)</f>
        <v>0</v>
      </c>
      <c r="R263" s="7">
        <f>IF($D263='[2]Beam '!R$44,$P263*'[2]Beam '!R$45,0)</f>
        <v>0</v>
      </c>
      <c r="S263" s="7">
        <f>IF($D263='[2]Beam '!S$44,$P263*'[2]Beam '!S$45,0)</f>
        <v>0</v>
      </c>
      <c r="T263" s="7">
        <f>IF($D263='[2]Beam '!T$44,$P263*'[2]Beam '!T$45,0)</f>
        <v>0</v>
      </c>
      <c r="U263" s="7">
        <f>IF($D263='[2]Beam '!U$44,$P263*'[2]Beam '!U$45,0)</f>
        <v>0</v>
      </c>
      <c r="V263" s="7">
        <f>IF($D263='[2]Beam '!V$44,$P263*'[2]Beam '!V$45,0)</f>
        <v>1.850357142857143</v>
      </c>
      <c r="W263" s="7">
        <f>IF($D263='[2]Beam '!W$44,$P263*'[2]Beam '!W$45,0)</f>
        <v>0</v>
      </c>
      <c r="X263" s="7">
        <f t="shared" si="48"/>
        <v>1.850357142857143</v>
      </c>
      <c r="Y263" s="7"/>
      <c r="Z263" s="7"/>
      <c r="AA263" s="7"/>
      <c r="AB263" s="7"/>
      <c r="AC263" s="7"/>
      <c r="AD263" s="7"/>
      <c r="AE263" s="7"/>
    </row>
    <row r="264" spans="1:32" s="9" customFormat="1" ht="20.100000000000001" customHeight="1" x14ac:dyDescent="0.25">
      <c r="A264" s="7">
        <v>1</v>
      </c>
      <c r="B264" s="10" t="s">
        <v>2</v>
      </c>
      <c r="C264" s="11" t="s">
        <v>50</v>
      </c>
      <c r="D264" s="11">
        <v>1</v>
      </c>
      <c r="E264" s="11">
        <v>2.3479999999999999</v>
      </c>
      <c r="F264" s="11">
        <v>0.3</v>
      </c>
      <c r="G264" s="11">
        <v>0.8</v>
      </c>
      <c r="H264" s="7">
        <f>G264-0.2</f>
        <v>0.60000000000000009</v>
      </c>
      <c r="I264" s="7">
        <f>E264*F264*G264*D264</f>
        <v>0.56351999999999991</v>
      </c>
      <c r="J264" s="7">
        <f>(2*(E264)*H264*D264)+(E264*F264)</f>
        <v>3.5220000000000002</v>
      </c>
      <c r="K264" s="12">
        <f>IF(E264=0.3,J264,0)</f>
        <v>0</v>
      </c>
      <c r="L264" s="12">
        <f>IF(AND(E264&gt;0.3,E264&lt;=0.75),J264,0)</f>
        <v>0</v>
      </c>
      <c r="M264" s="12">
        <f>IF(AND(E264&gt;0.75,E264&lt;=1.2),J264,0)</f>
        <v>0</v>
      </c>
      <c r="N264" s="12">
        <f>IF(E264&gt;1.2,J264,0)</f>
        <v>3.5220000000000002</v>
      </c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>
        <f>SUM(X265:X273)/I264</f>
        <v>307.37495056583117</v>
      </c>
      <c r="Z264" s="7"/>
      <c r="AA264" s="7"/>
      <c r="AB264" s="7"/>
      <c r="AC264" s="7"/>
      <c r="AD264" s="7"/>
      <c r="AE264" s="7"/>
    </row>
    <row r="265" spans="1:32" s="9" customFormat="1" ht="20.100000000000001" customHeight="1" x14ac:dyDescent="0.25">
      <c r="A265" s="6"/>
      <c r="B265" s="10" t="s">
        <v>2</v>
      </c>
      <c r="C265" s="13" t="s">
        <v>4</v>
      </c>
      <c r="D265" s="7">
        <v>25</v>
      </c>
      <c r="E265" s="7"/>
      <c r="F265" s="7">
        <v>2</v>
      </c>
      <c r="G265" s="8">
        <f>VLOOKUP(D265,'[2]Beam '!$C$20:$H$26,3,0)</f>
        <v>1</v>
      </c>
      <c r="H265" s="8"/>
      <c r="I265" s="7"/>
      <c r="J265" s="7"/>
      <c r="K265" s="7"/>
      <c r="L265" s="7"/>
      <c r="M265" s="7"/>
      <c r="N265" s="7"/>
      <c r="O265" s="7">
        <f>(E264+2*(G265))*D264</f>
        <v>4.3479999999999999</v>
      </c>
      <c r="P265" s="7">
        <f t="shared" ref="P265:P274" si="49">O265*F265</f>
        <v>8.6959999999999997</v>
      </c>
      <c r="Q265" s="7">
        <f>IF($D265='[2]Beam '!Q$44,$P265*'[2]Beam '!Q$45,0)</f>
        <v>0</v>
      </c>
      <c r="R265" s="7">
        <f>IF($D265='[2]Beam '!R$44,$P265*'[2]Beam '!R$45,0)</f>
        <v>0</v>
      </c>
      <c r="S265" s="7">
        <f>IF($D265='[2]Beam '!S$44,$P265*'[2]Beam '!S$45,0)</f>
        <v>0</v>
      </c>
      <c r="T265" s="7">
        <f>IF($D265='[2]Beam '!T$44,$P265*'[2]Beam '!T$45,0)</f>
        <v>0</v>
      </c>
      <c r="U265" s="7">
        <f>IF($D265='[2]Beam '!U$44,$P265*'[2]Beam '!U$45,0)</f>
        <v>0</v>
      </c>
      <c r="V265" s="7">
        <f>IF($D265='[2]Beam '!V$44,$P265*'[2]Beam '!V$45,0)</f>
        <v>33.522303571428573</v>
      </c>
      <c r="W265" s="7">
        <f>IF($D265='[2]Beam '!W$44,$P265*'[2]Beam '!W$45,0)</f>
        <v>0</v>
      </c>
      <c r="X265" s="7">
        <f t="shared" ref="X265:X274" si="50">SUM(Q265:W265)</f>
        <v>33.522303571428573</v>
      </c>
      <c r="Y265" s="7"/>
      <c r="Z265" s="7"/>
      <c r="AA265" s="7"/>
      <c r="AB265" s="7"/>
      <c r="AC265" s="7"/>
      <c r="AD265" s="7"/>
      <c r="AE265" s="7"/>
    </row>
    <row r="266" spans="1:32" s="9" customFormat="1" ht="20.100000000000001" customHeight="1" x14ac:dyDescent="0.25">
      <c r="A266" s="6"/>
      <c r="B266" s="10" t="s">
        <v>2</v>
      </c>
      <c r="C266" s="13" t="s">
        <v>4</v>
      </c>
      <c r="D266" s="7">
        <v>20</v>
      </c>
      <c r="E266" s="7"/>
      <c r="F266" s="7">
        <v>1</v>
      </c>
      <c r="G266" s="8">
        <f>VLOOKUP(D266,'[2]Beam '!$C$20:$H$26,3,0)</f>
        <v>0.8</v>
      </c>
      <c r="H266" s="8"/>
      <c r="I266" s="7"/>
      <c r="J266" s="7"/>
      <c r="K266" s="7"/>
      <c r="L266" s="7"/>
      <c r="M266" s="7"/>
      <c r="N266" s="7"/>
      <c r="O266" s="7">
        <f>(E264+2*(G266))*D264</f>
        <v>3.948</v>
      </c>
      <c r="P266" s="7">
        <f t="shared" si="49"/>
        <v>3.948</v>
      </c>
      <c r="Q266" s="7">
        <f>IF($D266='[2]Beam '!Q$44,$P266*'[2]Beam '!Q$45,0)</f>
        <v>0</v>
      </c>
      <c r="R266" s="7">
        <f>IF($D266='[2]Beam '!R$44,$P266*'[2]Beam '!R$45,0)</f>
        <v>0</v>
      </c>
      <c r="S266" s="7">
        <f>IF($D266='[2]Beam '!S$44,$P266*'[2]Beam '!S$45,0)</f>
        <v>0</v>
      </c>
      <c r="T266" s="7">
        <f>IF($D266='[2]Beam '!T$44,$P266*'[2]Beam '!T$45,0)</f>
        <v>0</v>
      </c>
      <c r="U266" s="7">
        <f>IF($D266='[2]Beam '!U$44,$P266*'[2]Beam '!U$45,0)</f>
        <v>9.7402800000000003</v>
      </c>
      <c r="V266" s="7">
        <f>IF($D266='[2]Beam '!V$44,$P266*'[2]Beam '!V$45,0)</f>
        <v>0</v>
      </c>
      <c r="W266" s="7">
        <f>IF($D266='[2]Beam '!W$44,$P266*'[2]Beam '!W$45,0)</f>
        <v>0</v>
      </c>
      <c r="X266" s="7">
        <f t="shared" si="50"/>
        <v>9.7402800000000003</v>
      </c>
      <c r="Y266" s="7"/>
      <c r="Z266" s="7"/>
      <c r="AA266" s="7"/>
      <c r="AB266" s="7"/>
      <c r="AC266" s="7"/>
      <c r="AD266" s="7"/>
      <c r="AE266" s="7"/>
    </row>
    <row r="267" spans="1:32" s="9" customFormat="1" ht="20.100000000000001" customHeight="1" x14ac:dyDescent="0.25">
      <c r="A267" s="6"/>
      <c r="B267" s="10" t="s">
        <v>2</v>
      </c>
      <c r="C267" s="13" t="s">
        <v>5</v>
      </c>
      <c r="D267" s="7">
        <v>25</v>
      </c>
      <c r="E267" s="7"/>
      <c r="F267" s="7">
        <v>3</v>
      </c>
      <c r="G267" s="8">
        <f>VLOOKUP(D267,'[2]Beam '!$C$20:$H$26,3,0)</f>
        <v>1</v>
      </c>
      <c r="H267" s="8"/>
      <c r="I267" s="7"/>
      <c r="J267" s="7"/>
      <c r="K267" s="7"/>
      <c r="L267" s="7"/>
      <c r="M267" s="7"/>
      <c r="N267" s="7"/>
      <c r="O267" s="7">
        <f>(1.8+1*(G267))*D264</f>
        <v>2.8</v>
      </c>
      <c r="P267" s="7">
        <f t="shared" si="49"/>
        <v>8.3999999999999986</v>
      </c>
      <c r="Q267" s="7">
        <f>IF($D267='[2]Beam '!Q$44,$P267*'[2]Beam '!Q$45,0)</f>
        <v>0</v>
      </c>
      <c r="R267" s="7">
        <f>IF($D267='[2]Beam '!R$44,$P267*'[2]Beam '!R$45,0)</f>
        <v>0</v>
      </c>
      <c r="S267" s="7">
        <f>IF($D267='[2]Beam '!S$44,$P267*'[2]Beam '!S$45,0)</f>
        <v>0</v>
      </c>
      <c r="T267" s="7">
        <f>IF($D267='[2]Beam '!T$44,$P267*'[2]Beam '!T$45,0)</f>
        <v>0</v>
      </c>
      <c r="U267" s="7">
        <f>IF($D267='[2]Beam '!U$44,$P267*'[2]Beam '!U$45,0)</f>
        <v>0</v>
      </c>
      <c r="V267" s="7">
        <f>IF($D267='[2]Beam '!V$44,$P267*'[2]Beam '!V$45,0)</f>
        <v>32.381250000000001</v>
      </c>
      <c r="W267" s="7">
        <f>IF($D267='[2]Beam '!W$44,$P267*'[2]Beam '!W$45,0)</f>
        <v>0</v>
      </c>
      <c r="X267" s="7">
        <f t="shared" si="50"/>
        <v>32.381250000000001</v>
      </c>
      <c r="Y267" s="7"/>
      <c r="Z267" s="7"/>
      <c r="AA267" s="7"/>
      <c r="AB267" s="7"/>
      <c r="AC267" s="7"/>
      <c r="AD267" s="7"/>
      <c r="AE267" s="7"/>
    </row>
    <row r="268" spans="1:32" s="9" customFormat="1" ht="20.100000000000001" customHeight="1" x14ac:dyDescent="0.25">
      <c r="A268" s="6"/>
      <c r="B268" s="10" t="s">
        <v>2</v>
      </c>
      <c r="C268" s="13" t="s">
        <v>6</v>
      </c>
      <c r="D268" s="7">
        <v>25</v>
      </c>
      <c r="E268" s="7"/>
      <c r="F268" s="7">
        <v>2</v>
      </c>
      <c r="G268" s="8">
        <f>VLOOKUP(D268,'[2]Beam '!$C$20:$H$26,3,0)</f>
        <v>1</v>
      </c>
      <c r="H268" s="7"/>
      <c r="I268" s="7"/>
      <c r="J268" s="7"/>
      <c r="K268" s="7"/>
      <c r="L268" s="7"/>
      <c r="M268" s="7"/>
      <c r="N268" s="7"/>
      <c r="O268" s="7">
        <f>(E264+1*(0.5/2))*D264</f>
        <v>2.5979999999999999</v>
      </c>
      <c r="P268" s="7">
        <f t="shared" si="49"/>
        <v>5.1959999999999997</v>
      </c>
      <c r="Q268" s="7">
        <f>IF($D268='[2]Beam '!Q$44,$P268*'[2]Beam '!Q$45,0)</f>
        <v>0</v>
      </c>
      <c r="R268" s="7">
        <f>IF($D268='[2]Beam '!R$44,$P268*'[2]Beam '!R$45,0)</f>
        <v>0</v>
      </c>
      <c r="S268" s="7">
        <f>IF($D268='[2]Beam '!S$44,$P268*'[2]Beam '!S$45,0)</f>
        <v>0</v>
      </c>
      <c r="T268" s="7">
        <f>IF($D268='[2]Beam '!T$44,$P268*'[2]Beam '!T$45,0)</f>
        <v>0</v>
      </c>
      <c r="U268" s="7">
        <f>IF($D268='[2]Beam '!U$44,$P268*'[2]Beam '!U$45,0)</f>
        <v>0</v>
      </c>
      <c r="V268" s="7">
        <f>IF($D268='[2]Beam '!V$44,$P268*'[2]Beam '!V$45,0)</f>
        <v>20.030116071428573</v>
      </c>
      <c r="W268" s="7">
        <f>IF($D268='[2]Beam '!W$44,$P268*'[2]Beam '!W$45,0)</f>
        <v>0</v>
      </c>
      <c r="X268" s="7">
        <f t="shared" si="50"/>
        <v>20.030116071428573</v>
      </c>
      <c r="Y268" s="7"/>
      <c r="Z268" s="7"/>
      <c r="AA268" s="7"/>
      <c r="AB268" s="7"/>
      <c r="AC268" s="7"/>
      <c r="AD268" s="7"/>
      <c r="AE268" s="7"/>
    </row>
    <row r="269" spans="1:32" s="9" customFormat="1" ht="20.100000000000001" customHeight="1" x14ac:dyDescent="0.25">
      <c r="A269" s="6"/>
      <c r="B269" s="10" t="s">
        <v>2</v>
      </c>
      <c r="C269" s="13" t="s">
        <v>6</v>
      </c>
      <c r="D269" s="7">
        <v>20</v>
      </c>
      <c r="E269" s="7"/>
      <c r="F269" s="7">
        <v>1</v>
      </c>
      <c r="G269" s="8">
        <f>VLOOKUP(D269,'[2]Beam '!$C$20:$H$26,3,0)</f>
        <v>0.8</v>
      </c>
      <c r="H269" s="7"/>
      <c r="I269" s="7"/>
      <c r="J269" s="7"/>
      <c r="K269" s="7"/>
      <c r="L269" s="7"/>
      <c r="M269" s="7"/>
      <c r="N269" s="7"/>
      <c r="O269" s="7">
        <f>(E264+1*(0.5/2))*D264</f>
        <v>2.5979999999999999</v>
      </c>
      <c r="P269" s="7">
        <f t="shared" si="49"/>
        <v>2.5979999999999999</v>
      </c>
      <c r="Q269" s="7">
        <f>IF($D269='[2]Beam '!Q$44,$P269*'[2]Beam '!Q$45,0)</f>
        <v>0</v>
      </c>
      <c r="R269" s="7">
        <f>IF($D269='[2]Beam '!R$44,$P269*'[2]Beam '!R$45,0)</f>
        <v>0</v>
      </c>
      <c r="S269" s="7">
        <f>IF($D269='[2]Beam '!S$44,$P269*'[2]Beam '!S$45,0)</f>
        <v>0</v>
      </c>
      <c r="T269" s="7">
        <f>IF($D269='[2]Beam '!T$44,$P269*'[2]Beam '!T$45,0)</f>
        <v>0</v>
      </c>
      <c r="U269" s="7">
        <f>IF($D269='[2]Beam '!U$44,$P269*'[2]Beam '!U$45,0)</f>
        <v>6.4096371428571421</v>
      </c>
      <c r="V269" s="7">
        <f>IF($D269='[2]Beam '!V$44,$P269*'[2]Beam '!V$45,0)</f>
        <v>0</v>
      </c>
      <c r="W269" s="7">
        <f>IF($D269='[2]Beam '!W$44,$P269*'[2]Beam '!W$45,0)</f>
        <v>0</v>
      </c>
      <c r="X269" s="7">
        <f t="shared" si="50"/>
        <v>6.4096371428571421</v>
      </c>
      <c r="Y269" s="7"/>
      <c r="Z269" s="7"/>
      <c r="AA269" s="7"/>
      <c r="AB269" s="7"/>
      <c r="AC269" s="7"/>
      <c r="AD269" s="7"/>
      <c r="AE269" s="7"/>
    </row>
    <row r="270" spans="1:32" s="9" customFormat="1" ht="20.100000000000001" customHeight="1" x14ac:dyDescent="0.25">
      <c r="A270" s="6"/>
      <c r="B270" s="10" t="s">
        <v>2</v>
      </c>
      <c r="C270" s="13" t="s">
        <v>13</v>
      </c>
      <c r="D270" s="7">
        <v>16</v>
      </c>
      <c r="E270" s="7"/>
      <c r="F270" s="7">
        <v>2</v>
      </c>
      <c r="G270" s="8">
        <f>VLOOKUP(D270,'[2]Beam '!$C$20:$H$26,3,0)</f>
        <v>0.625</v>
      </c>
      <c r="H270" s="7"/>
      <c r="I270" s="7"/>
      <c r="J270" s="7"/>
      <c r="K270" s="7"/>
      <c r="L270" s="7"/>
      <c r="M270" s="7"/>
      <c r="N270" s="7"/>
      <c r="O270" s="7">
        <f>(1.8+1*(0.5/2))*D264</f>
        <v>2.0499999999999998</v>
      </c>
      <c r="P270" s="7">
        <f t="shared" si="49"/>
        <v>4.0999999999999996</v>
      </c>
      <c r="Q270" s="7">
        <f>IF($D270='[2]Beam '!Q$44,$P270*'[2]Beam '!Q$45,0)</f>
        <v>0</v>
      </c>
      <c r="R270" s="7">
        <f>IF($D270='[2]Beam '!R$44,$P270*'[2]Beam '!R$45,0)</f>
        <v>0</v>
      </c>
      <c r="S270" s="7">
        <f>IF($D270='[2]Beam '!S$44,$P270*'[2]Beam '!S$45,0)</f>
        <v>0</v>
      </c>
      <c r="T270" s="7">
        <f>IF($D270='[2]Beam '!T$44,$P270*'[2]Beam '!T$45,0)</f>
        <v>6.4737828571428571</v>
      </c>
      <c r="U270" s="7">
        <f>IF($D270='[2]Beam '!U$44,$P270*'[2]Beam '!U$45,0)</f>
        <v>0</v>
      </c>
      <c r="V270" s="7">
        <f>IF($D270='[2]Beam '!V$44,$P270*'[2]Beam '!V$45,0)</f>
        <v>0</v>
      </c>
      <c r="W270" s="7">
        <f>IF($D270='[2]Beam '!W$44,$P270*'[2]Beam '!W$45,0)</f>
        <v>0</v>
      </c>
      <c r="X270" s="7">
        <f t="shared" si="50"/>
        <v>6.4737828571428571</v>
      </c>
      <c r="Y270" s="7"/>
      <c r="Z270" s="7"/>
      <c r="AA270" s="7"/>
      <c r="AB270" s="7"/>
      <c r="AC270" s="7"/>
      <c r="AD270" s="7"/>
      <c r="AE270" s="7"/>
    </row>
    <row r="271" spans="1:32" s="14" customFormat="1" ht="20.100000000000001" customHeight="1" x14ac:dyDescent="0.3">
      <c r="A271" s="6"/>
      <c r="B271" s="10" t="s">
        <v>2</v>
      </c>
      <c r="C271" s="13" t="s">
        <v>13</v>
      </c>
      <c r="D271" s="7">
        <v>25</v>
      </c>
      <c r="E271" s="7"/>
      <c r="F271" s="7">
        <v>2</v>
      </c>
      <c r="G271" s="8">
        <f>VLOOKUP(D271,'[2]Beam '!$C$20:$H$26,3,0)</f>
        <v>1</v>
      </c>
      <c r="H271" s="7"/>
      <c r="I271" s="7"/>
      <c r="J271" s="7"/>
      <c r="K271" s="7"/>
      <c r="L271" s="7"/>
      <c r="M271" s="7"/>
      <c r="N271" s="7"/>
      <c r="O271" s="7">
        <f>(1.8+1*(0.5/2))*D264</f>
        <v>2.0499999999999998</v>
      </c>
      <c r="P271" s="7">
        <f t="shared" si="49"/>
        <v>4.0999999999999996</v>
      </c>
      <c r="Q271" s="7">
        <f>IF($D271='[2]Beam '!Q$44,$P271*'[2]Beam '!Q$45,0)</f>
        <v>0</v>
      </c>
      <c r="R271" s="7">
        <f>IF($D271='[2]Beam '!R$44,$P271*'[2]Beam '!R$45,0)</f>
        <v>0</v>
      </c>
      <c r="S271" s="7">
        <f>IF($D271='[2]Beam '!S$44,$P271*'[2]Beam '!S$45,0)</f>
        <v>0</v>
      </c>
      <c r="T271" s="7">
        <f>IF($D271='[2]Beam '!T$44,$P271*'[2]Beam '!T$45,0)</f>
        <v>0</v>
      </c>
      <c r="U271" s="7">
        <f>IF($D271='[2]Beam '!U$44,$P271*'[2]Beam '!U$45,0)</f>
        <v>0</v>
      </c>
      <c r="V271" s="7">
        <f>IF($D271='[2]Beam '!V$44,$P271*'[2]Beam '!V$45,0)</f>
        <v>15.805133928571429</v>
      </c>
      <c r="W271" s="7">
        <f>IF($D271='[2]Beam '!W$44,$P271*'[2]Beam '!W$45,0)</f>
        <v>0</v>
      </c>
      <c r="X271" s="7">
        <f t="shared" si="50"/>
        <v>15.805133928571429</v>
      </c>
      <c r="Y271" s="7"/>
    </row>
    <row r="272" spans="1:32" s="9" customFormat="1" ht="20.100000000000001" customHeight="1" x14ac:dyDescent="0.25">
      <c r="A272" s="6"/>
      <c r="B272" s="10" t="s">
        <v>2</v>
      </c>
      <c r="C272" s="13" t="s">
        <v>7</v>
      </c>
      <c r="D272" s="7">
        <v>12</v>
      </c>
      <c r="E272" s="7">
        <v>0.1</v>
      </c>
      <c r="F272" s="7">
        <f>ROUNDUP((E264/3*2)/E272,0)+1</f>
        <v>17</v>
      </c>
      <c r="H272" s="7"/>
      <c r="I272" s="7"/>
      <c r="J272" s="7"/>
      <c r="K272" s="7"/>
      <c r="L272" s="7"/>
      <c r="M272" s="7"/>
      <c r="N272" s="7"/>
      <c r="O272" s="7">
        <f>(2*((G264-(2*'[2]Beam '!$D$11))+(F264-(2*'[2]Beam '!$D$11)))+(2*10*D272/1000))*D264</f>
        <v>2.2000000000000002</v>
      </c>
      <c r="P272" s="7">
        <f t="shared" si="49"/>
        <v>37.400000000000006</v>
      </c>
      <c r="Q272" s="7">
        <f>IF($D272='[2]Beam '!Q$44,$P272*'[2]Beam '!Q$45,0)</f>
        <v>0</v>
      </c>
      <c r="R272" s="7">
        <f>IF($D272='[2]Beam '!R$44,$P272*'[2]Beam '!R$45,0)</f>
        <v>0</v>
      </c>
      <c r="S272" s="7">
        <f>IF($D272='[2]Beam '!S$44,$P272*'[2]Beam '!S$45,0)</f>
        <v>33.217611428571438</v>
      </c>
      <c r="T272" s="7">
        <f>IF($D272='[2]Beam '!T$44,$P272*'[2]Beam '!T$45,0)</f>
        <v>0</v>
      </c>
      <c r="U272" s="7">
        <f>IF($D272='[2]Beam '!U$44,$P272*'[2]Beam '!U$45,0)</f>
        <v>0</v>
      </c>
      <c r="V272" s="7">
        <f>IF($D272='[2]Beam '!V$44,$P272*'[2]Beam '!V$45,0)</f>
        <v>0</v>
      </c>
      <c r="W272" s="7">
        <f>IF($D272='[2]Beam '!W$44,$P272*'[2]Beam '!W$45,0)</f>
        <v>0</v>
      </c>
      <c r="X272" s="7">
        <f t="shared" si="50"/>
        <v>33.217611428571438</v>
      </c>
      <c r="Y272" s="7"/>
      <c r="Z272" s="7"/>
      <c r="AA272" s="7"/>
      <c r="AB272" s="7"/>
      <c r="AC272" s="7"/>
      <c r="AD272" s="7"/>
      <c r="AE272" s="7"/>
    </row>
    <row r="273" spans="1:32" s="9" customFormat="1" ht="21" customHeight="1" x14ac:dyDescent="0.25">
      <c r="A273" s="14"/>
      <c r="B273" s="10" t="s">
        <v>2</v>
      </c>
      <c r="C273" s="13" t="s">
        <v>8</v>
      </c>
      <c r="D273" s="14">
        <f>D272</f>
        <v>12</v>
      </c>
      <c r="E273" s="14">
        <v>0.125</v>
      </c>
      <c r="F273" s="7">
        <f>ROUNDUP((E264/3)/E273,0)+1</f>
        <v>8</v>
      </c>
      <c r="H273" s="14"/>
      <c r="I273" s="14"/>
      <c r="J273" s="14"/>
      <c r="K273" s="14"/>
      <c r="L273" s="14"/>
      <c r="M273" s="14"/>
      <c r="N273" s="14"/>
      <c r="O273" s="7">
        <f>(2*((G264-(2*'[2]Beam '!$D$11))+(F264-(2*'[2]Beam '!$D$11)))+(2*10*D273/1000))*D264</f>
        <v>2.2000000000000002</v>
      </c>
      <c r="P273" s="7">
        <f t="shared" si="49"/>
        <v>17.600000000000001</v>
      </c>
      <c r="Q273" s="7">
        <f>IF($D273='[2]Beam '!Q$44,$P273*'[2]Beam '!Q$45,0)</f>
        <v>0</v>
      </c>
      <c r="R273" s="7">
        <f>IF($D273='[2]Beam '!R$44,$P273*'[2]Beam '!R$45,0)</f>
        <v>0</v>
      </c>
      <c r="S273" s="7">
        <f>IF($D273='[2]Beam '!S$44,$P273*'[2]Beam '!S$45,0)</f>
        <v>15.631817142857146</v>
      </c>
      <c r="T273" s="7">
        <f>IF($D273='[2]Beam '!T$44,$P273*'[2]Beam '!T$45,0)</f>
        <v>0</v>
      </c>
      <c r="U273" s="7">
        <f>IF($D273='[2]Beam '!U$44,$P273*'[2]Beam '!U$45,0)</f>
        <v>0</v>
      </c>
      <c r="V273" s="7">
        <f>IF($D273='[2]Beam '!V$44,$P273*'[2]Beam '!V$45,0)</f>
        <v>0</v>
      </c>
      <c r="W273" s="7">
        <f>IF($D273='[2]Beam '!W$44,$P273*'[2]Beam '!W$45,0)</f>
        <v>0</v>
      </c>
      <c r="X273" s="7">
        <f t="shared" si="50"/>
        <v>15.631817142857146</v>
      </c>
      <c r="Y273" s="14"/>
      <c r="Z273" s="7"/>
      <c r="AA273" s="7"/>
      <c r="AB273" s="7"/>
      <c r="AC273" s="7"/>
      <c r="AD273" s="7"/>
      <c r="AE273" s="7"/>
      <c r="AF273" s="7"/>
    </row>
    <row r="274" spans="1:32" s="9" customFormat="1" ht="20.100000000000001" customHeight="1" x14ac:dyDescent="0.25">
      <c r="A274" s="6"/>
      <c r="B274" s="10" t="s">
        <v>2</v>
      </c>
      <c r="C274" s="13" t="s">
        <v>11</v>
      </c>
      <c r="D274" s="7">
        <f>+'[2]Beam '!$D$15</f>
        <v>25</v>
      </c>
      <c r="E274" s="7">
        <f>+'[2]Beam '!$E$15</f>
        <v>1</v>
      </c>
      <c r="F274" s="7">
        <f>ROUNDUP((1.8+1.8)/E274,0)</f>
        <v>4</v>
      </c>
      <c r="G274" s="8"/>
      <c r="H274" s="8"/>
      <c r="I274" s="7"/>
      <c r="J274" s="7"/>
      <c r="K274" s="7"/>
      <c r="L274" s="7"/>
      <c r="M274" s="7"/>
      <c r="N274" s="7"/>
      <c r="O274" s="7">
        <f>F264-'[2]Beam '!$F$15</f>
        <v>0.24</v>
      </c>
      <c r="P274" s="7">
        <f t="shared" si="49"/>
        <v>0.96</v>
      </c>
      <c r="Q274" s="7">
        <f>IF($D274='[2]Beam '!Q$44,$P274*'[2]Beam '!Q$45,0)</f>
        <v>0</v>
      </c>
      <c r="R274" s="7">
        <f>IF($D274='[2]Beam '!R$44,$P274*'[2]Beam '!R$45,0)</f>
        <v>0</v>
      </c>
      <c r="S274" s="7">
        <f>IF($D274='[2]Beam '!S$44,$P274*'[2]Beam '!S$45,0)</f>
        <v>0</v>
      </c>
      <c r="T274" s="7">
        <f>IF($D274='[2]Beam '!T$44,$P274*'[2]Beam '!T$45,0)</f>
        <v>0</v>
      </c>
      <c r="U274" s="7">
        <f>IF($D274='[2]Beam '!U$44,$P274*'[2]Beam '!U$45,0)</f>
        <v>0</v>
      </c>
      <c r="V274" s="7">
        <f>IF($D274='[2]Beam '!V$44,$P274*'[2]Beam '!V$45,0)</f>
        <v>3.7007142857142861</v>
      </c>
      <c r="W274" s="7">
        <f>IF($D274='[2]Beam '!W$44,$P274*'[2]Beam '!W$45,0)</f>
        <v>0</v>
      </c>
      <c r="X274" s="7">
        <f t="shared" si="50"/>
        <v>3.7007142857142861</v>
      </c>
      <c r="Y274" s="7"/>
      <c r="Z274" s="7"/>
      <c r="AA274" s="7"/>
      <c r="AB274" s="7"/>
      <c r="AC274" s="7"/>
      <c r="AD274" s="7"/>
      <c r="AE274" s="7"/>
    </row>
    <row r="275" spans="1:32" s="9" customFormat="1" ht="20.100000000000001" customHeight="1" x14ac:dyDescent="0.25">
      <c r="A275" s="7">
        <v>1</v>
      </c>
      <c r="B275" s="10" t="s">
        <v>2</v>
      </c>
      <c r="C275" s="11" t="s">
        <v>51</v>
      </c>
      <c r="D275" s="11">
        <v>1</v>
      </c>
      <c r="E275" s="11">
        <v>2.85</v>
      </c>
      <c r="F275" s="11">
        <v>0.3</v>
      </c>
      <c r="G275" s="11">
        <v>1.1000000000000001</v>
      </c>
      <c r="H275" s="7">
        <f>G275-0.2</f>
        <v>0.90000000000000013</v>
      </c>
      <c r="I275" s="7">
        <f>E275*F275*G275*D275</f>
        <v>0.9405</v>
      </c>
      <c r="J275" s="7">
        <f>(2*(E275)*H275*D275)+(E275*F275)</f>
        <v>5.9850000000000012</v>
      </c>
      <c r="K275" s="12">
        <f>IF(E275=0.3,J275,0)</f>
        <v>0</v>
      </c>
      <c r="L275" s="12">
        <f>IF(AND(E275&gt;0.3,E275&lt;=0.75),J275,0)</f>
        <v>0</v>
      </c>
      <c r="M275" s="12">
        <f>IF(AND(E275&gt;0.75,E275&lt;=1.2),J275,0)</f>
        <v>0</v>
      </c>
      <c r="N275" s="12">
        <f>IF(E275&gt;1.2,J275,0)</f>
        <v>5.9850000000000012</v>
      </c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>
        <f>SUM(X276:X282)/I275</f>
        <v>191.55508354218881</v>
      </c>
      <c r="Z275" s="7"/>
      <c r="AA275" s="7"/>
      <c r="AB275" s="7"/>
      <c r="AC275" s="7"/>
      <c r="AD275" s="7"/>
      <c r="AE275" s="7"/>
    </row>
    <row r="276" spans="1:32" s="9" customFormat="1" ht="20.100000000000001" customHeight="1" x14ac:dyDescent="0.25">
      <c r="A276" s="6"/>
      <c r="B276" s="10" t="s">
        <v>2</v>
      </c>
      <c r="C276" s="13" t="s">
        <v>4</v>
      </c>
      <c r="D276" s="7">
        <v>25</v>
      </c>
      <c r="E276" s="7"/>
      <c r="F276" s="7">
        <v>2</v>
      </c>
      <c r="G276" s="8">
        <f>VLOOKUP(D276,'[2]Beam '!$C$20:$H$26,3,0)</f>
        <v>1</v>
      </c>
      <c r="H276" s="8"/>
      <c r="I276" s="7"/>
      <c r="J276" s="7"/>
      <c r="K276" s="7"/>
      <c r="L276" s="7"/>
      <c r="M276" s="7"/>
      <c r="N276" s="7"/>
      <c r="O276" s="7">
        <f>(E275+1*(G276+(12*D276/1000)))+1*(0.3/2)*D275</f>
        <v>4.3000000000000007</v>
      </c>
      <c r="P276" s="7">
        <f t="shared" ref="P276:P285" si="51">O276*F276</f>
        <v>8.6000000000000014</v>
      </c>
      <c r="Q276" s="7">
        <f>IF($D276='[2]Beam '!Q$44,$P276*'[2]Beam '!Q$45,0)</f>
        <v>0</v>
      </c>
      <c r="R276" s="7">
        <f>IF($D276='[2]Beam '!R$44,$P276*'[2]Beam '!R$45,0)</f>
        <v>0</v>
      </c>
      <c r="S276" s="7">
        <f>IF($D276='[2]Beam '!S$44,$P276*'[2]Beam '!S$45,0)</f>
        <v>0</v>
      </c>
      <c r="T276" s="7">
        <f>IF($D276='[2]Beam '!T$44,$P276*'[2]Beam '!T$45,0)</f>
        <v>0</v>
      </c>
      <c r="U276" s="7">
        <f>IF($D276='[2]Beam '!U$44,$P276*'[2]Beam '!U$45,0)</f>
        <v>0</v>
      </c>
      <c r="V276" s="7">
        <f>IF($D276='[2]Beam '!V$44,$P276*'[2]Beam '!V$45,0)</f>
        <v>33.152232142857152</v>
      </c>
      <c r="W276" s="7">
        <f>IF($D276='[2]Beam '!W$44,$P276*'[2]Beam '!W$45,0)</f>
        <v>0</v>
      </c>
      <c r="X276" s="7">
        <f t="shared" ref="X276:X285" si="52">SUM(Q276:W276)</f>
        <v>33.152232142857152</v>
      </c>
      <c r="Y276" s="7"/>
      <c r="Z276" s="7"/>
      <c r="AA276" s="7"/>
      <c r="AB276" s="7"/>
      <c r="AC276" s="7"/>
      <c r="AD276" s="7"/>
      <c r="AE276" s="7"/>
    </row>
    <row r="277" spans="1:32" s="9" customFormat="1" ht="20.100000000000001" customHeight="1" x14ac:dyDescent="0.25">
      <c r="A277" s="6"/>
      <c r="B277" s="10" t="s">
        <v>2</v>
      </c>
      <c r="C277" s="13" t="s">
        <v>4</v>
      </c>
      <c r="D277" s="7">
        <v>20</v>
      </c>
      <c r="E277" s="7"/>
      <c r="F277" s="7">
        <v>1</v>
      </c>
      <c r="G277" s="8">
        <f>VLOOKUP(D277,'[2]Beam '!$C$20:$H$26,3,0)</f>
        <v>0.8</v>
      </c>
      <c r="H277" s="8"/>
      <c r="I277" s="7"/>
      <c r="J277" s="7"/>
      <c r="K277" s="7"/>
      <c r="L277" s="7"/>
      <c r="M277" s="7"/>
      <c r="N277" s="7"/>
      <c r="O277" s="7">
        <f>(E275+1*(G277+(12*D277/1000)))+1*(0.3/2)*D275</f>
        <v>4.04</v>
      </c>
      <c r="P277" s="7">
        <f t="shared" si="51"/>
        <v>4.04</v>
      </c>
      <c r="Q277" s="7">
        <f>IF($D277='[2]Beam '!Q$44,$P277*'[2]Beam '!Q$45,0)</f>
        <v>0</v>
      </c>
      <c r="R277" s="7">
        <f>IF($D277='[2]Beam '!R$44,$P277*'[2]Beam '!R$45,0)</f>
        <v>0</v>
      </c>
      <c r="S277" s="7">
        <f>IF($D277='[2]Beam '!S$44,$P277*'[2]Beam '!S$45,0)</f>
        <v>0</v>
      </c>
      <c r="T277" s="7">
        <f>IF($D277='[2]Beam '!T$44,$P277*'[2]Beam '!T$45,0)</f>
        <v>0</v>
      </c>
      <c r="U277" s="7">
        <f>IF($D277='[2]Beam '!U$44,$P277*'[2]Beam '!U$45,0)</f>
        <v>9.967257142857143</v>
      </c>
      <c r="V277" s="7">
        <f>IF($D277='[2]Beam '!V$44,$P277*'[2]Beam '!V$45,0)</f>
        <v>0</v>
      </c>
      <c r="W277" s="7">
        <f>IF($D277='[2]Beam '!W$44,$P277*'[2]Beam '!W$45,0)</f>
        <v>0</v>
      </c>
      <c r="X277" s="7">
        <f t="shared" si="52"/>
        <v>9.967257142857143</v>
      </c>
      <c r="Y277" s="7"/>
      <c r="Z277" s="7"/>
      <c r="AA277" s="7"/>
      <c r="AB277" s="7"/>
      <c r="AC277" s="7"/>
      <c r="AD277" s="7"/>
      <c r="AE277" s="7"/>
    </row>
    <row r="278" spans="1:32" s="9" customFormat="1" ht="20.100000000000001" customHeight="1" x14ac:dyDescent="0.25">
      <c r="A278" s="6"/>
      <c r="B278" s="10" t="s">
        <v>2</v>
      </c>
      <c r="C278" s="13" t="s">
        <v>5</v>
      </c>
      <c r="D278" s="7">
        <v>25</v>
      </c>
      <c r="E278" s="7"/>
      <c r="F278" s="7">
        <v>3</v>
      </c>
      <c r="G278" s="8">
        <f>VLOOKUP(D278,'[2]Beam '!$C$20:$H$26,3,0)</f>
        <v>1</v>
      </c>
      <c r="H278" s="8"/>
      <c r="I278" s="7"/>
      <c r="J278" s="7"/>
      <c r="K278" s="7"/>
      <c r="L278" s="7"/>
      <c r="M278" s="7"/>
      <c r="N278" s="7"/>
      <c r="O278" s="7">
        <f>(0.8+1*(G278+(12*D278/1000)))*D275</f>
        <v>2.1</v>
      </c>
      <c r="P278" s="7">
        <f t="shared" si="51"/>
        <v>6.3000000000000007</v>
      </c>
      <c r="Q278" s="7">
        <f>IF($D278='[2]Beam '!Q$44,$P278*'[2]Beam '!Q$45,0)</f>
        <v>0</v>
      </c>
      <c r="R278" s="7">
        <f>IF($D278='[2]Beam '!R$44,$P278*'[2]Beam '!R$45,0)</f>
        <v>0</v>
      </c>
      <c r="S278" s="7">
        <f>IF($D278='[2]Beam '!S$44,$P278*'[2]Beam '!S$45,0)</f>
        <v>0</v>
      </c>
      <c r="T278" s="7">
        <f>IF($D278='[2]Beam '!T$44,$P278*'[2]Beam '!T$45,0)</f>
        <v>0</v>
      </c>
      <c r="U278" s="7">
        <f>IF($D278='[2]Beam '!U$44,$P278*'[2]Beam '!U$45,0)</f>
        <v>0</v>
      </c>
      <c r="V278" s="7">
        <f>IF($D278='[2]Beam '!V$44,$P278*'[2]Beam '!V$45,0)</f>
        <v>24.285937500000006</v>
      </c>
      <c r="W278" s="7">
        <f>IF($D278='[2]Beam '!W$44,$P278*'[2]Beam '!W$45,0)</f>
        <v>0</v>
      </c>
      <c r="X278" s="7">
        <f t="shared" si="52"/>
        <v>24.285937500000006</v>
      </c>
      <c r="Y278" s="7"/>
      <c r="Z278" s="7"/>
      <c r="AA278" s="7"/>
      <c r="AB278" s="7"/>
      <c r="AC278" s="7"/>
      <c r="AD278" s="7"/>
      <c r="AE278" s="7"/>
    </row>
    <row r="279" spans="1:32" s="9" customFormat="1" ht="20.100000000000001" customHeight="1" x14ac:dyDescent="0.25">
      <c r="A279" s="6"/>
      <c r="B279" s="10" t="s">
        <v>2</v>
      </c>
      <c r="C279" s="13" t="s">
        <v>6</v>
      </c>
      <c r="D279" s="7">
        <v>25</v>
      </c>
      <c r="E279" s="7"/>
      <c r="F279" s="7">
        <v>2</v>
      </c>
      <c r="G279" s="8">
        <f>VLOOKUP(D279,'[2]Beam '!$C$20:$H$26,3,0)</f>
        <v>1</v>
      </c>
      <c r="H279" s="7"/>
      <c r="I279" s="7"/>
      <c r="J279" s="7"/>
      <c r="K279" s="7"/>
      <c r="L279" s="7"/>
      <c r="M279" s="7"/>
      <c r="N279" s="7"/>
      <c r="O279" s="7">
        <f>(E275+1*(G279+(12*D279/1000))+1*(0.3/2))*D275</f>
        <v>4.3000000000000007</v>
      </c>
      <c r="P279" s="7">
        <f t="shared" si="51"/>
        <v>8.6000000000000014</v>
      </c>
      <c r="Q279" s="7">
        <f>IF($D279='[2]Beam '!Q$44,$P279*'[2]Beam '!Q$45,0)</f>
        <v>0</v>
      </c>
      <c r="R279" s="7">
        <f>IF($D279='[2]Beam '!R$44,$P279*'[2]Beam '!R$45,0)</f>
        <v>0</v>
      </c>
      <c r="S279" s="7">
        <f>IF($D279='[2]Beam '!S$44,$P279*'[2]Beam '!S$45,0)</f>
        <v>0</v>
      </c>
      <c r="T279" s="7">
        <f>IF($D279='[2]Beam '!T$44,$P279*'[2]Beam '!T$45,0)</f>
        <v>0</v>
      </c>
      <c r="U279" s="7">
        <f>IF($D279='[2]Beam '!U$44,$P279*'[2]Beam '!U$45,0)</f>
        <v>0</v>
      </c>
      <c r="V279" s="7">
        <f>IF($D279='[2]Beam '!V$44,$P279*'[2]Beam '!V$45,0)</f>
        <v>33.152232142857152</v>
      </c>
      <c r="W279" s="7">
        <f>IF($D279='[2]Beam '!W$44,$P279*'[2]Beam '!W$45,0)</f>
        <v>0</v>
      </c>
      <c r="X279" s="7">
        <f t="shared" si="52"/>
        <v>33.152232142857152</v>
      </c>
      <c r="Y279" s="7"/>
      <c r="Z279" s="7"/>
      <c r="AA279" s="7"/>
      <c r="AB279" s="7"/>
      <c r="AC279" s="7"/>
      <c r="AD279" s="7"/>
      <c r="AE279" s="7"/>
    </row>
    <row r="280" spans="1:32" s="14" customFormat="1" ht="20.100000000000001" customHeight="1" x14ac:dyDescent="0.3">
      <c r="A280" s="6"/>
      <c r="B280" s="10" t="s">
        <v>2</v>
      </c>
      <c r="C280" s="13" t="s">
        <v>6</v>
      </c>
      <c r="D280" s="7">
        <v>20</v>
      </c>
      <c r="E280" s="7"/>
      <c r="F280" s="7">
        <v>1</v>
      </c>
      <c r="G280" s="8">
        <f>VLOOKUP(D280,'[2]Beam '!$C$20:$H$26,3,0)</f>
        <v>0.8</v>
      </c>
      <c r="H280" s="7"/>
      <c r="I280" s="7"/>
      <c r="J280" s="7"/>
      <c r="K280" s="7"/>
      <c r="L280" s="7"/>
      <c r="M280" s="7"/>
      <c r="N280" s="7"/>
      <c r="O280" s="7">
        <f>(E275+1*(G280+(12*D280/1000))+1*(0.3/2))*D275</f>
        <v>4.04</v>
      </c>
      <c r="P280" s="7">
        <f t="shared" si="51"/>
        <v>4.04</v>
      </c>
      <c r="Q280" s="7">
        <f>IF($D280='[2]Beam '!Q$44,$P280*'[2]Beam '!Q$45,0)</f>
        <v>0</v>
      </c>
      <c r="R280" s="7">
        <f>IF($D280='[2]Beam '!R$44,$P280*'[2]Beam '!R$45,0)</f>
        <v>0</v>
      </c>
      <c r="S280" s="7">
        <f>IF($D280='[2]Beam '!S$44,$P280*'[2]Beam '!S$45,0)</f>
        <v>0</v>
      </c>
      <c r="T280" s="7">
        <f>IF($D280='[2]Beam '!T$44,$P280*'[2]Beam '!T$45,0)</f>
        <v>0</v>
      </c>
      <c r="U280" s="7">
        <f>IF($D280='[2]Beam '!U$44,$P280*'[2]Beam '!U$45,0)</f>
        <v>9.967257142857143</v>
      </c>
      <c r="V280" s="7">
        <f>IF($D280='[2]Beam '!V$44,$P280*'[2]Beam '!V$45,0)</f>
        <v>0</v>
      </c>
      <c r="W280" s="7">
        <f>IF($D280='[2]Beam '!W$44,$P280*'[2]Beam '!W$45,0)</f>
        <v>0</v>
      </c>
      <c r="X280" s="7">
        <f t="shared" si="52"/>
        <v>9.967257142857143</v>
      </c>
      <c r="Y280" s="7"/>
    </row>
    <row r="281" spans="1:32" s="14" customFormat="1" ht="20.100000000000001" customHeight="1" x14ac:dyDescent="0.25">
      <c r="A281" s="6"/>
      <c r="B281" s="10" t="s">
        <v>2</v>
      </c>
      <c r="C281" s="13" t="s">
        <v>7</v>
      </c>
      <c r="D281" s="7">
        <v>12</v>
      </c>
      <c r="E281" s="7">
        <v>0.1</v>
      </c>
      <c r="F281" s="7">
        <f>ROUNDUP((E275/3*2)/E281,0)+1</f>
        <v>20</v>
      </c>
      <c r="G281" s="9"/>
      <c r="H281" s="7"/>
      <c r="I281" s="7"/>
      <c r="J281" s="7"/>
      <c r="K281" s="7"/>
      <c r="L281" s="7"/>
      <c r="M281" s="7"/>
      <c r="N281" s="7"/>
      <c r="O281" s="7">
        <f>(2*((G275-(2*'[2]Beam '!$D$11))+(F275-(2*'[2]Beam '!$D$11)))+(2*10*D281/1000))*D275</f>
        <v>2.8</v>
      </c>
      <c r="P281" s="7">
        <f t="shared" si="51"/>
        <v>56</v>
      </c>
      <c r="Q281" s="7">
        <f>IF($D281='[2]Beam '!Q$44,$P281*'[2]Beam '!Q$45,0)</f>
        <v>0</v>
      </c>
      <c r="R281" s="7">
        <f>IF($D281='[2]Beam '!R$44,$P281*'[2]Beam '!R$45,0)</f>
        <v>0</v>
      </c>
      <c r="S281" s="7">
        <f>IF($D281='[2]Beam '!S$44,$P281*'[2]Beam '!S$45,0)</f>
        <v>49.737600000000008</v>
      </c>
      <c r="T281" s="7">
        <f>IF($D281='[2]Beam '!T$44,$P281*'[2]Beam '!T$45,0)</f>
        <v>0</v>
      </c>
      <c r="U281" s="7">
        <f>IF($D281='[2]Beam '!U$44,$P281*'[2]Beam '!U$45,0)</f>
        <v>0</v>
      </c>
      <c r="V281" s="7">
        <f>IF($D281='[2]Beam '!V$44,$P281*'[2]Beam '!V$45,0)</f>
        <v>0</v>
      </c>
      <c r="W281" s="7">
        <f>IF($D281='[2]Beam '!W$44,$P281*'[2]Beam '!W$45,0)</f>
        <v>0</v>
      </c>
      <c r="X281" s="7">
        <f t="shared" si="52"/>
        <v>49.737600000000008</v>
      </c>
      <c r="Y281" s="7"/>
    </row>
    <row r="282" spans="1:32" s="14" customFormat="1" ht="20.100000000000001" customHeight="1" x14ac:dyDescent="0.25">
      <c r="B282" s="10" t="s">
        <v>2</v>
      </c>
      <c r="C282" s="13" t="s">
        <v>8</v>
      </c>
      <c r="D282" s="14">
        <f>D281</f>
        <v>12</v>
      </c>
      <c r="E282" s="14">
        <v>0.15</v>
      </c>
      <c r="F282" s="7">
        <f>ROUNDUP((E275/3)/E282,0)+1</f>
        <v>8</v>
      </c>
      <c r="G282" s="9"/>
      <c r="O282" s="7">
        <f>(2*((G275-(2*'[2]Beam '!$D$11))+(F275-(2*'[2]Beam '!$D$11)))+(2*10*D282/1000))*D275</f>
        <v>2.8</v>
      </c>
      <c r="P282" s="7">
        <f t="shared" si="51"/>
        <v>22.4</v>
      </c>
      <c r="Q282" s="7">
        <f>IF($D282='[2]Beam '!Q$44,$P282*'[2]Beam '!Q$45,0)</f>
        <v>0</v>
      </c>
      <c r="R282" s="7">
        <f>IF($D282='[2]Beam '!R$44,$P282*'[2]Beam '!R$45,0)</f>
        <v>0</v>
      </c>
      <c r="S282" s="7">
        <f>IF($D282='[2]Beam '!S$44,$P282*'[2]Beam '!S$45,0)</f>
        <v>19.895040000000002</v>
      </c>
      <c r="T282" s="7">
        <f>IF($D282='[2]Beam '!T$44,$P282*'[2]Beam '!T$45,0)</f>
        <v>0</v>
      </c>
      <c r="U282" s="7">
        <f>IF($D282='[2]Beam '!U$44,$P282*'[2]Beam '!U$45,0)</f>
        <v>0</v>
      </c>
      <c r="V282" s="7">
        <f>IF($D282='[2]Beam '!V$44,$P282*'[2]Beam '!V$45,0)</f>
        <v>0</v>
      </c>
      <c r="W282" s="7">
        <f>IF($D282='[2]Beam '!W$44,$P282*'[2]Beam '!W$45,0)</f>
        <v>0</v>
      </c>
      <c r="X282" s="7">
        <f t="shared" si="52"/>
        <v>19.895040000000002</v>
      </c>
    </row>
    <row r="283" spans="1:32" s="9" customFormat="1" ht="20.100000000000001" customHeight="1" x14ac:dyDescent="0.25">
      <c r="A283" s="14"/>
      <c r="B283" s="10" t="s">
        <v>2</v>
      </c>
      <c r="C283" s="13" t="s">
        <v>47</v>
      </c>
      <c r="D283" s="14">
        <f>D281</f>
        <v>12</v>
      </c>
      <c r="E283" s="14">
        <f>+E281</f>
        <v>0.1</v>
      </c>
      <c r="F283" s="7">
        <f>ROUNDUP((E275/3*2)/E283,0)+1</f>
        <v>20</v>
      </c>
      <c r="H283" s="14"/>
      <c r="I283" s="14"/>
      <c r="J283" s="14"/>
      <c r="K283" s="14"/>
      <c r="L283" s="14"/>
      <c r="M283" s="14"/>
      <c r="N283" s="14"/>
      <c r="O283" s="7">
        <f>((((G273-(2*'[2]Beam '!$D$11))+(2*10*D283/1000))*D273))</f>
        <v>2.16</v>
      </c>
      <c r="P283" s="7">
        <f t="shared" si="51"/>
        <v>43.2</v>
      </c>
      <c r="Q283" s="7">
        <f>IF($D283='[2]Beam '!Q$44,$P283*'[2]Beam '!Q$45,0)</f>
        <v>0</v>
      </c>
      <c r="R283" s="7">
        <f>IF($D283='[2]Beam '!R$44,$P283*'[2]Beam '!R$45,0)</f>
        <v>0</v>
      </c>
      <c r="S283" s="7">
        <f>IF($D283='[2]Beam '!S$44,$P283*'[2]Beam '!S$45,0)</f>
        <v>38.36900571428572</v>
      </c>
      <c r="T283" s="7">
        <f>IF($D283='[2]Beam '!T$44,$P283*'[2]Beam '!T$45,0)</f>
        <v>0</v>
      </c>
      <c r="U283" s="7">
        <f>IF($D283='[2]Beam '!U$44,$P283*'[2]Beam '!U$45,0)</f>
        <v>0</v>
      </c>
      <c r="V283" s="7">
        <f>IF($D283='[2]Beam '!V$44,$P283*'[2]Beam '!V$45,0)</f>
        <v>0</v>
      </c>
      <c r="W283" s="7">
        <f>IF($D283='[2]Beam '!W$44,$P283*'[2]Beam '!W$45,0)</f>
        <v>0</v>
      </c>
      <c r="X283" s="7">
        <f t="shared" si="52"/>
        <v>38.36900571428572</v>
      </c>
      <c r="Y283" s="14"/>
      <c r="Z283" s="7"/>
      <c r="AA283" s="7"/>
      <c r="AB283" s="7"/>
      <c r="AC283" s="7"/>
      <c r="AD283" s="7"/>
      <c r="AE283" s="7"/>
    </row>
    <row r="284" spans="1:32" s="9" customFormat="1" ht="21" customHeight="1" x14ac:dyDescent="0.25">
      <c r="A284" s="14"/>
      <c r="B284" s="10" t="s">
        <v>2</v>
      </c>
      <c r="C284" s="13" t="s">
        <v>47</v>
      </c>
      <c r="D284" s="14">
        <f>D282</f>
        <v>12</v>
      </c>
      <c r="E284" s="14">
        <f>+E282</f>
        <v>0.15</v>
      </c>
      <c r="F284" s="7">
        <f>ROUNDUP((E275/3)/E284,0)+1</f>
        <v>8</v>
      </c>
      <c r="H284" s="14"/>
      <c r="I284" s="14"/>
      <c r="J284" s="14"/>
      <c r="K284" s="14"/>
      <c r="L284" s="14"/>
      <c r="M284" s="14"/>
      <c r="N284" s="14"/>
      <c r="O284" s="7">
        <f>((((G273-(2*'[2]Beam '!$D$11))+(2*10*D284/1000))*D273))</f>
        <v>2.16</v>
      </c>
      <c r="P284" s="7">
        <f t="shared" si="51"/>
        <v>17.28</v>
      </c>
      <c r="Q284" s="7">
        <f>IF($D284='[2]Beam '!Q$44,$P284*'[2]Beam '!Q$45,0)</f>
        <v>0</v>
      </c>
      <c r="R284" s="7">
        <f>IF($D284='[2]Beam '!R$44,$P284*'[2]Beam '!R$45,0)</f>
        <v>0</v>
      </c>
      <c r="S284" s="7">
        <f>IF($D284='[2]Beam '!S$44,$P284*'[2]Beam '!S$45,0)</f>
        <v>15.34760228571429</v>
      </c>
      <c r="T284" s="7">
        <f>IF($D284='[2]Beam '!T$44,$P284*'[2]Beam '!T$45,0)</f>
        <v>0</v>
      </c>
      <c r="U284" s="7">
        <f>IF($D284='[2]Beam '!U$44,$P284*'[2]Beam '!U$45,0)</f>
        <v>0</v>
      </c>
      <c r="V284" s="7">
        <f>IF($D284='[2]Beam '!V$44,$P284*'[2]Beam '!V$45,0)</f>
        <v>0</v>
      </c>
      <c r="W284" s="7">
        <f>IF($D284='[2]Beam '!W$44,$P284*'[2]Beam '!W$45,0)</f>
        <v>0</v>
      </c>
      <c r="X284" s="7">
        <f t="shared" si="52"/>
        <v>15.34760228571429</v>
      </c>
      <c r="Y284" s="14"/>
      <c r="Z284" s="7"/>
      <c r="AA284" s="7"/>
      <c r="AB284" s="7"/>
      <c r="AC284" s="7"/>
      <c r="AD284" s="7"/>
      <c r="AE284" s="7"/>
      <c r="AF284" s="7"/>
    </row>
    <row r="285" spans="1:32" s="9" customFormat="1" ht="20.100000000000001" customHeight="1" x14ac:dyDescent="0.25">
      <c r="A285" s="6"/>
      <c r="B285" s="10" t="s">
        <v>2</v>
      </c>
      <c r="C285" s="13" t="s">
        <v>11</v>
      </c>
      <c r="D285" s="7">
        <f>+'[2]Beam '!$D$15</f>
        <v>25</v>
      </c>
      <c r="E285" s="7">
        <f>+'[2]Beam '!$E$15</f>
        <v>1</v>
      </c>
      <c r="F285" s="7">
        <f>ROUNDUP((0.8)/E285,0)</f>
        <v>1</v>
      </c>
      <c r="G285" s="8"/>
      <c r="H285" s="8"/>
      <c r="I285" s="7"/>
      <c r="J285" s="7"/>
      <c r="K285" s="7"/>
      <c r="L285" s="7"/>
      <c r="M285" s="7"/>
      <c r="N285" s="7"/>
      <c r="O285" s="7">
        <f>F275-'[2]Beam '!$F$15</f>
        <v>0.24</v>
      </c>
      <c r="P285" s="7">
        <f t="shared" si="51"/>
        <v>0.24</v>
      </c>
      <c r="Q285" s="7">
        <f>IF($D285='[2]Beam '!Q$44,$P285*'[2]Beam '!Q$45,0)</f>
        <v>0</v>
      </c>
      <c r="R285" s="7">
        <f>IF($D285='[2]Beam '!R$44,$P285*'[2]Beam '!R$45,0)</f>
        <v>0</v>
      </c>
      <c r="S285" s="7">
        <f>IF($D285='[2]Beam '!S$44,$P285*'[2]Beam '!S$45,0)</f>
        <v>0</v>
      </c>
      <c r="T285" s="7">
        <f>IF($D285='[2]Beam '!T$44,$P285*'[2]Beam '!T$45,0)</f>
        <v>0</v>
      </c>
      <c r="U285" s="7">
        <f>IF($D285='[2]Beam '!U$44,$P285*'[2]Beam '!U$45,0)</f>
        <v>0</v>
      </c>
      <c r="V285" s="7">
        <f>IF($D285='[2]Beam '!V$44,$P285*'[2]Beam '!V$45,0)</f>
        <v>0.92517857142857152</v>
      </c>
      <c r="W285" s="7">
        <f>IF($D285='[2]Beam '!W$44,$P285*'[2]Beam '!W$45,0)</f>
        <v>0</v>
      </c>
      <c r="X285" s="7">
        <f t="shared" si="52"/>
        <v>0.92517857142857152</v>
      </c>
      <c r="Y285" s="7"/>
      <c r="Z285" s="7"/>
      <c r="AA285" s="7"/>
      <c r="AB285" s="7"/>
      <c r="AC285" s="7"/>
      <c r="AD285" s="7"/>
      <c r="AE285" s="7"/>
    </row>
    <row r="286" spans="1:32" s="9" customFormat="1" ht="20.100000000000001" customHeight="1" x14ac:dyDescent="0.25">
      <c r="A286" s="7">
        <v>1</v>
      </c>
      <c r="B286" s="10" t="s">
        <v>2</v>
      </c>
      <c r="C286" s="11" t="s">
        <v>52</v>
      </c>
      <c r="D286" s="11">
        <v>1</v>
      </c>
      <c r="E286" s="11">
        <v>1.37</v>
      </c>
      <c r="F286" s="11">
        <v>0.3</v>
      </c>
      <c r="G286" s="11">
        <v>0.8</v>
      </c>
      <c r="H286" s="7">
        <f>G286-0.2</f>
        <v>0.60000000000000009</v>
      </c>
      <c r="I286" s="7">
        <f>E286*F286*G286*D286</f>
        <v>0.32880000000000004</v>
      </c>
      <c r="J286" s="7">
        <f>(2*(E286)*H286*D286)+(E286*F286)</f>
        <v>2.0550000000000006</v>
      </c>
      <c r="K286" s="12">
        <f>IF(E286=0.3,J286,0)</f>
        <v>0</v>
      </c>
      <c r="L286" s="12">
        <f>IF(AND(E286&gt;0.3,E286&lt;=0.75),J286,0)</f>
        <v>0</v>
      </c>
      <c r="M286" s="12">
        <f>IF(AND(E286&gt;0.75,E286&lt;=1.2),J286,0)</f>
        <v>0</v>
      </c>
      <c r="N286" s="12">
        <f>IF(E286&gt;1.2,J286,0)</f>
        <v>2.0550000000000006</v>
      </c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>
        <f>SUM(X287:X293)/I286</f>
        <v>307.41275312825854</v>
      </c>
      <c r="Z286" s="7"/>
      <c r="AA286" s="7"/>
      <c r="AB286" s="7"/>
      <c r="AC286" s="7"/>
      <c r="AD286" s="7"/>
      <c r="AE286" s="7"/>
    </row>
    <row r="287" spans="1:32" s="9" customFormat="1" ht="20.100000000000001" customHeight="1" x14ac:dyDescent="0.25">
      <c r="A287" s="6"/>
      <c r="B287" s="10" t="s">
        <v>2</v>
      </c>
      <c r="C287" s="13" t="s">
        <v>4</v>
      </c>
      <c r="D287" s="7">
        <v>25</v>
      </c>
      <c r="E287" s="7"/>
      <c r="F287" s="7">
        <v>2</v>
      </c>
      <c r="G287" s="8">
        <f>VLOOKUP(D287,'[2]Beam '!$C$20:$H$26,3,0)</f>
        <v>1</v>
      </c>
      <c r="H287" s="8"/>
      <c r="I287" s="7"/>
      <c r="J287" s="7"/>
      <c r="K287" s="7"/>
      <c r="L287" s="7"/>
      <c r="M287" s="7"/>
      <c r="N287" s="7"/>
      <c r="O287" s="7">
        <f>(E286+1*(G287+(12*D287/1000)))+1*(0.3/2)*D286</f>
        <v>2.82</v>
      </c>
      <c r="P287" s="7">
        <f t="shared" ref="P287:P294" si="53">O287*F287</f>
        <v>5.64</v>
      </c>
      <c r="Q287" s="7">
        <f>IF($D287='[2]Beam '!Q$44,$P287*'[2]Beam '!Q$45,0)</f>
        <v>0</v>
      </c>
      <c r="R287" s="7">
        <f>IF($D287='[2]Beam '!R$44,$P287*'[2]Beam '!R$45,0)</f>
        <v>0</v>
      </c>
      <c r="S287" s="7">
        <f>IF($D287='[2]Beam '!S$44,$P287*'[2]Beam '!S$45,0)</f>
        <v>0</v>
      </c>
      <c r="T287" s="7">
        <f>IF($D287='[2]Beam '!T$44,$P287*'[2]Beam '!T$45,0)</f>
        <v>0</v>
      </c>
      <c r="U287" s="7">
        <f>IF($D287='[2]Beam '!U$44,$P287*'[2]Beam '!U$45,0)</f>
        <v>0</v>
      </c>
      <c r="V287" s="7">
        <f>IF($D287='[2]Beam '!V$44,$P287*'[2]Beam '!V$45,0)</f>
        <v>21.74169642857143</v>
      </c>
      <c r="W287" s="7">
        <f>IF($D287='[2]Beam '!W$44,$P287*'[2]Beam '!W$45,0)</f>
        <v>0</v>
      </c>
      <c r="X287" s="7">
        <f t="shared" ref="X287:X294" si="54">SUM(Q287:W287)</f>
        <v>21.74169642857143</v>
      </c>
      <c r="Y287" s="7"/>
      <c r="Z287" s="7"/>
      <c r="AA287" s="7"/>
      <c r="AB287" s="7"/>
      <c r="AC287" s="7"/>
      <c r="AD287" s="7"/>
      <c r="AE287" s="7"/>
    </row>
    <row r="288" spans="1:32" s="9" customFormat="1" ht="20.100000000000001" customHeight="1" x14ac:dyDescent="0.25">
      <c r="A288" s="6"/>
      <c r="B288" s="10" t="s">
        <v>2</v>
      </c>
      <c r="C288" s="13" t="s">
        <v>4</v>
      </c>
      <c r="D288" s="7">
        <v>20</v>
      </c>
      <c r="E288" s="7"/>
      <c r="F288" s="7">
        <v>1</v>
      </c>
      <c r="G288" s="8">
        <f>VLOOKUP(D288,'[2]Beam '!$C$20:$H$26,3,0)</f>
        <v>0.8</v>
      </c>
      <c r="H288" s="8"/>
      <c r="I288" s="7"/>
      <c r="J288" s="7"/>
      <c r="K288" s="7"/>
      <c r="L288" s="7"/>
      <c r="M288" s="7"/>
      <c r="N288" s="7"/>
      <c r="O288" s="7">
        <f>(E286+1*(G288+(12*D288/1000)))+1*(0.3/2)*D286</f>
        <v>2.56</v>
      </c>
      <c r="P288" s="7">
        <f t="shared" si="53"/>
        <v>2.56</v>
      </c>
      <c r="Q288" s="7">
        <f>IF($D288='[2]Beam '!Q$44,$P288*'[2]Beam '!Q$45,0)</f>
        <v>0</v>
      </c>
      <c r="R288" s="7">
        <f>IF($D288='[2]Beam '!R$44,$P288*'[2]Beam '!R$45,0)</f>
        <v>0</v>
      </c>
      <c r="S288" s="7">
        <f>IF($D288='[2]Beam '!S$44,$P288*'[2]Beam '!S$45,0)</f>
        <v>0</v>
      </c>
      <c r="T288" s="7">
        <f>IF($D288='[2]Beam '!T$44,$P288*'[2]Beam '!T$45,0)</f>
        <v>0</v>
      </c>
      <c r="U288" s="7">
        <f>IF($D288='[2]Beam '!U$44,$P288*'[2]Beam '!U$45,0)</f>
        <v>6.3158857142857139</v>
      </c>
      <c r="V288" s="7">
        <f>IF($D288='[2]Beam '!V$44,$P288*'[2]Beam '!V$45,0)</f>
        <v>0</v>
      </c>
      <c r="W288" s="7">
        <f>IF($D288='[2]Beam '!W$44,$P288*'[2]Beam '!W$45,0)</f>
        <v>0</v>
      </c>
      <c r="X288" s="7">
        <f t="shared" si="54"/>
        <v>6.3158857142857139</v>
      </c>
      <c r="Y288" s="7"/>
      <c r="Z288" s="7"/>
      <c r="AA288" s="7"/>
      <c r="AB288" s="7"/>
      <c r="AC288" s="7"/>
      <c r="AD288" s="7"/>
      <c r="AE288" s="7"/>
    </row>
    <row r="289" spans="1:32" s="9" customFormat="1" ht="20.100000000000001" customHeight="1" x14ac:dyDescent="0.25">
      <c r="A289" s="6"/>
      <c r="B289" s="10" t="s">
        <v>2</v>
      </c>
      <c r="C289" s="13" t="s">
        <v>5</v>
      </c>
      <c r="D289" s="7">
        <v>12</v>
      </c>
      <c r="E289" s="7"/>
      <c r="F289" s="7">
        <v>2</v>
      </c>
      <c r="G289" s="8">
        <f>VLOOKUP(D289,'[2]Beam '!$C$20:$H$26,3,0)</f>
        <v>0.47499999999999998</v>
      </c>
      <c r="H289" s="8"/>
      <c r="I289" s="7"/>
      <c r="J289" s="7"/>
      <c r="K289" s="7"/>
      <c r="L289" s="7"/>
      <c r="M289" s="7"/>
      <c r="N289" s="7"/>
      <c r="O289" s="7">
        <f>(0.45+1*(G289+(12*D289/1000)))*D286</f>
        <v>1.069</v>
      </c>
      <c r="P289" s="7">
        <f t="shared" si="53"/>
        <v>2.1379999999999999</v>
      </c>
      <c r="Q289" s="7">
        <f>IF($D289='[2]Beam '!Q$44,$P289*'[2]Beam '!Q$45,0)</f>
        <v>0</v>
      </c>
      <c r="R289" s="7">
        <f>IF($D289='[2]Beam '!R$44,$P289*'[2]Beam '!R$45,0)</f>
        <v>0</v>
      </c>
      <c r="S289" s="7">
        <f>IF($D289='[2]Beam '!S$44,$P289*'[2]Beam '!S$45,0)</f>
        <v>1.8989105142857146</v>
      </c>
      <c r="T289" s="7">
        <f>IF($D289='[2]Beam '!T$44,$P289*'[2]Beam '!T$45,0)</f>
        <v>0</v>
      </c>
      <c r="U289" s="7">
        <f>IF($D289='[2]Beam '!U$44,$P289*'[2]Beam '!U$45,0)</f>
        <v>0</v>
      </c>
      <c r="V289" s="7">
        <f>IF($D289='[2]Beam '!V$44,$P289*'[2]Beam '!V$45,0)</f>
        <v>0</v>
      </c>
      <c r="W289" s="7">
        <f>IF($D289='[2]Beam '!W$44,$P289*'[2]Beam '!W$45,0)</f>
        <v>0</v>
      </c>
      <c r="X289" s="7">
        <f t="shared" si="54"/>
        <v>1.8989105142857146</v>
      </c>
      <c r="Y289" s="7"/>
      <c r="Z289" s="7"/>
      <c r="AA289" s="7"/>
      <c r="AB289" s="7"/>
      <c r="AC289" s="7"/>
      <c r="AD289" s="7"/>
      <c r="AE289" s="7"/>
    </row>
    <row r="290" spans="1:32" s="9" customFormat="1" ht="20.100000000000001" customHeight="1" x14ac:dyDescent="0.25">
      <c r="A290" s="6"/>
      <c r="B290" s="10" t="s">
        <v>2</v>
      </c>
      <c r="C290" s="13" t="s">
        <v>6</v>
      </c>
      <c r="D290" s="7">
        <v>20</v>
      </c>
      <c r="E290" s="7"/>
      <c r="F290" s="7">
        <v>3</v>
      </c>
      <c r="G290" s="8">
        <f>VLOOKUP(D290,'[2]Beam '!$C$20:$H$26,3,0)</f>
        <v>0.8</v>
      </c>
      <c r="H290" s="7"/>
      <c r="I290" s="7"/>
      <c r="J290" s="7"/>
      <c r="K290" s="7"/>
      <c r="L290" s="7"/>
      <c r="M290" s="7"/>
      <c r="N290" s="7"/>
      <c r="O290" s="7">
        <f>(E286+1*(G290+(12*D290/1000))+1*(0.3/2))*D286</f>
        <v>2.56</v>
      </c>
      <c r="P290" s="7">
        <f t="shared" si="53"/>
        <v>7.68</v>
      </c>
      <c r="Q290" s="7">
        <f>IF($D290='[2]Beam '!Q$44,$P290*'[2]Beam '!Q$45,0)</f>
        <v>0</v>
      </c>
      <c r="R290" s="7">
        <f>IF($D290='[2]Beam '!R$44,$P290*'[2]Beam '!R$45,0)</f>
        <v>0</v>
      </c>
      <c r="S290" s="7">
        <f>IF($D290='[2]Beam '!S$44,$P290*'[2]Beam '!S$45,0)</f>
        <v>0</v>
      </c>
      <c r="T290" s="7">
        <f>IF($D290='[2]Beam '!T$44,$P290*'[2]Beam '!T$45,0)</f>
        <v>0</v>
      </c>
      <c r="U290" s="7">
        <f>IF($D290='[2]Beam '!U$44,$P290*'[2]Beam '!U$45,0)</f>
        <v>18.947657142857143</v>
      </c>
      <c r="V290" s="7">
        <f>IF($D290='[2]Beam '!V$44,$P290*'[2]Beam '!V$45,0)</f>
        <v>0</v>
      </c>
      <c r="W290" s="7">
        <f>IF($D290='[2]Beam '!W$44,$P290*'[2]Beam '!W$45,0)</f>
        <v>0</v>
      </c>
      <c r="X290" s="7">
        <f t="shared" si="54"/>
        <v>18.947657142857143</v>
      </c>
      <c r="Y290" s="7"/>
      <c r="Z290" s="7"/>
      <c r="AA290" s="7"/>
      <c r="AB290" s="7"/>
      <c r="AC290" s="7"/>
      <c r="AD290" s="7"/>
      <c r="AE290" s="7"/>
    </row>
    <row r="291" spans="1:32" s="14" customFormat="1" ht="20.100000000000001" customHeight="1" x14ac:dyDescent="0.3">
      <c r="A291" s="6"/>
      <c r="B291" s="10" t="s">
        <v>2</v>
      </c>
      <c r="C291" s="13" t="s">
        <v>13</v>
      </c>
      <c r="D291" s="7">
        <v>20</v>
      </c>
      <c r="E291" s="7"/>
      <c r="F291" s="7">
        <v>2</v>
      </c>
      <c r="G291" s="8">
        <f>VLOOKUP(D291,'[2]Beam '!$C$20:$H$26,3,0)</f>
        <v>0.8</v>
      </c>
      <c r="H291" s="7"/>
      <c r="I291" s="7"/>
      <c r="J291" s="7"/>
      <c r="K291" s="7"/>
      <c r="L291" s="7"/>
      <c r="M291" s="7"/>
      <c r="N291" s="7"/>
      <c r="O291" s="7">
        <f>(E286+1*(G291+(12*D291/1000))+1*(0.3/2))*D286</f>
        <v>2.56</v>
      </c>
      <c r="P291" s="7">
        <f t="shared" si="53"/>
        <v>5.12</v>
      </c>
      <c r="Q291" s="7">
        <f>IF($D291='[2]Beam '!Q$44,$P291*'[2]Beam '!Q$45,0)</f>
        <v>0</v>
      </c>
      <c r="R291" s="7">
        <f>IF($D291='[2]Beam '!R$44,$P291*'[2]Beam '!R$45,0)</f>
        <v>0</v>
      </c>
      <c r="S291" s="7">
        <f>IF($D291='[2]Beam '!S$44,$P291*'[2]Beam '!S$45,0)</f>
        <v>0</v>
      </c>
      <c r="T291" s="7">
        <f>IF($D291='[2]Beam '!T$44,$P291*'[2]Beam '!T$45,0)</f>
        <v>0</v>
      </c>
      <c r="U291" s="7">
        <f>IF($D291='[2]Beam '!U$44,$P291*'[2]Beam '!U$45,0)</f>
        <v>12.631771428571428</v>
      </c>
      <c r="V291" s="7">
        <f>IF($D291='[2]Beam '!V$44,$P291*'[2]Beam '!V$45,0)</f>
        <v>0</v>
      </c>
      <c r="W291" s="7">
        <f>IF($D291='[2]Beam '!W$44,$P291*'[2]Beam '!W$45,0)</f>
        <v>0</v>
      </c>
      <c r="X291" s="7">
        <f t="shared" si="54"/>
        <v>12.631771428571428</v>
      </c>
      <c r="Y291" s="7"/>
    </row>
    <row r="292" spans="1:32" s="9" customFormat="1" ht="20.100000000000001" customHeight="1" x14ac:dyDescent="0.25">
      <c r="A292" s="6"/>
      <c r="B292" s="10" t="s">
        <v>2</v>
      </c>
      <c r="C292" s="13" t="s">
        <v>26</v>
      </c>
      <c r="D292" s="7">
        <v>12</v>
      </c>
      <c r="E292" s="7">
        <v>0.1</v>
      </c>
      <c r="F292" s="7">
        <f>ROUNDUP(E286/E292,0)</f>
        <v>14</v>
      </c>
      <c r="H292" s="7"/>
      <c r="I292" s="7"/>
      <c r="J292" s="7"/>
      <c r="K292" s="7"/>
      <c r="L292" s="7"/>
      <c r="M292" s="7"/>
      <c r="N292" s="7"/>
      <c r="O292" s="7">
        <f>(2*((G286-(2*'[2]Beam '!$D$11))+(F286-(2*'[2]Beam '!$D$11)))+(2*10*D292/1000))*D286</f>
        <v>2.2000000000000002</v>
      </c>
      <c r="P292" s="7">
        <f t="shared" si="53"/>
        <v>30.800000000000004</v>
      </c>
      <c r="Q292" s="7">
        <f>IF($D292='[2]Beam '!Q$44,$P292*'[2]Beam '!Q$45,0)</f>
        <v>0</v>
      </c>
      <c r="R292" s="7">
        <f>IF($D292='[2]Beam '!R$44,$P292*'[2]Beam '!R$45,0)</f>
        <v>0</v>
      </c>
      <c r="S292" s="7">
        <f>IF($D292='[2]Beam '!S$44,$P292*'[2]Beam '!S$45,0)</f>
        <v>27.35568000000001</v>
      </c>
      <c r="T292" s="7">
        <f>IF($D292='[2]Beam '!T$44,$P292*'[2]Beam '!T$45,0)</f>
        <v>0</v>
      </c>
      <c r="U292" s="7">
        <f>IF($D292='[2]Beam '!U$44,$P292*'[2]Beam '!U$45,0)</f>
        <v>0</v>
      </c>
      <c r="V292" s="7">
        <f>IF($D292='[2]Beam '!V$44,$P292*'[2]Beam '!V$45,0)</f>
        <v>0</v>
      </c>
      <c r="W292" s="7">
        <f>IF($D292='[2]Beam '!W$44,$P292*'[2]Beam '!W$45,0)</f>
        <v>0</v>
      </c>
      <c r="X292" s="7">
        <f t="shared" si="54"/>
        <v>27.35568000000001</v>
      </c>
      <c r="Y292" s="7"/>
      <c r="Z292" s="7"/>
      <c r="AA292" s="7"/>
      <c r="AB292" s="7"/>
      <c r="AC292" s="7"/>
      <c r="AD292" s="7"/>
      <c r="AE292" s="7"/>
    </row>
    <row r="293" spans="1:32" s="9" customFormat="1" ht="21" customHeight="1" x14ac:dyDescent="0.25">
      <c r="A293" s="14"/>
      <c r="B293" s="10" t="s">
        <v>2</v>
      </c>
      <c r="C293" s="13" t="s">
        <v>47</v>
      </c>
      <c r="D293" s="7">
        <f>+D292</f>
        <v>12</v>
      </c>
      <c r="E293" s="14">
        <f>+E292</f>
        <v>0.1</v>
      </c>
      <c r="F293" s="7">
        <f>ROUNDUP(E286/E293,0)</f>
        <v>14</v>
      </c>
      <c r="H293" s="14"/>
      <c r="I293" s="14"/>
      <c r="J293" s="14"/>
      <c r="K293" s="14"/>
      <c r="L293" s="14"/>
      <c r="M293" s="14"/>
      <c r="N293" s="14"/>
      <c r="O293" s="7">
        <f>((((G286-(2*'[2]Beam '!$D$11))+(2*10*D293/1000))*D286))</f>
        <v>0.98</v>
      </c>
      <c r="P293" s="7">
        <f t="shared" si="53"/>
        <v>13.719999999999999</v>
      </c>
      <c r="Q293" s="7">
        <f>IF($D293='[2]Beam '!Q$44,$P293*'[2]Beam '!Q$45,0)</f>
        <v>0</v>
      </c>
      <c r="R293" s="7">
        <f>IF($D293='[2]Beam '!R$44,$P293*'[2]Beam '!R$45,0)</f>
        <v>0</v>
      </c>
      <c r="S293" s="7">
        <f>IF($D293='[2]Beam '!S$44,$P293*'[2]Beam '!S$45,0)</f>
        <v>12.185712000000001</v>
      </c>
      <c r="T293" s="7">
        <f>IF($D293='[2]Beam '!T$44,$P293*'[2]Beam '!T$45,0)</f>
        <v>0</v>
      </c>
      <c r="U293" s="7">
        <f>IF($D293='[2]Beam '!U$44,$P293*'[2]Beam '!U$45,0)</f>
        <v>0</v>
      </c>
      <c r="V293" s="7">
        <f>IF($D293='[2]Beam '!V$44,$P293*'[2]Beam '!V$45,0)</f>
        <v>0</v>
      </c>
      <c r="W293" s="7">
        <f>IF($D293='[2]Beam '!W$44,$P293*'[2]Beam '!W$45,0)</f>
        <v>0</v>
      </c>
      <c r="X293" s="7">
        <f t="shared" si="54"/>
        <v>12.185712000000001</v>
      </c>
      <c r="Y293" s="14"/>
      <c r="Z293" s="7"/>
      <c r="AA293" s="7"/>
      <c r="AB293" s="7"/>
      <c r="AC293" s="7"/>
      <c r="AD293" s="7"/>
      <c r="AE293" s="7"/>
      <c r="AF293" s="7"/>
    </row>
    <row r="294" spans="1:32" s="9" customFormat="1" ht="20.100000000000001" customHeight="1" x14ac:dyDescent="0.25">
      <c r="A294" s="6"/>
      <c r="B294" s="10" t="s">
        <v>2</v>
      </c>
      <c r="C294" s="13" t="s">
        <v>11</v>
      </c>
      <c r="D294" s="7">
        <f>+'[2]Beam '!$D$15</f>
        <v>25</v>
      </c>
      <c r="E294" s="7">
        <f>+'[2]Beam '!$E$15</f>
        <v>1</v>
      </c>
      <c r="F294" s="7">
        <f>ROUNDUP((0.45+E286)/E294,0)</f>
        <v>2</v>
      </c>
      <c r="G294" s="8"/>
      <c r="H294" s="8"/>
      <c r="I294" s="7"/>
      <c r="J294" s="7"/>
      <c r="K294" s="7"/>
      <c r="L294" s="7"/>
      <c r="M294" s="7"/>
      <c r="N294" s="7"/>
      <c r="O294" s="7">
        <f>F286-'[2]Beam '!$F$15</f>
        <v>0.24</v>
      </c>
      <c r="P294" s="7">
        <f t="shared" si="53"/>
        <v>0.48</v>
      </c>
      <c r="Q294" s="7">
        <f>IF($D294='[2]Beam '!Q$44,$P294*'[2]Beam '!Q$45,0)</f>
        <v>0</v>
      </c>
      <c r="R294" s="7">
        <f>IF($D294='[2]Beam '!R$44,$P294*'[2]Beam '!R$45,0)</f>
        <v>0</v>
      </c>
      <c r="S294" s="7">
        <f>IF($D294='[2]Beam '!S$44,$P294*'[2]Beam '!S$45,0)</f>
        <v>0</v>
      </c>
      <c r="T294" s="7">
        <f>IF($D294='[2]Beam '!T$44,$P294*'[2]Beam '!T$45,0)</f>
        <v>0</v>
      </c>
      <c r="U294" s="7">
        <f>IF($D294='[2]Beam '!U$44,$P294*'[2]Beam '!U$45,0)</f>
        <v>0</v>
      </c>
      <c r="V294" s="7">
        <f>IF($D294='[2]Beam '!V$44,$P294*'[2]Beam '!V$45,0)</f>
        <v>1.850357142857143</v>
      </c>
      <c r="W294" s="7">
        <f>IF($D294='[2]Beam '!W$44,$P294*'[2]Beam '!W$45,0)</f>
        <v>0</v>
      </c>
      <c r="X294" s="7">
        <f t="shared" si="54"/>
        <v>1.850357142857143</v>
      </c>
      <c r="Y294" s="7"/>
      <c r="Z294" s="7"/>
      <c r="AA294" s="7"/>
      <c r="AB294" s="7"/>
      <c r="AC294" s="7"/>
      <c r="AD294" s="7"/>
      <c r="AE294" s="7"/>
    </row>
    <row r="295" spans="1:32" s="9" customFormat="1" ht="20.100000000000001" customHeight="1" x14ac:dyDescent="0.25">
      <c r="A295" s="7">
        <v>1</v>
      </c>
      <c r="B295" s="10" t="s">
        <v>2</v>
      </c>
      <c r="C295" s="11" t="s">
        <v>53</v>
      </c>
      <c r="D295" s="11">
        <v>1</v>
      </c>
      <c r="E295" s="11">
        <v>2.5990000000000002</v>
      </c>
      <c r="F295" s="11">
        <v>0.3</v>
      </c>
      <c r="G295" s="11">
        <v>1.1000000000000001</v>
      </c>
      <c r="H295" s="7">
        <f>G295-0.2</f>
        <v>0.90000000000000013</v>
      </c>
      <c r="I295" s="7">
        <f>E295*F295*G295*D295</f>
        <v>0.85767000000000015</v>
      </c>
      <c r="J295" s="7">
        <f>(2*(E295)*H295*D295)+(E295*F295)</f>
        <v>5.4579000000000013</v>
      </c>
      <c r="K295" s="12">
        <f>IF(E295=0.3,J295,0)</f>
        <v>0</v>
      </c>
      <c r="L295" s="12">
        <f>IF(AND(E295&gt;0.3,E295&lt;=0.75),J295,0)</f>
        <v>0</v>
      </c>
      <c r="M295" s="12">
        <f>IF(AND(E295&gt;0.75,E295&lt;=1.2),J295,0)</f>
        <v>0</v>
      </c>
      <c r="N295" s="12">
        <f>IF(E295&gt;1.2,J295,0)</f>
        <v>5.4579000000000013</v>
      </c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>
        <f>SUM(X296:X300)/I295</f>
        <v>189.00393466351528</v>
      </c>
      <c r="Z295" s="7"/>
      <c r="AA295" s="7"/>
      <c r="AB295" s="7"/>
      <c r="AC295" s="7"/>
      <c r="AD295" s="7"/>
      <c r="AE295" s="7"/>
    </row>
    <row r="296" spans="1:32" s="9" customFormat="1" ht="20.100000000000001" customHeight="1" x14ac:dyDescent="0.25">
      <c r="A296" s="6"/>
      <c r="B296" s="10" t="s">
        <v>2</v>
      </c>
      <c r="C296" s="13" t="s">
        <v>4</v>
      </c>
      <c r="D296" s="7">
        <v>25</v>
      </c>
      <c r="E296" s="7"/>
      <c r="F296" s="7">
        <v>2</v>
      </c>
      <c r="G296" s="8">
        <f>VLOOKUP(D296,'[2]Beam '!$C$20:$H$26,3,0)</f>
        <v>1</v>
      </c>
      <c r="H296" s="8"/>
      <c r="I296" s="7"/>
      <c r="J296" s="7"/>
      <c r="K296" s="7"/>
      <c r="L296" s="7"/>
      <c r="M296" s="7"/>
      <c r="N296" s="7"/>
      <c r="O296" s="7">
        <f>(E295+1*(G296+(12*D296/1000)))+1*(G296)*D295</f>
        <v>4.899</v>
      </c>
      <c r="P296" s="7">
        <f t="shared" ref="P296:P301" si="55">O296*F296</f>
        <v>9.798</v>
      </c>
      <c r="Q296" s="7">
        <f>IF($D296='[2]Beam '!Q$44,$P296*'[2]Beam '!Q$45,0)</f>
        <v>0</v>
      </c>
      <c r="R296" s="7">
        <f>IF($D296='[2]Beam '!R$44,$P296*'[2]Beam '!R$45,0)</f>
        <v>0</v>
      </c>
      <c r="S296" s="7">
        <f>IF($D296='[2]Beam '!S$44,$P296*'[2]Beam '!S$45,0)</f>
        <v>0</v>
      </c>
      <c r="T296" s="7">
        <f>IF($D296='[2]Beam '!T$44,$P296*'[2]Beam '!T$45,0)</f>
        <v>0</v>
      </c>
      <c r="U296" s="7">
        <f>IF($D296='[2]Beam '!U$44,$P296*'[2]Beam '!U$45,0)</f>
        <v>0</v>
      </c>
      <c r="V296" s="7">
        <f>IF($D296='[2]Beam '!V$44,$P296*'[2]Beam '!V$45,0)</f>
        <v>37.770415178571433</v>
      </c>
      <c r="W296" s="7">
        <f>IF($D296='[2]Beam '!W$44,$P296*'[2]Beam '!W$45,0)</f>
        <v>0</v>
      </c>
      <c r="X296" s="7">
        <f t="shared" ref="X296:X301" si="56">SUM(Q296:W296)</f>
        <v>37.770415178571433</v>
      </c>
      <c r="Y296" s="7"/>
      <c r="Z296" s="7"/>
      <c r="AA296" s="7"/>
      <c r="AB296" s="7"/>
      <c r="AC296" s="7"/>
      <c r="AD296" s="7"/>
      <c r="AE296" s="7"/>
    </row>
    <row r="297" spans="1:32" s="9" customFormat="1" ht="20.100000000000001" customHeight="1" x14ac:dyDescent="0.25">
      <c r="A297" s="6"/>
      <c r="B297" s="10" t="s">
        <v>2</v>
      </c>
      <c r="C297" s="13" t="s">
        <v>4</v>
      </c>
      <c r="D297" s="7">
        <v>20</v>
      </c>
      <c r="E297" s="7"/>
      <c r="F297" s="7">
        <v>1</v>
      </c>
      <c r="G297" s="8">
        <f>VLOOKUP(D297,'[2]Beam '!$C$20:$H$26,3,0)</f>
        <v>0.8</v>
      </c>
      <c r="H297" s="8"/>
      <c r="I297" s="7"/>
      <c r="J297" s="7"/>
      <c r="K297" s="7"/>
      <c r="L297" s="7"/>
      <c r="M297" s="7"/>
      <c r="N297" s="7"/>
      <c r="O297" s="7">
        <f>(E295+1*(G297+(12*D297/1000)))+1*(G297)*D295</f>
        <v>4.4390000000000001</v>
      </c>
      <c r="P297" s="7">
        <f t="shared" si="55"/>
        <v>4.4390000000000001</v>
      </c>
      <c r="Q297" s="7">
        <f>IF($D297='[2]Beam '!Q$44,$P297*'[2]Beam '!Q$45,0)</f>
        <v>0</v>
      </c>
      <c r="R297" s="7">
        <f>IF($D297='[2]Beam '!R$44,$P297*'[2]Beam '!R$45,0)</f>
        <v>0</v>
      </c>
      <c r="S297" s="7">
        <f>IF($D297='[2]Beam '!S$44,$P297*'[2]Beam '!S$45,0)</f>
        <v>0</v>
      </c>
      <c r="T297" s="7">
        <f>IF($D297='[2]Beam '!T$44,$P297*'[2]Beam '!T$45,0)</f>
        <v>0</v>
      </c>
      <c r="U297" s="7">
        <f>IF($D297='[2]Beam '!U$44,$P297*'[2]Beam '!U$45,0)</f>
        <v>10.951647142857142</v>
      </c>
      <c r="V297" s="7">
        <f>IF($D297='[2]Beam '!V$44,$P297*'[2]Beam '!V$45,0)</f>
        <v>0</v>
      </c>
      <c r="W297" s="7">
        <f>IF($D297='[2]Beam '!W$44,$P297*'[2]Beam '!W$45,0)</f>
        <v>0</v>
      </c>
      <c r="X297" s="7">
        <f t="shared" si="56"/>
        <v>10.951647142857142</v>
      </c>
      <c r="Y297" s="7"/>
      <c r="Z297" s="7"/>
      <c r="AA297" s="7"/>
      <c r="AB297" s="7"/>
      <c r="AC297" s="7"/>
      <c r="AD297" s="7"/>
      <c r="AE297" s="7"/>
    </row>
    <row r="298" spans="1:32" s="9" customFormat="1" ht="20.100000000000001" customHeight="1" x14ac:dyDescent="0.25">
      <c r="A298" s="6"/>
      <c r="B298" s="10" t="s">
        <v>2</v>
      </c>
      <c r="C298" s="13" t="s">
        <v>6</v>
      </c>
      <c r="D298" s="7">
        <v>25</v>
      </c>
      <c r="E298" s="7"/>
      <c r="F298" s="7">
        <v>2</v>
      </c>
      <c r="G298" s="8">
        <f>VLOOKUP(D298,'[2]Beam '!$C$20:$H$26,3,0)</f>
        <v>1</v>
      </c>
      <c r="H298" s="7"/>
      <c r="I298" s="7"/>
      <c r="J298" s="7"/>
      <c r="K298" s="7"/>
      <c r="L298" s="7"/>
      <c r="M298" s="7"/>
      <c r="N298" s="7"/>
      <c r="O298" s="7">
        <f>(E295+1*(G298+(12*D298/1000))+1*(G298))*D295</f>
        <v>4.899</v>
      </c>
      <c r="P298" s="7">
        <f t="shared" si="55"/>
        <v>9.798</v>
      </c>
      <c r="Q298" s="7">
        <f>IF($D298='[2]Beam '!Q$44,$P298*'[2]Beam '!Q$45,0)</f>
        <v>0</v>
      </c>
      <c r="R298" s="7">
        <f>IF($D298='[2]Beam '!R$44,$P298*'[2]Beam '!R$45,0)</f>
        <v>0</v>
      </c>
      <c r="S298" s="7">
        <f>IF($D298='[2]Beam '!S$44,$P298*'[2]Beam '!S$45,0)</f>
        <v>0</v>
      </c>
      <c r="T298" s="7">
        <f>IF($D298='[2]Beam '!T$44,$P298*'[2]Beam '!T$45,0)</f>
        <v>0</v>
      </c>
      <c r="U298" s="7">
        <f>IF($D298='[2]Beam '!U$44,$P298*'[2]Beam '!U$45,0)</f>
        <v>0</v>
      </c>
      <c r="V298" s="7">
        <f>IF($D298='[2]Beam '!V$44,$P298*'[2]Beam '!V$45,0)</f>
        <v>37.770415178571433</v>
      </c>
      <c r="W298" s="7">
        <f>IF($D298='[2]Beam '!W$44,$P298*'[2]Beam '!W$45,0)</f>
        <v>0</v>
      </c>
      <c r="X298" s="7">
        <f t="shared" si="56"/>
        <v>37.770415178571433</v>
      </c>
      <c r="Y298" s="7"/>
      <c r="Z298" s="7"/>
      <c r="AA298" s="7"/>
      <c r="AB298" s="7"/>
      <c r="AC298" s="7"/>
      <c r="AD298" s="7"/>
      <c r="AE298" s="7"/>
    </row>
    <row r="299" spans="1:32" s="9" customFormat="1" ht="20.100000000000001" customHeight="1" x14ac:dyDescent="0.25">
      <c r="A299" s="6"/>
      <c r="B299" s="10" t="s">
        <v>2</v>
      </c>
      <c r="C299" s="13" t="s">
        <v>6</v>
      </c>
      <c r="D299" s="7">
        <v>20</v>
      </c>
      <c r="E299" s="7"/>
      <c r="F299" s="7">
        <v>1</v>
      </c>
      <c r="G299" s="8">
        <f>VLOOKUP(D299,'[2]Beam '!$C$20:$H$26,3,0)</f>
        <v>0.8</v>
      </c>
      <c r="H299" s="7"/>
      <c r="I299" s="7"/>
      <c r="J299" s="7"/>
      <c r="K299" s="7"/>
      <c r="L299" s="7"/>
      <c r="M299" s="7"/>
      <c r="N299" s="7"/>
      <c r="O299" s="7">
        <f>(E295+1*(G299+(12*D299/1000))+1*(G299))*D295</f>
        <v>4.4390000000000001</v>
      </c>
      <c r="P299" s="7">
        <f t="shared" si="55"/>
        <v>4.4390000000000001</v>
      </c>
      <c r="Q299" s="7">
        <f>IF($D299='[2]Beam '!Q$44,$P299*'[2]Beam '!Q$45,0)</f>
        <v>0</v>
      </c>
      <c r="R299" s="7">
        <f>IF($D299='[2]Beam '!R$44,$P299*'[2]Beam '!R$45,0)</f>
        <v>0</v>
      </c>
      <c r="S299" s="7">
        <f>IF($D299='[2]Beam '!S$44,$P299*'[2]Beam '!S$45,0)</f>
        <v>0</v>
      </c>
      <c r="T299" s="7">
        <f>IF($D299='[2]Beam '!T$44,$P299*'[2]Beam '!T$45,0)</f>
        <v>0</v>
      </c>
      <c r="U299" s="7">
        <f>IF($D299='[2]Beam '!U$44,$P299*'[2]Beam '!U$45,0)</f>
        <v>10.951647142857142</v>
      </c>
      <c r="V299" s="7">
        <f>IF($D299='[2]Beam '!V$44,$P299*'[2]Beam '!V$45,0)</f>
        <v>0</v>
      </c>
      <c r="W299" s="7">
        <f>IF($D299='[2]Beam '!W$44,$P299*'[2]Beam '!W$45,0)</f>
        <v>0</v>
      </c>
      <c r="X299" s="7">
        <f t="shared" si="56"/>
        <v>10.951647142857142</v>
      </c>
      <c r="Y299" s="7"/>
      <c r="Z299" s="7"/>
      <c r="AA299" s="7"/>
      <c r="AB299" s="7"/>
      <c r="AC299" s="7"/>
      <c r="AD299" s="7"/>
      <c r="AE299" s="7"/>
    </row>
    <row r="300" spans="1:32" s="9" customFormat="1" ht="21" customHeight="1" x14ac:dyDescent="0.25">
      <c r="A300" s="6"/>
      <c r="B300" s="10" t="s">
        <v>2</v>
      </c>
      <c r="C300" s="13" t="s">
        <v>26</v>
      </c>
      <c r="D300" s="7">
        <v>12</v>
      </c>
      <c r="E300" s="7">
        <v>0.1</v>
      </c>
      <c r="F300" s="7">
        <f>ROUNDUP(E295/E300,0)</f>
        <v>26</v>
      </c>
      <c r="H300" s="7"/>
      <c r="I300" s="7"/>
      <c r="J300" s="7"/>
      <c r="K300" s="7"/>
      <c r="L300" s="7"/>
      <c r="M300" s="7"/>
      <c r="N300" s="7"/>
      <c r="O300" s="7">
        <f>(2*((G295-(2*'[2]Beam '!$D$11))+(F295-(2*'[2]Beam '!$D$11)))+(2*10*D300/1000))*D295</f>
        <v>2.8</v>
      </c>
      <c r="P300" s="7">
        <f t="shared" si="55"/>
        <v>72.8</v>
      </c>
      <c r="Q300" s="7">
        <f>IF($D300='[2]Beam '!Q$44,$P300*'[2]Beam '!Q$45,0)</f>
        <v>0</v>
      </c>
      <c r="R300" s="7">
        <f>IF($D300='[2]Beam '!R$44,$P300*'[2]Beam '!R$45,0)</f>
        <v>0</v>
      </c>
      <c r="S300" s="7">
        <f>IF($D300='[2]Beam '!S$44,$P300*'[2]Beam '!S$45,0)</f>
        <v>64.658880000000011</v>
      </c>
      <c r="T300" s="7">
        <f>IF($D300='[2]Beam '!T$44,$P300*'[2]Beam '!T$45,0)</f>
        <v>0</v>
      </c>
      <c r="U300" s="7">
        <f>IF($D300='[2]Beam '!U$44,$P300*'[2]Beam '!U$45,0)</f>
        <v>0</v>
      </c>
      <c r="V300" s="7">
        <f>IF($D300='[2]Beam '!V$44,$P300*'[2]Beam '!V$45,0)</f>
        <v>0</v>
      </c>
      <c r="W300" s="7">
        <f>IF($D300='[2]Beam '!W$44,$P300*'[2]Beam '!W$45,0)</f>
        <v>0</v>
      </c>
      <c r="X300" s="7">
        <f t="shared" si="56"/>
        <v>64.658880000000011</v>
      </c>
      <c r="Y300" s="7"/>
      <c r="Z300" s="7"/>
      <c r="AA300" s="7"/>
      <c r="AB300" s="7"/>
      <c r="AC300" s="7"/>
      <c r="AD300" s="7"/>
      <c r="AE300" s="7"/>
      <c r="AF300" s="7"/>
    </row>
    <row r="301" spans="1:32" s="9" customFormat="1" ht="20.100000000000001" customHeight="1" x14ac:dyDescent="0.25">
      <c r="A301" s="6"/>
      <c r="B301" s="10" t="s">
        <v>2</v>
      </c>
      <c r="C301" s="13" t="s">
        <v>11</v>
      </c>
      <c r="D301" s="7">
        <f>+'[2]Beam '!$D$15</f>
        <v>25</v>
      </c>
      <c r="E301" s="7">
        <f>+'[2]Beam '!$E$15</f>
        <v>1</v>
      </c>
      <c r="F301" s="7">
        <f>ROUNDUP((0.45+E295)/E301,0)</f>
        <v>4</v>
      </c>
      <c r="G301" s="8"/>
      <c r="H301" s="8"/>
      <c r="I301" s="7"/>
      <c r="J301" s="7"/>
      <c r="K301" s="7"/>
      <c r="L301" s="7"/>
      <c r="M301" s="7"/>
      <c r="N301" s="7"/>
      <c r="O301" s="7">
        <f>F295-'[2]Beam '!$F$15</f>
        <v>0.24</v>
      </c>
      <c r="P301" s="7">
        <f t="shared" si="55"/>
        <v>0.96</v>
      </c>
      <c r="Q301" s="7">
        <f>IF($D301='[2]Beam '!Q$44,$P301*'[2]Beam '!Q$45,0)</f>
        <v>0</v>
      </c>
      <c r="R301" s="7">
        <f>IF($D301='[2]Beam '!R$44,$P301*'[2]Beam '!R$45,0)</f>
        <v>0</v>
      </c>
      <c r="S301" s="7">
        <f>IF($D301='[2]Beam '!S$44,$P301*'[2]Beam '!S$45,0)</f>
        <v>0</v>
      </c>
      <c r="T301" s="7">
        <f>IF($D301='[2]Beam '!T$44,$P301*'[2]Beam '!T$45,0)</f>
        <v>0</v>
      </c>
      <c r="U301" s="7">
        <f>IF($D301='[2]Beam '!U$44,$P301*'[2]Beam '!U$45,0)</f>
        <v>0</v>
      </c>
      <c r="V301" s="7">
        <f>IF($D301='[2]Beam '!V$44,$P301*'[2]Beam '!V$45,0)</f>
        <v>3.7007142857142861</v>
      </c>
      <c r="W301" s="7">
        <f>IF($D301='[2]Beam '!W$44,$P301*'[2]Beam '!W$45,0)</f>
        <v>0</v>
      </c>
      <c r="X301" s="7">
        <f t="shared" si="56"/>
        <v>3.7007142857142861</v>
      </c>
      <c r="Y301" s="7"/>
      <c r="Z301" s="7"/>
      <c r="AA301" s="7"/>
      <c r="AB301" s="7"/>
      <c r="AC301" s="7"/>
      <c r="AD301" s="7"/>
      <c r="AE301" s="7"/>
    </row>
    <row r="302" spans="1:32" s="9" customFormat="1" ht="20.100000000000001" customHeight="1" x14ac:dyDescent="0.25">
      <c r="A302" s="7">
        <v>1</v>
      </c>
      <c r="B302" s="10" t="s">
        <v>2</v>
      </c>
      <c r="C302" s="11" t="s">
        <v>54</v>
      </c>
      <c r="D302" s="11">
        <v>1</v>
      </c>
      <c r="E302" s="11">
        <v>6.1989999999999998</v>
      </c>
      <c r="F302" s="11">
        <v>0.3</v>
      </c>
      <c r="G302" s="11">
        <v>1.1000000000000001</v>
      </c>
      <c r="H302" s="7">
        <f>G302-0.2</f>
        <v>0.90000000000000013</v>
      </c>
      <c r="I302" s="7">
        <f>E302*F302*G302*D302</f>
        <v>2.0456699999999999</v>
      </c>
      <c r="J302" s="7">
        <f>(2*(E302)*H302*D302)+(E302*F302)</f>
        <v>13.017900000000001</v>
      </c>
      <c r="K302" s="12">
        <f>IF(E302=0.3,J302,0)</f>
        <v>0</v>
      </c>
      <c r="L302" s="12">
        <f>IF(AND(E302&gt;0.3,E302&lt;=0.75),J302,0)</f>
        <v>0</v>
      </c>
      <c r="M302" s="12">
        <f>IF(AND(E302&gt;0.75,E302&lt;=1.2),J302,0)</f>
        <v>0</v>
      </c>
      <c r="N302" s="12">
        <f>IF(E302&gt;1.2,J302,0)</f>
        <v>13.017900000000001</v>
      </c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>
        <f>SUM(X303:X307)/I302</f>
        <v>132.20730494165727</v>
      </c>
      <c r="Z302" s="7"/>
      <c r="AA302" s="7"/>
      <c r="AB302" s="7"/>
      <c r="AC302" s="7"/>
      <c r="AD302" s="7"/>
      <c r="AE302" s="7"/>
    </row>
    <row r="303" spans="1:32" s="9" customFormat="1" ht="20.100000000000001" customHeight="1" x14ac:dyDescent="0.25">
      <c r="A303" s="6"/>
      <c r="B303" s="10" t="s">
        <v>2</v>
      </c>
      <c r="C303" s="13" t="s">
        <v>4</v>
      </c>
      <c r="D303" s="7">
        <v>25</v>
      </c>
      <c r="E303" s="7"/>
      <c r="F303" s="7">
        <v>2</v>
      </c>
      <c r="G303" s="8">
        <f>VLOOKUP(D303,'[2]Beam '!$C$20:$H$26,3,0)</f>
        <v>1</v>
      </c>
      <c r="H303" s="8"/>
      <c r="I303" s="7"/>
      <c r="J303" s="7"/>
      <c r="K303" s="7"/>
      <c r="L303" s="7"/>
      <c r="M303" s="7"/>
      <c r="N303" s="7"/>
      <c r="O303" s="7">
        <f>(E302+2*(G303)*D302)</f>
        <v>8.1989999999999998</v>
      </c>
      <c r="P303" s="7">
        <f t="shared" ref="P303:P308" si="57">O303*F303</f>
        <v>16.398</v>
      </c>
      <c r="Q303" s="7">
        <f>IF($D303='[2]Beam '!Q$44,$P303*'[2]Beam '!Q$45,0)</f>
        <v>0</v>
      </c>
      <c r="R303" s="7">
        <f>IF($D303='[2]Beam '!R$44,$P303*'[2]Beam '!R$45,0)</f>
        <v>0</v>
      </c>
      <c r="S303" s="7">
        <f>IF($D303='[2]Beam '!S$44,$P303*'[2]Beam '!S$45,0)</f>
        <v>0</v>
      </c>
      <c r="T303" s="7">
        <f>IF($D303='[2]Beam '!T$44,$P303*'[2]Beam '!T$45,0)</f>
        <v>0</v>
      </c>
      <c r="U303" s="7">
        <f>IF($D303='[2]Beam '!U$44,$P303*'[2]Beam '!U$45,0)</f>
        <v>0</v>
      </c>
      <c r="V303" s="7">
        <f>IF($D303='[2]Beam '!V$44,$P303*'[2]Beam '!V$45,0)</f>
        <v>63.212825892857154</v>
      </c>
      <c r="W303" s="7">
        <f>IF($D303='[2]Beam '!W$44,$P303*'[2]Beam '!W$45,0)</f>
        <v>0</v>
      </c>
      <c r="X303" s="7">
        <f t="shared" ref="X303:X308" si="58">SUM(Q303:W303)</f>
        <v>63.212825892857154</v>
      </c>
      <c r="Y303" s="7"/>
      <c r="Z303" s="7"/>
      <c r="AA303" s="7"/>
      <c r="AB303" s="7"/>
      <c r="AC303" s="7"/>
      <c r="AD303" s="7"/>
      <c r="AE303" s="7"/>
    </row>
    <row r="304" spans="1:32" s="9" customFormat="1" ht="20.100000000000001" customHeight="1" x14ac:dyDescent="0.25">
      <c r="A304" s="6"/>
      <c r="B304" s="10" t="s">
        <v>2</v>
      </c>
      <c r="C304" s="13" t="s">
        <v>4</v>
      </c>
      <c r="D304" s="7">
        <v>20</v>
      </c>
      <c r="E304" s="7"/>
      <c r="F304" s="7">
        <v>1</v>
      </c>
      <c r="G304" s="8">
        <f>VLOOKUP(D304,'[2]Beam '!$C$20:$H$26,3,0)</f>
        <v>0.8</v>
      </c>
      <c r="H304" s="8"/>
      <c r="I304" s="7"/>
      <c r="J304" s="7"/>
      <c r="K304" s="7"/>
      <c r="L304" s="7"/>
      <c r="M304" s="7"/>
      <c r="N304" s="7"/>
      <c r="O304" s="7">
        <f>(E302+2*(G304)*D302)</f>
        <v>7.7989999999999995</v>
      </c>
      <c r="P304" s="7">
        <f t="shared" si="57"/>
        <v>7.7989999999999995</v>
      </c>
      <c r="Q304" s="7">
        <f>IF($D304='[2]Beam '!Q$44,$P304*'[2]Beam '!Q$45,0)</f>
        <v>0</v>
      </c>
      <c r="R304" s="7">
        <f>IF($D304='[2]Beam '!R$44,$P304*'[2]Beam '!R$45,0)</f>
        <v>0</v>
      </c>
      <c r="S304" s="7">
        <f>IF($D304='[2]Beam '!S$44,$P304*'[2]Beam '!S$45,0)</f>
        <v>0</v>
      </c>
      <c r="T304" s="7">
        <f>IF($D304='[2]Beam '!T$44,$P304*'[2]Beam '!T$45,0)</f>
        <v>0</v>
      </c>
      <c r="U304" s="7">
        <f>IF($D304='[2]Beam '!U$44,$P304*'[2]Beam '!U$45,0)</f>
        <v>19.241247142857141</v>
      </c>
      <c r="V304" s="7">
        <f>IF($D304='[2]Beam '!V$44,$P304*'[2]Beam '!V$45,0)</f>
        <v>0</v>
      </c>
      <c r="W304" s="7">
        <f>IF($D304='[2]Beam '!W$44,$P304*'[2]Beam '!W$45,0)</f>
        <v>0</v>
      </c>
      <c r="X304" s="7">
        <f t="shared" si="58"/>
        <v>19.241247142857141</v>
      </c>
      <c r="Y304" s="7"/>
      <c r="Z304" s="7"/>
      <c r="AA304" s="7"/>
      <c r="AB304" s="7"/>
      <c r="AC304" s="7"/>
      <c r="AD304" s="7"/>
      <c r="AE304" s="7"/>
    </row>
    <row r="305" spans="1:32" s="9" customFormat="1" ht="20.100000000000001" customHeight="1" x14ac:dyDescent="0.25">
      <c r="A305" s="6"/>
      <c r="B305" s="10" t="s">
        <v>2</v>
      </c>
      <c r="C305" s="13" t="s">
        <v>6</v>
      </c>
      <c r="D305" s="7">
        <v>25</v>
      </c>
      <c r="E305" s="7"/>
      <c r="F305" s="7">
        <v>2</v>
      </c>
      <c r="G305" s="8">
        <f>VLOOKUP(D305,'[2]Beam '!$C$20:$H$26,3,0)</f>
        <v>1</v>
      </c>
      <c r="H305" s="7"/>
      <c r="I305" s="7"/>
      <c r="J305" s="7"/>
      <c r="K305" s="7"/>
      <c r="L305" s="7"/>
      <c r="M305" s="7"/>
      <c r="N305" s="7"/>
      <c r="O305" s="7">
        <f>(E302+2*(G305)*D302)</f>
        <v>8.1989999999999998</v>
      </c>
      <c r="P305" s="7">
        <f t="shared" si="57"/>
        <v>16.398</v>
      </c>
      <c r="Q305" s="7">
        <f>IF($D305='[2]Beam '!Q$44,$P305*'[2]Beam '!Q$45,0)</f>
        <v>0</v>
      </c>
      <c r="R305" s="7">
        <f>IF($D305='[2]Beam '!R$44,$P305*'[2]Beam '!R$45,0)</f>
        <v>0</v>
      </c>
      <c r="S305" s="7">
        <f>IF($D305='[2]Beam '!S$44,$P305*'[2]Beam '!S$45,0)</f>
        <v>0</v>
      </c>
      <c r="T305" s="7">
        <f>IF($D305='[2]Beam '!T$44,$P305*'[2]Beam '!T$45,0)</f>
        <v>0</v>
      </c>
      <c r="U305" s="7">
        <f>IF($D305='[2]Beam '!U$44,$P305*'[2]Beam '!U$45,0)</f>
        <v>0</v>
      </c>
      <c r="V305" s="7">
        <f>IF($D305='[2]Beam '!V$44,$P305*'[2]Beam '!V$45,0)</f>
        <v>63.212825892857154</v>
      </c>
      <c r="W305" s="7">
        <f>IF($D305='[2]Beam '!W$44,$P305*'[2]Beam '!W$45,0)</f>
        <v>0</v>
      </c>
      <c r="X305" s="7">
        <f t="shared" si="58"/>
        <v>63.212825892857154</v>
      </c>
      <c r="Y305" s="7"/>
      <c r="Z305" s="7"/>
      <c r="AA305" s="7"/>
      <c r="AB305" s="7"/>
      <c r="AC305" s="7"/>
      <c r="AD305" s="7"/>
      <c r="AE305" s="7"/>
    </row>
    <row r="306" spans="1:32" s="9" customFormat="1" ht="20.100000000000001" customHeight="1" x14ac:dyDescent="0.25">
      <c r="A306" s="6"/>
      <c r="B306" s="10" t="s">
        <v>2</v>
      </c>
      <c r="C306" s="13" t="s">
        <v>6</v>
      </c>
      <c r="D306" s="7">
        <v>20</v>
      </c>
      <c r="E306" s="7"/>
      <c r="F306" s="7">
        <v>1</v>
      </c>
      <c r="G306" s="8">
        <f>VLOOKUP(D306,'[2]Beam '!$C$20:$H$26,3,0)</f>
        <v>0.8</v>
      </c>
      <c r="H306" s="7"/>
      <c r="I306" s="7"/>
      <c r="J306" s="7"/>
      <c r="K306" s="7"/>
      <c r="L306" s="7"/>
      <c r="M306" s="7"/>
      <c r="N306" s="7"/>
      <c r="O306" s="7">
        <f>(E302+2*(G306)*D302)</f>
        <v>7.7989999999999995</v>
      </c>
      <c r="P306" s="7">
        <f t="shared" si="57"/>
        <v>7.7989999999999995</v>
      </c>
      <c r="Q306" s="7">
        <f>IF($D306='[2]Beam '!Q$44,$P306*'[2]Beam '!Q$45,0)</f>
        <v>0</v>
      </c>
      <c r="R306" s="7">
        <f>IF($D306='[2]Beam '!R$44,$P306*'[2]Beam '!R$45,0)</f>
        <v>0</v>
      </c>
      <c r="S306" s="7">
        <f>IF($D306='[2]Beam '!S$44,$P306*'[2]Beam '!S$45,0)</f>
        <v>0</v>
      </c>
      <c r="T306" s="7">
        <f>IF($D306='[2]Beam '!T$44,$P306*'[2]Beam '!T$45,0)</f>
        <v>0</v>
      </c>
      <c r="U306" s="7">
        <f>IF($D306='[2]Beam '!U$44,$P306*'[2]Beam '!U$45,0)</f>
        <v>19.241247142857141</v>
      </c>
      <c r="V306" s="7">
        <f>IF($D306='[2]Beam '!V$44,$P306*'[2]Beam '!V$45,0)</f>
        <v>0</v>
      </c>
      <c r="W306" s="7">
        <f>IF($D306='[2]Beam '!W$44,$P306*'[2]Beam '!W$45,0)</f>
        <v>0</v>
      </c>
      <c r="X306" s="7">
        <f t="shared" si="58"/>
        <v>19.241247142857141</v>
      </c>
      <c r="Y306" s="7"/>
      <c r="Z306" s="7"/>
      <c r="AA306" s="7"/>
      <c r="AB306" s="7"/>
      <c r="AC306" s="7"/>
      <c r="AD306" s="7"/>
      <c r="AE306" s="7"/>
    </row>
    <row r="307" spans="1:32" s="9" customFormat="1" ht="21" customHeight="1" x14ac:dyDescent="0.25">
      <c r="A307" s="6"/>
      <c r="B307" s="10" t="s">
        <v>2</v>
      </c>
      <c r="C307" s="13" t="s">
        <v>26</v>
      </c>
      <c r="D307" s="7">
        <v>10</v>
      </c>
      <c r="E307" s="7">
        <v>0.1</v>
      </c>
      <c r="F307" s="7">
        <f>ROUNDUP(E302/E307,0)</f>
        <v>62</v>
      </c>
      <c r="H307" s="7"/>
      <c r="I307" s="7"/>
      <c r="J307" s="7"/>
      <c r="K307" s="7"/>
      <c r="L307" s="7"/>
      <c r="M307" s="7"/>
      <c r="N307" s="7"/>
      <c r="O307" s="7">
        <f>(2*((G302-(2*'[2]Beam '!$D$11))+(F302-(2*'[2]Beam '!$D$11)))+(2*10*D307/1000))*D302</f>
        <v>2.7600000000000002</v>
      </c>
      <c r="P307" s="7">
        <f t="shared" si="57"/>
        <v>171.12</v>
      </c>
      <c r="Q307" s="7">
        <f>IF($D307='[2]Beam '!Q$44,$P307*'[2]Beam '!Q$45,0)</f>
        <v>0</v>
      </c>
      <c r="R307" s="7">
        <f>IF($D307='[2]Beam '!R$44,$P307*'[2]Beam '!R$45,0)</f>
        <v>105.54437142857142</v>
      </c>
      <c r="S307" s="7">
        <f>IF($D307='[2]Beam '!S$44,$P307*'[2]Beam '!S$45,0)</f>
        <v>0</v>
      </c>
      <c r="T307" s="7">
        <f>IF($D307='[2]Beam '!T$44,$P307*'[2]Beam '!T$45,0)</f>
        <v>0</v>
      </c>
      <c r="U307" s="7">
        <f>IF($D307='[2]Beam '!U$44,$P307*'[2]Beam '!U$45,0)</f>
        <v>0</v>
      </c>
      <c r="V307" s="7">
        <f>IF($D307='[2]Beam '!V$44,$P307*'[2]Beam '!V$45,0)</f>
        <v>0</v>
      </c>
      <c r="W307" s="7">
        <f>IF($D307='[2]Beam '!W$44,$P307*'[2]Beam '!W$45,0)</f>
        <v>0</v>
      </c>
      <c r="X307" s="7">
        <f t="shared" si="58"/>
        <v>105.54437142857142</v>
      </c>
      <c r="Y307" s="7"/>
      <c r="Z307" s="7"/>
      <c r="AA307" s="7"/>
      <c r="AB307" s="7"/>
      <c r="AC307" s="7"/>
      <c r="AD307" s="7"/>
      <c r="AE307" s="7"/>
      <c r="AF307" s="7"/>
    </row>
    <row r="308" spans="1:32" s="9" customFormat="1" ht="20.100000000000001" customHeight="1" x14ac:dyDescent="0.25">
      <c r="A308" s="6"/>
      <c r="B308" s="10" t="s">
        <v>2</v>
      </c>
      <c r="C308" s="13" t="s">
        <v>11</v>
      </c>
      <c r="D308" s="7">
        <f>+'[2]Beam '!$D$15</f>
        <v>25</v>
      </c>
      <c r="E308" s="7">
        <f>+'[2]Beam '!$E$15</f>
        <v>1</v>
      </c>
      <c r="F308" s="7">
        <f>ROUNDUP((E302)/E308,0)</f>
        <v>7</v>
      </c>
      <c r="G308" s="8"/>
      <c r="H308" s="8"/>
      <c r="I308" s="7"/>
      <c r="J308" s="7"/>
      <c r="K308" s="7"/>
      <c r="L308" s="7"/>
      <c r="M308" s="7"/>
      <c r="N308" s="7"/>
      <c r="O308" s="7">
        <f>F302-'[2]Beam '!$F$15</f>
        <v>0.24</v>
      </c>
      <c r="P308" s="7">
        <f t="shared" si="57"/>
        <v>1.68</v>
      </c>
      <c r="Q308" s="7">
        <f>IF($D308='[2]Beam '!Q$44,$P308*'[2]Beam '!Q$45,0)</f>
        <v>0</v>
      </c>
      <c r="R308" s="7">
        <f>IF($D308='[2]Beam '!R$44,$P308*'[2]Beam '!R$45,0)</f>
        <v>0</v>
      </c>
      <c r="S308" s="7">
        <f>IF($D308='[2]Beam '!S$44,$P308*'[2]Beam '!S$45,0)</f>
        <v>0</v>
      </c>
      <c r="T308" s="7">
        <f>IF($D308='[2]Beam '!T$44,$P308*'[2]Beam '!T$45,0)</f>
        <v>0</v>
      </c>
      <c r="U308" s="7">
        <f>IF($D308='[2]Beam '!U$44,$P308*'[2]Beam '!U$45,0)</f>
        <v>0</v>
      </c>
      <c r="V308" s="7">
        <f>IF($D308='[2]Beam '!V$44,$P308*'[2]Beam '!V$45,0)</f>
        <v>6.4762500000000003</v>
      </c>
      <c r="W308" s="7">
        <f>IF($D308='[2]Beam '!W$44,$P308*'[2]Beam '!W$45,0)</f>
        <v>0</v>
      </c>
      <c r="X308" s="7">
        <f t="shared" si="58"/>
        <v>6.4762500000000003</v>
      </c>
      <c r="Y308" s="7"/>
      <c r="Z308" s="7"/>
      <c r="AA308" s="7"/>
      <c r="AB308" s="7"/>
      <c r="AC308" s="7"/>
      <c r="AD308" s="7"/>
      <c r="AE308" s="7"/>
    </row>
    <row r="309" spans="1:32" s="9" customFormat="1" ht="20.100000000000001" customHeight="1" x14ac:dyDescent="0.25">
      <c r="A309" s="7">
        <v>1</v>
      </c>
      <c r="B309" s="10" t="s">
        <v>2</v>
      </c>
      <c r="C309" s="11" t="s">
        <v>55</v>
      </c>
      <c r="D309" s="11">
        <v>1</v>
      </c>
      <c r="E309" s="11">
        <v>1.37</v>
      </c>
      <c r="F309" s="11">
        <v>0.3</v>
      </c>
      <c r="G309" s="11">
        <v>0.8</v>
      </c>
      <c r="H309" s="7">
        <f>G309-0.2</f>
        <v>0.60000000000000009</v>
      </c>
      <c r="I309" s="7">
        <f>E309*F309*G309*D309</f>
        <v>0.32880000000000004</v>
      </c>
      <c r="J309" s="7">
        <f>(2*(E309)*H309*D309)+(E309*F309)</f>
        <v>2.0550000000000006</v>
      </c>
      <c r="K309" s="12">
        <f>IF(E309=0.3,J309,0)</f>
        <v>0</v>
      </c>
      <c r="L309" s="12">
        <f>IF(AND(E309&gt;0.3,E309&lt;=0.75),J309,0)</f>
        <v>0</v>
      </c>
      <c r="M309" s="12">
        <f>IF(AND(E309&gt;0.75,E309&lt;=1.2),J309,0)</f>
        <v>0</v>
      </c>
      <c r="N309" s="12">
        <f>IF(E309&gt;1.2,J309,0)</f>
        <v>2.0550000000000006</v>
      </c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>
        <f>SUM(X310:X315)/I309</f>
        <v>270.35158524504692</v>
      </c>
      <c r="Z309" s="7"/>
      <c r="AA309" s="7"/>
      <c r="AB309" s="7"/>
      <c r="AC309" s="7"/>
      <c r="AD309" s="7"/>
      <c r="AE309" s="7"/>
    </row>
    <row r="310" spans="1:32" s="9" customFormat="1" ht="20.100000000000001" customHeight="1" x14ac:dyDescent="0.25">
      <c r="A310" s="6"/>
      <c r="B310" s="10" t="s">
        <v>2</v>
      </c>
      <c r="C310" s="13" t="s">
        <v>4</v>
      </c>
      <c r="D310" s="7">
        <v>25</v>
      </c>
      <c r="E310" s="7"/>
      <c r="F310" s="7">
        <v>2</v>
      </c>
      <c r="G310" s="8">
        <f>VLOOKUP(D310,'[2]Beam '!$C$20:$H$26,3,0)</f>
        <v>1</v>
      </c>
      <c r="H310" s="8"/>
      <c r="I310" s="7"/>
      <c r="J310" s="7"/>
      <c r="K310" s="7"/>
      <c r="L310" s="7"/>
      <c r="M310" s="7"/>
      <c r="N310" s="7"/>
      <c r="O310" s="7">
        <f>(E309+1*(G310+(12*D310/1000)))+1*(0.3/2)*D309</f>
        <v>2.82</v>
      </c>
      <c r="P310" s="7">
        <f t="shared" ref="P310:P316" si="59">O310*F310</f>
        <v>5.64</v>
      </c>
      <c r="Q310" s="7">
        <f>IF($D310='[2]Beam '!Q$44,$P310*'[2]Beam '!Q$45,0)</f>
        <v>0</v>
      </c>
      <c r="R310" s="7">
        <f>IF($D310='[2]Beam '!R$44,$P310*'[2]Beam '!R$45,0)</f>
        <v>0</v>
      </c>
      <c r="S310" s="7">
        <f>IF($D310='[2]Beam '!S$44,$P310*'[2]Beam '!S$45,0)</f>
        <v>0</v>
      </c>
      <c r="T310" s="7">
        <f>IF($D310='[2]Beam '!T$44,$P310*'[2]Beam '!T$45,0)</f>
        <v>0</v>
      </c>
      <c r="U310" s="7">
        <f>IF($D310='[2]Beam '!U$44,$P310*'[2]Beam '!U$45,0)</f>
        <v>0</v>
      </c>
      <c r="V310" s="7">
        <f>IF($D310='[2]Beam '!V$44,$P310*'[2]Beam '!V$45,0)</f>
        <v>21.74169642857143</v>
      </c>
      <c r="W310" s="7">
        <f>IF($D310='[2]Beam '!W$44,$P310*'[2]Beam '!W$45,0)</f>
        <v>0</v>
      </c>
      <c r="X310" s="7">
        <f t="shared" ref="X310:X316" si="60">SUM(Q310:W310)</f>
        <v>21.74169642857143</v>
      </c>
      <c r="Y310" s="7"/>
      <c r="Z310" s="7"/>
      <c r="AA310" s="7"/>
      <c r="AB310" s="7"/>
      <c r="AC310" s="7"/>
      <c r="AD310" s="7"/>
      <c r="AE310" s="7"/>
    </row>
    <row r="311" spans="1:32" s="9" customFormat="1" ht="20.100000000000001" customHeight="1" x14ac:dyDescent="0.25">
      <c r="A311" s="6"/>
      <c r="B311" s="10" t="s">
        <v>2</v>
      </c>
      <c r="C311" s="13" t="s">
        <v>4</v>
      </c>
      <c r="D311" s="7">
        <v>20</v>
      </c>
      <c r="E311" s="7"/>
      <c r="F311" s="7">
        <v>1</v>
      </c>
      <c r="G311" s="8">
        <f>VLOOKUP(D311,'[2]Beam '!$C$20:$H$26,3,0)</f>
        <v>0.8</v>
      </c>
      <c r="H311" s="8"/>
      <c r="I311" s="7"/>
      <c r="J311" s="7"/>
      <c r="K311" s="7"/>
      <c r="L311" s="7"/>
      <c r="M311" s="7"/>
      <c r="N311" s="7"/>
      <c r="O311" s="7">
        <f>(E309+1*(G311+(12*D311/1000)))+1*(0.3/2)*D309</f>
        <v>2.56</v>
      </c>
      <c r="P311" s="7">
        <f t="shared" si="59"/>
        <v>2.56</v>
      </c>
      <c r="Q311" s="7">
        <f>IF($D311='[2]Beam '!Q$44,$P311*'[2]Beam '!Q$45,0)</f>
        <v>0</v>
      </c>
      <c r="R311" s="7">
        <f>IF($D311='[2]Beam '!R$44,$P311*'[2]Beam '!R$45,0)</f>
        <v>0</v>
      </c>
      <c r="S311" s="7">
        <f>IF($D311='[2]Beam '!S$44,$P311*'[2]Beam '!S$45,0)</f>
        <v>0</v>
      </c>
      <c r="T311" s="7">
        <f>IF($D311='[2]Beam '!T$44,$P311*'[2]Beam '!T$45,0)</f>
        <v>0</v>
      </c>
      <c r="U311" s="7">
        <f>IF($D311='[2]Beam '!U$44,$P311*'[2]Beam '!U$45,0)</f>
        <v>6.3158857142857139</v>
      </c>
      <c r="V311" s="7">
        <f>IF($D311='[2]Beam '!V$44,$P311*'[2]Beam '!V$45,0)</f>
        <v>0</v>
      </c>
      <c r="W311" s="7">
        <f>IF($D311='[2]Beam '!W$44,$P311*'[2]Beam '!W$45,0)</f>
        <v>0</v>
      </c>
      <c r="X311" s="7">
        <f t="shared" si="60"/>
        <v>6.3158857142857139</v>
      </c>
      <c r="Y311" s="7"/>
      <c r="Z311" s="7"/>
      <c r="AA311" s="7"/>
      <c r="AB311" s="7"/>
      <c r="AC311" s="7"/>
      <c r="AD311" s="7"/>
      <c r="AE311" s="7"/>
    </row>
    <row r="312" spans="1:32" s="9" customFormat="1" ht="20.100000000000001" customHeight="1" x14ac:dyDescent="0.25">
      <c r="A312" s="6"/>
      <c r="B312" s="10" t="s">
        <v>2</v>
      </c>
      <c r="C312" s="13" t="s">
        <v>46</v>
      </c>
      <c r="D312" s="7">
        <v>12</v>
      </c>
      <c r="E312" s="7"/>
      <c r="F312" s="7">
        <v>2</v>
      </c>
      <c r="G312" s="8">
        <f>VLOOKUP(D312,'[2]Beam '!$C$20:$H$26,3,0)</f>
        <v>0.47499999999999998</v>
      </c>
      <c r="H312" s="8"/>
      <c r="I312" s="7"/>
      <c r="J312" s="7"/>
      <c r="K312" s="7"/>
      <c r="L312" s="7"/>
      <c r="M312" s="7"/>
      <c r="N312" s="7"/>
      <c r="O312" s="7">
        <f>(0.45+1*(G312+(12*D312/1000)))*D309</f>
        <v>1.069</v>
      </c>
      <c r="P312" s="7">
        <f t="shared" si="59"/>
        <v>2.1379999999999999</v>
      </c>
      <c r="Q312" s="7">
        <f>IF($D312='[2]Beam '!Q$44,$P312*'[2]Beam '!Q$45,0)</f>
        <v>0</v>
      </c>
      <c r="R312" s="7">
        <f>IF($D312='[2]Beam '!R$44,$P312*'[2]Beam '!R$45,0)</f>
        <v>0</v>
      </c>
      <c r="S312" s="7">
        <f>IF($D312='[2]Beam '!S$44,$P312*'[2]Beam '!S$45,0)</f>
        <v>1.8989105142857146</v>
      </c>
      <c r="T312" s="7">
        <f>IF($D312='[2]Beam '!T$44,$P312*'[2]Beam '!T$45,0)</f>
        <v>0</v>
      </c>
      <c r="U312" s="7">
        <f>IF($D312='[2]Beam '!U$44,$P312*'[2]Beam '!U$45,0)</f>
        <v>0</v>
      </c>
      <c r="V312" s="7">
        <f>IF($D312='[2]Beam '!V$44,$P312*'[2]Beam '!V$45,0)</f>
        <v>0</v>
      </c>
      <c r="W312" s="7">
        <f>IF($D312='[2]Beam '!W$44,$P312*'[2]Beam '!W$45,0)</f>
        <v>0</v>
      </c>
      <c r="X312" s="7">
        <f t="shared" si="60"/>
        <v>1.8989105142857146</v>
      </c>
      <c r="Y312" s="7"/>
      <c r="Z312" s="7"/>
      <c r="AA312" s="7"/>
      <c r="AB312" s="7"/>
      <c r="AC312" s="7"/>
      <c r="AD312" s="7"/>
      <c r="AE312" s="7"/>
    </row>
    <row r="313" spans="1:32" s="9" customFormat="1" ht="20.100000000000001" customHeight="1" x14ac:dyDescent="0.25">
      <c r="A313" s="6"/>
      <c r="B313" s="10" t="s">
        <v>2</v>
      </c>
      <c r="C313" s="13" t="s">
        <v>6</v>
      </c>
      <c r="D313" s="7">
        <v>20</v>
      </c>
      <c r="E313" s="7"/>
      <c r="F313" s="7">
        <v>3</v>
      </c>
      <c r="G313" s="8">
        <f>VLOOKUP(D313,'[2]Beam '!$C$20:$H$26,3,0)</f>
        <v>0.8</v>
      </c>
      <c r="H313" s="7"/>
      <c r="I313" s="7"/>
      <c r="J313" s="7"/>
      <c r="K313" s="7"/>
      <c r="L313" s="7"/>
      <c r="M313" s="7"/>
      <c r="N313" s="7"/>
      <c r="O313" s="7">
        <f>(E309+1*(G313+(12*D313/1000)))+1*(0.3/2)*D309</f>
        <v>2.56</v>
      </c>
      <c r="P313" s="7">
        <f t="shared" si="59"/>
        <v>7.68</v>
      </c>
      <c r="Q313" s="7">
        <f>IF($D313='[2]Beam '!Q$44,$P313*'[2]Beam '!Q$45,0)</f>
        <v>0</v>
      </c>
      <c r="R313" s="7">
        <f>IF($D313='[2]Beam '!R$44,$P313*'[2]Beam '!R$45,0)</f>
        <v>0</v>
      </c>
      <c r="S313" s="7">
        <f>IF($D313='[2]Beam '!S$44,$P313*'[2]Beam '!S$45,0)</f>
        <v>0</v>
      </c>
      <c r="T313" s="7">
        <f>IF($D313='[2]Beam '!T$44,$P313*'[2]Beam '!T$45,0)</f>
        <v>0</v>
      </c>
      <c r="U313" s="7">
        <f>IF($D313='[2]Beam '!U$44,$P313*'[2]Beam '!U$45,0)</f>
        <v>18.947657142857143</v>
      </c>
      <c r="V313" s="7">
        <f>IF($D313='[2]Beam '!V$44,$P313*'[2]Beam '!V$45,0)</f>
        <v>0</v>
      </c>
      <c r="W313" s="7">
        <f>IF($D313='[2]Beam '!W$44,$P313*'[2]Beam '!W$45,0)</f>
        <v>0</v>
      </c>
      <c r="X313" s="7">
        <f t="shared" si="60"/>
        <v>18.947657142857143</v>
      </c>
      <c r="Y313" s="7"/>
      <c r="Z313" s="7"/>
      <c r="AA313" s="7"/>
      <c r="AB313" s="7"/>
      <c r="AC313" s="7"/>
      <c r="AD313" s="7"/>
      <c r="AE313" s="7"/>
    </row>
    <row r="314" spans="1:32" s="9" customFormat="1" ht="20.100000000000001" customHeight="1" x14ac:dyDescent="0.25">
      <c r="A314" s="6"/>
      <c r="B314" s="10" t="s">
        <v>2</v>
      </c>
      <c r="C314" s="13" t="s">
        <v>13</v>
      </c>
      <c r="D314" s="7">
        <v>20</v>
      </c>
      <c r="E314" s="7"/>
      <c r="F314" s="7">
        <v>2</v>
      </c>
      <c r="G314" s="8">
        <f>VLOOKUP(D314,'[2]Beam '!$C$20:$H$26,3,0)</f>
        <v>0.8</v>
      </c>
      <c r="H314" s="7"/>
      <c r="I314" s="7"/>
      <c r="J314" s="7"/>
      <c r="K314" s="7"/>
      <c r="L314" s="7"/>
      <c r="M314" s="7"/>
      <c r="N314" s="7"/>
      <c r="O314" s="7">
        <f>(E309+1*(G314+(12*D314/1000)))+1*(0.3/2)*D309</f>
        <v>2.56</v>
      </c>
      <c r="P314" s="7">
        <f t="shared" si="59"/>
        <v>5.12</v>
      </c>
      <c r="Q314" s="7">
        <f>IF($D314='[2]Beam '!Q$44,$P314*'[2]Beam '!Q$45,0)</f>
        <v>0</v>
      </c>
      <c r="R314" s="7">
        <f>IF($D314='[2]Beam '!R$44,$P314*'[2]Beam '!R$45,0)</f>
        <v>0</v>
      </c>
      <c r="S314" s="7">
        <f>IF($D314='[2]Beam '!S$44,$P314*'[2]Beam '!S$45,0)</f>
        <v>0</v>
      </c>
      <c r="T314" s="7">
        <f>IF($D314='[2]Beam '!T$44,$P314*'[2]Beam '!T$45,0)</f>
        <v>0</v>
      </c>
      <c r="U314" s="7">
        <f>IF($D314='[2]Beam '!U$44,$P314*'[2]Beam '!U$45,0)</f>
        <v>12.631771428571428</v>
      </c>
      <c r="V314" s="7">
        <f>IF($D314='[2]Beam '!V$44,$P314*'[2]Beam '!V$45,0)</f>
        <v>0</v>
      </c>
      <c r="W314" s="7">
        <f>IF($D314='[2]Beam '!W$44,$P314*'[2]Beam '!W$45,0)</f>
        <v>0</v>
      </c>
      <c r="X314" s="7">
        <f t="shared" si="60"/>
        <v>12.631771428571428</v>
      </c>
      <c r="Y314" s="7"/>
      <c r="Z314" s="7"/>
      <c r="AA314" s="7"/>
      <c r="AB314" s="7"/>
      <c r="AC314" s="7"/>
      <c r="AD314" s="7"/>
      <c r="AE314" s="7"/>
    </row>
    <row r="315" spans="1:32" s="9" customFormat="1" ht="21" customHeight="1" x14ac:dyDescent="0.25">
      <c r="A315" s="6"/>
      <c r="B315" s="10" t="s">
        <v>2</v>
      </c>
      <c r="C315" s="13" t="s">
        <v>26</v>
      </c>
      <c r="D315" s="7">
        <v>12</v>
      </c>
      <c r="E315" s="7">
        <v>0.1</v>
      </c>
      <c r="F315" s="7">
        <f>ROUNDUP(E309/E315,0)</f>
        <v>14</v>
      </c>
      <c r="H315" s="7"/>
      <c r="I315" s="7"/>
      <c r="J315" s="7"/>
      <c r="K315" s="7"/>
      <c r="L315" s="7"/>
      <c r="M315" s="7"/>
      <c r="N315" s="7"/>
      <c r="O315" s="7">
        <f>(2*((G309-(2*'[2]Beam '!$D$11))+(F309-(2*'[2]Beam '!$D$11)))+(2*10*D315/1000))*D309</f>
        <v>2.2000000000000002</v>
      </c>
      <c r="P315" s="7">
        <f t="shared" si="59"/>
        <v>30.800000000000004</v>
      </c>
      <c r="Q315" s="7">
        <f>IF($D315='[2]Beam '!Q$44,$P315*'[2]Beam '!Q$45,0)</f>
        <v>0</v>
      </c>
      <c r="R315" s="7">
        <f>IF($D315='[2]Beam '!R$44,$P315*'[2]Beam '!R$45,0)</f>
        <v>0</v>
      </c>
      <c r="S315" s="7">
        <f>IF($D315='[2]Beam '!S$44,$P315*'[2]Beam '!S$45,0)</f>
        <v>27.35568000000001</v>
      </c>
      <c r="T315" s="7">
        <f>IF($D315='[2]Beam '!T$44,$P315*'[2]Beam '!T$45,0)</f>
        <v>0</v>
      </c>
      <c r="U315" s="7">
        <f>IF($D315='[2]Beam '!U$44,$P315*'[2]Beam '!U$45,0)</f>
        <v>0</v>
      </c>
      <c r="V315" s="7">
        <f>IF($D315='[2]Beam '!V$44,$P315*'[2]Beam '!V$45,0)</f>
        <v>0</v>
      </c>
      <c r="W315" s="7">
        <f>IF($D315='[2]Beam '!W$44,$P315*'[2]Beam '!W$45,0)</f>
        <v>0</v>
      </c>
      <c r="X315" s="7">
        <f t="shared" si="60"/>
        <v>27.35568000000001</v>
      </c>
      <c r="Y315" s="7"/>
      <c r="Z315" s="7"/>
      <c r="AA315" s="7"/>
      <c r="AB315" s="7"/>
      <c r="AC315" s="7"/>
      <c r="AD315" s="7"/>
      <c r="AE315" s="7"/>
      <c r="AF315" s="7"/>
    </row>
    <row r="316" spans="1:32" s="9" customFormat="1" ht="20.100000000000001" customHeight="1" x14ac:dyDescent="0.25">
      <c r="A316" s="6"/>
      <c r="B316" s="10" t="s">
        <v>2</v>
      </c>
      <c r="C316" s="13" t="s">
        <v>11</v>
      </c>
      <c r="D316" s="7">
        <f>+'[2]Beam '!$D$15</f>
        <v>25</v>
      </c>
      <c r="E316" s="7">
        <f>+'[2]Beam '!$E$15</f>
        <v>1</v>
      </c>
      <c r="F316" s="7">
        <f>ROUNDUP((0.45+E309)/E316,0)</f>
        <v>2</v>
      </c>
      <c r="G316" s="8"/>
      <c r="H316" s="8"/>
      <c r="I316" s="7"/>
      <c r="J316" s="7"/>
      <c r="K316" s="7"/>
      <c r="L316" s="7"/>
      <c r="M316" s="7"/>
      <c r="N316" s="7"/>
      <c r="O316" s="7">
        <f>F309-'[2]Beam '!$F$15</f>
        <v>0.24</v>
      </c>
      <c r="P316" s="7">
        <f t="shared" si="59"/>
        <v>0.48</v>
      </c>
      <c r="Q316" s="7">
        <f>IF($D316='[2]Beam '!Q$44,$P316*'[2]Beam '!Q$45,0)</f>
        <v>0</v>
      </c>
      <c r="R316" s="7">
        <f>IF($D316='[2]Beam '!R$44,$P316*'[2]Beam '!R$45,0)</f>
        <v>0</v>
      </c>
      <c r="S316" s="7">
        <f>IF($D316='[2]Beam '!S$44,$P316*'[2]Beam '!S$45,0)</f>
        <v>0</v>
      </c>
      <c r="T316" s="7">
        <f>IF($D316='[2]Beam '!T$44,$P316*'[2]Beam '!T$45,0)</f>
        <v>0</v>
      </c>
      <c r="U316" s="7">
        <f>IF($D316='[2]Beam '!U$44,$P316*'[2]Beam '!U$45,0)</f>
        <v>0</v>
      </c>
      <c r="V316" s="7">
        <f>IF($D316='[2]Beam '!V$44,$P316*'[2]Beam '!V$45,0)</f>
        <v>1.850357142857143</v>
      </c>
      <c r="W316" s="7">
        <f>IF($D316='[2]Beam '!W$44,$P316*'[2]Beam '!W$45,0)</f>
        <v>0</v>
      </c>
      <c r="X316" s="7">
        <f t="shared" si="60"/>
        <v>1.850357142857143</v>
      </c>
      <c r="Y316" s="7"/>
      <c r="Z316" s="7"/>
      <c r="AA316" s="7"/>
      <c r="AB316" s="7"/>
      <c r="AC316" s="7"/>
      <c r="AD316" s="7"/>
      <c r="AE316" s="7"/>
    </row>
    <row r="317" spans="1:32" s="9" customFormat="1" ht="20.100000000000001" customHeight="1" x14ac:dyDescent="0.25">
      <c r="A317" s="7">
        <v>1</v>
      </c>
      <c r="B317" s="10" t="s">
        <v>2</v>
      </c>
      <c r="C317" s="11" t="s">
        <v>56</v>
      </c>
      <c r="D317" s="11">
        <v>1</v>
      </c>
      <c r="E317" s="11">
        <v>2.85</v>
      </c>
      <c r="F317" s="11">
        <v>0.3</v>
      </c>
      <c r="G317" s="11">
        <v>1.1000000000000001</v>
      </c>
      <c r="H317" s="7">
        <f>G317-0.2</f>
        <v>0.90000000000000013</v>
      </c>
      <c r="I317" s="7">
        <f>E317*F317*G317*D317</f>
        <v>0.9405</v>
      </c>
      <c r="J317" s="7">
        <f>(2*(E317)*H317*D317)+(E317*F317)</f>
        <v>5.9850000000000012</v>
      </c>
      <c r="K317" s="12">
        <f>IF(E317=0.3,J317,0)</f>
        <v>0</v>
      </c>
      <c r="L317" s="12">
        <f>IF(AND(E317&gt;0.3,E317&lt;=0.75),J317,0)</f>
        <v>0</v>
      </c>
      <c r="M317" s="12">
        <f>IF(AND(E317&gt;0.75,E317&lt;=1.2),J317,0)</f>
        <v>0</v>
      </c>
      <c r="N317" s="12">
        <f>IF(E317&gt;1.2,J317,0)</f>
        <v>5.9850000000000012</v>
      </c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>
        <f>SUM(X318:X326)/I317</f>
        <v>225.40097827903097</v>
      </c>
      <c r="Z317" s="7"/>
      <c r="AA317" s="7"/>
      <c r="AB317" s="7"/>
      <c r="AC317" s="7"/>
      <c r="AD317" s="7"/>
      <c r="AE317" s="7"/>
    </row>
    <row r="318" spans="1:32" s="9" customFormat="1" ht="20.100000000000001" customHeight="1" x14ac:dyDescent="0.25">
      <c r="A318" s="6"/>
      <c r="B318" s="10" t="s">
        <v>2</v>
      </c>
      <c r="C318" s="13" t="s">
        <v>4</v>
      </c>
      <c r="D318" s="7">
        <v>25</v>
      </c>
      <c r="E318" s="7"/>
      <c r="F318" s="7">
        <v>2</v>
      </c>
      <c r="G318" s="8">
        <f>VLOOKUP(D318,'[2]Beam '!$C$20:$H$26,3,0)</f>
        <v>1</v>
      </c>
      <c r="H318" s="8"/>
      <c r="I318" s="7"/>
      <c r="J318" s="7"/>
      <c r="K318" s="7"/>
      <c r="L318" s="7"/>
      <c r="M318" s="7"/>
      <c r="N318" s="7"/>
      <c r="O318" s="7">
        <f>(E317+1*(G318+(12*D318/1000)))+1*(0.3/2)*D317</f>
        <v>4.3000000000000007</v>
      </c>
      <c r="P318" s="7">
        <f t="shared" ref="P318:P327" si="61">O318*F318</f>
        <v>8.6000000000000014</v>
      </c>
      <c r="Q318" s="7">
        <f>IF($D318='[2]Beam '!Q$44,$P318*'[2]Beam '!Q$45,0)</f>
        <v>0</v>
      </c>
      <c r="R318" s="7">
        <f>IF($D318='[2]Beam '!R$44,$P318*'[2]Beam '!R$45,0)</f>
        <v>0</v>
      </c>
      <c r="S318" s="7">
        <f>IF($D318='[2]Beam '!S$44,$P318*'[2]Beam '!S$45,0)</f>
        <v>0</v>
      </c>
      <c r="T318" s="7">
        <f>IF($D318='[2]Beam '!T$44,$P318*'[2]Beam '!T$45,0)</f>
        <v>0</v>
      </c>
      <c r="U318" s="7">
        <f>IF($D318='[2]Beam '!U$44,$P318*'[2]Beam '!U$45,0)</f>
        <v>0</v>
      </c>
      <c r="V318" s="7">
        <f>IF($D318='[2]Beam '!V$44,$P318*'[2]Beam '!V$45,0)</f>
        <v>33.152232142857152</v>
      </c>
      <c r="W318" s="7">
        <f>IF($D318='[2]Beam '!W$44,$P318*'[2]Beam '!W$45,0)</f>
        <v>0</v>
      </c>
      <c r="X318" s="7">
        <f t="shared" ref="X318:X327" si="62">SUM(Q318:W318)</f>
        <v>33.152232142857152</v>
      </c>
      <c r="Y318" s="7"/>
      <c r="Z318" s="7"/>
      <c r="AA318" s="7"/>
      <c r="AB318" s="7"/>
      <c r="AC318" s="7"/>
      <c r="AD318" s="7"/>
      <c r="AE318" s="7"/>
    </row>
    <row r="319" spans="1:32" s="9" customFormat="1" ht="20.100000000000001" customHeight="1" x14ac:dyDescent="0.25">
      <c r="A319" s="6"/>
      <c r="B319" s="10" t="s">
        <v>2</v>
      </c>
      <c r="C319" s="13" t="s">
        <v>4</v>
      </c>
      <c r="D319" s="7">
        <v>20</v>
      </c>
      <c r="E319" s="7"/>
      <c r="F319" s="7">
        <v>1</v>
      </c>
      <c r="G319" s="8">
        <f>VLOOKUP(D319,'[2]Beam '!$C$20:$H$26,3,0)</f>
        <v>0.8</v>
      </c>
      <c r="H319" s="8"/>
      <c r="I319" s="7"/>
      <c r="J319" s="7"/>
      <c r="K319" s="7"/>
      <c r="L319" s="7"/>
      <c r="M319" s="7"/>
      <c r="N319" s="7"/>
      <c r="O319" s="7">
        <f>(E317+1*(G319+(12*D319/1000)))+1*(0.3/2)*D317</f>
        <v>4.04</v>
      </c>
      <c r="P319" s="7">
        <f t="shared" si="61"/>
        <v>4.04</v>
      </c>
      <c r="Q319" s="7">
        <f>IF($D319='[2]Beam '!Q$44,$P319*'[2]Beam '!Q$45,0)</f>
        <v>0</v>
      </c>
      <c r="R319" s="7">
        <f>IF($D319='[2]Beam '!R$44,$P319*'[2]Beam '!R$45,0)</f>
        <v>0</v>
      </c>
      <c r="S319" s="7">
        <f>IF($D319='[2]Beam '!S$44,$P319*'[2]Beam '!S$45,0)</f>
        <v>0</v>
      </c>
      <c r="T319" s="7">
        <f>IF($D319='[2]Beam '!T$44,$P319*'[2]Beam '!T$45,0)</f>
        <v>0</v>
      </c>
      <c r="U319" s="7">
        <f>IF($D319='[2]Beam '!U$44,$P319*'[2]Beam '!U$45,0)</f>
        <v>9.967257142857143</v>
      </c>
      <c r="V319" s="7">
        <f>IF($D319='[2]Beam '!V$44,$P319*'[2]Beam '!V$45,0)</f>
        <v>0</v>
      </c>
      <c r="W319" s="7">
        <f>IF($D319='[2]Beam '!W$44,$P319*'[2]Beam '!W$45,0)</f>
        <v>0</v>
      </c>
      <c r="X319" s="7">
        <f t="shared" si="62"/>
        <v>9.967257142857143</v>
      </c>
      <c r="Y319" s="7"/>
      <c r="Z319" s="7"/>
      <c r="AA319" s="7"/>
      <c r="AB319" s="7"/>
      <c r="AC319" s="7"/>
      <c r="AD319" s="7"/>
      <c r="AE319" s="7"/>
    </row>
    <row r="320" spans="1:32" s="9" customFormat="1" ht="20.100000000000001" customHeight="1" x14ac:dyDescent="0.25">
      <c r="A320" s="6"/>
      <c r="B320" s="10" t="s">
        <v>2</v>
      </c>
      <c r="C320" s="13" t="s">
        <v>46</v>
      </c>
      <c r="D320" s="7">
        <v>25</v>
      </c>
      <c r="E320" s="7"/>
      <c r="F320" s="7">
        <v>3</v>
      </c>
      <c r="G320" s="8">
        <f>VLOOKUP(D320,'[2]Beam '!$C$20:$H$26,3,0)</f>
        <v>1</v>
      </c>
      <c r="H320" s="8"/>
      <c r="I320" s="7"/>
      <c r="J320" s="7"/>
      <c r="K320" s="7"/>
      <c r="L320" s="7"/>
      <c r="M320" s="7"/>
      <c r="N320" s="7"/>
      <c r="O320" s="7">
        <f>(0.8+1*(G320+(12*D320/1000)))*D317</f>
        <v>2.1</v>
      </c>
      <c r="P320" s="7">
        <f t="shared" si="61"/>
        <v>6.3000000000000007</v>
      </c>
      <c r="Q320" s="7">
        <f>IF($D320='[2]Beam '!Q$44,$P320*'[2]Beam '!Q$45,0)</f>
        <v>0</v>
      </c>
      <c r="R320" s="7">
        <f>IF($D320='[2]Beam '!R$44,$P320*'[2]Beam '!R$45,0)</f>
        <v>0</v>
      </c>
      <c r="S320" s="7">
        <f>IF($D320='[2]Beam '!S$44,$P320*'[2]Beam '!S$45,0)</f>
        <v>0</v>
      </c>
      <c r="T320" s="7">
        <f>IF($D320='[2]Beam '!T$44,$P320*'[2]Beam '!T$45,0)</f>
        <v>0</v>
      </c>
      <c r="U320" s="7">
        <f>IF($D320='[2]Beam '!U$44,$P320*'[2]Beam '!U$45,0)</f>
        <v>0</v>
      </c>
      <c r="V320" s="7">
        <f>IF($D320='[2]Beam '!V$44,$P320*'[2]Beam '!V$45,0)</f>
        <v>24.285937500000006</v>
      </c>
      <c r="W320" s="7">
        <f>IF($D320='[2]Beam '!W$44,$P320*'[2]Beam '!W$45,0)</f>
        <v>0</v>
      </c>
      <c r="X320" s="7">
        <f t="shared" si="62"/>
        <v>24.285937500000006</v>
      </c>
      <c r="Y320" s="7"/>
      <c r="Z320" s="7"/>
      <c r="AA320" s="7"/>
      <c r="AB320" s="7"/>
      <c r="AC320" s="7"/>
      <c r="AD320" s="7"/>
      <c r="AE320" s="7"/>
    </row>
    <row r="321" spans="1:32" s="9" customFormat="1" ht="20.100000000000001" customHeight="1" x14ac:dyDescent="0.25">
      <c r="A321" s="6"/>
      <c r="B321" s="10" t="s">
        <v>2</v>
      </c>
      <c r="C321" s="13" t="s">
        <v>6</v>
      </c>
      <c r="D321" s="7">
        <v>25</v>
      </c>
      <c r="E321" s="7"/>
      <c r="F321" s="7">
        <v>2</v>
      </c>
      <c r="G321" s="8">
        <f>VLOOKUP(D321,'[2]Beam '!$C$20:$H$26,3,0)</f>
        <v>1</v>
      </c>
      <c r="H321" s="7"/>
      <c r="I321" s="7"/>
      <c r="J321" s="7"/>
      <c r="K321" s="7"/>
      <c r="L321" s="7"/>
      <c r="M321" s="7"/>
      <c r="N321" s="7"/>
      <c r="O321" s="7">
        <f>(E317+1*(G321+(12*D321/1000)))+1*(0.3/2)*D317</f>
        <v>4.3000000000000007</v>
      </c>
      <c r="P321" s="7">
        <f t="shared" si="61"/>
        <v>8.6000000000000014</v>
      </c>
      <c r="Q321" s="7">
        <f>IF($D321='[2]Beam '!Q$44,$P321*'[2]Beam '!Q$45,0)</f>
        <v>0</v>
      </c>
      <c r="R321" s="7">
        <f>IF($D321='[2]Beam '!R$44,$P321*'[2]Beam '!R$45,0)</f>
        <v>0</v>
      </c>
      <c r="S321" s="7">
        <f>IF($D321='[2]Beam '!S$44,$P321*'[2]Beam '!S$45,0)</f>
        <v>0</v>
      </c>
      <c r="T321" s="7">
        <f>IF($D321='[2]Beam '!T$44,$P321*'[2]Beam '!T$45,0)</f>
        <v>0</v>
      </c>
      <c r="U321" s="7">
        <f>IF($D321='[2]Beam '!U$44,$P321*'[2]Beam '!U$45,0)</f>
        <v>0</v>
      </c>
      <c r="V321" s="7">
        <f>IF($D321='[2]Beam '!V$44,$P321*'[2]Beam '!V$45,0)</f>
        <v>33.152232142857152</v>
      </c>
      <c r="W321" s="7">
        <f>IF($D321='[2]Beam '!W$44,$P321*'[2]Beam '!W$45,0)</f>
        <v>0</v>
      </c>
      <c r="X321" s="7">
        <f t="shared" si="62"/>
        <v>33.152232142857152</v>
      </c>
      <c r="Y321" s="7"/>
      <c r="Z321" s="7"/>
      <c r="AA321" s="7"/>
      <c r="AB321" s="7"/>
      <c r="AC321" s="7"/>
      <c r="AD321" s="7"/>
      <c r="AE321" s="7"/>
    </row>
    <row r="322" spans="1:32" s="14" customFormat="1" ht="20.100000000000001" customHeight="1" x14ac:dyDescent="0.3">
      <c r="A322" s="6"/>
      <c r="B322" s="10" t="s">
        <v>2</v>
      </c>
      <c r="C322" s="13" t="s">
        <v>6</v>
      </c>
      <c r="D322" s="7">
        <v>20</v>
      </c>
      <c r="E322" s="7"/>
      <c r="F322" s="7">
        <v>1</v>
      </c>
      <c r="G322" s="8">
        <f>VLOOKUP(D322,'[2]Beam '!$C$20:$H$26,3,0)</f>
        <v>0.8</v>
      </c>
      <c r="H322" s="7"/>
      <c r="I322" s="7"/>
      <c r="J322" s="7"/>
      <c r="K322" s="7"/>
      <c r="L322" s="7"/>
      <c r="M322" s="7"/>
      <c r="N322" s="7"/>
      <c r="O322" s="7">
        <f>(E317+1*(G322+(12*D322/1000)))+1*(0.3/2)*D317</f>
        <v>4.04</v>
      </c>
      <c r="P322" s="7">
        <f t="shared" si="61"/>
        <v>4.04</v>
      </c>
      <c r="Q322" s="7">
        <f>IF($D322='[2]Beam '!Q$44,$P322*'[2]Beam '!Q$45,0)</f>
        <v>0</v>
      </c>
      <c r="R322" s="7">
        <f>IF($D322='[2]Beam '!R$44,$P322*'[2]Beam '!R$45,0)</f>
        <v>0</v>
      </c>
      <c r="S322" s="7">
        <f>IF($D322='[2]Beam '!S$44,$P322*'[2]Beam '!S$45,0)</f>
        <v>0</v>
      </c>
      <c r="T322" s="7">
        <f>IF($D322='[2]Beam '!T$44,$P322*'[2]Beam '!T$45,0)</f>
        <v>0</v>
      </c>
      <c r="U322" s="7">
        <f>IF($D322='[2]Beam '!U$44,$P322*'[2]Beam '!U$45,0)</f>
        <v>9.967257142857143</v>
      </c>
      <c r="V322" s="7">
        <f>IF($D322='[2]Beam '!V$44,$P322*'[2]Beam '!V$45,0)</f>
        <v>0</v>
      </c>
      <c r="W322" s="7">
        <f>IF($D322='[2]Beam '!W$44,$P322*'[2]Beam '!W$45,0)</f>
        <v>0</v>
      </c>
      <c r="X322" s="7">
        <f t="shared" si="62"/>
        <v>9.967257142857143</v>
      </c>
      <c r="Y322" s="7"/>
    </row>
    <row r="323" spans="1:32" s="14" customFormat="1" ht="20.100000000000001" customHeight="1" x14ac:dyDescent="0.25">
      <c r="A323" s="6"/>
      <c r="B323" s="10" t="s">
        <v>2</v>
      </c>
      <c r="C323" s="13" t="s">
        <v>7</v>
      </c>
      <c r="D323" s="7">
        <v>12</v>
      </c>
      <c r="E323" s="7">
        <v>0.1</v>
      </c>
      <c r="F323" s="7">
        <f>ROUNDUP((E317/3*2)/E323,0)+1</f>
        <v>20</v>
      </c>
      <c r="G323" s="9"/>
      <c r="H323" s="7"/>
      <c r="I323" s="7"/>
      <c r="J323" s="7"/>
      <c r="K323" s="7"/>
      <c r="L323" s="7"/>
      <c r="M323" s="7"/>
      <c r="N323" s="7"/>
      <c r="O323" s="7">
        <f>(2*((G317-(2*'[2]Beam '!$D$11))+(F317-(2*'[2]Beam '!$D$11)))+(2*10*D323/1000))*D317</f>
        <v>2.8</v>
      </c>
      <c r="P323" s="7">
        <f t="shared" si="61"/>
        <v>56</v>
      </c>
      <c r="Q323" s="7">
        <f>IF($D323='[2]Beam '!Q$44,$P323*'[2]Beam '!Q$45,0)</f>
        <v>0</v>
      </c>
      <c r="R323" s="7">
        <f>IF($D323='[2]Beam '!R$44,$P323*'[2]Beam '!R$45,0)</f>
        <v>0</v>
      </c>
      <c r="S323" s="7">
        <f>IF($D323='[2]Beam '!S$44,$P323*'[2]Beam '!S$45,0)</f>
        <v>49.737600000000008</v>
      </c>
      <c r="T323" s="7">
        <f>IF($D323='[2]Beam '!T$44,$P323*'[2]Beam '!T$45,0)</f>
        <v>0</v>
      </c>
      <c r="U323" s="7">
        <f>IF($D323='[2]Beam '!U$44,$P323*'[2]Beam '!U$45,0)</f>
        <v>0</v>
      </c>
      <c r="V323" s="7">
        <f>IF($D323='[2]Beam '!V$44,$P323*'[2]Beam '!V$45,0)</f>
        <v>0</v>
      </c>
      <c r="W323" s="7">
        <f>IF($D323='[2]Beam '!W$44,$P323*'[2]Beam '!W$45,0)</f>
        <v>0</v>
      </c>
      <c r="X323" s="7">
        <f t="shared" si="62"/>
        <v>49.737600000000008</v>
      </c>
      <c r="Y323" s="7"/>
    </row>
    <row r="324" spans="1:32" s="14" customFormat="1" ht="20.100000000000001" customHeight="1" x14ac:dyDescent="0.25">
      <c r="B324" s="10" t="s">
        <v>2</v>
      </c>
      <c r="C324" s="13" t="s">
        <v>8</v>
      </c>
      <c r="D324" s="14">
        <f>D323</f>
        <v>12</v>
      </c>
      <c r="E324" s="14">
        <v>0.15</v>
      </c>
      <c r="F324" s="7">
        <f>ROUNDUP((E317/3)/E324,0)+1</f>
        <v>8</v>
      </c>
      <c r="G324" s="9"/>
      <c r="O324" s="7">
        <f>(2*((G317-(2*'[2]Beam '!$D$11))+(F317-(2*'[2]Beam '!$D$11)))+(2*10*D324/1000))*D317</f>
        <v>2.8</v>
      </c>
      <c r="P324" s="7">
        <f t="shared" si="61"/>
        <v>22.4</v>
      </c>
      <c r="Q324" s="7">
        <f>IF($D324='[2]Beam '!Q$44,$P324*'[2]Beam '!Q$45,0)</f>
        <v>0</v>
      </c>
      <c r="R324" s="7">
        <f>IF($D324='[2]Beam '!R$44,$P324*'[2]Beam '!R$45,0)</f>
        <v>0</v>
      </c>
      <c r="S324" s="7">
        <f>IF($D324='[2]Beam '!S$44,$P324*'[2]Beam '!S$45,0)</f>
        <v>19.895040000000002</v>
      </c>
      <c r="T324" s="7">
        <f>IF($D324='[2]Beam '!T$44,$P324*'[2]Beam '!T$45,0)</f>
        <v>0</v>
      </c>
      <c r="U324" s="7">
        <f>IF($D324='[2]Beam '!U$44,$P324*'[2]Beam '!U$45,0)</f>
        <v>0</v>
      </c>
      <c r="V324" s="7">
        <f>IF($D324='[2]Beam '!V$44,$P324*'[2]Beam '!V$45,0)</f>
        <v>0</v>
      </c>
      <c r="W324" s="7">
        <f>IF($D324='[2]Beam '!W$44,$P324*'[2]Beam '!W$45,0)</f>
        <v>0</v>
      </c>
      <c r="X324" s="7">
        <f t="shared" si="62"/>
        <v>19.895040000000002</v>
      </c>
    </row>
    <row r="325" spans="1:32" s="9" customFormat="1" ht="20.100000000000001" customHeight="1" x14ac:dyDescent="0.25">
      <c r="A325" s="14"/>
      <c r="B325" s="10" t="s">
        <v>2</v>
      </c>
      <c r="C325" s="13" t="s">
        <v>47</v>
      </c>
      <c r="D325" s="14">
        <f>D323</f>
        <v>12</v>
      </c>
      <c r="E325" s="14">
        <f>+E323</f>
        <v>0.1</v>
      </c>
      <c r="F325" s="7">
        <f>ROUNDUP((E317/3*2)/E325,0)+1</f>
        <v>20</v>
      </c>
      <c r="H325" s="14"/>
      <c r="I325" s="14"/>
      <c r="J325" s="14"/>
      <c r="K325" s="14"/>
      <c r="L325" s="14"/>
      <c r="M325" s="14"/>
      <c r="N325" s="14"/>
      <c r="O325" s="7">
        <f>((((G317-(2*'[2]Beam '!$D$11))+(2*10*D325/1000))*D317))</f>
        <v>1.28</v>
      </c>
      <c r="P325" s="7">
        <f t="shared" si="61"/>
        <v>25.6</v>
      </c>
      <c r="Q325" s="7">
        <f>IF($D325='[2]Beam '!Q$44,$P325*'[2]Beam '!Q$45,0)</f>
        <v>0</v>
      </c>
      <c r="R325" s="7">
        <f>IF($D325='[2]Beam '!R$44,$P325*'[2]Beam '!R$45,0)</f>
        <v>0</v>
      </c>
      <c r="S325" s="7">
        <f>IF($D325='[2]Beam '!S$44,$P325*'[2]Beam '!S$45,0)</f>
        <v>22.737188571428575</v>
      </c>
      <c r="T325" s="7">
        <f>IF($D325='[2]Beam '!T$44,$P325*'[2]Beam '!T$45,0)</f>
        <v>0</v>
      </c>
      <c r="U325" s="7">
        <f>IF($D325='[2]Beam '!U$44,$P325*'[2]Beam '!U$45,0)</f>
        <v>0</v>
      </c>
      <c r="V325" s="7">
        <f>IF($D325='[2]Beam '!V$44,$P325*'[2]Beam '!V$45,0)</f>
        <v>0</v>
      </c>
      <c r="W325" s="7">
        <f>IF($D325='[2]Beam '!W$44,$P325*'[2]Beam '!W$45,0)</f>
        <v>0</v>
      </c>
      <c r="X325" s="7">
        <f t="shared" si="62"/>
        <v>22.737188571428575</v>
      </c>
      <c r="Y325" s="14"/>
      <c r="Z325" s="7"/>
      <c r="AA325" s="7"/>
      <c r="AB325" s="7"/>
      <c r="AC325" s="7"/>
      <c r="AD325" s="7"/>
      <c r="AE325" s="7"/>
    </row>
    <row r="326" spans="1:32" s="9" customFormat="1" ht="21" customHeight="1" x14ac:dyDescent="0.25">
      <c r="A326" s="14"/>
      <c r="B326" s="10" t="s">
        <v>2</v>
      </c>
      <c r="C326" s="13" t="s">
        <v>47</v>
      </c>
      <c r="D326" s="14">
        <f>D324</f>
        <v>12</v>
      </c>
      <c r="E326" s="14">
        <f>+E324</f>
        <v>0.15</v>
      </c>
      <c r="F326" s="7">
        <f>ROUNDUP((E317/3)/E326,0)+1</f>
        <v>8</v>
      </c>
      <c r="H326" s="14"/>
      <c r="I326" s="14"/>
      <c r="J326" s="14"/>
      <c r="K326" s="14"/>
      <c r="L326" s="14"/>
      <c r="M326" s="14"/>
      <c r="N326" s="14"/>
      <c r="O326" s="7">
        <f>((((G317-(2*'[2]Beam '!$D$11))+(2*10*D326/1000))*D317))</f>
        <v>1.28</v>
      </c>
      <c r="P326" s="7">
        <f t="shared" si="61"/>
        <v>10.24</v>
      </c>
      <c r="Q326" s="7">
        <f>IF($D326='[2]Beam '!Q$44,$P326*'[2]Beam '!Q$45,0)</f>
        <v>0</v>
      </c>
      <c r="R326" s="7">
        <f>IF($D326='[2]Beam '!R$44,$P326*'[2]Beam '!R$45,0)</f>
        <v>0</v>
      </c>
      <c r="S326" s="7">
        <f>IF($D326='[2]Beam '!S$44,$P326*'[2]Beam '!S$45,0)</f>
        <v>9.0948754285714308</v>
      </c>
      <c r="T326" s="7">
        <f>IF($D326='[2]Beam '!T$44,$P326*'[2]Beam '!T$45,0)</f>
        <v>0</v>
      </c>
      <c r="U326" s="7">
        <f>IF($D326='[2]Beam '!U$44,$P326*'[2]Beam '!U$45,0)</f>
        <v>0</v>
      </c>
      <c r="V326" s="7">
        <f>IF($D326='[2]Beam '!V$44,$P326*'[2]Beam '!V$45,0)</f>
        <v>0</v>
      </c>
      <c r="W326" s="7">
        <f>IF($D326='[2]Beam '!W$44,$P326*'[2]Beam '!W$45,0)</f>
        <v>0</v>
      </c>
      <c r="X326" s="7">
        <f t="shared" si="62"/>
        <v>9.0948754285714308</v>
      </c>
      <c r="Y326" s="14"/>
      <c r="Z326" s="7"/>
      <c r="AA326" s="7"/>
      <c r="AB326" s="7"/>
      <c r="AC326" s="7"/>
      <c r="AD326" s="7"/>
      <c r="AE326" s="7"/>
      <c r="AF326" s="7"/>
    </row>
    <row r="327" spans="1:32" s="9" customFormat="1" ht="20.100000000000001" customHeight="1" x14ac:dyDescent="0.25">
      <c r="A327" s="6"/>
      <c r="B327" s="10" t="s">
        <v>2</v>
      </c>
      <c r="C327" s="13" t="s">
        <v>11</v>
      </c>
      <c r="D327" s="7">
        <f>+'[2]Beam '!$D$15</f>
        <v>25</v>
      </c>
      <c r="E327" s="7">
        <f>+'[2]Beam '!$E$15</f>
        <v>1</v>
      </c>
      <c r="F327" s="7">
        <f>ROUNDUP((0.8)/E327,0)</f>
        <v>1</v>
      </c>
      <c r="G327" s="8"/>
      <c r="H327" s="8"/>
      <c r="I327" s="7"/>
      <c r="J327" s="7"/>
      <c r="K327" s="7"/>
      <c r="L327" s="7"/>
      <c r="M327" s="7"/>
      <c r="N327" s="7"/>
      <c r="O327" s="7">
        <f>F317-'[2]Beam '!$F$15</f>
        <v>0.24</v>
      </c>
      <c r="P327" s="7">
        <f t="shared" si="61"/>
        <v>0.24</v>
      </c>
      <c r="Q327" s="7">
        <f>IF($D327='[2]Beam '!Q$44,$P327*'[2]Beam '!Q$45,0)</f>
        <v>0</v>
      </c>
      <c r="R327" s="7">
        <f>IF($D327='[2]Beam '!R$44,$P327*'[2]Beam '!R$45,0)</f>
        <v>0</v>
      </c>
      <c r="S327" s="7">
        <f>IF($D327='[2]Beam '!S$44,$P327*'[2]Beam '!S$45,0)</f>
        <v>0</v>
      </c>
      <c r="T327" s="7">
        <f>IF($D327='[2]Beam '!T$44,$P327*'[2]Beam '!T$45,0)</f>
        <v>0</v>
      </c>
      <c r="U327" s="7">
        <f>IF($D327='[2]Beam '!U$44,$P327*'[2]Beam '!U$45,0)</f>
        <v>0</v>
      </c>
      <c r="V327" s="7">
        <f>IF($D327='[2]Beam '!V$44,$P327*'[2]Beam '!V$45,0)</f>
        <v>0.92517857142857152</v>
      </c>
      <c r="W327" s="7">
        <f>IF($D327='[2]Beam '!W$44,$P327*'[2]Beam '!W$45,0)</f>
        <v>0</v>
      </c>
      <c r="X327" s="7">
        <f t="shared" si="62"/>
        <v>0.92517857142857152</v>
      </c>
      <c r="Y327" s="7"/>
      <c r="Z327" s="7"/>
      <c r="AA327" s="7"/>
      <c r="AB327" s="7"/>
      <c r="AC327" s="7"/>
      <c r="AD327" s="7"/>
      <c r="AE327" s="7"/>
    </row>
    <row r="328" spans="1:32" s="9" customFormat="1" ht="20.100000000000001" customHeight="1" x14ac:dyDescent="0.25">
      <c r="A328" s="7">
        <v>1</v>
      </c>
      <c r="B328" s="10" t="s">
        <v>2</v>
      </c>
      <c r="C328" s="11" t="s">
        <v>57</v>
      </c>
      <c r="D328" s="11">
        <v>1</v>
      </c>
      <c r="E328" s="11">
        <v>2.3479999999999999</v>
      </c>
      <c r="F328" s="11">
        <v>0.3</v>
      </c>
      <c r="G328" s="11">
        <v>0.8</v>
      </c>
      <c r="H328" s="7">
        <f>G328-0.2</f>
        <v>0.60000000000000009</v>
      </c>
      <c r="I328" s="7">
        <f>E328*F328*G328*D328</f>
        <v>0.56351999999999991</v>
      </c>
      <c r="J328" s="7">
        <f>(2*(E328)*H328*D328)+(E328*F328)</f>
        <v>3.5220000000000002</v>
      </c>
      <c r="K328" s="12">
        <f>IF(E328=0.3,J328,0)</f>
        <v>0</v>
      </c>
      <c r="L328" s="12">
        <f>IF(AND(E328&gt;0.3,E328&lt;=0.75),J328,0)</f>
        <v>0</v>
      </c>
      <c r="M328" s="12">
        <f>IF(AND(E328&gt;0.75,E328&lt;=1.2),J328,0)</f>
        <v>0</v>
      </c>
      <c r="N328" s="12">
        <f>IF(E328&gt;1.2,J328,0)</f>
        <v>3.5220000000000002</v>
      </c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>
        <f>SUM(X329:X337)/I328</f>
        <v>291.87431299180668</v>
      </c>
      <c r="Z328" s="7"/>
      <c r="AA328" s="7"/>
      <c r="AB328" s="7"/>
      <c r="AC328" s="7"/>
      <c r="AD328" s="7"/>
      <c r="AE328" s="7"/>
    </row>
    <row r="329" spans="1:32" s="9" customFormat="1" ht="20.100000000000001" customHeight="1" x14ac:dyDescent="0.25">
      <c r="A329" s="6"/>
      <c r="B329" s="10" t="s">
        <v>2</v>
      </c>
      <c r="C329" s="13" t="s">
        <v>4</v>
      </c>
      <c r="D329" s="7">
        <v>25</v>
      </c>
      <c r="E329" s="7"/>
      <c r="F329" s="7">
        <v>2</v>
      </c>
      <c r="G329" s="8">
        <f>VLOOKUP(D329,'[2]Beam '!$C$20:$H$26,3,0)</f>
        <v>1</v>
      </c>
      <c r="H329" s="8"/>
      <c r="I329" s="7"/>
      <c r="J329" s="7"/>
      <c r="K329" s="7"/>
      <c r="L329" s="7"/>
      <c r="M329" s="7"/>
      <c r="N329" s="7"/>
      <c r="O329" s="7">
        <f>(E328+1*(0.3/2))+G329*D328</f>
        <v>3.4979999999999998</v>
      </c>
      <c r="P329" s="7">
        <f t="shared" ref="P329:P340" si="63">O329*F329</f>
        <v>6.9959999999999996</v>
      </c>
      <c r="Q329" s="7">
        <f>IF($D329='[2]Beam '!Q$44,$P329*'[2]Beam '!Q$45,0)</f>
        <v>0</v>
      </c>
      <c r="R329" s="7">
        <f>IF($D329='[2]Beam '!R$44,$P329*'[2]Beam '!R$45,0)</f>
        <v>0</v>
      </c>
      <c r="S329" s="7">
        <f>IF($D329='[2]Beam '!S$44,$P329*'[2]Beam '!S$45,0)</f>
        <v>0</v>
      </c>
      <c r="T329" s="7">
        <f>IF($D329='[2]Beam '!T$44,$P329*'[2]Beam '!T$45,0)</f>
        <v>0</v>
      </c>
      <c r="U329" s="7">
        <f>IF($D329='[2]Beam '!U$44,$P329*'[2]Beam '!U$45,0)</f>
        <v>0</v>
      </c>
      <c r="V329" s="7">
        <f>IF($D329='[2]Beam '!V$44,$P329*'[2]Beam '!V$45,0)</f>
        <v>26.96895535714286</v>
      </c>
      <c r="W329" s="7">
        <f>IF($D329='[2]Beam '!W$44,$P329*'[2]Beam '!W$45,0)</f>
        <v>0</v>
      </c>
      <c r="X329" s="7">
        <f t="shared" ref="X329:X340" si="64">SUM(Q329:W329)</f>
        <v>26.96895535714286</v>
      </c>
      <c r="Y329" s="7"/>
      <c r="Z329" s="7"/>
      <c r="AA329" s="7"/>
      <c r="AB329" s="7"/>
      <c r="AC329" s="7"/>
      <c r="AD329" s="7"/>
      <c r="AE329" s="7"/>
    </row>
    <row r="330" spans="1:32" s="9" customFormat="1" ht="20.100000000000001" customHeight="1" x14ac:dyDescent="0.25">
      <c r="A330" s="6"/>
      <c r="B330" s="10" t="s">
        <v>2</v>
      </c>
      <c r="C330" s="13" t="s">
        <v>4</v>
      </c>
      <c r="D330" s="7">
        <v>20</v>
      </c>
      <c r="E330" s="7"/>
      <c r="F330" s="7">
        <v>1</v>
      </c>
      <c r="G330" s="8">
        <f>VLOOKUP(D330,'[2]Beam '!$C$20:$H$26,3,0)</f>
        <v>0.8</v>
      </c>
      <c r="H330" s="8"/>
      <c r="I330" s="7"/>
      <c r="J330" s="7"/>
      <c r="K330" s="7"/>
      <c r="L330" s="7"/>
      <c r="M330" s="7"/>
      <c r="N330" s="7"/>
      <c r="O330" s="7">
        <f>(E328+1*(0.3/2))+G330*D328</f>
        <v>3.298</v>
      </c>
      <c r="P330" s="7">
        <f t="shared" si="63"/>
        <v>3.298</v>
      </c>
      <c r="Q330" s="7">
        <f>IF($D330='[2]Beam '!Q$44,$P330*'[2]Beam '!Q$45,0)</f>
        <v>0</v>
      </c>
      <c r="R330" s="7">
        <f>IF($D330='[2]Beam '!R$44,$P330*'[2]Beam '!R$45,0)</f>
        <v>0</v>
      </c>
      <c r="S330" s="7">
        <f>IF($D330='[2]Beam '!S$44,$P330*'[2]Beam '!S$45,0)</f>
        <v>0</v>
      </c>
      <c r="T330" s="7">
        <f>IF($D330='[2]Beam '!T$44,$P330*'[2]Beam '!T$45,0)</f>
        <v>0</v>
      </c>
      <c r="U330" s="7">
        <f>IF($D330='[2]Beam '!U$44,$P330*'[2]Beam '!U$45,0)</f>
        <v>8.1366371428571433</v>
      </c>
      <c r="V330" s="7">
        <f>IF($D330='[2]Beam '!V$44,$P330*'[2]Beam '!V$45,0)</f>
        <v>0</v>
      </c>
      <c r="W330" s="7">
        <f>IF($D330='[2]Beam '!W$44,$P330*'[2]Beam '!W$45,0)</f>
        <v>0</v>
      </c>
      <c r="X330" s="7">
        <f t="shared" si="64"/>
        <v>8.1366371428571433</v>
      </c>
      <c r="Y330" s="7"/>
      <c r="Z330" s="7"/>
      <c r="AA330" s="7"/>
      <c r="AB330" s="7"/>
      <c r="AC330" s="7"/>
      <c r="AD330" s="7"/>
      <c r="AE330" s="7"/>
    </row>
    <row r="331" spans="1:32" s="9" customFormat="1" ht="20.100000000000001" customHeight="1" x14ac:dyDescent="0.25">
      <c r="A331" s="6"/>
      <c r="B331" s="10" t="s">
        <v>2</v>
      </c>
      <c r="C331" s="13" t="s">
        <v>5</v>
      </c>
      <c r="D331" s="7">
        <v>25</v>
      </c>
      <c r="E331" s="7"/>
      <c r="F331" s="7">
        <v>3</v>
      </c>
      <c r="G331" s="8">
        <f>VLOOKUP(D331,'[2]Beam '!$C$20:$H$26,3,0)</f>
        <v>1</v>
      </c>
      <c r="H331" s="8"/>
      <c r="I331" s="7"/>
      <c r="J331" s="7"/>
      <c r="K331" s="7"/>
      <c r="L331" s="7"/>
      <c r="M331" s="7"/>
      <c r="N331" s="7"/>
      <c r="O331" s="7">
        <f>(1.8++G331*D328)</f>
        <v>2.8</v>
      </c>
      <c r="P331" s="7">
        <f t="shared" si="63"/>
        <v>8.3999999999999986</v>
      </c>
      <c r="Q331" s="7">
        <f>IF($D331='[2]Beam '!Q$44,$P331*'[2]Beam '!Q$45,0)</f>
        <v>0</v>
      </c>
      <c r="R331" s="7">
        <f>IF($D331='[2]Beam '!R$44,$P331*'[2]Beam '!R$45,0)</f>
        <v>0</v>
      </c>
      <c r="S331" s="7">
        <f>IF($D331='[2]Beam '!S$44,$P331*'[2]Beam '!S$45,0)</f>
        <v>0</v>
      </c>
      <c r="T331" s="7">
        <f>IF($D331='[2]Beam '!T$44,$P331*'[2]Beam '!T$45,0)</f>
        <v>0</v>
      </c>
      <c r="U331" s="7">
        <f>IF($D331='[2]Beam '!U$44,$P331*'[2]Beam '!U$45,0)</f>
        <v>0</v>
      </c>
      <c r="V331" s="7">
        <f>IF($D331='[2]Beam '!V$44,$P331*'[2]Beam '!V$45,0)</f>
        <v>32.381250000000001</v>
      </c>
      <c r="W331" s="7">
        <f>IF($D331='[2]Beam '!W$44,$P331*'[2]Beam '!W$45,0)</f>
        <v>0</v>
      </c>
      <c r="X331" s="7">
        <f t="shared" si="64"/>
        <v>32.381250000000001</v>
      </c>
      <c r="Y331" s="7"/>
      <c r="Z331" s="7"/>
      <c r="AA331" s="7"/>
      <c r="AB331" s="7"/>
      <c r="AC331" s="7"/>
      <c r="AD331" s="7"/>
      <c r="AE331" s="7"/>
    </row>
    <row r="332" spans="1:32" s="9" customFormat="1" ht="20.100000000000001" customHeight="1" x14ac:dyDescent="0.25">
      <c r="A332" s="6"/>
      <c r="B332" s="10" t="s">
        <v>2</v>
      </c>
      <c r="C332" s="13" t="s">
        <v>6</v>
      </c>
      <c r="D332" s="7">
        <v>25</v>
      </c>
      <c r="E332" s="7"/>
      <c r="F332" s="7">
        <v>2</v>
      </c>
      <c r="G332" s="8">
        <f>VLOOKUP(D332,'[2]Beam '!$C$20:$H$26,3,0)</f>
        <v>1</v>
      </c>
      <c r="H332" s="7"/>
      <c r="I332" s="7"/>
      <c r="J332" s="7"/>
      <c r="K332" s="7"/>
      <c r="L332" s="7"/>
      <c r="M332" s="7"/>
      <c r="N332" s="7"/>
      <c r="O332" s="7">
        <f>(E328+2*(0.3/2))*D328</f>
        <v>2.6479999999999997</v>
      </c>
      <c r="P332" s="7">
        <f t="shared" si="63"/>
        <v>5.2959999999999994</v>
      </c>
      <c r="Q332" s="7">
        <f>IF($D332='[2]Beam '!Q$44,$P332*'[2]Beam '!Q$45,0)</f>
        <v>0</v>
      </c>
      <c r="R332" s="7">
        <f>IF($D332='[2]Beam '!R$44,$P332*'[2]Beam '!R$45,0)</f>
        <v>0</v>
      </c>
      <c r="S332" s="7">
        <f>IF($D332='[2]Beam '!S$44,$P332*'[2]Beam '!S$45,0)</f>
        <v>0</v>
      </c>
      <c r="T332" s="7">
        <f>IF($D332='[2]Beam '!T$44,$P332*'[2]Beam '!T$45,0)</f>
        <v>0</v>
      </c>
      <c r="U332" s="7">
        <f>IF($D332='[2]Beam '!U$44,$P332*'[2]Beam '!U$45,0)</f>
        <v>0</v>
      </c>
      <c r="V332" s="7">
        <f>IF($D332='[2]Beam '!V$44,$P332*'[2]Beam '!V$45,0)</f>
        <v>20.415607142857144</v>
      </c>
      <c r="W332" s="7">
        <f>IF($D332='[2]Beam '!W$44,$P332*'[2]Beam '!W$45,0)</f>
        <v>0</v>
      </c>
      <c r="X332" s="7">
        <f t="shared" si="64"/>
        <v>20.415607142857144</v>
      </c>
      <c r="Y332" s="7"/>
      <c r="Z332" s="7"/>
      <c r="AA332" s="7"/>
      <c r="AB332" s="7"/>
      <c r="AC332" s="7"/>
      <c r="AD332" s="7"/>
      <c r="AE332" s="7"/>
    </row>
    <row r="333" spans="1:32" s="9" customFormat="1" ht="20.100000000000001" customHeight="1" x14ac:dyDescent="0.25">
      <c r="A333" s="6"/>
      <c r="B333" s="10" t="s">
        <v>2</v>
      </c>
      <c r="C333" s="13" t="s">
        <v>6</v>
      </c>
      <c r="D333" s="7">
        <v>20</v>
      </c>
      <c r="E333" s="7"/>
      <c r="F333" s="7">
        <v>1</v>
      </c>
      <c r="G333" s="8">
        <f>VLOOKUP(D333,'[2]Beam '!$C$20:$H$26,3,0)</f>
        <v>0.8</v>
      </c>
      <c r="H333" s="7"/>
      <c r="I333" s="7"/>
      <c r="J333" s="7"/>
      <c r="K333" s="7"/>
      <c r="L333" s="7"/>
      <c r="M333" s="7"/>
      <c r="N333" s="7"/>
      <c r="O333" s="7">
        <f>(E328+2*(0.3/2))*D328</f>
        <v>2.6479999999999997</v>
      </c>
      <c r="P333" s="7">
        <f t="shared" si="63"/>
        <v>2.6479999999999997</v>
      </c>
      <c r="Q333" s="7">
        <f>IF($D333='[2]Beam '!Q$44,$P333*'[2]Beam '!Q$45,0)</f>
        <v>0</v>
      </c>
      <c r="R333" s="7">
        <f>IF($D333='[2]Beam '!R$44,$P333*'[2]Beam '!R$45,0)</f>
        <v>0</v>
      </c>
      <c r="S333" s="7">
        <f>IF($D333='[2]Beam '!S$44,$P333*'[2]Beam '!S$45,0)</f>
        <v>0</v>
      </c>
      <c r="T333" s="7">
        <f>IF($D333='[2]Beam '!T$44,$P333*'[2]Beam '!T$45,0)</f>
        <v>0</v>
      </c>
      <c r="U333" s="7">
        <f>IF($D333='[2]Beam '!U$44,$P333*'[2]Beam '!U$45,0)</f>
        <v>6.5329942857142846</v>
      </c>
      <c r="V333" s="7">
        <f>IF($D333='[2]Beam '!V$44,$P333*'[2]Beam '!V$45,0)</f>
        <v>0</v>
      </c>
      <c r="W333" s="7">
        <f>IF($D333='[2]Beam '!W$44,$P333*'[2]Beam '!W$45,0)</f>
        <v>0</v>
      </c>
      <c r="X333" s="7">
        <f t="shared" si="64"/>
        <v>6.5329942857142846</v>
      </c>
      <c r="Y333" s="7"/>
      <c r="Z333" s="7"/>
      <c r="AA333" s="7"/>
      <c r="AB333" s="7"/>
      <c r="AC333" s="7"/>
      <c r="AD333" s="7"/>
      <c r="AE333" s="7"/>
    </row>
    <row r="334" spans="1:32" s="9" customFormat="1" ht="20.100000000000001" customHeight="1" x14ac:dyDescent="0.25">
      <c r="A334" s="6"/>
      <c r="B334" s="10" t="s">
        <v>2</v>
      </c>
      <c r="C334" s="13" t="s">
        <v>13</v>
      </c>
      <c r="D334" s="7">
        <v>16</v>
      </c>
      <c r="E334" s="7"/>
      <c r="F334" s="7">
        <v>2</v>
      </c>
      <c r="G334" s="8">
        <f>VLOOKUP(D334,'[2]Beam '!$C$20:$H$26,3,0)</f>
        <v>0.625</v>
      </c>
      <c r="H334" s="7"/>
      <c r="I334" s="7"/>
      <c r="J334" s="7"/>
      <c r="K334" s="7"/>
      <c r="L334" s="7"/>
      <c r="M334" s="7"/>
      <c r="N334" s="7"/>
      <c r="O334" s="7">
        <f>(1.8+1*(0.3/2))*D328</f>
        <v>1.95</v>
      </c>
      <c r="P334" s="7">
        <f t="shared" si="63"/>
        <v>3.9</v>
      </c>
      <c r="Q334" s="7">
        <f>IF($D334='[2]Beam '!Q$44,$P334*'[2]Beam '!Q$45,0)</f>
        <v>0</v>
      </c>
      <c r="R334" s="7">
        <f>IF($D334='[2]Beam '!R$44,$P334*'[2]Beam '!R$45,0)</f>
        <v>0</v>
      </c>
      <c r="S334" s="7">
        <f>IF($D334='[2]Beam '!S$44,$P334*'[2]Beam '!S$45,0)</f>
        <v>0</v>
      </c>
      <c r="T334" s="7">
        <f>IF($D334='[2]Beam '!T$44,$P334*'[2]Beam '!T$45,0)</f>
        <v>6.1579885714285716</v>
      </c>
      <c r="U334" s="7">
        <f>IF($D334='[2]Beam '!U$44,$P334*'[2]Beam '!U$45,0)</f>
        <v>0</v>
      </c>
      <c r="V334" s="7">
        <f>IF($D334='[2]Beam '!V$44,$P334*'[2]Beam '!V$45,0)</f>
        <v>0</v>
      </c>
      <c r="W334" s="7">
        <f>IF($D334='[2]Beam '!W$44,$P334*'[2]Beam '!W$45,0)</f>
        <v>0</v>
      </c>
      <c r="X334" s="7">
        <f t="shared" si="64"/>
        <v>6.1579885714285716</v>
      </c>
      <c r="Y334" s="7"/>
      <c r="Z334" s="7"/>
      <c r="AA334" s="7"/>
      <c r="AB334" s="7"/>
      <c r="AC334" s="7"/>
      <c r="AD334" s="7"/>
      <c r="AE334" s="7"/>
    </row>
    <row r="335" spans="1:32" s="14" customFormat="1" ht="20.100000000000001" customHeight="1" x14ac:dyDescent="0.3">
      <c r="A335" s="6"/>
      <c r="B335" s="10" t="s">
        <v>2</v>
      </c>
      <c r="C335" s="13" t="s">
        <v>13</v>
      </c>
      <c r="D335" s="7">
        <v>25</v>
      </c>
      <c r="E335" s="7"/>
      <c r="F335" s="7">
        <v>2</v>
      </c>
      <c r="G335" s="8">
        <f>VLOOKUP(D335,'[2]Beam '!$C$20:$H$26,3,0)</f>
        <v>1</v>
      </c>
      <c r="H335" s="7"/>
      <c r="I335" s="7"/>
      <c r="J335" s="7"/>
      <c r="K335" s="7"/>
      <c r="L335" s="7"/>
      <c r="M335" s="7"/>
      <c r="N335" s="7"/>
      <c r="O335" s="7">
        <f>(1.8+1*(0.3/2))*D328</f>
        <v>1.95</v>
      </c>
      <c r="P335" s="7">
        <f t="shared" si="63"/>
        <v>3.9</v>
      </c>
      <c r="Q335" s="7">
        <f>IF($D335='[2]Beam '!Q$44,$P335*'[2]Beam '!Q$45,0)</f>
        <v>0</v>
      </c>
      <c r="R335" s="7">
        <f>IF($D335='[2]Beam '!R$44,$P335*'[2]Beam '!R$45,0)</f>
        <v>0</v>
      </c>
      <c r="S335" s="7">
        <f>IF($D335='[2]Beam '!S$44,$P335*'[2]Beam '!S$45,0)</f>
        <v>0</v>
      </c>
      <c r="T335" s="7">
        <f>IF($D335='[2]Beam '!T$44,$P335*'[2]Beam '!T$45,0)</f>
        <v>0</v>
      </c>
      <c r="U335" s="7">
        <f>IF($D335='[2]Beam '!U$44,$P335*'[2]Beam '!U$45,0)</f>
        <v>0</v>
      </c>
      <c r="V335" s="7">
        <f>IF($D335='[2]Beam '!V$44,$P335*'[2]Beam '!V$45,0)</f>
        <v>15.034151785714288</v>
      </c>
      <c r="W335" s="7">
        <f>IF($D335='[2]Beam '!W$44,$P335*'[2]Beam '!W$45,0)</f>
        <v>0</v>
      </c>
      <c r="X335" s="7">
        <f t="shared" si="64"/>
        <v>15.034151785714288</v>
      </c>
      <c r="Y335" s="7"/>
    </row>
    <row r="336" spans="1:32" s="14" customFormat="1" ht="20.100000000000001" customHeight="1" x14ac:dyDescent="0.25">
      <c r="A336" s="6"/>
      <c r="B336" s="10" t="s">
        <v>2</v>
      </c>
      <c r="C336" s="13" t="s">
        <v>7</v>
      </c>
      <c r="D336" s="7">
        <v>12</v>
      </c>
      <c r="E336" s="7">
        <v>0.1</v>
      </c>
      <c r="F336" s="7">
        <f>ROUNDUP((E328/3*2)/E336,0)+1</f>
        <v>17</v>
      </c>
      <c r="G336" s="9"/>
      <c r="H336" s="7"/>
      <c r="I336" s="7"/>
      <c r="J336" s="7"/>
      <c r="K336" s="7"/>
      <c r="L336" s="7"/>
      <c r="M336" s="7"/>
      <c r="N336" s="7"/>
      <c r="O336" s="7">
        <f>(2*((G328-(2*'[2]Beam '!$D$11))+(F328-(2*'[2]Beam '!$D$11)))+(2*10*D336/1000))*D328</f>
        <v>2.2000000000000002</v>
      </c>
      <c r="P336" s="7">
        <f t="shared" si="63"/>
        <v>37.400000000000006</v>
      </c>
      <c r="Q336" s="7">
        <f>IF($D336='[2]Beam '!Q$44,$P336*'[2]Beam '!Q$45,0)</f>
        <v>0</v>
      </c>
      <c r="R336" s="7">
        <f>IF($D336='[2]Beam '!R$44,$P336*'[2]Beam '!R$45,0)</f>
        <v>0</v>
      </c>
      <c r="S336" s="7">
        <f>IF($D336='[2]Beam '!S$44,$P336*'[2]Beam '!S$45,0)</f>
        <v>33.217611428571438</v>
      </c>
      <c r="T336" s="7">
        <f>IF($D336='[2]Beam '!T$44,$P336*'[2]Beam '!T$45,0)</f>
        <v>0</v>
      </c>
      <c r="U336" s="7">
        <f>IF($D336='[2]Beam '!U$44,$P336*'[2]Beam '!U$45,0)</f>
        <v>0</v>
      </c>
      <c r="V336" s="7">
        <f>IF($D336='[2]Beam '!V$44,$P336*'[2]Beam '!V$45,0)</f>
        <v>0</v>
      </c>
      <c r="W336" s="7">
        <f>IF($D336='[2]Beam '!W$44,$P336*'[2]Beam '!W$45,0)</f>
        <v>0</v>
      </c>
      <c r="X336" s="7">
        <f t="shared" si="64"/>
        <v>33.217611428571438</v>
      </c>
      <c r="Y336" s="7"/>
    </row>
    <row r="337" spans="1:32" s="14" customFormat="1" ht="20.100000000000001" customHeight="1" x14ac:dyDescent="0.25">
      <c r="B337" s="10" t="s">
        <v>2</v>
      </c>
      <c r="C337" s="13" t="s">
        <v>8</v>
      </c>
      <c r="D337" s="14">
        <f>D336</f>
        <v>12</v>
      </c>
      <c r="E337" s="14">
        <v>0.125</v>
      </c>
      <c r="F337" s="7">
        <f>ROUNDUP((E328/3)/E337,0)+1</f>
        <v>8</v>
      </c>
      <c r="G337" s="9"/>
      <c r="O337" s="7">
        <f>(2*((G328-(2*'[2]Beam '!$D$11))+(F328-(2*'[2]Beam '!$D$11)))+(2*10*D337/1000))*D328</f>
        <v>2.2000000000000002</v>
      </c>
      <c r="P337" s="7">
        <f t="shared" si="63"/>
        <v>17.600000000000001</v>
      </c>
      <c r="Q337" s="7">
        <f>IF($D337='[2]Beam '!Q$44,$P337*'[2]Beam '!Q$45,0)</f>
        <v>0</v>
      </c>
      <c r="R337" s="7">
        <f>IF($D337='[2]Beam '!R$44,$P337*'[2]Beam '!R$45,0)</f>
        <v>0</v>
      </c>
      <c r="S337" s="7">
        <f>IF($D337='[2]Beam '!S$44,$P337*'[2]Beam '!S$45,0)</f>
        <v>15.631817142857146</v>
      </c>
      <c r="T337" s="7">
        <f>IF($D337='[2]Beam '!T$44,$P337*'[2]Beam '!T$45,0)</f>
        <v>0</v>
      </c>
      <c r="U337" s="7">
        <f>IF($D337='[2]Beam '!U$44,$P337*'[2]Beam '!U$45,0)</f>
        <v>0</v>
      </c>
      <c r="V337" s="7">
        <f>IF($D337='[2]Beam '!V$44,$P337*'[2]Beam '!V$45,0)</f>
        <v>0</v>
      </c>
      <c r="W337" s="7">
        <f>IF($D337='[2]Beam '!W$44,$P337*'[2]Beam '!W$45,0)</f>
        <v>0</v>
      </c>
      <c r="X337" s="7">
        <f t="shared" si="64"/>
        <v>15.631817142857146</v>
      </c>
    </row>
    <row r="338" spans="1:32" s="9" customFormat="1" ht="20.100000000000001" customHeight="1" x14ac:dyDescent="0.25">
      <c r="A338" s="14"/>
      <c r="B338" s="10" t="s">
        <v>2</v>
      </c>
      <c r="C338" s="13" t="s">
        <v>47</v>
      </c>
      <c r="D338" s="14">
        <f>D336</f>
        <v>12</v>
      </c>
      <c r="E338" s="14">
        <f>+E336</f>
        <v>0.1</v>
      </c>
      <c r="F338" s="7">
        <f>ROUNDUP((E328/3*2)/E338,0)+1</f>
        <v>17</v>
      </c>
      <c r="H338" s="14"/>
      <c r="I338" s="14"/>
      <c r="J338" s="14"/>
      <c r="K338" s="14"/>
      <c r="L338" s="14"/>
      <c r="M338" s="14"/>
      <c r="N338" s="14"/>
      <c r="O338" s="7">
        <f>((((G328-(2*'[2]Beam '!$D$11))+(2*10*D338/1000))*D328))</f>
        <v>0.98</v>
      </c>
      <c r="P338" s="7">
        <f t="shared" si="63"/>
        <v>16.66</v>
      </c>
      <c r="Q338" s="7">
        <f>IF($D338='[2]Beam '!Q$44,$P338*'[2]Beam '!Q$45,0)</f>
        <v>0</v>
      </c>
      <c r="R338" s="7">
        <f>IF($D338='[2]Beam '!R$44,$P338*'[2]Beam '!R$45,0)</f>
        <v>0</v>
      </c>
      <c r="S338" s="7">
        <f>IF($D338='[2]Beam '!S$44,$P338*'[2]Beam '!S$45,0)</f>
        <v>14.796936000000002</v>
      </c>
      <c r="T338" s="7">
        <f>IF($D338='[2]Beam '!T$44,$P338*'[2]Beam '!T$45,0)</f>
        <v>0</v>
      </c>
      <c r="U338" s="7">
        <f>IF($D338='[2]Beam '!U$44,$P338*'[2]Beam '!U$45,0)</f>
        <v>0</v>
      </c>
      <c r="V338" s="7">
        <f>IF($D338='[2]Beam '!V$44,$P338*'[2]Beam '!V$45,0)</f>
        <v>0</v>
      </c>
      <c r="W338" s="7">
        <f>IF($D338='[2]Beam '!W$44,$P338*'[2]Beam '!W$45,0)</f>
        <v>0</v>
      </c>
      <c r="X338" s="7">
        <f t="shared" si="64"/>
        <v>14.796936000000002</v>
      </c>
      <c r="Y338" s="14"/>
      <c r="Z338" s="7"/>
      <c r="AA338" s="7"/>
      <c r="AB338" s="7"/>
      <c r="AC338" s="7"/>
      <c r="AD338" s="7"/>
      <c r="AE338" s="7"/>
    </row>
    <row r="339" spans="1:32" s="9" customFormat="1" ht="21" customHeight="1" x14ac:dyDescent="0.25">
      <c r="A339" s="14"/>
      <c r="B339" s="10" t="s">
        <v>2</v>
      </c>
      <c r="C339" s="13" t="s">
        <v>47</v>
      </c>
      <c r="D339" s="14">
        <f>D337</f>
        <v>12</v>
      </c>
      <c r="E339" s="14">
        <f>+E337</f>
        <v>0.125</v>
      </c>
      <c r="F339" s="7">
        <f>ROUNDUP((E328/3)/E339,0)+1</f>
        <v>8</v>
      </c>
      <c r="H339" s="14"/>
      <c r="I339" s="14"/>
      <c r="J339" s="14"/>
      <c r="K339" s="14"/>
      <c r="L339" s="14"/>
      <c r="M339" s="14"/>
      <c r="N339" s="14"/>
      <c r="O339" s="7">
        <f>((((G328-(2*'[2]Beam '!$D$11))+(2*10*D339/1000))*D328))</f>
        <v>0.98</v>
      </c>
      <c r="P339" s="7">
        <f t="shared" si="63"/>
        <v>7.84</v>
      </c>
      <c r="Q339" s="7">
        <f>IF($D339='[2]Beam '!Q$44,$P339*'[2]Beam '!Q$45,0)</f>
        <v>0</v>
      </c>
      <c r="R339" s="7">
        <f>IF($D339='[2]Beam '!R$44,$P339*'[2]Beam '!R$45,0)</f>
        <v>0</v>
      </c>
      <c r="S339" s="7">
        <f>IF($D339='[2]Beam '!S$44,$P339*'[2]Beam '!S$45,0)</f>
        <v>6.9632640000000015</v>
      </c>
      <c r="T339" s="7">
        <f>IF($D339='[2]Beam '!T$44,$P339*'[2]Beam '!T$45,0)</f>
        <v>0</v>
      </c>
      <c r="U339" s="7">
        <f>IF($D339='[2]Beam '!U$44,$P339*'[2]Beam '!U$45,0)</f>
        <v>0</v>
      </c>
      <c r="V339" s="7">
        <f>IF($D339='[2]Beam '!V$44,$P339*'[2]Beam '!V$45,0)</f>
        <v>0</v>
      </c>
      <c r="W339" s="7">
        <f>IF($D339='[2]Beam '!W$44,$P339*'[2]Beam '!W$45,0)</f>
        <v>0</v>
      </c>
      <c r="X339" s="7">
        <f t="shared" si="64"/>
        <v>6.9632640000000015</v>
      </c>
      <c r="Y339" s="14"/>
      <c r="Z339" s="7"/>
      <c r="AA339" s="7"/>
      <c r="AB339" s="7"/>
      <c r="AC339" s="7"/>
      <c r="AD339" s="7"/>
      <c r="AE339" s="7"/>
      <c r="AF339" s="7"/>
    </row>
    <row r="340" spans="1:32" s="9" customFormat="1" ht="20.100000000000001" customHeight="1" x14ac:dyDescent="0.25">
      <c r="A340" s="6"/>
      <c r="B340" s="10" t="s">
        <v>2</v>
      </c>
      <c r="C340" s="13" t="s">
        <v>11</v>
      </c>
      <c r="D340" s="7">
        <f>+'[2]Beam '!$D$15</f>
        <v>25</v>
      </c>
      <c r="E340" s="7">
        <f>+'[2]Beam '!$E$15</f>
        <v>1</v>
      </c>
      <c r="F340" s="7">
        <f>ROUNDUP((1.8+1.8)/E340,0)</f>
        <v>4</v>
      </c>
      <c r="G340" s="8"/>
      <c r="H340" s="8"/>
      <c r="I340" s="7"/>
      <c r="J340" s="7"/>
      <c r="K340" s="7"/>
      <c r="L340" s="7"/>
      <c r="M340" s="7"/>
      <c r="N340" s="7"/>
      <c r="O340" s="7">
        <f>F328-'[2]Beam '!$F$15</f>
        <v>0.24</v>
      </c>
      <c r="P340" s="7">
        <f t="shared" si="63"/>
        <v>0.96</v>
      </c>
      <c r="Q340" s="7">
        <f>IF($D340='[2]Beam '!Q$44,$P340*'[2]Beam '!Q$45,0)</f>
        <v>0</v>
      </c>
      <c r="R340" s="7">
        <f>IF($D340='[2]Beam '!R$44,$P340*'[2]Beam '!R$45,0)</f>
        <v>0</v>
      </c>
      <c r="S340" s="7">
        <f>IF($D340='[2]Beam '!S$44,$P340*'[2]Beam '!S$45,0)</f>
        <v>0</v>
      </c>
      <c r="T340" s="7">
        <f>IF($D340='[2]Beam '!T$44,$P340*'[2]Beam '!T$45,0)</f>
        <v>0</v>
      </c>
      <c r="U340" s="7">
        <f>IF($D340='[2]Beam '!U$44,$P340*'[2]Beam '!U$45,0)</f>
        <v>0</v>
      </c>
      <c r="V340" s="7">
        <f>IF($D340='[2]Beam '!V$44,$P340*'[2]Beam '!V$45,0)</f>
        <v>3.7007142857142861</v>
      </c>
      <c r="W340" s="7">
        <f>IF($D340='[2]Beam '!W$44,$P340*'[2]Beam '!W$45,0)</f>
        <v>0</v>
      </c>
      <c r="X340" s="7">
        <f t="shared" si="64"/>
        <v>3.7007142857142861</v>
      </c>
      <c r="Y340" s="7"/>
      <c r="Z340" s="7"/>
      <c r="AA340" s="7"/>
      <c r="AB340" s="7"/>
      <c r="AC340" s="7"/>
      <c r="AD340" s="7"/>
      <c r="AE340" s="7"/>
    </row>
    <row r="341" spans="1:32" s="9" customFormat="1" ht="20.100000000000001" customHeight="1" x14ac:dyDescent="0.25">
      <c r="A341" s="7">
        <v>1</v>
      </c>
      <c r="B341" s="10" t="s">
        <v>2</v>
      </c>
      <c r="C341" s="11" t="s">
        <v>58</v>
      </c>
      <c r="D341" s="11">
        <v>1</v>
      </c>
      <c r="E341" s="11">
        <v>4.1989999999999998</v>
      </c>
      <c r="F341" s="11">
        <v>0.3</v>
      </c>
      <c r="G341" s="11">
        <v>1.1000000000000001</v>
      </c>
      <c r="H341" s="7">
        <f>G341-0.2</f>
        <v>0.90000000000000013</v>
      </c>
      <c r="I341" s="7">
        <f>E341*F341*G341*D341</f>
        <v>1.38567</v>
      </c>
      <c r="J341" s="7">
        <f>(2*(E341)*H341*D341)+(E341*F341)</f>
        <v>8.8179000000000016</v>
      </c>
      <c r="K341" s="12">
        <f>IF(E341=0.3,J341,0)</f>
        <v>0</v>
      </c>
      <c r="L341" s="12">
        <f>IF(AND(E341&gt;0.3,E341&lt;=0.75),J341,0)</f>
        <v>0</v>
      </c>
      <c r="M341" s="12">
        <f>IF(AND(E341&gt;0.75,E341&lt;=1.2),J341,0)</f>
        <v>0</v>
      </c>
      <c r="N341" s="12">
        <f>IF(E341&gt;1.2,J341,0)</f>
        <v>8.8179000000000016</v>
      </c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>
        <f>SUM(X342:X350)/I341</f>
        <v>191.57199503283098</v>
      </c>
      <c r="Z341" s="7"/>
      <c r="AA341" s="7"/>
      <c r="AB341" s="7"/>
      <c r="AC341" s="7"/>
      <c r="AD341" s="7"/>
      <c r="AE341" s="7"/>
    </row>
    <row r="342" spans="1:32" s="9" customFormat="1" ht="20.100000000000001" customHeight="1" x14ac:dyDescent="0.25">
      <c r="A342" s="6"/>
      <c r="B342" s="10" t="s">
        <v>2</v>
      </c>
      <c r="C342" s="13" t="s">
        <v>4</v>
      </c>
      <c r="D342" s="7">
        <v>25</v>
      </c>
      <c r="E342" s="7"/>
      <c r="F342" s="7">
        <v>2</v>
      </c>
      <c r="G342" s="8">
        <f>VLOOKUP(D342,'[2]Beam '!$C$20:$H$26,3,0)</f>
        <v>1</v>
      </c>
      <c r="H342" s="8"/>
      <c r="I342" s="7"/>
      <c r="J342" s="7"/>
      <c r="K342" s="7"/>
      <c r="L342" s="7"/>
      <c r="M342" s="7"/>
      <c r="N342" s="7"/>
      <c r="O342" s="7">
        <f>(E341+1*(G342+(12*D342/1000)))+1*(0.5/2)*D341</f>
        <v>5.7489999999999997</v>
      </c>
      <c r="P342" s="7">
        <f t="shared" ref="P342:P351" si="65">O342*F342</f>
        <v>11.497999999999999</v>
      </c>
      <c r="Q342" s="7">
        <f>IF($D342='[2]Beam '!Q$44,$P342*'[2]Beam '!Q$45,0)</f>
        <v>0</v>
      </c>
      <c r="R342" s="7">
        <f>IF($D342='[2]Beam '!R$44,$P342*'[2]Beam '!R$45,0)</f>
        <v>0</v>
      </c>
      <c r="S342" s="7">
        <f>IF($D342='[2]Beam '!S$44,$P342*'[2]Beam '!S$45,0)</f>
        <v>0</v>
      </c>
      <c r="T342" s="7">
        <f>IF($D342='[2]Beam '!T$44,$P342*'[2]Beam '!T$45,0)</f>
        <v>0</v>
      </c>
      <c r="U342" s="7">
        <f>IF($D342='[2]Beam '!U$44,$P342*'[2]Beam '!U$45,0)</f>
        <v>0</v>
      </c>
      <c r="V342" s="7">
        <f>IF($D342='[2]Beam '!V$44,$P342*'[2]Beam '!V$45,0)</f>
        <v>44.323763392857146</v>
      </c>
      <c r="W342" s="7">
        <f>IF($D342='[2]Beam '!W$44,$P342*'[2]Beam '!W$45,0)</f>
        <v>0</v>
      </c>
      <c r="X342" s="7">
        <f t="shared" ref="X342:X351" si="66">SUM(Q342:W342)</f>
        <v>44.323763392857146</v>
      </c>
      <c r="Y342" s="7"/>
      <c r="Z342" s="7"/>
      <c r="AA342" s="7"/>
      <c r="AB342" s="7"/>
      <c r="AC342" s="7"/>
      <c r="AD342" s="7"/>
      <c r="AE342" s="7"/>
    </row>
    <row r="343" spans="1:32" s="9" customFormat="1" ht="20.100000000000001" customHeight="1" x14ac:dyDescent="0.25">
      <c r="A343" s="6"/>
      <c r="B343" s="10" t="s">
        <v>2</v>
      </c>
      <c r="C343" s="13" t="s">
        <v>4</v>
      </c>
      <c r="D343" s="7">
        <v>20</v>
      </c>
      <c r="E343" s="7"/>
      <c r="F343" s="7">
        <v>1</v>
      </c>
      <c r="G343" s="8">
        <f>VLOOKUP(D343,'[2]Beam '!$C$20:$H$26,3,0)</f>
        <v>0.8</v>
      </c>
      <c r="H343" s="8"/>
      <c r="I343" s="7"/>
      <c r="J343" s="7"/>
      <c r="K343" s="7"/>
      <c r="L343" s="7"/>
      <c r="M343" s="7"/>
      <c r="N343" s="7"/>
      <c r="O343" s="7">
        <f>(E341+1*(G343+(12*D343/1000)))+1*(0.5/2)*D341</f>
        <v>5.4889999999999999</v>
      </c>
      <c r="P343" s="7">
        <f t="shared" si="65"/>
        <v>5.4889999999999999</v>
      </c>
      <c r="Q343" s="7">
        <f>IF($D343='[2]Beam '!Q$44,$P343*'[2]Beam '!Q$45,0)</f>
        <v>0</v>
      </c>
      <c r="R343" s="7">
        <f>IF($D343='[2]Beam '!R$44,$P343*'[2]Beam '!R$45,0)</f>
        <v>0</v>
      </c>
      <c r="S343" s="7">
        <f>IF($D343='[2]Beam '!S$44,$P343*'[2]Beam '!S$45,0)</f>
        <v>0</v>
      </c>
      <c r="T343" s="7">
        <f>IF($D343='[2]Beam '!T$44,$P343*'[2]Beam '!T$45,0)</f>
        <v>0</v>
      </c>
      <c r="U343" s="7">
        <f>IF($D343='[2]Beam '!U$44,$P343*'[2]Beam '!U$45,0)</f>
        <v>13.542147142857143</v>
      </c>
      <c r="V343" s="7">
        <f>IF($D343='[2]Beam '!V$44,$P343*'[2]Beam '!V$45,0)</f>
        <v>0</v>
      </c>
      <c r="W343" s="7">
        <f>IF($D343='[2]Beam '!W$44,$P343*'[2]Beam '!W$45,0)</f>
        <v>0</v>
      </c>
      <c r="X343" s="7">
        <f t="shared" si="66"/>
        <v>13.542147142857143</v>
      </c>
      <c r="Y343" s="7"/>
      <c r="Z343" s="7"/>
      <c r="AA343" s="7"/>
      <c r="AB343" s="7"/>
      <c r="AC343" s="7"/>
      <c r="AD343" s="7"/>
      <c r="AE343" s="7"/>
    </row>
    <row r="344" spans="1:32" s="9" customFormat="1" ht="20.100000000000001" customHeight="1" x14ac:dyDescent="0.25">
      <c r="A344" s="6"/>
      <c r="B344" s="10" t="s">
        <v>2</v>
      </c>
      <c r="C344" s="13" t="s">
        <v>46</v>
      </c>
      <c r="D344" s="7">
        <v>20</v>
      </c>
      <c r="E344" s="7"/>
      <c r="F344" s="7">
        <v>2</v>
      </c>
      <c r="G344" s="8">
        <f>VLOOKUP(D344,'[2]Beam '!$C$20:$H$26,3,0)</f>
        <v>0.8</v>
      </c>
      <c r="H344" s="8"/>
      <c r="I344" s="7"/>
      <c r="J344" s="7"/>
      <c r="K344" s="7"/>
      <c r="L344" s="7"/>
      <c r="M344" s="7"/>
      <c r="N344" s="7"/>
      <c r="O344" s="7">
        <f>(1.8+1*(0.5/2))*D341</f>
        <v>2.0499999999999998</v>
      </c>
      <c r="P344" s="7">
        <f t="shared" si="65"/>
        <v>4.0999999999999996</v>
      </c>
      <c r="Q344" s="7">
        <f>IF($D344='[2]Beam '!Q$44,$P344*'[2]Beam '!Q$45,0)</f>
        <v>0</v>
      </c>
      <c r="R344" s="7">
        <f>IF($D344='[2]Beam '!R$44,$P344*'[2]Beam '!R$45,0)</f>
        <v>0</v>
      </c>
      <c r="S344" s="7">
        <f>IF($D344='[2]Beam '!S$44,$P344*'[2]Beam '!S$45,0)</f>
        <v>0</v>
      </c>
      <c r="T344" s="7">
        <f>IF($D344='[2]Beam '!T$44,$P344*'[2]Beam '!T$45,0)</f>
        <v>0</v>
      </c>
      <c r="U344" s="7">
        <f>IF($D344='[2]Beam '!U$44,$P344*'[2]Beam '!U$45,0)</f>
        <v>10.115285714285713</v>
      </c>
      <c r="V344" s="7">
        <f>IF($D344='[2]Beam '!V$44,$P344*'[2]Beam '!V$45,0)</f>
        <v>0</v>
      </c>
      <c r="W344" s="7">
        <f>IF($D344='[2]Beam '!W$44,$P344*'[2]Beam '!W$45,0)</f>
        <v>0</v>
      </c>
      <c r="X344" s="7">
        <f t="shared" si="66"/>
        <v>10.115285714285713</v>
      </c>
      <c r="Y344" s="7"/>
      <c r="Z344" s="7"/>
      <c r="AA344" s="7"/>
      <c r="AB344" s="7"/>
      <c r="AC344" s="7"/>
      <c r="AD344" s="7"/>
      <c r="AE344" s="7"/>
    </row>
    <row r="345" spans="1:32" s="9" customFormat="1" ht="20.100000000000001" customHeight="1" x14ac:dyDescent="0.25">
      <c r="A345" s="6"/>
      <c r="B345" s="10" t="s">
        <v>2</v>
      </c>
      <c r="C345" s="13" t="s">
        <v>6</v>
      </c>
      <c r="D345" s="7">
        <v>25</v>
      </c>
      <c r="E345" s="7"/>
      <c r="F345" s="7">
        <v>2</v>
      </c>
      <c r="G345" s="8">
        <f>VLOOKUP(D345,'[2]Beam '!$C$20:$H$26,3,0)</f>
        <v>1</v>
      </c>
      <c r="H345" s="7"/>
      <c r="I345" s="7"/>
      <c r="J345" s="7"/>
      <c r="K345" s="7"/>
      <c r="L345" s="7"/>
      <c r="M345" s="7"/>
      <c r="N345" s="7"/>
      <c r="O345" s="7">
        <f>(E341+1*(0.5/2)*D341)</f>
        <v>4.4489999999999998</v>
      </c>
      <c r="P345" s="7">
        <f t="shared" si="65"/>
        <v>8.8979999999999997</v>
      </c>
      <c r="Q345" s="7">
        <f>IF($D345='[2]Beam '!Q$44,$P345*'[2]Beam '!Q$45,0)</f>
        <v>0</v>
      </c>
      <c r="R345" s="7">
        <f>IF($D345='[2]Beam '!R$44,$P345*'[2]Beam '!R$45,0)</f>
        <v>0</v>
      </c>
      <c r="S345" s="7">
        <f>IF($D345='[2]Beam '!S$44,$P345*'[2]Beam '!S$45,0)</f>
        <v>0</v>
      </c>
      <c r="T345" s="7">
        <f>IF($D345='[2]Beam '!T$44,$P345*'[2]Beam '!T$45,0)</f>
        <v>0</v>
      </c>
      <c r="U345" s="7">
        <f>IF($D345='[2]Beam '!U$44,$P345*'[2]Beam '!U$45,0)</f>
        <v>0</v>
      </c>
      <c r="V345" s="7">
        <f>IF($D345='[2]Beam '!V$44,$P345*'[2]Beam '!V$45,0)</f>
        <v>34.300995535714293</v>
      </c>
      <c r="W345" s="7">
        <f>IF($D345='[2]Beam '!W$44,$P345*'[2]Beam '!W$45,0)</f>
        <v>0</v>
      </c>
      <c r="X345" s="7">
        <f t="shared" si="66"/>
        <v>34.300995535714293</v>
      </c>
      <c r="Y345" s="7"/>
      <c r="Z345" s="7"/>
      <c r="AA345" s="7"/>
      <c r="AB345" s="7"/>
      <c r="AC345" s="7"/>
      <c r="AD345" s="7"/>
      <c r="AE345" s="7"/>
    </row>
    <row r="346" spans="1:32" s="14" customFormat="1" ht="20.100000000000001" customHeight="1" x14ac:dyDescent="0.3">
      <c r="A346" s="6"/>
      <c r="B346" s="10" t="s">
        <v>2</v>
      </c>
      <c r="C346" s="13" t="s">
        <v>6</v>
      </c>
      <c r="D346" s="7">
        <v>20</v>
      </c>
      <c r="E346" s="7"/>
      <c r="F346" s="7">
        <v>1</v>
      </c>
      <c r="G346" s="8">
        <f>VLOOKUP(D346,'[2]Beam '!$C$20:$H$26,3,0)</f>
        <v>0.8</v>
      </c>
      <c r="H346" s="7"/>
      <c r="I346" s="7"/>
      <c r="J346" s="7"/>
      <c r="K346" s="7"/>
      <c r="L346" s="7"/>
      <c r="M346" s="7"/>
      <c r="N346" s="7"/>
      <c r="O346" s="7">
        <f>(E341+1*(0.5/2)*D341)</f>
        <v>4.4489999999999998</v>
      </c>
      <c r="P346" s="7">
        <f t="shared" si="65"/>
        <v>4.4489999999999998</v>
      </c>
      <c r="Q346" s="7">
        <f>IF($D346='[2]Beam '!Q$44,$P346*'[2]Beam '!Q$45,0)</f>
        <v>0</v>
      </c>
      <c r="R346" s="7">
        <f>IF($D346='[2]Beam '!R$44,$P346*'[2]Beam '!R$45,0)</f>
        <v>0</v>
      </c>
      <c r="S346" s="7">
        <f>IF($D346='[2]Beam '!S$44,$P346*'[2]Beam '!S$45,0)</f>
        <v>0</v>
      </c>
      <c r="T346" s="7">
        <f>IF($D346='[2]Beam '!T$44,$P346*'[2]Beam '!T$45,0)</f>
        <v>0</v>
      </c>
      <c r="U346" s="7">
        <f>IF($D346='[2]Beam '!U$44,$P346*'[2]Beam '!U$45,0)</f>
        <v>10.976318571428571</v>
      </c>
      <c r="V346" s="7">
        <f>IF($D346='[2]Beam '!V$44,$P346*'[2]Beam '!V$45,0)</f>
        <v>0</v>
      </c>
      <c r="W346" s="7">
        <f>IF($D346='[2]Beam '!W$44,$P346*'[2]Beam '!W$45,0)</f>
        <v>0</v>
      </c>
      <c r="X346" s="7">
        <f t="shared" si="66"/>
        <v>10.976318571428571</v>
      </c>
      <c r="Y346" s="7"/>
    </row>
    <row r="347" spans="1:32" s="14" customFormat="1" ht="20.100000000000001" customHeight="1" x14ac:dyDescent="0.25">
      <c r="A347" s="6"/>
      <c r="B347" s="10" t="s">
        <v>2</v>
      </c>
      <c r="C347" s="13" t="s">
        <v>7</v>
      </c>
      <c r="D347" s="7">
        <v>12</v>
      </c>
      <c r="E347" s="7">
        <v>0.1</v>
      </c>
      <c r="F347" s="7">
        <f>ROUNDUP((E341/3*2)/E347,0)+1</f>
        <v>29</v>
      </c>
      <c r="G347" s="9"/>
      <c r="H347" s="7"/>
      <c r="I347" s="7"/>
      <c r="J347" s="7"/>
      <c r="K347" s="7"/>
      <c r="L347" s="7"/>
      <c r="M347" s="7"/>
      <c r="N347" s="7"/>
      <c r="O347" s="7">
        <f>(2*((G341-(2*'[2]Beam '!$D$11))+(F341-(2*'[2]Beam '!$D$11)))+(2*10*D347/1000))*D341</f>
        <v>2.8</v>
      </c>
      <c r="P347" s="7">
        <f t="shared" si="65"/>
        <v>81.199999999999989</v>
      </c>
      <c r="Q347" s="7">
        <f>IF($D347='[2]Beam '!Q$44,$P347*'[2]Beam '!Q$45,0)</f>
        <v>0</v>
      </c>
      <c r="R347" s="7">
        <f>IF($D347='[2]Beam '!R$44,$P347*'[2]Beam '!R$45,0)</f>
        <v>0</v>
      </c>
      <c r="S347" s="7">
        <f>IF($D347='[2]Beam '!S$44,$P347*'[2]Beam '!S$45,0)</f>
        <v>72.119520000000009</v>
      </c>
      <c r="T347" s="7">
        <f>IF($D347='[2]Beam '!T$44,$P347*'[2]Beam '!T$45,0)</f>
        <v>0</v>
      </c>
      <c r="U347" s="7">
        <f>IF($D347='[2]Beam '!U$44,$P347*'[2]Beam '!U$45,0)</f>
        <v>0</v>
      </c>
      <c r="V347" s="7">
        <f>IF($D347='[2]Beam '!V$44,$P347*'[2]Beam '!V$45,0)</f>
        <v>0</v>
      </c>
      <c r="W347" s="7">
        <f>IF($D347='[2]Beam '!W$44,$P347*'[2]Beam '!W$45,0)</f>
        <v>0</v>
      </c>
      <c r="X347" s="7">
        <f t="shared" si="66"/>
        <v>72.119520000000009</v>
      </c>
      <c r="Y347" s="7"/>
    </row>
    <row r="348" spans="1:32" s="14" customFormat="1" ht="20.100000000000001" customHeight="1" x14ac:dyDescent="0.25">
      <c r="B348" s="10" t="s">
        <v>2</v>
      </c>
      <c r="C348" s="13" t="s">
        <v>8</v>
      </c>
      <c r="D348" s="14">
        <f>D347</f>
        <v>12</v>
      </c>
      <c r="E348" s="14">
        <v>0.125</v>
      </c>
      <c r="F348" s="7">
        <f>ROUNDUP((E341/3)/E348,0)+1</f>
        <v>13</v>
      </c>
      <c r="G348" s="9"/>
      <c r="O348" s="7">
        <f>(2*((G341-(2*'[2]Beam '!$D$11))+(F341-(2*'[2]Beam '!$D$11)))+(2*10*D348/1000))*D341</f>
        <v>2.8</v>
      </c>
      <c r="P348" s="7">
        <f t="shared" si="65"/>
        <v>36.4</v>
      </c>
      <c r="Q348" s="7">
        <f>IF($D348='[2]Beam '!Q$44,$P348*'[2]Beam '!Q$45,0)</f>
        <v>0</v>
      </c>
      <c r="R348" s="7">
        <f>IF($D348='[2]Beam '!R$44,$P348*'[2]Beam '!R$45,0)</f>
        <v>0</v>
      </c>
      <c r="S348" s="7">
        <f>IF($D348='[2]Beam '!S$44,$P348*'[2]Beam '!S$45,0)</f>
        <v>32.329440000000005</v>
      </c>
      <c r="T348" s="7">
        <f>IF($D348='[2]Beam '!T$44,$P348*'[2]Beam '!T$45,0)</f>
        <v>0</v>
      </c>
      <c r="U348" s="7">
        <f>IF($D348='[2]Beam '!U$44,$P348*'[2]Beam '!U$45,0)</f>
        <v>0</v>
      </c>
      <c r="V348" s="7">
        <f>IF($D348='[2]Beam '!V$44,$P348*'[2]Beam '!V$45,0)</f>
        <v>0</v>
      </c>
      <c r="W348" s="7">
        <f>IF($D348='[2]Beam '!W$44,$P348*'[2]Beam '!W$45,0)</f>
        <v>0</v>
      </c>
      <c r="X348" s="7">
        <f t="shared" si="66"/>
        <v>32.329440000000005</v>
      </c>
    </row>
    <row r="349" spans="1:32" s="9" customFormat="1" ht="20.100000000000001" customHeight="1" x14ac:dyDescent="0.25">
      <c r="A349" s="14"/>
      <c r="B349" s="10" t="s">
        <v>2</v>
      </c>
      <c r="C349" s="13" t="s">
        <v>47</v>
      </c>
      <c r="D349" s="14">
        <f>D347</f>
        <v>12</v>
      </c>
      <c r="E349" s="14">
        <f>+E347</f>
        <v>0.1</v>
      </c>
      <c r="F349" s="7">
        <f>ROUNDUP((E341/3*2)/E349,0)+1</f>
        <v>29</v>
      </c>
      <c r="H349" s="14"/>
      <c r="I349" s="14"/>
      <c r="J349" s="14"/>
      <c r="K349" s="14"/>
      <c r="L349" s="14"/>
      <c r="M349" s="14"/>
      <c r="N349" s="14"/>
      <c r="O349" s="7">
        <f>((((G341-(2*'[2]Beam '!$D$11))+(2*10*D349/1000))*D341))</f>
        <v>1.28</v>
      </c>
      <c r="P349" s="7">
        <f t="shared" si="65"/>
        <v>37.119999999999997</v>
      </c>
      <c r="Q349" s="7">
        <f>IF($D349='[2]Beam '!Q$44,$P349*'[2]Beam '!Q$45,0)</f>
        <v>0</v>
      </c>
      <c r="R349" s="7">
        <f>IF($D349='[2]Beam '!R$44,$P349*'[2]Beam '!R$45,0)</f>
        <v>0</v>
      </c>
      <c r="S349" s="7">
        <f>IF($D349='[2]Beam '!S$44,$P349*'[2]Beam '!S$45,0)</f>
        <v>32.968923428571429</v>
      </c>
      <c r="T349" s="7">
        <f>IF($D349='[2]Beam '!T$44,$P349*'[2]Beam '!T$45,0)</f>
        <v>0</v>
      </c>
      <c r="U349" s="7">
        <f>IF($D349='[2]Beam '!U$44,$P349*'[2]Beam '!U$45,0)</f>
        <v>0</v>
      </c>
      <c r="V349" s="7">
        <f>IF($D349='[2]Beam '!V$44,$P349*'[2]Beam '!V$45,0)</f>
        <v>0</v>
      </c>
      <c r="W349" s="7">
        <f>IF($D349='[2]Beam '!W$44,$P349*'[2]Beam '!W$45,0)</f>
        <v>0</v>
      </c>
      <c r="X349" s="7">
        <f t="shared" si="66"/>
        <v>32.968923428571429</v>
      </c>
      <c r="Y349" s="14"/>
      <c r="Z349" s="7"/>
      <c r="AA349" s="7"/>
      <c r="AB349" s="7"/>
      <c r="AC349" s="7"/>
      <c r="AD349" s="7"/>
      <c r="AE349" s="7"/>
    </row>
    <row r="350" spans="1:32" s="9" customFormat="1" ht="21" customHeight="1" x14ac:dyDescent="0.25">
      <c r="A350" s="14"/>
      <c r="B350" s="10" t="s">
        <v>2</v>
      </c>
      <c r="C350" s="13" t="s">
        <v>47</v>
      </c>
      <c r="D350" s="14">
        <f>D348</f>
        <v>12</v>
      </c>
      <c r="E350" s="14">
        <f>+E348</f>
        <v>0.125</v>
      </c>
      <c r="F350" s="7">
        <f>ROUNDUP((E341/3)/E350,0)+1</f>
        <v>13</v>
      </c>
      <c r="H350" s="14"/>
      <c r="I350" s="14"/>
      <c r="J350" s="14"/>
      <c r="K350" s="14"/>
      <c r="L350" s="14"/>
      <c r="M350" s="14"/>
      <c r="N350" s="14"/>
      <c r="O350" s="7">
        <f>((((G341-(2*'[2]Beam '!$D$11))+(2*10*D350/1000))*D341))</f>
        <v>1.28</v>
      </c>
      <c r="P350" s="7">
        <f t="shared" si="65"/>
        <v>16.64</v>
      </c>
      <c r="Q350" s="7">
        <f>IF($D350='[2]Beam '!Q$44,$P350*'[2]Beam '!Q$45,0)</f>
        <v>0</v>
      </c>
      <c r="R350" s="7">
        <f>IF($D350='[2]Beam '!R$44,$P350*'[2]Beam '!R$45,0)</f>
        <v>0</v>
      </c>
      <c r="S350" s="7">
        <f>IF($D350='[2]Beam '!S$44,$P350*'[2]Beam '!S$45,0)</f>
        <v>14.779172571428575</v>
      </c>
      <c r="T350" s="7">
        <f>IF($D350='[2]Beam '!T$44,$P350*'[2]Beam '!T$45,0)</f>
        <v>0</v>
      </c>
      <c r="U350" s="7">
        <f>IF($D350='[2]Beam '!U$44,$P350*'[2]Beam '!U$45,0)</f>
        <v>0</v>
      </c>
      <c r="V350" s="7">
        <f>IF($D350='[2]Beam '!V$44,$P350*'[2]Beam '!V$45,0)</f>
        <v>0</v>
      </c>
      <c r="W350" s="7">
        <f>IF($D350='[2]Beam '!W$44,$P350*'[2]Beam '!W$45,0)</f>
        <v>0</v>
      </c>
      <c r="X350" s="7">
        <f t="shared" si="66"/>
        <v>14.779172571428575</v>
      </c>
      <c r="Y350" s="14"/>
      <c r="Z350" s="7"/>
      <c r="AA350" s="7"/>
      <c r="AB350" s="7"/>
      <c r="AC350" s="7"/>
      <c r="AD350" s="7"/>
      <c r="AE350" s="7"/>
      <c r="AF350" s="7"/>
    </row>
    <row r="351" spans="1:32" s="9" customFormat="1" ht="20.100000000000001" customHeight="1" x14ac:dyDescent="0.25">
      <c r="A351" s="6"/>
      <c r="B351" s="10" t="s">
        <v>2</v>
      </c>
      <c r="C351" s="13" t="s">
        <v>11</v>
      </c>
      <c r="D351" s="7">
        <f>+'[2]Beam '!$D$15</f>
        <v>25</v>
      </c>
      <c r="E351" s="7">
        <f>+'[2]Beam '!$E$15</f>
        <v>1</v>
      </c>
      <c r="F351" s="7">
        <f>ROUNDUP((1.8)/E351,0)</f>
        <v>2</v>
      </c>
      <c r="G351" s="8"/>
      <c r="H351" s="8"/>
      <c r="I351" s="7"/>
      <c r="J351" s="7"/>
      <c r="K351" s="7"/>
      <c r="L351" s="7"/>
      <c r="M351" s="7"/>
      <c r="N351" s="7"/>
      <c r="O351" s="7">
        <f>F341-'[2]Beam '!$F$15</f>
        <v>0.24</v>
      </c>
      <c r="P351" s="7">
        <f t="shared" si="65"/>
        <v>0.48</v>
      </c>
      <c r="Q351" s="7">
        <f>IF($D351='[2]Beam '!Q$44,$P351*'[2]Beam '!Q$45,0)</f>
        <v>0</v>
      </c>
      <c r="R351" s="7">
        <f>IF($D351='[2]Beam '!R$44,$P351*'[2]Beam '!R$45,0)</f>
        <v>0</v>
      </c>
      <c r="S351" s="7">
        <f>IF($D351='[2]Beam '!S$44,$P351*'[2]Beam '!S$45,0)</f>
        <v>0</v>
      </c>
      <c r="T351" s="7">
        <f>IF($D351='[2]Beam '!T$44,$P351*'[2]Beam '!T$45,0)</f>
        <v>0</v>
      </c>
      <c r="U351" s="7">
        <f>IF($D351='[2]Beam '!U$44,$P351*'[2]Beam '!U$45,0)</f>
        <v>0</v>
      </c>
      <c r="V351" s="7">
        <f>IF($D351='[2]Beam '!V$44,$P351*'[2]Beam '!V$45,0)</f>
        <v>1.850357142857143</v>
      </c>
      <c r="W351" s="7">
        <f>IF($D351='[2]Beam '!W$44,$P351*'[2]Beam '!W$45,0)</f>
        <v>0</v>
      </c>
      <c r="X351" s="7">
        <f t="shared" si="66"/>
        <v>1.850357142857143</v>
      </c>
      <c r="Y351" s="7"/>
      <c r="Z351" s="7"/>
      <c r="AA351" s="7"/>
      <c r="AB351" s="7"/>
      <c r="AC351" s="7"/>
      <c r="AD351" s="7"/>
      <c r="AE351" s="7"/>
    </row>
    <row r="352" spans="1:32" s="9" customFormat="1" ht="20.100000000000001" customHeight="1" x14ac:dyDescent="0.25">
      <c r="A352" s="7">
        <v>1</v>
      </c>
      <c r="B352" s="10" t="s">
        <v>2</v>
      </c>
      <c r="C352" s="11" t="s">
        <v>59</v>
      </c>
      <c r="D352" s="11">
        <v>1</v>
      </c>
      <c r="E352" s="11">
        <v>4.8979999999999997</v>
      </c>
      <c r="F352" s="11">
        <v>0.3</v>
      </c>
      <c r="G352" s="11">
        <v>1.1000000000000001</v>
      </c>
      <c r="H352" s="7">
        <f>G352-0.2</f>
        <v>0.90000000000000013</v>
      </c>
      <c r="I352" s="7">
        <f>E352*F352*G352*D352</f>
        <v>1.6163399999999999</v>
      </c>
      <c r="J352" s="7">
        <f>(2*(E352)*H352*D352)+(E352*F352)</f>
        <v>10.285800000000002</v>
      </c>
      <c r="K352" s="12">
        <f>IF(E352=0.3,J352,0)</f>
        <v>0</v>
      </c>
      <c r="L352" s="12">
        <f>IF(AND(E352&gt;0.3,E352&lt;=0.75),J352,0)</f>
        <v>0</v>
      </c>
      <c r="M352" s="12">
        <f>IF(AND(E352&gt;0.75,E352&lt;=1.2),J352,0)</f>
        <v>0</v>
      </c>
      <c r="N352" s="12">
        <f>IF(E352&gt;1.2,J352,0)</f>
        <v>10.285800000000002</v>
      </c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>
        <f>SUM(X353:X362)/I352</f>
        <v>202.43899745279907</v>
      </c>
      <c r="Z352" s="7"/>
      <c r="AA352" s="7"/>
      <c r="AB352" s="7"/>
      <c r="AC352" s="7"/>
      <c r="AD352" s="7"/>
      <c r="AE352" s="7"/>
    </row>
    <row r="353" spans="1:32" s="9" customFormat="1" ht="20.100000000000001" customHeight="1" x14ac:dyDescent="0.25">
      <c r="A353" s="6"/>
      <c r="B353" s="10" t="s">
        <v>2</v>
      </c>
      <c r="C353" s="13" t="s">
        <v>4</v>
      </c>
      <c r="D353" s="7">
        <v>25</v>
      </c>
      <c r="E353" s="7"/>
      <c r="F353" s="7">
        <v>2</v>
      </c>
      <c r="G353" s="8">
        <f>VLOOKUP(D353,'[2]Beam '!$C$20:$H$26,3,0)</f>
        <v>1</v>
      </c>
      <c r="H353" s="8"/>
      <c r="I353" s="7"/>
      <c r="J353" s="7"/>
      <c r="K353" s="7"/>
      <c r="L353" s="7"/>
      <c r="M353" s="7"/>
      <c r="N353" s="7"/>
      <c r="O353" s="7">
        <f>(E352+1*(G353+(12*D353/1000)))+1*(0.5/2)*D352</f>
        <v>6.4479999999999995</v>
      </c>
      <c r="P353" s="7">
        <f t="shared" ref="P353:P363" si="67">O353*F353</f>
        <v>12.895999999999999</v>
      </c>
      <c r="Q353" s="7">
        <f>IF($D353='[2]Beam '!Q$44,$P353*'[2]Beam '!Q$45,0)</f>
        <v>0</v>
      </c>
      <c r="R353" s="7">
        <f>IF($D353='[2]Beam '!R$44,$P353*'[2]Beam '!R$45,0)</f>
        <v>0</v>
      </c>
      <c r="S353" s="7">
        <f>IF($D353='[2]Beam '!S$44,$P353*'[2]Beam '!S$45,0)</f>
        <v>0</v>
      </c>
      <c r="T353" s="7">
        <f>IF($D353='[2]Beam '!T$44,$P353*'[2]Beam '!T$45,0)</f>
        <v>0</v>
      </c>
      <c r="U353" s="7">
        <f>IF($D353='[2]Beam '!U$44,$P353*'[2]Beam '!U$45,0)</f>
        <v>0</v>
      </c>
      <c r="V353" s="7">
        <f>IF($D353='[2]Beam '!V$44,$P353*'[2]Beam '!V$45,0)</f>
        <v>49.712928571428577</v>
      </c>
      <c r="W353" s="7">
        <f>IF($D353='[2]Beam '!W$44,$P353*'[2]Beam '!W$45,0)</f>
        <v>0</v>
      </c>
      <c r="X353" s="7">
        <f t="shared" ref="X353:X363" si="68">SUM(Q353:W353)</f>
        <v>49.712928571428577</v>
      </c>
      <c r="Y353" s="7"/>
      <c r="Z353" s="7"/>
      <c r="AA353" s="7"/>
      <c r="AB353" s="7"/>
      <c r="AC353" s="7"/>
      <c r="AD353" s="7"/>
      <c r="AE353" s="7"/>
    </row>
    <row r="354" spans="1:32" s="9" customFormat="1" ht="20.100000000000001" customHeight="1" x14ac:dyDescent="0.25">
      <c r="A354" s="6"/>
      <c r="B354" s="10" t="s">
        <v>2</v>
      </c>
      <c r="C354" s="13" t="s">
        <v>4</v>
      </c>
      <c r="D354" s="7">
        <v>20</v>
      </c>
      <c r="E354" s="7"/>
      <c r="F354" s="7">
        <v>1</v>
      </c>
      <c r="G354" s="8">
        <f>VLOOKUP(D354,'[2]Beam '!$C$20:$H$26,3,0)</f>
        <v>0.8</v>
      </c>
      <c r="H354" s="8"/>
      <c r="I354" s="7"/>
      <c r="J354" s="7"/>
      <c r="K354" s="7"/>
      <c r="L354" s="7"/>
      <c r="M354" s="7"/>
      <c r="N354" s="7"/>
      <c r="O354" s="7">
        <f>(E352+1*(G354+(12*D354/1000)))+1*(0.5/2)*D352</f>
        <v>6.1879999999999997</v>
      </c>
      <c r="P354" s="7">
        <f t="shared" si="67"/>
        <v>6.1879999999999997</v>
      </c>
      <c r="Q354" s="7">
        <f>IF($D354='[2]Beam '!Q$44,$P354*'[2]Beam '!Q$45,0)</f>
        <v>0</v>
      </c>
      <c r="R354" s="7">
        <f>IF($D354='[2]Beam '!R$44,$P354*'[2]Beam '!R$45,0)</f>
        <v>0</v>
      </c>
      <c r="S354" s="7">
        <f>IF($D354='[2]Beam '!S$44,$P354*'[2]Beam '!S$45,0)</f>
        <v>0</v>
      </c>
      <c r="T354" s="7">
        <f>IF($D354='[2]Beam '!T$44,$P354*'[2]Beam '!T$45,0)</f>
        <v>0</v>
      </c>
      <c r="U354" s="7">
        <f>IF($D354='[2]Beam '!U$44,$P354*'[2]Beam '!U$45,0)</f>
        <v>15.266679999999999</v>
      </c>
      <c r="V354" s="7">
        <f>IF($D354='[2]Beam '!V$44,$P354*'[2]Beam '!V$45,0)</f>
        <v>0</v>
      </c>
      <c r="W354" s="7">
        <f>IF($D354='[2]Beam '!W$44,$P354*'[2]Beam '!W$45,0)</f>
        <v>0</v>
      </c>
      <c r="X354" s="7">
        <f t="shared" si="68"/>
        <v>15.266679999999999</v>
      </c>
      <c r="Y354" s="7"/>
      <c r="Z354" s="7"/>
      <c r="AA354" s="7"/>
      <c r="AB354" s="7"/>
      <c r="AC354" s="7"/>
      <c r="AD354" s="7"/>
      <c r="AE354" s="7"/>
    </row>
    <row r="355" spans="1:32" s="9" customFormat="1" ht="20.100000000000001" customHeight="1" x14ac:dyDescent="0.25">
      <c r="A355" s="6"/>
      <c r="B355" s="10" t="s">
        <v>2</v>
      </c>
      <c r="C355" s="13" t="s">
        <v>46</v>
      </c>
      <c r="D355" s="7">
        <v>20</v>
      </c>
      <c r="E355" s="7"/>
      <c r="F355" s="7">
        <v>2</v>
      </c>
      <c r="G355" s="8">
        <f>VLOOKUP(D355,'[2]Beam '!$C$20:$H$26,3,0)</f>
        <v>0.8</v>
      </c>
      <c r="H355" s="8"/>
      <c r="I355" s="7"/>
      <c r="J355" s="7"/>
      <c r="K355" s="7"/>
      <c r="L355" s="7"/>
      <c r="M355" s="7"/>
      <c r="N355" s="7"/>
      <c r="O355" s="7">
        <f>(1.35+1*(0.5/2)*D352)</f>
        <v>1.6</v>
      </c>
      <c r="P355" s="7">
        <f t="shared" si="67"/>
        <v>3.2</v>
      </c>
      <c r="Q355" s="7">
        <f>IF($D355='[2]Beam '!Q$44,$P355*'[2]Beam '!Q$45,0)</f>
        <v>0</v>
      </c>
      <c r="R355" s="7">
        <f>IF($D355='[2]Beam '!R$44,$P355*'[2]Beam '!R$45,0)</f>
        <v>0</v>
      </c>
      <c r="S355" s="7">
        <f>IF($D355='[2]Beam '!S$44,$P355*'[2]Beam '!S$45,0)</f>
        <v>0</v>
      </c>
      <c r="T355" s="7">
        <f>IF($D355='[2]Beam '!T$44,$P355*'[2]Beam '!T$45,0)</f>
        <v>0</v>
      </c>
      <c r="U355" s="7">
        <f>IF($D355='[2]Beam '!U$44,$P355*'[2]Beam '!U$45,0)</f>
        <v>7.894857142857143</v>
      </c>
      <c r="V355" s="7">
        <f>IF($D355='[2]Beam '!V$44,$P355*'[2]Beam '!V$45,0)</f>
        <v>0</v>
      </c>
      <c r="W355" s="7">
        <f>IF($D355='[2]Beam '!W$44,$P355*'[2]Beam '!W$45,0)</f>
        <v>0</v>
      </c>
      <c r="X355" s="7">
        <f t="shared" si="68"/>
        <v>7.894857142857143</v>
      </c>
      <c r="Y355" s="7"/>
      <c r="Z355" s="7"/>
      <c r="AA355" s="7"/>
      <c r="AB355" s="7"/>
      <c r="AC355" s="7"/>
      <c r="AD355" s="7"/>
      <c r="AE355" s="7"/>
    </row>
    <row r="356" spans="1:32" s="9" customFormat="1" ht="20.100000000000001" customHeight="1" x14ac:dyDescent="0.25">
      <c r="A356" s="6"/>
      <c r="B356" s="10" t="s">
        <v>2</v>
      </c>
      <c r="C356" s="13" t="s">
        <v>46</v>
      </c>
      <c r="D356" s="7">
        <v>20</v>
      </c>
      <c r="E356" s="7"/>
      <c r="F356" s="7">
        <v>2</v>
      </c>
      <c r="G356" s="8">
        <f>VLOOKUP(D356,'[2]Beam '!$C$20:$H$26,3,0)</f>
        <v>0.8</v>
      </c>
      <c r="H356" s="8"/>
      <c r="I356" s="7"/>
      <c r="J356" s="7"/>
      <c r="K356" s="7"/>
      <c r="L356" s="7"/>
      <c r="M356" s="7"/>
      <c r="N356" s="7"/>
      <c r="O356" s="7">
        <f>(1.35+1*(G356+(12*D356/1000)))*D352</f>
        <v>2.39</v>
      </c>
      <c r="P356" s="7">
        <f t="shared" si="67"/>
        <v>4.78</v>
      </c>
      <c r="Q356" s="7">
        <f>IF($D356='[2]Beam '!Q$44,$P356*'[2]Beam '!Q$45,0)</f>
        <v>0</v>
      </c>
      <c r="R356" s="7">
        <f>IF($D356='[2]Beam '!R$44,$P356*'[2]Beam '!R$45,0)</f>
        <v>0</v>
      </c>
      <c r="S356" s="7">
        <f>IF($D356='[2]Beam '!S$44,$P356*'[2]Beam '!S$45,0)</f>
        <v>0</v>
      </c>
      <c r="T356" s="7">
        <f>IF($D356='[2]Beam '!T$44,$P356*'[2]Beam '!T$45,0)</f>
        <v>0</v>
      </c>
      <c r="U356" s="7">
        <f>IF($D356='[2]Beam '!U$44,$P356*'[2]Beam '!U$45,0)</f>
        <v>11.792942857142858</v>
      </c>
      <c r="V356" s="7">
        <f>IF($D356='[2]Beam '!V$44,$P356*'[2]Beam '!V$45,0)</f>
        <v>0</v>
      </c>
      <c r="W356" s="7">
        <f>IF($D356='[2]Beam '!W$44,$P356*'[2]Beam '!W$45,0)</f>
        <v>0</v>
      </c>
      <c r="X356" s="7">
        <f t="shared" si="68"/>
        <v>11.792942857142858</v>
      </c>
      <c r="Y356" s="7"/>
      <c r="Z356" s="7"/>
      <c r="AA356" s="7"/>
      <c r="AB356" s="7"/>
      <c r="AC356" s="7"/>
      <c r="AD356" s="7"/>
      <c r="AE356" s="7"/>
    </row>
    <row r="357" spans="1:32" s="9" customFormat="1" ht="20.100000000000001" customHeight="1" x14ac:dyDescent="0.25">
      <c r="A357" s="6"/>
      <c r="B357" s="10" t="s">
        <v>2</v>
      </c>
      <c r="C357" s="13" t="s">
        <v>6</v>
      </c>
      <c r="D357" s="7">
        <v>25</v>
      </c>
      <c r="E357" s="7"/>
      <c r="F357" s="7">
        <v>2</v>
      </c>
      <c r="G357" s="8">
        <f>VLOOKUP(D357,'[2]Beam '!$C$20:$H$26,3,0)</f>
        <v>1</v>
      </c>
      <c r="H357" s="7"/>
      <c r="I357" s="7"/>
      <c r="J357" s="7"/>
      <c r="K357" s="7"/>
      <c r="L357" s="7"/>
      <c r="M357" s="7"/>
      <c r="N357" s="7"/>
      <c r="O357" s="7">
        <f>(E352+1*(G357+(12*D357/1000)))+1*(0.5/2)*D352</f>
        <v>6.4479999999999995</v>
      </c>
      <c r="P357" s="7">
        <f t="shared" si="67"/>
        <v>12.895999999999999</v>
      </c>
      <c r="Q357" s="7">
        <f>IF($D357='[2]Beam '!Q$44,$P357*'[2]Beam '!Q$45,0)</f>
        <v>0</v>
      </c>
      <c r="R357" s="7">
        <f>IF($D357='[2]Beam '!R$44,$P357*'[2]Beam '!R$45,0)</f>
        <v>0</v>
      </c>
      <c r="S357" s="7">
        <f>IF($D357='[2]Beam '!S$44,$P357*'[2]Beam '!S$45,0)</f>
        <v>0</v>
      </c>
      <c r="T357" s="7">
        <f>IF($D357='[2]Beam '!T$44,$P357*'[2]Beam '!T$45,0)</f>
        <v>0</v>
      </c>
      <c r="U357" s="7">
        <f>IF($D357='[2]Beam '!U$44,$P357*'[2]Beam '!U$45,0)</f>
        <v>0</v>
      </c>
      <c r="V357" s="7">
        <f>IF($D357='[2]Beam '!V$44,$P357*'[2]Beam '!V$45,0)</f>
        <v>49.712928571428577</v>
      </c>
      <c r="W357" s="7">
        <f>IF($D357='[2]Beam '!W$44,$P357*'[2]Beam '!W$45,0)</f>
        <v>0</v>
      </c>
      <c r="X357" s="7">
        <f t="shared" si="68"/>
        <v>49.712928571428577</v>
      </c>
      <c r="Y357" s="7"/>
      <c r="Z357" s="7"/>
      <c r="AA357" s="7"/>
      <c r="AB357" s="7"/>
      <c r="AC357" s="7"/>
      <c r="AD357" s="7"/>
      <c r="AE357" s="7"/>
    </row>
    <row r="358" spans="1:32" s="14" customFormat="1" ht="20.100000000000001" customHeight="1" x14ac:dyDescent="0.3">
      <c r="A358" s="6"/>
      <c r="B358" s="10" t="s">
        <v>2</v>
      </c>
      <c r="C358" s="13" t="s">
        <v>6</v>
      </c>
      <c r="D358" s="7">
        <v>20</v>
      </c>
      <c r="E358" s="7"/>
      <c r="F358" s="7">
        <v>1</v>
      </c>
      <c r="G358" s="8">
        <f>VLOOKUP(D358,'[2]Beam '!$C$20:$H$26,3,0)</f>
        <v>0.8</v>
      </c>
      <c r="H358" s="7"/>
      <c r="I358" s="7"/>
      <c r="J358" s="7"/>
      <c r="K358" s="7"/>
      <c r="L358" s="7"/>
      <c r="M358" s="7"/>
      <c r="N358" s="7"/>
      <c r="O358" s="7">
        <f>(E352+1*(G358+(12*D358/1000)))+1*(0.5/2)*D352</f>
        <v>6.1879999999999997</v>
      </c>
      <c r="P358" s="7">
        <f t="shared" si="67"/>
        <v>6.1879999999999997</v>
      </c>
      <c r="Q358" s="7">
        <f>IF($D358='[2]Beam '!Q$44,$P358*'[2]Beam '!Q$45,0)</f>
        <v>0</v>
      </c>
      <c r="R358" s="7">
        <f>IF($D358='[2]Beam '!R$44,$P358*'[2]Beam '!R$45,0)</f>
        <v>0</v>
      </c>
      <c r="S358" s="7">
        <f>IF($D358='[2]Beam '!S$44,$P358*'[2]Beam '!S$45,0)</f>
        <v>0</v>
      </c>
      <c r="T358" s="7">
        <f>IF($D358='[2]Beam '!T$44,$P358*'[2]Beam '!T$45,0)</f>
        <v>0</v>
      </c>
      <c r="U358" s="7">
        <f>IF($D358='[2]Beam '!U$44,$P358*'[2]Beam '!U$45,0)</f>
        <v>15.266679999999999</v>
      </c>
      <c r="V358" s="7">
        <f>IF($D358='[2]Beam '!V$44,$P358*'[2]Beam '!V$45,0)</f>
        <v>0</v>
      </c>
      <c r="W358" s="7">
        <f>IF($D358='[2]Beam '!W$44,$P358*'[2]Beam '!W$45,0)</f>
        <v>0</v>
      </c>
      <c r="X358" s="7">
        <f t="shared" si="68"/>
        <v>15.266679999999999</v>
      </c>
      <c r="Y358" s="7"/>
    </row>
    <row r="359" spans="1:32" s="14" customFormat="1" ht="20.100000000000001" customHeight="1" x14ac:dyDescent="0.25">
      <c r="A359" s="6"/>
      <c r="B359" s="10" t="s">
        <v>2</v>
      </c>
      <c r="C359" s="13" t="s">
        <v>7</v>
      </c>
      <c r="D359" s="7">
        <v>12</v>
      </c>
      <c r="E359" s="7">
        <v>0.1</v>
      </c>
      <c r="F359" s="7">
        <f>ROUNDUP((E352/3*2)/E359,0)+1</f>
        <v>34</v>
      </c>
      <c r="G359" s="9"/>
      <c r="H359" s="7"/>
      <c r="I359" s="7"/>
      <c r="J359" s="7"/>
      <c r="K359" s="7"/>
      <c r="L359" s="7"/>
      <c r="M359" s="7"/>
      <c r="N359" s="7"/>
      <c r="O359" s="7">
        <f>(2*((G352-(2*'[2]Beam '!$D$11))+(F352-(2*'[2]Beam '!$D$11)))+(2*10*D359/1000))*D352</f>
        <v>2.8</v>
      </c>
      <c r="P359" s="7">
        <f t="shared" si="67"/>
        <v>95.199999999999989</v>
      </c>
      <c r="Q359" s="7">
        <f>IF($D359='[2]Beam '!Q$44,$P359*'[2]Beam '!Q$45,0)</f>
        <v>0</v>
      </c>
      <c r="R359" s="7">
        <f>IF($D359='[2]Beam '!R$44,$P359*'[2]Beam '!R$45,0)</f>
        <v>0</v>
      </c>
      <c r="S359" s="7">
        <f>IF($D359='[2]Beam '!S$44,$P359*'[2]Beam '!S$45,0)</f>
        <v>84.553920000000005</v>
      </c>
      <c r="T359" s="7">
        <f>IF($D359='[2]Beam '!T$44,$P359*'[2]Beam '!T$45,0)</f>
        <v>0</v>
      </c>
      <c r="U359" s="7">
        <f>IF($D359='[2]Beam '!U$44,$P359*'[2]Beam '!U$45,0)</f>
        <v>0</v>
      </c>
      <c r="V359" s="7">
        <f>IF($D359='[2]Beam '!V$44,$P359*'[2]Beam '!V$45,0)</f>
        <v>0</v>
      </c>
      <c r="W359" s="7">
        <f>IF($D359='[2]Beam '!W$44,$P359*'[2]Beam '!W$45,0)</f>
        <v>0</v>
      </c>
      <c r="X359" s="7">
        <f t="shared" si="68"/>
        <v>84.553920000000005</v>
      </c>
      <c r="Y359" s="7"/>
    </row>
    <row r="360" spans="1:32" s="14" customFormat="1" ht="20.100000000000001" customHeight="1" x14ac:dyDescent="0.25">
      <c r="B360" s="10" t="s">
        <v>2</v>
      </c>
      <c r="C360" s="13" t="s">
        <v>8</v>
      </c>
      <c r="D360" s="14">
        <f>D359</f>
        <v>12</v>
      </c>
      <c r="E360" s="14">
        <v>0.125</v>
      </c>
      <c r="F360" s="7">
        <f>ROUNDUP((E352/3)/E360,0)+1</f>
        <v>15</v>
      </c>
      <c r="G360" s="9"/>
      <c r="O360" s="7">
        <f>(2*((G352-(2*'[2]Beam '!$D$11))+(F352-(2*'[2]Beam '!$D$11)))+(2*10*D360/1000))*D352</f>
        <v>2.8</v>
      </c>
      <c r="P360" s="7">
        <f t="shared" si="67"/>
        <v>42</v>
      </c>
      <c r="Q360" s="7">
        <f>IF($D360='[2]Beam '!Q$44,$P360*'[2]Beam '!Q$45,0)</f>
        <v>0</v>
      </c>
      <c r="R360" s="7">
        <f>IF($D360='[2]Beam '!R$44,$P360*'[2]Beam '!R$45,0)</f>
        <v>0</v>
      </c>
      <c r="S360" s="7">
        <f>IF($D360='[2]Beam '!S$44,$P360*'[2]Beam '!S$45,0)</f>
        <v>37.303200000000004</v>
      </c>
      <c r="T360" s="7">
        <f>IF($D360='[2]Beam '!T$44,$P360*'[2]Beam '!T$45,0)</f>
        <v>0</v>
      </c>
      <c r="U360" s="7">
        <f>IF($D360='[2]Beam '!U$44,$P360*'[2]Beam '!U$45,0)</f>
        <v>0</v>
      </c>
      <c r="V360" s="7">
        <f>IF($D360='[2]Beam '!V$44,$P360*'[2]Beam '!V$45,0)</f>
        <v>0</v>
      </c>
      <c r="W360" s="7">
        <f>IF($D360='[2]Beam '!W$44,$P360*'[2]Beam '!W$45,0)</f>
        <v>0</v>
      </c>
      <c r="X360" s="7">
        <f t="shared" si="68"/>
        <v>37.303200000000004</v>
      </c>
    </row>
    <row r="361" spans="1:32" s="9" customFormat="1" ht="20.100000000000001" customHeight="1" x14ac:dyDescent="0.25">
      <c r="A361" s="14"/>
      <c r="B361" s="10" t="s">
        <v>2</v>
      </c>
      <c r="C361" s="13" t="s">
        <v>47</v>
      </c>
      <c r="D361" s="14">
        <f>D359</f>
        <v>12</v>
      </c>
      <c r="E361" s="14">
        <f>+E359</f>
        <v>0.1</v>
      </c>
      <c r="F361" s="7">
        <f>ROUNDUP((E352/3*2)/E361,0)+1</f>
        <v>34</v>
      </c>
      <c r="H361" s="14"/>
      <c r="I361" s="14"/>
      <c r="J361" s="14"/>
      <c r="K361" s="14"/>
      <c r="L361" s="14"/>
      <c r="M361" s="14"/>
      <c r="N361" s="14"/>
      <c r="O361" s="7">
        <f>((((G352-(2*'[2]Beam '!$D$11))+(2*10*D361/1000))*D352))</f>
        <v>1.28</v>
      </c>
      <c r="P361" s="7">
        <f t="shared" si="67"/>
        <v>43.52</v>
      </c>
      <c r="Q361" s="7">
        <f>IF($D361='[2]Beam '!Q$44,$P361*'[2]Beam '!Q$45,0)</f>
        <v>0</v>
      </c>
      <c r="R361" s="7">
        <f>IF($D361='[2]Beam '!R$44,$P361*'[2]Beam '!R$45,0)</f>
        <v>0</v>
      </c>
      <c r="S361" s="7">
        <f>IF($D361='[2]Beam '!S$44,$P361*'[2]Beam '!S$45,0)</f>
        <v>38.653220571428584</v>
      </c>
      <c r="T361" s="7">
        <f>IF($D361='[2]Beam '!T$44,$P361*'[2]Beam '!T$45,0)</f>
        <v>0</v>
      </c>
      <c r="U361" s="7">
        <f>IF($D361='[2]Beam '!U$44,$P361*'[2]Beam '!U$45,0)</f>
        <v>0</v>
      </c>
      <c r="V361" s="7">
        <f>IF($D361='[2]Beam '!V$44,$P361*'[2]Beam '!V$45,0)</f>
        <v>0</v>
      </c>
      <c r="W361" s="7">
        <f>IF($D361='[2]Beam '!W$44,$P361*'[2]Beam '!W$45,0)</f>
        <v>0</v>
      </c>
      <c r="X361" s="7">
        <f t="shared" si="68"/>
        <v>38.653220571428584</v>
      </c>
      <c r="Y361" s="14"/>
      <c r="Z361" s="7"/>
      <c r="AA361" s="7"/>
      <c r="AB361" s="7"/>
      <c r="AC361" s="7"/>
      <c r="AD361" s="7"/>
      <c r="AE361" s="7"/>
    </row>
    <row r="362" spans="1:32" s="9" customFormat="1" ht="21" customHeight="1" x14ac:dyDescent="0.25">
      <c r="A362" s="14"/>
      <c r="B362" s="10" t="s">
        <v>2</v>
      </c>
      <c r="C362" s="13" t="s">
        <v>47</v>
      </c>
      <c r="D362" s="14">
        <f>D360</f>
        <v>12</v>
      </c>
      <c r="E362" s="14">
        <f>+E360</f>
        <v>0.125</v>
      </c>
      <c r="F362" s="7">
        <f>ROUNDUP((E352/3)/E362,0)+1</f>
        <v>15</v>
      </c>
      <c r="H362" s="14"/>
      <c r="I362" s="14"/>
      <c r="J362" s="14"/>
      <c r="K362" s="14"/>
      <c r="L362" s="14"/>
      <c r="M362" s="14"/>
      <c r="N362" s="14"/>
      <c r="O362" s="7">
        <f>((((G352-(2*'[2]Beam '!$D$11))+(2*10*D362/1000))*D352))</f>
        <v>1.28</v>
      </c>
      <c r="P362" s="7">
        <f t="shared" si="67"/>
        <v>19.2</v>
      </c>
      <c r="Q362" s="7">
        <f>IF($D362='[2]Beam '!Q$44,$P362*'[2]Beam '!Q$45,0)</f>
        <v>0</v>
      </c>
      <c r="R362" s="7">
        <f>IF($D362='[2]Beam '!R$44,$P362*'[2]Beam '!R$45,0)</f>
        <v>0</v>
      </c>
      <c r="S362" s="7">
        <f>IF($D362='[2]Beam '!S$44,$P362*'[2]Beam '!S$45,0)</f>
        <v>17.052891428571431</v>
      </c>
      <c r="T362" s="7">
        <f>IF($D362='[2]Beam '!T$44,$P362*'[2]Beam '!T$45,0)</f>
        <v>0</v>
      </c>
      <c r="U362" s="7">
        <f>IF($D362='[2]Beam '!U$44,$P362*'[2]Beam '!U$45,0)</f>
        <v>0</v>
      </c>
      <c r="V362" s="7">
        <f>IF($D362='[2]Beam '!V$44,$P362*'[2]Beam '!V$45,0)</f>
        <v>0</v>
      </c>
      <c r="W362" s="7">
        <f>IF($D362='[2]Beam '!W$44,$P362*'[2]Beam '!W$45,0)</f>
        <v>0</v>
      </c>
      <c r="X362" s="7">
        <f t="shared" si="68"/>
        <v>17.052891428571431</v>
      </c>
      <c r="Y362" s="14"/>
      <c r="Z362" s="7"/>
      <c r="AA362" s="7"/>
      <c r="AB362" s="7"/>
      <c r="AC362" s="7"/>
      <c r="AD362" s="7"/>
      <c r="AE362" s="7"/>
      <c r="AF362" s="7"/>
    </row>
    <row r="363" spans="1:32" s="9" customFormat="1" ht="20.100000000000001" customHeight="1" x14ac:dyDescent="0.25">
      <c r="A363" s="6"/>
      <c r="B363" s="10" t="s">
        <v>2</v>
      </c>
      <c r="C363" s="13" t="s">
        <v>11</v>
      </c>
      <c r="D363" s="7">
        <f>+'[2]Beam '!$D$15</f>
        <v>25</v>
      </c>
      <c r="E363" s="7">
        <f>+'[2]Beam '!$E$15</f>
        <v>1</v>
      </c>
      <c r="F363" s="7">
        <f>ROUNDUP((1.35+1.35)/E363,0)</f>
        <v>3</v>
      </c>
      <c r="G363" s="8"/>
      <c r="H363" s="8"/>
      <c r="I363" s="7"/>
      <c r="J363" s="7"/>
      <c r="K363" s="7"/>
      <c r="L363" s="7"/>
      <c r="M363" s="7"/>
      <c r="N363" s="7"/>
      <c r="O363" s="7">
        <f>F352-'[2]Beam '!$F$15</f>
        <v>0.24</v>
      </c>
      <c r="P363" s="7">
        <f t="shared" si="67"/>
        <v>0.72</v>
      </c>
      <c r="Q363" s="7">
        <f>IF($D363='[2]Beam '!Q$44,$P363*'[2]Beam '!Q$45,0)</f>
        <v>0</v>
      </c>
      <c r="R363" s="7">
        <f>IF($D363='[2]Beam '!R$44,$P363*'[2]Beam '!R$45,0)</f>
        <v>0</v>
      </c>
      <c r="S363" s="7">
        <f>IF($D363='[2]Beam '!S$44,$P363*'[2]Beam '!S$45,0)</f>
        <v>0</v>
      </c>
      <c r="T363" s="7">
        <f>IF($D363='[2]Beam '!T$44,$P363*'[2]Beam '!T$45,0)</f>
        <v>0</v>
      </c>
      <c r="U363" s="7">
        <f>IF($D363='[2]Beam '!U$44,$P363*'[2]Beam '!U$45,0)</f>
        <v>0</v>
      </c>
      <c r="V363" s="7">
        <f>IF($D363='[2]Beam '!V$44,$P363*'[2]Beam '!V$45,0)</f>
        <v>2.7755357142857147</v>
      </c>
      <c r="W363" s="7">
        <f>IF($D363='[2]Beam '!W$44,$P363*'[2]Beam '!W$45,0)</f>
        <v>0</v>
      </c>
      <c r="X363" s="7">
        <f t="shared" si="68"/>
        <v>2.7755357142857147</v>
      </c>
      <c r="Y363" s="7"/>
      <c r="Z363" s="7"/>
      <c r="AA363" s="7"/>
      <c r="AB363" s="7"/>
      <c r="AC363" s="7"/>
      <c r="AD363" s="7"/>
      <c r="AE363" s="7"/>
    </row>
    <row r="364" spans="1:32" s="9" customFormat="1" ht="20.100000000000001" customHeight="1" x14ac:dyDescent="0.25">
      <c r="A364" s="7">
        <v>1</v>
      </c>
      <c r="B364" s="10" t="s">
        <v>2</v>
      </c>
      <c r="C364" s="11" t="s">
        <v>60</v>
      </c>
      <c r="D364" s="11">
        <v>1</v>
      </c>
      <c r="E364" s="11">
        <v>2.5990000000000002</v>
      </c>
      <c r="F364" s="11">
        <v>0.3</v>
      </c>
      <c r="G364" s="11">
        <v>1.1000000000000001</v>
      </c>
      <c r="H364" s="7">
        <f>G364-0.2</f>
        <v>0.90000000000000013</v>
      </c>
      <c r="I364" s="7">
        <f>E364*F364*G364*D364</f>
        <v>0.85767000000000015</v>
      </c>
      <c r="J364" s="7">
        <f>(2*(E364)*H364*D364)+(E364*F364)</f>
        <v>5.4579000000000013</v>
      </c>
      <c r="K364" s="12">
        <f>IF(E364=0.3,J364,0)</f>
        <v>0</v>
      </c>
      <c r="L364" s="12">
        <f>IF(AND(E364&gt;0.3,E364&lt;=0.75),J364,0)</f>
        <v>0</v>
      </c>
      <c r="M364" s="12">
        <f>IF(AND(E364&gt;0.75,E364&lt;=1.2),J364,0)</f>
        <v>0</v>
      </c>
      <c r="N364" s="12">
        <f>IF(E364&gt;1.2,J364,0)</f>
        <v>5.4579000000000013</v>
      </c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>
        <f>SUM(X365:X369)/I364</f>
        <v>189.00393466351528</v>
      </c>
      <c r="Z364" s="7"/>
      <c r="AA364" s="7"/>
      <c r="AB364" s="7"/>
      <c r="AC364" s="7"/>
      <c r="AD364" s="7"/>
      <c r="AE364" s="7"/>
    </row>
    <row r="365" spans="1:32" s="9" customFormat="1" ht="20.100000000000001" customHeight="1" x14ac:dyDescent="0.25">
      <c r="A365" s="6"/>
      <c r="B365" s="10" t="s">
        <v>2</v>
      </c>
      <c r="C365" s="13" t="s">
        <v>4</v>
      </c>
      <c r="D365" s="7">
        <v>25</v>
      </c>
      <c r="E365" s="7"/>
      <c r="F365" s="7">
        <v>2</v>
      </c>
      <c r="G365" s="8">
        <f>VLOOKUP(D365,'[2]Beam '!$C$20:$H$26,3,0)</f>
        <v>1</v>
      </c>
      <c r="H365" s="8"/>
      <c r="I365" s="7"/>
      <c r="J365" s="7"/>
      <c r="K365" s="7"/>
      <c r="L365" s="7"/>
      <c r="M365" s="7"/>
      <c r="N365" s="7"/>
      <c r="O365" s="7">
        <f>(E364+1*(G365+(12*D365/1000)))+1*(G365)*D364</f>
        <v>4.899</v>
      </c>
      <c r="P365" s="7">
        <f t="shared" ref="P365:P370" si="69">O365*F365</f>
        <v>9.798</v>
      </c>
      <c r="Q365" s="7">
        <f>IF($D365='[2]Beam '!Q$44,$P365*'[2]Beam '!Q$45,0)</f>
        <v>0</v>
      </c>
      <c r="R365" s="7">
        <f>IF($D365='[2]Beam '!R$44,$P365*'[2]Beam '!R$45,0)</f>
        <v>0</v>
      </c>
      <c r="S365" s="7">
        <f>IF($D365='[2]Beam '!S$44,$P365*'[2]Beam '!S$45,0)</f>
        <v>0</v>
      </c>
      <c r="T365" s="7">
        <f>IF($D365='[2]Beam '!T$44,$P365*'[2]Beam '!T$45,0)</f>
        <v>0</v>
      </c>
      <c r="U365" s="7">
        <f>IF($D365='[2]Beam '!U$44,$P365*'[2]Beam '!U$45,0)</f>
        <v>0</v>
      </c>
      <c r="V365" s="7">
        <f>IF($D365='[2]Beam '!V$44,$P365*'[2]Beam '!V$45,0)</f>
        <v>37.770415178571433</v>
      </c>
      <c r="W365" s="7">
        <f>IF($D365='[2]Beam '!W$44,$P365*'[2]Beam '!W$45,0)</f>
        <v>0</v>
      </c>
      <c r="X365" s="7">
        <f t="shared" ref="X365:X370" si="70">SUM(Q365:W365)</f>
        <v>37.770415178571433</v>
      </c>
      <c r="Y365" s="7"/>
      <c r="Z365" s="7"/>
      <c r="AA365" s="7"/>
      <c r="AB365" s="7"/>
      <c r="AC365" s="7"/>
      <c r="AD365" s="7"/>
      <c r="AE365" s="7"/>
    </row>
    <row r="366" spans="1:32" s="9" customFormat="1" ht="20.100000000000001" customHeight="1" x14ac:dyDescent="0.25">
      <c r="A366" s="6"/>
      <c r="B366" s="10" t="s">
        <v>2</v>
      </c>
      <c r="C366" s="13" t="s">
        <v>4</v>
      </c>
      <c r="D366" s="7">
        <v>20</v>
      </c>
      <c r="E366" s="7"/>
      <c r="F366" s="7">
        <v>1</v>
      </c>
      <c r="G366" s="8">
        <f>VLOOKUP(D366,'[2]Beam '!$C$20:$H$26,3,0)</f>
        <v>0.8</v>
      </c>
      <c r="H366" s="8"/>
      <c r="I366" s="7"/>
      <c r="J366" s="7"/>
      <c r="K366" s="7"/>
      <c r="L366" s="7"/>
      <c r="M366" s="7"/>
      <c r="N366" s="7"/>
      <c r="O366" s="7">
        <f>(E364+1*(G366+(12*D366/1000)))+1*(G366)*D364</f>
        <v>4.4390000000000001</v>
      </c>
      <c r="P366" s="7">
        <f t="shared" si="69"/>
        <v>4.4390000000000001</v>
      </c>
      <c r="Q366" s="7">
        <f>IF($D366='[2]Beam '!Q$44,$P366*'[2]Beam '!Q$45,0)</f>
        <v>0</v>
      </c>
      <c r="R366" s="7">
        <f>IF($D366='[2]Beam '!R$44,$P366*'[2]Beam '!R$45,0)</f>
        <v>0</v>
      </c>
      <c r="S366" s="7">
        <f>IF($D366='[2]Beam '!S$44,$P366*'[2]Beam '!S$45,0)</f>
        <v>0</v>
      </c>
      <c r="T366" s="7">
        <f>IF($D366='[2]Beam '!T$44,$P366*'[2]Beam '!T$45,0)</f>
        <v>0</v>
      </c>
      <c r="U366" s="7">
        <f>IF($D366='[2]Beam '!U$44,$P366*'[2]Beam '!U$45,0)</f>
        <v>10.951647142857142</v>
      </c>
      <c r="V366" s="7">
        <f>IF($D366='[2]Beam '!V$44,$P366*'[2]Beam '!V$45,0)</f>
        <v>0</v>
      </c>
      <c r="W366" s="7">
        <f>IF($D366='[2]Beam '!W$44,$P366*'[2]Beam '!W$45,0)</f>
        <v>0</v>
      </c>
      <c r="X366" s="7">
        <f t="shared" si="70"/>
        <v>10.951647142857142</v>
      </c>
      <c r="Y366" s="7"/>
      <c r="Z366" s="7"/>
      <c r="AA366" s="7"/>
      <c r="AB366" s="7"/>
      <c r="AC366" s="7"/>
      <c r="AD366" s="7"/>
      <c r="AE366" s="7"/>
    </row>
    <row r="367" spans="1:32" s="9" customFormat="1" ht="20.100000000000001" customHeight="1" x14ac:dyDescent="0.25">
      <c r="A367" s="6"/>
      <c r="B367" s="10" t="s">
        <v>2</v>
      </c>
      <c r="C367" s="13" t="s">
        <v>6</v>
      </c>
      <c r="D367" s="7">
        <v>25</v>
      </c>
      <c r="E367" s="7"/>
      <c r="F367" s="7">
        <v>2</v>
      </c>
      <c r="G367" s="8">
        <f>VLOOKUP(D367,'[2]Beam '!$C$20:$H$26,3,0)</f>
        <v>1</v>
      </c>
      <c r="H367" s="7"/>
      <c r="I367" s="7"/>
      <c r="J367" s="7"/>
      <c r="K367" s="7"/>
      <c r="L367" s="7"/>
      <c r="M367" s="7"/>
      <c r="N367" s="7"/>
      <c r="O367" s="7">
        <f>(E364+1*(G367+(12*D367/1000))+1*(G367))*D364</f>
        <v>4.899</v>
      </c>
      <c r="P367" s="7">
        <f t="shared" si="69"/>
        <v>9.798</v>
      </c>
      <c r="Q367" s="7">
        <f>IF($D367='[2]Beam '!Q$44,$P367*'[2]Beam '!Q$45,0)</f>
        <v>0</v>
      </c>
      <c r="R367" s="7">
        <f>IF($D367='[2]Beam '!R$44,$P367*'[2]Beam '!R$45,0)</f>
        <v>0</v>
      </c>
      <c r="S367" s="7">
        <f>IF($D367='[2]Beam '!S$44,$P367*'[2]Beam '!S$45,0)</f>
        <v>0</v>
      </c>
      <c r="T367" s="7">
        <f>IF($D367='[2]Beam '!T$44,$P367*'[2]Beam '!T$45,0)</f>
        <v>0</v>
      </c>
      <c r="U367" s="7">
        <f>IF($D367='[2]Beam '!U$44,$P367*'[2]Beam '!U$45,0)</f>
        <v>0</v>
      </c>
      <c r="V367" s="7">
        <f>IF($D367='[2]Beam '!V$44,$P367*'[2]Beam '!V$45,0)</f>
        <v>37.770415178571433</v>
      </c>
      <c r="W367" s="7">
        <f>IF($D367='[2]Beam '!W$44,$P367*'[2]Beam '!W$45,0)</f>
        <v>0</v>
      </c>
      <c r="X367" s="7">
        <f t="shared" si="70"/>
        <v>37.770415178571433</v>
      </c>
      <c r="Y367" s="7"/>
      <c r="Z367" s="7"/>
      <c r="AA367" s="7"/>
      <c r="AB367" s="7"/>
      <c r="AC367" s="7"/>
      <c r="AD367" s="7"/>
      <c r="AE367" s="7"/>
    </row>
    <row r="368" spans="1:32" s="9" customFormat="1" ht="20.100000000000001" customHeight="1" x14ac:dyDescent="0.25">
      <c r="A368" s="6"/>
      <c r="B368" s="10" t="s">
        <v>2</v>
      </c>
      <c r="C368" s="13" t="s">
        <v>6</v>
      </c>
      <c r="D368" s="7">
        <v>20</v>
      </c>
      <c r="E368" s="7"/>
      <c r="F368" s="7">
        <v>1</v>
      </c>
      <c r="G368" s="8">
        <f>VLOOKUP(D368,'[2]Beam '!$C$20:$H$26,3,0)</f>
        <v>0.8</v>
      </c>
      <c r="H368" s="7"/>
      <c r="I368" s="7"/>
      <c r="J368" s="7"/>
      <c r="K368" s="7"/>
      <c r="L368" s="7"/>
      <c r="M368" s="7"/>
      <c r="N368" s="7"/>
      <c r="O368" s="7">
        <f>(E364+1*(G368+(12*D368/1000))+1*(G368))*D364</f>
        <v>4.4390000000000001</v>
      </c>
      <c r="P368" s="7">
        <f t="shared" si="69"/>
        <v>4.4390000000000001</v>
      </c>
      <c r="Q368" s="7">
        <f>IF($D368='[2]Beam '!Q$44,$P368*'[2]Beam '!Q$45,0)</f>
        <v>0</v>
      </c>
      <c r="R368" s="7">
        <f>IF($D368='[2]Beam '!R$44,$P368*'[2]Beam '!R$45,0)</f>
        <v>0</v>
      </c>
      <c r="S368" s="7">
        <f>IF($D368='[2]Beam '!S$44,$P368*'[2]Beam '!S$45,0)</f>
        <v>0</v>
      </c>
      <c r="T368" s="7">
        <f>IF($D368='[2]Beam '!T$44,$P368*'[2]Beam '!T$45,0)</f>
        <v>0</v>
      </c>
      <c r="U368" s="7">
        <f>IF($D368='[2]Beam '!U$44,$P368*'[2]Beam '!U$45,0)</f>
        <v>10.951647142857142</v>
      </c>
      <c r="V368" s="7">
        <f>IF($D368='[2]Beam '!V$44,$P368*'[2]Beam '!V$45,0)</f>
        <v>0</v>
      </c>
      <c r="W368" s="7">
        <f>IF($D368='[2]Beam '!W$44,$P368*'[2]Beam '!W$45,0)</f>
        <v>0</v>
      </c>
      <c r="X368" s="7">
        <f t="shared" si="70"/>
        <v>10.951647142857142</v>
      </c>
      <c r="Y368" s="7"/>
      <c r="Z368" s="7"/>
      <c r="AA368" s="7"/>
      <c r="AB368" s="7"/>
      <c r="AC368" s="7"/>
      <c r="AD368" s="7"/>
      <c r="AE368" s="7"/>
    </row>
    <row r="369" spans="1:32" s="9" customFormat="1" ht="21" customHeight="1" x14ac:dyDescent="0.25">
      <c r="A369" s="6"/>
      <c r="B369" s="10" t="s">
        <v>2</v>
      </c>
      <c r="C369" s="13" t="s">
        <v>26</v>
      </c>
      <c r="D369" s="7">
        <v>12</v>
      </c>
      <c r="E369" s="7">
        <v>0.1</v>
      </c>
      <c r="F369" s="7">
        <f>ROUNDUP(E364/E369,0)</f>
        <v>26</v>
      </c>
      <c r="H369" s="7"/>
      <c r="I369" s="7"/>
      <c r="J369" s="7"/>
      <c r="K369" s="7"/>
      <c r="L369" s="7"/>
      <c r="M369" s="7"/>
      <c r="N369" s="7"/>
      <c r="O369" s="7">
        <f>(2*((G364-(2*'[2]Beam '!$D$11))+(F364-(2*'[2]Beam '!$D$11)))+(2*10*D369/1000))*D364</f>
        <v>2.8</v>
      </c>
      <c r="P369" s="7">
        <f t="shared" si="69"/>
        <v>72.8</v>
      </c>
      <c r="Q369" s="7">
        <f>IF($D369='[2]Beam '!Q$44,$P369*'[2]Beam '!Q$45,0)</f>
        <v>0</v>
      </c>
      <c r="R369" s="7">
        <f>IF($D369='[2]Beam '!R$44,$P369*'[2]Beam '!R$45,0)</f>
        <v>0</v>
      </c>
      <c r="S369" s="7">
        <f>IF($D369='[2]Beam '!S$44,$P369*'[2]Beam '!S$45,0)</f>
        <v>64.658880000000011</v>
      </c>
      <c r="T369" s="7">
        <f>IF($D369='[2]Beam '!T$44,$P369*'[2]Beam '!T$45,0)</f>
        <v>0</v>
      </c>
      <c r="U369" s="7">
        <f>IF($D369='[2]Beam '!U$44,$P369*'[2]Beam '!U$45,0)</f>
        <v>0</v>
      </c>
      <c r="V369" s="7">
        <f>IF($D369='[2]Beam '!V$44,$P369*'[2]Beam '!V$45,0)</f>
        <v>0</v>
      </c>
      <c r="W369" s="7">
        <f>IF($D369='[2]Beam '!W$44,$P369*'[2]Beam '!W$45,0)</f>
        <v>0</v>
      </c>
      <c r="X369" s="7">
        <f t="shared" si="70"/>
        <v>64.658880000000011</v>
      </c>
      <c r="Y369" s="7"/>
      <c r="Z369" s="7"/>
      <c r="AA369" s="7"/>
      <c r="AB369" s="7"/>
      <c r="AC369" s="7"/>
      <c r="AD369" s="7"/>
      <c r="AE369" s="7"/>
      <c r="AF369" s="7"/>
    </row>
    <row r="370" spans="1:32" s="9" customFormat="1" ht="20.100000000000001" customHeight="1" x14ac:dyDescent="0.25">
      <c r="A370" s="6"/>
      <c r="B370" s="10" t="s">
        <v>2</v>
      </c>
      <c r="C370" s="13" t="s">
        <v>11</v>
      </c>
      <c r="D370" s="7">
        <f>+'[2]Beam '!$D$15</f>
        <v>25</v>
      </c>
      <c r="E370" s="7">
        <f>+'[2]Beam '!$E$15</f>
        <v>1</v>
      </c>
      <c r="F370" s="7">
        <f>ROUNDUP((+E364)/E370,0)</f>
        <v>3</v>
      </c>
      <c r="G370" s="8"/>
      <c r="H370" s="8"/>
      <c r="I370" s="7"/>
      <c r="J370" s="7"/>
      <c r="K370" s="7"/>
      <c r="L370" s="7"/>
      <c r="M370" s="7"/>
      <c r="N370" s="7"/>
      <c r="O370" s="7">
        <f>F364-'[2]Beam '!$F$15</f>
        <v>0.24</v>
      </c>
      <c r="P370" s="7">
        <f t="shared" si="69"/>
        <v>0.72</v>
      </c>
      <c r="Q370" s="7">
        <f>IF($D370='[2]Beam '!Q$44,$P370*'[2]Beam '!Q$45,0)</f>
        <v>0</v>
      </c>
      <c r="R370" s="7">
        <f>IF($D370='[2]Beam '!R$44,$P370*'[2]Beam '!R$45,0)</f>
        <v>0</v>
      </c>
      <c r="S370" s="7">
        <f>IF($D370='[2]Beam '!S$44,$P370*'[2]Beam '!S$45,0)</f>
        <v>0</v>
      </c>
      <c r="T370" s="7">
        <f>IF($D370='[2]Beam '!T$44,$P370*'[2]Beam '!T$45,0)</f>
        <v>0</v>
      </c>
      <c r="U370" s="7">
        <f>IF($D370='[2]Beam '!U$44,$P370*'[2]Beam '!U$45,0)</f>
        <v>0</v>
      </c>
      <c r="V370" s="7">
        <f>IF($D370='[2]Beam '!V$44,$P370*'[2]Beam '!V$45,0)</f>
        <v>2.7755357142857147</v>
      </c>
      <c r="W370" s="7">
        <f>IF($D370='[2]Beam '!W$44,$P370*'[2]Beam '!W$45,0)</f>
        <v>0</v>
      </c>
      <c r="X370" s="7">
        <f t="shared" si="70"/>
        <v>2.7755357142857147</v>
      </c>
      <c r="Y370" s="7"/>
      <c r="Z370" s="7"/>
      <c r="AA370" s="7"/>
      <c r="AB370" s="7"/>
      <c r="AC370" s="7"/>
      <c r="AD370" s="7"/>
      <c r="AE370" s="7"/>
    </row>
    <row r="371" spans="1:32" s="9" customFormat="1" ht="20.100000000000001" customHeight="1" x14ac:dyDescent="0.25">
      <c r="A371" s="7">
        <v>1</v>
      </c>
      <c r="B371" s="10" t="s">
        <v>2</v>
      </c>
      <c r="C371" s="11" t="s">
        <v>61</v>
      </c>
      <c r="D371" s="11">
        <v>1</v>
      </c>
      <c r="E371" s="11">
        <v>4.8979999999999997</v>
      </c>
      <c r="F371" s="11">
        <v>0.3</v>
      </c>
      <c r="G371" s="11">
        <v>2.2999999999999998</v>
      </c>
      <c r="H371" s="7">
        <f>G371-0.2</f>
        <v>2.0999999999999996</v>
      </c>
      <c r="I371" s="7">
        <f>E371*F371*G371*D371</f>
        <v>3.3796199999999992</v>
      </c>
      <c r="J371" s="7">
        <f>(2*(E371)*H371*D371)+(E371*F371)</f>
        <v>22.040999999999997</v>
      </c>
      <c r="K371" s="12">
        <f>IF(E371=0.3,J371,0)</f>
        <v>0</v>
      </c>
      <c r="L371" s="12">
        <f>IF(AND(E371&gt;0.3,E371&lt;=0.75),J371,0)</f>
        <v>0</v>
      </c>
      <c r="M371" s="12">
        <f>IF(AND(E371&gt;0.75,E371&lt;=1.2),J371,0)</f>
        <v>0</v>
      </c>
      <c r="N371" s="12">
        <f>IF(E371&gt;1.2,J371,0)</f>
        <v>22.040999999999997</v>
      </c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>
        <f>SUM(X372:X379)/I371</f>
        <v>159.90398043482492</v>
      </c>
      <c r="Z371" s="7"/>
      <c r="AA371" s="7"/>
      <c r="AB371" s="7"/>
      <c r="AC371" s="7"/>
      <c r="AD371" s="7"/>
      <c r="AE371" s="7"/>
    </row>
    <row r="372" spans="1:32" s="9" customFormat="1" ht="20.100000000000001" customHeight="1" x14ac:dyDescent="0.25">
      <c r="A372" s="6"/>
      <c r="B372" s="10" t="s">
        <v>2</v>
      </c>
      <c r="C372" s="13" t="s">
        <v>4</v>
      </c>
      <c r="D372" s="7">
        <v>25</v>
      </c>
      <c r="E372" s="7"/>
      <c r="F372" s="7">
        <v>3</v>
      </c>
      <c r="G372" s="8">
        <f>VLOOKUP(D372,'[2]Beam '!$C$20:$H$26,3,0)</f>
        <v>1</v>
      </c>
      <c r="H372" s="8"/>
      <c r="I372" s="7"/>
      <c r="J372" s="7"/>
      <c r="K372" s="7"/>
      <c r="L372" s="7"/>
      <c r="M372" s="7"/>
      <c r="N372" s="7"/>
      <c r="O372" s="7">
        <f>(E371+1*(G372+(12*D372/1000)))+1*(G372)*D371</f>
        <v>7.1979999999999995</v>
      </c>
      <c r="P372" s="7">
        <f t="shared" ref="P372:P380" si="71">O372*F372</f>
        <v>21.593999999999998</v>
      </c>
      <c r="Q372" s="7">
        <f>IF($D372='[2]Beam '!Q$44,$P372*'[2]Beam '!Q$45,0)</f>
        <v>0</v>
      </c>
      <c r="R372" s="7">
        <f>IF($D372='[2]Beam '!R$44,$P372*'[2]Beam '!R$45,0)</f>
        <v>0</v>
      </c>
      <c r="S372" s="7">
        <f>IF($D372='[2]Beam '!S$44,$P372*'[2]Beam '!S$45,0)</f>
        <v>0</v>
      </c>
      <c r="T372" s="7">
        <f>IF($D372='[2]Beam '!T$44,$P372*'[2]Beam '!T$45,0)</f>
        <v>0</v>
      </c>
      <c r="U372" s="7">
        <f>IF($D372='[2]Beam '!U$44,$P372*'[2]Beam '!U$45,0)</f>
        <v>0</v>
      </c>
      <c r="V372" s="7">
        <f>IF($D372='[2]Beam '!V$44,$P372*'[2]Beam '!V$45,0)</f>
        <v>83.24294196428572</v>
      </c>
      <c r="W372" s="7">
        <f>IF($D372='[2]Beam '!W$44,$P372*'[2]Beam '!W$45,0)</f>
        <v>0</v>
      </c>
      <c r="X372" s="7">
        <f t="shared" ref="X372:X380" si="72">SUM(Q372:W372)</f>
        <v>83.24294196428572</v>
      </c>
      <c r="Y372" s="7"/>
      <c r="Z372" s="7"/>
      <c r="AA372" s="7"/>
      <c r="AB372" s="7"/>
      <c r="AC372" s="7"/>
      <c r="AD372" s="7"/>
      <c r="AE372" s="7"/>
    </row>
    <row r="373" spans="1:32" s="9" customFormat="1" ht="20.100000000000001" customHeight="1" x14ac:dyDescent="0.25">
      <c r="A373" s="6"/>
      <c r="B373" s="10" t="s">
        <v>2</v>
      </c>
      <c r="C373" s="13" t="s">
        <v>5</v>
      </c>
      <c r="D373" s="7">
        <v>25</v>
      </c>
      <c r="E373" s="7"/>
      <c r="F373" s="7">
        <v>2</v>
      </c>
      <c r="G373" s="8">
        <f>VLOOKUP(D373,'[2]Beam '!$C$20:$H$26,3,0)</f>
        <v>1</v>
      </c>
      <c r="H373" s="8"/>
      <c r="I373" s="7"/>
      <c r="J373" s="7"/>
      <c r="K373" s="7"/>
      <c r="L373" s="7"/>
      <c r="M373" s="7"/>
      <c r="N373" s="7"/>
      <c r="O373" s="7">
        <f>(E371+1*(G373+(12*D373/1000)))+1*(G373)*D371</f>
        <v>7.1979999999999995</v>
      </c>
      <c r="P373" s="7">
        <f t="shared" si="71"/>
        <v>14.395999999999999</v>
      </c>
      <c r="Q373" s="7">
        <f>IF($D373='[2]Beam '!Q$44,$P373*'[2]Beam '!Q$45,0)</f>
        <v>0</v>
      </c>
      <c r="R373" s="7">
        <f>IF($D373='[2]Beam '!R$44,$P373*'[2]Beam '!R$45,0)</f>
        <v>0</v>
      </c>
      <c r="S373" s="7">
        <f>IF($D373='[2]Beam '!S$44,$P373*'[2]Beam '!S$45,0)</f>
        <v>0</v>
      </c>
      <c r="T373" s="7">
        <f>IF($D373='[2]Beam '!T$44,$P373*'[2]Beam '!T$45,0)</f>
        <v>0</v>
      </c>
      <c r="U373" s="7">
        <f>IF($D373='[2]Beam '!U$44,$P373*'[2]Beam '!U$45,0)</f>
        <v>0</v>
      </c>
      <c r="V373" s="7">
        <f>IF($D373='[2]Beam '!V$44,$P373*'[2]Beam '!V$45,0)</f>
        <v>55.495294642857147</v>
      </c>
      <c r="W373" s="7">
        <f>IF($D373='[2]Beam '!W$44,$P373*'[2]Beam '!W$45,0)</f>
        <v>0</v>
      </c>
      <c r="X373" s="7">
        <f t="shared" si="72"/>
        <v>55.495294642857147</v>
      </c>
      <c r="Y373" s="7"/>
      <c r="Z373" s="7"/>
      <c r="AA373" s="7"/>
      <c r="AB373" s="7"/>
      <c r="AC373" s="7"/>
      <c r="AD373" s="7"/>
      <c r="AE373" s="7"/>
    </row>
    <row r="374" spans="1:32" s="9" customFormat="1" ht="20.100000000000001" customHeight="1" x14ac:dyDescent="0.25">
      <c r="A374" s="6"/>
      <c r="B374" s="10" t="s">
        <v>2</v>
      </c>
      <c r="C374" s="13" t="s">
        <v>4</v>
      </c>
      <c r="D374" s="7">
        <v>20</v>
      </c>
      <c r="E374" s="7"/>
      <c r="F374" s="7">
        <v>1</v>
      </c>
      <c r="G374" s="8">
        <f>VLOOKUP(D374,'[2]Beam '!$C$20:$H$26,3,0)</f>
        <v>0.8</v>
      </c>
      <c r="H374" s="8"/>
      <c r="I374" s="7"/>
      <c r="J374" s="7"/>
      <c r="K374" s="7"/>
      <c r="L374" s="7"/>
      <c r="M374" s="7"/>
      <c r="N374" s="7"/>
      <c r="O374" s="7">
        <f>(E371+1*(G374+(12*D374/1000)))+1*(G374)*D371</f>
        <v>6.7379999999999995</v>
      </c>
      <c r="P374" s="7">
        <f t="shared" si="71"/>
        <v>6.7379999999999995</v>
      </c>
      <c r="Q374" s="7">
        <f>IF($D374='[2]Beam '!Q$44,$P374*'[2]Beam '!Q$45,0)</f>
        <v>0</v>
      </c>
      <c r="R374" s="7">
        <f>IF($D374='[2]Beam '!R$44,$P374*'[2]Beam '!R$45,0)</f>
        <v>0</v>
      </c>
      <c r="S374" s="7">
        <f>IF($D374='[2]Beam '!S$44,$P374*'[2]Beam '!S$45,0)</f>
        <v>0</v>
      </c>
      <c r="T374" s="7">
        <f>IF($D374='[2]Beam '!T$44,$P374*'[2]Beam '!T$45,0)</f>
        <v>0</v>
      </c>
      <c r="U374" s="7">
        <f>IF($D374='[2]Beam '!U$44,$P374*'[2]Beam '!U$45,0)</f>
        <v>16.623608571428569</v>
      </c>
      <c r="V374" s="7">
        <f>IF($D374='[2]Beam '!V$44,$P374*'[2]Beam '!V$45,0)</f>
        <v>0</v>
      </c>
      <c r="W374" s="7">
        <f>IF($D374='[2]Beam '!W$44,$P374*'[2]Beam '!W$45,0)</f>
        <v>0</v>
      </c>
      <c r="X374" s="7">
        <f t="shared" si="72"/>
        <v>16.623608571428569</v>
      </c>
      <c r="Y374" s="7"/>
      <c r="Z374" s="7"/>
      <c r="AA374" s="7"/>
      <c r="AB374" s="7"/>
      <c r="AC374" s="7"/>
      <c r="AD374" s="7"/>
      <c r="AE374" s="7"/>
    </row>
    <row r="375" spans="1:32" s="9" customFormat="1" ht="20.100000000000001" customHeight="1" x14ac:dyDescent="0.25">
      <c r="A375" s="6"/>
      <c r="B375" s="10" t="s">
        <v>2</v>
      </c>
      <c r="C375" s="13" t="s">
        <v>6</v>
      </c>
      <c r="D375" s="7">
        <v>25</v>
      </c>
      <c r="E375" s="7"/>
      <c r="F375" s="7">
        <v>3</v>
      </c>
      <c r="G375" s="8">
        <f>VLOOKUP(D375,'[2]Beam '!$C$20:$H$26,3,0)</f>
        <v>1</v>
      </c>
      <c r="H375" s="7"/>
      <c r="I375" s="7"/>
      <c r="J375" s="7"/>
      <c r="K375" s="7"/>
      <c r="L375" s="7"/>
      <c r="M375" s="7"/>
      <c r="N375" s="7"/>
      <c r="O375" s="7">
        <f>(E371+1*(G375+(12*D375/1000))+1*(G375))*D371</f>
        <v>7.1979999999999995</v>
      </c>
      <c r="P375" s="7">
        <f t="shared" si="71"/>
        <v>21.593999999999998</v>
      </c>
      <c r="Q375" s="7">
        <f>IF($D375='[2]Beam '!Q$44,$P375*'[2]Beam '!Q$45,0)</f>
        <v>0</v>
      </c>
      <c r="R375" s="7">
        <f>IF($D375='[2]Beam '!R$44,$P375*'[2]Beam '!R$45,0)</f>
        <v>0</v>
      </c>
      <c r="S375" s="7">
        <f>IF($D375='[2]Beam '!S$44,$P375*'[2]Beam '!S$45,0)</f>
        <v>0</v>
      </c>
      <c r="T375" s="7">
        <f>IF($D375='[2]Beam '!T$44,$P375*'[2]Beam '!T$45,0)</f>
        <v>0</v>
      </c>
      <c r="U375" s="7">
        <f>IF($D375='[2]Beam '!U$44,$P375*'[2]Beam '!U$45,0)</f>
        <v>0</v>
      </c>
      <c r="V375" s="7">
        <f>IF($D375='[2]Beam '!V$44,$P375*'[2]Beam '!V$45,0)</f>
        <v>83.24294196428572</v>
      </c>
      <c r="W375" s="7">
        <f>IF($D375='[2]Beam '!W$44,$P375*'[2]Beam '!W$45,0)</f>
        <v>0</v>
      </c>
      <c r="X375" s="7">
        <f t="shared" si="72"/>
        <v>83.24294196428572</v>
      </c>
      <c r="Y375" s="7"/>
      <c r="Z375" s="7"/>
      <c r="AA375" s="7"/>
      <c r="AB375" s="7"/>
      <c r="AC375" s="7"/>
      <c r="AD375" s="7"/>
      <c r="AE375" s="7"/>
    </row>
    <row r="376" spans="1:32" s="9" customFormat="1" ht="20.100000000000001" customHeight="1" x14ac:dyDescent="0.25">
      <c r="A376" s="6"/>
      <c r="B376" s="10" t="s">
        <v>2</v>
      </c>
      <c r="C376" s="13" t="s">
        <v>13</v>
      </c>
      <c r="D376" s="7">
        <v>25</v>
      </c>
      <c r="E376" s="7"/>
      <c r="F376" s="7">
        <v>2</v>
      </c>
      <c r="G376" s="8">
        <f>VLOOKUP(D376,'[2]Beam '!$C$20:$H$26,3,0)</f>
        <v>1</v>
      </c>
      <c r="H376" s="7"/>
      <c r="I376" s="7"/>
      <c r="J376" s="7"/>
      <c r="K376" s="7"/>
      <c r="L376" s="7"/>
      <c r="M376" s="7"/>
      <c r="N376" s="7"/>
      <c r="O376" s="7">
        <f>(E371+1*(G376+(12*D376/1000))+1*(G376))*D371</f>
        <v>7.1979999999999995</v>
      </c>
      <c r="P376" s="7">
        <f t="shared" si="71"/>
        <v>14.395999999999999</v>
      </c>
      <c r="Q376" s="7">
        <f>IF($D376='[2]Beam '!Q$44,$P376*'[2]Beam '!Q$45,0)</f>
        <v>0</v>
      </c>
      <c r="R376" s="7">
        <f>IF($D376='[2]Beam '!R$44,$P376*'[2]Beam '!R$45,0)</f>
        <v>0</v>
      </c>
      <c r="S376" s="7">
        <f>IF($D376='[2]Beam '!S$44,$P376*'[2]Beam '!S$45,0)</f>
        <v>0</v>
      </c>
      <c r="T376" s="7">
        <f>IF($D376='[2]Beam '!T$44,$P376*'[2]Beam '!T$45,0)</f>
        <v>0</v>
      </c>
      <c r="U376" s="7">
        <f>IF($D376='[2]Beam '!U$44,$P376*'[2]Beam '!U$45,0)</f>
        <v>0</v>
      </c>
      <c r="V376" s="7">
        <f>IF($D376='[2]Beam '!V$44,$P376*'[2]Beam '!V$45,0)</f>
        <v>55.495294642857147</v>
      </c>
      <c r="W376" s="7">
        <f>IF($D376='[2]Beam '!W$44,$P376*'[2]Beam '!W$45,0)</f>
        <v>0</v>
      </c>
      <c r="X376" s="7">
        <f t="shared" si="72"/>
        <v>55.495294642857147</v>
      </c>
      <c r="Y376" s="7"/>
      <c r="Z376" s="7"/>
      <c r="AA376" s="7"/>
      <c r="AB376" s="7"/>
      <c r="AC376" s="7"/>
      <c r="AD376" s="7"/>
      <c r="AE376" s="7"/>
    </row>
    <row r="377" spans="1:32" s="14" customFormat="1" ht="20.100000000000001" customHeight="1" x14ac:dyDescent="0.3">
      <c r="A377" s="6"/>
      <c r="B377" s="10" t="s">
        <v>2</v>
      </c>
      <c r="C377" s="13" t="s">
        <v>6</v>
      </c>
      <c r="D377" s="7">
        <v>20</v>
      </c>
      <c r="E377" s="7"/>
      <c r="F377" s="7">
        <v>1</v>
      </c>
      <c r="G377" s="8">
        <f>VLOOKUP(D377,'[2]Beam '!$C$20:$H$26,3,0)</f>
        <v>0.8</v>
      </c>
      <c r="H377" s="7"/>
      <c r="I377" s="7"/>
      <c r="J377" s="7"/>
      <c r="K377" s="7"/>
      <c r="L377" s="7"/>
      <c r="M377" s="7"/>
      <c r="N377" s="7"/>
      <c r="O377" s="7">
        <f>(E371+1*(G377+(12*D377/1000))+1*(G377))*D371</f>
        <v>6.7379999999999995</v>
      </c>
      <c r="P377" s="7">
        <f t="shared" si="71"/>
        <v>6.7379999999999995</v>
      </c>
      <c r="Q377" s="7">
        <f>IF($D377='[2]Beam '!Q$44,$P377*'[2]Beam '!Q$45,0)</f>
        <v>0</v>
      </c>
      <c r="R377" s="7">
        <f>IF($D377='[2]Beam '!R$44,$P377*'[2]Beam '!R$45,0)</f>
        <v>0</v>
      </c>
      <c r="S377" s="7">
        <f>IF($D377='[2]Beam '!S$44,$P377*'[2]Beam '!S$45,0)</f>
        <v>0</v>
      </c>
      <c r="T377" s="7">
        <f>IF($D377='[2]Beam '!T$44,$P377*'[2]Beam '!T$45,0)</f>
        <v>0</v>
      </c>
      <c r="U377" s="7">
        <f>IF($D377='[2]Beam '!U$44,$P377*'[2]Beam '!U$45,0)</f>
        <v>16.623608571428569</v>
      </c>
      <c r="V377" s="7">
        <f>IF($D377='[2]Beam '!V$44,$P377*'[2]Beam '!V$45,0)</f>
        <v>0</v>
      </c>
      <c r="W377" s="7">
        <f>IF($D377='[2]Beam '!W$44,$P377*'[2]Beam '!W$45,0)</f>
        <v>0</v>
      </c>
      <c r="X377" s="7">
        <f t="shared" si="72"/>
        <v>16.623608571428569</v>
      </c>
      <c r="Y377" s="7"/>
    </row>
    <row r="378" spans="1:32" s="9" customFormat="1" ht="20.100000000000001" customHeight="1" x14ac:dyDescent="0.25">
      <c r="A378" s="6"/>
      <c r="B378" s="10" t="s">
        <v>2</v>
      </c>
      <c r="C378" s="13" t="s">
        <v>26</v>
      </c>
      <c r="D378" s="7">
        <v>10</v>
      </c>
      <c r="E378" s="7">
        <v>0.1</v>
      </c>
      <c r="F378" s="7">
        <f>ROUNDUP(E371/E378,0)</f>
        <v>49</v>
      </c>
      <c r="H378" s="7"/>
      <c r="I378" s="7"/>
      <c r="J378" s="7"/>
      <c r="K378" s="7"/>
      <c r="L378" s="7"/>
      <c r="M378" s="7"/>
      <c r="N378" s="7"/>
      <c r="O378" s="7">
        <f>(2*((G371-(2*'[2]Beam '!$D$11))+(F371-(2*'[2]Beam '!$D$11)))+(2*10*D378/1000))*D371</f>
        <v>5.1599999999999993</v>
      </c>
      <c r="P378" s="7">
        <f t="shared" si="71"/>
        <v>252.83999999999997</v>
      </c>
      <c r="Q378" s="7">
        <f>IF($D378='[2]Beam '!Q$44,$P378*'[2]Beam '!Q$45,0)</f>
        <v>0</v>
      </c>
      <c r="R378" s="7">
        <f>IF($D378='[2]Beam '!R$44,$P378*'[2]Beam '!R$45,0)</f>
        <v>155.94809999999998</v>
      </c>
      <c r="S378" s="7">
        <f>IF($D378='[2]Beam '!S$44,$P378*'[2]Beam '!S$45,0)</f>
        <v>0</v>
      </c>
      <c r="T378" s="7">
        <f>IF($D378='[2]Beam '!T$44,$P378*'[2]Beam '!T$45,0)</f>
        <v>0</v>
      </c>
      <c r="U378" s="7">
        <f>IF($D378='[2]Beam '!U$44,$P378*'[2]Beam '!U$45,0)</f>
        <v>0</v>
      </c>
      <c r="V378" s="7">
        <f>IF($D378='[2]Beam '!V$44,$P378*'[2]Beam '!V$45,0)</f>
        <v>0</v>
      </c>
      <c r="W378" s="7">
        <f>IF($D378='[2]Beam '!W$44,$P378*'[2]Beam '!W$45,0)</f>
        <v>0</v>
      </c>
      <c r="X378" s="7">
        <f t="shared" si="72"/>
        <v>155.94809999999998</v>
      </c>
      <c r="Y378" s="7"/>
      <c r="Z378" s="7"/>
      <c r="AA378" s="7"/>
      <c r="AB378" s="7"/>
      <c r="AC378" s="7"/>
      <c r="AD378" s="7"/>
      <c r="AE378" s="7"/>
    </row>
    <row r="379" spans="1:32" s="9" customFormat="1" ht="21" customHeight="1" x14ac:dyDescent="0.25">
      <c r="A379" s="14"/>
      <c r="B379" s="10" t="s">
        <v>2</v>
      </c>
      <c r="C379" s="13" t="s">
        <v>47</v>
      </c>
      <c r="D379" s="7">
        <f>+D378</f>
        <v>10</v>
      </c>
      <c r="E379" s="14">
        <f>+E378</f>
        <v>0.1</v>
      </c>
      <c r="F379" s="7">
        <f>ROUNDUP(E371/E379,0)</f>
        <v>49</v>
      </c>
      <c r="H379" s="14"/>
      <c r="I379" s="14"/>
      <c r="J379" s="14"/>
      <c r="K379" s="14"/>
      <c r="L379" s="14"/>
      <c r="M379" s="14"/>
      <c r="N379" s="14"/>
      <c r="O379" s="7">
        <f>((((G371-(2*'[2]Beam '!$D$11))+(2*10*D379/1000))*D371))</f>
        <v>2.44</v>
      </c>
      <c r="P379" s="7">
        <f t="shared" si="71"/>
        <v>119.56</v>
      </c>
      <c r="Q379" s="7">
        <f>IF($D379='[2]Beam '!Q$44,$P379*'[2]Beam '!Q$45,0)</f>
        <v>0</v>
      </c>
      <c r="R379" s="7">
        <f>IF($D379='[2]Beam '!R$44,$P379*'[2]Beam '!R$45,0)</f>
        <v>73.742900000000006</v>
      </c>
      <c r="S379" s="7">
        <f>IF($D379='[2]Beam '!S$44,$P379*'[2]Beam '!S$45,0)</f>
        <v>0</v>
      </c>
      <c r="T379" s="7">
        <f>IF($D379='[2]Beam '!T$44,$P379*'[2]Beam '!T$45,0)</f>
        <v>0</v>
      </c>
      <c r="U379" s="7">
        <f>IF($D379='[2]Beam '!U$44,$P379*'[2]Beam '!U$45,0)</f>
        <v>0</v>
      </c>
      <c r="V379" s="7">
        <f>IF($D379='[2]Beam '!V$44,$P379*'[2]Beam '!V$45,0)</f>
        <v>0</v>
      </c>
      <c r="W379" s="7">
        <f>IF($D379='[2]Beam '!W$44,$P379*'[2]Beam '!W$45,0)</f>
        <v>0</v>
      </c>
      <c r="X379" s="7">
        <f t="shared" si="72"/>
        <v>73.742900000000006</v>
      </c>
      <c r="Y379" s="14"/>
      <c r="Z379" s="7"/>
      <c r="AA379" s="7"/>
      <c r="AB379" s="7"/>
      <c r="AC379" s="7"/>
      <c r="AD379" s="7"/>
      <c r="AE379" s="7"/>
      <c r="AF379" s="7"/>
    </row>
    <row r="380" spans="1:32" s="9" customFormat="1" ht="20.100000000000001" customHeight="1" x14ac:dyDescent="0.25">
      <c r="A380" s="6"/>
      <c r="B380" s="10" t="s">
        <v>2</v>
      </c>
      <c r="C380" s="13" t="s">
        <v>11</v>
      </c>
      <c r="D380" s="7">
        <f>+'[2]Beam '!$D$15</f>
        <v>25</v>
      </c>
      <c r="E380" s="7">
        <f>+'[2]Beam '!$E$15</f>
        <v>1</v>
      </c>
      <c r="F380" s="7">
        <f>ROUNDUP((+E371)/E380,0)</f>
        <v>5</v>
      </c>
      <c r="G380" s="8"/>
      <c r="H380" s="8"/>
      <c r="I380" s="7"/>
      <c r="J380" s="7"/>
      <c r="K380" s="7"/>
      <c r="L380" s="7"/>
      <c r="M380" s="7"/>
      <c r="N380" s="7"/>
      <c r="O380" s="7">
        <f>F371-'[2]Beam '!$F$15</f>
        <v>0.24</v>
      </c>
      <c r="P380" s="7">
        <f t="shared" si="71"/>
        <v>1.2</v>
      </c>
      <c r="Q380" s="7">
        <f>IF($D380='[2]Beam '!Q$44,$P380*'[2]Beam '!Q$45,0)</f>
        <v>0</v>
      </c>
      <c r="R380" s="7">
        <f>IF($D380='[2]Beam '!R$44,$P380*'[2]Beam '!R$45,0)</f>
        <v>0</v>
      </c>
      <c r="S380" s="7">
        <f>IF($D380='[2]Beam '!S$44,$P380*'[2]Beam '!S$45,0)</f>
        <v>0</v>
      </c>
      <c r="T380" s="7">
        <f>IF($D380='[2]Beam '!T$44,$P380*'[2]Beam '!T$45,0)</f>
        <v>0</v>
      </c>
      <c r="U380" s="7">
        <f>IF($D380='[2]Beam '!U$44,$P380*'[2]Beam '!U$45,0)</f>
        <v>0</v>
      </c>
      <c r="V380" s="7">
        <f>IF($D380='[2]Beam '!V$44,$P380*'[2]Beam '!V$45,0)</f>
        <v>4.6258928571428575</v>
      </c>
      <c r="W380" s="7">
        <f>IF($D380='[2]Beam '!W$44,$P380*'[2]Beam '!W$45,0)</f>
        <v>0</v>
      </c>
      <c r="X380" s="7">
        <f t="shared" si="72"/>
        <v>4.6258928571428575</v>
      </c>
      <c r="Y380" s="7"/>
      <c r="Z380" s="7"/>
      <c r="AA380" s="7"/>
      <c r="AB380" s="7"/>
      <c r="AC380" s="7"/>
      <c r="AD380" s="7"/>
      <c r="AE380" s="7"/>
    </row>
    <row r="381" spans="1:32" s="9" customFormat="1" ht="20.100000000000001" customHeight="1" x14ac:dyDescent="0.25">
      <c r="A381" s="7">
        <v>1</v>
      </c>
      <c r="B381" s="10" t="s">
        <v>2</v>
      </c>
      <c r="C381" s="11" t="s">
        <v>62</v>
      </c>
      <c r="D381" s="11">
        <v>1</v>
      </c>
      <c r="E381" s="11">
        <v>1.8</v>
      </c>
      <c r="F381" s="11">
        <v>0.3</v>
      </c>
      <c r="G381" s="11">
        <v>1.1000000000000001</v>
      </c>
      <c r="H381" s="7">
        <f>G381-0.2</f>
        <v>0.90000000000000013</v>
      </c>
      <c r="I381" s="7">
        <f>E381*F381*G381*D381</f>
        <v>0.59400000000000008</v>
      </c>
      <c r="J381" s="7">
        <f>(2*(E381)*H381*D381)+(E381*F381)</f>
        <v>3.7800000000000007</v>
      </c>
      <c r="K381" s="12">
        <f>IF(E381=0.3,J381,0)</f>
        <v>0</v>
      </c>
      <c r="L381" s="12">
        <f>IF(AND(E381&gt;0.3,E381&lt;=0.75),J381,0)</f>
        <v>0</v>
      </c>
      <c r="M381" s="12">
        <f>IF(AND(E381&gt;0.75,E381&lt;=1.2),J381,0)</f>
        <v>0</v>
      </c>
      <c r="N381" s="12">
        <f>IF(E381&gt;1.2,J381,0)</f>
        <v>3.7800000000000007</v>
      </c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>
        <f>SUM(X382:X387)/I381</f>
        <v>68.858040211640215</v>
      </c>
      <c r="Z381" s="7"/>
      <c r="AA381" s="7"/>
      <c r="AB381" s="7"/>
      <c r="AC381" s="7"/>
      <c r="AD381" s="7"/>
      <c r="AE381" s="7"/>
    </row>
    <row r="382" spans="1:32" s="9" customFormat="1" ht="20.100000000000001" customHeight="1" x14ac:dyDescent="0.25">
      <c r="A382" s="6"/>
      <c r="B382" s="10" t="s">
        <v>2</v>
      </c>
      <c r="C382" s="13" t="s">
        <v>4</v>
      </c>
      <c r="D382" s="7">
        <v>16</v>
      </c>
      <c r="E382" s="7"/>
      <c r="F382" s="7">
        <v>2</v>
      </c>
      <c r="G382" s="8">
        <f>VLOOKUP(D382,'[2]Beam '!$C$20:$H$26,3,0)</f>
        <v>0.625</v>
      </c>
      <c r="H382" s="8"/>
      <c r="I382" s="7"/>
      <c r="J382" s="7"/>
      <c r="K382" s="7"/>
      <c r="L382" s="7"/>
      <c r="M382" s="7"/>
      <c r="N382" s="7"/>
      <c r="O382" s="7">
        <f>(E381+2*(G382+(12*D382/1000)))*D381</f>
        <v>3.4340000000000002</v>
      </c>
      <c r="P382" s="7">
        <f t="shared" ref="P382:P388" si="73">O382*F382</f>
        <v>6.8680000000000003</v>
      </c>
      <c r="Q382" s="7">
        <f>IF($D382='[2]Beam '!Q$44,$P382*'[2]Beam '!Q$45,0)</f>
        <v>0</v>
      </c>
      <c r="R382" s="7">
        <f>IF($D382='[2]Beam '!R$44,$P382*'[2]Beam '!R$45,0)</f>
        <v>0</v>
      </c>
      <c r="S382" s="7">
        <f>IF($D382='[2]Beam '!S$44,$P382*'[2]Beam '!S$45,0)</f>
        <v>0</v>
      </c>
      <c r="T382" s="7">
        <f>IF($D382='[2]Beam '!T$44,$P382*'[2]Beam '!T$45,0)</f>
        <v>10.844375771428572</v>
      </c>
      <c r="U382" s="7">
        <f>IF($D382='[2]Beam '!U$44,$P382*'[2]Beam '!U$45,0)</f>
        <v>0</v>
      </c>
      <c r="V382" s="7">
        <f>IF($D382='[2]Beam '!V$44,$P382*'[2]Beam '!V$45,0)</f>
        <v>0</v>
      </c>
      <c r="W382" s="7">
        <f>IF($D382='[2]Beam '!W$44,$P382*'[2]Beam '!W$45,0)</f>
        <v>0</v>
      </c>
      <c r="X382" s="7">
        <f t="shared" ref="X382:X388" si="74">SUM(Q382:W382)</f>
        <v>10.844375771428572</v>
      </c>
      <c r="Y382" s="7"/>
      <c r="Z382" s="7"/>
      <c r="AA382" s="7"/>
      <c r="AB382" s="7"/>
      <c r="AC382" s="7"/>
      <c r="AD382" s="7"/>
      <c r="AE382" s="7"/>
    </row>
    <row r="383" spans="1:32" s="9" customFormat="1" ht="20.100000000000001" customHeight="1" x14ac:dyDescent="0.25">
      <c r="A383" s="6"/>
      <c r="B383" s="10" t="s">
        <v>2</v>
      </c>
      <c r="C383" s="13" t="s">
        <v>46</v>
      </c>
      <c r="D383" s="7">
        <v>12</v>
      </c>
      <c r="E383" s="7"/>
      <c r="F383" s="7">
        <v>2</v>
      </c>
      <c r="G383" s="8">
        <f>VLOOKUP(D383,'[2]Beam '!$C$20:$H$26,3,0)</f>
        <v>0.47499999999999998</v>
      </c>
      <c r="H383" s="8"/>
      <c r="I383" s="7"/>
      <c r="J383" s="7"/>
      <c r="K383" s="7"/>
      <c r="L383" s="7"/>
      <c r="M383" s="7"/>
      <c r="N383" s="7"/>
      <c r="O383" s="7">
        <f>(0.55+1*(G383+(12*D383/1000)))*D381</f>
        <v>1.169</v>
      </c>
      <c r="P383" s="7">
        <f t="shared" si="73"/>
        <v>2.3380000000000001</v>
      </c>
      <c r="Q383" s="7">
        <f>IF($D383='[2]Beam '!Q$44,$P383*'[2]Beam '!Q$45,0)</f>
        <v>0</v>
      </c>
      <c r="R383" s="7">
        <f>IF($D383='[2]Beam '!R$44,$P383*'[2]Beam '!R$45,0)</f>
        <v>0</v>
      </c>
      <c r="S383" s="7">
        <f>IF($D383='[2]Beam '!S$44,$P383*'[2]Beam '!S$45,0)</f>
        <v>2.0765448000000006</v>
      </c>
      <c r="T383" s="7">
        <f>IF($D383='[2]Beam '!T$44,$P383*'[2]Beam '!T$45,0)</f>
        <v>0</v>
      </c>
      <c r="U383" s="7">
        <f>IF($D383='[2]Beam '!U$44,$P383*'[2]Beam '!U$45,0)</f>
        <v>0</v>
      </c>
      <c r="V383" s="7">
        <f>IF($D383='[2]Beam '!V$44,$P383*'[2]Beam '!V$45,0)</f>
        <v>0</v>
      </c>
      <c r="W383" s="7">
        <f>IF($D383='[2]Beam '!W$44,$P383*'[2]Beam '!W$45,0)</f>
        <v>0</v>
      </c>
      <c r="X383" s="7">
        <f t="shared" si="74"/>
        <v>2.0765448000000006</v>
      </c>
      <c r="Y383" s="7"/>
      <c r="Z383" s="7"/>
      <c r="AA383" s="7"/>
      <c r="AB383" s="7"/>
      <c r="AC383" s="7"/>
      <c r="AD383" s="7"/>
      <c r="AE383" s="7"/>
    </row>
    <row r="384" spans="1:32" s="9" customFormat="1" ht="20.100000000000001" customHeight="1" x14ac:dyDescent="0.25">
      <c r="A384" s="6"/>
      <c r="B384" s="10" t="s">
        <v>2</v>
      </c>
      <c r="C384" s="13" t="s">
        <v>46</v>
      </c>
      <c r="D384" s="7">
        <v>12</v>
      </c>
      <c r="E384" s="7"/>
      <c r="F384" s="7">
        <v>2</v>
      </c>
      <c r="G384" s="8">
        <f>VLOOKUP(D384,'[2]Beam '!$C$20:$H$26,3,0)</f>
        <v>0.47499999999999998</v>
      </c>
      <c r="H384" s="8"/>
      <c r="I384" s="7"/>
      <c r="J384" s="7"/>
      <c r="K384" s="7"/>
      <c r="L384" s="7"/>
      <c r="M384" s="7"/>
      <c r="N384" s="7"/>
      <c r="O384" s="7">
        <f>(0.55+1*(G384+(12*D384/1000)))*D381</f>
        <v>1.169</v>
      </c>
      <c r="P384" s="7">
        <f t="shared" si="73"/>
        <v>2.3380000000000001</v>
      </c>
      <c r="Q384" s="7">
        <f>IF($D384='[2]Beam '!Q$44,$P384*'[2]Beam '!Q$45,0)</f>
        <v>0</v>
      </c>
      <c r="R384" s="7">
        <f>IF($D384='[2]Beam '!R$44,$P384*'[2]Beam '!R$45,0)</f>
        <v>0</v>
      </c>
      <c r="S384" s="7">
        <f>IF($D384='[2]Beam '!S$44,$P384*'[2]Beam '!S$45,0)</f>
        <v>2.0765448000000006</v>
      </c>
      <c r="T384" s="7">
        <f>IF($D384='[2]Beam '!T$44,$P384*'[2]Beam '!T$45,0)</f>
        <v>0</v>
      </c>
      <c r="U384" s="7">
        <f>IF($D384='[2]Beam '!U$44,$P384*'[2]Beam '!U$45,0)</f>
        <v>0</v>
      </c>
      <c r="V384" s="7">
        <f>IF($D384='[2]Beam '!V$44,$P384*'[2]Beam '!V$45,0)</f>
        <v>0</v>
      </c>
      <c r="W384" s="7">
        <f>IF($D384='[2]Beam '!W$44,$P384*'[2]Beam '!W$45,0)</f>
        <v>0</v>
      </c>
      <c r="X384" s="7">
        <f t="shared" si="74"/>
        <v>2.0765448000000006</v>
      </c>
      <c r="Y384" s="7"/>
      <c r="Z384" s="7"/>
      <c r="AA384" s="7"/>
      <c r="AB384" s="7"/>
      <c r="AC384" s="7"/>
      <c r="AD384" s="7"/>
      <c r="AE384" s="7"/>
    </row>
    <row r="385" spans="1:32" s="9" customFormat="1" ht="20.100000000000001" customHeight="1" x14ac:dyDescent="0.25">
      <c r="A385" s="6"/>
      <c r="B385" s="10" t="s">
        <v>2</v>
      </c>
      <c r="C385" s="13" t="s">
        <v>6</v>
      </c>
      <c r="D385" s="7">
        <v>16</v>
      </c>
      <c r="E385" s="7"/>
      <c r="F385" s="7">
        <v>2</v>
      </c>
      <c r="G385" s="8">
        <f>VLOOKUP(D385,'[2]Beam '!$C$20:$H$26,3,0)</f>
        <v>0.625</v>
      </c>
      <c r="H385" s="7"/>
      <c r="I385" s="7"/>
      <c r="J385" s="7"/>
      <c r="K385" s="7"/>
      <c r="L385" s="7"/>
      <c r="M385" s="7"/>
      <c r="N385" s="7"/>
      <c r="O385" s="7">
        <f>(E381+2*(G385+(12*D385/1000)))*D381</f>
        <v>3.4340000000000002</v>
      </c>
      <c r="P385" s="7">
        <f t="shared" si="73"/>
        <v>6.8680000000000003</v>
      </c>
      <c r="Q385" s="7">
        <f>IF($D385='[2]Beam '!Q$44,$P385*'[2]Beam '!Q$45,0)</f>
        <v>0</v>
      </c>
      <c r="R385" s="7">
        <f>IF($D385='[2]Beam '!R$44,$P385*'[2]Beam '!R$45,0)</f>
        <v>0</v>
      </c>
      <c r="S385" s="7">
        <f>IF($D385='[2]Beam '!S$44,$P385*'[2]Beam '!S$45,0)</f>
        <v>0</v>
      </c>
      <c r="T385" s="7">
        <f>IF($D385='[2]Beam '!T$44,$P385*'[2]Beam '!T$45,0)</f>
        <v>10.844375771428572</v>
      </c>
      <c r="U385" s="7">
        <f>IF($D385='[2]Beam '!U$44,$P385*'[2]Beam '!U$45,0)</f>
        <v>0</v>
      </c>
      <c r="V385" s="7">
        <f>IF($D385='[2]Beam '!V$44,$P385*'[2]Beam '!V$45,0)</f>
        <v>0</v>
      </c>
      <c r="W385" s="7">
        <f>IF($D385='[2]Beam '!W$44,$P385*'[2]Beam '!W$45,0)</f>
        <v>0</v>
      </c>
      <c r="X385" s="7">
        <f t="shared" si="74"/>
        <v>10.844375771428572</v>
      </c>
      <c r="Y385" s="7"/>
      <c r="Z385" s="7"/>
      <c r="AA385" s="7"/>
      <c r="AB385" s="7"/>
      <c r="AC385" s="7"/>
      <c r="AD385" s="7"/>
      <c r="AE385" s="7"/>
    </row>
    <row r="386" spans="1:32" s="9" customFormat="1" ht="20.100000000000001" customHeight="1" x14ac:dyDescent="0.25">
      <c r="A386" s="6"/>
      <c r="B386" s="10" t="s">
        <v>2</v>
      </c>
      <c r="C386" s="13" t="s">
        <v>6</v>
      </c>
      <c r="D386" s="7">
        <v>12</v>
      </c>
      <c r="E386" s="7"/>
      <c r="F386" s="7">
        <v>2</v>
      </c>
      <c r="G386" s="8">
        <f>VLOOKUP(D386,'[2]Beam '!$C$20:$H$26,3,0)</f>
        <v>0.47499999999999998</v>
      </c>
      <c r="H386" s="7"/>
      <c r="I386" s="7"/>
      <c r="J386" s="7"/>
      <c r="K386" s="7"/>
      <c r="L386" s="7"/>
      <c r="M386" s="7"/>
      <c r="N386" s="7"/>
      <c r="O386" s="7">
        <f>(E381+2*(G386+(12*D386/1000)))*D381</f>
        <v>3.0380000000000003</v>
      </c>
      <c r="P386" s="7">
        <f t="shared" si="73"/>
        <v>6.0760000000000005</v>
      </c>
      <c r="Q386" s="7">
        <f>IF($D386='[2]Beam '!Q$44,$P386*'[2]Beam '!Q$45,0)</f>
        <v>0</v>
      </c>
      <c r="R386" s="7">
        <f>IF($D386='[2]Beam '!R$44,$P386*'[2]Beam '!R$45,0)</f>
        <v>0</v>
      </c>
      <c r="S386" s="7">
        <f>IF($D386='[2]Beam '!S$44,$P386*'[2]Beam '!S$45,0)</f>
        <v>5.3965296000000018</v>
      </c>
      <c r="T386" s="7">
        <f>IF($D386='[2]Beam '!T$44,$P386*'[2]Beam '!T$45,0)</f>
        <v>0</v>
      </c>
      <c r="U386" s="7">
        <f>IF($D386='[2]Beam '!U$44,$P386*'[2]Beam '!U$45,0)</f>
        <v>0</v>
      </c>
      <c r="V386" s="7">
        <f>IF($D386='[2]Beam '!V$44,$P386*'[2]Beam '!V$45,0)</f>
        <v>0</v>
      </c>
      <c r="W386" s="7">
        <f>IF($D386='[2]Beam '!W$44,$P386*'[2]Beam '!W$45,0)</f>
        <v>0</v>
      </c>
      <c r="X386" s="7">
        <f t="shared" si="74"/>
        <v>5.3965296000000018</v>
      </c>
      <c r="Y386" s="7"/>
      <c r="Z386" s="7"/>
      <c r="AA386" s="7"/>
      <c r="AB386" s="7"/>
      <c r="AC386" s="7"/>
      <c r="AD386" s="7"/>
      <c r="AE386" s="7"/>
    </row>
    <row r="387" spans="1:32" s="9" customFormat="1" ht="21" customHeight="1" x14ac:dyDescent="0.25">
      <c r="A387" s="6"/>
      <c r="B387" s="10" t="s">
        <v>2</v>
      </c>
      <c r="C387" s="13" t="s">
        <v>26</v>
      </c>
      <c r="D387" s="7">
        <v>8</v>
      </c>
      <c r="E387" s="7">
        <v>0.2</v>
      </c>
      <c r="F387" s="7">
        <f>ROUNDUP(E381/E387,0)</f>
        <v>9</v>
      </c>
      <c r="H387" s="7"/>
      <c r="I387" s="7"/>
      <c r="J387" s="7"/>
      <c r="K387" s="7"/>
      <c r="L387" s="7"/>
      <c r="M387" s="7"/>
      <c r="N387" s="7"/>
      <c r="O387" s="7">
        <f>(2*((G381-(2*'[2]Beam '!$D$11))+(F381-(2*'[2]Beam '!$D$11)))+(2*10*D387/1000))*D381</f>
        <v>2.72</v>
      </c>
      <c r="P387" s="7">
        <f t="shared" si="73"/>
        <v>24.48</v>
      </c>
      <c r="Q387" s="7">
        <f>IF($D387='[2]Beam '!Q$44,$P387*'[2]Beam '!Q$45,0)</f>
        <v>9.6633051428571441</v>
      </c>
      <c r="R387" s="7">
        <f>IF($D387='[2]Beam '!R$44,$P387*'[2]Beam '!R$45,0)</f>
        <v>0</v>
      </c>
      <c r="S387" s="7">
        <f>IF($D387='[2]Beam '!S$44,$P387*'[2]Beam '!S$45,0)</f>
        <v>0</v>
      </c>
      <c r="T387" s="7">
        <f>IF($D387='[2]Beam '!T$44,$P387*'[2]Beam '!T$45,0)</f>
        <v>0</v>
      </c>
      <c r="U387" s="7">
        <f>IF($D387='[2]Beam '!U$44,$P387*'[2]Beam '!U$45,0)</f>
        <v>0</v>
      </c>
      <c r="V387" s="7">
        <f>IF($D387='[2]Beam '!V$44,$P387*'[2]Beam '!V$45,0)</f>
        <v>0</v>
      </c>
      <c r="W387" s="7">
        <f>IF($D387='[2]Beam '!W$44,$P387*'[2]Beam '!W$45,0)</f>
        <v>0</v>
      </c>
      <c r="X387" s="7">
        <f t="shared" si="74"/>
        <v>9.6633051428571441</v>
      </c>
      <c r="Y387" s="7"/>
      <c r="Z387" s="7"/>
      <c r="AA387" s="7"/>
      <c r="AB387" s="7"/>
      <c r="AC387" s="7"/>
      <c r="AD387" s="7"/>
      <c r="AE387" s="7"/>
      <c r="AF387" s="7"/>
    </row>
    <row r="388" spans="1:32" s="9" customFormat="1" ht="20.100000000000001" customHeight="1" x14ac:dyDescent="0.25">
      <c r="A388" s="6"/>
      <c r="B388" s="10" t="s">
        <v>2</v>
      </c>
      <c r="C388" s="13" t="s">
        <v>11</v>
      </c>
      <c r="D388" s="7">
        <f>+'[2]Beam '!$D$15</f>
        <v>25</v>
      </c>
      <c r="E388" s="7">
        <f>+'[2]Beam '!$E$15</f>
        <v>1</v>
      </c>
      <c r="F388" s="7">
        <f>ROUNDUP((0.55+0.55)/E388,0)</f>
        <v>2</v>
      </c>
      <c r="G388" s="8"/>
      <c r="H388" s="8"/>
      <c r="I388" s="7"/>
      <c r="J388" s="7"/>
      <c r="K388" s="7"/>
      <c r="L388" s="7"/>
      <c r="M388" s="7"/>
      <c r="N388" s="7"/>
      <c r="O388" s="7">
        <f>F381-'[2]Beam '!$F$15</f>
        <v>0.24</v>
      </c>
      <c r="P388" s="7">
        <f t="shared" si="73"/>
        <v>0.48</v>
      </c>
      <c r="Q388" s="7">
        <f>IF($D388='[2]Beam '!Q$44,$P388*'[2]Beam '!Q$45,0)</f>
        <v>0</v>
      </c>
      <c r="R388" s="7">
        <f>IF($D388='[2]Beam '!R$44,$P388*'[2]Beam '!R$45,0)</f>
        <v>0</v>
      </c>
      <c r="S388" s="7">
        <f>IF($D388='[2]Beam '!S$44,$P388*'[2]Beam '!S$45,0)</f>
        <v>0</v>
      </c>
      <c r="T388" s="7">
        <f>IF($D388='[2]Beam '!T$44,$P388*'[2]Beam '!T$45,0)</f>
        <v>0</v>
      </c>
      <c r="U388" s="7">
        <f>IF($D388='[2]Beam '!U$44,$P388*'[2]Beam '!U$45,0)</f>
        <v>0</v>
      </c>
      <c r="V388" s="7">
        <f>IF($D388='[2]Beam '!V$44,$P388*'[2]Beam '!V$45,0)</f>
        <v>1.850357142857143</v>
      </c>
      <c r="W388" s="7">
        <f>IF($D388='[2]Beam '!W$44,$P388*'[2]Beam '!W$45,0)</f>
        <v>0</v>
      </c>
      <c r="X388" s="7">
        <f t="shared" si="74"/>
        <v>1.850357142857143</v>
      </c>
      <c r="Y388" s="7"/>
      <c r="Z388" s="7"/>
      <c r="AA388" s="7"/>
      <c r="AB388" s="7"/>
      <c r="AC388" s="7"/>
      <c r="AD388" s="7"/>
      <c r="AE388" s="7"/>
    </row>
    <row r="389" spans="1:32" s="9" customFormat="1" ht="20.100000000000001" customHeight="1" x14ac:dyDescent="0.25">
      <c r="A389" s="7">
        <v>1</v>
      </c>
      <c r="B389" s="10" t="s">
        <v>2</v>
      </c>
      <c r="C389" s="11" t="s">
        <v>63</v>
      </c>
      <c r="D389" s="11">
        <v>1</v>
      </c>
      <c r="E389" s="11">
        <v>1.6859999999999999</v>
      </c>
      <c r="F389" s="11">
        <v>0.4</v>
      </c>
      <c r="G389" s="11">
        <v>0.8</v>
      </c>
      <c r="H389" s="7">
        <f>G389-0.2</f>
        <v>0.60000000000000009</v>
      </c>
      <c r="I389" s="7">
        <f>E389*F389*G389*D389</f>
        <v>0.53952</v>
      </c>
      <c r="J389" s="7">
        <f>(2*(E389)*H389*D389)+(E389*F389)</f>
        <v>2.6976</v>
      </c>
      <c r="K389" s="12">
        <f>IF(E389=0.3,J389,0)</f>
        <v>0</v>
      </c>
      <c r="L389" s="12">
        <f>IF(AND(E389&gt;0.3,E389&lt;=0.75),J389,0)</f>
        <v>0</v>
      </c>
      <c r="M389" s="12">
        <f>IF(AND(E389&gt;0.75,E389&lt;=1.2),J389,0)</f>
        <v>0</v>
      </c>
      <c r="N389" s="12">
        <f>IF(E389&gt;1.2,J389,0)</f>
        <v>2.6976</v>
      </c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>
        <f>SUM(X390:X396)/I389</f>
        <v>369.44037557193695</v>
      </c>
      <c r="Z389" s="7"/>
      <c r="AA389" s="7"/>
      <c r="AB389" s="7"/>
      <c r="AC389" s="7"/>
      <c r="AD389" s="7"/>
      <c r="AE389" s="7"/>
    </row>
    <row r="390" spans="1:32" s="9" customFormat="1" ht="20.100000000000001" customHeight="1" x14ac:dyDescent="0.25">
      <c r="A390" s="6"/>
      <c r="B390" s="10" t="s">
        <v>2</v>
      </c>
      <c r="C390" s="13" t="s">
        <v>4</v>
      </c>
      <c r="D390" s="7">
        <v>25</v>
      </c>
      <c r="E390" s="7"/>
      <c r="F390" s="7">
        <v>2</v>
      </c>
      <c r="G390" s="8">
        <f>VLOOKUP(D390,'[2]Beam '!$C$20:$H$26,3,0)</f>
        <v>1</v>
      </c>
      <c r="H390" s="8"/>
      <c r="I390" s="7"/>
      <c r="J390" s="7"/>
      <c r="K390" s="7"/>
      <c r="L390" s="7"/>
      <c r="M390" s="7"/>
      <c r="N390" s="7"/>
      <c r="O390" s="7">
        <f>(E389+1*(G390+(12*D390/1000)))+1*(0.4/2)*D389</f>
        <v>3.1859999999999999</v>
      </c>
      <c r="P390" s="7">
        <f t="shared" ref="P390:P397" si="75">O390*F390</f>
        <v>6.3719999999999999</v>
      </c>
      <c r="Q390" s="7">
        <f>IF($D390='[2]Beam '!Q$44,$P390*'[2]Beam '!Q$45,0)</f>
        <v>0</v>
      </c>
      <c r="R390" s="7">
        <f>IF($D390='[2]Beam '!R$44,$P390*'[2]Beam '!R$45,0)</f>
        <v>0</v>
      </c>
      <c r="S390" s="7">
        <f>IF($D390='[2]Beam '!S$44,$P390*'[2]Beam '!S$45,0)</f>
        <v>0</v>
      </c>
      <c r="T390" s="7">
        <f>IF($D390='[2]Beam '!T$44,$P390*'[2]Beam '!T$45,0)</f>
        <v>0</v>
      </c>
      <c r="U390" s="7">
        <f>IF($D390='[2]Beam '!U$44,$P390*'[2]Beam '!U$45,0)</f>
        <v>0</v>
      </c>
      <c r="V390" s="7">
        <f>IF($D390='[2]Beam '!V$44,$P390*'[2]Beam '!V$45,0)</f>
        <v>24.563491071428576</v>
      </c>
      <c r="W390" s="7">
        <f>IF($D390='[2]Beam '!W$44,$P390*'[2]Beam '!W$45,0)</f>
        <v>0</v>
      </c>
      <c r="X390" s="7">
        <f t="shared" ref="X390:X397" si="76">SUM(Q390:W390)</f>
        <v>24.563491071428576</v>
      </c>
      <c r="Y390" s="7"/>
      <c r="Z390" s="7"/>
      <c r="AA390" s="7"/>
      <c r="AB390" s="7"/>
      <c r="AC390" s="7"/>
      <c r="AD390" s="7"/>
      <c r="AE390" s="7"/>
    </row>
    <row r="391" spans="1:32" s="9" customFormat="1" ht="20.100000000000001" customHeight="1" x14ac:dyDescent="0.25">
      <c r="A391" s="6"/>
      <c r="B391" s="10" t="s">
        <v>2</v>
      </c>
      <c r="C391" s="13" t="s">
        <v>4</v>
      </c>
      <c r="D391" s="7">
        <v>20</v>
      </c>
      <c r="E391" s="7"/>
      <c r="F391" s="7">
        <v>2</v>
      </c>
      <c r="G391" s="8">
        <f>VLOOKUP(D391,'[2]Beam '!$C$20:$H$26,3,0)</f>
        <v>0.8</v>
      </c>
      <c r="H391" s="8"/>
      <c r="I391" s="7"/>
      <c r="J391" s="7"/>
      <c r="K391" s="7"/>
      <c r="L391" s="7"/>
      <c r="M391" s="7"/>
      <c r="N391" s="7"/>
      <c r="O391" s="7">
        <f>(E389+1*(G391+(12*D391/1000)))+1*(0.4/2)*D389</f>
        <v>2.9260000000000002</v>
      </c>
      <c r="P391" s="7">
        <f t="shared" si="75"/>
        <v>5.8520000000000003</v>
      </c>
      <c r="Q391" s="7">
        <f>IF($D391='[2]Beam '!Q$44,$P391*'[2]Beam '!Q$45,0)</f>
        <v>0</v>
      </c>
      <c r="R391" s="7">
        <f>IF($D391='[2]Beam '!R$44,$P391*'[2]Beam '!R$45,0)</f>
        <v>0</v>
      </c>
      <c r="S391" s="7">
        <f>IF($D391='[2]Beam '!S$44,$P391*'[2]Beam '!S$45,0)</f>
        <v>0</v>
      </c>
      <c r="T391" s="7">
        <f>IF($D391='[2]Beam '!T$44,$P391*'[2]Beam '!T$45,0)</f>
        <v>0</v>
      </c>
      <c r="U391" s="7">
        <f>IF($D391='[2]Beam '!U$44,$P391*'[2]Beam '!U$45,0)</f>
        <v>14.437720000000001</v>
      </c>
      <c r="V391" s="7">
        <f>IF($D391='[2]Beam '!V$44,$P391*'[2]Beam '!V$45,0)</f>
        <v>0</v>
      </c>
      <c r="W391" s="7">
        <f>IF($D391='[2]Beam '!W$44,$P391*'[2]Beam '!W$45,0)</f>
        <v>0</v>
      </c>
      <c r="X391" s="7">
        <f t="shared" si="76"/>
        <v>14.437720000000001</v>
      </c>
      <c r="Y391" s="7"/>
      <c r="Z391" s="7"/>
      <c r="AA391" s="7"/>
      <c r="AB391" s="7"/>
      <c r="AC391" s="7"/>
      <c r="AD391" s="7"/>
      <c r="AE391" s="7"/>
    </row>
    <row r="392" spans="1:32" s="9" customFormat="1" ht="20.100000000000001" customHeight="1" x14ac:dyDescent="0.25">
      <c r="A392" s="6"/>
      <c r="B392" s="10" t="s">
        <v>2</v>
      </c>
      <c r="C392" s="13" t="s">
        <v>46</v>
      </c>
      <c r="D392" s="7">
        <v>25</v>
      </c>
      <c r="E392" s="7"/>
      <c r="F392" s="7">
        <v>2</v>
      </c>
      <c r="G392" s="8">
        <f>VLOOKUP(D392,'[2]Beam '!$C$20:$H$26,3,0)</f>
        <v>1</v>
      </c>
      <c r="H392" s="8"/>
      <c r="I392" s="7"/>
      <c r="J392" s="7"/>
      <c r="K392" s="7"/>
      <c r="L392" s="7"/>
      <c r="M392" s="7"/>
      <c r="N392" s="7"/>
      <c r="O392" s="7">
        <f>(0.55+1*(G392+(12*D392/1000)))*D389</f>
        <v>1.85</v>
      </c>
      <c r="P392" s="7">
        <f t="shared" si="75"/>
        <v>3.7</v>
      </c>
      <c r="Q392" s="7">
        <f>IF($D392='[2]Beam '!Q$44,$P392*'[2]Beam '!Q$45,0)</f>
        <v>0</v>
      </c>
      <c r="R392" s="7">
        <f>IF($D392='[2]Beam '!R$44,$P392*'[2]Beam '!R$45,0)</f>
        <v>0</v>
      </c>
      <c r="S392" s="7">
        <f>IF($D392='[2]Beam '!S$44,$P392*'[2]Beam '!S$45,0)</f>
        <v>0</v>
      </c>
      <c r="T392" s="7">
        <f>IF($D392='[2]Beam '!T$44,$P392*'[2]Beam '!T$45,0)</f>
        <v>0</v>
      </c>
      <c r="U392" s="7">
        <f>IF($D392='[2]Beam '!U$44,$P392*'[2]Beam '!U$45,0)</f>
        <v>0</v>
      </c>
      <c r="V392" s="7">
        <f>IF($D392='[2]Beam '!V$44,$P392*'[2]Beam '!V$45,0)</f>
        <v>14.263169642857145</v>
      </c>
      <c r="W392" s="7">
        <f>IF($D392='[2]Beam '!W$44,$P392*'[2]Beam '!W$45,0)</f>
        <v>0</v>
      </c>
      <c r="X392" s="7">
        <f t="shared" si="76"/>
        <v>14.263169642857145</v>
      </c>
      <c r="Y392" s="7"/>
      <c r="Z392" s="7"/>
      <c r="AA392" s="7"/>
      <c r="AB392" s="7"/>
      <c r="AC392" s="7"/>
      <c r="AD392" s="7"/>
      <c r="AE392" s="7"/>
    </row>
    <row r="393" spans="1:32" s="9" customFormat="1" ht="20.100000000000001" customHeight="1" x14ac:dyDescent="0.25">
      <c r="A393" s="6"/>
      <c r="B393" s="10" t="s">
        <v>2</v>
      </c>
      <c r="C393" s="13" t="s">
        <v>46</v>
      </c>
      <c r="D393" s="7">
        <v>25</v>
      </c>
      <c r="E393" s="7"/>
      <c r="F393" s="7">
        <v>4</v>
      </c>
      <c r="G393" s="8">
        <f>VLOOKUP(D393,'[2]Beam '!$C$20:$H$26,3,0)</f>
        <v>1</v>
      </c>
      <c r="H393" s="8"/>
      <c r="I393" s="7"/>
      <c r="J393" s="7"/>
      <c r="K393" s="7"/>
      <c r="L393" s="7"/>
      <c r="M393" s="7"/>
      <c r="N393" s="7"/>
      <c r="O393" s="7">
        <f>(0.55+1*(0.4/2)*D389)</f>
        <v>0.75</v>
      </c>
      <c r="P393" s="7">
        <f t="shared" si="75"/>
        <v>3</v>
      </c>
      <c r="Q393" s="7">
        <f>IF($D393='[2]Beam '!Q$44,$P393*'[2]Beam '!Q$45,0)</f>
        <v>0</v>
      </c>
      <c r="R393" s="7">
        <f>IF($D393='[2]Beam '!R$44,$P393*'[2]Beam '!R$45,0)</f>
        <v>0</v>
      </c>
      <c r="S393" s="7">
        <f>IF($D393='[2]Beam '!S$44,$P393*'[2]Beam '!S$45,0)</f>
        <v>0</v>
      </c>
      <c r="T393" s="7">
        <f>IF($D393='[2]Beam '!T$44,$P393*'[2]Beam '!T$45,0)</f>
        <v>0</v>
      </c>
      <c r="U393" s="7">
        <f>IF($D393='[2]Beam '!U$44,$P393*'[2]Beam '!U$45,0)</f>
        <v>0</v>
      </c>
      <c r="V393" s="7">
        <f>IF($D393='[2]Beam '!V$44,$P393*'[2]Beam '!V$45,0)</f>
        <v>11.564732142857144</v>
      </c>
      <c r="W393" s="7">
        <f>IF($D393='[2]Beam '!W$44,$P393*'[2]Beam '!W$45,0)</f>
        <v>0</v>
      </c>
      <c r="X393" s="7">
        <f t="shared" si="76"/>
        <v>11.564732142857144</v>
      </c>
      <c r="Y393" s="7"/>
      <c r="Z393" s="7"/>
      <c r="AA393" s="7"/>
      <c r="AB393" s="7"/>
      <c r="AC393" s="7"/>
      <c r="AD393" s="7"/>
      <c r="AE393" s="7"/>
    </row>
    <row r="394" spans="1:32" s="9" customFormat="1" ht="20.100000000000001" customHeight="1" x14ac:dyDescent="0.25">
      <c r="A394" s="6"/>
      <c r="B394" s="10" t="s">
        <v>2</v>
      </c>
      <c r="C394" s="13" t="s">
        <v>6</v>
      </c>
      <c r="D394" s="7">
        <v>25</v>
      </c>
      <c r="E394" s="7"/>
      <c r="F394" s="7">
        <v>4</v>
      </c>
      <c r="G394" s="8">
        <f>VLOOKUP(D394,'[2]Beam '!$C$20:$H$26,3,0)</f>
        <v>1</v>
      </c>
      <c r="H394" s="7"/>
      <c r="I394" s="7"/>
      <c r="J394" s="7"/>
      <c r="K394" s="7"/>
      <c r="L394" s="7"/>
      <c r="M394" s="7"/>
      <c r="N394" s="7"/>
      <c r="O394" s="7">
        <f>(E389+1*(G394+(12*D394/1000)))+1*(0.4/2)*D389</f>
        <v>3.1859999999999999</v>
      </c>
      <c r="P394" s="7">
        <f t="shared" si="75"/>
        <v>12.744</v>
      </c>
      <c r="Q394" s="7">
        <f>IF($D394='[2]Beam '!Q$44,$P394*'[2]Beam '!Q$45,0)</f>
        <v>0</v>
      </c>
      <c r="R394" s="7">
        <f>IF($D394='[2]Beam '!R$44,$P394*'[2]Beam '!R$45,0)</f>
        <v>0</v>
      </c>
      <c r="S394" s="7">
        <f>IF($D394='[2]Beam '!S$44,$P394*'[2]Beam '!S$45,0)</f>
        <v>0</v>
      </c>
      <c r="T394" s="7">
        <f>IF($D394='[2]Beam '!T$44,$P394*'[2]Beam '!T$45,0)</f>
        <v>0</v>
      </c>
      <c r="U394" s="7">
        <f>IF($D394='[2]Beam '!U$44,$P394*'[2]Beam '!U$45,0)</f>
        <v>0</v>
      </c>
      <c r="V394" s="7">
        <f>IF($D394='[2]Beam '!V$44,$P394*'[2]Beam '!V$45,0)</f>
        <v>49.126982142857152</v>
      </c>
      <c r="W394" s="7">
        <f>IF($D394='[2]Beam '!W$44,$P394*'[2]Beam '!W$45,0)</f>
        <v>0</v>
      </c>
      <c r="X394" s="7">
        <f t="shared" si="76"/>
        <v>49.126982142857152</v>
      </c>
      <c r="Y394" s="7"/>
      <c r="Z394" s="7"/>
      <c r="AA394" s="7"/>
      <c r="AB394" s="7"/>
      <c r="AC394" s="7"/>
      <c r="AD394" s="7"/>
      <c r="AE394" s="7"/>
    </row>
    <row r="395" spans="1:32" s="9" customFormat="1" ht="20.100000000000001" customHeight="1" x14ac:dyDescent="0.25">
      <c r="A395" s="6"/>
      <c r="B395" s="10" t="s">
        <v>2</v>
      </c>
      <c r="C395" s="13" t="s">
        <v>13</v>
      </c>
      <c r="D395" s="7">
        <v>25</v>
      </c>
      <c r="E395" s="7"/>
      <c r="F395" s="7">
        <v>4</v>
      </c>
      <c r="G395" s="8">
        <f>VLOOKUP(D395,'[2]Beam '!$C$20:$H$26,3,0)</f>
        <v>1</v>
      </c>
      <c r="H395" s="7"/>
      <c r="I395" s="7"/>
      <c r="J395" s="7"/>
      <c r="K395" s="7"/>
      <c r="L395" s="7"/>
      <c r="M395" s="7"/>
      <c r="N395" s="7"/>
      <c r="O395" s="7">
        <f>(E389+1*(G395+(12*D395/1000)))+1*(0.4/2)*D389</f>
        <v>3.1859999999999999</v>
      </c>
      <c r="P395" s="7">
        <f t="shared" si="75"/>
        <v>12.744</v>
      </c>
      <c r="Q395" s="7">
        <f>IF($D395='[2]Beam '!Q$44,$P395*'[2]Beam '!Q$45,0)</f>
        <v>0</v>
      </c>
      <c r="R395" s="7">
        <f>IF($D395='[2]Beam '!R$44,$P395*'[2]Beam '!R$45,0)</f>
        <v>0</v>
      </c>
      <c r="S395" s="7">
        <f>IF($D395='[2]Beam '!S$44,$P395*'[2]Beam '!S$45,0)</f>
        <v>0</v>
      </c>
      <c r="T395" s="7">
        <f>IF($D395='[2]Beam '!T$44,$P395*'[2]Beam '!T$45,0)</f>
        <v>0</v>
      </c>
      <c r="U395" s="7">
        <f>IF($D395='[2]Beam '!U$44,$P395*'[2]Beam '!U$45,0)</f>
        <v>0</v>
      </c>
      <c r="V395" s="7">
        <f>IF($D395='[2]Beam '!V$44,$P395*'[2]Beam '!V$45,0)</f>
        <v>49.126982142857152</v>
      </c>
      <c r="W395" s="7">
        <f>IF($D395='[2]Beam '!W$44,$P395*'[2]Beam '!W$45,0)</f>
        <v>0</v>
      </c>
      <c r="X395" s="7">
        <f t="shared" si="76"/>
        <v>49.126982142857152</v>
      </c>
      <c r="Y395" s="7"/>
      <c r="Z395" s="7"/>
      <c r="AA395" s="7"/>
      <c r="AB395" s="7"/>
      <c r="AC395" s="7"/>
      <c r="AD395" s="7"/>
      <c r="AE395" s="7"/>
    </row>
    <row r="396" spans="1:32" s="9" customFormat="1" ht="21" customHeight="1" x14ac:dyDescent="0.25">
      <c r="A396" s="6"/>
      <c r="B396" s="10" t="s">
        <v>2</v>
      </c>
      <c r="C396" s="13" t="s">
        <v>26</v>
      </c>
      <c r="D396" s="7">
        <v>12</v>
      </c>
      <c r="E396" s="7">
        <v>0.1</v>
      </c>
      <c r="F396" s="7">
        <f>ROUNDUP(E389/E396,0)</f>
        <v>17</v>
      </c>
      <c r="H396" s="7"/>
      <c r="I396" s="7"/>
      <c r="J396" s="7"/>
      <c r="K396" s="7"/>
      <c r="L396" s="7"/>
      <c r="M396" s="7"/>
      <c r="N396" s="7"/>
      <c r="O396" s="7">
        <f>(2*((G389-(2*'[2]Beam '!$D$11))+(F389-(2*'[2]Beam '!$D$11)))+(2*10*D396/1000))*D389</f>
        <v>2.4000000000000004</v>
      </c>
      <c r="P396" s="7">
        <f t="shared" si="75"/>
        <v>40.800000000000004</v>
      </c>
      <c r="Q396" s="7">
        <f>IF($D396='[2]Beam '!Q$44,$P396*'[2]Beam '!Q$45,0)</f>
        <v>0</v>
      </c>
      <c r="R396" s="7">
        <f>IF($D396='[2]Beam '!R$44,$P396*'[2]Beam '!R$45,0)</f>
        <v>0</v>
      </c>
      <c r="S396" s="7">
        <f>IF($D396='[2]Beam '!S$44,$P396*'[2]Beam '!S$45,0)</f>
        <v>36.237394285714295</v>
      </c>
      <c r="T396" s="7">
        <f>IF($D396='[2]Beam '!T$44,$P396*'[2]Beam '!T$45,0)</f>
        <v>0</v>
      </c>
      <c r="U396" s="7">
        <f>IF($D396='[2]Beam '!U$44,$P396*'[2]Beam '!U$45,0)</f>
        <v>0</v>
      </c>
      <c r="V396" s="7">
        <f>IF($D396='[2]Beam '!V$44,$P396*'[2]Beam '!V$45,0)</f>
        <v>0</v>
      </c>
      <c r="W396" s="7">
        <f>IF($D396='[2]Beam '!W$44,$P396*'[2]Beam '!W$45,0)</f>
        <v>0</v>
      </c>
      <c r="X396" s="7">
        <f t="shared" si="76"/>
        <v>36.237394285714295</v>
      </c>
      <c r="Y396" s="7"/>
      <c r="Z396" s="7"/>
      <c r="AA396" s="7"/>
      <c r="AB396" s="7"/>
      <c r="AC396" s="7"/>
      <c r="AD396" s="7"/>
      <c r="AE396" s="7"/>
      <c r="AF396" s="7"/>
    </row>
    <row r="397" spans="1:32" s="9" customFormat="1" ht="20.100000000000001" customHeight="1" x14ac:dyDescent="0.25">
      <c r="A397" s="6"/>
      <c r="B397" s="10" t="s">
        <v>2</v>
      </c>
      <c r="C397" s="13" t="s">
        <v>11</v>
      </c>
      <c r="D397" s="7">
        <f>+'[2]Beam '!$D$15</f>
        <v>25</v>
      </c>
      <c r="E397" s="7">
        <f>+'[2]Beam '!$E$15</f>
        <v>1</v>
      </c>
      <c r="F397" s="7">
        <f>ROUNDUP((0.55+0.55+E389)/E397,0)</f>
        <v>3</v>
      </c>
      <c r="G397" s="8"/>
      <c r="H397" s="8"/>
      <c r="I397" s="7"/>
      <c r="J397" s="7"/>
      <c r="K397" s="7"/>
      <c r="L397" s="7"/>
      <c r="M397" s="7"/>
      <c r="N397" s="7"/>
      <c r="O397" s="7">
        <f>F389-'[2]Beam '!$F$15</f>
        <v>0.34</v>
      </c>
      <c r="P397" s="7">
        <f t="shared" si="75"/>
        <v>1.02</v>
      </c>
      <c r="Q397" s="7">
        <f>IF($D397='[2]Beam '!Q$44,$P397*'[2]Beam '!Q$45,0)</f>
        <v>0</v>
      </c>
      <c r="R397" s="7">
        <f>IF($D397='[2]Beam '!R$44,$P397*'[2]Beam '!R$45,0)</f>
        <v>0</v>
      </c>
      <c r="S397" s="7">
        <f>IF($D397='[2]Beam '!S$44,$P397*'[2]Beam '!S$45,0)</f>
        <v>0</v>
      </c>
      <c r="T397" s="7">
        <f>IF($D397='[2]Beam '!T$44,$P397*'[2]Beam '!T$45,0)</f>
        <v>0</v>
      </c>
      <c r="U397" s="7">
        <f>IF($D397='[2]Beam '!U$44,$P397*'[2]Beam '!U$45,0)</f>
        <v>0</v>
      </c>
      <c r="V397" s="7">
        <f>IF($D397='[2]Beam '!V$44,$P397*'[2]Beam '!V$45,0)</f>
        <v>3.9320089285714293</v>
      </c>
      <c r="W397" s="7">
        <f>IF($D397='[2]Beam '!W$44,$P397*'[2]Beam '!W$45,0)</f>
        <v>0</v>
      </c>
      <c r="X397" s="7">
        <f t="shared" si="76"/>
        <v>3.9320089285714293</v>
      </c>
      <c r="Y397" s="7"/>
      <c r="Z397" s="7"/>
      <c r="AA397" s="7"/>
      <c r="AB397" s="7"/>
      <c r="AC397" s="7"/>
      <c r="AD397" s="7"/>
      <c r="AE397" s="7"/>
    </row>
    <row r="398" spans="1:32" s="9" customFormat="1" ht="20.100000000000001" customHeight="1" x14ac:dyDescent="0.25">
      <c r="A398" s="7">
        <v>1</v>
      </c>
      <c r="B398" s="10" t="s">
        <v>2</v>
      </c>
      <c r="C398" s="11" t="s">
        <v>64</v>
      </c>
      <c r="D398" s="11">
        <v>1</v>
      </c>
      <c r="E398" s="11">
        <v>5.9340000000000002</v>
      </c>
      <c r="F398" s="11">
        <v>0.4</v>
      </c>
      <c r="G398" s="11">
        <v>1</v>
      </c>
      <c r="H398" s="7">
        <f>G398-0.2</f>
        <v>0.8</v>
      </c>
      <c r="I398" s="7">
        <f>E398*F398*G398*D398</f>
        <v>2.3736000000000002</v>
      </c>
      <c r="J398" s="7">
        <f>(2*(E398)*H398*D398)+(E398*F398)</f>
        <v>11.868</v>
      </c>
      <c r="K398" s="12">
        <f>IF(E398=0.3,J398,0)</f>
        <v>0</v>
      </c>
      <c r="L398" s="12">
        <f>IF(AND(E398&gt;0.3,E398&lt;=0.75),J398,0)</f>
        <v>0</v>
      </c>
      <c r="M398" s="12">
        <f>IF(AND(E398&gt;0.75,E398&lt;=1.2),J398,0)</f>
        <v>0</v>
      </c>
      <c r="N398" s="12">
        <f>IF(E398&gt;1.2,J398,0)</f>
        <v>11.868</v>
      </c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>
        <f>SUM(X399:X408)/I398</f>
        <v>187.982711023641</v>
      </c>
      <c r="Z398" s="7"/>
      <c r="AA398" s="7"/>
      <c r="AB398" s="7"/>
      <c r="AC398" s="7"/>
      <c r="AD398" s="7"/>
      <c r="AE398" s="7"/>
    </row>
    <row r="399" spans="1:32" s="9" customFormat="1" ht="20.100000000000001" customHeight="1" x14ac:dyDescent="0.25">
      <c r="A399" s="6"/>
      <c r="B399" s="10" t="s">
        <v>2</v>
      </c>
      <c r="C399" s="13" t="s">
        <v>4</v>
      </c>
      <c r="D399" s="7">
        <v>25</v>
      </c>
      <c r="E399" s="7"/>
      <c r="F399" s="7">
        <v>2</v>
      </c>
      <c r="G399" s="8">
        <f>VLOOKUP(D399,'[2]Beam '!$C$20:$H$26,3,0)</f>
        <v>1</v>
      </c>
      <c r="H399" s="8"/>
      <c r="I399" s="7"/>
      <c r="J399" s="7"/>
      <c r="K399" s="7"/>
      <c r="L399" s="7"/>
      <c r="M399" s="7"/>
      <c r="N399" s="7"/>
      <c r="O399" s="7">
        <f>(E398+2*(0.4/2)*D398)</f>
        <v>6.3340000000000005</v>
      </c>
      <c r="P399" s="7">
        <f t="shared" ref="P399:P409" si="77">O399*F399</f>
        <v>12.668000000000001</v>
      </c>
      <c r="Q399" s="7">
        <f>IF($D399='[2]Beam '!Q$44,$P399*'[2]Beam '!Q$45,0)</f>
        <v>0</v>
      </c>
      <c r="R399" s="7">
        <f>IF($D399='[2]Beam '!R$44,$P399*'[2]Beam '!R$45,0)</f>
        <v>0</v>
      </c>
      <c r="S399" s="7">
        <f>IF($D399='[2]Beam '!S$44,$P399*'[2]Beam '!S$45,0)</f>
        <v>0</v>
      </c>
      <c r="T399" s="7">
        <f>IF($D399='[2]Beam '!T$44,$P399*'[2]Beam '!T$45,0)</f>
        <v>0</v>
      </c>
      <c r="U399" s="7">
        <f>IF($D399='[2]Beam '!U$44,$P399*'[2]Beam '!U$45,0)</f>
        <v>0</v>
      </c>
      <c r="V399" s="7">
        <f>IF($D399='[2]Beam '!V$44,$P399*'[2]Beam '!V$45,0)</f>
        <v>48.834008928571443</v>
      </c>
      <c r="W399" s="7">
        <f>IF($D399='[2]Beam '!W$44,$P399*'[2]Beam '!W$45,0)</f>
        <v>0</v>
      </c>
      <c r="X399" s="7">
        <f t="shared" ref="X399:X409" si="78">SUM(Q399:W399)</f>
        <v>48.834008928571443</v>
      </c>
      <c r="Y399" s="7"/>
      <c r="Z399" s="7"/>
      <c r="AA399" s="7"/>
      <c r="AB399" s="7"/>
      <c r="AC399" s="7"/>
      <c r="AD399" s="7"/>
      <c r="AE399" s="7"/>
    </row>
    <row r="400" spans="1:32" s="9" customFormat="1" ht="20.100000000000001" customHeight="1" x14ac:dyDescent="0.25">
      <c r="A400" s="6"/>
      <c r="B400" s="10" t="s">
        <v>2</v>
      </c>
      <c r="C400" s="13" t="s">
        <v>4</v>
      </c>
      <c r="D400" s="7">
        <v>20</v>
      </c>
      <c r="E400" s="7"/>
      <c r="F400" s="7">
        <v>2</v>
      </c>
      <c r="G400" s="8">
        <f>VLOOKUP(D400,'[2]Beam '!$C$20:$H$26,3,0)</f>
        <v>0.8</v>
      </c>
      <c r="H400" s="8"/>
      <c r="I400" s="7"/>
      <c r="J400" s="7"/>
      <c r="K400" s="7"/>
      <c r="L400" s="7"/>
      <c r="M400" s="7"/>
      <c r="N400" s="7"/>
      <c r="O400" s="7">
        <f>(E398+2*(0.4/2)*D398)</f>
        <v>6.3340000000000005</v>
      </c>
      <c r="P400" s="7">
        <f t="shared" si="77"/>
        <v>12.668000000000001</v>
      </c>
      <c r="Q400" s="7">
        <f>IF($D400='[2]Beam '!Q$44,$P400*'[2]Beam '!Q$45,0)</f>
        <v>0</v>
      </c>
      <c r="R400" s="7">
        <f>IF($D400='[2]Beam '!R$44,$P400*'[2]Beam '!R$45,0)</f>
        <v>0</v>
      </c>
      <c r="S400" s="7">
        <f>IF($D400='[2]Beam '!S$44,$P400*'[2]Beam '!S$45,0)</f>
        <v>0</v>
      </c>
      <c r="T400" s="7">
        <f>IF($D400='[2]Beam '!T$44,$P400*'[2]Beam '!T$45,0)</f>
        <v>0</v>
      </c>
      <c r="U400" s="7">
        <f>IF($D400='[2]Beam '!U$44,$P400*'[2]Beam '!U$45,0)</f>
        <v>31.253765714285716</v>
      </c>
      <c r="V400" s="7">
        <f>IF($D400='[2]Beam '!V$44,$P400*'[2]Beam '!V$45,0)</f>
        <v>0</v>
      </c>
      <c r="W400" s="7">
        <f>IF($D400='[2]Beam '!W$44,$P400*'[2]Beam '!W$45,0)</f>
        <v>0</v>
      </c>
      <c r="X400" s="7">
        <f t="shared" si="78"/>
        <v>31.253765714285716</v>
      </c>
      <c r="Y400" s="7"/>
      <c r="Z400" s="7"/>
      <c r="AA400" s="7"/>
      <c r="AB400" s="7"/>
      <c r="AC400" s="7"/>
      <c r="AD400" s="7"/>
      <c r="AE400" s="7"/>
    </row>
    <row r="401" spans="1:32" s="9" customFormat="1" ht="20.100000000000001" customHeight="1" x14ac:dyDescent="0.25">
      <c r="A401" s="6"/>
      <c r="B401" s="10" t="s">
        <v>2</v>
      </c>
      <c r="C401" s="13" t="s">
        <v>46</v>
      </c>
      <c r="D401" s="7">
        <v>25</v>
      </c>
      <c r="E401" s="7"/>
      <c r="F401" s="7">
        <v>4</v>
      </c>
      <c r="G401" s="8">
        <f>VLOOKUP(D401,'[2]Beam '!$C$20:$H$26,3,0)</f>
        <v>1</v>
      </c>
      <c r="H401" s="8"/>
      <c r="I401" s="7"/>
      <c r="J401" s="7"/>
      <c r="K401" s="7"/>
      <c r="L401" s="7"/>
      <c r="M401" s="7"/>
      <c r="N401" s="7"/>
      <c r="O401" s="7">
        <f>(1.6+1*(0.4/2)*D398)</f>
        <v>1.8</v>
      </c>
      <c r="P401" s="7">
        <f t="shared" si="77"/>
        <v>7.2</v>
      </c>
      <c r="Q401" s="7">
        <f>IF($D401='[2]Beam '!Q$44,$P401*'[2]Beam '!Q$45,0)</f>
        <v>0</v>
      </c>
      <c r="R401" s="7">
        <f>IF($D401='[2]Beam '!R$44,$P401*'[2]Beam '!R$45,0)</f>
        <v>0</v>
      </c>
      <c r="S401" s="7">
        <f>IF($D401='[2]Beam '!S$44,$P401*'[2]Beam '!S$45,0)</f>
        <v>0</v>
      </c>
      <c r="T401" s="7">
        <f>IF($D401='[2]Beam '!T$44,$P401*'[2]Beam '!T$45,0)</f>
        <v>0</v>
      </c>
      <c r="U401" s="7">
        <f>IF($D401='[2]Beam '!U$44,$P401*'[2]Beam '!U$45,0)</f>
        <v>0</v>
      </c>
      <c r="V401" s="7">
        <f>IF($D401='[2]Beam '!V$44,$P401*'[2]Beam '!V$45,0)</f>
        <v>27.755357142857147</v>
      </c>
      <c r="W401" s="7">
        <f>IF($D401='[2]Beam '!W$44,$P401*'[2]Beam '!W$45,0)</f>
        <v>0</v>
      </c>
      <c r="X401" s="7">
        <f t="shared" si="78"/>
        <v>27.755357142857147</v>
      </c>
      <c r="Y401" s="7"/>
      <c r="Z401" s="7"/>
      <c r="AA401" s="7"/>
      <c r="AB401" s="7"/>
      <c r="AC401" s="7"/>
      <c r="AD401" s="7"/>
      <c r="AE401" s="7"/>
    </row>
    <row r="402" spans="1:32" s="9" customFormat="1" ht="20.100000000000001" customHeight="1" x14ac:dyDescent="0.25">
      <c r="A402" s="6"/>
      <c r="B402" s="10" t="s">
        <v>2</v>
      </c>
      <c r="C402" s="13" t="s">
        <v>46</v>
      </c>
      <c r="D402" s="7">
        <v>16</v>
      </c>
      <c r="E402" s="7"/>
      <c r="F402" s="7">
        <v>4</v>
      </c>
      <c r="G402" s="8">
        <f>VLOOKUP(D402,'[2]Beam '!$C$20:$H$26,3,0)</f>
        <v>0.625</v>
      </c>
      <c r="H402" s="8"/>
      <c r="I402" s="7"/>
      <c r="J402" s="7"/>
      <c r="K402" s="7"/>
      <c r="L402" s="7"/>
      <c r="M402" s="7"/>
      <c r="N402" s="7"/>
      <c r="O402" s="7">
        <f>(1.6+1*(0.4/2)*D398)</f>
        <v>1.8</v>
      </c>
      <c r="P402" s="7">
        <f t="shared" si="77"/>
        <v>7.2</v>
      </c>
      <c r="Q402" s="7">
        <f>IF($D402='[2]Beam '!Q$44,$P402*'[2]Beam '!Q$45,0)</f>
        <v>0</v>
      </c>
      <c r="R402" s="7">
        <f>IF($D402='[2]Beam '!R$44,$P402*'[2]Beam '!R$45,0)</f>
        <v>0</v>
      </c>
      <c r="S402" s="7">
        <f>IF($D402='[2]Beam '!S$44,$P402*'[2]Beam '!S$45,0)</f>
        <v>0</v>
      </c>
      <c r="T402" s="7">
        <f>IF($D402='[2]Beam '!T$44,$P402*'[2]Beam '!T$45,0)</f>
        <v>11.368594285714288</v>
      </c>
      <c r="U402" s="7">
        <f>IF($D402='[2]Beam '!U$44,$P402*'[2]Beam '!U$45,0)</f>
        <v>0</v>
      </c>
      <c r="V402" s="7">
        <f>IF($D402='[2]Beam '!V$44,$P402*'[2]Beam '!V$45,0)</f>
        <v>0</v>
      </c>
      <c r="W402" s="7">
        <f>IF($D402='[2]Beam '!W$44,$P402*'[2]Beam '!W$45,0)</f>
        <v>0</v>
      </c>
      <c r="X402" s="7">
        <f t="shared" si="78"/>
        <v>11.368594285714288</v>
      </c>
      <c r="Y402" s="7"/>
      <c r="Z402" s="7"/>
      <c r="AA402" s="7"/>
      <c r="AB402" s="7"/>
      <c r="AC402" s="7"/>
      <c r="AD402" s="7"/>
      <c r="AE402" s="7"/>
    </row>
    <row r="403" spans="1:32" s="9" customFormat="1" ht="20.100000000000001" customHeight="1" x14ac:dyDescent="0.25">
      <c r="A403" s="6"/>
      <c r="B403" s="10" t="s">
        <v>2</v>
      </c>
      <c r="C403" s="13" t="s">
        <v>6</v>
      </c>
      <c r="D403" s="7">
        <v>25</v>
      </c>
      <c r="E403" s="7"/>
      <c r="F403" s="7">
        <v>2</v>
      </c>
      <c r="G403" s="8">
        <f>VLOOKUP(D403,'[2]Beam '!$C$20:$H$26,3,0)</f>
        <v>1</v>
      </c>
      <c r="H403" s="7"/>
      <c r="I403" s="7"/>
      <c r="J403" s="7"/>
      <c r="K403" s="7"/>
      <c r="L403" s="7"/>
      <c r="M403" s="7"/>
      <c r="N403" s="7"/>
      <c r="O403" s="7">
        <f>(E398+1*(G403+(12*D403/1000)))+1*(0.4/2)*D398</f>
        <v>7.4340000000000002</v>
      </c>
      <c r="P403" s="7">
        <f t="shared" si="77"/>
        <v>14.868</v>
      </c>
      <c r="Q403" s="7">
        <f>IF($D403='[2]Beam '!Q$44,$P403*'[2]Beam '!Q$45,0)</f>
        <v>0</v>
      </c>
      <c r="R403" s="7">
        <f>IF($D403='[2]Beam '!R$44,$P403*'[2]Beam '!R$45,0)</f>
        <v>0</v>
      </c>
      <c r="S403" s="7">
        <f>IF($D403='[2]Beam '!S$44,$P403*'[2]Beam '!S$45,0)</f>
        <v>0</v>
      </c>
      <c r="T403" s="7">
        <f>IF($D403='[2]Beam '!T$44,$P403*'[2]Beam '!T$45,0)</f>
        <v>0</v>
      </c>
      <c r="U403" s="7">
        <f>IF($D403='[2]Beam '!U$44,$P403*'[2]Beam '!U$45,0)</f>
        <v>0</v>
      </c>
      <c r="V403" s="7">
        <f>IF($D403='[2]Beam '!V$44,$P403*'[2]Beam '!V$45,0)</f>
        <v>57.314812500000009</v>
      </c>
      <c r="W403" s="7">
        <f>IF($D403='[2]Beam '!W$44,$P403*'[2]Beam '!W$45,0)</f>
        <v>0</v>
      </c>
      <c r="X403" s="7">
        <f t="shared" si="78"/>
        <v>57.314812500000009</v>
      </c>
      <c r="Y403" s="7"/>
      <c r="Z403" s="7"/>
      <c r="AA403" s="7"/>
      <c r="AB403" s="7"/>
      <c r="AC403" s="7"/>
      <c r="AD403" s="7"/>
      <c r="AE403" s="7"/>
    </row>
    <row r="404" spans="1:32" s="9" customFormat="1" ht="20.100000000000001" customHeight="1" x14ac:dyDescent="0.25">
      <c r="A404" s="6"/>
      <c r="B404" s="10" t="s">
        <v>2</v>
      </c>
      <c r="C404" s="13" t="s">
        <v>6</v>
      </c>
      <c r="D404" s="7">
        <v>20</v>
      </c>
      <c r="E404" s="7"/>
      <c r="F404" s="7">
        <v>2</v>
      </c>
      <c r="G404" s="8">
        <f>VLOOKUP(D404,'[2]Beam '!$C$20:$H$26,3,0)</f>
        <v>0.8</v>
      </c>
      <c r="H404" s="7"/>
      <c r="I404" s="7"/>
      <c r="J404" s="7"/>
      <c r="K404" s="7"/>
      <c r="L404" s="7"/>
      <c r="M404" s="7"/>
      <c r="N404" s="7"/>
      <c r="O404" s="7">
        <f>(E398+1*(G404+(12*D404/1000)))+1*(0.4/2)*D398</f>
        <v>7.1740000000000004</v>
      </c>
      <c r="P404" s="7">
        <f t="shared" si="77"/>
        <v>14.348000000000001</v>
      </c>
      <c r="Q404" s="7">
        <f>IF($D404='[2]Beam '!Q$44,$P404*'[2]Beam '!Q$45,0)</f>
        <v>0</v>
      </c>
      <c r="R404" s="7">
        <f>IF($D404='[2]Beam '!R$44,$P404*'[2]Beam '!R$45,0)</f>
        <v>0</v>
      </c>
      <c r="S404" s="7">
        <f>IF($D404='[2]Beam '!S$44,$P404*'[2]Beam '!S$45,0)</f>
        <v>0</v>
      </c>
      <c r="T404" s="7">
        <f>IF($D404='[2]Beam '!T$44,$P404*'[2]Beam '!T$45,0)</f>
        <v>0</v>
      </c>
      <c r="U404" s="7">
        <f>IF($D404='[2]Beam '!U$44,$P404*'[2]Beam '!U$45,0)</f>
        <v>35.398565714285716</v>
      </c>
      <c r="V404" s="7">
        <f>IF($D404='[2]Beam '!V$44,$P404*'[2]Beam '!V$45,0)</f>
        <v>0</v>
      </c>
      <c r="W404" s="7">
        <f>IF($D404='[2]Beam '!W$44,$P404*'[2]Beam '!W$45,0)</f>
        <v>0</v>
      </c>
      <c r="X404" s="7">
        <f t="shared" si="78"/>
        <v>35.398565714285716</v>
      </c>
      <c r="Y404" s="7"/>
      <c r="Z404" s="7"/>
      <c r="AA404" s="7"/>
      <c r="AB404" s="7"/>
      <c r="AC404" s="7"/>
      <c r="AD404" s="7"/>
      <c r="AE404" s="7"/>
    </row>
    <row r="405" spans="1:32" s="9" customFormat="1" ht="20.100000000000001" customHeight="1" x14ac:dyDescent="0.25">
      <c r="A405" s="6"/>
      <c r="B405" s="10" t="s">
        <v>2</v>
      </c>
      <c r="C405" s="13" t="s">
        <v>13</v>
      </c>
      <c r="D405" s="7">
        <v>25</v>
      </c>
      <c r="E405" s="7"/>
      <c r="F405" s="7">
        <v>2</v>
      </c>
      <c r="G405" s="8">
        <f>VLOOKUP(D405,'[2]Beam '!$C$20:$H$26,3,0)</f>
        <v>1</v>
      </c>
      <c r="H405" s="7"/>
      <c r="I405" s="7"/>
      <c r="J405" s="7"/>
      <c r="K405" s="7"/>
      <c r="L405" s="7"/>
      <c r="M405" s="7"/>
      <c r="N405" s="7"/>
      <c r="O405" s="7">
        <f>(1.6+1*(G405+(12*D405/1000)))*D398</f>
        <v>2.9000000000000004</v>
      </c>
      <c r="P405" s="7">
        <f t="shared" si="77"/>
        <v>5.8000000000000007</v>
      </c>
      <c r="Q405" s="7">
        <f>IF($D405='[2]Beam '!Q$44,$P405*'[2]Beam '!Q$45,0)</f>
        <v>0</v>
      </c>
      <c r="R405" s="7">
        <f>IF($D405='[2]Beam '!R$44,$P405*'[2]Beam '!R$45,0)</f>
        <v>0</v>
      </c>
      <c r="S405" s="7">
        <f>IF($D405='[2]Beam '!S$44,$P405*'[2]Beam '!S$45,0)</f>
        <v>0</v>
      </c>
      <c r="T405" s="7">
        <f>IF($D405='[2]Beam '!T$44,$P405*'[2]Beam '!T$45,0)</f>
        <v>0</v>
      </c>
      <c r="U405" s="7">
        <f>IF($D405='[2]Beam '!U$44,$P405*'[2]Beam '!U$45,0)</f>
        <v>0</v>
      </c>
      <c r="V405" s="7">
        <f>IF($D405='[2]Beam '!V$44,$P405*'[2]Beam '!V$45,0)</f>
        <v>22.358482142857149</v>
      </c>
      <c r="W405" s="7">
        <f>IF($D405='[2]Beam '!W$44,$P405*'[2]Beam '!W$45,0)</f>
        <v>0</v>
      </c>
      <c r="X405" s="7">
        <f t="shared" si="78"/>
        <v>22.358482142857149</v>
      </c>
      <c r="Y405" s="7"/>
      <c r="Z405" s="7"/>
      <c r="AA405" s="7"/>
      <c r="AB405" s="7"/>
      <c r="AC405" s="7"/>
      <c r="AD405" s="7"/>
      <c r="AE405" s="7"/>
    </row>
    <row r="406" spans="1:32" s="14" customFormat="1" ht="20.100000000000001" customHeight="1" x14ac:dyDescent="0.3">
      <c r="A406" s="6"/>
      <c r="B406" s="10" t="s">
        <v>2</v>
      </c>
      <c r="C406" s="13" t="s">
        <v>13</v>
      </c>
      <c r="D406" s="7">
        <v>16</v>
      </c>
      <c r="E406" s="7"/>
      <c r="F406" s="7">
        <v>2</v>
      </c>
      <c r="G406" s="8">
        <f>VLOOKUP(D406,'[2]Beam '!$C$20:$H$26,3,0)</f>
        <v>0.625</v>
      </c>
      <c r="H406" s="7"/>
      <c r="I406" s="7"/>
      <c r="J406" s="7"/>
      <c r="K406" s="7"/>
      <c r="L406" s="7"/>
      <c r="M406" s="7"/>
      <c r="N406" s="7"/>
      <c r="O406" s="7">
        <f>(1.6+1*(G406+(12*D406/1000)))*D398</f>
        <v>2.4169999999999998</v>
      </c>
      <c r="P406" s="7">
        <f t="shared" si="77"/>
        <v>4.8339999999999996</v>
      </c>
      <c r="Q406" s="7">
        <f>IF($D406='[2]Beam '!Q$44,$P406*'[2]Beam '!Q$45,0)</f>
        <v>0</v>
      </c>
      <c r="R406" s="7">
        <f>IF($D406='[2]Beam '!R$44,$P406*'[2]Beam '!R$45,0)</f>
        <v>0</v>
      </c>
      <c r="S406" s="7">
        <f>IF($D406='[2]Beam '!S$44,$P406*'[2]Beam '!S$45,0)</f>
        <v>0</v>
      </c>
      <c r="T406" s="7">
        <f>IF($D406='[2]Beam '!T$44,$P406*'[2]Beam '!T$45,0)</f>
        <v>7.6327478857142861</v>
      </c>
      <c r="U406" s="7">
        <f>IF($D406='[2]Beam '!U$44,$P406*'[2]Beam '!U$45,0)</f>
        <v>0</v>
      </c>
      <c r="V406" s="7">
        <f>IF($D406='[2]Beam '!V$44,$P406*'[2]Beam '!V$45,0)</f>
        <v>0</v>
      </c>
      <c r="W406" s="7">
        <f>IF($D406='[2]Beam '!W$44,$P406*'[2]Beam '!W$45,0)</f>
        <v>0</v>
      </c>
      <c r="X406" s="7">
        <f t="shared" si="78"/>
        <v>7.6327478857142861</v>
      </c>
      <c r="Y406" s="7"/>
    </row>
    <row r="407" spans="1:32" s="9" customFormat="1" ht="20.100000000000001" customHeight="1" x14ac:dyDescent="0.25">
      <c r="A407" s="6"/>
      <c r="B407" s="10" t="s">
        <v>2</v>
      </c>
      <c r="C407" s="13" t="s">
        <v>17</v>
      </c>
      <c r="D407" s="7">
        <v>10</v>
      </c>
      <c r="E407" s="7">
        <v>0.1</v>
      </c>
      <c r="F407" s="7">
        <f>ROUNDUP(E398/E407,0)</f>
        <v>60</v>
      </c>
      <c r="H407" s="7"/>
      <c r="I407" s="7"/>
      <c r="J407" s="7"/>
      <c r="K407" s="7"/>
      <c r="L407" s="7"/>
      <c r="M407" s="7"/>
      <c r="N407" s="7"/>
      <c r="O407" s="7">
        <f>(2*((G398-(2*'[2]Beam '!$D$11))+(F398-(2*'[2]Beam '!$D$11)))+(2*10*D407/1000))*D398</f>
        <v>2.7600000000000002</v>
      </c>
      <c r="P407" s="7">
        <f t="shared" si="77"/>
        <v>165.60000000000002</v>
      </c>
      <c r="Q407" s="7">
        <f>IF($D407='[2]Beam '!Q$44,$P407*'[2]Beam '!Q$45,0)</f>
        <v>0</v>
      </c>
      <c r="R407" s="7">
        <f>IF($D407='[2]Beam '!R$44,$P407*'[2]Beam '!R$45,0)</f>
        <v>102.13971428571429</v>
      </c>
      <c r="S407" s="7">
        <f>IF($D407='[2]Beam '!S$44,$P407*'[2]Beam '!S$45,0)</f>
        <v>0</v>
      </c>
      <c r="T407" s="7">
        <f>IF($D407='[2]Beam '!T$44,$P407*'[2]Beam '!T$45,0)</f>
        <v>0</v>
      </c>
      <c r="U407" s="7">
        <f>IF($D407='[2]Beam '!U$44,$P407*'[2]Beam '!U$45,0)</f>
        <v>0</v>
      </c>
      <c r="V407" s="7">
        <f>IF($D407='[2]Beam '!V$44,$P407*'[2]Beam '!V$45,0)</f>
        <v>0</v>
      </c>
      <c r="W407" s="7">
        <f>IF($D407='[2]Beam '!W$44,$P407*'[2]Beam '!W$45,0)</f>
        <v>0</v>
      </c>
      <c r="X407" s="7">
        <f t="shared" si="78"/>
        <v>102.13971428571429</v>
      </c>
      <c r="Y407" s="7"/>
      <c r="Z407" s="7"/>
      <c r="AA407" s="7"/>
      <c r="AB407" s="7"/>
      <c r="AC407" s="7"/>
      <c r="AD407" s="7"/>
      <c r="AE407" s="7"/>
    </row>
    <row r="408" spans="1:32" s="9" customFormat="1" ht="21" customHeight="1" x14ac:dyDescent="0.25">
      <c r="A408" s="14"/>
      <c r="B408" s="10" t="s">
        <v>2</v>
      </c>
      <c r="C408" s="13" t="s">
        <v>18</v>
      </c>
      <c r="D408" s="14">
        <f>D407</f>
        <v>10</v>
      </c>
      <c r="E408" s="14">
        <f>+E407</f>
        <v>0.1</v>
      </c>
      <c r="F408" s="7">
        <f>ROUNDUP(E398/E408,0)</f>
        <v>60</v>
      </c>
      <c r="H408" s="14"/>
      <c r="I408" s="14"/>
      <c r="J408" s="14"/>
      <c r="K408" s="14"/>
      <c r="L408" s="14"/>
      <c r="M408" s="14"/>
      <c r="N408" s="14"/>
      <c r="O408" s="7">
        <f>(2*(((F398-'[2]Beam '!$D$11*2)/(F399-1))+(G398-'[2]Beam '!$D$11*2))+(2*10*D408/1000))*D398</f>
        <v>2.7600000000000002</v>
      </c>
      <c r="P408" s="7">
        <f t="shared" si="77"/>
        <v>165.60000000000002</v>
      </c>
      <c r="Q408" s="7">
        <f>IF($D408='[2]Beam '!Q$44,$P408*'[2]Beam '!Q$45,0)</f>
        <v>0</v>
      </c>
      <c r="R408" s="7">
        <f>IF($D408='[2]Beam '!R$44,$P408*'[2]Beam '!R$45,0)</f>
        <v>102.13971428571429</v>
      </c>
      <c r="S408" s="7">
        <f>IF($D408='[2]Beam '!S$44,$P408*'[2]Beam '!S$45,0)</f>
        <v>0</v>
      </c>
      <c r="T408" s="7">
        <f>IF($D408='[2]Beam '!T$44,$P408*'[2]Beam '!T$45,0)</f>
        <v>0</v>
      </c>
      <c r="U408" s="7">
        <f>IF($D408='[2]Beam '!U$44,$P408*'[2]Beam '!U$45,0)</f>
        <v>0</v>
      </c>
      <c r="V408" s="7">
        <f>IF($D408='[2]Beam '!V$44,$P408*'[2]Beam '!V$45,0)</f>
        <v>0</v>
      </c>
      <c r="W408" s="7">
        <f>IF($D408='[2]Beam '!W$44,$P408*'[2]Beam '!W$45,0)</f>
        <v>0</v>
      </c>
      <c r="X408" s="7">
        <f t="shared" si="78"/>
        <v>102.13971428571429</v>
      </c>
      <c r="Y408" s="14"/>
      <c r="Z408" s="7"/>
      <c r="AA408" s="7"/>
      <c r="AB408" s="7"/>
      <c r="AC408" s="7"/>
      <c r="AD408" s="7"/>
      <c r="AE408" s="7"/>
      <c r="AF408" s="7"/>
    </row>
    <row r="409" spans="1:32" s="9" customFormat="1" ht="20.100000000000001" customHeight="1" x14ac:dyDescent="0.25">
      <c r="A409" s="6"/>
      <c r="B409" s="10" t="s">
        <v>2</v>
      </c>
      <c r="C409" s="13" t="s">
        <v>11</v>
      </c>
      <c r="D409" s="7">
        <f>+'[2]Beam '!$D$15</f>
        <v>25</v>
      </c>
      <c r="E409" s="7">
        <f>+'[2]Beam '!$E$15</f>
        <v>1</v>
      </c>
      <c r="F409" s="7">
        <f>ROUNDUP((3.2+1.6)/E409,0)</f>
        <v>5</v>
      </c>
      <c r="G409" s="8"/>
      <c r="H409" s="8"/>
      <c r="I409" s="7"/>
      <c r="J409" s="7"/>
      <c r="K409" s="7"/>
      <c r="L409" s="7"/>
      <c r="M409" s="7"/>
      <c r="N409" s="7"/>
      <c r="O409" s="7">
        <f>F398-'[2]Beam '!$F$15</f>
        <v>0.34</v>
      </c>
      <c r="P409" s="7">
        <f t="shared" si="77"/>
        <v>1.7000000000000002</v>
      </c>
      <c r="Q409" s="7">
        <f>IF($D409='[2]Beam '!Q$44,$P409*'[2]Beam '!Q$45,0)</f>
        <v>0</v>
      </c>
      <c r="R409" s="7">
        <f>IF($D409='[2]Beam '!R$44,$P409*'[2]Beam '!R$45,0)</f>
        <v>0</v>
      </c>
      <c r="S409" s="7">
        <f>IF($D409='[2]Beam '!S$44,$P409*'[2]Beam '!S$45,0)</f>
        <v>0</v>
      </c>
      <c r="T409" s="7">
        <f>IF($D409='[2]Beam '!T$44,$P409*'[2]Beam '!T$45,0)</f>
        <v>0</v>
      </c>
      <c r="U409" s="7">
        <f>IF($D409='[2]Beam '!U$44,$P409*'[2]Beam '!U$45,0)</f>
        <v>0</v>
      </c>
      <c r="V409" s="7">
        <f>IF($D409='[2]Beam '!V$44,$P409*'[2]Beam '!V$45,0)</f>
        <v>6.553348214285716</v>
      </c>
      <c r="W409" s="7">
        <f>IF($D409='[2]Beam '!W$44,$P409*'[2]Beam '!W$45,0)</f>
        <v>0</v>
      </c>
      <c r="X409" s="7">
        <f t="shared" si="78"/>
        <v>6.553348214285716</v>
      </c>
      <c r="Y409" s="7"/>
      <c r="Z409" s="7"/>
      <c r="AA409" s="7"/>
      <c r="AB409" s="7"/>
      <c r="AC409" s="7"/>
      <c r="AD409" s="7"/>
      <c r="AE409" s="7"/>
    </row>
    <row r="410" spans="1:32" s="9" customFormat="1" ht="20.100000000000001" customHeight="1" x14ac:dyDescent="0.25">
      <c r="A410" s="7">
        <v>1</v>
      </c>
      <c r="B410" s="10" t="s">
        <v>2</v>
      </c>
      <c r="C410" s="11" t="s">
        <v>65</v>
      </c>
      <c r="D410" s="11">
        <v>1</v>
      </c>
      <c r="E410" s="11">
        <v>2.85</v>
      </c>
      <c r="F410" s="11">
        <v>0.4</v>
      </c>
      <c r="G410" s="11">
        <v>1</v>
      </c>
      <c r="H410" s="7">
        <f>G410-0.2</f>
        <v>0.8</v>
      </c>
      <c r="I410" s="7">
        <f>E410*F410*G410*D410</f>
        <v>1.1400000000000001</v>
      </c>
      <c r="J410" s="7">
        <f>(2*(E410)*H410*D410)+(E410*F410)</f>
        <v>5.7000000000000011</v>
      </c>
      <c r="K410" s="12">
        <f>IF(E410=0.3,J410,0)</f>
        <v>0</v>
      </c>
      <c r="L410" s="12">
        <f>IF(AND(E410&gt;0.3,E410&lt;=0.75),J410,0)</f>
        <v>0</v>
      </c>
      <c r="M410" s="12">
        <f>IF(AND(E410&gt;0.75,E410&lt;=1.2),J410,0)</f>
        <v>0</v>
      </c>
      <c r="N410" s="12">
        <f>IF(E410&gt;1.2,J410,0)</f>
        <v>5.7000000000000011</v>
      </c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>
        <f>SUM(X411:X418)/I410</f>
        <v>233.31488659147871</v>
      </c>
      <c r="Z410" s="7"/>
      <c r="AA410" s="7"/>
      <c r="AB410" s="7"/>
      <c r="AC410" s="7"/>
      <c r="AD410" s="7"/>
      <c r="AE410" s="7"/>
    </row>
    <row r="411" spans="1:32" s="9" customFormat="1" ht="20.100000000000001" customHeight="1" x14ac:dyDescent="0.25">
      <c r="A411" s="6"/>
      <c r="B411" s="10" t="s">
        <v>2</v>
      </c>
      <c r="C411" s="13" t="s">
        <v>4</v>
      </c>
      <c r="D411" s="7">
        <v>25</v>
      </c>
      <c r="E411" s="7"/>
      <c r="F411" s="7">
        <v>2</v>
      </c>
      <c r="G411" s="8">
        <f>VLOOKUP(D411,'[2]Beam '!$C$20:$H$26,3,0)</f>
        <v>1</v>
      </c>
      <c r="H411" s="8"/>
      <c r="I411" s="7"/>
      <c r="J411" s="7"/>
      <c r="K411" s="7"/>
      <c r="L411" s="7"/>
      <c r="M411" s="7"/>
      <c r="N411" s="7"/>
      <c r="O411" s="7">
        <f>(E410+1*(G411))+1*(0.4/2)*D410</f>
        <v>4.05</v>
      </c>
      <c r="P411" s="7">
        <f t="shared" ref="P411:P419" si="79">O411*F411</f>
        <v>8.1</v>
      </c>
      <c r="Q411" s="7">
        <f>IF($D411='[2]Beam '!Q$44,$P411*'[2]Beam '!Q$45,0)</f>
        <v>0</v>
      </c>
      <c r="R411" s="7">
        <f>IF($D411='[2]Beam '!R$44,$P411*'[2]Beam '!R$45,0)</f>
        <v>0</v>
      </c>
      <c r="S411" s="7">
        <f>IF($D411='[2]Beam '!S$44,$P411*'[2]Beam '!S$45,0)</f>
        <v>0</v>
      </c>
      <c r="T411" s="7">
        <f>IF($D411='[2]Beam '!T$44,$P411*'[2]Beam '!T$45,0)</f>
        <v>0</v>
      </c>
      <c r="U411" s="7">
        <f>IF($D411='[2]Beam '!U$44,$P411*'[2]Beam '!U$45,0)</f>
        <v>0</v>
      </c>
      <c r="V411" s="7">
        <f>IF($D411='[2]Beam '!V$44,$P411*'[2]Beam '!V$45,0)</f>
        <v>31.22477678571429</v>
      </c>
      <c r="W411" s="7">
        <f>IF($D411='[2]Beam '!W$44,$P411*'[2]Beam '!W$45,0)</f>
        <v>0</v>
      </c>
      <c r="X411" s="7">
        <f t="shared" ref="X411:X419" si="80">SUM(Q411:W411)</f>
        <v>31.22477678571429</v>
      </c>
      <c r="Y411" s="7"/>
      <c r="Z411" s="7"/>
      <c r="AA411" s="7"/>
      <c r="AB411" s="7"/>
      <c r="AC411" s="7"/>
      <c r="AD411" s="7"/>
      <c r="AE411" s="7"/>
    </row>
    <row r="412" spans="1:32" s="9" customFormat="1" ht="20.100000000000001" customHeight="1" x14ac:dyDescent="0.25">
      <c r="A412" s="6"/>
      <c r="B412" s="10" t="s">
        <v>2</v>
      </c>
      <c r="C412" s="13" t="s">
        <v>4</v>
      </c>
      <c r="D412" s="7">
        <v>20</v>
      </c>
      <c r="E412" s="7"/>
      <c r="F412" s="7">
        <v>2</v>
      </c>
      <c r="G412" s="8">
        <f>VLOOKUP(D412,'[2]Beam '!$C$20:$H$26,3,0)</f>
        <v>0.8</v>
      </c>
      <c r="H412" s="8"/>
      <c r="I412" s="7"/>
      <c r="J412" s="7"/>
      <c r="K412" s="7"/>
      <c r="L412" s="7"/>
      <c r="M412" s="7"/>
      <c r="N412" s="7"/>
      <c r="O412" s="7">
        <f>(E410+1*(G412))+1*(0.4/2)*D410</f>
        <v>3.8500000000000005</v>
      </c>
      <c r="P412" s="7">
        <f t="shared" si="79"/>
        <v>7.7000000000000011</v>
      </c>
      <c r="Q412" s="7">
        <f>IF($D412='[2]Beam '!Q$44,$P412*'[2]Beam '!Q$45,0)</f>
        <v>0</v>
      </c>
      <c r="R412" s="7">
        <f>IF($D412='[2]Beam '!R$44,$P412*'[2]Beam '!R$45,0)</f>
        <v>0</v>
      </c>
      <c r="S412" s="7">
        <f>IF($D412='[2]Beam '!S$44,$P412*'[2]Beam '!S$45,0)</f>
        <v>0</v>
      </c>
      <c r="T412" s="7">
        <f>IF($D412='[2]Beam '!T$44,$P412*'[2]Beam '!T$45,0)</f>
        <v>0</v>
      </c>
      <c r="U412" s="7">
        <f>IF($D412='[2]Beam '!U$44,$P412*'[2]Beam '!U$45,0)</f>
        <v>18.997000000000003</v>
      </c>
      <c r="V412" s="7">
        <f>IF($D412='[2]Beam '!V$44,$P412*'[2]Beam '!V$45,0)</f>
        <v>0</v>
      </c>
      <c r="W412" s="7">
        <f>IF($D412='[2]Beam '!W$44,$P412*'[2]Beam '!W$45,0)</f>
        <v>0</v>
      </c>
      <c r="X412" s="7">
        <f t="shared" si="80"/>
        <v>18.997000000000003</v>
      </c>
      <c r="Y412" s="7"/>
      <c r="Z412" s="7"/>
      <c r="AA412" s="7"/>
      <c r="AB412" s="7"/>
      <c r="AC412" s="7"/>
      <c r="AD412" s="7"/>
      <c r="AE412" s="7"/>
    </row>
    <row r="413" spans="1:32" s="9" customFormat="1" ht="20.100000000000001" customHeight="1" x14ac:dyDescent="0.25">
      <c r="A413" s="6"/>
      <c r="B413" s="10" t="s">
        <v>2</v>
      </c>
      <c r="C413" s="13" t="s">
        <v>46</v>
      </c>
      <c r="D413" s="7">
        <v>16</v>
      </c>
      <c r="E413" s="7"/>
      <c r="F413" s="7">
        <v>4</v>
      </c>
      <c r="G413" s="8">
        <f>VLOOKUP(D413,'[2]Beam '!$C$20:$H$26,3,0)</f>
        <v>0.625</v>
      </c>
      <c r="H413" s="8"/>
      <c r="I413" s="7"/>
      <c r="J413" s="7"/>
      <c r="K413" s="7"/>
      <c r="L413" s="7"/>
      <c r="M413" s="7"/>
      <c r="N413" s="7"/>
      <c r="O413" s="7">
        <f>(0.75+1*(0.4/2)*D410)</f>
        <v>0.95</v>
      </c>
      <c r="P413" s="7">
        <f t="shared" si="79"/>
        <v>3.8</v>
      </c>
      <c r="Q413" s="7">
        <f>IF($D413='[2]Beam '!Q$44,$P413*'[2]Beam '!Q$45,0)</f>
        <v>0</v>
      </c>
      <c r="R413" s="7">
        <f>IF($D413='[2]Beam '!R$44,$P413*'[2]Beam '!R$45,0)</f>
        <v>0</v>
      </c>
      <c r="S413" s="7">
        <f>IF($D413='[2]Beam '!S$44,$P413*'[2]Beam '!S$45,0)</f>
        <v>0</v>
      </c>
      <c r="T413" s="7">
        <f>IF($D413='[2]Beam '!T$44,$P413*'[2]Beam '!T$45,0)</f>
        <v>6.0000914285714284</v>
      </c>
      <c r="U413" s="7">
        <f>IF($D413='[2]Beam '!U$44,$P413*'[2]Beam '!U$45,0)</f>
        <v>0</v>
      </c>
      <c r="V413" s="7">
        <f>IF($D413='[2]Beam '!V$44,$P413*'[2]Beam '!V$45,0)</f>
        <v>0</v>
      </c>
      <c r="W413" s="7">
        <f>IF($D413='[2]Beam '!W$44,$P413*'[2]Beam '!W$45,0)</f>
        <v>0</v>
      </c>
      <c r="X413" s="7">
        <f t="shared" si="80"/>
        <v>6.0000914285714284</v>
      </c>
      <c r="Y413" s="7"/>
      <c r="Z413" s="7"/>
      <c r="AA413" s="7"/>
      <c r="AB413" s="7"/>
      <c r="AC413" s="7"/>
      <c r="AD413" s="7"/>
      <c r="AE413" s="7"/>
    </row>
    <row r="414" spans="1:32" s="9" customFormat="1" ht="20.100000000000001" customHeight="1" x14ac:dyDescent="0.25">
      <c r="A414" s="6"/>
      <c r="B414" s="10" t="s">
        <v>2</v>
      </c>
      <c r="C414" s="13" t="s">
        <v>6</v>
      </c>
      <c r="D414" s="7">
        <v>25</v>
      </c>
      <c r="E414" s="7"/>
      <c r="F414" s="7">
        <v>2</v>
      </c>
      <c r="G414" s="8">
        <f>VLOOKUP(D414,'[2]Beam '!$C$20:$H$26,3,0)</f>
        <v>1</v>
      </c>
      <c r="H414" s="7"/>
      <c r="I414" s="7"/>
      <c r="J414" s="7"/>
      <c r="K414" s="7"/>
      <c r="L414" s="7"/>
      <c r="M414" s="7"/>
      <c r="N414" s="7"/>
      <c r="O414" s="7">
        <f>(E410+1*(G414))+1*(0.4/2)*D410</f>
        <v>4.05</v>
      </c>
      <c r="P414" s="7">
        <f t="shared" si="79"/>
        <v>8.1</v>
      </c>
      <c r="Q414" s="7">
        <f>IF($D414='[2]Beam '!Q$44,$P414*'[2]Beam '!Q$45,0)</f>
        <v>0</v>
      </c>
      <c r="R414" s="7">
        <f>IF($D414='[2]Beam '!R$44,$P414*'[2]Beam '!R$45,0)</f>
        <v>0</v>
      </c>
      <c r="S414" s="7">
        <f>IF($D414='[2]Beam '!S$44,$P414*'[2]Beam '!S$45,0)</f>
        <v>0</v>
      </c>
      <c r="T414" s="7">
        <f>IF($D414='[2]Beam '!T$44,$P414*'[2]Beam '!T$45,0)</f>
        <v>0</v>
      </c>
      <c r="U414" s="7">
        <f>IF($D414='[2]Beam '!U$44,$P414*'[2]Beam '!U$45,0)</f>
        <v>0</v>
      </c>
      <c r="V414" s="7">
        <f>IF($D414='[2]Beam '!V$44,$P414*'[2]Beam '!V$45,0)</f>
        <v>31.22477678571429</v>
      </c>
      <c r="W414" s="7">
        <f>IF($D414='[2]Beam '!W$44,$P414*'[2]Beam '!W$45,0)</f>
        <v>0</v>
      </c>
      <c r="X414" s="7">
        <f t="shared" si="80"/>
        <v>31.22477678571429</v>
      </c>
      <c r="Y414" s="7"/>
      <c r="Z414" s="7"/>
      <c r="AA414" s="7"/>
      <c r="AB414" s="7"/>
      <c r="AC414" s="7"/>
      <c r="AD414" s="7"/>
      <c r="AE414" s="7"/>
    </row>
    <row r="415" spans="1:32" s="9" customFormat="1" ht="20.100000000000001" customHeight="1" x14ac:dyDescent="0.25">
      <c r="A415" s="6"/>
      <c r="B415" s="10" t="s">
        <v>2</v>
      </c>
      <c r="C415" s="13" t="s">
        <v>6</v>
      </c>
      <c r="D415" s="7">
        <v>20</v>
      </c>
      <c r="E415" s="7"/>
      <c r="F415" s="7">
        <v>2</v>
      </c>
      <c r="G415" s="8">
        <f>VLOOKUP(D415,'[2]Beam '!$C$20:$H$26,3,0)</f>
        <v>0.8</v>
      </c>
      <c r="H415" s="7"/>
      <c r="I415" s="7"/>
      <c r="J415" s="7"/>
      <c r="K415" s="7"/>
      <c r="L415" s="7"/>
      <c r="M415" s="7"/>
      <c r="N415" s="7"/>
      <c r="O415" s="7">
        <f>(E410+1*(G415))+1*(0.4/2)*D410</f>
        <v>3.8500000000000005</v>
      </c>
      <c r="P415" s="7">
        <f t="shared" si="79"/>
        <v>7.7000000000000011</v>
      </c>
      <c r="Q415" s="7">
        <f>IF($D415='[2]Beam '!Q$44,$P415*'[2]Beam '!Q$45,0)</f>
        <v>0</v>
      </c>
      <c r="R415" s="7">
        <f>IF($D415='[2]Beam '!R$44,$P415*'[2]Beam '!R$45,0)</f>
        <v>0</v>
      </c>
      <c r="S415" s="7">
        <f>IF($D415='[2]Beam '!S$44,$P415*'[2]Beam '!S$45,0)</f>
        <v>0</v>
      </c>
      <c r="T415" s="7">
        <f>IF($D415='[2]Beam '!T$44,$P415*'[2]Beam '!T$45,0)</f>
        <v>0</v>
      </c>
      <c r="U415" s="7">
        <f>IF($D415='[2]Beam '!U$44,$P415*'[2]Beam '!U$45,0)</f>
        <v>18.997000000000003</v>
      </c>
      <c r="V415" s="7">
        <f>IF($D415='[2]Beam '!V$44,$P415*'[2]Beam '!V$45,0)</f>
        <v>0</v>
      </c>
      <c r="W415" s="7">
        <f>IF($D415='[2]Beam '!W$44,$P415*'[2]Beam '!W$45,0)</f>
        <v>0</v>
      </c>
      <c r="X415" s="7">
        <f t="shared" si="80"/>
        <v>18.997000000000003</v>
      </c>
      <c r="Y415" s="7"/>
      <c r="Z415" s="7"/>
      <c r="AA415" s="7"/>
      <c r="AB415" s="7"/>
      <c r="AC415" s="7"/>
      <c r="AD415" s="7"/>
      <c r="AE415" s="7"/>
    </row>
    <row r="416" spans="1:32" s="14" customFormat="1" ht="20.100000000000001" customHeight="1" x14ac:dyDescent="0.3">
      <c r="A416" s="6"/>
      <c r="B416" s="10" t="s">
        <v>2</v>
      </c>
      <c r="C416" s="13" t="s">
        <v>13</v>
      </c>
      <c r="D416" s="7">
        <v>20</v>
      </c>
      <c r="E416" s="7"/>
      <c r="F416" s="7">
        <v>4</v>
      </c>
      <c r="G416" s="8">
        <f>VLOOKUP(D416,'[2]Beam '!$C$20:$H$26,3,0)</f>
        <v>0.8</v>
      </c>
      <c r="H416" s="7"/>
      <c r="I416" s="7"/>
      <c r="J416" s="7"/>
      <c r="K416" s="7"/>
      <c r="L416" s="7"/>
      <c r="M416" s="7"/>
      <c r="N416" s="7"/>
      <c r="O416" s="7">
        <f>(0.75+1*(G416))*D410</f>
        <v>1.55</v>
      </c>
      <c r="P416" s="7">
        <f t="shared" si="79"/>
        <v>6.2</v>
      </c>
      <c r="Q416" s="7">
        <f>IF($D416='[2]Beam '!Q$44,$P416*'[2]Beam '!Q$45,0)</f>
        <v>0</v>
      </c>
      <c r="R416" s="7">
        <f>IF($D416='[2]Beam '!R$44,$P416*'[2]Beam '!R$45,0)</f>
        <v>0</v>
      </c>
      <c r="S416" s="7">
        <f>IF($D416='[2]Beam '!S$44,$P416*'[2]Beam '!S$45,0)</f>
        <v>0</v>
      </c>
      <c r="T416" s="7">
        <f>IF($D416='[2]Beam '!T$44,$P416*'[2]Beam '!T$45,0)</f>
        <v>0</v>
      </c>
      <c r="U416" s="7">
        <f>IF($D416='[2]Beam '!U$44,$P416*'[2]Beam '!U$45,0)</f>
        <v>15.296285714285714</v>
      </c>
      <c r="V416" s="7">
        <f>IF($D416='[2]Beam '!V$44,$P416*'[2]Beam '!V$45,0)</f>
        <v>0</v>
      </c>
      <c r="W416" s="7">
        <f>IF($D416='[2]Beam '!W$44,$P416*'[2]Beam '!W$45,0)</f>
        <v>0</v>
      </c>
      <c r="X416" s="7">
        <f t="shared" si="80"/>
        <v>15.296285714285714</v>
      </c>
      <c r="Y416" s="7"/>
    </row>
    <row r="417" spans="1:32" s="9" customFormat="1" ht="20.100000000000001" customHeight="1" x14ac:dyDescent="0.25">
      <c r="A417" s="6"/>
      <c r="B417" s="10" t="s">
        <v>2</v>
      </c>
      <c r="C417" s="13" t="s">
        <v>17</v>
      </c>
      <c r="D417" s="7">
        <v>12</v>
      </c>
      <c r="E417" s="7">
        <v>0.1</v>
      </c>
      <c r="F417" s="7">
        <f>ROUNDUP(E410/E417,0)</f>
        <v>29</v>
      </c>
      <c r="H417" s="7"/>
      <c r="I417" s="7"/>
      <c r="J417" s="7"/>
      <c r="K417" s="7"/>
      <c r="L417" s="7"/>
      <c r="M417" s="7"/>
      <c r="N417" s="7"/>
      <c r="O417" s="7">
        <f>(2*((G410-(2*'[2]Beam '!$D$11))+(F410-(2*'[2]Beam '!$D$11)))+(2*10*D417/1000))*D410</f>
        <v>2.8</v>
      </c>
      <c r="P417" s="7">
        <f t="shared" si="79"/>
        <v>81.199999999999989</v>
      </c>
      <c r="Q417" s="7">
        <f>IF($D417='[2]Beam '!Q$44,$P417*'[2]Beam '!Q$45,0)</f>
        <v>0</v>
      </c>
      <c r="R417" s="7">
        <f>IF($D417='[2]Beam '!R$44,$P417*'[2]Beam '!R$45,0)</f>
        <v>0</v>
      </c>
      <c r="S417" s="7">
        <f>IF($D417='[2]Beam '!S$44,$P417*'[2]Beam '!S$45,0)</f>
        <v>72.119520000000009</v>
      </c>
      <c r="T417" s="7">
        <f>IF($D417='[2]Beam '!T$44,$P417*'[2]Beam '!T$45,0)</f>
        <v>0</v>
      </c>
      <c r="U417" s="7">
        <f>IF($D417='[2]Beam '!U$44,$P417*'[2]Beam '!U$45,0)</f>
        <v>0</v>
      </c>
      <c r="V417" s="7">
        <f>IF($D417='[2]Beam '!V$44,$P417*'[2]Beam '!V$45,0)</f>
        <v>0</v>
      </c>
      <c r="W417" s="7">
        <f>IF($D417='[2]Beam '!W$44,$P417*'[2]Beam '!W$45,0)</f>
        <v>0</v>
      </c>
      <c r="X417" s="7">
        <f t="shared" si="80"/>
        <v>72.119520000000009</v>
      </c>
      <c r="Y417" s="7"/>
      <c r="Z417" s="7"/>
      <c r="AA417" s="7"/>
      <c r="AB417" s="7"/>
      <c r="AC417" s="7"/>
      <c r="AD417" s="7"/>
      <c r="AE417" s="7"/>
    </row>
    <row r="418" spans="1:32" s="9" customFormat="1" ht="21" customHeight="1" x14ac:dyDescent="0.25">
      <c r="A418" s="14"/>
      <c r="B418" s="10" t="s">
        <v>2</v>
      </c>
      <c r="C418" s="13" t="s">
        <v>18</v>
      </c>
      <c r="D418" s="14">
        <f>D417</f>
        <v>12</v>
      </c>
      <c r="E418" s="14">
        <f>+E417</f>
        <v>0.1</v>
      </c>
      <c r="F418" s="7">
        <f>ROUNDUP(E410/E418,0)</f>
        <v>29</v>
      </c>
      <c r="H418" s="14"/>
      <c r="I418" s="14"/>
      <c r="J418" s="14"/>
      <c r="K418" s="14"/>
      <c r="L418" s="14"/>
      <c r="M418" s="14"/>
      <c r="N418" s="14"/>
      <c r="O418" s="7">
        <f>(2*(((F410-'[2]Beam '!$D$11*2)/(F411-1))+(G410-'[2]Beam '!$D$11*2))+(2*10*D418/1000))*D410</f>
        <v>2.8</v>
      </c>
      <c r="P418" s="7">
        <f t="shared" si="79"/>
        <v>81.199999999999989</v>
      </c>
      <c r="Q418" s="7">
        <f>IF($D418='[2]Beam '!Q$44,$P418*'[2]Beam '!Q$45,0)</f>
        <v>0</v>
      </c>
      <c r="R418" s="7">
        <f>IF($D418='[2]Beam '!R$44,$P418*'[2]Beam '!R$45,0)</f>
        <v>0</v>
      </c>
      <c r="S418" s="7">
        <f>IF($D418='[2]Beam '!S$44,$P418*'[2]Beam '!S$45,0)</f>
        <v>72.119520000000009</v>
      </c>
      <c r="T418" s="7">
        <f>IF($D418='[2]Beam '!T$44,$P418*'[2]Beam '!T$45,0)</f>
        <v>0</v>
      </c>
      <c r="U418" s="7">
        <f>IF($D418='[2]Beam '!U$44,$P418*'[2]Beam '!U$45,0)</f>
        <v>0</v>
      </c>
      <c r="V418" s="7">
        <f>IF($D418='[2]Beam '!V$44,$P418*'[2]Beam '!V$45,0)</f>
        <v>0</v>
      </c>
      <c r="W418" s="7">
        <f>IF($D418='[2]Beam '!W$44,$P418*'[2]Beam '!W$45,0)</f>
        <v>0</v>
      </c>
      <c r="X418" s="7">
        <f t="shared" si="80"/>
        <v>72.119520000000009</v>
      </c>
      <c r="Y418" s="14"/>
      <c r="Z418" s="7"/>
      <c r="AA418" s="7"/>
      <c r="AB418" s="7"/>
      <c r="AC418" s="7"/>
      <c r="AD418" s="7"/>
      <c r="AE418" s="7"/>
      <c r="AF418" s="7"/>
    </row>
    <row r="419" spans="1:32" s="9" customFormat="1" ht="20.100000000000001" customHeight="1" x14ac:dyDescent="0.25">
      <c r="A419" s="6"/>
      <c r="B419" s="10" t="s">
        <v>2</v>
      </c>
      <c r="C419" s="13" t="s">
        <v>11</v>
      </c>
      <c r="D419" s="7">
        <f>+'[2]Beam '!$D$15</f>
        <v>25</v>
      </c>
      <c r="E419" s="7">
        <f>+'[2]Beam '!$E$15</f>
        <v>1</v>
      </c>
      <c r="F419" s="7">
        <f>ROUNDUP((1.5+0.75)/E419,0)</f>
        <v>3</v>
      </c>
      <c r="G419" s="8"/>
      <c r="H419" s="8"/>
      <c r="I419" s="7"/>
      <c r="J419" s="7"/>
      <c r="K419" s="7"/>
      <c r="L419" s="7"/>
      <c r="M419" s="7"/>
      <c r="N419" s="7"/>
      <c r="O419" s="7">
        <f>F410-'[2]Beam '!$F$15</f>
        <v>0.34</v>
      </c>
      <c r="P419" s="7">
        <f t="shared" si="79"/>
        <v>1.02</v>
      </c>
      <c r="Q419" s="7">
        <f>IF($D419='[2]Beam '!Q$44,$P419*'[2]Beam '!Q$45,0)</f>
        <v>0</v>
      </c>
      <c r="R419" s="7">
        <f>IF($D419='[2]Beam '!R$44,$P419*'[2]Beam '!R$45,0)</f>
        <v>0</v>
      </c>
      <c r="S419" s="7">
        <f>IF($D419='[2]Beam '!S$44,$P419*'[2]Beam '!S$45,0)</f>
        <v>0</v>
      </c>
      <c r="T419" s="7">
        <f>IF($D419='[2]Beam '!T$44,$P419*'[2]Beam '!T$45,0)</f>
        <v>0</v>
      </c>
      <c r="U419" s="7">
        <f>IF($D419='[2]Beam '!U$44,$P419*'[2]Beam '!U$45,0)</f>
        <v>0</v>
      </c>
      <c r="V419" s="7">
        <f>IF($D419='[2]Beam '!V$44,$P419*'[2]Beam '!V$45,0)</f>
        <v>3.9320089285714293</v>
      </c>
      <c r="W419" s="7">
        <f>IF($D419='[2]Beam '!W$44,$P419*'[2]Beam '!W$45,0)</f>
        <v>0</v>
      </c>
      <c r="X419" s="7">
        <f t="shared" si="80"/>
        <v>3.9320089285714293</v>
      </c>
      <c r="Y419" s="7"/>
      <c r="Z419" s="7"/>
      <c r="AA419" s="7"/>
      <c r="AB419" s="7"/>
      <c r="AC419" s="7"/>
      <c r="AD419" s="7"/>
      <c r="AE419" s="7"/>
    </row>
    <row r="420" spans="1:32" s="9" customFormat="1" ht="20.100000000000001" customHeight="1" x14ac:dyDescent="0.25">
      <c r="A420" s="7">
        <v>1</v>
      </c>
      <c r="B420" s="10" t="s">
        <v>2</v>
      </c>
      <c r="C420" s="11" t="s">
        <v>66</v>
      </c>
      <c r="D420" s="11">
        <v>1</v>
      </c>
      <c r="E420" s="11">
        <v>2.1989999999999998</v>
      </c>
      <c r="F420" s="11">
        <v>0.4</v>
      </c>
      <c r="G420" s="11">
        <v>1.1000000000000001</v>
      </c>
      <c r="H420" s="7">
        <f>G420-0.2</f>
        <v>0.90000000000000013</v>
      </c>
      <c r="I420" s="7">
        <f>E420*F420*G420*D420</f>
        <v>0.96755999999999998</v>
      </c>
      <c r="J420" s="7">
        <f>(2*(E420)*H420*D420)+(E420*F420)</f>
        <v>4.8377999999999997</v>
      </c>
      <c r="K420" s="12">
        <f>IF(E420=0.3,J420,0)</f>
        <v>0</v>
      </c>
      <c r="L420" s="12">
        <f>IF(AND(E420&gt;0.3,E420&lt;=0.75),J420,0)</f>
        <v>0</v>
      </c>
      <c r="M420" s="12">
        <f>IF(AND(E420&gt;0.75,E420&lt;=1.2),J420,0)</f>
        <v>0</v>
      </c>
      <c r="N420" s="12">
        <f>IF(E420&gt;1.2,J420,0)</f>
        <v>4.8377999999999997</v>
      </c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>
        <f>SUM(X421:X425)/I420</f>
        <v>190.59483477338185</v>
      </c>
      <c r="Z420" s="7"/>
      <c r="AA420" s="7"/>
      <c r="AB420" s="7"/>
      <c r="AC420" s="7"/>
      <c r="AD420" s="7"/>
      <c r="AE420" s="7"/>
    </row>
    <row r="421" spans="1:32" s="9" customFormat="1" ht="20.100000000000001" customHeight="1" x14ac:dyDescent="0.25">
      <c r="A421" s="6"/>
      <c r="B421" s="10" t="s">
        <v>2</v>
      </c>
      <c r="C421" s="13" t="s">
        <v>4</v>
      </c>
      <c r="D421" s="7">
        <v>25</v>
      </c>
      <c r="E421" s="7"/>
      <c r="F421" s="7">
        <v>4</v>
      </c>
      <c r="G421" s="8">
        <f>VLOOKUP(D421,'[2]Beam '!$C$20:$H$26,3,0)</f>
        <v>1</v>
      </c>
      <c r="H421" s="8"/>
      <c r="I421" s="7"/>
      <c r="J421" s="7"/>
      <c r="K421" s="7"/>
      <c r="L421" s="7"/>
      <c r="M421" s="7"/>
      <c r="N421" s="7"/>
      <c r="O421" s="7">
        <f>(E420+1*(G421))+1*(0.5/2)*D420</f>
        <v>3.4489999999999998</v>
      </c>
      <c r="P421" s="7">
        <f t="shared" ref="P421:P426" si="81">O421*F421</f>
        <v>13.795999999999999</v>
      </c>
      <c r="Q421" s="7">
        <f>IF($D421='[2]Beam '!Q$44,$P421*'[2]Beam '!Q$45,0)</f>
        <v>0</v>
      </c>
      <c r="R421" s="7">
        <f>IF($D421='[2]Beam '!R$44,$P421*'[2]Beam '!R$45,0)</f>
        <v>0</v>
      </c>
      <c r="S421" s="7">
        <f>IF($D421='[2]Beam '!S$44,$P421*'[2]Beam '!S$45,0)</f>
        <v>0</v>
      </c>
      <c r="T421" s="7">
        <f>IF($D421='[2]Beam '!T$44,$P421*'[2]Beam '!T$45,0)</f>
        <v>0</v>
      </c>
      <c r="U421" s="7">
        <f>IF($D421='[2]Beam '!U$44,$P421*'[2]Beam '!U$45,0)</f>
        <v>0</v>
      </c>
      <c r="V421" s="7">
        <f>IF($D421='[2]Beam '!V$44,$P421*'[2]Beam '!V$45,0)</f>
        <v>53.182348214285717</v>
      </c>
      <c r="W421" s="7">
        <f>IF($D421='[2]Beam '!W$44,$P421*'[2]Beam '!W$45,0)</f>
        <v>0</v>
      </c>
      <c r="X421" s="7">
        <f t="shared" ref="X421:X426" si="82">SUM(Q421:W421)</f>
        <v>53.182348214285717</v>
      </c>
      <c r="Y421" s="7"/>
      <c r="Z421" s="7"/>
      <c r="AA421" s="7"/>
      <c r="AB421" s="7"/>
      <c r="AC421" s="7"/>
      <c r="AD421" s="7"/>
      <c r="AE421" s="7"/>
    </row>
    <row r="422" spans="1:32" s="9" customFormat="1" ht="20.100000000000001" customHeight="1" x14ac:dyDescent="0.25">
      <c r="A422" s="6"/>
      <c r="B422" s="10" t="s">
        <v>2</v>
      </c>
      <c r="C422" s="13" t="s">
        <v>5</v>
      </c>
      <c r="D422" s="7">
        <v>16</v>
      </c>
      <c r="E422" s="7"/>
      <c r="F422" s="7">
        <v>2</v>
      </c>
      <c r="G422" s="8">
        <f>VLOOKUP(D422,'[2]Beam '!$C$20:$H$26,3,0)</f>
        <v>0.625</v>
      </c>
      <c r="H422" s="8"/>
      <c r="I422" s="7"/>
      <c r="J422" s="7"/>
      <c r="K422" s="7"/>
      <c r="L422" s="7"/>
      <c r="M422" s="7"/>
      <c r="N422" s="7"/>
      <c r="O422" s="7">
        <f>(0.6+1*(G422)*D420)</f>
        <v>1.2250000000000001</v>
      </c>
      <c r="P422" s="7">
        <f t="shared" si="81"/>
        <v>2.4500000000000002</v>
      </c>
      <c r="Q422" s="7">
        <f>IF($D422='[2]Beam '!Q$44,$P422*'[2]Beam '!Q$45,0)</f>
        <v>0</v>
      </c>
      <c r="R422" s="7">
        <f>IF($D422='[2]Beam '!R$44,$P422*'[2]Beam '!R$45,0)</f>
        <v>0</v>
      </c>
      <c r="S422" s="7">
        <f>IF($D422='[2]Beam '!S$44,$P422*'[2]Beam '!S$45,0)</f>
        <v>0</v>
      </c>
      <c r="T422" s="7">
        <f>IF($D422='[2]Beam '!T$44,$P422*'[2]Beam '!T$45,0)</f>
        <v>3.8684800000000004</v>
      </c>
      <c r="U422" s="7">
        <f>IF($D422='[2]Beam '!U$44,$P422*'[2]Beam '!U$45,0)</f>
        <v>0</v>
      </c>
      <c r="V422" s="7">
        <f>IF($D422='[2]Beam '!V$44,$P422*'[2]Beam '!V$45,0)</f>
        <v>0</v>
      </c>
      <c r="W422" s="7">
        <f>IF($D422='[2]Beam '!W$44,$P422*'[2]Beam '!W$45,0)</f>
        <v>0</v>
      </c>
      <c r="X422" s="7">
        <f t="shared" si="82"/>
        <v>3.8684800000000004</v>
      </c>
      <c r="Y422" s="7"/>
      <c r="Z422" s="7"/>
      <c r="AA422" s="7"/>
      <c r="AB422" s="7"/>
      <c r="AC422" s="7"/>
      <c r="AD422" s="7"/>
      <c r="AE422" s="7"/>
    </row>
    <row r="423" spans="1:32" s="14" customFormat="1" ht="20.100000000000001" customHeight="1" x14ac:dyDescent="0.3">
      <c r="A423" s="6"/>
      <c r="B423" s="10" t="s">
        <v>2</v>
      </c>
      <c r="C423" s="13" t="s">
        <v>6</v>
      </c>
      <c r="D423" s="7">
        <v>25</v>
      </c>
      <c r="E423" s="7"/>
      <c r="F423" s="7">
        <v>4</v>
      </c>
      <c r="G423" s="8">
        <f>VLOOKUP(D423,'[2]Beam '!$C$20:$H$26,3,0)</f>
        <v>1</v>
      </c>
      <c r="H423" s="7"/>
      <c r="I423" s="7"/>
      <c r="J423" s="7"/>
      <c r="K423" s="7"/>
      <c r="L423" s="7"/>
      <c r="M423" s="7"/>
      <c r="N423" s="7"/>
      <c r="O423" s="7">
        <f>(E420+1*(G423))+1*(0.5/2)*D420</f>
        <v>3.4489999999999998</v>
      </c>
      <c r="P423" s="7">
        <f t="shared" si="81"/>
        <v>13.795999999999999</v>
      </c>
      <c r="Q423" s="7">
        <f>IF($D423='[2]Beam '!Q$44,$P423*'[2]Beam '!Q$45,0)</f>
        <v>0</v>
      </c>
      <c r="R423" s="7">
        <f>IF($D423='[2]Beam '!R$44,$P423*'[2]Beam '!R$45,0)</f>
        <v>0</v>
      </c>
      <c r="S423" s="7">
        <f>IF($D423='[2]Beam '!S$44,$P423*'[2]Beam '!S$45,0)</f>
        <v>0</v>
      </c>
      <c r="T423" s="7">
        <f>IF($D423='[2]Beam '!T$44,$P423*'[2]Beam '!T$45,0)</f>
        <v>0</v>
      </c>
      <c r="U423" s="7">
        <f>IF($D423='[2]Beam '!U$44,$P423*'[2]Beam '!U$45,0)</f>
        <v>0</v>
      </c>
      <c r="V423" s="7">
        <f>IF($D423='[2]Beam '!V$44,$P423*'[2]Beam '!V$45,0)</f>
        <v>53.182348214285717</v>
      </c>
      <c r="W423" s="7">
        <f>IF($D423='[2]Beam '!W$44,$P423*'[2]Beam '!W$45,0)</f>
        <v>0</v>
      </c>
      <c r="X423" s="7">
        <f t="shared" si="82"/>
        <v>53.182348214285717</v>
      </c>
      <c r="Y423" s="7"/>
    </row>
    <row r="424" spans="1:32" s="9" customFormat="1" ht="20.100000000000001" customHeight="1" x14ac:dyDescent="0.25">
      <c r="A424" s="6"/>
      <c r="B424" s="10" t="s">
        <v>2</v>
      </c>
      <c r="C424" s="13" t="s">
        <v>17</v>
      </c>
      <c r="D424" s="7">
        <v>10</v>
      </c>
      <c r="E424" s="7">
        <v>0.1</v>
      </c>
      <c r="F424" s="7">
        <f>ROUNDUP(E420/E424,0)</f>
        <v>22</v>
      </c>
      <c r="H424" s="7"/>
      <c r="I424" s="7"/>
      <c r="J424" s="7"/>
      <c r="K424" s="7"/>
      <c r="L424" s="7"/>
      <c r="M424" s="7"/>
      <c r="N424" s="7"/>
      <c r="O424" s="7">
        <f>(2*((G420-(2*'[2]Beam '!$D$11))+(F420-(2*'[2]Beam '!$D$11)))+(2*10*D424/1000))*D420</f>
        <v>2.9600000000000004</v>
      </c>
      <c r="P424" s="7">
        <f t="shared" si="81"/>
        <v>65.12</v>
      </c>
      <c r="Q424" s="7">
        <f>IF($D424='[2]Beam '!Q$44,$P424*'[2]Beam '!Q$45,0)</f>
        <v>0</v>
      </c>
      <c r="R424" s="7">
        <f>IF($D424='[2]Beam '!R$44,$P424*'[2]Beam '!R$45,0)</f>
        <v>40.165085714285716</v>
      </c>
      <c r="S424" s="7">
        <f>IF($D424='[2]Beam '!S$44,$P424*'[2]Beam '!S$45,0)</f>
        <v>0</v>
      </c>
      <c r="T424" s="7">
        <f>IF($D424='[2]Beam '!T$44,$P424*'[2]Beam '!T$45,0)</f>
        <v>0</v>
      </c>
      <c r="U424" s="7">
        <f>IF($D424='[2]Beam '!U$44,$P424*'[2]Beam '!U$45,0)</f>
        <v>0</v>
      </c>
      <c r="V424" s="7">
        <f>IF($D424='[2]Beam '!V$44,$P424*'[2]Beam '!V$45,0)</f>
        <v>0</v>
      </c>
      <c r="W424" s="7">
        <f>IF($D424='[2]Beam '!W$44,$P424*'[2]Beam '!W$45,0)</f>
        <v>0</v>
      </c>
      <c r="X424" s="7">
        <f t="shared" si="82"/>
        <v>40.165085714285716</v>
      </c>
      <c r="Y424" s="7"/>
      <c r="Z424" s="7"/>
      <c r="AA424" s="7"/>
      <c r="AB424" s="7"/>
      <c r="AC424" s="7"/>
      <c r="AD424" s="7"/>
      <c r="AE424" s="7"/>
    </row>
    <row r="425" spans="1:32" s="9" customFormat="1" ht="21" customHeight="1" x14ac:dyDescent="0.25">
      <c r="A425" s="14"/>
      <c r="B425" s="10" t="s">
        <v>2</v>
      </c>
      <c r="C425" s="13" t="s">
        <v>18</v>
      </c>
      <c r="D425" s="14">
        <f>D424</f>
        <v>10</v>
      </c>
      <c r="E425" s="14">
        <f>+E424</f>
        <v>0.1</v>
      </c>
      <c r="F425" s="7">
        <f>ROUNDUP(E420/E425,0)</f>
        <v>22</v>
      </c>
      <c r="H425" s="14"/>
      <c r="I425" s="14"/>
      <c r="J425" s="14"/>
      <c r="K425" s="14"/>
      <c r="L425" s="14"/>
      <c r="M425" s="14"/>
      <c r="N425" s="14"/>
      <c r="O425" s="7">
        <f>(2*(((F420-'[2]Beam '!$D$11*2)/(F421-1))+(G420-'[2]Beam '!$D$11*2))+(2*10*D425/1000))*D420</f>
        <v>2.5066666666666668</v>
      </c>
      <c r="P425" s="7">
        <f t="shared" si="81"/>
        <v>55.146666666666668</v>
      </c>
      <c r="Q425" s="7">
        <f>IF($D425='[2]Beam '!Q$44,$P425*'[2]Beam '!Q$45,0)</f>
        <v>0</v>
      </c>
      <c r="R425" s="7">
        <f>IF($D425='[2]Beam '!R$44,$P425*'[2]Beam '!R$45,0)</f>
        <v>34.01367619047619</v>
      </c>
      <c r="S425" s="7">
        <f>IF($D425='[2]Beam '!S$44,$P425*'[2]Beam '!S$45,0)</f>
        <v>0</v>
      </c>
      <c r="T425" s="7">
        <f>IF($D425='[2]Beam '!T$44,$P425*'[2]Beam '!T$45,0)</f>
        <v>0</v>
      </c>
      <c r="U425" s="7">
        <f>IF($D425='[2]Beam '!U$44,$P425*'[2]Beam '!U$45,0)</f>
        <v>0</v>
      </c>
      <c r="V425" s="7">
        <f>IF($D425='[2]Beam '!V$44,$P425*'[2]Beam '!V$45,0)</f>
        <v>0</v>
      </c>
      <c r="W425" s="7">
        <f>IF($D425='[2]Beam '!W$44,$P425*'[2]Beam '!W$45,0)</f>
        <v>0</v>
      </c>
      <c r="X425" s="7">
        <f t="shared" si="82"/>
        <v>34.01367619047619</v>
      </c>
      <c r="Y425" s="14"/>
      <c r="Z425" s="7"/>
      <c r="AA425" s="7"/>
      <c r="AB425" s="7"/>
      <c r="AC425" s="7"/>
      <c r="AD425" s="7"/>
      <c r="AE425" s="7"/>
      <c r="AF425" s="7"/>
    </row>
    <row r="426" spans="1:32" s="9" customFormat="1" ht="20.100000000000001" customHeight="1" x14ac:dyDescent="0.25">
      <c r="A426" s="6"/>
      <c r="B426" s="10" t="s">
        <v>2</v>
      </c>
      <c r="C426" s="13" t="s">
        <v>11</v>
      </c>
      <c r="D426" s="7">
        <f>+'[2]Beam '!$D$15</f>
        <v>25</v>
      </c>
      <c r="E426" s="7">
        <f>+'[2]Beam '!$E$15</f>
        <v>1</v>
      </c>
      <c r="F426" s="7">
        <f>ROUNDUP((0.6)/E426,0)</f>
        <v>1</v>
      </c>
      <c r="G426" s="8"/>
      <c r="H426" s="8"/>
      <c r="I426" s="7"/>
      <c r="J426" s="7"/>
      <c r="K426" s="7"/>
      <c r="L426" s="7"/>
      <c r="M426" s="7"/>
      <c r="N426" s="7"/>
      <c r="O426" s="7">
        <f>F420-'[2]Beam '!$F$15</f>
        <v>0.34</v>
      </c>
      <c r="P426" s="7">
        <f t="shared" si="81"/>
        <v>0.34</v>
      </c>
      <c r="Q426" s="7">
        <f>IF($D426='[2]Beam '!Q$44,$P426*'[2]Beam '!Q$45,0)</f>
        <v>0</v>
      </c>
      <c r="R426" s="7">
        <f>IF($D426='[2]Beam '!R$44,$P426*'[2]Beam '!R$45,0)</f>
        <v>0</v>
      </c>
      <c r="S426" s="7">
        <f>IF($D426='[2]Beam '!S$44,$P426*'[2]Beam '!S$45,0)</f>
        <v>0</v>
      </c>
      <c r="T426" s="7">
        <f>IF($D426='[2]Beam '!T$44,$P426*'[2]Beam '!T$45,0)</f>
        <v>0</v>
      </c>
      <c r="U426" s="7">
        <f>IF($D426='[2]Beam '!U$44,$P426*'[2]Beam '!U$45,0)</f>
        <v>0</v>
      </c>
      <c r="V426" s="7">
        <f>IF($D426='[2]Beam '!V$44,$P426*'[2]Beam '!V$45,0)</f>
        <v>1.3106696428571432</v>
      </c>
      <c r="W426" s="7">
        <f>IF($D426='[2]Beam '!W$44,$P426*'[2]Beam '!W$45,0)</f>
        <v>0</v>
      </c>
      <c r="X426" s="7">
        <f t="shared" si="82"/>
        <v>1.3106696428571432</v>
      </c>
      <c r="Y426" s="7"/>
      <c r="Z426" s="7"/>
      <c r="AA426" s="7"/>
      <c r="AB426" s="7"/>
      <c r="AC426" s="7"/>
      <c r="AD426" s="7"/>
      <c r="AE426" s="7"/>
    </row>
    <row r="427" spans="1:32" s="9" customFormat="1" ht="20.100000000000001" customHeight="1" x14ac:dyDescent="0.25">
      <c r="A427" s="7">
        <v>1</v>
      </c>
      <c r="B427" s="10" t="s">
        <v>2</v>
      </c>
      <c r="C427" s="11" t="s">
        <v>67</v>
      </c>
      <c r="D427" s="11">
        <v>1</v>
      </c>
      <c r="E427" s="11">
        <v>6.2</v>
      </c>
      <c r="F427" s="11">
        <v>0.2</v>
      </c>
      <c r="G427" s="11">
        <v>1.1000000000000001</v>
      </c>
      <c r="H427" s="7">
        <f>G427-0.2</f>
        <v>0.90000000000000013</v>
      </c>
      <c r="I427" s="7">
        <f>E427*F427*G427*D427</f>
        <v>1.3640000000000003</v>
      </c>
      <c r="J427" s="7">
        <f>(2*(E427)*H427*D427)+(E427*F427)</f>
        <v>12.400000000000002</v>
      </c>
      <c r="K427" s="12">
        <f>IF(E427=0.3,J427,0)</f>
        <v>0</v>
      </c>
      <c r="L427" s="12">
        <f>IF(AND(E427&gt;0.3,E427&lt;=0.75),J427,0)</f>
        <v>0</v>
      </c>
      <c r="M427" s="12">
        <f>IF(AND(E427&gt;0.75,E427&lt;=1.2),J427,0)</f>
        <v>0</v>
      </c>
      <c r="N427" s="12">
        <f>IF(E427&gt;1.2,J427,0)</f>
        <v>12.400000000000002</v>
      </c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>
        <f>SUM(X428:X432)/I427</f>
        <v>130.18374884792627</v>
      </c>
      <c r="Z427" s="7"/>
      <c r="AA427" s="7"/>
      <c r="AB427" s="7"/>
      <c r="AC427" s="7"/>
      <c r="AD427" s="7"/>
      <c r="AE427" s="7"/>
    </row>
    <row r="428" spans="1:32" s="9" customFormat="1" ht="19.5" customHeight="1" x14ac:dyDescent="0.25">
      <c r="A428" s="6"/>
      <c r="B428" s="10" t="s">
        <v>2</v>
      </c>
      <c r="C428" s="13" t="s">
        <v>4</v>
      </c>
      <c r="D428" s="7">
        <v>25</v>
      </c>
      <c r="E428" s="7"/>
      <c r="F428" s="7">
        <v>2</v>
      </c>
      <c r="G428" s="8">
        <f>VLOOKUP(D428,'[2]Beam '!$C$20:$H$26,3,0)</f>
        <v>1</v>
      </c>
      <c r="H428" s="8"/>
      <c r="I428" s="7"/>
      <c r="J428" s="7"/>
      <c r="K428" s="7"/>
      <c r="L428" s="7"/>
      <c r="M428" s="7"/>
      <c r="N428" s="7"/>
      <c r="O428" s="7">
        <f>(E427+2*(0.5/2)*D427)</f>
        <v>6.7</v>
      </c>
      <c r="P428" s="7">
        <f t="shared" ref="P428:P433" si="83">O428*F428</f>
        <v>13.4</v>
      </c>
      <c r="Q428" s="7">
        <f>IF($D428='[2]Beam '!Q$44,$P428*'[2]Beam '!Q$45,0)</f>
        <v>0</v>
      </c>
      <c r="R428" s="7">
        <f>IF($D428='[2]Beam '!R$44,$P428*'[2]Beam '!R$45,0)</f>
        <v>0</v>
      </c>
      <c r="S428" s="7">
        <f>IF($D428='[2]Beam '!S$44,$P428*'[2]Beam '!S$45,0)</f>
        <v>0</v>
      </c>
      <c r="T428" s="7">
        <f>IF($D428='[2]Beam '!T$44,$P428*'[2]Beam '!T$45,0)</f>
        <v>0</v>
      </c>
      <c r="U428" s="7">
        <f>IF($D428='[2]Beam '!U$44,$P428*'[2]Beam '!U$45,0)</f>
        <v>0</v>
      </c>
      <c r="V428" s="7">
        <f>IF($D428='[2]Beam '!V$44,$P428*'[2]Beam '!V$45,0)</f>
        <v>51.655803571428578</v>
      </c>
      <c r="W428" s="7">
        <f>IF($D428='[2]Beam '!W$44,$P428*'[2]Beam '!W$45,0)</f>
        <v>0</v>
      </c>
      <c r="X428" s="7">
        <f t="shared" ref="X428:X433" si="84">SUM(Q428:W428)</f>
        <v>51.655803571428578</v>
      </c>
      <c r="Y428" s="7"/>
      <c r="Z428" s="7"/>
      <c r="AA428" s="7"/>
      <c r="AB428" s="7"/>
      <c r="AC428" s="7"/>
      <c r="AD428" s="7"/>
      <c r="AE428" s="7"/>
    </row>
    <row r="429" spans="1:32" s="9" customFormat="1" ht="20.100000000000001" customHeight="1" x14ac:dyDescent="0.25">
      <c r="A429" s="6"/>
      <c r="B429" s="10" t="s">
        <v>2</v>
      </c>
      <c r="C429" s="13" t="s">
        <v>6</v>
      </c>
      <c r="D429" s="7">
        <v>25</v>
      </c>
      <c r="E429" s="7"/>
      <c r="F429" s="7">
        <v>2</v>
      </c>
      <c r="G429" s="8">
        <f>VLOOKUP(D429,'[2]Beam '!$C$20:$H$26,3,0)</f>
        <v>1</v>
      </c>
      <c r="H429" s="7"/>
      <c r="I429" s="7"/>
      <c r="J429" s="7"/>
      <c r="K429" s="7"/>
      <c r="L429" s="7"/>
      <c r="M429" s="7"/>
      <c r="N429" s="7"/>
      <c r="O429" s="7">
        <f>(E427+2*(0.5/2)*D427)</f>
        <v>6.7</v>
      </c>
      <c r="P429" s="7">
        <f t="shared" si="83"/>
        <v>13.4</v>
      </c>
      <c r="Q429" s="7">
        <f>IF($D429='[2]Beam '!Q$44,$P429*'[2]Beam '!Q$45,0)</f>
        <v>0</v>
      </c>
      <c r="R429" s="7">
        <f>IF($D429='[2]Beam '!R$44,$P429*'[2]Beam '!R$45,0)</f>
        <v>0</v>
      </c>
      <c r="S429" s="7">
        <f>IF($D429='[2]Beam '!S$44,$P429*'[2]Beam '!S$45,0)</f>
        <v>0</v>
      </c>
      <c r="T429" s="7">
        <f>IF($D429='[2]Beam '!T$44,$P429*'[2]Beam '!T$45,0)</f>
        <v>0</v>
      </c>
      <c r="U429" s="7">
        <f>IF($D429='[2]Beam '!U$44,$P429*'[2]Beam '!U$45,0)</f>
        <v>0</v>
      </c>
      <c r="V429" s="7">
        <f>IF($D429='[2]Beam '!V$44,$P429*'[2]Beam '!V$45,0)</f>
        <v>51.655803571428578</v>
      </c>
      <c r="W429" s="7">
        <f>IF($D429='[2]Beam '!W$44,$P429*'[2]Beam '!W$45,0)</f>
        <v>0</v>
      </c>
      <c r="X429" s="7">
        <f t="shared" si="84"/>
        <v>51.655803571428578</v>
      </c>
      <c r="Y429" s="7"/>
      <c r="Z429" s="7"/>
      <c r="AA429" s="7"/>
      <c r="AB429" s="7"/>
      <c r="AC429" s="7"/>
      <c r="AD429" s="7"/>
      <c r="AE429" s="7"/>
    </row>
    <row r="430" spans="1:32" s="14" customFormat="1" ht="20.100000000000001" customHeight="1" x14ac:dyDescent="0.3">
      <c r="A430" s="6"/>
      <c r="B430" s="10" t="s">
        <v>2</v>
      </c>
      <c r="C430" s="13" t="s">
        <v>13</v>
      </c>
      <c r="D430" s="7">
        <v>16</v>
      </c>
      <c r="E430" s="7"/>
      <c r="F430" s="7">
        <v>2</v>
      </c>
      <c r="G430" s="8">
        <f>VLOOKUP(D430,'[2]Beam '!$C$20:$H$26,3,0)</f>
        <v>0.625</v>
      </c>
      <c r="H430" s="7"/>
      <c r="I430" s="7"/>
      <c r="J430" s="7"/>
      <c r="K430" s="7"/>
      <c r="L430" s="7"/>
      <c r="M430" s="7"/>
      <c r="N430" s="7"/>
      <c r="O430" s="7">
        <f>E427-0.95-0.95</f>
        <v>4.3</v>
      </c>
      <c r="P430" s="7">
        <f t="shared" si="83"/>
        <v>8.6</v>
      </c>
      <c r="Q430" s="7">
        <f>IF($D430='[2]Beam '!Q$44,$P430*'[2]Beam '!Q$45,0)</f>
        <v>0</v>
      </c>
      <c r="R430" s="7">
        <f>IF($D430='[2]Beam '!R$44,$P430*'[2]Beam '!R$45,0)</f>
        <v>0</v>
      </c>
      <c r="S430" s="7">
        <f>IF($D430='[2]Beam '!S$44,$P430*'[2]Beam '!S$45,0)</f>
        <v>0</v>
      </c>
      <c r="T430" s="7">
        <f>IF($D430='[2]Beam '!T$44,$P430*'[2]Beam '!T$45,0)</f>
        <v>13.579154285714287</v>
      </c>
      <c r="U430" s="7">
        <f>IF($D430='[2]Beam '!U$44,$P430*'[2]Beam '!U$45,0)</f>
        <v>0</v>
      </c>
      <c r="V430" s="7">
        <f>IF($D430='[2]Beam '!V$44,$P430*'[2]Beam '!V$45,0)</f>
        <v>0</v>
      </c>
      <c r="W430" s="7">
        <f>IF($D430='[2]Beam '!W$44,$P430*'[2]Beam '!W$45,0)</f>
        <v>0</v>
      </c>
      <c r="X430" s="7">
        <f t="shared" si="84"/>
        <v>13.579154285714287</v>
      </c>
      <c r="Y430" s="7"/>
    </row>
    <row r="431" spans="1:32" s="9" customFormat="1" ht="20.100000000000001" customHeight="1" x14ac:dyDescent="0.25">
      <c r="A431" s="6"/>
      <c r="B431" s="10" t="s">
        <v>2</v>
      </c>
      <c r="C431" s="13" t="s">
        <v>7</v>
      </c>
      <c r="D431" s="7">
        <v>8</v>
      </c>
      <c r="E431" s="7">
        <v>0.1</v>
      </c>
      <c r="F431" s="7">
        <f>ROUNDUP((E427/3*2)/E431,0)+1</f>
        <v>43</v>
      </c>
      <c r="H431" s="7"/>
      <c r="I431" s="7"/>
      <c r="J431" s="7"/>
      <c r="K431" s="7"/>
      <c r="L431" s="7"/>
      <c r="M431" s="7"/>
      <c r="N431" s="7"/>
      <c r="O431" s="7">
        <f>(2*((G427-(2*'[2]Beam '!$D$11))+(F427-(2*'[2]Beam '!$D$11)))+(2*10*D431/1000))*D427</f>
        <v>2.5200000000000005</v>
      </c>
      <c r="P431" s="7">
        <f t="shared" si="83"/>
        <v>108.36000000000001</v>
      </c>
      <c r="Q431" s="7">
        <f>IF($D431='[2]Beam '!Q$44,$P431*'[2]Beam '!Q$45,0)</f>
        <v>42.774336000000005</v>
      </c>
      <c r="R431" s="7">
        <f>IF($D431='[2]Beam '!R$44,$P431*'[2]Beam '!R$45,0)</f>
        <v>0</v>
      </c>
      <c r="S431" s="7">
        <f>IF($D431='[2]Beam '!S$44,$P431*'[2]Beam '!S$45,0)</f>
        <v>0</v>
      </c>
      <c r="T431" s="7">
        <f>IF($D431='[2]Beam '!T$44,$P431*'[2]Beam '!T$45,0)</f>
        <v>0</v>
      </c>
      <c r="U431" s="7">
        <f>IF($D431='[2]Beam '!U$44,$P431*'[2]Beam '!U$45,0)</f>
        <v>0</v>
      </c>
      <c r="V431" s="7">
        <f>IF($D431='[2]Beam '!V$44,$P431*'[2]Beam '!V$45,0)</f>
        <v>0</v>
      </c>
      <c r="W431" s="7">
        <f>IF($D431='[2]Beam '!W$44,$P431*'[2]Beam '!W$45,0)</f>
        <v>0</v>
      </c>
      <c r="X431" s="7">
        <f t="shared" si="84"/>
        <v>42.774336000000005</v>
      </c>
      <c r="Y431" s="7"/>
      <c r="Z431" s="7"/>
      <c r="AA431" s="7"/>
      <c r="AB431" s="7"/>
      <c r="AC431" s="7"/>
      <c r="AD431" s="7"/>
      <c r="AE431" s="7"/>
    </row>
    <row r="432" spans="1:32" s="9" customFormat="1" ht="21" customHeight="1" x14ac:dyDescent="0.25">
      <c r="A432" s="14"/>
      <c r="B432" s="10" t="s">
        <v>2</v>
      </c>
      <c r="C432" s="13" t="s">
        <v>8</v>
      </c>
      <c r="D432" s="14">
        <f>D431</f>
        <v>8</v>
      </c>
      <c r="E432" s="14">
        <v>0.125</v>
      </c>
      <c r="F432" s="7">
        <f>ROUNDUP((E427/3)/E432,0)+1</f>
        <v>18</v>
      </c>
      <c r="H432" s="14"/>
      <c r="I432" s="14"/>
      <c r="J432" s="14"/>
      <c r="K432" s="14"/>
      <c r="L432" s="14"/>
      <c r="M432" s="14"/>
      <c r="N432" s="14"/>
      <c r="O432" s="7">
        <f>(2*((G427-(2*'[2]Beam '!$D$11))+(F427-(2*'[2]Beam '!$D$11)))+(2*10*D432/1000))*D427</f>
        <v>2.5200000000000005</v>
      </c>
      <c r="P432" s="7">
        <f t="shared" si="83"/>
        <v>45.360000000000007</v>
      </c>
      <c r="Q432" s="7">
        <f>IF($D432='[2]Beam '!Q$44,$P432*'[2]Beam '!Q$45,0)</f>
        <v>17.905536000000005</v>
      </c>
      <c r="R432" s="7">
        <f>IF($D432='[2]Beam '!R$44,$P432*'[2]Beam '!R$45,0)</f>
        <v>0</v>
      </c>
      <c r="S432" s="7">
        <f>IF($D432='[2]Beam '!S$44,$P432*'[2]Beam '!S$45,0)</f>
        <v>0</v>
      </c>
      <c r="T432" s="7">
        <f>IF($D432='[2]Beam '!T$44,$P432*'[2]Beam '!T$45,0)</f>
        <v>0</v>
      </c>
      <c r="U432" s="7">
        <f>IF($D432='[2]Beam '!U$44,$P432*'[2]Beam '!U$45,0)</f>
        <v>0</v>
      </c>
      <c r="V432" s="7">
        <f>IF($D432='[2]Beam '!V$44,$P432*'[2]Beam '!V$45,0)</f>
        <v>0</v>
      </c>
      <c r="W432" s="7">
        <f>IF($D432='[2]Beam '!W$44,$P432*'[2]Beam '!W$45,0)</f>
        <v>0</v>
      </c>
      <c r="X432" s="7">
        <f t="shared" si="84"/>
        <v>17.905536000000005</v>
      </c>
      <c r="Y432" s="14"/>
      <c r="Z432" s="7"/>
      <c r="AA432" s="7"/>
      <c r="AB432" s="7"/>
      <c r="AC432" s="7"/>
      <c r="AD432" s="7"/>
      <c r="AE432" s="7"/>
      <c r="AF432" s="7"/>
    </row>
    <row r="433" spans="1:32" s="9" customFormat="1" ht="20.100000000000001" customHeight="1" x14ac:dyDescent="0.25">
      <c r="A433" s="6"/>
      <c r="B433" s="10" t="s">
        <v>2</v>
      </c>
      <c r="C433" s="13" t="s">
        <v>11</v>
      </c>
      <c r="D433" s="7">
        <f>+'[2]Beam '!$D$15</f>
        <v>25</v>
      </c>
      <c r="E433" s="7">
        <f>+'[2]Beam '!$E$15</f>
        <v>1</v>
      </c>
      <c r="F433" s="7">
        <f>ROUNDUP((1.5+0.75)/E433,0)</f>
        <v>3</v>
      </c>
      <c r="G433" s="8"/>
      <c r="H433" s="8"/>
      <c r="I433" s="7"/>
      <c r="J433" s="7"/>
      <c r="K433" s="7"/>
      <c r="L433" s="7"/>
      <c r="M433" s="7"/>
      <c r="N433" s="7"/>
      <c r="O433" s="7">
        <f>F427-'[2]Beam '!$F$15</f>
        <v>0.14000000000000001</v>
      </c>
      <c r="P433" s="7">
        <f t="shared" si="83"/>
        <v>0.42000000000000004</v>
      </c>
      <c r="Q433" s="7">
        <f>IF($D433='[2]Beam '!Q$44,$P433*'[2]Beam '!Q$45,0)</f>
        <v>0</v>
      </c>
      <c r="R433" s="7">
        <f>IF($D433='[2]Beam '!R$44,$P433*'[2]Beam '!R$45,0)</f>
        <v>0</v>
      </c>
      <c r="S433" s="7">
        <f>IF($D433='[2]Beam '!S$44,$P433*'[2]Beam '!S$45,0)</f>
        <v>0</v>
      </c>
      <c r="T433" s="7">
        <f>IF($D433='[2]Beam '!T$44,$P433*'[2]Beam '!T$45,0)</f>
        <v>0</v>
      </c>
      <c r="U433" s="7">
        <f>IF($D433='[2]Beam '!U$44,$P433*'[2]Beam '!U$45,0)</f>
        <v>0</v>
      </c>
      <c r="V433" s="7">
        <f>IF($D433='[2]Beam '!V$44,$P433*'[2]Beam '!V$45,0)</f>
        <v>1.6190625000000003</v>
      </c>
      <c r="W433" s="7">
        <f>IF($D433='[2]Beam '!W$44,$P433*'[2]Beam '!W$45,0)</f>
        <v>0</v>
      </c>
      <c r="X433" s="7">
        <f t="shared" si="84"/>
        <v>1.6190625000000003</v>
      </c>
      <c r="Y433" s="7"/>
      <c r="Z433" s="7"/>
      <c r="AA433" s="7"/>
      <c r="AB433" s="7"/>
      <c r="AC433" s="7"/>
      <c r="AD433" s="7"/>
      <c r="AE433" s="7"/>
    </row>
    <row r="434" spans="1:32" s="9" customFormat="1" ht="20.100000000000001" customHeight="1" x14ac:dyDescent="0.25">
      <c r="A434" s="7">
        <v>1</v>
      </c>
      <c r="B434" s="10" t="s">
        <v>2</v>
      </c>
      <c r="C434" s="11" t="s">
        <v>68</v>
      </c>
      <c r="D434" s="11">
        <v>1</v>
      </c>
      <c r="E434" s="11">
        <v>2.2000000000000002</v>
      </c>
      <c r="F434" s="11">
        <v>0.4</v>
      </c>
      <c r="G434" s="11">
        <v>1.1000000000000001</v>
      </c>
      <c r="H434" s="7">
        <f>G434-0.2</f>
        <v>0.90000000000000013</v>
      </c>
      <c r="I434" s="7">
        <f>E434*F434*G434*D434</f>
        <v>0.96800000000000019</v>
      </c>
      <c r="J434" s="7">
        <f>(2*(E434)*H434*D434)+(E434*F434)</f>
        <v>4.8400000000000007</v>
      </c>
      <c r="K434" s="12">
        <f>IF(E434=0.3,J434,0)</f>
        <v>0</v>
      </c>
      <c r="L434" s="12">
        <f>IF(AND(E434&gt;0.3,E434&lt;=0.75),J434,0)</f>
        <v>0</v>
      </c>
      <c r="M434" s="12">
        <f>IF(AND(E434&gt;0.75,E434&lt;=1.2),J434,0)</f>
        <v>0</v>
      </c>
      <c r="N434" s="12">
        <f>IF(E434&gt;1.2,J434,0)</f>
        <v>4.8400000000000007</v>
      </c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>
        <f>SUM(X435:X438)/I434</f>
        <v>161.43728896103894</v>
      </c>
      <c r="Z434" s="7"/>
      <c r="AA434" s="7"/>
      <c r="AB434" s="7"/>
      <c r="AC434" s="7"/>
      <c r="AD434" s="7"/>
      <c r="AE434" s="7"/>
    </row>
    <row r="435" spans="1:32" s="9" customFormat="1" ht="20.100000000000001" customHeight="1" x14ac:dyDescent="0.25">
      <c r="A435" s="6"/>
      <c r="B435" s="10" t="s">
        <v>2</v>
      </c>
      <c r="C435" s="13" t="s">
        <v>4</v>
      </c>
      <c r="D435" s="7">
        <v>25</v>
      </c>
      <c r="E435" s="7"/>
      <c r="F435" s="7">
        <v>4</v>
      </c>
      <c r="G435" s="8">
        <f>VLOOKUP(D435,'[2]Beam '!$C$20:$H$26,3,0)</f>
        <v>1</v>
      </c>
      <c r="H435" s="8"/>
      <c r="I435" s="7"/>
      <c r="J435" s="7"/>
      <c r="K435" s="7"/>
      <c r="L435" s="7"/>
      <c r="M435" s="7"/>
      <c r="N435" s="7"/>
      <c r="O435" s="7">
        <f>(E434+1*(0.5/2)+G421*D434)</f>
        <v>3.45</v>
      </c>
      <c r="P435" s="7">
        <f>O435*F435</f>
        <v>13.8</v>
      </c>
      <c r="Q435" s="7">
        <f>IF($D435='[2]Beam '!Q$44,$P435*'[2]Beam '!Q$45,0)</f>
        <v>0</v>
      </c>
      <c r="R435" s="7">
        <f>IF($D435='[2]Beam '!R$44,$P435*'[2]Beam '!R$45,0)</f>
        <v>0</v>
      </c>
      <c r="S435" s="7">
        <f>IF($D435='[2]Beam '!S$44,$P435*'[2]Beam '!S$45,0)</f>
        <v>0</v>
      </c>
      <c r="T435" s="7">
        <f>IF($D435='[2]Beam '!T$44,$P435*'[2]Beam '!T$45,0)</f>
        <v>0</v>
      </c>
      <c r="U435" s="7">
        <f>IF($D435='[2]Beam '!U$44,$P435*'[2]Beam '!U$45,0)</f>
        <v>0</v>
      </c>
      <c r="V435" s="7">
        <f>IF($D435='[2]Beam '!V$44,$P435*'[2]Beam '!V$45,0)</f>
        <v>53.197767857142871</v>
      </c>
      <c r="W435" s="7">
        <f>IF($D435='[2]Beam '!W$44,$P435*'[2]Beam '!W$45,0)</f>
        <v>0</v>
      </c>
      <c r="X435" s="7">
        <f>SUM(Q435:W435)</f>
        <v>53.197767857142871</v>
      </c>
      <c r="Y435" s="7"/>
      <c r="Z435" s="7"/>
      <c r="AA435" s="7"/>
      <c r="AB435" s="7"/>
      <c r="AC435" s="7"/>
      <c r="AD435" s="7"/>
      <c r="AE435" s="7"/>
    </row>
    <row r="436" spans="1:32" s="9" customFormat="1" ht="20.100000000000001" customHeight="1" x14ac:dyDescent="0.25">
      <c r="A436" s="6"/>
      <c r="B436" s="10" t="s">
        <v>2</v>
      </c>
      <c r="C436" s="13" t="s">
        <v>46</v>
      </c>
      <c r="D436" s="7">
        <v>16</v>
      </c>
      <c r="E436" s="7"/>
      <c r="F436" s="7">
        <v>2</v>
      </c>
      <c r="G436" s="8">
        <f>VLOOKUP(D436,'[2]Beam '!$C$20:$H$26,3,0)</f>
        <v>0.625</v>
      </c>
      <c r="H436" s="8"/>
      <c r="I436" s="7"/>
      <c r="J436" s="7"/>
      <c r="K436" s="7"/>
      <c r="L436" s="7"/>
      <c r="M436" s="7"/>
      <c r="N436" s="7"/>
      <c r="O436" s="7">
        <f>(E434+1*(0.5/2)+G422*D434)</f>
        <v>3.0750000000000002</v>
      </c>
      <c r="P436" s="7">
        <f>O436*F436</f>
        <v>6.15</v>
      </c>
      <c r="Q436" s="7">
        <f>IF($D436='[2]Beam '!Q$44,$P436*'[2]Beam '!Q$45,0)</f>
        <v>0</v>
      </c>
      <c r="R436" s="7">
        <f>IF($D436='[2]Beam '!R$44,$P436*'[2]Beam '!R$45,0)</f>
        <v>0</v>
      </c>
      <c r="S436" s="7">
        <f>IF($D436='[2]Beam '!S$44,$P436*'[2]Beam '!S$45,0)</f>
        <v>0</v>
      </c>
      <c r="T436" s="7">
        <f>IF($D436='[2]Beam '!T$44,$P436*'[2]Beam '!T$45,0)</f>
        <v>9.7106742857142869</v>
      </c>
      <c r="U436" s="7">
        <f>IF($D436='[2]Beam '!U$44,$P436*'[2]Beam '!U$45,0)</f>
        <v>0</v>
      </c>
      <c r="V436" s="7">
        <f>IF($D436='[2]Beam '!V$44,$P436*'[2]Beam '!V$45,0)</f>
        <v>0</v>
      </c>
      <c r="W436" s="7">
        <f>IF($D436='[2]Beam '!W$44,$P436*'[2]Beam '!W$45,0)</f>
        <v>0</v>
      </c>
      <c r="X436" s="7">
        <f>SUM(Q436:W436)</f>
        <v>9.7106742857142869</v>
      </c>
      <c r="Y436" s="7"/>
      <c r="Z436" s="7"/>
      <c r="AA436" s="7"/>
      <c r="AB436" s="7"/>
      <c r="AC436" s="7"/>
      <c r="AD436" s="7"/>
      <c r="AE436" s="7"/>
    </row>
    <row r="437" spans="1:32" s="9" customFormat="1" ht="20.100000000000001" customHeight="1" x14ac:dyDescent="0.25">
      <c r="A437" s="6"/>
      <c r="B437" s="10" t="s">
        <v>2</v>
      </c>
      <c r="C437" s="13" t="s">
        <v>6</v>
      </c>
      <c r="D437" s="7">
        <v>25</v>
      </c>
      <c r="E437" s="7"/>
      <c r="F437" s="7">
        <v>4</v>
      </c>
      <c r="G437" s="8">
        <f>VLOOKUP(D437,'[2]Beam '!$C$20:$H$26,3,0)</f>
        <v>1</v>
      </c>
      <c r="H437" s="7"/>
      <c r="I437" s="7"/>
      <c r="J437" s="7"/>
      <c r="K437" s="7"/>
      <c r="L437" s="7"/>
      <c r="M437" s="7"/>
      <c r="N437" s="7"/>
      <c r="O437" s="7">
        <f>(E434+1*(0.5/2)+G423*D434)</f>
        <v>3.45</v>
      </c>
      <c r="P437" s="7">
        <f>O437*F437</f>
        <v>13.8</v>
      </c>
      <c r="Q437" s="7">
        <f>IF($D437='[2]Beam '!Q$44,$P437*'[2]Beam '!Q$45,0)</f>
        <v>0</v>
      </c>
      <c r="R437" s="7">
        <f>IF($D437='[2]Beam '!R$44,$P437*'[2]Beam '!R$45,0)</f>
        <v>0</v>
      </c>
      <c r="S437" s="7">
        <f>IF($D437='[2]Beam '!S$44,$P437*'[2]Beam '!S$45,0)</f>
        <v>0</v>
      </c>
      <c r="T437" s="7">
        <f>IF($D437='[2]Beam '!T$44,$P437*'[2]Beam '!T$45,0)</f>
        <v>0</v>
      </c>
      <c r="U437" s="7">
        <f>IF($D437='[2]Beam '!U$44,$P437*'[2]Beam '!U$45,0)</f>
        <v>0</v>
      </c>
      <c r="V437" s="7">
        <f>IF($D437='[2]Beam '!V$44,$P437*'[2]Beam '!V$45,0)</f>
        <v>53.197767857142871</v>
      </c>
      <c r="W437" s="7">
        <f>IF($D437='[2]Beam '!W$44,$P437*'[2]Beam '!W$45,0)</f>
        <v>0</v>
      </c>
      <c r="X437" s="7">
        <f>SUM(Q437:W437)</f>
        <v>53.197767857142871</v>
      </c>
      <c r="Y437" s="7"/>
      <c r="Z437" s="7"/>
      <c r="AA437" s="7"/>
      <c r="AB437" s="7"/>
      <c r="AC437" s="7"/>
      <c r="AD437" s="7"/>
      <c r="AE437" s="7"/>
    </row>
    <row r="438" spans="1:32" s="9" customFormat="1" ht="21" customHeight="1" x14ac:dyDescent="0.25">
      <c r="A438" s="6"/>
      <c r="B438" s="10" t="s">
        <v>2</v>
      </c>
      <c r="C438" s="13" t="s">
        <v>26</v>
      </c>
      <c r="D438" s="7">
        <v>10</v>
      </c>
      <c r="E438" s="7">
        <v>0.1</v>
      </c>
      <c r="F438" s="7">
        <f>ROUNDUP(E434/E438,0)</f>
        <v>22</v>
      </c>
      <c r="H438" s="7"/>
      <c r="I438" s="7"/>
      <c r="J438" s="7"/>
      <c r="K438" s="7"/>
      <c r="L438" s="7"/>
      <c r="M438" s="7"/>
      <c r="N438" s="7"/>
      <c r="O438" s="7">
        <f>(2*((G434-(2*'[2]Beam '!$D$11))+(F434-(2*'[2]Beam '!$D$11)))+(2*10*D438/1000))*D434</f>
        <v>2.9600000000000004</v>
      </c>
      <c r="P438" s="7">
        <f>O438*F438</f>
        <v>65.12</v>
      </c>
      <c r="Q438" s="7">
        <f>IF($D438='[2]Beam '!Q$44,$P438*'[2]Beam '!Q$45,0)</f>
        <v>0</v>
      </c>
      <c r="R438" s="7">
        <f>IF($D438='[2]Beam '!R$44,$P438*'[2]Beam '!R$45,0)</f>
        <v>40.165085714285716</v>
      </c>
      <c r="S438" s="7">
        <f>IF($D438='[2]Beam '!S$44,$P438*'[2]Beam '!S$45,0)</f>
        <v>0</v>
      </c>
      <c r="T438" s="7">
        <f>IF($D438='[2]Beam '!T$44,$P438*'[2]Beam '!T$45,0)</f>
        <v>0</v>
      </c>
      <c r="U438" s="7">
        <f>IF($D438='[2]Beam '!U$44,$P438*'[2]Beam '!U$45,0)</f>
        <v>0</v>
      </c>
      <c r="V438" s="7">
        <f>IF($D438='[2]Beam '!V$44,$P438*'[2]Beam '!V$45,0)</f>
        <v>0</v>
      </c>
      <c r="W438" s="7">
        <f>IF($D438='[2]Beam '!W$44,$P438*'[2]Beam '!W$45,0)</f>
        <v>0</v>
      </c>
      <c r="X438" s="7">
        <f>SUM(Q438:W438)</f>
        <v>40.165085714285716</v>
      </c>
      <c r="Y438" s="7"/>
      <c r="Z438" s="7"/>
      <c r="AA438" s="7"/>
      <c r="AB438" s="7"/>
      <c r="AC438" s="7"/>
      <c r="AD438" s="7"/>
      <c r="AE438" s="7"/>
      <c r="AF438" s="7"/>
    </row>
    <row r="439" spans="1:32" s="9" customFormat="1" ht="20.100000000000001" customHeight="1" x14ac:dyDescent="0.25">
      <c r="A439" s="6"/>
      <c r="B439" s="10" t="s">
        <v>2</v>
      </c>
      <c r="C439" s="13" t="s">
        <v>11</v>
      </c>
      <c r="D439" s="7">
        <f>+'[2]Beam '!$D$15</f>
        <v>25</v>
      </c>
      <c r="E439" s="7">
        <f>+'[2]Beam '!$E$15</f>
        <v>1</v>
      </c>
      <c r="F439" s="7">
        <f>ROUNDUP((E434)/E439,0)</f>
        <v>3</v>
      </c>
      <c r="G439" s="8"/>
      <c r="H439" s="8"/>
      <c r="I439" s="7"/>
      <c r="J439" s="7"/>
      <c r="K439" s="7"/>
      <c r="L439" s="7"/>
      <c r="M439" s="7"/>
      <c r="N439" s="7"/>
      <c r="O439" s="7">
        <f>F434-'[2]Beam '!$F$15</f>
        <v>0.34</v>
      </c>
      <c r="P439" s="7">
        <f>O439*F439</f>
        <v>1.02</v>
      </c>
      <c r="Q439" s="7">
        <f>IF($D439='[2]Beam '!Q$44,$P439*'[2]Beam '!Q$45,0)</f>
        <v>0</v>
      </c>
      <c r="R439" s="7">
        <f>IF($D439='[2]Beam '!R$44,$P439*'[2]Beam '!R$45,0)</f>
        <v>0</v>
      </c>
      <c r="S439" s="7">
        <f>IF($D439='[2]Beam '!S$44,$P439*'[2]Beam '!S$45,0)</f>
        <v>0</v>
      </c>
      <c r="T439" s="7">
        <f>IF($D439='[2]Beam '!T$44,$P439*'[2]Beam '!T$45,0)</f>
        <v>0</v>
      </c>
      <c r="U439" s="7">
        <f>IF($D439='[2]Beam '!U$44,$P439*'[2]Beam '!U$45,0)</f>
        <v>0</v>
      </c>
      <c r="V439" s="7">
        <f>IF($D439='[2]Beam '!V$44,$P439*'[2]Beam '!V$45,0)</f>
        <v>3.9320089285714293</v>
      </c>
      <c r="W439" s="7">
        <f>IF($D439='[2]Beam '!W$44,$P439*'[2]Beam '!W$45,0)</f>
        <v>0</v>
      </c>
      <c r="X439" s="7">
        <f>SUM(Q439:W439)</f>
        <v>3.9320089285714293</v>
      </c>
      <c r="Y439" s="7"/>
      <c r="Z439" s="7"/>
      <c r="AA439" s="7"/>
      <c r="AB439" s="7"/>
      <c r="AC439" s="7"/>
      <c r="AD439" s="7"/>
      <c r="AE439" s="7"/>
    </row>
    <row r="440" spans="1:32" s="9" customFormat="1" ht="20.100000000000001" customHeight="1" x14ac:dyDescent="0.25">
      <c r="A440" s="7">
        <v>1</v>
      </c>
      <c r="B440" s="10" t="s">
        <v>2</v>
      </c>
      <c r="C440" s="11" t="s">
        <v>69</v>
      </c>
      <c r="D440" s="11">
        <v>1</v>
      </c>
      <c r="E440" s="11">
        <v>1.8</v>
      </c>
      <c r="F440" s="11">
        <v>0.3</v>
      </c>
      <c r="G440" s="11">
        <v>1.1000000000000001</v>
      </c>
      <c r="H440" s="7">
        <f>G440-0.2</f>
        <v>0.90000000000000013</v>
      </c>
      <c r="I440" s="7">
        <f>E440*F440*G440*D440</f>
        <v>0.59400000000000008</v>
      </c>
      <c r="J440" s="7">
        <f>(2*(E440)*H440*D440)+(E440*F440)</f>
        <v>3.7800000000000007</v>
      </c>
      <c r="K440" s="12">
        <f>IF(E440=0.3,J440,0)</f>
        <v>0</v>
      </c>
      <c r="L440" s="12">
        <f>IF(AND(E440&gt;0.3,E440&lt;=0.75),J440,0)</f>
        <v>0</v>
      </c>
      <c r="M440" s="12">
        <f>IF(AND(E440&gt;0.75,E440&lt;=1.2),J440,0)</f>
        <v>0</v>
      </c>
      <c r="N440" s="12">
        <f>IF(E440&gt;1.2,J440,0)</f>
        <v>3.7800000000000007</v>
      </c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>
        <f>SUM(X441:X446)/I440</f>
        <v>68.858040211640215</v>
      </c>
      <c r="Z440" s="7"/>
      <c r="AA440" s="7"/>
      <c r="AB440" s="7"/>
      <c r="AC440" s="7"/>
      <c r="AD440" s="7"/>
      <c r="AE440" s="7"/>
    </row>
    <row r="441" spans="1:32" s="9" customFormat="1" ht="20.100000000000001" customHeight="1" x14ac:dyDescent="0.25">
      <c r="A441" s="6"/>
      <c r="B441" s="10" t="s">
        <v>2</v>
      </c>
      <c r="C441" s="13" t="s">
        <v>4</v>
      </c>
      <c r="D441" s="7">
        <v>16</v>
      </c>
      <c r="E441" s="7"/>
      <c r="F441" s="7">
        <v>2</v>
      </c>
      <c r="G441" s="8">
        <f>VLOOKUP(D441,'[2]Beam '!$C$20:$H$26,3,0)</f>
        <v>0.625</v>
      </c>
      <c r="H441" s="8"/>
      <c r="I441" s="7"/>
      <c r="J441" s="7"/>
      <c r="K441" s="7"/>
      <c r="L441" s="7"/>
      <c r="M441" s="7"/>
      <c r="N441" s="7"/>
      <c r="O441" s="7">
        <f>(E440+2*(G441+(12*D441/1000)))*D440</f>
        <v>3.4340000000000002</v>
      </c>
      <c r="P441" s="7">
        <f t="shared" ref="P441:P447" si="85">O441*F441</f>
        <v>6.8680000000000003</v>
      </c>
      <c r="Q441" s="7">
        <f>IF($D441='[2]Beam '!Q$44,$P441*'[2]Beam '!Q$45,0)</f>
        <v>0</v>
      </c>
      <c r="R441" s="7">
        <f>IF($D441='[2]Beam '!R$44,$P441*'[2]Beam '!R$45,0)</f>
        <v>0</v>
      </c>
      <c r="S441" s="7">
        <f>IF($D441='[2]Beam '!S$44,$P441*'[2]Beam '!S$45,0)</f>
        <v>0</v>
      </c>
      <c r="T441" s="7">
        <f>IF($D441='[2]Beam '!T$44,$P441*'[2]Beam '!T$45,0)</f>
        <v>10.844375771428572</v>
      </c>
      <c r="U441" s="7">
        <f>IF($D441='[2]Beam '!U$44,$P441*'[2]Beam '!U$45,0)</f>
        <v>0</v>
      </c>
      <c r="V441" s="7">
        <f>IF($D441='[2]Beam '!V$44,$P441*'[2]Beam '!V$45,0)</f>
        <v>0</v>
      </c>
      <c r="W441" s="7">
        <f>IF($D441='[2]Beam '!W$44,$P441*'[2]Beam '!W$45,0)</f>
        <v>0</v>
      </c>
      <c r="X441" s="7">
        <f t="shared" ref="X441:X447" si="86">SUM(Q441:W441)</f>
        <v>10.844375771428572</v>
      </c>
      <c r="Y441" s="7"/>
      <c r="Z441" s="7"/>
      <c r="AA441" s="7"/>
      <c r="AB441" s="7"/>
      <c r="AC441" s="7"/>
      <c r="AD441" s="7"/>
      <c r="AE441" s="7"/>
    </row>
    <row r="442" spans="1:32" s="9" customFormat="1" ht="20.100000000000001" customHeight="1" x14ac:dyDescent="0.25">
      <c r="A442" s="6"/>
      <c r="B442" s="10" t="s">
        <v>2</v>
      </c>
      <c r="C442" s="13" t="s">
        <v>46</v>
      </c>
      <c r="D442" s="7">
        <v>12</v>
      </c>
      <c r="E442" s="7"/>
      <c r="F442" s="7">
        <v>2</v>
      </c>
      <c r="G442" s="8">
        <f>VLOOKUP(D442,'[2]Beam '!$C$20:$H$26,3,0)</f>
        <v>0.47499999999999998</v>
      </c>
      <c r="H442" s="8"/>
      <c r="I442" s="7"/>
      <c r="J442" s="7"/>
      <c r="K442" s="7"/>
      <c r="L442" s="7"/>
      <c r="M442" s="7"/>
      <c r="N442" s="7"/>
      <c r="O442" s="7">
        <f>(0.55+1*(G442+(12*D442/1000)))*D440</f>
        <v>1.169</v>
      </c>
      <c r="P442" s="7">
        <f t="shared" si="85"/>
        <v>2.3380000000000001</v>
      </c>
      <c r="Q442" s="7">
        <f>IF($D442='[2]Beam '!Q$44,$P442*'[2]Beam '!Q$45,0)</f>
        <v>0</v>
      </c>
      <c r="R442" s="7">
        <f>IF($D442='[2]Beam '!R$44,$P442*'[2]Beam '!R$45,0)</f>
        <v>0</v>
      </c>
      <c r="S442" s="7">
        <f>IF($D442='[2]Beam '!S$44,$P442*'[2]Beam '!S$45,0)</f>
        <v>2.0765448000000006</v>
      </c>
      <c r="T442" s="7">
        <f>IF($D442='[2]Beam '!T$44,$P442*'[2]Beam '!T$45,0)</f>
        <v>0</v>
      </c>
      <c r="U442" s="7">
        <f>IF($D442='[2]Beam '!U$44,$P442*'[2]Beam '!U$45,0)</f>
        <v>0</v>
      </c>
      <c r="V442" s="7">
        <f>IF($D442='[2]Beam '!V$44,$P442*'[2]Beam '!V$45,0)</f>
        <v>0</v>
      </c>
      <c r="W442" s="7">
        <f>IF($D442='[2]Beam '!W$44,$P442*'[2]Beam '!W$45,0)</f>
        <v>0</v>
      </c>
      <c r="X442" s="7">
        <f t="shared" si="86"/>
        <v>2.0765448000000006</v>
      </c>
      <c r="Y442" s="7"/>
      <c r="Z442" s="7"/>
      <c r="AA442" s="7"/>
      <c r="AB442" s="7"/>
      <c r="AC442" s="7"/>
      <c r="AD442" s="7"/>
      <c r="AE442" s="7"/>
    </row>
    <row r="443" spans="1:32" s="9" customFormat="1" ht="20.100000000000001" customHeight="1" x14ac:dyDescent="0.25">
      <c r="A443" s="6"/>
      <c r="B443" s="10" t="s">
        <v>2</v>
      </c>
      <c r="C443" s="13" t="s">
        <v>46</v>
      </c>
      <c r="D443" s="7">
        <v>12</v>
      </c>
      <c r="E443" s="7"/>
      <c r="F443" s="7">
        <v>2</v>
      </c>
      <c r="G443" s="8">
        <f>VLOOKUP(D443,'[2]Beam '!$C$20:$H$26,3,0)</f>
        <v>0.47499999999999998</v>
      </c>
      <c r="H443" s="8"/>
      <c r="I443" s="7"/>
      <c r="J443" s="7"/>
      <c r="K443" s="7"/>
      <c r="L443" s="7"/>
      <c r="M443" s="7"/>
      <c r="N443" s="7"/>
      <c r="O443" s="7">
        <f>(0.55+1*(G443+(12*D443/1000)))*D440</f>
        <v>1.169</v>
      </c>
      <c r="P443" s="7">
        <f t="shared" si="85"/>
        <v>2.3380000000000001</v>
      </c>
      <c r="Q443" s="7">
        <f>IF($D443='[2]Beam '!Q$44,$P443*'[2]Beam '!Q$45,0)</f>
        <v>0</v>
      </c>
      <c r="R443" s="7">
        <f>IF($D443='[2]Beam '!R$44,$P443*'[2]Beam '!R$45,0)</f>
        <v>0</v>
      </c>
      <c r="S443" s="7">
        <f>IF($D443='[2]Beam '!S$44,$P443*'[2]Beam '!S$45,0)</f>
        <v>2.0765448000000006</v>
      </c>
      <c r="T443" s="7">
        <f>IF($D443='[2]Beam '!T$44,$P443*'[2]Beam '!T$45,0)</f>
        <v>0</v>
      </c>
      <c r="U443" s="7">
        <f>IF($D443='[2]Beam '!U$44,$P443*'[2]Beam '!U$45,0)</f>
        <v>0</v>
      </c>
      <c r="V443" s="7">
        <f>IF($D443='[2]Beam '!V$44,$P443*'[2]Beam '!V$45,0)</f>
        <v>0</v>
      </c>
      <c r="W443" s="7">
        <f>IF($D443='[2]Beam '!W$44,$P443*'[2]Beam '!W$45,0)</f>
        <v>0</v>
      </c>
      <c r="X443" s="7">
        <f t="shared" si="86"/>
        <v>2.0765448000000006</v>
      </c>
      <c r="Y443" s="7"/>
      <c r="Z443" s="7"/>
      <c r="AA443" s="7"/>
      <c r="AB443" s="7"/>
      <c r="AC443" s="7"/>
      <c r="AD443" s="7"/>
      <c r="AE443" s="7"/>
    </row>
    <row r="444" spans="1:32" s="9" customFormat="1" ht="20.100000000000001" customHeight="1" x14ac:dyDescent="0.25">
      <c r="A444" s="6"/>
      <c r="B444" s="10" t="s">
        <v>2</v>
      </c>
      <c r="C444" s="13" t="s">
        <v>6</v>
      </c>
      <c r="D444" s="7">
        <v>16</v>
      </c>
      <c r="E444" s="7"/>
      <c r="F444" s="7">
        <v>2</v>
      </c>
      <c r="G444" s="8">
        <f>VLOOKUP(D444,'[2]Beam '!$C$20:$H$26,3,0)</f>
        <v>0.625</v>
      </c>
      <c r="H444" s="7"/>
      <c r="I444" s="7"/>
      <c r="J444" s="7"/>
      <c r="K444" s="7"/>
      <c r="L444" s="7"/>
      <c r="M444" s="7"/>
      <c r="N444" s="7"/>
      <c r="O444" s="7">
        <f>(E440+2*(G444+(12*D444/1000)))*D440</f>
        <v>3.4340000000000002</v>
      </c>
      <c r="P444" s="7">
        <f t="shared" si="85"/>
        <v>6.8680000000000003</v>
      </c>
      <c r="Q444" s="7">
        <f>IF($D444='[2]Beam '!Q$44,$P444*'[2]Beam '!Q$45,0)</f>
        <v>0</v>
      </c>
      <c r="R444" s="7">
        <f>IF($D444='[2]Beam '!R$44,$P444*'[2]Beam '!R$45,0)</f>
        <v>0</v>
      </c>
      <c r="S444" s="7">
        <f>IF($D444='[2]Beam '!S$44,$P444*'[2]Beam '!S$45,0)</f>
        <v>0</v>
      </c>
      <c r="T444" s="7">
        <f>IF($D444='[2]Beam '!T$44,$P444*'[2]Beam '!T$45,0)</f>
        <v>10.844375771428572</v>
      </c>
      <c r="U444" s="7">
        <f>IF($D444='[2]Beam '!U$44,$P444*'[2]Beam '!U$45,0)</f>
        <v>0</v>
      </c>
      <c r="V444" s="7">
        <f>IF($D444='[2]Beam '!V$44,$P444*'[2]Beam '!V$45,0)</f>
        <v>0</v>
      </c>
      <c r="W444" s="7">
        <f>IF($D444='[2]Beam '!W$44,$P444*'[2]Beam '!W$45,0)</f>
        <v>0</v>
      </c>
      <c r="X444" s="7">
        <f t="shared" si="86"/>
        <v>10.844375771428572</v>
      </c>
      <c r="Y444" s="7"/>
      <c r="Z444" s="7"/>
      <c r="AA444" s="7"/>
      <c r="AB444" s="7"/>
      <c r="AC444" s="7"/>
      <c r="AD444" s="7"/>
      <c r="AE444" s="7"/>
    </row>
    <row r="445" spans="1:32" s="9" customFormat="1" ht="20.100000000000001" customHeight="1" x14ac:dyDescent="0.25">
      <c r="A445" s="6"/>
      <c r="B445" s="10" t="s">
        <v>2</v>
      </c>
      <c r="C445" s="13" t="s">
        <v>6</v>
      </c>
      <c r="D445" s="7">
        <v>12</v>
      </c>
      <c r="E445" s="7"/>
      <c r="F445" s="7">
        <v>2</v>
      </c>
      <c r="G445" s="8">
        <f>VLOOKUP(D445,'[2]Beam '!$C$20:$H$26,3,0)</f>
        <v>0.47499999999999998</v>
      </c>
      <c r="H445" s="7"/>
      <c r="I445" s="7"/>
      <c r="J445" s="7"/>
      <c r="K445" s="7"/>
      <c r="L445" s="7"/>
      <c r="M445" s="7"/>
      <c r="N445" s="7"/>
      <c r="O445" s="7">
        <f>(E440+2*(G445+(12*D445/1000)))*D440</f>
        <v>3.0380000000000003</v>
      </c>
      <c r="P445" s="7">
        <f t="shared" si="85"/>
        <v>6.0760000000000005</v>
      </c>
      <c r="Q445" s="7">
        <f>IF($D445='[2]Beam '!Q$44,$P445*'[2]Beam '!Q$45,0)</f>
        <v>0</v>
      </c>
      <c r="R445" s="7">
        <f>IF($D445='[2]Beam '!R$44,$P445*'[2]Beam '!R$45,0)</f>
        <v>0</v>
      </c>
      <c r="S445" s="7">
        <f>IF($D445='[2]Beam '!S$44,$P445*'[2]Beam '!S$45,0)</f>
        <v>5.3965296000000018</v>
      </c>
      <c r="T445" s="7">
        <f>IF($D445='[2]Beam '!T$44,$P445*'[2]Beam '!T$45,0)</f>
        <v>0</v>
      </c>
      <c r="U445" s="7">
        <f>IF($D445='[2]Beam '!U$44,$P445*'[2]Beam '!U$45,0)</f>
        <v>0</v>
      </c>
      <c r="V445" s="7">
        <f>IF($D445='[2]Beam '!V$44,$P445*'[2]Beam '!V$45,0)</f>
        <v>0</v>
      </c>
      <c r="W445" s="7">
        <f>IF($D445='[2]Beam '!W$44,$P445*'[2]Beam '!W$45,0)</f>
        <v>0</v>
      </c>
      <c r="X445" s="7">
        <f t="shared" si="86"/>
        <v>5.3965296000000018</v>
      </c>
      <c r="Y445" s="7"/>
      <c r="Z445" s="7"/>
      <c r="AA445" s="7"/>
      <c r="AB445" s="7"/>
      <c r="AC445" s="7"/>
      <c r="AD445" s="7"/>
      <c r="AE445" s="7"/>
    </row>
    <row r="446" spans="1:32" s="9" customFormat="1" ht="21" customHeight="1" x14ac:dyDescent="0.25">
      <c r="A446" s="6"/>
      <c r="B446" s="10" t="s">
        <v>2</v>
      </c>
      <c r="C446" s="13" t="s">
        <v>26</v>
      </c>
      <c r="D446" s="7">
        <v>8</v>
      </c>
      <c r="E446" s="7">
        <v>0.2</v>
      </c>
      <c r="F446" s="7">
        <f>ROUNDUP(E440/E446,0)</f>
        <v>9</v>
      </c>
      <c r="H446" s="7"/>
      <c r="I446" s="7"/>
      <c r="J446" s="7"/>
      <c r="K446" s="7"/>
      <c r="L446" s="7"/>
      <c r="M446" s="7"/>
      <c r="N446" s="7"/>
      <c r="O446" s="7">
        <f>(2*((G440-(2*'[2]Beam '!$D$11))+(F440-(2*'[2]Beam '!$D$11)))+(2*10*D446/1000))*D440</f>
        <v>2.72</v>
      </c>
      <c r="P446" s="7">
        <f t="shared" si="85"/>
        <v>24.48</v>
      </c>
      <c r="Q446" s="7">
        <f>IF($D446='[2]Beam '!Q$44,$P446*'[2]Beam '!Q$45,0)</f>
        <v>9.6633051428571441</v>
      </c>
      <c r="R446" s="7">
        <f>IF($D446='[2]Beam '!R$44,$P446*'[2]Beam '!R$45,0)</f>
        <v>0</v>
      </c>
      <c r="S446" s="7">
        <f>IF($D446='[2]Beam '!S$44,$P446*'[2]Beam '!S$45,0)</f>
        <v>0</v>
      </c>
      <c r="T446" s="7">
        <f>IF($D446='[2]Beam '!T$44,$P446*'[2]Beam '!T$45,0)</f>
        <v>0</v>
      </c>
      <c r="U446" s="7">
        <f>IF($D446='[2]Beam '!U$44,$P446*'[2]Beam '!U$45,0)</f>
        <v>0</v>
      </c>
      <c r="V446" s="7">
        <f>IF($D446='[2]Beam '!V$44,$P446*'[2]Beam '!V$45,0)</f>
        <v>0</v>
      </c>
      <c r="W446" s="7">
        <f>IF($D446='[2]Beam '!W$44,$P446*'[2]Beam '!W$45,0)</f>
        <v>0</v>
      </c>
      <c r="X446" s="7">
        <f t="shared" si="86"/>
        <v>9.6633051428571441</v>
      </c>
      <c r="Y446" s="7"/>
      <c r="Z446" s="7"/>
      <c r="AA446" s="7"/>
      <c r="AB446" s="7"/>
      <c r="AC446" s="7"/>
      <c r="AD446" s="7"/>
      <c r="AE446" s="7"/>
      <c r="AF446" s="7"/>
    </row>
    <row r="447" spans="1:32" s="9" customFormat="1" ht="20.100000000000001" customHeight="1" x14ac:dyDescent="0.25">
      <c r="A447" s="6"/>
      <c r="B447" s="10" t="s">
        <v>2</v>
      </c>
      <c r="C447" s="13" t="s">
        <v>11</v>
      </c>
      <c r="D447" s="7">
        <f>+'[2]Beam '!$D$15</f>
        <v>25</v>
      </c>
      <c r="E447" s="7">
        <f>+'[2]Beam '!$E$15</f>
        <v>1</v>
      </c>
      <c r="F447" s="7">
        <f>ROUNDUP((0.55+0.55)/E447,0)</f>
        <v>2</v>
      </c>
      <c r="G447" s="8"/>
      <c r="H447" s="8"/>
      <c r="I447" s="7"/>
      <c r="J447" s="7"/>
      <c r="K447" s="7"/>
      <c r="L447" s="7"/>
      <c r="M447" s="7"/>
      <c r="N447" s="7"/>
      <c r="O447" s="7">
        <f>F440-'[2]Beam '!$F$15</f>
        <v>0.24</v>
      </c>
      <c r="P447" s="7">
        <f t="shared" si="85"/>
        <v>0.48</v>
      </c>
      <c r="Q447" s="7">
        <f>IF($D447='[2]Beam '!Q$44,$P447*'[2]Beam '!Q$45,0)</f>
        <v>0</v>
      </c>
      <c r="R447" s="7">
        <f>IF($D447='[2]Beam '!R$44,$P447*'[2]Beam '!R$45,0)</f>
        <v>0</v>
      </c>
      <c r="S447" s="7">
        <f>IF($D447='[2]Beam '!S$44,$P447*'[2]Beam '!S$45,0)</f>
        <v>0</v>
      </c>
      <c r="T447" s="7">
        <f>IF($D447='[2]Beam '!T$44,$P447*'[2]Beam '!T$45,0)</f>
        <v>0</v>
      </c>
      <c r="U447" s="7">
        <f>IF($D447='[2]Beam '!U$44,$P447*'[2]Beam '!U$45,0)</f>
        <v>0</v>
      </c>
      <c r="V447" s="7">
        <f>IF($D447='[2]Beam '!V$44,$P447*'[2]Beam '!V$45,0)</f>
        <v>1.850357142857143</v>
      </c>
      <c r="W447" s="7">
        <f>IF($D447='[2]Beam '!W$44,$P447*'[2]Beam '!W$45,0)</f>
        <v>0</v>
      </c>
      <c r="X447" s="7">
        <f t="shared" si="86"/>
        <v>1.850357142857143</v>
      </c>
      <c r="Y447" s="7"/>
      <c r="Z447" s="7"/>
      <c r="AA447" s="7"/>
      <c r="AB447" s="7"/>
      <c r="AC447" s="7"/>
      <c r="AD447" s="7"/>
      <c r="AE447" s="7"/>
    </row>
    <row r="448" spans="1:32" s="9" customFormat="1" ht="20.100000000000001" customHeight="1" x14ac:dyDescent="0.25">
      <c r="A448" s="7">
        <v>1</v>
      </c>
      <c r="B448" s="10" t="s">
        <v>2</v>
      </c>
      <c r="C448" s="11" t="s">
        <v>70</v>
      </c>
      <c r="D448" s="11">
        <v>1</v>
      </c>
      <c r="E448" s="11">
        <v>0.98</v>
      </c>
      <c r="F448" s="11">
        <v>0.4</v>
      </c>
      <c r="G448" s="11">
        <v>1.1000000000000001</v>
      </c>
      <c r="H448" s="7">
        <f>G448-0.2</f>
        <v>0.90000000000000013</v>
      </c>
      <c r="I448" s="7">
        <f>E448*F448*G448*D448</f>
        <v>0.43120000000000003</v>
      </c>
      <c r="J448" s="7">
        <f>(2*(E448)*H448*D448)+(E448*F448)</f>
        <v>2.1560000000000001</v>
      </c>
      <c r="K448" s="12">
        <f>IF(E448=0.3,J448,0)</f>
        <v>0</v>
      </c>
      <c r="L448" s="12">
        <f>IF(AND(E448&gt;0.3,E448&lt;=0.75),J448,0)</f>
        <v>0</v>
      </c>
      <c r="M448" s="12">
        <f>IF(AND(E448&gt;0.75,E448&lt;=1.2),J448,0)</f>
        <v>2.1560000000000001</v>
      </c>
      <c r="N448" s="12">
        <f>IF(E448&gt;1.2,J448,0)</f>
        <v>0</v>
      </c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>
        <f>SUM(X449:X454)/I448</f>
        <v>386.42368804664733</v>
      </c>
      <c r="Z448" s="7"/>
      <c r="AA448" s="7"/>
      <c r="AB448" s="7"/>
      <c r="AC448" s="7"/>
      <c r="AD448" s="7"/>
      <c r="AE448" s="7"/>
    </row>
    <row r="449" spans="1:32" s="9" customFormat="1" ht="20.100000000000001" customHeight="1" x14ac:dyDescent="0.25">
      <c r="A449" s="6"/>
      <c r="B449" s="10" t="s">
        <v>2</v>
      </c>
      <c r="C449" s="13" t="s">
        <v>4</v>
      </c>
      <c r="D449" s="7">
        <v>25</v>
      </c>
      <c r="E449" s="7"/>
      <c r="F449" s="7">
        <v>4</v>
      </c>
      <c r="G449" s="8">
        <f>VLOOKUP(D449,'[2]Beam '!$C$20:$H$26,3,0)</f>
        <v>1</v>
      </c>
      <c r="H449" s="8"/>
      <c r="I449" s="7"/>
      <c r="J449" s="7"/>
      <c r="K449" s="7"/>
      <c r="L449" s="7"/>
      <c r="M449" s="7"/>
      <c r="N449" s="7"/>
      <c r="O449" s="7">
        <f>(E448+2*(G449)*D448)</f>
        <v>2.98</v>
      </c>
      <c r="P449" s="7">
        <f t="shared" ref="P449:P455" si="87">O449*F449</f>
        <v>11.92</v>
      </c>
      <c r="Q449" s="7">
        <f>IF($D449='[2]Beam '!Q$44,$P449*'[2]Beam '!Q$45,0)</f>
        <v>0</v>
      </c>
      <c r="R449" s="7">
        <f>IF($D449='[2]Beam '!R$44,$P449*'[2]Beam '!R$45,0)</f>
        <v>0</v>
      </c>
      <c r="S449" s="7">
        <f>IF($D449='[2]Beam '!S$44,$P449*'[2]Beam '!S$45,0)</f>
        <v>0</v>
      </c>
      <c r="T449" s="7">
        <f>IF($D449='[2]Beam '!T$44,$P449*'[2]Beam '!T$45,0)</f>
        <v>0</v>
      </c>
      <c r="U449" s="7">
        <f>IF($D449='[2]Beam '!U$44,$P449*'[2]Beam '!U$45,0)</f>
        <v>0</v>
      </c>
      <c r="V449" s="7">
        <f>IF($D449='[2]Beam '!V$44,$P449*'[2]Beam '!V$45,0)</f>
        <v>45.950535714285721</v>
      </c>
      <c r="W449" s="7">
        <f>IF($D449='[2]Beam '!W$44,$P449*'[2]Beam '!W$45,0)</f>
        <v>0</v>
      </c>
      <c r="X449" s="7">
        <f t="shared" ref="X449:X455" si="88">SUM(Q449:W449)</f>
        <v>45.950535714285721</v>
      </c>
      <c r="Y449" s="7"/>
      <c r="Z449" s="7"/>
      <c r="AA449" s="7"/>
      <c r="AB449" s="7"/>
      <c r="AC449" s="7"/>
      <c r="AD449" s="7"/>
      <c r="AE449" s="7"/>
    </row>
    <row r="450" spans="1:32" s="9" customFormat="1" ht="20.100000000000001" customHeight="1" x14ac:dyDescent="0.25">
      <c r="A450" s="6"/>
      <c r="B450" s="10" t="s">
        <v>2</v>
      </c>
      <c r="C450" s="13" t="s">
        <v>46</v>
      </c>
      <c r="D450" s="7">
        <v>20</v>
      </c>
      <c r="E450" s="7"/>
      <c r="F450" s="7">
        <v>2</v>
      </c>
      <c r="G450" s="8">
        <f>VLOOKUP(D450,'[2]Beam '!$C$20:$H$26,3,0)</f>
        <v>0.8</v>
      </c>
      <c r="H450" s="8"/>
      <c r="I450" s="7"/>
      <c r="J450" s="7"/>
      <c r="K450" s="7"/>
      <c r="L450" s="7"/>
      <c r="M450" s="7"/>
      <c r="N450" s="7"/>
      <c r="O450" s="7">
        <f>(E448+2*(G450)*D448)</f>
        <v>2.58</v>
      </c>
      <c r="P450" s="7">
        <f t="shared" si="87"/>
        <v>5.16</v>
      </c>
      <c r="Q450" s="7">
        <f>IF($D450='[2]Beam '!Q$44,$P450*'[2]Beam '!Q$45,0)</f>
        <v>0</v>
      </c>
      <c r="R450" s="7">
        <f>IF($D450='[2]Beam '!R$44,$P450*'[2]Beam '!R$45,0)</f>
        <v>0</v>
      </c>
      <c r="S450" s="7">
        <f>IF($D450='[2]Beam '!S$44,$P450*'[2]Beam '!S$45,0)</f>
        <v>0</v>
      </c>
      <c r="T450" s="7">
        <f>IF($D450='[2]Beam '!T$44,$P450*'[2]Beam '!T$45,0)</f>
        <v>0</v>
      </c>
      <c r="U450" s="7">
        <f>IF($D450='[2]Beam '!U$44,$P450*'[2]Beam '!U$45,0)</f>
        <v>12.730457142857142</v>
      </c>
      <c r="V450" s="7">
        <f>IF($D450='[2]Beam '!V$44,$P450*'[2]Beam '!V$45,0)</f>
        <v>0</v>
      </c>
      <c r="W450" s="7">
        <f>IF($D450='[2]Beam '!W$44,$P450*'[2]Beam '!W$45,0)</f>
        <v>0</v>
      </c>
      <c r="X450" s="7">
        <f t="shared" si="88"/>
        <v>12.730457142857142</v>
      </c>
      <c r="Y450" s="7"/>
      <c r="Z450" s="7"/>
      <c r="AA450" s="7"/>
      <c r="AB450" s="7"/>
      <c r="AC450" s="7"/>
      <c r="AD450" s="7"/>
      <c r="AE450" s="7"/>
    </row>
    <row r="451" spans="1:32" s="9" customFormat="1" ht="20.100000000000001" customHeight="1" x14ac:dyDescent="0.25">
      <c r="A451" s="6"/>
      <c r="B451" s="10" t="s">
        <v>2</v>
      </c>
      <c r="C451" s="13" t="s">
        <v>6</v>
      </c>
      <c r="D451" s="7">
        <v>25</v>
      </c>
      <c r="E451" s="7"/>
      <c r="F451" s="7">
        <v>4</v>
      </c>
      <c r="G451" s="8">
        <f>VLOOKUP(D451,'[2]Beam '!$C$20:$H$26,3,0)</f>
        <v>1</v>
      </c>
      <c r="H451" s="7"/>
      <c r="I451" s="7"/>
      <c r="J451" s="7"/>
      <c r="K451" s="7"/>
      <c r="L451" s="7"/>
      <c r="M451" s="7"/>
      <c r="N451" s="7"/>
      <c r="O451" s="7">
        <f>(E448+2*(G451)*D448)</f>
        <v>2.98</v>
      </c>
      <c r="P451" s="7">
        <f t="shared" si="87"/>
        <v>11.92</v>
      </c>
      <c r="Q451" s="7">
        <f>IF($D451='[2]Beam '!Q$44,$P451*'[2]Beam '!Q$45,0)</f>
        <v>0</v>
      </c>
      <c r="R451" s="7">
        <f>IF($D451='[2]Beam '!R$44,$P451*'[2]Beam '!R$45,0)</f>
        <v>0</v>
      </c>
      <c r="S451" s="7">
        <f>IF($D451='[2]Beam '!S$44,$P451*'[2]Beam '!S$45,0)</f>
        <v>0</v>
      </c>
      <c r="T451" s="7">
        <f>IF($D451='[2]Beam '!T$44,$P451*'[2]Beam '!T$45,0)</f>
        <v>0</v>
      </c>
      <c r="U451" s="7">
        <f>IF($D451='[2]Beam '!U$44,$P451*'[2]Beam '!U$45,0)</f>
        <v>0</v>
      </c>
      <c r="V451" s="7">
        <f>IF($D451='[2]Beam '!V$44,$P451*'[2]Beam '!V$45,0)</f>
        <v>45.950535714285721</v>
      </c>
      <c r="W451" s="7">
        <f>IF($D451='[2]Beam '!W$44,$P451*'[2]Beam '!W$45,0)</f>
        <v>0</v>
      </c>
      <c r="X451" s="7">
        <f t="shared" si="88"/>
        <v>45.950535714285721</v>
      </c>
      <c r="Y451" s="7"/>
      <c r="Z451" s="7"/>
      <c r="AA451" s="7"/>
      <c r="AB451" s="7"/>
      <c r="AC451" s="7"/>
      <c r="AD451" s="7"/>
      <c r="AE451" s="7"/>
    </row>
    <row r="452" spans="1:32" s="14" customFormat="1" ht="20.100000000000001" customHeight="1" x14ac:dyDescent="0.3">
      <c r="A452" s="6"/>
      <c r="B452" s="10" t="s">
        <v>2</v>
      </c>
      <c r="C452" s="13" t="s">
        <v>6</v>
      </c>
      <c r="D452" s="7">
        <v>20</v>
      </c>
      <c r="E452" s="7"/>
      <c r="F452" s="7">
        <v>2</v>
      </c>
      <c r="G452" s="8">
        <f>VLOOKUP(D452,'[2]Beam '!$C$20:$H$26,3,0)</f>
        <v>0.8</v>
      </c>
      <c r="H452" s="7"/>
      <c r="I452" s="7"/>
      <c r="J452" s="7"/>
      <c r="K452" s="7"/>
      <c r="L452" s="7"/>
      <c r="M452" s="7"/>
      <c r="N452" s="7"/>
      <c r="O452" s="7">
        <f>(E448+2*(G452)*D448)</f>
        <v>2.58</v>
      </c>
      <c r="P452" s="7">
        <f t="shared" si="87"/>
        <v>5.16</v>
      </c>
      <c r="Q452" s="7">
        <f>IF($D452='[2]Beam '!Q$44,$P452*'[2]Beam '!Q$45,0)</f>
        <v>0</v>
      </c>
      <c r="R452" s="7">
        <f>IF($D452='[2]Beam '!R$44,$P452*'[2]Beam '!R$45,0)</f>
        <v>0</v>
      </c>
      <c r="S452" s="7">
        <f>IF($D452='[2]Beam '!S$44,$P452*'[2]Beam '!S$45,0)</f>
        <v>0</v>
      </c>
      <c r="T452" s="7">
        <f>IF($D452='[2]Beam '!T$44,$P452*'[2]Beam '!T$45,0)</f>
        <v>0</v>
      </c>
      <c r="U452" s="7">
        <f>IF($D452='[2]Beam '!U$44,$P452*'[2]Beam '!U$45,0)</f>
        <v>12.730457142857142</v>
      </c>
      <c r="V452" s="7">
        <f>IF($D452='[2]Beam '!V$44,$P452*'[2]Beam '!V$45,0)</f>
        <v>0</v>
      </c>
      <c r="W452" s="7">
        <f>IF($D452='[2]Beam '!W$44,$P452*'[2]Beam '!W$45,0)</f>
        <v>0</v>
      </c>
      <c r="X452" s="7">
        <f t="shared" si="88"/>
        <v>12.730457142857142</v>
      </c>
      <c r="Y452" s="7"/>
    </row>
    <row r="453" spans="1:32" s="9" customFormat="1" ht="20.100000000000001" customHeight="1" x14ac:dyDescent="0.25">
      <c r="A453" s="6"/>
      <c r="B453" s="10" t="s">
        <v>2</v>
      </c>
      <c r="C453" s="13" t="s">
        <v>17</v>
      </c>
      <c r="D453" s="7">
        <v>12</v>
      </c>
      <c r="E453" s="7">
        <v>0.1</v>
      </c>
      <c r="F453" s="7">
        <f>ROUNDUP(E448/E453,0)</f>
        <v>10</v>
      </c>
      <c r="H453" s="7"/>
      <c r="I453" s="7"/>
      <c r="J453" s="7"/>
      <c r="K453" s="7"/>
      <c r="L453" s="7"/>
      <c r="M453" s="7"/>
      <c r="N453" s="7"/>
      <c r="O453" s="7">
        <f>(2*((G448-(2*'[2]Beam '!$D$11))+(F448-(2*'[2]Beam '!$D$11)))+(2*10*D453/1000))*D448</f>
        <v>3</v>
      </c>
      <c r="P453" s="7">
        <f t="shared" si="87"/>
        <v>30</v>
      </c>
      <c r="Q453" s="7">
        <f>IF($D453='[2]Beam '!Q$44,$P453*'[2]Beam '!Q$45,0)</f>
        <v>0</v>
      </c>
      <c r="R453" s="7">
        <f>IF($D453='[2]Beam '!R$44,$P453*'[2]Beam '!R$45,0)</f>
        <v>0</v>
      </c>
      <c r="S453" s="7">
        <f>IF($D453='[2]Beam '!S$44,$P453*'[2]Beam '!S$45,0)</f>
        <v>26.645142857142861</v>
      </c>
      <c r="T453" s="7">
        <f>IF($D453='[2]Beam '!T$44,$P453*'[2]Beam '!T$45,0)</f>
        <v>0</v>
      </c>
      <c r="U453" s="7">
        <f>IF($D453='[2]Beam '!U$44,$P453*'[2]Beam '!U$45,0)</f>
        <v>0</v>
      </c>
      <c r="V453" s="7">
        <f>IF($D453='[2]Beam '!V$44,$P453*'[2]Beam '!V$45,0)</f>
        <v>0</v>
      </c>
      <c r="W453" s="7">
        <f>IF($D453='[2]Beam '!W$44,$P453*'[2]Beam '!W$45,0)</f>
        <v>0</v>
      </c>
      <c r="X453" s="7">
        <f t="shared" si="88"/>
        <v>26.645142857142861</v>
      </c>
      <c r="Y453" s="7"/>
      <c r="Z453" s="7"/>
      <c r="AA453" s="7"/>
      <c r="AB453" s="7"/>
      <c r="AC453" s="7"/>
      <c r="AD453" s="7"/>
      <c r="AE453" s="7"/>
    </row>
    <row r="454" spans="1:32" s="9" customFormat="1" ht="21" customHeight="1" x14ac:dyDescent="0.25">
      <c r="A454" s="14"/>
      <c r="B454" s="10" t="s">
        <v>2</v>
      </c>
      <c r="C454" s="13" t="s">
        <v>18</v>
      </c>
      <c r="D454" s="14">
        <f>D453</f>
        <v>12</v>
      </c>
      <c r="E454" s="14">
        <f>+E453</f>
        <v>0.1</v>
      </c>
      <c r="F454" s="7">
        <f>ROUNDUP(E448/E454,0)</f>
        <v>10</v>
      </c>
      <c r="H454" s="14"/>
      <c r="I454" s="14"/>
      <c r="J454" s="14"/>
      <c r="K454" s="14"/>
      <c r="L454" s="14"/>
      <c r="M454" s="14"/>
      <c r="N454" s="14"/>
      <c r="O454" s="7">
        <f>(2*(((F448-'[2]Beam '!$D$11*2)/(F449-1))+(G448-'[2]Beam '!$D$11*2))+(2*10*D454/1000))*D448</f>
        <v>2.5466666666666669</v>
      </c>
      <c r="P454" s="7">
        <f t="shared" si="87"/>
        <v>25.466666666666669</v>
      </c>
      <c r="Q454" s="7">
        <f>IF($D454='[2]Beam '!Q$44,$P454*'[2]Beam '!Q$45,0)</f>
        <v>0</v>
      </c>
      <c r="R454" s="7">
        <f>IF($D454='[2]Beam '!R$44,$P454*'[2]Beam '!R$45,0)</f>
        <v>0</v>
      </c>
      <c r="S454" s="7">
        <f>IF($D454='[2]Beam '!S$44,$P454*'[2]Beam '!S$45,0)</f>
        <v>22.618765714285718</v>
      </c>
      <c r="T454" s="7">
        <f>IF($D454='[2]Beam '!T$44,$P454*'[2]Beam '!T$45,0)</f>
        <v>0</v>
      </c>
      <c r="U454" s="7">
        <f>IF($D454='[2]Beam '!U$44,$P454*'[2]Beam '!U$45,0)</f>
        <v>0</v>
      </c>
      <c r="V454" s="7">
        <f>IF($D454='[2]Beam '!V$44,$P454*'[2]Beam '!V$45,0)</f>
        <v>0</v>
      </c>
      <c r="W454" s="7">
        <f>IF($D454='[2]Beam '!W$44,$P454*'[2]Beam '!W$45,0)</f>
        <v>0</v>
      </c>
      <c r="X454" s="7">
        <f t="shared" si="88"/>
        <v>22.618765714285718</v>
      </c>
      <c r="Y454" s="14"/>
      <c r="Z454" s="7"/>
      <c r="AA454" s="7"/>
      <c r="AB454" s="7"/>
      <c r="AC454" s="7"/>
      <c r="AD454" s="7"/>
      <c r="AE454" s="7"/>
      <c r="AF454" s="7"/>
    </row>
    <row r="455" spans="1:32" s="9" customFormat="1" ht="20.100000000000001" customHeight="1" x14ac:dyDescent="0.25">
      <c r="A455" s="6"/>
      <c r="B455" s="10" t="s">
        <v>2</v>
      </c>
      <c r="C455" s="13" t="s">
        <v>11</v>
      </c>
      <c r="D455" s="7">
        <f>+'[2]Beam '!$D$15</f>
        <v>25</v>
      </c>
      <c r="E455" s="7">
        <f>+'[2]Beam '!$E$15</f>
        <v>1</v>
      </c>
      <c r="F455" s="7">
        <f>ROUNDUP((E448)/E455,0)</f>
        <v>1</v>
      </c>
      <c r="G455" s="8"/>
      <c r="H455" s="8"/>
      <c r="I455" s="7"/>
      <c r="J455" s="7"/>
      <c r="K455" s="7"/>
      <c r="L455" s="7"/>
      <c r="M455" s="7"/>
      <c r="N455" s="7"/>
      <c r="O455" s="7">
        <f>F448-'[2]Beam '!$F$15</f>
        <v>0.34</v>
      </c>
      <c r="P455" s="7">
        <f t="shared" si="87"/>
        <v>0.34</v>
      </c>
      <c r="Q455" s="7">
        <f>IF($D455='[2]Beam '!Q$44,$P455*'[2]Beam '!Q$45,0)</f>
        <v>0</v>
      </c>
      <c r="R455" s="7">
        <f>IF($D455='[2]Beam '!R$44,$P455*'[2]Beam '!R$45,0)</f>
        <v>0</v>
      </c>
      <c r="S455" s="7">
        <f>IF($D455='[2]Beam '!S$44,$P455*'[2]Beam '!S$45,0)</f>
        <v>0</v>
      </c>
      <c r="T455" s="7">
        <f>IF($D455='[2]Beam '!T$44,$P455*'[2]Beam '!T$45,0)</f>
        <v>0</v>
      </c>
      <c r="U455" s="7">
        <f>IF($D455='[2]Beam '!U$44,$P455*'[2]Beam '!U$45,0)</f>
        <v>0</v>
      </c>
      <c r="V455" s="7">
        <f>IF($D455='[2]Beam '!V$44,$P455*'[2]Beam '!V$45,0)</f>
        <v>1.3106696428571432</v>
      </c>
      <c r="W455" s="7">
        <f>IF($D455='[2]Beam '!W$44,$P455*'[2]Beam '!W$45,0)</f>
        <v>0</v>
      </c>
      <c r="X455" s="7">
        <f t="shared" si="88"/>
        <v>1.3106696428571432</v>
      </c>
      <c r="Y455" s="7"/>
      <c r="Z455" s="7"/>
      <c r="AA455" s="7"/>
      <c r="AB455" s="7"/>
      <c r="AC455" s="7"/>
      <c r="AD455" s="7"/>
      <c r="AE455" s="7"/>
    </row>
    <row r="456" spans="1:32" s="9" customFormat="1" ht="20.100000000000001" customHeight="1" x14ac:dyDescent="0.25">
      <c r="A456" s="7">
        <v>1</v>
      </c>
      <c r="B456" s="10" t="s">
        <v>2</v>
      </c>
      <c r="C456" s="11" t="s">
        <v>71</v>
      </c>
      <c r="D456" s="11">
        <v>1</v>
      </c>
      <c r="E456" s="11">
        <v>2.85</v>
      </c>
      <c r="F456" s="11">
        <v>0.4</v>
      </c>
      <c r="G456" s="11">
        <v>1</v>
      </c>
      <c r="H456" s="7">
        <f>G456-0.2</f>
        <v>0.8</v>
      </c>
      <c r="I456" s="7">
        <f>E456*F456*G456*D456</f>
        <v>1.1400000000000001</v>
      </c>
      <c r="J456" s="7">
        <f>(2*(E456)*H456*D456)+(E456*F456)</f>
        <v>5.7000000000000011</v>
      </c>
      <c r="K456" s="12">
        <f>IF(E456=0.3,J456,0)</f>
        <v>0</v>
      </c>
      <c r="L456" s="12">
        <f>IF(AND(E456&gt;0.3,E456&lt;=0.75),J456,0)</f>
        <v>0</v>
      </c>
      <c r="M456" s="12">
        <f>IF(AND(E456&gt;0.75,E456&lt;=1.2),J456,0)</f>
        <v>0</v>
      </c>
      <c r="N456" s="12">
        <f>IF(E456&gt;1.2,J456,0)</f>
        <v>5.7000000000000011</v>
      </c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>
        <f>SUM(X457:X464)/I456</f>
        <v>246.08343295739348</v>
      </c>
      <c r="Z456" s="7"/>
      <c r="AA456" s="7"/>
      <c r="AB456" s="7"/>
      <c r="AC456" s="7"/>
      <c r="AD456" s="7"/>
      <c r="AE456" s="7"/>
    </row>
    <row r="457" spans="1:32" s="9" customFormat="1" ht="20.100000000000001" customHeight="1" x14ac:dyDescent="0.25">
      <c r="A457" s="6"/>
      <c r="B457" s="10" t="s">
        <v>2</v>
      </c>
      <c r="C457" s="13" t="s">
        <v>4</v>
      </c>
      <c r="D457" s="7">
        <v>25</v>
      </c>
      <c r="E457" s="7"/>
      <c r="F457" s="7">
        <v>2</v>
      </c>
      <c r="G457" s="8">
        <f>VLOOKUP(D457,'[2]Beam '!$C$20:$H$26,3,0)</f>
        <v>1</v>
      </c>
      <c r="H457" s="8"/>
      <c r="I457" s="7"/>
      <c r="J457" s="7"/>
      <c r="K457" s="7"/>
      <c r="L457" s="7"/>
      <c r="M457" s="7"/>
      <c r="N457" s="7"/>
      <c r="O457" s="7">
        <f>(E456+1*(G457)+1*(0.4/2)*D456)</f>
        <v>4.05</v>
      </c>
      <c r="P457" s="7">
        <f t="shared" ref="P457:P465" si="89">O457*F457</f>
        <v>8.1</v>
      </c>
      <c r="Q457" s="7">
        <f>IF($D457='[2]Beam '!Q$44,$P457*'[2]Beam '!Q$45,0)</f>
        <v>0</v>
      </c>
      <c r="R457" s="7">
        <f>IF($D457='[2]Beam '!R$44,$P457*'[2]Beam '!R$45,0)</f>
        <v>0</v>
      </c>
      <c r="S457" s="7">
        <f>IF($D457='[2]Beam '!S$44,$P457*'[2]Beam '!S$45,0)</f>
        <v>0</v>
      </c>
      <c r="T457" s="7">
        <f>IF($D457='[2]Beam '!T$44,$P457*'[2]Beam '!T$45,0)</f>
        <v>0</v>
      </c>
      <c r="U457" s="7">
        <f>IF($D457='[2]Beam '!U$44,$P457*'[2]Beam '!U$45,0)</f>
        <v>0</v>
      </c>
      <c r="V457" s="7">
        <f>IF($D457='[2]Beam '!V$44,$P457*'[2]Beam '!V$45,0)</f>
        <v>31.22477678571429</v>
      </c>
      <c r="W457" s="7">
        <f>IF($D457='[2]Beam '!W$44,$P457*'[2]Beam '!W$45,0)</f>
        <v>0</v>
      </c>
      <c r="X457" s="7">
        <f t="shared" ref="X457:X465" si="90">SUM(Q457:W457)</f>
        <v>31.22477678571429</v>
      </c>
      <c r="Y457" s="7"/>
      <c r="Z457" s="7"/>
      <c r="AA457" s="7"/>
      <c r="AB457" s="7"/>
      <c r="AC457" s="7"/>
      <c r="AD457" s="7"/>
      <c r="AE457" s="7"/>
    </row>
    <row r="458" spans="1:32" s="9" customFormat="1" ht="20.100000000000001" customHeight="1" x14ac:dyDescent="0.25">
      <c r="A458" s="6"/>
      <c r="B458" s="10" t="s">
        <v>2</v>
      </c>
      <c r="C458" s="13" t="s">
        <v>4</v>
      </c>
      <c r="D458" s="7">
        <v>20</v>
      </c>
      <c r="E458" s="7"/>
      <c r="F458" s="7">
        <v>2</v>
      </c>
      <c r="G458" s="8">
        <f>VLOOKUP(D458,'[2]Beam '!$C$20:$H$26,3,0)</f>
        <v>0.8</v>
      </c>
      <c r="H458" s="8"/>
      <c r="I458" s="7"/>
      <c r="J458" s="7"/>
      <c r="K458" s="7"/>
      <c r="L458" s="7"/>
      <c r="M458" s="7"/>
      <c r="N458" s="7"/>
      <c r="O458" s="7">
        <f>(E456+1*(G458)+1*(0.4/2)*D456)</f>
        <v>3.8500000000000005</v>
      </c>
      <c r="P458" s="7">
        <f t="shared" si="89"/>
        <v>7.7000000000000011</v>
      </c>
      <c r="Q458" s="7">
        <f>IF($D458='[2]Beam '!Q$44,$P458*'[2]Beam '!Q$45,0)</f>
        <v>0</v>
      </c>
      <c r="R458" s="7">
        <f>IF($D458='[2]Beam '!R$44,$P458*'[2]Beam '!R$45,0)</f>
        <v>0</v>
      </c>
      <c r="S458" s="7">
        <f>IF($D458='[2]Beam '!S$44,$P458*'[2]Beam '!S$45,0)</f>
        <v>0</v>
      </c>
      <c r="T458" s="7">
        <f>IF($D458='[2]Beam '!T$44,$P458*'[2]Beam '!T$45,0)</f>
        <v>0</v>
      </c>
      <c r="U458" s="7">
        <f>IF($D458='[2]Beam '!U$44,$P458*'[2]Beam '!U$45,0)</f>
        <v>18.997000000000003</v>
      </c>
      <c r="V458" s="7">
        <f>IF($D458='[2]Beam '!V$44,$P458*'[2]Beam '!V$45,0)</f>
        <v>0</v>
      </c>
      <c r="W458" s="7">
        <f>IF($D458='[2]Beam '!W$44,$P458*'[2]Beam '!W$45,0)</f>
        <v>0</v>
      </c>
      <c r="X458" s="7">
        <f t="shared" si="90"/>
        <v>18.997000000000003</v>
      </c>
      <c r="Y458" s="7"/>
      <c r="Z458" s="7"/>
      <c r="AA458" s="7"/>
      <c r="AB458" s="7"/>
      <c r="AC458" s="7"/>
      <c r="AD458" s="7"/>
      <c r="AE458" s="7"/>
    </row>
    <row r="459" spans="1:32" s="9" customFormat="1" ht="20.100000000000001" customHeight="1" x14ac:dyDescent="0.25">
      <c r="A459" s="6"/>
      <c r="B459" s="10" t="s">
        <v>2</v>
      </c>
      <c r="C459" s="13" t="s">
        <v>46</v>
      </c>
      <c r="D459" s="7">
        <v>16</v>
      </c>
      <c r="E459" s="7"/>
      <c r="F459" s="7">
        <v>4</v>
      </c>
      <c r="G459" s="8">
        <f>VLOOKUP(D459,'[2]Beam '!$C$20:$H$26,3,0)</f>
        <v>0.625</v>
      </c>
      <c r="H459" s="8"/>
      <c r="I459" s="7"/>
      <c r="J459" s="7"/>
      <c r="K459" s="7"/>
      <c r="L459" s="7"/>
      <c r="M459" s="7"/>
      <c r="N459" s="7"/>
      <c r="O459" s="7">
        <f>(0.75+1*(0.4/2)*D456)</f>
        <v>0.95</v>
      </c>
      <c r="P459" s="7">
        <f t="shared" si="89"/>
        <v>3.8</v>
      </c>
      <c r="Q459" s="7">
        <f>IF($D459='[2]Beam '!Q$44,$P459*'[2]Beam '!Q$45,0)</f>
        <v>0</v>
      </c>
      <c r="R459" s="7">
        <f>IF($D459='[2]Beam '!R$44,$P459*'[2]Beam '!R$45,0)</f>
        <v>0</v>
      </c>
      <c r="S459" s="7">
        <f>IF($D459='[2]Beam '!S$44,$P459*'[2]Beam '!S$45,0)</f>
        <v>0</v>
      </c>
      <c r="T459" s="7">
        <f>IF($D459='[2]Beam '!T$44,$P459*'[2]Beam '!T$45,0)</f>
        <v>6.0000914285714284</v>
      </c>
      <c r="U459" s="7">
        <f>IF($D459='[2]Beam '!U$44,$P459*'[2]Beam '!U$45,0)</f>
        <v>0</v>
      </c>
      <c r="V459" s="7">
        <f>IF($D459='[2]Beam '!V$44,$P459*'[2]Beam '!V$45,0)</f>
        <v>0</v>
      </c>
      <c r="W459" s="7">
        <f>IF($D459='[2]Beam '!W$44,$P459*'[2]Beam '!W$45,0)</f>
        <v>0</v>
      </c>
      <c r="X459" s="7">
        <f t="shared" si="90"/>
        <v>6.0000914285714284</v>
      </c>
      <c r="Y459" s="7"/>
      <c r="Z459" s="7"/>
      <c r="AA459" s="7"/>
      <c r="AB459" s="7"/>
      <c r="AC459" s="7"/>
      <c r="AD459" s="7"/>
      <c r="AE459" s="7"/>
    </row>
    <row r="460" spans="1:32" s="9" customFormat="1" ht="20.100000000000001" customHeight="1" x14ac:dyDescent="0.25">
      <c r="A460" s="6"/>
      <c r="B460" s="10" t="s">
        <v>2</v>
      </c>
      <c r="C460" s="13" t="s">
        <v>6</v>
      </c>
      <c r="D460" s="7">
        <v>25</v>
      </c>
      <c r="E460" s="7"/>
      <c r="F460" s="7">
        <v>2</v>
      </c>
      <c r="G460" s="8">
        <f>VLOOKUP(D460,'[2]Beam '!$C$20:$H$26,3,0)</f>
        <v>1</v>
      </c>
      <c r="H460" s="7"/>
      <c r="I460" s="7"/>
      <c r="J460" s="7"/>
      <c r="K460" s="7"/>
      <c r="L460" s="7"/>
      <c r="M460" s="7"/>
      <c r="N460" s="7"/>
      <c r="O460" s="7">
        <f>(E456+1*(G460)+1*(0.4/2)*D456)</f>
        <v>4.05</v>
      </c>
      <c r="P460" s="7">
        <f t="shared" si="89"/>
        <v>8.1</v>
      </c>
      <c r="Q460" s="7">
        <f>IF($D460='[2]Beam '!Q$44,$P460*'[2]Beam '!Q$45,0)</f>
        <v>0</v>
      </c>
      <c r="R460" s="7">
        <f>IF($D460='[2]Beam '!R$44,$P460*'[2]Beam '!R$45,0)</f>
        <v>0</v>
      </c>
      <c r="S460" s="7">
        <f>IF($D460='[2]Beam '!S$44,$P460*'[2]Beam '!S$45,0)</f>
        <v>0</v>
      </c>
      <c r="T460" s="7">
        <f>IF($D460='[2]Beam '!T$44,$P460*'[2]Beam '!T$45,0)</f>
        <v>0</v>
      </c>
      <c r="U460" s="7">
        <f>IF($D460='[2]Beam '!U$44,$P460*'[2]Beam '!U$45,0)</f>
        <v>0</v>
      </c>
      <c r="V460" s="7">
        <f>IF($D460='[2]Beam '!V$44,$P460*'[2]Beam '!V$45,0)</f>
        <v>31.22477678571429</v>
      </c>
      <c r="W460" s="7">
        <f>IF($D460='[2]Beam '!W$44,$P460*'[2]Beam '!W$45,0)</f>
        <v>0</v>
      </c>
      <c r="X460" s="7">
        <f t="shared" si="90"/>
        <v>31.22477678571429</v>
      </c>
      <c r="Y460" s="7"/>
      <c r="Z460" s="7"/>
      <c r="AA460" s="7"/>
      <c r="AB460" s="7"/>
      <c r="AC460" s="7"/>
      <c r="AD460" s="7"/>
      <c r="AE460" s="7"/>
    </row>
    <row r="461" spans="1:32" s="9" customFormat="1" ht="20.100000000000001" customHeight="1" x14ac:dyDescent="0.25">
      <c r="A461" s="6"/>
      <c r="B461" s="10" t="s">
        <v>2</v>
      </c>
      <c r="C461" s="13" t="s">
        <v>6</v>
      </c>
      <c r="D461" s="7">
        <v>20</v>
      </c>
      <c r="E461" s="7"/>
      <c r="F461" s="7">
        <v>2</v>
      </c>
      <c r="G461" s="8">
        <f>VLOOKUP(D461,'[2]Beam '!$C$20:$H$26,3,0)</f>
        <v>0.8</v>
      </c>
      <c r="H461" s="7"/>
      <c r="I461" s="7"/>
      <c r="J461" s="7"/>
      <c r="K461" s="7"/>
      <c r="L461" s="7"/>
      <c r="M461" s="7"/>
      <c r="N461" s="7"/>
      <c r="O461" s="7">
        <f>(E455+1*(G461)+1*(0.4/2)*D455)</f>
        <v>6.8</v>
      </c>
      <c r="P461" s="7">
        <f t="shared" si="89"/>
        <v>13.6</v>
      </c>
      <c r="Q461" s="7">
        <f>IF($D461='[2]Beam '!Q$44,$P461*'[2]Beam '!Q$45,0)</f>
        <v>0</v>
      </c>
      <c r="R461" s="7">
        <f>IF($D461='[2]Beam '!R$44,$P461*'[2]Beam '!R$45,0)</f>
        <v>0</v>
      </c>
      <c r="S461" s="7">
        <f>IF($D461='[2]Beam '!S$44,$P461*'[2]Beam '!S$45,0)</f>
        <v>0</v>
      </c>
      <c r="T461" s="7">
        <f>IF($D461='[2]Beam '!T$44,$P461*'[2]Beam '!T$45,0)</f>
        <v>0</v>
      </c>
      <c r="U461" s="7">
        <f>IF($D461='[2]Beam '!U$44,$P461*'[2]Beam '!U$45,0)</f>
        <v>33.553142857142852</v>
      </c>
      <c r="V461" s="7">
        <f>IF($D461='[2]Beam '!V$44,$P461*'[2]Beam '!V$45,0)</f>
        <v>0</v>
      </c>
      <c r="W461" s="7">
        <f>IF($D461='[2]Beam '!W$44,$P461*'[2]Beam '!W$45,0)</f>
        <v>0</v>
      </c>
      <c r="X461" s="7">
        <f t="shared" si="90"/>
        <v>33.553142857142852</v>
      </c>
      <c r="Y461" s="7"/>
      <c r="Z461" s="7"/>
      <c r="AA461" s="7"/>
      <c r="AB461" s="7"/>
      <c r="AC461" s="7"/>
      <c r="AD461" s="7"/>
      <c r="AE461" s="7"/>
    </row>
    <row r="462" spans="1:32" s="14" customFormat="1" ht="20.100000000000001" customHeight="1" x14ac:dyDescent="0.3">
      <c r="A462" s="6"/>
      <c r="B462" s="10" t="s">
        <v>2</v>
      </c>
      <c r="C462" s="13" t="s">
        <v>13</v>
      </c>
      <c r="D462" s="7">
        <v>20</v>
      </c>
      <c r="E462" s="7"/>
      <c r="F462" s="7">
        <v>4</v>
      </c>
      <c r="G462" s="8">
        <f>VLOOKUP(D462,'[2]Beam '!$C$20:$H$26,3,0)</f>
        <v>0.8</v>
      </c>
      <c r="H462" s="7"/>
      <c r="I462" s="7"/>
      <c r="J462" s="7"/>
      <c r="K462" s="7"/>
      <c r="L462" s="7"/>
      <c r="M462" s="7"/>
      <c r="N462" s="7"/>
      <c r="O462" s="7">
        <f>(0.75+1*(G462)*D456)</f>
        <v>1.55</v>
      </c>
      <c r="P462" s="7">
        <f t="shared" si="89"/>
        <v>6.2</v>
      </c>
      <c r="Q462" s="7">
        <f>IF($D462='[2]Beam '!Q$44,$P462*'[2]Beam '!Q$45,0)</f>
        <v>0</v>
      </c>
      <c r="R462" s="7">
        <f>IF($D462='[2]Beam '!R$44,$P462*'[2]Beam '!R$45,0)</f>
        <v>0</v>
      </c>
      <c r="S462" s="7">
        <f>IF($D462='[2]Beam '!S$44,$P462*'[2]Beam '!S$45,0)</f>
        <v>0</v>
      </c>
      <c r="T462" s="7">
        <f>IF($D462='[2]Beam '!T$44,$P462*'[2]Beam '!T$45,0)</f>
        <v>0</v>
      </c>
      <c r="U462" s="7">
        <f>IF($D462='[2]Beam '!U$44,$P462*'[2]Beam '!U$45,0)</f>
        <v>15.296285714285714</v>
      </c>
      <c r="V462" s="7">
        <f>IF($D462='[2]Beam '!V$44,$P462*'[2]Beam '!V$45,0)</f>
        <v>0</v>
      </c>
      <c r="W462" s="7">
        <f>IF($D462='[2]Beam '!W$44,$P462*'[2]Beam '!W$45,0)</f>
        <v>0</v>
      </c>
      <c r="X462" s="7">
        <f t="shared" si="90"/>
        <v>15.296285714285714</v>
      </c>
      <c r="Y462" s="7"/>
    </row>
    <row r="463" spans="1:32" s="9" customFormat="1" ht="20.100000000000001" customHeight="1" x14ac:dyDescent="0.25">
      <c r="A463" s="6"/>
      <c r="B463" s="10" t="s">
        <v>2</v>
      </c>
      <c r="C463" s="13" t="s">
        <v>17</v>
      </c>
      <c r="D463" s="7">
        <v>12</v>
      </c>
      <c r="E463" s="7">
        <v>0.1</v>
      </c>
      <c r="F463" s="7">
        <f>ROUNDUP(E456/E463,0)</f>
        <v>29</v>
      </c>
      <c r="H463" s="7"/>
      <c r="I463" s="7"/>
      <c r="J463" s="7"/>
      <c r="K463" s="7"/>
      <c r="L463" s="7"/>
      <c r="M463" s="7"/>
      <c r="N463" s="7"/>
      <c r="O463" s="7">
        <f>(2*((G456-(2*'[2]Beam '!$D$11))+(F456-(2*'[2]Beam '!$D$11)))+(2*10*D463/1000))*D456</f>
        <v>2.8</v>
      </c>
      <c r="P463" s="7">
        <f t="shared" si="89"/>
        <v>81.199999999999989</v>
      </c>
      <c r="Q463" s="7">
        <f>IF($D463='[2]Beam '!Q$44,$P463*'[2]Beam '!Q$45,0)</f>
        <v>0</v>
      </c>
      <c r="R463" s="7">
        <f>IF($D463='[2]Beam '!R$44,$P463*'[2]Beam '!R$45,0)</f>
        <v>0</v>
      </c>
      <c r="S463" s="7">
        <f>IF($D463='[2]Beam '!S$44,$P463*'[2]Beam '!S$45,0)</f>
        <v>72.119520000000009</v>
      </c>
      <c r="T463" s="7">
        <f>IF($D463='[2]Beam '!T$44,$P463*'[2]Beam '!T$45,0)</f>
        <v>0</v>
      </c>
      <c r="U463" s="7">
        <f>IF($D463='[2]Beam '!U$44,$P463*'[2]Beam '!U$45,0)</f>
        <v>0</v>
      </c>
      <c r="V463" s="7">
        <f>IF($D463='[2]Beam '!V$44,$P463*'[2]Beam '!V$45,0)</f>
        <v>0</v>
      </c>
      <c r="W463" s="7">
        <f>IF($D463='[2]Beam '!W$44,$P463*'[2]Beam '!W$45,0)</f>
        <v>0</v>
      </c>
      <c r="X463" s="7">
        <f t="shared" si="90"/>
        <v>72.119520000000009</v>
      </c>
      <c r="Y463" s="7"/>
      <c r="Z463" s="7"/>
      <c r="AA463" s="7"/>
      <c r="AB463" s="7"/>
      <c r="AC463" s="7"/>
      <c r="AD463" s="7"/>
      <c r="AE463" s="7"/>
    </row>
    <row r="464" spans="1:32" s="9" customFormat="1" ht="21" customHeight="1" x14ac:dyDescent="0.25">
      <c r="A464" s="14"/>
      <c r="B464" s="10" t="s">
        <v>2</v>
      </c>
      <c r="C464" s="13" t="s">
        <v>18</v>
      </c>
      <c r="D464" s="14">
        <f>D463</f>
        <v>12</v>
      </c>
      <c r="E464" s="14">
        <f>+E463</f>
        <v>0.1</v>
      </c>
      <c r="F464" s="7">
        <f>ROUNDUP(E456/E464,0)</f>
        <v>29</v>
      </c>
      <c r="H464" s="14"/>
      <c r="I464" s="14"/>
      <c r="J464" s="14"/>
      <c r="K464" s="14"/>
      <c r="L464" s="14"/>
      <c r="M464" s="14"/>
      <c r="N464" s="14"/>
      <c r="O464" s="7">
        <f>(2*(((F456-'[2]Beam '!$D$11*2)/(F457-1))+(G456-'[2]Beam '!$D$11*2))+(2*10*D464/1000))*D456</f>
        <v>2.8</v>
      </c>
      <c r="P464" s="7">
        <f t="shared" si="89"/>
        <v>81.199999999999989</v>
      </c>
      <c r="Q464" s="7">
        <f>IF($D464='[2]Beam '!Q$44,$P464*'[2]Beam '!Q$45,0)</f>
        <v>0</v>
      </c>
      <c r="R464" s="7">
        <f>IF($D464='[2]Beam '!R$44,$P464*'[2]Beam '!R$45,0)</f>
        <v>0</v>
      </c>
      <c r="S464" s="7">
        <f>IF($D464='[2]Beam '!S$44,$P464*'[2]Beam '!S$45,0)</f>
        <v>72.119520000000009</v>
      </c>
      <c r="T464" s="7">
        <f>IF($D464='[2]Beam '!T$44,$P464*'[2]Beam '!T$45,0)</f>
        <v>0</v>
      </c>
      <c r="U464" s="7">
        <f>IF($D464='[2]Beam '!U$44,$P464*'[2]Beam '!U$45,0)</f>
        <v>0</v>
      </c>
      <c r="V464" s="7">
        <f>IF($D464='[2]Beam '!V$44,$P464*'[2]Beam '!V$45,0)</f>
        <v>0</v>
      </c>
      <c r="W464" s="7">
        <f>IF($D464='[2]Beam '!W$44,$P464*'[2]Beam '!W$45,0)</f>
        <v>0</v>
      </c>
      <c r="X464" s="7">
        <f t="shared" si="90"/>
        <v>72.119520000000009</v>
      </c>
      <c r="Y464" s="14"/>
      <c r="Z464" s="7"/>
      <c r="AA464" s="7"/>
      <c r="AB464" s="7"/>
      <c r="AC464" s="7"/>
      <c r="AD464" s="7"/>
      <c r="AE464" s="7"/>
      <c r="AF464" s="7"/>
    </row>
    <row r="465" spans="1:32" s="9" customFormat="1" ht="20.100000000000001" customHeight="1" x14ac:dyDescent="0.25">
      <c r="A465" s="6"/>
      <c r="B465" s="10" t="s">
        <v>2</v>
      </c>
      <c r="C465" s="13" t="s">
        <v>11</v>
      </c>
      <c r="D465" s="7">
        <f>+'[2]Beam '!$D$15</f>
        <v>25</v>
      </c>
      <c r="E465" s="7">
        <f>+'[2]Beam '!$E$15</f>
        <v>1</v>
      </c>
      <c r="F465" s="7">
        <f>ROUNDUP((0.75+0.75)/E465,0)</f>
        <v>2</v>
      </c>
      <c r="G465" s="8"/>
      <c r="H465" s="8"/>
      <c r="I465" s="7"/>
      <c r="J465" s="7"/>
      <c r="K465" s="7"/>
      <c r="L465" s="7"/>
      <c r="M465" s="7"/>
      <c r="N465" s="7"/>
      <c r="O465" s="7">
        <f>F456-'[2]Beam '!$F$15</f>
        <v>0.34</v>
      </c>
      <c r="P465" s="7">
        <f t="shared" si="89"/>
        <v>0.68</v>
      </c>
      <c r="Q465" s="7">
        <f>IF($D465='[2]Beam '!Q$44,$P465*'[2]Beam '!Q$45,0)</f>
        <v>0</v>
      </c>
      <c r="R465" s="7">
        <f>IF($D465='[2]Beam '!R$44,$P465*'[2]Beam '!R$45,0)</f>
        <v>0</v>
      </c>
      <c r="S465" s="7">
        <f>IF($D465='[2]Beam '!S$44,$P465*'[2]Beam '!S$45,0)</f>
        <v>0</v>
      </c>
      <c r="T465" s="7">
        <f>IF($D465='[2]Beam '!T$44,$P465*'[2]Beam '!T$45,0)</f>
        <v>0</v>
      </c>
      <c r="U465" s="7">
        <f>IF($D465='[2]Beam '!U$44,$P465*'[2]Beam '!U$45,0)</f>
        <v>0</v>
      </c>
      <c r="V465" s="7">
        <f>IF($D465='[2]Beam '!V$44,$P465*'[2]Beam '!V$45,0)</f>
        <v>2.6213392857142863</v>
      </c>
      <c r="W465" s="7">
        <f>IF($D465='[2]Beam '!W$44,$P465*'[2]Beam '!W$45,0)</f>
        <v>0</v>
      </c>
      <c r="X465" s="7">
        <f t="shared" si="90"/>
        <v>2.6213392857142863</v>
      </c>
      <c r="Y465" s="7"/>
      <c r="Z465" s="7"/>
      <c r="AA465" s="7"/>
      <c r="AB465" s="7"/>
      <c r="AC465" s="7"/>
      <c r="AD465" s="7"/>
      <c r="AE465" s="7"/>
    </row>
    <row r="466" spans="1:32" s="9" customFormat="1" ht="20.100000000000001" customHeight="1" x14ac:dyDescent="0.25">
      <c r="A466" s="7">
        <v>1</v>
      </c>
      <c r="B466" s="10" t="s">
        <v>2</v>
      </c>
      <c r="C466" s="11" t="s">
        <v>72</v>
      </c>
      <c r="D466" s="11">
        <v>1</v>
      </c>
      <c r="E466" s="11">
        <v>5.94</v>
      </c>
      <c r="F466" s="11">
        <v>0.4</v>
      </c>
      <c r="G466" s="11">
        <v>1</v>
      </c>
      <c r="H466" s="7">
        <f>G466-0.2</f>
        <v>0.8</v>
      </c>
      <c r="I466" s="7">
        <f>E466*F466*G466*D466</f>
        <v>2.3760000000000003</v>
      </c>
      <c r="J466" s="7">
        <f>(2*(E466)*H466*D466)+(E466*F466)</f>
        <v>11.880000000000003</v>
      </c>
      <c r="K466" s="12">
        <f>IF(E466=0.3,J466,0)</f>
        <v>0</v>
      </c>
      <c r="L466" s="12">
        <f>IF(AND(E466&gt;0.3,E466&lt;=0.75),J466,0)</f>
        <v>0</v>
      </c>
      <c r="M466" s="12">
        <f>IF(AND(E466&gt;0.75,E466&lt;=1.2),J466,0)</f>
        <v>0</v>
      </c>
      <c r="N466" s="12">
        <f>IF(E466&gt;1.2,J466,0)</f>
        <v>11.880000000000003</v>
      </c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>
        <f>SUM(X467:X476)/I466</f>
        <v>187.8566886243386</v>
      </c>
      <c r="Z466" s="7"/>
      <c r="AA466" s="7"/>
      <c r="AB466" s="7"/>
      <c r="AC466" s="7"/>
      <c r="AD466" s="7"/>
      <c r="AE466" s="7"/>
    </row>
    <row r="467" spans="1:32" s="9" customFormat="1" ht="20.100000000000001" customHeight="1" x14ac:dyDescent="0.25">
      <c r="A467" s="6"/>
      <c r="B467" s="10" t="s">
        <v>2</v>
      </c>
      <c r="C467" s="13" t="s">
        <v>4</v>
      </c>
      <c r="D467" s="7">
        <v>25</v>
      </c>
      <c r="E467" s="7"/>
      <c r="F467" s="7">
        <v>2</v>
      </c>
      <c r="G467" s="8">
        <f>VLOOKUP(D467,'[2]Beam '!$C$20:$H$26,3,0)</f>
        <v>1</v>
      </c>
      <c r="H467" s="8"/>
      <c r="I467" s="7"/>
      <c r="J467" s="7"/>
      <c r="K467" s="7"/>
      <c r="L467" s="7"/>
      <c r="M467" s="7"/>
      <c r="N467" s="7"/>
      <c r="O467" s="7">
        <f>(E466+2*(0.4/2)*D466)</f>
        <v>6.3400000000000007</v>
      </c>
      <c r="P467" s="7">
        <f t="shared" ref="P467:P477" si="91">O467*F467</f>
        <v>12.680000000000001</v>
      </c>
      <c r="Q467" s="7">
        <f>IF($D467='[2]Beam '!Q$44,$P467*'[2]Beam '!Q$45,0)</f>
        <v>0</v>
      </c>
      <c r="R467" s="7">
        <f>IF($D467='[2]Beam '!R$44,$P467*'[2]Beam '!R$45,0)</f>
        <v>0</v>
      </c>
      <c r="S467" s="7">
        <f>IF($D467='[2]Beam '!S$44,$P467*'[2]Beam '!S$45,0)</f>
        <v>0</v>
      </c>
      <c r="T467" s="7">
        <f>IF($D467='[2]Beam '!T$44,$P467*'[2]Beam '!T$45,0)</f>
        <v>0</v>
      </c>
      <c r="U467" s="7">
        <f>IF($D467='[2]Beam '!U$44,$P467*'[2]Beam '!U$45,0)</f>
        <v>0</v>
      </c>
      <c r="V467" s="7">
        <f>IF($D467='[2]Beam '!V$44,$P467*'[2]Beam '!V$45,0)</f>
        <v>48.880267857142869</v>
      </c>
      <c r="W467" s="7">
        <f>IF($D467='[2]Beam '!W$44,$P467*'[2]Beam '!W$45,0)</f>
        <v>0</v>
      </c>
      <c r="X467" s="7">
        <f t="shared" ref="X467:X477" si="92">SUM(Q467:W467)</f>
        <v>48.880267857142869</v>
      </c>
      <c r="Y467" s="7"/>
      <c r="Z467" s="7"/>
      <c r="AA467" s="7"/>
      <c r="AB467" s="7"/>
      <c r="AC467" s="7"/>
      <c r="AD467" s="7"/>
      <c r="AE467" s="7"/>
    </row>
    <row r="468" spans="1:32" s="9" customFormat="1" ht="20.100000000000001" customHeight="1" x14ac:dyDescent="0.25">
      <c r="A468" s="6"/>
      <c r="B468" s="10" t="s">
        <v>2</v>
      </c>
      <c r="C468" s="13" t="s">
        <v>4</v>
      </c>
      <c r="D468" s="7">
        <v>20</v>
      </c>
      <c r="E468" s="7"/>
      <c r="F468" s="7">
        <v>2</v>
      </c>
      <c r="G468" s="8">
        <f>VLOOKUP(D468,'[2]Beam '!$C$20:$H$26,3,0)</f>
        <v>0.8</v>
      </c>
      <c r="H468" s="8"/>
      <c r="I468" s="7"/>
      <c r="J468" s="7"/>
      <c r="K468" s="7"/>
      <c r="L468" s="7"/>
      <c r="M468" s="7"/>
      <c r="N468" s="7"/>
      <c r="O468" s="7">
        <f>(E466+2*(0.4/2)*D466)</f>
        <v>6.3400000000000007</v>
      </c>
      <c r="P468" s="7">
        <f t="shared" si="91"/>
        <v>12.680000000000001</v>
      </c>
      <c r="Q468" s="7">
        <f>IF($D468='[2]Beam '!Q$44,$P468*'[2]Beam '!Q$45,0)</f>
        <v>0</v>
      </c>
      <c r="R468" s="7">
        <f>IF($D468='[2]Beam '!R$44,$P468*'[2]Beam '!R$45,0)</f>
        <v>0</v>
      </c>
      <c r="S468" s="7">
        <f>IF($D468='[2]Beam '!S$44,$P468*'[2]Beam '!S$45,0)</f>
        <v>0</v>
      </c>
      <c r="T468" s="7">
        <f>IF($D468='[2]Beam '!T$44,$P468*'[2]Beam '!T$45,0)</f>
        <v>0</v>
      </c>
      <c r="U468" s="7">
        <f>IF($D468='[2]Beam '!U$44,$P468*'[2]Beam '!U$45,0)</f>
        <v>31.283371428571431</v>
      </c>
      <c r="V468" s="7">
        <f>IF($D468='[2]Beam '!V$44,$P468*'[2]Beam '!V$45,0)</f>
        <v>0</v>
      </c>
      <c r="W468" s="7">
        <f>IF($D468='[2]Beam '!W$44,$P468*'[2]Beam '!W$45,0)</f>
        <v>0</v>
      </c>
      <c r="X468" s="7">
        <f t="shared" si="92"/>
        <v>31.283371428571431</v>
      </c>
      <c r="Y468" s="7"/>
      <c r="Z468" s="7"/>
      <c r="AA468" s="7"/>
      <c r="AB468" s="7"/>
      <c r="AC468" s="7"/>
      <c r="AD468" s="7"/>
      <c r="AE468" s="7"/>
    </row>
    <row r="469" spans="1:32" s="9" customFormat="1" ht="20.100000000000001" customHeight="1" x14ac:dyDescent="0.25">
      <c r="A469" s="6"/>
      <c r="B469" s="10" t="s">
        <v>2</v>
      </c>
      <c r="C469" s="13" t="s">
        <v>46</v>
      </c>
      <c r="D469" s="7">
        <v>16</v>
      </c>
      <c r="E469" s="7"/>
      <c r="F469" s="7">
        <v>4</v>
      </c>
      <c r="G469" s="8">
        <f>VLOOKUP(D469,'[2]Beam '!$C$20:$H$26,3,0)</f>
        <v>0.625</v>
      </c>
      <c r="H469" s="8"/>
      <c r="I469" s="7"/>
      <c r="J469" s="7"/>
      <c r="K469" s="7"/>
      <c r="L469" s="7"/>
      <c r="M469" s="7"/>
      <c r="N469" s="7"/>
      <c r="O469" s="7">
        <f>(1.6+1*(0.4/2)*D466)</f>
        <v>1.8</v>
      </c>
      <c r="P469" s="7">
        <f t="shared" si="91"/>
        <v>7.2</v>
      </c>
      <c r="Q469" s="7">
        <f>IF($D469='[2]Beam '!Q$44,$P469*'[2]Beam '!Q$45,0)</f>
        <v>0</v>
      </c>
      <c r="R469" s="7">
        <f>IF($D469='[2]Beam '!R$44,$P469*'[2]Beam '!R$45,0)</f>
        <v>0</v>
      </c>
      <c r="S469" s="7">
        <f>IF($D469='[2]Beam '!S$44,$P469*'[2]Beam '!S$45,0)</f>
        <v>0</v>
      </c>
      <c r="T469" s="7">
        <f>IF($D469='[2]Beam '!T$44,$P469*'[2]Beam '!T$45,0)</f>
        <v>11.368594285714288</v>
      </c>
      <c r="U469" s="7">
        <f>IF($D469='[2]Beam '!U$44,$P469*'[2]Beam '!U$45,0)</f>
        <v>0</v>
      </c>
      <c r="V469" s="7">
        <f>IF($D469='[2]Beam '!V$44,$P469*'[2]Beam '!V$45,0)</f>
        <v>0</v>
      </c>
      <c r="W469" s="7">
        <f>IF($D469='[2]Beam '!W$44,$P469*'[2]Beam '!W$45,0)</f>
        <v>0</v>
      </c>
      <c r="X469" s="7">
        <f t="shared" si="92"/>
        <v>11.368594285714288</v>
      </c>
      <c r="Y469" s="7"/>
      <c r="Z469" s="7"/>
      <c r="AA469" s="7"/>
      <c r="AB469" s="7"/>
      <c r="AC469" s="7"/>
      <c r="AD469" s="7"/>
      <c r="AE469" s="7"/>
    </row>
    <row r="470" spans="1:32" s="9" customFormat="1" ht="20.100000000000001" customHeight="1" x14ac:dyDescent="0.25">
      <c r="A470" s="6"/>
      <c r="B470" s="10" t="s">
        <v>2</v>
      </c>
      <c r="C470" s="13" t="s">
        <v>46</v>
      </c>
      <c r="D470" s="7">
        <v>25</v>
      </c>
      <c r="E470" s="7"/>
      <c r="F470" s="7">
        <v>4</v>
      </c>
      <c r="G470" s="8">
        <f>VLOOKUP(D470,'[2]Beam '!$C$20:$H$26,3,0)</f>
        <v>1</v>
      </c>
      <c r="H470" s="8"/>
      <c r="I470" s="7"/>
      <c r="J470" s="7"/>
      <c r="K470" s="7"/>
      <c r="L470" s="7"/>
      <c r="M470" s="7"/>
      <c r="N470" s="7"/>
      <c r="O470" s="7">
        <f>(1.6+1*(0.4/2)*D466)</f>
        <v>1.8</v>
      </c>
      <c r="P470" s="7">
        <f t="shared" si="91"/>
        <v>7.2</v>
      </c>
      <c r="Q470" s="7">
        <f>IF($D470='[2]Beam '!Q$44,$P470*'[2]Beam '!Q$45,0)</f>
        <v>0</v>
      </c>
      <c r="R470" s="7">
        <f>IF($D470='[2]Beam '!R$44,$P470*'[2]Beam '!R$45,0)</f>
        <v>0</v>
      </c>
      <c r="S470" s="7">
        <f>IF($D470='[2]Beam '!S$44,$P470*'[2]Beam '!S$45,0)</f>
        <v>0</v>
      </c>
      <c r="T470" s="7">
        <f>IF($D470='[2]Beam '!T$44,$P470*'[2]Beam '!T$45,0)</f>
        <v>0</v>
      </c>
      <c r="U470" s="7">
        <f>IF($D470='[2]Beam '!U$44,$P470*'[2]Beam '!U$45,0)</f>
        <v>0</v>
      </c>
      <c r="V470" s="7">
        <f>IF($D470='[2]Beam '!V$44,$P470*'[2]Beam '!V$45,0)</f>
        <v>27.755357142857147</v>
      </c>
      <c r="W470" s="7">
        <f>IF($D470='[2]Beam '!W$44,$P470*'[2]Beam '!W$45,0)</f>
        <v>0</v>
      </c>
      <c r="X470" s="7">
        <f t="shared" si="92"/>
        <v>27.755357142857147</v>
      </c>
      <c r="Y470" s="7"/>
      <c r="Z470" s="7"/>
      <c r="AA470" s="7"/>
      <c r="AB470" s="7"/>
      <c r="AC470" s="7"/>
      <c r="AD470" s="7"/>
      <c r="AE470" s="7"/>
    </row>
    <row r="471" spans="1:32" s="9" customFormat="1" ht="20.100000000000001" customHeight="1" x14ac:dyDescent="0.25">
      <c r="A471" s="6"/>
      <c r="B471" s="10" t="s">
        <v>2</v>
      </c>
      <c r="C471" s="13" t="s">
        <v>6</v>
      </c>
      <c r="D471" s="7">
        <v>25</v>
      </c>
      <c r="E471" s="7"/>
      <c r="F471" s="7">
        <v>2</v>
      </c>
      <c r="G471" s="8">
        <f>VLOOKUP(D471,'[2]Beam '!$C$20:$H$26,3,0)</f>
        <v>1</v>
      </c>
      <c r="H471" s="7"/>
      <c r="I471" s="7"/>
      <c r="J471" s="7"/>
      <c r="K471" s="7"/>
      <c r="L471" s="7"/>
      <c r="M471" s="7"/>
      <c r="N471" s="7"/>
      <c r="O471" s="7">
        <f>(E466+1*(G471+(12*D471/1000)))+1*(0.4/2)*D466</f>
        <v>7.44</v>
      </c>
      <c r="P471" s="7">
        <f t="shared" si="91"/>
        <v>14.88</v>
      </c>
      <c r="Q471" s="7">
        <f>IF($D471='[2]Beam '!Q$44,$P471*'[2]Beam '!Q$45,0)</f>
        <v>0</v>
      </c>
      <c r="R471" s="7">
        <f>IF($D471='[2]Beam '!R$44,$P471*'[2]Beam '!R$45,0)</f>
        <v>0</v>
      </c>
      <c r="S471" s="7">
        <f>IF($D471='[2]Beam '!S$44,$P471*'[2]Beam '!S$45,0)</f>
        <v>0</v>
      </c>
      <c r="T471" s="7">
        <f>IF($D471='[2]Beam '!T$44,$P471*'[2]Beam '!T$45,0)</f>
        <v>0</v>
      </c>
      <c r="U471" s="7">
        <f>IF($D471='[2]Beam '!U$44,$P471*'[2]Beam '!U$45,0)</f>
        <v>0</v>
      </c>
      <c r="V471" s="7">
        <f>IF($D471='[2]Beam '!V$44,$P471*'[2]Beam '!V$45,0)</f>
        <v>57.361071428571442</v>
      </c>
      <c r="W471" s="7">
        <f>IF($D471='[2]Beam '!W$44,$P471*'[2]Beam '!W$45,0)</f>
        <v>0</v>
      </c>
      <c r="X471" s="7">
        <f t="shared" si="92"/>
        <v>57.361071428571442</v>
      </c>
      <c r="Y471" s="7"/>
      <c r="Z471" s="7"/>
      <c r="AA471" s="7"/>
      <c r="AB471" s="7"/>
      <c r="AC471" s="7"/>
      <c r="AD471" s="7"/>
      <c r="AE471" s="7"/>
    </row>
    <row r="472" spans="1:32" s="9" customFormat="1" ht="20.100000000000001" customHeight="1" x14ac:dyDescent="0.25">
      <c r="A472" s="6"/>
      <c r="B472" s="10" t="s">
        <v>2</v>
      </c>
      <c r="C472" s="13" t="s">
        <v>6</v>
      </c>
      <c r="D472" s="7">
        <v>20</v>
      </c>
      <c r="E472" s="7"/>
      <c r="F472" s="7">
        <v>2</v>
      </c>
      <c r="G472" s="8">
        <f>VLOOKUP(D472,'[2]Beam '!$C$20:$H$26,3,0)</f>
        <v>0.8</v>
      </c>
      <c r="H472" s="7"/>
      <c r="I472" s="7"/>
      <c r="J472" s="7"/>
      <c r="K472" s="7"/>
      <c r="L472" s="7"/>
      <c r="M472" s="7"/>
      <c r="N472" s="7"/>
      <c r="O472" s="7">
        <f>(E466+1*(G472+(12*D472/1000)))+1*(0.4/2)*D466</f>
        <v>7.1800000000000006</v>
      </c>
      <c r="P472" s="7">
        <f t="shared" si="91"/>
        <v>14.360000000000001</v>
      </c>
      <c r="Q472" s="7">
        <f>IF($D472='[2]Beam '!Q$44,$P472*'[2]Beam '!Q$45,0)</f>
        <v>0</v>
      </c>
      <c r="R472" s="7">
        <f>IF($D472='[2]Beam '!R$44,$P472*'[2]Beam '!R$45,0)</f>
        <v>0</v>
      </c>
      <c r="S472" s="7">
        <f>IF($D472='[2]Beam '!S$44,$P472*'[2]Beam '!S$45,0)</f>
        <v>0</v>
      </c>
      <c r="T472" s="7">
        <f>IF($D472='[2]Beam '!T$44,$P472*'[2]Beam '!T$45,0)</f>
        <v>0</v>
      </c>
      <c r="U472" s="7">
        <f>IF($D472='[2]Beam '!U$44,$P472*'[2]Beam '!U$45,0)</f>
        <v>35.428171428571432</v>
      </c>
      <c r="V472" s="7">
        <f>IF($D472='[2]Beam '!V$44,$P472*'[2]Beam '!V$45,0)</f>
        <v>0</v>
      </c>
      <c r="W472" s="7">
        <f>IF($D472='[2]Beam '!W$44,$P472*'[2]Beam '!W$45,0)</f>
        <v>0</v>
      </c>
      <c r="X472" s="7">
        <f t="shared" si="92"/>
        <v>35.428171428571432</v>
      </c>
      <c r="Y472" s="7"/>
      <c r="Z472" s="7"/>
      <c r="AA472" s="7"/>
      <c r="AB472" s="7"/>
      <c r="AC472" s="7"/>
      <c r="AD472" s="7"/>
      <c r="AE472" s="7"/>
    </row>
    <row r="473" spans="1:32" s="9" customFormat="1" ht="20.100000000000001" customHeight="1" x14ac:dyDescent="0.25">
      <c r="A473" s="6"/>
      <c r="B473" s="10" t="s">
        <v>2</v>
      </c>
      <c r="C473" s="13" t="s">
        <v>13</v>
      </c>
      <c r="D473" s="7">
        <v>25</v>
      </c>
      <c r="E473" s="7"/>
      <c r="F473" s="7">
        <v>2</v>
      </c>
      <c r="G473" s="8">
        <f>VLOOKUP(D473,'[2]Beam '!$C$20:$H$26,3,0)</f>
        <v>1</v>
      </c>
      <c r="H473" s="7"/>
      <c r="I473" s="7"/>
      <c r="J473" s="7"/>
      <c r="K473" s="7"/>
      <c r="L473" s="7"/>
      <c r="M473" s="7"/>
      <c r="N473" s="7"/>
      <c r="O473" s="7">
        <f>(1.6+1*(G473+(12*D473/1000)))*D466</f>
        <v>2.9000000000000004</v>
      </c>
      <c r="P473" s="7">
        <f t="shared" si="91"/>
        <v>5.8000000000000007</v>
      </c>
      <c r="Q473" s="7">
        <f>IF($D473='[2]Beam '!Q$44,$P473*'[2]Beam '!Q$45,0)</f>
        <v>0</v>
      </c>
      <c r="R473" s="7">
        <f>IF($D473='[2]Beam '!R$44,$P473*'[2]Beam '!R$45,0)</f>
        <v>0</v>
      </c>
      <c r="S473" s="7">
        <f>IF($D473='[2]Beam '!S$44,$P473*'[2]Beam '!S$45,0)</f>
        <v>0</v>
      </c>
      <c r="T473" s="7">
        <f>IF($D473='[2]Beam '!T$44,$P473*'[2]Beam '!T$45,0)</f>
        <v>0</v>
      </c>
      <c r="U473" s="7">
        <f>IF($D473='[2]Beam '!U$44,$P473*'[2]Beam '!U$45,0)</f>
        <v>0</v>
      </c>
      <c r="V473" s="7">
        <f>IF($D473='[2]Beam '!V$44,$P473*'[2]Beam '!V$45,0)</f>
        <v>22.358482142857149</v>
      </c>
      <c r="W473" s="7">
        <f>IF($D473='[2]Beam '!W$44,$P473*'[2]Beam '!W$45,0)</f>
        <v>0</v>
      </c>
      <c r="X473" s="7">
        <f t="shared" si="92"/>
        <v>22.358482142857149</v>
      </c>
      <c r="Y473" s="7"/>
      <c r="Z473" s="7"/>
      <c r="AA473" s="7"/>
      <c r="AB473" s="7"/>
      <c r="AC473" s="7"/>
      <c r="AD473" s="7"/>
      <c r="AE473" s="7"/>
    </row>
    <row r="474" spans="1:32" s="14" customFormat="1" ht="20.100000000000001" customHeight="1" x14ac:dyDescent="0.3">
      <c r="A474" s="6"/>
      <c r="B474" s="10" t="s">
        <v>2</v>
      </c>
      <c r="C474" s="13" t="s">
        <v>13</v>
      </c>
      <c r="D474" s="7">
        <v>16</v>
      </c>
      <c r="E474" s="7"/>
      <c r="F474" s="7">
        <v>2</v>
      </c>
      <c r="G474" s="8">
        <f>VLOOKUP(D474,'[2]Beam '!$C$20:$H$26,3,0)</f>
        <v>0.625</v>
      </c>
      <c r="H474" s="7"/>
      <c r="I474" s="7"/>
      <c r="J474" s="7"/>
      <c r="K474" s="7"/>
      <c r="L474" s="7"/>
      <c r="M474" s="7"/>
      <c r="N474" s="7"/>
      <c r="O474" s="7">
        <f>(1.6+1*(G474+(12*D474/1000)))*D466</f>
        <v>2.4169999999999998</v>
      </c>
      <c r="P474" s="7">
        <f t="shared" si="91"/>
        <v>4.8339999999999996</v>
      </c>
      <c r="Q474" s="7">
        <f>IF($D474='[2]Beam '!Q$44,$P474*'[2]Beam '!Q$45,0)</f>
        <v>0</v>
      </c>
      <c r="R474" s="7">
        <f>IF($D474='[2]Beam '!R$44,$P474*'[2]Beam '!R$45,0)</f>
        <v>0</v>
      </c>
      <c r="S474" s="7">
        <f>IF($D474='[2]Beam '!S$44,$P474*'[2]Beam '!S$45,0)</f>
        <v>0</v>
      </c>
      <c r="T474" s="7">
        <f>IF($D474='[2]Beam '!T$44,$P474*'[2]Beam '!T$45,0)</f>
        <v>7.6327478857142861</v>
      </c>
      <c r="U474" s="7">
        <f>IF($D474='[2]Beam '!U$44,$P474*'[2]Beam '!U$45,0)</f>
        <v>0</v>
      </c>
      <c r="V474" s="7">
        <f>IF($D474='[2]Beam '!V$44,$P474*'[2]Beam '!V$45,0)</f>
        <v>0</v>
      </c>
      <c r="W474" s="7">
        <f>IF($D474='[2]Beam '!W$44,$P474*'[2]Beam '!W$45,0)</f>
        <v>0</v>
      </c>
      <c r="X474" s="7">
        <f t="shared" si="92"/>
        <v>7.6327478857142861</v>
      </c>
      <c r="Y474" s="7"/>
    </row>
    <row r="475" spans="1:32" s="9" customFormat="1" ht="20.100000000000001" customHeight="1" x14ac:dyDescent="0.25">
      <c r="A475" s="6"/>
      <c r="B475" s="10" t="s">
        <v>2</v>
      </c>
      <c r="C475" s="13" t="s">
        <v>17</v>
      </c>
      <c r="D475" s="7">
        <v>10</v>
      </c>
      <c r="E475" s="7">
        <v>0.1</v>
      </c>
      <c r="F475" s="7">
        <f>ROUNDUP(E466/E475,0)</f>
        <v>60</v>
      </c>
      <c r="H475" s="7"/>
      <c r="I475" s="7"/>
      <c r="J475" s="7"/>
      <c r="K475" s="7"/>
      <c r="L475" s="7"/>
      <c r="M475" s="7"/>
      <c r="N475" s="7"/>
      <c r="O475" s="7">
        <f>(2*((G466-(2*'[2]Beam '!$D$11))+(F466-(2*'[2]Beam '!$D$11)))+(2*10*D475/1000))*D466</f>
        <v>2.7600000000000002</v>
      </c>
      <c r="P475" s="7">
        <f t="shared" si="91"/>
        <v>165.60000000000002</v>
      </c>
      <c r="Q475" s="7">
        <f>IF($D475='[2]Beam '!Q$44,$P475*'[2]Beam '!Q$45,0)</f>
        <v>0</v>
      </c>
      <c r="R475" s="7">
        <f>IF($D475='[2]Beam '!R$44,$P475*'[2]Beam '!R$45,0)</f>
        <v>102.13971428571429</v>
      </c>
      <c r="S475" s="7">
        <f>IF($D475='[2]Beam '!S$44,$P475*'[2]Beam '!S$45,0)</f>
        <v>0</v>
      </c>
      <c r="T475" s="7">
        <f>IF($D475='[2]Beam '!T$44,$P475*'[2]Beam '!T$45,0)</f>
        <v>0</v>
      </c>
      <c r="U475" s="7">
        <f>IF($D475='[2]Beam '!U$44,$P475*'[2]Beam '!U$45,0)</f>
        <v>0</v>
      </c>
      <c r="V475" s="7">
        <f>IF($D475='[2]Beam '!V$44,$P475*'[2]Beam '!V$45,0)</f>
        <v>0</v>
      </c>
      <c r="W475" s="7">
        <f>IF($D475='[2]Beam '!W$44,$P475*'[2]Beam '!W$45,0)</f>
        <v>0</v>
      </c>
      <c r="X475" s="7">
        <f t="shared" si="92"/>
        <v>102.13971428571429</v>
      </c>
      <c r="Y475" s="7"/>
      <c r="Z475" s="7"/>
      <c r="AA475" s="7"/>
      <c r="AB475" s="7"/>
      <c r="AC475" s="7"/>
      <c r="AD475" s="7"/>
      <c r="AE475" s="7"/>
    </row>
    <row r="476" spans="1:32" s="9" customFormat="1" ht="21" customHeight="1" x14ac:dyDescent="0.25">
      <c r="A476" s="14"/>
      <c r="B476" s="10" t="s">
        <v>2</v>
      </c>
      <c r="C476" s="13" t="s">
        <v>18</v>
      </c>
      <c r="D476" s="14">
        <f>D475</f>
        <v>10</v>
      </c>
      <c r="E476" s="14">
        <f>+E475</f>
        <v>0.1</v>
      </c>
      <c r="F476" s="7">
        <f>ROUNDUP(E466/E476,0)</f>
        <v>60</v>
      </c>
      <c r="H476" s="14"/>
      <c r="I476" s="14"/>
      <c r="J476" s="14"/>
      <c r="K476" s="14"/>
      <c r="L476" s="14"/>
      <c r="M476" s="14"/>
      <c r="N476" s="14"/>
      <c r="O476" s="7">
        <f>(2*(((F466-'[2]Beam '!$D$11*2)/(F467-1))+(G466-'[2]Beam '!$D$11*2))+(2*10*D476/1000))*D466</f>
        <v>2.7600000000000002</v>
      </c>
      <c r="P476" s="7">
        <f t="shared" si="91"/>
        <v>165.60000000000002</v>
      </c>
      <c r="Q476" s="7">
        <f>IF($D476='[2]Beam '!Q$44,$P476*'[2]Beam '!Q$45,0)</f>
        <v>0</v>
      </c>
      <c r="R476" s="7">
        <f>IF($D476='[2]Beam '!R$44,$P476*'[2]Beam '!R$45,0)</f>
        <v>102.13971428571429</v>
      </c>
      <c r="S476" s="7">
        <f>IF($D476='[2]Beam '!S$44,$P476*'[2]Beam '!S$45,0)</f>
        <v>0</v>
      </c>
      <c r="T476" s="7">
        <f>IF($D476='[2]Beam '!T$44,$P476*'[2]Beam '!T$45,0)</f>
        <v>0</v>
      </c>
      <c r="U476" s="7">
        <f>IF($D476='[2]Beam '!U$44,$P476*'[2]Beam '!U$45,0)</f>
        <v>0</v>
      </c>
      <c r="V476" s="7">
        <f>IF($D476='[2]Beam '!V$44,$P476*'[2]Beam '!V$45,0)</f>
        <v>0</v>
      </c>
      <c r="W476" s="7">
        <f>IF($D476='[2]Beam '!W$44,$P476*'[2]Beam '!W$45,0)</f>
        <v>0</v>
      </c>
      <c r="X476" s="7">
        <f t="shared" si="92"/>
        <v>102.13971428571429</v>
      </c>
      <c r="Y476" s="14"/>
      <c r="Z476" s="7"/>
      <c r="AA476" s="7"/>
      <c r="AB476" s="7"/>
      <c r="AC476" s="7"/>
      <c r="AD476" s="7"/>
      <c r="AE476" s="7"/>
      <c r="AF476" s="7"/>
    </row>
    <row r="477" spans="1:32" s="9" customFormat="1" ht="20.100000000000001" customHeight="1" x14ac:dyDescent="0.25">
      <c r="A477" s="6"/>
      <c r="B477" s="10" t="s">
        <v>2</v>
      </c>
      <c r="C477" s="13" t="s">
        <v>11</v>
      </c>
      <c r="D477" s="7">
        <f>+'[2]Beam '!$D$15</f>
        <v>25</v>
      </c>
      <c r="E477" s="7">
        <f>+'[2]Beam '!$E$15</f>
        <v>1</v>
      </c>
      <c r="F477" s="7">
        <f>ROUNDUP((3.2+1.6)/E477,0)</f>
        <v>5</v>
      </c>
      <c r="G477" s="8"/>
      <c r="H477" s="8"/>
      <c r="I477" s="7"/>
      <c r="J477" s="7"/>
      <c r="K477" s="7"/>
      <c r="L477" s="7"/>
      <c r="M477" s="7"/>
      <c r="N477" s="7"/>
      <c r="O477" s="7">
        <f>F466-'[2]Beam '!$F$15</f>
        <v>0.34</v>
      </c>
      <c r="P477" s="7">
        <f t="shared" si="91"/>
        <v>1.7000000000000002</v>
      </c>
      <c r="Q477" s="7">
        <f>IF($D477='[2]Beam '!Q$44,$P477*'[2]Beam '!Q$45,0)</f>
        <v>0</v>
      </c>
      <c r="R477" s="7">
        <f>IF($D477='[2]Beam '!R$44,$P477*'[2]Beam '!R$45,0)</f>
        <v>0</v>
      </c>
      <c r="S477" s="7">
        <f>IF($D477='[2]Beam '!S$44,$P477*'[2]Beam '!S$45,0)</f>
        <v>0</v>
      </c>
      <c r="T477" s="7">
        <f>IF($D477='[2]Beam '!T$44,$P477*'[2]Beam '!T$45,0)</f>
        <v>0</v>
      </c>
      <c r="U477" s="7">
        <f>IF($D477='[2]Beam '!U$44,$P477*'[2]Beam '!U$45,0)</f>
        <v>0</v>
      </c>
      <c r="V477" s="7">
        <f>IF($D477='[2]Beam '!V$44,$P477*'[2]Beam '!V$45,0)</f>
        <v>6.553348214285716</v>
      </c>
      <c r="W477" s="7">
        <f>IF($D477='[2]Beam '!W$44,$P477*'[2]Beam '!W$45,0)</f>
        <v>0</v>
      </c>
      <c r="X477" s="7">
        <f t="shared" si="92"/>
        <v>6.553348214285716</v>
      </c>
      <c r="Y477" s="7"/>
      <c r="Z477" s="7"/>
      <c r="AA477" s="7"/>
      <c r="AB477" s="7"/>
      <c r="AC477" s="7"/>
      <c r="AD477" s="7"/>
      <c r="AE477" s="7"/>
    </row>
    <row r="478" spans="1:32" s="9" customFormat="1" ht="20.100000000000001" customHeight="1" x14ac:dyDescent="0.25">
      <c r="A478" s="7">
        <v>1</v>
      </c>
      <c r="B478" s="10" t="s">
        <v>2</v>
      </c>
      <c r="C478" s="11" t="s">
        <v>73</v>
      </c>
      <c r="D478" s="11">
        <v>1</v>
      </c>
      <c r="E478" s="11">
        <v>1.6850000000000001</v>
      </c>
      <c r="F478" s="11">
        <v>0.4</v>
      </c>
      <c r="G478" s="11">
        <v>0.8</v>
      </c>
      <c r="H478" s="7">
        <f>G478-0.2</f>
        <v>0.60000000000000009</v>
      </c>
      <c r="I478" s="7">
        <f>E478*F478*G478*D478</f>
        <v>0.53920000000000001</v>
      </c>
      <c r="J478" s="7">
        <f>(2*(E478)*H478*D478)+(E478*F478)</f>
        <v>2.6960000000000002</v>
      </c>
      <c r="K478" s="12">
        <f>IF(E478=0.3,J478,0)</f>
        <v>0</v>
      </c>
      <c r="L478" s="12">
        <f>IF(AND(E478&gt;0.3,E478&lt;=0.75),J478,0)</f>
        <v>0</v>
      </c>
      <c r="M478" s="12">
        <f>IF(AND(E478&gt;0.75,E478&lt;=1.2),J478,0)</f>
        <v>0</v>
      </c>
      <c r="N478" s="12">
        <f>IF(E478&gt;1.2,J478,0)</f>
        <v>2.6960000000000002</v>
      </c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>
        <f>SUM(X479:X485)/I478</f>
        <v>369.57898374576098</v>
      </c>
      <c r="Z478" s="7"/>
      <c r="AA478" s="7"/>
      <c r="AB478" s="7"/>
      <c r="AC478" s="7"/>
      <c r="AD478" s="7"/>
      <c r="AE478" s="7"/>
    </row>
    <row r="479" spans="1:32" s="9" customFormat="1" ht="20.100000000000001" customHeight="1" x14ac:dyDescent="0.25">
      <c r="A479" s="6"/>
      <c r="B479" s="10" t="s">
        <v>2</v>
      </c>
      <c r="C479" s="13" t="s">
        <v>4</v>
      </c>
      <c r="D479" s="7">
        <v>25</v>
      </c>
      <c r="E479" s="7"/>
      <c r="F479" s="7">
        <v>2</v>
      </c>
      <c r="G479" s="8">
        <f>VLOOKUP(D479,'[2]Beam '!$C$20:$H$26,3,0)</f>
        <v>1</v>
      </c>
      <c r="H479" s="8"/>
      <c r="I479" s="7"/>
      <c r="J479" s="7"/>
      <c r="K479" s="7"/>
      <c r="L479" s="7"/>
      <c r="M479" s="7"/>
      <c r="N479" s="7"/>
      <c r="O479" s="7">
        <f>(E478+1*(G479+(12*D479/1000)))+1*(0.4/2)*D478</f>
        <v>3.1850000000000005</v>
      </c>
      <c r="P479" s="7">
        <f t="shared" ref="P479:P486" si="93">O479*F479</f>
        <v>6.370000000000001</v>
      </c>
      <c r="Q479" s="7">
        <f>IF($D479='[2]Beam '!Q$44,$P479*'[2]Beam '!Q$45,0)</f>
        <v>0</v>
      </c>
      <c r="R479" s="7">
        <f>IF($D479='[2]Beam '!R$44,$P479*'[2]Beam '!R$45,0)</f>
        <v>0</v>
      </c>
      <c r="S479" s="7">
        <f>IF($D479='[2]Beam '!S$44,$P479*'[2]Beam '!S$45,0)</f>
        <v>0</v>
      </c>
      <c r="T479" s="7">
        <f>IF($D479='[2]Beam '!T$44,$P479*'[2]Beam '!T$45,0)</f>
        <v>0</v>
      </c>
      <c r="U479" s="7">
        <f>IF($D479='[2]Beam '!U$44,$P479*'[2]Beam '!U$45,0)</f>
        <v>0</v>
      </c>
      <c r="V479" s="7">
        <f>IF($D479='[2]Beam '!V$44,$P479*'[2]Beam '!V$45,0)</f>
        <v>24.555781250000006</v>
      </c>
      <c r="W479" s="7">
        <f>IF($D479='[2]Beam '!W$44,$P479*'[2]Beam '!W$45,0)</f>
        <v>0</v>
      </c>
      <c r="X479" s="7">
        <f t="shared" ref="X479:X486" si="94">SUM(Q479:W479)</f>
        <v>24.555781250000006</v>
      </c>
      <c r="Y479" s="7"/>
      <c r="Z479" s="7"/>
      <c r="AA479" s="7"/>
      <c r="AB479" s="7"/>
      <c r="AC479" s="7"/>
      <c r="AD479" s="7"/>
      <c r="AE479" s="7"/>
    </row>
    <row r="480" spans="1:32" s="9" customFormat="1" ht="20.100000000000001" customHeight="1" x14ac:dyDescent="0.25">
      <c r="A480" s="6"/>
      <c r="B480" s="10" t="s">
        <v>2</v>
      </c>
      <c r="C480" s="13" t="s">
        <v>4</v>
      </c>
      <c r="D480" s="7">
        <v>20</v>
      </c>
      <c r="E480" s="7"/>
      <c r="F480" s="7">
        <v>2</v>
      </c>
      <c r="G480" s="8">
        <f>VLOOKUP(D480,'[2]Beam '!$C$20:$H$26,3,0)</f>
        <v>0.8</v>
      </c>
      <c r="H480" s="8"/>
      <c r="I480" s="7"/>
      <c r="J480" s="7"/>
      <c r="K480" s="7"/>
      <c r="L480" s="7"/>
      <c r="M480" s="7"/>
      <c r="N480" s="7"/>
      <c r="O480" s="7">
        <f>(E478+1*(G480+(12*D480/1000)))+1*(0.4/2)*D478</f>
        <v>2.9250000000000003</v>
      </c>
      <c r="P480" s="7">
        <f t="shared" si="93"/>
        <v>5.8500000000000005</v>
      </c>
      <c r="Q480" s="7">
        <f>IF($D480='[2]Beam '!Q$44,$P480*'[2]Beam '!Q$45,0)</f>
        <v>0</v>
      </c>
      <c r="R480" s="7">
        <f>IF($D480='[2]Beam '!R$44,$P480*'[2]Beam '!R$45,0)</f>
        <v>0</v>
      </c>
      <c r="S480" s="7">
        <f>IF($D480='[2]Beam '!S$44,$P480*'[2]Beam '!S$45,0)</f>
        <v>0</v>
      </c>
      <c r="T480" s="7">
        <f>IF($D480='[2]Beam '!T$44,$P480*'[2]Beam '!T$45,0)</f>
        <v>0</v>
      </c>
      <c r="U480" s="7">
        <f>IF($D480='[2]Beam '!U$44,$P480*'[2]Beam '!U$45,0)</f>
        <v>14.432785714285716</v>
      </c>
      <c r="V480" s="7">
        <f>IF($D480='[2]Beam '!V$44,$P480*'[2]Beam '!V$45,0)</f>
        <v>0</v>
      </c>
      <c r="W480" s="7">
        <f>IF($D480='[2]Beam '!W$44,$P480*'[2]Beam '!W$45,0)</f>
        <v>0</v>
      </c>
      <c r="X480" s="7">
        <f t="shared" si="94"/>
        <v>14.432785714285716</v>
      </c>
      <c r="Y480" s="7"/>
      <c r="Z480" s="7"/>
      <c r="AA480" s="7"/>
      <c r="AB480" s="7"/>
      <c r="AC480" s="7"/>
      <c r="AD480" s="7"/>
      <c r="AE480" s="7"/>
    </row>
    <row r="481" spans="1:32" s="9" customFormat="1" ht="20.100000000000001" customHeight="1" x14ac:dyDescent="0.25">
      <c r="A481" s="6"/>
      <c r="B481" s="10" t="s">
        <v>2</v>
      </c>
      <c r="C481" s="13" t="s">
        <v>46</v>
      </c>
      <c r="D481" s="7">
        <v>25</v>
      </c>
      <c r="E481" s="7"/>
      <c r="F481" s="7">
        <v>2</v>
      </c>
      <c r="G481" s="8">
        <f>VLOOKUP(D481,'[2]Beam '!$C$20:$H$26,3,0)</f>
        <v>1</v>
      </c>
      <c r="H481" s="8"/>
      <c r="I481" s="7"/>
      <c r="J481" s="7"/>
      <c r="K481" s="7"/>
      <c r="L481" s="7"/>
      <c r="M481" s="7"/>
      <c r="N481" s="7"/>
      <c r="O481" s="7">
        <f>(0.55+1*(G481+(12*D481/1000)))*D478</f>
        <v>1.85</v>
      </c>
      <c r="P481" s="7">
        <f t="shared" si="93"/>
        <v>3.7</v>
      </c>
      <c r="Q481" s="7">
        <f>IF($D481='[2]Beam '!Q$44,$P481*'[2]Beam '!Q$45,0)</f>
        <v>0</v>
      </c>
      <c r="R481" s="7">
        <f>IF($D481='[2]Beam '!R$44,$P481*'[2]Beam '!R$45,0)</f>
        <v>0</v>
      </c>
      <c r="S481" s="7">
        <f>IF($D481='[2]Beam '!S$44,$P481*'[2]Beam '!S$45,0)</f>
        <v>0</v>
      </c>
      <c r="T481" s="7">
        <f>IF($D481='[2]Beam '!T$44,$P481*'[2]Beam '!T$45,0)</f>
        <v>0</v>
      </c>
      <c r="U481" s="7">
        <f>IF($D481='[2]Beam '!U$44,$P481*'[2]Beam '!U$45,0)</f>
        <v>0</v>
      </c>
      <c r="V481" s="7">
        <f>IF($D481='[2]Beam '!V$44,$P481*'[2]Beam '!V$45,0)</f>
        <v>14.263169642857145</v>
      </c>
      <c r="W481" s="7">
        <f>IF($D481='[2]Beam '!W$44,$P481*'[2]Beam '!W$45,0)</f>
        <v>0</v>
      </c>
      <c r="X481" s="7">
        <f t="shared" si="94"/>
        <v>14.263169642857145</v>
      </c>
      <c r="Y481" s="7"/>
      <c r="Z481" s="7"/>
      <c r="AA481" s="7"/>
      <c r="AB481" s="7"/>
      <c r="AC481" s="7"/>
      <c r="AD481" s="7"/>
      <c r="AE481" s="7"/>
    </row>
    <row r="482" spans="1:32" s="9" customFormat="1" ht="20.100000000000001" customHeight="1" x14ac:dyDescent="0.25">
      <c r="A482" s="6"/>
      <c r="B482" s="10" t="s">
        <v>2</v>
      </c>
      <c r="C482" s="13" t="s">
        <v>46</v>
      </c>
      <c r="D482" s="7">
        <v>25</v>
      </c>
      <c r="E482" s="7"/>
      <c r="F482" s="7">
        <v>4</v>
      </c>
      <c r="G482" s="8">
        <f>VLOOKUP(D482,'[2]Beam '!$C$20:$H$26,3,0)</f>
        <v>1</v>
      </c>
      <c r="H482" s="8"/>
      <c r="I482" s="7"/>
      <c r="J482" s="7"/>
      <c r="K482" s="7"/>
      <c r="L482" s="7"/>
      <c r="M482" s="7"/>
      <c r="N482" s="7"/>
      <c r="O482" s="7">
        <f>(0.55+1*(0.4/2)*D478)</f>
        <v>0.75</v>
      </c>
      <c r="P482" s="7">
        <f t="shared" si="93"/>
        <v>3</v>
      </c>
      <c r="Q482" s="7">
        <f>IF($D482='[2]Beam '!Q$44,$P482*'[2]Beam '!Q$45,0)</f>
        <v>0</v>
      </c>
      <c r="R482" s="7">
        <f>IF($D482='[2]Beam '!R$44,$P482*'[2]Beam '!R$45,0)</f>
        <v>0</v>
      </c>
      <c r="S482" s="7">
        <f>IF($D482='[2]Beam '!S$44,$P482*'[2]Beam '!S$45,0)</f>
        <v>0</v>
      </c>
      <c r="T482" s="7">
        <f>IF($D482='[2]Beam '!T$44,$P482*'[2]Beam '!T$45,0)</f>
        <v>0</v>
      </c>
      <c r="U482" s="7">
        <f>IF($D482='[2]Beam '!U$44,$P482*'[2]Beam '!U$45,0)</f>
        <v>0</v>
      </c>
      <c r="V482" s="7">
        <f>IF($D482='[2]Beam '!V$44,$P482*'[2]Beam '!V$45,0)</f>
        <v>11.564732142857144</v>
      </c>
      <c r="W482" s="7">
        <f>IF($D482='[2]Beam '!W$44,$P482*'[2]Beam '!W$45,0)</f>
        <v>0</v>
      </c>
      <c r="X482" s="7">
        <f t="shared" si="94"/>
        <v>11.564732142857144</v>
      </c>
      <c r="Y482" s="7"/>
      <c r="Z482" s="7"/>
      <c r="AA482" s="7"/>
      <c r="AB482" s="7"/>
      <c r="AC482" s="7"/>
      <c r="AD482" s="7"/>
      <c r="AE482" s="7"/>
    </row>
    <row r="483" spans="1:32" s="9" customFormat="1" ht="20.100000000000001" customHeight="1" x14ac:dyDescent="0.25">
      <c r="A483" s="6"/>
      <c r="B483" s="10" t="s">
        <v>2</v>
      </c>
      <c r="C483" s="13" t="s">
        <v>6</v>
      </c>
      <c r="D483" s="7">
        <v>25</v>
      </c>
      <c r="E483" s="7"/>
      <c r="F483" s="7">
        <v>4</v>
      </c>
      <c r="G483" s="8">
        <f>VLOOKUP(D483,'[2]Beam '!$C$20:$H$26,3,0)</f>
        <v>1</v>
      </c>
      <c r="H483" s="7"/>
      <c r="I483" s="7"/>
      <c r="J483" s="7"/>
      <c r="K483" s="7"/>
      <c r="L483" s="7"/>
      <c r="M483" s="7"/>
      <c r="N483" s="7"/>
      <c r="O483" s="7">
        <f>(E478+1*(G483+(12*D483/1000)))+1*(0.4/2)*D478</f>
        <v>3.1850000000000005</v>
      </c>
      <c r="P483" s="7">
        <f t="shared" si="93"/>
        <v>12.740000000000002</v>
      </c>
      <c r="Q483" s="7">
        <f>IF($D483='[2]Beam '!Q$44,$P483*'[2]Beam '!Q$45,0)</f>
        <v>0</v>
      </c>
      <c r="R483" s="7">
        <f>IF($D483='[2]Beam '!R$44,$P483*'[2]Beam '!R$45,0)</f>
        <v>0</v>
      </c>
      <c r="S483" s="7">
        <f>IF($D483='[2]Beam '!S$44,$P483*'[2]Beam '!S$45,0)</f>
        <v>0</v>
      </c>
      <c r="T483" s="7">
        <f>IF($D483='[2]Beam '!T$44,$P483*'[2]Beam '!T$45,0)</f>
        <v>0</v>
      </c>
      <c r="U483" s="7">
        <f>IF($D483='[2]Beam '!U$44,$P483*'[2]Beam '!U$45,0)</f>
        <v>0</v>
      </c>
      <c r="V483" s="7">
        <f>IF($D483='[2]Beam '!V$44,$P483*'[2]Beam '!V$45,0)</f>
        <v>49.111562500000012</v>
      </c>
      <c r="W483" s="7">
        <f>IF($D483='[2]Beam '!W$44,$P483*'[2]Beam '!W$45,0)</f>
        <v>0</v>
      </c>
      <c r="X483" s="7">
        <f t="shared" si="94"/>
        <v>49.111562500000012</v>
      </c>
      <c r="Y483" s="7"/>
      <c r="Z483" s="7"/>
      <c r="AA483" s="7"/>
      <c r="AB483" s="7"/>
      <c r="AC483" s="7"/>
      <c r="AD483" s="7"/>
      <c r="AE483" s="7"/>
    </row>
    <row r="484" spans="1:32" s="9" customFormat="1" ht="20.100000000000001" customHeight="1" x14ac:dyDescent="0.25">
      <c r="A484" s="6"/>
      <c r="B484" s="10" t="s">
        <v>2</v>
      </c>
      <c r="C484" s="13" t="s">
        <v>13</v>
      </c>
      <c r="D484" s="7">
        <v>25</v>
      </c>
      <c r="E484" s="7"/>
      <c r="F484" s="7">
        <v>4</v>
      </c>
      <c r="G484" s="8">
        <f>VLOOKUP(D484,'[2]Beam '!$C$20:$H$26,3,0)</f>
        <v>1</v>
      </c>
      <c r="H484" s="7"/>
      <c r="I484" s="7"/>
      <c r="J484" s="7"/>
      <c r="K484" s="7"/>
      <c r="L484" s="7"/>
      <c r="M484" s="7"/>
      <c r="N484" s="7"/>
      <c r="O484" s="7">
        <f>(E478+1*(G484+(12*D484/1000)))+1*(0.4/2)*D478</f>
        <v>3.1850000000000005</v>
      </c>
      <c r="P484" s="7">
        <f t="shared" si="93"/>
        <v>12.740000000000002</v>
      </c>
      <c r="Q484" s="7">
        <f>IF($D484='[2]Beam '!Q$44,$P484*'[2]Beam '!Q$45,0)</f>
        <v>0</v>
      </c>
      <c r="R484" s="7">
        <f>IF($D484='[2]Beam '!R$44,$P484*'[2]Beam '!R$45,0)</f>
        <v>0</v>
      </c>
      <c r="S484" s="7">
        <f>IF($D484='[2]Beam '!S$44,$P484*'[2]Beam '!S$45,0)</f>
        <v>0</v>
      </c>
      <c r="T484" s="7">
        <f>IF($D484='[2]Beam '!T$44,$P484*'[2]Beam '!T$45,0)</f>
        <v>0</v>
      </c>
      <c r="U484" s="7">
        <f>IF($D484='[2]Beam '!U$44,$P484*'[2]Beam '!U$45,0)</f>
        <v>0</v>
      </c>
      <c r="V484" s="7">
        <f>IF($D484='[2]Beam '!V$44,$P484*'[2]Beam '!V$45,0)</f>
        <v>49.111562500000012</v>
      </c>
      <c r="W484" s="7">
        <f>IF($D484='[2]Beam '!W$44,$P484*'[2]Beam '!W$45,0)</f>
        <v>0</v>
      </c>
      <c r="X484" s="7">
        <f t="shared" si="94"/>
        <v>49.111562500000012</v>
      </c>
      <c r="Y484" s="7"/>
      <c r="Z484" s="7"/>
      <c r="AA484" s="7"/>
      <c r="AB484" s="7"/>
      <c r="AC484" s="7"/>
      <c r="AD484" s="7"/>
      <c r="AE484" s="7"/>
    </row>
    <row r="485" spans="1:32" s="9" customFormat="1" ht="21" customHeight="1" x14ac:dyDescent="0.25">
      <c r="A485" s="6"/>
      <c r="B485" s="10" t="s">
        <v>2</v>
      </c>
      <c r="C485" s="13" t="s">
        <v>26</v>
      </c>
      <c r="D485" s="7">
        <v>12</v>
      </c>
      <c r="E485" s="7">
        <v>0.1</v>
      </c>
      <c r="F485" s="7">
        <f>ROUNDUP(E478/E485,0)</f>
        <v>17</v>
      </c>
      <c r="H485" s="7"/>
      <c r="I485" s="7"/>
      <c r="J485" s="7"/>
      <c r="K485" s="7"/>
      <c r="L485" s="7"/>
      <c r="M485" s="7"/>
      <c r="N485" s="7"/>
      <c r="O485" s="7">
        <f>(2*((G478-(2*'[2]Beam '!$D$11))+(F478-(2*'[2]Beam '!$D$11)))+(2*10*D485/1000))*D478</f>
        <v>2.4000000000000004</v>
      </c>
      <c r="P485" s="7">
        <f t="shared" si="93"/>
        <v>40.800000000000004</v>
      </c>
      <c r="Q485" s="7">
        <f>IF($D485='[2]Beam '!Q$44,$P485*'[2]Beam '!Q$45,0)</f>
        <v>0</v>
      </c>
      <c r="R485" s="7">
        <f>IF($D485='[2]Beam '!R$44,$P485*'[2]Beam '!R$45,0)</f>
        <v>0</v>
      </c>
      <c r="S485" s="7">
        <f>IF($D485='[2]Beam '!S$44,$P485*'[2]Beam '!S$45,0)</f>
        <v>36.237394285714295</v>
      </c>
      <c r="T485" s="7">
        <f>IF($D485='[2]Beam '!T$44,$P485*'[2]Beam '!T$45,0)</f>
        <v>0</v>
      </c>
      <c r="U485" s="7">
        <f>IF($D485='[2]Beam '!U$44,$P485*'[2]Beam '!U$45,0)</f>
        <v>0</v>
      </c>
      <c r="V485" s="7">
        <f>IF($D485='[2]Beam '!V$44,$P485*'[2]Beam '!V$45,0)</f>
        <v>0</v>
      </c>
      <c r="W485" s="7">
        <f>IF($D485='[2]Beam '!W$44,$P485*'[2]Beam '!W$45,0)</f>
        <v>0</v>
      </c>
      <c r="X485" s="7">
        <f t="shared" si="94"/>
        <v>36.237394285714295</v>
      </c>
      <c r="Y485" s="7"/>
      <c r="Z485" s="7"/>
      <c r="AA485" s="7"/>
      <c r="AB485" s="7"/>
      <c r="AC485" s="7"/>
      <c r="AD485" s="7"/>
      <c r="AE485" s="7"/>
      <c r="AF485" s="7"/>
    </row>
    <row r="486" spans="1:32" s="9" customFormat="1" ht="20.100000000000001" customHeight="1" x14ac:dyDescent="0.25">
      <c r="A486" s="6"/>
      <c r="B486" s="10" t="s">
        <v>2</v>
      </c>
      <c r="C486" s="13" t="s">
        <v>11</v>
      </c>
      <c r="D486" s="7">
        <f>+'[2]Beam '!$D$15</f>
        <v>25</v>
      </c>
      <c r="E486" s="7">
        <f>+'[2]Beam '!$E$15</f>
        <v>1</v>
      </c>
      <c r="F486" s="7">
        <f>ROUNDUP((0.55+0.55+E478)/E486,0)</f>
        <v>3</v>
      </c>
      <c r="G486" s="8"/>
      <c r="H486" s="8"/>
      <c r="I486" s="7"/>
      <c r="J486" s="7"/>
      <c r="K486" s="7"/>
      <c r="L486" s="7"/>
      <c r="M486" s="7"/>
      <c r="N486" s="7"/>
      <c r="O486" s="7">
        <f>F478-'[2]Beam '!$F$15</f>
        <v>0.34</v>
      </c>
      <c r="P486" s="7">
        <f t="shared" si="93"/>
        <v>1.02</v>
      </c>
      <c r="Q486" s="7">
        <f>IF($D486='[2]Beam '!Q$44,$P486*'[2]Beam '!Q$45,0)</f>
        <v>0</v>
      </c>
      <c r="R486" s="7">
        <f>IF($D486='[2]Beam '!R$44,$P486*'[2]Beam '!R$45,0)</f>
        <v>0</v>
      </c>
      <c r="S486" s="7">
        <f>IF($D486='[2]Beam '!S$44,$P486*'[2]Beam '!S$45,0)</f>
        <v>0</v>
      </c>
      <c r="T486" s="7">
        <f>IF($D486='[2]Beam '!T$44,$P486*'[2]Beam '!T$45,0)</f>
        <v>0</v>
      </c>
      <c r="U486" s="7">
        <f>IF($D486='[2]Beam '!U$44,$P486*'[2]Beam '!U$45,0)</f>
        <v>0</v>
      </c>
      <c r="V486" s="7">
        <f>IF($D486='[2]Beam '!V$44,$P486*'[2]Beam '!V$45,0)</f>
        <v>3.9320089285714293</v>
      </c>
      <c r="W486" s="7">
        <f>IF($D486='[2]Beam '!W$44,$P486*'[2]Beam '!W$45,0)</f>
        <v>0</v>
      </c>
      <c r="X486" s="7">
        <f t="shared" si="94"/>
        <v>3.9320089285714293</v>
      </c>
      <c r="Y486" s="7"/>
      <c r="Z486" s="7"/>
      <c r="AA486" s="7"/>
      <c r="AB486" s="7"/>
      <c r="AC486" s="7"/>
      <c r="AD486" s="7"/>
      <c r="AE486" s="7"/>
    </row>
    <row r="487" spans="1:32" s="9" customFormat="1" ht="20.100000000000001" customHeight="1" x14ac:dyDescent="0.25">
      <c r="A487" s="7">
        <v>1</v>
      </c>
      <c r="B487" s="10" t="s">
        <v>2</v>
      </c>
      <c r="C487" s="11" t="s">
        <v>74</v>
      </c>
      <c r="D487" s="11">
        <v>1</v>
      </c>
      <c r="E487" s="11">
        <v>4.62</v>
      </c>
      <c r="F487" s="11">
        <v>0.4</v>
      </c>
      <c r="G487" s="11">
        <v>1.1000000000000001</v>
      </c>
      <c r="H487" s="7">
        <f>G487-0.2</f>
        <v>0.90000000000000013</v>
      </c>
      <c r="I487" s="7">
        <f>E487*F487*G487*D487</f>
        <v>2.0328000000000004</v>
      </c>
      <c r="J487" s="7">
        <f>(2*(E487)*H487*D487)+(E487*F487)</f>
        <v>10.164000000000001</v>
      </c>
      <c r="K487" s="12">
        <f>IF(E487=0.3,J487,0)</f>
        <v>0</v>
      </c>
      <c r="L487" s="12">
        <f>IF(AND(E487&gt;0.3,E487&lt;=0.75),J487,0)</f>
        <v>0</v>
      </c>
      <c r="M487" s="12">
        <f>IF(AND(E487&gt;0.75,E487&lt;=1.2),J487,0)</f>
        <v>0</v>
      </c>
      <c r="N487" s="12">
        <f>IF(E487&gt;1.2,J487,0)</f>
        <v>10.164000000000001</v>
      </c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>
        <f>SUM(X488:X493)/I487</f>
        <v>211.07688775510204</v>
      </c>
      <c r="Z487" s="7"/>
      <c r="AA487" s="7"/>
      <c r="AB487" s="7"/>
      <c r="AC487" s="7"/>
      <c r="AD487" s="7"/>
      <c r="AE487" s="7"/>
    </row>
    <row r="488" spans="1:32" s="9" customFormat="1" ht="20.100000000000001" customHeight="1" x14ac:dyDescent="0.25">
      <c r="A488" s="6"/>
      <c r="B488" s="10" t="s">
        <v>2</v>
      </c>
      <c r="C488" s="13" t="s">
        <v>4</v>
      </c>
      <c r="D488" s="7">
        <v>25</v>
      </c>
      <c r="E488" s="7"/>
      <c r="F488" s="7">
        <v>4</v>
      </c>
      <c r="G488" s="8">
        <f>VLOOKUP(D488,'[2]Beam '!$C$20:$H$26,3,0)</f>
        <v>1</v>
      </c>
      <c r="H488" s="8"/>
      <c r="I488" s="7"/>
      <c r="J488" s="7"/>
      <c r="K488" s="7"/>
      <c r="L488" s="7"/>
      <c r="M488" s="7"/>
      <c r="N488" s="7"/>
      <c r="O488" s="7">
        <f>(E487+1*(G488+(12*D488/1000)))+1*(G488)*D487</f>
        <v>6.92</v>
      </c>
      <c r="P488" s="7">
        <f t="shared" ref="P488:P494" si="95">O488*F488</f>
        <v>27.68</v>
      </c>
      <c r="Q488" s="7">
        <f>IF($D488='[2]Beam '!Q$44,$P488*'[2]Beam '!Q$45,0)</f>
        <v>0</v>
      </c>
      <c r="R488" s="7">
        <f>IF($D488='[2]Beam '!R$44,$P488*'[2]Beam '!R$45,0)</f>
        <v>0</v>
      </c>
      <c r="S488" s="7">
        <f>IF($D488='[2]Beam '!S$44,$P488*'[2]Beam '!S$45,0)</f>
        <v>0</v>
      </c>
      <c r="T488" s="7">
        <f>IF($D488='[2]Beam '!T$44,$P488*'[2]Beam '!T$45,0)</f>
        <v>0</v>
      </c>
      <c r="U488" s="7">
        <f>IF($D488='[2]Beam '!U$44,$P488*'[2]Beam '!U$45,0)</f>
        <v>0</v>
      </c>
      <c r="V488" s="7">
        <f>IF($D488='[2]Beam '!V$44,$P488*'[2]Beam '!V$45,0)</f>
        <v>106.70392857142859</v>
      </c>
      <c r="W488" s="7">
        <f>IF($D488='[2]Beam '!W$44,$P488*'[2]Beam '!W$45,0)</f>
        <v>0</v>
      </c>
      <c r="X488" s="7">
        <f t="shared" ref="X488:X494" si="96">SUM(Q488:W488)</f>
        <v>106.70392857142859</v>
      </c>
      <c r="Y488" s="7"/>
      <c r="Z488" s="7"/>
      <c r="AA488" s="7"/>
      <c r="AB488" s="7"/>
      <c r="AC488" s="7"/>
      <c r="AD488" s="7"/>
      <c r="AE488" s="7"/>
    </row>
    <row r="489" spans="1:32" s="9" customFormat="1" ht="20.100000000000001" customHeight="1" x14ac:dyDescent="0.25">
      <c r="A489" s="6"/>
      <c r="B489" s="10" t="s">
        <v>2</v>
      </c>
      <c r="C489" s="13" t="s">
        <v>5</v>
      </c>
      <c r="D489" s="7">
        <v>16</v>
      </c>
      <c r="E489" s="7"/>
      <c r="F489" s="7">
        <v>2</v>
      </c>
      <c r="G489" s="8">
        <f>VLOOKUP(D489,'[2]Beam '!$C$20:$H$26,3,0)</f>
        <v>0.625</v>
      </c>
      <c r="H489" s="8"/>
      <c r="I489" s="7"/>
      <c r="J489" s="7"/>
      <c r="K489" s="7"/>
      <c r="L489" s="7"/>
      <c r="M489" s="7"/>
      <c r="N489" s="7"/>
      <c r="O489" s="7">
        <f>(1.15+1*(G489)*D487)</f>
        <v>1.7749999999999999</v>
      </c>
      <c r="P489" s="7">
        <f t="shared" si="95"/>
        <v>3.55</v>
      </c>
      <c r="Q489" s="7">
        <f>IF($D489='[2]Beam '!Q$44,$P489*'[2]Beam '!Q$45,0)</f>
        <v>0</v>
      </c>
      <c r="R489" s="7">
        <f>IF($D489='[2]Beam '!R$44,$P489*'[2]Beam '!R$45,0)</f>
        <v>0</v>
      </c>
      <c r="S489" s="7">
        <f>IF($D489='[2]Beam '!S$44,$P489*'[2]Beam '!S$45,0)</f>
        <v>0</v>
      </c>
      <c r="T489" s="7">
        <f>IF($D489='[2]Beam '!T$44,$P489*'[2]Beam '!T$45,0)</f>
        <v>5.6053485714285713</v>
      </c>
      <c r="U489" s="7">
        <f>IF($D489='[2]Beam '!U$44,$P489*'[2]Beam '!U$45,0)</f>
        <v>0</v>
      </c>
      <c r="V489" s="7">
        <f>IF($D489='[2]Beam '!V$44,$P489*'[2]Beam '!V$45,0)</f>
        <v>0</v>
      </c>
      <c r="W489" s="7">
        <f>IF($D489='[2]Beam '!W$44,$P489*'[2]Beam '!W$45,0)</f>
        <v>0</v>
      </c>
      <c r="X489" s="7">
        <f t="shared" si="96"/>
        <v>5.6053485714285713</v>
      </c>
      <c r="Y489" s="7"/>
      <c r="Z489" s="7"/>
      <c r="AA489" s="7"/>
      <c r="AB489" s="7"/>
      <c r="AC489" s="7"/>
      <c r="AD489" s="7"/>
      <c r="AE489" s="7"/>
    </row>
    <row r="490" spans="1:32" s="9" customFormat="1" ht="20.100000000000001" customHeight="1" x14ac:dyDescent="0.25">
      <c r="A490" s="6"/>
      <c r="B490" s="10" t="s">
        <v>2</v>
      </c>
      <c r="C490" s="13" t="s">
        <v>6</v>
      </c>
      <c r="D490" s="7">
        <v>25</v>
      </c>
      <c r="E490" s="7"/>
      <c r="F490" s="7">
        <v>2</v>
      </c>
      <c r="G490" s="8">
        <f>VLOOKUP(D490,'[2]Beam '!$C$20:$H$26,3,0)</f>
        <v>1</v>
      </c>
      <c r="H490" s="7"/>
      <c r="I490" s="7"/>
      <c r="J490" s="7"/>
      <c r="K490" s="7"/>
      <c r="L490" s="7"/>
      <c r="M490" s="7"/>
      <c r="N490" s="7"/>
      <c r="O490" s="7">
        <f>(E487+1*(G490+(12*D490/1000))+1*(G490))*D487</f>
        <v>6.92</v>
      </c>
      <c r="P490" s="7">
        <f t="shared" si="95"/>
        <v>13.84</v>
      </c>
      <c r="Q490" s="7">
        <f>IF($D490='[2]Beam '!Q$44,$P490*'[2]Beam '!Q$45,0)</f>
        <v>0</v>
      </c>
      <c r="R490" s="7">
        <f>IF($D490='[2]Beam '!R$44,$P490*'[2]Beam '!R$45,0)</f>
        <v>0</v>
      </c>
      <c r="S490" s="7">
        <f>IF($D490='[2]Beam '!S$44,$P490*'[2]Beam '!S$45,0)</f>
        <v>0</v>
      </c>
      <c r="T490" s="7">
        <f>IF($D490='[2]Beam '!T$44,$P490*'[2]Beam '!T$45,0)</f>
        <v>0</v>
      </c>
      <c r="U490" s="7">
        <f>IF($D490='[2]Beam '!U$44,$P490*'[2]Beam '!U$45,0)</f>
        <v>0</v>
      </c>
      <c r="V490" s="7">
        <f>IF($D490='[2]Beam '!V$44,$P490*'[2]Beam '!V$45,0)</f>
        <v>53.351964285714295</v>
      </c>
      <c r="W490" s="7">
        <f>IF($D490='[2]Beam '!W$44,$P490*'[2]Beam '!W$45,0)</f>
        <v>0</v>
      </c>
      <c r="X490" s="7">
        <f t="shared" si="96"/>
        <v>53.351964285714295</v>
      </c>
      <c r="Y490" s="7"/>
      <c r="Z490" s="7"/>
      <c r="AA490" s="7"/>
      <c r="AB490" s="7"/>
      <c r="AC490" s="7"/>
      <c r="AD490" s="7"/>
      <c r="AE490" s="7"/>
    </row>
    <row r="491" spans="1:32" s="14" customFormat="1" ht="20.100000000000001" customHeight="1" x14ac:dyDescent="0.3">
      <c r="A491" s="6"/>
      <c r="B491" s="10" t="s">
        <v>2</v>
      </c>
      <c r="C491" s="13" t="s">
        <v>6</v>
      </c>
      <c r="D491" s="7">
        <v>20</v>
      </c>
      <c r="E491" s="7"/>
      <c r="F491" s="7">
        <v>2</v>
      </c>
      <c r="G491" s="8">
        <f>VLOOKUP(D491,'[2]Beam '!$C$20:$H$26,3,0)</f>
        <v>0.8</v>
      </c>
      <c r="H491" s="7"/>
      <c r="I491" s="7"/>
      <c r="J491" s="7"/>
      <c r="K491" s="7"/>
      <c r="L491" s="7"/>
      <c r="M491" s="7"/>
      <c r="N491" s="7"/>
      <c r="O491" s="7">
        <f>(E487+1*(G491+(12*D491/1000))+1*(G491))*D487</f>
        <v>6.46</v>
      </c>
      <c r="P491" s="7">
        <f t="shared" si="95"/>
        <v>12.92</v>
      </c>
      <c r="Q491" s="7">
        <f>IF($D491='[2]Beam '!Q$44,$P491*'[2]Beam '!Q$45,0)</f>
        <v>0</v>
      </c>
      <c r="R491" s="7">
        <f>IF($D491='[2]Beam '!R$44,$P491*'[2]Beam '!R$45,0)</f>
        <v>0</v>
      </c>
      <c r="S491" s="7">
        <f>IF($D491='[2]Beam '!S$44,$P491*'[2]Beam '!S$45,0)</f>
        <v>0</v>
      </c>
      <c r="T491" s="7">
        <f>IF($D491='[2]Beam '!T$44,$P491*'[2]Beam '!T$45,0)</f>
        <v>0</v>
      </c>
      <c r="U491" s="7">
        <f>IF($D491='[2]Beam '!U$44,$P491*'[2]Beam '!U$45,0)</f>
        <v>31.875485714285713</v>
      </c>
      <c r="V491" s="7">
        <f>IF($D491='[2]Beam '!V$44,$P491*'[2]Beam '!V$45,0)</f>
        <v>0</v>
      </c>
      <c r="W491" s="7">
        <f>IF($D491='[2]Beam '!W$44,$P491*'[2]Beam '!W$45,0)</f>
        <v>0</v>
      </c>
      <c r="X491" s="7">
        <f t="shared" si="96"/>
        <v>31.875485714285713</v>
      </c>
      <c r="Y491" s="7"/>
    </row>
    <row r="492" spans="1:32" s="9" customFormat="1" ht="20.100000000000001" customHeight="1" x14ac:dyDescent="0.25">
      <c r="A492" s="6"/>
      <c r="B492" s="10" t="s">
        <v>2</v>
      </c>
      <c r="C492" s="13" t="s">
        <v>17</v>
      </c>
      <c r="D492" s="7">
        <v>12</v>
      </c>
      <c r="E492" s="7">
        <v>0.1</v>
      </c>
      <c r="F492" s="7">
        <f>ROUNDUP(E487/E492,0)</f>
        <v>47</v>
      </c>
      <c r="H492" s="7"/>
      <c r="I492" s="7"/>
      <c r="J492" s="7"/>
      <c r="K492" s="7"/>
      <c r="L492" s="7"/>
      <c r="M492" s="7"/>
      <c r="N492" s="7"/>
      <c r="O492" s="7">
        <f>(2*((G487-(2*'[2]Beam '!$D$11))+(F487-(2*'[2]Beam '!$D$11)))+(2*10*D492/1000))*D487</f>
        <v>3</v>
      </c>
      <c r="P492" s="7">
        <f t="shared" si="95"/>
        <v>141</v>
      </c>
      <c r="Q492" s="7">
        <f>IF($D492='[2]Beam '!Q$44,$P492*'[2]Beam '!Q$45,0)</f>
        <v>0</v>
      </c>
      <c r="R492" s="7">
        <f>IF($D492='[2]Beam '!R$44,$P492*'[2]Beam '!R$45,0)</f>
        <v>0</v>
      </c>
      <c r="S492" s="7">
        <f>IF($D492='[2]Beam '!S$44,$P492*'[2]Beam '!S$45,0)</f>
        <v>125.23217142857145</v>
      </c>
      <c r="T492" s="7">
        <f>IF($D492='[2]Beam '!T$44,$P492*'[2]Beam '!T$45,0)</f>
        <v>0</v>
      </c>
      <c r="U492" s="7">
        <f>IF($D492='[2]Beam '!U$44,$P492*'[2]Beam '!U$45,0)</f>
        <v>0</v>
      </c>
      <c r="V492" s="7">
        <f>IF($D492='[2]Beam '!V$44,$P492*'[2]Beam '!V$45,0)</f>
        <v>0</v>
      </c>
      <c r="W492" s="7">
        <f>IF($D492='[2]Beam '!W$44,$P492*'[2]Beam '!W$45,0)</f>
        <v>0</v>
      </c>
      <c r="X492" s="7">
        <f t="shared" si="96"/>
        <v>125.23217142857145</v>
      </c>
      <c r="Y492" s="7"/>
      <c r="Z492" s="7"/>
      <c r="AA492" s="7"/>
      <c r="AB492" s="7"/>
      <c r="AC492" s="7"/>
      <c r="AD492" s="7"/>
      <c r="AE492" s="7"/>
    </row>
    <row r="493" spans="1:32" s="9" customFormat="1" ht="21" customHeight="1" x14ac:dyDescent="0.25">
      <c r="A493" s="14"/>
      <c r="B493" s="10" t="s">
        <v>2</v>
      </c>
      <c r="C493" s="13" t="s">
        <v>18</v>
      </c>
      <c r="D493" s="14">
        <f>D492</f>
        <v>12</v>
      </c>
      <c r="E493" s="14">
        <f>+E492</f>
        <v>0.1</v>
      </c>
      <c r="F493" s="7">
        <f>ROUNDUP(E487/E493,0)</f>
        <v>47</v>
      </c>
      <c r="H493" s="14"/>
      <c r="I493" s="14"/>
      <c r="J493" s="14"/>
      <c r="K493" s="14"/>
      <c r="L493" s="14"/>
      <c r="M493" s="14"/>
      <c r="N493" s="14"/>
      <c r="O493" s="7">
        <f>(2*(((F487-'[2]Beam '!$D$11*2)/(F488-1))+(G487-'[2]Beam '!$D$11*2))+(2*10*D493/1000))*D487</f>
        <v>2.5466666666666669</v>
      </c>
      <c r="P493" s="7">
        <f t="shared" si="95"/>
        <v>119.69333333333334</v>
      </c>
      <c r="Q493" s="7">
        <f>IF($D493='[2]Beam '!Q$44,$P493*'[2]Beam '!Q$45,0)</f>
        <v>0</v>
      </c>
      <c r="R493" s="7">
        <f>IF($D493='[2]Beam '!R$44,$P493*'[2]Beam '!R$45,0)</f>
        <v>0</v>
      </c>
      <c r="S493" s="7">
        <f>IF($D493='[2]Beam '!S$44,$P493*'[2]Beam '!S$45,0)</f>
        <v>106.30819885714288</v>
      </c>
      <c r="T493" s="7">
        <f>IF($D493='[2]Beam '!T$44,$P493*'[2]Beam '!T$45,0)</f>
        <v>0</v>
      </c>
      <c r="U493" s="7">
        <f>IF($D493='[2]Beam '!U$44,$P493*'[2]Beam '!U$45,0)</f>
        <v>0</v>
      </c>
      <c r="V493" s="7">
        <f>IF($D493='[2]Beam '!V$44,$P493*'[2]Beam '!V$45,0)</f>
        <v>0</v>
      </c>
      <c r="W493" s="7">
        <f>IF($D493='[2]Beam '!W$44,$P493*'[2]Beam '!W$45,0)</f>
        <v>0</v>
      </c>
      <c r="X493" s="7">
        <f t="shared" si="96"/>
        <v>106.30819885714288</v>
      </c>
      <c r="Y493" s="14"/>
      <c r="Z493" s="7"/>
      <c r="AA493" s="7"/>
      <c r="AB493" s="7"/>
      <c r="AC493" s="7"/>
      <c r="AD493" s="7"/>
      <c r="AE493" s="7"/>
      <c r="AF493" s="7"/>
    </row>
    <row r="494" spans="1:32" s="9" customFormat="1" ht="20.100000000000001" customHeight="1" x14ac:dyDescent="0.25">
      <c r="A494" s="6"/>
      <c r="B494" s="10" t="s">
        <v>2</v>
      </c>
      <c r="C494" s="13" t="s">
        <v>11</v>
      </c>
      <c r="D494" s="7">
        <f>+'[2]Beam '!$D$15</f>
        <v>25</v>
      </c>
      <c r="E494" s="7">
        <f>+'[2]Beam '!$E$15</f>
        <v>1</v>
      </c>
      <c r="F494" s="7">
        <f>ROUNDUP((1.15)/E494,0)</f>
        <v>2</v>
      </c>
      <c r="G494" s="8"/>
      <c r="H494" s="8"/>
      <c r="I494" s="7"/>
      <c r="J494" s="7"/>
      <c r="K494" s="7"/>
      <c r="L494" s="7"/>
      <c r="M494" s="7"/>
      <c r="N494" s="7"/>
      <c r="O494" s="7">
        <f>F487-'[2]Beam '!$F$15</f>
        <v>0.34</v>
      </c>
      <c r="P494" s="7">
        <f t="shared" si="95"/>
        <v>0.68</v>
      </c>
      <c r="Q494" s="7">
        <f>IF($D494='[2]Beam '!Q$44,$P494*'[2]Beam '!Q$45,0)</f>
        <v>0</v>
      </c>
      <c r="R494" s="7">
        <f>IF($D494='[2]Beam '!R$44,$P494*'[2]Beam '!R$45,0)</f>
        <v>0</v>
      </c>
      <c r="S494" s="7">
        <f>IF($D494='[2]Beam '!S$44,$P494*'[2]Beam '!S$45,0)</f>
        <v>0</v>
      </c>
      <c r="T494" s="7">
        <f>IF($D494='[2]Beam '!T$44,$P494*'[2]Beam '!T$45,0)</f>
        <v>0</v>
      </c>
      <c r="U494" s="7">
        <f>IF($D494='[2]Beam '!U$44,$P494*'[2]Beam '!U$45,0)</f>
        <v>0</v>
      </c>
      <c r="V494" s="7">
        <f>IF($D494='[2]Beam '!V$44,$P494*'[2]Beam '!V$45,0)</f>
        <v>2.6213392857142863</v>
      </c>
      <c r="W494" s="7">
        <f>IF($D494='[2]Beam '!W$44,$P494*'[2]Beam '!W$45,0)</f>
        <v>0</v>
      </c>
      <c r="X494" s="7">
        <f t="shared" si="96"/>
        <v>2.6213392857142863</v>
      </c>
      <c r="Y494" s="7"/>
      <c r="Z494" s="7"/>
      <c r="AA494" s="7"/>
      <c r="AB494" s="7"/>
      <c r="AC494" s="7"/>
      <c r="AD494" s="7"/>
      <c r="AE494" s="7"/>
    </row>
    <row r="495" spans="1:32" s="9" customFormat="1" ht="20.100000000000001" customHeight="1" x14ac:dyDescent="0.25">
      <c r="A495" s="7">
        <v>1</v>
      </c>
      <c r="B495" s="10" t="s">
        <v>2</v>
      </c>
      <c r="C495" s="11" t="s">
        <v>75</v>
      </c>
      <c r="D495" s="11">
        <v>1</v>
      </c>
      <c r="E495" s="11">
        <v>2.899</v>
      </c>
      <c r="F495" s="11">
        <v>0.2</v>
      </c>
      <c r="G495" s="11">
        <v>0.8</v>
      </c>
      <c r="H495" s="7">
        <f>G495-0.2</f>
        <v>0.60000000000000009</v>
      </c>
      <c r="I495" s="7">
        <f>E495*F495*G495*D495</f>
        <v>0.46384000000000003</v>
      </c>
      <c r="J495" s="7">
        <f>(2*(E495)*H495*D495)+(E495*F495)</f>
        <v>4.0586000000000002</v>
      </c>
      <c r="K495" s="12">
        <f>IF(E495=0.3,J495,0)</f>
        <v>0</v>
      </c>
      <c r="L495" s="12">
        <f>IF(AND(E495&gt;0.3,E495&lt;=0.75),J495,0)</f>
        <v>0</v>
      </c>
      <c r="M495" s="12">
        <f>IF(AND(E495&gt;0.75,E495&lt;=1.2),J495,0)</f>
        <v>0</v>
      </c>
      <c r="N495" s="12">
        <f>IF(E495&gt;1.2,J495,0)</f>
        <v>4.0586000000000002</v>
      </c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>
        <f>SUM(X496:X498)/I495</f>
        <v>71.214814714433544</v>
      </c>
      <c r="Z495" s="7"/>
      <c r="AA495" s="7"/>
      <c r="AB495" s="7"/>
      <c r="AC495" s="7"/>
      <c r="AD495" s="7"/>
      <c r="AE495" s="7"/>
    </row>
    <row r="496" spans="1:32" s="9" customFormat="1" ht="20.100000000000001" customHeight="1" x14ac:dyDescent="0.25">
      <c r="A496" s="6"/>
      <c r="B496" s="10" t="s">
        <v>2</v>
      </c>
      <c r="C496" s="13" t="s">
        <v>4</v>
      </c>
      <c r="D496" s="7">
        <v>12</v>
      </c>
      <c r="E496" s="7"/>
      <c r="F496" s="7">
        <v>2</v>
      </c>
      <c r="G496" s="8">
        <f>VLOOKUP(D496,'[2]Beam '!$C$20:$H$26,3,0)</f>
        <v>0.47499999999999998</v>
      </c>
      <c r="H496" s="8"/>
      <c r="I496" s="7"/>
      <c r="J496" s="7"/>
      <c r="K496" s="7"/>
      <c r="L496" s="7"/>
      <c r="M496" s="7"/>
      <c r="N496" s="7"/>
      <c r="O496" s="7">
        <f>(E495+2*(G496+(12*D496/1000)))*D495</f>
        <v>4.1370000000000005</v>
      </c>
      <c r="P496" s="7">
        <f>O496*F496</f>
        <v>8.2740000000000009</v>
      </c>
      <c r="Q496" s="7">
        <f>IF($D496='[2]Beam '!Q$44,$P496*'[2]Beam '!Q$45,0)</f>
        <v>0</v>
      </c>
      <c r="R496" s="7">
        <f>IF($D496='[2]Beam '!R$44,$P496*'[2]Beam '!R$45,0)</f>
        <v>0</v>
      </c>
      <c r="S496" s="7">
        <f>IF($D496='[2]Beam '!S$44,$P496*'[2]Beam '!S$45,0)</f>
        <v>7.3487304000000018</v>
      </c>
      <c r="T496" s="7">
        <f>IF($D496='[2]Beam '!T$44,$P496*'[2]Beam '!T$45,0)</f>
        <v>0</v>
      </c>
      <c r="U496" s="7">
        <f>IF($D496='[2]Beam '!U$44,$P496*'[2]Beam '!U$45,0)</f>
        <v>0</v>
      </c>
      <c r="V496" s="7">
        <f>IF($D496='[2]Beam '!V$44,$P496*'[2]Beam '!V$45,0)</f>
        <v>0</v>
      </c>
      <c r="W496" s="7">
        <f>IF($D496='[2]Beam '!W$44,$P496*'[2]Beam '!W$45,0)</f>
        <v>0</v>
      </c>
      <c r="X496" s="7">
        <f>SUM(Q496:W496)</f>
        <v>7.3487304000000018</v>
      </c>
      <c r="Y496" s="7"/>
      <c r="Z496" s="7"/>
      <c r="AA496" s="7"/>
      <c r="AB496" s="7"/>
      <c r="AC496" s="7"/>
      <c r="AD496" s="7"/>
      <c r="AE496" s="7"/>
    </row>
    <row r="497" spans="1:32" s="9" customFormat="1" ht="21" customHeight="1" x14ac:dyDescent="0.25">
      <c r="A497" s="6"/>
      <c r="B497" s="10" t="s">
        <v>2</v>
      </c>
      <c r="C497" s="13" t="s">
        <v>6</v>
      </c>
      <c r="D497" s="7">
        <v>16</v>
      </c>
      <c r="E497" s="7"/>
      <c r="F497" s="7">
        <v>2</v>
      </c>
      <c r="G497" s="8">
        <f>VLOOKUP(D497,'[2]Beam '!$C$20:$H$26,3,0)</f>
        <v>0.625</v>
      </c>
      <c r="H497" s="7"/>
      <c r="I497" s="7"/>
      <c r="J497" s="7"/>
      <c r="K497" s="7"/>
      <c r="L497" s="7"/>
      <c r="M497" s="7"/>
      <c r="N497" s="7"/>
      <c r="O497" s="7">
        <f>(E495+2*(G497+(12*D497/1000)))*D495</f>
        <v>4.5329999999999995</v>
      </c>
      <c r="P497" s="7">
        <f>O497*F497</f>
        <v>9.0659999999999989</v>
      </c>
      <c r="Q497" s="7">
        <f>IF($D497='[2]Beam '!Q$44,$P497*'[2]Beam '!Q$45,0)</f>
        <v>0</v>
      </c>
      <c r="R497" s="7">
        <f>IF($D497='[2]Beam '!R$44,$P497*'[2]Beam '!R$45,0)</f>
        <v>0</v>
      </c>
      <c r="S497" s="7">
        <f>IF($D497='[2]Beam '!S$44,$P497*'[2]Beam '!S$45,0)</f>
        <v>0</v>
      </c>
      <c r="T497" s="7">
        <f>IF($D497='[2]Beam '!T$44,$P497*'[2]Beam '!T$45,0)</f>
        <v>14.314954971428572</v>
      </c>
      <c r="U497" s="7">
        <f>IF($D497='[2]Beam '!U$44,$P497*'[2]Beam '!U$45,0)</f>
        <v>0</v>
      </c>
      <c r="V497" s="7">
        <f>IF($D497='[2]Beam '!V$44,$P497*'[2]Beam '!V$45,0)</f>
        <v>0</v>
      </c>
      <c r="W497" s="7">
        <f>IF($D497='[2]Beam '!W$44,$P497*'[2]Beam '!W$45,0)</f>
        <v>0</v>
      </c>
      <c r="X497" s="7">
        <f>SUM(Q497:W497)</f>
        <v>14.314954971428572</v>
      </c>
      <c r="Y497" s="7"/>
      <c r="Z497" s="7"/>
      <c r="AA497" s="7"/>
      <c r="AB497" s="7"/>
      <c r="AC497" s="7"/>
      <c r="AD497" s="7"/>
      <c r="AE497" s="7"/>
      <c r="AF497" s="7"/>
    </row>
    <row r="498" spans="1:32" s="9" customFormat="1" ht="20.100000000000001" customHeight="1" x14ac:dyDescent="0.25">
      <c r="A498" s="6"/>
      <c r="B498" s="10" t="s">
        <v>2</v>
      </c>
      <c r="C498" s="13" t="s">
        <v>26</v>
      </c>
      <c r="D498" s="7">
        <v>8</v>
      </c>
      <c r="E498" s="7">
        <v>0.2</v>
      </c>
      <c r="F498" s="7">
        <f>ROUNDUP(E495/E498,0)</f>
        <v>15</v>
      </c>
      <c r="H498" s="7"/>
      <c r="I498" s="7"/>
      <c r="J498" s="7"/>
      <c r="K498" s="7"/>
      <c r="L498" s="7"/>
      <c r="M498" s="7"/>
      <c r="N498" s="7"/>
      <c r="O498" s="7">
        <f>(2*((G495-(2*'[2]Beam '!$D$11))+(F495-(2*'[2]Beam '!$D$11)))+(2*10*D498/1000))*D495</f>
        <v>1.92</v>
      </c>
      <c r="P498" s="7">
        <f>O498*F498</f>
        <v>28.799999999999997</v>
      </c>
      <c r="Q498" s="7">
        <f>IF($D498='[2]Beam '!Q$44,$P498*'[2]Beam '!Q$45,0)</f>
        <v>11.368594285714286</v>
      </c>
      <c r="R498" s="7">
        <f>IF($D498='[2]Beam '!R$44,$P498*'[2]Beam '!R$45,0)</f>
        <v>0</v>
      </c>
      <c r="S498" s="7">
        <f>IF($D498='[2]Beam '!S$44,$P498*'[2]Beam '!S$45,0)</f>
        <v>0</v>
      </c>
      <c r="T498" s="7">
        <f>IF($D498='[2]Beam '!T$44,$P498*'[2]Beam '!T$45,0)</f>
        <v>0</v>
      </c>
      <c r="U498" s="7">
        <f>IF($D498='[2]Beam '!U$44,$P498*'[2]Beam '!U$45,0)</f>
        <v>0</v>
      </c>
      <c r="V498" s="7">
        <f>IF($D498='[2]Beam '!V$44,$P498*'[2]Beam '!V$45,0)</f>
        <v>0</v>
      </c>
      <c r="W498" s="7">
        <f>IF($D498='[2]Beam '!W$44,$P498*'[2]Beam '!W$45,0)</f>
        <v>0</v>
      </c>
      <c r="X498" s="7">
        <f>SUM(Q498:W498)</f>
        <v>11.368594285714286</v>
      </c>
      <c r="Y498" s="7"/>
      <c r="Z498" s="7"/>
      <c r="AA498" s="7"/>
      <c r="AB498" s="7"/>
      <c r="AC498" s="7"/>
      <c r="AD498" s="7"/>
      <c r="AE498" s="7"/>
    </row>
    <row r="499" spans="1:32" s="9" customFormat="1" ht="20.100000000000001" customHeight="1" x14ac:dyDescent="0.25">
      <c r="A499" s="7">
        <v>1</v>
      </c>
      <c r="B499" s="10" t="s">
        <v>2</v>
      </c>
      <c r="C499" s="11" t="s">
        <v>76</v>
      </c>
      <c r="D499" s="11">
        <v>1</v>
      </c>
      <c r="E499" s="11">
        <v>4.32</v>
      </c>
      <c r="F499" s="11">
        <v>0.4</v>
      </c>
      <c r="G499" s="11">
        <v>1.1000000000000001</v>
      </c>
      <c r="H499" s="7">
        <f>G499-0.2</f>
        <v>0.90000000000000013</v>
      </c>
      <c r="I499" s="7">
        <f>E499*F499*G499*D499</f>
        <v>1.9008000000000003</v>
      </c>
      <c r="J499" s="7">
        <f>(2*(E499)*H499*D499)+(E499*F499)</f>
        <v>9.5040000000000013</v>
      </c>
      <c r="K499" s="12">
        <f>IF(E499=0.3,J499,0)</f>
        <v>0</v>
      </c>
      <c r="L499" s="12">
        <f>IF(AND(E499&gt;0.3,E499&lt;=0.75),J499,0)</f>
        <v>0</v>
      </c>
      <c r="M499" s="12">
        <f>IF(AND(E499&gt;0.75,E499&lt;=1.2),J499,0)</f>
        <v>0</v>
      </c>
      <c r="N499" s="12">
        <f>IF(E499&gt;1.2,J499,0)</f>
        <v>9.5040000000000013</v>
      </c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>
        <f>SUM(X500:X505)/I499</f>
        <v>213.53051339285713</v>
      </c>
      <c r="Z499" s="7"/>
      <c r="AA499" s="7"/>
      <c r="AB499" s="7"/>
      <c r="AC499" s="7"/>
      <c r="AD499" s="7"/>
      <c r="AE499" s="7"/>
    </row>
    <row r="500" spans="1:32" s="9" customFormat="1" ht="20.100000000000001" customHeight="1" x14ac:dyDescent="0.25">
      <c r="A500" s="6"/>
      <c r="B500" s="10" t="s">
        <v>2</v>
      </c>
      <c r="C500" s="13" t="s">
        <v>4</v>
      </c>
      <c r="D500" s="7">
        <v>25</v>
      </c>
      <c r="E500" s="7"/>
      <c r="F500" s="7">
        <v>4</v>
      </c>
      <c r="G500" s="8">
        <f>VLOOKUP(D500,'[2]Beam '!$C$20:$H$26,3,0)</f>
        <v>1</v>
      </c>
      <c r="H500" s="8"/>
      <c r="I500" s="7"/>
      <c r="J500" s="7"/>
      <c r="K500" s="7"/>
      <c r="L500" s="7"/>
      <c r="M500" s="7"/>
      <c r="N500" s="7"/>
      <c r="O500" s="7">
        <f>(E499+1*(G500+(12*D500/1000)))+1*(G500)*D499</f>
        <v>6.62</v>
      </c>
      <c r="P500" s="7">
        <f t="shared" ref="P500:P506" si="97">O500*F500</f>
        <v>26.48</v>
      </c>
      <c r="Q500" s="7">
        <f>IF($D500='[2]Beam '!Q$44,$P500*'[2]Beam '!Q$45,0)</f>
        <v>0</v>
      </c>
      <c r="R500" s="7">
        <f>IF($D500='[2]Beam '!R$44,$P500*'[2]Beam '!R$45,0)</f>
        <v>0</v>
      </c>
      <c r="S500" s="7">
        <f>IF($D500='[2]Beam '!S$44,$P500*'[2]Beam '!S$45,0)</f>
        <v>0</v>
      </c>
      <c r="T500" s="7">
        <f>IF($D500='[2]Beam '!T$44,$P500*'[2]Beam '!T$45,0)</f>
        <v>0</v>
      </c>
      <c r="U500" s="7">
        <f>IF($D500='[2]Beam '!U$44,$P500*'[2]Beam '!U$45,0)</f>
        <v>0</v>
      </c>
      <c r="V500" s="7">
        <f>IF($D500='[2]Beam '!V$44,$P500*'[2]Beam '!V$45,0)</f>
        <v>102.07803571428573</v>
      </c>
      <c r="W500" s="7">
        <f>IF($D500='[2]Beam '!W$44,$P500*'[2]Beam '!W$45,0)</f>
        <v>0</v>
      </c>
      <c r="X500" s="7">
        <f t="shared" ref="X500:X506" si="98">SUM(Q500:W500)</f>
        <v>102.07803571428573</v>
      </c>
      <c r="Y500" s="7"/>
      <c r="Z500" s="7"/>
      <c r="AA500" s="7"/>
      <c r="AB500" s="7"/>
      <c r="AC500" s="7"/>
      <c r="AD500" s="7"/>
      <c r="AE500" s="7"/>
    </row>
    <row r="501" spans="1:32" s="9" customFormat="1" ht="20.100000000000001" customHeight="1" x14ac:dyDescent="0.25">
      <c r="A501" s="6"/>
      <c r="B501" s="10" t="s">
        <v>2</v>
      </c>
      <c r="C501" s="13" t="s">
        <v>5</v>
      </c>
      <c r="D501" s="7">
        <v>16</v>
      </c>
      <c r="E501" s="7"/>
      <c r="F501" s="7">
        <v>2</v>
      </c>
      <c r="G501" s="8">
        <f>VLOOKUP(D501,'[2]Beam '!$C$20:$H$26,3,0)</f>
        <v>0.625</v>
      </c>
      <c r="H501" s="8"/>
      <c r="I501" s="7"/>
      <c r="J501" s="7"/>
      <c r="K501" s="7"/>
      <c r="L501" s="7"/>
      <c r="M501" s="7"/>
      <c r="N501" s="7"/>
      <c r="O501" s="7">
        <f>(1.15+1*(G501)*D499)</f>
        <v>1.7749999999999999</v>
      </c>
      <c r="P501" s="7">
        <f t="shared" si="97"/>
        <v>3.55</v>
      </c>
      <c r="Q501" s="7">
        <f>IF($D501='[2]Beam '!Q$44,$P501*'[2]Beam '!Q$45,0)</f>
        <v>0</v>
      </c>
      <c r="R501" s="7">
        <f>IF($D501='[2]Beam '!R$44,$P501*'[2]Beam '!R$45,0)</f>
        <v>0</v>
      </c>
      <c r="S501" s="7">
        <f>IF($D501='[2]Beam '!S$44,$P501*'[2]Beam '!S$45,0)</f>
        <v>0</v>
      </c>
      <c r="T501" s="7">
        <f>IF($D501='[2]Beam '!T$44,$P501*'[2]Beam '!T$45,0)</f>
        <v>5.6053485714285713</v>
      </c>
      <c r="U501" s="7">
        <f>IF($D501='[2]Beam '!U$44,$P501*'[2]Beam '!U$45,0)</f>
        <v>0</v>
      </c>
      <c r="V501" s="7">
        <f>IF($D501='[2]Beam '!V$44,$P501*'[2]Beam '!V$45,0)</f>
        <v>0</v>
      </c>
      <c r="W501" s="7">
        <f>IF($D501='[2]Beam '!W$44,$P501*'[2]Beam '!W$45,0)</f>
        <v>0</v>
      </c>
      <c r="X501" s="7">
        <f t="shared" si="98"/>
        <v>5.6053485714285713</v>
      </c>
      <c r="Y501" s="7"/>
      <c r="Z501" s="7"/>
      <c r="AA501" s="7"/>
      <c r="AB501" s="7"/>
      <c r="AC501" s="7"/>
      <c r="AD501" s="7"/>
      <c r="AE501" s="7"/>
    </row>
    <row r="502" spans="1:32" s="9" customFormat="1" ht="20.100000000000001" customHeight="1" x14ac:dyDescent="0.25">
      <c r="A502" s="6"/>
      <c r="B502" s="10" t="s">
        <v>2</v>
      </c>
      <c r="C502" s="13" t="s">
        <v>6</v>
      </c>
      <c r="D502" s="7">
        <v>25</v>
      </c>
      <c r="E502" s="7"/>
      <c r="F502" s="7">
        <v>2</v>
      </c>
      <c r="G502" s="8">
        <f>VLOOKUP(D502,'[2]Beam '!$C$20:$H$26,3,0)</f>
        <v>1</v>
      </c>
      <c r="H502" s="7"/>
      <c r="I502" s="7"/>
      <c r="J502" s="7"/>
      <c r="K502" s="7"/>
      <c r="L502" s="7"/>
      <c r="M502" s="7"/>
      <c r="N502" s="7"/>
      <c r="O502" s="7">
        <f>(E499+1*(G502+(12*D502/1000))+1*(G502))*D499</f>
        <v>6.62</v>
      </c>
      <c r="P502" s="7">
        <f t="shared" si="97"/>
        <v>13.24</v>
      </c>
      <c r="Q502" s="7">
        <f>IF($D502='[2]Beam '!Q$44,$P502*'[2]Beam '!Q$45,0)</f>
        <v>0</v>
      </c>
      <c r="R502" s="7">
        <f>IF($D502='[2]Beam '!R$44,$P502*'[2]Beam '!R$45,0)</f>
        <v>0</v>
      </c>
      <c r="S502" s="7">
        <f>IF($D502='[2]Beam '!S$44,$P502*'[2]Beam '!S$45,0)</f>
        <v>0</v>
      </c>
      <c r="T502" s="7">
        <f>IF($D502='[2]Beam '!T$44,$P502*'[2]Beam '!T$45,0)</f>
        <v>0</v>
      </c>
      <c r="U502" s="7">
        <f>IF($D502='[2]Beam '!U$44,$P502*'[2]Beam '!U$45,0)</f>
        <v>0</v>
      </c>
      <c r="V502" s="7">
        <f>IF($D502='[2]Beam '!V$44,$P502*'[2]Beam '!V$45,0)</f>
        <v>51.039017857142866</v>
      </c>
      <c r="W502" s="7">
        <f>IF($D502='[2]Beam '!W$44,$P502*'[2]Beam '!W$45,0)</f>
        <v>0</v>
      </c>
      <c r="X502" s="7">
        <f t="shared" si="98"/>
        <v>51.039017857142866</v>
      </c>
      <c r="Y502" s="7"/>
      <c r="Z502" s="7"/>
      <c r="AA502" s="7"/>
      <c r="AB502" s="7"/>
      <c r="AC502" s="7"/>
      <c r="AD502" s="7"/>
      <c r="AE502" s="7"/>
    </row>
    <row r="503" spans="1:32" s="14" customFormat="1" ht="20.100000000000001" customHeight="1" x14ac:dyDescent="0.3">
      <c r="A503" s="6"/>
      <c r="B503" s="10" t="s">
        <v>2</v>
      </c>
      <c r="C503" s="13" t="s">
        <v>6</v>
      </c>
      <c r="D503" s="7">
        <v>20</v>
      </c>
      <c r="E503" s="7"/>
      <c r="F503" s="7">
        <v>2</v>
      </c>
      <c r="G503" s="8">
        <f>VLOOKUP(D503,'[2]Beam '!$C$20:$H$26,3,0)</f>
        <v>0.8</v>
      </c>
      <c r="H503" s="7"/>
      <c r="I503" s="7"/>
      <c r="J503" s="7"/>
      <c r="K503" s="7"/>
      <c r="L503" s="7"/>
      <c r="M503" s="7"/>
      <c r="N503" s="7"/>
      <c r="O503" s="7">
        <f>(E499+1*(G503+(12*D503/1000))+1*(G503))*D499</f>
        <v>6.16</v>
      </c>
      <c r="P503" s="7">
        <f t="shared" si="97"/>
        <v>12.32</v>
      </c>
      <c r="Q503" s="7">
        <f>IF($D503='[2]Beam '!Q$44,$P503*'[2]Beam '!Q$45,0)</f>
        <v>0</v>
      </c>
      <c r="R503" s="7">
        <f>IF($D503='[2]Beam '!R$44,$P503*'[2]Beam '!R$45,0)</f>
        <v>0</v>
      </c>
      <c r="S503" s="7">
        <f>IF($D503='[2]Beam '!S$44,$P503*'[2]Beam '!S$45,0)</f>
        <v>0</v>
      </c>
      <c r="T503" s="7">
        <f>IF($D503='[2]Beam '!T$44,$P503*'[2]Beam '!T$45,0)</f>
        <v>0</v>
      </c>
      <c r="U503" s="7">
        <f>IF($D503='[2]Beam '!U$44,$P503*'[2]Beam '!U$45,0)</f>
        <v>30.395199999999999</v>
      </c>
      <c r="V503" s="7">
        <f>IF($D503='[2]Beam '!V$44,$P503*'[2]Beam '!V$45,0)</f>
        <v>0</v>
      </c>
      <c r="W503" s="7">
        <f>IF($D503='[2]Beam '!W$44,$P503*'[2]Beam '!W$45,0)</f>
        <v>0</v>
      </c>
      <c r="X503" s="7">
        <f t="shared" si="98"/>
        <v>30.395199999999999</v>
      </c>
      <c r="Y503" s="7"/>
    </row>
    <row r="504" spans="1:32" s="9" customFormat="1" ht="20.100000000000001" customHeight="1" x14ac:dyDescent="0.25">
      <c r="A504" s="6"/>
      <c r="B504" s="10" t="s">
        <v>2</v>
      </c>
      <c r="C504" s="13" t="s">
        <v>17</v>
      </c>
      <c r="D504" s="7">
        <v>12</v>
      </c>
      <c r="E504" s="7">
        <v>0.1</v>
      </c>
      <c r="F504" s="7">
        <f>ROUNDUP(E499/E504,0)</f>
        <v>44</v>
      </c>
      <c r="H504" s="7"/>
      <c r="I504" s="7"/>
      <c r="J504" s="7"/>
      <c r="K504" s="7"/>
      <c r="L504" s="7"/>
      <c r="M504" s="7"/>
      <c r="N504" s="7"/>
      <c r="O504" s="7">
        <f>(2*((G499-(2*'[2]Beam '!$D$11))+(F499-(2*'[2]Beam '!$D$11)))+(2*10*D504/1000))*D499</f>
        <v>3</v>
      </c>
      <c r="P504" s="7">
        <f t="shared" si="97"/>
        <v>132</v>
      </c>
      <c r="Q504" s="7">
        <f>IF($D504='[2]Beam '!Q$44,$P504*'[2]Beam '!Q$45,0)</f>
        <v>0</v>
      </c>
      <c r="R504" s="7">
        <f>IF($D504='[2]Beam '!R$44,$P504*'[2]Beam '!R$45,0)</f>
        <v>0</v>
      </c>
      <c r="S504" s="7">
        <f>IF($D504='[2]Beam '!S$44,$P504*'[2]Beam '!S$45,0)</f>
        <v>117.23862857142859</v>
      </c>
      <c r="T504" s="7">
        <f>IF($D504='[2]Beam '!T$44,$P504*'[2]Beam '!T$45,0)</f>
        <v>0</v>
      </c>
      <c r="U504" s="7">
        <f>IF($D504='[2]Beam '!U$44,$P504*'[2]Beam '!U$45,0)</f>
        <v>0</v>
      </c>
      <c r="V504" s="7">
        <f>IF($D504='[2]Beam '!V$44,$P504*'[2]Beam '!V$45,0)</f>
        <v>0</v>
      </c>
      <c r="W504" s="7">
        <f>IF($D504='[2]Beam '!W$44,$P504*'[2]Beam '!W$45,0)</f>
        <v>0</v>
      </c>
      <c r="X504" s="7">
        <f t="shared" si="98"/>
        <v>117.23862857142859</v>
      </c>
      <c r="Y504" s="7"/>
      <c r="Z504" s="7"/>
      <c r="AA504" s="7"/>
      <c r="AB504" s="7"/>
      <c r="AC504" s="7"/>
      <c r="AD504" s="7"/>
      <c r="AE504" s="7"/>
    </row>
    <row r="505" spans="1:32" s="9" customFormat="1" ht="21" customHeight="1" x14ac:dyDescent="0.25">
      <c r="A505" s="14"/>
      <c r="B505" s="10" t="s">
        <v>2</v>
      </c>
      <c r="C505" s="13" t="s">
        <v>18</v>
      </c>
      <c r="D505" s="14">
        <f>D504</f>
        <v>12</v>
      </c>
      <c r="E505" s="14">
        <f>+E504</f>
        <v>0.1</v>
      </c>
      <c r="F505" s="7">
        <f>ROUNDUP(E499/E505,0)</f>
        <v>44</v>
      </c>
      <c r="H505" s="14"/>
      <c r="I505" s="14"/>
      <c r="J505" s="14"/>
      <c r="K505" s="14"/>
      <c r="L505" s="14"/>
      <c r="M505" s="14"/>
      <c r="N505" s="14"/>
      <c r="O505" s="7">
        <f>(2*(((F499-'[2]Beam '!$D$11*2)/(F500-1))+(G499-'[2]Beam '!$D$11*2))+(2*10*D505/1000))*D499</f>
        <v>2.5466666666666669</v>
      </c>
      <c r="P505" s="7">
        <f t="shared" si="97"/>
        <v>112.05333333333334</v>
      </c>
      <c r="Q505" s="7">
        <f>IF($D505='[2]Beam '!Q$44,$P505*'[2]Beam '!Q$45,0)</f>
        <v>0</v>
      </c>
      <c r="R505" s="7">
        <f>IF($D505='[2]Beam '!R$44,$P505*'[2]Beam '!R$45,0)</f>
        <v>0</v>
      </c>
      <c r="S505" s="7">
        <f>IF($D505='[2]Beam '!S$44,$P505*'[2]Beam '!S$45,0)</f>
        <v>99.522569142857165</v>
      </c>
      <c r="T505" s="7">
        <f>IF($D505='[2]Beam '!T$44,$P505*'[2]Beam '!T$45,0)</f>
        <v>0</v>
      </c>
      <c r="U505" s="7">
        <f>IF($D505='[2]Beam '!U$44,$P505*'[2]Beam '!U$45,0)</f>
        <v>0</v>
      </c>
      <c r="V505" s="7">
        <f>IF($D505='[2]Beam '!V$44,$P505*'[2]Beam '!V$45,0)</f>
        <v>0</v>
      </c>
      <c r="W505" s="7">
        <f>IF($D505='[2]Beam '!W$44,$P505*'[2]Beam '!W$45,0)</f>
        <v>0</v>
      </c>
      <c r="X505" s="7">
        <f t="shared" si="98"/>
        <v>99.522569142857165</v>
      </c>
      <c r="Y505" s="14"/>
      <c r="Z505" s="7"/>
      <c r="AA505" s="7"/>
      <c r="AB505" s="7"/>
      <c r="AC505" s="7"/>
      <c r="AD505" s="7"/>
      <c r="AE505" s="7"/>
      <c r="AF505" s="7"/>
    </row>
    <row r="506" spans="1:32" s="9" customFormat="1" ht="20.100000000000001" customHeight="1" x14ac:dyDescent="0.25">
      <c r="A506" s="6"/>
      <c r="B506" s="10" t="s">
        <v>2</v>
      </c>
      <c r="C506" s="13" t="s">
        <v>11</v>
      </c>
      <c r="D506" s="7">
        <f>+'[2]Beam '!$D$15</f>
        <v>25</v>
      </c>
      <c r="E506" s="7">
        <f>+'[2]Beam '!$E$15</f>
        <v>1</v>
      </c>
      <c r="F506" s="7">
        <f>ROUNDUP((1.15)/E506,0)</f>
        <v>2</v>
      </c>
      <c r="G506" s="8"/>
      <c r="H506" s="8"/>
      <c r="I506" s="7"/>
      <c r="J506" s="7"/>
      <c r="K506" s="7"/>
      <c r="L506" s="7"/>
      <c r="M506" s="7"/>
      <c r="N506" s="7"/>
      <c r="O506" s="7">
        <f>F499-'[2]Beam '!$F$15</f>
        <v>0.34</v>
      </c>
      <c r="P506" s="7">
        <f t="shared" si="97"/>
        <v>0.68</v>
      </c>
      <c r="Q506" s="7">
        <f>IF($D506='[2]Beam '!Q$44,$P506*'[2]Beam '!Q$45,0)</f>
        <v>0</v>
      </c>
      <c r="R506" s="7">
        <f>IF($D506='[2]Beam '!R$44,$P506*'[2]Beam '!R$45,0)</f>
        <v>0</v>
      </c>
      <c r="S506" s="7">
        <f>IF($D506='[2]Beam '!S$44,$P506*'[2]Beam '!S$45,0)</f>
        <v>0</v>
      </c>
      <c r="T506" s="7">
        <f>IF($D506='[2]Beam '!T$44,$P506*'[2]Beam '!T$45,0)</f>
        <v>0</v>
      </c>
      <c r="U506" s="7">
        <f>IF($D506='[2]Beam '!U$44,$P506*'[2]Beam '!U$45,0)</f>
        <v>0</v>
      </c>
      <c r="V506" s="7">
        <f>IF($D506='[2]Beam '!V$44,$P506*'[2]Beam '!V$45,0)</f>
        <v>2.6213392857142863</v>
      </c>
      <c r="W506" s="7">
        <f>IF($D506='[2]Beam '!W$44,$P506*'[2]Beam '!W$45,0)</f>
        <v>0</v>
      </c>
      <c r="X506" s="7">
        <f t="shared" si="98"/>
        <v>2.6213392857142863</v>
      </c>
      <c r="Y506" s="7"/>
      <c r="Z506" s="7"/>
      <c r="AA506" s="7"/>
      <c r="AB506" s="7"/>
      <c r="AC506" s="7"/>
      <c r="AD506" s="7"/>
      <c r="AE506" s="7"/>
    </row>
    <row r="507" spans="1:32" s="9" customFormat="1" ht="20.100000000000001" customHeight="1" x14ac:dyDescent="0.25">
      <c r="A507" s="7">
        <v>1</v>
      </c>
      <c r="B507" s="10" t="s">
        <v>2</v>
      </c>
      <c r="C507" s="11" t="s">
        <v>77</v>
      </c>
      <c r="D507" s="11">
        <v>1</v>
      </c>
      <c r="E507" s="11">
        <v>0.98</v>
      </c>
      <c r="F507" s="11">
        <v>0.4</v>
      </c>
      <c r="G507" s="11">
        <v>1.1000000000000001</v>
      </c>
      <c r="H507" s="7">
        <f>G507-0.2</f>
        <v>0.90000000000000013</v>
      </c>
      <c r="I507" s="7">
        <f>E507*F507*G507*D507</f>
        <v>0.43120000000000003</v>
      </c>
      <c r="J507" s="7">
        <f>(2*(E507)*H507*D507)+(E507*F507)</f>
        <v>2.1560000000000001</v>
      </c>
      <c r="K507" s="12">
        <f>IF(E507=0.3,J507,0)</f>
        <v>0</v>
      </c>
      <c r="L507" s="12">
        <f>IF(AND(E507&gt;0.3,E507&lt;=0.75),J507,0)</f>
        <v>0</v>
      </c>
      <c r="M507" s="12">
        <f>IF(AND(E507&gt;0.75,E507&lt;=1.2),J507,0)</f>
        <v>2.1560000000000001</v>
      </c>
      <c r="N507" s="12">
        <f>IF(E507&gt;1.2,J507,0)</f>
        <v>0</v>
      </c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>
        <f>SUM(X508:X513)/I507</f>
        <v>386.42368804664733</v>
      </c>
      <c r="Z507" s="7"/>
      <c r="AA507" s="7"/>
      <c r="AB507" s="7"/>
      <c r="AC507" s="7"/>
      <c r="AD507" s="7"/>
      <c r="AE507" s="7"/>
    </row>
    <row r="508" spans="1:32" s="9" customFormat="1" ht="20.100000000000001" customHeight="1" x14ac:dyDescent="0.25">
      <c r="A508" s="6"/>
      <c r="B508" s="10" t="s">
        <v>2</v>
      </c>
      <c r="C508" s="13" t="s">
        <v>4</v>
      </c>
      <c r="D508" s="7">
        <v>25</v>
      </c>
      <c r="E508" s="7"/>
      <c r="F508" s="7">
        <v>4</v>
      </c>
      <c r="G508" s="8">
        <f>VLOOKUP(D508,'[2]Beam '!$C$20:$H$26,3,0)</f>
        <v>1</v>
      </c>
      <c r="H508" s="8"/>
      <c r="I508" s="7"/>
      <c r="J508" s="7"/>
      <c r="K508" s="7"/>
      <c r="L508" s="7"/>
      <c r="M508" s="7"/>
      <c r="N508" s="7"/>
      <c r="O508" s="7">
        <f>(E507+2*(G508)*D507)</f>
        <v>2.98</v>
      </c>
      <c r="P508" s="7">
        <f t="shared" ref="P508:P514" si="99">O508*F508</f>
        <v>11.92</v>
      </c>
      <c r="Q508" s="7">
        <f>IF($D508='[2]Beam '!Q$44,$P508*'[2]Beam '!Q$45,0)</f>
        <v>0</v>
      </c>
      <c r="R508" s="7">
        <f>IF($D508='[2]Beam '!R$44,$P508*'[2]Beam '!R$45,0)</f>
        <v>0</v>
      </c>
      <c r="S508" s="7">
        <f>IF($D508='[2]Beam '!S$44,$P508*'[2]Beam '!S$45,0)</f>
        <v>0</v>
      </c>
      <c r="T508" s="7">
        <f>IF($D508='[2]Beam '!T$44,$P508*'[2]Beam '!T$45,0)</f>
        <v>0</v>
      </c>
      <c r="U508" s="7">
        <f>IF($D508='[2]Beam '!U$44,$P508*'[2]Beam '!U$45,0)</f>
        <v>0</v>
      </c>
      <c r="V508" s="7">
        <f>IF($D508='[2]Beam '!V$44,$P508*'[2]Beam '!V$45,0)</f>
        <v>45.950535714285721</v>
      </c>
      <c r="W508" s="7">
        <f>IF($D508='[2]Beam '!W$44,$P508*'[2]Beam '!W$45,0)</f>
        <v>0</v>
      </c>
      <c r="X508" s="7">
        <f t="shared" ref="X508:X514" si="100">SUM(Q508:W508)</f>
        <v>45.950535714285721</v>
      </c>
      <c r="Y508" s="7"/>
      <c r="Z508" s="7"/>
      <c r="AA508" s="7"/>
      <c r="AB508" s="7"/>
      <c r="AC508" s="7"/>
      <c r="AD508" s="7"/>
      <c r="AE508" s="7"/>
    </row>
    <row r="509" spans="1:32" s="9" customFormat="1" ht="20.100000000000001" customHeight="1" x14ac:dyDescent="0.25">
      <c r="A509" s="6"/>
      <c r="B509" s="10" t="s">
        <v>2</v>
      </c>
      <c r="C509" s="13" t="s">
        <v>46</v>
      </c>
      <c r="D509" s="7">
        <v>20</v>
      </c>
      <c r="E509" s="7"/>
      <c r="F509" s="7">
        <v>2</v>
      </c>
      <c r="G509" s="8">
        <f>VLOOKUP(D509,'[2]Beam '!$C$20:$H$26,3,0)</f>
        <v>0.8</v>
      </c>
      <c r="H509" s="8"/>
      <c r="I509" s="7"/>
      <c r="J509" s="7"/>
      <c r="K509" s="7"/>
      <c r="L509" s="7"/>
      <c r="M509" s="7"/>
      <c r="N509" s="7"/>
      <c r="O509" s="7">
        <f>(E507+2*(G509)*D507)</f>
        <v>2.58</v>
      </c>
      <c r="P509" s="7">
        <f t="shared" si="99"/>
        <v>5.16</v>
      </c>
      <c r="Q509" s="7">
        <f>IF($D509='[2]Beam '!Q$44,$P509*'[2]Beam '!Q$45,0)</f>
        <v>0</v>
      </c>
      <c r="R509" s="7">
        <f>IF($D509='[2]Beam '!R$44,$P509*'[2]Beam '!R$45,0)</f>
        <v>0</v>
      </c>
      <c r="S509" s="7">
        <f>IF($D509='[2]Beam '!S$44,$P509*'[2]Beam '!S$45,0)</f>
        <v>0</v>
      </c>
      <c r="T509" s="7">
        <f>IF($D509='[2]Beam '!T$44,$P509*'[2]Beam '!T$45,0)</f>
        <v>0</v>
      </c>
      <c r="U509" s="7">
        <f>IF($D509='[2]Beam '!U$44,$P509*'[2]Beam '!U$45,0)</f>
        <v>12.730457142857142</v>
      </c>
      <c r="V509" s="7">
        <f>IF($D509='[2]Beam '!V$44,$P509*'[2]Beam '!V$45,0)</f>
        <v>0</v>
      </c>
      <c r="W509" s="7">
        <f>IF($D509='[2]Beam '!W$44,$P509*'[2]Beam '!W$45,0)</f>
        <v>0</v>
      </c>
      <c r="X509" s="7">
        <f t="shared" si="100"/>
        <v>12.730457142857142</v>
      </c>
      <c r="Y509" s="7"/>
      <c r="Z509" s="7"/>
      <c r="AA509" s="7"/>
      <c r="AB509" s="7"/>
      <c r="AC509" s="7"/>
      <c r="AD509" s="7"/>
      <c r="AE509" s="7"/>
    </row>
    <row r="510" spans="1:32" s="9" customFormat="1" ht="20.100000000000001" customHeight="1" x14ac:dyDescent="0.25">
      <c r="A510" s="6"/>
      <c r="B510" s="10" t="s">
        <v>2</v>
      </c>
      <c r="C510" s="13" t="s">
        <v>6</v>
      </c>
      <c r="D510" s="7">
        <v>25</v>
      </c>
      <c r="E510" s="7"/>
      <c r="F510" s="7">
        <v>4</v>
      </c>
      <c r="G510" s="8">
        <f>VLOOKUP(D510,'[2]Beam '!$C$20:$H$26,3,0)</f>
        <v>1</v>
      </c>
      <c r="H510" s="7"/>
      <c r="I510" s="7"/>
      <c r="J510" s="7"/>
      <c r="K510" s="7"/>
      <c r="L510" s="7"/>
      <c r="M510" s="7"/>
      <c r="N510" s="7"/>
      <c r="O510" s="7">
        <f>(E507+2*(G510)*D507)</f>
        <v>2.98</v>
      </c>
      <c r="P510" s="7">
        <f t="shared" si="99"/>
        <v>11.92</v>
      </c>
      <c r="Q510" s="7">
        <f>IF($D510='[2]Beam '!Q$44,$P510*'[2]Beam '!Q$45,0)</f>
        <v>0</v>
      </c>
      <c r="R510" s="7">
        <f>IF($D510='[2]Beam '!R$44,$P510*'[2]Beam '!R$45,0)</f>
        <v>0</v>
      </c>
      <c r="S510" s="7">
        <f>IF($D510='[2]Beam '!S$44,$P510*'[2]Beam '!S$45,0)</f>
        <v>0</v>
      </c>
      <c r="T510" s="7">
        <f>IF($D510='[2]Beam '!T$44,$P510*'[2]Beam '!T$45,0)</f>
        <v>0</v>
      </c>
      <c r="U510" s="7">
        <f>IF($D510='[2]Beam '!U$44,$P510*'[2]Beam '!U$45,0)</f>
        <v>0</v>
      </c>
      <c r="V510" s="7">
        <f>IF($D510='[2]Beam '!V$44,$P510*'[2]Beam '!V$45,0)</f>
        <v>45.950535714285721</v>
      </c>
      <c r="W510" s="7">
        <f>IF($D510='[2]Beam '!W$44,$P510*'[2]Beam '!W$45,0)</f>
        <v>0</v>
      </c>
      <c r="X510" s="7">
        <f t="shared" si="100"/>
        <v>45.950535714285721</v>
      </c>
      <c r="Y510" s="7"/>
      <c r="Z510" s="7"/>
      <c r="AA510" s="7"/>
      <c r="AB510" s="7"/>
      <c r="AC510" s="7"/>
      <c r="AD510" s="7"/>
      <c r="AE510" s="7"/>
    </row>
    <row r="511" spans="1:32" s="14" customFormat="1" ht="20.100000000000001" customHeight="1" x14ac:dyDescent="0.3">
      <c r="A511" s="6"/>
      <c r="B511" s="10" t="s">
        <v>2</v>
      </c>
      <c r="C511" s="13" t="s">
        <v>6</v>
      </c>
      <c r="D511" s="7">
        <v>20</v>
      </c>
      <c r="E511" s="7"/>
      <c r="F511" s="7">
        <v>2</v>
      </c>
      <c r="G511" s="8">
        <f>VLOOKUP(D511,'[2]Beam '!$C$20:$H$26,3,0)</f>
        <v>0.8</v>
      </c>
      <c r="H511" s="7"/>
      <c r="I511" s="7"/>
      <c r="J511" s="7"/>
      <c r="K511" s="7"/>
      <c r="L511" s="7"/>
      <c r="M511" s="7"/>
      <c r="N511" s="7"/>
      <c r="O511" s="7">
        <f>(E507+2*(G511)*D507)</f>
        <v>2.58</v>
      </c>
      <c r="P511" s="7">
        <f t="shared" si="99"/>
        <v>5.16</v>
      </c>
      <c r="Q511" s="7">
        <f>IF($D511='[2]Beam '!Q$44,$P511*'[2]Beam '!Q$45,0)</f>
        <v>0</v>
      </c>
      <c r="R511" s="7">
        <f>IF($D511='[2]Beam '!R$44,$P511*'[2]Beam '!R$45,0)</f>
        <v>0</v>
      </c>
      <c r="S511" s="7">
        <f>IF($D511='[2]Beam '!S$44,$P511*'[2]Beam '!S$45,0)</f>
        <v>0</v>
      </c>
      <c r="T511" s="7">
        <f>IF($D511='[2]Beam '!T$44,$P511*'[2]Beam '!T$45,0)</f>
        <v>0</v>
      </c>
      <c r="U511" s="7">
        <f>IF($D511='[2]Beam '!U$44,$P511*'[2]Beam '!U$45,0)</f>
        <v>12.730457142857142</v>
      </c>
      <c r="V511" s="7">
        <f>IF($D511='[2]Beam '!V$44,$P511*'[2]Beam '!V$45,0)</f>
        <v>0</v>
      </c>
      <c r="W511" s="7">
        <f>IF($D511='[2]Beam '!W$44,$P511*'[2]Beam '!W$45,0)</f>
        <v>0</v>
      </c>
      <c r="X511" s="7">
        <f t="shared" si="100"/>
        <v>12.730457142857142</v>
      </c>
      <c r="Y511" s="7"/>
    </row>
    <row r="512" spans="1:32" s="9" customFormat="1" ht="20.100000000000001" customHeight="1" x14ac:dyDescent="0.25">
      <c r="A512" s="6"/>
      <c r="B512" s="10" t="s">
        <v>2</v>
      </c>
      <c r="C512" s="13" t="s">
        <v>17</v>
      </c>
      <c r="D512" s="7">
        <v>12</v>
      </c>
      <c r="E512" s="7">
        <v>0.1</v>
      </c>
      <c r="F512" s="7">
        <f>ROUNDUP(E507/E512,0)</f>
        <v>10</v>
      </c>
      <c r="H512" s="7"/>
      <c r="I512" s="7"/>
      <c r="J512" s="7"/>
      <c r="K512" s="7"/>
      <c r="L512" s="7"/>
      <c r="M512" s="7"/>
      <c r="N512" s="7"/>
      <c r="O512" s="7">
        <f>(2*((G507-(2*'[2]Beam '!$D$11))+(F507-(2*'[2]Beam '!$D$11)))+(2*10*D512/1000))*D507</f>
        <v>3</v>
      </c>
      <c r="P512" s="7">
        <f t="shared" si="99"/>
        <v>30</v>
      </c>
      <c r="Q512" s="7">
        <f>IF($D512='[2]Beam '!Q$44,$P512*'[2]Beam '!Q$45,0)</f>
        <v>0</v>
      </c>
      <c r="R512" s="7">
        <f>IF($D512='[2]Beam '!R$44,$P512*'[2]Beam '!R$45,0)</f>
        <v>0</v>
      </c>
      <c r="S512" s="7">
        <f>IF($D512='[2]Beam '!S$44,$P512*'[2]Beam '!S$45,0)</f>
        <v>26.645142857142861</v>
      </c>
      <c r="T512" s="7">
        <f>IF($D512='[2]Beam '!T$44,$P512*'[2]Beam '!T$45,0)</f>
        <v>0</v>
      </c>
      <c r="U512" s="7">
        <f>IF($D512='[2]Beam '!U$44,$P512*'[2]Beam '!U$45,0)</f>
        <v>0</v>
      </c>
      <c r="V512" s="7">
        <f>IF($D512='[2]Beam '!V$44,$P512*'[2]Beam '!V$45,0)</f>
        <v>0</v>
      </c>
      <c r="W512" s="7">
        <f>IF($D512='[2]Beam '!W$44,$P512*'[2]Beam '!W$45,0)</f>
        <v>0</v>
      </c>
      <c r="X512" s="7">
        <f t="shared" si="100"/>
        <v>26.645142857142861</v>
      </c>
      <c r="Y512" s="7"/>
      <c r="Z512" s="7"/>
      <c r="AA512" s="7"/>
      <c r="AB512" s="7"/>
      <c r="AC512" s="7"/>
      <c r="AD512" s="7"/>
      <c r="AE512" s="7"/>
    </row>
    <row r="513" spans="1:32" s="9" customFormat="1" ht="21" customHeight="1" x14ac:dyDescent="0.25">
      <c r="A513" s="14"/>
      <c r="B513" s="10" t="s">
        <v>2</v>
      </c>
      <c r="C513" s="13" t="s">
        <v>18</v>
      </c>
      <c r="D513" s="14">
        <f>D512</f>
        <v>12</v>
      </c>
      <c r="E513" s="14">
        <f>+E512</f>
        <v>0.1</v>
      </c>
      <c r="F513" s="7">
        <f>ROUNDUP(E507/E513,0)</f>
        <v>10</v>
      </c>
      <c r="H513" s="14"/>
      <c r="I513" s="14"/>
      <c r="J513" s="14"/>
      <c r="K513" s="14"/>
      <c r="L513" s="14"/>
      <c r="M513" s="14"/>
      <c r="N513" s="14"/>
      <c r="O513" s="7">
        <f>(2*(((F507-'[2]Beam '!$D$11*2)/(F508-1))+(G507-'[2]Beam '!$D$11*2))+(2*10*D513/1000))*D507</f>
        <v>2.5466666666666669</v>
      </c>
      <c r="P513" s="7">
        <f t="shared" si="99"/>
        <v>25.466666666666669</v>
      </c>
      <c r="Q513" s="7">
        <f>IF($D513='[2]Beam '!Q$44,$P513*'[2]Beam '!Q$45,0)</f>
        <v>0</v>
      </c>
      <c r="R513" s="7">
        <f>IF($D513='[2]Beam '!R$44,$P513*'[2]Beam '!R$45,0)</f>
        <v>0</v>
      </c>
      <c r="S513" s="7">
        <f>IF($D513='[2]Beam '!S$44,$P513*'[2]Beam '!S$45,0)</f>
        <v>22.618765714285718</v>
      </c>
      <c r="T513" s="7">
        <f>IF($D513='[2]Beam '!T$44,$P513*'[2]Beam '!T$45,0)</f>
        <v>0</v>
      </c>
      <c r="U513" s="7">
        <f>IF($D513='[2]Beam '!U$44,$P513*'[2]Beam '!U$45,0)</f>
        <v>0</v>
      </c>
      <c r="V513" s="7">
        <f>IF($D513='[2]Beam '!V$44,$P513*'[2]Beam '!V$45,0)</f>
        <v>0</v>
      </c>
      <c r="W513" s="7">
        <f>IF($D513='[2]Beam '!W$44,$P513*'[2]Beam '!W$45,0)</f>
        <v>0</v>
      </c>
      <c r="X513" s="7">
        <f t="shared" si="100"/>
        <v>22.618765714285718</v>
      </c>
      <c r="Y513" s="14"/>
      <c r="Z513" s="7"/>
      <c r="AA513" s="7"/>
      <c r="AB513" s="7"/>
      <c r="AC513" s="7"/>
      <c r="AD513" s="7"/>
      <c r="AE513" s="7"/>
      <c r="AF513" s="7"/>
    </row>
    <row r="514" spans="1:32" s="9" customFormat="1" ht="20.100000000000001" customHeight="1" x14ac:dyDescent="0.25">
      <c r="A514" s="6"/>
      <c r="B514" s="10" t="s">
        <v>2</v>
      </c>
      <c r="C514" s="13" t="s">
        <v>11</v>
      </c>
      <c r="D514" s="7">
        <f>+'[2]Beam '!$D$15</f>
        <v>25</v>
      </c>
      <c r="E514" s="7">
        <f>+'[2]Beam '!$E$15</f>
        <v>1</v>
      </c>
      <c r="F514" s="7">
        <f>ROUNDUP((E507)/E514,0)</f>
        <v>1</v>
      </c>
      <c r="G514" s="8"/>
      <c r="H514" s="8"/>
      <c r="I514" s="7"/>
      <c r="J514" s="7"/>
      <c r="K514" s="7"/>
      <c r="L514" s="7"/>
      <c r="M514" s="7"/>
      <c r="N514" s="7"/>
      <c r="O514" s="7">
        <f>F507-'[2]Beam '!$F$15</f>
        <v>0.34</v>
      </c>
      <c r="P514" s="7">
        <f t="shared" si="99"/>
        <v>0.34</v>
      </c>
      <c r="Q514" s="7">
        <f>IF($D514='[2]Beam '!Q$44,$P514*'[2]Beam '!Q$45,0)</f>
        <v>0</v>
      </c>
      <c r="R514" s="7">
        <f>IF($D514='[2]Beam '!R$44,$P514*'[2]Beam '!R$45,0)</f>
        <v>0</v>
      </c>
      <c r="S514" s="7">
        <f>IF($D514='[2]Beam '!S$44,$P514*'[2]Beam '!S$45,0)</f>
        <v>0</v>
      </c>
      <c r="T514" s="7">
        <f>IF($D514='[2]Beam '!T$44,$P514*'[2]Beam '!T$45,0)</f>
        <v>0</v>
      </c>
      <c r="U514" s="7">
        <f>IF($D514='[2]Beam '!U$44,$P514*'[2]Beam '!U$45,0)</f>
        <v>0</v>
      </c>
      <c r="V514" s="7">
        <f>IF($D514='[2]Beam '!V$44,$P514*'[2]Beam '!V$45,0)</f>
        <v>1.3106696428571432</v>
      </c>
      <c r="W514" s="7">
        <f>IF($D514='[2]Beam '!W$44,$P514*'[2]Beam '!W$45,0)</f>
        <v>0</v>
      </c>
      <c r="X514" s="7">
        <f t="shared" si="100"/>
        <v>1.3106696428571432</v>
      </c>
      <c r="Y514" s="7"/>
      <c r="Z514" s="7"/>
      <c r="AA514" s="7"/>
      <c r="AB514" s="7"/>
      <c r="AC514" s="7"/>
      <c r="AD514" s="7"/>
      <c r="AE514" s="7"/>
    </row>
    <row r="515" spans="1:32" s="9" customFormat="1" ht="20.100000000000001" customHeight="1" x14ac:dyDescent="0.25">
      <c r="A515" s="7">
        <v>1</v>
      </c>
      <c r="B515" s="10" t="s">
        <v>2</v>
      </c>
      <c r="C515" s="11" t="s">
        <v>78</v>
      </c>
      <c r="D515" s="11">
        <v>1</v>
      </c>
      <c r="E515" s="11">
        <v>1.7290000000000001</v>
      </c>
      <c r="F515" s="11">
        <v>0.3</v>
      </c>
      <c r="G515" s="11">
        <v>1.1000000000000001</v>
      </c>
      <c r="H515" s="7">
        <f>G515-0.2</f>
        <v>0.90000000000000013</v>
      </c>
      <c r="I515" s="7">
        <f>E515*F515*G515*D515</f>
        <v>0.57057000000000013</v>
      </c>
      <c r="J515" s="7">
        <f>(2*(E515)*H515*D515)+(E515*F515)</f>
        <v>3.6309000000000005</v>
      </c>
      <c r="K515" s="12">
        <f>IF(E515=0.3,J515,0)</f>
        <v>0</v>
      </c>
      <c r="L515" s="12">
        <f>IF(AND(E515&gt;0.3,E515&lt;=0.75),J515,0)</f>
        <v>0</v>
      </c>
      <c r="M515" s="12">
        <f>IF(AND(E515&gt;0.75,E515&lt;=1.2),J515,0)</f>
        <v>0</v>
      </c>
      <c r="N515" s="12">
        <f>IF(E515&gt;1.2,J515,0)</f>
        <v>3.6309000000000005</v>
      </c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>
        <f>SUM(X516:X519)/I515</f>
        <v>277.64502396100136</v>
      </c>
      <c r="Z515" s="7"/>
      <c r="AA515" s="7"/>
      <c r="AB515" s="7"/>
      <c r="AC515" s="7"/>
      <c r="AD515" s="7"/>
      <c r="AE515" s="7"/>
    </row>
    <row r="516" spans="1:32" s="9" customFormat="1" ht="20.100000000000001" customHeight="1" x14ac:dyDescent="0.25">
      <c r="A516" s="6"/>
      <c r="B516" s="10" t="s">
        <v>2</v>
      </c>
      <c r="C516" s="13" t="s">
        <v>4</v>
      </c>
      <c r="D516" s="7">
        <v>25</v>
      </c>
      <c r="E516" s="7"/>
      <c r="F516" s="7">
        <v>3</v>
      </c>
      <c r="G516" s="8">
        <f>VLOOKUP(D516,'[2]Beam '!$C$20:$H$26,3,0)</f>
        <v>1</v>
      </c>
      <c r="H516" s="8"/>
      <c r="I516" s="7"/>
      <c r="J516" s="7"/>
      <c r="K516" s="7"/>
      <c r="L516" s="7"/>
      <c r="M516" s="7"/>
      <c r="N516" s="7"/>
      <c r="O516" s="7">
        <f>(E515+1*(G516+(12*D516/1000)))+1*(G516)*D515</f>
        <v>4.0289999999999999</v>
      </c>
      <c r="P516" s="7">
        <f>O516*F516</f>
        <v>12.087</v>
      </c>
      <c r="Q516" s="7">
        <f>IF($D516='[2]Beam '!Q$44,$P516*'[2]Beam '!Q$45,0)</f>
        <v>0</v>
      </c>
      <c r="R516" s="7">
        <f>IF($D516='[2]Beam '!R$44,$P516*'[2]Beam '!R$45,0)</f>
        <v>0</v>
      </c>
      <c r="S516" s="7">
        <f>IF($D516='[2]Beam '!S$44,$P516*'[2]Beam '!S$45,0)</f>
        <v>0</v>
      </c>
      <c r="T516" s="7">
        <f>IF($D516='[2]Beam '!T$44,$P516*'[2]Beam '!T$45,0)</f>
        <v>0</v>
      </c>
      <c r="U516" s="7">
        <f>IF($D516='[2]Beam '!U$44,$P516*'[2]Beam '!U$45,0)</f>
        <v>0</v>
      </c>
      <c r="V516" s="7">
        <f>IF($D516='[2]Beam '!V$44,$P516*'[2]Beam '!V$45,0)</f>
        <v>46.594305803571437</v>
      </c>
      <c r="W516" s="7">
        <f>IF($D516='[2]Beam '!W$44,$P516*'[2]Beam '!W$45,0)</f>
        <v>0</v>
      </c>
      <c r="X516" s="7">
        <f>SUM(Q516:W516)</f>
        <v>46.594305803571437</v>
      </c>
      <c r="Y516" s="7"/>
      <c r="Z516" s="7"/>
      <c r="AA516" s="7"/>
      <c r="AB516" s="7"/>
      <c r="AC516" s="7"/>
      <c r="AD516" s="7"/>
      <c r="AE516" s="7"/>
    </row>
    <row r="517" spans="1:32" s="14" customFormat="1" ht="20.100000000000001" customHeight="1" x14ac:dyDescent="0.3">
      <c r="A517" s="6"/>
      <c r="B517" s="10" t="s">
        <v>2</v>
      </c>
      <c r="C517" s="13" t="s">
        <v>6</v>
      </c>
      <c r="D517" s="7">
        <v>25</v>
      </c>
      <c r="E517" s="7"/>
      <c r="F517" s="7">
        <v>3</v>
      </c>
      <c r="G517" s="8">
        <f>VLOOKUP(D517,'[2]Beam '!$C$20:$H$26,3,0)</f>
        <v>1</v>
      </c>
      <c r="H517" s="7"/>
      <c r="I517" s="7"/>
      <c r="J517" s="7"/>
      <c r="K517" s="7"/>
      <c r="L517" s="7"/>
      <c r="M517" s="7"/>
      <c r="N517" s="7"/>
      <c r="O517" s="7">
        <f>(E515+1*(G517+(12*D517/1000))+1*(G517))*D515</f>
        <v>4.0289999999999999</v>
      </c>
      <c r="P517" s="7">
        <f>O517*F517</f>
        <v>12.087</v>
      </c>
      <c r="Q517" s="7">
        <f>IF($D517='[2]Beam '!Q$44,$P517*'[2]Beam '!Q$45,0)</f>
        <v>0</v>
      </c>
      <c r="R517" s="7">
        <f>IF($D517='[2]Beam '!R$44,$P517*'[2]Beam '!R$45,0)</f>
        <v>0</v>
      </c>
      <c r="S517" s="7">
        <f>IF($D517='[2]Beam '!S$44,$P517*'[2]Beam '!S$45,0)</f>
        <v>0</v>
      </c>
      <c r="T517" s="7">
        <f>IF($D517='[2]Beam '!T$44,$P517*'[2]Beam '!T$45,0)</f>
        <v>0</v>
      </c>
      <c r="U517" s="7">
        <f>IF($D517='[2]Beam '!U$44,$P517*'[2]Beam '!U$45,0)</f>
        <v>0</v>
      </c>
      <c r="V517" s="7">
        <f>IF($D517='[2]Beam '!V$44,$P517*'[2]Beam '!V$45,0)</f>
        <v>46.594305803571437</v>
      </c>
      <c r="W517" s="7">
        <f>IF($D517='[2]Beam '!W$44,$P517*'[2]Beam '!W$45,0)</f>
        <v>0</v>
      </c>
      <c r="X517" s="7">
        <f>SUM(Q517:W517)</f>
        <v>46.594305803571437</v>
      </c>
      <c r="Y517" s="7"/>
    </row>
    <row r="518" spans="1:32" s="9" customFormat="1" ht="21" customHeight="1" x14ac:dyDescent="0.25">
      <c r="A518" s="6"/>
      <c r="B518" s="10" t="s">
        <v>2</v>
      </c>
      <c r="C518" s="13" t="s">
        <v>26</v>
      </c>
      <c r="D518" s="7">
        <v>12</v>
      </c>
      <c r="E518" s="7">
        <v>0.1</v>
      </c>
      <c r="F518" s="7">
        <f>ROUNDUP(E515/E518,0)</f>
        <v>18</v>
      </c>
      <c r="H518" s="7"/>
      <c r="I518" s="7"/>
      <c r="J518" s="7"/>
      <c r="K518" s="7"/>
      <c r="L518" s="7"/>
      <c r="M518" s="7"/>
      <c r="N518" s="7"/>
      <c r="O518" s="7">
        <f>(2*((G515-(2*'[2]Beam '!$D$11))+(F515-(2*'[2]Beam '!$D$11)))+(2*10*D518/1000))*D515</f>
        <v>2.8</v>
      </c>
      <c r="P518" s="7">
        <f>O518*F518</f>
        <v>50.4</v>
      </c>
      <c r="Q518" s="7">
        <f>IF($D518='[2]Beam '!Q$44,$P518*'[2]Beam '!Q$45,0)</f>
        <v>0</v>
      </c>
      <c r="R518" s="7">
        <f>IF($D518='[2]Beam '!R$44,$P518*'[2]Beam '!R$45,0)</f>
        <v>0</v>
      </c>
      <c r="S518" s="7">
        <f>IF($D518='[2]Beam '!S$44,$P518*'[2]Beam '!S$45,0)</f>
        <v>44.763840000000009</v>
      </c>
      <c r="T518" s="7">
        <f>IF($D518='[2]Beam '!T$44,$P518*'[2]Beam '!T$45,0)</f>
        <v>0</v>
      </c>
      <c r="U518" s="7">
        <f>IF($D518='[2]Beam '!U$44,$P518*'[2]Beam '!U$45,0)</f>
        <v>0</v>
      </c>
      <c r="V518" s="7">
        <f>IF($D518='[2]Beam '!V$44,$P518*'[2]Beam '!V$45,0)</f>
        <v>0</v>
      </c>
      <c r="W518" s="7">
        <f>IF($D518='[2]Beam '!W$44,$P518*'[2]Beam '!W$45,0)</f>
        <v>0</v>
      </c>
      <c r="X518" s="7">
        <f>SUM(Q518:W518)</f>
        <v>44.763840000000009</v>
      </c>
      <c r="Y518" s="7"/>
      <c r="Z518" s="7"/>
      <c r="AA518" s="7"/>
      <c r="AB518" s="7"/>
      <c r="AC518" s="7"/>
      <c r="AD518" s="7"/>
      <c r="AE518" s="7"/>
      <c r="AF518" s="7"/>
    </row>
    <row r="519" spans="1:32" s="9" customFormat="1" ht="20.100000000000001" customHeight="1" x14ac:dyDescent="0.25">
      <c r="A519" s="14"/>
      <c r="B519" s="10" t="s">
        <v>2</v>
      </c>
      <c r="C519" s="13" t="s">
        <v>47</v>
      </c>
      <c r="D519" s="7">
        <f>+D518</f>
        <v>12</v>
      </c>
      <c r="E519" s="14">
        <f>+E518</f>
        <v>0.1</v>
      </c>
      <c r="F519" s="7">
        <f>ROUNDUP(E515/E519,0)</f>
        <v>18</v>
      </c>
      <c r="H519" s="14"/>
      <c r="I519" s="14"/>
      <c r="J519" s="14"/>
      <c r="K519" s="14"/>
      <c r="L519" s="14"/>
      <c r="M519" s="14"/>
      <c r="N519" s="14"/>
      <c r="O519" s="7">
        <f>((((G515-(2*'[2]Beam '!$D$11))+(2*10*D519/1000))*D515))</f>
        <v>1.28</v>
      </c>
      <c r="P519" s="7">
        <f>O519*F519</f>
        <v>23.04</v>
      </c>
      <c r="Q519" s="7">
        <f>IF($D519='[2]Beam '!Q$44,$P519*'[2]Beam '!Q$45,0)</f>
        <v>0</v>
      </c>
      <c r="R519" s="7">
        <f>IF($D519='[2]Beam '!R$44,$P519*'[2]Beam '!R$45,0)</f>
        <v>0</v>
      </c>
      <c r="S519" s="7">
        <f>IF($D519='[2]Beam '!S$44,$P519*'[2]Beam '!S$45,0)</f>
        <v>20.463469714285718</v>
      </c>
      <c r="T519" s="7">
        <f>IF($D519='[2]Beam '!T$44,$P519*'[2]Beam '!T$45,0)</f>
        <v>0</v>
      </c>
      <c r="U519" s="7">
        <f>IF($D519='[2]Beam '!U$44,$P519*'[2]Beam '!U$45,0)</f>
        <v>0</v>
      </c>
      <c r="V519" s="7">
        <f>IF($D519='[2]Beam '!V$44,$P519*'[2]Beam '!V$45,0)</f>
        <v>0</v>
      </c>
      <c r="W519" s="7">
        <f>IF($D519='[2]Beam '!W$44,$P519*'[2]Beam '!W$45,0)</f>
        <v>0</v>
      </c>
      <c r="X519" s="7">
        <f>SUM(Q519:W519)</f>
        <v>20.463469714285718</v>
      </c>
      <c r="Y519" s="14"/>
      <c r="Z519" s="7"/>
      <c r="AA519" s="7"/>
      <c r="AB519" s="7"/>
      <c r="AC519" s="7"/>
      <c r="AD519" s="7"/>
      <c r="AE519" s="7"/>
    </row>
    <row r="520" spans="1:32" s="9" customFormat="1" ht="20.100000000000001" customHeight="1" x14ac:dyDescent="0.25">
      <c r="A520" s="7">
        <v>1</v>
      </c>
      <c r="B520" s="10" t="s">
        <v>2</v>
      </c>
      <c r="C520" s="11" t="s">
        <v>79</v>
      </c>
      <c r="D520" s="11">
        <v>1</v>
      </c>
      <c r="E520" s="11">
        <v>1.496</v>
      </c>
      <c r="F520" s="11">
        <v>0.3</v>
      </c>
      <c r="G520" s="11">
        <v>0.8</v>
      </c>
      <c r="H520" s="7">
        <f>G520-0.2</f>
        <v>0.60000000000000009</v>
      </c>
      <c r="I520" s="7">
        <f>E520*F520*G520*D520</f>
        <v>0.35904000000000003</v>
      </c>
      <c r="J520" s="7">
        <f>(2*(E520)*H520*D520)+(E520*F520)</f>
        <v>2.2440000000000002</v>
      </c>
      <c r="K520" s="12">
        <f>IF(E520=0.3,J520,0)</f>
        <v>0</v>
      </c>
      <c r="L520" s="12">
        <f>IF(AND(E520&gt;0.3,E520&lt;=0.75),J520,0)</f>
        <v>0</v>
      </c>
      <c r="M520" s="12">
        <f>IF(AND(E520&gt;0.75,E520&lt;=1.2),J520,0)</f>
        <v>0</v>
      </c>
      <c r="N520" s="12">
        <f>IF(E520&gt;1.2,J520,0)</f>
        <v>2.2440000000000002</v>
      </c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>
        <f>SUM(X521:X523)/I520</f>
        <v>285.077862394958</v>
      </c>
      <c r="Z520" s="7"/>
      <c r="AA520" s="7"/>
      <c r="AB520" s="7"/>
      <c r="AC520" s="7"/>
      <c r="AD520" s="7"/>
      <c r="AE520" s="7"/>
    </row>
    <row r="521" spans="1:32" s="9" customFormat="1" ht="20.100000000000001" customHeight="1" x14ac:dyDescent="0.25">
      <c r="A521" s="6"/>
      <c r="B521" s="10" t="s">
        <v>2</v>
      </c>
      <c r="C521" s="13" t="s">
        <v>4</v>
      </c>
      <c r="D521" s="7">
        <v>25</v>
      </c>
      <c r="E521" s="7"/>
      <c r="F521" s="7">
        <v>3</v>
      </c>
      <c r="G521" s="8">
        <f>VLOOKUP(D521,'[2]Beam '!$C$20:$H$26,3,0)</f>
        <v>1</v>
      </c>
      <c r="H521" s="8"/>
      <c r="I521" s="7"/>
      <c r="J521" s="7"/>
      <c r="K521" s="7"/>
      <c r="L521" s="7"/>
      <c r="M521" s="7"/>
      <c r="N521" s="7"/>
      <c r="O521" s="7">
        <f>(E520+2*(G521)*D520)</f>
        <v>3.496</v>
      </c>
      <c r="P521" s="7">
        <f t="shared" ref="P521:P526" si="101">O521*F521</f>
        <v>10.488</v>
      </c>
      <c r="Q521" s="7">
        <f>IF($D521='[2]Beam '!Q$44,$P521*'[2]Beam '!Q$45,0)</f>
        <v>0</v>
      </c>
      <c r="R521" s="7">
        <f>IF($D521='[2]Beam '!R$44,$P521*'[2]Beam '!R$45,0)</f>
        <v>0</v>
      </c>
      <c r="S521" s="7">
        <f>IF($D521='[2]Beam '!S$44,$P521*'[2]Beam '!S$45,0)</f>
        <v>0</v>
      </c>
      <c r="T521" s="7">
        <f>IF($D521='[2]Beam '!T$44,$P521*'[2]Beam '!T$45,0)</f>
        <v>0</v>
      </c>
      <c r="U521" s="7">
        <f>IF($D521='[2]Beam '!U$44,$P521*'[2]Beam '!U$45,0)</f>
        <v>0</v>
      </c>
      <c r="V521" s="7">
        <f>IF($D521='[2]Beam '!V$44,$P521*'[2]Beam '!V$45,0)</f>
        <v>40.430303571428574</v>
      </c>
      <c r="W521" s="7">
        <f>IF($D521='[2]Beam '!W$44,$P521*'[2]Beam '!W$45,0)</f>
        <v>0</v>
      </c>
      <c r="X521" s="7">
        <f t="shared" ref="X521:X526" si="102">SUM(Q521:W521)</f>
        <v>40.430303571428574</v>
      </c>
      <c r="Y521" s="7"/>
      <c r="Z521" s="7"/>
      <c r="AA521" s="7"/>
      <c r="AB521" s="7"/>
      <c r="AC521" s="7"/>
      <c r="AD521" s="7"/>
      <c r="AE521" s="7"/>
    </row>
    <row r="522" spans="1:32" s="14" customFormat="1" ht="20.100000000000001" customHeight="1" x14ac:dyDescent="0.3">
      <c r="A522" s="6"/>
      <c r="B522" s="10" t="s">
        <v>2</v>
      </c>
      <c r="C522" s="13" t="s">
        <v>6</v>
      </c>
      <c r="D522" s="7">
        <v>25</v>
      </c>
      <c r="E522" s="7"/>
      <c r="F522" s="7">
        <v>3</v>
      </c>
      <c r="G522" s="8">
        <f>VLOOKUP(D522,'[2]Beam '!$C$20:$H$26,3,0)</f>
        <v>1</v>
      </c>
      <c r="H522" s="7"/>
      <c r="I522" s="7"/>
      <c r="J522" s="7"/>
      <c r="K522" s="7"/>
      <c r="L522" s="7"/>
      <c r="M522" s="7"/>
      <c r="N522" s="7"/>
      <c r="O522" s="7">
        <f>(E520+2*(G522)*D520)</f>
        <v>3.496</v>
      </c>
      <c r="P522" s="7">
        <f t="shared" si="101"/>
        <v>10.488</v>
      </c>
      <c r="Q522" s="7">
        <f>IF($D522='[2]Beam '!Q$44,$P522*'[2]Beam '!Q$45,0)</f>
        <v>0</v>
      </c>
      <c r="R522" s="7">
        <f>IF($D522='[2]Beam '!R$44,$P522*'[2]Beam '!R$45,0)</f>
        <v>0</v>
      </c>
      <c r="S522" s="7">
        <f>IF($D522='[2]Beam '!S$44,$P522*'[2]Beam '!S$45,0)</f>
        <v>0</v>
      </c>
      <c r="T522" s="7">
        <f>IF($D522='[2]Beam '!T$44,$P522*'[2]Beam '!T$45,0)</f>
        <v>0</v>
      </c>
      <c r="U522" s="7">
        <f>IF($D522='[2]Beam '!U$44,$P522*'[2]Beam '!U$45,0)</f>
        <v>0</v>
      </c>
      <c r="V522" s="7">
        <f>IF($D522='[2]Beam '!V$44,$P522*'[2]Beam '!V$45,0)</f>
        <v>40.430303571428574</v>
      </c>
      <c r="W522" s="7">
        <f>IF($D522='[2]Beam '!W$44,$P522*'[2]Beam '!W$45,0)</f>
        <v>0</v>
      </c>
      <c r="X522" s="7">
        <f t="shared" si="102"/>
        <v>40.430303571428574</v>
      </c>
      <c r="Y522" s="7"/>
    </row>
    <row r="523" spans="1:32" s="14" customFormat="1" ht="20.100000000000001" customHeight="1" x14ac:dyDescent="0.25">
      <c r="A523" s="6"/>
      <c r="B523" s="10" t="s">
        <v>2</v>
      </c>
      <c r="C523" s="13" t="s">
        <v>7</v>
      </c>
      <c r="D523" s="7">
        <v>12</v>
      </c>
      <c r="E523" s="7">
        <v>0.1</v>
      </c>
      <c r="F523" s="7">
        <f>ROUNDUP((E520/3*2)/E523,0)+1</f>
        <v>11</v>
      </c>
      <c r="G523" s="9"/>
      <c r="H523" s="7"/>
      <c r="I523" s="7"/>
      <c r="J523" s="7"/>
      <c r="K523" s="7"/>
      <c r="L523" s="7"/>
      <c r="M523" s="7"/>
      <c r="N523" s="7"/>
      <c r="O523" s="7">
        <f>(2*((G520-(2*'[2]Beam '!$D$11))+(F520-(2*'[2]Beam '!$D$11)))+(2*10*D523/1000))*D520</f>
        <v>2.2000000000000002</v>
      </c>
      <c r="P523" s="7">
        <f t="shared" si="101"/>
        <v>24.200000000000003</v>
      </c>
      <c r="Q523" s="7">
        <f>IF($D523='[2]Beam '!Q$44,$P523*'[2]Beam '!Q$45,0)</f>
        <v>0</v>
      </c>
      <c r="R523" s="7">
        <f>IF($D523='[2]Beam '!R$44,$P523*'[2]Beam '!R$45,0)</f>
        <v>0</v>
      </c>
      <c r="S523" s="7">
        <f>IF($D523='[2]Beam '!S$44,$P523*'[2]Beam '!S$45,0)</f>
        <v>21.493748571428579</v>
      </c>
      <c r="T523" s="7">
        <f>IF($D523='[2]Beam '!T$44,$P523*'[2]Beam '!T$45,0)</f>
        <v>0</v>
      </c>
      <c r="U523" s="7">
        <f>IF($D523='[2]Beam '!U$44,$P523*'[2]Beam '!U$45,0)</f>
        <v>0</v>
      </c>
      <c r="V523" s="7">
        <f>IF($D523='[2]Beam '!V$44,$P523*'[2]Beam '!V$45,0)</f>
        <v>0</v>
      </c>
      <c r="W523" s="7">
        <f>IF($D523='[2]Beam '!W$44,$P523*'[2]Beam '!W$45,0)</f>
        <v>0</v>
      </c>
      <c r="X523" s="7">
        <f t="shared" si="102"/>
        <v>21.493748571428579</v>
      </c>
      <c r="Y523" s="7"/>
    </row>
    <row r="524" spans="1:32" s="14" customFormat="1" ht="20.100000000000001" customHeight="1" x14ac:dyDescent="0.25">
      <c r="B524" s="10" t="s">
        <v>2</v>
      </c>
      <c r="C524" s="13" t="s">
        <v>8</v>
      </c>
      <c r="D524" s="14">
        <f>D523</f>
        <v>12</v>
      </c>
      <c r="E524" s="14">
        <v>0.125</v>
      </c>
      <c r="F524" s="7">
        <f>ROUNDUP((E520/3)/E524,0)+1</f>
        <v>5</v>
      </c>
      <c r="G524" s="9"/>
      <c r="O524" s="7">
        <f>(2*((G520-(2*'[2]Beam '!$D$11))+(F520-(2*'[2]Beam '!$D$11)))+(2*10*D524/1000))*D520</f>
        <v>2.2000000000000002</v>
      </c>
      <c r="P524" s="7">
        <f t="shared" si="101"/>
        <v>11</v>
      </c>
      <c r="Q524" s="7">
        <f>IF($D524='[2]Beam '!Q$44,$P524*'[2]Beam '!Q$45,0)</f>
        <v>0</v>
      </c>
      <c r="R524" s="7">
        <f>IF($D524='[2]Beam '!R$44,$P524*'[2]Beam '!R$45,0)</f>
        <v>0</v>
      </c>
      <c r="S524" s="7">
        <f>IF($D524='[2]Beam '!S$44,$P524*'[2]Beam '!S$45,0)</f>
        <v>9.7698857142857154</v>
      </c>
      <c r="T524" s="7">
        <f>IF($D524='[2]Beam '!T$44,$P524*'[2]Beam '!T$45,0)</f>
        <v>0</v>
      </c>
      <c r="U524" s="7">
        <f>IF($D524='[2]Beam '!U$44,$P524*'[2]Beam '!U$45,0)</f>
        <v>0</v>
      </c>
      <c r="V524" s="7">
        <f>IF($D524='[2]Beam '!V$44,$P524*'[2]Beam '!V$45,0)</f>
        <v>0</v>
      </c>
      <c r="W524" s="7">
        <f>IF($D524='[2]Beam '!W$44,$P524*'[2]Beam '!W$45,0)</f>
        <v>0</v>
      </c>
      <c r="X524" s="7">
        <f t="shared" si="102"/>
        <v>9.7698857142857154</v>
      </c>
    </row>
    <row r="525" spans="1:32" s="9" customFormat="1" ht="21" customHeight="1" x14ac:dyDescent="0.25">
      <c r="A525" s="14"/>
      <c r="B525" s="10" t="s">
        <v>2</v>
      </c>
      <c r="C525" s="13" t="s">
        <v>47</v>
      </c>
      <c r="D525" s="14">
        <f>D523</f>
        <v>12</v>
      </c>
      <c r="E525" s="14">
        <f>+E523</f>
        <v>0.1</v>
      </c>
      <c r="F525" s="7">
        <f>ROUNDUP((E520/3*2)/E525,0)+1</f>
        <v>11</v>
      </c>
      <c r="H525" s="14"/>
      <c r="I525" s="14"/>
      <c r="J525" s="14"/>
      <c r="K525" s="14"/>
      <c r="L525" s="14"/>
      <c r="M525" s="14"/>
      <c r="N525" s="14"/>
      <c r="O525" s="7">
        <f>((((G520-(2*'[2]Beam '!$D$11))+(2*10*D525/1000))*D520))</f>
        <v>0.98</v>
      </c>
      <c r="P525" s="7">
        <f t="shared" si="101"/>
        <v>10.78</v>
      </c>
      <c r="Q525" s="7">
        <f>IF($D525='[2]Beam '!Q$44,$P525*'[2]Beam '!Q$45,0)</f>
        <v>0</v>
      </c>
      <c r="R525" s="7">
        <f>IF($D525='[2]Beam '!R$44,$P525*'[2]Beam '!R$45,0)</f>
        <v>0</v>
      </c>
      <c r="S525" s="7">
        <f>IF($D525='[2]Beam '!S$44,$P525*'[2]Beam '!S$45,0)</f>
        <v>9.5744880000000006</v>
      </c>
      <c r="T525" s="7">
        <f>IF($D525='[2]Beam '!T$44,$P525*'[2]Beam '!T$45,0)</f>
        <v>0</v>
      </c>
      <c r="U525" s="7">
        <f>IF($D525='[2]Beam '!U$44,$P525*'[2]Beam '!U$45,0)</f>
        <v>0</v>
      </c>
      <c r="V525" s="7">
        <f>IF($D525='[2]Beam '!V$44,$P525*'[2]Beam '!V$45,0)</f>
        <v>0</v>
      </c>
      <c r="W525" s="7">
        <f>IF($D525='[2]Beam '!W$44,$P525*'[2]Beam '!W$45,0)</f>
        <v>0</v>
      </c>
      <c r="X525" s="7">
        <f t="shared" si="102"/>
        <v>9.5744880000000006</v>
      </c>
      <c r="Y525" s="14"/>
      <c r="Z525" s="7"/>
      <c r="AA525" s="7"/>
      <c r="AB525" s="7"/>
      <c r="AC525" s="7"/>
      <c r="AD525" s="7"/>
      <c r="AE525" s="7"/>
      <c r="AF525" s="7"/>
    </row>
    <row r="526" spans="1:32" s="9" customFormat="1" ht="20.100000000000001" customHeight="1" x14ac:dyDescent="0.25">
      <c r="A526" s="14"/>
      <c r="B526" s="10" t="s">
        <v>2</v>
      </c>
      <c r="C526" s="13" t="s">
        <v>47</v>
      </c>
      <c r="D526" s="14">
        <f>D524</f>
        <v>12</v>
      </c>
      <c r="E526" s="14">
        <f>+E524</f>
        <v>0.125</v>
      </c>
      <c r="F526" s="7">
        <f>ROUNDUP((E520/3)/E526,0)+1</f>
        <v>5</v>
      </c>
      <c r="H526" s="14"/>
      <c r="I526" s="14"/>
      <c r="J526" s="14"/>
      <c r="K526" s="14"/>
      <c r="L526" s="14"/>
      <c r="M526" s="14"/>
      <c r="N526" s="14"/>
      <c r="O526" s="7">
        <f>((((G520-(2*'[2]Beam '!$D$11))+(2*10*D526/1000))*D520))</f>
        <v>0.98</v>
      </c>
      <c r="P526" s="7">
        <f t="shared" si="101"/>
        <v>4.9000000000000004</v>
      </c>
      <c r="Q526" s="7">
        <f>IF($D526='[2]Beam '!Q$44,$P526*'[2]Beam '!Q$45,0)</f>
        <v>0</v>
      </c>
      <c r="R526" s="7">
        <f>IF($D526='[2]Beam '!R$44,$P526*'[2]Beam '!R$45,0)</f>
        <v>0</v>
      </c>
      <c r="S526" s="7">
        <f>IF($D526='[2]Beam '!S$44,$P526*'[2]Beam '!S$45,0)</f>
        <v>4.3520400000000015</v>
      </c>
      <c r="T526" s="7">
        <f>IF($D526='[2]Beam '!T$44,$P526*'[2]Beam '!T$45,0)</f>
        <v>0</v>
      </c>
      <c r="U526" s="7">
        <f>IF($D526='[2]Beam '!U$44,$P526*'[2]Beam '!U$45,0)</f>
        <v>0</v>
      </c>
      <c r="V526" s="7">
        <f>IF($D526='[2]Beam '!V$44,$P526*'[2]Beam '!V$45,0)</f>
        <v>0</v>
      </c>
      <c r="W526" s="7">
        <f>IF($D526='[2]Beam '!W$44,$P526*'[2]Beam '!W$45,0)</f>
        <v>0</v>
      </c>
      <c r="X526" s="7">
        <f t="shared" si="102"/>
        <v>4.3520400000000015</v>
      </c>
      <c r="Y526" s="14"/>
      <c r="Z526" s="7"/>
      <c r="AA526" s="7"/>
      <c r="AB526" s="7"/>
      <c r="AC526" s="7"/>
      <c r="AD526" s="7"/>
      <c r="AE526" s="7"/>
    </row>
    <row r="527" spans="1:32" s="9" customFormat="1" ht="20.100000000000001" customHeight="1" x14ac:dyDescent="0.25">
      <c r="A527" s="7">
        <v>1</v>
      </c>
      <c r="B527" s="10" t="s">
        <v>2</v>
      </c>
      <c r="C527" s="11" t="s">
        <v>80</v>
      </c>
      <c r="D527" s="11">
        <v>1</v>
      </c>
      <c r="E527" s="11">
        <v>2.0390000000000001</v>
      </c>
      <c r="F527" s="11">
        <v>0.3</v>
      </c>
      <c r="G527" s="11">
        <v>0.8</v>
      </c>
      <c r="H527" s="7">
        <f>G527-0.2</f>
        <v>0.60000000000000009</v>
      </c>
      <c r="I527" s="7">
        <f>E527*F527*G527*D527</f>
        <v>0.48936000000000002</v>
      </c>
      <c r="J527" s="7">
        <f>(2*(E527)*H527*D527)+(E527*F527)</f>
        <v>3.0585000000000004</v>
      </c>
      <c r="K527" s="12">
        <f>IF(E527=0.3,J527,0)</f>
        <v>0</v>
      </c>
      <c r="L527" s="12">
        <f>IF(AND(E527&gt;0.3,E527&lt;=0.75),J527,0)</f>
        <v>0</v>
      </c>
      <c r="M527" s="12">
        <f>IF(AND(E527&gt;0.75,E527&lt;=1.2),J527,0)</f>
        <v>0</v>
      </c>
      <c r="N527" s="12">
        <f>IF(E527&gt;1.2,J527,0)</f>
        <v>3.0585000000000004</v>
      </c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>
        <f>SUM(X528:X530)/I527</f>
        <v>181.76877671127303</v>
      </c>
      <c r="Z527" s="7"/>
      <c r="AA527" s="7"/>
      <c r="AB527" s="7"/>
      <c r="AC527" s="7"/>
      <c r="AD527" s="7"/>
      <c r="AE527" s="7"/>
    </row>
    <row r="528" spans="1:32" s="9" customFormat="1" ht="20.100000000000001" customHeight="1" x14ac:dyDescent="0.25">
      <c r="A528" s="6"/>
      <c r="B528" s="10" t="s">
        <v>2</v>
      </c>
      <c r="C528" s="13" t="s">
        <v>4</v>
      </c>
      <c r="D528" s="7">
        <v>20</v>
      </c>
      <c r="E528" s="7"/>
      <c r="F528" s="7">
        <v>3</v>
      </c>
      <c r="G528" s="8">
        <f>VLOOKUP(D528,'[2]Beam '!$C$20:$H$26,3,0)</f>
        <v>0.8</v>
      </c>
      <c r="H528" s="8"/>
      <c r="I528" s="7"/>
      <c r="J528" s="7"/>
      <c r="K528" s="7"/>
      <c r="L528" s="7"/>
      <c r="M528" s="7"/>
      <c r="N528" s="7"/>
      <c r="O528" s="7">
        <f>(E527+2*(G528+(12*D528/1000)))*D527</f>
        <v>4.1189999999999998</v>
      </c>
      <c r="P528" s="7">
        <f>O528*F528</f>
        <v>12.356999999999999</v>
      </c>
      <c r="Q528" s="7">
        <f>IF($D528='[2]Beam '!Q$44,$P528*'[2]Beam '!Q$45,0)</f>
        <v>0</v>
      </c>
      <c r="R528" s="7">
        <f>IF($D528='[2]Beam '!R$44,$P528*'[2]Beam '!R$45,0)</f>
        <v>0</v>
      </c>
      <c r="S528" s="7">
        <f>IF($D528='[2]Beam '!S$44,$P528*'[2]Beam '!S$45,0)</f>
        <v>0</v>
      </c>
      <c r="T528" s="7">
        <f>IF($D528='[2]Beam '!T$44,$P528*'[2]Beam '!T$45,0)</f>
        <v>0</v>
      </c>
      <c r="U528" s="7">
        <f>IF($D528='[2]Beam '!U$44,$P528*'[2]Beam '!U$45,0)</f>
        <v>30.486484285714283</v>
      </c>
      <c r="V528" s="7">
        <f>IF($D528='[2]Beam '!V$44,$P528*'[2]Beam '!V$45,0)</f>
        <v>0</v>
      </c>
      <c r="W528" s="7">
        <f>IF($D528='[2]Beam '!W$44,$P528*'[2]Beam '!W$45,0)</f>
        <v>0</v>
      </c>
      <c r="X528" s="7">
        <f>SUM(Q528:W528)</f>
        <v>30.486484285714283</v>
      </c>
      <c r="Y528" s="7"/>
      <c r="Z528" s="7"/>
      <c r="AA528" s="7"/>
      <c r="AB528" s="7"/>
      <c r="AC528" s="7"/>
      <c r="AD528" s="7"/>
      <c r="AE528" s="7"/>
    </row>
    <row r="529" spans="1:32" s="9" customFormat="1" ht="21" customHeight="1" x14ac:dyDescent="0.25">
      <c r="A529" s="6"/>
      <c r="B529" s="10" t="s">
        <v>2</v>
      </c>
      <c r="C529" s="13" t="s">
        <v>6</v>
      </c>
      <c r="D529" s="7">
        <v>20</v>
      </c>
      <c r="E529" s="7"/>
      <c r="F529" s="7">
        <v>3</v>
      </c>
      <c r="G529" s="8">
        <f>VLOOKUP(D529,'[2]Beam '!$C$20:$H$26,3,0)</f>
        <v>0.8</v>
      </c>
      <c r="H529" s="7"/>
      <c r="I529" s="7"/>
      <c r="J529" s="7"/>
      <c r="K529" s="7"/>
      <c r="L529" s="7"/>
      <c r="M529" s="7"/>
      <c r="N529" s="7"/>
      <c r="O529" s="7">
        <f>(E527+2*(G529+(12*D529/1000)))*D527</f>
        <v>4.1189999999999998</v>
      </c>
      <c r="P529" s="7">
        <f>O529*F529</f>
        <v>12.356999999999999</v>
      </c>
      <c r="Q529" s="7">
        <f>IF($D529='[2]Beam '!Q$44,$P529*'[2]Beam '!Q$45,0)</f>
        <v>0</v>
      </c>
      <c r="R529" s="7">
        <f>IF($D529='[2]Beam '!R$44,$P529*'[2]Beam '!R$45,0)</f>
        <v>0</v>
      </c>
      <c r="S529" s="7">
        <f>IF($D529='[2]Beam '!S$44,$P529*'[2]Beam '!S$45,0)</f>
        <v>0</v>
      </c>
      <c r="T529" s="7">
        <f>IF($D529='[2]Beam '!T$44,$P529*'[2]Beam '!T$45,0)</f>
        <v>0</v>
      </c>
      <c r="U529" s="7">
        <f>IF($D529='[2]Beam '!U$44,$P529*'[2]Beam '!U$45,0)</f>
        <v>30.486484285714283</v>
      </c>
      <c r="V529" s="7">
        <f>IF($D529='[2]Beam '!V$44,$P529*'[2]Beam '!V$45,0)</f>
        <v>0</v>
      </c>
      <c r="W529" s="7">
        <f>IF($D529='[2]Beam '!W$44,$P529*'[2]Beam '!W$45,0)</f>
        <v>0</v>
      </c>
      <c r="X529" s="7">
        <f>SUM(Q529:W529)</f>
        <v>30.486484285714283</v>
      </c>
      <c r="Y529" s="7"/>
      <c r="Z529" s="7"/>
      <c r="AA529" s="7"/>
      <c r="AB529" s="7"/>
      <c r="AC529" s="7"/>
      <c r="AD529" s="7"/>
      <c r="AE529" s="7"/>
      <c r="AF529" s="7"/>
    </row>
    <row r="530" spans="1:32" s="9" customFormat="1" ht="20.100000000000001" customHeight="1" x14ac:dyDescent="0.25">
      <c r="A530" s="6"/>
      <c r="B530" s="10" t="s">
        <v>2</v>
      </c>
      <c r="C530" s="13" t="s">
        <v>26</v>
      </c>
      <c r="D530" s="7">
        <v>10</v>
      </c>
      <c r="E530" s="7">
        <v>0.1</v>
      </c>
      <c r="F530" s="7">
        <f>ROUNDUP(E527/E530,0)</f>
        <v>21</v>
      </c>
      <c r="H530" s="7"/>
      <c r="I530" s="7"/>
      <c r="J530" s="7"/>
      <c r="K530" s="7"/>
      <c r="L530" s="7"/>
      <c r="M530" s="7"/>
      <c r="N530" s="7"/>
      <c r="O530" s="7">
        <f>(2*((G527-(2*'[2]Beam '!$D$11))+(F527-(2*'[2]Beam '!$D$11)))+(2*10*D530/1000))*D527</f>
        <v>2.16</v>
      </c>
      <c r="P530" s="7">
        <f>O530*F530</f>
        <v>45.36</v>
      </c>
      <c r="Q530" s="7">
        <f>IF($D530='[2]Beam '!Q$44,$P530*'[2]Beam '!Q$45,0)</f>
        <v>0</v>
      </c>
      <c r="R530" s="7">
        <f>IF($D530='[2]Beam '!R$44,$P530*'[2]Beam '!R$45,0)</f>
        <v>27.977399999999999</v>
      </c>
      <c r="S530" s="7">
        <f>IF($D530='[2]Beam '!S$44,$P530*'[2]Beam '!S$45,0)</f>
        <v>0</v>
      </c>
      <c r="T530" s="7">
        <f>IF($D530='[2]Beam '!T$44,$P530*'[2]Beam '!T$45,0)</f>
        <v>0</v>
      </c>
      <c r="U530" s="7">
        <f>IF($D530='[2]Beam '!U$44,$P530*'[2]Beam '!U$45,0)</f>
        <v>0</v>
      </c>
      <c r="V530" s="7">
        <f>IF($D530='[2]Beam '!V$44,$P530*'[2]Beam '!V$45,0)</f>
        <v>0</v>
      </c>
      <c r="W530" s="7">
        <f>IF($D530='[2]Beam '!W$44,$P530*'[2]Beam '!W$45,0)</f>
        <v>0</v>
      </c>
      <c r="X530" s="7">
        <f>SUM(Q530:W530)</f>
        <v>27.977399999999999</v>
      </c>
      <c r="Y530" s="7"/>
      <c r="Z530" s="7"/>
      <c r="AA530" s="7"/>
      <c r="AB530" s="7"/>
      <c r="AC530" s="7"/>
      <c r="AD530" s="7"/>
      <c r="AE530" s="7"/>
    </row>
    <row r="531" spans="1:32" s="9" customFormat="1" ht="20.100000000000001" customHeight="1" x14ac:dyDescent="0.25">
      <c r="A531" s="7">
        <v>1</v>
      </c>
      <c r="B531" s="10" t="s">
        <v>2</v>
      </c>
      <c r="C531" s="11" t="s">
        <v>81</v>
      </c>
      <c r="D531" s="11">
        <v>1</v>
      </c>
      <c r="E531" s="11">
        <v>2.399</v>
      </c>
      <c r="F531" s="11">
        <v>0.3</v>
      </c>
      <c r="G531" s="11">
        <v>1.1000000000000001</v>
      </c>
      <c r="H531" s="7">
        <f>G531-0.2</f>
        <v>0.90000000000000013</v>
      </c>
      <c r="I531" s="7">
        <f>E531*F531*G531*D531</f>
        <v>0.7916700000000001</v>
      </c>
      <c r="J531" s="7">
        <f>(2*(E531)*H531*D531)+(E531*F531)</f>
        <v>5.0379000000000005</v>
      </c>
      <c r="K531" s="12">
        <f>IF(E531=0.3,J531,0)</f>
        <v>0</v>
      </c>
      <c r="L531" s="12">
        <f>IF(AND(E531&gt;0.3,E531&lt;=0.75),J531,0)</f>
        <v>0</v>
      </c>
      <c r="M531" s="12">
        <f>IF(AND(E531&gt;0.75,E531&lt;=1.2),J531,0)</f>
        <v>0</v>
      </c>
      <c r="N531" s="12">
        <f>IF(E531&gt;1.2,J531,0)</f>
        <v>5.0379000000000005</v>
      </c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>
        <f>SUM(X532:X540)/I531</f>
        <v>189.84899104785725</v>
      </c>
      <c r="Z531" s="7"/>
      <c r="AA531" s="7"/>
      <c r="AB531" s="7"/>
      <c r="AC531" s="7"/>
      <c r="AD531" s="7"/>
      <c r="AE531" s="7"/>
    </row>
    <row r="532" spans="1:32" s="9" customFormat="1" ht="20.100000000000001" customHeight="1" x14ac:dyDescent="0.25">
      <c r="A532" s="6"/>
      <c r="B532" s="10" t="s">
        <v>2</v>
      </c>
      <c r="C532" s="13" t="s">
        <v>4</v>
      </c>
      <c r="D532" s="7">
        <v>20</v>
      </c>
      <c r="E532" s="7"/>
      <c r="F532" s="7">
        <v>3</v>
      </c>
      <c r="G532" s="8">
        <f>VLOOKUP(D532,'[2]Beam '!$C$20:$H$26,3,0)</f>
        <v>0.8</v>
      </c>
      <c r="H532" s="8"/>
      <c r="I532" s="7"/>
      <c r="J532" s="7"/>
      <c r="K532" s="7"/>
      <c r="L532" s="7"/>
      <c r="M532" s="7"/>
      <c r="N532" s="7"/>
      <c r="O532" s="7">
        <f>(E531+2*(G532+(12*D532/1000)))*D531</f>
        <v>4.4790000000000001</v>
      </c>
      <c r="P532" s="7">
        <f t="shared" ref="P532:P541" si="103">O532*F532</f>
        <v>13.437000000000001</v>
      </c>
      <c r="Q532" s="7">
        <f>IF($D532='[2]Beam '!Q$44,$P532*'[2]Beam '!Q$45,0)</f>
        <v>0</v>
      </c>
      <c r="R532" s="7">
        <f>IF($D532='[2]Beam '!R$44,$P532*'[2]Beam '!R$45,0)</f>
        <v>0</v>
      </c>
      <c r="S532" s="7">
        <f>IF($D532='[2]Beam '!S$44,$P532*'[2]Beam '!S$45,0)</f>
        <v>0</v>
      </c>
      <c r="T532" s="7">
        <f>IF($D532='[2]Beam '!T$44,$P532*'[2]Beam '!T$45,0)</f>
        <v>0</v>
      </c>
      <c r="U532" s="7">
        <f>IF($D532='[2]Beam '!U$44,$P532*'[2]Beam '!U$45,0)</f>
        <v>33.150998571428573</v>
      </c>
      <c r="V532" s="7">
        <f>IF($D532='[2]Beam '!V$44,$P532*'[2]Beam '!V$45,0)</f>
        <v>0</v>
      </c>
      <c r="W532" s="7">
        <f>IF($D532='[2]Beam '!W$44,$P532*'[2]Beam '!W$45,0)</f>
        <v>0</v>
      </c>
      <c r="X532" s="7">
        <f t="shared" ref="X532:X541" si="104">SUM(Q532:W532)</f>
        <v>33.150998571428573</v>
      </c>
      <c r="Y532" s="7"/>
      <c r="Z532" s="7"/>
      <c r="AA532" s="7"/>
      <c r="AB532" s="7"/>
      <c r="AC532" s="7"/>
      <c r="AD532" s="7"/>
      <c r="AE532" s="7"/>
    </row>
    <row r="533" spans="1:32" s="9" customFormat="1" ht="20.100000000000001" customHeight="1" x14ac:dyDescent="0.25">
      <c r="A533" s="6"/>
      <c r="B533" s="10" t="s">
        <v>2</v>
      </c>
      <c r="C533" s="13" t="s">
        <v>5</v>
      </c>
      <c r="D533" s="7">
        <v>16</v>
      </c>
      <c r="E533" s="7"/>
      <c r="F533" s="7">
        <v>2</v>
      </c>
      <c r="G533" s="8">
        <f>VLOOKUP(D533,'[2]Beam '!$C$20:$H$26,3,0)</f>
        <v>0.625</v>
      </c>
      <c r="H533" s="8"/>
      <c r="I533" s="7"/>
      <c r="J533" s="7"/>
      <c r="K533" s="7"/>
      <c r="L533" s="7"/>
      <c r="M533" s="7"/>
      <c r="N533" s="7"/>
      <c r="O533" s="7">
        <f>(0.7+1*(G533+(12*D533/1000)))*D531</f>
        <v>1.5169999999999999</v>
      </c>
      <c r="P533" s="7">
        <f t="shared" si="103"/>
        <v>3.0339999999999998</v>
      </c>
      <c r="Q533" s="7">
        <f>IF($D533='[2]Beam '!Q$44,$P533*'[2]Beam '!Q$45,0)</f>
        <v>0</v>
      </c>
      <c r="R533" s="7">
        <f>IF($D533='[2]Beam '!R$44,$P533*'[2]Beam '!R$45,0)</f>
        <v>0</v>
      </c>
      <c r="S533" s="7">
        <f>IF($D533='[2]Beam '!S$44,$P533*'[2]Beam '!S$45,0)</f>
        <v>0</v>
      </c>
      <c r="T533" s="7">
        <f>IF($D533='[2]Beam '!T$44,$P533*'[2]Beam '!T$45,0)</f>
        <v>4.7905993142857142</v>
      </c>
      <c r="U533" s="7">
        <f>IF($D533='[2]Beam '!U$44,$P533*'[2]Beam '!U$45,0)</f>
        <v>0</v>
      </c>
      <c r="V533" s="7">
        <f>IF($D533='[2]Beam '!V$44,$P533*'[2]Beam '!V$45,0)</f>
        <v>0</v>
      </c>
      <c r="W533" s="7">
        <f>IF($D533='[2]Beam '!W$44,$P533*'[2]Beam '!W$45,0)</f>
        <v>0</v>
      </c>
      <c r="X533" s="7">
        <f t="shared" si="104"/>
        <v>4.7905993142857142</v>
      </c>
      <c r="Y533" s="7"/>
      <c r="Z533" s="7"/>
      <c r="AA533" s="7"/>
      <c r="AB533" s="7"/>
      <c r="AC533" s="7"/>
      <c r="AD533" s="7"/>
      <c r="AE533" s="7"/>
    </row>
    <row r="534" spans="1:32" s="9" customFormat="1" ht="20.100000000000001" customHeight="1" x14ac:dyDescent="0.25">
      <c r="A534" s="6"/>
      <c r="B534" s="10" t="s">
        <v>2</v>
      </c>
      <c r="C534" s="13" t="s">
        <v>5</v>
      </c>
      <c r="D534" s="7">
        <v>16</v>
      </c>
      <c r="E534" s="7"/>
      <c r="F534" s="7">
        <v>2</v>
      </c>
      <c r="G534" s="8">
        <f>VLOOKUP(D534,'[2]Beam '!$C$20:$H$26,3,0)</f>
        <v>0.625</v>
      </c>
      <c r="H534" s="8"/>
      <c r="I534" s="7"/>
      <c r="J534" s="7"/>
      <c r="K534" s="7"/>
      <c r="L534" s="7"/>
      <c r="M534" s="7"/>
      <c r="N534" s="7"/>
      <c r="O534" s="7">
        <f>(0.7+1*(G534+(12*D534/1000)))*D531</f>
        <v>1.5169999999999999</v>
      </c>
      <c r="P534" s="7">
        <f t="shared" si="103"/>
        <v>3.0339999999999998</v>
      </c>
      <c r="Q534" s="7">
        <f>IF($D534='[2]Beam '!Q$44,$P534*'[2]Beam '!Q$45,0)</f>
        <v>0</v>
      </c>
      <c r="R534" s="7">
        <f>IF($D534='[2]Beam '!R$44,$P534*'[2]Beam '!R$45,0)</f>
        <v>0</v>
      </c>
      <c r="S534" s="7">
        <f>IF($D534='[2]Beam '!S$44,$P534*'[2]Beam '!S$45,0)</f>
        <v>0</v>
      </c>
      <c r="T534" s="7">
        <f>IF($D534='[2]Beam '!T$44,$P534*'[2]Beam '!T$45,0)</f>
        <v>4.7905993142857142</v>
      </c>
      <c r="U534" s="7">
        <f>IF($D534='[2]Beam '!U$44,$P534*'[2]Beam '!U$45,0)</f>
        <v>0</v>
      </c>
      <c r="V534" s="7">
        <f>IF($D534='[2]Beam '!V$44,$P534*'[2]Beam '!V$45,0)</f>
        <v>0</v>
      </c>
      <c r="W534" s="7">
        <f>IF($D534='[2]Beam '!W$44,$P534*'[2]Beam '!W$45,0)</f>
        <v>0</v>
      </c>
      <c r="X534" s="7">
        <f t="shared" si="104"/>
        <v>4.7905993142857142</v>
      </c>
      <c r="Y534" s="7"/>
      <c r="Z534" s="7"/>
      <c r="AA534" s="7"/>
      <c r="AB534" s="7"/>
      <c r="AC534" s="7"/>
      <c r="AD534" s="7"/>
      <c r="AE534" s="7"/>
    </row>
    <row r="535" spans="1:32" s="9" customFormat="1" ht="20.100000000000001" customHeight="1" x14ac:dyDescent="0.25">
      <c r="A535" s="6"/>
      <c r="B535" s="10" t="s">
        <v>2</v>
      </c>
      <c r="C535" s="13" t="s">
        <v>6</v>
      </c>
      <c r="D535" s="7">
        <v>20</v>
      </c>
      <c r="E535" s="7"/>
      <c r="F535" s="7">
        <v>3</v>
      </c>
      <c r="G535" s="8">
        <f>VLOOKUP(D535,'[2]Beam '!$C$20:$H$26,3,0)</f>
        <v>0.8</v>
      </c>
      <c r="H535" s="7"/>
      <c r="I535" s="7"/>
      <c r="J535" s="7"/>
      <c r="K535" s="7"/>
      <c r="L535" s="7"/>
      <c r="M535" s="7"/>
      <c r="N535" s="7"/>
      <c r="O535" s="7">
        <f>(E531+2*(G535+(12*D535/1000)))*D531</f>
        <v>4.4790000000000001</v>
      </c>
      <c r="P535" s="7">
        <f t="shared" si="103"/>
        <v>13.437000000000001</v>
      </c>
      <c r="Q535" s="7">
        <f>IF($D535='[2]Beam '!Q$44,$P535*'[2]Beam '!Q$45,0)</f>
        <v>0</v>
      </c>
      <c r="R535" s="7">
        <f>IF($D535='[2]Beam '!R$44,$P535*'[2]Beam '!R$45,0)</f>
        <v>0</v>
      </c>
      <c r="S535" s="7">
        <f>IF($D535='[2]Beam '!S$44,$P535*'[2]Beam '!S$45,0)</f>
        <v>0</v>
      </c>
      <c r="T535" s="7">
        <f>IF($D535='[2]Beam '!T$44,$P535*'[2]Beam '!T$45,0)</f>
        <v>0</v>
      </c>
      <c r="U535" s="7">
        <f>IF($D535='[2]Beam '!U$44,$P535*'[2]Beam '!U$45,0)</f>
        <v>33.150998571428573</v>
      </c>
      <c r="V535" s="7">
        <f>IF($D535='[2]Beam '!V$44,$P535*'[2]Beam '!V$45,0)</f>
        <v>0</v>
      </c>
      <c r="W535" s="7">
        <f>IF($D535='[2]Beam '!W$44,$P535*'[2]Beam '!W$45,0)</f>
        <v>0</v>
      </c>
      <c r="X535" s="7">
        <f t="shared" si="104"/>
        <v>33.150998571428573</v>
      </c>
      <c r="Y535" s="7"/>
      <c r="Z535" s="7"/>
      <c r="AA535" s="7"/>
      <c r="AB535" s="7"/>
      <c r="AC535" s="7"/>
      <c r="AD535" s="7"/>
      <c r="AE535" s="7"/>
    </row>
    <row r="536" spans="1:32" s="14" customFormat="1" ht="20.100000000000001" customHeight="1" x14ac:dyDescent="0.3">
      <c r="A536" s="6"/>
      <c r="B536" s="10" t="s">
        <v>2</v>
      </c>
      <c r="C536" s="13" t="s">
        <v>6</v>
      </c>
      <c r="D536" s="7">
        <v>16</v>
      </c>
      <c r="E536" s="7"/>
      <c r="F536" s="7">
        <v>2</v>
      </c>
      <c r="G536" s="8">
        <f>VLOOKUP(D536,'[2]Beam '!$C$20:$H$26,3,0)</f>
        <v>0.625</v>
      </c>
      <c r="H536" s="7"/>
      <c r="I536" s="7"/>
      <c r="J536" s="7"/>
      <c r="K536" s="7"/>
      <c r="L536" s="7"/>
      <c r="M536" s="7"/>
      <c r="N536" s="7"/>
      <c r="O536" s="7">
        <f>(E531+2*(G536+(12*D536/1000)))*D531</f>
        <v>4.0329999999999995</v>
      </c>
      <c r="P536" s="7">
        <f t="shared" si="103"/>
        <v>8.0659999999999989</v>
      </c>
      <c r="Q536" s="7">
        <f>IF($D536='[2]Beam '!Q$44,$P536*'[2]Beam '!Q$45,0)</f>
        <v>0</v>
      </c>
      <c r="R536" s="7">
        <f>IF($D536='[2]Beam '!R$44,$P536*'[2]Beam '!R$45,0)</f>
        <v>0</v>
      </c>
      <c r="S536" s="7">
        <f>IF($D536='[2]Beam '!S$44,$P536*'[2]Beam '!S$45,0)</f>
        <v>0</v>
      </c>
      <c r="T536" s="7">
        <f>IF($D536='[2]Beam '!T$44,$P536*'[2]Beam '!T$45,0)</f>
        <v>12.735983542857142</v>
      </c>
      <c r="U536" s="7">
        <f>IF($D536='[2]Beam '!U$44,$P536*'[2]Beam '!U$45,0)</f>
        <v>0</v>
      </c>
      <c r="V536" s="7">
        <f>IF($D536='[2]Beam '!V$44,$P536*'[2]Beam '!V$45,0)</f>
        <v>0</v>
      </c>
      <c r="W536" s="7">
        <f>IF($D536='[2]Beam '!W$44,$P536*'[2]Beam '!W$45,0)</f>
        <v>0</v>
      </c>
      <c r="X536" s="7">
        <f t="shared" si="104"/>
        <v>12.735983542857142</v>
      </c>
      <c r="Y536" s="7"/>
    </row>
    <row r="537" spans="1:32" s="14" customFormat="1" ht="20.100000000000001" customHeight="1" x14ac:dyDescent="0.25">
      <c r="A537" s="6"/>
      <c r="B537" s="10" t="s">
        <v>2</v>
      </c>
      <c r="C537" s="13" t="s">
        <v>7</v>
      </c>
      <c r="D537" s="7">
        <v>10</v>
      </c>
      <c r="E537" s="7">
        <v>0.1</v>
      </c>
      <c r="F537" s="7">
        <f>ROUNDUP((E531/3*2)/E537,0)+1</f>
        <v>17</v>
      </c>
      <c r="G537" s="9"/>
      <c r="H537" s="7"/>
      <c r="I537" s="7"/>
      <c r="J537" s="7"/>
      <c r="K537" s="7"/>
      <c r="L537" s="7"/>
      <c r="M537" s="7"/>
      <c r="N537" s="7"/>
      <c r="O537" s="7">
        <f>(2*((G531-(2*'[2]Beam '!$D$11))+(F531-(2*'[2]Beam '!$D$11)))+(2*10*D537/1000))*D531</f>
        <v>2.7600000000000002</v>
      </c>
      <c r="P537" s="7">
        <f t="shared" si="103"/>
        <v>46.92</v>
      </c>
      <c r="Q537" s="7">
        <f>IF($D537='[2]Beam '!Q$44,$P537*'[2]Beam '!Q$45,0)</f>
        <v>0</v>
      </c>
      <c r="R537" s="7">
        <f>IF($D537='[2]Beam '!R$44,$P537*'[2]Beam '!R$45,0)</f>
        <v>28.939585714285716</v>
      </c>
      <c r="S537" s="7">
        <f>IF($D537='[2]Beam '!S$44,$P537*'[2]Beam '!S$45,0)</f>
        <v>0</v>
      </c>
      <c r="T537" s="7">
        <f>IF($D537='[2]Beam '!T$44,$P537*'[2]Beam '!T$45,0)</f>
        <v>0</v>
      </c>
      <c r="U537" s="7">
        <f>IF($D537='[2]Beam '!U$44,$P537*'[2]Beam '!U$45,0)</f>
        <v>0</v>
      </c>
      <c r="V537" s="7">
        <f>IF($D537='[2]Beam '!V$44,$P537*'[2]Beam '!V$45,0)</f>
        <v>0</v>
      </c>
      <c r="W537" s="7">
        <f>IF($D537='[2]Beam '!W$44,$P537*'[2]Beam '!W$45,0)</f>
        <v>0</v>
      </c>
      <c r="X537" s="7">
        <f t="shared" si="104"/>
        <v>28.939585714285716</v>
      </c>
      <c r="Y537" s="7"/>
    </row>
    <row r="538" spans="1:32" s="14" customFormat="1" ht="20.100000000000001" customHeight="1" x14ac:dyDescent="0.25">
      <c r="B538" s="10" t="s">
        <v>2</v>
      </c>
      <c r="C538" s="13" t="s">
        <v>8</v>
      </c>
      <c r="D538" s="14">
        <f>D537</f>
        <v>10</v>
      </c>
      <c r="E538" s="14">
        <v>0.125</v>
      </c>
      <c r="F538" s="7">
        <f>ROUNDUP((E531/3)/E538,0)+1</f>
        <v>8</v>
      </c>
      <c r="G538" s="9"/>
      <c r="O538" s="7">
        <f>(2*((G531-(2*'[2]Beam '!$D$11))+(F531-(2*'[2]Beam '!$D$11)))+(2*10*D538/1000))*D531</f>
        <v>2.7600000000000002</v>
      </c>
      <c r="P538" s="7">
        <f t="shared" si="103"/>
        <v>22.080000000000002</v>
      </c>
      <c r="Q538" s="7">
        <f>IF($D538='[2]Beam '!Q$44,$P538*'[2]Beam '!Q$45,0)</f>
        <v>0</v>
      </c>
      <c r="R538" s="7">
        <f>IF($D538='[2]Beam '!R$44,$P538*'[2]Beam '!R$45,0)</f>
        <v>13.618628571428573</v>
      </c>
      <c r="S538" s="7">
        <f>IF($D538='[2]Beam '!S$44,$P538*'[2]Beam '!S$45,0)</f>
        <v>0</v>
      </c>
      <c r="T538" s="7">
        <f>IF($D538='[2]Beam '!T$44,$P538*'[2]Beam '!T$45,0)</f>
        <v>0</v>
      </c>
      <c r="U538" s="7">
        <f>IF($D538='[2]Beam '!U$44,$P538*'[2]Beam '!U$45,0)</f>
        <v>0</v>
      </c>
      <c r="V538" s="7">
        <f>IF($D538='[2]Beam '!V$44,$P538*'[2]Beam '!V$45,0)</f>
        <v>0</v>
      </c>
      <c r="W538" s="7">
        <f>IF($D538='[2]Beam '!W$44,$P538*'[2]Beam '!W$45,0)</f>
        <v>0</v>
      </c>
      <c r="X538" s="7">
        <f t="shared" si="104"/>
        <v>13.618628571428573</v>
      </c>
    </row>
    <row r="539" spans="1:32" s="9" customFormat="1" ht="20.100000000000001" customHeight="1" x14ac:dyDescent="0.25">
      <c r="A539" s="14"/>
      <c r="B539" s="10" t="s">
        <v>2</v>
      </c>
      <c r="C539" s="13" t="s">
        <v>47</v>
      </c>
      <c r="D539" s="14">
        <f>D537</f>
        <v>10</v>
      </c>
      <c r="E539" s="14">
        <f>+E537</f>
        <v>0.1</v>
      </c>
      <c r="F539" s="7">
        <f>ROUNDUP((E531/3*2)/E539,0)+1</f>
        <v>17</v>
      </c>
      <c r="H539" s="14"/>
      <c r="I539" s="14"/>
      <c r="J539" s="14"/>
      <c r="K539" s="14"/>
      <c r="L539" s="14"/>
      <c r="M539" s="14"/>
      <c r="N539" s="14"/>
      <c r="O539" s="7">
        <f>((((G531-(2*'[2]Beam '!$D$11))+(2*10*D539/1000))*D531))</f>
        <v>1.24</v>
      </c>
      <c r="P539" s="7">
        <f t="shared" si="103"/>
        <v>21.08</v>
      </c>
      <c r="Q539" s="7">
        <f>IF($D539='[2]Beam '!Q$44,$P539*'[2]Beam '!Q$45,0)</f>
        <v>0</v>
      </c>
      <c r="R539" s="7">
        <f>IF($D539='[2]Beam '!R$44,$P539*'[2]Beam '!R$45,0)</f>
        <v>13.001842857142856</v>
      </c>
      <c r="S539" s="7">
        <f>IF($D539='[2]Beam '!S$44,$P539*'[2]Beam '!S$45,0)</f>
        <v>0</v>
      </c>
      <c r="T539" s="7">
        <f>IF($D539='[2]Beam '!T$44,$P539*'[2]Beam '!T$45,0)</f>
        <v>0</v>
      </c>
      <c r="U539" s="7">
        <f>IF($D539='[2]Beam '!U$44,$P539*'[2]Beam '!U$45,0)</f>
        <v>0</v>
      </c>
      <c r="V539" s="7">
        <f>IF($D539='[2]Beam '!V$44,$P539*'[2]Beam '!V$45,0)</f>
        <v>0</v>
      </c>
      <c r="W539" s="7">
        <f>IF($D539='[2]Beam '!W$44,$P539*'[2]Beam '!W$45,0)</f>
        <v>0</v>
      </c>
      <c r="X539" s="7">
        <f t="shared" si="104"/>
        <v>13.001842857142856</v>
      </c>
      <c r="Y539" s="14"/>
      <c r="Z539" s="7"/>
      <c r="AA539" s="7"/>
      <c r="AB539" s="7"/>
      <c r="AC539" s="7"/>
      <c r="AD539" s="7"/>
      <c r="AE539" s="7"/>
    </row>
    <row r="540" spans="1:32" s="9" customFormat="1" ht="21" customHeight="1" x14ac:dyDescent="0.25">
      <c r="A540" s="14"/>
      <c r="B540" s="10" t="s">
        <v>2</v>
      </c>
      <c r="C540" s="13" t="s">
        <v>47</v>
      </c>
      <c r="D540" s="14">
        <f>D538</f>
        <v>10</v>
      </c>
      <c r="E540" s="14">
        <f>+E538</f>
        <v>0.125</v>
      </c>
      <c r="F540" s="7">
        <f>ROUNDUP((E531/3)/E540,0)+1</f>
        <v>8</v>
      </c>
      <c r="H540" s="14"/>
      <c r="I540" s="14"/>
      <c r="J540" s="14"/>
      <c r="K540" s="14"/>
      <c r="L540" s="14"/>
      <c r="M540" s="14"/>
      <c r="N540" s="14"/>
      <c r="O540" s="7">
        <f>((((G531-(2*'[2]Beam '!$D$11))+(2*10*D540/1000))*D531))</f>
        <v>1.24</v>
      </c>
      <c r="P540" s="7">
        <f t="shared" si="103"/>
        <v>9.92</v>
      </c>
      <c r="Q540" s="7">
        <f>IF($D540='[2]Beam '!Q$44,$P540*'[2]Beam '!Q$45,0)</f>
        <v>0</v>
      </c>
      <c r="R540" s="7">
        <f>IF($D540='[2]Beam '!R$44,$P540*'[2]Beam '!R$45,0)</f>
        <v>6.1185142857142854</v>
      </c>
      <c r="S540" s="7">
        <f>IF($D540='[2]Beam '!S$44,$P540*'[2]Beam '!S$45,0)</f>
        <v>0</v>
      </c>
      <c r="T540" s="7">
        <f>IF($D540='[2]Beam '!T$44,$P540*'[2]Beam '!T$45,0)</f>
        <v>0</v>
      </c>
      <c r="U540" s="7">
        <f>IF($D540='[2]Beam '!U$44,$P540*'[2]Beam '!U$45,0)</f>
        <v>0</v>
      </c>
      <c r="V540" s="7">
        <f>IF($D540='[2]Beam '!V$44,$P540*'[2]Beam '!V$45,0)</f>
        <v>0</v>
      </c>
      <c r="W540" s="7">
        <f>IF($D540='[2]Beam '!W$44,$P540*'[2]Beam '!W$45,0)</f>
        <v>0</v>
      </c>
      <c r="X540" s="7">
        <f t="shared" si="104"/>
        <v>6.1185142857142854</v>
      </c>
      <c r="Y540" s="14"/>
      <c r="Z540" s="7"/>
      <c r="AA540" s="7"/>
      <c r="AB540" s="7"/>
      <c r="AC540" s="7"/>
      <c r="AD540" s="7"/>
      <c r="AE540" s="7"/>
      <c r="AF540" s="7"/>
    </row>
    <row r="541" spans="1:32" s="9" customFormat="1" ht="20.100000000000001" customHeight="1" x14ac:dyDescent="0.25">
      <c r="A541" s="6"/>
      <c r="B541" s="10" t="s">
        <v>2</v>
      </c>
      <c r="C541" s="13" t="s">
        <v>11</v>
      </c>
      <c r="D541" s="7">
        <f>+'[2]Beam '!$D$15</f>
        <v>25</v>
      </c>
      <c r="E541" s="7">
        <f>+'[2]Beam '!$E$15</f>
        <v>1</v>
      </c>
      <c r="F541" s="7">
        <f>ROUNDUP((0.7+0.7+E531)/E541,0)</f>
        <v>4</v>
      </c>
      <c r="G541" s="8"/>
      <c r="H541" s="8"/>
      <c r="I541" s="7"/>
      <c r="J541" s="7"/>
      <c r="K541" s="7"/>
      <c r="L541" s="7"/>
      <c r="M541" s="7"/>
      <c r="N541" s="7"/>
      <c r="O541" s="7">
        <f>F531-'[2]Beam '!$F$15</f>
        <v>0.24</v>
      </c>
      <c r="P541" s="7">
        <f t="shared" si="103"/>
        <v>0.96</v>
      </c>
      <c r="Q541" s="7">
        <f>IF($D541='[2]Beam '!Q$44,$P541*'[2]Beam '!Q$45,0)</f>
        <v>0</v>
      </c>
      <c r="R541" s="7">
        <f>IF($D541='[2]Beam '!R$44,$P541*'[2]Beam '!R$45,0)</f>
        <v>0</v>
      </c>
      <c r="S541" s="7">
        <f>IF($D541='[2]Beam '!S$44,$P541*'[2]Beam '!S$45,0)</f>
        <v>0</v>
      </c>
      <c r="T541" s="7">
        <f>IF($D541='[2]Beam '!T$44,$P541*'[2]Beam '!T$45,0)</f>
        <v>0</v>
      </c>
      <c r="U541" s="7">
        <f>IF($D541='[2]Beam '!U$44,$P541*'[2]Beam '!U$45,0)</f>
        <v>0</v>
      </c>
      <c r="V541" s="7">
        <f>IF($D541='[2]Beam '!V$44,$P541*'[2]Beam '!V$45,0)</f>
        <v>3.7007142857142861</v>
      </c>
      <c r="W541" s="7">
        <f>IF($D541='[2]Beam '!W$44,$P541*'[2]Beam '!W$45,0)</f>
        <v>0</v>
      </c>
      <c r="X541" s="7">
        <f t="shared" si="104"/>
        <v>3.7007142857142861</v>
      </c>
      <c r="Y541" s="7"/>
      <c r="Z541" s="7"/>
      <c r="AA541" s="7"/>
      <c r="AB541" s="7"/>
      <c r="AC541" s="7"/>
      <c r="AD541" s="7"/>
      <c r="AE541" s="7"/>
    </row>
    <row r="542" spans="1:32" s="9" customFormat="1" ht="20.100000000000001" customHeight="1" x14ac:dyDescent="0.25">
      <c r="A542" s="7">
        <v>1</v>
      </c>
      <c r="B542" s="10" t="s">
        <v>2</v>
      </c>
      <c r="C542" s="11" t="s">
        <v>82</v>
      </c>
      <c r="D542" s="11">
        <v>1</v>
      </c>
      <c r="E542" s="11">
        <v>6.2</v>
      </c>
      <c r="F542" s="11">
        <v>0.2</v>
      </c>
      <c r="G542" s="11">
        <v>1.1000000000000001</v>
      </c>
      <c r="H542" s="7">
        <f>G542-0.2</f>
        <v>0.90000000000000013</v>
      </c>
      <c r="I542" s="7">
        <f>E542*F542*G542*D542</f>
        <v>1.3640000000000003</v>
      </c>
      <c r="J542" s="7">
        <f>(2*(E542)*H542*D542)+(E542*F542)</f>
        <v>12.400000000000002</v>
      </c>
      <c r="K542" s="12">
        <f>IF(E542=0.3,J542,0)</f>
        <v>0</v>
      </c>
      <c r="L542" s="12">
        <f>IF(AND(E542&gt;0.3,E542&lt;=0.75),J542,0)</f>
        <v>0</v>
      </c>
      <c r="M542" s="12">
        <f>IF(AND(E542&gt;0.75,E542&lt;=1.2),J542,0)</f>
        <v>0</v>
      </c>
      <c r="N542" s="12">
        <f>IF(E542&gt;1.2,J542,0)</f>
        <v>12.400000000000002</v>
      </c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>
        <f>SUM(X543:X547)/I542</f>
        <v>177.96709677419355</v>
      </c>
      <c r="Z542" s="7"/>
      <c r="AA542" s="7"/>
      <c r="AB542" s="7"/>
      <c r="AC542" s="7"/>
      <c r="AD542" s="7"/>
      <c r="AE542" s="7"/>
    </row>
    <row r="543" spans="1:32" s="9" customFormat="1" ht="20.100000000000001" customHeight="1" x14ac:dyDescent="0.25">
      <c r="A543" s="6"/>
      <c r="B543" s="10" t="s">
        <v>2</v>
      </c>
      <c r="C543" s="13" t="s">
        <v>4</v>
      </c>
      <c r="D543" s="7">
        <v>25</v>
      </c>
      <c r="E543" s="7"/>
      <c r="F543" s="7">
        <v>2</v>
      </c>
      <c r="G543" s="8">
        <f>VLOOKUP(D543,'[2]Beam '!$C$20:$H$26,3,0)</f>
        <v>1</v>
      </c>
      <c r="H543" s="8"/>
      <c r="I543" s="7"/>
      <c r="J543" s="7"/>
      <c r="K543" s="7"/>
      <c r="L543" s="7"/>
      <c r="M543" s="7"/>
      <c r="N543" s="7"/>
      <c r="O543" s="7">
        <f>(E542+2*(G543+(12*D543/1000)))*D542</f>
        <v>8.8000000000000007</v>
      </c>
      <c r="P543" s="7">
        <f t="shared" ref="P543:P548" si="105">O543*F543</f>
        <v>17.600000000000001</v>
      </c>
      <c r="Q543" s="7">
        <f>IF($D543='[2]Beam '!Q$44,$P543*'[2]Beam '!Q$45,0)</f>
        <v>0</v>
      </c>
      <c r="R543" s="7">
        <f>IF($D543='[2]Beam '!R$44,$P543*'[2]Beam '!R$45,0)</f>
        <v>0</v>
      </c>
      <c r="S543" s="7">
        <f>IF($D543='[2]Beam '!S$44,$P543*'[2]Beam '!S$45,0)</f>
        <v>0</v>
      </c>
      <c r="T543" s="7">
        <f>IF($D543='[2]Beam '!T$44,$P543*'[2]Beam '!T$45,0)</f>
        <v>0</v>
      </c>
      <c r="U543" s="7">
        <f>IF($D543='[2]Beam '!U$44,$P543*'[2]Beam '!U$45,0)</f>
        <v>0</v>
      </c>
      <c r="V543" s="7">
        <f>IF($D543='[2]Beam '!V$44,$P543*'[2]Beam '!V$45,0)</f>
        <v>67.846428571428589</v>
      </c>
      <c r="W543" s="7">
        <f>IF($D543='[2]Beam '!W$44,$P543*'[2]Beam '!W$45,0)</f>
        <v>0</v>
      </c>
      <c r="X543" s="7">
        <f t="shared" ref="X543:X548" si="106">SUM(Q543:W543)</f>
        <v>67.846428571428589</v>
      </c>
      <c r="Y543" s="7"/>
      <c r="Z543" s="7"/>
      <c r="AA543" s="7"/>
      <c r="AB543" s="7"/>
      <c r="AC543" s="7"/>
      <c r="AD543" s="7"/>
      <c r="AE543" s="7"/>
    </row>
    <row r="544" spans="1:32" s="9" customFormat="1" ht="20.100000000000001" customHeight="1" x14ac:dyDescent="0.25">
      <c r="A544" s="6"/>
      <c r="B544" s="10" t="s">
        <v>2</v>
      </c>
      <c r="C544" s="13" t="s">
        <v>6</v>
      </c>
      <c r="D544" s="7">
        <v>25</v>
      </c>
      <c r="E544" s="7"/>
      <c r="F544" s="7">
        <v>2</v>
      </c>
      <c r="G544" s="8">
        <f>VLOOKUP(D544,'[2]Beam '!$C$20:$H$26,3,0)</f>
        <v>1</v>
      </c>
      <c r="H544" s="7"/>
      <c r="I544" s="7"/>
      <c r="J544" s="7"/>
      <c r="K544" s="7"/>
      <c r="L544" s="7"/>
      <c r="M544" s="7"/>
      <c r="N544" s="7"/>
      <c r="O544" s="7">
        <f>(E542+2*(G544+(12*D544/1000)))*D542</f>
        <v>8.8000000000000007</v>
      </c>
      <c r="P544" s="7">
        <f t="shared" si="105"/>
        <v>17.600000000000001</v>
      </c>
      <c r="Q544" s="7">
        <f>IF($D544='[2]Beam '!Q$44,$P544*'[2]Beam '!Q$45,0)</f>
        <v>0</v>
      </c>
      <c r="R544" s="7">
        <f>IF($D544='[2]Beam '!R$44,$P544*'[2]Beam '!R$45,0)</f>
        <v>0</v>
      </c>
      <c r="S544" s="7">
        <f>IF($D544='[2]Beam '!S$44,$P544*'[2]Beam '!S$45,0)</f>
        <v>0</v>
      </c>
      <c r="T544" s="7">
        <f>IF($D544='[2]Beam '!T$44,$P544*'[2]Beam '!T$45,0)</f>
        <v>0</v>
      </c>
      <c r="U544" s="7">
        <f>IF($D544='[2]Beam '!U$44,$P544*'[2]Beam '!U$45,0)</f>
        <v>0</v>
      </c>
      <c r="V544" s="7">
        <f>IF($D544='[2]Beam '!V$44,$P544*'[2]Beam '!V$45,0)</f>
        <v>67.846428571428589</v>
      </c>
      <c r="W544" s="7">
        <f>IF($D544='[2]Beam '!W$44,$P544*'[2]Beam '!W$45,0)</f>
        <v>0</v>
      </c>
      <c r="X544" s="7">
        <f t="shared" si="106"/>
        <v>67.846428571428589</v>
      </c>
      <c r="Y544" s="7"/>
      <c r="Z544" s="7"/>
      <c r="AA544" s="7"/>
      <c r="AB544" s="7"/>
      <c r="AC544" s="7"/>
      <c r="AD544" s="7"/>
      <c r="AE544" s="7"/>
    </row>
    <row r="545" spans="1:32" s="14" customFormat="1" ht="20.100000000000001" customHeight="1" x14ac:dyDescent="0.3">
      <c r="A545" s="6"/>
      <c r="B545" s="10" t="s">
        <v>2</v>
      </c>
      <c r="C545" s="13" t="s">
        <v>13</v>
      </c>
      <c r="D545" s="7">
        <v>16</v>
      </c>
      <c r="E545" s="7"/>
      <c r="F545" s="7">
        <v>2</v>
      </c>
      <c r="G545" s="8">
        <f>VLOOKUP(D545,'[2]Beam '!$C$20:$H$26,3,0)</f>
        <v>0.625</v>
      </c>
      <c r="H545" s="7"/>
      <c r="I545" s="7"/>
      <c r="J545" s="7"/>
      <c r="K545" s="7"/>
      <c r="L545" s="7"/>
      <c r="M545" s="7"/>
      <c r="N545" s="7"/>
      <c r="O545" s="7">
        <f>(E542-0.65-0.65)</f>
        <v>4.8999999999999995</v>
      </c>
      <c r="P545" s="7">
        <f t="shared" si="105"/>
        <v>9.7999999999999989</v>
      </c>
      <c r="Q545" s="7">
        <f>IF($D545='[2]Beam '!Q$44,$P545*'[2]Beam '!Q$45,0)</f>
        <v>0</v>
      </c>
      <c r="R545" s="7">
        <f>IF($D545='[2]Beam '!R$44,$P545*'[2]Beam '!R$45,0)</f>
        <v>0</v>
      </c>
      <c r="S545" s="7">
        <f>IF($D545='[2]Beam '!S$44,$P545*'[2]Beam '!S$45,0)</f>
        <v>0</v>
      </c>
      <c r="T545" s="7">
        <f>IF($D545='[2]Beam '!T$44,$P545*'[2]Beam '!T$45,0)</f>
        <v>15.47392</v>
      </c>
      <c r="U545" s="7">
        <f>IF($D545='[2]Beam '!U$44,$P545*'[2]Beam '!U$45,0)</f>
        <v>0</v>
      </c>
      <c r="V545" s="7">
        <f>IF($D545='[2]Beam '!V$44,$P545*'[2]Beam '!V$45,0)</f>
        <v>0</v>
      </c>
      <c r="W545" s="7">
        <f>IF($D545='[2]Beam '!W$44,$P545*'[2]Beam '!W$45,0)</f>
        <v>0</v>
      </c>
      <c r="X545" s="7">
        <f t="shared" si="106"/>
        <v>15.47392</v>
      </c>
      <c r="Y545" s="7"/>
    </row>
    <row r="546" spans="1:32" s="9" customFormat="1" ht="20.100000000000001" customHeight="1" x14ac:dyDescent="0.25">
      <c r="A546" s="6"/>
      <c r="B546" s="10" t="s">
        <v>2</v>
      </c>
      <c r="C546" s="13" t="s">
        <v>7</v>
      </c>
      <c r="D546" s="7">
        <v>10</v>
      </c>
      <c r="E546" s="7">
        <v>0.1</v>
      </c>
      <c r="F546" s="7">
        <f>ROUNDUP((E542/3*2)/E546,0)+1</f>
        <v>43</v>
      </c>
      <c r="H546" s="7"/>
      <c r="I546" s="7"/>
      <c r="J546" s="7"/>
      <c r="K546" s="7"/>
      <c r="L546" s="7"/>
      <c r="M546" s="7"/>
      <c r="N546" s="7"/>
      <c r="O546" s="7">
        <f>(2*((G542-(2*'[2]Beam '!$D$11))+(F542-(2*'[2]Beam '!$D$11)))+(2*10*D546/1000))*D542</f>
        <v>2.5600000000000005</v>
      </c>
      <c r="P546" s="7">
        <f t="shared" si="105"/>
        <v>110.08000000000003</v>
      </c>
      <c r="Q546" s="7">
        <f>IF($D546='[2]Beam '!Q$44,$P546*'[2]Beam '!Q$45,0)</f>
        <v>0</v>
      </c>
      <c r="R546" s="7">
        <f>IF($D546='[2]Beam '!R$44,$P546*'[2]Beam '!R$45,0)</f>
        <v>67.89577142857145</v>
      </c>
      <c r="S546" s="7">
        <f>IF($D546='[2]Beam '!S$44,$P546*'[2]Beam '!S$45,0)</f>
        <v>0</v>
      </c>
      <c r="T546" s="7">
        <f>IF($D546='[2]Beam '!T$44,$P546*'[2]Beam '!T$45,0)</f>
        <v>0</v>
      </c>
      <c r="U546" s="7">
        <f>IF($D546='[2]Beam '!U$44,$P546*'[2]Beam '!U$45,0)</f>
        <v>0</v>
      </c>
      <c r="V546" s="7">
        <f>IF($D546='[2]Beam '!V$44,$P546*'[2]Beam '!V$45,0)</f>
        <v>0</v>
      </c>
      <c r="W546" s="7">
        <f>IF($D546='[2]Beam '!W$44,$P546*'[2]Beam '!W$45,0)</f>
        <v>0</v>
      </c>
      <c r="X546" s="7">
        <f t="shared" si="106"/>
        <v>67.89577142857145</v>
      </c>
      <c r="Y546" s="7"/>
      <c r="Z546" s="7"/>
      <c r="AA546" s="7"/>
      <c r="AB546" s="7"/>
      <c r="AC546" s="7"/>
      <c r="AD546" s="7"/>
      <c r="AE546" s="7"/>
    </row>
    <row r="547" spans="1:32" s="9" customFormat="1" ht="21" customHeight="1" x14ac:dyDescent="0.25">
      <c r="A547" s="14"/>
      <c r="B547" s="10" t="s">
        <v>2</v>
      </c>
      <c r="C547" s="13" t="s">
        <v>8</v>
      </c>
      <c r="D547" s="14">
        <f>D546</f>
        <v>10</v>
      </c>
      <c r="E547" s="14">
        <v>0.15</v>
      </c>
      <c r="F547" s="7">
        <f>ROUNDUP((E542/3)/E547,0)+1</f>
        <v>15</v>
      </c>
      <c r="H547" s="14"/>
      <c r="I547" s="14"/>
      <c r="J547" s="14"/>
      <c r="K547" s="14"/>
      <c r="L547" s="14"/>
      <c r="M547" s="14"/>
      <c r="N547" s="14"/>
      <c r="O547" s="7">
        <f>(2*((G542-(2*'[2]Beam '!$D$11))+(F542-(2*'[2]Beam '!$D$11)))+(2*10*D547/1000))*D542</f>
        <v>2.5600000000000005</v>
      </c>
      <c r="P547" s="7">
        <f t="shared" si="105"/>
        <v>38.400000000000006</v>
      </c>
      <c r="Q547" s="7">
        <f>IF($D547='[2]Beam '!Q$44,$P547*'[2]Beam '!Q$45,0)</f>
        <v>0</v>
      </c>
      <c r="R547" s="7">
        <f>IF($D547='[2]Beam '!R$44,$P547*'[2]Beam '!R$45,0)</f>
        <v>23.684571428571431</v>
      </c>
      <c r="S547" s="7">
        <f>IF($D547='[2]Beam '!S$44,$P547*'[2]Beam '!S$45,0)</f>
        <v>0</v>
      </c>
      <c r="T547" s="7">
        <f>IF($D547='[2]Beam '!T$44,$P547*'[2]Beam '!T$45,0)</f>
        <v>0</v>
      </c>
      <c r="U547" s="7">
        <f>IF($D547='[2]Beam '!U$44,$P547*'[2]Beam '!U$45,0)</f>
        <v>0</v>
      </c>
      <c r="V547" s="7">
        <f>IF($D547='[2]Beam '!V$44,$P547*'[2]Beam '!V$45,0)</f>
        <v>0</v>
      </c>
      <c r="W547" s="7">
        <f>IF($D547='[2]Beam '!W$44,$P547*'[2]Beam '!W$45,0)</f>
        <v>0</v>
      </c>
      <c r="X547" s="7">
        <f t="shared" si="106"/>
        <v>23.684571428571431</v>
      </c>
      <c r="Y547" s="14"/>
      <c r="Z547" s="7"/>
      <c r="AA547" s="7"/>
      <c r="AB547" s="7"/>
      <c r="AC547" s="7"/>
      <c r="AD547" s="7"/>
      <c r="AE547" s="7"/>
      <c r="AF547" s="7"/>
    </row>
    <row r="548" spans="1:32" s="9" customFormat="1" ht="20.100000000000001" customHeight="1" x14ac:dyDescent="0.25">
      <c r="A548" s="6"/>
      <c r="B548" s="10" t="s">
        <v>2</v>
      </c>
      <c r="C548" s="13" t="s">
        <v>11</v>
      </c>
      <c r="D548" s="7">
        <f>+'[2]Beam '!$D$15</f>
        <v>25</v>
      </c>
      <c r="E548" s="7">
        <f>+'[2]Beam '!$E$15</f>
        <v>1</v>
      </c>
      <c r="F548" s="7">
        <f>ROUNDUP((O545)/E548,0)</f>
        <v>5</v>
      </c>
      <c r="G548" s="8"/>
      <c r="H548" s="8"/>
      <c r="I548" s="7"/>
      <c r="J548" s="7"/>
      <c r="K548" s="7"/>
      <c r="L548" s="7"/>
      <c r="M548" s="7"/>
      <c r="N548" s="7"/>
      <c r="O548" s="7">
        <f>F542-'[2]Beam '!$F$15</f>
        <v>0.14000000000000001</v>
      </c>
      <c r="P548" s="7">
        <f t="shared" si="105"/>
        <v>0.70000000000000007</v>
      </c>
      <c r="Q548" s="7">
        <f>IF($D548='[2]Beam '!Q$44,$P548*'[2]Beam '!Q$45,0)</f>
        <v>0</v>
      </c>
      <c r="R548" s="7">
        <f>IF($D548='[2]Beam '!R$44,$P548*'[2]Beam '!R$45,0)</f>
        <v>0</v>
      </c>
      <c r="S548" s="7">
        <f>IF($D548='[2]Beam '!S$44,$P548*'[2]Beam '!S$45,0)</f>
        <v>0</v>
      </c>
      <c r="T548" s="7">
        <f>IF($D548='[2]Beam '!T$44,$P548*'[2]Beam '!T$45,0)</f>
        <v>0</v>
      </c>
      <c r="U548" s="7">
        <f>IF($D548='[2]Beam '!U$44,$P548*'[2]Beam '!U$45,0)</f>
        <v>0</v>
      </c>
      <c r="V548" s="7">
        <f>IF($D548='[2]Beam '!V$44,$P548*'[2]Beam '!V$45,0)</f>
        <v>2.6984375000000007</v>
      </c>
      <c r="W548" s="7">
        <f>IF($D548='[2]Beam '!W$44,$P548*'[2]Beam '!W$45,0)</f>
        <v>0</v>
      </c>
      <c r="X548" s="7">
        <f t="shared" si="106"/>
        <v>2.6984375000000007</v>
      </c>
      <c r="Y548" s="7"/>
      <c r="Z548" s="7"/>
      <c r="AA548" s="7"/>
      <c r="AB548" s="7"/>
      <c r="AC548" s="7"/>
      <c r="AD548" s="7"/>
      <c r="AE548" s="7"/>
    </row>
    <row r="549" spans="1:32" s="9" customFormat="1" ht="20.100000000000001" customHeight="1" x14ac:dyDescent="0.25">
      <c r="A549" s="7">
        <v>1</v>
      </c>
      <c r="B549" s="10" t="s">
        <v>2</v>
      </c>
      <c r="C549" s="11" t="s">
        <v>83</v>
      </c>
      <c r="D549" s="11">
        <v>1</v>
      </c>
      <c r="E549" s="11">
        <v>2.399</v>
      </c>
      <c r="F549" s="11">
        <v>0.3</v>
      </c>
      <c r="G549" s="11">
        <v>1.1000000000000001</v>
      </c>
      <c r="H549" s="7">
        <f>G549-0.2</f>
        <v>0.90000000000000013</v>
      </c>
      <c r="I549" s="7">
        <f>E549*F549*G549*D549</f>
        <v>0.7916700000000001</v>
      </c>
      <c r="J549" s="7">
        <f>(2*(E549)*H549*D549)+(E549*F549)</f>
        <v>5.0379000000000005</v>
      </c>
      <c r="K549" s="12">
        <f>IF(E549=0.3,J549,0)</f>
        <v>0</v>
      </c>
      <c r="L549" s="12">
        <f>IF(AND(E549&gt;0.3,E549&lt;=0.75),J549,0)</f>
        <v>0</v>
      </c>
      <c r="M549" s="12">
        <f>IF(AND(E549&gt;0.75,E549&lt;=1.2),J549,0)</f>
        <v>0</v>
      </c>
      <c r="N549" s="12">
        <f>IF(E549&gt;1.2,J549,0)</f>
        <v>5.0379000000000005</v>
      </c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>
        <f>SUM(X550:X557)/I549</f>
        <v>209.28675127533299</v>
      </c>
      <c r="Z549" s="7"/>
      <c r="AA549" s="7"/>
      <c r="AB549" s="7"/>
      <c r="AC549" s="7"/>
      <c r="AD549" s="7"/>
      <c r="AE549" s="7"/>
    </row>
    <row r="550" spans="1:32" s="9" customFormat="1" ht="20.100000000000001" customHeight="1" x14ac:dyDescent="0.25">
      <c r="A550" s="6"/>
      <c r="B550" s="10" t="s">
        <v>2</v>
      </c>
      <c r="C550" s="13" t="s">
        <v>4</v>
      </c>
      <c r="D550" s="7">
        <v>25</v>
      </c>
      <c r="E550" s="7"/>
      <c r="F550" s="7">
        <v>3</v>
      </c>
      <c r="G550" s="8">
        <f>VLOOKUP(D550,'[2]Beam '!$C$20:$H$26,3,0)</f>
        <v>1</v>
      </c>
      <c r="H550" s="8"/>
      <c r="I550" s="7"/>
      <c r="J550" s="7"/>
      <c r="K550" s="7"/>
      <c r="L550" s="7"/>
      <c r="M550" s="7"/>
      <c r="N550" s="7"/>
      <c r="O550" s="7">
        <f>(E549+2*(G550+(12*D550/1000)))*D549</f>
        <v>4.9990000000000006</v>
      </c>
      <c r="P550" s="7">
        <f t="shared" ref="P550:P557" si="107">O550*F550</f>
        <v>14.997000000000002</v>
      </c>
      <c r="Q550" s="7">
        <f>IF($D550='[2]Beam '!Q$44,$P550*'[2]Beam '!Q$45,0)</f>
        <v>0</v>
      </c>
      <c r="R550" s="7">
        <f>IF($D550='[2]Beam '!R$44,$P550*'[2]Beam '!R$45,0)</f>
        <v>0</v>
      </c>
      <c r="S550" s="7">
        <f>IF($D550='[2]Beam '!S$44,$P550*'[2]Beam '!S$45,0)</f>
        <v>0</v>
      </c>
      <c r="T550" s="7">
        <f>IF($D550='[2]Beam '!T$44,$P550*'[2]Beam '!T$45,0)</f>
        <v>0</v>
      </c>
      <c r="U550" s="7">
        <f>IF($D550='[2]Beam '!U$44,$P550*'[2]Beam '!U$45,0)</f>
        <v>0</v>
      </c>
      <c r="V550" s="7">
        <f>IF($D550='[2]Beam '!V$44,$P550*'[2]Beam '!V$45,0)</f>
        <v>57.812095982142871</v>
      </c>
      <c r="W550" s="7">
        <f>IF($D550='[2]Beam '!W$44,$P550*'[2]Beam '!W$45,0)</f>
        <v>0</v>
      </c>
      <c r="X550" s="7">
        <f t="shared" ref="X550:X557" si="108">SUM(Q550:W550)</f>
        <v>57.812095982142871</v>
      </c>
      <c r="Y550" s="7"/>
      <c r="Z550" s="7"/>
      <c r="AA550" s="7"/>
      <c r="AB550" s="7"/>
      <c r="AC550" s="7"/>
      <c r="AD550" s="7"/>
      <c r="AE550" s="7"/>
    </row>
    <row r="551" spans="1:32" s="9" customFormat="1" ht="20.100000000000001" customHeight="1" x14ac:dyDescent="0.25">
      <c r="A551" s="6"/>
      <c r="B551" s="10" t="s">
        <v>2</v>
      </c>
      <c r="C551" s="13" t="s">
        <v>6</v>
      </c>
      <c r="D551" s="7">
        <v>20</v>
      </c>
      <c r="E551" s="7"/>
      <c r="F551" s="7">
        <v>3</v>
      </c>
      <c r="G551" s="8">
        <f>VLOOKUP(D551,'[2]Beam '!$C$20:$H$26,3,0)</f>
        <v>0.8</v>
      </c>
      <c r="H551" s="7"/>
      <c r="I551" s="7"/>
      <c r="J551" s="7"/>
      <c r="K551" s="7"/>
      <c r="L551" s="7"/>
      <c r="M551" s="7"/>
      <c r="N551" s="7"/>
      <c r="O551" s="7">
        <f>(E549+2*(G551+(12*D551/1000)))*D549</f>
        <v>4.4790000000000001</v>
      </c>
      <c r="P551" s="7">
        <f t="shared" si="107"/>
        <v>13.437000000000001</v>
      </c>
      <c r="Q551" s="7">
        <f>IF($D551='[2]Beam '!Q$44,$P551*'[2]Beam '!Q$45,0)</f>
        <v>0</v>
      </c>
      <c r="R551" s="7">
        <f>IF($D551='[2]Beam '!R$44,$P551*'[2]Beam '!R$45,0)</f>
        <v>0</v>
      </c>
      <c r="S551" s="7">
        <f>IF($D551='[2]Beam '!S$44,$P551*'[2]Beam '!S$45,0)</f>
        <v>0</v>
      </c>
      <c r="T551" s="7">
        <f>IF($D551='[2]Beam '!T$44,$P551*'[2]Beam '!T$45,0)</f>
        <v>0</v>
      </c>
      <c r="U551" s="7">
        <f>IF($D551='[2]Beam '!U$44,$P551*'[2]Beam '!U$45,0)</f>
        <v>33.150998571428573</v>
      </c>
      <c r="V551" s="7">
        <f>IF($D551='[2]Beam '!V$44,$P551*'[2]Beam '!V$45,0)</f>
        <v>0</v>
      </c>
      <c r="W551" s="7">
        <f>IF($D551='[2]Beam '!W$44,$P551*'[2]Beam '!W$45,0)</f>
        <v>0</v>
      </c>
      <c r="X551" s="7">
        <f t="shared" si="108"/>
        <v>33.150998571428573</v>
      </c>
      <c r="Y551" s="7"/>
      <c r="Z551" s="7"/>
      <c r="AA551" s="7"/>
      <c r="AB551" s="7"/>
      <c r="AC551" s="7"/>
      <c r="AD551" s="7"/>
      <c r="AE551" s="7"/>
    </row>
    <row r="552" spans="1:32" s="14" customFormat="1" ht="20.100000000000001" customHeight="1" x14ac:dyDescent="0.3">
      <c r="A552" s="6"/>
      <c r="B552" s="10" t="s">
        <v>2</v>
      </c>
      <c r="C552" s="13" t="s">
        <v>13</v>
      </c>
      <c r="D552" s="7">
        <v>16</v>
      </c>
      <c r="E552" s="7"/>
      <c r="F552" s="7">
        <v>2</v>
      </c>
      <c r="G552" s="8">
        <f>VLOOKUP(D552,'[2]Beam '!$C$20:$H$26,3,0)</f>
        <v>0.625</v>
      </c>
      <c r="H552" s="7"/>
      <c r="I552" s="7"/>
      <c r="J552" s="7"/>
      <c r="K552" s="7"/>
      <c r="L552" s="7"/>
      <c r="M552" s="7"/>
      <c r="N552" s="7"/>
      <c r="O552" s="7">
        <f>(E549+2*(G552+(12*D552/1000)))*D549</f>
        <v>4.0329999999999995</v>
      </c>
      <c r="P552" s="7">
        <f t="shared" si="107"/>
        <v>8.0659999999999989</v>
      </c>
      <c r="Q552" s="7">
        <f>IF($D552='[2]Beam '!Q$44,$P552*'[2]Beam '!Q$45,0)</f>
        <v>0</v>
      </c>
      <c r="R552" s="7">
        <f>IF($D552='[2]Beam '!R$44,$P552*'[2]Beam '!R$45,0)</f>
        <v>0</v>
      </c>
      <c r="S552" s="7">
        <f>IF($D552='[2]Beam '!S$44,$P552*'[2]Beam '!S$45,0)</f>
        <v>0</v>
      </c>
      <c r="T552" s="7">
        <f>IF($D552='[2]Beam '!T$44,$P552*'[2]Beam '!T$45,0)</f>
        <v>12.735983542857142</v>
      </c>
      <c r="U552" s="7">
        <f>IF($D552='[2]Beam '!U$44,$P552*'[2]Beam '!U$45,0)</f>
        <v>0</v>
      </c>
      <c r="V552" s="7">
        <f>IF($D552='[2]Beam '!V$44,$P552*'[2]Beam '!V$45,0)</f>
        <v>0</v>
      </c>
      <c r="W552" s="7">
        <f>IF($D552='[2]Beam '!W$44,$P552*'[2]Beam '!W$45,0)</f>
        <v>0</v>
      </c>
      <c r="X552" s="7">
        <f t="shared" si="108"/>
        <v>12.735983542857142</v>
      </c>
      <c r="Y552" s="7"/>
    </row>
    <row r="553" spans="1:32" s="14" customFormat="1" ht="20.100000000000001" customHeight="1" x14ac:dyDescent="0.25">
      <c r="A553" s="6"/>
      <c r="B553" s="10" t="s">
        <v>2</v>
      </c>
      <c r="C553" s="13" t="s">
        <v>7</v>
      </c>
      <c r="D553" s="7">
        <v>10</v>
      </c>
      <c r="E553" s="7">
        <v>0.1</v>
      </c>
      <c r="F553" s="7">
        <f>ROUNDUP((E549/3*2)/E553,0)+1</f>
        <v>17</v>
      </c>
      <c r="G553" s="9"/>
      <c r="H553" s="7"/>
      <c r="I553" s="7"/>
      <c r="J553" s="7"/>
      <c r="K553" s="7"/>
      <c r="L553" s="7"/>
      <c r="M553" s="7"/>
      <c r="N553" s="7"/>
      <c r="O553" s="7">
        <f>(2*((G549-(2*'[2]Beam '!$D$11))+(F549-(2*'[2]Beam '!$D$11)))+(2*10*D553/1000))*D549</f>
        <v>2.7600000000000002</v>
      </c>
      <c r="P553" s="7">
        <f t="shared" si="107"/>
        <v>46.92</v>
      </c>
      <c r="Q553" s="7">
        <f>IF($D553='[2]Beam '!Q$44,$P553*'[2]Beam '!Q$45,0)</f>
        <v>0</v>
      </c>
      <c r="R553" s="7">
        <f>IF($D553='[2]Beam '!R$44,$P553*'[2]Beam '!R$45,0)</f>
        <v>28.939585714285716</v>
      </c>
      <c r="S553" s="7">
        <f>IF($D553='[2]Beam '!S$44,$P553*'[2]Beam '!S$45,0)</f>
        <v>0</v>
      </c>
      <c r="T553" s="7">
        <f>IF($D553='[2]Beam '!T$44,$P553*'[2]Beam '!T$45,0)</f>
        <v>0</v>
      </c>
      <c r="U553" s="7">
        <f>IF($D553='[2]Beam '!U$44,$P553*'[2]Beam '!U$45,0)</f>
        <v>0</v>
      </c>
      <c r="V553" s="7">
        <f>IF($D553='[2]Beam '!V$44,$P553*'[2]Beam '!V$45,0)</f>
        <v>0</v>
      </c>
      <c r="W553" s="7">
        <f>IF($D553='[2]Beam '!W$44,$P553*'[2]Beam '!W$45,0)</f>
        <v>0</v>
      </c>
      <c r="X553" s="7">
        <f t="shared" si="108"/>
        <v>28.939585714285716</v>
      </c>
      <c r="Y553" s="7"/>
    </row>
    <row r="554" spans="1:32" s="14" customFormat="1" ht="20.100000000000001" customHeight="1" x14ac:dyDescent="0.25">
      <c r="B554" s="10" t="s">
        <v>2</v>
      </c>
      <c r="C554" s="13" t="s">
        <v>8</v>
      </c>
      <c r="D554" s="14">
        <f>D553</f>
        <v>10</v>
      </c>
      <c r="E554" s="14">
        <v>0.15</v>
      </c>
      <c r="F554" s="7">
        <f>ROUNDUP((E549/3)/E554,0)+1</f>
        <v>7</v>
      </c>
      <c r="G554" s="9"/>
      <c r="O554" s="7">
        <f>(2*((G549-(2*'[2]Beam '!$D$11))+(F549-(2*'[2]Beam '!$D$11)))+(2*10*D554/1000))*D549</f>
        <v>2.7600000000000002</v>
      </c>
      <c r="P554" s="7">
        <f t="shared" si="107"/>
        <v>19.32</v>
      </c>
      <c r="Q554" s="7">
        <f>IF($D554='[2]Beam '!Q$44,$P554*'[2]Beam '!Q$45,0)</f>
        <v>0</v>
      </c>
      <c r="R554" s="7">
        <f>IF($D554='[2]Beam '!R$44,$P554*'[2]Beam '!R$45,0)</f>
        <v>11.9163</v>
      </c>
      <c r="S554" s="7">
        <f>IF($D554='[2]Beam '!S$44,$P554*'[2]Beam '!S$45,0)</f>
        <v>0</v>
      </c>
      <c r="T554" s="7">
        <f>IF($D554='[2]Beam '!T$44,$P554*'[2]Beam '!T$45,0)</f>
        <v>0</v>
      </c>
      <c r="U554" s="7">
        <f>IF($D554='[2]Beam '!U$44,$P554*'[2]Beam '!U$45,0)</f>
        <v>0</v>
      </c>
      <c r="V554" s="7">
        <f>IF($D554='[2]Beam '!V$44,$P554*'[2]Beam '!V$45,0)</f>
        <v>0</v>
      </c>
      <c r="W554" s="7">
        <f>IF($D554='[2]Beam '!W$44,$P554*'[2]Beam '!W$45,0)</f>
        <v>0</v>
      </c>
      <c r="X554" s="7">
        <f t="shared" si="108"/>
        <v>11.9163</v>
      </c>
    </row>
    <row r="555" spans="1:32" s="9" customFormat="1" ht="20.100000000000001" customHeight="1" x14ac:dyDescent="0.25">
      <c r="A555" s="14"/>
      <c r="B555" s="10" t="s">
        <v>2</v>
      </c>
      <c r="C555" s="13" t="s">
        <v>47</v>
      </c>
      <c r="D555" s="14">
        <f>D553</f>
        <v>10</v>
      </c>
      <c r="E555" s="14">
        <f>+E553</f>
        <v>0.1</v>
      </c>
      <c r="F555" s="7">
        <f>ROUNDUP((E549/3*2)/E555,0)+1</f>
        <v>17</v>
      </c>
      <c r="H555" s="14"/>
      <c r="I555" s="14"/>
      <c r="J555" s="14"/>
      <c r="K555" s="14"/>
      <c r="L555" s="14"/>
      <c r="M555" s="14"/>
      <c r="N555" s="14"/>
      <c r="O555" s="7">
        <f>((((G549-(2*'[2]Beam '!$D$11))+(2*10*D555/1000))*D549))</f>
        <v>1.24</v>
      </c>
      <c r="P555" s="7">
        <f t="shared" si="107"/>
        <v>21.08</v>
      </c>
      <c r="Q555" s="7">
        <f>IF($D555='[2]Beam '!Q$44,$P555*'[2]Beam '!Q$45,0)</f>
        <v>0</v>
      </c>
      <c r="R555" s="7">
        <f>IF($D555='[2]Beam '!R$44,$P555*'[2]Beam '!R$45,0)</f>
        <v>13.001842857142856</v>
      </c>
      <c r="S555" s="7">
        <f>IF($D555='[2]Beam '!S$44,$P555*'[2]Beam '!S$45,0)</f>
        <v>0</v>
      </c>
      <c r="T555" s="7">
        <f>IF($D555='[2]Beam '!T$44,$P555*'[2]Beam '!T$45,0)</f>
        <v>0</v>
      </c>
      <c r="U555" s="7">
        <f>IF($D555='[2]Beam '!U$44,$P555*'[2]Beam '!U$45,0)</f>
        <v>0</v>
      </c>
      <c r="V555" s="7">
        <f>IF($D555='[2]Beam '!V$44,$P555*'[2]Beam '!V$45,0)</f>
        <v>0</v>
      </c>
      <c r="W555" s="7">
        <f>IF($D555='[2]Beam '!W$44,$P555*'[2]Beam '!W$45,0)</f>
        <v>0</v>
      </c>
      <c r="X555" s="7">
        <f t="shared" si="108"/>
        <v>13.001842857142856</v>
      </c>
      <c r="Y555" s="14"/>
      <c r="Z555" s="7"/>
      <c r="AA555" s="7"/>
      <c r="AB555" s="7"/>
      <c r="AC555" s="7"/>
      <c r="AD555" s="7"/>
      <c r="AE555" s="7"/>
    </row>
    <row r="556" spans="1:32" s="9" customFormat="1" ht="21" customHeight="1" x14ac:dyDescent="0.25">
      <c r="A556" s="14"/>
      <c r="B556" s="10" t="s">
        <v>2</v>
      </c>
      <c r="C556" s="13" t="s">
        <v>47</v>
      </c>
      <c r="D556" s="14">
        <f>D554</f>
        <v>10</v>
      </c>
      <c r="E556" s="14">
        <f>+E554</f>
        <v>0.15</v>
      </c>
      <c r="F556" s="7">
        <f>ROUNDUP((E549/3)/E556,0)+1</f>
        <v>7</v>
      </c>
      <c r="H556" s="14"/>
      <c r="I556" s="14"/>
      <c r="J556" s="14"/>
      <c r="K556" s="14"/>
      <c r="L556" s="14"/>
      <c r="M556" s="14"/>
      <c r="N556" s="14"/>
      <c r="O556" s="7">
        <f>((((G549-(2*'[2]Beam '!$D$11))+(2*10*D556/1000))*D549))</f>
        <v>1.24</v>
      </c>
      <c r="P556" s="7">
        <f t="shared" si="107"/>
        <v>8.68</v>
      </c>
      <c r="Q556" s="7">
        <f>IF($D556='[2]Beam '!Q$44,$P556*'[2]Beam '!Q$45,0)</f>
        <v>0</v>
      </c>
      <c r="R556" s="7">
        <f>IF($D556='[2]Beam '!R$44,$P556*'[2]Beam '!R$45,0)</f>
        <v>5.3536999999999999</v>
      </c>
      <c r="S556" s="7">
        <f>IF($D556='[2]Beam '!S$44,$P556*'[2]Beam '!S$45,0)</f>
        <v>0</v>
      </c>
      <c r="T556" s="7">
        <f>IF($D556='[2]Beam '!T$44,$P556*'[2]Beam '!T$45,0)</f>
        <v>0</v>
      </c>
      <c r="U556" s="7">
        <f>IF($D556='[2]Beam '!U$44,$P556*'[2]Beam '!U$45,0)</f>
        <v>0</v>
      </c>
      <c r="V556" s="7">
        <f>IF($D556='[2]Beam '!V$44,$P556*'[2]Beam '!V$45,0)</f>
        <v>0</v>
      </c>
      <c r="W556" s="7">
        <f>IF($D556='[2]Beam '!W$44,$P556*'[2]Beam '!W$45,0)</f>
        <v>0</v>
      </c>
      <c r="X556" s="7">
        <f t="shared" si="108"/>
        <v>5.3536999999999999</v>
      </c>
      <c r="Y556" s="14"/>
      <c r="Z556" s="7"/>
      <c r="AA556" s="7"/>
      <c r="AB556" s="7"/>
      <c r="AC556" s="7"/>
      <c r="AD556" s="7"/>
      <c r="AE556" s="7"/>
      <c r="AF556" s="7"/>
    </row>
    <row r="557" spans="1:32" s="9" customFormat="1" ht="20.100000000000001" customHeight="1" x14ac:dyDescent="0.25">
      <c r="A557" s="6"/>
      <c r="B557" s="10" t="s">
        <v>2</v>
      </c>
      <c r="C557" s="13" t="s">
        <v>11</v>
      </c>
      <c r="D557" s="7">
        <f>+'[2]Beam '!$D$15</f>
        <v>25</v>
      </c>
      <c r="E557" s="7">
        <f>+'[2]Beam '!$E$15</f>
        <v>1</v>
      </c>
      <c r="F557" s="7">
        <f>ROUNDUP((+E549)/E557,0)</f>
        <v>3</v>
      </c>
      <c r="G557" s="8"/>
      <c r="H557" s="8"/>
      <c r="I557" s="7"/>
      <c r="J557" s="7"/>
      <c r="K557" s="7"/>
      <c r="L557" s="7"/>
      <c r="M557" s="7"/>
      <c r="N557" s="7"/>
      <c r="O557" s="7">
        <f>F549-'[2]Beam '!$F$15</f>
        <v>0.24</v>
      </c>
      <c r="P557" s="7">
        <f t="shared" si="107"/>
        <v>0.72</v>
      </c>
      <c r="Q557" s="7">
        <f>IF($D557='[2]Beam '!Q$44,$P557*'[2]Beam '!Q$45,0)</f>
        <v>0</v>
      </c>
      <c r="R557" s="7">
        <f>IF($D557='[2]Beam '!R$44,$P557*'[2]Beam '!R$45,0)</f>
        <v>0</v>
      </c>
      <c r="S557" s="7">
        <f>IF($D557='[2]Beam '!S$44,$P557*'[2]Beam '!S$45,0)</f>
        <v>0</v>
      </c>
      <c r="T557" s="7">
        <f>IF($D557='[2]Beam '!T$44,$P557*'[2]Beam '!T$45,0)</f>
        <v>0</v>
      </c>
      <c r="U557" s="7">
        <f>IF($D557='[2]Beam '!U$44,$P557*'[2]Beam '!U$45,0)</f>
        <v>0</v>
      </c>
      <c r="V557" s="7">
        <f>IF($D557='[2]Beam '!V$44,$P557*'[2]Beam '!V$45,0)</f>
        <v>2.7755357142857147</v>
      </c>
      <c r="W557" s="7">
        <f>IF($D557='[2]Beam '!W$44,$P557*'[2]Beam '!W$45,0)</f>
        <v>0</v>
      </c>
      <c r="X557" s="7">
        <f t="shared" si="108"/>
        <v>2.7755357142857147</v>
      </c>
      <c r="Y557" s="7"/>
      <c r="Z557" s="7"/>
      <c r="AA557" s="7"/>
      <c r="AB557" s="7"/>
      <c r="AC557" s="7"/>
      <c r="AD557" s="7"/>
      <c r="AE557" s="7"/>
    </row>
    <row r="558" spans="1:32" s="9" customFormat="1" ht="20.100000000000001" customHeight="1" x14ac:dyDescent="0.25">
      <c r="A558" s="7">
        <v>1</v>
      </c>
      <c r="B558" s="10" t="s">
        <v>2</v>
      </c>
      <c r="C558" s="11" t="s">
        <v>84</v>
      </c>
      <c r="D558" s="11">
        <v>1</v>
      </c>
      <c r="E558" s="11">
        <v>2.399</v>
      </c>
      <c r="F558" s="11">
        <v>0.3</v>
      </c>
      <c r="G558" s="11">
        <v>0.8</v>
      </c>
      <c r="H558" s="7">
        <f>G558-0.2</f>
        <v>0.60000000000000009</v>
      </c>
      <c r="I558" s="7">
        <f>E558*F558*G558*D558</f>
        <v>0.57576000000000005</v>
      </c>
      <c r="J558" s="7">
        <f>(2*(E558)*H558*D558)+(E558*F558)</f>
        <v>3.5985000000000005</v>
      </c>
      <c r="K558" s="12">
        <f>IF(E558=0.3,J558,0)</f>
        <v>0</v>
      </c>
      <c r="L558" s="12">
        <f>IF(AND(E558&gt;0.3,E558&lt;=0.75),J558,0)</f>
        <v>0</v>
      </c>
      <c r="M558" s="12">
        <f>IF(AND(E558&gt;0.75,E558&lt;=1.2),J558,0)</f>
        <v>0</v>
      </c>
      <c r="N558" s="12">
        <f>IF(E558&gt;1.2,J558,0)</f>
        <v>3.5985000000000005</v>
      </c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>
        <f>SUM(X559:X568)/I558</f>
        <v>243.36665703963956</v>
      </c>
      <c r="Z558" s="7"/>
      <c r="AA558" s="7"/>
      <c r="AB558" s="7"/>
      <c r="AC558" s="7"/>
      <c r="AD558" s="7"/>
      <c r="AE558" s="7"/>
    </row>
    <row r="559" spans="1:32" s="9" customFormat="1" ht="20.100000000000001" customHeight="1" x14ac:dyDescent="0.25">
      <c r="A559" s="6"/>
      <c r="B559" s="10" t="s">
        <v>2</v>
      </c>
      <c r="C559" s="13" t="s">
        <v>4</v>
      </c>
      <c r="D559" s="7">
        <v>20</v>
      </c>
      <c r="E559" s="7"/>
      <c r="F559" s="7">
        <v>3</v>
      </c>
      <c r="G559" s="8">
        <f>VLOOKUP(D559,'[2]Beam '!$C$20:$H$26,3,0)</f>
        <v>0.8</v>
      </c>
      <c r="H559" s="8"/>
      <c r="I559" s="7"/>
      <c r="J559" s="7"/>
      <c r="K559" s="7"/>
      <c r="L559" s="7"/>
      <c r="M559" s="7"/>
      <c r="N559" s="7"/>
      <c r="O559" s="7">
        <f>(E558+2*(G559+(12*D559/1000)))*D558</f>
        <v>4.4790000000000001</v>
      </c>
      <c r="P559" s="7">
        <f t="shared" ref="P559:P568" si="109">O559*F559</f>
        <v>13.437000000000001</v>
      </c>
      <c r="Q559" s="7">
        <f>IF($D559='[2]Beam '!Q$44,$P559*'[2]Beam '!Q$45,0)</f>
        <v>0</v>
      </c>
      <c r="R559" s="7">
        <f>IF($D559='[2]Beam '!R$44,$P559*'[2]Beam '!R$45,0)</f>
        <v>0</v>
      </c>
      <c r="S559" s="7">
        <f>IF($D559='[2]Beam '!S$44,$P559*'[2]Beam '!S$45,0)</f>
        <v>0</v>
      </c>
      <c r="T559" s="7">
        <f>IF($D559='[2]Beam '!T$44,$P559*'[2]Beam '!T$45,0)</f>
        <v>0</v>
      </c>
      <c r="U559" s="7">
        <f>IF($D559='[2]Beam '!U$44,$P559*'[2]Beam '!U$45,0)</f>
        <v>33.150998571428573</v>
      </c>
      <c r="V559" s="7">
        <f>IF($D559='[2]Beam '!V$44,$P559*'[2]Beam '!V$45,0)</f>
        <v>0</v>
      </c>
      <c r="W559" s="7">
        <f>IF($D559='[2]Beam '!W$44,$P559*'[2]Beam '!W$45,0)</f>
        <v>0</v>
      </c>
      <c r="X559" s="7">
        <f t="shared" ref="X559:X568" si="110">SUM(Q559:W559)</f>
        <v>33.150998571428573</v>
      </c>
      <c r="Y559" s="7"/>
      <c r="Z559" s="7"/>
      <c r="AA559" s="7"/>
      <c r="AB559" s="7"/>
      <c r="AC559" s="7"/>
      <c r="AD559" s="7"/>
      <c r="AE559" s="7"/>
    </row>
    <row r="560" spans="1:32" s="9" customFormat="1" ht="20.100000000000001" customHeight="1" x14ac:dyDescent="0.25">
      <c r="A560" s="6"/>
      <c r="B560" s="10" t="s">
        <v>2</v>
      </c>
      <c r="C560" s="13" t="s">
        <v>5</v>
      </c>
      <c r="D560" s="7">
        <v>16</v>
      </c>
      <c r="E560" s="7"/>
      <c r="F560" s="7">
        <v>2</v>
      </c>
      <c r="G560" s="8">
        <f>VLOOKUP(D560,'[2]Beam '!$C$20:$H$26,3,0)</f>
        <v>0.625</v>
      </c>
      <c r="H560" s="8"/>
      <c r="I560" s="7"/>
      <c r="J560" s="7"/>
      <c r="K560" s="7"/>
      <c r="L560" s="7"/>
      <c r="M560" s="7"/>
      <c r="N560" s="7"/>
      <c r="O560" s="7">
        <f>(0.7+1*(G560+(12*D560/1000)))*D558</f>
        <v>1.5169999999999999</v>
      </c>
      <c r="P560" s="7">
        <f t="shared" si="109"/>
        <v>3.0339999999999998</v>
      </c>
      <c r="Q560" s="7">
        <f>IF($D560='[2]Beam '!Q$44,$P560*'[2]Beam '!Q$45,0)</f>
        <v>0</v>
      </c>
      <c r="R560" s="7">
        <f>IF($D560='[2]Beam '!R$44,$P560*'[2]Beam '!R$45,0)</f>
        <v>0</v>
      </c>
      <c r="S560" s="7">
        <f>IF($D560='[2]Beam '!S$44,$P560*'[2]Beam '!S$45,0)</f>
        <v>0</v>
      </c>
      <c r="T560" s="7">
        <f>IF($D560='[2]Beam '!T$44,$P560*'[2]Beam '!T$45,0)</f>
        <v>4.7905993142857142</v>
      </c>
      <c r="U560" s="7">
        <f>IF($D560='[2]Beam '!U$44,$P560*'[2]Beam '!U$45,0)</f>
        <v>0</v>
      </c>
      <c r="V560" s="7">
        <f>IF($D560='[2]Beam '!V$44,$P560*'[2]Beam '!V$45,0)</f>
        <v>0</v>
      </c>
      <c r="W560" s="7">
        <f>IF($D560='[2]Beam '!W$44,$P560*'[2]Beam '!W$45,0)</f>
        <v>0</v>
      </c>
      <c r="X560" s="7">
        <f t="shared" si="110"/>
        <v>4.7905993142857142</v>
      </c>
      <c r="Y560" s="7"/>
      <c r="Z560" s="7"/>
      <c r="AA560" s="7"/>
      <c r="AB560" s="7"/>
      <c r="AC560" s="7"/>
      <c r="AD560" s="7"/>
      <c r="AE560" s="7"/>
    </row>
    <row r="561" spans="1:32" s="9" customFormat="1" ht="20.100000000000001" customHeight="1" x14ac:dyDescent="0.25">
      <c r="A561" s="6"/>
      <c r="B561" s="10" t="s">
        <v>2</v>
      </c>
      <c r="C561" s="13" t="s">
        <v>5</v>
      </c>
      <c r="D561" s="7">
        <v>16</v>
      </c>
      <c r="E561" s="7"/>
      <c r="F561" s="7">
        <v>2</v>
      </c>
      <c r="G561" s="8">
        <f>VLOOKUP(D561,'[2]Beam '!$C$20:$H$26,3,0)</f>
        <v>0.625</v>
      </c>
      <c r="H561" s="8"/>
      <c r="I561" s="7"/>
      <c r="J561" s="7"/>
      <c r="K561" s="7"/>
      <c r="L561" s="7"/>
      <c r="M561" s="7"/>
      <c r="N561" s="7"/>
      <c r="O561" s="7">
        <f>(0.7+1*(G561+(12*D561/1000)))*D558</f>
        <v>1.5169999999999999</v>
      </c>
      <c r="P561" s="7">
        <f t="shared" si="109"/>
        <v>3.0339999999999998</v>
      </c>
      <c r="Q561" s="7">
        <f>IF($D561='[2]Beam '!Q$44,$P561*'[2]Beam '!Q$45,0)</f>
        <v>0</v>
      </c>
      <c r="R561" s="7">
        <f>IF($D561='[2]Beam '!R$44,$P561*'[2]Beam '!R$45,0)</f>
        <v>0</v>
      </c>
      <c r="S561" s="7">
        <f>IF($D561='[2]Beam '!S$44,$P561*'[2]Beam '!S$45,0)</f>
        <v>0</v>
      </c>
      <c r="T561" s="7">
        <f>IF($D561='[2]Beam '!T$44,$P561*'[2]Beam '!T$45,0)</f>
        <v>4.7905993142857142</v>
      </c>
      <c r="U561" s="7">
        <f>IF($D561='[2]Beam '!U$44,$P561*'[2]Beam '!U$45,0)</f>
        <v>0</v>
      </c>
      <c r="V561" s="7">
        <f>IF($D561='[2]Beam '!V$44,$P561*'[2]Beam '!V$45,0)</f>
        <v>0</v>
      </c>
      <c r="W561" s="7">
        <f>IF($D561='[2]Beam '!W$44,$P561*'[2]Beam '!W$45,0)</f>
        <v>0</v>
      </c>
      <c r="X561" s="7">
        <f t="shared" si="110"/>
        <v>4.7905993142857142</v>
      </c>
      <c r="Y561" s="7"/>
      <c r="Z561" s="7"/>
      <c r="AA561" s="7"/>
      <c r="AB561" s="7"/>
      <c r="AC561" s="7"/>
      <c r="AD561" s="7"/>
      <c r="AE561" s="7"/>
    </row>
    <row r="562" spans="1:32" s="9" customFormat="1" ht="20.100000000000001" customHeight="1" x14ac:dyDescent="0.25">
      <c r="A562" s="6"/>
      <c r="B562" s="10" t="s">
        <v>2</v>
      </c>
      <c r="C562" s="13" t="s">
        <v>6</v>
      </c>
      <c r="D562" s="7">
        <v>20</v>
      </c>
      <c r="E562" s="7"/>
      <c r="F562" s="7">
        <v>3</v>
      </c>
      <c r="G562" s="8">
        <f>VLOOKUP(D562,'[2]Beam '!$C$20:$H$26,3,0)</f>
        <v>0.8</v>
      </c>
      <c r="H562" s="7"/>
      <c r="I562" s="7"/>
      <c r="J562" s="7"/>
      <c r="K562" s="7"/>
      <c r="L562" s="7"/>
      <c r="M562" s="7"/>
      <c r="N562" s="7"/>
      <c r="O562" s="7">
        <f>(E558+2*(G562+(12*D562/1000)))*D558</f>
        <v>4.4790000000000001</v>
      </c>
      <c r="P562" s="7">
        <f t="shared" si="109"/>
        <v>13.437000000000001</v>
      </c>
      <c r="Q562" s="7">
        <f>IF($D562='[2]Beam '!Q$44,$P562*'[2]Beam '!Q$45,0)</f>
        <v>0</v>
      </c>
      <c r="R562" s="7">
        <f>IF($D562='[2]Beam '!R$44,$P562*'[2]Beam '!R$45,0)</f>
        <v>0</v>
      </c>
      <c r="S562" s="7">
        <f>IF($D562='[2]Beam '!S$44,$P562*'[2]Beam '!S$45,0)</f>
        <v>0</v>
      </c>
      <c r="T562" s="7">
        <f>IF($D562='[2]Beam '!T$44,$P562*'[2]Beam '!T$45,0)</f>
        <v>0</v>
      </c>
      <c r="U562" s="7">
        <f>IF($D562='[2]Beam '!U$44,$P562*'[2]Beam '!U$45,0)</f>
        <v>33.150998571428573</v>
      </c>
      <c r="V562" s="7">
        <f>IF($D562='[2]Beam '!V$44,$P562*'[2]Beam '!V$45,0)</f>
        <v>0</v>
      </c>
      <c r="W562" s="7">
        <f>IF($D562='[2]Beam '!W$44,$P562*'[2]Beam '!W$45,0)</f>
        <v>0</v>
      </c>
      <c r="X562" s="7">
        <f t="shared" si="110"/>
        <v>33.150998571428573</v>
      </c>
      <c r="Y562" s="7"/>
      <c r="Z562" s="7"/>
      <c r="AA562" s="7"/>
      <c r="AB562" s="7"/>
      <c r="AC562" s="7"/>
      <c r="AD562" s="7"/>
      <c r="AE562" s="7"/>
    </row>
    <row r="563" spans="1:32" s="14" customFormat="1" ht="20.100000000000001" customHeight="1" x14ac:dyDescent="0.3">
      <c r="A563" s="6"/>
      <c r="B563" s="10" t="s">
        <v>2</v>
      </c>
      <c r="C563" s="13" t="s">
        <v>13</v>
      </c>
      <c r="D563" s="7">
        <v>16</v>
      </c>
      <c r="E563" s="7"/>
      <c r="F563" s="7">
        <v>2</v>
      </c>
      <c r="G563" s="8">
        <f>VLOOKUP(D563,'[2]Beam '!$C$20:$H$26,3,0)</f>
        <v>0.625</v>
      </c>
      <c r="H563" s="7"/>
      <c r="I563" s="7"/>
      <c r="J563" s="7"/>
      <c r="K563" s="7"/>
      <c r="L563" s="7"/>
      <c r="M563" s="7"/>
      <c r="N563" s="7"/>
      <c r="O563" s="7">
        <f>(E558+2*(G563+(12*D563/1000)))*D558</f>
        <v>4.0329999999999995</v>
      </c>
      <c r="P563" s="7">
        <f t="shared" si="109"/>
        <v>8.0659999999999989</v>
      </c>
      <c r="Q563" s="7">
        <f>IF($D563='[2]Beam '!Q$44,$P563*'[2]Beam '!Q$45,0)</f>
        <v>0</v>
      </c>
      <c r="R563" s="7">
        <f>IF($D563='[2]Beam '!R$44,$P563*'[2]Beam '!R$45,0)</f>
        <v>0</v>
      </c>
      <c r="S563" s="7">
        <f>IF($D563='[2]Beam '!S$44,$P563*'[2]Beam '!S$45,0)</f>
        <v>0</v>
      </c>
      <c r="T563" s="7">
        <f>IF($D563='[2]Beam '!T$44,$P563*'[2]Beam '!T$45,0)</f>
        <v>12.735983542857142</v>
      </c>
      <c r="U563" s="7">
        <f>IF($D563='[2]Beam '!U$44,$P563*'[2]Beam '!U$45,0)</f>
        <v>0</v>
      </c>
      <c r="V563" s="7">
        <f>IF($D563='[2]Beam '!V$44,$P563*'[2]Beam '!V$45,0)</f>
        <v>0</v>
      </c>
      <c r="W563" s="7">
        <f>IF($D563='[2]Beam '!W$44,$P563*'[2]Beam '!W$45,0)</f>
        <v>0</v>
      </c>
      <c r="X563" s="7">
        <f t="shared" si="110"/>
        <v>12.735983542857142</v>
      </c>
      <c r="Y563" s="7"/>
    </row>
    <row r="564" spans="1:32" s="14" customFormat="1" ht="20.100000000000001" customHeight="1" x14ac:dyDescent="0.25">
      <c r="A564" s="6"/>
      <c r="B564" s="10" t="s">
        <v>2</v>
      </c>
      <c r="C564" s="13" t="s">
        <v>7</v>
      </c>
      <c r="D564" s="7">
        <v>10</v>
      </c>
      <c r="E564" s="7">
        <v>0.1</v>
      </c>
      <c r="F564" s="7">
        <f>ROUNDUP((E558/3*2)/E564,0)+1</f>
        <v>17</v>
      </c>
      <c r="G564" s="9"/>
      <c r="H564" s="7"/>
      <c r="I564" s="7"/>
      <c r="J564" s="7"/>
      <c r="K564" s="7"/>
      <c r="L564" s="7"/>
      <c r="M564" s="7"/>
      <c r="N564" s="7"/>
      <c r="O564" s="7">
        <f>(2*((G558-(2*'[2]Beam '!$D$11))+(F558-(2*'[2]Beam '!$D$11)))+(2*10*D564/1000))*D558</f>
        <v>2.16</v>
      </c>
      <c r="P564" s="7">
        <f t="shared" si="109"/>
        <v>36.72</v>
      </c>
      <c r="Q564" s="7">
        <f>IF($D564='[2]Beam '!Q$44,$P564*'[2]Beam '!Q$45,0)</f>
        <v>0</v>
      </c>
      <c r="R564" s="7">
        <f>IF($D564='[2]Beam '!R$44,$P564*'[2]Beam '!R$45,0)</f>
        <v>22.648371428571426</v>
      </c>
      <c r="S564" s="7">
        <f>IF($D564='[2]Beam '!S$44,$P564*'[2]Beam '!S$45,0)</f>
        <v>0</v>
      </c>
      <c r="T564" s="7">
        <f>IF($D564='[2]Beam '!T$44,$P564*'[2]Beam '!T$45,0)</f>
        <v>0</v>
      </c>
      <c r="U564" s="7">
        <f>IF($D564='[2]Beam '!U$44,$P564*'[2]Beam '!U$45,0)</f>
        <v>0</v>
      </c>
      <c r="V564" s="7">
        <f>IF($D564='[2]Beam '!V$44,$P564*'[2]Beam '!V$45,0)</f>
        <v>0</v>
      </c>
      <c r="W564" s="7">
        <f>IF($D564='[2]Beam '!W$44,$P564*'[2]Beam '!W$45,0)</f>
        <v>0</v>
      </c>
      <c r="X564" s="7">
        <f t="shared" si="110"/>
        <v>22.648371428571426</v>
      </c>
      <c r="Y564" s="7"/>
    </row>
    <row r="565" spans="1:32" s="14" customFormat="1" ht="20.100000000000001" customHeight="1" x14ac:dyDescent="0.25">
      <c r="B565" s="10" t="s">
        <v>2</v>
      </c>
      <c r="C565" s="13" t="s">
        <v>8</v>
      </c>
      <c r="D565" s="14">
        <f>D564</f>
        <v>10</v>
      </c>
      <c r="E565" s="14">
        <v>0.125</v>
      </c>
      <c r="F565" s="7">
        <f>ROUNDUP((E558/3)/E565,0)+1</f>
        <v>8</v>
      </c>
      <c r="G565" s="9"/>
      <c r="O565" s="7">
        <f>(2*((G558-(2*'[2]Beam '!$D$11))+(F558-(2*'[2]Beam '!$D$11)))+(2*10*D565/1000))*D558</f>
        <v>2.16</v>
      </c>
      <c r="P565" s="7">
        <f t="shared" si="109"/>
        <v>17.28</v>
      </c>
      <c r="Q565" s="7">
        <f>IF($D565='[2]Beam '!Q$44,$P565*'[2]Beam '!Q$45,0)</f>
        <v>0</v>
      </c>
      <c r="R565" s="7">
        <f>IF($D565='[2]Beam '!R$44,$P565*'[2]Beam '!R$45,0)</f>
        <v>10.658057142857142</v>
      </c>
      <c r="S565" s="7">
        <f>IF($D565='[2]Beam '!S$44,$P565*'[2]Beam '!S$45,0)</f>
        <v>0</v>
      </c>
      <c r="T565" s="7">
        <f>IF($D565='[2]Beam '!T$44,$P565*'[2]Beam '!T$45,0)</f>
        <v>0</v>
      </c>
      <c r="U565" s="7">
        <f>IF($D565='[2]Beam '!U$44,$P565*'[2]Beam '!U$45,0)</f>
        <v>0</v>
      </c>
      <c r="V565" s="7">
        <f>IF($D565='[2]Beam '!V$44,$P565*'[2]Beam '!V$45,0)</f>
        <v>0</v>
      </c>
      <c r="W565" s="7">
        <f>IF($D565='[2]Beam '!W$44,$P565*'[2]Beam '!W$45,0)</f>
        <v>0</v>
      </c>
      <c r="X565" s="7">
        <f t="shared" si="110"/>
        <v>10.658057142857142</v>
      </c>
    </row>
    <row r="566" spans="1:32" s="9" customFormat="1" ht="20.100000000000001" customHeight="1" x14ac:dyDescent="0.25">
      <c r="A566" s="14"/>
      <c r="B566" s="10" t="s">
        <v>2</v>
      </c>
      <c r="C566" s="13" t="s">
        <v>47</v>
      </c>
      <c r="D566" s="14">
        <f>D564</f>
        <v>10</v>
      </c>
      <c r="E566" s="14">
        <f>+E564</f>
        <v>0.1</v>
      </c>
      <c r="F566" s="7">
        <f>ROUNDUP((E558/3*2)/E566,0)+1</f>
        <v>17</v>
      </c>
      <c r="H566" s="14"/>
      <c r="I566" s="14"/>
      <c r="J566" s="14"/>
      <c r="K566" s="14"/>
      <c r="L566" s="14"/>
      <c r="M566" s="14"/>
      <c r="N566" s="14"/>
      <c r="O566" s="7">
        <f>((((G558-(2*'[2]Beam '!$D$11))+(2*10*D566/1000))*D558))</f>
        <v>0.94</v>
      </c>
      <c r="P566" s="7">
        <f t="shared" si="109"/>
        <v>15.979999999999999</v>
      </c>
      <c r="Q566" s="7">
        <f>IF($D566='[2]Beam '!Q$44,$P566*'[2]Beam '!Q$45,0)</f>
        <v>0</v>
      </c>
      <c r="R566" s="7">
        <f>IF($D566='[2]Beam '!R$44,$P566*'[2]Beam '!R$45,0)</f>
        <v>9.8562357142857131</v>
      </c>
      <c r="S566" s="7">
        <f>IF($D566='[2]Beam '!S$44,$P566*'[2]Beam '!S$45,0)</f>
        <v>0</v>
      </c>
      <c r="T566" s="7">
        <f>IF($D566='[2]Beam '!T$44,$P566*'[2]Beam '!T$45,0)</f>
        <v>0</v>
      </c>
      <c r="U566" s="7">
        <f>IF($D566='[2]Beam '!U$44,$P566*'[2]Beam '!U$45,0)</f>
        <v>0</v>
      </c>
      <c r="V566" s="7">
        <f>IF($D566='[2]Beam '!V$44,$P566*'[2]Beam '!V$45,0)</f>
        <v>0</v>
      </c>
      <c r="W566" s="7">
        <f>IF($D566='[2]Beam '!W$44,$P566*'[2]Beam '!W$45,0)</f>
        <v>0</v>
      </c>
      <c r="X566" s="7">
        <f t="shared" si="110"/>
        <v>9.8562357142857131</v>
      </c>
      <c r="Y566" s="14"/>
      <c r="Z566" s="7"/>
      <c r="AA566" s="7"/>
      <c r="AB566" s="7"/>
      <c r="AC566" s="7"/>
      <c r="AD566" s="7"/>
      <c r="AE566" s="7"/>
    </row>
    <row r="567" spans="1:32" s="9" customFormat="1" ht="21" customHeight="1" x14ac:dyDescent="0.25">
      <c r="A567" s="14"/>
      <c r="B567" s="10" t="s">
        <v>2</v>
      </c>
      <c r="C567" s="13" t="s">
        <v>47</v>
      </c>
      <c r="D567" s="14">
        <f>D565</f>
        <v>10</v>
      </c>
      <c r="E567" s="14">
        <f>+E565</f>
        <v>0.125</v>
      </c>
      <c r="F567" s="7">
        <f>ROUNDUP((E558/3)/E567,0)+1</f>
        <v>8</v>
      </c>
      <c r="H567" s="14"/>
      <c r="I567" s="14"/>
      <c r="J567" s="14"/>
      <c r="K567" s="14"/>
      <c r="L567" s="14"/>
      <c r="M567" s="14"/>
      <c r="N567" s="14"/>
      <c r="O567" s="7">
        <f>((((G558-(2*'[2]Beam '!$D$11))+(2*10*D567/1000))*D558))</f>
        <v>0.94</v>
      </c>
      <c r="P567" s="7">
        <f t="shared" si="109"/>
        <v>7.52</v>
      </c>
      <c r="Q567" s="7">
        <f>IF($D567='[2]Beam '!Q$44,$P567*'[2]Beam '!Q$45,0)</f>
        <v>0</v>
      </c>
      <c r="R567" s="7">
        <f>IF($D567='[2]Beam '!R$44,$P567*'[2]Beam '!R$45,0)</f>
        <v>4.6382285714285709</v>
      </c>
      <c r="S567" s="7">
        <f>IF($D567='[2]Beam '!S$44,$P567*'[2]Beam '!S$45,0)</f>
        <v>0</v>
      </c>
      <c r="T567" s="7">
        <f>IF($D567='[2]Beam '!T$44,$P567*'[2]Beam '!T$45,0)</f>
        <v>0</v>
      </c>
      <c r="U567" s="7">
        <f>IF($D567='[2]Beam '!U$44,$P567*'[2]Beam '!U$45,0)</f>
        <v>0</v>
      </c>
      <c r="V567" s="7">
        <f>IF($D567='[2]Beam '!V$44,$P567*'[2]Beam '!V$45,0)</f>
        <v>0</v>
      </c>
      <c r="W567" s="7">
        <f>IF($D567='[2]Beam '!W$44,$P567*'[2]Beam '!W$45,0)</f>
        <v>0</v>
      </c>
      <c r="X567" s="7">
        <f t="shared" si="110"/>
        <v>4.6382285714285709</v>
      </c>
      <c r="Y567" s="14"/>
      <c r="Z567" s="7"/>
      <c r="AA567" s="7"/>
      <c r="AB567" s="7"/>
      <c r="AC567" s="7"/>
      <c r="AD567" s="7"/>
      <c r="AE567" s="7"/>
      <c r="AF567" s="7"/>
    </row>
    <row r="568" spans="1:32" s="9" customFormat="1" ht="20.100000000000001" customHeight="1" x14ac:dyDescent="0.25">
      <c r="A568" s="6"/>
      <c r="B568" s="10" t="s">
        <v>2</v>
      </c>
      <c r="C568" s="13" t="s">
        <v>11</v>
      </c>
      <c r="D568" s="7">
        <f>+'[2]Beam '!$D$15</f>
        <v>25</v>
      </c>
      <c r="E568" s="7">
        <f>+'[2]Beam '!$E$15</f>
        <v>1</v>
      </c>
      <c r="F568" s="7">
        <f>ROUNDUP((0.7+0.7+E558)/E568,0)</f>
        <v>4</v>
      </c>
      <c r="G568" s="8"/>
      <c r="H568" s="8"/>
      <c r="I568" s="7"/>
      <c r="J568" s="7"/>
      <c r="K568" s="7"/>
      <c r="L568" s="7"/>
      <c r="M568" s="7"/>
      <c r="N568" s="7"/>
      <c r="O568" s="7">
        <f>F558-'[2]Beam '!$F$15</f>
        <v>0.24</v>
      </c>
      <c r="P568" s="7">
        <f t="shared" si="109"/>
        <v>0.96</v>
      </c>
      <c r="Q568" s="7">
        <f>IF($D568='[2]Beam '!Q$44,$P568*'[2]Beam '!Q$45,0)</f>
        <v>0</v>
      </c>
      <c r="R568" s="7">
        <f>IF($D568='[2]Beam '!R$44,$P568*'[2]Beam '!R$45,0)</f>
        <v>0</v>
      </c>
      <c r="S568" s="7">
        <f>IF($D568='[2]Beam '!S$44,$P568*'[2]Beam '!S$45,0)</f>
        <v>0</v>
      </c>
      <c r="T568" s="7">
        <f>IF($D568='[2]Beam '!T$44,$P568*'[2]Beam '!T$45,0)</f>
        <v>0</v>
      </c>
      <c r="U568" s="7">
        <f>IF($D568='[2]Beam '!U$44,$P568*'[2]Beam '!U$45,0)</f>
        <v>0</v>
      </c>
      <c r="V568" s="7">
        <f>IF($D568='[2]Beam '!V$44,$P568*'[2]Beam '!V$45,0)</f>
        <v>3.7007142857142861</v>
      </c>
      <c r="W568" s="7">
        <f>IF($D568='[2]Beam '!W$44,$P568*'[2]Beam '!W$45,0)</f>
        <v>0</v>
      </c>
      <c r="X568" s="7">
        <f t="shared" si="110"/>
        <v>3.7007142857142861</v>
      </c>
      <c r="Y568" s="7"/>
      <c r="Z568" s="7"/>
      <c r="AA568" s="7"/>
      <c r="AB568" s="7"/>
      <c r="AC568" s="7"/>
      <c r="AD568" s="7"/>
      <c r="AE568" s="7"/>
    </row>
    <row r="569" spans="1:32" s="9" customFormat="1" ht="20.100000000000001" customHeight="1" x14ac:dyDescent="0.25">
      <c r="A569" s="7">
        <v>1</v>
      </c>
      <c r="B569" s="10" t="s">
        <v>2</v>
      </c>
      <c r="C569" s="11" t="s">
        <v>85</v>
      </c>
      <c r="D569" s="11">
        <v>1</v>
      </c>
      <c r="E569" s="11">
        <v>1.496</v>
      </c>
      <c r="F569" s="11">
        <v>0.3</v>
      </c>
      <c r="G569" s="11">
        <v>0.8</v>
      </c>
      <c r="H569" s="7">
        <f>G569-0.2</f>
        <v>0.60000000000000009</v>
      </c>
      <c r="I569" s="7">
        <f>E569*F569*G569*D569</f>
        <v>0.35904000000000003</v>
      </c>
      <c r="J569" s="7">
        <f>(2*(E569)*H569*D569)+(E569*F569)</f>
        <v>2.2440000000000002</v>
      </c>
      <c r="K569" s="12">
        <f>IF(E569=0.3,J569,0)</f>
        <v>0</v>
      </c>
      <c r="L569" s="12">
        <f>IF(AND(E569&gt;0.3,E569&lt;=0.75),J569,0)</f>
        <v>0</v>
      </c>
      <c r="M569" s="12">
        <f>IF(AND(E569&gt;0.75,E569&lt;=1.2),J569,0)</f>
        <v>0</v>
      </c>
      <c r="N569" s="12">
        <f>IF(E569&gt;1.2,J569,0)</f>
        <v>2.2440000000000002</v>
      </c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>
        <f>SUM(X570:X572)/I569</f>
        <v>285.077862394958</v>
      </c>
      <c r="Z569" s="7"/>
      <c r="AA569" s="7"/>
      <c r="AB569" s="7"/>
      <c r="AC569" s="7"/>
      <c r="AD569" s="7"/>
      <c r="AE569" s="7"/>
    </row>
    <row r="570" spans="1:32" s="9" customFormat="1" ht="20.100000000000001" customHeight="1" x14ac:dyDescent="0.25">
      <c r="A570" s="6"/>
      <c r="B570" s="10" t="s">
        <v>2</v>
      </c>
      <c r="C570" s="13" t="s">
        <v>4</v>
      </c>
      <c r="D570" s="7">
        <v>25</v>
      </c>
      <c r="E570" s="7"/>
      <c r="F570" s="7">
        <v>3</v>
      </c>
      <c r="G570" s="8">
        <f>VLOOKUP(D570,'[2]Beam '!$C$20:$H$26,3,0)</f>
        <v>1</v>
      </c>
      <c r="H570" s="8"/>
      <c r="I570" s="7"/>
      <c r="J570" s="7"/>
      <c r="K570" s="7"/>
      <c r="L570" s="7"/>
      <c r="M570" s="7"/>
      <c r="N570" s="7"/>
      <c r="O570" s="7">
        <f>(E569+2*(G570))*D569</f>
        <v>3.496</v>
      </c>
      <c r="P570" s="7">
        <f t="shared" ref="P570:P575" si="111">O570*F570</f>
        <v>10.488</v>
      </c>
      <c r="Q570" s="7">
        <f>IF($D570='[2]Beam '!Q$44,$P570*'[2]Beam '!Q$45,0)</f>
        <v>0</v>
      </c>
      <c r="R570" s="7">
        <f>IF($D570='[2]Beam '!R$44,$P570*'[2]Beam '!R$45,0)</f>
        <v>0</v>
      </c>
      <c r="S570" s="7">
        <f>IF($D570='[2]Beam '!S$44,$P570*'[2]Beam '!S$45,0)</f>
        <v>0</v>
      </c>
      <c r="T570" s="7">
        <f>IF($D570='[2]Beam '!T$44,$P570*'[2]Beam '!T$45,0)</f>
        <v>0</v>
      </c>
      <c r="U570" s="7">
        <f>IF($D570='[2]Beam '!U$44,$P570*'[2]Beam '!U$45,0)</f>
        <v>0</v>
      </c>
      <c r="V570" s="7">
        <f>IF($D570='[2]Beam '!V$44,$P570*'[2]Beam '!V$45,0)</f>
        <v>40.430303571428574</v>
      </c>
      <c r="W570" s="7">
        <f>IF($D570='[2]Beam '!W$44,$P570*'[2]Beam '!W$45,0)</f>
        <v>0</v>
      </c>
      <c r="X570" s="7">
        <f t="shared" ref="X570:X575" si="112">SUM(Q570:W570)</f>
        <v>40.430303571428574</v>
      </c>
      <c r="Y570" s="7"/>
      <c r="Z570" s="7"/>
      <c r="AA570" s="7"/>
      <c r="AB570" s="7"/>
      <c r="AC570" s="7"/>
      <c r="AD570" s="7"/>
      <c r="AE570" s="7"/>
    </row>
    <row r="571" spans="1:32" s="14" customFormat="1" ht="20.100000000000001" customHeight="1" x14ac:dyDescent="0.3">
      <c r="A571" s="6"/>
      <c r="B571" s="10" t="s">
        <v>2</v>
      </c>
      <c r="C571" s="13" t="s">
        <v>6</v>
      </c>
      <c r="D571" s="7">
        <v>25</v>
      </c>
      <c r="E571" s="7"/>
      <c r="F571" s="7">
        <v>3</v>
      </c>
      <c r="G571" s="8">
        <f>VLOOKUP(D571,'[2]Beam '!$C$20:$H$26,3,0)</f>
        <v>1</v>
      </c>
      <c r="H571" s="7"/>
      <c r="I571" s="7"/>
      <c r="J571" s="7"/>
      <c r="K571" s="7"/>
      <c r="L571" s="7"/>
      <c r="M571" s="7"/>
      <c r="N571" s="7"/>
      <c r="O571" s="7">
        <f>(E569+2*(G571))*D569</f>
        <v>3.496</v>
      </c>
      <c r="P571" s="7">
        <f t="shared" si="111"/>
        <v>10.488</v>
      </c>
      <c r="Q571" s="7">
        <f>IF($D571='[2]Beam '!Q$44,$P571*'[2]Beam '!Q$45,0)</f>
        <v>0</v>
      </c>
      <c r="R571" s="7">
        <f>IF($D571='[2]Beam '!R$44,$P571*'[2]Beam '!R$45,0)</f>
        <v>0</v>
      </c>
      <c r="S571" s="7">
        <f>IF($D571='[2]Beam '!S$44,$P571*'[2]Beam '!S$45,0)</f>
        <v>0</v>
      </c>
      <c r="T571" s="7">
        <f>IF($D571='[2]Beam '!T$44,$P571*'[2]Beam '!T$45,0)</f>
        <v>0</v>
      </c>
      <c r="U571" s="7">
        <f>IF($D571='[2]Beam '!U$44,$P571*'[2]Beam '!U$45,0)</f>
        <v>0</v>
      </c>
      <c r="V571" s="7">
        <f>IF($D571='[2]Beam '!V$44,$P571*'[2]Beam '!V$45,0)</f>
        <v>40.430303571428574</v>
      </c>
      <c r="W571" s="7">
        <f>IF($D571='[2]Beam '!W$44,$P571*'[2]Beam '!W$45,0)</f>
        <v>0</v>
      </c>
      <c r="X571" s="7">
        <f t="shared" si="112"/>
        <v>40.430303571428574</v>
      </c>
      <c r="Y571" s="7"/>
    </row>
    <row r="572" spans="1:32" s="14" customFormat="1" ht="20.100000000000001" customHeight="1" x14ac:dyDescent="0.25">
      <c r="A572" s="6"/>
      <c r="B572" s="10" t="s">
        <v>2</v>
      </c>
      <c r="C572" s="13" t="s">
        <v>7</v>
      </c>
      <c r="D572" s="7">
        <v>12</v>
      </c>
      <c r="E572" s="7">
        <v>0.1</v>
      </c>
      <c r="F572" s="7">
        <f>ROUNDUP((E569/3*2)/E572,0)+1</f>
        <v>11</v>
      </c>
      <c r="G572" s="9"/>
      <c r="H572" s="7"/>
      <c r="I572" s="7"/>
      <c r="J572" s="7"/>
      <c r="K572" s="7"/>
      <c r="L572" s="7"/>
      <c r="M572" s="7"/>
      <c r="N572" s="7"/>
      <c r="O572" s="7">
        <f>(2*((G569-(2*'[2]Beam '!$D$11))+(F569-(2*'[2]Beam '!$D$11)))+(2*10*D572/1000))*D569</f>
        <v>2.2000000000000002</v>
      </c>
      <c r="P572" s="7">
        <f t="shared" si="111"/>
        <v>24.200000000000003</v>
      </c>
      <c r="Q572" s="7">
        <f>IF($D572='[2]Beam '!Q$44,$P572*'[2]Beam '!Q$45,0)</f>
        <v>0</v>
      </c>
      <c r="R572" s="7">
        <f>IF($D572='[2]Beam '!R$44,$P572*'[2]Beam '!R$45,0)</f>
        <v>0</v>
      </c>
      <c r="S572" s="7">
        <f>IF($D572='[2]Beam '!S$44,$P572*'[2]Beam '!S$45,0)</f>
        <v>21.493748571428579</v>
      </c>
      <c r="T572" s="7">
        <f>IF($D572='[2]Beam '!T$44,$P572*'[2]Beam '!T$45,0)</f>
        <v>0</v>
      </c>
      <c r="U572" s="7">
        <f>IF($D572='[2]Beam '!U$44,$P572*'[2]Beam '!U$45,0)</f>
        <v>0</v>
      </c>
      <c r="V572" s="7">
        <f>IF($D572='[2]Beam '!V$44,$P572*'[2]Beam '!V$45,0)</f>
        <v>0</v>
      </c>
      <c r="W572" s="7">
        <f>IF($D572='[2]Beam '!W$44,$P572*'[2]Beam '!W$45,0)</f>
        <v>0</v>
      </c>
      <c r="X572" s="7">
        <f t="shared" si="112"/>
        <v>21.493748571428579</v>
      </c>
      <c r="Y572" s="7"/>
    </row>
    <row r="573" spans="1:32" s="14" customFormat="1" ht="20.100000000000001" customHeight="1" x14ac:dyDescent="0.25">
      <c r="B573" s="10" t="s">
        <v>2</v>
      </c>
      <c r="C573" s="13" t="s">
        <v>8</v>
      </c>
      <c r="D573" s="14">
        <f>D572</f>
        <v>12</v>
      </c>
      <c r="E573" s="14">
        <v>0.125</v>
      </c>
      <c r="F573" s="7">
        <f>ROUNDUP((E569/3)/E573,0)+1</f>
        <v>5</v>
      </c>
      <c r="G573" s="9"/>
      <c r="O573" s="7">
        <f>(2*((G569-(2*'[2]Beam '!$D$11))+(F569-(2*'[2]Beam '!$D$11)))+(2*10*D573/1000))*D569</f>
        <v>2.2000000000000002</v>
      </c>
      <c r="P573" s="7">
        <f t="shared" si="111"/>
        <v>11</v>
      </c>
      <c r="Q573" s="7">
        <f>IF($D573='[2]Beam '!Q$44,$P573*'[2]Beam '!Q$45,0)</f>
        <v>0</v>
      </c>
      <c r="R573" s="7">
        <f>IF($D573='[2]Beam '!R$44,$P573*'[2]Beam '!R$45,0)</f>
        <v>0</v>
      </c>
      <c r="S573" s="7">
        <f>IF($D573='[2]Beam '!S$44,$P573*'[2]Beam '!S$45,0)</f>
        <v>9.7698857142857154</v>
      </c>
      <c r="T573" s="7">
        <f>IF($D573='[2]Beam '!T$44,$P573*'[2]Beam '!T$45,0)</f>
        <v>0</v>
      </c>
      <c r="U573" s="7">
        <f>IF($D573='[2]Beam '!U$44,$P573*'[2]Beam '!U$45,0)</f>
        <v>0</v>
      </c>
      <c r="V573" s="7">
        <f>IF($D573='[2]Beam '!V$44,$P573*'[2]Beam '!V$45,0)</f>
        <v>0</v>
      </c>
      <c r="W573" s="7">
        <f>IF($D573='[2]Beam '!W$44,$P573*'[2]Beam '!W$45,0)</f>
        <v>0</v>
      </c>
      <c r="X573" s="7">
        <f t="shared" si="112"/>
        <v>9.7698857142857154</v>
      </c>
    </row>
    <row r="574" spans="1:32" s="9" customFormat="1" ht="21" customHeight="1" x14ac:dyDescent="0.25">
      <c r="A574" s="14"/>
      <c r="B574" s="10" t="s">
        <v>2</v>
      </c>
      <c r="C574" s="13" t="s">
        <v>47</v>
      </c>
      <c r="D574" s="14">
        <f>D572</f>
        <v>12</v>
      </c>
      <c r="E574" s="14">
        <f>+E572</f>
        <v>0.1</v>
      </c>
      <c r="F574" s="7">
        <f>ROUNDUP((E569/3*2)/E574,0)+1</f>
        <v>11</v>
      </c>
      <c r="H574" s="14"/>
      <c r="I574" s="14"/>
      <c r="J574" s="14"/>
      <c r="K574" s="14"/>
      <c r="L574" s="14"/>
      <c r="M574" s="14"/>
      <c r="N574" s="14"/>
      <c r="O574" s="7">
        <f>((((G569-(2*'[2]Beam '!$D$11))+(2*10*D574/1000))*D569))</f>
        <v>0.98</v>
      </c>
      <c r="P574" s="7">
        <f t="shared" si="111"/>
        <v>10.78</v>
      </c>
      <c r="Q574" s="7">
        <f>IF($D574='[2]Beam '!Q$44,$P574*'[2]Beam '!Q$45,0)</f>
        <v>0</v>
      </c>
      <c r="R574" s="7">
        <f>IF($D574='[2]Beam '!R$44,$P574*'[2]Beam '!R$45,0)</f>
        <v>0</v>
      </c>
      <c r="S574" s="7">
        <f>IF($D574='[2]Beam '!S$44,$P574*'[2]Beam '!S$45,0)</f>
        <v>9.5744880000000006</v>
      </c>
      <c r="T574" s="7">
        <f>IF($D574='[2]Beam '!T$44,$P574*'[2]Beam '!T$45,0)</f>
        <v>0</v>
      </c>
      <c r="U574" s="7">
        <f>IF($D574='[2]Beam '!U$44,$P574*'[2]Beam '!U$45,0)</f>
        <v>0</v>
      </c>
      <c r="V574" s="7">
        <f>IF($D574='[2]Beam '!V$44,$P574*'[2]Beam '!V$45,0)</f>
        <v>0</v>
      </c>
      <c r="W574" s="7">
        <f>IF($D574='[2]Beam '!W$44,$P574*'[2]Beam '!W$45,0)</f>
        <v>0</v>
      </c>
      <c r="X574" s="7">
        <f t="shared" si="112"/>
        <v>9.5744880000000006</v>
      </c>
      <c r="Y574" s="14"/>
      <c r="Z574" s="7"/>
      <c r="AA574" s="7"/>
      <c r="AB574" s="7"/>
      <c r="AC574" s="7"/>
      <c r="AD574" s="7"/>
      <c r="AE574" s="7"/>
      <c r="AF574" s="7"/>
    </row>
    <row r="575" spans="1:32" s="9" customFormat="1" ht="20.100000000000001" customHeight="1" x14ac:dyDescent="0.25">
      <c r="A575" s="14"/>
      <c r="B575" s="10" t="s">
        <v>2</v>
      </c>
      <c r="C575" s="13" t="s">
        <v>47</v>
      </c>
      <c r="D575" s="14">
        <f>D573</f>
        <v>12</v>
      </c>
      <c r="E575" s="14">
        <f>+E573</f>
        <v>0.125</v>
      </c>
      <c r="F575" s="7">
        <f>ROUNDUP((E569/3)/E575,0)+1</f>
        <v>5</v>
      </c>
      <c r="H575" s="14"/>
      <c r="I575" s="14"/>
      <c r="J575" s="14"/>
      <c r="K575" s="14"/>
      <c r="L575" s="14"/>
      <c r="M575" s="14"/>
      <c r="N575" s="14"/>
      <c r="O575" s="7">
        <f>((((G569-(2*'[2]Beam '!$D$11))+(2*10*D575/1000))*D569))</f>
        <v>0.98</v>
      </c>
      <c r="P575" s="7">
        <f t="shared" si="111"/>
        <v>4.9000000000000004</v>
      </c>
      <c r="Q575" s="7">
        <f>IF($D575='[2]Beam '!Q$44,$P575*'[2]Beam '!Q$45,0)</f>
        <v>0</v>
      </c>
      <c r="R575" s="7">
        <f>IF($D575='[2]Beam '!R$44,$P575*'[2]Beam '!R$45,0)</f>
        <v>0</v>
      </c>
      <c r="S575" s="7">
        <f>IF($D575='[2]Beam '!S$44,$P575*'[2]Beam '!S$45,0)</f>
        <v>4.3520400000000015</v>
      </c>
      <c r="T575" s="7">
        <f>IF($D575='[2]Beam '!T$44,$P575*'[2]Beam '!T$45,0)</f>
        <v>0</v>
      </c>
      <c r="U575" s="7">
        <f>IF($D575='[2]Beam '!U$44,$P575*'[2]Beam '!U$45,0)</f>
        <v>0</v>
      </c>
      <c r="V575" s="7">
        <f>IF($D575='[2]Beam '!V$44,$P575*'[2]Beam '!V$45,0)</f>
        <v>0</v>
      </c>
      <c r="W575" s="7">
        <f>IF($D575='[2]Beam '!W$44,$P575*'[2]Beam '!W$45,0)</f>
        <v>0</v>
      </c>
      <c r="X575" s="7">
        <f t="shared" si="112"/>
        <v>4.3520400000000015</v>
      </c>
      <c r="Y575" s="14"/>
      <c r="Z575" s="7"/>
      <c r="AA575" s="7"/>
      <c r="AB575" s="7"/>
      <c r="AC575" s="7"/>
      <c r="AD575" s="7"/>
      <c r="AE575" s="7"/>
    </row>
    <row r="576" spans="1:32" s="9" customFormat="1" ht="20.100000000000001" customHeight="1" x14ac:dyDescent="0.25">
      <c r="A576" s="7">
        <v>1</v>
      </c>
      <c r="B576" s="10" t="s">
        <v>2</v>
      </c>
      <c r="C576" s="11" t="s">
        <v>86</v>
      </c>
      <c r="D576" s="11">
        <v>1</v>
      </c>
      <c r="E576" s="11">
        <v>1.7290000000000001</v>
      </c>
      <c r="F576" s="11">
        <v>0.3</v>
      </c>
      <c r="G576" s="11">
        <v>1.1000000000000001</v>
      </c>
      <c r="H576" s="7">
        <f>G576-0.2</f>
        <v>0.90000000000000013</v>
      </c>
      <c r="I576" s="7">
        <f>E576*F576*G576*D576</f>
        <v>0.57057000000000013</v>
      </c>
      <c r="J576" s="7">
        <f>(2*(E576)*H576*D576)+(E576*F576)</f>
        <v>3.6309000000000005</v>
      </c>
      <c r="K576" s="12">
        <f>IF(E576=0.3,J576,0)</f>
        <v>0</v>
      </c>
      <c r="L576" s="12">
        <f>IF(AND(E576&gt;0.3,E576&lt;=0.75),J576,0)</f>
        <v>0</v>
      </c>
      <c r="M576" s="12">
        <f>IF(AND(E576&gt;0.75,E576&lt;=1.2),J576,0)</f>
        <v>0</v>
      </c>
      <c r="N576" s="12">
        <f>IF(E576&gt;1.2,J576,0)</f>
        <v>3.6309000000000005</v>
      </c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>
        <f>SUM(X577:X580)/I576</f>
        <v>277.64502396100136</v>
      </c>
      <c r="Z576" s="7"/>
      <c r="AA576" s="7"/>
      <c r="AB576" s="7"/>
      <c r="AC576" s="7"/>
      <c r="AD576" s="7"/>
      <c r="AE576" s="7"/>
    </row>
    <row r="577" spans="1:32" s="9" customFormat="1" ht="20.100000000000001" customHeight="1" x14ac:dyDescent="0.25">
      <c r="A577" s="6"/>
      <c r="B577" s="10" t="s">
        <v>2</v>
      </c>
      <c r="C577" s="13" t="s">
        <v>4</v>
      </c>
      <c r="D577" s="7">
        <v>25</v>
      </c>
      <c r="E577" s="7"/>
      <c r="F577" s="7">
        <v>3</v>
      </c>
      <c r="G577" s="8">
        <f>VLOOKUP(D577,'[2]Beam '!$C$20:$H$26,3,0)</f>
        <v>1</v>
      </c>
      <c r="H577" s="8"/>
      <c r="I577" s="7"/>
      <c r="J577" s="7"/>
      <c r="K577" s="7"/>
      <c r="L577" s="7"/>
      <c r="M577" s="7"/>
      <c r="N577" s="7"/>
      <c r="O577" s="7">
        <f>(E576+1*(G577+(12*D577/1000)))+1*(G577)*D576</f>
        <v>4.0289999999999999</v>
      </c>
      <c r="P577" s="7">
        <f>O577*F577</f>
        <v>12.087</v>
      </c>
      <c r="Q577" s="7">
        <f>IF($D577='[2]Beam '!Q$44,$P577*'[2]Beam '!Q$45,0)</f>
        <v>0</v>
      </c>
      <c r="R577" s="7">
        <f>IF($D577='[2]Beam '!R$44,$P577*'[2]Beam '!R$45,0)</f>
        <v>0</v>
      </c>
      <c r="S577" s="7">
        <f>IF($D577='[2]Beam '!S$44,$P577*'[2]Beam '!S$45,0)</f>
        <v>0</v>
      </c>
      <c r="T577" s="7">
        <f>IF($D577='[2]Beam '!T$44,$P577*'[2]Beam '!T$45,0)</f>
        <v>0</v>
      </c>
      <c r="U577" s="7">
        <f>IF($D577='[2]Beam '!U$44,$P577*'[2]Beam '!U$45,0)</f>
        <v>0</v>
      </c>
      <c r="V577" s="7">
        <f>IF($D577='[2]Beam '!V$44,$P577*'[2]Beam '!V$45,0)</f>
        <v>46.594305803571437</v>
      </c>
      <c r="W577" s="7">
        <f>IF($D577='[2]Beam '!W$44,$P577*'[2]Beam '!W$45,0)</f>
        <v>0</v>
      </c>
      <c r="X577" s="7">
        <f>SUM(Q577:W577)</f>
        <v>46.594305803571437</v>
      </c>
      <c r="Y577" s="7"/>
      <c r="Z577" s="7"/>
      <c r="AA577" s="7"/>
      <c r="AB577" s="7"/>
      <c r="AC577" s="7"/>
      <c r="AD577" s="7"/>
      <c r="AE577" s="7"/>
    </row>
    <row r="578" spans="1:32" s="14" customFormat="1" ht="20.100000000000001" customHeight="1" x14ac:dyDescent="0.3">
      <c r="A578" s="6"/>
      <c r="B578" s="10" t="s">
        <v>2</v>
      </c>
      <c r="C578" s="13" t="s">
        <v>6</v>
      </c>
      <c r="D578" s="7">
        <v>25</v>
      </c>
      <c r="E578" s="7"/>
      <c r="F578" s="7">
        <v>3</v>
      </c>
      <c r="G578" s="8">
        <f>VLOOKUP(D578,'[2]Beam '!$C$20:$H$26,3,0)</f>
        <v>1</v>
      </c>
      <c r="H578" s="7"/>
      <c r="I578" s="7"/>
      <c r="J578" s="7"/>
      <c r="K578" s="7"/>
      <c r="L578" s="7"/>
      <c r="M578" s="7"/>
      <c r="N578" s="7"/>
      <c r="O578" s="7">
        <f>(E576+1*(G578+(12*D578/1000))+1*(G578))*D576</f>
        <v>4.0289999999999999</v>
      </c>
      <c r="P578" s="7">
        <f>O578*F578</f>
        <v>12.087</v>
      </c>
      <c r="Q578" s="7">
        <f>IF($D578='[2]Beam '!Q$44,$P578*'[2]Beam '!Q$45,0)</f>
        <v>0</v>
      </c>
      <c r="R578" s="7">
        <f>IF($D578='[2]Beam '!R$44,$P578*'[2]Beam '!R$45,0)</f>
        <v>0</v>
      </c>
      <c r="S578" s="7">
        <f>IF($D578='[2]Beam '!S$44,$P578*'[2]Beam '!S$45,0)</f>
        <v>0</v>
      </c>
      <c r="T578" s="7">
        <f>IF($D578='[2]Beam '!T$44,$P578*'[2]Beam '!T$45,0)</f>
        <v>0</v>
      </c>
      <c r="U578" s="7">
        <f>IF($D578='[2]Beam '!U$44,$P578*'[2]Beam '!U$45,0)</f>
        <v>0</v>
      </c>
      <c r="V578" s="7">
        <f>IF($D578='[2]Beam '!V$44,$P578*'[2]Beam '!V$45,0)</f>
        <v>46.594305803571437</v>
      </c>
      <c r="W578" s="7">
        <f>IF($D578='[2]Beam '!W$44,$P578*'[2]Beam '!W$45,0)</f>
        <v>0</v>
      </c>
      <c r="X578" s="7">
        <f>SUM(Q578:W578)</f>
        <v>46.594305803571437</v>
      </c>
      <c r="Y578" s="7"/>
    </row>
    <row r="579" spans="1:32" s="9" customFormat="1" ht="21" customHeight="1" x14ac:dyDescent="0.25">
      <c r="A579" s="6"/>
      <c r="B579" s="10" t="s">
        <v>2</v>
      </c>
      <c r="C579" s="13" t="s">
        <v>26</v>
      </c>
      <c r="D579" s="7">
        <v>12</v>
      </c>
      <c r="E579" s="7">
        <v>0.1</v>
      </c>
      <c r="F579" s="7">
        <f>ROUNDUP(E576/E579,0)</f>
        <v>18</v>
      </c>
      <c r="H579" s="7"/>
      <c r="I579" s="7"/>
      <c r="J579" s="7"/>
      <c r="K579" s="7"/>
      <c r="L579" s="7"/>
      <c r="M579" s="7"/>
      <c r="N579" s="7"/>
      <c r="O579" s="7">
        <f>(2*((G576-(2*'[2]Beam '!$D$11))+(F576-(2*'[2]Beam '!$D$11)))+(2*10*D579/1000))*D576</f>
        <v>2.8</v>
      </c>
      <c r="P579" s="7">
        <f>O579*F579</f>
        <v>50.4</v>
      </c>
      <c r="Q579" s="7">
        <f>IF($D579='[2]Beam '!Q$44,$P579*'[2]Beam '!Q$45,0)</f>
        <v>0</v>
      </c>
      <c r="R579" s="7">
        <f>IF($D579='[2]Beam '!R$44,$P579*'[2]Beam '!R$45,0)</f>
        <v>0</v>
      </c>
      <c r="S579" s="7">
        <f>IF($D579='[2]Beam '!S$44,$P579*'[2]Beam '!S$45,0)</f>
        <v>44.763840000000009</v>
      </c>
      <c r="T579" s="7">
        <f>IF($D579='[2]Beam '!T$44,$P579*'[2]Beam '!T$45,0)</f>
        <v>0</v>
      </c>
      <c r="U579" s="7">
        <f>IF($D579='[2]Beam '!U$44,$P579*'[2]Beam '!U$45,0)</f>
        <v>0</v>
      </c>
      <c r="V579" s="7">
        <f>IF($D579='[2]Beam '!V$44,$P579*'[2]Beam '!V$45,0)</f>
        <v>0</v>
      </c>
      <c r="W579" s="7">
        <f>IF($D579='[2]Beam '!W$44,$P579*'[2]Beam '!W$45,0)</f>
        <v>0</v>
      </c>
      <c r="X579" s="7">
        <f>SUM(Q579:W579)</f>
        <v>44.763840000000009</v>
      </c>
      <c r="Y579" s="7"/>
      <c r="Z579" s="7"/>
      <c r="AA579" s="7"/>
      <c r="AB579" s="7"/>
      <c r="AC579" s="7"/>
      <c r="AD579" s="7"/>
      <c r="AE579" s="7"/>
      <c r="AF579" s="7"/>
    </row>
    <row r="580" spans="1:32" s="9" customFormat="1" ht="20.100000000000001" customHeight="1" x14ac:dyDescent="0.25">
      <c r="A580" s="14"/>
      <c r="B580" s="10" t="s">
        <v>2</v>
      </c>
      <c r="C580" s="13" t="s">
        <v>47</v>
      </c>
      <c r="D580" s="7">
        <f>+D579</f>
        <v>12</v>
      </c>
      <c r="E580" s="14">
        <f>+E579</f>
        <v>0.1</v>
      </c>
      <c r="F580" s="7">
        <f>ROUNDUP(E576/E580,0)</f>
        <v>18</v>
      </c>
      <c r="H580" s="14"/>
      <c r="I580" s="14"/>
      <c r="J580" s="14"/>
      <c r="K580" s="14"/>
      <c r="L580" s="14"/>
      <c r="M580" s="14"/>
      <c r="N580" s="14"/>
      <c r="O580" s="7">
        <f>((((G576-(2*'[2]Beam '!$D$11))+(2*10*D580/1000))*D576))</f>
        <v>1.28</v>
      </c>
      <c r="P580" s="7">
        <f>O580*F580</f>
        <v>23.04</v>
      </c>
      <c r="Q580" s="7">
        <f>IF($D580='[2]Beam '!Q$44,$P580*'[2]Beam '!Q$45,0)</f>
        <v>0</v>
      </c>
      <c r="R580" s="7">
        <f>IF($D580='[2]Beam '!R$44,$P580*'[2]Beam '!R$45,0)</f>
        <v>0</v>
      </c>
      <c r="S580" s="7">
        <f>IF($D580='[2]Beam '!S$44,$P580*'[2]Beam '!S$45,0)</f>
        <v>20.463469714285718</v>
      </c>
      <c r="T580" s="7">
        <f>IF($D580='[2]Beam '!T$44,$P580*'[2]Beam '!T$45,0)</f>
        <v>0</v>
      </c>
      <c r="U580" s="7">
        <f>IF($D580='[2]Beam '!U$44,$P580*'[2]Beam '!U$45,0)</f>
        <v>0</v>
      </c>
      <c r="V580" s="7">
        <f>IF($D580='[2]Beam '!V$44,$P580*'[2]Beam '!V$45,0)</f>
        <v>0</v>
      </c>
      <c r="W580" s="7">
        <f>IF($D580='[2]Beam '!W$44,$P580*'[2]Beam '!W$45,0)</f>
        <v>0</v>
      </c>
      <c r="X580" s="7">
        <f>SUM(Q580:W580)</f>
        <v>20.463469714285718</v>
      </c>
      <c r="Y580" s="14"/>
      <c r="Z580" s="7"/>
      <c r="AA580" s="7"/>
      <c r="AB580" s="7"/>
      <c r="AC580" s="7"/>
      <c r="AD580" s="7"/>
      <c r="AE580" s="7"/>
    </row>
    <row r="581" spans="1:32" s="9" customFormat="1" ht="20.100000000000001" customHeight="1" x14ac:dyDescent="0.25">
      <c r="A581" s="7">
        <v>1</v>
      </c>
      <c r="B581" s="10" t="s">
        <v>2</v>
      </c>
      <c r="C581" s="11" t="s">
        <v>87</v>
      </c>
      <c r="D581" s="11">
        <v>1</v>
      </c>
      <c r="E581" s="11">
        <v>1.5</v>
      </c>
      <c r="F581" s="11">
        <v>0.2</v>
      </c>
      <c r="G581" s="11">
        <v>1.1000000000000001</v>
      </c>
      <c r="H581" s="7">
        <f>G581-0.2</f>
        <v>0.90000000000000013</v>
      </c>
      <c r="I581" s="7">
        <f>E581*F581*G581*D581</f>
        <v>0.33000000000000007</v>
      </c>
      <c r="J581" s="7">
        <f>(2*(E581)*H581*D581)+(E581*F581)</f>
        <v>3</v>
      </c>
      <c r="K581" s="12">
        <f>IF(E581=0.3,J581,0)</f>
        <v>0</v>
      </c>
      <c r="L581" s="12">
        <f>IF(AND(E581&gt;0.3,E581&lt;=0.75),J581,0)</f>
        <v>0</v>
      </c>
      <c r="M581" s="12">
        <f>IF(AND(E581&gt;0.75,E581&lt;=1.2),J581,0)</f>
        <v>0</v>
      </c>
      <c r="N581" s="12">
        <f>IF(E581&gt;1.2,J581,0)</f>
        <v>3</v>
      </c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>
        <f>SUM(X582:X584)/I581</f>
        <v>84.096975238095226</v>
      </c>
      <c r="Z581" s="7"/>
      <c r="AA581" s="7"/>
      <c r="AB581" s="7"/>
      <c r="AC581" s="7"/>
      <c r="AD581" s="7"/>
      <c r="AE581" s="7"/>
    </row>
    <row r="582" spans="1:32" s="9" customFormat="1" ht="20.100000000000001" customHeight="1" x14ac:dyDescent="0.25">
      <c r="A582" s="6"/>
      <c r="B582" s="10" t="s">
        <v>2</v>
      </c>
      <c r="C582" s="13" t="s">
        <v>4</v>
      </c>
      <c r="D582" s="7">
        <v>16</v>
      </c>
      <c r="E582" s="7"/>
      <c r="F582" s="7">
        <v>2</v>
      </c>
      <c r="G582" s="8">
        <f>VLOOKUP(D582,'[2]Beam '!$C$20:$H$26,3,0)</f>
        <v>0.625</v>
      </c>
      <c r="H582" s="8"/>
      <c r="I582" s="7"/>
      <c r="J582" s="7"/>
      <c r="K582" s="7"/>
      <c r="L582" s="7"/>
      <c r="M582" s="7"/>
      <c r="N582" s="7"/>
      <c r="O582" s="7">
        <f>(E581+2*(G582+(12*D582/1000)))*D581</f>
        <v>3.1339999999999999</v>
      </c>
      <c r="P582" s="7">
        <f>O582*F582</f>
        <v>6.2679999999999998</v>
      </c>
      <c r="Q582" s="7">
        <f>IF($D582='[2]Beam '!Q$44,$P582*'[2]Beam '!Q$45,0)</f>
        <v>0</v>
      </c>
      <c r="R582" s="7">
        <f>IF($D582='[2]Beam '!R$44,$P582*'[2]Beam '!R$45,0)</f>
        <v>0</v>
      </c>
      <c r="S582" s="7">
        <f>IF($D582='[2]Beam '!S$44,$P582*'[2]Beam '!S$45,0)</f>
        <v>0</v>
      </c>
      <c r="T582" s="7">
        <f>IF($D582='[2]Beam '!T$44,$P582*'[2]Beam '!T$45,0)</f>
        <v>9.8969929142857147</v>
      </c>
      <c r="U582" s="7">
        <f>IF($D582='[2]Beam '!U$44,$P582*'[2]Beam '!U$45,0)</f>
        <v>0</v>
      </c>
      <c r="V582" s="7">
        <f>IF($D582='[2]Beam '!V$44,$P582*'[2]Beam '!V$45,0)</f>
        <v>0</v>
      </c>
      <c r="W582" s="7">
        <f>IF($D582='[2]Beam '!W$44,$P582*'[2]Beam '!W$45,0)</f>
        <v>0</v>
      </c>
      <c r="X582" s="7">
        <f>SUM(Q582:W582)</f>
        <v>9.8969929142857147</v>
      </c>
      <c r="Y582" s="7"/>
      <c r="Z582" s="7"/>
      <c r="AA582" s="7"/>
      <c r="AB582" s="7"/>
      <c r="AC582" s="7"/>
      <c r="AD582" s="7"/>
      <c r="AE582" s="7"/>
    </row>
    <row r="583" spans="1:32" s="9" customFormat="1" ht="21" customHeight="1" x14ac:dyDescent="0.25">
      <c r="A583" s="6"/>
      <c r="B583" s="10" t="s">
        <v>2</v>
      </c>
      <c r="C583" s="13" t="s">
        <v>6</v>
      </c>
      <c r="D583" s="7">
        <v>16</v>
      </c>
      <c r="E583" s="7"/>
      <c r="F583" s="7">
        <v>2</v>
      </c>
      <c r="G583" s="8">
        <f>VLOOKUP(D583,'[2]Beam '!$C$20:$H$26,3,0)</f>
        <v>0.625</v>
      </c>
      <c r="H583" s="7"/>
      <c r="I583" s="7"/>
      <c r="J583" s="7"/>
      <c r="K583" s="7"/>
      <c r="L583" s="7"/>
      <c r="M583" s="7"/>
      <c r="N583" s="7"/>
      <c r="O583" s="7">
        <f>(E581+2*(G583+(12*D583/1000)))*D581</f>
        <v>3.1339999999999999</v>
      </c>
      <c r="P583" s="7">
        <f>O583*F583</f>
        <v>6.2679999999999998</v>
      </c>
      <c r="Q583" s="7">
        <f>IF($D583='[2]Beam '!Q$44,$P583*'[2]Beam '!Q$45,0)</f>
        <v>0</v>
      </c>
      <c r="R583" s="7">
        <f>IF($D583='[2]Beam '!R$44,$P583*'[2]Beam '!R$45,0)</f>
        <v>0</v>
      </c>
      <c r="S583" s="7">
        <f>IF($D583='[2]Beam '!S$44,$P583*'[2]Beam '!S$45,0)</f>
        <v>0</v>
      </c>
      <c r="T583" s="7">
        <f>IF($D583='[2]Beam '!T$44,$P583*'[2]Beam '!T$45,0)</f>
        <v>9.8969929142857147</v>
      </c>
      <c r="U583" s="7">
        <f>IF($D583='[2]Beam '!U$44,$P583*'[2]Beam '!U$45,0)</f>
        <v>0</v>
      </c>
      <c r="V583" s="7">
        <f>IF($D583='[2]Beam '!V$44,$P583*'[2]Beam '!V$45,0)</f>
        <v>0</v>
      </c>
      <c r="W583" s="7">
        <f>IF($D583='[2]Beam '!W$44,$P583*'[2]Beam '!W$45,0)</f>
        <v>0</v>
      </c>
      <c r="X583" s="7">
        <f>SUM(Q583:W583)</f>
        <v>9.8969929142857147</v>
      </c>
      <c r="Y583" s="7"/>
      <c r="Z583" s="7"/>
      <c r="AA583" s="7"/>
      <c r="AB583" s="7"/>
      <c r="AC583" s="7"/>
      <c r="AD583" s="7"/>
      <c r="AE583" s="7"/>
      <c r="AF583" s="7"/>
    </row>
    <row r="584" spans="1:32" s="9" customFormat="1" ht="20.100000000000001" customHeight="1" x14ac:dyDescent="0.25">
      <c r="A584" s="6"/>
      <c r="B584" s="10" t="s">
        <v>2</v>
      </c>
      <c r="C584" s="13" t="s">
        <v>26</v>
      </c>
      <c r="D584" s="7">
        <v>8</v>
      </c>
      <c r="E584" s="7">
        <v>0.2</v>
      </c>
      <c r="F584" s="7">
        <f>ROUNDUP(E581/E584,0)</f>
        <v>8</v>
      </c>
      <c r="H584" s="7"/>
      <c r="I584" s="7"/>
      <c r="J584" s="7"/>
      <c r="K584" s="7"/>
      <c r="L584" s="7"/>
      <c r="M584" s="7"/>
      <c r="N584" s="7"/>
      <c r="O584" s="7">
        <f>(2*((G581-(2*'[2]Beam '!$D$11))+(F581-(2*'[2]Beam '!$D$11)))+(2*10*D584/1000))*D581</f>
        <v>2.5200000000000005</v>
      </c>
      <c r="P584" s="7">
        <f>O584*F584</f>
        <v>20.160000000000004</v>
      </c>
      <c r="Q584" s="7">
        <f>IF($D584='[2]Beam '!Q$44,$P584*'[2]Beam '!Q$45,0)</f>
        <v>7.9580160000000024</v>
      </c>
      <c r="R584" s="7">
        <f>IF($D584='[2]Beam '!R$44,$P584*'[2]Beam '!R$45,0)</f>
        <v>0</v>
      </c>
      <c r="S584" s="7">
        <f>IF($D584='[2]Beam '!S$44,$P584*'[2]Beam '!S$45,0)</f>
        <v>0</v>
      </c>
      <c r="T584" s="7">
        <f>IF($D584='[2]Beam '!T$44,$P584*'[2]Beam '!T$45,0)</f>
        <v>0</v>
      </c>
      <c r="U584" s="7">
        <f>IF($D584='[2]Beam '!U$44,$P584*'[2]Beam '!U$45,0)</f>
        <v>0</v>
      </c>
      <c r="V584" s="7">
        <f>IF($D584='[2]Beam '!V$44,$P584*'[2]Beam '!V$45,0)</f>
        <v>0</v>
      </c>
      <c r="W584" s="7">
        <f>IF($D584='[2]Beam '!W$44,$P584*'[2]Beam '!W$45,0)</f>
        <v>0</v>
      </c>
      <c r="X584" s="7">
        <f>SUM(Q584:W584)</f>
        <v>7.9580160000000024</v>
      </c>
      <c r="Y584" s="7"/>
      <c r="Z584" s="7"/>
      <c r="AA584" s="7"/>
      <c r="AB584" s="7"/>
      <c r="AC584" s="7"/>
      <c r="AD584" s="7"/>
      <c r="AE584" s="7"/>
    </row>
    <row r="585" spans="1:32" s="9" customFormat="1" ht="20.100000000000001" customHeight="1" x14ac:dyDescent="0.25">
      <c r="A585" s="7">
        <v>1</v>
      </c>
      <c r="B585" s="10" t="s">
        <v>2</v>
      </c>
      <c r="C585" s="11" t="s">
        <v>88</v>
      </c>
      <c r="D585" s="11">
        <v>1</v>
      </c>
      <c r="E585" s="11">
        <v>2.2349999999999999</v>
      </c>
      <c r="F585" s="11">
        <v>0.2</v>
      </c>
      <c r="G585" s="11">
        <v>1.1000000000000001</v>
      </c>
      <c r="H585" s="7">
        <f>G585-0.2</f>
        <v>0.90000000000000013</v>
      </c>
      <c r="I585" s="7">
        <f>E585*F585*G585*D585</f>
        <v>0.49170000000000003</v>
      </c>
      <c r="J585" s="7">
        <f>(2*(E585)*H585*D585)+(E585*F585)</f>
        <v>4.4700000000000006</v>
      </c>
      <c r="K585" s="12">
        <f>IF(E585=0.3,J585,0)</f>
        <v>0</v>
      </c>
      <c r="L585" s="12">
        <f>IF(AND(E585&gt;0.3,E585&lt;=0.75),J585,0)</f>
        <v>0</v>
      </c>
      <c r="M585" s="12">
        <f>IF(AND(E585&gt;0.75,E585&lt;=1.2),J585,0)</f>
        <v>0</v>
      </c>
      <c r="N585" s="12">
        <f>IF(E585&gt;1.2,J585,0)</f>
        <v>4.4700000000000006</v>
      </c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>
        <f>SUM(X586:X589)/I585</f>
        <v>281.21891179290509</v>
      </c>
      <c r="Z585" s="7"/>
      <c r="AA585" s="7"/>
      <c r="AB585" s="7"/>
      <c r="AC585" s="7"/>
      <c r="AD585" s="7"/>
      <c r="AE585" s="7"/>
    </row>
    <row r="586" spans="1:32" s="9" customFormat="1" ht="20.100000000000001" customHeight="1" x14ac:dyDescent="0.25">
      <c r="A586" s="6"/>
      <c r="B586" s="10" t="s">
        <v>2</v>
      </c>
      <c r="C586" s="13" t="s">
        <v>4</v>
      </c>
      <c r="D586" s="7">
        <v>25</v>
      </c>
      <c r="E586" s="7"/>
      <c r="F586" s="7">
        <v>2</v>
      </c>
      <c r="G586" s="8">
        <f>VLOOKUP(D586,'[2]Beam '!$C$20:$H$26,3,0)</f>
        <v>1</v>
      </c>
      <c r="H586" s="8"/>
      <c r="I586" s="7"/>
      <c r="J586" s="7"/>
      <c r="K586" s="7"/>
      <c r="L586" s="7"/>
      <c r="M586" s="7"/>
      <c r="N586" s="7"/>
      <c r="O586" s="7">
        <f>(E585+2*(G586+(12*D586/1000)))*D585</f>
        <v>4.835</v>
      </c>
      <c r="P586" s="7">
        <f>O586*F586</f>
        <v>9.67</v>
      </c>
      <c r="Q586" s="7">
        <f>IF($D586='[2]Beam '!Q$44,$P586*'[2]Beam '!Q$45,0)</f>
        <v>0</v>
      </c>
      <c r="R586" s="7">
        <f>IF($D586='[2]Beam '!R$44,$P586*'[2]Beam '!R$45,0)</f>
        <v>0</v>
      </c>
      <c r="S586" s="7">
        <f>IF($D586='[2]Beam '!S$44,$P586*'[2]Beam '!S$45,0)</f>
        <v>0</v>
      </c>
      <c r="T586" s="7">
        <f>IF($D586='[2]Beam '!T$44,$P586*'[2]Beam '!T$45,0)</f>
        <v>0</v>
      </c>
      <c r="U586" s="7">
        <f>IF($D586='[2]Beam '!U$44,$P586*'[2]Beam '!U$45,0)</f>
        <v>0</v>
      </c>
      <c r="V586" s="7">
        <f>IF($D586='[2]Beam '!V$44,$P586*'[2]Beam '!V$45,0)</f>
        <v>37.276986607142859</v>
      </c>
      <c r="W586" s="7">
        <f>IF($D586='[2]Beam '!W$44,$P586*'[2]Beam '!W$45,0)</f>
        <v>0</v>
      </c>
      <c r="X586" s="7">
        <f>SUM(Q586:W586)</f>
        <v>37.276986607142859</v>
      </c>
      <c r="Y586" s="7"/>
      <c r="Z586" s="7"/>
      <c r="AA586" s="7"/>
      <c r="AB586" s="7"/>
      <c r="AC586" s="7"/>
      <c r="AD586" s="7"/>
      <c r="AE586" s="7"/>
    </row>
    <row r="587" spans="1:32" s="9" customFormat="1" ht="20.100000000000001" customHeight="1" x14ac:dyDescent="0.25">
      <c r="A587" s="6"/>
      <c r="B587" s="10" t="s">
        <v>2</v>
      </c>
      <c r="C587" s="13" t="s">
        <v>6</v>
      </c>
      <c r="D587" s="7">
        <v>25</v>
      </c>
      <c r="E587" s="7"/>
      <c r="F587" s="7">
        <v>2</v>
      </c>
      <c r="G587" s="8">
        <f>VLOOKUP(D587,'[2]Beam '!$C$20:$H$26,3,0)</f>
        <v>1</v>
      </c>
      <c r="H587" s="7"/>
      <c r="I587" s="7"/>
      <c r="J587" s="7"/>
      <c r="K587" s="7"/>
      <c r="L587" s="7"/>
      <c r="M587" s="7"/>
      <c r="N587" s="7"/>
      <c r="O587" s="7">
        <f>(E585+2*(G587+(12*D587/1000)))*D585</f>
        <v>4.835</v>
      </c>
      <c r="P587" s="7">
        <f>O587*F587</f>
        <v>9.67</v>
      </c>
      <c r="Q587" s="7">
        <f>IF($D587='[2]Beam '!Q$44,$P587*'[2]Beam '!Q$45,0)</f>
        <v>0</v>
      </c>
      <c r="R587" s="7">
        <f>IF($D587='[2]Beam '!R$44,$P587*'[2]Beam '!R$45,0)</f>
        <v>0</v>
      </c>
      <c r="S587" s="7">
        <f>IF($D587='[2]Beam '!S$44,$P587*'[2]Beam '!S$45,0)</f>
        <v>0</v>
      </c>
      <c r="T587" s="7">
        <f>IF($D587='[2]Beam '!T$44,$P587*'[2]Beam '!T$45,0)</f>
        <v>0</v>
      </c>
      <c r="U587" s="7">
        <f>IF($D587='[2]Beam '!U$44,$P587*'[2]Beam '!U$45,0)</f>
        <v>0</v>
      </c>
      <c r="V587" s="7">
        <f>IF($D587='[2]Beam '!V$44,$P587*'[2]Beam '!V$45,0)</f>
        <v>37.276986607142859</v>
      </c>
      <c r="W587" s="7">
        <f>IF($D587='[2]Beam '!W$44,$P587*'[2]Beam '!W$45,0)</f>
        <v>0</v>
      </c>
      <c r="X587" s="7">
        <f>SUM(Q587:W587)</f>
        <v>37.276986607142859</v>
      </c>
      <c r="Y587" s="7"/>
      <c r="Z587" s="7"/>
      <c r="AA587" s="7"/>
      <c r="AB587" s="7"/>
      <c r="AC587" s="7"/>
      <c r="AD587" s="7"/>
      <c r="AE587" s="7"/>
    </row>
    <row r="588" spans="1:32" s="9" customFormat="1" ht="21" customHeight="1" x14ac:dyDescent="0.25">
      <c r="A588" s="6"/>
      <c r="B588" s="10" t="s">
        <v>2</v>
      </c>
      <c r="C588" s="13" t="s">
        <v>13</v>
      </c>
      <c r="D588" s="7">
        <v>20</v>
      </c>
      <c r="E588" s="7"/>
      <c r="F588" s="7">
        <v>2</v>
      </c>
      <c r="G588" s="8">
        <f>VLOOKUP(D588,'[2]Beam '!$C$20:$H$26,3,0)</f>
        <v>0.8</v>
      </c>
      <c r="H588" s="7"/>
      <c r="I588" s="7"/>
      <c r="J588" s="7"/>
      <c r="K588" s="7"/>
      <c r="L588" s="7"/>
      <c r="M588" s="7"/>
      <c r="N588" s="7"/>
      <c r="O588" s="7">
        <f>(1.11+1*(G588+(12*D588/1000)))*D585</f>
        <v>2.1500000000000004</v>
      </c>
      <c r="P588" s="7">
        <f>O588*F588</f>
        <v>4.3000000000000007</v>
      </c>
      <c r="Q588" s="7">
        <f>IF($D588='[2]Beam '!Q$44,$P588*'[2]Beam '!Q$45,0)</f>
        <v>0</v>
      </c>
      <c r="R588" s="7">
        <f>IF($D588='[2]Beam '!R$44,$P588*'[2]Beam '!R$45,0)</f>
        <v>0</v>
      </c>
      <c r="S588" s="7">
        <f>IF($D588='[2]Beam '!S$44,$P588*'[2]Beam '!S$45,0)</f>
        <v>0</v>
      </c>
      <c r="T588" s="7">
        <f>IF($D588='[2]Beam '!T$44,$P588*'[2]Beam '!T$45,0)</f>
        <v>0</v>
      </c>
      <c r="U588" s="7">
        <f>IF($D588='[2]Beam '!U$44,$P588*'[2]Beam '!U$45,0)</f>
        <v>10.608714285714287</v>
      </c>
      <c r="V588" s="7">
        <f>IF($D588='[2]Beam '!V$44,$P588*'[2]Beam '!V$45,0)</f>
        <v>0</v>
      </c>
      <c r="W588" s="7">
        <f>IF($D588='[2]Beam '!W$44,$P588*'[2]Beam '!W$45,0)</f>
        <v>0</v>
      </c>
      <c r="X588" s="7">
        <f>SUM(Q588:W588)</f>
        <v>10.608714285714287</v>
      </c>
      <c r="Y588" s="7"/>
      <c r="Z588" s="7"/>
      <c r="AA588" s="7"/>
      <c r="AB588" s="7"/>
      <c r="AC588" s="7"/>
      <c r="AD588" s="7"/>
      <c r="AE588" s="7"/>
      <c r="AF588" s="7"/>
    </row>
    <row r="589" spans="1:32" s="9" customFormat="1" ht="20.100000000000001" customHeight="1" x14ac:dyDescent="0.25">
      <c r="A589" s="6"/>
      <c r="B589" s="10" t="s">
        <v>2</v>
      </c>
      <c r="C589" s="13" t="s">
        <v>26</v>
      </c>
      <c r="D589" s="7">
        <v>12</v>
      </c>
      <c r="E589" s="7">
        <v>0.1</v>
      </c>
      <c r="F589" s="7">
        <f>ROUNDUP(E585/E589,0)</f>
        <v>23</v>
      </c>
      <c r="H589" s="7"/>
      <c r="I589" s="7"/>
      <c r="J589" s="7"/>
      <c r="K589" s="7"/>
      <c r="L589" s="7"/>
      <c r="M589" s="7"/>
      <c r="N589" s="7"/>
      <c r="O589" s="7">
        <f>(2*((G585-(2*'[2]Beam '!$D$11))+(F585-(2*'[2]Beam '!$D$11)))+(2*10*D589/1000))*D585</f>
        <v>2.6000000000000005</v>
      </c>
      <c r="P589" s="7">
        <f>O589*F589</f>
        <v>59.800000000000011</v>
      </c>
      <c r="Q589" s="7">
        <f>IF($D589='[2]Beam '!Q$44,$P589*'[2]Beam '!Q$45,0)</f>
        <v>0</v>
      </c>
      <c r="R589" s="7">
        <f>IF($D589='[2]Beam '!R$44,$P589*'[2]Beam '!R$45,0)</f>
        <v>0</v>
      </c>
      <c r="S589" s="7">
        <f>IF($D589='[2]Beam '!S$44,$P589*'[2]Beam '!S$45,0)</f>
        <v>53.112651428571446</v>
      </c>
      <c r="T589" s="7">
        <f>IF($D589='[2]Beam '!T$44,$P589*'[2]Beam '!T$45,0)</f>
        <v>0</v>
      </c>
      <c r="U589" s="7">
        <f>IF($D589='[2]Beam '!U$44,$P589*'[2]Beam '!U$45,0)</f>
        <v>0</v>
      </c>
      <c r="V589" s="7">
        <f>IF($D589='[2]Beam '!V$44,$P589*'[2]Beam '!V$45,0)</f>
        <v>0</v>
      </c>
      <c r="W589" s="7">
        <f>IF($D589='[2]Beam '!W$44,$P589*'[2]Beam '!W$45,0)</f>
        <v>0</v>
      </c>
      <c r="X589" s="7">
        <f>SUM(Q589:W589)</f>
        <v>53.112651428571446</v>
      </c>
      <c r="Y589" s="7"/>
      <c r="Z589" s="7"/>
      <c r="AA589" s="7"/>
      <c r="AB589" s="7"/>
      <c r="AC589" s="7"/>
      <c r="AD589" s="7"/>
      <c r="AE589" s="7"/>
    </row>
    <row r="590" spans="1:32" s="9" customFormat="1" ht="20.100000000000001" customHeight="1" x14ac:dyDescent="0.25">
      <c r="A590" s="7">
        <v>1</v>
      </c>
      <c r="B590" s="10" t="s">
        <v>2</v>
      </c>
      <c r="C590" s="11" t="s">
        <v>89</v>
      </c>
      <c r="D590" s="11">
        <v>1</v>
      </c>
      <c r="E590" s="11">
        <v>2.0390000000000001</v>
      </c>
      <c r="F590" s="11">
        <v>0.3</v>
      </c>
      <c r="G590" s="11">
        <v>0.8</v>
      </c>
      <c r="H590" s="7">
        <f>G590-0.2</f>
        <v>0.60000000000000009</v>
      </c>
      <c r="I590" s="7">
        <f>E590*F590*G590*D590</f>
        <v>0.48936000000000002</v>
      </c>
      <c r="J590" s="7">
        <f>(2*(E590)*H590*D590)+(E590*F590)</f>
        <v>3.0585000000000004</v>
      </c>
      <c r="K590" s="12">
        <f>IF(E590=0.3,J590,0)</f>
        <v>0</v>
      </c>
      <c r="L590" s="12">
        <f>IF(AND(E590&gt;0.3,E590&lt;=0.75),J590,0)</f>
        <v>0</v>
      </c>
      <c r="M590" s="12">
        <f>IF(AND(E590&gt;0.75,E590&lt;=1.2),J590,0)</f>
        <v>0</v>
      </c>
      <c r="N590" s="12">
        <f>IF(E590&gt;1.2,J590,0)</f>
        <v>3.0585000000000004</v>
      </c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>
        <f>SUM(X591:X593)/I590</f>
        <v>181.76877671127303</v>
      </c>
      <c r="Z590" s="7"/>
      <c r="AA590" s="7"/>
      <c r="AB590" s="7"/>
      <c r="AC590" s="7"/>
      <c r="AD590" s="7"/>
      <c r="AE590" s="7"/>
    </row>
    <row r="591" spans="1:32" s="9" customFormat="1" ht="20.100000000000001" customHeight="1" x14ac:dyDescent="0.25">
      <c r="A591" s="6"/>
      <c r="B591" s="10" t="s">
        <v>2</v>
      </c>
      <c r="C591" s="13" t="s">
        <v>4</v>
      </c>
      <c r="D591" s="7">
        <v>20</v>
      </c>
      <c r="E591" s="7"/>
      <c r="F591" s="7">
        <v>3</v>
      </c>
      <c r="G591" s="8">
        <f>VLOOKUP(D591,'[2]Beam '!$C$20:$H$26,3,0)</f>
        <v>0.8</v>
      </c>
      <c r="H591" s="8"/>
      <c r="I591" s="7"/>
      <c r="J591" s="7"/>
      <c r="K591" s="7"/>
      <c r="L591" s="7"/>
      <c r="M591" s="7"/>
      <c r="N591" s="7"/>
      <c r="O591" s="7">
        <f>(E590+2*(G591+(12*D591/1000)))*D590</f>
        <v>4.1189999999999998</v>
      </c>
      <c r="P591" s="7">
        <f>O591*F591</f>
        <v>12.356999999999999</v>
      </c>
      <c r="Q591" s="7">
        <f>IF($D591='[2]Beam '!Q$44,$P591*'[2]Beam '!Q$45,0)</f>
        <v>0</v>
      </c>
      <c r="R591" s="7">
        <f>IF($D591='[2]Beam '!R$44,$P591*'[2]Beam '!R$45,0)</f>
        <v>0</v>
      </c>
      <c r="S591" s="7">
        <f>IF($D591='[2]Beam '!S$44,$P591*'[2]Beam '!S$45,0)</f>
        <v>0</v>
      </c>
      <c r="T591" s="7">
        <f>IF($D591='[2]Beam '!T$44,$P591*'[2]Beam '!T$45,0)</f>
        <v>0</v>
      </c>
      <c r="U591" s="7">
        <f>IF($D591='[2]Beam '!U$44,$P591*'[2]Beam '!U$45,0)</f>
        <v>30.486484285714283</v>
      </c>
      <c r="V591" s="7">
        <f>IF($D591='[2]Beam '!V$44,$P591*'[2]Beam '!V$45,0)</f>
        <v>0</v>
      </c>
      <c r="W591" s="7">
        <f>IF($D591='[2]Beam '!W$44,$P591*'[2]Beam '!W$45,0)</f>
        <v>0</v>
      </c>
      <c r="X591" s="7">
        <f>SUM(Q591:W591)</f>
        <v>30.486484285714283</v>
      </c>
      <c r="Y591" s="7"/>
      <c r="Z591" s="7"/>
      <c r="AA591" s="7"/>
      <c r="AB591" s="7"/>
      <c r="AC591" s="7"/>
      <c r="AD591" s="7"/>
      <c r="AE591" s="7"/>
    </row>
    <row r="592" spans="1:32" s="9" customFormat="1" ht="21" customHeight="1" x14ac:dyDescent="0.25">
      <c r="A592" s="6"/>
      <c r="B592" s="10" t="s">
        <v>2</v>
      </c>
      <c r="C592" s="13" t="s">
        <v>6</v>
      </c>
      <c r="D592" s="7">
        <v>20</v>
      </c>
      <c r="E592" s="7"/>
      <c r="F592" s="7">
        <v>3</v>
      </c>
      <c r="G592" s="8">
        <f>VLOOKUP(D592,'[2]Beam '!$C$20:$H$26,3,0)</f>
        <v>0.8</v>
      </c>
      <c r="H592" s="7"/>
      <c r="I592" s="7"/>
      <c r="J592" s="7"/>
      <c r="K592" s="7"/>
      <c r="L592" s="7"/>
      <c r="M592" s="7"/>
      <c r="N592" s="7"/>
      <c r="O592" s="7">
        <f>(E590+2*(G592+(12*D592/1000)))*D590</f>
        <v>4.1189999999999998</v>
      </c>
      <c r="P592" s="7">
        <f>O592*F592</f>
        <v>12.356999999999999</v>
      </c>
      <c r="Q592" s="7">
        <f>IF($D592='[2]Beam '!Q$44,$P592*'[2]Beam '!Q$45,0)</f>
        <v>0</v>
      </c>
      <c r="R592" s="7">
        <f>IF($D592='[2]Beam '!R$44,$P592*'[2]Beam '!R$45,0)</f>
        <v>0</v>
      </c>
      <c r="S592" s="7">
        <f>IF($D592='[2]Beam '!S$44,$P592*'[2]Beam '!S$45,0)</f>
        <v>0</v>
      </c>
      <c r="T592" s="7">
        <f>IF($D592='[2]Beam '!T$44,$P592*'[2]Beam '!T$45,0)</f>
        <v>0</v>
      </c>
      <c r="U592" s="7">
        <f>IF($D592='[2]Beam '!U$44,$P592*'[2]Beam '!U$45,0)</f>
        <v>30.486484285714283</v>
      </c>
      <c r="V592" s="7">
        <f>IF($D592='[2]Beam '!V$44,$P592*'[2]Beam '!V$45,0)</f>
        <v>0</v>
      </c>
      <c r="W592" s="7">
        <f>IF($D592='[2]Beam '!W$44,$P592*'[2]Beam '!W$45,0)</f>
        <v>0</v>
      </c>
      <c r="X592" s="7">
        <f>SUM(Q592:W592)</f>
        <v>30.486484285714283</v>
      </c>
      <c r="Y592" s="7"/>
      <c r="Z592" s="7"/>
      <c r="AA592" s="7"/>
      <c r="AB592" s="7"/>
      <c r="AC592" s="7"/>
      <c r="AD592" s="7"/>
      <c r="AE592" s="7"/>
      <c r="AF592" s="7"/>
    </row>
    <row r="593" spans="1:32" s="9" customFormat="1" ht="20.100000000000001" customHeight="1" x14ac:dyDescent="0.25">
      <c r="A593" s="6"/>
      <c r="B593" s="10" t="s">
        <v>2</v>
      </c>
      <c r="C593" s="13" t="s">
        <v>26</v>
      </c>
      <c r="D593" s="7">
        <v>10</v>
      </c>
      <c r="E593" s="7">
        <v>0.1</v>
      </c>
      <c r="F593" s="7">
        <f>ROUNDUP(E590/E593,0)</f>
        <v>21</v>
      </c>
      <c r="H593" s="7"/>
      <c r="I593" s="7"/>
      <c r="J593" s="7"/>
      <c r="K593" s="7"/>
      <c r="L593" s="7"/>
      <c r="M593" s="7"/>
      <c r="N593" s="7"/>
      <c r="O593" s="7">
        <f>(2*((G590-(2*'[2]Beam '!$D$11))+(F590-(2*'[2]Beam '!$D$11)))+(2*10*D593/1000))*D590</f>
        <v>2.16</v>
      </c>
      <c r="P593" s="7">
        <f>O593*F593</f>
        <v>45.36</v>
      </c>
      <c r="Q593" s="7">
        <f>IF($D593='[2]Beam '!Q$44,$P593*'[2]Beam '!Q$45,0)</f>
        <v>0</v>
      </c>
      <c r="R593" s="7">
        <f>IF($D593='[2]Beam '!R$44,$P593*'[2]Beam '!R$45,0)</f>
        <v>27.977399999999999</v>
      </c>
      <c r="S593" s="7">
        <f>IF($D593='[2]Beam '!S$44,$P593*'[2]Beam '!S$45,0)</f>
        <v>0</v>
      </c>
      <c r="T593" s="7">
        <f>IF($D593='[2]Beam '!T$44,$P593*'[2]Beam '!T$45,0)</f>
        <v>0</v>
      </c>
      <c r="U593" s="7">
        <f>IF($D593='[2]Beam '!U$44,$P593*'[2]Beam '!U$45,0)</f>
        <v>0</v>
      </c>
      <c r="V593" s="7">
        <f>IF($D593='[2]Beam '!V$44,$P593*'[2]Beam '!V$45,0)</f>
        <v>0</v>
      </c>
      <c r="W593" s="7">
        <f>IF($D593='[2]Beam '!W$44,$P593*'[2]Beam '!W$45,0)</f>
        <v>0</v>
      </c>
      <c r="X593" s="7">
        <f>SUM(Q593:W593)</f>
        <v>27.977399999999999</v>
      </c>
      <c r="Y593" s="7"/>
      <c r="Z593" s="7"/>
      <c r="AA593" s="7"/>
      <c r="AB593" s="7"/>
      <c r="AC593" s="7"/>
      <c r="AD593" s="7"/>
      <c r="AE593" s="7"/>
    </row>
    <row r="594" spans="1:32" s="9" customFormat="1" ht="20.100000000000001" customHeight="1" x14ac:dyDescent="0.25">
      <c r="A594" s="7">
        <v>1</v>
      </c>
      <c r="B594" s="10" t="s">
        <v>2</v>
      </c>
      <c r="C594" s="11" t="s">
        <v>90</v>
      </c>
      <c r="D594" s="11">
        <v>1</v>
      </c>
      <c r="E594" s="11">
        <v>2.0390000000000001</v>
      </c>
      <c r="F594" s="11">
        <v>0.3</v>
      </c>
      <c r="G594" s="11">
        <v>0.8</v>
      </c>
      <c r="H594" s="7">
        <f>G594-0.2</f>
        <v>0.60000000000000009</v>
      </c>
      <c r="I594" s="7">
        <f>E594*F594*G594*D594</f>
        <v>0.48936000000000002</v>
      </c>
      <c r="J594" s="7">
        <f>(2*(E594)*H594*D594)+(E594*F594)</f>
        <v>3.0585000000000004</v>
      </c>
      <c r="K594" s="12">
        <f>IF(E594=0.3,J594,0)</f>
        <v>0</v>
      </c>
      <c r="L594" s="12">
        <f>IF(AND(E594&gt;0.3,E594&lt;=0.75),J594,0)</f>
        <v>0</v>
      </c>
      <c r="M594" s="12">
        <f>IF(AND(E594&gt;0.75,E594&lt;=1.2),J594,0)</f>
        <v>0</v>
      </c>
      <c r="N594" s="12">
        <f>IF(E594&gt;1.2,J594,0)</f>
        <v>3.0585000000000004</v>
      </c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>
        <f>SUM(X595:X597)/I594</f>
        <v>181.76877671127303</v>
      </c>
      <c r="Z594" s="7"/>
      <c r="AA594" s="7"/>
      <c r="AB594" s="7"/>
      <c r="AC594" s="7"/>
      <c r="AD594" s="7"/>
      <c r="AE594" s="7"/>
    </row>
    <row r="595" spans="1:32" s="9" customFormat="1" ht="20.100000000000001" customHeight="1" x14ac:dyDescent="0.25">
      <c r="A595" s="6"/>
      <c r="B595" s="10" t="s">
        <v>2</v>
      </c>
      <c r="C595" s="13" t="s">
        <v>4</v>
      </c>
      <c r="D595" s="7">
        <v>20</v>
      </c>
      <c r="E595" s="7"/>
      <c r="F595" s="7">
        <v>3</v>
      </c>
      <c r="G595" s="8">
        <f>VLOOKUP(D595,'[2]Beam '!$C$20:$H$26,3,0)</f>
        <v>0.8</v>
      </c>
      <c r="H595" s="8"/>
      <c r="I595" s="7"/>
      <c r="J595" s="7"/>
      <c r="K595" s="7"/>
      <c r="L595" s="7"/>
      <c r="M595" s="7"/>
      <c r="N595" s="7"/>
      <c r="O595" s="7">
        <f>(E594+2*(G595+(12*D595/1000)))*D594</f>
        <v>4.1189999999999998</v>
      </c>
      <c r="P595" s="7">
        <f>O595*F595</f>
        <v>12.356999999999999</v>
      </c>
      <c r="Q595" s="7">
        <f>IF($D595='[2]Beam '!Q$44,$P595*'[2]Beam '!Q$45,0)</f>
        <v>0</v>
      </c>
      <c r="R595" s="7">
        <f>IF($D595='[2]Beam '!R$44,$P595*'[2]Beam '!R$45,0)</f>
        <v>0</v>
      </c>
      <c r="S595" s="7">
        <f>IF($D595='[2]Beam '!S$44,$P595*'[2]Beam '!S$45,0)</f>
        <v>0</v>
      </c>
      <c r="T595" s="7">
        <f>IF($D595='[2]Beam '!T$44,$P595*'[2]Beam '!T$45,0)</f>
        <v>0</v>
      </c>
      <c r="U595" s="7">
        <f>IF($D595='[2]Beam '!U$44,$P595*'[2]Beam '!U$45,0)</f>
        <v>30.486484285714283</v>
      </c>
      <c r="V595" s="7">
        <f>IF($D595='[2]Beam '!V$44,$P595*'[2]Beam '!V$45,0)</f>
        <v>0</v>
      </c>
      <c r="W595" s="7">
        <f>IF($D595='[2]Beam '!W$44,$P595*'[2]Beam '!W$45,0)</f>
        <v>0</v>
      </c>
      <c r="X595" s="7">
        <f>SUM(Q595:W595)</f>
        <v>30.486484285714283</v>
      </c>
      <c r="Y595" s="7"/>
      <c r="Z595" s="7"/>
      <c r="AA595" s="7"/>
      <c r="AB595" s="7"/>
      <c r="AC595" s="7"/>
      <c r="AD595" s="7"/>
      <c r="AE595" s="7"/>
    </row>
    <row r="596" spans="1:32" s="14" customFormat="1" ht="20.100000000000001" customHeight="1" x14ac:dyDescent="0.3">
      <c r="A596" s="6"/>
      <c r="B596" s="10" t="s">
        <v>2</v>
      </c>
      <c r="C596" s="13" t="s">
        <v>6</v>
      </c>
      <c r="D596" s="7">
        <v>20</v>
      </c>
      <c r="E596" s="7"/>
      <c r="F596" s="7">
        <v>3</v>
      </c>
      <c r="G596" s="8">
        <f>VLOOKUP(D596,'[2]Beam '!$C$20:$H$26,3,0)</f>
        <v>0.8</v>
      </c>
      <c r="H596" s="7"/>
      <c r="I596" s="7"/>
      <c r="J596" s="7"/>
      <c r="K596" s="7"/>
      <c r="L596" s="7"/>
      <c r="M596" s="7"/>
      <c r="N596" s="7"/>
      <c r="O596" s="7">
        <f>(E594+2*(G596+(12*D596/1000)))*D594</f>
        <v>4.1189999999999998</v>
      </c>
      <c r="P596" s="7">
        <f>O596*F596</f>
        <v>12.356999999999999</v>
      </c>
      <c r="Q596" s="7">
        <f>IF($D596='[2]Beam '!Q$44,$P596*'[2]Beam '!Q$45,0)</f>
        <v>0</v>
      </c>
      <c r="R596" s="7">
        <f>IF($D596='[2]Beam '!R$44,$P596*'[2]Beam '!R$45,0)</f>
        <v>0</v>
      </c>
      <c r="S596" s="7">
        <f>IF($D596='[2]Beam '!S$44,$P596*'[2]Beam '!S$45,0)</f>
        <v>0</v>
      </c>
      <c r="T596" s="7">
        <f>IF($D596='[2]Beam '!T$44,$P596*'[2]Beam '!T$45,0)</f>
        <v>0</v>
      </c>
      <c r="U596" s="7">
        <f>IF($D596='[2]Beam '!U$44,$P596*'[2]Beam '!U$45,0)</f>
        <v>30.486484285714283</v>
      </c>
      <c r="V596" s="7">
        <f>IF($D596='[2]Beam '!V$44,$P596*'[2]Beam '!V$45,0)</f>
        <v>0</v>
      </c>
      <c r="W596" s="7">
        <f>IF($D596='[2]Beam '!W$44,$P596*'[2]Beam '!W$45,0)</f>
        <v>0</v>
      </c>
      <c r="X596" s="7">
        <f>SUM(Q596:W596)</f>
        <v>30.486484285714283</v>
      </c>
      <c r="Y596" s="7"/>
    </row>
    <row r="597" spans="1:32" s="9" customFormat="1" ht="21" customHeight="1" x14ac:dyDescent="0.25">
      <c r="A597" s="6"/>
      <c r="B597" s="10" t="s">
        <v>2</v>
      </c>
      <c r="C597" s="13" t="s">
        <v>26</v>
      </c>
      <c r="D597" s="7">
        <v>10</v>
      </c>
      <c r="E597" s="7">
        <v>0.1</v>
      </c>
      <c r="F597" s="7">
        <f>ROUNDUP(E594/E597,0)</f>
        <v>21</v>
      </c>
      <c r="H597" s="7"/>
      <c r="I597" s="7"/>
      <c r="J597" s="7"/>
      <c r="K597" s="7"/>
      <c r="L597" s="7"/>
      <c r="M597" s="7"/>
      <c r="N597" s="7"/>
      <c r="O597" s="7">
        <f>(2*((G594-(2*'[2]Beam '!$D$11))+(F594-(2*'[2]Beam '!$D$11)))+(2*10*D597/1000))*D594</f>
        <v>2.16</v>
      </c>
      <c r="P597" s="7">
        <f>O597*F597</f>
        <v>45.36</v>
      </c>
      <c r="Q597" s="7">
        <f>IF($D597='[2]Beam '!Q$44,$P597*'[2]Beam '!Q$45,0)</f>
        <v>0</v>
      </c>
      <c r="R597" s="7">
        <f>IF($D597='[2]Beam '!R$44,$P597*'[2]Beam '!R$45,0)</f>
        <v>27.977399999999999</v>
      </c>
      <c r="S597" s="7">
        <f>IF($D597='[2]Beam '!S$44,$P597*'[2]Beam '!S$45,0)</f>
        <v>0</v>
      </c>
      <c r="T597" s="7">
        <f>IF($D597='[2]Beam '!T$44,$P597*'[2]Beam '!T$45,0)</f>
        <v>0</v>
      </c>
      <c r="U597" s="7">
        <f>IF($D597='[2]Beam '!U$44,$P597*'[2]Beam '!U$45,0)</f>
        <v>0</v>
      </c>
      <c r="V597" s="7">
        <f>IF($D597='[2]Beam '!V$44,$P597*'[2]Beam '!V$45,0)</f>
        <v>0</v>
      </c>
      <c r="W597" s="7">
        <f>IF($D597='[2]Beam '!W$44,$P597*'[2]Beam '!W$45,0)</f>
        <v>0</v>
      </c>
      <c r="X597" s="7">
        <f>SUM(Q597:W597)</f>
        <v>27.977399999999999</v>
      </c>
      <c r="Y597" s="7"/>
      <c r="Z597" s="7"/>
      <c r="AA597" s="7"/>
      <c r="AB597" s="7"/>
      <c r="AC597" s="7"/>
      <c r="AD597" s="7"/>
      <c r="AE597" s="7"/>
      <c r="AF597" s="7"/>
    </row>
    <row r="598" spans="1:32" s="9" customFormat="1" ht="20.100000000000001" customHeight="1" x14ac:dyDescent="0.25">
      <c r="A598" s="14"/>
      <c r="B598" s="10" t="s">
        <v>2</v>
      </c>
      <c r="C598" s="13" t="s">
        <v>47</v>
      </c>
      <c r="D598" s="7">
        <f>+D597</f>
        <v>10</v>
      </c>
      <c r="E598" s="14">
        <f>+E597</f>
        <v>0.1</v>
      </c>
      <c r="F598" s="7">
        <f>ROUNDUP(E594/E598,0)</f>
        <v>21</v>
      </c>
      <c r="H598" s="14"/>
      <c r="I598" s="14"/>
      <c r="J598" s="14"/>
      <c r="K598" s="14"/>
      <c r="L598" s="14"/>
      <c r="M598" s="14"/>
      <c r="N598" s="14"/>
      <c r="O598" s="7">
        <f>((((G594-(2*'[2]Beam '!$D$11))+(2*10*D598/1000))*D594))</f>
        <v>0.94</v>
      </c>
      <c r="P598" s="7">
        <f>O598*F598</f>
        <v>19.739999999999998</v>
      </c>
      <c r="Q598" s="7">
        <f>IF($D598='[2]Beam '!Q$44,$P598*'[2]Beam '!Q$45,0)</f>
        <v>0</v>
      </c>
      <c r="R598" s="7">
        <f>IF($D598='[2]Beam '!R$44,$P598*'[2]Beam '!R$45,0)</f>
        <v>12.175349999999998</v>
      </c>
      <c r="S598" s="7">
        <f>IF($D598='[2]Beam '!S$44,$P598*'[2]Beam '!S$45,0)</f>
        <v>0</v>
      </c>
      <c r="T598" s="7">
        <f>IF($D598='[2]Beam '!T$44,$P598*'[2]Beam '!T$45,0)</f>
        <v>0</v>
      </c>
      <c r="U598" s="7">
        <f>IF($D598='[2]Beam '!U$44,$P598*'[2]Beam '!U$45,0)</f>
        <v>0</v>
      </c>
      <c r="V598" s="7">
        <f>IF($D598='[2]Beam '!V$44,$P598*'[2]Beam '!V$45,0)</f>
        <v>0</v>
      </c>
      <c r="W598" s="7">
        <f>IF($D598='[2]Beam '!W$44,$P598*'[2]Beam '!W$45,0)</f>
        <v>0</v>
      </c>
      <c r="X598" s="7">
        <f>SUM(Q598:W598)</f>
        <v>12.175349999999998</v>
      </c>
      <c r="Y598" s="14"/>
      <c r="Z598" s="7"/>
      <c r="AA598" s="7"/>
      <c r="AB598" s="7"/>
      <c r="AC598" s="7"/>
      <c r="AD598" s="7"/>
      <c r="AE598" s="7"/>
    </row>
    <row r="599" spans="1:32" s="9" customFormat="1" ht="20.100000000000001" customHeight="1" x14ac:dyDescent="0.25">
      <c r="A599" s="7">
        <v>1</v>
      </c>
      <c r="B599" s="10" t="s">
        <v>2</v>
      </c>
      <c r="C599" s="11" t="s">
        <v>91</v>
      </c>
      <c r="D599" s="11">
        <v>1</v>
      </c>
      <c r="E599" s="11">
        <v>2.2229999999999999</v>
      </c>
      <c r="F599" s="11">
        <v>0.2</v>
      </c>
      <c r="G599" s="11">
        <v>1.1000000000000001</v>
      </c>
      <c r="H599" s="7">
        <f>G599-0.2</f>
        <v>0.90000000000000013</v>
      </c>
      <c r="I599" s="7">
        <f>E599*F599*G599*D599</f>
        <v>0.48906000000000005</v>
      </c>
      <c r="J599" s="7">
        <f>(2*(E599)*H599*D599)+(E599*F599)</f>
        <v>4.4460000000000006</v>
      </c>
      <c r="K599" s="12">
        <f>IF(E599=0.3,J599,0)</f>
        <v>0</v>
      </c>
      <c r="L599" s="12">
        <f>IF(AND(E599&gt;0.3,E599&lt;=0.75),J599,0)</f>
        <v>0</v>
      </c>
      <c r="M599" s="12">
        <f>IF(AND(E599&gt;0.75,E599&lt;=1.2),J599,0)</f>
        <v>0</v>
      </c>
      <c r="N599" s="12">
        <f>IF(E599&gt;1.2,J599,0)</f>
        <v>4.4460000000000006</v>
      </c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>
        <f>SUM(X600:X603)/I599</f>
        <v>277.71752297410194</v>
      </c>
      <c r="Z599" s="7"/>
      <c r="AA599" s="7"/>
      <c r="AB599" s="7"/>
      <c r="AC599" s="7"/>
      <c r="AD599" s="7"/>
      <c r="AE599" s="7"/>
    </row>
    <row r="600" spans="1:32" s="9" customFormat="1" ht="20.100000000000001" customHeight="1" x14ac:dyDescent="0.25">
      <c r="A600" s="6"/>
      <c r="B600" s="10" t="s">
        <v>2</v>
      </c>
      <c r="C600" s="13" t="s">
        <v>4</v>
      </c>
      <c r="D600" s="7">
        <v>25</v>
      </c>
      <c r="E600" s="7"/>
      <c r="F600" s="7">
        <v>2</v>
      </c>
      <c r="G600" s="8">
        <f>VLOOKUP(D600,'[2]Beam '!$C$20:$H$26,3,0)</f>
        <v>1</v>
      </c>
      <c r="H600" s="8"/>
      <c r="I600" s="7"/>
      <c r="J600" s="7"/>
      <c r="K600" s="7"/>
      <c r="L600" s="7"/>
      <c r="M600" s="7"/>
      <c r="N600" s="7"/>
      <c r="O600" s="7">
        <f>(E599+2*(G600+(12*D600/1000)))*D599</f>
        <v>4.8230000000000004</v>
      </c>
      <c r="P600" s="7">
        <f>O600*F600</f>
        <v>9.6460000000000008</v>
      </c>
      <c r="Q600" s="7">
        <f>IF($D600='[2]Beam '!Q$44,$P600*'[2]Beam '!Q$45,0)</f>
        <v>0</v>
      </c>
      <c r="R600" s="7">
        <f>IF($D600='[2]Beam '!R$44,$P600*'[2]Beam '!R$45,0)</f>
        <v>0</v>
      </c>
      <c r="S600" s="7">
        <f>IF($D600='[2]Beam '!S$44,$P600*'[2]Beam '!S$45,0)</f>
        <v>0</v>
      </c>
      <c r="T600" s="7">
        <f>IF($D600='[2]Beam '!T$44,$P600*'[2]Beam '!T$45,0)</f>
        <v>0</v>
      </c>
      <c r="U600" s="7">
        <f>IF($D600='[2]Beam '!U$44,$P600*'[2]Beam '!U$45,0)</f>
        <v>0</v>
      </c>
      <c r="V600" s="7">
        <f>IF($D600='[2]Beam '!V$44,$P600*'[2]Beam '!V$45,0)</f>
        <v>37.184468750000008</v>
      </c>
      <c r="W600" s="7">
        <f>IF($D600='[2]Beam '!W$44,$P600*'[2]Beam '!W$45,0)</f>
        <v>0</v>
      </c>
      <c r="X600" s="7">
        <f>SUM(Q600:W600)</f>
        <v>37.184468750000008</v>
      </c>
      <c r="Y600" s="7"/>
      <c r="Z600" s="7"/>
      <c r="AA600" s="7"/>
      <c r="AB600" s="7"/>
      <c r="AC600" s="7"/>
      <c r="AD600" s="7"/>
      <c r="AE600" s="7"/>
    </row>
    <row r="601" spans="1:32" s="9" customFormat="1" ht="20.100000000000001" customHeight="1" x14ac:dyDescent="0.25">
      <c r="A601" s="6"/>
      <c r="B601" s="10" t="s">
        <v>2</v>
      </c>
      <c r="C601" s="13" t="s">
        <v>6</v>
      </c>
      <c r="D601" s="7">
        <v>25</v>
      </c>
      <c r="E601" s="7"/>
      <c r="F601" s="7">
        <v>2</v>
      </c>
      <c r="G601" s="8">
        <f>VLOOKUP(D601,'[2]Beam '!$C$20:$H$26,3,0)</f>
        <v>1</v>
      </c>
      <c r="H601" s="7"/>
      <c r="I601" s="7"/>
      <c r="J601" s="7"/>
      <c r="K601" s="7"/>
      <c r="L601" s="7"/>
      <c r="M601" s="7"/>
      <c r="N601" s="7"/>
      <c r="O601" s="7">
        <f>(E599+2*(G601+(12*D601/1000)))*D599</f>
        <v>4.8230000000000004</v>
      </c>
      <c r="P601" s="7">
        <f>O601*F601</f>
        <v>9.6460000000000008</v>
      </c>
      <c r="Q601" s="7">
        <f>IF($D601='[2]Beam '!Q$44,$P601*'[2]Beam '!Q$45,0)</f>
        <v>0</v>
      </c>
      <c r="R601" s="7">
        <f>IF($D601='[2]Beam '!R$44,$P601*'[2]Beam '!R$45,0)</f>
        <v>0</v>
      </c>
      <c r="S601" s="7">
        <f>IF($D601='[2]Beam '!S$44,$P601*'[2]Beam '!S$45,0)</f>
        <v>0</v>
      </c>
      <c r="T601" s="7">
        <f>IF($D601='[2]Beam '!T$44,$P601*'[2]Beam '!T$45,0)</f>
        <v>0</v>
      </c>
      <c r="U601" s="7">
        <f>IF($D601='[2]Beam '!U$44,$P601*'[2]Beam '!U$45,0)</f>
        <v>0</v>
      </c>
      <c r="V601" s="7">
        <f>IF($D601='[2]Beam '!V$44,$P601*'[2]Beam '!V$45,0)</f>
        <v>37.184468750000008</v>
      </c>
      <c r="W601" s="7">
        <f>IF($D601='[2]Beam '!W$44,$P601*'[2]Beam '!W$45,0)</f>
        <v>0</v>
      </c>
      <c r="X601" s="7">
        <f>SUM(Q601:W601)</f>
        <v>37.184468750000008</v>
      </c>
      <c r="Y601" s="7"/>
      <c r="Z601" s="7"/>
      <c r="AA601" s="7"/>
      <c r="AB601" s="7"/>
      <c r="AC601" s="7"/>
      <c r="AD601" s="7"/>
      <c r="AE601" s="7"/>
    </row>
    <row r="602" spans="1:32" s="9" customFormat="1" ht="21" customHeight="1" x14ac:dyDescent="0.25">
      <c r="A602" s="6"/>
      <c r="B602" s="10" t="s">
        <v>2</v>
      </c>
      <c r="C602" s="13" t="s">
        <v>13</v>
      </c>
      <c r="D602" s="7">
        <v>20</v>
      </c>
      <c r="E602" s="7"/>
      <c r="F602" s="7">
        <v>2</v>
      </c>
      <c r="G602" s="8">
        <f>VLOOKUP(D602,'[2]Beam '!$C$20:$H$26,3,0)</f>
        <v>0.8</v>
      </c>
      <c r="H602" s="7"/>
      <c r="I602" s="7"/>
      <c r="J602" s="7"/>
      <c r="K602" s="7"/>
      <c r="L602" s="7"/>
      <c r="M602" s="7"/>
      <c r="N602" s="7"/>
      <c r="O602" s="7">
        <f>(0.65+1*(G602+(12*D602/1000)))*D599</f>
        <v>1.69</v>
      </c>
      <c r="P602" s="7">
        <f>O602*F602</f>
        <v>3.38</v>
      </c>
      <c r="Q602" s="7">
        <f>IF($D602='[2]Beam '!Q$44,$P602*'[2]Beam '!Q$45,0)</f>
        <v>0</v>
      </c>
      <c r="R602" s="7">
        <f>IF($D602='[2]Beam '!R$44,$P602*'[2]Beam '!R$45,0)</f>
        <v>0</v>
      </c>
      <c r="S602" s="7">
        <f>IF($D602='[2]Beam '!S$44,$P602*'[2]Beam '!S$45,0)</f>
        <v>0</v>
      </c>
      <c r="T602" s="7">
        <f>IF($D602='[2]Beam '!T$44,$P602*'[2]Beam '!T$45,0)</f>
        <v>0</v>
      </c>
      <c r="U602" s="7">
        <f>IF($D602='[2]Beam '!U$44,$P602*'[2]Beam '!U$45,0)</f>
        <v>8.3389428571428574</v>
      </c>
      <c r="V602" s="7">
        <f>IF($D602='[2]Beam '!V$44,$P602*'[2]Beam '!V$45,0)</f>
        <v>0</v>
      </c>
      <c r="W602" s="7">
        <f>IF($D602='[2]Beam '!W$44,$P602*'[2]Beam '!W$45,0)</f>
        <v>0</v>
      </c>
      <c r="X602" s="7">
        <f>SUM(Q602:W602)</f>
        <v>8.3389428571428574</v>
      </c>
      <c r="Y602" s="7"/>
      <c r="Z602" s="7"/>
      <c r="AA602" s="7"/>
      <c r="AB602" s="7"/>
      <c r="AC602" s="7"/>
      <c r="AD602" s="7"/>
      <c r="AE602" s="7"/>
      <c r="AF602" s="7"/>
    </row>
    <row r="603" spans="1:32" s="9" customFormat="1" ht="20.100000000000001" customHeight="1" x14ac:dyDescent="0.25">
      <c r="A603" s="6"/>
      <c r="B603" s="10" t="s">
        <v>2</v>
      </c>
      <c r="C603" s="13" t="s">
        <v>26</v>
      </c>
      <c r="D603" s="7">
        <v>12</v>
      </c>
      <c r="E603" s="7">
        <v>0.1</v>
      </c>
      <c r="F603" s="7">
        <f>ROUNDUP(E599/E603,0)</f>
        <v>23</v>
      </c>
      <c r="H603" s="7"/>
      <c r="I603" s="7"/>
      <c r="J603" s="7"/>
      <c r="K603" s="7"/>
      <c r="L603" s="7"/>
      <c r="M603" s="7"/>
      <c r="N603" s="7"/>
      <c r="O603" s="7">
        <f>(2*((G599-(2*'[2]Beam '!$D$11))+(F599-(2*'[2]Beam '!$D$11)))+(2*10*D603/1000))*D599</f>
        <v>2.6000000000000005</v>
      </c>
      <c r="P603" s="7">
        <f>O603*F603</f>
        <v>59.800000000000011</v>
      </c>
      <c r="Q603" s="7">
        <f>IF($D603='[2]Beam '!Q$44,$P603*'[2]Beam '!Q$45,0)</f>
        <v>0</v>
      </c>
      <c r="R603" s="7">
        <f>IF($D603='[2]Beam '!R$44,$P603*'[2]Beam '!R$45,0)</f>
        <v>0</v>
      </c>
      <c r="S603" s="7">
        <f>IF($D603='[2]Beam '!S$44,$P603*'[2]Beam '!S$45,0)</f>
        <v>53.112651428571446</v>
      </c>
      <c r="T603" s="7">
        <f>IF($D603='[2]Beam '!T$44,$P603*'[2]Beam '!T$45,0)</f>
        <v>0</v>
      </c>
      <c r="U603" s="7">
        <f>IF($D603='[2]Beam '!U$44,$P603*'[2]Beam '!U$45,0)</f>
        <v>0</v>
      </c>
      <c r="V603" s="7">
        <f>IF($D603='[2]Beam '!V$44,$P603*'[2]Beam '!V$45,0)</f>
        <v>0</v>
      </c>
      <c r="W603" s="7">
        <f>IF($D603='[2]Beam '!W$44,$P603*'[2]Beam '!W$45,0)</f>
        <v>0</v>
      </c>
      <c r="X603" s="7">
        <f>SUM(Q603:W603)</f>
        <v>53.112651428571446</v>
      </c>
      <c r="Y603" s="7"/>
      <c r="Z603" s="7"/>
      <c r="AA603" s="7"/>
      <c r="AB603" s="7"/>
      <c r="AC603" s="7"/>
      <c r="AD603" s="7"/>
      <c r="AE603" s="7"/>
    </row>
    <row r="604" spans="1:32" s="9" customFormat="1" ht="20.100000000000001" customHeight="1" x14ac:dyDescent="0.25">
      <c r="A604" s="7">
        <v>1</v>
      </c>
      <c r="B604" s="10" t="s">
        <v>2</v>
      </c>
      <c r="C604" s="11" t="s">
        <v>92</v>
      </c>
      <c r="D604" s="11">
        <v>1</v>
      </c>
      <c r="E604" s="11">
        <v>1.5</v>
      </c>
      <c r="F604" s="11">
        <v>0.2</v>
      </c>
      <c r="G604" s="11">
        <v>1.1000000000000001</v>
      </c>
      <c r="H604" s="7">
        <f>G604-0.2</f>
        <v>0.90000000000000013</v>
      </c>
      <c r="I604" s="7">
        <f>E604*F604*G604*D604</f>
        <v>0.33000000000000007</v>
      </c>
      <c r="J604" s="7">
        <f>(2*(E604)*H604*D604)+(E604*F604)</f>
        <v>3</v>
      </c>
      <c r="K604" s="12">
        <f>IF(E604=0.3,J604,0)</f>
        <v>0</v>
      </c>
      <c r="L604" s="12">
        <f>IF(AND(E604&gt;0.3,E604&lt;=0.75),J604,0)</f>
        <v>0</v>
      </c>
      <c r="M604" s="12">
        <f>IF(AND(E604&gt;0.75,E604&lt;=1.2),J604,0)</f>
        <v>0</v>
      </c>
      <c r="N604" s="12">
        <f>IF(E604&gt;1.2,J604,0)</f>
        <v>3</v>
      </c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>
        <f>SUM(X605:X607)/I604</f>
        <v>296.54309523809525</v>
      </c>
      <c r="Z604" s="7"/>
      <c r="AA604" s="7"/>
      <c r="AB604" s="7"/>
      <c r="AC604" s="7"/>
      <c r="AD604" s="7"/>
      <c r="AE604" s="7"/>
    </row>
    <row r="605" spans="1:32" s="9" customFormat="1" ht="20.100000000000001" customHeight="1" x14ac:dyDescent="0.25">
      <c r="A605" s="6"/>
      <c r="B605" s="10" t="s">
        <v>2</v>
      </c>
      <c r="C605" s="13" t="s">
        <v>4</v>
      </c>
      <c r="D605" s="7">
        <v>25</v>
      </c>
      <c r="E605" s="7"/>
      <c r="F605" s="7">
        <v>2</v>
      </c>
      <c r="G605" s="8">
        <f>VLOOKUP(D605,'[2]Beam '!$C$20:$H$26,3,0)</f>
        <v>1</v>
      </c>
      <c r="H605" s="8"/>
      <c r="I605" s="7"/>
      <c r="J605" s="7"/>
      <c r="K605" s="7"/>
      <c r="L605" s="7"/>
      <c r="M605" s="7"/>
      <c r="N605" s="7"/>
      <c r="O605" s="7">
        <f>(E604+2*(G605+(12*D605/1000)))*D604</f>
        <v>4.0999999999999996</v>
      </c>
      <c r="P605" s="7">
        <f>O605*F605</f>
        <v>8.1999999999999993</v>
      </c>
      <c r="Q605" s="7">
        <f>IF($D605='[2]Beam '!Q$44,$P605*'[2]Beam '!Q$45,0)</f>
        <v>0</v>
      </c>
      <c r="R605" s="7">
        <f>IF($D605='[2]Beam '!R$44,$P605*'[2]Beam '!R$45,0)</f>
        <v>0</v>
      </c>
      <c r="S605" s="7">
        <f>IF($D605='[2]Beam '!S$44,$P605*'[2]Beam '!S$45,0)</f>
        <v>0</v>
      </c>
      <c r="T605" s="7">
        <f>IF($D605='[2]Beam '!T$44,$P605*'[2]Beam '!T$45,0)</f>
        <v>0</v>
      </c>
      <c r="U605" s="7">
        <f>IF($D605='[2]Beam '!U$44,$P605*'[2]Beam '!U$45,0)</f>
        <v>0</v>
      </c>
      <c r="V605" s="7">
        <f>IF($D605='[2]Beam '!V$44,$P605*'[2]Beam '!V$45,0)</f>
        <v>31.610267857142858</v>
      </c>
      <c r="W605" s="7">
        <f>IF($D605='[2]Beam '!W$44,$P605*'[2]Beam '!W$45,0)</f>
        <v>0</v>
      </c>
      <c r="X605" s="7">
        <f>SUM(Q605:W605)</f>
        <v>31.610267857142858</v>
      </c>
      <c r="Y605" s="7"/>
      <c r="Z605" s="7"/>
      <c r="AA605" s="7"/>
      <c r="AB605" s="7"/>
      <c r="AC605" s="7"/>
      <c r="AD605" s="7"/>
      <c r="AE605" s="7"/>
    </row>
    <row r="606" spans="1:32" s="9" customFormat="1" ht="21" customHeight="1" x14ac:dyDescent="0.25">
      <c r="A606" s="6"/>
      <c r="B606" s="10" t="s">
        <v>2</v>
      </c>
      <c r="C606" s="13" t="s">
        <v>6</v>
      </c>
      <c r="D606" s="7">
        <v>25</v>
      </c>
      <c r="E606" s="7"/>
      <c r="F606" s="7">
        <v>2</v>
      </c>
      <c r="G606" s="8">
        <f>VLOOKUP(D606,'[2]Beam '!$C$20:$H$26,3,0)</f>
        <v>1</v>
      </c>
      <c r="H606" s="7"/>
      <c r="I606" s="7"/>
      <c r="J606" s="7"/>
      <c r="K606" s="7"/>
      <c r="L606" s="7"/>
      <c r="M606" s="7"/>
      <c r="N606" s="7"/>
      <c r="O606" s="7">
        <f>(E604+2*(G606+(12*D606/1000)))*D604</f>
        <v>4.0999999999999996</v>
      </c>
      <c r="P606" s="7">
        <f>O606*F606</f>
        <v>8.1999999999999993</v>
      </c>
      <c r="Q606" s="7">
        <f>IF($D606='[2]Beam '!Q$44,$P606*'[2]Beam '!Q$45,0)</f>
        <v>0</v>
      </c>
      <c r="R606" s="7">
        <f>IF($D606='[2]Beam '!R$44,$P606*'[2]Beam '!R$45,0)</f>
        <v>0</v>
      </c>
      <c r="S606" s="7">
        <f>IF($D606='[2]Beam '!S$44,$P606*'[2]Beam '!S$45,0)</f>
        <v>0</v>
      </c>
      <c r="T606" s="7">
        <f>IF($D606='[2]Beam '!T$44,$P606*'[2]Beam '!T$45,0)</f>
        <v>0</v>
      </c>
      <c r="U606" s="7">
        <f>IF($D606='[2]Beam '!U$44,$P606*'[2]Beam '!U$45,0)</f>
        <v>0</v>
      </c>
      <c r="V606" s="7">
        <f>IF($D606='[2]Beam '!V$44,$P606*'[2]Beam '!V$45,0)</f>
        <v>31.610267857142858</v>
      </c>
      <c r="W606" s="7">
        <f>IF($D606='[2]Beam '!W$44,$P606*'[2]Beam '!W$45,0)</f>
        <v>0</v>
      </c>
      <c r="X606" s="7">
        <f>SUM(Q606:W606)</f>
        <v>31.610267857142858</v>
      </c>
      <c r="Y606" s="7"/>
      <c r="Z606" s="7"/>
      <c r="AA606" s="7"/>
      <c r="AB606" s="7"/>
      <c r="AC606" s="7"/>
      <c r="AD606" s="7"/>
      <c r="AE606" s="7"/>
      <c r="AF606" s="7"/>
    </row>
    <row r="607" spans="1:32" s="9" customFormat="1" ht="20.100000000000001" customHeight="1" x14ac:dyDescent="0.25">
      <c r="A607" s="6"/>
      <c r="B607" s="10" t="s">
        <v>2</v>
      </c>
      <c r="C607" s="13" t="s">
        <v>26</v>
      </c>
      <c r="D607" s="7">
        <v>12</v>
      </c>
      <c r="E607" s="7">
        <v>0.1</v>
      </c>
      <c r="F607" s="7">
        <f>ROUNDUP(E604/E607,0)</f>
        <v>15</v>
      </c>
      <c r="H607" s="7"/>
      <c r="I607" s="7"/>
      <c r="J607" s="7"/>
      <c r="K607" s="7"/>
      <c r="L607" s="7"/>
      <c r="M607" s="7"/>
      <c r="N607" s="7"/>
      <c r="O607" s="7">
        <f>(2*((G604-(2*'[2]Beam '!$D$11))+(F604-(2*'[2]Beam '!$D$11)))+(2*10*D607/1000))*D604</f>
        <v>2.6000000000000005</v>
      </c>
      <c r="P607" s="7">
        <f>O607*F607</f>
        <v>39.000000000000007</v>
      </c>
      <c r="Q607" s="7">
        <f>IF($D607='[2]Beam '!Q$44,$P607*'[2]Beam '!Q$45,0)</f>
        <v>0</v>
      </c>
      <c r="R607" s="7">
        <f>IF($D607='[2]Beam '!R$44,$P607*'[2]Beam '!R$45,0)</f>
        <v>0</v>
      </c>
      <c r="S607" s="7">
        <f>IF($D607='[2]Beam '!S$44,$P607*'[2]Beam '!S$45,0)</f>
        <v>34.638685714285728</v>
      </c>
      <c r="T607" s="7">
        <f>IF($D607='[2]Beam '!T$44,$P607*'[2]Beam '!T$45,0)</f>
        <v>0</v>
      </c>
      <c r="U607" s="7">
        <f>IF($D607='[2]Beam '!U$44,$P607*'[2]Beam '!U$45,0)</f>
        <v>0</v>
      </c>
      <c r="V607" s="7">
        <f>IF($D607='[2]Beam '!V$44,$P607*'[2]Beam '!V$45,0)</f>
        <v>0</v>
      </c>
      <c r="W607" s="7">
        <f>IF($D607='[2]Beam '!W$44,$P607*'[2]Beam '!W$45,0)</f>
        <v>0</v>
      </c>
      <c r="X607" s="7">
        <f>SUM(Q607:W607)</f>
        <v>34.638685714285728</v>
      </c>
      <c r="Y607" s="7"/>
      <c r="Z607" s="7"/>
      <c r="AA607" s="7"/>
      <c r="AB607" s="7"/>
      <c r="AC607" s="7"/>
      <c r="AD607" s="7"/>
      <c r="AE607" s="7"/>
    </row>
    <row r="608" spans="1:32" s="9" customFormat="1" ht="20.100000000000001" customHeight="1" x14ac:dyDescent="0.25">
      <c r="A608" s="7">
        <v>1</v>
      </c>
      <c r="B608" s="10" t="s">
        <v>2</v>
      </c>
      <c r="C608" s="11" t="s">
        <v>93</v>
      </c>
      <c r="D608" s="11">
        <v>1</v>
      </c>
      <c r="E608" s="11">
        <v>2.23</v>
      </c>
      <c r="F608" s="11">
        <v>0.2</v>
      </c>
      <c r="G608" s="11">
        <v>0.8</v>
      </c>
      <c r="H608" s="7">
        <f>G608-0.2</f>
        <v>0.60000000000000009</v>
      </c>
      <c r="I608" s="7">
        <f>E608*F608*G608*D608</f>
        <v>0.35680000000000001</v>
      </c>
      <c r="J608" s="7">
        <f>(2*(E608)*H608*D608)+(E608*F608)</f>
        <v>3.1220000000000003</v>
      </c>
      <c r="K608" s="12">
        <f>IF(E608=0.3,J608,0)</f>
        <v>0</v>
      </c>
      <c r="L608" s="12">
        <f>IF(AND(E608&gt;0.3,E608&lt;=0.75),J608,0)</f>
        <v>0</v>
      </c>
      <c r="M608" s="12">
        <f>IF(AND(E608&gt;0.75,E608&lt;=1.2),J608,0)</f>
        <v>0</v>
      </c>
      <c r="N608" s="12">
        <f>IF(E608&gt;1.2,J608,0)</f>
        <v>3.1220000000000003</v>
      </c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>
        <f>SUM(X609:X613)/I608</f>
        <v>321.1953786434978</v>
      </c>
      <c r="Z608" s="7"/>
      <c r="AA608" s="7"/>
      <c r="AB608" s="7"/>
      <c r="AC608" s="7"/>
      <c r="AD608" s="7"/>
      <c r="AE608" s="7"/>
    </row>
    <row r="609" spans="1:32" s="9" customFormat="1" ht="20.100000000000001" customHeight="1" x14ac:dyDescent="0.25">
      <c r="A609" s="6"/>
      <c r="B609" s="10" t="s">
        <v>2</v>
      </c>
      <c r="C609" s="13" t="s">
        <v>4</v>
      </c>
      <c r="D609" s="7">
        <v>25</v>
      </c>
      <c r="E609" s="7"/>
      <c r="F609" s="7">
        <v>2</v>
      </c>
      <c r="G609" s="8">
        <f>VLOOKUP(D609,'[2]Beam '!$C$20:$H$26,3,0)</f>
        <v>1</v>
      </c>
      <c r="H609" s="8"/>
      <c r="I609" s="7"/>
      <c r="J609" s="7"/>
      <c r="K609" s="7"/>
      <c r="L609" s="7"/>
      <c r="M609" s="7"/>
      <c r="N609" s="7"/>
      <c r="O609" s="7">
        <f>(E608+2*(G609+(12*D609/1000)))*D608</f>
        <v>4.83</v>
      </c>
      <c r="P609" s="7">
        <f>O609*F609</f>
        <v>9.66</v>
      </c>
      <c r="Q609" s="7">
        <f>IF($D609='[2]Beam '!Q$44,$P609*'[2]Beam '!Q$45,0)</f>
        <v>0</v>
      </c>
      <c r="R609" s="7">
        <f>IF($D609='[2]Beam '!R$44,$P609*'[2]Beam '!R$45,0)</f>
        <v>0</v>
      </c>
      <c r="S609" s="7">
        <f>IF($D609='[2]Beam '!S$44,$P609*'[2]Beam '!S$45,0)</f>
        <v>0</v>
      </c>
      <c r="T609" s="7">
        <f>IF($D609='[2]Beam '!T$44,$P609*'[2]Beam '!T$45,0)</f>
        <v>0</v>
      </c>
      <c r="U609" s="7">
        <f>IF($D609='[2]Beam '!U$44,$P609*'[2]Beam '!U$45,0)</f>
        <v>0</v>
      </c>
      <c r="V609" s="7">
        <f>IF($D609='[2]Beam '!V$44,$P609*'[2]Beam '!V$45,0)</f>
        <v>37.238437500000003</v>
      </c>
      <c r="W609" s="7">
        <f>IF($D609='[2]Beam '!W$44,$P609*'[2]Beam '!W$45,0)</f>
        <v>0</v>
      </c>
      <c r="X609" s="7">
        <f>SUM(Q609:W609)</f>
        <v>37.238437500000003</v>
      </c>
      <c r="Y609" s="7"/>
      <c r="Z609" s="7"/>
      <c r="AA609" s="7"/>
      <c r="AB609" s="7"/>
      <c r="AC609" s="7"/>
      <c r="AD609" s="7"/>
      <c r="AE609" s="7"/>
    </row>
    <row r="610" spans="1:32" s="9" customFormat="1" ht="20.100000000000001" customHeight="1" x14ac:dyDescent="0.25">
      <c r="A610" s="6"/>
      <c r="B610" s="10" t="s">
        <v>2</v>
      </c>
      <c r="C610" s="13" t="s">
        <v>6</v>
      </c>
      <c r="D610" s="7">
        <v>20</v>
      </c>
      <c r="E610" s="7"/>
      <c r="F610" s="7">
        <v>2</v>
      </c>
      <c r="G610" s="8">
        <f>VLOOKUP(D610,'[2]Beam '!$C$20:$H$26,3,0)</f>
        <v>0.8</v>
      </c>
      <c r="H610" s="7"/>
      <c r="I610" s="7"/>
      <c r="J610" s="7"/>
      <c r="K610" s="7"/>
      <c r="L610" s="7"/>
      <c r="M610" s="7"/>
      <c r="N610" s="7"/>
      <c r="O610" s="7">
        <f>(E608+2*(G610+(12*D610/1000)))*D608</f>
        <v>4.3100000000000005</v>
      </c>
      <c r="P610" s="7">
        <f>O610*F610</f>
        <v>8.620000000000001</v>
      </c>
      <c r="Q610" s="7">
        <f>IF($D610='[2]Beam '!Q$44,$P610*'[2]Beam '!Q$45,0)</f>
        <v>0</v>
      </c>
      <c r="R610" s="7">
        <f>IF($D610='[2]Beam '!R$44,$P610*'[2]Beam '!R$45,0)</f>
        <v>0</v>
      </c>
      <c r="S610" s="7">
        <f>IF($D610='[2]Beam '!S$44,$P610*'[2]Beam '!S$45,0)</f>
        <v>0</v>
      </c>
      <c r="T610" s="7">
        <f>IF($D610='[2]Beam '!T$44,$P610*'[2]Beam '!T$45,0)</f>
        <v>0</v>
      </c>
      <c r="U610" s="7">
        <f>IF($D610='[2]Beam '!U$44,$P610*'[2]Beam '!U$45,0)</f>
        <v>21.266771428571431</v>
      </c>
      <c r="V610" s="7">
        <f>IF($D610='[2]Beam '!V$44,$P610*'[2]Beam '!V$45,0)</f>
        <v>0</v>
      </c>
      <c r="W610" s="7">
        <f>IF($D610='[2]Beam '!W$44,$P610*'[2]Beam '!W$45,0)</f>
        <v>0</v>
      </c>
      <c r="X610" s="7">
        <f>SUM(Q610:W610)</f>
        <v>21.266771428571431</v>
      </c>
      <c r="Y610" s="7"/>
      <c r="Z610" s="7"/>
      <c r="AA610" s="7"/>
      <c r="AB610" s="7"/>
      <c r="AC610" s="7"/>
      <c r="AD610" s="7"/>
      <c r="AE610" s="7"/>
    </row>
    <row r="611" spans="1:32" s="9" customFormat="1" ht="20.100000000000001" customHeight="1" x14ac:dyDescent="0.25">
      <c r="A611" s="6"/>
      <c r="B611" s="10" t="s">
        <v>2</v>
      </c>
      <c r="C611" s="13" t="s">
        <v>46</v>
      </c>
      <c r="D611" s="7">
        <v>16</v>
      </c>
      <c r="E611" s="7"/>
      <c r="F611" s="7">
        <v>2</v>
      </c>
      <c r="G611" s="8">
        <f>VLOOKUP(D611,'[2]Beam '!$C$20:$H$26,3,0)</f>
        <v>0.625</v>
      </c>
      <c r="H611" s="7"/>
      <c r="I611" s="7"/>
      <c r="J611" s="7"/>
      <c r="K611" s="7"/>
      <c r="L611" s="7"/>
      <c r="M611" s="7"/>
      <c r="N611" s="7"/>
      <c r="O611" s="7">
        <f>(0.65+1*(G611+(12*D611/1000)))*D608</f>
        <v>1.4670000000000001</v>
      </c>
      <c r="P611" s="7">
        <f>O611*F611</f>
        <v>2.9340000000000002</v>
      </c>
      <c r="Q611" s="7">
        <f>IF($D611='[2]Beam '!Q$44,$P611*'[2]Beam '!Q$45,0)</f>
        <v>0</v>
      </c>
      <c r="R611" s="7">
        <f>IF($D611='[2]Beam '!R$44,$P611*'[2]Beam '!R$45,0)</f>
        <v>0</v>
      </c>
      <c r="S611" s="7">
        <f>IF($D611='[2]Beam '!S$44,$P611*'[2]Beam '!S$45,0)</f>
        <v>0</v>
      </c>
      <c r="T611" s="7">
        <f>IF($D611='[2]Beam '!T$44,$P611*'[2]Beam '!T$45,0)</f>
        <v>4.6327021714285719</v>
      </c>
      <c r="U611" s="7">
        <f>IF($D611='[2]Beam '!U$44,$P611*'[2]Beam '!U$45,0)</f>
        <v>0</v>
      </c>
      <c r="V611" s="7">
        <f>IF($D611='[2]Beam '!V$44,$P611*'[2]Beam '!V$45,0)</f>
        <v>0</v>
      </c>
      <c r="W611" s="7">
        <f>IF($D611='[2]Beam '!W$44,$P611*'[2]Beam '!W$45,0)</f>
        <v>0</v>
      </c>
      <c r="X611" s="7">
        <f>SUM(Q611:W611)</f>
        <v>4.6327021714285719</v>
      </c>
      <c r="Y611" s="7"/>
      <c r="Z611" s="7"/>
      <c r="AA611" s="7"/>
      <c r="AB611" s="7"/>
      <c r="AC611" s="7"/>
      <c r="AD611" s="7"/>
      <c r="AE611" s="7"/>
    </row>
    <row r="612" spans="1:32" s="9" customFormat="1" ht="21" customHeight="1" x14ac:dyDescent="0.25">
      <c r="A612" s="6"/>
      <c r="B612" s="10" t="s">
        <v>2</v>
      </c>
      <c r="C612" s="13" t="s">
        <v>13</v>
      </c>
      <c r="D612" s="7">
        <v>20</v>
      </c>
      <c r="E612" s="7"/>
      <c r="F612" s="7">
        <v>2</v>
      </c>
      <c r="G612" s="8">
        <f>VLOOKUP(D612,'[2]Beam '!$C$20:$H$26,3,0)</f>
        <v>0.8</v>
      </c>
      <c r="H612" s="7"/>
      <c r="I612" s="7"/>
      <c r="J612" s="7"/>
      <c r="K612" s="7"/>
      <c r="L612" s="7"/>
      <c r="M612" s="7"/>
      <c r="N612" s="7"/>
      <c r="O612" s="7">
        <f>(1.11+1*(G612+(12*D612/1000)))*D608</f>
        <v>2.1500000000000004</v>
      </c>
      <c r="P612" s="7">
        <f>O612*F612</f>
        <v>4.3000000000000007</v>
      </c>
      <c r="Q612" s="7">
        <f>IF($D612='[2]Beam '!Q$44,$P612*'[2]Beam '!Q$45,0)</f>
        <v>0</v>
      </c>
      <c r="R612" s="7">
        <f>IF($D612='[2]Beam '!R$44,$P612*'[2]Beam '!R$45,0)</f>
        <v>0</v>
      </c>
      <c r="S612" s="7">
        <f>IF($D612='[2]Beam '!S$44,$P612*'[2]Beam '!S$45,0)</f>
        <v>0</v>
      </c>
      <c r="T612" s="7">
        <f>IF($D612='[2]Beam '!T$44,$P612*'[2]Beam '!T$45,0)</f>
        <v>0</v>
      </c>
      <c r="U612" s="7">
        <f>IF($D612='[2]Beam '!U$44,$P612*'[2]Beam '!U$45,0)</f>
        <v>10.608714285714287</v>
      </c>
      <c r="V612" s="7">
        <f>IF($D612='[2]Beam '!V$44,$P612*'[2]Beam '!V$45,0)</f>
        <v>0</v>
      </c>
      <c r="W612" s="7">
        <f>IF($D612='[2]Beam '!W$44,$P612*'[2]Beam '!W$45,0)</f>
        <v>0</v>
      </c>
      <c r="X612" s="7">
        <f>SUM(Q612:W612)</f>
        <v>10.608714285714287</v>
      </c>
      <c r="Y612" s="7"/>
      <c r="Z612" s="7"/>
      <c r="AA612" s="7"/>
      <c r="AB612" s="7"/>
      <c r="AC612" s="7"/>
      <c r="AD612" s="7"/>
      <c r="AE612" s="7"/>
      <c r="AF612" s="7"/>
    </row>
    <row r="613" spans="1:32" s="9" customFormat="1" ht="20.100000000000001" customHeight="1" x14ac:dyDescent="0.25">
      <c r="A613" s="6"/>
      <c r="B613" s="10" t="s">
        <v>2</v>
      </c>
      <c r="C613" s="13" t="s">
        <v>26</v>
      </c>
      <c r="D613" s="7">
        <v>12</v>
      </c>
      <c r="E613" s="7">
        <v>0.1</v>
      </c>
      <c r="F613" s="7">
        <f>ROUNDUP(E608/E613,0)</f>
        <v>23</v>
      </c>
      <c r="H613" s="7"/>
      <c r="I613" s="7"/>
      <c r="J613" s="7"/>
      <c r="K613" s="7"/>
      <c r="L613" s="7"/>
      <c r="M613" s="7"/>
      <c r="N613" s="7"/>
      <c r="O613" s="7">
        <f>(2*((G608-(2*'[2]Beam '!$D$11))+(F608-(2*'[2]Beam '!$D$11)))+(2*10*D613/1000))*D608</f>
        <v>2</v>
      </c>
      <c r="P613" s="7">
        <f>O613*F613</f>
        <v>46</v>
      </c>
      <c r="Q613" s="7">
        <f>IF($D613='[2]Beam '!Q$44,$P613*'[2]Beam '!Q$45,0)</f>
        <v>0</v>
      </c>
      <c r="R613" s="7">
        <f>IF($D613='[2]Beam '!R$44,$P613*'[2]Beam '!R$45,0)</f>
        <v>0</v>
      </c>
      <c r="S613" s="7">
        <f>IF($D613='[2]Beam '!S$44,$P613*'[2]Beam '!S$45,0)</f>
        <v>40.855885714285719</v>
      </c>
      <c r="T613" s="7">
        <f>IF($D613='[2]Beam '!T$44,$P613*'[2]Beam '!T$45,0)</f>
        <v>0</v>
      </c>
      <c r="U613" s="7">
        <f>IF($D613='[2]Beam '!U$44,$P613*'[2]Beam '!U$45,0)</f>
        <v>0</v>
      </c>
      <c r="V613" s="7">
        <f>IF($D613='[2]Beam '!V$44,$P613*'[2]Beam '!V$45,0)</f>
        <v>0</v>
      </c>
      <c r="W613" s="7">
        <f>IF($D613='[2]Beam '!W$44,$P613*'[2]Beam '!W$45,0)</f>
        <v>0</v>
      </c>
      <c r="X613" s="7">
        <f>SUM(Q613:W613)</f>
        <v>40.855885714285719</v>
      </c>
      <c r="Y613" s="7"/>
      <c r="Z613" s="7"/>
      <c r="AA613" s="7"/>
      <c r="AB613" s="7"/>
      <c r="AC613" s="7"/>
      <c r="AD613" s="7"/>
      <c r="AE613" s="7"/>
    </row>
    <row r="614" spans="1:32" s="9" customFormat="1" ht="20.100000000000001" customHeight="1" x14ac:dyDescent="0.25">
      <c r="A614" s="7">
        <v>1</v>
      </c>
      <c r="B614" s="10" t="s">
        <v>2</v>
      </c>
      <c r="C614" s="11" t="s">
        <v>94</v>
      </c>
      <c r="D614" s="11">
        <v>1</v>
      </c>
      <c r="E614" s="11">
        <v>2.23</v>
      </c>
      <c r="F614" s="11">
        <v>0.2</v>
      </c>
      <c r="G614" s="11">
        <v>0.8</v>
      </c>
      <c r="H614" s="7">
        <f>G614-0.2</f>
        <v>0.60000000000000009</v>
      </c>
      <c r="I614" s="7">
        <f>E614*F614*G614*D614</f>
        <v>0.35680000000000001</v>
      </c>
      <c r="J614" s="7">
        <f>(2*(E614)*H614*D614)+(E614*F614)</f>
        <v>3.1220000000000003</v>
      </c>
      <c r="K614" s="12">
        <f>IF(E614=0.3,J614,0)</f>
        <v>0</v>
      </c>
      <c r="L614" s="12">
        <f>IF(AND(E614&gt;0.3,E614&lt;=0.75),J614,0)</f>
        <v>0</v>
      </c>
      <c r="M614" s="12">
        <f>IF(AND(E614&gt;0.75,E614&lt;=1.2),J614,0)</f>
        <v>0</v>
      </c>
      <c r="N614" s="12">
        <f>IF(E614&gt;1.2,J614,0)</f>
        <v>3.1220000000000003</v>
      </c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>
        <f>SUM(X615:X619)/I614</f>
        <v>325.17821016175532</v>
      </c>
      <c r="Z614" s="7"/>
      <c r="AA614" s="7"/>
      <c r="AB614" s="7"/>
      <c r="AC614" s="7"/>
      <c r="AD614" s="7"/>
      <c r="AE614" s="7"/>
    </row>
    <row r="615" spans="1:32" s="9" customFormat="1" ht="20.100000000000001" customHeight="1" x14ac:dyDescent="0.25">
      <c r="A615" s="6"/>
      <c r="B615" s="10" t="s">
        <v>2</v>
      </c>
      <c r="C615" s="13" t="s">
        <v>4</v>
      </c>
      <c r="D615" s="7">
        <v>25</v>
      </c>
      <c r="E615" s="7"/>
      <c r="F615" s="7">
        <v>2</v>
      </c>
      <c r="G615" s="8">
        <f>VLOOKUP(D615,'[2]Beam '!$C$20:$H$26,3,0)</f>
        <v>1</v>
      </c>
      <c r="H615" s="8"/>
      <c r="I615" s="7"/>
      <c r="J615" s="7"/>
      <c r="K615" s="7"/>
      <c r="L615" s="7"/>
      <c r="M615" s="7"/>
      <c r="N615" s="7"/>
      <c r="O615" s="7">
        <f>(E614+2*(G615+(12*D615/1000)))*D614</f>
        <v>4.83</v>
      </c>
      <c r="P615" s="7">
        <f>O615*F615</f>
        <v>9.66</v>
      </c>
      <c r="Q615" s="7">
        <f>IF($D615='[2]Beam '!Q$44,$P615*'[2]Beam '!Q$45,0)</f>
        <v>0</v>
      </c>
      <c r="R615" s="7">
        <f>IF($D615='[2]Beam '!R$44,$P615*'[2]Beam '!R$45,0)</f>
        <v>0</v>
      </c>
      <c r="S615" s="7">
        <f>IF($D615='[2]Beam '!S$44,$P615*'[2]Beam '!S$45,0)</f>
        <v>0</v>
      </c>
      <c r="T615" s="7">
        <f>IF($D615='[2]Beam '!T$44,$P615*'[2]Beam '!T$45,0)</f>
        <v>0</v>
      </c>
      <c r="U615" s="7">
        <f>IF($D615='[2]Beam '!U$44,$P615*'[2]Beam '!U$45,0)</f>
        <v>0</v>
      </c>
      <c r="V615" s="7">
        <f>IF($D615='[2]Beam '!V$44,$P615*'[2]Beam '!V$45,0)</f>
        <v>37.238437500000003</v>
      </c>
      <c r="W615" s="7">
        <f>IF($D615='[2]Beam '!W$44,$P615*'[2]Beam '!W$45,0)</f>
        <v>0</v>
      </c>
      <c r="X615" s="7">
        <f>SUM(Q615:W615)</f>
        <v>37.238437500000003</v>
      </c>
      <c r="Y615" s="7"/>
      <c r="Z615" s="7"/>
      <c r="AA615" s="7"/>
      <c r="AB615" s="7"/>
      <c r="AC615" s="7"/>
      <c r="AD615" s="7"/>
      <c r="AE615" s="7"/>
    </row>
    <row r="616" spans="1:32" s="9" customFormat="1" ht="20.100000000000001" customHeight="1" x14ac:dyDescent="0.25">
      <c r="A616" s="6"/>
      <c r="B616" s="10" t="s">
        <v>2</v>
      </c>
      <c r="C616" s="13" t="s">
        <v>6</v>
      </c>
      <c r="D616" s="7">
        <v>20</v>
      </c>
      <c r="E616" s="7"/>
      <c r="F616" s="7">
        <v>2</v>
      </c>
      <c r="G616" s="8">
        <f>VLOOKUP(D616,'[2]Beam '!$C$20:$H$26,3,0)</f>
        <v>0.8</v>
      </c>
      <c r="H616" s="7"/>
      <c r="I616" s="7"/>
      <c r="J616" s="7"/>
      <c r="K616" s="7"/>
      <c r="L616" s="7"/>
      <c r="M616" s="7"/>
      <c r="N616" s="7"/>
      <c r="O616" s="7">
        <f>(E614+2*(G616+(12*D616/1000)))*D614</f>
        <v>4.3100000000000005</v>
      </c>
      <c r="P616" s="7">
        <f>O616*F616</f>
        <v>8.620000000000001</v>
      </c>
      <c r="Q616" s="7">
        <f>IF($D616='[2]Beam '!Q$44,$P616*'[2]Beam '!Q$45,0)</f>
        <v>0</v>
      </c>
      <c r="R616" s="7">
        <f>IF($D616='[2]Beam '!R$44,$P616*'[2]Beam '!R$45,0)</f>
        <v>0</v>
      </c>
      <c r="S616" s="7">
        <f>IF($D616='[2]Beam '!S$44,$P616*'[2]Beam '!S$45,0)</f>
        <v>0</v>
      </c>
      <c r="T616" s="7">
        <f>IF($D616='[2]Beam '!T$44,$P616*'[2]Beam '!T$45,0)</f>
        <v>0</v>
      </c>
      <c r="U616" s="7">
        <f>IF($D616='[2]Beam '!U$44,$P616*'[2]Beam '!U$45,0)</f>
        <v>21.266771428571431</v>
      </c>
      <c r="V616" s="7">
        <f>IF($D616='[2]Beam '!V$44,$P616*'[2]Beam '!V$45,0)</f>
        <v>0</v>
      </c>
      <c r="W616" s="7">
        <f>IF($D616='[2]Beam '!W$44,$P616*'[2]Beam '!W$45,0)</f>
        <v>0</v>
      </c>
      <c r="X616" s="7">
        <f>SUM(Q616:W616)</f>
        <v>21.266771428571431</v>
      </c>
      <c r="Y616" s="7"/>
      <c r="Z616" s="7"/>
      <c r="AA616" s="7"/>
      <c r="AB616" s="7"/>
      <c r="AC616" s="7"/>
      <c r="AD616" s="7"/>
      <c r="AE616" s="7"/>
    </row>
    <row r="617" spans="1:32" s="9" customFormat="1" ht="20.100000000000001" customHeight="1" x14ac:dyDescent="0.25">
      <c r="A617" s="6"/>
      <c r="B617" s="10" t="s">
        <v>2</v>
      </c>
      <c r="C617" s="13" t="s">
        <v>46</v>
      </c>
      <c r="D617" s="7">
        <v>16</v>
      </c>
      <c r="E617" s="7"/>
      <c r="F617" s="7">
        <v>2</v>
      </c>
      <c r="G617" s="8">
        <f>VLOOKUP(D617,'[2]Beam '!$C$20:$H$26,3,0)</f>
        <v>0.625</v>
      </c>
      <c r="H617" s="7"/>
      <c r="I617" s="7"/>
      <c r="J617" s="7"/>
      <c r="K617" s="7"/>
      <c r="L617" s="7"/>
      <c r="M617" s="7"/>
      <c r="N617" s="7"/>
      <c r="O617" s="7">
        <f>(1.1+1*(G617+(12*D617/1000)))*D614</f>
        <v>1.917</v>
      </c>
      <c r="P617" s="7">
        <f>O617*F617</f>
        <v>3.8340000000000001</v>
      </c>
      <c r="Q617" s="7">
        <f>IF($D617='[2]Beam '!Q$44,$P617*'[2]Beam '!Q$45,0)</f>
        <v>0</v>
      </c>
      <c r="R617" s="7">
        <f>IF($D617='[2]Beam '!R$44,$P617*'[2]Beam '!R$45,0)</f>
        <v>0</v>
      </c>
      <c r="S617" s="7">
        <f>IF($D617='[2]Beam '!S$44,$P617*'[2]Beam '!S$45,0)</f>
        <v>0</v>
      </c>
      <c r="T617" s="7">
        <f>IF($D617='[2]Beam '!T$44,$P617*'[2]Beam '!T$45,0)</f>
        <v>6.0537764571428578</v>
      </c>
      <c r="U617" s="7">
        <f>IF($D617='[2]Beam '!U$44,$P617*'[2]Beam '!U$45,0)</f>
        <v>0</v>
      </c>
      <c r="V617" s="7">
        <f>IF($D617='[2]Beam '!V$44,$P617*'[2]Beam '!V$45,0)</f>
        <v>0</v>
      </c>
      <c r="W617" s="7">
        <f>IF($D617='[2]Beam '!W$44,$P617*'[2]Beam '!W$45,0)</f>
        <v>0</v>
      </c>
      <c r="X617" s="7">
        <f>SUM(Q617:W617)</f>
        <v>6.0537764571428578</v>
      </c>
      <c r="Y617" s="7"/>
      <c r="Z617" s="7"/>
      <c r="AA617" s="7"/>
      <c r="AB617" s="7"/>
      <c r="AC617" s="7"/>
      <c r="AD617" s="7"/>
      <c r="AE617" s="7"/>
    </row>
    <row r="618" spans="1:32" s="9" customFormat="1" ht="21" customHeight="1" x14ac:dyDescent="0.25">
      <c r="A618" s="6"/>
      <c r="B618" s="10" t="s">
        <v>2</v>
      </c>
      <c r="C618" s="13" t="s">
        <v>13</v>
      </c>
      <c r="D618" s="7">
        <v>20</v>
      </c>
      <c r="E618" s="7"/>
      <c r="F618" s="7">
        <v>2</v>
      </c>
      <c r="G618" s="8">
        <f>VLOOKUP(D618,'[2]Beam '!$C$20:$H$26,3,0)</f>
        <v>0.8</v>
      </c>
      <c r="H618" s="7"/>
      <c r="I618" s="7"/>
      <c r="J618" s="7"/>
      <c r="K618" s="7"/>
      <c r="L618" s="7"/>
      <c r="M618" s="7"/>
      <c r="N618" s="7"/>
      <c r="O618" s="7">
        <f>(1.11+1*(G618+(12*D618/1000)))*D614</f>
        <v>2.1500000000000004</v>
      </c>
      <c r="P618" s="7">
        <f>O618*F618</f>
        <v>4.3000000000000007</v>
      </c>
      <c r="Q618" s="7">
        <f>IF($D618='[2]Beam '!Q$44,$P618*'[2]Beam '!Q$45,0)</f>
        <v>0</v>
      </c>
      <c r="R618" s="7">
        <f>IF($D618='[2]Beam '!R$44,$P618*'[2]Beam '!R$45,0)</f>
        <v>0</v>
      </c>
      <c r="S618" s="7">
        <f>IF($D618='[2]Beam '!S$44,$P618*'[2]Beam '!S$45,0)</f>
        <v>0</v>
      </c>
      <c r="T618" s="7">
        <f>IF($D618='[2]Beam '!T$44,$P618*'[2]Beam '!T$45,0)</f>
        <v>0</v>
      </c>
      <c r="U618" s="7">
        <f>IF($D618='[2]Beam '!U$44,$P618*'[2]Beam '!U$45,0)</f>
        <v>10.608714285714287</v>
      </c>
      <c r="V618" s="7">
        <f>IF($D618='[2]Beam '!V$44,$P618*'[2]Beam '!V$45,0)</f>
        <v>0</v>
      </c>
      <c r="W618" s="7">
        <f>IF($D618='[2]Beam '!W$44,$P618*'[2]Beam '!W$45,0)</f>
        <v>0</v>
      </c>
      <c r="X618" s="7">
        <f>SUM(Q618:W618)</f>
        <v>10.608714285714287</v>
      </c>
      <c r="Y618" s="7"/>
      <c r="Z618" s="7"/>
      <c r="AA618" s="7"/>
      <c r="AB618" s="7"/>
      <c r="AC618" s="7"/>
      <c r="AD618" s="7"/>
      <c r="AE618" s="7"/>
      <c r="AF618" s="7"/>
    </row>
    <row r="619" spans="1:32" s="9" customFormat="1" ht="20.100000000000001" customHeight="1" x14ac:dyDescent="0.25">
      <c r="A619" s="6"/>
      <c r="B619" s="10" t="s">
        <v>2</v>
      </c>
      <c r="C619" s="13" t="s">
        <v>26</v>
      </c>
      <c r="D619" s="7">
        <v>12</v>
      </c>
      <c r="E619" s="7">
        <v>0.1</v>
      </c>
      <c r="F619" s="7">
        <f>ROUNDUP(E614/E619,0)</f>
        <v>23</v>
      </c>
      <c r="H619" s="7"/>
      <c r="I619" s="7"/>
      <c r="J619" s="7"/>
      <c r="K619" s="7"/>
      <c r="L619" s="7"/>
      <c r="M619" s="7"/>
      <c r="N619" s="7"/>
      <c r="O619" s="7">
        <f>(2*((G614-(2*'[2]Beam '!$D$11))+(F614-(2*'[2]Beam '!$D$11)))+(2*10*D619/1000))*D614</f>
        <v>2</v>
      </c>
      <c r="P619" s="7">
        <f>O619*F619</f>
        <v>46</v>
      </c>
      <c r="Q619" s="7">
        <f>IF($D619='[2]Beam '!Q$44,$P619*'[2]Beam '!Q$45,0)</f>
        <v>0</v>
      </c>
      <c r="R619" s="7">
        <f>IF($D619='[2]Beam '!R$44,$P619*'[2]Beam '!R$45,0)</f>
        <v>0</v>
      </c>
      <c r="S619" s="7">
        <f>IF($D619='[2]Beam '!S$44,$P619*'[2]Beam '!S$45,0)</f>
        <v>40.855885714285719</v>
      </c>
      <c r="T619" s="7">
        <f>IF($D619='[2]Beam '!T$44,$P619*'[2]Beam '!T$45,0)</f>
        <v>0</v>
      </c>
      <c r="U619" s="7">
        <f>IF($D619='[2]Beam '!U$44,$P619*'[2]Beam '!U$45,0)</f>
        <v>0</v>
      </c>
      <c r="V619" s="7">
        <f>IF($D619='[2]Beam '!V$44,$P619*'[2]Beam '!V$45,0)</f>
        <v>0</v>
      </c>
      <c r="W619" s="7">
        <f>IF($D619='[2]Beam '!W$44,$P619*'[2]Beam '!W$45,0)</f>
        <v>0</v>
      </c>
      <c r="X619" s="7">
        <f>SUM(Q619:W619)</f>
        <v>40.855885714285719</v>
      </c>
      <c r="Y619" s="7"/>
      <c r="Z619" s="7"/>
      <c r="AA619" s="7"/>
      <c r="AB619" s="7"/>
      <c r="AC619" s="7"/>
      <c r="AD619" s="7"/>
      <c r="AE619" s="7"/>
    </row>
    <row r="620" spans="1:32" s="9" customFormat="1" ht="20.100000000000001" customHeight="1" x14ac:dyDescent="0.25">
      <c r="A620" s="7">
        <v>1</v>
      </c>
      <c r="B620" s="10" t="s">
        <v>2</v>
      </c>
      <c r="C620" s="11" t="s">
        <v>95</v>
      </c>
      <c r="D620" s="11">
        <v>1</v>
      </c>
      <c r="E620" s="11">
        <v>1.5</v>
      </c>
      <c r="F620" s="11">
        <v>0.2</v>
      </c>
      <c r="G620" s="11">
        <v>0.8</v>
      </c>
      <c r="H620" s="7">
        <f>G620-0.2</f>
        <v>0.60000000000000009</v>
      </c>
      <c r="I620" s="7">
        <f>E620*F620*G620*D620</f>
        <v>0.24000000000000005</v>
      </c>
      <c r="J620" s="7">
        <f>(2*(E620)*H620*D620)+(E620*F620)</f>
        <v>2.1000000000000005</v>
      </c>
      <c r="K620" s="12">
        <f>IF(E620=0.3,J620,0)</f>
        <v>0</v>
      </c>
      <c r="L620" s="12">
        <f>IF(AND(E620&gt;0.3,E620&lt;=0.75),J620,0)</f>
        <v>0</v>
      </c>
      <c r="M620" s="12">
        <f>IF(AND(E620&gt;0.75,E620&lt;=1.2),J620,0)</f>
        <v>0</v>
      </c>
      <c r="N620" s="12">
        <f>IF(E620&gt;1.2,J620,0)</f>
        <v>2.1000000000000005</v>
      </c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>
        <f>SUM(X621:X623)/I620</f>
        <v>258.22761904761904</v>
      </c>
      <c r="Z620" s="7"/>
      <c r="AA620" s="7"/>
      <c r="AB620" s="7"/>
      <c r="AC620" s="7"/>
      <c r="AD620" s="7"/>
      <c r="AE620" s="7"/>
    </row>
    <row r="621" spans="1:32" s="9" customFormat="1" ht="20.100000000000001" customHeight="1" x14ac:dyDescent="0.25">
      <c r="A621" s="6"/>
      <c r="B621" s="10" t="s">
        <v>2</v>
      </c>
      <c r="C621" s="13" t="s">
        <v>4</v>
      </c>
      <c r="D621" s="7">
        <v>20</v>
      </c>
      <c r="E621" s="7"/>
      <c r="F621" s="7">
        <v>2</v>
      </c>
      <c r="G621" s="8">
        <f>VLOOKUP(D621,'[2]Beam '!$C$20:$H$26,3,0)</f>
        <v>0.8</v>
      </c>
      <c r="H621" s="8"/>
      <c r="I621" s="7"/>
      <c r="J621" s="7"/>
      <c r="K621" s="7"/>
      <c r="L621" s="7"/>
      <c r="M621" s="7"/>
      <c r="N621" s="7"/>
      <c r="O621" s="7">
        <f>(E620+2*(G621+(12*D621/1000)))*D620</f>
        <v>3.58</v>
      </c>
      <c r="P621" s="7">
        <f>O621*F621</f>
        <v>7.16</v>
      </c>
      <c r="Q621" s="7">
        <f>IF($D621='[2]Beam '!Q$44,$P621*'[2]Beam '!Q$45,0)</f>
        <v>0</v>
      </c>
      <c r="R621" s="7">
        <f>IF($D621='[2]Beam '!R$44,$P621*'[2]Beam '!R$45,0)</f>
        <v>0</v>
      </c>
      <c r="S621" s="7">
        <f>IF($D621='[2]Beam '!S$44,$P621*'[2]Beam '!S$45,0)</f>
        <v>0</v>
      </c>
      <c r="T621" s="7">
        <f>IF($D621='[2]Beam '!T$44,$P621*'[2]Beam '!T$45,0)</f>
        <v>0</v>
      </c>
      <c r="U621" s="7">
        <f>IF($D621='[2]Beam '!U$44,$P621*'[2]Beam '!U$45,0)</f>
        <v>17.664742857142858</v>
      </c>
      <c r="V621" s="7">
        <f>IF($D621='[2]Beam '!V$44,$P621*'[2]Beam '!V$45,0)</f>
        <v>0</v>
      </c>
      <c r="W621" s="7">
        <f>IF($D621='[2]Beam '!W$44,$P621*'[2]Beam '!W$45,0)</f>
        <v>0</v>
      </c>
      <c r="X621" s="7">
        <f>SUM(Q621:W621)</f>
        <v>17.664742857142858</v>
      </c>
      <c r="Y621" s="7"/>
      <c r="Z621" s="7"/>
      <c r="AA621" s="7"/>
      <c r="AB621" s="7"/>
      <c r="AC621" s="7"/>
      <c r="AD621" s="7"/>
      <c r="AE621" s="7"/>
    </row>
    <row r="622" spans="1:32" s="9" customFormat="1" ht="21" customHeight="1" x14ac:dyDescent="0.25">
      <c r="A622" s="6"/>
      <c r="B622" s="10" t="s">
        <v>2</v>
      </c>
      <c r="C622" s="13" t="s">
        <v>6</v>
      </c>
      <c r="D622" s="7">
        <v>20</v>
      </c>
      <c r="E622" s="7"/>
      <c r="F622" s="7">
        <v>2</v>
      </c>
      <c r="G622" s="8">
        <f>VLOOKUP(D622,'[2]Beam '!$C$20:$H$26,3,0)</f>
        <v>0.8</v>
      </c>
      <c r="H622" s="7"/>
      <c r="I622" s="7"/>
      <c r="J622" s="7"/>
      <c r="K622" s="7"/>
      <c r="L622" s="7"/>
      <c r="M622" s="7"/>
      <c r="N622" s="7"/>
      <c r="O622" s="7">
        <f>(E620+2*(G622+(12*D622/1000)))*D620</f>
        <v>3.58</v>
      </c>
      <c r="P622" s="7">
        <f>O622*F622</f>
        <v>7.16</v>
      </c>
      <c r="Q622" s="7">
        <f>IF($D622='[2]Beam '!Q$44,$P622*'[2]Beam '!Q$45,0)</f>
        <v>0</v>
      </c>
      <c r="R622" s="7">
        <f>IF($D622='[2]Beam '!R$44,$P622*'[2]Beam '!R$45,0)</f>
        <v>0</v>
      </c>
      <c r="S622" s="7">
        <f>IF($D622='[2]Beam '!S$44,$P622*'[2]Beam '!S$45,0)</f>
        <v>0</v>
      </c>
      <c r="T622" s="7">
        <f>IF($D622='[2]Beam '!T$44,$P622*'[2]Beam '!T$45,0)</f>
        <v>0</v>
      </c>
      <c r="U622" s="7">
        <f>IF($D622='[2]Beam '!U$44,$P622*'[2]Beam '!U$45,0)</f>
        <v>17.664742857142858</v>
      </c>
      <c r="V622" s="7">
        <f>IF($D622='[2]Beam '!V$44,$P622*'[2]Beam '!V$45,0)</f>
        <v>0</v>
      </c>
      <c r="W622" s="7">
        <f>IF($D622='[2]Beam '!W$44,$P622*'[2]Beam '!W$45,0)</f>
        <v>0</v>
      </c>
      <c r="X622" s="7">
        <f>SUM(Q622:W622)</f>
        <v>17.664742857142858</v>
      </c>
      <c r="Y622" s="7"/>
      <c r="Z622" s="7"/>
      <c r="AA622" s="7"/>
      <c r="AB622" s="7"/>
      <c r="AC622" s="7"/>
      <c r="AD622" s="7"/>
      <c r="AE622" s="7"/>
      <c r="AF622" s="7"/>
    </row>
    <row r="623" spans="1:32" s="9" customFormat="1" ht="20.100000000000001" customHeight="1" x14ac:dyDescent="0.25">
      <c r="A623" s="6"/>
      <c r="B623" s="10" t="s">
        <v>2</v>
      </c>
      <c r="C623" s="13" t="s">
        <v>26</v>
      </c>
      <c r="D623" s="7">
        <v>12</v>
      </c>
      <c r="E623" s="7">
        <v>0.1</v>
      </c>
      <c r="F623" s="7">
        <f>ROUNDUP(E620/E623,0)</f>
        <v>15</v>
      </c>
      <c r="H623" s="7"/>
      <c r="I623" s="7"/>
      <c r="J623" s="7"/>
      <c r="K623" s="7"/>
      <c r="L623" s="7"/>
      <c r="M623" s="7"/>
      <c r="N623" s="7"/>
      <c r="O623" s="7">
        <f>(2*((G620-(2*'[2]Beam '!$D$11))+(F620-(2*'[2]Beam '!$D$11)))+(2*10*D623/1000))*D620</f>
        <v>2</v>
      </c>
      <c r="P623" s="7">
        <f>O623*F623</f>
        <v>30</v>
      </c>
      <c r="Q623" s="7">
        <f>IF($D623='[2]Beam '!Q$44,$P623*'[2]Beam '!Q$45,0)</f>
        <v>0</v>
      </c>
      <c r="R623" s="7">
        <f>IF($D623='[2]Beam '!R$44,$P623*'[2]Beam '!R$45,0)</f>
        <v>0</v>
      </c>
      <c r="S623" s="7">
        <f>IF($D623='[2]Beam '!S$44,$P623*'[2]Beam '!S$45,0)</f>
        <v>26.645142857142861</v>
      </c>
      <c r="T623" s="7">
        <f>IF($D623='[2]Beam '!T$44,$P623*'[2]Beam '!T$45,0)</f>
        <v>0</v>
      </c>
      <c r="U623" s="7">
        <f>IF($D623='[2]Beam '!U$44,$P623*'[2]Beam '!U$45,0)</f>
        <v>0</v>
      </c>
      <c r="V623" s="7">
        <f>IF($D623='[2]Beam '!V$44,$P623*'[2]Beam '!V$45,0)</f>
        <v>0</v>
      </c>
      <c r="W623" s="7">
        <f>IF($D623='[2]Beam '!W$44,$P623*'[2]Beam '!W$45,0)</f>
        <v>0</v>
      </c>
      <c r="X623" s="7">
        <f>SUM(Q623:W623)</f>
        <v>26.645142857142861</v>
      </c>
      <c r="Y623" s="7"/>
      <c r="Z623" s="7"/>
      <c r="AA623" s="7"/>
      <c r="AB623" s="7"/>
      <c r="AC623" s="7"/>
      <c r="AD623" s="7"/>
      <c r="AE623" s="7"/>
    </row>
    <row r="624" spans="1:32" s="9" customFormat="1" ht="20.100000000000001" customHeight="1" x14ac:dyDescent="0.25">
      <c r="A624" s="7">
        <v>1</v>
      </c>
      <c r="B624" s="10" t="s">
        <v>2</v>
      </c>
      <c r="C624" s="11" t="s">
        <v>96</v>
      </c>
      <c r="D624" s="11">
        <v>1</v>
      </c>
      <c r="E624" s="11">
        <v>1.375</v>
      </c>
      <c r="F624" s="11">
        <v>0.3</v>
      </c>
      <c r="G624" s="11">
        <v>1.1000000000000001</v>
      </c>
      <c r="H624" s="7">
        <f>G624-0.2</f>
        <v>0.90000000000000013</v>
      </c>
      <c r="I624" s="7">
        <f>E624*F624*G624*D624</f>
        <v>0.45374999999999999</v>
      </c>
      <c r="J624" s="7">
        <f>(2*(E624)*H624*D624)+(E624*F624)</f>
        <v>2.8875000000000006</v>
      </c>
      <c r="K624" s="12">
        <f>IF(E624=0.3,J624,0)</f>
        <v>0</v>
      </c>
      <c r="L624" s="12">
        <f>IF(AND(E624&gt;0.3,E624&lt;=0.75),J624,0)</f>
        <v>0</v>
      </c>
      <c r="M624" s="12">
        <f>IF(AND(E624&gt;0.75,E624&lt;=1.2),J624,0)</f>
        <v>0</v>
      </c>
      <c r="N624" s="12">
        <f>IF(E624&gt;1.2,J624,0)</f>
        <v>2.8875000000000006</v>
      </c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>
        <f>SUM(X626:X629)/I624</f>
        <v>164.46667532467538</v>
      </c>
      <c r="Z624" s="7"/>
      <c r="AA624" s="7"/>
      <c r="AB624" s="7"/>
      <c r="AC624" s="7"/>
      <c r="AD624" s="7"/>
      <c r="AE624" s="7"/>
    </row>
    <row r="625" spans="1:32" s="9" customFormat="1" ht="20.100000000000001" customHeight="1" x14ac:dyDescent="0.25">
      <c r="A625" s="6"/>
      <c r="B625" s="10" t="s">
        <v>2</v>
      </c>
      <c r="C625" s="13" t="s">
        <v>4</v>
      </c>
      <c r="D625" s="7">
        <v>25</v>
      </c>
      <c r="E625" s="7"/>
      <c r="F625" s="7">
        <v>2</v>
      </c>
      <c r="G625" s="8">
        <f>VLOOKUP(D625,'[2]Beam '!$C$20:$H$26,3,0)</f>
        <v>1</v>
      </c>
      <c r="H625" s="8"/>
      <c r="I625" s="7"/>
      <c r="J625" s="7"/>
      <c r="K625" s="7"/>
      <c r="L625" s="7"/>
      <c r="M625" s="7"/>
      <c r="N625" s="7"/>
      <c r="O625" s="7">
        <f>(E624+1*(G625+(12*D625/1000)))+1*(1.15/2)*D624</f>
        <v>3.25</v>
      </c>
      <c r="P625" s="7">
        <f t="shared" ref="P625:P630" si="113">O625*F625</f>
        <v>6.5</v>
      </c>
      <c r="Q625" s="7">
        <f>IF($D625='[2]Beam '!Q$44,$P625*'[2]Beam '!Q$45,0)</f>
        <v>0</v>
      </c>
      <c r="R625" s="7">
        <f>IF($D625='[2]Beam '!R$44,$P625*'[2]Beam '!R$45,0)</f>
        <v>0</v>
      </c>
      <c r="S625" s="7">
        <f>IF($D625='[2]Beam '!S$44,$P625*'[2]Beam '!S$45,0)</f>
        <v>0</v>
      </c>
      <c r="T625" s="7">
        <f>IF($D625='[2]Beam '!T$44,$P625*'[2]Beam '!T$45,0)</f>
        <v>0</v>
      </c>
      <c r="U625" s="7">
        <f>IF($D625='[2]Beam '!U$44,$P625*'[2]Beam '!U$45,0)</f>
        <v>0</v>
      </c>
      <c r="V625" s="7">
        <f>IF($D625='[2]Beam '!V$44,$P625*'[2]Beam '!V$45,0)</f>
        <v>25.056919642857146</v>
      </c>
      <c r="W625" s="7">
        <f>IF($D625='[2]Beam '!W$44,$P625*'[2]Beam '!W$45,0)</f>
        <v>0</v>
      </c>
      <c r="X625" s="7">
        <f t="shared" ref="X625:X630" si="114">SUM(Q625:W625)</f>
        <v>25.056919642857146</v>
      </c>
      <c r="Y625" s="7"/>
      <c r="Z625" s="7"/>
      <c r="AA625" s="7"/>
      <c r="AB625" s="7"/>
      <c r="AC625" s="7"/>
      <c r="AD625" s="7"/>
      <c r="AE625" s="7"/>
    </row>
    <row r="626" spans="1:32" s="9" customFormat="1" ht="20.100000000000001" customHeight="1" x14ac:dyDescent="0.25">
      <c r="A626" s="6"/>
      <c r="B626" s="10" t="s">
        <v>2</v>
      </c>
      <c r="C626" s="13" t="s">
        <v>4</v>
      </c>
      <c r="D626" s="7">
        <v>20</v>
      </c>
      <c r="E626" s="7"/>
      <c r="F626" s="7">
        <v>1</v>
      </c>
      <c r="G626" s="8">
        <f>VLOOKUP(D626,'[2]Beam '!$C$20:$H$26,3,0)</f>
        <v>0.8</v>
      </c>
      <c r="H626" s="8"/>
      <c r="I626" s="7"/>
      <c r="J626" s="7"/>
      <c r="K626" s="7"/>
      <c r="L626" s="7"/>
      <c r="M626" s="7"/>
      <c r="N626" s="7"/>
      <c r="O626" s="7">
        <f>(E624+1*(G626+(12*D626/1000)))+1*(1.15/2)*D624</f>
        <v>2.99</v>
      </c>
      <c r="P626" s="7">
        <f t="shared" si="113"/>
        <v>2.99</v>
      </c>
      <c r="Q626" s="7">
        <f>IF($D626='[2]Beam '!Q$44,$P626*'[2]Beam '!Q$45,0)</f>
        <v>0</v>
      </c>
      <c r="R626" s="7">
        <f>IF($D626='[2]Beam '!R$44,$P626*'[2]Beam '!R$45,0)</f>
        <v>0</v>
      </c>
      <c r="S626" s="7">
        <f>IF($D626='[2]Beam '!S$44,$P626*'[2]Beam '!S$45,0)</f>
        <v>0</v>
      </c>
      <c r="T626" s="7">
        <f>IF($D626='[2]Beam '!T$44,$P626*'[2]Beam '!T$45,0)</f>
        <v>0</v>
      </c>
      <c r="U626" s="7">
        <f>IF($D626='[2]Beam '!U$44,$P626*'[2]Beam '!U$45,0)</f>
        <v>7.3767571428571435</v>
      </c>
      <c r="V626" s="7">
        <f>IF($D626='[2]Beam '!V$44,$P626*'[2]Beam '!V$45,0)</f>
        <v>0</v>
      </c>
      <c r="W626" s="7">
        <f>IF($D626='[2]Beam '!W$44,$P626*'[2]Beam '!W$45,0)</f>
        <v>0</v>
      </c>
      <c r="X626" s="7">
        <f t="shared" si="114"/>
        <v>7.3767571428571435</v>
      </c>
      <c r="Y626" s="7"/>
      <c r="Z626" s="7"/>
      <c r="AA626" s="7"/>
      <c r="AB626" s="7"/>
      <c r="AC626" s="7"/>
      <c r="AD626" s="7"/>
      <c r="AE626" s="7"/>
    </row>
    <row r="627" spans="1:32" s="9" customFormat="1" ht="20.100000000000001" customHeight="1" x14ac:dyDescent="0.25">
      <c r="A627" s="6"/>
      <c r="B627" s="10" t="s">
        <v>2</v>
      </c>
      <c r="C627" s="13" t="s">
        <v>6</v>
      </c>
      <c r="D627" s="7">
        <v>25</v>
      </c>
      <c r="E627" s="7"/>
      <c r="F627" s="7">
        <v>2</v>
      </c>
      <c r="G627" s="8">
        <f>VLOOKUP(D627,'[2]Beam '!$C$20:$H$26,3,0)</f>
        <v>1</v>
      </c>
      <c r="H627" s="7"/>
      <c r="I627" s="7"/>
      <c r="J627" s="7"/>
      <c r="K627" s="7"/>
      <c r="L627" s="7"/>
      <c r="M627" s="7"/>
      <c r="N627" s="7"/>
      <c r="O627" s="7">
        <f>(E624+1*(G627+(12*D627/1000)))+1*(1.15/2)*D624</f>
        <v>3.25</v>
      </c>
      <c r="P627" s="7">
        <f t="shared" si="113"/>
        <v>6.5</v>
      </c>
      <c r="Q627" s="7">
        <f>IF($D627='[2]Beam '!Q$44,$P627*'[2]Beam '!Q$45,0)</f>
        <v>0</v>
      </c>
      <c r="R627" s="7">
        <f>IF($D627='[2]Beam '!R$44,$P627*'[2]Beam '!R$45,0)</f>
        <v>0</v>
      </c>
      <c r="S627" s="7">
        <f>IF($D627='[2]Beam '!S$44,$P627*'[2]Beam '!S$45,0)</f>
        <v>0</v>
      </c>
      <c r="T627" s="7">
        <f>IF($D627='[2]Beam '!T$44,$P627*'[2]Beam '!T$45,0)</f>
        <v>0</v>
      </c>
      <c r="U627" s="7">
        <f>IF($D627='[2]Beam '!U$44,$P627*'[2]Beam '!U$45,0)</f>
        <v>0</v>
      </c>
      <c r="V627" s="7">
        <f>IF($D627='[2]Beam '!V$44,$P627*'[2]Beam '!V$45,0)</f>
        <v>25.056919642857146</v>
      </c>
      <c r="W627" s="7">
        <f>IF($D627='[2]Beam '!W$44,$P627*'[2]Beam '!W$45,0)</f>
        <v>0</v>
      </c>
      <c r="X627" s="7">
        <f t="shared" si="114"/>
        <v>25.056919642857146</v>
      </c>
      <c r="Y627" s="7"/>
      <c r="Z627" s="7"/>
      <c r="AA627" s="7"/>
      <c r="AB627" s="7"/>
      <c r="AC627" s="7"/>
      <c r="AD627" s="7"/>
      <c r="AE627" s="7"/>
    </row>
    <row r="628" spans="1:32" s="14" customFormat="1" ht="20.100000000000001" customHeight="1" x14ac:dyDescent="0.3">
      <c r="A628" s="6"/>
      <c r="B628" s="10" t="s">
        <v>2</v>
      </c>
      <c r="C628" s="13" t="s">
        <v>6</v>
      </c>
      <c r="D628" s="7">
        <v>20</v>
      </c>
      <c r="E628" s="7"/>
      <c r="F628" s="7">
        <v>1</v>
      </c>
      <c r="G628" s="8">
        <f>VLOOKUP(D628,'[2]Beam '!$C$20:$H$26,3,0)</f>
        <v>0.8</v>
      </c>
      <c r="H628" s="7"/>
      <c r="I628" s="7"/>
      <c r="J628" s="7"/>
      <c r="K628" s="7"/>
      <c r="L628" s="7"/>
      <c r="M628" s="7"/>
      <c r="N628" s="7"/>
      <c r="O628" s="7">
        <f>(E624+1*(G628+(12*D628/1000)))+1*(1.15/2)*D624</f>
        <v>2.99</v>
      </c>
      <c r="P628" s="7">
        <f t="shared" si="113"/>
        <v>2.99</v>
      </c>
      <c r="Q628" s="7">
        <f>IF($D628='[2]Beam '!Q$44,$P628*'[2]Beam '!Q$45,0)</f>
        <v>0</v>
      </c>
      <c r="R628" s="7">
        <f>IF($D628='[2]Beam '!R$44,$P628*'[2]Beam '!R$45,0)</f>
        <v>0</v>
      </c>
      <c r="S628" s="7">
        <f>IF($D628='[2]Beam '!S$44,$P628*'[2]Beam '!S$45,0)</f>
        <v>0</v>
      </c>
      <c r="T628" s="7">
        <f>IF($D628='[2]Beam '!T$44,$P628*'[2]Beam '!T$45,0)</f>
        <v>0</v>
      </c>
      <c r="U628" s="7">
        <f>IF($D628='[2]Beam '!U$44,$P628*'[2]Beam '!U$45,0)</f>
        <v>7.3767571428571435</v>
      </c>
      <c r="V628" s="7">
        <f>IF($D628='[2]Beam '!V$44,$P628*'[2]Beam '!V$45,0)</f>
        <v>0</v>
      </c>
      <c r="W628" s="7">
        <f>IF($D628='[2]Beam '!W$44,$P628*'[2]Beam '!W$45,0)</f>
        <v>0</v>
      </c>
      <c r="X628" s="7">
        <f t="shared" si="114"/>
        <v>7.3767571428571435</v>
      </c>
      <c r="Y628" s="7"/>
    </row>
    <row r="629" spans="1:32" s="9" customFormat="1" ht="21" customHeight="1" x14ac:dyDescent="0.25">
      <c r="A629" s="6"/>
      <c r="B629" s="10" t="s">
        <v>2</v>
      </c>
      <c r="C629" s="13" t="s">
        <v>26</v>
      </c>
      <c r="D629" s="7">
        <v>12</v>
      </c>
      <c r="E629" s="7">
        <v>0.1</v>
      </c>
      <c r="F629" s="7">
        <f>ROUNDUP(E624/E629,0)</f>
        <v>14</v>
      </c>
      <c r="H629" s="7"/>
      <c r="I629" s="7"/>
      <c r="J629" s="7"/>
      <c r="K629" s="7"/>
      <c r="L629" s="7"/>
      <c r="M629" s="7"/>
      <c r="N629" s="7"/>
      <c r="O629" s="7">
        <f>(2*((G624-(2*'[2]Beam '!$D$11))+(F624-(2*'[2]Beam '!$D$11)))+(2*10*D629/1000))*D624</f>
        <v>2.8</v>
      </c>
      <c r="P629" s="7">
        <f t="shared" si="113"/>
        <v>39.199999999999996</v>
      </c>
      <c r="Q629" s="7">
        <f>IF($D629='[2]Beam '!Q$44,$P629*'[2]Beam '!Q$45,0)</f>
        <v>0</v>
      </c>
      <c r="R629" s="7">
        <f>IF($D629='[2]Beam '!R$44,$P629*'[2]Beam '!R$45,0)</f>
        <v>0</v>
      </c>
      <c r="S629" s="7">
        <f>IF($D629='[2]Beam '!S$44,$P629*'[2]Beam '!S$45,0)</f>
        <v>34.816320000000005</v>
      </c>
      <c r="T629" s="7">
        <f>IF($D629='[2]Beam '!T$44,$P629*'[2]Beam '!T$45,0)</f>
        <v>0</v>
      </c>
      <c r="U629" s="7">
        <f>IF($D629='[2]Beam '!U$44,$P629*'[2]Beam '!U$45,0)</f>
        <v>0</v>
      </c>
      <c r="V629" s="7">
        <f>IF($D629='[2]Beam '!V$44,$P629*'[2]Beam '!V$45,0)</f>
        <v>0</v>
      </c>
      <c r="W629" s="7">
        <f>IF($D629='[2]Beam '!W$44,$P629*'[2]Beam '!W$45,0)</f>
        <v>0</v>
      </c>
      <c r="X629" s="7">
        <f t="shared" si="114"/>
        <v>34.816320000000005</v>
      </c>
      <c r="Y629" s="7"/>
      <c r="Z629" s="7"/>
      <c r="AA629" s="7"/>
      <c r="AB629" s="7"/>
      <c r="AC629" s="7"/>
      <c r="AD629" s="7"/>
      <c r="AE629" s="7"/>
      <c r="AF629" s="7"/>
    </row>
    <row r="630" spans="1:32" s="9" customFormat="1" ht="20.100000000000001" customHeight="1" x14ac:dyDescent="0.25">
      <c r="A630" s="14"/>
      <c r="B630" s="10" t="s">
        <v>2</v>
      </c>
      <c r="C630" s="13" t="s">
        <v>47</v>
      </c>
      <c r="D630" s="7">
        <f>+D629</f>
        <v>12</v>
      </c>
      <c r="E630" s="14">
        <f>+E629</f>
        <v>0.1</v>
      </c>
      <c r="F630" s="7">
        <f>ROUNDUP(E624/E630,0)</f>
        <v>14</v>
      </c>
      <c r="H630" s="14"/>
      <c r="I630" s="14"/>
      <c r="J630" s="14"/>
      <c r="K630" s="14"/>
      <c r="L630" s="14"/>
      <c r="M630" s="14"/>
      <c r="N630" s="14"/>
      <c r="O630" s="7">
        <f>((((G624-(2*'[2]Beam '!$D$11))+(2*10*D630/1000))*D624))</f>
        <v>1.28</v>
      </c>
      <c r="P630" s="7">
        <f t="shared" si="113"/>
        <v>17.920000000000002</v>
      </c>
      <c r="Q630" s="7">
        <f>IF($D630='[2]Beam '!Q$44,$P630*'[2]Beam '!Q$45,0)</f>
        <v>0</v>
      </c>
      <c r="R630" s="7">
        <f>IF($D630='[2]Beam '!R$44,$P630*'[2]Beam '!R$45,0)</f>
        <v>0</v>
      </c>
      <c r="S630" s="7">
        <f>IF($D630='[2]Beam '!S$44,$P630*'[2]Beam '!S$45,0)</f>
        <v>15.916032000000005</v>
      </c>
      <c r="T630" s="7">
        <f>IF($D630='[2]Beam '!T$44,$P630*'[2]Beam '!T$45,0)</f>
        <v>0</v>
      </c>
      <c r="U630" s="7">
        <f>IF($D630='[2]Beam '!U$44,$P630*'[2]Beam '!U$45,0)</f>
        <v>0</v>
      </c>
      <c r="V630" s="7">
        <f>IF($D630='[2]Beam '!V$44,$P630*'[2]Beam '!V$45,0)</f>
        <v>0</v>
      </c>
      <c r="W630" s="7">
        <f>IF($D630='[2]Beam '!W$44,$P630*'[2]Beam '!W$45,0)</f>
        <v>0</v>
      </c>
      <c r="X630" s="7">
        <f t="shared" si="114"/>
        <v>15.916032000000005</v>
      </c>
      <c r="Y630" s="14"/>
      <c r="Z630" s="7"/>
      <c r="AA630" s="7"/>
      <c r="AB630" s="7"/>
      <c r="AC630" s="7"/>
      <c r="AD630" s="7"/>
      <c r="AE630" s="7"/>
    </row>
    <row r="631" spans="1:32" s="9" customFormat="1" ht="20.100000000000001" customHeight="1" x14ac:dyDescent="0.25">
      <c r="A631" s="7">
        <v>1</v>
      </c>
      <c r="B631" s="10" t="s">
        <v>2</v>
      </c>
      <c r="C631" s="11" t="s">
        <v>97</v>
      </c>
      <c r="D631" s="11">
        <v>1</v>
      </c>
      <c r="E631" s="11">
        <v>3.05</v>
      </c>
      <c r="F631" s="11">
        <v>0.3</v>
      </c>
      <c r="G631" s="11">
        <v>1.1000000000000001</v>
      </c>
      <c r="H631" s="7">
        <f>G631-0.2</f>
        <v>0.90000000000000013</v>
      </c>
      <c r="I631" s="7">
        <f>E631*F631*G631*D631</f>
        <v>1.0065</v>
      </c>
      <c r="J631" s="7">
        <f>(2*(E631)*H631*D631)+(E631*F631)</f>
        <v>6.4050000000000002</v>
      </c>
      <c r="K631" s="12">
        <f>IF(E631=0.3,J631,0)</f>
        <v>0</v>
      </c>
      <c r="L631" s="12">
        <f>IF(AND(E631&gt;0.3,E631&lt;=0.75),J631,0)</f>
        <v>0</v>
      </c>
      <c r="M631" s="12">
        <f>IF(AND(E631&gt;0.75,E631&lt;=1.2),J631,0)</f>
        <v>0</v>
      </c>
      <c r="N631" s="12">
        <f>IF(E631&gt;1.2,J631,0)</f>
        <v>6.4050000000000002</v>
      </c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>
        <f>SUM(X633:X636)/I631</f>
        <v>124.01866315378611</v>
      </c>
      <c r="Z631" s="7"/>
      <c r="AA631" s="7"/>
      <c r="AB631" s="7"/>
      <c r="AC631" s="7"/>
      <c r="AD631" s="7"/>
      <c r="AE631" s="7"/>
    </row>
    <row r="632" spans="1:32" s="9" customFormat="1" ht="20.100000000000001" customHeight="1" x14ac:dyDescent="0.25">
      <c r="A632" s="6"/>
      <c r="B632" s="10" t="s">
        <v>2</v>
      </c>
      <c r="C632" s="13" t="s">
        <v>4</v>
      </c>
      <c r="D632" s="7">
        <v>25</v>
      </c>
      <c r="E632" s="7"/>
      <c r="F632" s="7">
        <v>2</v>
      </c>
      <c r="G632" s="8">
        <f>VLOOKUP(D632,'[2]Beam '!$C$20:$H$26,3,0)</f>
        <v>1</v>
      </c>
      <c r="H632" s="8"/>
      <c r="I632" s="7"/>
      <c r="J632" s="7"/>
      <c r="K632" s="7"/>
      <c r="L632" s="7"/>
      <c r="M632" s="7"/>
      <c r="N632" s="7"/>
      <c r="O632" s="7">
        <f>(E631+1*(0.3/2))+1*(1.15/2)*D631</f>
        <v>3.7749999999999995</v>
      </c>
      <c r="P632" s="7">
        <f t="shared" ref="P632:P637" si="115">O632*F632</f>
        <v>7.5499999999999989</v>
      </c>
      <c r="Q632" s="7">
        <f>IF($D632='[2]Beam '!Q$44,$P632*'[2]Beam '!Q$45,0)</f>
        <v>0</v>
      </c>
      <c r="R632" s="7">
        <f>IF($D632='[2]Beam '!R$44,$P632*'[2]Beam '!R$45,0)</f>
        <v>0</v>
      </c>
      <c r="S632" s="7">
        <f>IF($D632='[2]Beam '!S$44,$P632*'[2]Beam '!S$45,0)</f>
        <v>0</v>
      </c>
      <c r="T632" s="7">
        <f>IF($D632='[2]Beam '!T$44,$P632*'[2]Beam '!T$45,0)</f>
        <v>0</v>
      </c>
      <c r="U632" s="7">
        <f>IF($D632='[2]Beam '!U$44,$P632*'[2]Beam '!U$45,0)</f>
        <v>0</v>
      </c>
      <c r="V632" s="7">
        <f>IF($D632='[2]Beam '!V$44,$P632*'[2]Beam '!V$45,0)</f>
        <v>29.104575892857142</v>
      </c>
      <c r="W632" s="7">
        <f>IF($D632='[2]Beam '!W$44,$P632*'[2]Beam '!W$45,0)</f>
        <v>0</v>
      </c>
      <c r="X632" s="7">
        <f t="shared" ref="X632:X637" si="116">SUM(Q632:W632)</f>
        <v>29.104575892857142</v>
      </c>
      <c r="Y632" s="7"/>
      <c r="Z632" s="7"/>
      <c r="AA632" s="7"/>
      <c r="AB632" s="7"/>
      <c r="AC632" s="7"/>
      <c r="AD632" s="7"/>
      <c r="AE632" s="7"/>
    </row>
    <row r="633" spans="1:32" s="9" customFormat="1" ht="20.100000000000001" customHeight="1" x14ac:dyDescent="0.25">
      <c r="A633" s="6"/>
      <c r="B633" s="10" t="s">
        <v>2</v>
      </c>
      <c r="C633" s="13" t="s">
        <v>4</v>
      </c>
      <c r="D633" s="7">
        <v>20</v>
      </c>
      <c r="E633" s="7"/>
      <c r="F633" s="7">
        <v>1</v>
      </c>
      <c r="G633" s="8">
        <f>VLOOKUP(D633,'[2]Beam '!$C$20:$H$26,3,0)</f>
        <v>0.8</v>
      </c>
      <c r="H633" s="8"/>
      <c r="I633" s="7"/>
      <c r="J633" s="7"/>
      <c r="K633" s="7"/>
      <c r="L633" s="7"/>
      <c r="M633" s="7"/>
      <c r="N633" s="7"/>
      <c r="O633" s="7">
        <f>(E631+1*(0.3/2))+1*(1.15/2)*D631</f>
        <v>3.7749999999999995</v>
      </c>
      <c r="P633" s="7">
        <f t="shared" si="115"/>
        <v>3.7749999999999995</v>
      </c>
      <c r="Q633" s="7">
        <f>IF($D633='[2]Beam '!Q$44,$P633*'[2]Beam '!Q$45,0)</f>
        <v>0</v>
      </c>
      <c r="R633" s="7">
        <f>IF($D633='[2]Beam '!R$44,$P633*'[2]Beam '!R$45,0)</f>
        <v>0</v>
      </c>
      <c r="S633" s="7">
        <f>IF($D633='[2]Beam '!S$44,$P633*'[2]Beam '!S$45,0)</f>
        <v>0</v>
      </c>
      <c r="T633" s="7">
        <f>IF($D633='[2]Beam '!T$44,$P633*'[2]Beam '!T$45,0)</f>
        <v>0</v>
      </c>
      <c r="U633" s="7">
        <f>IF($D633='[2]Beam '!U$44,$P633*'[2]Beam '!U$45,0)</f>
        <v>9.313464285714284</v>
      </c>
      <c r="V633" s="7">
        <f>IF($D633='[2]Beam '!V$44,$P633*'[2]Beam '!V$45,0)</f>
        <v>0</v>
      </c>
      <c r="W633" s="7">
        <f>IF($D633='[2]Beam '!W$44,$P633*'[2]Beam '!W$45,0)</f>
        <v>0</v>
      </c>
      <c r="X633" s="7">
        <f t="shared" si="116"/>
        <v>9.313464285714284</v>
      </c>
      <c r="Y633" s="7"/>
      <c r="Z633" s="7"/>
      <c r="AA633" s="7"/>
      <c r="AB633" s="7"/>
      <c r="AC633" s="7"/>
      <c r="AD633" s="7"/>
      <c r="AE633" s="7"/>
    </row>
    <row r="634" spans="1:32" s="9" customFormat="1" ht="20.100000000000001" customHeight="1" x14ac:dyDescent="0.25">
      <c r="A634" s="6"/>
      <c r="B634" s="10" t="s">
        <v>2</v>
      </c>
      <c r="C634" s="13" t="s">
        <v>6</v>
      </c>
      <c r="D634" s="7">
        <v>25</v>
      </c>
      <c r="E634" s="7"/>
      <c r="F634" s="7">
        <v>2</v>
      </c>
      <c r="G634" s="8">
        <f>VLOOKUP(D634,'[2]Beam '!$C$20:$H$26,3,0)</f>
        <v>1</v>
      </c>
      <c r="H634" s="7"/>
      <c r="I634" s="7"/>
      <c r="J634" s="7"/>
      <c r="K634" s="7"/>
      <c r="L634" s="7"/>
      <c r="M634" s="7"/>
      <c r="N634" s="7"/>
      <c r="O634" s="7">
        <f>(E631+1*(0.3/2))+1*(1.15/2)*D631</f>
        <v>3.7749999999999995</v>
      </c>
      <c r="P634" s="7">
        <f t="shared" si="115"/>
        <v>7.5499999999999989</v>
      </c>
      <c r="Q634" s="7">
        <f>IF($D634='[2]Beam '!Q$44,$P634*'[2]Beam '!Q$45,0)</f>
        <v>0</v>
      </c>
      <c r="R634" s="7">
        <f>IF($D634='[2]Beam '!R$44,$P634*'[2]Beam '!R$45,0)</f>
        <v>0</v>
      </c>
      <c r="S634" s="7">
        <f>IF($D634='[2]Beam '!S$44,$P634*'[2]Beam '!S$45,0)</f>
        <v>0</v>
      </c>
      <c r="T634" s="7">
        <f>IF($D634='[2]Beam '!T$44,$P634*'[2]Beam '!T$45,0)</f>
        <v>0</v>
      </c>
      <c r="U634" s="7">
        <f>IF($D634='[2]Beam '!U$44,$P634*'[2]Beam '!U$45,0)</f>
        <v>0</v>
      </c>
      <c r="V634" s="7">
        <f>IF($D634='[2]Beam '!V$44,$P634*'[2]Beam '!V$45,0)</f>
        <v>29.104575892857142</v>
      </c>
      <c r="W634" s="7">
        <f>IF($D634='[2]Beam '!W$44,$P634*'[2]Beam '!W$45,0)</f>
        <v>0</v>
      </c>
      <c r="X634" s="7">
        <f t="shared" si="116"/>
        <v>29.104575892857142</v>
      </c>
      <c r="Y634" s="7"/>
      <c r="Z634" s="7"/>
      <c r="AA634" s="7"/>
      <c r="AB634" s="7"/>
      <c r="AC634" s="7"/>
      <c r="AD634" s="7"/>
      <c r="AE634" s="7"/>
    </row>
    <row r="635" spans="1:32" s="14" customFormat="1" ht="20.100000000000001" customHeight="1" x14ac:dyDescent="0.3">
      <c r="A635" s="6"/>
      <c r="B635" s="10" t="s">
        <v>2</v>
      </c>
      <c r="C635" s="13" t="s">
        <v>6</v>
      </c>
      <c r="D635" s="7">
        <v>20</v>
      </c>
      <c r="E635" s="7"/>
      <c r="F635" s="7">
        <v>1</v>
      </c>
      <c r="G635" s="8">
        <f>VLOOKUP(D635,'[2]Beam '!$C$20:$H$26,3,0)</f>
        <v>0.8</v>
      </c>
      <c r="H635" s="7"/>
      <c r="I635" s="7"/>
      <c r="J635" s="7"/>
      <c r="K635" s="7"/>
      <c r="L635" s="7"/>
      <c r="M635" s="7"/>
      <c r="N635" s="7"/>
      <c r="O635" s="7">
        <f>(E631+1*(0.3/2))+1*(1.15/2)*D631</f>
        <v>3.7749999999999995</v>
      </c>
      <c r="P635" s="7">
        <f t="shared" si="115"/>
        <v>3.7749999999999995</v>
      </c>
      <c r="Q635" s="7">
        <f>IF($D635='[2]Beam '!Q$44,$P635*'[2]Beam '!Q$45,0)</f>
        <v>0</v>
      </c>
      <c r="R635" s="7">
        <f>IF($D635='[2]Beam '!R$44,$P635*'[2]Beam '!R$45,0)</f>
        <v>0</v>
      </c>
      <c r="S635" s="7">
        <f>IF($D635='[2]Beam '!S$44,$P635*'[2]Beam '!S$45,0)</f>
        <v>0</v>
      </c>
      <c r="T635" s="7">
        <f>IF($D635='[2]Beam '!T$44,$P635*'[2]Beam '!T$45,0)</f>
        <v>0</v>
      </c>
      <c r="U635" s="7">
        <f>IF($D635='[2]Beam '!U$44,$P635*'[2]Beam '!U$45,0)</f>
        <v>9.313464285714284</v>
      </c>
      <c r="V635" s="7">
        <f>IF($D635='[2]Beam '!V$44,$P635*'[2]Beam '!V$45,0)</f>
        <v>0</v>
      </c>
      <c r="W635" s="7">
        <f>IF($D635='[2]Beam '!W$44,$P635*'[2]Beam '!W$45,0)</f>
        <v>0</v>
      </c>
      <c r="X635" s="7">
        <f t="shared" si="116"/>
        <v>9.313464285714284</v>
      </c>
      <c r="Y635" s="7"/>
    </row>
    <row r="636" spans="1:32" s="9" customFormat="1" ht="21" customHeight="1" x14ac:dyDescent="0.25">
      <c r="A636" s="6"/>
      <c r="B636" s="10" t="s">
        <v>2</v>
      </c>
      <c r="C636" s="13" t="s">
        <v>26</v>
      </c>
      <c r="D636" s="7">
        <v>12</v>
      </c>
      <c r="E636" s="7">
        <v>0.1</v>
      </c>
      <c r="F636" s="7">
        <f>ROUNDUP(E631/E636,0)</f>
        <v>31</v>
      </c>
      <c r="H636" s="7"/>
      <c r="I636" s="7"/>
      <c r="J636" s="7"/>
      <c r="K636" s="7"/>
      <c r="L636" s="7"/>
      <c r="M636" s="7"/>
      <c r="N636" s="7"/>
      <c r="O636" s="7">
        <f>(2*((G631-(2*'[2]Beam '!$D$11))+(F631-(2*'[2]Beam '!$D$11)))+(2*10*D636/1000))*D631</f>
        <v>2.8</v>
      </c>
      <c r="P636" s="7">
        <f t="shared" si="115"/>
        <v>86.8</v>
      </c>
      <c r="Q636" s="7">
        <f>IF($D636='[2]Beam '!Q$44,$P636*'[2]Beam '!Q$45,0)</f>
        <v>0</v>
      </c>
      <c r="R636" s="7">
        <f>IF($D636='[2]Beam '!R$44,$P636*'[2]Beam '!R$45,0)</f>
        <v>0</v>
      </c>
      <c r="S636" s="7">
        <f>IF($D636='[2]Beam '!S$44,$P636*'[2]Beam '!S$45,0)</f>
        <v>77.093280000000007</v>
      </c>
      <c r="T636" s="7">
        <f>IF($D636='[2]Beam '!T$44,$P636*'[2]Beam '!T$45,0)</f>
        <v>0</v>
      </c>
      <c r="U636" s="7">
        <f>IF($D636='[2]Beam '!U$44,$P636*'[2]Beam '!U$45,0)</f>
        <v>0</v>
      </c>
      <c r="V636" s="7">
        <f>IF($D636='[2]Beam '!V$44,$P636*'[2]Beam '!V$45,0)</f>
        <v>0</v>
      </c>
      <c r="W636" s="7">
        <f>IF($D636='[2]Beam '!W$44,$P636*'[2]Beam '!W$45,0)</f>
        <v>0</v>
      </c>
      <c r="X636" s="7">
        <f t="shared" si="116"/>
        <v>77.093280000000007</v>
      </c>
      <c r="Y636" s="7"/>
      <c r="Z636" s="7"/>
      <c r="AA636" s="7"/>
      <c r="AB636" s="7"/>
      <c r="AC636" s="7"/>
      <c r="AD636" s="7"/>
      <c r="AE636" s="7"/>
      <c r="AF636" s="7"/>
    </row>
    <row r="637" spans="1:32" s="9" customFormat="1" ht="20.100000000000001" customHeight="1" x14ac:dyDescent="0.25">
      <c r="A637" s="14"/>
      <c r="B637" s="10" t="s">
        <v>2</v>
      </c>
      <c r="C637" s="13" t="s">
        <v>47</v>
      </c>
      <c r="D637" s="7">
        <f>+D636</f>
        <v>12</v>
      </c>
      <c r="E637" s="14">
        <f>+E636</f>
        <v>0.1</v>
      </c>
      <c r="F637" s="7">
        <f>ROUNDUP(E631/E637,0)</f>
        <v>31</v>
      </c>
      <c r="H637" s="14"/>
      <c r="I637" s="14"/>
      <c r="J637" s="14"/>
      <c r="K637" s="14"/>
      <c r="L637" s="14"/>
      <c r="M637" s="14"/>
      <c r="N637" s="14"/>
      <c r="O637" s="7">
        <f>((((G631-(2*'[2]Beam '!$D$11))+(2*10*D637/1000))*D631))</f>
        <v>1.28</v>
      </c>
      <c r="P637" s="7">
        <f t="shared" si="115"/>
        <v>39.68</v>
      </c>
      <c r="Q637" s="7">
        <f>IF($D637='[2]Beam '!Q$44,$P637*'[2]Beam '!Q$45,0)</f>
        <v>0</v>
      </c>
      <c r="R637" s="7">
        <f>IF($D637='[2]Beam '!R$44,$P637*'[2]Beam '!R$45,0)</f>
        <v>0</v>
      </c>
      <c r="S637" s="7">
        <f>IF($D637='[2]Beam '!S$44,$P637*'[2]Beam '!S$45,0)</f>
        <v>35.24264228571429</v>
      </c>
      <c r="T637" s="7">
        <f>IF($D637='[2]Beam '!T$44,$P637*'[2]Beam '!T$45,0)</f>
        <v>0</v>
      </c>
      <c r="U637" s="7">
        <f>IF($D637='[2]Beam '!U$44,$P637*'[2]Beam '!U$45,0)</f>
        <v>0</v>
      </c>
      <c r="V637" s="7">
        <f>IF($D637='[2]Beam '!V$44,$P637*'[2]Beam '!V$45,0)</f>
        <v>0</v>
      </c>
      <c r="W637" s="7">
        <f>IF($D637='[2]Beam '!W$44,$P637*'[2]Beam '!W$45,0)</f>
        <v>0</v>
      </c>
      <c r="X637" s="7">
        <f t="shared" si="116"/>
        <v>35.24264228571429</v>
      </c>
      <c r="Y637" s="14"/>
      <c r="Z637" s="7"/>
      <c r="AA637" s="7"/>
      <c r="AB637" s="7"/>
      <c r="AC637" s="7"/>
      <c r="AD637" s="7"/>
      <c r="AE637" s="7"/>
    </row>
    <row r="638" spans="1:32" s="9" customFormat="1" ht="20.100000000000001" customHeight="1" x14ac:dyDescent="0.25">
      <c r="A638" s="7">
        <v>1</v>
      </c>
      <c r="B638" s="10" t="s">
        <v>2</v>
      </c>
      <c r="C638" s="11" t="s">
        <v>98</v>
      </c>
      <c r="D638" s="11">
        <v>1</v>
      </c>
      <c r="E638" s="11">
        <v>3.0489999999999999</v>
      </c>
      <c r="F638" s="11">
        <v>0.2</v>
      </c>
      <c r="G638" s="11">
        <v>1.1000000000000001</v>
      </c>
      <c r="H638" s="7">
        <f>G638-0.2</f>
        <v>0.90000000000000013</v>
      </c>
      <c r="I638" s="7">
        <f>E638*F638*G638*D638</f>
        <v>0.67078000000000004</v>
      </c>
      <c r="J638" s="7">
        <f>(2*(E638)*H638*D638)+(E638*F638)</f>
        <v>6.0980000000000008</v>
      </c>
      <c r="K638" s="12">
        <f>IF(E638=0.3,J638,0)</f>
        <v>0</v>
      </c>
      <c r="L638" s="12">
        <f>IF(AND(E638&gt;0.3,E638&lt;=0.75),J638,0)</f>
        <v>0</v>
      </c>
      <c r="M638" s="12">
        <f>IF(AND(E638&gt;0.75,E638&lt;=1.2),J638,0)</f>
        <v>0</v>
      </c>
      <c r="N638" s="12">
        <f>IF(E638&gt;1.2,J638,0)</f>
        <v>6.0980000000000008</v>
      </c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>
        <f>SUM(X640:X641)/I638</f>
        <v>103.49720927236098</v>
      </c>
      <c r="Z638" s="7"/>
      <c r="AA638" s="7"/>
      <c r="AB638" s="7"/>
      <c r="AC638" s="7"/>
      <c r="AD638" s="7"/>
      <c r="AE638" s="7"/>
    </row>
    <row r="639" spans="1:32" s="9" customFormat="1" ht="20.100000000000001" customHeight="1" x14ac:dyDescent="0.25">
      <c r="A639" s="6"/>
      <c r="B639" s="10" t="s">
        <v>2</v>
      </c>
      <c r="C639" s="13" t="s">
        <v>4</v>
      </c>
      <c r="D639" s="7">
        <v>25</v>
      </c>
      <c r="E639" s="7"/>
      <c r="F639" s="7">
        <v>2</v>
      </c>
      <c r="G639" s="8">
        <f>VLOOKUP(D639,'[2]Beam '!$C$20:$H$26,3,0)</f>
        <v>1</v>
      </c>
      <c r="H639" s="8"/>
      <c r="I639" s="7"/>
      <c r="J639" s="7"/>
      <c r="K639" s="7"/>
      <c r="L639" s="7"/>
      <c r="M639" s="7"/>
      <c r="N639" s="7"/>
      <c r="O639" s="7">
        <f>(E638+1*(G639+(12*D639/1000)))+1*(0.3/2)*D638</f>
        <v>4.4990000000000006</v>
      </c>
      <c r="P639" s="7">
        <f>O639*F639</f>
        <v>8.9980000000000011</v>
      </c>
      <c r="Q639" s="7">
        <f>IF($D639='[2]Beam '!Q$44,$P639*'[2]Beam '!Q$45,0)</f>
        <v>0</v>
      </c>
      <c r="R639" s="7">
        <f>IF($D639='[2]Beam '!R$44,$P639*'[2]Beam '!R$45,0)</f>
        <v>0</v>
      </c>
      <c r="S639" s="7">
        <f>IF($D639='[2]Beam '!S$44,$P639*'[2]Beam '!S$45,0)</f>
        <v>0</v>
      </c>
      <c r="T639" s="7">
        <f>IF($D639='[2]Beam '!T$44,$P639*'[2]Beam '!T$45,0)</f>
        <v>0</v>
      </c>
      <c r="U639" s="7">
        <f>IF($D639='[2]Beam '!U$44,$P639*'[2]Beam '!U$45,0)</f>
        <v>0</v>
      </c>
      <c r="V639" s="7">
        <f>IF($D639='[2]Beam '!V$44,$P639*'[2]Beam '!V$45,0)</f>
        <v>34.686486607142868</v>
      </c>
      <c r="W639" s="7">
        <f>IF($D639='[2]Beam '!W$44,$P639*'[2]Beam '!W$45,0)</f>
        <v>0</v>
      </c>
      <c r="X639" s="7">
        <f>SUM(Q639:W639)</f>
        <v>34.686486607142868</v>
      </c>
      <c r="Y639" s="7"/>
      <c r="Z639" s="7"/>
      <c r="AA639" s="7"/>
      <c r="AB639" s="7"/>
      <c r="AC639" s="7"/>
      <c r="AD639" s="7"/>
      <c r="AE639" s="7"/>
    </row>
    <row r="640" spans="1:32" s="14" customFormat="1" ht="20.100000000000001" customHeight="1" x14ac:dyDescent="0.3">
      <c r="A640" s="6"/>
      <c r="B640" s="10" t="s">
        <v>2</v>
      </c>
      <c r="C640" s="13" t="s">
        <v>6</v>
      </c>
      <c r="D640" s="7">
        <v>25</v>
      </c>
      <c r="E640" s="7"/>
      <c r="F640" s="7">
        <v>2</v>
      </c>
      <c r="G640" s="8">
        <f>VLOOKUP(D640,'[2]Beam '!$C$20:$H$26,3,0)</f>
        <v>1</v>
      </c>
      <c r="H640" s="7"/>
      <c r="I640" s="7"/>
      <c r="J640" s="7"/>
      <c r="K640" s="7"/>
      <c r="L640" s="7"/>
      <c r="M640" s="7"/>
      <c r="N640" s="7"/>
      <c r="O640" s="7">
        <f>(E638+1*(G640+(12*D640/1000)))+1*(0.3/2)*D638</f>
        <v>4.4990000000000006</v>
      </c>
      <c r="P640" s="7">
        <f>O640*F640</f>
        <v>8.9980000000000011</v>
      </c>
      <c r="Q640" s="7">
        <f>IF($D640='[2]Beam '!Q$44,$P640*'[2]Beam '!Q$45,0)</f>
        <v>0</v>
      </c>
      <c r="R640" s="7">
        <f>IF($D640='[2]Beam '!R$44,$P640*'[2]Beam '!R$45,0)</f>
        <v>0</v>
      </c>
      <c r="S640" s="7">
        <f>IF($D640='[2]Beam '!S$44,$P640*'[2]Beam '!S$45,0)</f>
        <v>0</v>
      </c>
      <c r="T640" s="7">
        <f>IF($D640='[2]Beam '!T$44,$P640*'[2]Beam '!T$45,0)</f>
        <v>0</v>
      </c>
      <c r="U640" s="7">
        <f>IF($D640='[2]Beam '!U$44,$P640*'[2]Beam '!U$45,0)</f>
        <v>0</v>
      </c>
      <c r="V640" s="7">
        <f>IF($D640='[2]Beam '!V$44,$P640*'[2]Beam '!V$45,0)</f>
        <v>34.686486607142868</v>
      </c>
      <c r="W640" s="7">
        <f>IF($D640='[2]Beam '!W$44,$P640*'[2]Beam '!W$45,0)</f>
        <v>0</v>
      </c>
      <c r="X640" s="7">
        <f>SUM(Q640:W640)</f>
        <v>34.686486607142868</v>
      </c>
      <c r="Y640" s="7"/>
    </row>
    <row r="641" spans="1:32" s="9" customFormat="1" ht="21" customHeight="1" x14ac:dyDescent="0.25">
      <c r="A641" s="6"/>
      <c r="B641" s="10" t="s">
        <v>2</v>
      </c>
      <c r="C641" s="13" t="s">
        <v>7</v>
      </c>
      <c r="D641" s="7">
        <v>10</v>
      </c>
      <c r="E641" s="7">
        <v>0.1</v>
      </c>
      <c r="F641" s="7">
        <f>ROUNDUP((E638/3*2)/E641,0)+1</f>
        <v>22</v>
      </c>
      <c r="H641" s="7"/>
      <c r="I641" s="7"/>
      <c r="J641" s="7"/>
      <c r="K641" s="7"/>
      <c r="L641" s="7"/>
      <c r="M641" s="7"/>
      <c r="N641" s="7"/>
      <c r="O641" s="7">
        <f>(2*((G638-(2*'[2]Beam '!$D$11))+(F638-(2*'[2]Beam '!$D$11)))+(2*10*D641/1000))*D638</f>
        <v>2.5600000000000005</v>
      </c>
      <c r="P641" s="7">
        <f>O641*F641</f>
        <v>56.320000000000007</v>
      </c>
      <c r="Q641" s="7">
        <f>IF($D641='[2]Beam '!Q$44,$P641*'[2]Beam '!Q$45,0)</f>
        <v>0</v>
      </c>
      <c r="R641" s="7">
        <f>IF($D641='[2]Beam '!R$44,$P641*'[2]Beam '!R$45,0)</f>
        <v>34.737371428571436</v>
      </c>
      <c r="S641" s="7">
        <f>IF($D641='[2]Beam '!S$44,$P641*'[2]Beam '!S$45,0)</f>
        <v>0</v>
      </c>
      <c r="T641" s="7">
        <f>IF($D641='[2]Beam '!T$44,$P641*'[2]Beam '!T$45,0)</f>
        <v>0</v>
      </c>
      <c r="U641" s="7">
        <f>IF($D641='[2]Beam '!U$44,$P641*'[2]Beam '!U$45,0)</f>
        <v>0</v>
      </c>
      <c r="V641" s="7">
        <f>IF($D641='[2]Beam '!V$44,$P641*'[2]Beam '!V$45,0)</f>
        <v>0</v>
      </c>
      <c r="W641" s="7">
        <f>IF($D641='[2]Beam '!W$44,$P641*'[2]Beam '!W$45,0)</f>
        <v>0</v>
      </c>
      <c r="X641" s="7">
        <f>SUM(Q641:W641)</f>
        <v>34.737371428571436</v>
      </c>
      <c r="Y641" s="7"/>
      <c r="Z641" s="7"/>
      <c r="AA641" s="7"/>
      <c r="AB641" s="7"/>
      <c r="AC641" s="7"/>
      <c r="AD641" s="7"/>
      <c r="AE641" s="7"/>
      <c r="AF641" s="7"/>
    </row>
    <row r="642" spans="1:32" s="9" customFormat="1" ht="20.100000000000001" customHeight="1" x14ac:dyDescent="0.25">
      <c r="A642" s="14"/>
      <c r="B642" s="10" t="s">
        <v>2</v>
      </c>
      <c r="C642" s="13" t="s">
        <v>8</v>
      </c>
      <c r="D642" s="14">
        <f>D641</f>
        <v>10</v>
      </c>
      <c r="E642" s="14">
        <v>0.15</v>
      </c>
      <c r="F642" s="7">
        <f>ROUNDUP((E638/3)/E642,0)+1</f>
        <v>8</v>
      </c>
      <c r="H642" s="14"/>
      <c r="I642" s="14"/>
      <c r="J642" s="14"/>
      <c r="K642" s="14"/>
      <c r="L642" s="14"/>
      <c r="M642" s="14"/>
      <c r="N642" s="14"/>
      <c r="O642" s="7">
        <f>(2*((G638-(2*'[2]Beam '!$D$11))+(F638-(2*'[2]Beam '!$D$11)))+(2*10*D642/1000))*D638</f>
        <v>2.5600000000000005</v>
      </c>
      <c r="P642" s="7">
        <f>O642*F642</f>
        <v>20.480000000000004</v>
      </c>
      <c r="Q642" s="7">
        <f>IF($D642='[2]Beam '!Q$44,$P642*'[2]Beam '!Q$45,0)</f>
        <v>0</v>
      </c>
      <c r="R642" s="7">
        <f>IF($D642='[2]Beam '!R$44,$P642*'[2]Beam '!R$45,0)</f>
        <v>12.631771428571431</v>
      </c>
      <c r="S642" s="7">
        <f>IF($D642='[2]Beam '!S$44,$P642*'[2]Beam '!S$45,0)</f>
        <v>0</v>
      </c>
      <c r="T642" s="7">
        <f>IF($D642='[2]Beam '!T$44,$P642*'[2]Beam '!T$45,0)</f>
        <v>0</v>
      </c>
      <c r="U642" s="7">
        <f>IF($D642='[2]Beam '!U$44,$P642*'[2]Beam '!U$45,0)</f>
        <v>0</v>
      </c>
      <c r="V642" s="7">
        <f>IF($D642='[2]Beam '!V$44,$P642*'[2]Beam '!V$45,0)</f>
        <v>0</v>
      </c>
      <c r="W642" s="7">
        <f>IF($D642='[2]Beam '!W$44,$P642*'[2]Beam '!W$45,0)</f>
        <v>0</v>
      </c>
      <c r="X642" s="7">
        <f>SUM(Q642:W642)</f>
        <v>12.631771428571431</v>
      </c>
      <c r="Y642" s="14"/>
      <c r="Z642" s="7"/>
      <c r="AA642" s="7"/>
      <c r="AB642" s="7"/>
      <c r="AC642" s="7"/>
      <c r="AD642" s="7"/>
      <c r="AE642" s="7"/>
    </row>
    <row r="643" spans="1:32" s="9" customFormat="1" ht="20.100000000000001" customHeight="1" x14ac:dyDescent="0.25">
      <c r="A643" s="7">
        <v>1</v>
      </c>
      <c r="B643" s="10" t="s">
        <v>2</v>
      </c>
      <c r="C643" s="11" t="s">
        <v>99</v>
      </c>
      <c r="D643" s="11">
        <v>1</v>
      </c>
      <c r="E643" s="11">
        <v>7.6</v>
      </c>
      <c r="F643" s="11">
        <v>0.4</v>
      </c>
      <c r="G643" s="11">
        <v>1.1000000000000001</v>
      </c>
      <c r="H643" s="7">
        <f>G643-0.2</f>
        <v>0.90000000000000013</v>
      </c>
      <c r="I643" s="7">
        <f>E643*F643*G643*D643</f>
        <v>3.3440000000000003</v>
      </c>
      <c r="J643" s="7">
        <f>(2*(E643)*H643*D643)+(E643*F643)</f>
        <v>16.720000000000002</v>
      </c>
      <c r="K643" s="12">
        <f>IF(E643=0.3,J643,0)</f>
        <v>0</v>
      </c>
      <c r="L643" s="12">
        <f>IF(AND(E643&gt;0.3,E643&lt;=0.75),J643,0)</f>
        <v>0</v>
      </c>
      <c r="M643" s="12">
        <f>IF(AND(E643&gt;0.75,E643&lt;=1.2),J643,0)</f>
        <v>0</v>
      </c>
      <c r="N643" s="12">
        <f>IF(E643&gt;1.2,J643,0)</f>
        <v>16.720000000000002</v>
      </c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>
        <f>SUM(X644:X651)/I643</f>
        <v>108.16394987468671</v>
      </c>
      <c r="Z643" s="7"/>
      <c r="AA643" s="7"/>
      <c r="AB643" s="7"/>
      <c r="AC643" s="7"/>
      <c r="AD643" s="7"/>
      <c r="AE643" s="7"/>
    </row>
    <row r="644" spans="1:32" s="9" customFormat="1" ht="20.100000000000001" customHeight="1" x14ac:dyDescent="0.25">
      <c r="A644" s="6"/>
      <c r="B644" s="10" t="s">
        <v>2</v>
      </c>
      <c r="C644" s="13" t="s">
        <v>4</v>
      </c>
      <c r="D644" s="7">
        <v>20</v>
      </c>
      <c r="E644" s="7"/>
      <c r="F644" s="7">
        <v>4</v>
      </c>
      <c r="G644" s="8">
        <f>VLOOKUP(D644,'[2]Beam '!$C$20:$H$26,3,0)</f>
        <v>0.8</v>
      </c>
      <c r="H644" s="8"/>
      <c r="I644" s="7"/>
      <c r="J644" s="7"/>
      <c r="K644" s="7"/>
      <c r="L644" s="7"/>
      <c r="M644" s="7"/>
      <c r="N644" s="7"/>
      <c r="O644" s="7">
        <f>(E643+2*(G644)*D643)</f>
        <v>9.1999999999999993</v>
      </c>
      <c r="P644" s="7">
        <f t="shared" ref="P644:P652" si="117">O644*F644</f>
        <v>36.799999999999997</v>
      </c>
      <c r="Q644" s="7">
        <f>IF($D644='[2]Beam '!Q$44,$P644*'[2]Beam '!Q$45,0)</f>
        <v>0</v>
      </c>
      <c r="R644" s="7">
        <f>IF($D644='[2]Beam '!R$44,$P644*'[2]Beam '!R$45,0)</f>
        <v>0</v>
      </c>
      <c r="S644" s="7">
        <f>IF($D644='[2]Beam '!S$44,$P644*'[2]Beam '!S$45,0)</f>
        <v>0</v>
      </c>
      <c r="T644" s="7">
        <f>IF($D644='[2]Beam '!T$44,$P644*'[2]Beam '!T$45,0)</f>
        <v>0</v>
      </c>
      <c r="U644" s="7">
        <f>IF($D644='[2]Beam '!U$44,$P644*'[2]Beam '!U$45,0)</f>
        <v>90.790857142857135</v>
      </c>
      <c r="V644" s="7">
        <f>IF($D644='[2]Beam '!V$44,$P644*'[2]Beam '!V$45,0)</f>
        <v>0</v>
      </c>
      <c r="W644" s="7">
        <f>IF($D644='[2]Beam '!W$44,$P644*'[2]Beam '!W$45,0)</f>
        <v>0</v>
      </c>
      <c r="X644" s="7">
        <f t="shared" ref="X644:X652" si="118">SUM(Q644:W644)</f>
        <v>90.790857142857135</v>
      </c>
      <c r="Y644" s="7"/>
      <c r="Z644" s="7"/>
      <c r="AA644" s="7"/>
      <c r="AB644" s="7"/>
      <c r="AC644" s="7"/>
      <c r="AD644" s="7"/>
      <c r="AE644" s="7"/>
    </row>
    <row r="645" spans="1:32" s="9" customFormat="1" ht="20.100000000000001" customHeight="1" x14ac:dyDescent="0.25">
      <c r="A645" s="6"/>
      <c r="B645" s="10" t="s">
        <v>2</v>
      </c>
      <c r="C645" s="13" t="s">
        <v>46</v>
      </c>
      <c r="D645" s="7">
        <v>16</v>
      </c>
      <c r="E645" s="7"/>
      <c r="F645" s="7">
        <v>4</v>
      </c>
      <c r="G645" s="8">
        <f>VLOOKUP(D645,'[2]Beam '!$C$20:$H$26,3,0)</f>
        <v>0.625</v>
      </c>
      <c r="H645" s="8"/>
      <c r="I645" s="7"/>
      <c r="J645" s="7"/>
      <c r="K645" s="7"/>
      <c r="L645" s="7"/>
      <c r="M645" s="7"/>
      <c r="N645" s="7"/>
      <c r="O645" s="7">
        <f>(2+1*(G645)*D643)</f>
        <v>2.625</v>
      </c>
      <c r="P645" s="7">
        <f t="shared" si="117"/>
        <v>10.5</v>
      </c>
      <c r="Q645" s="7">
        <f>IF($D645='[2]Beam '!Q$44,$P645*'[2]Beam '!Q$45,0)</f>
        <v>0</v>
      </c>
      <c r="R645" s="7">
        <f>IF($D645='[2]Beam '!R$44,$P645*'[2]Beam '!R$45,0)</f>
        <v>0</v>
      </c>
      <c r="S645" s="7">
        <f>IF($D645='[2]Beam '!S$44,$P645*'[2]Beam '!S$45,0)</f>
        <v>0</v>
      </c>
      <c r="T645" s="7">
        <f>IF($D645='[2]Beam '!T$44,$P645*'[2]Beam '!T$45,0)</f>
        <v>16.5792</v>
      </c>
      <c r="U645" s="7">
        <f>IF($D645='[2]Beam '!U$44,$P645*'[2]Beam '!U$45,0)</f>
        <v>0</v>
      </c>
      <c r="V645" s="7">
        <f>IF($D645='[2]Beam '!V$44,$P645*'[2]Beam '!V$45,0)</f>
        <v>0</v>
      </c>
      <c r="W645" s="7">
        <f>IF($D645='[2]Beam '!W$44,$P645*'[2]Beam '!W$45,0)</f>
        <v>0</v>
      </c>
      <c r="X645" s="7">
        <f t="shared" si="118"/>
        <v>16.5792</v>
      </c>
      <c r="Y645" s="7"/>
      <c r="Z645" s="7"/>
      <c r="AA645" s="7"/>
      <c r="AB645" s="7"/>
      <c r="AC645" s="7"/>
      <c r="AD645" s="7"/>
      <c r="AE645" s="7"/>
    </row>
    <row r="646" spans="1:32" s="9" customFormat="1" ht="20.100000000000001" customHeight="1" x14ac:dyDescent="0.25">
      <c r="A646" s="6"/>
      <c r="B646" s="10" t="s">
        <v>2</v>
      </c>
      <c r="C646" s="13" t="s">
        <v>6</v>
      </c>
      <c r="D646" s="7">
        <v>20</v>
      </c>
      <c r="E646" s="7"/>
      <c r="F646" s="7">
        <v>4</v>
      </c>
      <c r="G646" s="8">
        <f>VLOOKUP(D646,'[2]Beam '!$C$20:$H$26,3,0)</f>
        <v>0.8</v>
      </c>
      <c r="H646" s="7"/>
      <c r="I646" s="7"/>
      <c r="J646" s="7"/>
      <c r="K646" s="7"/>
      <c r="L646" s="7"/>
      <c r="M646" s="7"/>
      <c r="N646" s="7"/>
      <c r="O646" s="7">
        <f>(E643+2*(G646)*D643)</f>
        <v>9.1999999999999993</v>
      </c>
      <c r="P646" s="7">
        <f t="shared" si="117"/>
        <v>36.799999999999997</v>
      </c>
      <c r="Q646" s="7">
        <f>IF($D646='[2]Beam '!Q$44,$P646*'[2]Beam '!Q$45,0)</f>
        <v>0</v>
      </c>
      <c r="R646" s="7">
        <f>IF($D646='[2]Beam '!R$44,$P646*'[2]Beam '!R$45,0)</f>
        <v>0</v>
      </c>
      <c r="S646" s="7">
        <f>IF($D646='[2]Beam '!S$44,$P646*'[2]Beam '!S$45,0)</f>
        <v>0</v>
      </c>
      <c r="T646" s="7">
        <f>IF($D646='[2]Beam '!T$44,$P646*'[2]Beam '!T$45,0)</f>
        <v>0</v>
      </c>
      <c r="U646" s="7">
        <f>IF($D646='[2]Beam '!U$44,$P646*'[2]Beam '!U$45,0)</f>
        <v>90.790857142857135</v>
      </c>
      <c r="V646" s="7">
        <f>IF($D646='[2]Beam '!V$44,$P646*'[2]Beam '!V$45,0)</f>
        <v>0</v>
      </c>
      <c r="W646" s="7">
        <f>IF($D646='[2]Beam '!W$44,$P646*'[2]Beam '!W$45,0)</f>
        <v>0</v>
      </c>
      <c r="X646" s="7">
        <f t="shared" si="118"/>
        <v>90.790857142857135</v>
      </c>
      <c r="Y646" s="7"/>
      <c r="Z646" s="7"/>
      <c r="AA646" s="7"/>
      <c r="AB646" s="7"/>
      <c r="AC646" s="7"/>
      <c r="AD646" s="7"/>
      <c r="AE646" s="7"/>
    </row>
    <row r="647" spans="1:32" s="14" customFormat="1" ht="20.100000000000001" customHeight="1" x14ac:dyDescent="0.3">
      <c r="A647" s="6"/>
      <c r="B647" s="10" t="s">
        <v>2</v>
      </c>
      <c r="C647" s="13" t="s">
        <v>6</v>
      </c>
      <c r="D647" s="7">
        <v>16</v>
      </c>
      <c r="E647" s="7"/>
      <c r="F647" s="7">
        <v>2</v>
      </c>
      <c r="G647" s="8">
        <f>VLOOKUP(D647,'[2]Beam '!$C$20:$H$26,3,0)</f>
        <v>0.625</v>
      </c>
      <c r="H647" s="7"/>
      <c r="I647" s="7"/>
      <c r="J647" s="7"/>
      <c r="K647" s="7"/>
      <c r="L647" s="7"/>
      <c r="M647" s="7"/>
      <c r="N647" s="7"/>
      <c r="O647" s="7">
        <f>E643-0.8-0.8</f>
        <v>6</v>
      </c>
      <c r="P647" s="7">
        <f t="shared" si="117"/>
        <v>12</v>
      </c>
      <c r="Q647" s="7">
        <f>IF($D647='[2]Beam '!Q$44,$P647*'[2]Beam '!Q$45,0)</f>
        <v>0</v>
      </c>
      <c r="R647" s="7">
        <f>IF($D647='[2]Beam '!R$44,$P647*'[2]Beam '!R$45,0)</f>
        <v>0</v>
      </c>
      <c r="S647" s="7">
        <f>IF($D647='[2]Beam '!S$44,$P647*'[2]Beam '!S$45,0)</f>
        <v>0</v>
      </c>
      <c r="T647" s="7">
        <f>IF($D647='[2]Beam '!T$44,$P647*'[2]Beam '!T$45,0)</f>
        <v>18.947657142857146</v>
      </c>
      <c r="U647" s="7">
        <f>IF($D647='[2]Beam '!U$44,$P647*'[2]Beam '!U$45,0)</f>
        <v>0</v>
      </c>
      <c r="V647" s="7">
        <f>IF($D647='[2]Beam '!V$44,$P647*'[2]Beam '!V$45,0)</f>
        <v>0</v>
      </c>
      <c r="W647" s="7">
        <f>IF($D647='[2]Beam '!W$44,$P647*'[2]Beam '!W$45,0)</f>
        <v>0</v>
      </c>
      <c r="X647" s="7">
        <f t="shared" si="118"/>
        <v>18.947657142857146</v>
      </c>
      <c r="Y647" s="7"/>
    </row>
    <row r="648" spans="1:32" s="14" customFormat="1" ht="20.100000000000001" customHeight="1" x14ac:dyDescent="0.25">
      <c r="A648" s="6"/>
      <c r="B648" s="10" t="s">
        <v>2</v>
      </c>
      <c r="C648" s="13" t="s">
        <v>7</v>
      </c>
      <c r="D648" s="7">
        <v>8</v>
      </c>
      <c r="E648" s="7">
        <v>0.1</v>
      </c>
      <c r="F648" s="7">
        <f>ROUND(IF(E643/3&gt;(2*G643),(E643/3)/E648,(2*G643)/E648),0)*2+1</f>
        <v>51</v>
      </c>
      <c r="G648" s="9"/>
      <c r="H648" s="7"/>
      <c r="I648" s="7"/>
      <c r="J648" s="7"/>
      <c r="K648" s="7"/>
      <c r="L648" s="7"/>
      <c r="M648" s="7"/>
      <c r="N648" s="7"/>
      <c r="O648" s="7">
        <f>(2*((G643-(2*'[2]Beam '!$D$11))+(F643-(2*'[2]Beam '!$D$11)))+(2*10*D648/1000))*D643</f>
        <v>2.9200000000000004</v>
      </c>
      <c r="P648" s="7">
        <f t="shared" si="117"/>
        <v>148.92000000000002</v>
      </c>
      <c r="Q648" s="7">
        <f>IF($D648='[2]Beam '!Q$44,$P648*'[2]Beam '!Q$45,0)</f>
        <v>58.785106285714299</v>
      </c>
      <c r="R648" s="7">
        <f>IF($D648='[2]Beam '!R$44,$P648*'[2]Beam '!R$45,0)</f>
        <v>0</v>
      </c>
      <c r="S648" s="7">
        <f>IF($D648='[2]Beam '!S$44,$P648*'[2]Beam '!S$45,0)</f>
        <v>0</v>
      </c>
      <c r="T648" s="7">
        <f>IF($D648='[2]Beam '!T$44,$P648*'[2]Beam '!T$45,0)</f>
        <v>0</v>
      </c>
      <c r="U648" s="7">
        <f>IF($D648='[2]Beam '!U$44,$P648*'[2]Beam '!U$45,0)</f>
        <v>0</v>
      </c>
      <c r="V648" s="7">
        <f>IF($D648='[2]Beam '!V$44,$P648*'[2]Beam '!V$45,0)</f>
        <v>0</v>
      </c>
      <c r="W648" s="7">
        <f>IF($D648='[2]Beam '!W$44,$P648*'[2]Beam '!W$45,0)</f>
        <v>0</v>
      </c>
      <c r="X648" s="7">
        <f t="shared" si="118"/>
        <v>58.785106285714299</v>
      </c>
      <c r="Y648" s="7"/>
    </row>
    <row r="649" spans="1:32" s="14" customFormat="1" ht="20.100000000000001" customHeight="1" x14ac:dyDescent="0.25">
      <c r="B649" s="10" t="s">
        <v>2</v>
      </c>
      <c r="C649" s="13" t="s">
        <v>8</v>
      </c>
      <c r="D649" s="14">
        <f>D648</f>
        <v>8</v>
      </c>
      <c r="E649" s="14">
        <v>0.15</v>
      </c>
      <c r="F649" s="14">
        <f>ROUND((E643-(IF(E643/3&gt;2*G643,E643/3*2,G643*2*2)))/E649,0)</f>
        <v>17</v>
      </c>
      <c r="G649" s="9"/>
      <c r="O649" s="7">
        <f>(2*((G643-(2*'[2]Beam '!$D$11))+(F643-(2*'[2]Beam '!$D$11)))+(2*10*D649/1000))*D643</f>
        <v>2.9200000000000004</v>
      </c>
      <c r="P649" s="7">
        <f t="shared" si="117"/>
        <v>49.640000000000008</v>
      </c>
      <c r="Q649" s="7">
        <f>IF($D649='[2]Beam '!Q$44,$P649*'[2]Beam '!Q$45,0)</f>
        <v>19.595035428571432</v>
      </c>
      <c r="R649" s="7">
        <f>IF($D649='[2]Beam '!R$44,$P649*'[2]Beam '!R$45,0)</f>
        <v>0</v>
      </c>
      <c r="S649" s="7">
        <f>IF($D649='[2]Beam '!S$44,$P649*'[2]Beam '!S$45,0)</f>
        <v>0</v>
      </c>
      <c r="T649" s="7">
        <f>IF($D649='[2]Beam '!T$44,$P649*'[2]Beam '!T$45,0)</f>
        <v>0</v>
      </c>
      <c r="U649" s="7">
        <f>IF($D649='[2]Beam '!U$44,$P649*'[2]Beam '!U$45,0)</f>
        <v>0</v>
      </c>
      <c r="V649" s="7">
        <f>IF($D649='[2]Beam '!V$44,$P649*'[2]Beam '!V$45,0)</f>
        <v>0</v>
      </c>
      <c r="W649" s="7">
        <f>IF($D649='[2]Beam '!W$44,$P649*'[2]Beam '!W$45,0)</f>
        <v>0</v>
      </c>
      <c r="X649" s="7">
        <f t="shared" si="118"/>
        <v>19.595035428571432</v>
      </c>
    </row>
    <row r="650" spans="1:32" s="9" customFormat="1" ht="20.100000000000001" customHeight="1" x14ac:dyDescent="0.25">
      <c r="A650" s="14"/>
      <c r="B650" s="10" t="s">
        <v>2</v>
      </c>
      <c r="C650" s="13" t="s">
        <v>9</v>
      </c>
      <c r="D650" s="14">
        <f>D648</f>
        <v>8</v>
      </c>
      <c r="E650" s="14">
        <f>+E648</f>
        <v>0.1</v>
      </c>
      <c r="F650" s="7">
        <f>ROUND(IF(E643/3&gt;(2*G643),(E643/3)/E650,(2*G643)/E650),0)*2+1</f>
        <v>51</v>
      </c>
      <c r="H650" s="14"/>
      <c r="I650" s="14"/>
      <c r="J650" s="14"/>
      <c r="K650" s="14"/>
      <c r="L650" s="14"/>
      <c r="M650" s="14"/>
      <c r="N650" s="14"/>
      <c r="O650" s="7">
        <f>(2*(((F643-'[2]Beam '!$D$11*2)/(F644-1))+(G643-'[2]Beam '!$D$11*2))+(2*10*D650/1000))*D643</f>
        <v>2.4666666666666668</v>
      </c>
      <c r="P650" s="7">
        <f t="shared" si="117"/>
        <v>125.80000000000001</v>
      </c>
      <c r="Q650" s="7">
        <f>IF($D650='[2]Beam '!Q$44,$P650*'[2]Beam '!Q$45,0)</f>
        <v>49.658651428571439</v>
      </c>
      <c r="R650" s="7">
        <f>IF($D650='[2]Beam '!R$44,$P650*'[2]Beam '!R$45,0)</f>
        <v>0</v>
      </c>
      <c r="S650" s="7">
        <f>IF($D650='[2]Beam '!S$44,$P650*'[2]Beam '!S$45,0)</f>
        <v>0</v>
      </c>
      <c r="T650" s="7">
        <f>IF($D650='[2]Beam '!T$44,$P650*'[2]Beam '!T$45,0)</f>
        <v>0</v>
      </c>
      <c r="U650" s="7">
        <f>IF($D650='[2]Beam '!U$44,$P650*'[2]Beam '!U$45,0)</f>
        <v>0</v>
      </c>
      <c r="V650" s="7">
        <f>IF($D650='[2]Beam '!V$44,$P650*'[2]Beam '!V$45,0)</f>
        <v>0</v>
      </c>
      <c r="W650" s="7">
        <f>IF($D650='[2]Beam '!W$44,$P650*'[2]Beam '!W$45,0)</f>
        <v>0</v>
      </c>
      <c r="X650" s="7">
        <f t="shared" si="118"/>
        <v>49.658651428571439</v>
      </c>
      <c r="Y650" s="14"/>
      <c r="Z650" s="7"/>
      <c r="AA650" s="7"/>
      <c r="AB650" s="7"/>
      <c r="AC650" s="7"/>
      <c r="AD650" s="7"/>
      <c r="AE650" s="7"/>
    </row>
    <row r="651" spans="1:32" s="9" customFormat="1" ht="21" customHeight="1" x14ac:dyDescent="0.25">
      <c r="A651" s="14"/>
      <c r="B651" s="10" t="s">
        <v>2</v>
      </c>
      <c r="C651" s="13" t="s">
        <v>10</v>
      </c>
      <c r="D651" s="14">
        <f>D649</f>
        <v>8</v>
      </c>
      <c r="E651" s="14">
        <f>+E649</f>
        <v>0.15</v>
      </c>
      <c r="F651" s="14">
        <f>ROUND((E643-(IF(E643/3&gt;2*G643,E643/3*2,G643*2*2)))/E651,0)</f>
        <v>17</v>
      </c>
      <c r="H651" s="14"/>
      <c r="I651" s="14"/>
      <c r="J651" s="14"/>
      <c r="K651" s="14"/>
      <c r="L651" s="14"/>
      <c r="M651" s="14"/>
      <c r="N651" s="14"/>
      <c r="O651" s="7">
        <f>(2*(((F643-'[2]Beam '!$D$11*2)/(F644-1))+(G643-'[2]Beam '!$D$11*2))+(2*10*D651/1000))*D643</f>
        <v>2.4666666666666668</v>
      </c>
      <c r="P651" s="7">
        <f t="shared" si="117"/>
        <v>41.933333333333337</v>
      </c>
      <c r="Q651" s="7">
        <f>IF($D651='[2]Beam '!Q$44,$P651*'[2]Beam '!Q$45,0)</f>
        <v>16.552883809523813</v>
      </c>
      <c r="R651" s="7">
        <f>IF($D651='[2]Beam '!R$44,$P651*'[2]Beam '!R$45,0)</f>
        <v>0</v>
      </c>
      <c r="S651" s="7">
        <f>IF($D651='[2]Beam '!S$44,$P651*'[2]Beam '!S$45,0)</f>
        <v>0</v>
      </c>
      <c r="T651" s="7">
        <f>IF($D651='[2]Beam '!T$44,$P651*'[2]Beam '!T$45,0)</f>
        <v>0</v>
      </c>
      <c r="U651" s="7">
        <f>IF($D651='[2]Beam '!U$44,$P651*'[2]Beam '!U$45,0)</f>
        <v>0</v>
      </c>
      <c r="V651" s="7">
        <f>IF($D651='[2]Beam '!V$44,$P651*'[2]Beam '!V$45,0)</f>
        <v>0</v>
      </c>
      <c r="W651" s="7">
        <f>IF($D651='[2]Beam '!W$44,$P651*'[2]Beam '!W$45,0)</f>
        <v>0</v>
      </c>
      <c r="X651" s="7">
        <f t="shared" si="118"/>
        <v>16.552883809523813</v>
      </c>
      <c r="Y651" s="14"/>
      <c r="Z651" s="7"/>
      <c r="AA651" s="7"/>
      <c r="AB651" s="7"/>
      <c r="AC651" s="7"/>
      <c r="AD651" s="7"/>
      <c r="AE651" s="7"/>
      <c r="AF651" s="7"/>
    </row>
    <row r="652" spans="1:32" s="9" customFormat="1" ht="20.100000000000001" customHeight="1" x14ac:dyDescent="0.25">
      <c r="A652" s="6"/>
      <c r="B652" s="10" t="s">
        <v>2</v>
      </c>
      <c r="C652" s="13" t="s">
        <v>11</v>
      </c>
      <c r="D652" s="7">
        <f>+'[2]Beam '!$D$15</f>
        <v>25</v>
      </c>
      <c r="E652" s="7">
        <f>+'[2]Beam '!$E$15</f>
        <v>1</v>
      </c>
      <c r="F652" s="7">
        <f>ROUNDUP((4+E643)/E652,0)</f>
        <v>12</v>
      </c>
      <c r="G652" s="8"/>
      <c r="H652" s="8"/>
      <c r="I652" s="7"/>
      <c r="J652" s="7"/>
      <c r="K652" s="7"/>
      <c r="L652" s="7"/>
      <c r="M652" s="7"/>
      <c r="N652" s="7"/>
      <c r="O652" s="7">
        <f>F643-'[2]Beam '!$F$15</f>
        <v>0.34</v>
      </c>
      <c r="P652" s="7">
        <f t="shared" si="117"/>
        <v>4.08</v>
      </c>
      <c r="Q652" s="7">
        <f>IF($D652='[2]Beam '!Q$44,$P652*'[2]Beam '!Q$45,0)</f>
        <v>0</v>
      </c>
      <c r="R652" s="7">
        <f>IF($D652='[2]Beam '!R$44,$P652*'[2]Beam '!R$45,0)</f>
        <v>0</v>
      </c>
      <c r="S652" s="7">
        <f>IF($D652='[2]Beam '!S$44,$P652*'[2]Beam '!S$45,0)</f>
        <v>0</v>
      </c>
      <c r="T652" s="7">
        <f>IF($D652='[2]Beam '!T$44,$P652*'[2]Beam '!T$45,0)</f>
        <v>0</v>
      </c>
      <c r="U652" s="7">
        <f>IF($D652='[2]Beam '!U$44,$P652*'[2]Beam '!U$45,0)</f>
        <v>0</v>
      </c>
      <c r="V652" s="7">
        <f>IF($D652='[2]Beam '!V$44,$P652*'[2]Beam '!V$45,0)</f>
        <v>15.728035714285717</v>
      </c>
      <c r="W652" s="7">
        <f>IF($D652='[2]Beam '!W$44,$P652*'[2]Beam '!W$45,0)</f>
        <v>0</v>
      </c>
      <c r="X652" s="7">
        <f t="shared" si="118"/>
        <v>15.728035714285717</v>
      </c>
      <c r="Y652" s="7"/>
      <c r="Z652" s="7"/>
      <c r="AA652" s="7"/>
      <c r="AB652" s="7"/>
      <c r="AC652" s="7"/>
      <c r="AD652" s="7"/>
      <c r="AE652" s="7"/>
    </row>
    <row r="653" spans="1:32" s="9" customFormat="1" ht="20.100000000000001" customHeight="1" x14ac:dyDescent="0.25">
      <c r="A653" s="7">
        <v>1</v>
      </c>
      <c r="B653" s="10" t="s">
        <v>2</v>
      </c>
      <c r="C653" s="11" t="s">
        <v>100</v>
      </c>
      <c r="D653" s="11">
        <v>1</v>
      </c>
      <c r="E653" s="11">
        <v>6.2</v>
      </c>
      <c r="F653" s="11">
        <v>0.6</v>
      </c>
      <c r="G653" s="11">
        <v>0.8</v>
      </c>
      <c r="H653" s="7">
        <f>G653-0.2</f>
        <v>0.60000000000000009</v>
      </c>
      <c r="I653" s="7">
        <f>E653*F653*G653*D653</f>
        <v>2.976</v>
      </c>
      <c r="J653" s="7">
        <f>(2*(E653)*H653*D653)+(E653*F653)</f>
        <v>11.16</v>
      </c>
      <c r="K653" s="12">
        <f>IF(E653=0.3,J653,0)</f>
        <v>0</v>
      </c>
      <c r="L653" s="12">
        <f>IF(AND(E653&gt;0.3,E653&lt;=0.75),J653,0)</f>
        <v>0</v>
      </c>
      <c r="M653" s="12">
        <f>IF(AND(E653&gt;0.75,E653&lt;=1.2),J653,0)</f>
        <v>0</v>
      </c>
      <c r="N653" s="12">
        <f>IF(E653&gt;1.2,J653,0)</f>
        <v>11.16</v>
      </c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>
        <f>SUM(X654:X660)/I653</f>
        <v>107.33487382872507</v>
      </c>
      <c r="Z653" s="7"/>
      <c r="AA653" s="7"/>
      <c r="AB653" s="7"/>
      <c r="AC653" s="7"/>
      <c r="AD653" s="7"/>
      <c r="AE653" s="7"/>
    </row>
    <row r="654" spans="1:32" s="9" customFormat="1" ht="20.100000000000001" customHeight="1" x14ac:dyDescent="0.25">
      <c r="A654" s="6"/>
      <c r="B654" s="10" t="s">
        <v>2</v>
      </c>
      <c r="C654" s="13" t="s">
        <v>4</v>
      </c>
      <c r="D654" s="7">
        <v>16</v>
      </c>
      <c r="E654" s="7"/>
      <c r="F654" s="7">
        <v>6</v>
      </c>
      <c r="G654" s="8">
        <f>VLOOKUP(D654,'[2]Beam '!$C$20:$H$26,3,0)</f>
        <v>0.625</v>
      </c>
      <c r="H654" s="8"/>
      <c r="I654" s="7"/>
      <c r="J654" s="7"/>
      <c r="K654" s="7"/>
      <c r="L654" s="7"/>
      <c r="M654" s="7"/>
      <c r="N654" s="7"/>
      <c r="O654" s="7">
        <f>(E653+2*(G654+(12*D654/1000)))*D653</f>
        <v>7.8339999999999996</v>
      </c>
      <c r="P654" s="7">
        <f t="shared" ref="P654:P660" si="119">O654*F654</f>
        <v>47.003999999999998</v>
      </c>
      <c r="Q654" s="7">
        <f>IF($D654='[2]Beam '!Q$44,$P654*'[2]Beam '!Q$45,0)</f>
        <v>0</v>
      </c>
      <c r="R654" s="7">
        <f>IF($D654='[2]Beam '!R$44,$P654*'[2]Beam '!R$45,0)</f>
        <v>0</v>
      </c>
      <c r="S654" s="7">
        <f>IF($D654='[2]Beam '!S$44,$P654*'[2]Beam '!S$45,0)</f>
        <v>0</v>
      </c>
      <c r="T654" s="7">
        <f>IF($D654='[2]Beam '!T$44,$P654*'[2]Beam '!T$45,0)</f>
        <v>74.217973028571436</v>
      </c>
      <c r="U654" s="7">
        <f>IF($D654='[2]Beam '!U$44,$P654*'[2]Beam '!U$45,0)</f>
        <v>0</v>
      </c>
      <c r="V654" s="7">
        <f>IF($D654='[2]Beam '!V$44,$P654*'[2]Beam '!V$45,0)</f>
        <v>0</v>
      </c>
      <c r="W654" s="7">
        <f>IF($D654='[2]Beam '!W$44,$P654*'[2]Beam '!W$45,0)</f>
        <v>0</v>
      </c>
      <c r="X654" s="7">
        <f t="shared" ref="X654:X660" si="120">SUM(Q654:W654)</f>
        <v>74.217973028571436</v>
      </c>
      <c r="Y654" s="7"/>
      <c r="Z654" s="7"/>
      <c r="AA654" s="7"/>
      <c r="AB654" s="7"/>
      <c r="AC654" s="7"/>
      <c r="AD654" s="7"/>
      <c r="AE654" s="7"/>
    </row>
    <row r="655" spans="1:32" s="9" customFormat="1" ht="20.100000000000001" customHeight="1" x14ac:dyDescent="0.25">
      <c r="A655" s="6"/>
      <c r="B655" s="10" t="s">
        <v>2</v>
      </c>
      <c r="C655" s="13" t="s">
        <v>46</v>
      </c>
      <c r="D655" s="7">
        <v>16</v>
      </c>
      <c r="E655" s="7"/>
      <c r="F655" s="7">
        <v>2</v>
      </c>
      <c r="G655" s="8">
        <f>VLOOKUP(D655,'[2]Beam '!$C$20:$H$26,3,0)</f>
        <v>0.625</v>
      </c>
      <c r="H655" s="7"/>
      <c r="I655" s="7"/>
      <c r="J655" s="7"/>
      <c r="K655" s="7"/>
      <c r="L655" s="7"/>
      <c r="M655" s="7"/>
      <c r="N655" s="7"/>
      <c r="O655" s="7">
        <f>(1.65+1*(G655+(12*D655/1000)))*D653</f>
        <v>2.4669999999999996</v>
      </c>
      <c r="P655" s="7">
        <f t="shared" si="119"/>
        <v>4.9339999999999993</v>
      </c>
      <c r="Q655" s="7">
        <f>IF($D655='[2]Beam '!Q$44,$P655*'[2]Beam '!Q$45,0)</f>
        <v>0</v>
      </c>
      <c r="R655" s="7">
        <f>IF($D655='[2]Beam '!R$44,$P655*'[2]Beam '!R$45,0)</f>
        <v>0</v>
      </c>
      <c r="S655" s="7">
        <f>IF($D655='[2]Beam '!S$44,$P655*'[2]Beam '!S$45,0)</f>
        <v>0</v>
      </c>
      <c r="T655" s="7">
        <f>IF($D655='[2]Beam '!T$44,$P655*'[2]Beam '!T$45,0)</f>
        <v>7.7906450285714284</v>
      </c>
      <c r="U655" s="7">
        <f>IF($D655='[2]Beam '!U$44,$P655*'[2]Beam '!U$45,0)</f>
        <v>0</v>
      </c>
      <c r="V655" s="7">
        <f>IF($D655='[2]Beam '!V$44,$P655*'[2]Beam '!V$45,0)</f>
        <v>0</v>
      </c>
      <c r="W655" s="7">
        <f>IF($D655='[2]Beam '!W$44,$P655*'[2]Beam '!W$45,0)</f>
        <v>0</v>
      </c>
      <c r="X655" s="7">
        <f t="shared" si="120"/>
        <v>7.7906450285714284</v>
      </c>
      <c r="Y655" s="7"/>
      <c r="Z655" s="7"/>
      <c r="AA655" s="7"/>
      <c r="AB655" s="7"/>
      <c r="AC655" s="7"/>
      <c r="AD655" s="7"/>
      <c r="AE655" s="7"/>
    </row>
    <row r="656" spans="1:32" s="9" customFormat="1" ht="20.100000000000001" customHeight="1" x14ac:dyDescent="0.25">
      <c r="A656" s="6"/>
      <c r="B656" s="10" t="s">
        <v>2</v>
      </c>
      <c r="C656" s="13" t="s">
        <v>46</v>
      </c>
      <c r="D656" s="7">
        <v>16</v>
      </c>
      <c r="E656" s="7"/>
      <c r="F656" s="7">
        <v>2</v>
      </c>
      <c r="G656" s="8">
        <f>VLOOKUP(D656,'[2]Beam '!$C$20:$H$26,3,0)</f>
        <v>0.625</v>
      </c>
      <c r="H656" s="7"/>
      <c r="I656" s="7"/>
      <c r="J656" s="7"/>
      <c r="K656" s="7"/>
      <c r="L656" s="7"/>
      <c r="M656" s="7"/>
      <c r="N656" s="7"/>
      <c r="O656" s="7">
        <f>(1.65+1*(G656+(12*D656/1000)))*D653</f>
        <v>2.4669999999999996</v>
      </c>
      <c r="P656" s="7">
        <f t="shared" si="119"/>
        <v>4.9339999999999993</v>
      </c>
      <c r="Q656" s="7">
        <f>IF($D656='[2]Beam '!Q$44,$P656*'[2]Beam '!Q$45,0)</f>
        <v>0</v>
      </c>
      <c r="R656" s="7">
        <f>IF($D656='[2]Beam '!R$44,$P656*'[2]Beam '!R$45,0)</f>
        <v>0</v>
      </c>
      <c r="S656" s="7">
        <f>IF($D656='[2]Beam '!S$44,$P656*'[2]Beam '!S$45,0)</f>
        <v>0</v>
      </c>
      <c r="T656" s="7">
        <f>IF($D656='[2]Beam '!T$44,$P656*'[2]Beam '!T$45,0)</f>
        <v>7.7906450285714284</v>
      </c>
      <c r="U656" s="7">
        <f>IF($D656='[2]Beam '!U$44,$P656*'[2]Beam '!U$45,0)</f>
        <v>0</v>
      </c>
      <c r="V656" s="7">
        <f>IF($D656='[2]Beam '!V$44,$P656*'[2]Beam '!V$45,0)</f>
        <v>0</v>
      </c>
      <c r="W656" s="7">
        <f>IF($D656='[2]Beam '!W$44,$P656*'[2]Beam '!W$45,0)</f>
        <v>0</v>
      </c>
      <c r="X656" s="7">
        <f t="shared" si="120"/>
        <v>7.7906450285714284</v>
      </c>
      <c r="Y656" s="7"/>
      <c r="Z656" s="7"/>
      <c r="AA656" s="7"/>
      <c r="AB656" s="7"/>
      <c r="AC656" s="7"/>
      <c r="AD656" s="7"/>
      <c r="AE656" s="7"/>
    </row>
    <row r="657" spans="1:32" s="14" customFormat="1" ht="20.100000000000001" customHeight="1" x14ac:dyDescent="0.3">
      <c r="A657" s="6"/>
      <c r="B657" s="10" t="s">
        <v>2</v>
      </c>
      <c r="C657" s="13" t="s">
        <v>6</v>
      </c>
      <c r="D657" s="7">
        <v>20</v>
      </c>
      <c r="E657" s="7"/>
      <c r="F657" s="7">
        <v>6</v>
      </c>
      <c r="G657" s="8">
        <f>VLOOKUP(D657,'[2]Beam '!$C$20:$H$26,3,0)</f>
        <v>0.8</v>
      </c>
      <c r="H657" s="7"/>
      <c r="I657" s="7"/>
      <c r="J657" s="7"/>
      <c r="K657" s="7"/>
      <c r="L657" s="7"/>
      <c r="M657" s="7"/>
      <c r="N657" s="7"/>
      <c r="O657" s="7">
        <f>(E653+2*(G657+(12*D657/1000)))*D653</f>
        <v>8.2800000000000011</v>
      </c>
      <c r="P657" s="7">
        <f t="shared" si="119"/>
        <v>49.680000000000007</v>
      </c>
      <c r="Q657" s="7">
        <f>IF($D657='[2]Beam '!Q$44,$P657*'[2]Beam '!Q$45,0)</f>
        <v>0</v>
      </c>
      <c r="R657" s="7">
        <f>IF($D657='[2]Beam '!R$44,$P657*'[2]Beam '!R$45,0)</f>
        <v>0</v>
      </c>
      <c r="S657" s="7">
        <f>IF($D657='[2]Beam '!S$44,$P657*'[2]Beam '!S$45,0)</f>
        <v>0</v>
      </c>
      <c r="T657" s="7">
        <f>IF($D657='[2]Beam '!T$44,$P657*'[2]Beam '!T$45,0)</f>
        <v>0</v>
      </c>
      <c r="U657" s="7">
        <f>IF($D657='[2]Beam '!U$44,$P657*'[2]Beam '!U$45,0)</f>
        <v>122.56765714285716</v>
      </c>
      <c r="V657" s="7">
        <f>IF($D657='[2]Beam '!V$44,$P657*'[2]Beam '!V$45,0)</f>
        <v>0</v>
      </c>
      <c r="W657" s="7">
        <f>IF($D657='[2]Beam '!W$44,$P657*'[2]Beam '!W$45,0)</f>
        <v>0</v>
      </c>
      <c r="X657" s="7">
        <f t="shared" si="120"/>
        <v>122.56765714285716</v>
      </c>
      <c r="Y657" s="7"/>
    </row>
    <row r="658" spans="1:32" s="9" customFormat="1" ht="20.100000000000001" customHeight="1" x14ac:dyDescent="0.25">
      <c r="A658" s="6"/>
      <c r="B658" s="10" t="s">
        <v>2</v>
      </c>
      <c r="C658" s="13" t="s">
        <v>7</v>
      </c>
      <c r="D658" s="7">
        <v>10</v>
      </c>
      <c r="E658" s="7">
        <v>0.1</v>
      </c>
      <c r="F658" s="7">
        <f>ROUNDUP((E653/3*2)/E658,0)+1</f>
        <v>43</v>
      </c>
      <c r="H658" s="7"/>
      <c r="I658" s="7"/>
      <c r="J658" s="7"/>
      <c r="K658" s="7"/>
      <c r="L658" s="7"/>
      <c r="M658" s="7"/>
      <c r="N658" s="7"/>
      <c r="O658" s="7">
        <f>(2*((G653-(2*'[2]Beam '!$D$11))+(F653-(2*'[2]Beam '!$D$11)))+(2*10*D658/1000))*D653</f>
        <v>2.7600000000000002</v>
      </c>
      <c r="P658" s="7">
        <f t="shared" si="119"/>
        <v>118.68</v>
      </c>
      <c r="Q658" s="7">
        <f>IF($D658='[2]Beam '!Q$44,$P658*'[2]Beam '!Q$45,0)</f>
        <v>0</v>
      </c>
      <c r="R658" s="7">
        <f>IF($D658='[2]Beam '!R$44,$P658*'[2]Beam '!R$45,0)</f>
        <v>73.200128571428579</v>
      </c>
      <c r="S658" s="7">
        <f>IF($D658='[2]Beam '!S$44,$P658*'[2]Beam '!S$45,0)</f>
        <v>0</v>
      </c>
      <c r="T658" s="7">
        <f>IF($D658='[2]Beam '!T$44,$P658*'[2]Beam '!T$45,0)</f>
        <v>0</v>
      </c>
      <c r="U658" s="7">
        <f>IF($D658='[2]Beam '!U$44,$P658*'[2]Beam '!U$45,0)</f>
        <v>0</v>
      </c>
      <c r="V658" s="7">
        <f>IF($D658='[2]Beam '!V$44,$P658*'[2]Beam '!V$45,0)</f>
        <v>0</v>
      </c>
      <c r="W658" s="7">
        <f>IF($D658='[2]Beam '!W$44,$P658*'[2]Beam '!W$45,0)</f>
        <v>0</v>
      </c>
      <c r="X658" s="7">
        <f t="shared" si="120"/>
        <v>73.200128571428579</v>
      </c>
      <c r="Y658" s="7"/>
      <c r="Z658" s="7"/>
      <c r="AA658" s="7"/>
      <c r="AB658" s="7"/>
      <c r="AC658" s="7"/>
      <c r="AD658" s="7"/>
      <c r="AE658" s="7"/>
    </row>
    <row r="659" spans="1:32" s="9" customFormat="1" ht="21" customHeight="1" x14ac:dyDescent="0.25">
      <c r="A659" s="14"/>
      <c r="B659" s="10" t="s">
        <v>2</v>
      </c>
      <c r="C659" s="13" t="s">
        <v>8</v>
      </c>
      <c r="D659" s="14">
        <f>D658</f>
        <v>10</v>
      </c>
      <c r="E659" s="14">
        <v>0.15</v>
      </c>
      <c r="F659" s="7">
        <f>ROUNDUP((E653/3)/E659,0)+1</f>
        <v>15</v>
      </c>
      <c r="H659" s="14"/>
      <c r="I659" s="14"/>
      <c r="J659" s="14"/>
      <c r="K659" s="14"/>
      <c r="L659" s="14"/>
      <c r="M659" s="14"/>
      <c r="N659" s="14"/>
      <c r="O659" s="7">
        <f>(2*((G653-(2*'[2]Beam '!$D$11))+(F653-(2*'[2]Beam '!$D$11)))+(2*10*D659/1000))*D653</f>
        <v>2.7600000000000002</v>
      </c>
      <c r="P659" s="7">
        <f t="shared" si="119"/>
        <v>41.400000000000006</v>
      </c>
      <c r="Q659" s="7">
        <f>IF($D659='[2]Beam '!Q$44,$P659*'[2]Beam '!Q$45,0)</f>
        <v>0</v>
      </c>
      <c r="R659" s="7">
        <f>IF($D659='[2]Beam '!R$44,$P659*'[2]Beam '!R$45,0)</f>
        <v>25.534928571428573</v>
      </c>
      <c r="S659" s="7">
        <f>IF($D659='[2]Beam '!S$44,$P659*'[2]Beam '!S$45,0)</f>
        <v>0</v>
      </c>
      <c r="T659" s="7">
        <f>IF($D659='[2]Beam '!T$44,$P659*'[2]Beam '!T$45,0)</f>
        <v>0</v>
      </c>
      <c r="U659" s="7">
        <f>IF($D659='[2]Beam '!U$44,$P659*'[2]Beam '!U$45,0)</f>
        <v>0</v>
      </c>
      <c r="V659" s="7">
        <f>IF($D659='[2]Beam '!V$44,$P659*'[2]Beam '!V$45,0)</f>
        <v>0</v>
      </c>
      <c r="W659" s="7">
        <f>IF($D659='[2]Beam '!W$44,$P659*'[2]Beam '!W$45,0)</f>
        <v>0</v>
      </c>
      <c r="X659" s="7">
        <f t="shared" si="120"/>
        <v>25.534928571428573</v>
      </c>
      <c r="Y659" s="14"/>
      <c r="Z659" s="7"/>
      <c r="AA659" s="7"/>
      <c r="AB659" s="7"/>
      <c r="AC659" s="7"/>
      <c r="AD659" s="7"/>
      <c r="AE659" s="7"/>
      <c r="AF659" s="7"/>
    </row>
    <row r="660" spans="1:32" s="9" customFormat="1" ht="20.100000000000001" customHeight="1" x14ac:dyDescent="0.25">
      <c r="A660" s="6"/>
      <c r="B660" s="10" t="s">
        <v>2</v>
      </c>
      <c r="C660" s="13" t="s">
        <v>11</v>
      </c>
      <c r="D660" s="7">
        <f>+'[2]Beam '!$D$15</f>
        <v>25</v>
      </c>
      <c r="E660" s="7">
        <f>+'[2]Beam '!$E$15</f>
        <v>1</v>
      </c>
      <c r="F660" s="7">
        <f>ROUNDUP((1.65+1.65)/E660,0)</f>
        <v>4</v>
      </c>
      <c r="G660" s="8"/>
      <c r="H660" s="8"/>
      <c r="I660" s="7"/>
      <c r="J660" s="7"/>
      <c r="K660" s="7"/>
      <c r="L660" s="7"/>
      <c r="M660" s="7"/>
      <c r="N660" s="7"/>
      <c r="O660" s="7">
        <f>F653-'[2]Beam '!$F$15</f>
        <v>0.54</v>
      </c>
      <c r="P660" s="7">
        <f t="shared" si="119"/>
        <v>2.16</v>
      </c>
      <c r="Q660" s="7">
        <f>IF($D660='[2]Beam '!Q$44,$P660*'[2]Beam '!Q$45,0)</f>
        <v>0</v>
      </c>
      <c r="R660" s="7">
        <f>IF($D660='[2]Beam '!R$44,$P660*'[2]Beam '!R$45,0)</f>
        <v>0</v>
      </c>
      <c r="S660" s="7">
        <f>IF($D660='[2]Beam '!S$44,$P660*'[2]Beam '!S$45,0)</f>
        <v>0</v>
      </c>
      <c r="T660" s="7">
        <f>IF($D660='[2]Beam '!T$44,$P660*'[2]Beam '!T$45,0)</f>
        <v>0</v>
      </c>
      <c r="U660" s="7">
        <f>IF($D660='[2]Beam '!U$44,$P660*'[2]Beam '!U$45,0)</f>
        <v>0</v>
      </c>
      <c r="V660" s="7">
        <f>IF($D660='[2]Beam '!V$44,$P660*'[2]Beam '!V$45,0)</f>
        <v>8.326607142857144</v>
      </c>
      <c r="W660" s="7">
        <f>IF($D660='[2]Beam '!W$44,$P660*'[2]Beam '!W$45,0)</f>
        <v>0</v>
      </c>
      <c r="X660" s="7">
        <f t="shared" si="120"/>
        <v>8.326607142857144</v>
      </c>
      <c r="Y660" s="7"/>
      <c r="Z660" s="7"/>
      <c r="AA660" s="7"/>
      <c r="AB660" s="7"/>
      <c r="AC660" s="7"/>
      <c r="AD660" s="7"/>
      <c r="AE660" s="7"/>
    </row>
    <row r="661" spans="1:32" s="9" customFormat="1" ht="20.100000000000001" customHeight="1" x14ac:dyDescent="0.25">
      <c r="A661" s="7">
        <v>1</v>
      </c>
      <c r="B661" s="10" t="s">
        <v>2</v>
      </c>
      <c r="C661" s="11" t="s">
        <v>101</v>
      </c>
      <c r="D661" s="11">
        <v>1</v>
      </c>
      <c r="E661" s="11">
        <v>6.1749999999999998</v>
      </c>
      <c r="F661" s="11">
        <v>0.2</v>
      </c>
      <c r="G661" s="11">
        <v>1.1000000000000001</v>
      </c>
      <c r="H661" s="7">
        <f>G661-0.2</f>
        <v>0.90000000000000013</v>
      </c>
      <c r="I661" s="7">
        <f>E661*F661*G661*D661</f>
        <v>1.3585000000000003</v>
      </c>
      <c r="J661" s="7">
        <f>(2*(E661)*H661*D661)+(E661*F661)</f>
        <v>12.350000000000001</v>
      </c>
      <c r="K661" s="12">
        <f>IF(E661=0.3,J661,0)</f>
        <v>0</v>
      </c>
      <c r="L661" s="12">
        <f>IF(AND(E661&gt;0.3,E661&lt;=0.75),J661,0)</f>
        <v>0</v>
      </c>
      <c r="M661" s="12">
        <f>IF(AND(E661&gt;0.75,E661&lt;=1.2),J661,0)</f>
        <v>0</v>
      </c>
      <c r="N661" s="12">
        <f>IF(E661&gt;1.2,J661,0)</f>
        <v>12.350000000000001</v>
      </c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>
        <f>SUM(X662:X664)/I661</f>
        <v>59.004831463273561</v>
      </c>
      <c r="Z661" s="7"/>
      <c r="AA661" s="7"/>
      <c r="AB661" s="7"/>
      <c r="AC661" s="7"/>
      <c r="AD661" s="7"/>
      <c r="AE661" s="7"/>
    </row>
    <row r="662" spans="1:32" s="9" customFormat="1" ht="20.100000000000001" customHeight="1" x14ac:dyDescent="0.25">
      <c r="A662" s="6"/>
      <c r="B662" s="10" t="s">
        <v>2</v>
      </c>
      <c r="C662" s="13" t="s">
        <v>4</v>
      </c>
      <c r="D662" s="7">
        <v>16</v>
      </c>
      <c r="E662" s="7"/>
      <c r="F662" s="7">
        <v>2</v>
      </c>
      <c r="G662" s="8">
        <f>VLOOKUP(D662,'[2]Beam '!$C$20:$H$26,3,0)</f>
        <v>0.625</v>
      </c>
      <c r="H662" s="8"/>
      <c r="I662" s="7"/>
      <c r="J662" s="7"/>
      <c r="K662" s="7"/>
      <c r="L662" s="7"/>
      <c r="M662" s="7"/>
      <c r="N662" s="7"/>
      <c r="O662" s="7">
        <f>(E661+2*(G662+(12*D662/1000)))*D661</f>
        <v>7.8089999999999993</v>
      </c>
      <c r="P662" s="7">
        <f>O662*F662</f>
        <v>15.617999999999999</v>
      </c>
      <c r="Q662" s="7">
        <f>IF($D662='[2]Beam '!Q$44,$P662*'[2]Beam '!Q$45,0)</f>
        <v>0</v>
      </c>
      <c r="R662" s="7">
        <f>IF($D662='[2]Beam '!R$44,$P662*'[2]Beam '!R$45,0)</f>
        <v>0</v>
      </c>
      <c r="S662" s="7">
        <f>IF($D662='[2]Beam '!S$44,$P662*'[2]Beam '!S$45,0)</f>
        <v>0</v>
      </c>
      <c r="T662" s="7">
        <f>IF($D662='[2]Beam '!T$44,$P662*'[2]Beam '!T$45,0)</f>
        <v>24.660375771428573</v>
      </c>
      <c r="U662" s="7">
        <f>IF($D662='[2]Beam '!U$44,$P662*'[2]Beam '!U$45,0)</f>
        <v>0</v>
      </c>
      <c r="V662" s="7">
        <f>IF($D662='[2]Beam '!V$44,$P662*'[2]Beam '!V$45,0)</f>
        <v>0</v>
      </c>
      <c r="W662" s="7">
        <f>IF($D662='[2]Beam '!W$44,$P662*'[2]Beam '!W$45,0)</f>
        <v>0</v>
      </c>
      <c r="X662" s="7">
        <f>SUM(Q662:W662)</f>
        <v>24.660375771428573</v>
      </c>
      <c r="Y662" s="7"/>
      <c r="Z662" s="7"/>
      <c r="AA662" s="7"/>
      <c r="AB662" s="7"/>
      <c r="AC662" s="7"/>
      <c r="AD662" s="7"/>
      <c r="AE662" s="7"/>
    </row>
    <row r="663" spans="1:32" s="9" customFormat="1" ht="21" customHeight="1" x14ac:dyDescent="0.25">
      <c r="A663" s="6"/>
      <c r="B663" s="10" t="s">
        <v>2</v>
      </c>
      <c r="C663" s="13" t="s">
        <v>6</v>
      </c>
      <c r="D663" s="7">
        <v>16</v>
      </c>
      <c r="E663" s="7"/>
      <c r="F663" s="7">
        <v>2</v>
      </c>
      <c r="G663" s="8">
        <f>VLOOKUP(D663,'[2]Beam '!$C$20:$H$26,3,0)</f>
        <v>0.625</v>
      </c>
      <c r="H663" s="7"/>
      <c r="I663" s="7"/>
      <c r="J663" s="7"/>
      <c r="K663" s="7"/>
      <c r="L663" s="7"/>
      <c r="M663" s="7"/>
      <c r="N663" s="7"/>
      <c r="O663" s="7">
        <f>(E661+2*(G663+(12*D663/1000)))*D661</f>
        <v>7.8089999999999993</v>
      </c>
      <c r="P663" s="7">
        <f>O663*F663</f>
        <v>15.617999999999999</v>
      </c>
      <c r="Q663" s="7">
        <f>IF($D663='[2]Beam '!Q$44,$P663*'[2]Beam '!Q$45,0)</f>
        <v>0</v>
      </c>
      <c r="R663" s="7">
        <f>IF($D663='[2]Beam '!R$44,$P663*'[2]Beam '!R$45,0)</f>
        <v>0</v>
      </c>
      <c r="S663" s="7">
        <f>IF($D663='[2]Beam '!S$44,$P663*'[2]Beam '!S$45,0)</f>
        <v>0</v>
      </c>
      <c r="T663" s="7">
        <f>IF($D663='[2]Beam '!T$44,$P663*'[2]Beam '!T$45,0)</f>
        <v>24.660375771428573</v>
      </c>
      <c r="U663" s="7">
        <f>IF($D663='[2]Beam '!U$44,$P663*'[2]Beam '!U$45,0)</f>
        <v>0</v>
      </c>
      <c r="V663" s="7">
        <f>IF($D663='[2]Beam '!V$44,$P663*'[2]Beam '!V$45,0)</f>
        <v>0</v>
      </c>
      <c r="W663" s="7">
        <f>IF($D663='[2]Beam '!W$44,$P663*'[2]Beam '!W$45,0)</f>
        <v>0</v>
      </c>
      <c r="X663" s="7">
        <f>SUM(Q663:W663)</f>
        <v>24.660375771428573</v>
      </c>
      <c r="Y663" s="7"/>
      <c r="Z663" s="7"/>
      <c r="AA663" s="7"/>
      <c r="AB663" s="7"/>
      <c r="AC663" s="7"/>
      <c r="AD663" s="7"/>
      <c r="AE663" s="7"/>
      <c r="AF663" s="7"/>
    </row>
    <row r="664" spans="1:32" s="9" customFormat="1" ht="20.100000000000001" customHeight="1" x14ac:dyDescent="0.25">
      <c r="A664" s="6"/>
      <c r="B664" s="10" t="s">
        <v>2</v>
      </c>
      <c r="C664" s="13" t="s">
        <v>26</v>
      </c>
      <c r="D664" s="7">
        <v>8</v>
      </c>
      <c r="E664" s="7">
        <v>0.2</v>
      </c>
      <c r="F664" s="7">
        <f>ROUNDUP(E661/E664,0)</f>
        <v>31</v>
      </c>
      <c r="H664" s="7"/>
      <c r="I664" s="7"/>
      <c r="J664" s="7"/>
      <c r="K664" s="7"/>
      <c r="L664" s="7"/>
      <c r="M664" s="7"/>
      <c r="N664" s="7"/>
      <c r="O664" s="7">
        <f>(2*((G661-(2*'[2]Beam '!$D$11))+(F661-(2*'[2]Beam '!$D$11)))+(2*10*D664/1000))*D661</f>
        <v>2.5200000000000005</v>
      </c>
      <c r="P664" s="7">
        <f>O664*F664</f>
        <v>78.120000000000019</v>
      </c>
      <c r="Q664" s="7">
        <f>IF($D664='[2]Beam '!Q$44,$P664*'[2]Beam '!Q$45,0)</f>
        <v>30.837312000000011</v>
      </c>
      <c r="R664" s="7">
        <f>IF($D664='[2]Beam '!R$44,$P664*'[2]Beam '!R$45,0)</f>
        <v>0</v>
      </c>
      <c r="S664" s="7">
        <f>IF($D664='[2]Beam '!S$44,$P664*'[2]Beam '!S$45,0)</f>
        <v>0</v>
      </c>
      <c r="T664" s="7">
        <f>IF($D664='[2]Beam '!T$44,$P664*'[2]Beam '!T$45,0)</f>
        <v>0</v>
      </c>
      <c r="U664" s="7">
        <f>IF($D664='[2]Beam '!U$44,$P664*'[2]Beam '!U$45,0)</f>
        <v>0</v>
      </c>
      <c r="V664" s="7">
        <f>IF($D664='[2]Beam '!V$44,$P664*'[2]Beam '!V$45,0)</f>
        <v>0</v>
      </c>
      <c r="W664" s="7">
        <f>IF($D664='[2]Beam '!W$44,$P664*'[2]Beam '!W$45,0)</f>
        <v>0</v>
      </c>
      <c r="X664" s="7">
        <f>SUM(Q664:W664)</f>
        <v>30.837312000000011</v>
      </c>
      <c r="Y664" s="7"/>
      <c r="Z664" s="7"/>
      <c r="AA664" s="7"/>
      <c r="AB664" s="7"/>
      <c r="AC664" s="7"/>
      <c r="AD664" s="7"/>
      <c r="AE664" s="7"/>
    </row>
    <row r="665" spans="1:32" s="9" customFormat="1" ht="20.100000000000001" customHeight="1" x14ac:dyDescent="0.25">
      <c r="A665" s="7">
        <v>1</v>
      </c>
      <c r="B665" s="10" t="s">
        <v>2</v>
      </c>
      <c r="C665" s="11" t="s">
        <v>102</v>
      </c>
      <c r="D665" s="11">
        <v>1</v>
      </c>
      <c r="E665" s="11">
        <v>7.6</v>
      </c>
      <c r="F665" s="11">
        <v>0.4</v>
      </c>
      <c r="G665" s="11">
        <v>1.1000000000000001</v>
      </c>
      <c r="H665" s="7">
        <f>G665-0.2</f>
        <v>0.90000000000000013</v>
      </c>
      <c r="I665" s="7">
        <f>E665*F665*G665*D665</f>
        <v>3.3440000000000003</v>
      </c>
      <c r="J665" s="7">
        <f>(2*(E665)*H665*D665)+(E665*F665)</f>
        <v>16.720000000000002</v>
      </c>
      <c r="K665" s="12">
        <f>IF(E665=0.3,J665,0)</f>
        <v>0</v>
      </c>
      <c r="L665" s="12">
        <f>IF(AND(E665&gt;0.3,E665&lt;=0.75),J665,0)</f>
        <v>0</v>
      </c>
      <c r="M665" s="12">
        <f>IF(AND(E665&gt;0.75,E665&lt;=1.2),J665,0)</f>
        <v>0</v>
      </c>
      <c r="N665" s="12">
        <f>IF(E665&gt;1.2,J665,0)</f>
        <v>16.720000000000002</v>
      </c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>
        <f>SUM(X666:X673)/I665</f>
        <v>108.16394987468671</v>
      </c>
      <c r="Z665" s="7"/>
      <c r="AA665" s="7"/>
      <c r="AB665" s="7"/>
      <c r="AC665" s="7"/>
      <c r="AD665" s="7"/>
      <c r="AE665" s="7"/>
    </row>
    <row r="666" spans="1:32" s="9" customFormat="1" ht="20.100000000000001" customHeight="1" x14ac:dyDescent="0.25">
      <c r="A666" s="6"/>
      <c r="B666" s="10" t="s">
        <v>2</v>
      </c>
      <c r="C666" s="13" t="s">
        <v>4</v>
      </c>
      <c r="D666" s="7">
        <v>20</v>
      </c>
      <c r="E666" s="7"/>
      <c r="F666" s="7">
        <v>4</v>
      </c>
      <c r="G666" s="8">
        <f>VLOOKUP(D666,'[2]Beam '!$C$20:$H$26,3,0)</f>
        <v>0.8</v>
      </c>
      <c r="H666" s="8"/>
      <c r="I666" s="7"/>
      <c r="J666" s="7"/>
      <c r="K666" s="7"/>
      <c r="L666" s="7"/>
      <c r="M666" s="7"/>
      <c r="N666" s="7"/>
      <c r="O666" s="7">
        <f>(E665+2*(G666)*D665)</f>
        <v>9.1999999999999993</v>
      </c>
      <c r="P666" s="7">
        <f t="shared" ref="P666:P674" si="121">O666*F666</f>
        <v>36.799999999999997</v>
      </c>
      <c r="Q666" s="7">
        <f>IF($D666='[2]Beam '!Q$44,$P666*'[2]Beam '!Q$45,0)</f>
        <v>0</v>
      </c>
      <c r="R666" s="7">
        <f>IF($D666='[2]Beam '!R$44,$P666*'[2]Beam '!R$45,0)</f>
        <v>0</v>
      </c>
      <c r="S666" s="7">
        <f>IF($D666='[2]Beam '!S$44,$P666*'[2]Beam '!S$45,0)</f>
        <v>0</v>
      </c>
      <c r="T666" s="7">
        <f>IF($D666='[2]Beam '!T$44,$P666*'[2]Beam '!T$45,0)</f>
        <v>0</v>
      </c>
      <c r="U666" s="7">
        <f>IF($D666='[2]Beam '!U$44,$P666*'[2]Beam '!U$45,0)</f>
        <v>90.790857142857135</v>
      </c>
      <c r="V666" s="7">
        <f>IF($D666='[2]Beam '!V$44,$P666*'[2]Beam '!V$45,0)</f>
        <v>0</v>
      </c>
      <c r="W666" s="7">
        <f>IF($D666='[2]Beam '!W$44,$P666*'[2]Beam '!W$45,0)</f>
        <v>0</v>
      </c>
      <c r="X666" s="7">
        <f t="shared" ref="X666:X674" si="122">SUM(Q666:W666)</f>
        <v>90.790857142857135</v>
      </c>
      <c r="Y666" s="7"/>
      <c r="Z666" s="7"/>
      <c r="AA666" s="7"/>
      <c r="AB666" s="7"/>
      <c r="AC666" s="7"/>
      <c r="AD666" s="7"/>
      <c r="AE666" s="7"/>
    </row>
    <row r="667" spans="1:32" s="9" customFormat="1" ht="20.100000000000001" customHeight="1" x14ac:dyDescent="0.25">
      <c r="A667" s="6"/>
      <c r="B667" s="10" t="s">
        <v>2</v>
      </c>
      <c r="C667" s="13" t="s">
        <v>46</v>
      </c>
      <c r="D667" s="7">
        <v>16</v>
      </c>
      <c r="E667" s="7"/>
      <c r="F667" s="7">
        <v>4</v>
      </c>
      <c r="G667" s="8">
        <f>VLOOKUP(D667,'[2]Beam '!$C$20:$H$26,3,0)</f>
        <v>0.625</v>
      </c>
      <c r="H667" s="8"/>
      <c r="I667" s="7"/>
      <c r="J667" s="7"/>
      <c r="K667" s="7"/>
      <c r="L667" s="7"/>
      <c r="M667" s="7"/>
      <c r="N667" s="7"/>
      <c r="O667" s="7">
        <f>(2+1*(G667)*D665)</f>
        <v>2.625</v>
      </c>
      <c r="P667" s="7">
        <f t="shared" si="121"/>
        <v>10.5</v>
      </c>
      <c r="Q667" s="7">
        <f>IF($D667='[2]Beam '!Q$44,$P667*'[2]Beam '!Q$45,0)</f>
        <v>0</v>
      </c>
      <c r="R667" s="7">
        <f>IF($D667='[2]Beam '!R$44,$P667*'[2]Beam '!R$45,0)</f>
        <v>0</v>
      </c>
      <c r="S667" s="7">
        <f>IF($D667='[2]Beam '!S$44,$P667*'[2]Beam '!S$45,0)</f>
        <v>0</v>
      </c>
      <c r="T667" s="7">
        <f>IF($D667='[2]Beam '!T$44,$P667*'[2]Beam '!T$45,0)</f>
        <v>16.5792</v>
      </c>
      <c r="U667" s="7">
        <f>IF($D667='[2]Beam '!U$44,$P667*'[2]Beam '!U$45,0)</f>
        <v>0</v>
      </c>
      <c r="V667" s="7">
        <f>IF($D667='[2]Beam '!V$44,$P667*'[2]Beam '!V$45,0)</f>
        <v>0</v>
      </c>
      <c r="W667" s="7">
        <f>IF($D667='[2]Beam '!W$44,$P667*'[2]Beam '!W$45,0)</f>
        <v>0</v>
      </c>
      <c r="X667" s="7">
        <f t="shared" si="122"/>
        <v>16.5792</v>
      </c>
      <c r="Y667" s="7"/>
      <c r="Z667" s="7"/>
      <c r="AA667" s="7"/>
      <c r="AB667" s="7"/>
      <c r="AC667" s="7"/>
      <c r="AD667" s="7"/>
      <c r="AE667" s="7"/>
    </row>
    <row r="668" spans="1:32" s="9" customFormat="1" ht="20.100000000000001" customHeight="1" x14ac:dyDescent="0.25">
      <c r="A668" s="6"/>
      <c r="B668" s="10" t="s">
        <v>2</v>
      </c>
      <c r="C668" s="13" t="s">
        <v>6</v>
      </c>
      <c r="D668" s="7">
        <v>20</v>
      </c>
      <c r="E668" s="7"/>
      <c r="F668" s="7">
        <v>4</v>
      </c>
      <c r="G668" s="8">
        <f>VLOOKUP(D668,'[2]Beam '!$C$20:$H$26,3,0)</f>
        <v>0.8</v>
      </c>
      <c r="H668" s="7"/>
      <c r="I668" s="7"/>
      <c r="J668" s="7"/>
      <c r="K668" s="7"/>
      <c r="L668" s="7"/>
      <c r="M668" s="7"/>
      <c r="N668" s="7"/>
      <c r="O668" s="7">
        <f>(E665+2*(G668)*D665)</f>
        <v>9.1999999999999993</v>
      </c>
      <c r="P668" s="7">
        <f t="shared" si="121"/>
        <v>36.799999999999997</v>
      </c>
      <c r="Q668" s="7">
        <f>IF($D668='[2]Beam '!Q$44,$P668*'[2]Beam '!Q$45,0)</f>
        <v>0</v>
      </c>
      <c r="R668" s="7">
        <f>IF($D668='[2]Beam '!R$44,$P668*'[2]Beam '!R$45,0)</f>
        <v>0</v>
      </c>
      <c r="S668" s="7">
        <f>IF($D668='[2]Beam '!S$44,$P668*'[2]Beam '!S$45,0)</f>
        <v>0</v>
      </c>
      <c r="T668" s="7">
        <f>IF($D668='[2]Beam '!T$44,$P668*'[2]Beam '!T$45,0)</f>
        <v>0</v>
      </c>
      <c r="U668" s="7">
        <f>IF($D668='[2]Beam '!U$44,$P668*'[2]Beam '!U$45,0)</f>
        <v>90.790857142857135</v>
      </c>
      <c r="V668" s="7">
        <f>IF($D668='[2]Beam '!V$44,$P668*'[2]Beam '!V$45,0)</f>
        <v>0</v>
      </c>
      <c r="W668" s="7">
        <f>IF($D668='[2]Beam '!W$44,$P668*'[2]Beam '!W$45,0)</f>
        <v>0</v>
      </c>
      <c r="X668" s="7">
        <f t="shared" si="122"/>
        <v>90.790857142857135</v>
      </c>
      <c r="Y668" s="7"/>
      <c r="Z668" s="7"/>
      <c r="AA668" s="7"/>
      <c r="AB668" s="7"/>
      <c r="AC668" s="7"/>
      <c r="AD668" s="7"/>
      <c r="AE668" s="7"/>
    </row>
    <row r="669" spans="1:32" s="14" customFormat="1" ht="20.100000000000001" customHeight="1" x14ac:dyDescent="0.3">
      <c r="A669" s="6"/>
      <c r="B669" s="10" t="s">
        <v>2</v>
      </c>
      <c r="C669" s="13" t="s">
        <v>6</v>
      </c>
      <c r="D669" s="7">
        <v>16</v>
      </c>
      <c r="E669" s="7"/>
      <c r="F669" s="7">
        <v>2</v>
      </c>
      <c r="G669" s="8">
        <f>VLOOKUP(D669,'[2]Beam '!$C$20:$H$26,3,0)</f>
        <v>0.625</v>
      </c>
      <c r="H669" s="7"/>
      <c r="I669" s="7"/>
      <c r="J669" s="7"/>
      <c r="K669" s="7"/>
      <c r="L669" s="7"/>
      <c r="M669" s="7"/>
      <c r="N669" s="7"/>
      <c r="O669" s="7">
        <f>E665-0.8-0.8</f>
        <v>6</v>
      </c>
      <c r="P669" s="7">
        <f t="shared" si="121"/>
        <v>12</v>
      </c>
      <c r="Q669" s="7">
        <f>IF($D669='[2]Beam '!Q$44,$P669*'[2]Beam '!Q$45,0)</f>
        <v>0</v>
      </c>
      <c r="R669" s="7">
        <f>IF($D669='[2]Beam '!R$44,$P669*'[2]Beam '!R$45,0)</f>
        <v>0</v>
      </c>
      <c r="S669" s="7">
        <f>IF($D669='[2]Beam '!S$44,$P669*'[2]Beam '!S$45,0)</f>
        <v>0</v>
      </c>
      <c r="T669" s="7">
        <f>IF($D669='[2]Beam '!T$44,$P669*'[2]Beam '!T$45,0)</f>
        <v>18.947657142857146</v>
      </c>
      <c r="U669" s="7">
        <f>IF($D669='[2]Beam '!U$44,$P669*'[2]Beam '!U$45,0)</f>
        <v>0</v>
      </c>
      <c r="V669" s="7">
        <f>IF($D669='[2]Beam '!V$44,$P669*'[2]Beam '!V$45,0)</f>
        <v>0</v>
      </c>
      <c r="W669" s="7">
        <f>IF($D669='[2]Beam '!W$44,$P669*'[2]Beam '!W$45,0)</f>
        <v>0</v>
      </c>
      <c r="X669" s="7">
        <f t="shared" si="122"/>
        <v>18.947657142857146</v>
      </c>
      <c r="Y669" s="7"/>
    </row>
    <row r="670" spans="1:32" s="14" customFormat="1" ht="20.100000000000001" customHeight="1" x14ac:dyDescent="0.25">
      <c r="A670" s="6"/>
      <c r="B670" s="10" t="s">
        <v>2</v>
      </c>
      <c r="C670" s="13" t="s">
        <v>7</v>
      </c>
      <c r="D670" s="7">
        <v>8</v>
      </c>
      <c r="E670" s="7">
        <v>0.1</v>
      </c>
      <c r="F670" s="7">
        <f>ROUND(IF(E665/3&gt;(2*G665),(E665/3)/E670,(2*G665)/E670),0)*2+1</f>
        <v>51</v>
      </c>
      <c r="G670" s="9"/>
      <c r="H670" s="7"/>
      <c r="I670" s="7"/>
      <c r="J670" s="7"/>
      <c r="K670" s="7"/>
      <c r="L670" s="7"/>
      <c r="M670" s="7"/>
      <c r="N670" s="7"/>
      <c r="O670" s="7">
        <f>(2*((G665-(2*'[2]Beam '!$D$11))+(F665-(2*'[2]Beam '!$D$11)))+(2*10*D670/1000))*D665</f>
        <v>2.9200000000000004</v>
      </c>
      <c r="P670" s="7">
        <f t="shared" si="121"/>
        <v>148.92000000000002</v>
      </c>
      <c r="Q670" s="7">
        <f>IF($D670='[2]Beam '!Q$44,$P670*'[2]Beam '!Q$45,0)</f>
        <v>58.785106285714299</v>
      </c>
      <c r="R670" s="7">
        <f>IF($D670='[2]Beam '!R$44,$P670*'[2]Beam '!R$45,0)</f>
        <v>0</v>
      </c>
      <c r="S670" s="7">
        <f>IF($D670='[2]Beam '!S$44,$P670*'[2]Beam '!S$45,0)</f>
        <v>0</v>
      </c>
      <c r="T670" s="7">
        <f>IF($D670='[2]Beam '!T$44,$P670*'[2]Beam '!T$45,0)</f>
        <v>0</v>
      </c>
      <c r="U670" s="7">
        <f>IF($D670='[2]Beam '!U$44,$P670*'[2]Beam '!U$45,0)</f>
        <v>0</v>
      </c>
      <c r="V670" s="7">
        <f>IF($D670='[2]Beam '!V$44,$P670*'[2]Beam '!V$45,0)</f>
        <v>0</v>
      </c>
      <c r="W670" s="7">
        <f>IF($D670='[2]Beam '!W$44,$P670*'[2]Beam '!W$45,0)</f>
        <v>0</v>
      </c>
      <c r="X670" s="7">
        <f t="shared" si="122"/>
        <v>58.785106285714299</v>
      </c>
      <c r="Y670" s="7"/>
    </row>
    <row r="671" spans="1:32" s="14" customFormat="1" ht="20.100000000000001" customHeight="1" x14ac:dyDescent="0.25">
      <c r="B671" s="10" t="s">
        <v>2</v>
      </c>
      <c r="C671" s="13" t="s">
        <v>8</v>
      </c>
      <c r="D671" s="14">
        <f>D670</f>
        <v>8</v>
      </c>
      <c r="E671" s="14">
        <v>0.15</v>
      </c>
      <c r="F671" s="14">
        <f>ROUND((E665-(IF(E665/3&gt;2*G665,E665/3*2,G665*2*2)))/E671,0)</f>
        <v>17</v>
      </c>
      <c r="G671" s="9"/>
      <c r="O671" s="7">
        <f>(2*((G665-(2*'[2]Beam '!$D$11))+(F665-(2*'[2]Beam '!$D$11)))+(2*10*D671/1000))*D665</f>
        <v>2.9200000000000004</v>
      </c>
      <c r="P671" s="7">
        <f t="shared" si="121"/>
        <v>49.640000000000008</v>
      </c>
      <c r="Q671" s="7">
        <f>IF($D671='[2]Beam '!Q$44,$P671*'[2]Beam '!Q$45,0)</f>
        <v>19.595035428571432</v>
      </c>
      <c r="R671" s="7">
        <f>IF($D671='[2]Beam '!R$44,$P671*'[2]Beam '!R$45,0)</f>
        <v>0</v>
      </c>
      <c r="S671" s="7">
        <f>IF($D671='[2]Beam '!S$44,$P671*'[2]Beam '!S$45,0)</f>
        <v>0</v>
      </c>
      <c r="T671" s="7">
        <f>IF($D671='[2]Beam '!T$44,$P671*'[2]Beam '!T$45,0)</f>
        <v>0</v>
      </c>
      <c r="U671" s="7">
        <f>IF($D671='[2]Beam '!U$44,$P671*'[2]Beam '!U$45,0)</f>
        <v>0</v>
      </c>
      <c r="V671" s="7">
        <f>IF($D671='[2]Beam '!V$44,$P671*'[2]Beam '!V$45,0)</f>
        <v>0</v>
      </c>
      <c r="W671" s="7">
        <f>IF($D671='[2]Beam '!W$44,$P671*'[2]Beam '!W$45,0)</f>
        <v>0</v>
      </c>
      <c r="X671" s="7">
        <f t="shared" si="122"/>
        <v>19.595035428571432</v>
      </c>
    </row>
    <row r="672" spans="1:32" s="9" customFormat="1" ht="20.100000000000001" customHeight="1" x14ac:dyDescent="0.25">
      <c r="A672" s="14"/>
      <c r="B672" s="10" t="s">
        <v>2</v>
      </c>
      <c r="C672" s="13" t="s">
        <v>9</v>
      </c>
      <c r="D672" s="14">
        <f>D670</f>
        <v>8</v>
      </c>
      <c r="E672" s="14">
        <f>+E670</f>
        <v>0.1</v>
      </c>
      <c r="F672" s="7">
        <f>ROUND(IF(E665/3&gt;(2*G665),(E665/3)/E672,(2*G665)/E672),0)*2+1</f>
        <v>51</v>
      </c>
      <c r="H672" s="14"/>
      <c r="I672" s="14"/>
      <c r="J672" s="14"/>
      <c r="K672" s="14"/>
      <c r="L672" s="14"/>
      <c r="M672" s="14"/>
      <c r="N672" s="14"/>
      <c r="O672" s="7">
        <f>(2*(((F665-'[2]Beam '!$D$11*2)/(F666-1))+(G665-'[2]Beam '!$D$11*2))+(2*10*D672/1000))*D665</f>
        <v>2.4666666666666668</v>
      </c>
      <c r="P672" s="7">
        <f t="shared" si="121"/>
        <v>125.80000000000001</v>
      </c>
      <c r="Q672" s="7">
        <f>IF($D672='[2]Beam '!Q$44,$P672*'[2]Beam '!Q$45,0)</f>
        <v>49.658651428571439</v>
      </c>
      <c r="R672" s="7">
        <f>IF($D672='[2]Beam '!R$44,$P672*'[2]Beam '!R$45,0)</f>
        <v>0</v>
      </c>
      <c r="S672" s="7">
        <f>IF($D672='[2]Beam '!S$44,$P672*'[2]Beam '!S$45,0)</f>
        <v>0</v>
      </c>
      <c r="T672" s="7">
        <f>IF($D672='[2]Beam '!T$44,$P672*'[2]Beam '!T$45,0)</f>
        <v>0</v>
      </c>
      <c r="U672" s="7">
        <f>IF($D672='[2]Beam '!U$44,$P672*'[2]Beam '!U$45,0)</f>
        <v>0</v>
      </c>
      <c r="V672" s="7">
        <f>IF($D672='[2]Beam '!V$44,$P672*'[2]Beam '!V$45,0)</f>
        <v>0</v>
      </c>
      <c r="W672" s="7">
        <f>IF($D672='[2]Beam '!W$44,$P672*'[2]Beam '!W$45,0)</f>
        <v>0</v>
      </c>
      <c r="X672" s="7">
        <f t="shared" si="122"/>
        <v>49.658651428571439</v>
      </c>
      <c r="Y672" s="14"/>
      <c r="Z672" s="7"/>
      <c r="AA672" s="7"/>
      <c r="AB672" s="7"/>
      <c r="AC672" s="7"/>
      <c r="AD672" s="7"/>
      <c r="AE672" s="7"/>
    </row>
    <row r="673" spans="1:32" s="9" customFormat="1" ht="21" customHeight="1" x14ac:dyDescent="0.25">
      <c r="A673" s="14"/>
      <c r="B673" s="10" t="s">
        <v>2</v>
      </c>
      <c r="C673" s="13" t="s">
        <v>10</v>
      </c>
      <c r="D673" s="14">
        <f>D671</f>
        <v>8</v>
      </c>
      <c r="E673" s="14">
        <f>+E671</f>
        <v>0.15</v>
      </c>
      <c r="F673" s="14">
        <f>ROUND((E665-(IF(E665/3&gt;2*G665,E665/3*2,G665*2*2)))/E673,0)</f>
        <v>17</v>
      </c>
      <c r="H673" s="14"/>
      <c r="I673" s="14"/>
      <c r="J673" s="14"/>
      <c r="K673" s="14"/>
      <c r="L673" s="14"/>
      <c r="M673" s="14"/>
      <c r="N673" s="14"/>
      <c r="O673" s="7">
        <f>(2*(((F665-'[2]Beam '!$D$11*2)/(F666-1))+(G665-'[2]Beam '!$D$11*2))+(2*10*D673/1000))*D665</f>
        <v>2.4666666666666668</v>
      </c>
      <c r="P673" s="7">
        <f t="shared" si="121"/>
        <v>41.933333333333337</v>
      </c>
      <c r="Q673" s="7">
        <f>IF($D673='[2]Beam '!Q$44,$P673*'[2]Beam '!Q$45,0)</f>
        <v>16.552883809523813</v>
      </c>
      <c r="R673" s="7">
        <f>IF($D673='[2]Beam '!R$44,$P673*'[2]Beam '!R$45,0)</f>
        <v>0</v>
      </c>
      <c r="S673" s="7">
        <f>IF($D673='[2]Beam '!S$44,$P673*'[2]Beam '!S$45,0)</f>
        <v>0</v>
      </c>
      <c r="T673" s="7">
        <f>IF($D673='[2]Beam '!T$44,$P673*'[2]Beam '!T$45,0)</f>
        <v>0</v>
      </c>
      <c r="U673" s="7">
        <f>IF($D673='[2]Beam '!U$44,$P673*'[2]Beam '!U$45,0)</f>
        <v>0</v>
      </c>
      <c r="V673" s="7">
        <f>IF($D673='[2]Beam '!V$44,$P673*'[2]Beam '!V$45,0)</f>
        <v>0</v>
      </c>
      <c r="W673" s="7">
        <f>IF($D673='[2]Beam '!W$44,$P673*'[2]Beam '!W$45,0)</f>
        <v>0</v>
      </c>
      <c r="X673" s="7">
        <f t="shared" si="122"/>
        <v>16.552883809523813</v>
      </c>
      <c r="Y673" s="14"/>
      <c r="Z673" s="7"/>
      <c r="AA673" s="7"/>
      <c r="AB673" s="7"/>
      <c r="AC673" s="7"/>
      <c r="AD673" s="7"/>
      <c r="AE673" s="7"/>
      <c r="AF673" s="7"/>
    </row>
    <row r="674" spans="1:32" s="9" customFormat="1" ht="20.100000000000001" customHeight="1" x14ac:dyDescent="0.25">
      <c r="A674" s="6"/>
      <c r="B674" s="10" t="s">
        <v>2</v>
      </c>
      <c r="C674" s="13" t="s">
        <v>11</v>
      </c>
      <c r="D674" s="7">
        <f>+'[2]Beam '!$D$15</f>
        <v>25</v>
      </c>
      <c r="E674" s="7">
        <f>+'[2]Beam '!$E$15</f>
        <v>1</v>
      </c>
      <c r="F674" s="7">
        <f>ROUNDUP((4+E665)/E674,0)</f>
        <v>12</v>
      </c>
      <c r="G674" s="8"/>
      <c r="H674" s="8"/>
      <c r="I674" s="7"/>
      <c r="J674" s="7"/>
      <c r="K674" s="7"/>
      <c r="L674" s="7"/>
      <c r="M674" s="7"/>
      <c r="N674" s="7"/>
      <c r="O674" s="7">
        <f>F665-'[2]Beam '!$F$15</f>
        <v>0.34</v>
      </c>
      <c r="P674" s="7">
        <f t="shared" si="121"/>
        <v>4.08</v>
      </c>
      <c r="Q674" s="7">
        <f>IF($D674='[2]Beam '!Q$44,$P674*'[2]Beam '!Q$45,0)</f>
        <v>0</v>
      </c>
      <c r="R674" s="7">
        <f>IF($D674='[2]Beam '!R$44,$P674*'[2]Beam '!R$45,0)</f>
        <v>0</v>
      </c>
      <c r="S674" s="7">
        <f>IF($D674='[2]Beam '!S$44,$P674*'[2]Beam '!S$45,0)</f>
        <v>0</v>
      </c>
      <c r="T674" s="7">
        <f>IF($D674='[2]Beam '!T$44,$P674*'[2]Beam '!T$45,0)</f>
        <v>0</v>
      </c>
      <c r="U674" s="7">
        <f>IF($D674='[2]Beam '!U$44,$P674*'[2]Beam '!U$45,0)</f>
        <v>0</v>
      </c>
      <c r="V674" s="7">
        <f>IF($D674='[2]Beam '!V$44,$P674*'[2]Beam '!V$45,0)</f>
        <v>15.728035714285717</v>
      </c>
      <c r="W674" s="7">
        <f>IF($D674='[2]Beam '!W$44,$P674*'[2]Beam '!W$45,0)</f>
        <v>0</v>
      </c>
      <c r="X674" s="7">
        <f t="shared" si="122"/>
        <v>15.728035714285717</v>
      </c>
      <c r="Y674" s="7"/>
      <c r="Z674" s="7"/>
      <c r="AA674" s="7"/>
      <c r="AB674" s="7"/>
      <c r="AC674" s="7"/>
      <c r="AD674" s="7"/>
      <c r="AE674" s="7"/>
    </row>
    <row r="675" spans="1:32" s="9" customFormat="1" ht="20.100000000000001" customHeight="1" x14ac:dyDescent="0.25">
      <c r="A675" s="7">
        <v>1</v>
      </c>
      <c r="B675" s="10" t="s">
        <v>2</v>
      </c>
      <c r="C675" s="11" t="s">
        <v>103</v>
      </c>
      <c r="D675" s="11">
        <v>1</v>
      </c>
      <c r="E675" s="11">
        <v>3.0489999999999999</v>
      </c>
      <c r="F675" s="11">
        <v>0.2</v>
      </c>
      <c r="G675" s="11">
        <v>1.1000000000000001</v>
      </c>
      <c r="H675" s="7">
        <f>G675-0.2</f>
        <v>0.90000000000000013</v>
      </c>
      <c r="I675" s="7">
        <f>E675*F675*G675*D675</f>
        <v>0.67078000000000004</v>
      </c>
      <c r="J675" s="7">
        <f>(2*(E675)*H675*D675)+(E675*F675)</f>
        <v>6.0980000000000008</v>
      </c>
      <c r="K675" s="12">
        <f>IF(E675=0.3,J675,0)</f>
        <v>0</v>
      </c>
      <c r="L675" s="12">
        <f>IF(AND(E675&gt;0.3,E675&lt;=0.75),J675,0)</f>
        <v>0</v>
      </c>
      <c r="M675" s="12">
        <f>IF(AND(E675&gt;0.75,E675&lt;=1.2),J675,0)</f>
        <v>0</v>
      </c>
      <c r="N675" s="12">
        <f>IF(E675&gt;1.2,J675,0)</f>
        <v>6.0980000000000008</v>
      </c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>
        <f>SUM(X677:X679)/I675</f>
        <v>122.32867626388044</v>
      </c>
      <c r="Z675" s="7"/>
      <c r="AA675" s="7"/>
      <c r="AB675" s="7"/>
      <c r="AC675" s="7"/>
      <c r="AD675" s="7"/>
      <c r="AE675" s="7"/>
    </row>
    <row r="676" spans="1:32" s="9" customFormat="1" ht="20.100000000000001" customHeight="1" x14ac:dyDescent="0.25">
      <c r="A676" s="6"/>
      <c r="B676" s="10" t="s">
        <v>2</v>
      </c>
      <c r="C676" s="13" t="s">
        <v>4</v>
      </c>
      <c r="D676" s="7">
        <v>25</v>
      </c>
      <c r="E676" s="7"/>
      <c r="F676" s="7">
        <v>2</v>
      </c>
      <c r="G676" s="8">
        <f>VLOOKUP(D676,'[2]Beam '!$C$20:$H$26,3,0)</f>
        <v>1</v>
      </c>
      <c r="H676" s="8"/>
      <c r="I676" s="7"/>
      <c r="J676" s="7"/>
      <c r="K676" s="7"/>
      <c r="L676" s="7"/>
      <c r="M676" s="7"/>
      <c r="N676" s="7"/>
      <c r="O676" s="7">
        <f>(E675+1*(G676+(12*D676/1000)))+1*(0.3/2)*D675</f>
        <v>4.4990000000000006</v>
      </c>
      <c r="P676" s="7">
        <f>O676*F676</f>
        <v>8.9980000000000011</v>
      </c>
      <c r="Q676" s="7">
        <f>IF($D676='[2]Beam '!Q$44,$P676*'[2]Beam '!Q$45,0)</f>
        <v>0</v>
      </c>
      <c r="R676" s="7">
        <f>IF($D676='[2]Beam '!R$44,$P676*'[2]Beam '!R$45,0)</f>
        <v>0</v>
      </c>
      <c r="S676" s="7">
        <f>IF($D676='[2]Beam '!S$44,$P676*'[2]Beam '!S$45,0)</f>
        <v>0</v>
      </c>
      <c r="T676" s="7">
        <f>IF($D676='[2]Beam '!T$44,$P676*'[2]Beam '!T$45,0)</f>
        <v>0</v>
      </c>
      <c r="U676" s="7">
        <f>IF($D676='[2]Beam '!U$44,$P676*'[2]Beam '!U$45,0)</f>
        <v>0</v>
      </c>
      <c r="V676" s="7">
        <f>IF($D676='[2]Beam '!V$44,$P676*'[2]Beam '!V$45,0)</f>
        <v>34.686486607142868</v>
      </c>
      <c r="W676" s="7">
        <f>IF($D676='[2]Beam '!W$44,$P676*'[2]Beam '!W$45,0)</f>
        <v>0</v>
      </c>
      <c r="X676" s="7">
        <f>SUM(Q676:W676)</f>
        <v>34.686486607142868</v>
      </c>
      <c r="Y676" s="7"/>
      <c r="Z676" s="7"/>
      <c r="AA676" s="7"/>
      <c r="AB676" s="7"/>
      <c r="AC676" s="7"/>
      <c r="AD676" s="7"/>
      <c r="AE676" s="7"/>
    </row>
    <row r="677" spans="1:32" s="14" customFormat="1" ht="20.100000000000001" customHeight="1" x14ac:dyDescent="0.3">
      <c r="A677" s="6"/>
      <c r="B677" s="10" t="s">
        <v>2</v>
      </c>
      <c r="C677" s="13" t="s">
        <v>6</v>
      </c>
      <c r="D677" s="7">
        <v>25</v>
      </c>
      <c r="E677" s="7"/>
      <c r="F677" s="7">
        <v>2</v>
      </c>
      <c r="G677" s="8">
        <f>VLOOKUP(D677,'[2]Beam '!$C$20:$H$26,3,0)</f>
        <v>1</v>
      </c>
      <c r="H677" s="7"/>
      <c r="I677" s="7"/>
      <c r="J677" s="7"/>
      <c r="K677" s="7"/>
      <c r="L677" s="7"/>
      <c r="M677" s="7"/>
      <c r="N677" s="7"/>
      <c r="O677" s="7">
        <f>(E675+1*(G677+(12*D677/1000)))+1*(0.3/2)*D675</f>
        <v>4.4990000000000006</v>
      </c>
      <c r="P677" s="7">
        <f>O677*F677</f>
        <v>8.9980000000000011</v>
      </c>
      <c r="Q677" s="7">
        <f>IF($D677='[2]Beam '!Q$44,$P677*'[2]Beam '!Q$45,0)</f>
        <v>0</v>
      </c>
      <c r="R677" s="7">
        <f>IF($D677='[2]Beam '!R$44,$P677*'[2]Beam '!R$45,0)</f>
        <v>0</v>
      </c>
      <c r="S677" s="7">
        <f>IF($D677='[2]Beam '!S$44,$P677*'[2]Beam '!S$45,0)</f>
        <v>0</v>
      </c>
      <c r="T677" s="7">
        <f>IF($D677='[2]Beam '!T$44,$P677*'[2]Beam '!T$45,0)</f>
        <v>0</v>
      </c>
      <c r="U677" s="7">
        <f>IF($D677='[2]Beam '!U$44,$P677*'[2]Beam '!U$45,0)</f>
        <v>0</v>
      </c>
      <c r="V677" s="7">
        <f>IF($D677='[2]Beam '!V$44,$P677*'[2]Beam '!V$45,0)</f>
        <v>34.686486607142868</v>
      </c>
      <c r="W677" s="7">
        <f>IF($D677='[2]Beam '!W$44,$P677*'[2]Beam '!W$45,0)</f>
        <v>0</v>
      </c>
      <c r="X677" s="7">
        <f>SUM(Q677:W677)</f>
        <v>34.686486607142868</v>
      </c>
      <c r="Y677" s="7"/>
    </row>
    <row r="678" spans="1:32" s="9" customFormat="1" ht="21" customHeight="1" x14ac:dyDescent="0.25">
      <c r="A678" s="6"/>
      <c r="B678" s="10" t="s">
        <v>2</v>
      </c>
      <c r="C678" s="13" t="s">
        <v>7</v>
      </c>
      <c r="D678" s="7">
        <v>10</v>
      </c>
      <c r="E678" s="7">
        <v>0.1</v>
      </c>
      <c r="F678" s="7">
        <f>ROUNDUP((E675/3*2)/E678,0)+1</f>
        <v>22</v>
      </c>
      <c r="H678" s="7"/>
      <c r="I678" s="7"/>
      <c r="J678" s="7"/>
      <c r="K678" s="7"/>
      <c r="L678" s="7"/>
      <c r="M678" s="7"/>
      <c r="N678" s="7"/>
      <c r="O678" s="7">
        <f>(2*((G675-(2*'[2]Beam '!$D$11))+(F675-(2*'[2]Beam '!$D$11)))+(2*10*D678/1000))*D675</f>
        <v>2.5600000000000005</v>
      </c>
      <c r="P678" s="7">
        <f>O678*F678</f>
        <v>56.320000000000007</v>
      </c>
      <c r="Q678" s="7">
        <f>IF($D678='[2]Beam '!Q$44,$P678*'[2]Beam '!Q$45,0)</f>
        <v>0</v>
      </c>
      <c r="R678" s="7">
        <f>IF($D678='[2]Beam '!R$44,$P678*'[2]Beam '!R$45,0)</f>
        <v>34.737371428571436</v>
      </c>
      <c r="S678" s="7">
        <f>IF($D678='[2]Beam '!S$44,$P678*'[2]Beam '!S$45,0)</f>
        <v>0</v>
      </c>
      <c r="T678" s="7">
        <f>IF($D678='[2]Beam '!T$44,$P678*'[2]Beam '!T$45,0)</f>
        <v>0</v>
      </c>
      <c r="U678" s="7">
        <f>IF($D678='[2]Beam '!U$44,$P678*'[2]Beam '!U$45,0)</f>
        <v>0</v>
      </c>
      <c r="V678" s="7">
        <f>IF($D678='[2]Beam '!V$44,$P678*'[2]Beam '!V$45,0)</f>
        <v>0</v>
      </c>
      <c r="W678" s="7">
        <f>IF($D678='[2]Beam '!W$44,$P678*'[2]Beam '!W$45,0)</f>
        <v>0</v>
      </c>
      <c r="X678" s="7">
        <f>SUM(Q678:W678)</f>
        <v>34.737371428571436</v>
      </c>
      <c r="Y678" s="7"/>
      <c r="Z678" s="7"/>
      <c r="AA678" s="7"/>
      <c r="AB678" s="7"/>
      <c r="AC678" s="7"/>
      <c r="AD678" s="7"/>
      <c r="AE678" s="7"/>
      <c r="AF678" s="7"/>
    </row>
    <row r="679" spans="1:32" s="9" customFormat="1" ht="20.100000000000001" customHeight="1" x14ac:dyDescent="0.25">
      <c r="A679" s="14"/>
      <c r="B679" s="10" t="s">
        <v>2</v>
      </c>
      <c r="C679" s="13" t="s">
        <v>8</v>
      </c>
      <c r="D679" s="14">
        <f>D678</f>
        <v>10</v>
      </c>
      <c r="E679" s="14">
        <v>0.15</v>
      </c>
      <c r="F679" s="7">
        <f>ROUNDUP((E675/3)/E679,0)+1</f>
        <v>8</v>
      </c>
      <c r="H679" s="14"/>
      <c r="I679" s="14"/>
      <c r="J679" s="14"/>
      <c r="K679" s="14"/>
      <c r="L679" s="14"/>
      <c r="M679" s="14"/>
      <c r="N679" s="14"/>
      <c r="O679" s="7">
        <f>(2*((G675-(2*'[2]Beam '!$D$11))+(F675-(2*'[2]Beam '!$D$11)))+(2*10*D679/1000))*D675</f>
        <v>2.5600000000000005</v>
      </c>
      <c r="P679" s="7">
        <f>O679*F679</f>
        <v>20.480000000000004</v>
      </c>
      <c r="Q679" s="7">
        <f>IF($D679='[2]Beam '!Q$44,$P679*'[2]Beam '!Q$45,0)</f>
        <v>0</v>
      </c>
      <c r="R679" s="7">
        <f>IF($D679='[2]Beam '!R$44,$P679*'[2]Beam '!R$45,0)</f>
        <v>12.631771428571431</v>
      </c>
      <c r="S679" s="7">
        <f>IF($D679='[2]Beam '!S$44,$P679*'[2]Beam '!S$45,0)</f>
        <v>0</v>
      </c>
      <c r="T679" s="7">
        <f>IF($D679='[2]Beam '!T$44,$P679*'[2]Beam '!T$45,0)</f>
        <v>0</v>
      </c>
      <c r="U679" s="7">
        <f>IF($D679='[2]Beam '!U$44,$P679*'[2]Beam '!U$45,0)</f>
        <v>0</v>
      </c>
      <c r="V679" s="7">
        <f>IF($D679='[2]Beam '!V$44,$P679*'[2]Beam '!V$45,0)</f>
        <v>0</v>
      </c>
      <c r="W679" s="7">
        <f>IF($D679='[2]Beam '!W$44,$P679*'[2]Beam '!W$45,0)</f>
        <v>0</v>
      </c>
      <c r="X679" s="7">
        <f>SUM(Q679:W679)</f>
        <v>12.631771428571431</v>
      </c>
      <c r="Y679" s="14"/>
      <c r="Z679" s="7"/>
      <c r="AA679" s="7"/>
      <c r="AB679" s="7"/>
      <c r="AC679" s="7"/>
      <c r="AD679" s="7"/>
      <c r="AE679" s="7"/>
    </row>
    <row r="680" spans="1:32" s="9" customFormat="1" ht="20.100000000000001" customHeight="1" x14ac:dyDescent="0.25">
      <c r="A680" s="7">
        <v>1</v>
      </c>
      <c r="B680" s="10" t="s">
        <v>2</v>
      </c>
      <c r="C680" s="11" t="s">
        <v>104</v>
      </c>
      <c r="D680" s="11">
        <v>1</v>
      </c>
      <c r="E680" s="11">
        <v>3.05</v>
      </c>
      <c r="F680" s="11">
        <v>0.3</v>
      </c>
      <c r="G680" s="11">
        <v>1.1000000000000001</v>
      </c>
      <c r="H680" s="7">
        <f>G680-0.2</f>
        <v>0.90000000000000013</v>
      </c>
      <c r="I680" s="7">
        <f>E680*F680*G680*D680</f>
        <v>1.0065</v>
      </c>
      <c r="J680" s="7">
        <f>(2*(E680)*H680*D680)+(E680*F680)</f>
        <v>6.4050000000000002</v>
      </c>
      <c r="K680" s="12">
        <f>IF(E680=0.3,J680,0)</f>
        <v>0</v>
      </c>
      <c r="L680" s="12">
        <f>IF(AND(E680&gt;0.3,E680&lt;=0.75),J680,0)</f>
        <v>0</v>
      </c>
      <c r="M680" s="12">
        <f>IF(AND(E680&gt;0.75,E680&lt;=1.2),J680,0)</f>
        <v>0</v>
      </c>
      <c r="N680" s="12">
        <f>IF(E680&gt;1.2,J680,0)</f>
        <v>6.4050000000000002</v>
      </c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>
        <f>SUM(X682:X685)/I680</f>
        <v>124.01866315378611</v>
      </c>
      <c r="Z680" s="7"/>
      <c r="AA680" s="7"/>
      <c r="AB680" s="7"/>
      <c r="AC680" s="7"/>
      <c r="AD680" s="7"/>
      <c r="AE680" s="7"/>
    </row>
    <row r="681" spans="1:32" s="9" customFormat="1" ht="20.100000000000001" customHeight="1" x14ac:dyDescent="0.25">
      <c r="A681" s="6"/>
      <c r="B681" s="10" t="s">
        <v>2</v>
      </c>
      <c r="C681" s="13" t="s">
        <v>4</v>
      </c>
      <c r="D681" s="7">
        <v>25</v>
      </c>
      <c r="E681" s="7"/>
      <c r="F681" s="7">
        <v>2</v>
      </c>
      <c r="G681" s="8">
        <f>VLOOKUP(D681,'[2]Beam '!$C$20:$H$26,3,0)</f>
        <v>1</v>
      </c>
      <c r="H681" s="8"/>
      <c r="I681" s="7"/>
      <c r="J681" s="7"/>
      <c r="K681" s="7"/>
      <c r="L681" s="7"/>
      <c r="M681" s="7"/>
      <c r="N681" s="7"/>
      <c r="O681" s="7">
        <f>(E680+1*(0.3/2))+1*(1.15/2)*D680</f>
        <v>3.7749999999999995</v>
      </c>
      <c r="P681" s="7">
        <f>O681*F681</f>
        <v>7.5499999999999989</v>
      </c>
      <c r="Q681" s="7">
        <f>IF($D681='[2]Beam '!Q$44,$P681*'[2]Beam '!Q$45,0)</f>
        <v>0</v>
      </c>
      <c r="R681" s="7">
        <f>IF($D681='[2]Beam '!R$44,$P681*'[2]Beam '!R$45,0)</f>
        <v>0</v>
      </c>
      <c r="S681" s="7">
        <f>IF($D681='[2]Beam '!S$44,$P681*'[2]Beam '!S$45,0)</f>
        <v>0</v>
      </c>
      <c r="T681" s="7">
        <f>IF($D681='[2]Beam '!T$44,$P681*'[2]Beam '!T$45,0)</f>
        <v>0</v>
      </c>
      <c r="U681" s="7">
        <f>IF($D681='[2]Beam '!U$44,$P681*'[2]Beam '!U$45,0)</f>
        <v>0</v>
      </c>
      <c r="V681" s="7">
        <f>IF($D681='[2]Beam '!V$44,$P681*'[2]Beam '!V$45,0)</f>
        <v>29.104575892857142</v>
      </c>
      <c r="W681" s="7">
        <f>IF($D681='[2]Beam '!W$44,$P681*'[2]Beam '!W$45,0)</f>
        <v>0</v>
      </c>
      <c r="X681" s="7">
        <f>SUM(Q681:W681)</f>
        <v>29.104575892857142</v>
      </c>
      <c r="Y681" s="7"/>
      <c r="Z681" s="7"/>
      <c r="AA681" s="7"/>
      <c r="AB681" s="7"/>
      <c r="AC681" s="7"/>
      <c r="AD681" s="7"/>
      <c r="AE681" s="7"/>
    </row>
    <row r="682" spans="1:32" s="9" customFormat="1" ht="20.100000000000001" customHeight="1" x14ac:dyDescent="0.25">
      <c r="A682" s="6"/>
      <c r="B682" s="10" t="s">
        <v>2</v>
      </c>
      <c r="C682" s="13" t="s">
        <v>4</v>
      </c>
      <c r="D682" s="7">
        <v>20</v>
      </c>
      <c r="E682" s="7"/>
      <c r="F682" s="7">
        <v>1</v>
      </c>
      <c r="G682" s="8">
        <f>VLOOKUP(D682,'[2]Beam '!$C$20:$H$26,3,0)</f>
        <v>0.8</v>
      </c>
      <c r="H682" s="8"/>
      <c r="I682" s="7"/>
      <c r="J682" s="7"/>
      <c r="K682" s="7"/>
      <c r="L682" s="7"/>
      <c r="M682" s="7"/>
      <c r="N682" s="7"/>
      <c r="O682" s="7">
        <f>(E680+1*(0.3/2))+1*(1.15/2)*D680</f>
        <v>3.7749999999999995</v>
      </c>
      <c r="P682" s="7">
        <f>O682*F682</f>
        <v>3.7749999999999995</v>
      </c>
      <c r="Q682" s="7">
        <f>IF($D682='[2]Beam '!Q$44,$P682*'[2]Beam '!Q$45,0)</f>
        <v>0</v>
      </c>
      <c r="R682" s="7">
        <f>IF($D682='[2]Beam '!R$44,$P682*'[2]Beam '!R$45,0)</f>
        <v>0</v>
      </c>
      <c r="S682" s="7">
        <f>IF($D682='[2]Beam '!S$44,$P682*'[2]Beam '!S$45,0)</f>
        <v>0</v>
      </c>
      <c r="T682" s="7">
        <f>IF($D682='[2]Beam '!T$44,$P682*'[2]Beam '!T$45,0)</f>
        <v>0</v>
      </c>
      <c r="U682" s="7">
        <f>IF($D682='[2]Beam '!U$44,$P682*'[2]Beam '!U$45,0)</f>
        <v>9.313464285714284</v>
      </c>
      <c r="V682" s="7">
        <f>IF($D682='[2]Beam '!V$44,$P682*'[2]Beam '!V$45,0)</f>
        <v>0</v>
      </c>
      <c r="W682" s="7">
        <f>IF($D682='[2]Beam '!W$44,$P682*'[2]Beam '!W$45,0)</f>
        <v>0</v>
      </c>
      <c r="X682" s="7">
        <f>SUM(Q682:W682)</f>
        <v>9.313464285714284</v>
      </c>
      <c r="Y682" s="7"/>
      <c r="Z682" s="7"/>
      <c r="AA682" s="7"/>
      <c r="AB682" s="7"/>
      <c r="AC682" s="7"/>
      <c r="AD682" s="7"/>
      <c r="AE682" s="7"/>
    </row>
    <row r="683" spans="1:32" s="9" customFormat="1" ht="20.100000000000001" customHeight="1" x14ac:dyDescent="0.25">
      <c r="A683" s="6"/>
      <c r="B683" s="10" t="s">
        <v>2</v>
      </c>
      <c r="C683" s="13" t="s">
        <v>6</v>
      </c>
      <c r="D683" s="7">
        <v>25</v>
      </c>
      <c r="E683" s="7"/>
      <c r="F683" s="7">
        <v>2</v>
      </c>
      <c r="G683" s="8">
        <f>VLOOKUP(D683,'[2]Beam '!$C$20:$H$26,3,0)</f>
        <v>1</v>
      </c>
      <c r="H683" s="7"/>
      <c r="I683" s="7"/>
      <c r="J683" s="7"/>
      <c r="K683" s="7"/>
      <c r="L683" s="7"/>
      <c r="M683" s="7"/>
      <c r="N683" s="7"/>
      <c r="O683" s="7">
        <f>(E680+1*(0.3/2))+1*(1.15/2)*D680</f>
        <v>3.7749999999999995</v>
      </c>
      <c r="P683" s="7">
        <f>O683*F683</f>
        <v>7.5499999999999989</v>
      </c>
      <c r="Q683" s="7">
        <f>IF($D683='[2]Beam '!Q$44,$P683*'[2]Beam '!Q$45,0)</f>
        <v>0</v>
      </c>
      <c r="R683" s="7">
        <f>IF($D683='[2]Beam '!R$44,$P683*'[2]Beam '!R$45,0)</f>
        <v>0</v>
      </c>
      <c r="S683" s="7">
        <f>IF($D683='[2]Beam '!S$44,$P683*'[2]Beam '!S$45,0)</f>
        <v>0</v>
      </c>
      <c r="T683" s="7">
        <f>IF($D683='[2]Beam '!T$44,$P683*'[2]Beam '!T$45,0)</f>
        <v>0</v>
      </c>
      <c r="U683" s="7">
        <f>IF($D683='[2]Beam '!U$44,$P683*'[2]Beam '!U$45,0)</f>
        <v>0</v>
      </c>
      <c r="V683" s="7">
        <f>IF($D683='[2]Beam '!V$44,$P683*'[2]Beam '!V$45,0)</f>
        <v>29.104575892857142</v>
      </c>
      <c r="W683" s="7">
        <f>IF($D683='[2]Beam '!W$44,$P683*'[2]Beam '!W$45,0)</f>
        <v>0</v>
      </c>
      <c r="X683" s="7">
        <f>SUM(Q683:W683)</f>
        <v>29.104575892857142</v>
      </c>
      <c r="Y683" s="7"/>
      <c r="Z683" s="7"/>
      <c r="AA683" s="7"/>
      <c r="AB683" s="7"/>
      <c r="AC683" s="7"/>
      <c r="AD683" s="7"/>
      <c r="AE683" s="7"/>
    </row>
    <row r="684" spans="1:32" s="9" customFormat="1" ht="21" customHeight="1" x14ac:dyDescent="0.25">
      <c r="A684" s="6"/>
      <c r="B684" s="10" t="s">
        <v>2</v>
      </c>
      <c r="C684" s="13" t="s">
        <v>6</v>
      </c>
      <c r="D684" s="7">
        <v>20</v>
      </c>
      <c r="E684" s="7"/>
      <c r="F684" s="7">
        <v>1</v>
      </c>
      <c r="G684" s="8">
        <f>VLOOKUP(D684,'[2]Beam '!$C$20:$H$26,3,0)</f>
        <v>0.8</v>
      </c>
      <c r="H684" s="7"/>
      <c r="I684" s="7"/>
      <c r="J684" s="7"/>
      <c r="K684" s="7"/>
      <c r="L684" s="7"/>
      <c r="M684" s="7"/>
      <c r="N684" s="7"/>
      <c r="O684" s="7">
        <f>(E680+1*(0.3/2))+1*(1.15/2)*D680</f>
        <v>3.7749999999999995</v>
      </c>
      <c r="P684" s="7">
        <f>O684*F684</f>
        <v>3.7749999999999995</v>
      </c>
      <c r="Q684" s="7">
        <f>IF($D684='[2]Beam '!Q$44,$P684*'[2]Beam '!Q$45,0)</f>
        <v>0</v>
      </c>
      <c r="R684" s="7">
        <f>IF($D684='[2]Beam '!R$44,$P684*'[2]Beam '!R$45,0)</f>
        <v>0</v>
      </c>
      <c r="S684" s="7">
        <f>IF($D684='[2]Beam '!S$44,$P684*'[2]Beam '!S$45,0)</f>
        <v>0</v>
      </c>
      <c r="T684" s="7">
        <f>IF($D684='[2]Beam '!T$44,$P684*'[2]Beam '!T$45,0)</f>
        <v>0</v>
      </c>
      <c r="U684" s="7">
        <f>IF($D684='[2]Beam '!U$44,$P684*'[2]Beam '!U$45,0)</f>
        <v>9.313464285714284</v>
      </c>
      <c r="V684" s="7">
        <f>IF($D684='[2]Beam '!V$44,$P684*'[2]Beam '!V$45,0)</f>
        <v>0</v>
      </c>
      <c r="W684" s="7">
        <f>IF($D684='[2]Beam '!W$44,$P684*'[2]Beam '!W$45,0)</f>
        <v>0</v>
      </c>
      <c r="X684" s="7">
        <f>SUM(Q684:W684)</f>
        <v>9.313464285714284</v>
      </c>
      <c r="Y684" s="7"/>
      <c r="Z684" s="7"/>
      <c r="AA684" s="7"/>
      <c r="AB684" s="7"/>
      <c r="AC684" s="7"/>
      <c r="AD684" s="7"/>
      <c r="AE684" s="7"/>
      <c r="AF684" s="7"/>
    </row>
    <row r="685" spans="1:32" s="9" customFormat="1" ht="20.100000000000001" customHeight="1" x14ac:dyDescent="0.25">
      <c r="A685" s="6"/>
      <c r="B685" s="10" t="s">
        <v>2</v>
      </c>
      <c r="C685" s="13" t="s">
        <v>26</v>
      </c>
      <c r="D685" s="7">
        <v>12</v>
      </c>
      <c r="E685" s="7">
        <v>0.1</v>
      </c>
      <c r="F685" s="7">
        <f>ROUNDUP(E680/E685,0)</f>
        <v>31</v>
      </c>
      <c r="H685" s="7"/>
      <c r="I685" s="7"/>
      <c r="J685" s="7"/>
      <c r="K685" s="7"/>
      <c r="L685" s="7"/>
      <c r="M685" s="7"/>
      <c r="N685" s="7"/>
      <c r="O685" s="7">
        <f>(2*((G680-(2*'[2]Beam '!$D$11))+(F680-(2*'[2]Beam '!$D$11)))+(2*10*D685/1000))*D680</f>
        <v>2.8</v>
      </c>
      <c r="P685" s="7">
        <f>O685*F685</f>
        <v>86.8</v>
      </c>
      <c r="Q685" s="7">
        <f>IF($D685='[2]Beam '!Q$44,$P685*'[2]Beam '!Q$45,0)</f>
        <v>0</v>
      </c>
      <c r="R685" s="7">
        <f>IF($D685='[2]Beam '!R$44,$P685*'[2]Beam '!R$45,0)</f>
        <v>0</v>
      </c>
      <c r="S685" s="7">
        <f>IF($D685='[2]Beam '!S$44,$P685*'[2]Beam '!S$45,0)</f>
        <v>77.093280000000007</v>
      </c>
      <c r="T685" s="7">
        <f>IF($D685='[2]Beam '!T$44,$P685*'[2]Beam '!T$45,0)</f>
        <v>0</v>
      </c>
      <c r="U685" s="7">
        <f>IF($D685='[2]Beam '!U$44,$P685*'[2]Beam '!U$45,0)</f>
        <v>0</v>
      </c>
      <c r="V685" s="7">
        <f>IF($D685='[2]Beam '!V$44,$P685*'[2]Beam '!V$45,0)</f>
        <v>0</v>
      </c>
      <c r="W685" s="7">
        <f>IF($D685='[2]Beam '!W$44,$P685*'[2]Beam '!W$45,0)</f>
        <v>0</v>
      </c>
      <c r="X685" s="7">
        <f>SUM(Q685:W685)</f>
        <v>77.093280000000007</v>
      </c>
      <c r="Y685" s="7"/>
      <c r="Z685" s="7"/>
      <c r="AA685" s="7"/>
      <c r="AB685" s="7"/>
      <c r="AC685" s="7"/>
      <c r="AD685" s="7"/>
      <c r="AE685" s="7"/>
    </row>
    <row r="686" spans="1:32" s="9" customFormat="1" ht="20.100000000000001" customHeight="1" x14ac:dyDescent="0.25">
      <c r="A686" s="7">
        <v>1</v>
      </c>
      <c r="B686" s="10" t="s">
        <v>2</v>
      </c>
      <c r="C686" s="11" t="s">
        <v>105</v>
      </c>
      <c r="D686" s="11">
        <v>1</v>
      </c>
      <c r="E686" s="11">
        <v>1.375</v>
      </c>
      <c r="F686" s="11">
        <v>0.3</v>
      </c>
      <c r="G686" s="11">
        <v>1.1000000000000001</v>
      </c>
      <c r="H686" s="7">
        <f>G686-0.2</f>
        <v>0.90000000000000013</v>
      </c>
      <c r="I686" s="7">
        <f>E686*F686*G686*D686</f>
        <v>0.45374999999999999</v>
      </c>
      <c r="J686" s="7">
        <f>(2*(E686)*H686*D686)+(E686*F686)</f>
        <v>2.8875000000000006</v>
      </c>
      <c r="K686" s="12">
        <f>IF(E686=0.3,J686,0)</f>
        <v>0</v>
      </c>
      <c r="L686" s="12">
        <f>IF(AND(E686&gt;0.3,E686&lt;=0.75),J686,0)</f>
        <v>0</v>
      </c>
      <c r="M686" s="12">
        <f>IF(AND(E686&gt;0.75,E686&lt;=1.2),J686,0)</f>
        <v>0</v>
      </c>
      <c r="N686" s="12">
        <f>IF(E686&gt;1.2,J686,0)</f>
        <v>2.8875000000000006</v>
      </c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>
        <f>SUM(X690:X691)/I686</f>
        <v>92.987497835497848</v>
      </c>
      <c r="Z686" s="7"/>
      <c r="AA686" s="7"/>
      <c r="AB686" s="7"/>
      <c r="AC686" s="7"/>
      <c r="AD686" s="7"/>
      <c r="AE686" s="7"/>
    </row>
    <row r="687" spans="1:32" s="9" customFormat="1" ht="20.100000000000001" customHeight="1" x14ac:dyDescent="0.25">
      <c r="A687" s="6"/>
      <c r="B687" s="10" t="s">
        <v>2</v>
      </c>
      <c r="C687" s="13" t="s">
        <v>4</v>
      </c>
      <c r="D687" s="7">
        <v>25</v>
      </c>
      <c r="E687" s="7"/>
      <c r="F687" s="7">
        <v>2</v>
      </c>
      <c r="G687" s="8">
        <f>VLOOKUP(D687,'[2]Beam '!$C$20:$H$26,3,0)</f>
        <v>1</v>
      </c>
      <c r="H687" s="8"/>
      <c r="I687" s="7"/>
      <c r="J687" s="7"/>
      <c r="K687" s="7"/>
      <c r="L687" s="7"/>
      <c r="M687" s="7"/>
      <c r="N687" s="7"/>
      <c r="O687" s="7">
        <f>(E686+1*(G687+(12*D687/1000)))+1*(1.15/2)*D686</f>
        <v>3.25</v>
      </c>
      <c r="P687" s="7">
        <f t="shared" ref="P687:P692" si="123">O687*F687</f>
        <v>6.5</v>
      </c>
      <c r="Q687" s="7">
        <f>IF($D687='[2]Beam '!Q$44,$P687*'[2]Beam '!Q$45,0)</f>
        <v>0</v>
      </c>
      <c r="R687" s="7">
        <f>IF($D687='[2]Beam '!R$44,$P687*'[2]Beam '!R$45,0)</f>
        <v>0</v>
      </c>
      <c r="S687" s="7">
        <f>IF($D687='[2]Beam '!S$44,$P687*'[2]Beam '!S$45,0)</f>
        <v>0</v>
      </c>
      <c r="T687" s="7">
        <f>IF($D687='[2]Beam '!T$44,$P687*'[2]Beam '!T$45,0)</f>
        <v>0</v>
      </c>
      <c r="U687" s="7">
        <f>IF($D687='[2]Beam '!U$44,$P687*'[2]Beam '!U$45,0)</f>
        <v>0</v>
      </c>
      <c r="V687" s="7">
        <f>IF($D687='[2]Beam '!V$44,$P687*'[2]Beam '!V$45,0)</f>
        <v>25.056919642857146</v>
      </c>
      <c r="W687" s="7">
        <f>IF($D687='[2]Beam '!W$44,$P687*'[2]Beam '!W$45,0)</f>
        <v>0</v>
      </c>
      <c r="X687" s="7">
        <f t="shared" ref="X687:X692" si="124">SUM(Q687:W687)</f>
        <v>25.056919642857146</v>
      </c>
      <c r="Y687" s="7"/>
      <c r="Z687" s="7"/>
      <c r="AA687" s="7"/>
      <c r="AB687" s="7"/>
      <c r="AC687" s="7"/>
      <c r="AD687" s="7"/>
      <c r="AE687" s="7"/>
    </row>
    <row r="688" spans="1:32" s="9" customFormat="1" ht="20.100000000000001" customHeight="1" x14ac:dyDescent="0.25">
      <c r="A688" s="6"/>
      <c r="B688" s="10" t="s">
        <v>2</v>
      </c>
      <c r="C688" s="13" t="s">
        <v>4</v>
      </c>
      <c r="D688" s="7">
        <v>20</v>
      </c>
      <c r="E688" s="7"/>
      <c r="F688" s="7">
        <v>1</v>
      </c>
      <c r="G688" s="8">
        <f>VLOOKUP(D688,'[2]Beam '!$C$20:$H$26,3,0)</f>
        <v>0.8</v>
      </c>
      <c r="H688" s="8"/>
      <c r="I688" s="7"/>
      <c r="J688" s="7"/>
      <c r="K688" s="7"/>
      <c r="L688" s="7"/>
      <c r="M688" s="7"/>
      <c r="N688" s="7"/>
      <c r="O688" s="7">
        <f>(E686+1*(G688+(12*D688/1000)))+1*(1.15/2)*D686</f>
        <v>2.99</v>
      </c>
      <c r="P688" s="7">
        <f t="shared" si="123"/>
        <v>2.99</v>
      </c>
      <c r="Q688" s="7">
        <f>IF($D688='[2]Beam '!Q$44,$P688*'[2]Beam '!Q$45,0)</f>
        <v>0</v>
      </c>
      <c r="R688" s="7">
        <f>IF($D688='[2]Beam '!R$44,$P688*'[2]Beam '!R$45,0)</f>
        <v>0</v>
      </c>
      <c r="S688" s="7">
        <f>IF($D688='[2]Beam '!S$44,$P688*'[2]Beam '!S$45,0)</f>
        <v>0</v>
      </c>
      <c r="T688" s="7">
        <f>IF($D688='[2]Beam '!T$44,$P688*'[2]Beam '!T$45,0)</f>
        <v>0</v>
      </c>
      <c r="U688" s="7">
        <f>IF($D688='[2]Beam '!U$44,$P688*'[2]Beam '!U$45,0)</f>
        <v>7.3767571428571435</v>
      </c>
      <c r="V688" s="7">
        <f>IF($D688='[2]Beam '!V$44,$P688*'[2]Beam '!V$45,0)</f>
        <v>0</v>
      </c>
      <c r="W688" s="7">
        <f>IF($D688='[2]Beam '!W$44,$P688*'[2]Beam '!W$45,0)</f>
        <v>0</v>
      </c>
      <c r="X688" s="7">
        <f t="shared" si="124"/>
        <v>7.3767571428571435</v>
      </c>
      <c r="Y688" s="7"/>
      <c r="Z688" s="7"/>
      <c r="AA688" s="7"/>
      <c r="AB688" s="7"/>
      <c r="AC688" s="7"/>
      <c r="AD688" s="7"/>
      <c r="AE688" s="7"/>
    </row>
    <row r="689" spans="1:32" s="9" customFormat="1" ht="20.100000000000001" customHeight="1" x14ac:dyDescent="0.25">
      <c r="A689" s="6"/>
      <c r="B689" s="10" t="s">
        <v>2</v>
      </c>
      <c r="C689" s="13" t="s">
        <v>6</v>
      </c>
      <c r="D689" s="7">
        <v>25</v>
      </c>
      <c r="E689" s="7"/>
      <c r="F689" s="7">
        <v>2</v>
      </c>
      <c r="G689" s="8">
        <f>VLOOKUP(D689,'[2]Beam '!$C$20:$H$26,3,0)</f>
        <v>1</v>
      </c>
      <c r="H689" s="7"/>
      <c r="I689" s="7"/>
      <c r="J689" s="7"/>
      <c r="K689" s="7"/>
      <c r="L689" s="7"/>
      <c r="M689" s="7"/>
      <c r="N689" s="7"/>
      <c r="O689" s="7">
        <f>(E686+1*(G689+(12*D689/1000)))+1*(1.15/2)*D686</f>
        <v>3.25</v>
      </c>
      <c r="P689" s="7">
        <f t="shared" si="123"/>
        <v>6.5</v>
      </c>
      <c r="Q689" s="7">
        <f>IF($D689='[2]Beam '!Q$44,$P689*'[2]Beam '!Q$45,0)</f>
        <v>0</v>
      </c>
      <c r="R689" s="7">
        <f>IF($D689='[2]Beam '!R$44,$P689*'[2]Beam '!R$45,0)</f>
        <v>0</v>
      </c>
      <c r="S689" s="7">
        <f>IF($D689='[2]Beam '!S$44,$P689*'[2]Beam '!S$45,0)</f>
        <v>0</v>
      </c>
      <c r="T689" s="7">
        <f>IF($D689='[2]Beam '!T$44,$P689*'[2]Beam '!T$45,0)</f>
        <v>0</v>
      </c>
      <c r="U689" s="7">
        <f>IF($D689='[2]Beam '!U$44,$P689*'[2]Beam '!U$45,0)</f>
        <v>0</v>
      </c>
      <c r="V689" s="7">
        <f>IF($D689='[2]Beam '!V$44,$P689*'[2]Beam '!V$45,0)</f>
        <v>25.056919642857146</v>
      </c>
      <c r="W689" s="7">
        <f>IF($D689='[2]Beam '!W$44,$P689*'[2]Beam '!W$45,0)</f>
        <v>0</v>
      </c>
      <c r="X689" s="7">
        <f t="shared" si="124"/>
        <v>25.056919642857146</v>
      </c>
      <c r="Y689" s="7"/>
      <c r="Z689" s="7"/>
      <c r="AA689" s="7"/>
      <c r="AB689" s="7"/>
      <c r="AC689" s="7"/>
      <c r="AD689" s="7"/>
      <c r="AE689" s="7"/>
    </row>
    <row r="690" spans="1:32" s="14" customFormat="1" ht="20.100000000000001" customHeight="1" x14ac:dyDescent="0.3">
      <c r="A690" s="6"/>
      <c r="B690" s="10" t="s">
        <v>2</v>
      </c>
      <c r="C690" s="13" t="s">
        <v>6</v>
      </c>
      <c r="D690" s="7">
        <v>20</v>
      </c>
      <c r="E690" s="7"/>
      <c r="F690" s="7">
        <v>1</v>
      </c>
      <c r="G690" s="8">
        <f>VLOOKUP(D690,'[2]Beam '!$C$20:$H$26,3,0)</f>
        <v>0.8</v>
      </c>
      <c r="H690" s="7"/>
      <c r="I690" s="7"/>
      <c r="J690" s="7"/>
      <c r="K690" s="7"/>
      <c r="L690" s="7"/>
      <c r="M690" s="7"/>
      <c r="N690" s="7"/>
      <c r="O690" s="7">
        <f>(E686+1*(G690+(12*D690/1000)))+1*(1.15/2)*D686</f>
        <v>2.99</v>
      </c>
      <c r="P690" s="7">
        <f t="shared" si="123"/>
        <v>2.99</v>
      </c>
      <c r="Q690" s="7">
        <f>IF($D690='[2]Beam '!Q$44,$P690*'[2]Beam '!Q$45,0)</f>
        <v>0</v>
      </c>
      <c r="R690" s="7">
        <f>IF($D690='[2]Beam '!R$44,$P690*'[2]Beam '!R$45,0)</f>
        <v>0</v>
      </c>
      <c r="S690" s="7">
        <f>IF($D690='[2]Beam '!S$44,$P690*'[2]Beam '!S$45,0)</f>
        <v>0</v>
      </c>
      <c r="T690" s="7">
        <f>IF($D690='[2]Beam '!T$44,$P690*'[2]Beam '!T$45,0)</f>
        <v>0</v>
      </c>
      <c r="U690" s="7">
        <f>IF($D690='[2]Beam '!U$44,$P690*'[2]Beam '!U$45,0)</f>
        <v>7.3767571428571435</v>
      </c>
      <c r="V690" s="7">
        <f>IF($D690='[2]Beam '!V$44,$P690*'[2]Beam '!V$45,0)</f>
        <v>0</v>
      </c>
      <c r="W690" s="7">
        <f>IF($D690='[2]Beam '!W$44,$P690*'[2]Beam '!W$45,0)</f>
        <v>0</v>
      </c>
      <c r="X690" s="7">
        <f t="shared" si="124"/>
        <v>7.3767571428571435</v>
      </c>
      <c r="Y690" s="7"/>
    </row>
    <row r="691" spans="1:32" s="9" customFormat="1" ht="21" customHeight="1" x14ac:dyDescent="0.25">
      <c r="A691" s="6"/>
      <c r="B691" s="10" t="s">
        <v>2</v>
      </c>
      <c r="C691" s="13" t="s">
        <v>26</v>
      </c>
      <c r="D691" s="7">
        <v>12</v>
      </c>
      <c r="E691" s="7">
        <v>0.1</v>
      </c>
      <c r="F691" s="7">
        <f>ROUNDUP(E686/E691,0)</f>
        <v>14</v>
      </c>
      <c r="H691" s="7"/>
      <c r="I691" s="7"/>
      <c r="J691" s="7"/>
      <c r="K691" s="7"/>
      <c r="L691" s="7"/>
      <c r="M691" s="7"/>
      <c r="N691" s="7"/>
      <c r="O691" s="7">
        <f>(2*((G686-(2*'[2]Beam '!$D$11))+(F686-(2*'[2]Beam '!$D$11)))+(2*10*D691/1000))*D686</f>
        <v>2.8</v>
      </c>
      <c r="P691" s="7">
        <f t="shared" si="123"/>
        <v>39.199999999999996</v>
      </c>
      <c r="Q691" s="7">
        <f>IF($D691='[2]Beam '!Q$44,$P691*'[2]Beam '!Q$45,0)</f>
        <v>0</v>
      </c>
      <c r="R691" s="7">
        <f>IF($D691='[2]Beam '!R$44,$P691*'[2]Beam '!R$45,0)</f>
        <v>0</v>
      </c>
      <c r="S691" s="7">
        <f>IF($D691='[2]Beam '!S$44,$P691*'[2]Beam '!S$45,0)</f>
        <v>34.816320000000005</v>
      </c>
      <c r="T691" s="7">
        <f>IF($D691='[2]Beam '!T$44,$P691*'[2]Beam '!T$45,0)</f>
        <v>0</v>
      </c>
      <c r="U691" s="7">
        <f>IF($D691='[2]Beam '!U$44,$P691*'[2]Beam '!U$45,0)</f>
        <v>0</v>
      </c>
      <c r="V691" s="7">
        <f>IF($D691='[2]Beam '!V$44,$P691*'[2]Beam '!V$45,0)</f>
        <v>0</v>
      </c>
      <c r="W691" s="7">
        <f>IF($D691='[2]Beam '!W$44,$P691*'[2]Beam '!W$45,0)</f>
        <v>0</v>
      </c>
      <c r="X691" s="7">
        <f t="shared" si="124"/>
        <v>34.816320000000005</v>
      </c>
      <c r="Y691" s="7"/>
      <c r="Z691" s="7"/>
      <c r="AA691" s="7"/>
      <c r="AB691" s="7"/>
      <c r="AC691" s="7"/>
      <c r="AD691" s="7"/>
      <c r="AE691" s="7"/>
      <c r="AF691" s="7"/>
    </row>
    <row r="692" spans="1:32" s="9" customFormat="1" ht="20.100000000000001" customHeight="1" x14ac:dyDescent="0.25">
      <c r="A692" s="14"/>
      <c r="B692" s="10" t="s">
        <v>2</v>
      </c>
      <c r="C692" s="13" t="s">
        <v>47</v>
      </c>
      <c r="D692" s="7">
        <f>+D691</f>
        <v>12</v>
      </c>
      <c r="E692" s="14">
        <f>+E691</f>
        <v>0.1</v>
      </c>
      <c r="F692" s="7">
        <f>ROUNDUP(E686/E692,0)</f>
        <v>14</v>
      </c>
      <c r="H692" s="14"/>
      <c r="I692" s="14"/>
      <c r="J692" s="14"/>
      <c r="K692" s="14"/>
      <c r="L692" s="14"/>
      <c r="M692" s="14"/>
      <c r="N692" s="14"/>
      <c r="O692" s="7">
        <f>((((G686-(2*'[2]Beam '!$D$11))+(2*10*D692/1000))*D686))</f>
        <v>1.28</v>
      </c>
      <c r="P692" s="7">
        <f t="shared" si="123"/>
        <v>17.920000000000002</v>
      </c>
      <c r="Q692" s="7">
        <f>IF($D692='[2]Beam '!Q$44,$P692*'[2]Beam '!Q$45,0)</f>
        <v>0</v>
      </c>
      <c r="R692" s="7">
        <f>IF($D692='[2]Beam '!R$44,$P692*'[2]Beam '!R$45,0)</f>
        <v>0</v>
      </c>
      <c r="S692" s="7">
        <f>IF($D692='[2]Beam '!S$44,$P692*'[2]Beam '!S$45,0)</f>
        <v>15.916032000000005</v>
      </c>
      <c r="T692" s="7">
        <f>IF($D692='[2]Beam '!T$44,$P692*'[2]Beam '!T$45,0)</f>
        <v>0</v>
      </c>
      <c r="U692" s="7">
        <f>IF($D692='[2]Beam '!U$44,$P692*'[2]Beam '!U$45,0)</f>
        <v>0</v>
      </c>
      <c r="V692" s="7">
        <f>IF($D692='[2]Beam '!V$44,$P692*'[2]Beam '!V$45,0)</f>
        <v>0</v>
      </c>
      <c r="W692" s="7">
        <f>IF($D692='[2]Beam '!W$44,$P692*'[2]Beam '!W$45,0)</f>
        <v>0</v>
      </c>
      <c r="X692" s="7">
        <f t="shared" si="124"/>
        <v>15.916032000000005</v>
      </c>
      <c r="Y692" s="14"/>
      <c r="Z692" s="7"/>
      <c r="AA692" s="7"/>
      <c r="AB692" s="7"/>
      <c r="AC692" s="7"/>
      <c r="AD692" s="7"/>
      <c r="AE692" s="7"/>
    </row>
    <row r="693" spans="1:32" s="9" customFormat="1" ht="20.100000000000001" customHeight="1" x14ac:dyDescent="0.25">
      <c r="A693" s="7">
        <v>1</v>
      </c>
      <c r="B693" s="10" t="s">
        <v>2</v>
      </c>
      <c r="C693" s="11" t="s">
        <v>106</v>
      </c>
      <c r="D693" s="11">
        <v>1</v>
      </c>
      <c r="E693" s="11">
        <v>6.1749999999999998</v>
      </c>
      <c r="F693" s="11">
        <v>0.2</v>
      </c>
      <c r="G693" s="11">
        <v>1.1000000000000001</v>
      </c>
      <c r="H693" s="7">
        <f>G693-0.2</f>
        <v>0.90000000000000013</v>
      </c>
      <c r="I693" s="7">
        <f>E693*F693*G693*D693</f>
        <v>1.3585000000000003</v>
      </c>
      <c r="J693" s="7">
        <f>(2*(E693)*H693*D693)+(E693*F693)</f>
        <v>12.350000000000001</v>
      </c>
      <c r="K693" s="12">
        <f>IF(E693=0.3,J693,0)</f>
        <v>0</v>
      </c>
      <c r="L693" s="12">
        <f>IF(AND(E693&gt;0.3,E693&lt;=0.75),J693,0)</f>
        <v>0</v>
      </c>
      <c r="M693" s="12">
        <f>IF(AND(E693&gt;0.75,E693&lt;=1.2),J693,0)</f>
        <v>0</v>
      </c>
      <c r="N693" s="12">
        <f>IF(E693&gt;1.2,J693,0)</f>
        <v>12.350000000000001</v>
      </c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>
        <f>SUM(X694:X696)/I693</f>
        <v>59.004831463273561</v>
      </c>
      <c r="Z693" s="7"/>
      <c r="AA693" s="7"/>
      <c r="AB693" s="7"/>
      <c r="AC693" s="7"/>
      <c r="AD693" s="7"/>
      <c r="AE693" s="7"/>
    </row>
    <row r="694" spans="1:32" s="9" customFormat="1" ht="20.100000000000001" customHeight="1" x14ac:dyDescent="0.25">
      <c r="A694" s="6"/>
      <c r="B694" s="10" t="s">
        <v>2</v>
      </c>
      <c r="C694" s="13" t="s">
        <v>4</v>
      </c>
      <c r="D694" s="7">
        <v>16</v>
      </c>
      <c r="E694" s="7"/>
      <c r="F694" s="7">
        <v>2</v>
      </c>
      <c r="G694" s="8">
        <f>VLOOKUP(D694,'[2]Beam '!$C$20:$H$26,3,0)</f>
        <v>0.625</v>
      </c>
      <c r="H694" s="8"/>
      <c r="I694" s="7"/>
      <c r="J694" s="7"/>
      <c r="K694" s="7"/>
      <c r="L694" s="7"/>
      <c r="M694" s="7"/>
      <c r="N694" s="7"/>
      <c r="O694" s="7">
        <f>(E693+2*(G694+(12*D694/1000)))*D693</f>
        <v>7.8089999999999993</v>
      </c>
      <c r="P694" s="7">
        <f>O694*F694</f>
        <v>15.617999999999999</v>
      </c>
      <c r="Q694" s="7">
        <f>IF($D694='[2]Beam '!Q$44,$P694*'[2]Beam '!Q$45,0)</f>
        <v>0</v>
      </c>
      <c r="R694" s="7">
        <f>IF($D694='[2]Beam '!R$44,$P694*'[2]Beam '!R$45,0)</f>
        <v>0</v>
      </c>
      <c r="S694" s="7">
        <f>IF($D694='[2]Beam '!S$44,$P694*'[2]Beam '!S$45,0)</f>
        <v>0</v>
      </c>
      <c r="T694" s="7">
        <f>IF($D694='[2]Beam '!T$44,$P694*'[2]Beam '!T$45,0)</f>
        <v>24.660375771428573</v>
      </c>
      <c r="U694" s="7">
        <f>IF($D694='[2]Beam '!U$44,$P694*'[2]Beam '!U$45,0)</f>
        <v>0</v>
      </c>
      <c r="V694" s="7">
        <f>IF($D694='[2]Beam '!V$44,$P694*'[2]Beam '!V$45,0)</f>
        <v>0</v>
      </c>
      <c r="W694" s="7">
        <f>IF($D694='[2]Beam '!W$44,$P694*'[2]Beam '!W$45,0)</f>
        <v>0</v>
      </c>
      <c r="X694" s="7">
        <f>SUM(Q694:W694)</f>
        <v>24.660375771428573</v>
      </c>
      <c r="Y694" s="7"/>
      <c r="Z694" s="7"/>
      <c r="AA694" s="7"/>
      <c r="AB694" s="7"/>
      <c r="AC694" s="7"/>
      <c r="AD694" s="7"/>
      <c r="AE694" s="7"/>
    </row>
    <row r="695" spans="1:32" s="9" customFormat="1" ht="21" customHeight="1" x14ac:dyDescent="0.25">
      <c r="A695" s="6"/>
      <c r="B695" s="10" t="s">
        <v>2</v>
      </c>
      <c r="C695" s="13" t="s">
        <v>6</v>
      </c>
      <c r="D695" s="7">
        <v>16</v>
      </c>
      <c r="E695" s="7"/>
      <c r="F695" s="7">
        <v>2</v>
      </c>
      <c r="G695" s="8">
        <f>VLOOKUP(D695,'[2]Beam '!$C$20:$H$26,3,0)</f>
        <v>0.625</v>
      </c>
      <c r="H695" s="7"/>
      <c r="I695" s="7"/>
      <c r="J695" s="7"/>
      <c r="K695" s="7"/>
      <c r="L695" s="7"/>
      <c r="M695" s="7"/>
      <c r="N695" s="7"/>
      <c r="O695" s="7">
        <f>(E693+2*(G695+(12*D695/1000)))*D693</f>
        <v>7.8089999999999993</v>
      </c>
      <c r="P695" s="7">
        <f>O695*F695</f>
        <v>15.617999999999999</v>
      </c>
      <c r="Q695" s="7">
        <f>IF($D695='[2]Beam '!Q$44,$P695*'[2]Beam '!Q$45,0)</f>
        <v>0</v>
      </c>
      <c r="R695" s="7">
        <f>IF($D695='[2]Beam '!R$44,$P695*'[2]Beam '!R$45,0)</f>
        <v>0</v>
      </c>
      <c r="S695" s="7">
        <f>IF($D695='[2]Beam '!S$44,$P695*'[2]Beam '!S$45,0)</f>
        <v>0</v>
      </c>
      <c r="T695" s="7">
        <f>IF($D695='[2]Beam '!T$44,$P695*'[2]Beam '!T$45,0)</f>
        <v>24.660375771428573</v>
      </c>
      <c r="U695" s="7">
        <f>IF($D695='[2]Beam '!U$44,$P695*'[2]Beam '!U$45,0)</f>
        <v>0</v>
      </c>
      <c r="V695" s="7">
        <f>IF($D695='[2]Beam '!V$44,$P695*'[2]Beam '!V$45,0)</f>
        <v>0</v>
      </c>
      <c r="W695" s="7">
        <f>IF($D695='[2]Beam '!W$44,$P695*'[2]Beam '!W$45,0)</f>
        <v>0</v>
      </c>
      <c r="X695" s="7">
        <f>SUM(Q695:W695)</f>
        <v>24.660375771428573</v>
      </c>
      <c r="Y695" s="7"/>
      <c r="Z695" s="7"/>
      <c r="AA695" s="7"/>
      <c r="AB695" s="7"/>
      <c r="AC695" s="7"/>
      <c r="AD695" s="7"/>
      <c r="AE695" s="7"/>
      <c r="AF695" s="7"/>
    </row>
    <row r="696" spans="1:32" s="9" customFormat="1" ht="20.100000000000001" customHeight="1" x14ac:dyDescent="0.25">
      <c r="A696" s="6"/>
      <c r="B696" s="10" t="s">
        <v>2</v>
      </c>
      <c r="C696" s="13" t="s">
        <v>26</v>
      </c>
      <c r="D696" s="7">
        <v>8</v>
      </c>
      <c r="E696" s="7">
        <v>0.2</v>
      </c>
      <c r="F696" s="7">
        <f>ROUNDUP(E693/E696,0)</f>
        <v>31</v>
      </c>
      <c r="H696" s="7"/>
      <c r="I696" s="7"/>
      <c r="J696" s="7"/>
      <c r="K696" s="7"/>
      <c r="L696" s="7"/>
      <c r="M696" s="7"/>
      <c r="N696" s="7"/>
      <c r="O696" s="7">
        <f>(2*((G693-(2*'[2]Beam '!$D$11))+(F693-(2*'[2]Beam '!$D$11)))+(2*10*D696/1000))*D693</f>
        <v>2.5200000000000005</v>
      </c>
      <c r="P696" s="7">
        <f>O696*F696</f>
        <v>78.120000000000019</v>
      </c>
      <c r="Q696" s="7">
        <f>IF($D696='[2]Beam '!Q$44,$P696*'[2]Beam '!Q$45,0)</f>
        <v>30.837312000000011</v>
      </c>
      <c r="R696" s="7">
        <f>IF($D696='[2]Beam '!R$44,$P696*'[2]Beam '!R$45,0)</f>
        <v>0</v>
      </c>
      <c r="S696" s="7">
        <f>IF($D696='[2]Beam '!S$44,$P696*'[2]Beam '!S$45,0)</f>
        <v>0</v>
      </c>
      <c r="T696" s="7">
        <f>IF($D696='[2]Beam '!T$44,$P696*'[2]Beam '!T$45,0)</f>
        <v>0</v>
      </c>
      <c r="U696" s="7">
        <f>IF($D696='[2]Beam '!U$44,$P696*'[2]Beam '!U$45,0)</f>
        <v>0</v>
      </c>
      <c r="V696" s="7">
        <f>IF($D696='[2]Beam '!V$44,$P696*'[2]Beam '!V$45,0)</f>
        <v>0</v>
      </c>
      <c r="W696" s="7">
        <f>IF($D696='[2]Beam '!W$44,$P696*'[2]Beam '!W$45,0)</f>
        <v>0</v>
      </c>
      <c r="X696" s="7">
        <f>SUM(Q696:W696)</f>
        <v>30.837312000000011</v>
      </c>
      <c r="Y696" s="7"/>
      <c r="Z696" s="7"/>
      <c r="AA696" s="7"/>
      <c r="AB696" s="7"/>
      <c r="AC696" s="7"/>
      <c r="AD696" s="7"/>
      <c r="AE696" s="7"/>
    </row>
    <row r="697" spans="1:32" s="9" customFormat="1" ht="20.100000000000001" customHeight="1" x14ac:dyDescent="0.25">
      <c r="A697" s="7">
        <v>1</v>
      </c>
      <c r="B697" s="10" t="s">
        <v>2</v>
      </c>
      <c r="C697" s="11" t="s">
        <v>107</v>
      </c>
      <c r="D697" s="11">
        <v>1</v>
      </c>
      <c r="E697" s="11">
        <v>2.4649999999999999</v>
      </c>
      <c r="F697" s="11">
        <v>0.3</v>
      </c>
      <c r="G697" s="11">
        <v>1.05</v>
      </c>
      <c r="H697" s="7">
        <f>G697-0.2</f>
        <v>0.85000000000000009</v>
      </c>
      <c r="I697" s="7">
        <f>E697*F697*G697*D697</f>
        <v>0.77647499999999992</v>
      </c>
      <c r="J697" s="7">
        <f>(2*(E697)*H697*D697)+(E697*F697)</f>
        <v>4.93</v>
      </c>
      <c r="K697" s="12">
        <f>IF(E697=0.3,J697,0)</f>
        <v>0</v>
      </c>
      <c r="L697" s="12">
        <f>IF(AND(E697&gt;0.3,E697&lt;=0.75),J697,0)</f>
        <v>0</v>
      </c>
      <c r="M697" s="12">
        <f>IF(AND(E697&gt;0.75,E697&lt;=1.2),J697,0)</f>
        <v>0</v>
      </c>
      <c r="N697" s="12">
        <f>IF(E697&gt;1.2,J697,0)</f>
        <v>4.93</v>
      </c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>
        <f>SUM(X698:X700)/I697</f>
        <v>57.359280190237023</v>
      </c>
      <c r="Z697" s="7"/>
      <c r="AA697" s="7"/>
      <c r="AB697" s="7"/>
      <c r="AC697" s="7"/>
      <c r="AD697" s="7"/>
      <c r="AE697" s="7"/>
    </row>
    <row r="698" spans="1:32" s="9" customFormat="1" ht="20.100000000000001" customHeight="1" x14ac:dyDescent="0.25">
      <c r="A698" s="6"/>
      <c r="B698" s="10" t="s">
        <v>2</v>
      </c>
      <c r="C698" s="13" t="s">
        <v>4</v>
      </c>
      <c r="D698" s="7">
        <v>16</v>
      </c>
      <c r="E698" s="7"/>
      <c r="F698" s="7">
        <v>3</v>
      </c>
      <c r="G698" s="8">
        <f>VLOOKUP(D698,'[2]Beam '!$C$20:$H$26,3,0)</f>
        <v>0.625</v>
      </c>
      <c r="H698" s="8"/>
      <c r="I698" s="7"/>
      <c r="J698" s="7"/>
      <c r="K698" s="7"/>
      <c r="L698" s="7"/>
      <c r="M698" s="7"/>
      <c r="N698" s="7"/>
      <c r="O698" s="7">
        <f>(E697+1*(G698+(12*D698/1000)))*D697</f>
        <v>3.282</v>
      </c>
      <c r="P698" s="7">
        <f>O698*F698</f>
        <v>9.8460000000000001</v>
      </c>
      <c r="Q698" s="7">
        <f>IF($D698='[2]Beam '!Q$44,$P698*'[2]Beam '!Q$45,0)</f>
        <v>0</v>
      </c>
      <c r="R698" s="7">
        <f>IF($D698='[2]Beam '!R$44,$P698*'[2]Beam '!R$45,0)</f>
        <v>0</v>
      </c>
      <c r="S698" s="7">
        <f>IF($D698='[2]Beam '!S$44,$P698*'[2]Beam '!S$45,0)</f>
        <v>0</v>
      </c>
      <c r="T698" s="7">
        <f>IF($D698='[2]Beam '!T$44,$P698*'[2]Beam '!T$45,0)</f>
        <v>15.546552685714287</v>
      </c>
      <c r="U698" s="7">
        <f>IF($D698='[2]Beam '!U$44,$P698*'[2]Beam '!U$45,0)</f>
        <v>0</v>
      </c>
      <c r="V698" s="7">
        <f>IF($D698='[2]Beam '!V$44,$P698*'[2]Beam '!V$45,0)</f>
        <v>0</v>
      </c>
      <c r="W698" s="7">
        <f>IF($D698='[2]Beam '!W$44,$P698*'[2]Beam '!W$45,0)</f>
        <v>0</v>
      </c>
      <c r="X698" s="7">
        <f>SUM(Q698:W698)</f>
        <v>15.546552685714287</v>
      </c>
      <c r="Y698" s="7"/>
      <c r="Z698" s="7"/>
      <c r="AA698" s="7"/>
      <c r="AB698" s="7"/>
      <c r="AC698" s="7"/>
      <c r="AD698" s="7"/>
      <c r="AE698" s="7"/>
    </row>
    <row r="699" spans="1:32" s="9" customFormat="1" ht="21" customHeight="1" x14ac:dyDescent="0.25">
      <c r="A699" s="6"/>
      <c r="B699" s="10" t="s">
        <v>2</v>
      </c>
      <c r="C699" s="13" t="s">
        <v>6</v>
      </c>
      <c r="D699" s="7">
        <v>16</v>
      </c>
      <c r="E699" s="7"/>
      <c r="F699" s="7">
        <v>3</v>
      </c>
      <c r="G699" s="8">
        <f>VLOOKUP(D699,'[2]Beam '!$C$20:$H$26,3,0)</f>
        <v>0.625</v>
      </c>
      <c r="H699" s="7"/>
      <c r="I699" s="7"/>
      <c r="J699" s="7"/>
      <c r="K699" s="7"/>
      <c r="L699" s="7"/>
      <c r="M699" s="7"/>
      <c r="N699" s="7"/>
      <c r="O699" s="7">
        <f>(E697+1*(G699+(12*D699/1000)))*D697</f>
        <v>3.282</v>
      </c>
      <c r="P699" s="7">
        <f>O699*F699</f>
        <v>9.8460000000000001</v>
      </c>
      <c r="Q699" s="7">
        <f>IF($D699='[2]Beam '!Q$44,$P699*'[2]Beam '!Q$45,0)</f>
        <v>0</v>
      </c>
      <c r="R699" s="7">
        <f>IF($D699='[2]Beam '!R$44,$P699*'[2]Beam '!R$45,0)</f>
        <v>0</v>
      </c>
      <c r="S699" s="7">
        <f>IF($D699='[2]Beam '!S$44,$P699*'[2]Beam '!S$45,0)</f>
        <v>0</v>
      </c>
      <c r="T699" s="7">
        <f>IF($D699='[2]Beam '!T$44,$P699*'[2]Beam '!T$45,0)</f>
        <v>15.546552685714287</v>
      </c>
      <c r="U699" s="7">
        <f>IF($D699='[2]Beam '!U$44,$P699*'[2]Beam '!U$45,0)</f>
        <v>0</v>
      </c>
      <c r="V699" s="7">
        <f>IF($D699='[2]Beam '!V$44,$P699*'[2]Beam '!V$45,0)</f>
        <v>0</v>
      </c>
      <c r="W699" s="7">
        <f>IF($D699='[2]Beam '!W$44,$P699*'[2]Beam '!W$45,0)</f>
        <v>0</v>
      </c>
      <c r="X699" s="7">
        <f>SUM(Q699:W699)</f>
        <v>15.546552685714287</v>
      </c>
      <c r="Y699" s="7"/>
      <c r="Z699" s="7"/>
      <c r="AA699" s="7"/>
      <c r="AB699" s="7"/>
      <c r="AC699" s="7"/>
      <c r="AD699" s="7"/>
      <c r="AE699" s="7"/>
      <c r="AF699" s="7"/>
    </row>
    <row r="700" spans="1:32" s="9" customFormat="1" ht="20.100000000000001" customHeight="1" x14ac:dyDescent="0.25">
      <c r="A700" s="6"/>
      <c r="B700" s="10" t="s">
        <v>2</v>
      </c>
      <c r="C700" s="13" t="s">
        <v>26</v>
      </c>
      <c r="D700" s="7">
        <v>8</v>
      </c>
      <c r="E700" s="7">
        <v>0.2</v>
      </c>
      <c r="F700" s="7">
        <f>ROUNDUP(E697/E700,0)</f>
        <v>13</v>
      </c>
      <c r="H700" s="7"/>
      <c r="I700" s="7"/>
      <c r="J700" s="7"/>
      <c r="K700" s="7"/>
      <c r="L700" s="7"/>
      <c r="M700" s="7"/>
      <c r="N700" s="7"/>
      <c r="O700" s="7">
        <f>(2*((G697-(2*'[2]Beam '!$D$11))+(F697-(2*'[2]Beam '!$D$11)))+(2*10*D700/1000))*D697</f>
        <v>2.62</v>
      </c>
      <c r="P700" s="7">
        <f>O700*F700</f>
        <v>34.06</v>
      </c>
      <c r="Q700" s="7">
        <f>IF($D700='[2]Beam '!Q$44,$P700*'[2]Beam '!Q$45,0)</f>
        <v>13.444941714285717</v>
      </c>
      <c r="R700" s="7">
        <f>IF($D700='[2]Beam '!R$44,$P700*'[2]Beam '!R$45,0)</f>
        <v>0</v>
      </c>
      <c r="S700" s="7">
        <f>IF($D700='[2]Beam '!S$44,$P700*'[2]Beam '!S$45,0)</f>
        <v>0</v>
      </c>
      <c r="T700" s="7">
        <f>IF($D700='[2]Beam '!T$44,$P700*'[2]Beam '!T$45,0)</f>
        <v>0</v>
      </c>
      <c r="U700" s="7">
        <f>IF($D700='[2]Beam '!U$44,$P700*'[2]Beam '!U$45,0)</f>
        <v>0</v>
      </c>
      <c r="V700" s="7">
        <f>IF($D700='[2]Beam '!V$44,$P700*'[2]Beam '!V$45,0)</f>
        <v>0</v>
      </c>
      <c r="W700" s="7">
        <f>IF($D700='[2]Beam '!W$44,$P700*'[2]Beam '!W$45,0)</f>
        <v>0</v>
      </c>
      <c r="X700" s="7">
        <f>SUM(Q700:W700)</f>
        <v>13.444941714285717</v>
      </c>
      <c r="Y700" s="7"/>
      <c r="Z700" s="7"/>
      <c r="AA700" s="7"/>
      <c r="AB700" s="7"/>
      <c r="AC700" s="7"/>
      <c r="AD700" s="7"/>
      <c r="AE700" s="7"/>
    </row>
    <row r="701" spans="1:32" s="9" customFormat="1" ht="20.100000000000001" customHeight="1" x14ac:dyDescent="0.25">
      <c r="A701" s="7">
        <v>1</v>
      </c>
      <c r="B701" s="10" t="s">
        <v>2</v>
      </c>
      <c r="C701" s="11" t="s">
        <v>108</v>
      </c>
      <c r="D701" s="11">
        <v>1</v>
      </c>
      <c r="E701" s="11">
        <v>3.26</v>
      </c>
      <c r="F701" s="11">
        <v>0.3</v>
      </c>
      <c r="G701" s="11">
        <v>1.05</v>
      </c>
      <c r="H701" s="7">
        <f>G701-0.2</f>
        <v>0.85000000000000009</v>
      </c>
      <c r="I701" s="7">
        <f>E701*F701*G701*D701</f>
        <v>1.0268999999999999</v>
      </c>
      <c r="J701" s="7">
        <f>(2*(E701)*H701*D701)+(E701*F701)</f>
        <v>6.52</v>
      </c>
      <c r="K701" s="12">
        <f>IF(E701=0.3,J701,0)</f>
        <v>0</v>
      </c>
      <c r="L701" s="12">
        <f>IF(AND(E701&gt;0.3,E701&lt;=0.75),J701,0)</f>
        <v>0</v>
      </c>
      <c r="M701" s="12">
        <f>IF(AND(E701&gt;0.75,E701&lt;=1.2),J701,0)</f>
        <v>0</v>
      </c>
      <c r="N701" s="12">
        <f>IF(E701&gt;1.2,J701,0)</f>
        <v>6.52</v>
      </c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>
        <f>SUM(X702:X704)/I701</f>
        <v>54.734293449076979</v>
      </c>
      <c r="Z701" s="7"/>
      <c r="AA701" s="7"/>
      <c r="AB701" s="7"/>
      <c r="AC701" s="7"/>
      <c r="AD701" s="7"/>
      <c r="AE701" s="7"/>
    </row>
    <row r="702" spans="1:32" s="9" customFormat="1" ht="20.100000000000001" customHeight="1" x14ac:dyDescent="0.25">
      <c r="A702" s="6"/>
      <c r="B702" s="10" t="s">
        <v>2</v>
      </c>
      <c r="C702" s="13" t="s">
        <v>4</v>
      </c>
      <c r="D702" s="7">
        <v>16</v>
      </c>
      <c r="E702" s="7"/>
      <c r="F702" s="7">
        <v>3</v>
      </c>
      <c r="G702" s="8">
        <f>VLOOKUP(D702,'[2]Beam '!$C$20:$H$26,3,0)</f>
        <v>0.625</v>
      </c>
      <c r="H702" s="8"/>
      <c r="I702" s="7"/>
      <c r="J702" s="7"/>
      <c r="K702" s="7"/>
      <c r="L702" s="7"/>
      <c r="M702" s="7"/>
      <c r="N702" s="7"/>
      <c r="O702" s="7">
        <f>(E701+1*(G702+(12*D702/1000)))*D701</f>
        <v>4.077</v>
      </c>
      <c r="P702" s="7">
        <f>O702*F702</f>
        <v>12.231</v>
      </c>
      <c r="Q702" s="7">
        <f>IF($D702='[2]Beam '!Q$44,$P702*'[2]Beam '!Q$45,0)</f>
        <v>0</v>
      </c>
      <c r="R702" s="7">
        <f>IF($D702='[2]Beam '!R$44,$P702*'[2]Beam '!R$45,0)</f>
        <v>0</v>
      </c>
      <c r="S702" s="7">
        <f>IF($D702='[2]Beam '!S$44,$P702*'[2]Beam '!S$45,0)</f>
        <v>0</v>
      </c>
      <c r="T702" s="7">
        <f>IF($D702='[2]Beam '!T$44,$P702*'[2]Beam '!T$45,0)</f>
        <v>19.312399542857143</v>
      </c>
      <c r="U702" s="7">
        <f>IF($D702='[2]Beam '!U$44,$P702*'[2]Beam '!U$45,0)</f>
        <v>0</v>
      </c>
      <c r="V702" s="7">
        <f>IF($D702='[2]Beam '!V$44,$P702*'[2]Beam '!V$45,0)</f>
        <v>0</v>
      </c>
      <c r="W702" s="7">
        <f>IF($D702='[2]Beam '!W$44,$P702*'[2]Beam '!W$45,0)</f>
        <v>0</v>
      </c>
      <c r="X702" s="7">
        <f>SUM(Q702:W702)</f>
        <v>19.312399542857143</v>
      </c>
      <c r="Y702" s="7"/>
      <c r="Z702" s="7"/>
      <c r="AA702" s="7"/>
      <c r="AB702" s="7"/>
      <c r="AC702" s="7"/>
      <c r="AD702" s="7"/>
      <c r="AE702" s="7"/>
    </row>
    <row r="703" spans="1:32" s="9" customFormat="1" ht="21" customHeight="1" x14ac:dyDescent="0.25">
      <c r="A703" s="6"/>
      <c r="B703" s="10" t="s">
        <v>2</v>
      </c>
      <c r="C703" s="13" t="s">
        <v>6</v>
      </c>
      <c r="D703" s="7">
        <v>16</v>
      </c>
      <c r="E703" s="7"/>
      <c r="F703" s="7">
        <v>3</v>
      </c>
      <c r="G703" s="8">
        <f>VLOOKUP(D703,'[2]Beam '!$C$20:$H$26,3,0)</f>
        <v>0.625</v>
      </c>
      <c r="H703" s="7"/>
      <c r="I703" s="7"/>
      <c r="J703" s="7"/>
      <c r="K703" s="7"/>
      <c r="L703" s="7"/>
      <c r="M703" s="7"/>
      <c r="N703" s="7"/>
      <c r="O703" s="7">
        <f>(E701+1*(G703+(12*D703/1000)))*D701</f>
        <v>4.077</v>
      </c>
      <c r="P703" s="7">
        <f>O703*F703</f>
        <v>12.231</v>
      </c>
      <c r="Q703" s="7">
        <f>IF($D703='[2]Beam '!Q$44,$P703*'[2]Beam '!Q$45,0)</f>
        <v>0</v>
      </c>
      <c r="R703" s="7">
        <f>IF($D703='[2]Beam '!R$44,$P703*'[2]Beam '!R$45,0)</f>
        <v>0</v>
      </c>
      <c r="S703" s="7">
        <f>IF($D703='[2]Beam '!S$44,$P703*'[2]Beam '!S$45,0)</f>
        <v>0</v>
      </c>
      <c r="T703" s="7">
        <f>IF($D703='[2]Beam '!T$44,$P703*'[2]Beam '!T$45,0)</f>
        <v>19.312399542857143</v>
      </c>
      <c r="U703" s="7">
        <f>IF($D703='[2]Beam '!U$44,$P703*'[2]Beam '!U$45,0)</f>
        <v>0</v>
      </c>
      <c r="V703" s="7">
        <f>IF($D703='[2]Beam '!V$44,$P703*'[2]Beam '!V$45,0)</f>
        <v>0</v>
      </c>
      <c r="W703" s="7">
        <f>IF($D703='[2]Beam '!W$44,$P703*'[2]Beam '!W$45,0)</f>
        <v>0</v>
      </c>
      <c r="X703" s="7">
        <f>SUM(Q703:W703)</f>
        <v>19.312399542857143</v>
      </c>
      <c r="Y703" s="7"/>
      <c r="Z703" s="7"/>
      <c r="AA703" s="7"/>
      <c r="AB703" s="7"/>
      <c r="AC703" s="7"/>
      <c r="AD703" s="7"/>
      <c r="AE703" s="7"/>
      <c r="AF703" s="7"/>
    </row>
    <row r="704" spans="1:32" s="9" customFormat="1" ht="20.100000000000001" customHeight="1" x14ac:dyDescent="0.25">
      <c r="A704" s="6"/>
      <c r="B704" s="10" t="s">
        <v>2</v>
      </c>
      <c r="C704" s="13" t="s">
        <v>26</v>
      </c>
      <c r="D704" s="7">
        <v>8</v>
      </c>
      <c r="E704" s="7">
        <v>0.2</v>
      </c>
      <c r="F704" s="7">
        <f>ROUNDUP(E701/E704,0)</f>
        <v>17</v>
      </c>
      <c r="H704" s="7"/>
      <c r="I704" s="7"/>
      <c r="J704" s="7"/>
      <c r="K704" s="7"/>
      <c r="L704" s="7"/>
      <c r="M704" s="7"/>
      <c r="N704" s="7"/>
      <c r="O704" s="7">
        <f>(2*((G701-(2*'[2]Beam '!$D$11))+(F701-(2*'[2]Beam '!$D$11)))+(2*10*D704/1000))*D701</f>
        <v>2.62</v>
      </c>
      <c r="P704" s="7">
        <f>O704*F704</f>
        <v>44.54</v>
      </c>
      <c r="Q704" s="7">
        <f>IF($D704='[2]Beam '!Q$44,$P704*'[2]Beam '!Q$45,0)</f>
        <v>17.581846857142857</v>
      </c>
      <c r="R704" s="7">
        <f>IF($D704='[2]Beam '!R$44,$P704*'[2]Beam '!R$45,0)</f>
        <v>0</v>
      </c>
      <c r="S704" s="7">
        <f>IF($D704='[2]Beam '!S$44,$P704*'[2]Beam '!S$45,0)</f>
        <v>0</v>
      </c>
      <c r="T704" s="7">
        <f>IF($D704='[2]Beam '!T$44,$P704*'[2]Beam '!T$45,0)</f>
        <v>0</v>
      </c>
      <c r="U704" s="7">
        <f>IF($D704='[2]Beam '!U$44,$P704*'[2]Beam '!U$45,0)</f>
        <v>0</v>
      </c>
      <c r="V704" s="7">
        <f>IF($D704='[2]Beam '!V$44,$P704*'[2]Beam '!V$45,0)</f>
        <v>0</v>
      </c>
      <c r="W704" s="7">
        <f>IF($D704='[2]Beam '!W$44,$P704*'[2]Beam '!W$45,0)</f>
        <v>0</v>
      </c>
      <c r="X704" s="7">
        <f>SUM(Q704:W704)</f>
        <v>17.581846857142857</v>
      </c>
      <c r="Y704" s="7"/>
      <c r="Z704" s="7"/>
      <c r="AA704" s="7"/>
      <c r="AB704" s="7"/>
      <c r="AC704" s="7"/>
      <c r="AD704" s="7"/>
      <c r="AE704" s="7"/>
    </row>
    <row r="705" spans="1:32" s="9" customFormat="1" ht="20.100000000000001" customHeight="1" x14ac:dyDescent="0.25">
      <c r="A705" s="7">
        <v>1</v>
      </c>
      <c r="B705" s="10" t="s">
        <v>2</v>
      </c>
      <c r="C705" s="11" t="s">
        <v>109</v>
      </c>
      <c r="D705" s="11">
        <v>1</v>
      </c>
      <c r="E705" s="11">
        <v>3.3</v>
      </c>
      <c r="F705" s="11">
        <v>0.2</v>
      </c>
      <c r="G705" s="11">
        <v>1.1000000000000001</v>
      </c>
      <c r="H705" s="7">
        <f>G705-0.2</f>
        <v>0.90000000000000013</v>
      </c>
      <c r="I705" s="7">
        <f>E705*F705*G705*D705</f>
        <v>0.72600000000000009</v>
      </c>
      <c r="J705" s="7">
        <f>(2*(E705)*H705*D705)+(E705*F705)</f>
        <v>6.6000000000000005</v>
      </c>
      <c r="K705" s="12">
        <f>IF(E705=0.3,J705,0)</f>
        <v>0</v>
      </c>
      <c r="L705" s="12">
        <f>IF(AND(E705&gt;0.3,E705&lt;=0.75),J705,0)</f>
        <v>0</v>
      </c>
      <c r="M705" s="12">
        <f>IF(AND(E705&gt;0.75,E705&lt;=1.2),J705,0)</f>
        <v>0</v>
      </c>
      <c r="N705" s="12">
        <f>IF(E705&gt;1.2,J705,0)</f>
        <v>6.6000000000000005</v>
      </c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>
        <f>SUM(X706:X712)/I705</f>
        <v>323.78021645021647</v>
      </c>
      <c r="Z705" s="7"/>
      <c r="AA705" s="7"/>
      <c r="AB705" s="7"/>
      <c r="AC705" s="7"/>
      <c r="AD705" s="7"/>
      <c r="AE705" s="7"/>
    </row>
    <row r="706" spans="1:32" s="9" customFormat="1" ht="20.100000000000001" customHeight="1" x14ac:dyDescent="0.25">
      <c r="A706" s="6"/>
      <c r="B706" s="10" t="s">
        <v>2</v>
      </c>
      <c r="C706" s="13" t="s">
        <v>4</v>
      </c>
      <c r="D706" s="7">
        <v>25</v>
      </c>
      <c r="E706" s="7"/>
      <c r="F706" s="7">
        <v>2</v>
      </c>
      <c r="G706" s="8">
        <f>VLOOKUP(D706,'[2]Beam '!$C$20:$H$26,3,0)</f>
        <v>1</v>
      </c>
      <c r="H706" s="8"/>
      <c r="I706" s="7"/>
      <c r="J706" s="7"/>
      <c r="K706" s="7"/>
      <c r="L706" s="7"/>
      <c r="M706" s="7"/>
      <c r="N706" s="7"/>
      <c r="O706" s="7">
        <f>(E705+2*(G706+(12*D706/1000)))*D705</f>
        <v>5.9</v>
      </c>
      <c r="P706" s="7">
        <f t="shared" ref="P706:P712" si="125">O706*F706</f>
        <v>11.8</v>
      </c>
      <c r="Q706" s="7">
        <f>IF($D706='[2]Beam '!Q$44,$P706*'[2]Beam '!Q$45,0)</f>
        <v>0</v>
      </c>
      <c r="R706" s="7">
        <f>IF($D706='[2]Beam '!R$44,$P706*'[2]Beam '!R$45,0)</f>
        <v>0</v>
      </c>
      <c r="S706" s="7">
        <f>IF($D706='[2]Beam '!S$44,$P706*'[2]Beam '!S$45,0)</f>
        <v>0</v>
      </c>
      <c r="T706" s="7">
        <f>IF($D706='[2]Beam '!T$44,$P706*'[2]Beam '!T$45,0)</f>
        <v>0</v>
      </c>
      <c r="U706" s="7">
        <f>IF($D706='[2]Beam '!U$44,$P706*'[2]Beam '!U$45,0)</f>
        <v>0</v>
      </c>
      <c r="V706" s="7">
        <f>IF($D706='[2]Beam '!V$44,$P706*'[2]Beam '!V$45,0)</f>
        <v>45.487946428571441</v>
      </c>
      <c r="W706" s="7">
        <f>IF($D706='[2]Beam '!W$44,$P706*'[2]Beam '!W$45,0)</f>
        <v>0</v>
      </c>
      <c r="X706" s="7">
        <f t="shared" ref="X706:X712" si="126">SUM(Q706:W706)</f>
        <v>45.487946428571441</v>
      </c>
      <c r="Y706" s="7"/>
      <c r="Z706" s="7"/>
      <c r="AA706" s="7"/>
      <c r="AB706" s="7"/>
      <c r="AC706" s="7"/>
      <c r="AD706" s="7"/>
      <c r="AE706" s="7"/>
    </row>
    <row r="707" spans="1:32" s="9" customFormat="1" ht="20.100000000000001" customHeight="1" x14ac:dyDescent="0.25">
      <c r="A707" s="6"/>
      <c r="B707" s="10" t="s">
        <v>2</v>
      </c>
      <c r="C707" s="13" t="s">
        <v>5</v>
      </c>
      <c r="D707" s="7">
        <v>25</v>
      </c>
      <c r="E707" s="7"/>
      <c r="F707" s="7">
        <v>2</v>
      </c>
      <c r="G707" s="8">
        <f>VLOOKUP(D707,'[2]Beam '!$C$20:$H$26,3,0)</f>
        <v>1</v>
      </c>
      <c r="H707" s="8"/>
      <c r="I707" s="7"/>
      <c r="J707" s="7"/>
      <c r="K707" s="7"/>
      <c r="L707" s="7"/>
      <c r="M707" s="7"/>
      <c r="N707" s="7"/>
      <c r="O707" s="7">
        <f>(2.4+1*(G707+(12*D707/1000)))*D705</f>
        <v>3.7</v>
      </c>
      <c r="P707" s="7">
        <f t="shared" si="125"/>
        <v>7.4</v>
      </c>
      <c r="Q707" s="7">
        <f>IF($D707='[2]Beam '!Q$44,$P707*'[2]Beam '!Q$45,0)</f>
        <v>0</v>
      </c>
      <c r="R707" s="7">
        <f>IF($D707='[2]Beam '!R$44,$P707*'[2]Beam '!R$45,0)</f>
        <v>0</v>
      </c>
      <c r="S707" s="7">
        <f>IF($D707='[2]Beam '!S$44,$P707*'[2]Beam '!S$45,0)</f>
        <v>0</v>
      </c>
      <c r="T707" s="7">
        <f>IF($D707='[2]Beam '!T$44,$P707*'[2]Beam '!T$45,0)</f>
        <v>0</v>
      </c>
      <c r="U707" s="7">
        <f>IF($D707='[2]Beam '!U$44,$P707*'[2]Beam '!U$45,0)</f>
        <v>0</v>
      </c>
      <c r="V707" s="7">
        <f>IF($D707='[2]Beam '!V$44,$P707*'[2]Beam '!V$45,0)</f>
        <v>28.52633928571429</v>
      </c>
      <c r="W707" s="7">
        <f>IF($D707='[2]Beam '!W$44,$P707*'[2]Beam '!W$45,0)</f>
        <v>0</v>
      </c>
      <c r="X707" s="7">
        <f t="shared" si="126"/>
        <v>28.52633928571429</v>
      </c>
      <c r="Y707" s="7"/>
      <c r="Z707" s="7"/>
      <c r="AA707" s="7"/>
      <c r="AB707" s="7"/>
      <c r="AC707" s="7"/>
      <c r="AD707" s="7"/>
      <c r="AE707" s="7"/>
    </row>
    <row r="708" spans="1:32" s="9" customFormat="1" ht="20.100000000000001" customHeight="1" x14ac:dyDescent="0.25">
      <c r="A708" s="6"/>
      <c r="B708" s="10" t="s">
        <v>2</v>
      </c>
      <c r="C708" s="13" t="s">
        <v>5</v>
      </c>
      <c r="D708" s="7">
        <v>20</v>
      </c>
      <c r="E708" s="7"/>
      <c r="F708" s="7">
        <v>2</v>
      </c>
      <c r="G708" s="8">
        <f>VLOOKUP(D708,'[2]Beam '!$C$20:$H$26,3,0)</f>
        <v>0.8</v>
      </c>
      <c r="H708" s="8"/>
      <c r="I708" s="7"/>
      <c r="J708" s="7"/>
      <c r="K708" s="7"/>
      <c r="L708" s="7"/>
      <c r="M708" s="7"/>
      <c r="N708" s="7"/>
      <c r="O708" s="7">
        <f>(0.9+1*(G708+(12*D708/1000)))*D705</f>
        <v>1.94</v>
      </c>
      <c r="P708" s="7">
        <f t="shared" si="125"/>
        <v>3.88</v>
      </c>
      <c r="Q708" s="7">
        <f>IF($D708='[2]Beam '!Q$44,$P708*'[2]Beam '!Q$45,0)</f>
        <v>0</v>
      </c>
      <c r="R708" s="7">
        <f>IF($D708='[2]Beam '!R$44,$P708*'[2]Beam '!R$45,0)</f>
        <v>0</v>
      </c>
      <c r="S708" s="7">
        <f>IF($D708='[2]Beam '!S$44,$P708*'[2]Beam '!S$45,0)</f>
        <v>0</v>
      </c>
      <c r="T708" s="7">
        <f>IF($D708='[2]Beam '!T$44,$P708*'[2]Beam '!T$45,0)</f>
        <v>0</v>
      </c>
      <c r="U708" s="7">
        <f>IF($D708='[2]Beam '!U$44,$P708*'[2]Beam '!U$45,0)</f>
        <v>9.572514285714286</v>
      </c>
      <c r="V708" s="7">
        <f>IF($D708='[2]Beam '!V$44,$P708*'[2]Beam '!V$45,0)</f>
        <v>0</v>
      </c>
      <c r="W708" s="7">
        <f>IF($D708='[2]Beam '!W$44,$P708*'[2]Beam '!W$45,0)</f>
        <v>0</v>
      </c>
      <c r="X708" s="7">
        <f t="shared" si="126"/>
        <v>9.572514285714286</v>
      </c>
      <c r="Y708" s="7"/>
      <c r="Z708" s="7"/>
      <c r="AA708" s="7"/>
      <c r="AB708" s="7"/>
      <c r="AC708" s="7"/>
      <c r="AD708" s="7"/>
      <c r="AE708" s="7"/>
    </row>
    <row r="709" spans="1:32" s="9" customFormat="1" ht="20.100000000000001" customHeight="1" x14ac:dyDescent="0.25">
      <c r="A709" s="6"/>
      <c r="B709" s="10" t="s">
        <v>2</v>
      </c>
      <c r="C709" s="13" t="s">
        <v>6</v>
      </c>
      <c r="D709" s="7">
        <v>25</v>
      </c>
      <c r="E709" s="7"/>
      <c r="F709" s="7">
        <v>2</v>
      </c>
      <c r="G709" s="8">
        <f>VLOOKUP(D709,'[2]Beam '!$C$20:$H$26,3,0)</f>
        <v>1</v>
      </c>
      <c r="H709" s="7"/>
      <c r="I709" s="7"/>
      <c r="J709" s="7"/>
      <c r="K709" s="7"/>
      <c r="L709" s="7"/>
      <c r="M709" s="7"/>
      <c r="N709" s="7"/>
      <c r="O709" s="7">
        <f>(E705+2*(G709+(12*D709/1000)))*D705</f>
        <v>5.9</v>
      </c>
      <c r="P709" s="7">
        <f t="shared" si="125"/>
        <v>11.8</v>
      </c>
      <c r="Q709" s="7">
        <f>IF($D709='[2]Beam '!Q$44,$P709*'[2]Beam '!Q$45,0)</f>
        <v>0</v>
      </c>
      <c r="R709" s="7">
        <f>IF($D709='[2]Beam '!R$44,$P709*'[2]Beam '!R$45,0)</f>
        <v>0</v>
      </c>
      <c r="S709" s="7">
        <f>IF($D709='[2]Beam '!S$44,$P709*'[2]Beam '!S$45,0)</f>
        <v>0</v>
      </c>
      <c r="T709" s="7">
        <f>IF($D709='[2]Beam '!T$44,$P709*'[2]Beam '!T$45,0)</f>
        <v>0</v>
      </c>
      <c r="U709" s="7">
        <f>IF($D709='[2]Beam '!U$44,$P709*'[2]Beam '!U$45,0)</f>
        <v>0</v>
      </c>
      <c r="V709" s="7">
        <f>IF($D709='[2]Beam '!V$44,$P709*'[2]Beam '!V$45,0)</f>
        <v>45.487946428571441</v>
      </c>
      <c r="W709" s="7">
        <f>IF($D709='[2]Beam '!W$44,$P709*'[2]Beam '!W$45,0)</f>
        <v>0</v>
      </c>
      <c r="X709" s="7">
        <f t="shared" si="126"/>
        <v>45.487946428571441</v>
      </c>
      <c r="Y709" s="7"/>
      <c r="Z709" s="7"/>
      <c r="AA709" s="7"/>
      <c r="AB709" s="7"/>
      <c r="AC709" s="7"/>
      <c r="AD709" s="7"/>
      <c r="AE709" s="7"/>
    </row>
    <row r="710" spans="1:32" s="9" customFormat="1" ht="20.100000000000001" customHeight="1" x14ac:dyDescent="0.25">
      <c r="A710" s="6"/>
      <c r="B710" s="10" t="s">
        <v>2</v>
      </c>
      <c r="C710" s="13" t="s">
        <v>13</v>
      </c>
      <c r="D710" s="7">
        <v>20</v>
      </c>
      <c r="E710" s="7"/>
      <c r="F710" s="7">
        <v>2</v>
      </c>
      <c r="G710" s="8">
        <f>VLOOKUP(D710,'[2]Beam '!$C$20:$H$26,3,0)</f>
        <v>0.8</v>
      </c>
      <c r="H710" s="7"/>
      <c r="I710" s="7"/>
      <c r="J710" s="7"/>
      <c r="K710" s="7"/>
      <c r="L710" s="7"/>
      <c r="M710" s="7"/>
      <c r="N710" s="7"/>
      <c r="O710" s="7">
        <f>(E705+2*(G710+(12*D710/1000)))*D705</f>
        <v>5.38</v>
      </c>
      <c r="P710" s="7">
        <f t="shared" si="125"/>
        <v>10.76</v>
      </c>
      <c r="Q710" s="7">
        <f>IF($D710='[2]Beam '!Q$44,$P710*'[2]Beam '!Q$45,0)</f>
        <v>0</v>
      </c>
      <c r="R710" s="7">
        <f>IF($D710='[2]Beam '!R$44,$P710*'[2]Beam '!R$45,0)</f>
        <v>0</v>
      </c>
      <c r="S710" s="7">
        <f>IF($D710='[2]Beam '!S$44,$P710*'[2]Beam '!S$45,0)</f>
        <v>0</v>
      </c>
      <c r="T710" s="7">
        <f>IF($D710='[2]Beam '!T$44,$P710*'[2]Beam '!T$45,0)</f>
        <v>0</v>
      </c>
      <c r="U710" s="7">
        <f>IF($D710='[2]Beam '!U$44,$P710*'[2]Beam '!U$45,0)</f>
        <v>26.546457142857143</v>
      </c>
      <c r="V710" s="7">
        <f>IF($D710='[2]Beam '!V$44,$P710*'[2]Beam '!V$45,0)</f>
        <v>0</v>
      </c>
      <c r="W710" s="7">
        <f>IF($D710='[2]Beam '!W$44,$P710*'[2]Beam '!W$45,0)</f>
        <v>0</v>
      </c>
      <c r="X710" s="7">
        <f t="shared" si="126"/>
        <v>26.546457142857143</v>
      </c>
      <c r="Y710" s="7"/>
      <c r="Z710" s="7"/>
      <c r="AA710" s="7"/>
      <c r="AB710" s="7"/>
      <c r="AC710" s="7"/>
      <c r="AD710" s="7"/>
      <c r="AE710" s="7"/>
    </row>
    <row r="711" spans="1:32" s="9" customFormat="1" ht="21" customHeight="1" x14ac:dyDescent="0.25">
      <c r="A711" s="6"/>
      <c r="B711" s="10" t="s">
        <v>2</v>
      </c>
      <c r="C711" s="13" t="s">
        <v>26</v>
      </c>
      <c r="D711" s="7">
        <v>12</v>
      </c>
      <c r="E711" s="7">
        <v>0.1</v>
      </c>
      <c r="F711" s="7">
        <f>ROUNDUP(E705/E711,0)</f>
        <v>33</v>
      </c>
      <c r="H711" s="7"/>
      <c r="I711" s="7"/>
      <c r="J711" s="7"/>
      <c r="K711" s="7"/>
      <c r="L711" s="7"/>
      <c r="M711" s="7"/>
      <c r="N711" s="7"/>
      <c r="O711" s="7">
        <f>(2*((G705-(2*'[2]Beam '!$D$11))+(F705-(2*'[2]Beam '!$D$11)))+(2*10*D711/1000))*D705</f>
        <v>2.6000000000000005</v>
      </c>
      <c r="P711" s="7">
        <f t="shared" si="125"/>
        <v>85.800000000000011</v>
      </c>
      <c r="Q711" s="7">
        <f>IF($D711='[2]Beam '!Q$44,$P711*'[2]Beam '!Q$45,0)</f>
        <v>0</v>
      </c>
      <c r="R711" s="7">
        <f>IF($D711='[2]Beam '!R$44,$P711*'[2]Beam '!R$45,0)</f>
        <v>0</v>
      </c>
      <c r="S711" s="7">
        <f>IF($D711='[2]Beam '!S$44,$P711*'[2]Beam '!S$45,0)</f>
        <v>76.205108571428596</v>
      </c>
      <c r="T711" s="7">
        <f>IF($D711='[2]Beam '!T$44,$P711*'[2]Beam '!T$45,0)</f>
        <v>0</v>
      </c>
      <c r="U711" s="7">
        <f>IF($D711='[2]Beam '!U$44,$P711*'[2]Beam '!U$45,0)</f>
        <v>0</v>
      </c>
      <c r="V711" s="7">
        <f>IF($D711='[2]Beam '!V$44,$P711*'[2]Beam '!V$45,0)</f>
        <v>0</v>
      </c>
      <c r="W711" s="7">
        <f>IF($D711='[2]Beam '!W$44,$P711*'[2]Beam '!W$45,0)</f>
        <v>0</v>
      </c>
      <c r="X711" s="7">
        <f t="shared" si="126"/>
        <v>76.205108571428596</v>
      </c>
      <c r="Y711" s="7"/>
      <c r="Z711" s="7"/>
      <c r="AA711" s="7"/>
      <c r="AB711" s="7"/>
      <c r="AC711" s="7"/>
      <c r="AD711" s="7"/>
      <c r="AE711" s="7"/>
      <c r="AF711" s="7"/>
    </row>
    <row r="712" spans="1:32" s="9" customFormat="1" ht="20.100000000000001" customHeight="1" x14ac:dyDescent="0.25">
      <c r="A712" s="6"/>
      <c r="B712" s="10" t="s">
        <v>2</v>
      </c>
      <c r="C712" s="13" t="s">
        <v>11</v>
      </c>
      <c r="D712" s="7">
        <f>+'[2]Beam '!$D$15</f>
        <v>25</v>
      </c>
      <c r="E712" s="7">
        <f>+'[2]Beam '!$E$15</f>
        <v>1</v>
      </c>
      <c r="F712" s="7">
        <f>ROUNDUP((2.4+E705)/E712,0)</f>
        <v>6</v>
      </c>
      <c r="G712" s="8"/>
      <c r="H712" s="8"/>
      <c r="I712" s="7"/>
      <c r="J712" s="7"/>
      <c r="K712" s="7"/>
      <c r="L712" s="7"/>
      <c r="M712" s="7"/>
      <c r="N712" s="7"/>
      <c r="O712" s="7">
        <f>F705-'[2]Beam '!$F$15</f>
        <v>0.14000000000000001</v>
      </c>
      <c r="P712" s="7">
        <f t="shared" si="125"/>
        <v>0.84000000000000008</v>
      </c>
      <c r="Q712" s="7">
        <f>IF($D712='[2]Beam '!Q$44,$P712*'[2]Beam '!Q$45,0)</f>
        <v>0</v>
      </c>
      <c r="R712" s="7">
        <f>IF($D712='[2]Beam '!R$44,$P712*'[2]Beam '!R$45,0)</f>
        <v>0</v>
      </c>
      <c r="S712" s="7">
        <f>IF($D712='[2]Beam '!S$44,$P712*'[2]Beam '!S$45,0)</f>
        <v>0</v>
      </c>
      <c r="T712" s="7">
        <f>IF($D712='[2]Beam '!T$44,$P712*'[2]Beam '!T$45,0)</f>
        <v>0</v>
      </c>
      <c r="U712" s="7">
        <f>IF($D712='[2]Beam '!U$44,$P712*'[2]Beam '!U$45,0)</f>
        <v>0</v>
      </c>
      <c r="V712" s="7">
        <f>IF($D712='[2]Beam '!V$44,$P712*'[2]Beam '!V$45,0)</f>
        <v>3.2381250000000006</v>
      </c>
      <c r="W712" s="7">
        <f>IF($D712='[2]Beam '!W$44,$P712*'[2]Beam '!W$45,0)</f>
        <v>0</v>
      </c>
      <c r="X712" s="7">
        <f t="shared" si="126"/>
        <v>3.2381250000000006</v>
      </c>
      <c r="Y712" s="7"/>
      <c r="Z712" s="7"/>
      <c r="AA712" s="7"/>
      <c r="AB712" s="7"/>
      <c r="AC712" s="7"/>
      <c r="AD712" s="7"/>
      <c r="AE712" s="7"/>
    </row>
    <row r="713" spans="1:32" s="9" customFormat="1" ht="20.100000000000001" customHeight="1" x14ac:dyDescent="0.25">
      <c r="A713" s="7">
        <v>1</v>
      </c>
      <c r="B713" s="10" t="s">
        <v>2</v>
      </c>
      <c r="C713" s="11" t="s">
        <v>110</v>
      </c>
      <c r="D713" s="11">
        <v>1</v>
      </c>
      <c r="E713" s="11">
        <v>2.6</v>
      </c>
      <c r="F713" s="11">
        <v>0.5</v>
      </c>
      <c r="G713" s="11">
        <v>1.05</v>
      </c>
      <c r="H713" s="7">
        <f>G713-0.2</f>
        <v>0.85000000000000009</v>
      </c>
      <c r="I713" s="7">
        <f>E713*F713*G713*D713</f>
        <v>1.3650000000000002</v>
      </c>
      <c r="J713" s="7">
        <f>(2*(E713)*H713*D713)+(E713*F713)</f>
        <v>5.7200000000000006</v>
      </c>
      <c r="K713" s="12">
        <f>IF(E713=0.3,J713,0)</f>
        <v>0</v>
      </c>
      <c r="L713" s="12">
        <f>IF(AND(E713&gt;0.3,E713&lt;=0.75),J713,0)</f>
        <v>0</v>
      </c>
      <c r="M713" s="12">
        <f>IF(AND(E713&gt;0.75,E713&lt;=1.2),J713,0)</f>
        <v>0</v>
      </c>
      <c r="N713" s="12">
        <f>IF(E713&gt;1.2,J713,0)</f>
        <v>5.7200000000000006</v>
      </c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>
        <f>SUM(X714:X719)/I713</f>
        <v>601.21506059654621</v>
      </c>
      <c r="Z713" s="7"/>
      <c r="AA713" s="7"/>
      <c r="AB713" s="7"/>
      <c r="AC713" s="7"/>
      <c r="AD713" s="7"/>
      <c r="AE713" s="7"/>
    </row>
    <row r="714" spans="1:32" s="9" customFormat="1" ht="20.100000000000001" customHeight="1" x14ac:dyDescent="0.25">
      <c r="A714" s="6"/>
      <c r="B714" s="10" t="s">
        <v>2</v>
      </c>
      <c r="C714" s="13" t="s">
        <v>4</v>
      </c>
      <c r="D714" s="7">
        <v>32</v>
      </c>
      <c r="E714" s="7"/>
      <c r="F714" s="7">
        <v>5</v>
      </c>
      <c r="G714" s="8">
        <f>VLOOKUP(D714,'[2]Beam '!$C$20:$H$26,3,0)</f>
        <v>1.25</v>
      </c>
      <c r="H714" s="8"/>
      <c r="I714" s="7"/>
      <c r="J714" s="7"/>
      <c r="K714" s="7"/>
      <c r="L714" s="7"/>
      <c r="M714" s="7"/>
      <c r="N714" s="7"/>
      <c r="O714" s="7">
        <f>(E713+1*(G714+(12*D714/1000)))+1*(G714)*D713</f>
        <v>5.484</v>
      </c>
      <c r="P714" s="7">
        <f t="shared" ref="P714:P720" si="127">O714*F714</f>
        <v>27.42</v>
      </c>
      <c r="Q714" s="7">
        <f>IF($D714='[2]Beam '!Q$44,$P714*'[2]Beam '!Q$45,0)</f>
        <v>0</v>
      </c>
      <c r="R714" s="7">
        <f>IF($D714='[2]Beam '!R$44,$P714*'[2]Beam '!R$45,0)</f>
        <v>0</v>
      </c>
      <c r="S714" s="7">
        <f>IF($D714='[2]Beam '!S$44,$P714*'[2]Beam '!S$45,0)</f>
        <v>0</v>
      </c>
      <c r="T714" s="7">
        <f>IF($D714='[2]Beam '!T$44,$P714*'[2]Beam '!T$45,0)</f>
        <v>0</v>
      </c>
      <c r="U714" s="7">
        <f>IF($D714='[2]Beam '!U$44,$P714*'[2]Beam '!U$45,0)</f>
        <v>0</v>
      </c>
      <c r="V714" s="7">
        <f>IF($D714='[2]Beam '!V$44,$P714*'[2]Beam '!V$45,0)</f>
        <v>0</v>
      </c>
      <c r="W714" s="7">
        <f>IF($D714='[2]Beam '!W$44,$P714*'[2]Beam '!W$45,0)</f>
        <v>173.1815862857143</v>
      </c>
      <c r="X714" s="7">
        <f t="shared" ref="X714:X720" si="128">SUM(Q714:W714)</f>
        <v>173.1815862857143</v>
      </c>
      <c r="Y714" s="7"/>
      <c r="Z714" s="7"/>
      <c r="AA714" s="7"/>
      <c r="AB714" s="7"/>
      <c r="AC714" s="7"/>
      <c r="AD714" s="7"/>
      <c r="AE714" s="7"/>
    </row>
    <row r="715" spans="1:32" s="9" customFormat="1" ht="20.100000000000001" customHeight="1" x14ac:dyDescent="0.25">
      <c r="A715" s="6"/>
      <c r="B715" s="10" t="s">
        <v>2</v>
      </c>
      <c r="C715" s="13" t="s">
        <v>46</v>
      </c>
      <c r="D715" s="7">
        <v>32</v>
      </c>
      <c r="E715" s="7"/>
      <c r="F715" s="7">
        <v>5</v>
      </c>
      <c r="G715" s="8">
        <f>VLOOKUP(D715,'[2]Beam '!$C$20:$H$26,3,0)</f>
        <v>1.25</v>
      </c>
      <c r="H715" s="8"/>
      <c r="I715" s="7"/>
      <c r="J715" s="7"/>
      <c r="K715" s="7"/>
      <c r="L715" s="7"/>
      <c r="M715" s="7"/>
      <c r="N715" s="7"/>
      <c r="O715" s="7">
        <f>(E713+1*(G715+(12*D715/1000)))+1*(G715)*D713</f>
        <v>5.484</v>
      </c>
      <c r="P715" s="7">
        <f t="shared" si="127"/>
        <v>27.42</v>
      </c>
      <c r="Q715" s="7">
        <f>IF($D715='[2]Beam '!Q$44,$P715*'[2]Beam '!Q$45,0)</f>
        <v>0</v>
      </c>
      <c r="R715" s="7">
        <f>IF($D715='[2]Beam '!R$44,$P715*'[2]Beam '!R$45,0)</f>
        <v>0</v>
      </c>
      <c r="S715" s="7">
        <f>IF($D715='[2]Beam '!S$44,$P715*'[2]Beam '!S$45,0)</f>
        <v>0</v>
      </c>
      <c r="T715" s="7">
        <f>IF($D715='[2]Beam '!T$44,$P715*'[2]Beam '!T$45,0)</f>
        <v>0</v>
      </c>
      <c r="U715" s="7">
        <f>IF($D715='[2]Beam '!U$44,$P715*'[2]Beam '!U$45,0)</f>
        <v>0</v>
      </c>
      <c r="V715" s="7">
        <f>IF($D715='[2]Beam '!V$44,$P715*'[2]Beam '!V$45,0)</f>
        <v>0</v>
      </c>
      <c r="W715" s="7">
        <f>IF($D715='[2]Beam '!W$44,$P715*'[2]Beam '!W$45,0)</f>
        <v>173.1815862857143</v>
      </c>
      <c r="X715" s="7">
        <f t="shared" si="128"/>
        <v>173.1815862857143</v>
      </c>
      <c r="Y715" s="7"/>
      <c r="Z715" s="7"/>
      <c r="AA715" s="7"/>
      <c r="AB715" s="7"/>
      <c r="AC715" s="7"/>
      <c r="AD715" s="7"/>
      <c r="AE715" s="7"/>
    </row>
    <row r="716" spans="1:32" s="9" customFormat="1" ht="20.100000000000001" customHeight="1" x14ac:dyDescent="0.25">
      <c r="A716" s="6"/>
      <c r="B716" s="10" t="s">
        <v>2</v>
      </c>
      <c r="C716" s="13" t="s">
        <v>6</v>
      </c>
      <c r="D716" s="7">
        <v>32</v>
      </c>
      <c r="E716" s="7"/>
      <c r="F716" s="7">
        <v>5</v>
      </c>
      <c r="G716" s="8">
        <f>VLOOKUP(D716,'[2]Beam '!$C$20:$H$26,3,0)</f>
        <v>1.25</v>
      </c>
      <c r="H716" s="7"/>
      <c r="I716" s="7"/>
      <c r="J716" s="7"/>
      <c r="K716" s="7"/>
      <c r="L716" s="7"/>
      <c r="M716" s="7"/>
      <c r="N716" s="7"/>
      <c r="O716" s="7">
        <f>(E713+1*(G716+(12*D716/1000))+1*(G716))*D713</f>
        <v>5.484</v>
      </c>
      <c r="P716" s="7">
        <f t="shared" si="127"/>
        <v>27.42</v>
      </c>
      <c r="Q716" s="7">
        <f>IF($D716='[2]Beam '!Q$44,$P716*'[2]Beam '!Q$45,0)</f>
        <v>0</v>
      </c>
      <c r="R716" s="7">
        <f>IF($D716='[2]Beam '!R$44,$P716*'[2]Beam '!R$45,0)</f>
        <v>0</v>
      </c>
      <c r="S716" s="7">
        <f>IF($D716='[2]Beam '!S$44,$P716*'[2]Beam '!S$45,0)</f>
        <v>0</v>
      </c>
      <c r="T716" s="7">
        <f>IF($D716='[2]Beam '!T$44,$P716*'[2]Beam '!T$45,0)</f>
        <v>0</v>
      </c>
      <c r="U716" s="7">
        <f>IF($D716='[2]Beam '!U$44,$P716*'[2]Beam '!U$45,0)</f>
        <v>0</v>
      </c>
      <c r="V716" s="7">
        <f>IF($D716='[2]Beam '!V$44,$P716*'[2]Beam '!V$45,0)</f>
        <v>0</v>
      </c>
      <c r="W716" s="7">
        <f>IF($D716='[2]Beam '!W$44,$P716*'[2]Beam '!W$45,0)</f>
        <v>173.1815862857143</v>
      </c>
      <c r="X716" s="7">
        <f t="shared" si="128"/>
        <v>173.1815862857143</v>
      </c>
      <c r="Y716" s="7"/>
      <c r="Z716" s="7"/>
      <c r="AA716" s="7"/>
      <c r="AB716" s="7"/>
      <c r="AC716" s="7"/>
      <c r="AD716" s="7"/>
      <c r="AE716" s="7"/>
    </row>
    <row r="717" spans="1:32" s="14" customFormat="1" ht="20.100000000000001" customHeight="1" x14ac:dyDescent="0.3">
      <c r="A717" s="6"/>
      <c r="B717" s="10" t="s">
        <v>2</v>
      </c>
      <c r="C717" s="13" t="s">
        <v>6</v>
      </c>
      <c r="D717" s="7">
        <v>32</v>
      </c>
      <c r="E717" s="7"/>
      <c r="F717" s="7">
        <v>5</v>
      </c>
      <c r="G717" s="8">
        <f>VLOOKUP(D717,'[2]Beam '!$C$20:$H$26,3,0)</f>
        <v>1.25</v>
      </c>
      <c r="H717" s="7"/>
      <c r="I717" s="7"/>
      <c r="J717" s="7"/>
      <c r="K717" s="7"/>
      <c r="L717" s="7"/>
      <c r="M717" s="7"/>
      <c r="N717" s="7"/>
      <c r="O717" s="7">
        <f>(E713+1*(G717+(12*D717/1000))+1*(G717))*D713</f>
        <v>5.484</v>
      </c>
      <c r="P717" s="7">
        <f t="shared" si="127"/>
        <v>27.42</v>
      </c>
      <c r="Q717" s="7">
        <f>IF($D717='[2]Beam '!Q$44,$P717*'[2]Beam '!Q$45,0)</f>
        <v>0</v>
      </c>
      <c r="R717" s="7">
        <f>IF($D717='[2]Beam '!R$44,$P717*'[2]Beam '!R$45,0)</f>
        <v>0</v>
      </c>
      <c r="S717" s="7">
        <f>IF($D717='[2]Beam '!S$44,$P717*'[2]Beam '!S$45,0)</f>
        <v>0</v>
      </c>
      <c r="T717" s="7">
        <f>IF($D717='[2]Beam '!T$44,$P717*'[2]Beam '!T$45,0)</f>
        <v>0</v>
      </c>
      <c r="U717" s="7">
        <f>IF($D717='[2]Beam '!U$44,$P717*'[2]Beam '!U$45,0)</f>
        <v>0</v>
      </c>
      <c r="V717" s="7">
        <f>IF($D717='[2]Beam '!V$44,$P717*'[2]Beam '!V$45,0)</f>
        <v>0</v>
      </c>
      <c r="W717" s="7">
        <f>IF($D717='[2]Beam '!W$44,$P717*'[2]Beam '!W$45,0)</f>
        <v>173.1815862857143</v>
      </c>
      <c r="X717" s="7">
        <f t="shared" si="128"/>
        <v>173.1815862857143</v>
      </c>
      <c r="Y717" s="7"/>
    </row>
    <row r="718" spans="1:32" s="9" customFormat="1" ht="20.100000000000001" customHeight="1" x14ac:dyDescent="0.25">
      <c r="A718" s="6"/>
      <c r="B718" s="10" t="s">
        <v>2</v>
      </c>
      <c r="C718" s="13" t="s">
        <v>17</v>
      </c>
      <c r="D718" s="7">
        <v>12</v>
      </c>
      <c r="E718" s="7">
        <v>0.1</v>
      </c>
      <c r="F718" s="7">
        <f>ROUNDUP(E713/E718,0)</f>
        <v>26</v>
      </c>
      <c r="H718" s="7"/>
      <c r="I718" s="7"/>
      <c r="J718" s="7"/>
      <c r="K718" s="7"/>
      <c r="L718" s="7"/>
      <c r="M718" s="7"/>
      <c r="N718" s="7"/>
      <c r="O718" s="7">
        <f>(2*((G713-(2*'[2]Beam '!$D$11))+(F713-(2*'[2]Beam '!$D$11)))+(2*10*D718/1000))*D713</f>
        <v>3.0999999999999996</v>
      </c>
      <c r="P718" s="7">
        <f t="shared" si="127"/>
        <v>80.599999999999994</v>
      </c>
      <c r="Q718" s="7">
        <f>IF($D718='[2]Beam '!Q$44,$P718*'[2]Beam '!Q$45,0)</f>
        <v>0</v>
      </c>
      <c r="R718" s="7">
        <f>IF($D718='[2]Beam '!R$44,$P718*'[2]Beam '!R$45,0)</f>
        <v>0</v>
      </c>
      <c r="S718" s="7">
        <f>IF($D718='[2]Beam '!S$44,$P718*'[2]Beam '!S$45,0)</f>
        <v>71.58661714285715</v>
      </c>
      <c r="T718" s="7">
        <f>IF($D718='[2]Beam '!T$44,$P718*'[2]Beam '!T$45,0)</f>
        <v>0</v>
      </c>
      <c r="U718" s="7">
        <f>IF($D718='[2]Beam '!U$44,$P718*'[2]Beam '!U$45,0)</f>
        <v>0</v>
      </c>
      <c r="V718" s="7">
        <f>IF($D718='[2]Beam '!V$44,$P718*'[2]Beam '!V$45,0)</f>
        <v>0</v>
      </c>
      <c r="W718" s="7">
        <f>IF($D718='[2]Beam '!W$44,$P718*'[2]Beam '!W$45,0)</f>
        <v>0</v>
      </c>
      <c r="X718" s="7">
        <f t="shared" si="128"/>
        <v>71.58661714285715</v>
      </c>
      <c r="Y718" s="7"/>
      <c r="Z718" s="7"/>
      <c r="AA718" s="7"/>
      <c r="AB718" s="7"/>
      <c r="AC718" s="7"/>
      <c r="AD718" s="7"/>
      <c r="AE718" s="7"/>
    </row>
    <row r="719" spans="1:32" s="9" customFormat="1" ht="21" customHeight="1" x14ac:dyDescent="0.25">
      <c r="A719" s="14"/>
      <c r="B719" s="10" t="s">
        <v>2</v>
      </c>
      <c r="C719" s="13" t="s">
        <v>18</v>
      </c>
      <c r="D719" s="14">
        <f>D718</f>
        <v>12</v>
      </c>
      <c r="E719" s="14">
        <f>+E718</f>
        <v>0.1</v>
      </c>
      <c r="F719" s="7">
        <f>ROUNDUP(E713/E719,0)</f>
        <v>26</v>
      </c>
      <c r="H719" s="14"/>
      <c r="I719" s="14"/>
      <c r="J719" s="14"/>
      <c r="K719" s="14"/>
      <c r="L719" s="14"/>
      <c r="M719" s="14"/>
      <c r="N719" s="14"/>
      <c r="O719" s="7">
        <f>(2*(((F713-'[2]Beam '!$D$11*2)/(F714-1))+(G713-'[2]Beam '!$D$11*2))+(2*10*D719/1000))*D713</f>
        <v>2.4400000000000004</v>
      </c>
      <c r="P719" s="7">
        <f t="shared" si="127"/>
        <v>63.440000000000012</v>
      </c>
      <c r="Q719" s="7">
        <f>IF($D719='[2]Beam '!Q$44,$P719*'[2]Beam '!Q$45,0)</f>
        <v>0</v>
      </c>
      <c r="R719" s="7">
        <f>IF($D719='[2]Beam '!R$44,$P719*'[2]Beam '!R$45,0)</f>
        <v>0</v>
      </c>
      <c r="S719" s="7">
        <f>IF($D719='[2]Beam '!S$44,$P719*'[2]Beam '!S$45,0)</f>
        <v>56.34559542857145</v>
      </c>
      <c r="T719" s="7">
        <f>IF($D719='[2]Beam '!T$44,$P719*'[2]Beam '!T$45,0)</f>
        <v>0</v>
      </c>
      <c r="U719" s="7">
        <f>IF($D719='[2]Beam '!U$44,$P719*'[2]Beam '!U$45,0)</f>
        <v>0</v>
      </c>
      <c r="V719" s="7">
        <f>IF($D719='[2]Beam '!V$44,$P719*'[2]Beam '!V$45,0)</f>
        <v>0</v>
      </c>
      <c r="W719" s="7">
        <f>IF($D719='[2]Beam '!W$44,$P719*'[2]Beam '!W$45,0)</f>
        <v>0</v>
      </c>
      <c r="X719" s="7">
        <f t="shared" si="128"/>
        <v>56.34559542857145</v>
      </c>
      <c r="Y719" s="14"/>
      <c r="Z719" s="7"/>
      <c r="AA719" s="7"/>
      <c r="AB719" s="7"/>
      <c r="AC719" s="7"/>
      <c r="AD719" s="7"/>
      <c r="AE719" s="7"/>
      <c r="AF719" s="7"/>
    </row>
    <row r="720" spans="1:32" s="9" customFormat="1" ht="20.100000000000001" customHeight="1" x14ac:dyDescent="0.25">
      <c r="A720" s="6"/>
      <c r="B720" s="10" t="s">
        <v>2</v>
      </c>
      <c r="C720" s="13" t="s">
        <v>11</v>
      </c>
      <c r="D720" s="7">
        <f>+'[2]Beam '!$D$15</f>
        <v>25</v>
      </c>
      <c r="E720" s="7">
        <f>+'[2]Beam '!$E$15</f>
        <v>1</v>
      </c>
      <c r="F720" s="7">
        <f>ROUNDUP((E713+E713)/E720,0)</f>
        <v>6</v>
      </c>
      <c r="G720" s="8"/>
      <c r="H720" s="8"/>
      <c r="I720" s="7"/>
      <c r="J720" s="7"/>
      <c r="K720" s="7"/>
      <c r="L720" s="7"/>
      <c r="M720" s="7"/>
      <c r="N720" s="7"/>
      <c r="O720" s="7">
        <f>F713-'[2]Beam '!$F$15</f>
        <v>0.44</v>
      </c>
      <c r="P720" s="7">
        <f t="shared" si="127"/>
        <v>2.64</v>
      </c>
      <c r="Q720" s="7">
        <f>IF($D720='[2]Beam '!Q$44,$P720*'[2]Beam '!Q$45,0)</f>
        <v>0</v>
      </c>
      <c r="R720" s="7">
        <f>IF($D720='[2]Beam '!R$44,$P720*'[2]Beam '!R$45,0)</f>
        <v>0</v>
      </c>
      <c r="S720" s="7">
        <f>IF($D720='[2]Beam '!S$44,$P720*'[2]Beam '!S$45,0)</f>
        <v>0</v>
      </c>
      <c r="T720" s="7">
        <f>IF($D720='[2]Beam '!T$44,$P720*'[2]Beam '!T$45,0)</f>
        <v>0</v>
      </c>
      <c r="U720" s="7">
        <f>IF($D720='[2]Beam '!U$44,$P720*'[2]Beam '!U$45,0)</f>
        <v>0</v>
      </c>
      <c r="V720" s="7">
        <f>IF($D720='[2]Beam '!V$44,$P720*'[2]Beam '!V$45,0)</f>
        <v>10.176964285714288</v>
      </c>
      <c r="W720" s="7">
        <f>IF($D720='[2]Beam '!W$44,$P720*'[2]Beam '!W$45,0)</f>
        <v>0</v>
      </c>
      <c r="X720" s="7">
        <f t="shared" si="128"/>
        <v>10.176964285714288</v>
      </c>
      <c r="Y720" s="7"/>
      <c r="Z720" s="7"/>
      <c r="AA720" s="7"/>
      <c r="AB720" s="7"/>
      <c r="AC720" s="7"/>
      <c r="AD720" s="7"/>
      <c r="AE720" s="7"/>
    </row>
    <row r="721" spans="1:32" s="9" customFormat="1" ht="20.100000000000001" customHeight="1" x14ac:dyDescent="0.25">
      <c r="A721" s="7">
        <v>1</v>
      </c>
      <c r="B721" s="10" t="s">
        <v>2</v>
      </c>
      <c r="C721" s="11" t="s">
        <v>111</v>
      </c>
      <c r="D721" s="11">
        <v>1</v>
      </c>
      <c r="E721" s="11">
        <v>2.2000000000000002</v>
      </c>
      <c r="F721" s="11">
        <v>0.5</v>
      </c>
      <c r="G721" s="11">
        <v>1.05</v>
      </c>
      <c r="H721" s="7">
        <f>G721-0.2</f>
        <v>0.85000000000000009</v>
      </c>
      <c r="I721" s="7">
        <f>E721*F721*G721*D721</f>
        <v>1.1550000000000002</v>
      </c>
      <c r="J721" s="7">
        <f>(2*(E721)*H721*D721)+(E721*F721)</f>
        <v>4.8400000000000007</v>
      </c>
      <c r="K721" s="12">
        <f>IF(E721=0.3,J721,0)</f>
        <v>0</v>
      </c>
      <c r="L721" s="12">
        <f>IF(AND(E721&gt;0.3,E721&lt;=0.75),J721,0)</f>
        <v>0</v>
      </c>
      <c r="M721" s="12">
        <f>IF(AND(E721&gt;0.75,E721&lt;=1.2),J721,0)</f>
        <v>0</v>
      </c>
      <c r="N721" s="12">
        <f>IF(E721&gt;1.2,J721,0)</f>
        <v>4.8400000000000007</v>
      </c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>
        <f>SUM(X723:X726)/I721</f>
        <v>187.20914965986393</v>
      </c>
      <c r="Z721" s="7"/>
      <c r="AA721" s="7"/>
      <c r="AB721" s="7"/>
      <c r="AC721" s="7"/>
      <c r="AD721" s="7"/>
      <c r="AE721" s="7"/>
    </row>
    <row r="722" spans="1:32" s="9" customFormat="1" ht="20.100000000000001" customHeight="1" x14ac:dyDescent="0.25">
      <c r="A722" s="6"/>
      <c r="B722" s="10" t="s">
        <v>2</v>
      </c>
      <c r="C722" s="13" t="s">
        <v>4</v>
      </c>
      <c r="D722" s="7">
        <v>25</v>
      </c>
      <c r="E722" s="7"/>
      <c r="F722" s="7">
        <v>5</v>
      </c>
      <c r="G722" s="8">
        <f>VLOOKUP(D722,'[2]Beam '!$C$20:$H$26,3,0)</f>
        <v>1</v>
      </c>
      <c r="H722" s="8"/>
      <c r="I722" s="7"/>
      <c r="J722" s="7"/>
      <c r="K722" s="7"/>
      <c r="L722" s="7"/>
      <c r="M722" s="7"/>
      <c r="N722" s="7"/>
      <c r="O722" s="7">
        <f>(E721+2*(G722))*D721</f>
        <v>4.2</v>
      </c>
      <c r="P722" s="7">
        <f t="shared" ref="P722:P728" si="129">O722*F722</f>
        <v>21</v>
      </c>
      <c r="Q722" s="7">
        <f>IF($D722='[2]Beam '!Q$44,$P722*'[2]Beam '!Q$45,0)</f>
        <v>0</v>
      </c>
      <c r="R722" s="7">
        <f>IF($D722='[2]Beam '!R$44,$P722*'[2]Beam '!R$45,0)</f>
        <v>0</v>
      </c>
      <c r="S722" s="7">
        <f>IF($D722='[2]Beam '!S$44,$P722*'[2]Beam '!S$45,0)</f>
        <v>0</v>
      </c>
      <c r="T722" s="7">
        <f>IF($D722='[2]Beam '!T$44,$P722*'[2]Beam '!T$45,0)</f>
        <v>0</v>
      </c>
      <c r="U722" s="7">
        <f>IF($D722='[2]Beam '!U$44,$P722*'[2]Beam '!U$45,0)</f>
        <v>0</v>
      </c>
      <c r="V722" s="7">
        <f>IF($D722='[2]Beam '!V$44,$P722*'[2]Beam '!V$45,0)</f>
        <v>80.953125000000014</v>
      </c>
      <c r="W722" s="7">
        <f>IF($D722='[2]Beam '!W$44,$P722*'[2]Beam '!W$45,0)</f>
        <v>0</v>
      </c>
      <c r="X722" s="7">
        <f t="shared" ref="X722:X728" si="130">SUM(Q722:W722)</f>
        <v>80.953125000000014</v>
      </c>
      <c r="Y722" s="7"/>
      <c r="Z722" s="7"/>
      <c r="AA722" s="7"/>
      <c r="AB722" s="7"/>
      <c r="AC722" s="7"/>
      <c r="AD722" s="7"/>
      <c r="AE722" s="7"/>
    </row>
    <row r="723" spans="1:32" s="9" customFormat="1" ht="20.100000000000001" customHeight="1" x14ac:dyDescent="0.25">
      <c r="A723" s="6"/>
      <c r="B723" s="10" t="s">
        <v>2</v>
      </c>
      <c r="C723" s="13" t="s">
        <v>46</v>
      </c>
      <c r="D723" s="7">
        <v>20</v>
      </c>
      <c r="E723" s="7"/>
      <c r="F723" s="7">
        <v>5</v>
      </c>
      <c r="G723" s="8">
        <f>VLOOKUP(D723,'[2]Beam '!$C$20:$H$26,3,0)</f>
        <v>0.8</v>
      </c>
      <c r="H723" s="8"/>
      <c r="I723" s="7"/>
      <c r="J723" s="7"/>
      <c r="K723" s="7"/>
      <c r="L723" s="7"/>
      <c r="M723" s="7"/>
      <c r="N723" s="7"/>
      <c r="O723" s="7">
        <f>(E721+2*(G723))*D721</f>
        <v>3.8000000000000003</v>
      </c>
      <c r="P723" s="7">
        <f t="shared" si="129"/>
        <v>19</v>
      </c>
      <c r="Q723" s="7">
        <f>IF($D723='[2]Beam '!Q$44,$P723*'[2]Beam '!Q$45,0)</f>
        <v>0</v>
      </c>
      <c r="R723" s="7">
        <f>IF($D723='[2]Beam '!R$44,$P723*'[2]Beam '!R$45,0)</f>
        <v>0</v>
      </c>
      <c r="S723" s="7">
        <f>IF($D723='[2]Beam '!S$44,$P723*'[2]Beam '!S$45,0)</f>
        <v>0</v>
      </c>
      <c r="T723" s="7">
        <f>IF($D723='[2]Beam '!T$44,$P723*'[2]Beam '!T$45,0)</f>
        <v>0</v>
      </c>
      <c r="U723" s="7">
        <f>IF($D723='[2]Beam '!U$44,$P723*'[2]Beam '!U$45,0)</f>
        <v>46.875714285714281</v>
      </c>
      <c r="V723" s="7">
        <f>IF($D723='[2]Beam '!V$44,$P723*'[2]Beam '!V$45,0)</f>
        <v>0</v>
      </c>
      <c r="W723" s="7">
        <f>IF($D723='[2]Beam '!W$44,$P723*'[2]Beam '!W$45,0)</f>
        <v>0</v>
      </c>
      <c r="X723" s="7">
        <f t="shared" si="130"/>
        <v>46.875714285714281</v>
      </c>
      <c r="Y723" s="7"/>
      <c r="Z723" s="7"/>
      <c r="AA723" s="7"/>
      <c r="AB723" s="7"/>
      <c r="AC723" s="7"/>
      <c r="AD723" s="7"/>
      <c r="AE723" s="7"/>
    </row>
    <row r="724" spans="1:32" s="9" customFormat="1" ht="20.100000000000001" customHeight="1" x14ac:dyDescent="0.25">
      <c r="A724" s="6"/>
      <c r="B724" s="10" t="s">
        <v>2</v>
      </c>
      <c r="C724" s="13" t="s">
        <v>6</v>
      </c>
      <c r="D724" s="7">
        <v>25</v>
      </c>
      <c r="E724" s="7"/>
      <c r="F724" s="7">
        <v>5</v>
      </c>
      <c r="G724" s="8">
        <f>VLOOKUP(D724,'[2]Beam '!$C$20:$H$26,3,0)</f>
        <v>1</v>
      </c>
      <c r="H724" s="7"/>
      <c r="I724" s="7"/>
      <c r="J724" s="7"/>
      <c r="K724" s="7"/>
      <c r="L724" s="7"/>
      <c r="M724" s="7"/>
      <c r="N724" s="7"/>
      <c r="O724" s="7">
        <f>(E721+2*(G724))*D721</f>
        <v>4.2</v>
      </c>
      <c r="P724" s="7">
        <f t="shared" si="129"/>
        <v>21</v>
      </c>
      <c r="Q724" s="7">
        <f>IF($D724='[2]Beam '!Q$44,$P724*'[2]Beam '!Q$45,0)</f>
        <v>0</v>
      </c>
      <c r="R724" s="7">
        <f>IF($D724='[2]Beam '!R$44,$P724*'[2]Beam '!R$45,0)</f>
        <v>0</v>
      </c>
      <c r="S724" s="7">
        <f>IF($D724='[2]Beam '!S$44,$P724*'[2]Beam '!S$45,0)</f>
        <v>0</v>
      </c>
      <c r="T724" s="7">
        <f>IF($D724='[2]Beam '!T$44,$P724*'[2]Beam '!T$45,0)</f>
        <v>0</v>
      </c>
      <c r="U724" s="7">
        <f>IF($D724='[2]Beam '!U$44,$P724*'[2]Beam '!U$45,0)</f>
        <v>0</v>
      </c>
      <c r="V724" s="7">
        <f>IF($D724='[2]Beam '!V$44,$P724*'[2]Beam '!V$45,0)</f>
        <v>80.953125000000014</v>
      </c>
      <c r="W724" s="7">
        <f>IF($D724='[2]Beam '!W$44,$P724*'[2]Beam '!W$45,0)</f>
        <v>0</v>
      </c>
      <c r="X724" s="7">
        <f t="shared" si="130"/>
        <v>80.953125000000014</v>
      </c>
      <c r="Y724" s="7"/>
      <c r="Z724" s="7"/>
      <c r="AA724" s="7"/>
      <c r="AB724" s="7"/>
      <c r="AC724" s="7"/>
      <c r="AD724" s="7"/>
      <c r="AE724" s="7"/>
    </row>
    <row r="725" spans="1:32" s="14" customFormat="1" ht="20.100000000000001" customHeight="1" x14ac:dyDescent="0.3">
      <c r="A725" s="6"/>
      <c r="B725" s="10" t="s">
        <v>2</v>
      </c>
      <c r="C725" s="13" t="s">
        <v>13</v>
      </c>
      <c r="D725" s="7">
        <v>20</v>
      </c>
      <c r="E725" s="7"/>
      <c r="F725" s="7">
        <v>5</v>
      </c>
      <c r="G725" s="8">
        <f>VLOOKUP(D725,'[2]Beam '!$C$20:$H$26,3,0)</f>
        <v>0.8</v>
      </c>
      <c r="H725" s="7"/>
      <c r="I725" s="7"/>
      <c r="J725" s="7"/>
      <c r="K725" s="7"/>
      <c r="L725" s="7"/>
      <c r="M725" s="7"/>
      <c r="N725" s="7"/>
      <c r="O725" s="7">
        <f>(E721+2*(G725))*D721</f>
        <v>3.8000000000000003</v>
      </c>
      <c r="P725" s="7">
        <f t="shared" si="129"/>
        <v>19</v>
      </c>
      <c r="Q725" s="7">
        <f>IF($D725='[2]Beam '!Q$44,$P725*'[2]Beam '!Q$45,0)</f>
        <v>0</v>
      </c>
      <c r="R725" s="7">
        <f>IF($D725='[2]Beam '!R$44,$P725*'[2]Beam '!R$45,0)</f>
        <v>0</v>
      </c>
      <c r="S725" s="7">
        <f>IF($D725='[2]Beam '!S$44,$P725*'[2]Beam '!S$45,0)</f>
        <v>0</v>
      </c>
      <c r="T725" s="7">
        <f>IF($D725='[2]Beam '!T$44,$P725*'[2]Beam '!T$45,0)</f>
        <v>0</v>
      </c>
      <c r="U725" s="7">
        <f>IF($D725='[2]Beam '!U$44,$P725*'[2]Beam '!U$45,0)</f>
        <v>46.875714285714281</v>
      </c>
      <c r="V725" s="7">
        <f>IF($D725='[2]Beam '!V$44,$P725*'[2]Beam '!V$45,0)</f>
        <v>0</v>
      </c>
      <c r="W725" s="7">
        <f>IF($D725='[2]Beam '!W$44,$P725*'[2]Beam '!W$45,0)</f>
        <v>0</v>
      </c>
      <c r="X725" s="7">
        <f t="shared" si="130"/>
        <v>46.875714285714281</v>
      </c>
      <c r="Y725" s="7"/>
    </row>
    <row r="726" spans="1:32" s="9" customFormat="1" ht="20.100000000000001" customHeight="1" x14ac:dyDescent="0.25">
      <c r="A726" s="6"/>
      <c r="B726" s="10" t="s">
        <v>2</v>
      </c>
      <c r="C726" s="13" t="s">
        <v>17</v>
      </c>
      <c r="D726" s="7">
        <v>10</v>
      </c>
      <c r="E726" s="7">
        <v>0.1</v>
      </c>
      <c r="F726" s="7">
        <f>ROUNDUP(E721/E726,0)</f>
        <v>22</v>
      </c>
      <c r="H726" s="7"/>
      <c r="I726" s="7"/>
      <c r="J726" s="7"/>
      <c r="K726" s="7"/>
      <c r="L726" s="7"/>
      <c r="M726" s="7"/>
      <c r="N726" s="7"/>
      <c r="O726" s="7">
        <f>(2*((G721-(2*'[2]Beam '!$D$11))+(F721-(2*'[2]Beam '!$D$11)))+(2*10*D726/1000))*D721</f>
        <v>3.06</v>
      </c>
      <c r="P726" s="7">
        <f t="shared" si="129"/>
        <v>67.320000000000007</v>
      </c>
      <c r="Q726" s="7">
        <f>IF($D726='[2]Beam '!Q$44,$P726*'[2]Beam '!Q$45,0)</f>
        <v>0</v>
      </c>
      <c r="R726" s="7">
        <f>IF($D726='[2]Beam '!R$44,$P726*'[2]Beam '!R$45,0)</f>
        <v>41.522014285714292</v>
      </c>
      <c r="S726" s="7">
        <f>IF($D726='[2]Beam '!S$44,$P726*'[2]Beam '!S$45,0)</f>
        <v>0</v>
      </c>
      <c r="T726" s="7">
        <f>IF($D726='[2]Beam '!T$44,$P726*'[2]Beam '!T$45,0)</f>
        <v>0</v>
      </c>
      <c r="U726" s="7">
        <f>IF($D726='[2]Beam '!U$44,$P726*'[2]Beam '!U$45,0)</f>
        <v>0</v>
      </c>
      <c r="V726" s="7">
        <f>IF($D726='[2]Beam '!V$44,$P726*'[2]Beam '!V$45,0)</f>
        <v>0</v>
      </c>
      <c r="W726" s="7">
        <f>IF($D726='[2]Beam '!W$44,$P726*'[2]Beam '!W$45,0)</f>
        <v>0</v>
      </c>
      <c r="X726" s="7">
        <f t="shared" si="130"/>
        <v>41.522014285714292</v>
      </c>
      <c r="Y726" s="7"/>
      <c r="Z726" s="7"/>
      <c r="AA726" s="7"/>
      <c r="AB726" s="7"/>
      <c r="AC726" s="7"/>
      <c r="AD726" s="7"/>
      <c r="AE726" s="7"/>
    </row>
    <row r="727" spans="1:32" s="9" customFormat="1" ht="21" customHeight="1" x14ac:dyDescent="0.25">
      <c r="A727" s="14"/>
      <c r="B727" s="10" t="s">
        <v>2</v>
      </c>
      <c r="C727" s="13" t="s">
        <v>18</v>
      </c>
      <c r="D727" s="14">
        <f>D726</f>
        <v>10</v>
      </c>
      <c r="E727" s="14">
        <f>+E726</f>
        <v>0.1</v>
      </c>
      <c r="F727" s="7">
        <f>ROUNDUP(E721/E727,0)</f>
        <v>22</v>
      </c>
      <c r="H727" s="14"/>
      <c r="I727" s="14"/>
      <c r="J727" s="14"/>
      <c r="K727" s="14"/>
      <c r="L727" s="14"/>
      <c r="M727" s="14"/>
      <c r="N727" s="14"/>
      <c r="O727" s="7">
        <f>(2*(((F721-'[2]Beam '!$D$11*2)/(F722-1))+(G721-'[2]Beam '!$D$11*2))+(2*10*D727/1000))*D721</f>
        <v>2.4000000000000004</v>
      </c>
      <c r="P727" s="7">
        <f t="shared" si="129"/>
        <v>52.800000000000011</v>
      </c>
      <c r="Q727" s="7">
        <f>IF($D727='[2]Beam '!Q$44,$P727*'[2]Beam '!Q$45,0)</f>
        <v>0</v>
      </c>
      <c r="R727" s="7">
        <f>IF($D727='[2]Beam '!R$44,$P727*'[2]Beam '!R$45,0)</f>
        <v>32.566285714285719</v>
      </c>
      <c r="S727" s="7">
        <f>IF($D727='[2]Beam '!S$44,$P727*'[2]Beam '!S$45,0)</f>
        <v>0</v>
      </c>
      <c r="T727" s="7">
        <f>IF($D727='[2]Beam '!T$44,$P727*'[2]Beam '!T$45,0)</f>
        <v>0</v>
      </c>
      <c r="U727" s="7">
        <f>IF($D727='[2]Beam '!U$44,$P727*'[2]Beam '!U$45,0)</f>
        <v>0</v>
      </c>
      <c r="V727" s="7">
        <f>IF($D727='[2]Beam '!V$44,$P727*'[2]Beam '!V$45,0)</f>
        <v>0</v>
      </c>
      <c r="W727" s="7">
        <f>IF($D727='[2]Beam '!W$44,$P727*'[2]Beam '!W$45,0)</f>
        <v>0</v>
      </c>
      <c r="X727" s="7">
        <f t="shared" si="130"/>
        <v>32.566285714285719</v>
      </c>
      <c r="Y727" s="14"/>
      <c r="Z727" s="7"/>
      <c r="AA727" s="7"/>
      <c r="AB727" s="7"/>
      <c r="AC727" s="7"/>
      <c r="AD727" s="7"/>
      <c r="AE727" s="7"/>
      <c r="AF727" s="7"/>
    </row>
    <row r="728" spans="1:32" s="9" customFormat="1" ht="20.100000000000001" customHeight="1" x14ac:dyDescent="0.25">
      <c r="A728" s="6"/>
      <c r="B728" s="10" t="s">
        <v>2</v>
      </c>
      <c r="C728" s="13" t="s">
        <v>11</v>
      </c>
      <c r="D728" s="7">
        <f>+'[2]Beam '!$D$15</f>
        <v>25</v>
      </c>
      <c r="E728" s="7">
        <f>+'[2]Beam '!$E$15</f>
        <v>1</v>
      </c>
      <c r="F728" s="7">
        <f>ROUNDUP((E721+E721)/E728,0)</f>
        <v>5</v>
      </c>
      <c r="G728" s="8"/>
      <c r="H728" s="8"/>
      <c r="I728" s="7"/>
      <c r="J728" s="7"/>
      <c r="K728" s="7"/>
      <c r="L728" s="7"/>
      <c r="M728" s="7"/>
      <c r="N728" s="7"/>
      <c r="O728" s="7">
        <f>F721-'[2]Beam '!$F$15</f>
        <v>0.44</v>
      </c>
      <c r="P728" s="7">
        <f t="shared" si="129"/>
        <v>2.2000000000000002</v>
      </c>
      <c r="Q728" s="7">
        <f>IF($D728='[2]Beam '!Q$44,$P728*'[2]Beam '!Q$45,0)</f>
        <v>0</v>
      </c>
      <c r="R728" s="7">
        <f>IF($D728='[2]Beam '!R$44,$P728*'[2]Beam '!R$45,0)</f>
        <v>0</v>
      </c>
      <c r="S728" s="7">
        <f>IF($D728='[2]Beam '!S$44,$P728*'[2]Beam '!S$45,0)</f>
        <v>0</v>
      </c>
      <c r="T728" s="7">
        <f>IF($D728='[2]Beam '!T$44,$P728*'[2]Beam '!T$45,0)</f>
        <v>0</v>
      </c>
      <c r="U728" s="7">
        <f>IF($D728='[2]Beam '!U$44,$P728*'[2]Beam '!U$45,0)</f>
        <v>0</v>
      </c>
      <c r="V728" s="7">
        <f>IF($D728='[2]Beam '!V$44,$P728*'[2]Beam '!V$45,0)</f>
        <v>8.4808035714285737</v>
      </c>
      <c r="W728" s="7">
        <f>IF($D728='[2]Beam '!W$44,$P728*'[2]Beam '!W$45,0)</f>
        <v>0</v>
      </c>
      <c r="X728" s="7">
        <f t="shared" si="130"/>
        <v>8.4808035714285737</v>
      </c>
      <c r="Y728" s="7"/>
      <c r="Z728" s="7"/>
      <c r="AA728" s="7"/>
      <c r="AB728" s="7"/>
      <c r="AC728" s="7"/>
      <c r="AD728" s="7"/>
      <c r="AE728" s="7"/>
    </row>
    <row r="729" spans="1:32" s="9" customFormat="1" ht="20.100000000000001" customHeight="1" x14ac:dyDescent="0.25">
      <c r="A729" s="7">
        <v>1</v>
      </c>
      <c r="B729" s="10" t="s">
        <v>2</v>
      </c>
      <c r="C729" s="11" t="s">
        <v>112</v>
      </c>
      <c r="D729" s="11">
        <v>1</v>
      </c>
      <c r="E729" s="11">
        <v>3.6389999999999998</v>
      </c>
      <c r="F729" s="11">
        <v>0.5</v>
      </c>
      <c r="G729" s="11">
        <v>1.1000000000000001</v>
      </c>
      <c r="H729" s="7">
        <f>G729-0.2</f>
        <v>0.90000000000000013</v>
      </c>
      <c r="I729" s="7">
        <f>E729*F729*G729*D729</f>
        <v>2.0014500000000002</v>
      </c>
      <c r="J729" s="7">
        <f>(2*(E729)*H729*D729)+(E729*F729)</f>
        <v>8.3696999999999999</v>
      </c>
      <c r="K729" s="12">
        <f>IF(E729=0.3,J729,0)</f>
        <v>0</v>
      </c>
      <c r="L729" s="12">
        <f>IF(AND(E729&gt;0.3,E729&lt;=0.75),J729,0)</f>
        <v>0</v>
      </c>
      <c r="M729" s="12">
        <f>IF(AND(E729&gt;0.75,E729&lt;=1.2),J729,0)</f>
        <v>0</v>
      </c>
      <c r="N729" s="12">
        <f>IF(E729&gt;1.2,J729,0)</f>
        <v>8.3696999999999999</v>
      </c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>
        <f>SUM(X730:X735)/I729</f>
        <v>151.47150609141704</v>
      </c>
      <c r="Z729" s="7"/>
      <c r="AA729" s="7"/>
      <c r="AB729" s="7"/>
      <c r="AC729" s="7"/>
      <c r="AD729" s="7"/>
      <c r="AE729" s="7"/>
    </row>
    <row r="730" spans="1:32" s="9" customFormat="1" ht="20.100000000000001" customHeight="1" x14ac:dyDescent="0.25">
      <c r="A730" s="6"/>
      <c r="B730" s="10" t="s">
        <v>2</v>
      </c>
      <c r="C730" s="13" t="s">
        <v>4</v>
      </c>
      <c r="D730" s="7">
        <v>20</v>
      </c>
      <c r="E730" s="7"/>
      <c r="F730" s="7">
        <v>4</v>
      </c>
      <c r="G730" s="8">
        <f>VLOOKUP(D730,'[2]Beam '!$C$20:$H$26,3,0)</f>
        <v>0.8</v>
      </c>
      <c r="H730" s="8"/>
      <c r="I730" s="7"/>
      <c r="J730" s="7"/>
      <c r="K730" s="7"/>
      <c r="L730" s="7"/>
      <c r="M730" s="7"/>
      <c r="N730" s="7"/>
      <c r="O730" s="7">
        <f>(E729+1*(G730+(12*D730/1000)))+1*(G730)*D729</f>
        <v>5.4790000000000001</v>
      </c>
      <c r="P730" s="7">
        <f t="shared" ref="P730:P736" si="131">O730*F730</f>
        <v>21.916</v>
      </c>
      <c r="Q730" s="7">
        <f>IF($D730='[2]Beam '!Q$44,$P730*'[2]Beam '!Q$45,0)</f>
        <v>0</v>
      </c>
      <c r="R730" s="7">
        <f>IF($D730='[2]Beam '!R$44,$P730*'[2]Beam '!R$45,0)</f>
        <v>0</v>
      </c>
      <c r="S730" s="7">
        <f>IF($D730='[2]Beam '!S$44,$P730*'[2]Beam '!S$45,0)</f>
        <v>0</v>
      </c>
      <c r="T730" s="7">
        <f>IF($D730='[2]Beam '!T$44,$P730*'[2]Beam '!T$45,0)</f>
        <v>0</v>
      </c>
      <c r="U730" s="7">
        <f>IF($D730='[2]Beam '!U$44,$P730*'[2]Beam '!U$45,0)</f>
        <v>54.069902857142857</v>
      </c>
      <c r="V730" s="7">
        <f>IF($D730='[2]Beam '!V$44,$P730*'[2]Beam '!V$45,0)</f>
        <v>0</v>
      </c>
      <c r="W730" s="7">
        <f>IF($D730='[2]Beam '!W$44,$P730*'[2]Beam '!W$45,0)</f>
        <v>0</v>
      </c>
      <c r="X730" s="7">
        <f t="shared" ref="X730:X736" si="132">SUM(Q730:W730)</f>
        <v>54.069902857142857</v>
      </c>
      <c r="Y730" s="7"/>
      <c r="Z730" s="7"/>
      <c r="AA730" s="7"/>
      <c r="AB730" s="7"/>
      <c r="AC730" s="7"/>
      <c r="AD730" s="7"/>
      <c r="AE730" s="7"/>
    </row>
    <row r="731" spans="1:32" s="9" customFormat="1" ht="20.100000000000001" customHeight="1" x14ac:dyDescent="0.25">
      <c r="A731" s="6"/>
      <c r="B731" s="10" t="s">
        <v>2</v>
      </c>
      <c r="C731" s="13" t="s">
        <v>46</v>
      </c>
      <c r="D731" s="7">
        <v>16</v>
      </c>
      <c r="E731" s="7"/>
      <c r="F731" s="7">
        <v>4</v>
      </c>
      <c r="G731" s="8">
        <f>VLOOKUP(D731,'[2]Beam '!$C$20:$H$26,3,0)</f>
        <v>0.625</v>
      </c>
      <c r="H731" s="8"/>
      <c r="I731" s="7"/>
      <c r="J731" s="7"/>
      <c r="K731" s="7"/>
      <c r="L731" s="7"/>
      <c r="M731" s="7"/>
      <c r="N731" s="7"/>
      <c r="O731" s="7">
        <f>(E729+1*(G731+(12*D731/1000)))+1*(G731)*D729</f>
        <v>5.0809999999999995</v>
      </c>
      <c r="P731" s="7">
        <f t="shared" si="131"/>
        <v>20.323999999999998</v>
      </c>
      <c r="Q731" s="7">
        <f>IF($D731='[2]Beam '!Q$44,$P731*'[2]Beam '!Q$45,0)</f>
        <v>0</v>
      </c>
      <c r="R731" s="7">
        <f>IF($D731='[2]Beam '!R$44,$P731*'[2]Beam '!R$45,0)</f>
        <v>0</v>
      </c>
      <c r="S731" s="7">
        <f>IF($D731='[2]Beam '!S$44,$P731*'[2]Beam '!S$45,0)</f>
        <v>0</v>
      </c>
      <c r="T731" s="7">
        <f>IF($D731='[2]Beam '!T$44,$P731*'[2]Beam '!T$45,0)</f>
        <v>32.091015314285713</v>
      </c>
      <c r="U731" s="7">
        <f>IF($D731='[2]Beam '!U$44,$P731*'[2]Beam '!U$45,0)</f>
        <v>0</v>
      </c>
      <c r="V731" s="7">
        <f>IF($D731='[2]Beam '!V$44,$P731*'[2]Beam '!V$45,0)</f>
        <v>0</v>
      </c>
      <c r="W731" s="7">
        <f>IF($D731='[2]Beam '!W$44,$P731*'[2]Beam '!W$45,0)</f>
        <v>0</v>
      </c>
      <c r="X731" s="7">
        <f t="shared" si="132"/>
        <v>32.091015314285713</v>
      </c>
      <c r="Y731" s="7"/>
      <c r="Z731" s="7"/>
      <c r="AA731" s="7"/>
      <c r="AB731" s="7"/>
      <c r="AC731" s="7"/>
      <c r="AD731" s="7"/>
      <c r="AE731" s="7"/>
    </row>
    <row r="732" spans="1:32" s="9" customFormat="1" ht="20.100000000000001" customHeight="1" x14ac:dyDescent="0.25">
      <c r="A732" s="6"/>
      <c r="B732" s="10" t="s">
        <v>2</v>
      </c>
      <c r="C732" s="13" t="s">
        <v>6</v>
      </c>
      <c r="D732" s="7">
        <v>20</v>
      </c>
      <c r="E732" s="7"/>
      <c r="F732" s="7">
        <v>4</v>
      </c>
      <c r="G732" s="8">
        <f>VLOOKUP(D732,'[2]Beam '!$C$20:$H$26,3,0)</f>
        <v>0.8</v>
      </c>
      <c r="H732" s="7"/>
      <c r="I732" s="7"/>
      <c r="J732" s="7"/>
      <c r="K732" s="7"/>
      <c r="L732" s="7"/>
      <c r="M732" s="7"/>
      <c r="N732" s="7"/>
      <c r="O732" s="7">
        <f>(E729+1*(G732+(12*D732/1000))+1*(G732))*D729</f>
        <v>5.4790000000000001</v>
      </c>
      <c r="P732" s="7">
        <f t="shared" si="131"/>
        <v>21.916</v>
      </c>
      <c r="Q732" s="7">
        <f>IF($D732='[2]Beam '!Q$44,$P732*'[2]Beam '!Q$45,0)</f>
        <v>0</v>
      </c>
      <c r="R732" s="7">
        <f>IF($D732='[2]Beam '!R$44,$P732*'[2]Beam '!R$45,0)</f>
        <v>0</v>
      </c>
      <c r="S732" s="7">
        <f>IF($D732='[2]Beam '!S$44,$P732*'[2]Beam '!S$45,0)</f>
        <v>0</v>
      </c>
      <c r="T732" s="7">
        <f>IF($D732='[2]Beam '!T$44,$P732*'[2]Beam '!T$45,0)</f>
        <v>0</v>
      </c>
      <c r="U732" s="7">
        <f>IF($D732='[2]Beam '!U$44,$P732*'[2]Beam '!U$45,0)</f>
        <v>54.069902857142857</v>
      </c>
      <c r="V732" s="7">
        <f>IF($D732='[2]Beam '!V$44,$P732*'[2]Beam '!V$45,0)</f>
        <v>0</v>
      </c>
      <c r="W732" s="7">
        <f>IF($D732='[2]Beam '!W$44,$P732*'[2]Beam '!W$45,0)</f>
        <v>0</v>
      </c>
      <c r="X732" s="7">
        <f t="shared" si="132"/>
        <v>54.069902857142857</v>
      </c>
      <c r="Y732" s="7"/>
      <c r="Z732" s="7"/>
      <c r="AA732" s="7"/>
      <c r="AB732" s="7"/>
      <c r="AC732" s="7"/>
      <c r="AD732" s="7"/>
      <c r="AE732" s="7"/>
    </row>
    <row r="733" spans="1:32" s="14" customFormat="1" ht="20.100000000000001" customHeight="1" x14ac:dyDescent="0.3">
      <c r="A733" s="6"/>
      <c r="B733" s="10" t="s">
        <v>2</v>
      </c>
      <c r="C733" s="13" t="s">
        <v>6</v>
      </c>
      <c r="D733" s="7">
        <v>16</v>
      </c>
      <c r="E733" s="7"/>
      <c r="F733" s="7">
        <v>4</v>
      </c>
      <c r="G733" s="8">
        <f>VLOOKUP(D733,'[2]Beam '!$C$20:$H$26,3,0)</f>
        <v>0.625</v>
      </c>
      <c r="H733" s="7"/>
      <c r="I733" s="7"/>
      <c r="J733" s="7"/>
      <c r="K733" s="7"/>
      <c r="L733" s="7"/>
      <c r="M733" s="7"/>
      <c r="N733" s="7"/>
      <c r="O733" s="7">
        <f>(E729+1*(G733+(12*D733/1000))+1*(G733))*D729</f>
        <v>5.0809999999999995</v>
      </c>
      <c r="P733" s="7">
        <f t="shared" si="131"/>
        <v>20.323999999999998</v>
      </c>
      <c r="Q733" s="7">
        <f>IF($D733='[2]Beam '!Q$44,$P733*'[2]Beam '!Q$45,0)</f>
        <v>0</v>
      </c>
      <c r="R733" s="7">
        <f>IF($D733='[2]Beam '!R$44,$P733*'[2]Beam '!R$45,0)</f>
        <v>0</v>
      </c>
      <c r="S733" s="7">
        <f>IF($D733='[2]Beam '!S$44,$P733*'[2]Beam '!S$45,0)</f>
        <v>0</v>
      </c>
      <c r="T733" s="7">
        <f>IF($D733='[2]Beam '!T$44,$P733*'[2]Beam '!T$45,0)</f>
        <v>32.091015314285713</v>
      </c>
      <c r="U733" s="7">
        <f>IF($D733='[2]Beam '!U$44,$P733*'[2]Beam '!U$45,0)</f>
        <v>0</v>
      </c>
      <c r="V733" s="7">
        <f>IF($D733='[2]Beam '!V$44,$P733*'[2]Beam '!V$45,0)</f>
        <v>0</v>
      </c>
      <c r="W733" s="7">
        <f>IF($D733='[2]Beam '!W$44,$P733*'[2]Beam '!W$45,0)</f>
        <v>0</v>
      </c>
      <c r="X733" s="7">
        <f t="shared" si="132"/>
        <v>32.091015314285713</v>
      </c>
      <c r="Y733" s="7"/>
    </row>
    <row r="734" spans="1:32" s="9" customFormat="1" ht="20.100000000000001" customHeight="1" x14ac:dyDescent="0.25">
      <c r="A734" s="6"/>
      <c r="B734" s="10" t="s">
        <v>2</v>
      </c>
      <c r="C734" s="13" t="s">
        <v>17</v>
      </c>
      <c r="D734" s="7">
        <v>10</v>
      </c>
      <c r="E734" s="7">
        <v>0.1</v>
      </c>
      <c r="F734" s="7">
        <f>ROUNDUP(E729/E734,0)</f>
        <v>37</v>
      </c>
      <c r="H734" s="7"/>
      <c r="I734" s="7"/>
      <c r="J734" s="7"/>
      <c r="K734" s="7"/>
      <c r="L734" s="7"/>
      <c r="M734" s="7"/>
      <c r="N734" s="7"/>
      <c r="O734" s="7">
        <f>(2*((G729-(2*'[2]Beam '!$D$11))+(F729-(2*'[2]Beam '!$D$11)))+(2*10*D734/1000))*D729</f>
        <v>3.16</v>
      </c>
      <c r="P734" s="7">
        <f t="shared" si="131"/>
        <v>116.92</v>
      </c>
      <c r="Q734" s="7">
        <f>IF($D734='[2]Beam '!Q$44,$P734*'[2]Beam '!Q$45,0)</f>
        <v>0</v>
      </c>
      <c r="R734" s="7">
        <f>IF($D734='[2]Beam '!R$44,$P734*'[2]Beam '!R$45,0)</f>
        <v>72.11458571428571</v>
      </c>
      <c r="S734" s="7">
        <f>IF($D734='[2]Beam '!S$44,$P734*'[2]Beam '!S$45,0)</f>
        <v>0</v>
      </c>
      <c r="T734" s="7">
        <f>IF($D734='[2]Beam '!T$44,$P734*'[2]Beam '!T$45,0)</f>
        <v>0</v>
      </c>
      <c r="U734" s="7">
        <f>IF($D734='[2]Beam '!U$44,$P734*'[2]Beam '!U$45,0)</f>
        <v>0</v>
      </c>
      <c r="V734" s="7">
        <f>IF($D734='[2]Beam '!V$44,$P734*'[2]Beam '!V$45,0)</f>
        <v>0</v>
      </c>
      <c r="W734" s="7">
        <f>IF($D734='[2]Beam '!W$44,$P734*'[2]Beam '!W$45,0)</f>
        <v>0</v>
      </c>
      <c r="X734" s="7">
        <f t="shared" si="132"/>
        <v>72.11458571428571</v>
      </c>
      <c r="Y734" s="7"/>
      <c r="Z734" s="7"/>
      <c r="AA734" s="7"/>
      <c r="AB734" s="7"/>
      <c r="AC734" s="7"/>
      <c r="AD734" s="7"/>
      <c r="AE734" s="7"/>
    </row>
    <row r="735" spans="1:32" s="9" customFormat="1" ht="21" customHeight="1" x14ac:dyDescent="0.25">
      <c r="A735" s="14"/>
      <c r="B735" s="10" t="s">
        <v>2</v>
      </c>
      <c r="C735" s="13" t="s">
        <v>18</v>
      </c>
      <c r="D735" s="14">
        <f>D734</f>
        <v>10</v>
      </c>
      <c r="E735" s="14">
        <f>+E734</f>
        <v>0.1</v>
      </c>
      <c r="F735" s="7">
        <f>ROUNDUP(E729/E735,0)</f>
        <v>37</v>
      </c>
      <c r="H735" s="14"/>
      <c r="I735" s="14"/>
      <c r="J735" s="14"/>
      <c r="K735" s="14"/>
      <c r="L735" s="14"/>
      <c r="M735" s="14"/>
      <c r="N735" s="14"/>
      <c r="O735" s="7">
        <f>(2*(((F729-'[2]Beam '!$D$11*2)/(F730-1))+(G729-'[2]Beam '!$D$11*2))+(2*10*D735/1000))*D729</f>
        <v>2.5733333333333337</v>
      </c>
      <c r="P735" s="7">
        <f t="shared" si="131"/>
        <v>95.213333333333352</v>
      </c>
      <c r="Q735" s="7">
        <f>IF($D735='[2]Beam '!Q$44,$P735*'[2]Beam '!Q$45,0)</f>
        <v>0</v>
      </c>
      <c r="R735" s="7">
        <f>IF($D735='[2]Beam '!R$44,$P735*'[2]Beam '!R$45,0)</f>
        <v>58.726223809523823</v>
      </c>
      <c r="S735" s="7">
        <f>IF($D735='[2]Beam '!S$44,$P735*'[2]Beam '!S$45,0)</f>
        <v>0</v>
      </c>
      <c r="T735" s="7">
        <f>IF($D735='[2]Beam '!T$44,$P735*'[2]Beam '!T$45,0)</f>
        <v>0</v>
      </c>
      <c r="U735" s="7">
        <f>IF($D735='[2]Beam '!U$44,$P735*'[2]Beam '!U$45,0)</f>
        <v>0</v>
      </c>
      <c r="V735" s="7">
        <f>IF($D735='[2]Beam '!V$44,$P735*'[2]Beam '!V$45,0)</f>
        <v>0</v>
      </c>
      <c r="W735" s="7">
        <f>IF($D735='[2]Beam '!W$44,$P735*'[2]Beam '!W$45,0)</f>
        <v>0</v>
      </c>
      <c r="X735" s="7">
        <f t="shared" si="132"/>
        <v>58.726223809523823</v>
      </c>
      <c r="Y735" s="14"/>
      <c r="Z735" s="7"/>
      <c r="AA735" s="7"/>
      <c r="AB735" s="7"/>
      <c r="AC735" s="7"/>
      <c r="AD735" s="7"/>
      <c r="AE735" s="7"/>
      <c r="AF735" s="7"/>
    </row>
    <row r="736" spans="1:32" s="9" customFormat="1" ht="20.100000000000001" customHeight="1" x14ac:dyDescent="0.25">
      <c r="A736" s="6"/>
      <c r="B736" s="10" t="s">
        <v>2</v>
      </c>
      <c r="C736" s="13" t="s">
        <v>11</v>
      </c>
      <c r="D736" s="7">
        <f>+'[2]Beam '!$D$15</f>
        <v>25</v>
      </c>
      <c r="E736" s="7">
        <f>+'[2]Beam '!$E$15</f>
        <v>1</v>
      </c>
      <c r="F736" s="7">
        <f>ROUNDUP((E729+E729)/E736,0)</f>
        <v>8</v>
      </c>
      <c r="G736" s="8"/>
      <c r="H736" s="8"/>
      <c r="I736" s="7"/>
      <c r="J736" s="7"/>
      <c r="K736" s="7"/>
      <c r="L736" s="7"/>
      <c r="M736" s="7"/>
      <c r="N736" s="7"/>
      <c r="O736" s="7">
        <f>F729-'[2]Beam '!$F$15</f>
        <v>0.44</v>
      </c>
      <c r="P736" s="7">
        <f t="shared" si="131"/>
        <v>3.52</v>
      </c>
      <c r="Q736" s="7">
        <f>IF($D736='[2]Beam '!Q$44,$P736*'[2]Beam '!Q$45,0)</f>
        <v>0</v>
      </c>
      <c r="R736" s="7">
        <f>IF($D736='[2]Beam '!R$44,$P736*'[2]Beam '!R$45,0)</f>
        <v>0</v>
      </c>
      <c r="S736" s="7">
        <f>IF($D736='[2]Beam '!S$44,$P736*'[2]Beam '!S$45,0)</f>
        <v>0</v>
      </c>
      <c r="T736" s="7">
        <f>IF($D736='[2]Beam '!T$44,$P736*'[2]Beam '!T$45,0)</f>
        <v>0</v>
      </c>
      <c r="U736" s="7">
        <f>IF($D736='[2]Beam '!U$44,$P736*'[2]Beam '!U$45,0)</f>
        <v>0</v>
      </c>
      <c r="V736" s="7">
        <f>IF($D736='[2]Beam '!V$44,$P736*'[2]Beam '!V$45,0)</f>
        <v>13.569285714285716</v>
      </c>
      <c r="W736" s="7">
        <f>IF($D736='[2]Beam '!W$44,$P736*'[2]Beam '!W$45,0)</f>
        <v>0</v>
      </c>
      <c r="X736" s="7">
        <f t="shared" si="132"/>
        <v>13.569285714285716</v>
      </c>
      <c r="Y736" s="7"/>
      <c r="Z736" s="7"/>
      <c r="AA736" s="7"/>
      <c r="AB736" s="7"/>
      <c r="AC736" s="7"/>
      <c r="AD736" s="7"/>
      <c r="AE736" s="7"/>
    </row>
    <row r="737" spans="1:32" s="9" customFormat="1" ht="20.100000000000001" customHeight="1" x14ac:dyDescent="0.25">
      <c r="A737" s="7">
        <v>1</v>
      </c>
      <c r="B737" s="10" t="s">
        <v>2</v>
      </c>
      <c r="C737" s="11" t="s">
        <v>113</v>
      </c>
      <c r="D737" s="11">
        <v>1</v>
      </c>
      <c r="E737" s="11">
        <v>2.1</v>
      </c>
      <c r="F737" s="11">
        <v>0.3</v>
      </c>
      <c r="G737" s="11">
        <v>0.8</v>
      </c>
      <c r="H737" s="7">
        <f>G737-0.2</f>
        <v>0.60000000000000009</v>
      </c>
      <c r="I737" s="7">
        <f>E737*F737*G737*D737</f>
        <v>0.504</v>
      </c>
      <c r="J737" s="7">
        <f>(2*(E737)*H737*D737)+(E737*F737)</f>
        <v>3.1500000000000004</v>
      </c>
      <c r="K737" s="12">
        <f>IF(E737=0.3,J737,0)</f>
        <v>0</v>
      </c>
      <c r="L737" s="12">
        <f>IF(AND(E737&gt;0.3,E737&lt;=0.75),J737,0)</f>
        <v>0</v>
      </c>
      <c r="M737" s="12">
        <f>IF(AND(E737&gt;0.75,E737&lt;=1.2),J737,0)</f>
        <v>0</v>
      </c>
      <c r="N737" s="12">
        <f>IF(E737&gt;1.2,J737,0)</f>
        <v>3.1500000000000004</v>
      </c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>
        <f>SUM(X738:X743)/I737</f>
        <v>141.98191757369617</v>
      </c>
      <c r="Z737" s="7"/>
      <c r="AA737" s="7"/>
      <c r="AB737" s="7"/>
      <c r="AC737" s="7"/>
      <c r="AD737" s="7"/>
      <c r="AE737" s="7"/>
    </row>
    <row r="738" spans="1:32" s="9" customFormat="1" ht="20.100000000000001" customHeight="1" x14ac:dyDescent="0.25">
      <c r="A738" s="6"/>
      <c r="B738" s="10" t="s">
        <v>2</v>
      </c>
      <c r="C738" s="13" t="s">
        <v>4</v>
      </c>
      <c r="D738" s="7">
        <v>16</v>
      </c>
      <c r="E738" s="7"/>
      <c r="F738" s="7">
        <v>3</v>
      </c>
      <c r="G738" s="8">
        <f>VLOOKUP(D738,'[2]Beam '!$C$20:$H$26,3,0)</f>
        <v>0.625</v>
      </c>
      <c r="H738" s="8"/>
      <c r="I738" s="7"/>
      <c r="J738" s="7"/>
      <c r="K738" s="7"/>
      <c r="L738" s="7"/>
      <c r="M738" s="7"/>
      <c r="N738" s="7"/>
      <c r="O738" s="7">
        <f>(E737+2*(G738+(12*D738/1000)))*D737</f>
        <v>3.734</v>
      </c>
      <c r="P738" s="7">
        <f t="shared" ref="P738:P743" si="133">O738*F738</f>
        <v>11.202</v>
      </c>
      <c r="Q738" s="7">
        <f>IF($D738='[2]Beam '!Q$44,$P738*'[2]Beam '!Q$45,0)</f>
        <v>0</v>
      </c>
      <c r="R738" s="7">
        <f>IF($D738='[2]Beam '!R$44,$P738*'[2]Beam '!R$45,0)</f>
        <v>0</v>
      </c>
      <c r="S738" s="7">
        <f>IF($D738='[2]Beam '!S$44,$P738*'[2]Beam '!S$45,0)</f>
        <v>0</v>
      </c>
      <c r="T738" s="7">
        <f>IF($D738='[2]Beam '!T$44,$P738*'[2]Beam '!T$45,0)</f>
        <v>17.687637942857144</v>
      </c>
      <c r="U738" s="7">
        <f>IF($D738='[2]Beam '!U$44,$P738*'[2]Beam '!U$45,0)</f>
        <v>0</v>
      </c>
      <c r="V738" s="7">
        <f>IF($D738='[2]Beam '!V$44,$P738*'[2]Beam '!V$45,0)</f>
        <v>0</v>
      </c>
      <c r="W738" s="7">
        <f>IF($D738='[2]Beam '!W$44,$P738*'[2]Beam '!W$45,0)</f>
        <v>0</v>
      </c>
      <c r="X738" s="7">
        <f t="shared" ref="X738:X743" si="134">SUM(Q738:W738)</f>
        <v>17.687637942857144</v>
      </c>
      <c r="Y738" s="7"/>
      <c r="Z738" s="7"/>
      <c r="AA738" s="7"/>
      <c r="AB738" s="7"/>
      <c r="AC738" s="7"/>
      <c r="AD738" s="7"/>
      <c r="AE738" s="7"/>
    </row>
    <row r="739" spans="1:32" s="9" customFormat="1" ht="20.100000000000001" customHeight="1" x14ac:dyDescent="0.25">
      <c r="A739" s="6"/>
      <c r="B739" s="10" t="s">
        <v>2</v>
      </c>
      <c r="C739" s="13" t="s">
        <v>5</v>
      </c>
      <c r="D739" s="7">
        <v>20</v>
      </c>
      <c r="E739" s="7"/>
      <c r="F739" s="7">
        <v>2</v>
      </c>
      <c r="G739" s="8">
        <f>VLOOKUP(D739,'[2]Beam '!$C$20:$H$26,3,0)</f>
        <v>0.8</v>
      </c>
      <c r="H739" s="8"/>
      <c r="I739" s="7"/>
      <c r="J739" s="7"/>
      <c r="K739" s="7"/>
      <c r="L739" s="7"/>
      <c r="M739" s="7"/>
      <c r="N739" s="7"/>
      <c r="O739" s="7">
        <f>(E737-0.875+1*(G739+(12*D739/1000)))*D737</f>
        <v>2.2650000000000001</v>
      </c>
      <c r="P739" s="7">
        <f t="shared" si="133"/>
        <v>4.53</v>
      </c>
      <c r="Q739" s="7">
        <f>IF($D739='[2]Beam '!Q$44,$P739*'[2]Beam '!Q$45,0)</f>
        <v>0</v>
      </c>
      <c r="R739" s="7">
        <f>IF($D739='[2]Beam '!R$44,$P739*'[2]Beam '!R$45,0)</f>
        <v>0</v>
      </c>
      <c r="S739" s="7">
        <f>IF($D739='[2]Beam '!S$44,$P739*'[2]Beam '!S$45,0)</f>
        <v>0</v>
      </c>
      <c r="T739" s="7">
        <f>IF($D739='[2]Beam '!T$44,$P739*'[2]Beam '!T$45,0)</f>
        <v>0</v>
      </c>
      <c r="U739" s="7">
        <f>IF($D739='[2]Beam '!U$44,$P739*'[2]Beam '!U$45,0)</f>
        <v>11.176157142857143</v>
      </c>
      <c r="V739" s="7">
        <f>IF($D739='[2]Beam '!V$44,$P739*'[2]Beam '!V$45,0)</f>
        <v>0</v>
      </c>
      <c r="W739" s="7">
        <f>IF($D739='[2]Beam '!W$44,$P739*'[2]Beam '!W$45,0)</f>
        <v>0</v>
      </c>
      <c r="X739" s="7">
        <f t="shared" si="134"/>
        <v>11.176157142857143</v>
      </c>
      <c r="Y739" s="7"/>
      <c r="Z739" s="7"/>
      <c r="AA739" s="7"/>
      <c r="AB739" s="7"/>
      <c r="AC739" s="7"/>
      <c r="AD739" s="7"/>
      <c r="AE739" s="7"/>
    </row>
    <row r="740" spans="1:32" s="9" customFormat="1" ht="20.100000000000001" customHeight="1" x14ac:dyDescent="0.25">
      <c r="A740" s="6"/>
      <c r="B740" s="10" t="s">
        <v>2</v>
      </c>
      <c r="C740" s="13" t="s">
        <v>6</v>
      </c>
      <c r="D740" s="7">
        <v>16</v>
      </c>
      <c r="E740" s="7"/>
      <c r="F740" s="7">
        <v>3</v>
      </c>
      <c r="G740" s="8">
        <f>VLOOKUP(D740,'[2]Beam '!$C$20:$H$26,3,0)</f>
        <v>0.625</v>
      </c>
      <c r="H740" s="7"/>
      <c r="I740" s="7"/>
      <c r="J740" s="7"/>
      <c r="K740" s="7"/>
      <c r="L740" s="7"/>
      <c r="M740" s="7"/>
      <c r="N740" s="7"/>
      <c r="O740" s="7">
        <f>(E737+2*(G740+(12*D740/1000)))*D737</f>
        <v>3.734</v>
      </c>
      <c r="P740" s="7">
        <f t="shared" si="133"/>
        <v>11.202</v>
      </c>
      <c r="Q740" s="7">
        <f>IF($D740='[2]Beam '!Q$44,$P740*'[2]Beam '!Q$45,0)</f>
        <v>0</v>
      </c>
      <c r="R740" s="7">
        <f>IF($D740='[2]Beam '!R$44,$P740*'[2]Beam '!R$45,0)</f>
        <v>0</v>
      </c>
      <c r="S740" s="7">
        <f>IF($D740='[2]Beam '!S$44,$P740*'[2]Beam '!S$45,0)</f>
        <v>0</v>
      </c>
      <c r="T740" s="7">
        <f>IF($D740='[2]Beam '!T$44,$P740*'[2]Beam '!T$45,0)</f>
        <v>17.687637942857144</v>
      </c>
      <c r="U740" s="7">
        <f>IF($D740='[2]Beam '!U$44,$P740*'[2]Beam '!U$45,0)</f>
        <v>0</v>
      </c>
      <c r="V740" s="7">
        <f>IF($D740='[2]Beam '!V$44,$P740*'[2]Beam '!V$45,0)</f>
        <v>0</v>
      </c>
      <c r="W740" s="7">
        <f>IF($D740='[2]Beam '!W$44,$P740*'[2]Beam '!W$45,0)</f>
        <v>0</v>
      </c>
      <c r="X740" s="7">
        <f t="shared" si="134"/>
        <v>17.687637942857144</v>
      </c>
      <c r="Y740" s="7"/>
      <c r="Z740" s="7"/>
      <c r="AA740" s="7"/>
      <c r="AB740" s="7"/>
      <c r="AC740" s="7"/>
      <c r="AD740" s="7"/>
      <c r="AE740" s="7"/>
    </row>
    <row r="741" spans="1:32" s="9" customFormat="1" ht="20.100000000000001" customHeight="1" x14ac:dyDescent="0.25">
      <c r="A741" s="6"/>
      <c r="B741" s="10" t="s">
        <v>2</v>
      </c>
      <c r="C741" s="13" t="s">
        <v>13</v>
      </c>
      <c r="D741" s="7">
        <v>20</v>
      </c>
      <c r="E741" s="7"/>
      <c r="F741" s="7">
        <v>2</v>
      </c>
      <c r="G741" s="8">
        <f>VLOOKUP(D741,'[2]Beam '!$C$20:$H$26,3,0)</f>
        <v>0.8</v>
      </c>
      <c r="H741" s="7"/>
      <c r="I741" s="7"/>
      <c r="J741" s="7"/>
      <c r="K741" s="7"/>
      <c r="L741" s="7"/>
      <c r="M741" s="7"/>
      <c r="N741" s="7"/>
      <c r="O741" s="7">
        <f>(E737-0.875+1*(G741+(12*D741/1000)))*D737</f>
        <v>2.2650000000000001</v>
      </c>
      <c r="P741" s="7">
        <f t="shared" si="133"/>
        <v>4.53</v>
      </c>
      <c r="Q741" s="7">
        <f>IF($D741='[2]Beam '!Q$44,$P741*'[2]Beam '!Q$45,0)</f>
        <v>0</v>
      </c>
      <c r="R741" s="7">
        <f>IF($D741='[2]Beam '!R$44,$P741*'[2]Beam '!R$45,0)</f>
        <v>0</v>
      </c>
      <c r="S741" s="7">
        <f>IF($D741='[2]Beam '!S$44,$P741*'[2]Beam '!S$45,0)</f>
        <v>0</v>
      </c>
      <c r="T741" s="7">
        <f>IF($D741='[2]Beam '!T$44,$P741*'[2]Beam '!T$45,0)</f>
        <v>0</v>
      </c>
      <c r="U741" s="7">
        <f>IF($D741='[2]Beam '!U$44,$P741*'[2]Beam '!U$45,0)</f>
        <v>11.176157142857143</v>
      </c>
      <c r="V741" s="7">
        <f>IF($D741='[2]Beam '!V$44,$P741*'[2]Beam '!V$45,0)</f>
        <v>0</v>
      </c>
      <c r="W741" s="7">
        <f>IF($D741='[2]Beam '!W$44,$P741*'[2]Beam '!W$45,0)</f>
        <v>0</v>
      </c>
      <c r="X741" s="7">
        <f t="shared" si="134"/>
        <v>11.176157142857143</v>
      </c>
      <c r="Y741" s="7"/>
      <c r="Z741" s="7"/>
      <c r="AA741" s="7"/>
      <c r="AB741" s="7"/>
      <c r="AC741" s="7"/>
      <c r="AD741" s="7"/>
      <c r="AE741" s="7"/>
    </row>
    <row r="742" spans="1:32" s="9" customFormat="1" ht="21" customHeight="1" x14ac:dyDescent="0.25">
      <c r="A742" s="6"/>
      <c r="B742" s="10" t="s">
        <v>2</v>
      </c>
      <c r="C742" s="13" t="s">
        <v>26</v>
      </c>
      <c r="D742" s="7">
        <v>8</v>
      </c>
      <c r="E742" s="7">
        <v>0.2</v>
      </c>
      <c r="F742" s="7">
        <f>ROUNDUP(E737/E742,0)</f>
        <v>11</v>
      </c>
      <c r="H742" s="7"/>
      <c r="I742" s="7"/>
      <c r="J742" s="7"/>
      <c r="K742" s="7"/>
      <c r="L742" s="7"/>
      <c r="M742" s="7"/>
      <c r="N742" s="7"/>
      <c r="O742" s="7">
        <f>(2*((G737-(2*'[2]Beam '!$D$11))+(F737-(2*'[2]Beam '!$D$11)))+(2*10*D742/1000))*D737</f>
        <v>2.12</v>
      </c>
      <c r="P742" s="7">
        <f t="shared" si="133"/>
        <v>23.32</v>
      </c>
      <c r="Q742" s="7">
        <f>IF($D742='[2]Beam '!Q$44,$P742*'[2]Beam '!Q$45,0)</f>
        <v>9.2054034285714295</v>
      </c>
      <c r="R742" s="7">
        <f>IF($D742='[2]Beam '!R$44,$P742*'[2]Beam '!R$45,0)</f>
        <v>0</v>
      </c>
      <c r="S742" s="7">
        <f>IF($D742='[2]Beam '!S$44,$P742*'[2]Beam '!S$45,0)</f>
        <v>0</v>
      </c>
      <c r="T742" s="7">
        <f>IF($D742='[2]Beam '!T$44,$P742*'[2]Beam '!T$45,0)</f>
        <v>0</v>
      </c>
      <c r="U742" s="7">
        <f>IF($D742='[2]Beam '!U$44,$P742*'[2]Beam '!U$45,0)</f>
        <v>0</v>
      </c>
      <c r="V742" s="7">
        <f>IF($D742='[2]Beam '!V$44,$P742*'[2]Beam '!V$45,0)</f>
        <v>0</v>
      </c>
      <c r="W742" s="7">
        <f>IF($D742='[2]Beam '!W$44,$P742*'[2]Beam '!W$45,0)</f>
        <v>0</v>
      </c>
      <c r="X742" s="7">
        <f t="shared" si="134"/>
        <v>9.2054034285714295</v>
      </c>
      <c r="Y742" s="7"/>
      <c r="Z742" s="7"/>
      <c r="AA742" s="7"/>
      <c r="AB742" s="7"/>
      <c r="AC742" s="7"/>
      <c r="AD742" s="7"/>
      <c r="AE742" s="7"/>
      <c r="AF742" s="7"/>
    </row>
    <row r="743" spans="1:32" s="9" customFormat="1" ht="20.100000000000001" customHeight="1" x14ac:dyDescent="0.25">
      <c r="A743" s="6"/>
      <c r="B743" s="10" t="s">
        <v>2</v>
      </c>
      <c r="C743" s="13" t="s">
        <v>11</v>
      </c>
      <c r="D743" s="7">
        <f>+'[2]Beam '!$D$15</f>
        <v>25</v>
      </c>
      <c r="E743" s="7">
        <f>+'[2]Beam '!$E$15</f>
        <v>1</v>
      </c>
      <c r="F743" s="7">
        <f>ROUNDUP((E737+E737)/E743,0)</f>
        <v>5</v>
      </c>
      <c r="G743" s="8"/>
      <c r="H743" s="8"/>
      <c r="I743" s="7"/>
      <c r="J743" s="7"/>
      <c r="K743" s="7"/>
      <c r="L743" s="7"/>
      <c r="M743" s="7"/>
      <c r="N743" s="7"/>
      <c r="O743" s="7">
        <f>F737-'[2]Beam '!$F$15</f>
        <v>0.24</v>
      </c>
      <c r="P743" s="7">
        <f t="shared" si="133"/>
        <v>1.2</v>
      </c>
      <c r="Q743" s="7">
        <f>IF($D743='[2]Beam '!Q$44,$P743*'[2]Beam '!Q$45,0)</f>
        <v>0</v>
      </c>
      <c r="R743" s="7">
        <f>IF($D743='[2]Beam '!R$44,$P743*'[2]Beam '!R$45,0)</f>
        <v>0</v>
      </c>
      <c r="S743" s="7">
        <f>IF($D743='[2]Beam '!S$44,$P743*'[2]Beam '!S$45,0)</f>
        <v>0</v>
      </c>
      <c r="T743" s="7">
        <f>IF($D743='[2]Beam '!T$44,$P743*'[2]Beam '!T$45,0)</f>
        <v>0</v>
      </c>
      <c r="U743" s="7">
        <f>IF($D743='[2]Beam '!U$44,$P743*'[2]Beam '!U$45,0)</f>
        <v>0</v>
      </c>
      <c r="V743" s="7">
        <f>IF($D743='[2]Beam '!V$44,$P743*'[2]Beam '!V$45,0)</f>
        <v>4.6258928571428575</v>
      </c>
      <c r="W743" s="7">
        <f>IF($D743='[2]Beam '!W$44,$P743*'[2]Beam '!W$45,0)</f>
        <v>0</v>
      </c>
      <c r="X743" s="7">
        <f t="shared" si="134"/>
        <v>4.6258928571428575</v>
      </c>
      <c r="Y743" s="7"/>
      <c r="Z743" s="7"/>
      <c r="AA743" s="7"/>
      <c r="AB743" s="7"/>
      <c r="AC743" s="7"/>
      <c r="AD743" s="7"/>
      <c r="AE743" s="7"/>
    </row>
    <row r="744" spans="1:32" s="9" customFormat="1" ht="20.100000000000001" customHeight="1" x14ac:dyDescent="0.25">
      <c r="A744" s="7">
        <v>1</v>
      </c>
      <c r="B744" s="10" t="s">
        <v>2</v>
      </c>
      <c r="C744" s="11" t="s">
        <v>114</v>
      </c>
      <c r="D744" s="11">
        <v>1</v>
      </c>
      <c r="E744" s="11">
        <v>1.5</v>
      </c>
      <c r="F744" s="11">
        <v>0.2</v>
      </c>
      <c r="G744" s="11">
        <v>1.1000000000000001</v>
      </c>
      <c r="H744" s="7">
        <f>G744-0.2</f>
        <v>0.90000000000000013</v>
      </c>
      <c r="I744" s="7">
        <f>E744*F744*G744*D744</f>
        <v>0.33000000000000007</v>
      </c>
      <c r="J744" s="7">
        <f>(2*(E744)*H744*D744)+(E744*F744)</f>
        <v>3</v>
      </c>
      <c r="K744" s="12">
        <f>IF(E744=0.3,J744,0)</f>
        <v>0</v>
      </c>
      <c r="L744" s="12">
        <f>IF(AND(E744&gt;0.3,E744&lt;=0.75),J744,0)</f>
        <v>0</v>
      </c>
      <c r="M744" s="12">
        <f>IF(AND(E744&gt;0.75,E744&lt;=1.2),J744,0)</f>
        <v>0</v>
      </c>
      <c r="N744" s="12">
        <f>IF(E744&gt;1.2,J744,0)</f>
        <v>3</v>
      </c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>
        <f>SUM(X745:X747)/I744</f>
        <v>68.460373333333337</v>
      </c>
      <c r="Z744" s="7"/>
      <c r="AA744" s="7"/>
      <c r="AB744" s="7"/>
      <c r="AC744" s="7"/>
      <c r="AD744" s="7"/>
      <c r="AE744" s="7"/>
    </row>
    <row r="745" spans="1:32" s="9" customFormat="1" ht="20.100000000000001" customHeight="1" x14ac:dyDescent="0.25">
      <c r="A745" s="6"/>
      <c r="B745" s="10" t="s">
        <v>2</v>
      </c>
      <c r="C745" s="13" t="s">
        <v>4</v>
      </c>
      <c r="D745" s="7">
        <v>16</v>
      </c>
      <c r="E745" s="7"/>
      <c r="F745" s="7">
        <v>2</v>
      </c>
      <c r="G745" s="8">
        <f>VLOOKUP(D745,'[2]Beam '!$C$20:$H$26,3,0)</f>
        <v>0.625</v>
      </c>
      <c r="H745" s="8"/>
      <c r="I745" s="7"/>
      <c r="J745" s="7"/>
      <c r="K745" s="7"/>
      <c r="L745" s="7"/>
      <c r="M745" s="7"/>
      <c r="N745" s="7"/>
      <c r="O745" s="7">
        <f>(E744+1*(G745+(12*D745/1000)))*D744</f>
        <v>2.3170000000000002</v>
      </c>
      <c r="P745" s="7">
        <f>O745*F745</f>
        <v>4.6340000000000003</v>
      </c>
      <c r="Q745" s="7">
        <f>IF($D745='[2]Beam '!Q$44,$P745*'[2]Beam '!Q$45,0)</f>
        <v>0</v>
      </c>
      <c r="R745" s="7">
        <f>IF($D745='[2]Beam '!R$44,$P745*'[2]Beam '!R$45,0)</f>
        <v>0</v>
      </c>
      <c r="S745" s="7">
        <f>IF($D745='[2]Beam '!S$44,$P745*'[2]Beam '!S$45,0)</f>
        <v>0</v>
      </c>
      <c r="T745" s="7">
        <f>IF($D745='[2]Beam '!T$44,$P745*'[2]Beam '!T$45,0)</f>
        <v>7.3169536000000015</v>
      </c>
      <c r="U745" s="7">
        <f>IF($D745='[2]Beam '!U$44,$P745*'[2]Beam '!U$45,0)</f>
        <v>0</v>
      </c>
      <c r="V745" s="7">
        <f>IF($D745='[2]Beam '!V$44,$P745*'[2]Beam '!V$45,0)</f>
        <v>0</v>
      </c>
      <c r="W745" s="7">
        <f>IF($D745='[2]Beam '!W$44,$P745*'[2]Beam '!W$45,0)</f>
        <v>0</v>
      </c>
      <c r="X745" s="7">
        <f>SUM(Q745:W745)</f>
        <v>7.3169536000000015</v>
      </c>
      <c r="Y745" s="7"/>
      <c r="Z745" s="7"/>
      <c r="AA745" s="7"/>
      <c r="AB745" s="7"/>
      <c r="AC745" s="7"/>
      <c r="AD745" s="7"/>
      <c r="AE745" s="7"/>
    </row>
    <row r="746" spans="1:32" s="9" customFormat="1" ht="21" customHeight="1" x14ac:dyDescent="0.25">
      <c r="A746" s="6"/>
      <c r="B746" s="10" t="s">
        <v>2</v>
      </c>
      <c r="C746" s="13" t="s">
        <v>6</v>
      </c>
      <c r="D746" s="7">
        <v>16</v>
      </c>
      <c r="E746" s="7"/>
      <c r="F746" s="7">
        <v>2</v>
      </c>
      <c r="G746" s="8">
        <f>VLOOKUP(D746,'[2]Beam '!$C$20:$H$26,3,0)</f>
        <v>0.625</v>
      </c>
      <c r="H746" s="7"/>
      <c r="I746" s="7"/>
      <c r="J746" s="7"/>
      <c r="K746" s="7"/>
      <c r="L746" s="7"/>
      <c r="M746" s="7"/>
      <c r="N746" s="7"/>
      <c r="O746" s="7">
        <f>(E744+1*(G746+(12*D746/1000)))*D744</f>
        <v>2.3170000000000002</v>
      </c>
      <c r="P746" s="7">
        <f>O746*F746</f>
        <v>4.6340000000000003</v>
      </c>
      <c r="Q746" s="7">
        <f>IF($D746='[2]Beam '!Q$44,$P746*'[2]Beam '!Q$45,0)</f>
        <v>0</v>
      </c>
      <c r="R746" s="7">
        <f>IF($D746='[2]Beam '!R$44,$P746*'[2]Beam '!R$45,0)</f>
        <v>0</v>
      </c>
      <c r="S746" s="7">
        <f>IF($D746='[2]Beam '!S$44,$P746*'[2]Beam '!S$45,0)</f>
        <v>0</v>
      </c>
      <c r="T746" s="7">
        <f>IF($D746='[2]Beam '!T$44,$P746*'[2]Beam '!T$45,0)</f>
        <v>7.3169536000000015</v>
      </c>
      <c r="U746" s="7">
        <f>IF($D746='[2]Beam '!U$44,$P746*'[2]Beam '!U$45,0)</f>
        <v>0</v>
      </c>
      <c r="V746" s="7">
        <f>IF($D746='[2]Beam '!V$44,$P746*'[2]Beam '!V$45,0)</f>
        <v>0</v>
      </c>
      <c r="W746" s="7">
        <f>IF($D746='[2]Beam '!W$44,$P746*'[2]Beam '!W$45,0)</f>
        <v>0</v>
      </c>
      <c r="X746" s="7">
        <f>SUM(Q746:W746)</f>
        <v>7.3169536000000015</v>
      </c>
      <c r="Y746" s="7"/>
      <c r="Z746" s="7"/>
      <c r="AA746" s="7"/>
      <c r="AB746" s="7"/>
      <c r="AC746" s="7"/>
      <c r="AD746" s="7"/>
      <c r="AE746" s="7"/>
      <c r="AF746" s="7"/>
    </row>
    <row r="747" spans="1:32" s="9" customFormat="1" ht="20.100000000000001" customHeight="1" x14ac:dyDescent="0.25">
      <c r="A747" s="6"/>
      <c r="B747" s="10" t="s">
        <v>2</v>
      </c>
      <c r="C747" s="13" t="s">
        <v>26</v>
      </c>
      <c r="D747" s="7">
        <v>8</v>
      </c>
      <c r="E747" s="7">
        <v>0.2</v>
      </c>
      <c r="F747" s="7">
        <f>ROUNDUP(E744/E747,0)</f>
        <v>8</v>
      </c>
      <c r="H747" s="7"/>
      <c r="I747" s="7"/>
      <c r="J747" s="7"/>
      <c r="K747" s="7"/>
      <c r="L747" s="7"/>
      <c r="M747" s="7"/>
      <c r="N747" s="7"/>
      <c r="O747" s="7">
        <f>(2*((G744-(2*'[2]Beam '!$D$11))+(F744-(2*'[2]Beam '!$D$11)))+(2*10*D747/1000))*D744</f>
        <v>2.5200000000000005</v>
      </c>
      <c r="P747" s="7">
        <f>O747*F747</f>
        <v>20.160000000000004</v>
      </c>
      <c r="Q747" s="7">
        <f>IF($D747='[2]Beam '!Q$44,$P747*'[2]Beam '!Q$45,0)</f>
        <v>7.9580160000000024</v>
      </c>
      <c r="R747" s="7">
        <f>IF($D747='[2]Beam '!R$44,$P747*'[2]Beam '!R$45,0)</f>
        <v>0</v>
      </c>
      <c r="S747" s="7">
        <f>IF($D747='[2]Beam '!S$44,$P747*'[2]Beam '!S$45,0)</f>
        <v>0</v>
      </c>
      <c r="T747" s="7">
        <f>IF($D747='[2]Beam '!T$44,$P747*'[2]Beam '!T$45,0)</f>
        <v>0</v>
      </c>
      <c r="U747" s="7">
        <f>IF($D747='[2]Beam '!U$44,$P747*'[2]Beam '!U$45,0)</f>
        <v>0</v>
      </c>
      <c r="V747" s="7">
        <f>IF($D747='[2]Beam '!V$44,$P747*'[2]Beam '!V$45,0)</f>
        <v>0</v>
      </c>
      <c r="W747" s="7">
        <f>IF($D747='[2]Beam '!W$44,$P747*'[2]Beam '!W$45,0)</f>
        <v>0</v>
      </c>
      <c r="X747" s="7">
        <f>SUM(Q747:W747)</f>
        <v>7.9580160000000024</v>
      </c>
      <c r="Y747" s="7"/>
      <c r="Z747" s="7"/>
      <c r="AA747" s="7"/>
      <c r="AB747" s="7"/>
      <c r="AC747" s="7"/>
      <c r="AD747" s="7"/>
      <c r="AE747" s="7"/>
    </row>
    <row r="748" spans="1:32" s="9" customFormat="1" ht="20.100000000000001" customHeight="1" x14ac:dyDescent="0.25">
      <c r="A748" s="7">
        <v>1</v>
      </c>
      <c r="B748" s="10" t="s">
        <v>2</v>
      </c>
      <c r="C748" s="11" t="s">
        <v>115</v>
      </c>
      <c r="D748" s="11">
        <v>1</v>
      </c>
      <c r="E748" s="11">
        <v>3.7250000000000001</v>
      </c>
      <c r="F748" s="11">
        <v>0.2</v>
      </c>
      <c r="G748" s="11">
        <v>1.1000000000000001</v>
      </c>
      <c r="H748" s="7">
        <f>G748-0.2</f>
        <v>0.90000000000000013</v>
      </c>
      <c r="I748" s="7">
        <f>E748*F748*G748*D748</f>
        <v>0.81950000000000023</v>
      </c>
      <c r="J748" s="7">
        <f>(2*(E748)*H748*D748)+(E748*F748)</f>
        <v>7.4500000000000011</v>
      </c>
      <c r="K748" s="12">
        <f>IF(E748=0.3,J748,0)</f>
        <v>0</v>
      </c>
      <c r="L748" s="12">
        <f>IF(AND(E748&gt;0.3,E748&lt;=0.75),J748,0)</f>
        <v>0</v>
      </c>
      <c r="M748" s="12">
        <f>IF(AND(E748&gt;0.75,E748&lt;=1.2),J748,0)</f>
        <v>0</v>
      </c>
      <c r="N748" s="12">
        <f>IF(E748&gt;1.2,J748,0)</f>
        <v>7.4500000000000011</v>
      </c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>
        <f>SUM(X749:X751)/I748</f>
        <v>58.068384276126551</v>
      </c>
      <c r="Z748" s="7"/>
      <c r="AA748" s="7"/>
      <c r="AB748" s="7"/>
      <c r="AC748" s="7"/>
      <c r="AD748" s="7"/>
      <c r="AE748" s="7"/>
    </row>
    <row r="749" spans="1:32" s="9" customFormat="1" ht="20.100000000000001" customHeight="1" x14ac:dyDescent="0.25">
      <c r="A749" s="6"/>
      <c r="B749" s="10" t="s">
        <v>2</v>
      </c>
      <c r="C749" s="13" t="s">
        <v>4</v>
      </c>
      <c r="D749" s="7">
        <v>16</v>
      </c>
      <c r="E749" s="7"/>
      <c r="F749" s="7">
        <v>2</v>
      </c>
      <c r="G749" s="8">
        <f>VLOOKUP(D749,'[2]Beam '!$C$20:$H$26,3,0)</f>
        <v>0.625</v>
      </c>
      <c r="H749" s="8"/>
      <c r="I749" s="7"/>
      <c r="J749" s="7"/>
      <c r="K749" s="7"/>
      <c r="L749" s="7"/>
      <c r="M749" s="7"/>
      <c r="N749" s="7"/>
      <c r="O749" s="7">
        <f>(E748+1*(G749+(12*D749/1000)))*D748</f>
        <v>4.5419999999999998</v>
      </c>
      <c r="P749" s="7">
        <f>O749*F749</f>
        <v>9.0839999999999996</v>
      </c>
      <c r="Q749" s="7">
        <f>IF($D749='[2]Beam '!Q$44,$P749*'[2]Beam '!Q$45,0)</f>
        <v>0</v>
      </c>
      <c r="R749" s="7">
        <f>IF($D749='[2]Beam '!R$44,$P749*'[2]Beam '!R$45,0)</f>
        <v>0</v>
      </c>
      <c r="S749" s="7">
        <f>IF($D749='[2]Beam '!S$44,$P749*'[2]Beam '!S$45,0)</f>
        <v>0</v>
      </c>
      <c r="T749" s="7">
        <f>IF($D749='[2]Beam '!T$44,$P749*'[2]Beam '!T$45,0)</f>
        <v>14.343376457142858</v>
      </c>
      <c r="U749" s="7">
        <f>IF($D749='[2]Beam '!U$44,$P749*'[2]Beam '!U$45,0)</f>
        <v>0</v>
      </c>
      <c r="V749" s="7">
        <f>IF($D749='[2]Beam '!V$44,$P749*'[2]Beam '!V$45,0)</f>
        <v>0</v>
      </c>
      <c r="W749" s="7">
        <f>IF($D749='[2]Beam '!W$44,$P749*'[2]Beam '!W$45,0)</f>
        <v>0</v>
      </c>
      <c r="X749" s="7">
        <f>SUM(Q749:W749)</f>
        <v>14.343376457142858</v>
      </c>
      <c r="Y749" s="7"/>
      <c r="Z749" s="7"/>
      <c r="AA749" s="7"/>
      <c r="AB749" s="7"/>
      <c r="AC749" s="7"/>
      <c r="AD749" s="7"/>
      <c r="AE749" s="7"/>
    </row>
    <row r="750" spans="1:32" s="9" customFormat="1" ht="21" customHeight="1" x14ac:dyDescent="0.25">
      <c r="A750" s="6"/>
      <c r="B750" s="10" t="s">
        <v>2</v>
      </c>
      <c r="C750" s="13" t="s">
        <v>6</v>
      </c>
      <c r="D750" s="7">
        <v>16</v>
      </c>
      <c r="E750" s="7"/>
      <c r="F750" s="7">
        <v>2</v>
      </c>
      <c r="G750" s="8">
        <f>VLOOKUP(D750,'[2]Beam '!$C$20:$H$26,3,0)</f>
        <v>0.625</v>
      </c>
      <c r="H750" s="7"/>
      <c r="I750" s="7"/>
      <c r="J750" s="7"/>
      <c r="K750" s="7"/>
      <c r="L750" s="7"/>
      <c r="M750" s="7"/>
      <c r="N750" s="7"/>
      <c r="O750" s="7">
        <f>(E748+1*(G750+(12*D750/1000)))*D748</f>
        <v>4.5419999999999998</v>
      </c>
      <c r="P750" s="7">
        <f>O750*F750</f>
        <v>9.0839999999999996</v>
      </c>
      <c r="Q750" s="7">
        <f>IF($D750='[2]Beam '!Q$44,$P750*'[2]Beam '!Q$45,0)</f>
        <v>0</v>
      </c>
      <c r="R750" s="7">
        <f>IF($D750='[2]Beam '!R$44,$P750*'[2]Beam '!R$45,0)</f>
        <v>0</v>
      </c>
      <c r="S750" s="7">
        <f>IF($D750='[2]Beam '!S$44,$P750*'[2]Beam '!S$45,0)</f>
        <v>0</v>
      </c>
      <c r="T750" s="7">
        <f>IF($D750='[2]Beam '!T$44,$P750*'[2]Beam '!T$45,0)</f>
        <v>14.343376457142858</v>
      </c>
      <c r="U750" s="7">
        <f>IF($D750='[2]Beam '!U$44,$P750*'[2]Beam '!U$45,0)</f>
        <v>0</v>
      </c>
      <c r="V750" s="7">
        <f>IF($D750='[2]Beam '!V$44,$P750*'[2]Beam '!V$45,0)</f>
        <v>0</v>
      </c>
      <c r="W750" s="7">
        <f>IF($D750='[2]Beam '!W$44,$P750*'[2]Beam '!W$45,0)</f>
        <v>0</v>
      </c>
      <c r="X750" s="7">
        <f>SUM(Q750:W750)</f>
        <v>14.343376457142858</v>
      </c>
      <c r="Y750" s="7"/>
      <c r="Z750" s="7"/>
      <c r="AA750" s="7"/>
      <c r="AB750" s="7"/>
      <c r="AC750" s="7"/>
      <c r="AD750" s="7"/>
      <c r="AE750" s="7"/>
      <c r="AF750" s="7"/>
    </row>
    <row r="751" spans="1:32" s="9" customFormat="1" ht="20.100000000000001" customHeight="1" x14ac:dyDescent="0.25">
      <c r="A751" s="6"/>
      <c r="B751" s="10" t="s">
        <v>2</v>
      </c>
      <c r="C751" s="13" t="s">
        <v>26</v>
      </c>
      <c r="D751" s="7">
        <v>8</v>
      </c>
      <c r="E751" s="7">
        <v>0.2</v>
      </c>
      <c r="F751" s="7">
        <f>ROUNDUP(E748/E751,0)</f>
        <v>19</v>
      </c>
      <c r="H751" s="7"/>
      <c r="I751" s="7"/>
      <c r="J751" s="7"/>
      <c r="K751" s="7"/>
      <c r="L751" s="7"/>
      <c r="M751" s="7"/>
      <c r="N751" s="7"/>
      <c r="O751" s="7">
        <f>(2*((G748-(2*'[2]Beam '!$D$11))+(F748-(2*'[2]Beam '!$D$11)))+(2*10*D751/1000))*D748</f>
        <v>2.5200000000000005</v>
      </c>
      <c r="P751" s="7">
        <f>O751*F751</f>
        <v>47.88000000000001</v>
      </c>
      <c r="Q751" s="7">
        <f>IF($D751='[2]Beam '!Q$44,$P751*'[2]Beam '!Q$45,0)</f>
        <v>18.900288000000007</v>
      </c>
      <c r="R751" s="7">
        <f>IF($D751='[2]Beam '!R$44,$P751*'[2]Beam '!R$45,0)</f>
        <v>0</v>
      </c>
      <c r="S751" s="7">
        <f>IF($D751='[2]Beam '!S$44,$P751*'[2]Beam '!S$45,0)</f>
        <v>0</v>
      </c>
      <c r="T751" s="7">
        <f>IF($D751='[2]Beam '!T$44,$P751*'[2]Beam '!T$45,0)</f>
        <v>0</v>
      </c>
      <c r="U751" s="7">
        <f>IF($D751='[2]Beam '!U$44,$P751*'[2]Beam '!U$45,0)</f>
        <v>0</v>
      </c>
      <c r="V751" s="7">
        <f>IF($D751='[2]Beam '!V$44,$P751*'[2]Beam '!V$45,0)</f>
        <v>0</v>
      </c>
      <c r="W751" s="7">
        <f>IF($D751='[2]Beam '!W$44,$P751*'[2]Beam '!W$45,0)</f>
        <v>0</v>
      </c>
      <c r="X751" s="7">
        <f>SUM(Q751:W751)</f>
        <v>18.900288000000007</v>
      </c>
      <c r="Y751" s="7"/>
      <c r="Z751" s="7"/>
      <c r="AA751" s="7"/>
      <c r="AB751" s="7"/>
      <c r="AC751" s="7"/>
      <c r="AD751" s="7"/>
      <c r="AE751" s="7"/>
    </row>
    <row r="752" spans="1:32" s="9" customFormat="1" ht="20.100000000000001" customHeight="1" x14ac:dyDescent="0.25">
      <c r="A752" s="7">
        <v>1</v>
      </c>
      <c r="B752" s="10" t="s">
        <v>2</v>
      </c>
      <c r="C752" s="11" t="s">
        <v>116</v>
      </c>
      <c r="D752" s="11">
        <v>1</v>
      </c>
      <c r="E752" s="11">
        <v>1.7</v>
      </c>
      <c r="F752" s="11">
        <v>0.3</v>
      </c>
      <c r="G752" s="11">
        <v>1.1000000000000001</v>
      </c>
      <c r="H752" s="7">
        <f>G752-0.2</f>
        <v>0.90000000000000013</v>
      </c>
      <c r="I752" s="7">
        <f>E752*F752*G752*D752</f>
        <v>0.56100000000000005</v>
      </c>
      <c r="J752" s="7">
        <f>(2*(E752)*H752*D752)+(E752*F752)</f>
        <v>3.5700000000000003</v>
      </c>
      <c r="K752" s="12">
        <f>IF(E752=0.3,J752,0)</f>
        <v>0</v>
      </c>
      <c r="L752" s="12">
        <f>IF(AND(E752&gt;0.3,E752&lt;=0.75),J752,0)</f>
        <v>0</v>
      </c>
      <c r="M752" s="12">
        <f>IF(AND(E752&gt;0.75,E752&lt;=1.2),J752,0)</f>
        <v>0</v>
      </c>
      <c r="N752" s="12">
        <f>IF(E752&gt;1.2,J752,0)</f>
        <v>3.5700000000000003</v>
      </c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>
        <f>SUM(X753:X758)/I752</f>
        <v>250.89039775910365</v>
      </c>
      <c r="Z752" s="7"/>
      <c r="AA752" s="7"/>
      <c r="AB752" s="7"/>
      <c r="AC752" s="7"/>
      <c r="AD752" s="7"/>
      <c r="AE752" s="7"/>
    </row>
    <row r="753" spans="1:32" s="9" customFormat="1" ht="20.100000000000001" customHeight="1" x14ac:dyDescent="0.25">
      <c r="A753" s="6"/>
      <c r="B753" s="10" t="s">
        <v>2</v>
      </c>
      <c r="C753" s="13" t="s">
        <v>4</v>
      </c>
      <c r="D753" s="7">
        <v>25</v>
      </c>
      <c r="E753" s="7"/>
      <c r="F753" s="7">
        <v>2</v>
      </c>
      <c r="G753" s="8">
        <f>VLOOKUP(D753,'[2]Beam '!$C$20:$H$26,3,0)</f>
        <v>1</v>
      </c>
      <c r="H753" s="8"/>
      <c r="I753" s="7"/>
      <c r="J753" s="7"/>
      <c r="K753" s="7"/>
      <c r="L753" s="7"/>
      <c r="M753" s="7"/>
      <c r="N753" s="7"/>
      <c r="O753" s="7">
        <f>(E752+1*(G753+(12*D753/1000)))+1*(G753)*D752</f>
        <v>4</v>
      </c>
      <c r="P753" s="7">
        <f t="shared" ref="P753:P758" si="135">O753*F753</f>
        <v>8</v>
      </c>
      <c r="Q753" s="7">
        <f>IF($D753='[2]Beam '!Q$44,$P753*'[2]Beam '!Q$45,0)</f>
        <v>0</v>
      </c>
      <c r="R753" s="7">
        <f>IF($D753='[2]Beam '!R$44,$P753*'[2]Beam '!R$45,0)</f>
        <v>0</v>
      </c>
      <c r="S753" s="7">
        <f>IF($D753='[2]Beam '!S$44,$P753*'[2]Beam '!S$45,0)</f>
        <v>0</v>
      </c>
      <c r="T753" s="7">
        <f>IF($D753='[2]Beam '!T$44,$P753*'[2]Beam '!T$45,0)</f>
        <v>0</v>
      </c>
      <c r="U753" s="7">
        <f>IF($D753='[2]Beam '!U$44,$P753*'[2]Beam '!U$45,0)</f>
        <v>0</v>
      </c>
      <c r="V753" s="7">
        <f>IF($D753='[2]Beam '!V$44,$P753*'[2]Beam '!V$45,0)</f>
        <v>30.839285714285719</v>
      </c>
      <c r="W753" s="7">
        <f>IF($D753='[2]Beam '!W$44,$P753*'[2]Beam '!W$45,0)</f>
        <v>0</v>
      </c>
      <c r="X753" s="7">
        <f t="shared" ref="X753:X758" si="136">SUM(Q753:W753)</f>
        <v>30.839285714285719</v>
      </c>
      <c r="Y753" s="7"/>
      <c r="Z753" s="7"/>
      <c r="AA753" s="7"/>
      <c r="AB753" s="7"/>
      <c r="AC753" s="7"/>
      <c r="AD753" s="7"/>
      <c r="AE753" s="7"/>
    </row>
    <row r="754" spans="1:32" s="9" customFormat="1" ht="20.100000000000001" customHeight="1" x14ac:dyDescent="0.25">
      <c r="A754" s="6"/>
      <c r="B754" s="10" t="s">
        <v>2</v>
      </c>
      <c r="C754" s="13" t="s">
        <v>4</v>
      </c>
      <c r="D754" s="7">
        <v>20</v>
      </c>
      <c r="E754" s="7"/>
      <c r="F754" s="7">
        <v>1</v>
      </c>
      <c r="G754" s="8">
        <f>VLOOKUP(D754,'[2]Beam '!$C$20:$H$26,3,0)</f>
        <v>0.8</v>
      </c>
      <c r="H754" s="8"/>
      <c r="I754" s="7"/>
      <c r="J754" s="7"/>
      <c r="K754" s="7"/>
      <c r="L754" s="7"/>
      <c r="M754" s="7"/>
      <c r="N754" s="7"/>
      <c r="O754" s="7">
        <f>(E752+1*(G754+(12*D754/1000)))+1*(G754)*D752</f>
        <v>3.54</v>
      </c>
      <c r="P754" s="7">
        <f t="shared" si="135"/>
        <v>3.54</v>
      </c>
      <c r="Q754" s="7">
        <f>IF($D754='[2]Beam '!Q$44,$P754*'[2]Beam '!Q$45,0)</f>
        <v>0</v>
      </c>
      <c r="R754" s="7">
        <f>IF($D754='[2]Beam '!R$44,$P754*'[2]Beam '!R$45,0)</f>
        <v>0</v>
      </c>
      <c r="S754" s="7">
        <f>IF($D754='[2]Beam '!S$44,$P754*'[2]Beam '!S$45,0)</f>
        <v>0</v>
      </c>
      <c r="T754" s="7">
        <f>IF($D754='[2]Beam '!T$44,$P754*'[2]Beam '!T$45,0)</f>
        <v>0</v>
      </c>
      <c r="U754" s="7">
        <f>IF($D754='[2]Beam '!U$44,$P754*'[2]Beam '!U$45,0)</f>
        <v>8.7336857142857145</v>
      </c>
      <c r="V754" s="7">
        <f>IF($D754='[2]Beam '!V$44,$P754*'[2]Beam '!V$45,0)</f>
        <v>0</v>
      </c>
      <c r="W754" s="7">
        <f>IF($D754='[2]Beam '!W$44,$P754*'[2]Beam '!W$45,0)</f>
        <v>0</v>
      </c>
      <c r="X754" s="7">
        <f t="shared" si="136"/>
        <v>8.7336857142857145</v>
      </c>
      <c r="Y754" s="7"/>
      <c r="Z754" s="7"/>
      <c r="AA754" s="7"/>
      <c r="AB754" s="7"/>
      <c r="AC754" s="7"/>
      <c r="AD754" s="7"/>
      <c r="AE754" s="7"/>
    </row>
    <row r="755" spans="1:32" s="9" customFormat="1" ht="20.100000000000001" customHeight="1" x14ac:dyDescent="0.25">
      <c r="A755" s="6"/>
      <c r="B755" s="10" t="s">
        <v>2</v>
      </c>
      <c r="C755" s="13" t="s">
        <v>6</v>
      </c>
      <c r="D755" s="7">
        <v>25</v>
      </c>
      <c r="E755" s="7"/>
      <c r="F755" s="7">
        <v>2</v>
      </c>
      <c r="G755" s="8">
        <f>VLOOKUP(D755,'[2]Beam '!$C$20:$H$26,3,0)</f>
        <v>1</v>
      </c>
      <c r="H755" s="7"/>
      <c r="I755" s="7"/>
      <c r="J755" s="7"/>
      <c r="K755" s="7"/>
      <c r="L755" s="7"/>
      <c r="M755" s="7"/>
      <c r="N755" s="7"/>
      <c r="O755" s="7">
        <f>(E752+1*(G755+(12*D755/1000))+1*(G755))*D752</f>
        <v>4</v>
      </c>
      <c r="P755" s="7">
        <f t="shared" si="135"/>
        <v>8</v>
      </c>
      <c r="Q755" s="7">
        <f>IF($D755='[2]Beam '!Q$44,$P755*'[2]Beam '!Q$45,0)</f>
        <v>0</v>
      </c>
      <c r="R755" s="7">
        <f>IF($D755='[2]Beam '!R$44,$P755*'[2]Beam '!R$45,0)</f>
        <v>0</v>
      </c>
      <c r="S755" s="7">
        <f>IF($D755='[2]Beam '!S$44,$P755*'[2]Beam '!S$45,0)</f>
        <v>0</v>
      </c>
      <c r="T755" s="7">
        <f>IF($D755='[2]Beam '!T$44,$P755*'[2]Beam '!T$45,0)</f>
        <v>0</v>
      </c>
      <c r="U755" s="7">
        <f>IF($D755='[2]Beam '!U$44,$P755*'[2]Beam '!U$45,0)</f>
        <v>0</v>
      </c>
      <c r="V755" s="7">
        <f>IF($D755='[2]Beam '!V$44,$P755*'[2]Beam '!V$45,0)</f>
        <v>30.839285714285719</v>
      </c>
      <c r="W755" s="7">
        <f>IF($D755='[2]Beam '!W$44,$P755*'[2]Beam '!W$45,0)</f>
        <v>0</v>
      </c>
      <c r="X755" s="7">
        <f t="shared" si="136"/>
        <v>30.839285714285719</v>
      </c>
      <c r="Y755" s="7"/>
      <c r="Z755" s="7"/>
      <c r="AA755" s="7"/>
      <c r="AB755" s="7"/>
      <c r="AC755" s="7"/>
      <c r="AD755" s="7"/>
      <c r="AE755" s="7"/>
    </row>
    <row r="756" spans="1:32" s="14" customFormat="1" ht="20.100000000000001" customHeight="1" x14ac:dyDescent="0.3">
      <c r="A756" s="6"/>
      <c r="B756" s="10" t="s">
        <v>2</v>
      </c>
      <c r="C756" s="13" t="s">
        <v>6</v>
      </c>
      <c r="D756" s="7">
        <v>20</v>
      </c>
      <c r="E756" s="7"/>
      <c r="F756" s="7">
        <v>1</v>
      </c>
      <c r="G756" s="8">
        <f>VLOOKUP(D756,'[2]Beam '!$C$20:$H$26,3,0)</f>
        <v>0.8</v>
      </c>
      <c r="H756" s="7"/>
      <c r="I756" s="7"/>
      <c r="J756" s="7"/>
      <c r="K756" s="7"/>
      <c r="L756" s="7"/>
      <c r="M756" s="7"/>
      <c r="N756" s="7"/>
      <c r="O756" s="7">
        <f>(E752+1*(G756+(12*D756/1000))+1*(G756))*D752</f>
        <v>3.54</v>
      </c>
      <c r="P756" s="7">
        <f t="shared" si="135"/>
        <v>3.54</v>
      </c>
      <c r="Q756" s="7">
        <f>IF($D756='[2]Beam '!Q$44,$P756*'[2]Beam '!Q$45,0)</f>
        <v>0</v>
      </c>
      <c r="R756" s="7">
        <f>IF($D756='[2]Beam '!R$44,$P756*'[2]Beam '!R$45,0)</f>
        <v>0</v>
      </c>
      <c r="S756" s="7">
        <f>IF($D756='[2]Beam '!S$44,$P756*'[2]Beam '!S$45,0)</f>
        <v>0</v>
      </c>
      <c r="T756" s="7">
        <f>IF($D756='[2]Beam '!T$44,$P756*'[2]Beam '!T$45,0)</f>
        <v>0</v>
      </c>
      <c r="U756" s="7">
        <f>IF($D756='[2]Beam '!U$44,$P756*'[2]Beam '!U$45,0)</f>
        <v>8.7336857142857145</v>
      </c>
      <c r="V756" s="7">
        <f>IF($D756='[2]Beam '!V$44,$P756*'[2]Beam '!V$45,0)</f>
        <v>0</v>
      </c>
      <c r="W756" s="7">
        <f>IF($D756='[2]Beam '!W$44,$P756*'[2]Beam '!W$45,0)</f>
        <v>0</v>
      </c>
      <c r="X756" s="7">
        <f t="shared" si="136"/>
        <v>8.7336857142857145</v>
      </c>
      <c r="Y756" s="7"/>
    </row>
    <row r="757" spans="1:32" s="9" customFormat="1" ht="21" customHeight="1" x14ac:dyDescent="0.25">
      <c r="A757" s="6"/>
      <c r="B757" s="10" t="s">
        <v>2</v>
      </c>
      <c r="C757" s="13" t="s">
        <v>26</v>
      </c>
      <c r="D757" s="7">
        <v>12</v>
      </c>
      <c r="E757" s="7">
        <v>0.1</v>
      </c>
      <c r="F757" s="7">
        <f>ROUNDUP(E752/E757,0)</f>
        <v>17</v>
      </c>
      <c r="H757" s="7"/>
      <c r="I757" s="7"/>
      <c r="J757" s="7"/>
      <c r="K757" s="7"/>
      <c r="L757" s="7"/>
      <c r="M757" s="7"/>
      <c r="N757" s="7"/>
      <c r="O757" s="7">
        <f>(2*((G752-(2*'[2]Beam '!$D$11))+(F752-(2*'[2]Beam '!$D$11)))+(2*10*D757/1000))*D752</f>
        <v>2.8</v>
      </c>
      <c r="P757" s="7">
        <f t="shared" si="135"/>
        <v>47.599999999999994</v>
      </c>
      <c r="Q757" s="7">
        <f>IF($D757='[2]Beam '!Q$44,$P757*'[2]Beam '!Q$45,0)</f>
        <v>0</v>
      </c>
      <c r="R757" s="7">
        <f>IF($D757='[2]Beam '!R$44,$P757*'[2]Beam '!R$45,0)</f>
        <v>0</v>
      </c>
      <c r="S757" s="7">
        <f>IF($D757='[2]Beam '!S$44,$P757*'[2]Beam '!S$45,0)</f>
        <v>42.276960000000003</v>
      </c>
      <c r="T757" s="7">
        <f>IF($D757='[2]Beam '!T$44,$P757*'[2]Beam '!T$45,0)</f>
        <v>0</v>
      </c>
      <c r="U757" s="7">
        <f>IF($D757='[2]Beam '!U$44,$P757*'[2]Beam '!U$45,0)</f>
        <v>0</v>
      </c>
      <c r="V757" s="7">
        <f>IF($D757='[2]Beam '!V$44,$P757*'[2]Beam '!V$45,0)</f>
        <v>0</v>
      </c>
      <c r="W757" s="7">
        <f>IF($D757='[2]Beam '!W$44,$P757*'[2]Beam '!W$45,0)</f>
        <v>0</v>
      </c>
      <c r="X757" s="7">
        <f t="shared" si="136"/>
        <v>42.276960000000003</v>
      </c>
      <c r="Y757" s="7"/>
      <c r="Z757" s="7"/>
      <c r="AA757" s="7"/>
      <c r="AB757" s="7"/>
      <c r="AC757" s="7"/>
      <c r="AD757" s="7"/>
      <c r="AE757" s="7"/>
      <c r="AF757" s="7"/>
    </row>
    <row r="758" spans="1:32" s="9" customFormat="1" ht="20.100000000000001" customHeight="1" x14ac:dyDescent="0.25">
      <c r="A758" s="14"/>
      <c r="B758" s="10" t="s">
        <v>2</v>
      </c>
      <c r="C758" s="13" t="s">
        <v>47</v>
      </c>
      <c r="D758" s="7">
        <f>+D757</f>
        <v>12</v>
      </c>
      <c r="E758" s="14">
        <f>+E757</f>
        <v>0.1</v>
      </c>
      <c r="F758" s="7">
        <f>ROUNDUP(E752/E758,0)</f>
        <v>17</v>
      </c>
      <c r="H758" s="14"/>
      <c r="I758" s="14"/>
      <c r="J758" s="14"/>
      <c r="K758" s="14"/>
      <c r="L758" s="14"/>
      <c r="M758" s="14"/>
      <c r="N758" s="14"/>
      <c r="O758" s="7">
        <f>((((G752-(2*'[2]Beam '!$D$11))+(2*10*D758/1000))*D752))</f>
        <v>1.28</v>
      </c>
      <c r="P758" s="7">
        <f t="shared" si="135"/>
        <v>21.76</v>
      </c>
      <c r="Q758" s="7">
        <f>IF($D758='[2]Beam '!Q$44,$P758*'[2]Beam '!Q$45,0)</f>
        <v>0</v>
      </c>
      <c r="R758" s="7">
        <f>IF($D758='[2]Beam '!R$44,$P758*'[2]Beam '!R$45,0)</f>
        <v>0</v>
      </c>
      <c r="S758" s="7">
        <f>IF($D758='[2]Beam '!S$44,$P758*'[2]Beam '!S$45,0)</f>
        <v>19.326610285714292</v>
      </c>
      <c r="T758" s="7">
        <f>IF($D758='[2]Beam '!T$44,$P758*'[2]Beam '!T$45,0)</f>
        <v>0</v>
      </c>
      <c r="U758" s="7">
        <f>IF($D758='[2]Beam '!U$44,$P758*'[2]Beam '!U$45,0)</f>
        <v>0</v>
      </c>
      <c r="V758" s="7">
        <f>IF($D758='[2]Beam '!V$44,$P758*'[2]Beam '!V$45,0)</f>
        <v>0</v>
      </c>
      <c r="W758" s="7">
        <f>IF($D758='[2]Beam '!W$44,$P758*'[2]Beam '!W$45,0)</f>
        <v>0</v>
      </c>
      <c r="X758" s="7">
        <f t="shared" si="136"/>
        <v>19.326610285714292</v>
      </c>
      <c r="Y758" s="14"/>
      <c r="Z758" s="7"/>
      <c r="AA758" s="7"/>
      <c r="AB758" s="7"/>
      <c r="AC758" s="7"/>
      <c r="AD758" s="7"/>
      <c r="AE758" s="7"/>
    </row>
    <row r="759" spans="1:32" s="9" customFormat="1" ht="20.100000000000001" customHeight="1" x14ac:dyDescent="0.25">
      <c r="A759" s="7">
        <v>1</v>
      </c>
      <c r="B759" s="10" t="s">
        <v>2</v>
      </c>
      <c r="C759" s="11" t="s">
        <v>117</v>
      </c>
      <c r="D759" s="11">
        <v>1</v>
      </c>
      <c r="E759" s="11">
        <v>1.127</v>
      </c>
      <c r="F759" s="11">
        <v>0.3</v>
      </c>
      <c r="G759" s="11">
        <v>1.1000000000000001</v>
      </c>
      <c r="H759" s="7">
        <f>G759-0.2</f>
        <v>0.90000000000000013</v>
      </c>
      <c r="I759" s="7">
        <f>E759*F759*G759*D759</f>
        <v>0.37191000000000002</v>
      </c>
      <c r="J759" s="7">
        <f>(2*(E759)*H759*D759)+(E759*F759)</f>
        <v>2.3667000000000002</v>
      </c>
      <c r="K759" s="12">
        <f>IF(E759=0.3,J759,0)</f>
        <v>0</v>
      </c>
      <c r="L759" s="12">
        <f>IF(AND(E759&gt;0.3,E759&lt;=0.75),J759,0)</f>
        <v>0</v>
      </c>
      <c r="M759" s="12">
        <f>IF(AND(E759&gt;0.75,E759&lt;=1.2),J759,0)</f>
        <v>2.3667000000000002</v>
      </c>
      <c r="N759" s="12">
        <f>IF(E759&gt;1.2,J759,0)</f>
        <v>0</v>
      </c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>
        <f>SUM(X760:X765)/I759</f>
        <v>298.37330248869739</v>
      </c>
      <c r="Z759" s="7"/>
      <c r="AA759" s="7"/>
      <c r="AB759" s="7"/>
      <c r="AC759" s="7"/>
      <c r="AD759" s="7"/>
      <c r="AE759" s="7"/>
    </row>
    <row r="760" spans="1:32" s="9" customFormat="1" ht="20.100000000000001" customHeight="1" x14ac:dyDescent="0.25">
      <c r="A760" s="6"/>
      <c r="B760" s="10" t="s">
        <v>2</v>
      </c>
      <c r="C760" s="13" t="s">
        <v>4</v>
      </c>
      <c r="D760" s="7">
        <v>25</v>
      </c>
      <c r="E760" s="7"/>
      <c r="F760" s="7">
        <v>2</v>
      </c>
      <c r="G760" s="8">
        <f>VLOOKUP(D760,'[2]Beam '!$C$20:$H$26,3,0)</f>
        <v>1</v>
      </c>
      <c r="H760" s="8"/>
      <c r="I760" s="7"/>
      <c r="J760" s="7"/>
      <c r="K760" s="7"/>
      <c r="L760" s="7"/>
      <c r="M760" s="7"/>
      <c r="N760" s="7"/>
      <c r="O760" s="7">
        <f>(E759+1*(G760+(12*D760/1000)))+1*(G760)*D759</f>
        <v>3.427</v>
      </c>
      <c r="P760" s="7">
        <f t="shared" ref="P760:P765" si="137">O760*F760</f>
        <v>6.8540000000000001</v>
      </c>
      <c r="Q760" s="7">
        <f>IF($D760='[2]Beam '!Q$44,$P760*'[2]Beam '!Q$45,0)</f>
        <v>0</v>
      </c>
      <c r="R760" s="7">
        <f>IF($D760='[2]Beam '!R$44,$P760*'[2]Beam '!R$45,0)</f>
        <v>0</v>
      </c>
      <c r="S760" s="7">
        <f>IF($D760='[2]Beam '!S$44,$P760*'[2]Beam '!S$45,0)</f>
        <v>0</v>
      </c>
      <c r="T760" s="7">
        <f>IF($D760='[2]Beam '!T$44,$P760*'[2]Beam '!T$45,0)</f>
        <v>0</v>
      </c>
      <c r="U760" s="7">
        <f>IF($D760='[2]Beam '!U$44,$P760*'[2]Beam '!U$45,0)</f>
        <v>0</v>
      </c>
      <c r="V760" s="7">
        <f>IF($D760='[2]Beam '!V$44,$P760*'[2]Beam '!V$45,0)</f>
        <v>26.421558035714291</v>
      </c>
      <c r="W760" s="7">
        <f>IF($D760='[2]Beam '!W$44,$P760*'[2]Beam '!W$45,0)</f>
        <v>0</v>
      </c>
      <c r="X760" s="7">
        <f t="shared" ref="X760:X765" si="138">SUM(Q760:W760)</f>
        <v>26.421558035714291</v>
      </c>
      <c r="Y760" s="7"/>
      <c r="Z760" s="7"/>
      <c r="AA760" s="7"/>
      <c r="AB760" s="7"/>
      <c r="AC760" s="7"/>
      <c r="AD760" s="7"/>
      <c r="AE760" s="7"/>
    </row>
    <row r="761" spans="1:32" s="9" customFormat="1" ht="20.100000000000001" customHeight="1" x14ac:dyDescent="0.25">
      <c r="A761" s="6"/>
      <c r="B761" s="10" t="s">
        <v>2</v>
      </c>
      <c r="C761" s="13" t="s">
        <v>4</v>
      </c>
      <c r="D761" s="7">
        <v>20</v>
      </c>
      <c r="E761" s="7"/>
      <c r="F761" s="7">
        <v>1</v>
      </c>
      <c r="G761" s="8">
        <f>VLOOKUP(D761,'[2]Beam '!$C$20:$H$26,3,0)</f>
        <v>0.8</v>
      </c>
      <c r="H761" s="8"/>
      <c r="I761" s="7"/>
      <c r="J761" s="7"/>
      <c r="K761" s="7"/>
      <c r="L761" s="7"/>
      <c r="M761" s="7"/>
      <c r="N761" s="7"/>
      <c r="O761" s="7">
        <f>(E759+1*(G761+(12*D761/1000)))+1*(G761)*D759</f>
        <v>2.9669999999999996</v>
      </c>
      <c r="P761" s="7">
        <f t="shared" si="137"/>
        <v>2.9669999999999996</v>
      </c>
      <c r="Q761" s="7">
        <f>IF($D761='[2]Beam '!Q$44,$P761*'[2]Beam '!Q$45,0)</f>
        <v>0</v>
      </c>
      <c r="R761" s="7">
        <f>IF($D761='[2]Beam '!R$44,$P761*'[2]Beam '!R$45,0)</f>
        <v>0</v>
      </c>
      <c r="S761" s="7">
        <f>IF($D761='[2]Beam '!S$44,$P761*'[2]Beam '!S$45,0)</f>
        <v>0</v>
      </c>
      <c r="T761" s="7">
        <f>IF($D761='[2]Beam '!T$44,$P761*'[2]Beam '!T$45,0)</f>
        <v>0</v>
      </c>
      <c r="U761" s="7">
        <f>IF($D761='[2]Beam '!U$44,$P761*'[2]Beam '!U$45,0)</f>
        <v>7.3200128571428564</v>
      </c>
      <c r="V761" s="7">
        <f>IF($D761='[2]Beam '!V$44,$P761*'[2]Beam '!V$45,0)</f>
        <v>0</v>
      </c>
      <c r="W761" s="7">
        <f>IF($D761='[2]Beam '!W$44,$P761*'[2]Beam '!W$45,0)</f>
        <v>0</v>
      </c>
      <c r="X761" s="7">
        <f t="shared" si="138"/>
        <v>7.3200128571428564</v>
      </c>
      <c r="Y761" s="7"/>
      <c r="Z761" s="7"/>
      <c r="AA761" s="7"/>
      <c r="AB761" s="7"/>
      <c r="AC761" s="7"/>
      <c r="AD761" s="7"/>
      <c r="AE761" s="7"/>
    </row>
    <row r="762" spans="1:32" s="9" customFormat="1" ht="20.100000000000001" customHeight="1" x14ac:dyDescent="0.25">
      <c r="A762" s="6"/>
      <c r="B762" s="10" t="s">
        <v>2</v>
      </c>
      <c r="C762" s="13" t="s">
        <v>6</v>
      </c>
      <c r="D762" s="7">
        <v>25</v>
      </c>
      <c r="E762" s="7"/>
      <c r="F762" s="7">
        <v>2</v>
      </c>
      <c r="G762" s="8">
        <f>VLOOKUP(D762,'[2]Beam '!$C$20:$H$26,3,0)</f>
        <v>1</v>
      </c>
      <c r="H762" s="7"/>
      <c r="I762" s="7"/>
      <c r="J762" s="7"/>
      <c r="K762" s="7"/>
      <c r="L762" s="7"/>
      <c r="M762" s="7"/>
      <c r="N762" s="7"/>
      <c r="O762" s="7">
        <f>(E759+1*(G762+(12*D762/1000))+1*(G762))*D759</f>
        <v>3.427</v>
      </c>
      <c r="P762" s="7">
        <f t="shared" si="137"/>
        <v>6.8540000000000001</v>
      </c>
      <c r="Q762" s="7">
        <f>IF($D762='[2]Beam '!Q$44,$P762*'[2]Beam '!Q$45,0)</f>
        <v>0</v>
      </c>
      <c r="R762" s="7">
        <f>IF($D762='[2]Beam '!R$44,$P762*'[2]Beam '!R$45,0)</f>
        <v>0</v>
      </c>
      <c r="S762" s="7">
        <f>IF($D762='[2]Beam '!S$44,$P762*'[2]Beam '!S$45,0)</f>
        <v>0</v>
      </c>
      <c r="T762" s="7">
        <f>IF($D762='[2]Beam '!T$44,$P762*'[2]Beam '!T$45,0)</f>
        <v>0</v>
      </c>
      <c r="U762" s="7">
        <f>IF($D762='[2]Beam '!U$44,$P762*'[2]Beam '!U$45,0)</f>
        <v>0</v>
      </c>
      <c r="V762" s="7">
        <f>IF($D762='[2]Beam '!V$44,$P762*'[2]Beam '!V$45,0)</f>
        <v>26.421558035714291</v>
      </c>
      <c r="W762" s="7">
        <f>IF($D762='[2]Beam '!W$44,$P762*'[2]Beam '!W$45,0)</f>
        <v>0</v>
      </c>
      <c r="X762" s="7">
        <f t="shared" si="138"/>
        <v>26.421558035714291</v>
      </c>
      <c r="Y762" s="7"/>
      <c r="Z762" s="7"/>
      <c r="AA762" s="7"/>
      <c r="AB762" s="7"/>
      <c r="AC762" s="7"/>
      <c r="AD762" s="7"/>
      <c r="AE762" s="7"/>
    </row>
    <row r="763" spans="1:32" s="14" customFormat="1" ht="20.100000000000001" customHeight="1" x14ac:dyDescent="0.3">
      <c r="A763" s="6"/>
      <c r="B763" s="10" t="s">
        <v>2</v>
      </c>
      <c r="C763" s="13" t="s">
        <v>6</v>
      </c>
      <c r="D763" s="7">
        <v>20</v>
      </c>
      <c r="E763" s="7"/>
      <c r="F763" s="7">
        <v>1</v>
      </c>
      <c r="G763" s="8">
        <f>VLOOKUP(D763,'[2]Beam '!$C$20:$H$26,3,0)</f>
        <v>0.8</v>
      </c>
      <c r="H763" s="7"/>
      <c r="I763" s="7"/>
      <c r="J763" s="7"/>
      <c r="K763" s="7"/>
      <c r="L763" s="7"/>
      <c r="M763" s="7"/>
      <c r="N763" s="7"/>
      <c r="O763" s="7">
        <f>(E759+1*(G763+(12*D763/1000))+1*(G763))*D759</f>
        <v>2.9669999999999996</v>
      </c>
      <c r="P763" s="7">
        <f t="shared" si="137"/>
        <v>2.9669999999999996</v>
      </c>
      <c r="Q763" s="7">
        <f>IF($D763='[2]Beam '!Q$44,$P763*'[2]Beam '!Q$45,0)</f>
        <v>0</v>
      </c>
      <c r="R763" s="7">
        <f>IF($D763='[2]Beam '!R$44,$P763*'[2]Beam '!R$45,0)</f>
        <v>0</v>
      </c>
      <c r="S763" s="7">
        <f>IF($D763='[2]Beam '!S$44,$P763*'[2]Beam '!S$45,0)</f>
        <v>0</v>
      </c>
      <c r="T763" s="7">
        <f>IF($D763='[2]Beam '!T$44,$P763*'[2]Beam '!T$45,0)</f>
        <v>0</v>
      </c>
      <c r="U763" s="7">
        <f>IF($D763='[2]Beam '!U$44,$P763*'[2]Beam '!U$45,0)</f>
        <v>7.3200128571428564</v>
      </c>
      <c r="V763" s="7">
        <f>IF($D763='[2]Beam '!V$44,$P763*'[2]Beam '!V$45,0)</f>
        <v>0</v>
      </c>
      <c r="W763" s="7">
        <f>IF($D763='[2]Beam '!W$44,$P763*'[2]Beam '!W$45,0)</f>
        <v>0</v>
      </c>
      <c r="X763" s="7">
        <f t="shared" si="138"/>
        <v>7.3200128571428564</v>
      </c>
      <c r="Y763" s="7"/>
    </row>
    <row r="764" spans="1:32" s="9" customFormat="1" ht="21" customHeight="1" x14ac:dyDescent="0.25">
      <c r="A764" s="6"/>
      <c r="B764" s="10" t="s">
        <v>2</v>
      </c>
      <c r="C764" s="13" t="s">
        <v>26</v>
      </c>
      <c r="D764" s="7">
        <v>12</v>
      </c>
      <c r="E764" s="7">
        <v>0.1</v>
      </c>
      <c r="F764" s="7">
        <f>ROUNDUP(E759/E764,0)</f>
        <v>12</v>
      </c>
      <c r="H764" s="7"/>
      <c r="I764" s="7"/>
      <c r="J764" s="7"/>
      <c r="K764" s="7"/>
      <c r="L764" s="7"/>
      <c r="M764" s="7"/>
      <c r="N764" s="7"/>
      <c r="O764" s="7">
        <f>(2*((G759-(2*'[2]Beam '!$D$11))+(F759-(2*'[2]Beam '!$D$11)))+(2*10*D764/1000))*D759</f>
        <v>2.8</v>
      </c>
      <c r="P764" s="7">
        <f t="shared" si="137"/>
        <v>33.599999999999994</v>
      </c>
      <c r="Q764" s="7">
        <f>IF($D764='[2]Beam '!Q$44,$P764*'[2]Beam '!Q$45,0)</f>
        <v>0</v>
      </c>
      <c r="R764" s="7">
        <f>IF($D764='[2]Beam '!R$44,$P764*'[2]Beam '!R$45,0)</f>
        <v>0</v>
      </c>
      <c r="S764" s="7">
        <f>IF($D764='[2]Beam '!S$44,$P764*'[2]Beam '!S$45,0)</f>
        <v>29.842559999999999</v>
      </c>
      <c r="T764" s="7">
        <f>IF($D764='[2]Beam '!T$44,$P764*'[2]Beam '!T$45,0)</f>
        <v>0</v>
      </c>
      <c r="U764" s="7">
        <f>IF($D764='[2]Beam '!U$44,$P764*'[2]Beam '!U$45,0)</f>
        <v>0</v>
      </c>
      <c r="V764" s="7">
        <f>IF($D764='[2]Beam '!V$44,$P764*'[2]Beam '!V$45,0)</f>
        <v>0</v>
      </c>
      <c r="W764" s="7">
        <f>IF($D764='[2]Beam '!W$44,$P764*'[2]Beam '!W$45,0)</f>
        <v>0</v>
      </c>
      <c r="X764" s="7">
        <f t="shared" si="138"/>
        <v>29.842559999999999</v>
      </c>
      <c r="Y764" s="7"/>
      <c r="Z764" s="7"/>
      <c r="AA764" s="7"/>
      <c r="AB764" s="7"/>
      <c r="AC764" s="7"/>
      <c r="AD764" s="7"/>
      <c r="AE764" s="7"/>
      <c r="AF764" s="7"/>
    </row>
    <row r="765" spans="1:32" s="9" customFormat="1" ht="20.100000000000001" customHeight="1" x14ac:dyDescent="0.25">
      <c r="A765" s="14"/>
      <c r="B765" s="10" t="s">
        <v>2</v>
      </c>
      <c r="C765" s="13" t="s">
        <v>47</v>
      </c>
      <c r="D765" s="7">
        <f>+D764</f>
        <v>12</v>
      </c>
      <c r="E765" s="14">
        <f>+E764</f>
        <v>0.1</v>
      </c>
      <c r="F765" s="7">
        <f>ROUNDUP(E759/E765,0)</f>
        <v>12</v>
      </c>
      <c r="H765" s="14"/>
      <c r="I765" s="14"/>
      <c r="J765" s="14"/>
      <c r="K765" s="14"/>
      <c r="L765" s="14"/>
      <c r="M765" s="14"/>
      <c r="N765" s="14"/>
      <c r="O765" s="7">
        <f>((((G759-(2*'[2]Beam '!$D$11))+(2*10*D765/1000))*D759))</f>
        <v>1.28</v>
      </c>
      <c r="P765" s="7">
        <f t="shared" si="137"/>
        <v>15.36</v>
      </c>
      <c r="Q765" s="7">
        <f>IF($D765='[2]Beam '!Q$44,$P765*'[2]Beam '!Q$45,0)</f>
        <v>0</v>
      </c>
      <c r="R765" s="7">
        <f>IF($D765='[2]Beam '!R$44,$P765*'[2]Beam '!R$45,0)</f>
        <v>0</v>
      </c>
      <c r="S765" s="7">
        <f>IF($D765='[2]Beam '!S$44,$P765*'[2]Beam '!S$45,0)</f>
        <v>13.642313142857144</v>
      </c>
      <c r="T765" s="7">
        <f>IF($D765='[2]Beam '!T$44,$P765*'[2]Beam '!T$45,0)</f>
        <v>0</v>
      </c>
      <c r="U765" s="7">
        <f>IF($D765='[2]Beam '!U$44,$P765*'[2]Beam '!U$45,0)</f>
        <v>0</v>
      </c>
      <c r="V765" s="7">
        <f>IF($D765='[2]Beam '!V$44,$P765*'[2]Beam '!V$45,0)</f>
        <v>0</v>
      </c>
      <c r="W765" s="7">
        <f>IF($D765='[2]Beam '!W$44,$P765*'[2]Beam '!W$45,0)</f>
        <v>0</v>
      </c>
      <c r="X765" s="7">
        <f t="shared" si="138"/>
        <v>13.642313142857144</v>
      </c>
      <c r="Y765" s="14"/>
      <c r="Z765" s="7"/>
      <c r="AA765" s="7"/>
      <c r="AB765" s="7"/>
      <c r="AC765" s="7"/>
      <c r="AD765" s="7"/>
      <c r="AE765" s="7"/>
    </row>
    <row r="766" spans="1:32" s="9" customFormat="1" ht="20.100000000000001" customHeight="1" x14ac:dyDescent="0.25">
      <c r="A766" s="7">
        <v>1</v>
      </c>
      <c r="B766" s="10" t="s">
        <v>2</v>
      </c>
      <c r="C766" s="11" t="s">
        <v>118</v>
      </c>
      <c r="D766" s="11">
        <v>1</v>
      </c>
      <c r="E766" s="11">
        <v>2</v>
      </c>
      <c r="F766" s="11">
        <v>0.3</v>
      </c>
      <c r="G766" s="11">
        <v>1.1000000000000001</v>
      </c>
      <c r="H766" s="7">
        <f>G766-0.2</f>
        <v>0.90000000000000013</v>
      </c>
      <c r="I766" s="7">
        <f>E766*F766*G766*D766</f>
        <v>0.66</v>
      </c>
      <c r="J766" s="7">
        <f>(2*(E766)*H766*D766)+(E766*F766)</f>
        <v>4.2</v>
      </c>
      <c r="K766" s="12">
        <f>IF(E766=0.3,J766,0)</f>
        <v>0</v>
      </c>
      <c r="L766" s="12">
        <f>IF(AND(E766&gt;0.3,E766&lt;=0.75),J766,0)</f>
        <v>0</v>
      </c>
      <c r="M766" s="12">
        <f>IF(AND(E766&gt;0.75,E766&lt;=1.2),J766,0)</f>
        <v>0</v>
      </c>
      <c r="N766" s="12">
        <f>IF(E766&gt;1.2,J766,0)</f>
        <v>4.2</v>
      </c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>
        <f>SUM(X767:X773)/I766</f>
        <v>267.74578142857143</v>
      </c>
      <c r="Z766" s="7"/>
      <c r="AA766" s="7"/>
      <c r="AB766" s="7"/>
      <c r="AC766" s="7"/>
      <c r="AD766" s="7"/>
      <c r="AE766" s="7"/>
    </row>
    <row r="767" spans="1:32" s="9" customFormat="1" ht="20.100000000000001" customHeight="1" x14ac:dyDescent="0.25">
      <c r="A767" s="6"/>
      <c r="B767" s="10" t="s">
        <v>2</v>
      </c>
      <c r="C767" s="13" t="s">
        <v>4</v>
      </c>
      <c r="D767" s="7">
        <v>25</v>
      </c>
      <c r="E767" s="7"/>
      <c r="F767" s="7">
        <v>3</v>
      </c>
      <c r="G767" s="8">
        <f>VLOOKUP(D767,'[2]Beam '!$C$20:$H$26,3,0)</f>
        <v>1</v>
      </c>
      <c r="H767" s="8"/>
      <c r="I767" s="7"/>
      <c r="J767" s="7"/>
      <c r="K767" s="7"/>
      <c r="L767" s="7"/>
      <c r="M767" s="7"/>
      <c r="N767" s="7"/>
      <c r="O767" s="7">
        <f>(E766+2*(G767+(12*D767/1000)))*D766</f>
        <v>4.5999999999999996</v>
      </c>
      <c r="P767" s="7">
        <f t="shared" ref="P767:P773" si="139">O767*F767</f>
        <v>13.799999999999999</v>
      </c>
      <c r="Q767" s="7">
        <f>IF($D767='[2]Beam '!Q$44,$P767*'[2]Beam '!Q$45,0)</f>
        <v>0</v>
      </c>
      <c r="R767" s="7">
        <f>IF($D767='[2]Beam '!R$44,$P767*'[2]Beam '!R$45,0)</f>
        <v>0</v>
      </c>
      <c r="S767" s="7">
        <f>IF($D767='[2]Beam '!S$44,$P767*'[2]Beam '!S$45,0)</f>
        <v>0</v>
      </c>
      <c r="T767" s="7">
        <f>IF($D767='[2]Beam '!T$44,$P767*'[2]Beam '!T$45,0)</f>
        <v>0</v>
      </c>
      <c r="U767" s="7">
        <f>IF($D767='[2]Beam '!U$44,$P767*'[2]Beam '!U$45,0)</f>
        <v>0</v>
      </c>
      <c r="V767" s="7">
        <f>IF($D767='[2]Beam '!V$44,$P767*'[2]Beam '!V$45,0)</f>
        <v>53.197767857142864</v>
      </c>
      <c r="W767" s="7">
        <f>IF($D767='[2]Beam '!W$44,$P767*'[2]Beam '!W$45,0)</f>
        <v>0</v>
      </c>
      <c r="X767" s="7">
        <f t="shared" ref="X767:X773" si="140">SUM(Q767:W767)</f>
        <v>53.197767857142864</v>
      </c>
      <c r="Y767" s="7"/>
      <c r="Z767" s="7"/>
      <c r="AA767" s="7"/>
      <c r="AB767" s="7"/>
      <c r="AC767" s="7"/>
      <c r="AD767" s="7"/>
      <c r="AE767" s="7"/>
    </row>
    <row r="768" spans="1:32" s="9" customFormat="1" ht="20.100000000000001" customHeight="1" x14ac:dyDescent="0.25">
      <c r="A768" s="6"/>
      <c r="B768" s="10" t="s">
        <v>2</v>
      </c>
      <c r="C768" s="13" t="s">
        <v>5</v>
      </c>
      <c r="D768" s="7">
        <v>25</v>
      </c>
      <c r="E768" s="7"/>
      <c r="F768" s="7">
        <v>2</v>
      </c>
      <c r="G768" s="8">
        <f>VLOOKUP(D768,'[2]Beam '!$C$20:$H$26,3,0)</f>
        <v>1</v>
      </c>
      <c r="H768" s="8"/>
      <c r="I768" s="7"/>
      <c r="J768" s="7"/>
      <c r="K768" s="7"/>
      <c r="L768" s="7"/>
      <c r="M768" s="7"/>
      <c r="N768" s="7"/>
      <c r="O768" s="7">
        <f>(0.6+1*(G768+(12*D768/1000)))*D766</f>
        <v>1.9</v>
      </c>
      <c r="P768" s="7">
        <f t="shared" si="139"/>
        <v>3.8</v>
      </c>
      <c r="Q768" s="7">
        <f>IF($D768='[2]Beam '!Q$44,$P768*'[2]Beam '!Q$45,0)</f>
        <v>0</v>
      </c>
      <c r="R768" s="7">
        <f>IF($D768='[2]Beam '!R$44,$P768*'[2]Beam '!R$45,0)</f>
        <v>0</v>
      </c>
      <c r="S768" s="7">
        <f>IF($D768='[2]Beam '!S$44,$P768*'[2]Beam '!S$45,0)</f>
        <v>0</v>
      </c>
      <c r="T768" s="7">
        <f>IF($D768='[2]Beam '!T$44,$P768*'[2]Beam '!T$45,0)</f>
        <v>0</v>
      </c>
      <c r="U768" s="7">
        <f>IF($D768='[2]Beam '!U$44,$P768*'[2]Beam '!U$45,0)</f>
        <v>0</v>
      </c>
      <c r="V768" s="7">
        <f>IF($D768='[2]Beam '!V$44,$P768*'[2]Beam '!V$45,0)</f>
        <v>14.648660714285716</v>
      </c>
      <c r="W768" s="7">
        <f>IF($D768='[2]Beam '!W$44,$P768*'[2]Beam '!W$45,0)</f>
        <v>0</v>
      </c>
      <c r="X768" s="7">
        <f t="shared" si="140"/>
        <v>14.648660714285716</v>
      </c>
      <c r="Y768" s="7"/>
      <c r="Z768" s="7"/>
      <c r="AA768" s="7"/>
      <c r="AB768" s="7"/>
      <c r="AC768" s="7"/>
      <c r="AD768" s="7"/>
      <c r="AE768" s="7"/>
    </row>
    <row r="769" spans="1:32" s="9" customFormat="1" ht="20.100000000000001" customHeight="1" x14ac:dyDescent="0.25">
      <c r="A769" s="6"/>
      <c r="B769" s="10" t="s">
        <v>2</v>
      </c>
      <c r="C769" s="13" t="s">
        <v>6</v>
      </c>
      <c r="D769" s="7">
        <v>25</v>
      </c>
      <c r="E769" s="7"/>
      <c r="F769" s="7">
        <v>3</v>
      </c>
      <c r="G769" s="8">
        <f>VLOOKUP(D769,'[2]Beam '!$C$20:$H$26,3,0)</f>
        <v>1</v>
      </c>
      <c r="H769" s="7"/>
      <c r="I769" s="7"/>
      <c r="J769" s="7"/>
      <c r="K769" s="7"/>
      <c r="L769" s="7"/>
      <c r="M769" s="7"/>
      <c r="N769" s="7"/>
      <c r="O769" s="7">
        <f>(E766+2*(G769+(12*D769/1000)))*D766</f>
        <v>4.5999999999999996</v>
      </c>
      <c r="P769" s="7">
        <f t="shared" si="139"/>
        <v>13.799999999999999</v>
      </c>
      <c r="Q769" s="7">
        <f>IF($D769='[2]Beam '!Q$44,$P769*'[2]Beam '!Q$45,0)</f>
        <v>0</v>
      </c>
      <c r="R769" s="7">
        <f>IF($D769='[2]Beam '!R$44,$P769*'[2]Beam '!R$45,0)</f>
        <v>0</v>
      </c>
      <c r="S769" s="7">
        <f>IF($D769='[2]Beam '!S$44,$P769*'[2]Beam '!S$45,0)</f>
        <v>0</v>
      </c>
      <c r="T769" s="7">
        <f>IF($D769='[2]Beam '!T$44,$P769*'[2]Beam '!T$45,0)</f>
        <v>0</v>
      </c>
      <c r="U769" s="7">
        <f>IF($D769='[2]Beam '!U$44,$P769*'[2]Beam '!U$45,0)</f>
        <v>0</v>
      </c>
      <c r="V769" s="7">
        <f>IF($D769='[2]Beam '!V$44,$P769*'[2]Beam '!V$45,0)</f>
        <v>53.197767857142864</v>
      </c>
      <c r="W769" s="7">
        <f>IF($D769='[2]Beam '!W$44,$P769*'[2]Beam '!W$45,0)</f>
        <v>0</v>
      </c>
      <c r="X769" s="7">
        <f t="shared" si="140"/>
        <v>53.197767857142864</v>
      </c>
      <c r="Y769" s="7"/>
      <c r="Z769" s="7"/>
      <c r="AA769" s="7"/>
      <c r="AB769" s="7"/>
      <c r="AC769" s="7"/>
      <c r="AD769" s="7"/>
      <c r="AE769" s="7"/>
    </row>
    <row r="770" spans="1:32" s="14" customFormat="1" ht="20.100000000000001" customHeight="1" x14ac:dyDescent="0.3">
      <c r="A770" s="6"/>
      <c r="B770" s="10" t="s">
        <v>2</v>
      </c>
      <c r="C770" s="13" t="s">
        <v>13</v>
      </c>
      <c r="D770" s="7">
        <v>16</v>
      </c>
      <c r="E770" s="7"/>
      <c r="F770" s="7">
        <v>2</v>
      </c>
      <c r="G770" s="8">
        <f>VLOOKUP(D770,'[2]Beam '!$C$20:$H$26,3,0)</f>
        <v>0.625</v>
      </c>
      <c r="H770" s="7"/>
      <c r="I770" s="7"/>
      <c r="J770" s="7"/>
      <c r="K770" s="7"/>
      <c r="L770" s="7"/>
      <c r="M770" s="7"/>
      <c r="N770" s="7"/>
      <c r="O770" s="7">
        <f>(0.6+1*(G770+(12*D770/1000)))*D766</f>
        <v>1.4169999999999998</v>
      </c>
      <c r="P770" s="7">
        <f t="shared" si="139"/>
        <v>2.8339999999999996</v>
      </c>
      <c r="Q770" s="7">
        <f>IF($D770='[2]Beam '!Q$44,$P770*'[2]Beam '!Q$45,0)</f>
        <v>0</v>
      </c>
      <c r="R770" s="7">
        <f>IF($D770='[2]Beam '!R$44,$P770*'[2]Beam '!R$45,0)</f>
        <v>0</v>
      </c>
      <c r="S770" s="7">
        <f>IF($D770='[2]Beam '!S$44,$P770*'[2]Beam '!S$45,0)</f>
        <v>0</v>
      </c>
      <c r="T770" s="7">
        <f>IF($D770='[2]Beam '!T$44,$P770*'[2]Beam '!T$45,0)</f>
        <v>4.4748050285714287</v>
      </c>
      <c r="U770" s="7">
        <f>IF($D770='[2]Beam '!U$44,$P770*'[2]Beam '!U$45,0)</f>
        <v>0</v>
      </c>
      <c r="V770" s="7">
        <f>IF($D770='[2]Beam '!V$44,$P770*'[2]Beam '!V$45,0)</f>
        <v>0</v>
      </c>
      <c r="W770" s="7">
        <f>IF($D770='[2]Beam '!W$44,$P770*'[2]Beam '!W$45,0)</f>
        <v>0</v>
      </c>
      <c r="X770" s="7">
        <f t="shared" si="140"/>
        <v>4.4748050285714287</v>
      </c>
      <c r="Y770" s="7"/>
    </row>
    <row r="771" spans="1:32" s="9" customFormat="1" ht="20.100000000000001" customHeight="1" x14ac:dyDescent="0.25">
      <c r="A771" s="6"/>
      <c r="B771" s="10" t="s">
        <v>2</v>
      </c>
      <c r="C771" s="13" t="s">
        <v>26</v>
      </c>
      <c r="D771" s="7">
        <v>10</v>
      </c>
      <c r="E771" s="7">
        <v>0.1</v>
      </c>
      <c r="F771" s="7">
        <f>ROUNDUP(E766/E771,0)</f>
        <v>20</v>
      </c>
      <c r="H771" s="7"/>
      <c r="I771" s="7"/>
      <c r="J771" s="7"/>
      <c r="K771" s="7"/>
      <c r="L771" s="7"/>
      <c r="M771" s="7"/>
      <c r="N771" s="7"/>
      <c r="O771" s="7">
        <f>(2*((G766-(2*'[2]Beam '!$D$11))+(F766-(2*'[2]Beam '!$D$11)))+(2*10*D771/1000))*D766</f>
        <v>2.7600000000000002</v>
      </c>
      <c r="P771" s="7">
        <f t="shared" si="139"/>
        <v>55.2</v>
      </c>
      <c r="Q771" s="7">
        <f>IF($D771='[2]Beam '!Q$44,$P771*'[2]Beam '!Q$45,0)</f>
        <v>0</v>
      </c>
      <c r="R771" s="7">
        <f>IF($D771='[2]Beam '!R$44,$P771*'[2]Beam '!R$45,0)</f>
        <v>34.046571428571433</v>
      </c>
      <c r="S771" s="7">
        <f>IF($D771='[2]Beam '!S$44,$P771*'[2]Beam '!S$45,0)</f>
        <v>0</v>
      </c>
      <c r="T771" s="7">
        <f>IF($D771='[2]Beam '!T$44,$P771*'[2]Beam '!T$45,0)</f>
        <v>0</v>
      </c>
      <c r="U771" s="7">
        <f>IF($D771='[2]Beam '!U$44,$P771*'[2]Beam '!U$45,0)</f>
        <v>0</v>
      </c>
      <c r="V771" s="7">
        <f>IF($D771='[2]Beam '!V$44,$P771*'[2]Beam '!V$45,0)</f>
        <v>0</v>
      </c>
      <c r="W771" s="7">
        <f>IF($D771='[2]Beam '!W$44,$P771*'[2]Beam '!W$45,0)</f>
        <v>0</v>
      </c>
      <c r="X771" s="7">
        <f t="shared" si="140"/>
        <v>34.046571428571433</v>
      </c>
      <c r="Y771" s="7"/>
      <c r="Z771" s="7"/>
      <c r="AA771" s="7"/>
      <c r="AB771" s="7"/>
      <c r="AC771" s="7"/>
      <c r="AD771" s="7"/>
      <c r="AE771" s="7"/>
    </row>
    <row r="772" spans="1:32" s="9" customFormat="1" ht="21" customHeight="1" x14ac:dyDescent="0.25">
      <c r="A772" s="14"/>
      <c r="B772" s="10" t="s">
        <v>2</v>
      </c>
      <c r="C772" s="13" t="s">
        <v>47</v>
      </c>
      <c r="D772" s="7">
        <f>+D771</f>
        <v>10</v>
      </c>
      <c r="E772" s="14">
        <f>+E771</f>
        <v>0.1</v>
      </c>
      <c r="F772" s="7">
        <f>ROUNDUP(E766/E772,0)</f>
        <v>20</v>
      </c>
      <c r="H772" s="14"/>
      <c r="I772" s="14"/>
      <c r="J772" s="14"/>
      <c r="K772" s="14"/>
      <c r="L772" s="14"/>
      <c r="M772" s="14"/>
      <c r="N772" s="14"/>
      <c r="O772" s="7">
        <f>((((G766-(2*'[2]Beam '!$D$11))+(2*10*D772/1000))*D766))</f>
        <v>1.24</v>
      </c>
      <c r="P772" s="7">
        <f t="shared" si="139"/>
        <v>24.8</v>
      </c>
      <c r="Q772" s="7">
        <f>IF($D772='[2]Beam '!Q$44,$P772*'[2]Beam '!Q$45,0)</f>
        <v>0</v>
      </c>
      <c r="R772" s="7">
        <f>IF($D772='[2]Beam '!R$44,$P772*'[2]Beam '!R$45,0)</f>
        <v>15.296285714285714</v>
      </c>
      <c r="S772" s="7">
        <f>IF($D772='[2]Beam '!S$44,$P772*'[2]Beam '!S$45,0)</f>
        <v>0</v>
      </c>
      <c r="T772" s="7">
        <f>IF($D772='[2]Beam '!T$44,$P772*'[2]Beam '!T$45,0)</f>
        <v>0</v>
      </c>
      <c r="U772" s="7">
        <f>IF($D772='[2]Beam '!U$44,$P772*'[2]Beam '!U$45,0)</f>
        <v>0</v>
      </c>
      <c r="V772" s="7">
        <f>IF($D772='[2]Beam '!V$44,$P772*'[2]Beam '!V$45,0)</f>
        <v>0</v>
      </c>
      <c r="W772" s="7">
        <f>IF($D772='[2]Beam '!W$44,$P772*'[2]Beam '!W$45,0)</f>
        <v>0</v>
      </c>
      <c r="X772" s="7">
        <f t="shared" si="140"/>
        <v>15.296285714285714</v>
      </c>
      <c r="Y772" s="14"/>
      <c r="Z772" s="7"/>
      <c r="AA772" s="7"/>
      <c r="AB772" s="7"/>
      <c r="AC772" s="7"/>
      <c r="AD772" s="7"/>
      <c r="AE772" s="7"/>
      <c r="AF772" s="7"/>
    </row>
    <row r="773" spans="1:32" s="9" customFormat="1" ht="20.100000000000001" customHeight="1" x14ac:dyDescent="0.25">
      <c r="A773" s="6"/>
      <c r="B773" s="10" t="s">
        <v>2</v>
      </c>
      <c r="C773" s="13" t="s">
        <v>11</v>
      </c>
      <c r="D773" s="7">
        <f>+'[2]Beam '!$D$15</f>
        <v>25</v>
      </c>
      <c r="E773" s="7">
        <f>+'[2]Beam '!$E$15</f>
        <v>1</v>
      </c>
      <c r="F773" s="7">
        <f>ROUNDUP((0.6+0.6)/E773,0)</f>
        <v>2</v>
      </c>
      <c r="G773" s="8"/>
      <c r="H773" s="8"/>
      <c r="I773" s="7"/>
      <c r="J773" s="7"/>
      <c r="K773" s="7"/>
      <c r="L773" s="7"/>
      <c r="M773" s="7"/>
      <c r="N773" s="7"/>
      <c r="O773" s="7">
        <f>F766-'[2]Beam '!$F$15</f>
        <v>0.24</v>
      </c>
      <c r="P773" s="7">
        <f t="shared" si="139"/>
        <v>0.48</v>
      </c>
      <c r="Q773" s="7">
        <f>IF($D773='[2]Beam '!Q$44,$P773*'[2]Beam '!Q$45,0)</f>
        <v>0</v>
      </c>
      <c r="R773" s="7">
        <f>IF($D773='[2]Beam '!R$44,$P773*'[2]Beam '!R$45,0)</f>
        <v>0</v>
      </c>
      <c r="S773" s="7">
        <f>IF($D773='[2]Beam '!S$44,$P773*'[2]Beam '!S$45,0)</f>
        <v>0</v>
      </c>
      <c r="T773" s="7">
        <f>IF($D773='[2]Beam '!T$44,$P773*'[2]Beam '!T$45,0)</f>
        <v>0</v>
      </c>
      <c r="U773" s="7">
        <f>IF($D773='[2]Beam '!U$44,$P773*'[2]Beam '!U$45,0)</f>
        <v>0</v>
      </c>
      <c r="V773" s="7">
        <f>IF($D773='[2]Beam '!V$44,$P773*'[2]Beam '!V$45,0)</f>
        <v>1.850357142857143</v>
      </c>
      <c r="W773" s="7">
        <f>IF($D773='[2]Beam '!W$44,$P773*'[2]Beam '!W$45,0)</f>
        <v>0</v>
      </c>
      <c r="X773" s="7">
        <f t="shared" si="140"/>
        <v>1.850357142857143</v>
      </c>
      <c r="Y773" s="7"/>
      <c r="Z773" s="7"/>
      <c r="AA773" s="7"/>
      <c r="AB773" s="7"/>
      <c r="AC773" s="7"/>
      <c r="AD773" s="7"/>
      <c r="AE773" s="7"/>
    </row>
    <row r="774" spans="1:32" s="9" customFormat="1" ht="20.100000000000001" customHeight="1" x14ac:dyDescent="0.25">
      <c r="A774" s="7">
        <v>1</v>
      </c>
      <c r="B774" s="10" t="s">
        <v>2</v>
      </c>
      <c r="C774" s="11" t="s">
        <v>119</v>
      </c>
      <c r="D774" s="11">
        <v>1</v>
      </c>
      <c r="E774" s="11">
        <v>2.87</v>
      </c>
      <c r="F774" s="11">
        <v>0.5</v>
      </c>
      <c r="G774" s="11">
        <v>1.1000000000000001</v>
      </c>
      <c r="H774" s="7">
        <f>G774-0.2</f>
        <v>0.90000000000000013</v>
      </c>
      <c r="I774" s="7">
        <f>E774*F774*G774*D774</f>
        <v>1.5785000000000002</v>
      </c>
      <c r="J774" s="7">
        <f>(2*(E774)*H774*D774)+(E774*F774)</f>
        <v>6.6010000000000009</v>
      </c>
      <c r="K774" s="12">
        <f>IF(E774=0.3,J774,0)</f>
        <v>0</v>
      </c>
      <c r="L774" s="12">
        <f>IF(AND(E774&gt;0.3,E774&lt;=0.75),J774,0)</f>
        <v>0</v>
      </c>
      <c r="M774" s="12">
        <f>IF(AND(E774&gt;0.75,E774&lt;=1.2),J774,0)</f>
        <v>0</v>
      </c>
      <c r="N774" s="12">
        <f>IF(E774&gt;1.2,J774,0)</f>
        <v>6.6010000000000009</v>
      </c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>
        <f>SUM(X776:X779)/I774</f>
        <v>115.84103160776507</v>
      </c>
      <c r="Z774" s="7"/>
      <c r="AA774" s="7"/>
      <c r="AB774" s="7"/>
      <c r="AC774" s="7"/>
      <c r="AD774" s="7"/>
      <c r="AE774" s="7"/>
    </row>
    <row r="775" spans="1:32" s="9" customFormat="1" ht="20.100000000000001" customHeight="1" x14ac:dyDescent="0.25">
      <c r="A775" s="6"/>
      <c r="B775" s="10" t="s">
        <v>2</v>
      </c>
      <c r="C775" s="13" t="s">
        <v>4</v>
      </c>
      <c r="D775" s="7">
        <v>25</v>
      </c>
      <c r="E775" s="7"/>
      <c r="F775" s="7">
        <v>3</v>
      </c>
      <c r="G775" s="8">
        <f>VLOOKUP(D775,'[2]Beam '!$C$20:$H$26,3,0)</f>
        <v>1</v>
      </c>
      <c r="H775" s="8"/>
      <c r="I775" s="7"/>
      <c r="J775" s="7"/>
      <c r="K775" s="7"/>
      <c r="L775" s="7"/>
      <c r="M775" s="7"/>
      <c r="N775" s="7"/>
      <c r="O775" s="7">
        <f>(E774+2*(G775))*D774</f>
        <v>4.87</v>
      </c>
      <c r="P775" s="7">
        <f t="shared" ref="P775:P780" si="141">O775*F775</f>
        <v>14.61</v>
      </c>
      <c r="Q775" s="7">
        <f>IF($D775='[2]Beam '!Q$44,$P775*'[2]Beam '!Q$45,0)</f>
        <v>0</v>
      </c>
      <c r="R775" s="7">
        <f>IF($D775='[2]Beam '!R$44,$P775*'[2]Beam '!R$45,0)</f>
        <v>0</v>
      </c>
      <c r="S775" s="7">
        <f>IF($D775='[2]Beam '!S$44,$P775*'[2]Beam '!S$45,0)</f>
        <v>0</v>
      </c>
      <c r="T775" s="7">
        <f>IF($D775='[2]Beam '!T$44,$P775*'[2]Beam '!T$45,0)</f>
        <v>0</v>
      </c>
      <c r="U775" s="7">
        <f>IF($D775='[2]Beam '!U$44,$P775*'[2]Beam '!U$45,0)</f>
        <v>0</v>
      </c>
      <c r="V775" s="7">
        <f>IF($D775='[2]Beam '!V$44,$P775*'[2]Beam '!V$45,0)</f>
        <v>56.320245535714292</v>
      </c>
      <c r="W775" s="7">
        <f>IF($D775='[2]Beam '!W$44,$P775*'[2]Beam '!W$45,0)</f>
        <v>0</v>
      </c>
      <c r="X775" s="7">
        <f t="shared" ref="X775:X780" si="142">SUM(Q775:W775)</f>
        <v>56.320245535714292</v>
      </c>
      <c r="Y775" s="7"/>
      <c r="Z775" s="7"/>
      <c r="AA775" s="7"/>
      <c r="AB775" s="7"/>
      <c r="AC775" s="7"/>
      <c r="AD775" s="7"/>
      <c r="AE775" s="7"/>
    </row>
    <row r="776" spans="1:32" s="9" customFormat="1" ht="20.100000000000001" customHeight="1" x14ac:dyDescent="0.25">
      <c r="A776" s="6"/>
      <c r="B776" s="10" t="s">
        <v>2</v>
      </c>
      <c r="C776" s="13" t="s">
        <v>4</v>
      </c>
      <c r="D776" s="7">
        <v>20</v>
      </c>
      <c r="E776" s="7"/>
      <c r="F776" s="7">
        <v>2</v>
      </c>
      <c r="G776" s="8">
        <f>VLOOKUP(D776,'[2]Beam '!$C$20:$H$26,3,0)</f>
        <v>0.8</v>
      </c>
      <c r="H776" s="8"/>
      <c r="I776" s="7"/>
      <c r="J776" s="7"/>
      <c r="K776" s="7"/>
      <c r="L776" s="7"/>
      <c r="M776" s="7"/>
      <c r="N776" s="7"/>
      <c r="O776" s="7">
        <f>(E774+2*(G776))*D774</f>
        <v>4.4700000000000006</v>
      </c>
      <c r="P776" s="7">
        <f t="shared" si="141"/>
        <v>8.9400000000000013</v>
      </c>
      <c r="Q776" s="7">
        <f>IF($D776='[2]Beam '!Q$44,$P776*'[2]Beam '!Q$45,0)</f>
        <v>0</v>
      </c>
      <c r="R776" s="7">
        <f>IF($D776='[2]Beam '!R$44,$P776*'[2]Beam '!R$45,0)</f>
        <v>0</v>
      </c>
      <c r="S776" s="7">
        <f>IF($D776='[2]Beam '!S$44,$P776*'[2]Beam '!S$45,0)</f>
        <v>0</v>
      </c>
      <c r="T776" s="7">
        <f>IF($D776='[2]Beam '!T$44,$P776*'[2]Beam '!T$45,0)</f>
        <v>0</v>
      </c>
      <c r="U776" s="7">
        <f>IF($D776='[2]Beam '!U$44,$P776*'[2]Beam '!U$45,0)</f>
        <v>22.056257142857145</v>
      </c>
      <c r="V776" s="7">
        <f>IF($D776='[2]Beam '!V$44,$P776*'[2]Beam '!V$45,0)</f>
        <v>0</v>
      </c>
      <c r="W776" s="7">
        <f>IF($D776='[2]Beam '!W$44,$P776*'[2]Beam '!W$45,0)</f>
        <v>0</v>
      </c>
      <c r="X776" s="7">
        <f t="shared" si="142"/>
        <v>22.056257142857145</v>
      </c>
      <c r="Y776" s="7"/>
      <c r="Z776" s="7"/>
      <c r="AA776" s="7"/>
      <c r="AB776" s="7"/>
      <c r="AC776" s="7"/>
      <c r="AD776" s="7"/>
      <c r="AE776" s="7"/>
    </row>
    <row r="777" spans="1:32" s="9" customFormat="1" ht="20.100000000000001" customHeight="1" x14ac:dyDescent="0.25">
      <c r="A777" s="6"/>
      <c r="B777" s="10" t="s">
        <v>2</v>
      </c>
      <c r="C777" s="13" t="s">
        <v>6</v>
      </c>
      <c r="D777" s="7">
        <v>25</v>
      </c>
      <c r="E777" s="7"/>
      <c r="F777" s="7">
        <v>3</v>
      </c>
      <c r="G777" s="8">
        <f>VLOOKUP(D777,'[2]Beam '!$C$20:$H$26,3,0)</f>
        <v>1</v>
      </c>
      <c r="H777" s="7"/>
      <c r="I777" s="7"/>
      <c r="J777" s="7"/>
      <c r="K777" s="7"/>
      <c r="L777" s="7"/>
      <c r="M777" s="7"/>
      <c r="N777" s="7"/>
      <c r="O777" s="7">
        <f>(E774+2*(G777))*D774</f>
        <v>4.87</v>
      </c>
      <c r="P777" s="7">
        <f t="shared" si="141"/>
        <v>14.61</v>
      </c>
      <c r="Q777" s="7">
        <f>IF($D777='[2]Beam '!Q$44,$P777*'[2]Beam '!Q$45,0)</f>
        <v>0</v>
      </c>
      <c r="R777" s="7">
        <f>IF($D777='[2]Beam '!R$44,$P777*'[2]Beam '!R$45,0)</f>
        <v>0</v>
      </c>
      <c r="S777" s="7">
        <f>IF($D777='[2]Beam '!S$44,$P777*'[2]Beam '!S$45,0)</f>
        <v>0</v>
      </c>
      <c r="T777" s="7">
        <f>IF($D777='[2]Beam '!T$44,$P777*'[2]Beam '!T$45,0)</f>
        <v>0</v>
      </c>
      <c r="U777" s="7">
        <f>IF($D777='[2]Beam '!U$44,$P777*'[2]Beam '!U$45,0)</f>
        <v>0</v>
      </c>
      <c r="V777" s="7">
        <f>IF($D777='[2]Beam '!V$44,$P777*'[2]Beam '!V$45,0)</f>
        <v>56.320245535714292</v>
      </c>
      <c r="W777" s="7">
        <f>IF($D777='[2]Beam '!W$44,$P777*'[2]Beam '!W$45,0)</f>
        <v>0</v>
      </c>
      <c r="X777" s="7">
        <f t="shared" si="142"/>
        <v>56.320245535714292</v>
      </c>
      <c r="Y777" s="7"/>
      <c r="Z777" s="7"/>
      <c r="AA777" s="7"/>
      <c r="AB777" s="7"/>
      <c r="AC777" s="7"/>
      <c r="AD777" s="7"/>
      <c r="AE777" s="7"/>
    </row>
    <row r="778" spans="1:32" s="14" customFormat="1" ht="20.100000000000001" customHeight="1" x14ac:dyDescent="0.3">
      <c r="A778" s="6"/>
      <c r="B778" s="10" t="s">
        <v>2</v>
      </c>
      <c r="C778" s="13" t="s">
        <v>6</v>
      </c>
      <c r="D778" s="7">
        <v>20</v>
      </c>
      <c r="E778" s="7"/>
      <c r="F778" s="7">
        <v>2</v>
      </c>
      <c r="G778" s="8">
        <f>VLOOKUP(D778,'[2]Beam '!$C$20:$H$26,3,0)</f>
        <v>0.8</v>
      </c>
      <c r="H778" s="7"/>
      <c r="I778" s="7"/>
      <c r="J778" s="7"/>
      <c r="K778" s="7"/>
      <c r="L778" s="7"/>
      <c r="M778" s="7"/>
      <c r="N778" s="7"/>
      <c r="O778" s="7">
        <f>(E774+2*(G778))*D774</f>
        <v>4.4700000000000006</v>
      </c>
      <c r="P778" s="7">
        <f t="shared" si="141"/>
        <v>8.9400000000000013</v>
      </c>
      <c r="Q778" s="7">
        <f>IF($D778='[2]Beam '!Q$44,$P778*'[2]Beam '!Q$45,0)</f>
        <v>0</v>
      </c>
      <c r="R778" s="7">
        <f>IF($D778='[2]Beam '!R$44,$P778*'[2]Beam '!R$45,0)</f>
        <v>0</v>
      </c>
      <c r="S778" s="7">
        <f>IF($D778='[2]Beam '!S$44,$P778*'[2]Beam '!S$45,0)</f>
        <v>0</v>
      </c>
      <c r="T778" s="7">
        <f>IF($D778='[2]Beam '!T$44,$P778*'[2]Beam '!T$45,0)</f>
        <v>0</v>
      </c>
      <c r="U778" s="7">
        <f>IF($D778='[2]Beam '!U$44,$P778*'[2]Beam '!U$45,0)</f>
        <v>22.056257142857145</v>
      </c>
      <c r="V778" s="7">
        <f>IF($D778='[2]Beam '!V$44,$P778*'[2]Beam '!V$45,0)</f>
        <v>0</v>
      </c>
      <c r="W778" s="7">
        <f>IF($D778='[2]Beam '!W$44,$P778*'[2]Beam '!W$45,0)</f>
        <v>0</v>
      </c>
      <c r="X778" s="7">
        <f t="shared" si="142"/>
        <v>22.056257142857145</v>
      </c>
      <c r="Y778" s="7"/>
    </row>
    <row r="779" spans="1:32" s="9" customFormat="1" ht="21" customHeight="1" x14ac:dyDescent="0.25">
      <c r="A779" s="6"/>
      <c r="B779" s="10" t="s">
        <v>2</v>
      </c>
      <c r="C779" s="13" t="s">
        <v>17</v>
      </c>
      <c r="D779" s="7">
        <v>12</v>
      </c>
      <c r="E779" s="7">
        <v>0.1</v>
      </c>
      <c r="F779" s="7">
        <f>ROUNDUP(E774/E779,0)</f>
        <v>29</v>
      </c>
      <c r="H779" s="7"/>
      <c r="I779" s="7"/>
      <c r="J779" s="7"/>
      <c r="K779" s="7"/>
      <c r="L779" s="7"/>
      <c r="M779" s="7"/>
      <c r="N779" s="7"/>
      <c r="O779" s="7">
        <f>(2*((G774-(2*'[2]Beam '!$D$11))+(F774-(2*'[2]Beam '!$D$11)))+(2*10*D779/1000))*D774</f>
        <v>3.2</v>
      </c>
      <c r="P779" s="7">
        <f t="shared" si="141"/>
        <v>92.800000000000011</v>
      </c>
      <c r="Q779" s="7">
        <f>IF($D779='[2]Beam '!Q$44,$P779*'[2]Beam '!Q$45,0)</f>
        <v>0</v>
      </c>
      <c r="R779" s="7">
        <f>IF($D779='[2]Beam '!R$44,$P779*'[2]Beam '!R$45,0)</f>
        <v>0</v>
      </c>
      <c r="S779" s="7">
        <f>IF($D779='[2]Beam '!S$44,$P779*'[2]Beam '!S$45,0)</f>
        <v>82.422308571428601</v>
      </c>
      <c r="T779" s="7">
        <f>IF($D779='[2]Beam '!T$44,$P779*'[2]Beam '!T$45,0)</f>
        <v>0</v>
      </c>
      <c r="U779" s="7">
        <f>IF($D779='[2]Beam '!U$44,$P779*'[2]Beam '!U$45,0)</f>
        <v>0</v>
      </c>
      <c r="V779" s="7">
        <f>IF($D779='[2]Beam '!V$44,$P779*'[2]Beam '!V$45,0)</f>
        <v>0</v>
      </c>
      <c r="W779" s="7">
        <f>IF($D779='[2]Beam '!W$44,$P779*'[2]Beam '!W$45,0)</f>
        <v>0</v>
      </c>
      <c r="X779" s="7">
        <f t="shared" si="142"/>
        <v>82.422308571428601</v>
      </c>
      <c r="Y779" s="7"/>
      <c r="Z779" s="7"/>
      <c r="AA779" s="7"/>
      <c r="AB779" s="7"/>
      <c r="AC779" s="7"/>
      <c r="AD779" s="7"/>
      <c r="AE779" s="7"/>
      <c r="AF779" s="7"/>
    </row>
    <row r="780" spans="1:32" s="9" customFormat="1" ht="20.100000000000001" customHeight="1" x14ac:dyDescent="0.25">
      <c r="A780" s="14"/>
      <c r="B780" s="10" t="s">
        <v>2</v>
      </c>
      <c r="C780" s="13" t="s">
        <v>18</v>
      </c>
      <c r="D780" s="14">
        <f>D779</f>
        <v>12</v>
      </c>
      <c r="E780" s="14">
        <f>+E779</f>
        <v>0.1</v>
      </c>
      <c r="F780" s="7">
        <f>ROUNDUP(E774/E780,0)</f>
        <v>29</v>
      </c>
      <c r="H780" s="14"/>
      <c r="I780" s="14"/>
      <c r="J780" s="14"/>
      <c r="K780" s="14"/>
      <c r="L780" s="14"/>
      <c r="M780" s="14"/>
      <c r="N780" s="14"/>
      <c r="O780" s="7">
        <f>(2*(((F774-'[2]Beam '!$D$11*2)/(F775-1))+(G774-'[2]Beam '!$D$11*2))+(2*10*D780/1000))*D774</f>
        <v>2.76</v>
      </c>
      <c r="P780" s="7">
        <f t="shared" si="141"/>
        <v>80.039999999999992</v>
      </c>
      <c r="Q780" s="7">
        <f>IF($D780='[2]Beam '!Q$44,$P780*'[2]Beam '!Q$45,0)</f>
        <v>0</v>
      </c>
      <c r="R780" s="7">
        <f>IF($D780='[2]Beam '!R$44,$P780*'[2]Beam '!R$45,0)</f>
        <v>0</v>
      </c>
      <c r="S780" s="7">
        <f>IF($D780='[2]Beam '!S$44,$P780*'[2]Beam '!S$45,0)</f>
        <v>71.089241142857148</v>
      </c>
      <c r="T780" s="7">
        <f>IF($D780='[2]Beam '!T$44,$P780*'[2]Beam '!T$45,0)</f>
        <v>0</v>
      </c>
      <c r="U780" s="7">
        <f>IF($D780='[2]Beam '!U$44,$P780*'[2]Beam '!U$45,0)</f>
        <v>0</v>
      </c>
      <c r="V780" s="7">
        <f>IF($D780='[2]Beam '!V$44,$P780*'[2]Beam '!V$45,0)</f>
        <v>0</v>
      </c>
      <c r="W780" s="7">
        <f>IF($D780='[2]Beam '!W$44,$P780*'[2]Beam '!W$45,0)</f>
        <v>0</v>
      </c>
      <c r="X780" s="7">
        <f t="shared" si="142"/>
        <v>71.089241142857148</v>
      </c>
      <c r="Y780" s="14"/>
      <c r="Z780" s="7"/>
      <c r="AA780" s="7"/>
      <c r="AB780" s="7"/>
      <c r="AC780" s="7"/>
      <c r="AD780" s="7"/>
      <c r="AE780" s="7"/>
    </row>
    <row r="781" spans="1:32" s="9" customFormat="1" ht="20.100000000000001" customHeight="1" x14ac:dyDescent="0.25">
      <c r="A781" s="7">
        <v>1</v>
      </c>
      <c r="B781" s="10" t="s">
        <v>2</v>
      </c>
      <c r="C781" s="11" t="s">
        <v>120</v>
      </c>
      <c r="D781" s="11">
        <v>1</v>
      </c>
      <c r="E781" s="11">
        <v>1.4</v>
      </c>
      <c r="F781" s="11">
        <v>0.2</v>
      </c>
      <c r="G781" s="11">
        <v>0.8</v>
      </c>
      <c r="H781" s="7">
        <f>G781-0.2</f>
        <v>0.60000000000000009</v>
      </c>
      <c r="I781" s="7">
        <f>E781*F781*G781*D781</f>
        <v>0.22399999999999998</v>
      </c>
      <c r="J781" s="7">
        <f>(2*(E781)*H781*D781)+(E781*F781)</f>
        <v>1.9600000000000002</v>
      </c>
      <c r="K781" s="12">
        <f>IF(E781=0.3,J781,0)</f>
        <v>0</v>
      </c>
      <c r="L781" s="12">
        <f>IF(AND(E781&gt;0.3,E781&lt;=0.75),J781,0)</f>
        <v>0</v>
      </c>
      <c r="M781" s="12">
        <f>IF(AND(E781&gt;0.75,E781&lt;=1.2),J781,0)</f>
        <v>0</v>
      </c>
      <c r="N781" s="12">
        <f>IF(E781&gt;1.2,J781,0)</f>
        <v>1.9600000000000002</v>
      </c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>
        <f>SUM(X782:X787)/I781</f>
        <v>401.78688042091846</v>
      </c>
      <c r="Z781" s="7"/>
      <c r="AA781" s="7"/>
      <c r="AB781" s="7"/>
      <c r="AC781" s="7"/>
      <c r="AD781" s="7"/>
      <c r="AE781" s="7"/>
    </row>
    <row r="782" spans="1:32" s="9" customFormat="1" ht="20.100000000000001" customHeight="1" x14ac:dyDescent="0.25">
      <c r="A782" s="6"/>
      <c r="B782" s="10" t="s">
        <v>2</v>
      </c>
      <c r="C782" s="13" t="s">
        <v>4</v>
      </c>
      <c r="D782" s="7">
        <v>25</v>
      </c>
      <c r="E782" s="7"/>
      <c r="F782" s="7">
        <v>2</v>
      </c>
      <c r="G782" s="8">
        <f>VLOOKUP(D782,'[2]Beam '!$C$20:$H$26,3,0)</f>
        <v>1</v>
      </c>
      <c r="H782" s="8"/>
      <c r="I782" s="7"/>
      <c r="J782" s="7"/>
      <c r="K782" s="7"/>
      <c r="L782" s="7"/>
      <c r="M782" s="7"/>
      <c r="N782" s="7"/>
      <c r="O782" s="7">
        <f>(E781+2*(G782+(12*D782/1000)))*D781</f>
        <v>4</v>
      </c>
      <c r="P782" s="7">
        <f t="shared" ref="P782:P787" si="143">O782*F782</f>
        <v>8</v>
      </c>
      <c r="Q782" s="7">
        <f>IF($D782='[2]Beam '!Q$44,$P782*'[2]Beam '!Q$45,0)</f>
        <v>0</v>
      </c>
      <c r="R782" s="7">
        <f>IF($D782='[2]Beam '!R$44,$P782*'[2]Beam '!R$45,0)</f>
        <v>0</v>
      </c>
      <c r="S782" s="7">
        <f>IF($D782='[2]Beam '!S$44,$P782*'[2]Beam '!S$45,0)</f>
        <v>0</v>
      </c>
      <c r="T782" s="7">
        <f>IF($D782='[2]Beam '!T$44,$P782*'[2]Beam '!T$45,0)</f>
        <v>0</v>
      </c>
      <c r="U782" s="7">
        <f>IF($D782='[2]Beam '!U$44,$P782*'[2]Beam '!U$45,0)</f>
        <v>0</v>
      </c>
      <c r="V782" s="7">
        <f>IF($D782='[2]Beam '!V$44,$P782*'[2]Beam '!V$45,0)</f>
        <v>30.839285714285719</v>
      </c>
      <c r="W782" s="7">
        <f>IF($D782='[2]Beam '!W$44,$P782*'[2]Beam '!W$45,0)</f>
        <v>0</v>
      </c>
      <c r="X782" s="7">
        <f t="shared" ref="X782:X787" si="144">SUM(Q782:W782)</f>
        <v>30.839285714285719</v>
      </c>
      <c r="Y782" s="7"/>
      <c r="Z782" s="7"/>
      <c r="AA782" s="7"/>
      <c r="AB782" s="7"/>
      <c r="AC782" s="7"/>
      <c r="AD782" s="7"/>
      <c r="AE782" s="7"/>
    </row>
    <row r="783" spans="1:32" s="9" customFormat="1" ht="20.100000000000001" customHeight="1" x14ac:dyDescent="0.25">
      <c r="A783" s="6"/>
      <c r="B783" s="10" t="s">
        <v>2</v>
      </c>
      <c r="C783" s="13" t="s">
        <v>5</v>
      </c>
      <c r="D783" s="7">
        <v>20</v>
      </c>
      <c r="E783" s="7"/>
      <c r="F783" s="7">
        <v>2</v>
      </c>
      <c r="G783" s="8">
        <f>VLOOKUP(D783,'[2]Beam '!$C$20:$H$26,3,0)</f>
        <v>0.8</v>
      </c>
      <c r="H783" s="8"/>
      <c r="I783" s="7"/>
      <c r="J783" s="7"/>
      <c r="K783" s="7"/>
      <c r="L783" s="7"/>
      <c r="M783" s="7"/>
      <c r="N783" s="7"/>
      <c r="O783" s="7">
        <f>(+E781-0.45+1*(G783+(12*D783/1000)))*D781</f>
        <v>1.99</v>
      </c>
      <c r="P783" s="7">
        <f t="shared" si="143"/>
        <v>3.98</v>
      </c>
      <c r="Q783" s="7">
        <f>IF($D783='[2]Beam '!Q$44,$P783*'[2]Beam '!Q$45,0)</f>
        <v>0</v>
      </c>
      <c r="R783" s="7">
        <f>IF($D783='[2]Beam '!R$44,$P783*'[2]Beam '!R$45,0)</f>
        <v>0</v>
      </c>
      <c r="S783" s="7">
        <f>IF($D783='[2]Beam '!S$44,$P783*'[2]Beam '!S$45,0)</f>
        <v>0</v>
      </c>
      <c r="T783" s="7">
        <f>IF($D783='[2]Beam '!T$44,$P783*'[2]Beam '!T$45,0)</f>
        <v>0</v>
      </c>
      <c r="U783" s="7">
        <f>IF($D783='[2]Beam '!U$44,$P783*'[2]Beam '!U$45,0)</f>
        <v>9.819228571428571</v>
      </c>
      <c r="V783" s="7">
        <f>IF($D783='[2]Beam '!V$44,$P783*'[2]Beam '!V$45,0)</f>
        <v>0</v>
      </c>
      <c r="W783" s="7">
        <f>IF($D783='[2]Beam '!W$44,$P783*'[2]Beam '!W$45,0)</f>
        <v>0</v>
      </c>
      <c r="X783" s="7">
        <f t="shared" si="144"/>
        <v>9.819228571428571</v>
      </c>
      <c r="Y783" s="7"/>
      <c r="Z783" s="7"/>
      <c r="AA783" s="7"/>
      <c r="AB783" s="7"/>
      <c r="AC783" s="7"/>
      <c r="AD783" s="7"/>
      <c r="AE783" s="7"/>
    </row>
    <row r="784" spans="1:32" s="9" customFormat="1" ht="20.100000000000001" customHeight="1" x14ac:dyDescent="0.25">
      <c r="A784" s="6"/>
      <c r="B784" s="10" t="s">
        <v>2</v>
      </c>
      <c r="C784" s="13" t="s">
        <v>6</v>
      </c>
      <c r="D784" s="7">
        <v>25</v>
      </c>
      <c r="E784" s="7"/>
      <c r="F784" s="7">
        <v>2</v>
      </c>
      <c r="G784" s="8">
        <f>VLOOKUP(D784,'[2]Beam '!$C$20:$H$26,3,0)</f>
        <v>1</v>
      </c>
      <c r="H784" s="7"/>
      <c r="I784" s="7"/>
      <c r="J784" s="7"/>
      <c r="K784" s="7"/>
      <c r="L784" s="7"/>
      <c r="M784" s="7"/>
      <c r="N784" s="7"/>
      <c r="O784" s="7">
        <f>(E781+2*(G784+(12*D784/1000)))*D781</f>
        <v>4</v>
      </c>
      <c r="P784" s="7">
        <f t="shared" si="143"/>
        <v>8</v>
      </c>
      <c r="Q784" s="7">
        <f>IF($D784='[2]Beam '!Q$44,$P784*'[2]Beam '!Q$45,0)</f>
        <v>0</v>
      </c>
      <c r="R784" s="7">
        <f>IF($D784='[2]Beam '!R$44,$P784*'[2]Beam '!R$45,0)</f>
        <v>0</v>
      </c>
      <c r="S784" s="7">
        <f>IF($D784='[2]Beam '!S$44,$P784*'[2]Beam '!S$45,0)</f>
        <v>0</v>
      </c>
      <c r="T784" s="7">
        <f>IF($D784='[2]Beam '!T$44,$P784*'[2]Beam '!T$45,0)</f>
        <v>0</v>
      </c>
      <c r="U784" s="7">
        <f>IF($D784='[2]Beam '!U$44,$P784*'[2]Beam '!U$45,0)</f>
        <v>0</v>
      </c>
      <c r="V784" s="7">
        <f>IF($D784='[2]Beam '!V$44,$P784*'[2]Beam '!V$45,0)</f>
        <v>30.839285714285719</v>
      </c>
      <c r="W784" s="7">
        <f>IF($D784='[2]Beam '!W$44,$P784*'[2]Beam '!W$45,0)</f>
        <v>0</v>
      </c>
      <c r="X784" s="7">
        <f t="shared" si="144"/>
        <v>30.839285714285719</v>
      </c>
      <c r="Y784" s="7"/>
      <c r="Z784" s="7"/>
      <c r="AA784" s="7"/>
      <c r="AB784" s="7"/>
      <c r="AC784" s="7"/>
      <c r="AD784" s="7"/>
      <c r="AE784" s="7"/>
    </row>
    <row r="785" spans="1:32" s="9" customFormat="1" ht="20.100000000000001" customHeight="1" x14ac:dyDescent="0.25">
      <c r="A785" s="6"/>
      <c r="B785" s="10" t="s">
        <v>2</v>
      </c>
      <c r="C785" s="13" t="s">
        <v>13</v>
      </c>
      <c r="D785" s="7">
        <v>20</v>
      </c>
      <c r="E785" s="7"/>
      <c r="F785" s="7">
        <v>2</v>
      </c>
      <c r="G785" s="8">
        <f>VLOOKUP(D785,'[2]Beam '!$C$20:$H$26,3,0)</f>
        <v>0.8</v>
      </c>
      <c r="H785" s="7"/>
      <c r="I785" s="7"/>
      <c r="J785" s="7"/>
      <c r="K785" s="7"/>
      <c r="L785" s="7"/>
      <c r="M785" s="7"/>
      <c r="N785" s="7"/>
      <c r="O785" s="7">
        <f>(0.45+1*(G785+(12*D785/1000)))*D781</f>
        <v>1.49</v>
      </c>
      <c r="P785" s="7">
        <f t="shared" si="143"/>
        <v>2.98</v>
      </c>
      <c r="Q785" s="7">
        <f>IF($D785='[2]Beam '!Q$44,$P785*'[2]Beam '!Q$45,0)</f>
        <v>0</v>
      </c>
      <c r="R785" s="7">
        <f>IF($D785='[2]Beam '!R$44,$P785*'[2]Beam '!R$45,0)</f>
        <v>0</v>
      </c>
      <c r="S785" s="7">
        <f>IF($D785='[2]Beam '!S$44,$P785*'[2]Beam '!S$45,0)</f>
        <v>0</v>
      </c>
      <c r="T785" s="7">
        <f>IF($D785='[2]Beam '!T$44,$P785*'[2]Beam '!T$45,0)</f>
        <v>0</v>
      </c>
      <c r="U785" s="7">
        <f>IF($D785='[2]Beam '!U$44,$P785*'[2]Beam '!U$45,0)</f>
        <v>7.3520857142857139</v>
      </c>
      <c r="V785" s="7">
        <f>IF($D785='[2]Beam '!V$44,$P785*'[2]Beam '!V$45,0)</f>
        <v>0</v>
      </c>
      <c r="W785" s="7">
        <f>IF($D785='[2]Beam '!W$44,$P785*'[2]Beam '!W$45,0)</f>
        <v>0</v>
      </c>
      <c r="X785" s="7">
        <f t="shared" si="144"/>
        <v>7.3520857142857139</v>
      </c>
      <c r="Y785" s="7"/>
      <c r="Z785" s="7"/>
      <c r="AA785" s="7"/>
      <c r="AB785" s="7"/>
      <c r="AC785" s="7"/>
      <c r="AD785" s="7"/>
      <c r="AE785" s="7"/>
    </row>
    <row r="786" spans="1:32" s="9" customFormat="1" ht="21" customHeight="1" x14ac:dyDescent="0.25">
      <c r="A786" s="6"/>
      <c r="B786" s="10" t="s">
        <v>2</v>
      </c>
      <c r="C786" s="13" t="s">
        <v>26</v>
      </c>
      <c r="D786" s="7">
        <v>8</v>
      </c>
      <c r="E786" s="7">
        <v>0.1</v>
      </c>
      <c r="F786" s="7">
        <f>ROUNDUP(E781/E786,0)</f>
        <v>14</v>
      </c>
      <c r="H786" s="7"/>
      <c r="I786" s="7"/>
      <c r="J786" s="7"/>
      <c r="K786" s="7"/>
      <c r="L786" s="7"/>
      <c r="M786" s="7"/>
      <c r="N786" s="7"/>
      <c r="O786" s="7">
        <f>(2*((G781-(2*'[2]Beam '!$D$11))+(F781-(2*'[2]Beam '!$D$11)))+(2*10*D786/1000))*D781</f>
        <v>1.92</v>
      </c>
      <c r="P786" s="7">
        <f t="shared" si="143"/>
        <v>26.88</v>
      </c>
      <c r="Q786" s="7">
        <f>IF($D786='[2]Beam '!Q$44,$P786*'[2]Beam '!Q$45,0)</f>
        <v>10.610688</v>
      </c>
      <c r="R786" s="7">
        <f>IF($D786='[2]Beam '!R$44,$P786*'[2]Beam '!R$45,0)</f>
        <v>0</v>
      </c>
      <c r="S786" s="7">
        <f>IF($D786='[2]Beam '!S$44,$P786*'[2]Beam '!S$45,0)</f>
        <v>0</v>
      </c>
      <c r="T786" s="7">
        <f>IF($D786='[2]Beam '!T$44,$P786*'[2]Beam '!T$45,0)</f>
        <v>0</v>
      </c>
      <c r="U786" s="7">
        <f>IF($D786='[2]Beam '!U$44,$P786*'[2]Beam '!U$45,0)</f>
        <v>0</v>
      </c>
      <c r="V786" s="7">
        <f>IF($D786='[2]Beam '!V$44,$P786*'[2]Beam '!V$45,0)</f>
        <v>0</v>
      </c>
      <c r="W786" s="7">
        <f>IF($D786='[2]Beam '!W$44,$P786*'[2]Beam '!W$45,0)</f>
        <v>0</v>
      </c>
      <c r="X786" s="7">
        <f t="shared" si="144"/>
        <v>10.610688</v>
      </c>
      <c r="Y786" s="7"/>
      <c r="Z786" s="7"/>
      <c r="AA786" s="7"/>
      <c r="AB786" s="7"/>
      <c r="AC786" s="7"/>
      <c r="AD786" s="7"/>
      <c r="AE786" s="7"/>
      <c r="AF786" s="7"/>
    </row>
    <row r="787" spans="1:32" s="9" customFormat="1" ht="20.100000000000001" customHeight="1" x14ac:dyDescent="0.25">
      <c r="A787" s="6"/>
      <c r="B787" s="10" t="s">
        <v>2</v>
      </c>
      <c r="C787" s="13" t="s">
        <v>11</v>
      </c>
      <c r="D787" s="7">
        <f>+'[2]Beam '!$D$15</f>
        <v>25</v>
      </c>
      <c r="E787" s="7">
        <f>+'[2]Beam '!$E$15</f>
        <v>1</v>
      </c>
      <c r="F787" s="7">
        <f>ROUNDUP((0.45+0.45)/E787,0)</f>
        <v>1</v>
      </c>
      <c r="G787" s="8"/>
      <c r="H787" s="8"/>
      <c r="I787" s="7"/>
      <c r="J787" s="7"/>
      <c r="K787" s="7"/>
      <c r="L787" s="7"/>
      <c r="M787" s="7"/>
      <c r="N787" s="7"/>
      <c r="O787" s="7">
        <f>F781-'[2]Beam '!$F$15</f>
        <v>0.14000000000000001</v>
      </c>
      <c r="P787" s="7">
        <f t="shared" si="143"/>
        <v>0.14000000000000001</v>
      </c>
      <c r="Q787" s="7">
        <f>IF($D787='[2]Beam '!Q$44,$P787*'[2]Beam '!Q$45,0)</f>
        <v>0</v>
      </c>
      <c r="R787" s="7">
        <f>IF($D787='[2]Beam '!R$44,$P787*'[2]Beam '!R$45,0)</f>
        <v>0</v>
      </c>
      <c r="S787" s="7">
        <f>IF($D787='[2]Beam '!S$44,$P787*'[2]Beam '!S$45,0)</f>
        <v>0</v>
      </c>
      <c r="T787" s="7">
        <f>IF($D787='[2]Beam '!T$44,$P787*'[2]Beam '!T$45,0)</f>
        <v>0</v>
      </c>
      <c r="U787" s="7">
        <f>IF($D787='[2]Beam '!U$44,$P787*'[2]Beam '!U$45,0)</f>
        <v>0</v>
      </c>
      <c r="V787" s="7">
        <f>IF($D787='[2]Beam '!V$44,$P787*'[2]Beam '!V$45,0)</f>
        <v>0.5396875000000001</v>
      </c>
      <c r="W787" s="7">
        <f>IF($D787='[2]Beam '!W$44,$P787*'[2]Beam '!W$45,0)</f>
        <v>0</v>
      </c>
      <c r="X787" s="7">
        <f t="shared" si="144"/>
        <v>0.5396875000000001</v>
      </c>
      <c r="Y787" s="7"/>
      <c r="Z787" s="7"/>
      <c r="AA787" s="7"/>
      <c r="AB787" s="7"/>
      <c r="AC787" s="7"/>
      <c r="AD787" s="7"/>
      <c r="AE787" s="7"/>
    </row>
    <row r="788" spans="1:32" s="9" customFormat="1" ht="20.100000000000001" customHeight="1" x14ac:dyDescent="0.25">
      <c r="A788" s="7">
        <v>1</v>
      </c>
      <c r="B788" s="10" t="s">
        <v>2</v>
      </c>
      <c r="C788" s="11" t="s">
        <v>121</v>
      </c>
      <c r="D788" s="11">
        <v>1</v>
      </c>
      <c r="E788" s="11">
        <v>1.4</v>
      </c>
      <c r="F788" s="11">
        <v>0.3</v>
      </c>
      <c r="G788" s="11">
        <v>0.8</v>
      </c>
      <c r="H788" s="7">
        <f>G788-0.2</f>
        <v>0.60000000000000009</v>
      </c>
      <c r="I788" s="7">
        <f>E788*F788*G788*D788</f>
        <v>0.33600000000000002</v>
      </c>
      <c r="J788" s="7">
        <f>(2*(E788)*H788*D788)+(E788*F788)</f>
        <v>2.1</v>
      </c>
      <c r="K788" s="12">
        <f>IF(E788=0.3,J788,0)</f>
        <v>0</v>
      </c>
      <c r="L788" s="12">
        <f>IF(AND(E788&gt;0.3,E788&lt;=0.75),J788,0)</f>
        <v>0</v>
      </c>
      <c r="M788" s="12">
        <f>IF(AND(E788&gt;0.75,E788&lt;=1.2),J788,0)</f>
        <v>0</v>
      </c>
      <c r="N788" s="12">
        <f>IF(E788&gt;1.2,J788,0)</f>
        <v>2.1</v>
      </c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>
        <f>SUM(X789:X795)/I788</f>
        <v>278.95529039115644</v>
      </c>
      <c r="Z788" s="7"/>
      <c r="AA788" s="7"/>
      <c r="AB788" s="7"/>
      <c r="AC788" s="7"/>
      <c r="AD788" s="7"/>
      <c r="AE788" s="7"/>
    </row>
    <row r="789" spans="1:32" s="9" customFormat="1" ht="20.100000000000001" customHeight="1" x14ac:dyDescent="0.25">
      <c r="A789" s="6"/>
      <c r="B789" s="10" t="s">
        <v>2</v>
      </c>
      <c r="C789" s="13" t="s">
        <v>4</v>
      </c>
      <c r="D789" s="7">
        <v>20</v>
      </c>
      <c r="E789" s="7"/>
      <c r="F789" s="7">
        <v>3</v>
      </c>
      <c r="G789" s="8">
        <f>VLOOKUP(D789,'[2]Beam '!$C$20:$H$26,3,0)</f>
        <v>0.8</v>
      </c>
      <c r="H789" s="8"/>
      <c r="I789" s="7"/>
      <c r="J789" s="7"/>
      <c r="K789" s="7"/>
      <c r="L789" s="7"/>
      <c r="M789" s="7"/>
      <c r="N789" s="7"/>
      <c r="O789" s="7">
        <f>(E788+2*(G789+(12*D789/1000)))*D788</f>
        <v>3.48</v>
      </c>
      <c r="P789" s="7">
        <f t="shared" ref="P789:P795" si="145">O789*F789</f>
        <v>10.44</v>
      </c>
      <c r="Q789" s="7">
        <f>IF($D789='[2]Beam '!Q$44,$P789*'[2]Beam '!Q$45,0)</f>
        <v>0</v>
      </c>
      <c r="R789" s="7">
        <f>IF($D789='[2]Beam '!R$44,$P789*'[2]Beam '!R$45,0)</f>
        <v>0</v>
      </c>
      <c r="S789" s="7">
        <f>IF($D789='[2]Beam '!S$44,$P789*'[2]Beam '!S$45,0)</f>
        <v>0</v>
      </c>
      <c r="T789" s="7">
        <f>IF($D789='[2]Beam '!T$44,$P789*'[2]Beam '!T$45,0)</f>
        <v>0</v>
      </c>
      <c r="U789" s="7">
        <f>IF($D789='[2]Beam '!U$44,$P789*'[2]Beam '!U$45,0)</f>
        <v>25.756971428571426</v>
      </c>
      <c r="V789" s="7">
        <f>IF($D789='[2]Beam '!V$44,$P789*'[2]Beam '!V$45,0)</f>
        <v>0</v>
      </c>
      <c r="W789" s="7">
        <f>IF($D789='[2]Beam '!W$44,$P789*'[2]Beam '!W$45,0)</f>
        <v>0</v>
      </c>
      <c r="X789" s="7">
        <f t="shared" ref="X789:X795" si="146">SUM(Q789:W789)</f>
        <v>25.756971428571426</v>
      </c>
      <c r="Y789" s="7"/>
      <c r="Z789" s="7"/>
      <c r="AA789" s="7"/>
      <c r="AB789" s="7"/>
      <c r="AC789" s="7"/>
      <c r="AD789" s="7"/>
      <c r="AE789" s="7"/>
    </row>
    <row r="790" spans="1:32" s="9" customFormat="1" ht="20.100000000000001" customHeight="1" x14ac:dyDescent="0.25">
      <c r="A790" s="6"/>
      <c r="B790" s="10" t="s">
        <v>2</v>
      </c>
      <c r="C790" s="13" t="s">
        <v>5</v>
      </c>
      <c r="D790" s="7">
        <v>25</v>
      </c>
      <c r="E790" s="7"/>
      <c r="F790" s="7">
        <v>2</v>
      </c>
      <c r="G790" s="8">
        <f>VLOOKUP(D790,'[2]Beam '!$C$20:$H$26,3,0)</f>
        <v>1</v>
      </c>
      <c r="H790" s="8"/>
      <c r="I790" s="7"/>
      <c r="J790" s="7"/>
      <c r="K790" s="7"/>
      <c r="L790" s="7"/>
      <c r="M790" s="7"/>
      <c r="N790" s="7"/>
      <c r="O790" s="7">
        <f>(0.45+1*(G790+(12*D790/1000)))*D788</f>
        <v>1.75</v>
      </c>
      <c r="P790" s="7">
        <f t="shared" si="145"/>
        <v>3.5</v>
      </c>
      <c r="Q790" s="7">
        <f>IF($D790='[2]Beam '!Q$44,$P790*'[2]Beam '!Q$45,0)</f>
        <v>0</v>
      </c>
      <c r="R790" s="7">
        <f>IF($D790='[2]Beam '!R$44,$P790*'[2]Beam '!R$45,0)</f>
        <v>0</v>
      </c>
      <c r="S790" s="7">
        <f>IF($D790='[2]Beam '!S$44,$P790*'[2]Beam '!S$45,0)</f>
        <v>0</v>
      </c>
      <c r="T790" s="7">
        <f>IF($D790='[2]Beam '!T$44,$P790*'[2]Beam '!T$45,0)</f>
        <v>0</v>
      </c>
      <c r="U790" s="7">
        <f>IF($D790='[2]Beam '!U$44,$P790*'[2]Beam '!U$45,0)</f>
        <v>0</v>
      </c>
      <c r="V790" s="7">
        <f>IF($D790='[2]Beam '!V$44,$P790*'[2]Beam '!V$45,0)</f>
        <v>13.492187500000002</v>
      </c>
      <c r="W790" s="7">
        <f>IF($D790='[2]Beam '!W$44,$P790*'[2]Beam '!W$45,0)</f>
        <v>0</v>
      </c>
      <c r="X790" s="7">
        <f t="shared" si="146"/>
        <v>13.492187500000002</v>
      </c>
      <c r="Y790" s="7"/>
      <c r="Z790" s="7"/>
      <c r="AA790" s="7"/>
      <c r="AB790" s="7"/>
      <c r="AC790" s="7"/>
      <c r="AD790" s="7"/>
      <c r="AE790" s="7"/>
    </row>
    <row r="791" spans="1:32" s="9" customFormat="1" ht="20.100000000000001" customHeight="1" x14ac:dyDescent="0.25">
      <c r="A791" s="6"/>
      <c r="B791" s="10" t="s">
        <v>2</v>
      </c>
      <c r="C791" s="13" t="s">
        <v>6</v>
      </c>
      <c r="D791" s="7">
        <v>20</v>
      </c>
      <c r="E791" s="7"/>
      <c r="F791" s="7">
        <v>3</v>
      </c>
      <c r="G791" s="8">
        <f>VLOOKUP(D791,'[2]Beam '!$C$20:$H$26,3,0)</f>
        <v>0.8</v>
      </c>
      <c r="H791" s="7"/>
      <c r="I791" s="7"/>
      <c r="J791" s="7"/>
      <c r="K791" s="7"/>
      <c r="L791" s="7"/>
      <c r="M791" s="7"/>
      <c r="N791" s="7"/>
      <c r="O791" s="7">
        <f>(E788+2*(G791+(12*D791/1000)))*D788</f>
        <v>3.48</v>
      </c>
      <c r="P791" s="7">
        <f t="shared" si="145"/>
        <v>10.44</v>
      </c>
      <c r="Q791" s="7">
        <f>IF($D791='[2]Beam '!Q$44,$P791*'[2]Beam '!Q$45,0)</f>
        <v>0</v>
      </c>
      <c r="R791" s="7">
        <f>IF($D791='[2]Beam '!R$44,$P791*'[2]Beam '!R$45,0)</f>
        <v>0</v>
      </c>
      <c r="S791" s="7">
        <f>IF($D791='[2]Beam '!S$44,$P791*'[2]Beam '!S$45,0)</f>
        <v>0</v>
      </c>
      <c r="T791" s="7">
        <f>IF($D791='[2]Beam '!T$44,$P791*'[2]Beam '!T$45,0)</f>
        <v>0</v>
      </c>
      <c r="U791" s="7">
        <f>IF($D791='[2]Beam '!U$44,$P791*'[2]Beam '!U$45,0)</f>
        <v>25.756971428571426</v>
      </c>
      <c r="V791" s="7">
        <f>IF($D791='[2]Beam '!V$44,$P791*'[2]Beam '!V$45,0)</f>
        <v>0</v>
      </c>
      <c r="W791" s="7">
        <f>IF($D791='[2]Beam '!W$44,$P791*'[2]Beam '!W$45,0)</f>
        <v>0</v>
      </c>
      <c r="X791" s="7">
        <f t="shared" si="146"/>
        <v>25.756971428571426</v>
      </c>
      <c r="Y791" s="7"/>
      <c r="Z791" s="7"/>
      <c r="AA791" s="7"/>
      <c r="AB791" s="7"/>
      <c r="AC791" s="7"/>
      <c r="AD791" s="7"/>
      <c r="AE791" s="7"/>
    </row>
    <row r="792" spans="1:32" s="14" customFormat="1" ht="20.100000000000001" customHeight="1" x14ac:dyDescent="0.3">
      <c r="A792" s="6"/>
      <c r="B792" s="10" t="s">
        <v>2</v>
      </c>
      <c r="C792" s="13" t="s">
        <v>13</v>
      </c>
      <c r="D792" s="7">
        <v>25</v>
      </c>
      <c r="E792" s="7"/>
      <c r="F792" s="7">
        <v>2</v>
      </c>
      <c r="G792" s="8">
        <f>VLOOKUP(D792,'[2]Beam '!$C$20:$H$26,3,0)</f>
        <v>1</v>
      </c>
      <c r="H792" s="7"/>
      <c r="I792" s="7"/>
      <c r="J792" s="7"/>
      <c r="K792" s="7"/>
      <c r="L792" s="7"/>
      <c r="M792" s="7"/>
      <c r="N792" s="7"/>
      <c r="O792" s="7">
        <f>(0.45+1*(G792+(12*D792/1000)))*D788</f>
        <v>1.75</v>
      </c>
      <c r="P792" s="7">
        <f t="shared" si="145"/>
        <v>3.5</v>
      </c>
      <c r="Q792" s="7">
        <f>IF($D792='[2]Beam '!Q$44,$P792*'[2]Beam '!Q$45,0)</f>
        <v>0</v>
      </c>
      <c r="R792" s="7">
        <f>IF($D792='[2]Beam '!R$44,$P792*'[2]Beam '!R$45,0)</f>
        <v>0</v>
      </c>
      <c r="S792" s="7">
        <f>IF($D792='[2]Beam '!S$44,$P792*'[2]Beam '!S$45,0)</f>
        <v>0</v>
      </c>
      <c r="T792" s="7">
        <f>IF($D792='[2]Beam '!T$44,$P792*'[2]Beam '!T$45,0)</f>
        <v>0</v>
      </c>
      <c r="U792" s="7">
        <f>IF($D792='[2]Beam '!U$44,$P792*'[2]Beam '!U$45,0)</f>
        <v>0</v>
      </c>
      <c r="V792" s="7">
        <f>IF($D792='[2]Beam '!V$44,$P792*'[2]Beam '!V$45,0)</f>
        <v>13.492187500000002</v>
      </c>
      <c r="W792" s="7">
        <f>IF($D792='[2]Beam '!W$44,$P792*'[2]Beam '!W$45,0)</f>
        <v>0</v>
      </c>
      <c r="X792" s="7">
        <f t="shared" si="146"/>
        <v>13.492187500000002</v>
      </c>
      <c r="Y792" s="7"/>
    </row>
    <row r="793" spans="1:32" s="9" customFormat="1" ht="20.100000000000001" customHeight="1" x14ac:dyDescent="0.25">
      <c r="A793" s="6"/>
      <c r="B793" s="10" t="s">
        <v>2</v>
      </c>
      <c r="C793" s="13" t="s">
        <v>26</v>
      </c>
      <c r="D793" s="7">
        <v>8</v>
      </c>
      <c r="E793" s="7">
        <v>0.125</v>
      </c>
      <c r="F793" s="7">
        <f>ROUNDUP(E788/E793,0)</f>
        <v>12</v>
      </c>
      <c r="H793" s="7"/>
      <c r="I793" s="7"/>
      <c r="J793" s="7"/>
      <c r="K793" s="7"/>
      <c r="L793" s="7"/>
      <c r="M793" s="7"/>
      <c r="N793" s="7"/>
      <c r="O793" s="7">
        <f>(2*((G788-(2*'[2]Beam '!$D$11))+(F788-(2*'[2]Beam '!$D$11)))+(2*10*D793/1000))*D788</f>
        <v>2.12</v>
      </c>
      <c r="P793" s="7">
        <f t="shared" si="145"/>
        <v>25.44</v>
      </c>
      <c r="Q793" s="7">
        <f>IF($D793='[2]Beam '!Q$44,$P793*'[2]Beam '!Q$45,0)</f>
        <v>10.042258285714286</v>
      </c>
      <c r="R793" s="7">
        <f>IF($D793='[2]Beam '!R$44,$P793*'[2]Beam '!R$45,0)</f>
        <v>0</v>
      </c>
      <c r="S793" s="7">
        <f>IF($D793='[2]Beam '!S$44,$P793*'[2]Beam '!S$45,0)</f>
        <v>0</v>
      </c>
      <c r="T793" s="7">
        <f>IF($D793='[2]Beam '!T$44,$P793*'[2]Beam '!T$45,0)</f>
        <v>0</v>
      </c>
      <c r="U793" s="7">
        <f>IF($D793='[2]Beam '!U$44,$P793*'[2]Beam '!U$45,0)</f>
        <v>0</v>
      </c>
      <c r="V793" s="7">
        <f>IF($D793='[2]Beam '!V$44,$P793*'[2]Beam '!V$45,0)</f>
        <v>0</v>
      </c>
      <c r="W793" s="7">
        <f>IF($D793='[2]Beam '!W$44,$P793*'[2]Beam '!W$45,0)</f>
        <v>0</v>
      </c>
      <c r="X793" s="7">
        <f t="shared" si="146"/>
        <v>10.042258285714286</v>
      </c>
      <c r="Y793" s="7"/>
      <c r="Z793" s="7"/>
      <c r="AA793" s="7"/>
      <c r="AB793" s="7"/>
      <c r="AC793" s="7"/>
      <c r="AD793" s="7"/>
      <c r="AE793" s="7"/>
    </row>
    <row r="794" spans="1:32" s="9" customFormat="1" ht="21" customHeight="1" x14ac:dyDescent="0.25">
      <c r="A794" s="14"/>
      <c r="B794" s="10" t="s">
        <v>2</v>
      </c>
      <c r="C794" s="13" t="s">
        <v>47</v>
      </c>
      <c r="D794" s="7">
        <f>+D793</f>
        <v>8</v>
      </c>
      <c r="E794" s="14">
        <f>+E793</f>
        <v>0.125</v>
      </c>
      <c r="F794" s="7">
        <f>ROUNDUP(E788/E794,0)</f>
        <v>12</v>
      </c>
      <c r="H794" s="14"/>
      <c r="I794" s="14"/>
      <c r="J794" s="14"/>
      <c r="K794" s="14"/>
      <c r="L794" s="14"/>
      <c r="M794" s="14"/>
      <c r="N794" s="14"/>
      <c r="O794" s="7">
        <f>((((G788-(2*'[2]Beam '!$D$11))+(2*10*D794/1000))*D788))</f>
        <v>0.9</v>
      </c>
      <c r="P794" s="7">
        <f t="shared" si="145"/>
        <v>10.8</v>
      </c>
      <c r="Q794" s="7">
        <f>IF($D794='[2]Beam '!Q$44,$P794*'[2]Beam '!Q$45,0)</f>
        <v>4.2632228571428579</v>
      </c>
      <c r="R794" s="7">
        <f>IF($D794='[2]Beam '!R$44,$P794*'[2]Beam '!R$45,0)</f>
        <v>0</v>
      </c>
      <c r="S794" s="7">
        <f>IF($D794='[2]Beam '!S$44,$P794*'[2]Beam '!S$45,0)</f>
        <v>0</v>
      </c>
      <c r="T794" s="7">
        <f>IF($D794='[2]Beam '!T$44,$P794*'[2]Beam '!T$45,0)</f>
        <v>0</v>
      </c>
      <c r="U794" s="7">
        <f>IF($D794='[2]Beam '!U$44,$P794*'[2]Beam '!U$45,0)</f>
        <v>0</v>
      </c>
      <c r="V794" s="7">
        <f>IF($D794='[2]Beam '!V$44,$P794*'[2]Beam '!V$45,0)</f>
        <v>0</v>
      </c>
      <c r="W794" s="7">
        <f>IF($D794='[2]Beam '!W$44,$P794*'[2]Beam '!W$45,0)</f>
        <v>0</v>
      </c>
      <c r="X794" s="7">
        <f t="shared" si="146"/>
        <v>4.2632228571428579</v>
      </c>
      <c r="Y794" s="14"/>
      <c r="Z794" s="7"/>
      <c r="AA794" s="7"/>
      <c r="AB794" s="7"/>
      <c r="AC794" s="7"/>
      <c r="AD794" s="7"/>
      <c r="AE794" s="7"/>
      <c r="AF794" s="7"/>
    </row>
    <row r="795" spans="1:32" s="9" customFormat="1" ht="20.100000000000001" customHeight="1" x14ac:dyDescent="0.25">
      <c r="A795" s="6"/>
      <c r="B795" s="10" t="s">
        <v>2</v>
      </c>
      <c r="C795" s="13" t="s">
        <v>11</v>
      </c>
      <c r="D795" s="7">
        <f>+'[2]Beam '!$D$15</f>
        <v>25</v>
      </c>
      <c r="E795" s="7">
        <f>+'[2]Beam '!$E$15</f>
        <v>1</v>
      </c>
      <c r="F795" s="7">
        <f>ROUNDUP((0.45+0.45)/E795,0)</f>
        <v>1</v>
      </c>
      <c r="G795" s="8"/>
      <c r="H795" s="8"/>
      <c r="I795" s="7"/>
      <c r="J795" s="7"/>
      <c r="K795" s="7"/>
      <c r="L795" s="7"/>
      <c r="M795" s="7"/>
      <c r="N795" s="7"/>
      <c r="O795" s="7">
        <f>F788-'[2]Beam '!$F$15</f>
        <v>0.24</v>
      </c>
      <c r="P795" s="7">
        <f t="shared" si="145"/>
        <v>0.24</v>
      </c>
      <c r="Q795" s="7">
        <f>IF($D795='[2]Beam '!Q$44,$P795*'[2]Beam '!Q$45,0)</f>
        <v>0</v>
      </c>
      <c r="R795" s="7">
        <f>IF($D795='[2]Beam '!R$44,$P795*'[2]Beam '!R$45,0)</f>
        <v>0</v>
      </c>
      <c r="S795" s="7">
        <f>IF($D795='[2]Beam '!S$44,$P795*'[2]Beam '!S$45,0)</f>
        <v>0</v>
      </c>
      <c r="T795" s="7">
        <f>IF($D795='[2]Beam '!T$44,$P795*'[2]Beam '!T$45,0)</f>
        <v>0</v>
      </c>
      <c r="U795" s="7">
        <f>IF($D795='[2]Beam '!U$44,$P795*'[2]Beam '!U$45,0)</f>
        <v>0</v>
      </c>
      <c r="V795" s="7">
        <f>IF($D795='[2]Beam '!V$44,$P795*'[2]Beam '!V$45,0)</f>
        <v>0.92517857142857152</v>
      </c>
      <c r="W795" s="7">
        <f>IF($D795='[2]Beam '!W$44,$P795*'[2]Beam '!W$45,0)</f>
        <v>0</v>
      </c>
      <c r="X795" s="7">
        <f t="shared" si="146"/>
        <v>0.92517857142857152</v>
      </c>
      <c r="Y795" s="7"/>
      <c r="Z795" s="7"/>
      <c r="AA795" s="7"/>
      <c r="AB795" s="7"/>
      <c r="AC795" s="7"/>
      <c r="AD795" s="7"/>
      <c r="AE795" s="7"/>
    </row>
    <row r="796" spans="1:32" s="9" customFormat="1" ht="20.100000000000001" customHeight="1" x14ac:dyDescent="0.25">
      <c r="A796" s="7">
        <v>1</v>
      </c>
      <c r="B796" s="10" t="s">
        <v>2</v>
      </c>
      <c r="C796" s="11" t="s">
        <v>122</v>
      </c>
      <c r="D796" s="11">
        <v>1</v>
      </c>
      <c r="E796" s="11">
        <v>2.4</v>
      </c>
      <c r="F796" s="11">
        <v>0.4</v>
      </c>
      <c r="G796" s="11">
        <v>0.6</v>
      </c>
      <c r="H796" s="7">
        <f>G796-0.2</f>
        <v>0.39999999999999997</v>
      </c>
      <c r="I796" s="7">
        <f>E796*F796*G796*D796</f>
        <v>0.57599999999999996</v>
      </c>
      <c r="J796" s="7">
        <f>(2*(E796)*H796*D796)+(E796*F796)</f>
        <v>2.88</v>
      </c>
      <c r="K796" s="12">
        <f>IF(E796=0.3,J796,0)</f>
        <v>0</v>
      </c>
      <c r="L796" s="12">
        <f>IF(AND(E796&gt;0.3,E796&lt;=0.75),J796,0)</f>
        <v>0</v>
      </c>
      <c r="M796" s="12">
        <f>IF(AND(E796&gt;0.75,E796&lt;=1.2),J796,0)</f>
        <v>0</v>
      </c>
      <c r="N796" s="12">
        <f>IF(E796&gt;1.2,J796,0)</f>
        <v>2.88</v>
      </c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>
        <f>SUM(X797:X801)/I796</f>
        <v>81.852004513888915</v>
      </c>
      <c r="Z796" s="7"/>
      <c r="AA796" s="7"/>
      <c r="AB796" s="7"/>
      <c r="AC796" s="7"/>
      <c r="AD796" s="7"/>
      <c r="AE796" s="7"/>
    </row>
    <row r="797" spans="1:32" s="9" customFormat="1" ht="20.100000000000001" customHeight="1" x14ac:dyDescent="0.25">
      <c r="A797" s="6"/>
      <c r="B797" s="10" t="s">
        <v>2</v>
      </c>
      <c r="C797" s="13" t="s">
        <v>4</v>
      </c>
      <c r="D797" s="7">
        <v>12</v>
      </c>
      <c r="E797" s="7"/>
      <c r="F797" s="7">
        <v>4</v>
      </c>
      <c r="G797" s="8">
        <f>VLOOKUP(D797,'[2]Beam '!$C$20:$H$26,3,0)</f>
        <v>0.47499999999999998</v>
      </c>
      <c r="H797" s="8"/>
      <c r="I797" s="7"/>
      <c r="J797" s="7"/>
      <c r="K797" s="7"/>
      <c r="L797" s="7"/>
      <c r="M797" s="7"/>
      <c r="N797" s="7"/>
      <c r="O797" s="7">
        <f>(E796+2*(G797+(12*D797/1000)))*D796</f>
        <v>3.6379999999999999</v>
      </c>
      <c r="P797" s="7">
        <f>O797*F797</f>
        <v>14.552</v>
      </c>
      <c r="Q797" s="7">
        <f>IF($D797='[2]Beam '!Q$44,$P797*'[2]Beam '!Q$45,0)</f>
        <v>0</v>
      </c>
      <c r="R797" s="7">
        <f>IF($D797='[2]Beam '!R$44,$P797*'[2]Beam '!R$45,0)</f>
        <v>0</v>
      </c>
      <c r="S797" s="7">
        <f>IF($D797='[2]Beam '!S$44,$P797*'[2]Beam '!S$45,0)</f>
        <v>12.92467062857143</v>
      </c>
      <c r="T797" s="7">
        <f>IF($D797='[2]Beam '!T$44,$P797*'[2]Beam '!T$45,0)</f>
        <v>0</v>
      </c>
      <c r="U797" s="7">
        <f>IF($D797='[2]Beam '!U$44,$P797*'[2]Beam '!U$45,0)</f>
        <v>0</v>
      </c>
      <c r="V797" s="7">
        <f>IF($D797='[2]Beam '!V$44,$P797*'[2]Beam '!V$45,0)</f>
        <v>0</v>
      </c>
      <c r="W797" s="7">
        <f>IF($D797='[2]Beam '!W$44,$P797*'[2]Beam '!W$45,0)</f>
        <v>0</v>
      </c>
      <c r="X797" s="7">
        <f>SUM(Q797:W797)</f>
        <v>12.92467062857143</v>
      </c>
      <c r="Y797" s="7"/>
      <c r="Z797" s="7"/>
      <c r="AA797" s="7"/>
      <c r="AB797" s="7"/>
      <c r="AC797" s="7"/>
      <c r="AD797" s="7"/>
      <c r="AE797" s="7"/>
    </row>
    <row r="798" spans="1:32" s="9" customFormat="1" ht="20.100000000000001" customHeight="1" x14ac:dyDescent="0.25">
      <c r="A798" s="6"/>
      <c r="B798" s="10" t="s">
        <v>2</v>
      </c>
      <c r="C798" s="13" t="s">
        <v>5</v>
      </c>
      <c r="D798" s="7">
        <v>16</v>
      </c>
      <c r="E798" s="7"/>
      <c r="F798" s="7">
        <v>4</v>
      </c>
      <c r="G798" s="8">
        <f>VLOOKUP(D798,'[2]Beam '!$C$20:$H$26,3,0)</f>
        <v>0.625</v>
      </c>
      <c r="H798" s="8"/>
      <c r="I798" s="7"/>
      <c r="J798" s="7"/>
      <c r="K798" s="7"/>
      <c r="L798" s="7"/>
      <c r="M798" s="7"/>
      <c r="N798" s="7"/>
      <c r="O798" s="7">
        <f>(0.7+1*(G798+(12*D798/1000)))*D796</f>
        <v>1.5169999999999999</v>
      </c>
      <c r="P798" s="7">
        <f>O798*F798</f>
        <v>6.0679999999999996</v>
      </c>
      <c r="Q798" s="7">
        <f>IF($D798='[2]Beam '!Q$44,$P798*'[2]Beam '!Q$45,0)</f>
        <v>0</v>
      </c>
      <c r="R798" s="7">
        <f>IF($D798='[2]Beam '!R$44,$P798*'[2]Beam '!R$45,0)</f>
        <v>0</v>
      </c>
      <c r="S798" s="7">
        <f>IF($D798='[2]Beam '!S$44,$P798*'[2]Beam '!S$45,0)</f>
        <v>0</v>
      </c>
      <c r="T798" s="7">
        <f>IF($D798='[2]Beam '!T$44,$P798*'[2]Beam '!T$45,0)</f>
        <v>9.5811986285714283</v>
      </c>
      <c r="U798" s="7">
        <f>IF($D798='[2]Beam '!U$44,$P798*'[2]Beam '!U$45,0)</f>
        <v>0</v>
      </c>
      <c r="V798" s="7">
        <f>IF($D798='[2]Beam '!V$44,$P798*'[2]Beam '!V$45,0)</f>
        <v>0</v>
      </c>
      <c r="W798" s="7">
        <f>IF($D798='[2]Beam '!W$44,$P798*'[2]Beam '!W$45,0)</f>
        <v>0</v>
      </c>
      <c r="X798" s="7">
        <f>SUM(Q798:W798)</f>
        <v>9.5811986285714283</v>
      </c>
      <c r="Y798" s="7"/>
      <c r="Z798" s="7"/>
      <c r="AA798" s="7"/>
      <c r="AB798" s="7"/>
      <c r="AC798" s="7"/>
      <c r="AD798" s="7"/>
      <c r="AE798" s="7"/>
    </row>
    <row r="799" spans="1:32" s="9" customFormat="1" ht="20.100000000000001" customHeight="1" x14ac:dyDescent="0.25">
      <c r="A799" s="6"/>
      <c r="B799" s="10" t="s">
        <v>2</v>
      </c>
      <c r="C799" s="13" t="s">
        <v>6</v>
      </c>
      <c r="D799" s="7">
        <v>12</v>
      </c>
      <c r="E799" s="7"/>
      <c r="F799" s="7">
        <v>4</v>
      </c>
      <c r="G799" s="8">
        <f>VLOOKUP(D799,'[2]Beam '!$C$20:$H$26,3,0)</f>
        <v>0.47499999999999998</v>
      </c>
      <c r="H799" s="7"/>
      <c r="I799" s="7"/>
      <c r="J799" s="7"/>
      <c r="K799" s="7"/>
      <c r="L799" s="7"/>
      <c r="M799" s="7"/>
      <c r="N799" s="7"/>
      <c r="O799" s="7">
        <f>(E796+2*(G799+(12*D799/1000)))*D796</f>
        <v>3.6379999999999999</v>
      </c>
      <c r="P799" s="7">
        <f>O799*F799</f>
        <v>14.552</v>
      </c>
      <c r="Q799" s="7">
        <f>IF($D799='[2]Beam '!Q$44,$P799*'[2]Beam '!Q$45,0)</f>
        <v>0</v>
      </c>
      <c r="R799" s="7">
        <f>IF($D799='[2]Beam '!R$44,$P799*'[2]Beam '!R$45,0)</f>
        <v>0</v>
      </c>
      <c r="S799" s="7">
        <f>IF($D799='[2]Beam '!S$44,$P799*'[2]Beam '!S$45,0)</f>
        <v>12.92467062857143</v>
      </c>
      <c r="T799" s="7">
        <f>IF($D799='[2]Beam '!T$44,$P799*'[2]Beam '!T$45,0)</f>
        <v>0</v>
      </c>
      <c r="U799" s="7">
        <f>IF($D799='[2]Beam '!U$44,$P799*'[2]Beam '!U$45,0)</f>
        <v>0</v>
      </c>
      <c r="V799" s="7">
        <f>IF($D799='[2]Beam '!V$44,$P799*'[2]Beam '!V$45,0)</f>
        <v>0</v>
      </c>
      <c r="W799" s="7">
        <f>IF($D799='[2]Beam '!W$44,$P799*'[2]Beam '!W$45,0)</f>
        <v>0</v>
      </c>
      <c r="X799" s="7">
        <f>SUM(Q799:W799)</f>
        <v>12.92467062857143</v>
      </c>
      <c r="Y799" s="7"/>
      <c r="Z799" s="7"/>
      <c r="AA799" s="7"/>
      <c r="AB799" s="7"/>
      <c r="AC799" s="7"/>
      <c r="AD799" s="7"/>
      <c r="AE799" s="7"/>
    </row>
    <row r="800" spans="1:32" s="9" customFormat="1" ht="21" customHeight="1" x14ac:dyDescent="0.25">
      <c r="A800" s="6"/>
      <c r="B800" s="10" t="s">
        <v>2</v>
      </c>
      <c r="C800" s="13" t="s">
        <v>26</v>
      </c>
      <c r="D800" s="7">
        <v>8</v>
      </c>
      <c r="E800" s="7">
        <v>0.2</v>
      </c>
      <c r="F800" s="7">
        <f>ROUNDUP(E796/E800,0)</f>
        <v>12</v>
      </c>
      <c r="H800" s="7"/>
      <c r="I800" s="7"/>
      <c r="J800" s="7"/>
      <c r="K800" s="7"/>
      <c r="L800" s="7"/>
      <c r="M800" s="7"/>
      <c r="N800" s="7"/>
      <c r="O800" s="7">
        <f>(2*((G796-(2*'[2]Beam '!$D$11))+(F796-(2*'[2]Beam '!$D$11)))+(2*10*D800/1000))*D796</f>
        <v>1.9200000000000002</v>
      </c>
      <c r="P800" s="7">
        <f>O800*F800</f>
        <v>23.040000000000003</v>
      </c>
      <c r="Q800" s="7">
        <f>IF($D800='[2]Beam '!Q$44,$P800*'[2]Beam '!Q$45,0)</f>
        <v>9.0948754285714308</v>
      </c>
      <c r="R800" s="7">
        <f>IF($D800='[2]Beam '!R$44,$P800*'[2]Beam '!R$45,0)</f>
        <v>0</v>
      </c>
      <c r="S800" s="7">
        <f>IF($D800='[2]Beam '!S$44,$P800*'[2]Beam '!S$45,0)</f>
        <v>0</v>
      </c>
      <c r="T800" s="7">
        <f>IF($D800='[2]Beam '!T$44,$P800*'[2]Beam '!T$45,0)</f>
        <v>0</v>
      </c>
      <c r="U800" s="7">
        <f>IF($D800='[2]Beam '!U$44,$P800*'[2]Beam '!U$45,0)</f>
        <v>0</v>
      </c>
      <c r="V800" s="7">
        <f>IF($D800='[2]Beam '!V$44,$P800*'[2]Beam '!V$45,0)</f>
        <v>0</v>
      </c>
      <c r="W800" s="7">
        <f>IF($D800='[2]Beam '!W$44,$P800*'[2]Beam '!W$45,0)</f>
        <v>0</v>
      </c>
      <c r="X800" s="7">
        <f>SUM(Q800:W800)</f>
        <v>9.0948754285714308</v>
      </c>
      <c r="Y800" s="7"/>
      <c r="Z800" s="7"/>
      <c r="AA800" s="7"/>
      <c r="AB800" s="7"/>
      <c r="AC800" s="7"/>
      <c r="AD800" s="7"/>
      <c r="AE800" s="7"/>
      <c r="AF800" s="7"/>
    </row>
    <row r="801" spans="1:32" s="9" customFormat="1" ht="20.100000000000001" customHeight="1" x14ac:dyDescent="0.25">
      <c r="A801" s="6"/>
      <c r="B801" s="10" t="s">
        <v>2</v>
      </c>
      <c r="C801" s="13" t="s">
        <v>11</v>
      </c>
      <c r="D801" s="7">
        <f>+'[2]Beam '!$D$15</f>
        <v>25</v>
      </c>
      <c r="E801" s="7">
        <f>+'[2]Beam '!$E$15</f>
        <v>1</v>
      </c>
      <c r="F801" s="7">
        <f>ROUNDUP((0.7+0.7)/E801,0)</f>
        <v>2</v>
      </c>
      <c r="G801" s="8"/>
      <c r="H801" s="8"/>
      <c r="I801" s="7"/>
      <c r="J801" s="7"/>
      <c r="K801" s="7"/>
      <c r="L801" s="7"/>
      <c r="M801" s="7"/>
      <c r="N801" s="7"/>
      <c r="O801" s="7">
        <f>F796-'[2]Beam '!$F$15</f>
        <v>0.34</v>
      </c>
      <c r="P801" s="7">
        <f>O801*F801</f>
        <v>0.68</v>
      </c>
      <c r="Q801" s="7">
        <f>IF($D801='[2]Beam '!Q$44,$P801*'[2]Beam '!Q$45,0)</f>
        <v>0</v>
      </c>
      <c r="R801" s="7">
        <f>IF($D801='[2]Beam '!R$44,$P801*'[2]Beam '!R$45,0)</f>
        <v>0</v>
      </c>
      <c r="S801" s="7">
        <f>IF($D801='[2]Beam '!S$44,$P801*'[2]Beam '!S$45,0)</f>
        <v>0</v>
      </c>
      <c r="T801" s="7">
        <f>IF($D801='[2]Beam '!T$44,$P801*'[2]Beam '!T$45,0)</f>
        <v>0</v>
      </c>
      <c r="U801" s="7">
        <f>IF($D801='[2]Beam '!U$44,$P801*'[2]Beam '!U$45,0)</f>
        <v>0</v>
      </c>
      <c r="V801" s="7">
        <f>IF($D801='[2]Beam '!V$44,$P801*'[2]Beam '!V$45,0)</f>
        <v>2.6213392857142863</v>
      </c>
      <c r="W801" s="7">
        <f>IF($D801='[2]Beam '!W$44,$P801*'[2]Beam '!W$45,0)</f>
        <v>0</v>
      </c>
      <c r="X801" s="7">
        <f>SUM(Q801:W801)</f>
        <v>2.6213392857142863</v>
      </c>
      <c r="Y801" s="7"/>
      <c r="Z801" s="7"/>
      <c r="AA801" s="7"/>
      <c r="AB801" s="7"/>
      <c r="AC801" s="7"/>
      <c r="AD801" s="7"/>
      <c r="AE801" s="7"/>
    </row>
    <row r="802" spans="1:32" s="9" customFormat="1" ht="20.100000000000001" customHeight="1" x14ac:dyDescent="0.25">
      <c r="A802" s="7">
        <v>1</v>
      </c>
      <c r="B802" s="10" t="s">
        <v>2</v>
      </c>
      <c r="C802" s="11" t="s">
        <v>123</v>
      </c>
      <c r="D802" s="11">
        <v>1</v>
      </c>
      <c r="E802" s="11">
        <v>1.4</v>
      </c>
      <c r="F802" s="11">
        <v>0.4</v>
      </c>
      <c r="G802" s="11">
        <v>1.1000000000000001</v>
      </c>
      <c r="H802" s="7">
        <f>G802-0.2</f>
        <v>0.90000000000000013</v>
      </c>
      <c r="I802" s="7">
        <f>E802*F802*G802*D802</f>
        <v>0.61599999999999999</v>
      </c>
      <c r="J802" s="7">
        <f>(2*(E802)*H802*D802)+(E802*F802)</f>
        <v>3.08</v>
      </c>
      <c r="K802" s="12">
        <f>IF(E802=0.3,J802,0)</f>
        <v>0</v>
      </c>
      <c r="L802" s="12">
        <f>IF(AND(E802&gt;0.3,E802&lt;=0.75),J802,0)</f>
        <v>0</v>
      </c>
      <c r="M802" s="12">
        <f>IF(AND(E802&gt;0.75,E802&lt;=1.2),J802,0)</f>
        <v>0</v>
      </c>
      <c r="N802" s="12">
        <f>IF(E802&gt;1.2,J802,0)</f>
        <v>3.08</v>
      </c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>
        <f>SUM(X803:X810)/I802</f>
        <v>282.94043367346944</v>
      </c>
      <c r="Z802" s="7"/>
      <c r="AA802" s="7"/>
      <c r="AB802" s="7"/>
      <c r="AC802" s="7"/>
      <c r="AD802" s="7"/>
      <c r="AE802" s="7"/>
    </row>
    <row r="803" spans="1:32" s="9" customFormat="1" ht="20.100000000000001" customHeight="1" x14ac:dyDescent="0.25">
      <c r="A803" s="6"/>
      <c r="B803" s="10" t="s">
        <v>2</v>
      </c>
      <c r="C803" s="13" t="s">
        <v>4</v>
      </c>
      <c r="D803" s="7">
        <v>25</v>
      </c>
      <c r="E803" s="7"/>
      <c r="F803" s="7">
        <v>2</v>
      </c>
      <c r="G803" s="8">
        <f>VLOOKUP(D803,'[2]Beam '!$C$20:$H$26,3,0)</f>
        <v>1</v>
      </c>
      <c r="H803" s="8"/>
      <c r="I803" s="7"/>
      <c r="J803" s="7"/>
      <c r="K803" s="7"/>
      <c r="L803" s="7"/>
      <c r="M803" s="7"/>
      <c r="N803" s="7"/>
      <c r="O803" s="7">
        <f>(E802+1*(G803+(12*D803/1000)))+1*(G803)*D802</f>
        <v>3.7</v>
      </c>
      <c r="P803" s="7">
        <f t="shared" ref="P803:P810" si="147">O803*F803</f>
        <v>7.4</v>
      </c>
      <c r="Q803" s="7">
        <f>IF($D803='[2]Beam '!Q$44,$P803*'[2]Beam '!Q$45,0)</f>
        <v>0</v>
      </c>
      <c r="R803" s="7">
        <f>IF($D803='[2]Beam '!R$44,$P803*'[2]Beam '!R$45,0)</f>
        <v>0</v>
      </c>
      <c r="S803" s="7">
        <f>IF($D803='[2]Beam '!S$44,$P803*'[2]Beam '!S$45,0)</f>
        <v>0</v>
      </c>
      <c r="T803" s="7">
        <f>IF($D803='[2]Beam '!T$44,$P803*'[2]Beam '!T$45,0)</f>
        <v>0</v>
      </c>
      <c r="U803" s="7">
        <f>IF($D803='[2]Beam '!U$44,$P803*'[2]Beam '!U$45,0)</f>
        <v>0</v>
      </c>
      <c r="V803" s="7">
        <f>IF($D803='[2]Beam '!V$44,$P803*'[2]Beam '!V$45,0)</f>
        <v>28.52633928571429</v>
      </c>
      <c r="W803" s="7">
        <f>IF($D803='[2]Beam '!W$44,$P803*'[2]Beam '!W$45,0)</f>
        <v>0</v>
      </c>
      <c r="X803" s="7">
        <f t="shared" ref="X803:X810" si="148">SUM(Q803:W803)</f>
        <v>28.52633928571429</v>
      </c>
      <c r="Y803" s="7"/>
      <c r="Z803" s="7"/>
      <c r="AA803" s="7"/>
      <c r="AB803" s="7"/>
      <c r="AC803" s="7"/>
      <c r="AD803" s="7"/>
      <c r="AE803" s="7"/>
    </row>
    <row r="804" spans="1:32" s="9" customFormat="1" ht="20.100000000000001" customHeight="1" x14ac:dyDescent="0.25">
      <c r="A804" s="6"/>
      <c r="B804" s="10" t="s">
        <v>2</v>
      </c>
      <c r="C804" s="13" t="s">
        <v>4</v>
      </c>
      <c r="D804" s="7">
        <v>20</v>
      </c>
      <c r="E804" s="7"/>
      <c r="F804" s="7">
        <v>2</v>
      </c>
      <c r="G804" s="8">
        <f>VLOOKUP(D804,'[2]Beam '!$C$20:$H$26,3,0)</f>
        <v>0.8</v>
      </c>
      <c r="H804" s="8"/>
      <c r="I804" s="7"/>
      <c r="J804" s="7"/>
      <c r="K804" s="7"/>
      <c r="L804" s="7"/>
      <c r="M804" s="7"/>
      <c r="N804" s="7"/>
      <c r="O804" s="7">
        <f>(E802+1*(G804+(12*D804/1000)))+1*(G804)*D802</f>
        <v>3.24</v>
      </c>
      <c r="P804" s="7">
        <f t="shared" si="147"/>
        <v>6.48</v>
      </c>
      <c r="Q804" s="7">
        <f>IF($D804='[2]Beam '!Q$44,$P804*'[2]Beam '!Q$45,0)</f>
        <v>0</v>
      </c>
      <c r="R804" s="7">
        <f>IF($D804='[2]Beam '!R$44,$P804*'[2]Beam '!R$45,0)</f>
        <v>0</v>
      </c>
      <c r="S804" s="7">
        <f>IF($D804='[2]Beam '!S$44,$P804*'[2]Beam '!S$45,0)</f>
        <v>0</v>
      </c>
      <c r="T804" s="7">
        <f>IF($D804='[2]Beam '!T$44,$P804*'[2]Beam '!T$45,0)</f>
        <v>0</v>
      </c>
      <c r="U804" s="7">
        <f>IF($D804='[2]Beam '!U$44,$P804*'[2]Beam '!U$45,0)</f>
        <v>15.987085714285715</v>
      </c>
      <c r="V804" s="7">
        <f>IF($D804='[2]Beam '!V$44,$P804*'[2]Beam '!V$45,0)</f>
        <v>0</v>
      </c>
      <c r="W804" s="7">
        <f>IF($D804='[2]Beam '!W$44,$P804*'[2]Beam '!W$45,0)</f>
        <v>0</v>
      </c>
      <c r="X804" s="7">
        <f t="shared" si="148"/>
        <v>15.987085714285715</v>
      </c>
      <c r="Y804" s="7"/>
      <c r="Z804" s="7"/>
      <c r="AA804" s="7"/>
      <c r="AB804" s="7"/>
      <c r="AC804" s="7"/>
      <c r="AD804" s="7"/>
      <c r="AE804" s="7"/>
    </row>
    <row r="805" spans="1:32" s="9" customFormat="1" ht="20.100000000000001" customHeight="1" x14ac:dyDescent="0.25">
      <c r="A805" s="6"/>
      <c r="B805" s="10" t="s">
        <v>2</v>
      </c>
      <c r="C805" s="13" t="s">
        <v>6</v>
      </c>
      <c r="D805" s="7">
        <v>25</v>
      </c>
      <c r="E805" s="7"/>
      <c r="F805" s="7">
        <v>2</v>
      </c>
      <c r="G805" s="8">
        <f>VLOOKUP(D805,'[2]Beam '!$C$20:$H$26,3,0)</f>
        <v>1</v>
      </c>
      <c r="H805" s="7"/>
      <c r="I805" s="7"/>
      <c r="J805" s="7"/>
      <c r="K805" s="7"/>
      <c r="L805" s="7"/>
      <c r="M805" s="7"/>
      <c r="N805" s="7"/>
      <c r="O805" s="7">
        <f>(E802+1*(G805+(12*D805/1000))+1*(G805))*D802</f>
        <v>3.7</v>
      </c>
      <c r="P805" s="7">
        <f t="shared" si="147"/>
        <v>7.4</v>
      </c>
      <c r="Q805" s="7">
        <f>IF($D805='[2]Beam '!Q$44,$P805*'[2]Beam '!Q$45,0)</f>
        <v>0</v>
      </c>
      <c r="R805" s="7">
        <f>IF($D805='[2]Beam '!R$44,$P805*'[2]Beam '!R$45,0)</f>
        <v>0</v>
      </c>
      <c r="S805" s="7">
        <f>IF($D805='[2]Beam '!S$44,$P805*'[2]Beam '!S$45,0)</f>
        <v>0</v>
      </c>
      <c r="T805" s="7">
        <f>IF($D805='[2]Beam '!T$44,$P805*'[2]Beam '!T$45,0)</f>
        <v>0</v>
      </c>
      <c r="U805" s="7">
        <f>IF($D805='[2]Beam '!U$44,$P805*'[2]Beam '!U$45,0)</f>
        <v>0</v>
      </c>
      <c r="V805" s="7">
        <f>IF($D805='[2]Beam '!V$44,$P805*'[2]Beam '!V$45,0)</f>
        <v>28.52633928571429</v>
      </c>
      <c r="W805" s="7">
        <f>IF($D805='[2]Beam '!W$44,$P805*'[2]Beam '!W$45,0)</f>
        <v>0</v>
      </c>
      <c r="X805" s="7">
        <f t="shared" si="148"/>
        <v>28.52633928571429</v>
      </c>
      <c r="Y805" s="7"/>
      <c r="Z805" s="7"/>
      <c r="AA805" s="7"/>
      <c r="AB805" s="7"/>
      <c r="AC805" s="7"/>
      <c r="AD805" s="7"/>
      <c r="AE805" s="7"/>
    </row>
    <row r="806" spans="1:32" s="14" customFormat="1" ht="20.100000000000001" customHeight="1" x14ac:dyDescent="0.3">
      <c r="A806" s="6"/>
      <c r="B806" s="10" t="s">
        <v>2</v>
      </c>
      <c r="C806" s="13" t="s">
        <v>6</v>
      </c>
      <c r="D806" s="7">
        <v>20</v>
      </c>
      <c r="E806" s="7"/>
      <c r="F806" s="7">
        <v>2</v>
      </c>
      <c r="G806" s="8">
        <f>VLOOKUP(D806,'[2]Beam '!$C$20:$H$26,3,0)</f>
        <v>0.8</v>
      </c>
      <c r="H806" s="7"/>
      <c r="I806" s="7"/>
      <c r="J806" s="7"/>
      <c r="K806" s="7"/>
      <c r="L806" s="7"/>
      <c r="M806" s="7"/>
      <c r="N806" s="7"/>
      <c r="O806" s="7">
        <f>(E802+1*(G806+(12*D806/1000))+1*(G806))*D802</f>
        <v>3.24</v>
      </c>
      <c r="P806" s="7">
        <f t="shared" si="147"/>
        <v>6.48</v>
      </c>
      <c r="Q806" s="7">
        <f>IF($D806='[2]Beam '!Q$44,$P806*'[2]Beam '!Q$45,0)</f>
        <v>0</v>
      </c>
      <c r="R806" s="7">
        <f>IF($D806='[2]Beam '!R$44,$P806*'[2]Beam '!R$45,0)</f>
        <v>0</v>
      </c>
      <c r="S806" s="7">
        <f>IF($D806='[2]Beam '!S$44,$P806*'[2]Beam '!S$45,0)</f>
        <v>0</v>
      </c>
      <c r="T806" s="7">
        <f>IF($D806='[2]Beam '!T$44,$P806*'[2]Beam '!T$45,0)</f>
        <v>0</v>
      </c>
      <c r="U806" s="7">
        <f>IF($D806='[2]Beam '!U$44,$P806*'[2]Beam '!U$45,0)</f>
        <v>15.987085714285715</v>
      </c>
      <c r="V806" s="7">
        <f>IF($D806='[2]Beam '!V$44,$P806*'[2]Beam '!V$45,0)</f>
        <v>0</v>
      </c>
      <c r="W806" s="7">
        <f>IF($D806='[2]Beam '!W$44,$P806*'[2]Beam '!W$45,0)</f>
        <v>0</v>
      </c>
      <c r="X806" s="7">
        <f t="shared" si="148"/>
        <v>15.987085714285715</v>
      </c>
      <c r="Y806" s="7"/>
    </row>
    <row r="807" spans="1:32" s="14" customFormat="1" ht="20.100000000000001" customHeight="1" x14ac:dyDescent="0.25">
      <c r="A807" s="6"/>
      <c r="B807" s="10" t="s">
        <v>2</v>
      </c>
      <c r="C807" s="13" t="s">
        <v>7</v>
      </c>
      <c r="D807" s="7">
        <v>12</v>
      </c>
      <c r="E807" s="7">
        <v>0.1</v>
      </c>
      <c r="F807" s="7">
        <f>ROUNDUP((E802/3*2)/E807,0)+1</f>
        <v>11</v>
      </c>
      <c r="G807" s="9"/>
      <c r="H807" s="7"/>
      <c r="I807" s="7"/>
      <c r="J807" s="7"/>
      <c r="K807" s="7"/>
      <c r="L807" s="7"/>
      <c r="M807" s="7"/>
      <c r="N807" s="7"/>
      <c r="O807" s="7">
        <f>(2*((G802-(2*'[2]Beam '!$D$11))+(F802-(2*'[2]Beam '!$D$11)))+(2*10*D807/1000))*D802</f>
        <v>3</v>
      </c>
      <c r="P807" s="7">
        <f t="shared" si="147"/>
        <v>33</v>
      </c>
      <c r="Q807" s="7">
        <f>IF($D807='[2]Beam '!Q$44,$P807*'[2]Beam '!Q$45,0)</f>
        <v>0</v>
      </c>
      <c r="R807" s="7">
        <f>IF($D807='[2]Beam '!R$44,$P807*'[2]Beam '!R$45,0)</f>
        <v>0</v>
      </c>
      <c r="S807" s="7">
        <f>IF($D807='[2]Beam '!S$44,$P807*'[2]Beam '!S$45,0)</f>
        <v>29.309657142857148</v>
      </c>
      <c r="T807" s="7">
        <f>IF($D807='[2]Beam '!T$44,$P807*'[2]Beam '!T$45,0)</f>
        <v>0</v>
      </c>
      <c r="U807" s="7">
        <f>IF($D807='[2]Beam '!U$44,$P807*'[2]Beam '!U$45,0)</f>
        <v>0</v>
      </c>
      <c r="V807" s="7">
        <f>IF($D807='[2]Beam '!V$44,$P807*'[2]Beam '!V$45,0)</f>
        <v>0</v>
      </c>
      <c r="W807" s="7">
        <f>IF($D807='[2]Beam '!W$44,$P807*'[2]Beam '!W$45,0)</f>
        <v>0</v>
      </c>
      <c r="X807" s="7">
        <f t="shared" si="148"/>
        <v>29.309657142857148</v>
      </c>
      <c r="Y807" s="7"/>
    </row>
    <row r="808" spans="1:32" s="14" customFormat="1" ht="20.100000000000001" customHeight="1" x14ac:dyDescent="0.25">
      <c r="B808" s="10" t="s">
        <v>2</v>
      </c>
      <c r="C808" s="13" t="s">
        <v>8</v>
      </c>
      <c r="D808" s="14">
        <f>D807</f>
        <v>12</v>
      </c>
      <c r="E808" s="14">
        <v>0.125</v>
      </c>
      <c r="F808" s="7">
        <f>ROUNDUP((E802/3)/E808,0)+1</f>
        <v>5</v>
      </c>
      <c r="G808" s="9"/>
      <c r="O808" s="7">
        <f>(2*((G802-(2*'[2]Beam '!$D$11))+(F802-(2*'[2]Beam '!$D$11)))+(2*10*D808/1000))*D802</f>
        <v>3</v>
      </c>
      <c r="P808" s="7">
        <f t="shared" si="147"/>
        <v>15</v>
      </c>
      <c r="Q808" s="7">
        <f>IF($D808='[2]Beam '!Q$44,$P808*'[2]Beam '!Q$45,0)</f>
        <v>0</v>
      </c>
      <c r="R808" s="7">
        <f>IF($D808='[2]Beam '!R$44,$P808*'[2]Beam '!R$45,0)</f>
        <v>0</v>
      </c>
      <c r="S808" s="7">
        <f>IF($D808='[2]Beam '!S$44,$P808*'[2]Beam '!S$45,0)</f>
        <v>13.322571428571431</v>
      </c>
      <c r="T808" s="7">
        <f>IF($D808='[2]Beam '!T$44,$P808*'[2]Beam '!T$45,0)</f>
        <v>0</v>
      </c>
      <c r="U808" s="7">
        <f>IF($D808='[2]Beam '!U$44,$P808*'[2]Beam '!U$45,0)</f>
        <v>0</v>
      </c>
      <c r="V808" s="7">
        <f>IF($D808='[2]Beam '!V$44,$P808*'[2]Beam '!V$45,0)</f>
        <v>0</v>
      </c>
      <c r="W808" s="7">
        <f>IF($D808='[2]Beam '!W$44,$P808*'[2]Beam '!W$45,0)</f>
        <v>0</v>
      </c>
      <c r="X808" s="7">
        <f t="shared" si="148"/>
        <v>13.322571428571431</v>
      </c>
    </row>
    <row r="809" spans="1:32" s="9" customFormat="1" ht="21" customHeight="1" x14ac:dyDescent="0.25">
      <c r="A809" s="14"/>
      <c r="B809" s="10" t="s">
        <v>2</v>
      </c>
      <c r="C809" s="13" t="s">
        <v>9</v>
      </c>
      <c r="D809" s="14">
        <f>D807</f>
        <v>12</v>
      </c>
      <c r="E809" s="14">
        <f>+E807</f>
        <v>0.1</v>
      </c>
      <c r="F809" s="7">
        <f>ROUNDUP((E802/3*2)/E809,0)+1</f>
        <v>11</v>
      </c>
      <c r="H809" s="14"/>
      <c r="I809" s="14"/>
      <c r="J809" s="14"/>
      <c r="K809" s="14"/>
      <c r="L809" s="14"/>
      <c r="M809" s="14"/>
      <c r="N809" s="14"/>
      <c r="O809" s="7">
        <f>(2*(((F802-'[2]Beam '!$D$11*2)/(F803-1))+(G802-'[2]Beam '!$D$11*2))+(2*10*D809/1000))*D802</f>
        <v>3</v>
      </c>
      <c r="P809" s="7">
        <f t="shared" si="147"/>
        <v>33</v>
      </c>
      <c r="Q809" s="7">
        <f>IF($D809='[2]Beam '!Q$44,$P809*'[2]Beam '!Q$45,0)</f>
        <v>0</v>
      </c>
      <c r="R809" s="7">
        <f>IF($D809='[2]Beam '!R$44,$P809*'[2]Beam '!R$45,0)</f>
        <v>0</v>
      </c>
      <c r="S809" s="7">
        <f>IF($D809='[2]Beam '!S$44,$P809*'[2]Beam '!S$45,0)</f>
        <v>29.309657142857148</v>
      </c>
      <c r="T809" s="7">
        <f>IF($D809='[2]Beam '!T$44,$P809*'[2]Beam '!T$45,0)</f>
        <v>0</v>
      </c>
      <c r="U809" s="7">
        <f>IF($D809='[2]Beam '!U$44,$P809*'[2]Beam '!U$45,0)</f>
        <v>0</v>
      </c>
      <c r="V809" s="7">
        <f>IF($D809='[2]Beam '!V$44,$P809*'[2]Beam '!V$45,0)</f>
        <v>0</v>
      </c>
      <c r="W809" s="7">
        <f>IF($D809='[2]Beam '!W$44,$P809*'[2]Beam '!W$45,0)</f>
        <v>0</v>
      </c>
      <c r="X809" s="7">
        <f t="shared" si="148"/>
        <v>29.309657142857148</v>
      </c>
      <c r="Y809" s="14"/>
      <c r="Z809" s="7"/>
      <c r="AA809" s="7"/>
      <c r="AB809" s="7"/>
      <c r="AC809" s="7"/>
      <c r="AD809" s="7"/>
      <c r="AE809" s="7"/>
      <c r="AF809" s="7"/>
    </row>
    <row r="810" spans="1:32" s="9" customFormat="1" ht="20.100000000000001" customHeight="1" x14ac:dyDescent="0.25">
      <c r="A810" s="14"/>
      <c r="B810" s="10" t="s">
        <v>2</v>
      </c>
      <c r="C810" s="13" t="s">
        <v>10</v>
      </c>
      <c r="D810" s="14">
        <f>D808</f>
        <v>12</v>
      </c>
      <c r="E810" s="14">
        <f>+E808</f>
        <v>0.125</v>
      </c>
      <c r="F810" s="7">
        <f>ROUNDUP((E802/3)/E810,0)+1</f>
        <v>5</v>
      </c>
      <c r="H810" s="14"/>
      <c r="I810" s="14"/>
      <c r="J810" s="14"/>
      <c r="K810" s="14"/>
      <c r="L810" s="14"/>
      <c r="M810" s="14"/>
      <c r="N810" s="14"/>
      <c r="O810" s="7">
        <f>(2*(((F802-'[2]Beam '!$D$11*2)/(F803-1))+(G802-'[2]Beam '!$D$11*2))+(2*10*D810/1000))*D802</f>
        <v>3</v>
      </c>
      <c r="P810" s="7">
        <f t="shared" si="147"/>
        <v>15</v>
      </c>
      <c r="Q810" s="7">
        <f>IF($D810='[2]Beam '!Q$44,$P810*'[2]Beam '!Q$45,0)</f>
        <v>0</v>
      </c>
      <c r="R810" s="7">
        <f>IF($D810='[2]Beam '!R$44,$P810*'[2]Beam '!R$45,0)</f>
        <v>0</v>
      </c>
      <c r="S810" s="7">
        <f>IF($D810='[2]Beam '!S$44,$P810*'[2]Beam '!S$45,0)</f>
        <v>13.322571428571431</v>
      </c>
      <c r="T810" s="7">
        <f>IF($D810='[2]Beam '!T$44,$P810*'[2]Beam '!T$45,0)</f>
        <v>0</v>
      </c>
      <c r="U810" s="7">
        <f>IF($D810='[2]Beam '!U$44,$P810*'[2]Beam '!U$45,0)</f>
        <v>0</v>
      </c>
      <c r="V810" s="7">
        <f>IF($D810='[2]Beam '!V$44,$P810*'[2]Beam '!V$45,0)</f>
        <v>0</v>
      </c>
      <c r="W810" s="7">
        <f>IF($D810='[2]Beam '!W$44,$P810*'[2]Beam '!W$45,0)</f>
        <v>0</v>
      </c>
      <c r="X810" s="7">
        <f t="shared" si="148"/>
        <v>13.322571428571431</v>
      </c>
      <c r="Y810" s="14"/>
      <c r="Z810" s="7"/>
      <c r="AA810" s="7"/>
      <c r="AB810" s="7"/>
      <c r="AC810" s="7"/>
      <c r="AD810" s="7"/>
      <c r="AE810" s="7"/>
    </row>
    <row r="811" spans="1:32" s="9" customFormat="1" ht="20.100000000000001" customHeight="1" x14ac:dyDescent="0.25">
      <c r="A811" s="7">
        <v>1</v>
      </c>
      <c r="B811" s="10" t="s">
        <v>2</v>
      </c>
      <c r="C811" s="11" t="s">
        <v>124</v>
      </c>
      <c r="D811" s="11">
        <v>1</v>
      </c>
      <c r="E811" s="11">
        <v>2.4</v>
      </c>
      <c r="F811" s="11">
        <v>0.4</v>
      </c>
      <c r="G811" s="11">
        <v>0.6</v>
      </c>
      <c r="H811" s="7">
        <f>G811-0.2</f>
        <v>0.39999999999999997</v>
      </c>
      <c r="I811" s="7">
        <f>E811*F811*G811*D811</f>
        <v>0.57599999999999996</v>
      </c>
      <c r="J811" s="7">
        <f>(2*(E811)*H811*D811)+(E811*F811)</f>
        <v>2.88</v>
      </c>
      <c r="K811" s="12">
        <f>IF(E811=0.3,J811,0)</f>
        <v>0</v>
      </c>
      <c r="L811" s="12">
        <f>IF(AND(E811&gt;0.3,E811&lt;=0.75),J811,0)</f>
        <v>0</v>
      </c>
      <c r="M811" s="12">
        <f>IF(AND(E811&gt;0.75,E811&lt;=1.2),J811,0)</f>
        <v>0</v>
      </c>
      <c r="N811" s="12">
        <f>IF(E811&gt;1.2,J811,0)</f>
        <v>2.88</v>
      </c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>
        <f>SUM(X812:X814)/I811</f>
        <v>60.667042857142881</v>
      </c>
      <c r="Z811" s="7"/>
      <c r="AA811" s="7"/>
      <c r="AB811" s="7"/>
      <c r="AC811" s="7"/>
      <c r="AD811" s="7"/>
      <c r="AE811" s="7"/>
    </row>
    <row r="812" spans="1:32" s="9" customFormat="1" ht="20.100000000000001" customHeight="1" x14ac:dyDescent="0.25">
      <c r="A812" s="6"/>
      <c r="B812" s="10" t="s">
        <v>2</v>
      </c>
      <c r="C812" s="13" t="s">
        <v>4</v>
      </c>
      <c r="D812" s="7">
        <v>12</v>
      </c>
      <c r="E812" s="7"/>
      <c r="F812" s="7">
        <v>4</v>
      </c>
      <c r="G812" s="8">
        <f>VLOOKUP(D812,'[2]Beam '!$C$20:$H$26,3,0)</f>
        <v>0.47499999999999998</v>
      </c>
      <c r="H812" s="8"/>
      <c r="I812" s="7"/>
      <c r="J812" s="7"/>
      <c r="K812" s="7"/>
      <c r="L812" s="7"/>
      <c r="M812" s="7"/>
      <c r="N812" s="7"/>
      <c r="O812" s="7">
        <f>(E811+2*(G812+(12*D812/1000)))*D811</f>
        <v>3.6379999999999999</v>
      </c>
      <c r="P812" s="7">
        <f>O812*F812</f>
        <v>14.552</v>
      </c>
      <c r="Q812" s="7">
        <f>IF($D812='[2]Beam '!Q$44,$P812*'[2]Beam '!Q$45,0)</f>
        <v>0</v>
      </c>
      <c r="R812" s="7">
        <f>IF($D812='[2]Beam '!R$44,$P812*'[2]Beam '!R$45,0)</f>
        <v>0</v>
      </c>
      <c r="S812" s="7">
        <f>IF($D812='[2]Beam '!S$44,$P812*'[2]Beam '!S$45,0)</f>
        <v>12.92467062857143</v>
      </c>
      <c r="T812" s="7">
        <f>IF($D812='[2]Beam '!T$44,$P812*'[2]Beam '!T$45,0)</f>
        <v>0</v>
      </c>
      <c r="U812" s="7">
        <f>IF($D812='[2]Beam '!U$44,$P812*'[2]Beam '!U$45,0)</f>
        <v>0</v>
      </c>
      <c r="V812" s="7">
        <f>IF($D812='[2]Beam '!V$44,$P812*'[2]Beam '!V$45,0)</f>
        <v>0</v>
      </c>
      <c r="W812" s="7">
        <f>IF($D812='[2]Beam '!W$44,$P812*'[2]Beam '!W$45,0)</f>
        <v>0</v>
      </c>
      <c r="X812" s="7">
        <f>SUM(Q812:W812)</f>
        <v>12.92467062857143</v>
      </c>
      <c r="Y812" s="7"/>
      <c r="Z812" s="7"/>
      <c r="AA812" s="7"/>
      <c r="AB812" s="7"/>
      <c r="AC812" s="7"/>
      <c r="AD812" s="7"/>
      <c r="AE812" s="7"/>
    </row>
    <row r="813" spans="1:32" s="9" customFormat="1" ht="21" customHeight="1" x14ac:dyDescent="0.25">
      <c r="A813" s="6"/>
      <c r="B813" s="10" t="s">
        <v>2</v>
      </c>
      <c r="C813" s="13" t="s">
        <v>6</v>
      </c>
      <c r="D813" s="7">
        <v>12</v>
      </c>
      <c r="E813" s="7"/>
      <c r="F813" s="7">
        <v>4</v>
      </c>
      <c r="G813" s="8">
        <f>VLOOKUP(D813,'[2]Beam '!$C$20:$H$26,3,0)</f>
        <v>0.47499999999999998</v>
      </c>
      <c r="H813" s="7"/>
      <c r="I813" s="7"/>
      <c r="J813" s="7"/>
      <c r="K813" s="7"/>
      <c r="L813" s="7"/>
      <c r="M813" s="7"/>
      <c r="N813" s="7"/>
      <c r="O813" s="7">
        <f>(E811+2*(G813+(12*D813/1000)))*D811</f>
        <v>3.6379999999999999</v>
      </c>
      <c r="P813" s="7">
        <f>O813*F813</f>
        <v>14.552</v>
      </c>
      <c r="Q813" s="7">
        <f>IF($D813='[2]Beam '!Q$44,$P813*'[2]Beam '!Q$45,0)</f>
        <v>0</v>
      </c>
      <c r="R813" s="7">
        <f>IF($D813='[2]Beam '!R$44,$P813*'[2]Beam '!R$45,0)</f>
        <v>0</v>
      </c>
      <c r="S813" s="7">
        <f>IF($D813='[2]Beam '!S$44,$P813*'[2]Beam '!S$45,0)</f>
        <v>12.92467062857143</v>
      </c>
      <c r="T813" s="7">
        <f>IF($D813='[2]Beam '!T$44,$P813*'[2]Beam '!T$45,0)</f>
        <v>0</v>
      </c>
      <c r="U813" s="7">
        <f>IF($D813='[2]Beam '!U$44,$P813*'[2]Beam '!U$45,0)</f>
        <v>0</v>
      </c>
      <c r="V813" s="7">
        <f>IF($D813='[2]Beam '!V$44,$P813*'[2]Beam '!V$45,0)</f>
        <v>0</v>
      </c>
      <c r="W813" s="7">
        <f>IF($D813='[2]Beam '!W$44,$P813*'[2]Beam '!W$45,0)</f>
        <v>0</v>
      </c>
      <c r="X813" s="7">
        <f>SUM(Q813:W813)</f>
        <v>12.92467062857143</v>
      </c>
      <c r="Y813" s="7"/>
      <c r="Z813" s="7"/>
      <c r="AA813" s="7"/>
      <c r="AB813" s="7"/>
      <c r="AC813" s="7"/>
      <c r="AD813" s="7"/>
      <c r="AE813" s="7"/>
      <c r="AF813" s="7"/>
    </row>
    <row r="814" spans="1:32" s="9" customFormat="1" ht="20.100000000000001" customHeight="1" x14ac:dyDescent="0.25">
      <c r="A814" s="6"/>
      <c r="B814" s="10" t="s">
        <v>2</v>
      </c>
      <c r="C814" s="13" t="s">
        <v>26</v>
      </c>
      <c r="D814" s="7">
        <v>8</v>
      </c>
      <c r="E814" s="7">
        <v>0.2</v>
      </c>
      <c r="F814" s="7">
        <f>ROUNDUP(E811/E814,0)</f>
        <v>12</v>
      </c>
      <c r="H814" s="7"/>
      <c r="I814" s="7"/>
      <c r="J814" s="7"/>
      <c r="K814" s="7"/>
      <c r="L814" s="7"/>
      <c r="M814" s="7"/>
      <c r="N814" s="7"/>
      <c r="O814" s="7">
        <f>(2*((G811-(2*'[2]Beam '!$D$11))+(F811-(2*'[2]Beam '!$D$11)))+(2*10*D814/1000))*D811</f>
        <v>1.9200000000000002</v>
      </c>
      <c r="P814" s="7">
        <f>O814*F814</f>
        <v>23.040000000000003</v>
      </c>
      <c r="Q814" s="7">
        <f>IF($D814='[2]Beam '!Q$44,$P814*'[2]Beam '!Q$45,0)</f>
        <v>9.0948754285714308</v>
      </c>
      <c r="R814" s="7">
        <f>IF($D814='[2]Beam '!R$44,$P814*'[2]Beam '!R$45,0)</f>
        <v>0</v>
      </c>
      <c r="S814" s="7">
        <f>IF($D814='[2]Beam '!S$44,$P814*'[2]Beam '!S$45,0)</f>
        <v>0</v>
      </c>
      <c r="T814" s="7">
        <f>IF($D814='[2]Beam '!T$44,$P814*'[2]Beam '!T$45,0)</f>
        <v>0</v>
      </c>
      <c r="U814" s="7">
        <f>IF($D814='[2]Beam '!U$44,$P814*'[2]Beam '!U$45,0)</f>
        <v>0</v>
      </c>
      <c r="V814" s="7">
        <f>IF($D814='[2]Beam '!V$44,$P814*'[2]Beam '!V$45,0)</f>
        <v>0</v>
      </c>
      <c r="W814" s="7">
        <f>IF($D814='[2]Beam '!W$44,$P814*'[2]Beam '!W$45,0)</f>
        <v>0</v>
      </c>
      <c r="X814" s="7">
        <f>SUM(Q814:W814)</f>
        <v>9.0948754285714308</v>
      </c>
      <c r="Y814" s="7"/>
      <c r="Z814" s="7"/>
      <c r="AA814" s="7"/>
      <c r="AB814" s="7"/>
      <c r="AC814" s="7"/>
      <c r="AD814" s="7"/>
      <c r="AE814" s="7"/>
    </row>
    <row r="815" spans="1:32" s="9" customFormat="1" ht="20.100000000000001" customHeight="1" x14ac:dyDescent="0.25">
      <c r="A815" s="7">
        <v>1</v>
      </c>
      <c r="B815" s="10" t="s">
        <v>2</v>
      </c>
      <c r="C815" s="11" t="s">
        <v>125</v>
      </c>
      <c r="D815" s="11">
        <v>1</v>
      </c>
      <c r="E815" s="11">
        <v>2.4</v>
      </c>
      <c r="F815" s="11">
        <v>0.3</v>
      </c>
      <c r="G815" s="11">
        <v>1.1000000000000001</v>
      </c>
      <c r="H815" s="7">
        <f>G815-0.2</f>
        <v>0.90000000000000013</v>
      </c>
      <c r="I815" s="7">
        <f>E815*F815*G815*D815</f>
        <v>0.79200000000000004</v>
      </c>
      <c r="J815" s="7">
        <f>(2*(E815)*H815*D815)+(E815*F815)</f>
        <v>5.04</v>
      </c>
      <c r="K815" s="12">
        <f>IF(E815=0.3,J815,0)</f>
        <v>0</v>
      </c>
      <c r="L815" s="12">
        <f>IF(AND(E815&gt;0.3,E815&lt;=0.75),J815,0)</f>
        <v>0</v>
      </c>
      <c r="M815" s="12">
        <f>IF(AND(E815&gt;0.75,E815&lt;=1.2),J815,0)</f>
        <v>0</v>
      </c>
      <c r="N815" s="12">
        <f>IF(E815&gt;1.2,J815,0)</f>
        <v>5.04</v>
      </c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>
        <f>SUM(X817:X820)/I815</f>
        <v>40.512479365079365</v>
      </c>
      <c r="Z815" s="7"/>
      <c r="AA815" s="7"/>
      <c r="AB815" s="7"/>
      <c r="AC815" s="7"/>
      <c r="AD815" s="7"/>
      <c r="AE815" s="7"/>
    </row>
    <row r="816" spans="1:32" s="9" customFormat="1" ht="20.100000000000001" customHeight="1" x14ac:dyDescent="0.25">
      <c r="A816" s="6"/>
      <c r="B816" s="10" t="s">
        <v>2</v>
      </c>
      <c r="C816" s="13" t="s">
        <v>4</v>
      </c>
      <c r="D816" s="7">
        <v>16</v>
      </c>
      <c r="E816" s="7"/>
      <c r="F816" s="7">
        <v>2</v>
      </c>
      <c r="G816" s="8">
        <f>VLOOKUP(D816,'[2]Beam '!$C$20:$H$26,3,0)</f>
        <v>0.625</v>
      </c>
      <c r="H816" s="8"/>
      <c r="I816" s="7"/>
      <c r="J816" s="7"/>
      <c r="K816" s="7"/>
      <c r="L816" s="7"/>
      <c r="M816" s="7"/>
      <c r="N816" s="7"/>
      <c r="O816" s="7">
        <f>(E815+2*(G816+(12*D816/1000)))*D815</f>
        <v>4.0339999999999998</v>
      </c>
      <c r="P816" s="7">
        <f>O816*F816</f>
        <v>8.0679999999999996</v>
      </c>
      <c r="Q816" s="7">
        <f>IF($D816='[2]Beam '!Q$44,$P816*'[2]Beam '!Q$45,0)</f>
        <v>0</v>
      </c>
      <c r="R816" s="7">
        <f>IF($D816='[2]Beam '!R$44,$P816*'[2]Beam '!R$45,0)</f>
        <v>0</v>
      </c>
      <c r="S816" s="7">
        <f>IF($D816='[2]Beam '!S$44,$P816*'[2]Beam '!S$45,0)</f>
        <v>0</v>
      </c>
      <c r="T816" s="7">
        <f>IF($D816='[2]Beam '!T$44,$P816*'[2]Beam '!T$45,0)</f>
        <v>12.739141485714287</v>
      </c>
      <c r="U816" s="7">
        <f>IF($D816='[2]Beam '!U$44,$P816*'[2]Beam '!U$45,0)</f>
        <v>0</v>
      </c>
      <c r="V816" s="7">
        <f>IF($D816='[2]Beam '!V$44,$P816*'[2]Beam '!V$45,0)</f>
        <v>0</v>
      </c>
      <c r="W816" s="7">
        <f>IF($D816='[2]Beam '!W$44,$P816*'[2]Beam '!W$45,0)</f>
        <v>0</v>
      </c>
      <c r="X816" s="7">
        <f>SUM(Q816:W816)</f>
        <v>12.739141485714287</v>
      </c>
      <c r="Y816" s="7"/>
      <c r="Z816" s="7"/>
      <c r="AA816" s="7"/>
      <c r="AB816" s="7"/>
      <c r="AC816" s="7"/>
      <c r="AD816" s="7"/>
      <c r="AE816" s="7"/>
    </row>
    <row r="817" spans="1:32" s="9" customFormat="1" ht="20.100000000000001" customHeight="1" x14ac:dyDescent="0.25">
      <c r="A817" s="6"/>
      <c r="B817" s="10" t="s">
        <v>2</v>
      </c>
      <c r="C817" s="13" t="s">
        <v>4</v>
      </c>
      <c r="D817" s="7">
        <v>12</v>
      </c>
      <c r="E817" s="7"/>
      <c r="F817" s="7">
        <v>1</v>
      </c>
      <c r="G817" s="8">
        <f>VLOOKUP(D817,'[2]Beam '!$C$20:$H$26,3,0)</f>
        <v>0.47499999999999998</v>
      </c>
      <c r="H817" s="8"/>
      <c r="I817" s="7"/>
      <c r="J817" s="7"/>
      <c r="K817" s="7"/>
      <c r="L817" s="7"/>
      <c r="M817" s="7"/>
      <c r="N817" s="7"/>
      <c r="O817" s="7">
        <f>(E815+2*(G817+(12*D817/1000)))*D815</f>
        <v>3.6379999999999999</v>
      </c>
      <c r="P817" s="7">
        <f>O817*F817</f>
        <v>3.6379999999999999</v>
      </c>
      <c r="Q817" s="7">
        <f>IF($D817='[2]Beam '!Q$44,$P817*'[2]Beam '!Q$45,0)</f>
        <v>0</v>
      </c>
      <c r="R817" s="7">
        <f>IF($D817='[2]Beam '!R$44,$P817*'[2]Beam '!R$45,0)</f>
        <v>0</v>
      </c>
      <c r="S817" s="7">
        <f>IF($D817='[2]Beam '!S$44,$P817*'[2]Beam '!S$45,0)</f>
        <v>3.2311676571428576</v>
      </c>
      <c r="T817" s="7">
        <f>IF($D817='[2]Beam '!T$44,$P817*'[2]Beam '!T$45,0)</f>
        <v>0</v>
      </c>
      <c r="U817" s="7">
        <f>IF($D817='[2]Beam '!U$44,$P817*'[2]Beam '!U$45,0)</f>
        <v>0</v>
      </c>
      <c r="V817" s="7">
        <f>IF($D817='[2]Beam '!V$44,$P817*'[2]Beam '!V$45,0)</f>
        <v>0</v>
      </c>
      <c r="W817" s="7">
        <f>IF($D817='[2]Beam '!W$44,$P817*'[2]Beam '!W$45,0)</f>
        <v>0</v>
      </c>
      <c r="X817" s="7">
        <f>SUM(Q817:W817)</f>
        <v>3.2311676571428576</v>
      </c>
      <c r="Y817" s="7"/>
      <c r="Z817" s="7"/>
      <c r="AA817" s="7"/>
      <c r="AB817" s="7"/>
      <c r="AC817" s="7"/>
      <c r="AD817" s="7"/>
      <c r="AE817" s="7"/>
    </row>
    <row r="818" spans="1:32" s="9" customFormat="1" ht="20.100000000000001" customHeight="1" x14ac:dyDescent="0.25">
      <c r="A818" s="6"/>
      <c r="B818" s="10" t="s">
        <v>2</v>
      </c>
      <c r="C818" s="13" t="s">
        <v>6</v>
      </c>
      <c r="D818" s="7">
        <v>16</v>
      </c>
      <c r="E818" s="7"/>
      <c r="F818" s="7">
        <v>2</v>
      </c>
      <c r="G818" s="8">
        <f>VLOOKUP(D818,'[2]Beam '!$C$20:$H$26,3,0)</f>
        <v>0.625</v>
      </c>
      <c r="H818" s="7"/>
      <c r="I818" s="7"/>
      <c r="J818" s="7"/>
      <c r="K818" s="7"/>
      <c r="L818" s="7"/>
      <c r="M818" s="7"/>
      <c r="N818" s="7"/>
      <c r="O818" s="7">
        <f>(E815+2*(G818+(12*D818/1000)))*D815</f>
        <v>4.0339999999999998</v>
      </c>
      <c r="P818" s="7">
        <f>O818*F818</f>
        <v>8.0679999999999996</v>
      </c>
      <c r="Q818" s="7">
        <f>IF($D818='[2]Beam '!Q$44,$P818*'[2]Beam '!Q$45,0)</f>
        <v>0</v>
      </c>
      <c r="R818" s="7">
        <f>IF($D818='[2]Beam '!R$44,$P818*'[2]Beam '!R$45,0)</f>
        <v>0</v>
      </c>
      <c r="S818" s="7">
        <f>IF($D818='[2]Beam '!S$44,$P818*'[2]Beam '!S$45,0)</f>
        <v>0</v>
      </c>
      <c r="T818" s="7">
        <f>IF($D818='[2]Beam '!T$44,$P818*'[2]Beam '!T$45,0)</f>
        <v>12.739141485714287</v>
      </c>
      <c r="U818" s="7">
        <f>IF($D818='[2]Beam '!U$44,$P818*'[2]Beam '!U$45,0)</f>
        <v>0</v>
      </c>
      <c r="V818" s="7">
        <f>IF($D818='[2]Beam '!V$44,$P818*'[2]Beam '!V$45,0)</f>
        <v>0</v>
      </c>
      <c r="W818" s="7">
        <f>IF($D818='[2]Beam '!W$44,$P818*'[2]Beam '!W$45,0)</f>
        <v>0</v>
      </c>
      <c r="X818" s="7">
        <f>SUM(Q818:W818)</f>
        <v>12.739141485714287</v>
      </c>
      <c r="Y818" s="7"/>
      <c r="Z818" s="7"/>
      <c r="AA818" s="7"/>
      <c r="AB818" s="7"/>
      <c r="AC818" s="7"/>
      <c r="AD818" s="7"/>
      <c r="AE818" s="7"/>
    </row>
    <row r="819" spans="1:32" s="9" customFormat="1" ht="21" customHeight="1" x14ac:dyDescent="0.25">
      <c r="A819" s="6"/>
      <c r="B819" s="10" t="s">
        <v>2</v>
      </c>
      <c r="C819" s="13" t="s">
        <v>6</v>
      </c>
      <c r="D819" s="7">
        <v>12</v>
      </c>
      <c r="E819" s="7"/>
      <c r="F819" s="7">
        <v>1</v>
      </c>
      <c r="G819" s="8">
        <f>VLOOKUP(D819,'[2]Beam '!$C$20:$H$26,3,0)</f>
        <v>0.47499999999999998</v>
      </c>
      <c r="H819" s="7"/>
      <c r="I819" s="7"/>
      <c r="J819" s="7"/>
      <c r="K819" s="7"/>
      <c r="L819" s="7"/>
      <c r="M819" s="7"/>
      <c r="N819" s="7"/>
      <c r="O819" s="7">
        <f>(E815+2*(G819+(12*D819/1000)))*D815</f>
        <v>3.6379999999999999</v>
      </c>
      <c r="P819" s="7">
        <f>O819*F819</f>
        <v>3.6379999999999999</v>
      </c>
      <c r="Q819" s="7">
        <f>IF($D819='[2]Beam '!Q$44,$P819*'[2]Beam '!Q$45,0)</f>
        <v>0</v>
      </c>
      <c r="R819" s="7">
        <f>IF($D819='[2]Beam '!R$44,$P819*'[2]Beam '!R$45,0)</f>
        <v>0</v>
      </c>
      <c r="S819" s="7">
        <f>IF($D819='[2]Beam '!S$44,$P819*'[2]Beam '!S$45,0)</f>
        <v>3.2311676571428576</v>
      </c>
      <c r="T819" s="7">
        <f>IF($D819='[2]Beam '!T$44,$P819*'[2]Beam '!T$45,0)</f>
        <v>0</v>
      </c>
      <c r="U819" s="7">
        <f>IF($D819='[2]Beam '!U$44,$P819*'[2]Beam '!U$45,0)</f>
        <v>0</v>
      </c>
      <c r="V819" s="7">
        <f>IF($D819='[2]Beam '!V$44,$P819*'[2]Beam '!V$45,0)</f>
        <v>0</v>
      </c>
      <c r="W819" s="7">
        <f>IF($D819='[2]Beam '!W$44,$P819*'[2]Beam '!W$45,0)</f>
        <v>0</v>
      </c>
      <c r="X819" s="7">
        <f>SUM(Q819:W819)</f>
        <v>3.2311676571428576</v>
      </c>
      <c r="Y819" s="7"/>
      <c r="Z819" s="7"/>
      <c r="AA819" s="7"/>
      <c r="AB819" s="7"/>
      <c r="AC819" s="7"/>
      <c r="AD819" s="7"/>
      <c r="AE819" s="7"/>
      <c r="AF819" s="7"/>
    </row>
    <row r="820" spans="1:32" s="9" customFormat="1" ht="20.100000000000001" customHeight="1" x14ac:dyDescent="0.25">
      <c r="A820" s="6"/>
      <c r="B820" s="10" t="s">
        <v>2</v>
      </c>
      <c r="C820" s="13" t="s">
        <v>26</v>
      </c>
      <c r="D820" s="7">
        <v>8</v>
      </c>
      <c r="E820" s="7">
        <v>0.2</v>
      </c>
      <c r="F820" s="7">
        <f>ROUNDUP(E815/E820,0)</f>
        <v>12</v>
      </c>
      <c r="H820" s="7"/>
      <c r="I820" s="7"/>
      <c r="J820" s="7"/>
      <c r="K820" s="7"/>
      <c r="L820" s="7"/>
      <c r="M820" s="7"/>
      <c r="N820" s="7"/>
      <c r="O820" s="7">
        <f>(2*((G815-(2*'[2]Beam '!$D$11))+(F815-(2*'[2]Beam '!$D$11)))+(2*10*D820/1000))*D815</f>
        <v>2.72</v>
      </c>
      <c r="P820" s="7">
        <f>O820*F820</f>
        <v>32.64</v>
      </c>
      <c r="Q820" s="7">
        <f>IF($D820='[2]Beam '!Q$44,$P820*'[2]Beam '!Q$45,0)</f>
        <v>12.884406857142858</v>
      </c>
      <c r="R820" s="7">
        <f>IF($D820='[2]Beam '!R$44,$P820*'[2]Beam '!R$45,0)</f>
        <v>0</v>
      </c>
      <c r="S820" s="7">
        <f>IF($D820='[2]Beam '!S$44,$P820*'[2]Beam '!S$45,0)</f>
        <v>0</v>
      </c>
      <c r="T820" s="7">
        <f>IF($D820='[2]Beam '!T$44,$P820*'[2]Beam '!T$45,0)</f>
        <v>0</v>
      </c>
      <c r="U820" s="7">
        <f>IF($D820='[2]Beam '!U$44,$P820*'[2]Beam '!U$45,0)</f>
        <v>0</v>
      </c>
      <c r="V820" s="7">
        <f>IF($D820='[2]Beam '!V$44,$P820*'[2]Beam '!V$45,0)</f>
        <v>0</v>
      </c>
      <c r="W820" s="7">
        <f>IF($D820='[2]Beam '!W$44,$P820*'[2]Beam '!W$45,0)</f>
        <v>0</v>
      </c>
      <c r="X820" s="7">
        <f>SUM(Q820:W820)</f>
        <v>12.884406857142858</v>
      </c>
      <c r="Y820" s="7"/>
      <c r="Z820" s="7"/>
      <c r="AA820" s="7"/>
      <c r="AB820" s="7"/>
      <c r="AC820" s="7"/>
      <c r="AD820" s="7"/>
      <c r="AE820" s="7"/>
    </row>
    <row r="821" spans="1:32" s="9" customFormat="1" ht="20.100000000000001" customHeight="1" x14ac:dyDescent="0.25">
      <c r="A821" s="7">
        <v>1</v>
      </c>
      <c r="B821" s="10" t="s">
        <v>2</v>
      </c>
      <c r="C821" s="11" t="s">
        <v>126</v>
      </c>
      <c r="D821" s="11">
        <v>1</v>
      </c>
      <c r="E821" s="11">
        <v>1.2889999999999999</v>
      </c>
      <c r="F821" s="11">
        <v>0.5</v>
      </c>
      <c r="G821" s="11">
        <v>1.1000000000000001</v>
      </c>
      <c r="H821" s="7">
        <f>G821-0.2</f>
        <v>0.90000000000000013</v>
      </c>
      <c r="I821" s="7">
        <f>E821*F821*G821*D821</f>
        <v>0.70894999999999997</v>
      </c>
      <c r="J821" s="7">
        <f>(2*(E821)*H821*D821)+(E821*F821)</f>
        <v>2.9647000000000001</v>
      </c>
      <c r="K821" s="12">
        <f>IF(E821=0.3,J821,0)</f>
        <v>0</v>
      </c>
      <c r="L821" s="12">
        <f>IF(AND(E821&gt;0.3,E821&lt;=0.75),J821,0)</f>
        <v>0</v>
      </c>
      <c r="M821" s="12">
        <f>IF(AND(E821&gt;0.75,E821&lt;=1.2),J821,0)</f>
        <v>0</v>
      </c>
      <c r="N821" s="12">
        <f>IF(E821&gt;1.2,J821,0)</f>
        <v>2.9647000000000001</v>
      </c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>
        <f>SUM(X823:X826)/I821</f>
        <v>133.9561218552588</v>
      </c>
      <c r="Z821" s="7"/>
      <c r="AA821" s="7"/>
      <c r="AB821" s="7"/>
      <c r="AC821" s="7"/>
      <c r="AD821" s="7"/>
      <c r="AE821" s="7"/>
    </row>
    <row r="822" spans="1:32" s="9" customFormat="1" ht="20.100000000000001" customHeight="1" x14ac:dyDescent="0.25">
      <c r="A822" s="6"/>
      <c r="B822" s="10" t="s">
        <v>2</v>
      </c>
      <c r="C822" s="13" t="s">
        <v>4</v>
      </c>
      <c r="D822" s="7">
        <v>25</v>
      </c>
      <c r="E822" s="7"/>
      <c r="F822" s="7">
        <v>3</v>
      </c>
      <c r="G822" s="8">
        <f>VLOOKUP(D822,'[2]Beam '!$C$20:$H$26,3,0)</f>
        <v>1</v>
      </c>
      <c r="H822" s="8"/>
      <c r="I822" s="7"/>
      <c r="J822" s="7"/>
      <c r="K822" s="7"/>
      <c r="L822" s="7"/>
      <c r="M822" s="7"/>
      <c r="N822" s="7"/>
      <c r="O822" s="7">
        <f>(E821+2*(G822))*D821</f>
        <v>3.2889999999999997</v>
      </c>
      <c r="P822" s="7">
        <f t="shared" ref="P822:P829" si="149">O822*F822</f>
        <v>9.8669999999999991</v>
      </c>
      <c r="Q822" s="7">
        <f>IF($D822='[2]Beam '!Q$44,$P822*'[2]Beam '!Q$45,0)</f>
        <v>0</v>
      </c>
      <c r="R822" s="7">
        <f>IF($D822='[2]Beam '!R$44,$P822*'[2]Beam '!R$45,0)</f>
        <v>0</v>
      </c>
      <c r="S822" s="7">
        <f>IF($D822='[2]Beam '!S$44,$P822*'[2]Beam '!S$45,0)</f>
        <v>0</v>
      </c>
      <c r="T822" s="7">
        <f>IF($D822='[2]Beam '!T$44,$P822*'[2]Beam '!T$45,0)</f>
        <v>0</v>
      </c>
      <c r="U822" s="7">
        <f>IF($D822='[2]Beam '!U$44,$P822*'[2]Beam '!U$45,0)</f>
        <v>0</v>
      </c>
      <c r="V822" s="7">
        <f>IF($D822='[2]Beam '!V$44,$P822*'[2]Beam '!V$45,0)</f>
        <v>38.036404017857144</v>
      </c>
      <c r="W822" s="7">
        <f>IF($D822='[2]Beam '!W$44,$P822*'[2]Beam '!W$45,0)</f>
        <v>0</v>
      </c>
      <c r="X822" s="7">
        <f t="shared" ref="X822:X829" si="150">SUM(Q822:W822)</f>
        <v>38.036404017857144</v>
      </c>
      <c r="Y822" s="7"/>
      <c r="Z822" s="7"/>
      <c r="AA822" s="7"/>
      <c r="AB822" s="7"/>
      <c r="AC822" s="7"/>
      <c r="AD822" s="7"/>
      <c r="AE822" s="7"/>
    </row>
    <row r="823" spans="1:32" s="9" customFormat="1" ht="20.100000000000001" customHeight="1" x14ac:dyDescent="0.25">
      <c r="A823" s="6"/>
      <c r="B823" s="10" t="s">
        <v>2</v>
      </c>
      <c r="C823" s="13" t="s">
        <v>4</v>
      </c>
      <c r="D823" s="7">
        <v>20</v>
      </c>
      <c r="E823" s="7"/>
      <c r="F823" s="7">
        <v>2</v>
      </c>
      <c r="G823" s="8">
        <f>VLOOKUP(D823,'[2]Beam '!$C$20:$H$26,3,0)</f>
        <v>0.8</v>
      </c>
      <c r="H823" s="8"/>
      <c r="I823" s="7"/>
      <c r="J823" s="7"/>
      <c r="K823" s="7"/>
      <c r="L823" s="7"/>
      <c r="M823" s="7"/>
      <c r="N823" s="7"/>
      <c r="O823" s="7">
        <f>(E821+2*(G823))*D821</f>
        <v>2.8890000000000002</v>
      </c>
      <c r="P823" s="7">
        <f t="shared" si="149"/>
        <v>5.7780000000000005</v>
      </c>
      <c r="Q823" s="7">
        <f>IF($D823='[2]Beam '!Q$44,$P823*'[2]Beam '!Q$45,0)</f>
        <v>0</v>
      </c>
      <c r="R823" s="7">
        <f>IF($D823='[2]Beam '!R$44,$P823*'[2]Beam '!R$45,0)</f>
        <v>0</v>
      </c>
      <c r="S823" s="7">
        <f>IF($D823='[2]Beam '!S$44,$P823*'[2]Beam '!S$45,0)</f>
        <v>0</v>
      </c>
      <c r="T823" s="7">
        <f>IF($D823='[2]Beam '!T$44,$P823*'[2]Beam '!T$45,0)</f>
        <v>0</v>
      </c>
      <c r="U823" s="7">
        <f>IF($D823='[2]Beam '!U$44,$P823*'[2]Beam '!U$45,0)</f>
        <v>14.255151428571429</v>
      </c>
      <c r="V823" s="7">
        <f>IF($D823='[2]Beam '!V$44,$P823*'[2]Beam '!V$45,0)</f>
        <v>0</v>
      </c>
      <c r="W823" s="7">
        <f>IF($D823='[2]Beam '!W$44,$P823*'[2]Beam '!W$45,0)</f>
        <v>0</v>
      </c>
      <c r="X823" s="7">
        <f t="shared" si="150"/>
        <v>14.255151428571429</v>
      </c>
      <c r="Y823" s="7"/>
      <c r="Z823" s="7"/>
      <c r="AA823" s="7"/>
      <c r="AB823" s="7"/>
      <c r="AC823" s="7"/>
      <c r="AD823" s="7"/>
      <c r="AE823" s="7"/>
    </row>
    <row r="824" spans="1:32" s="9" customFormat="1" ht="20.100000000000001" customHeight="1" x14ac:dyDescent="0.25">
      <c r="A824" s="6"/>
      <c r="B824" s="10" t="s">
        <v>2</v>
      </c>
      <c r="C824" s="13" t="s">
        <v>6</v>
      </c>
      <c r="D824" s="7">
        <v>25</v>
      </c>
      <c r="E824" s="7"/>
      <c r="F824" s="7">
        <v>3</v>
      </c>
      <c r="G824" s="8">
        <f>VLOOKUP(D824,'[2]Beam '!$C$20:$H$26,3,0)</f>
        <v>1</v>
      </c>
      <c r="H824" s="7"/>
      <c r="I824" s="7"/>
      <c r="J824" s="7"/>
      <c r="K824" s="7"/>
      <c r="L824" s="7"/>
      <c r="M824" s="7"/>
      <c r="N824" s="7"/>
      <c r="O824" s="7">
        <f>(E821+2*(G824))*D821</f>
        <v>3.2889999999999997</v>
      </c>
      <c r="P824" s="7">
        <f t="shared" si="149"/>
        <v>9.8669999999999991</v>
      </c>
      <c r="Q824" s="7">
        <f>IF($D824='[2]Beam '!Q$44,$P824*'[2]Beam '!Q$45,0)</f>
        <v>0</v>
      </c>
      <c r="R824" s="7">
        <f>IF($D824='[2]Beam '!R$44,$P824*'[2]Beam '!R$45,0)</f>
        <v>0</v>
      </c>
      <c r="S824" s="7">
        <f>IF($D824='[2]Beam '!S$44,$P824*'[2]Beam '!S$45,0)</f>
        <v>0</v>
      </c>
      <c r="T824" s="7">
        <f>IF($D824='[2]Beam '!T$44,$P824*'[2]Beam '!T$45,0)</f>
        <v>0</v>
      </c>
      <c r="U824" s="7">
        <f>IF($D824='[2]Beam '!U$44,$P824*'[2]Beam '!U$45,0)</f>
        <v>0</v>
      </c>
      <c r="V824" s="7">
        <f>IF($D824='[2]Beam '!V$44,$P824*'[2]Beam '!V$45,0)</f>
        <v>38.036404017857144</v>
      </c>
      <c r="W824" s="7">
        <f>IF($D824='[2]Beam '!W$44,$P824*'[2]Beam '!W$45,0)</f>
        <v>0</v>
      </c>
      <c r="X824" s="7">
        <f t="shared" si="150"/>
        <v>38.036404017857144</v>
      </c>
      <c r="Y824" s="7"/>
      <c r="Z824" s="7"/>
      <c r="AA824" s="7"/>
      <c r="AB824" s="7"/>
      <c r="AC824" s="7"/>
      <c r="AD824" s="7"/>
      <c r="AE824" s="7"/>
    </row>
    <row r="825" spans="1:32" s="14" customFormat="1" ht="20.100000000000001" customHeight="1" x14ac:dyDescent="0.3">
      <c r="A825" s="6"/>
      <c r="B825" s="10" t="s">
        <v>2</v>
      </c>
      <c r="C825" s="13" t="s">
        <v>6</v>
      </c>
      <c r="D825" s="7">
        <v>20</v>
      </c>
      <c r="E825" s="7"/>
      <c r="F825" s="7">
        <v>2</v>
      </c>
      <c r="G825" s="8">
        <f>VLOOKUP(D825,'[2]Beam '!$C$20:$H$26,3,0)</f>
        <v>0.8</v>
      </c>
      <c r="H825" s="7"/>
      <c r="I825" s="7"/>
      <c r="J825" s="7"/>
      <c r="K825" s="7"/>
      <c r="L825" s="7"/>
      <c r="M825" s="7"/>
      <c r="N825" s="7"/>
      <c r="O825" s="7">
        <f>(E821+2*(G825))*D821</f>
        <v>2.8890000000000002</v>
      </c>
      <c r="P825" s="7">
        <f t="shared" si="149"/>
        <v>5.7780000000000005</v>
      </c>
      <c r="Q825" s="7">
        <f>IF($D825='[2]Beam '!Q$44,$P825*'[2]Beam '!Q$45,0)</f>
        <v>0</v>
      </c>
      <c r="R825" s="7">
        <f>IF($D825='[2]Beam '!R$44,$P825*'[2]Beam '!R$45,0)</f>
        <v>0</v>
      </c>
      <c r="S825" s="7">
        <f>IF($D825='[2]Beam '!S$44,$P825*'[2]Beam '!S$45,0)</f>
        <v>0</v>
      </c>
      <c r="T825" s="7">
        <f>IF($D825='[2]Beam '!T$44,$P825*'[2]Beam '!T$45,0)</f>
        <v>0</v>
      </c>
      <c r="U825" s="7">
        <f>IF($D825='[2]Beam '!U$44,$P825*'[2]Beam '!U$45,0)</f>
        <v>14.255151428571429</v>
      </c>
      <c r="V825" s="7">
        <f>IF($D825='[2]Beam '!V$44,$P825*'[2]Beam '!V$45,0)</f>
        <v>0</v>
      </c>
      <c r="W825" s="7">
        <f>IF($D825='[2]Beam '!W$44,$P825*'[2]Beam '!W$45,0)</f>
        <v>0</v>
      </c>
      <c r="X825" s="7">
        <f t="shared" si="150"/>
        <v>14.255151428571429</v>
      </c>
      <c r="Y825" s="7"/>
    </row>
    <row r="826" spans="1:32" s="14" customFormat="1" ht="20.100000000000001" customHeight="1" x14ac:dyDescent="0.25">
      <c r="A826" s="6"/>
      <c r="B826" s="10" t="s">
        <v>2</v>
      </c>
      <c r="C826" s="13" t="s">
        <v>7</v>
      </c>
      <c r="D826" s="7">
        <v>12</v>
      </c>
      <c r="E826" s="7">
        <v>0.1</v>
      </c>
      <c r="F826" s="7">
        <f>ROUNDUP((E821/3*2)/E826,0)+1</f>
        <v>10</v>
      </c>
      <c r="G826" s="9"/>
      <c r="H826" s="7"/>
      <c r="I826" s="7"/>
      <c r="J826" s="7"/>
      <c r="K826" s="7"/>
      <c r="L826" s="7"/>
      <c r="M826" s="7"/>
      <c r="N826" s="7"/>
      <c r="O826" s="7">
        <f>(2*((G821-(2*'[2]Beam '!$D$11))+(F821-(2*'[2]Beam '!$D$11)))+(2*10*D826/1000))*D821</f>
        <v>3.2</v>
      </c>
      <c r="P826" s="7">
        <f t="shared" si="149"/>
        <v>32</v>
      </c>
      <c r="Q826" s="7">
        <f>IF($D826='[2]Beam '!Q$44,$P826*'[2]Beam '!Q$45,0)</f>
        <v>0</v>
      </c>
      <c r="R826" s="7">
        <f>IF($D826='[2]Beam '!R$44,$P826*'[2]Beam '!R$45,0)</f>
        <v>0</v>
      </c>
      <c r="S826" s="7">
        <f>IF($D826='[2]Beam '!S$44,$P826*'[2]Beam '!S$45,0)</f>
        <v>28.421485714285719</v>
      </c>
      <c r="T826" s="7">
        <f>IF($D826='[2]Beam '!T$44,$P826*'[2]Beam '!T$45,0)</f>
        <v>0</v>
      </c>
      <c r="U826" s="7">
        <f>IF($D826='[2]Beam '!U$44,$P826*'[2]Beam '!U$45,0)</f>
        <v>0</v>
      </c>
      <c r="V826" s="7">
        <f>IF($D826='[2]Beam '!V$44,$P826*'[2]Beam '!V$45,0)</f>
        <v>0</v>
      </c>
      <c r="W826" s="7">
        <f>IF($D826='[2]Beam '!W$44,$P826*'[2]Beam '!W$45,0)</f>
        <v>0</v>
      </c>
      <c r="X826" s="7">
        <f t="shared" si="150"/>
        <v>28.421485714285719</v>
      </c>
      <c r="Y826" s="7"/>
    </row>
    <row r="827" spans="1:32" s="14" customFormat="1" ht="20.100000000000001" customHeight="1" x14ac:dyDescent="0.25">
      <c r="B827" s="10" t="s">
        <v>2</v>
      </c>
      <c r="C827" s="13" t="s">
        <v>8</v>
      </c>
      <c r="D827" s="14">
        <f>D826</f>
        <v>12</v>
      </c>
      <c r="E827" s="14">
        <v>0.125</v>
      </c>
      <c r="F827" s="7">
        <f>ROUNDUP((E821/3)/E827,0)+1</f>
        <v>5</v>
      </c>
      <c r="G827" s="9"/>
      <c r="O827" s="7">
        <f>(2*((G821-(2*'[2]Beam '!$D$11))+(F821-(2*'[2]Beam '!$D$11)))+(2*10*D827/1000))*D821</f>
        <v>3.2</v>
      </c>
      <c r="P827" s="7">
        <f t="shared" si="149"/>
        <v>16</v>
      </c>
      <c r="Q827" s="7">
        <f>IF($D827='[2]Beam '!Q$44,$P827*'[2]Beam '!Q$45,0)</f>
        <v>0</v>
      </c>
      <c r="R827" s="7">
        <f>IF($D827='[2]Beam '!R$44,$P827*'[2]Beam '!R$45,0)</f>
        <v>0</v>
      </c>
      <c r="S827" s="7">
        <f>IF($D827='[2]Beam '!S$44,$P827*'[2]Beam '!S$45,0)</f>
        <v>14.21074285714286</v>
      </c>
      <c r="T827" s="7">
        <f>IF($D827='[2]Beam '!T$44,$P827*'[2]Beam '!T$45,0)</f>
        <v>0</v>
      </c>
      <c r="U827" s="7">
        <f>IF($D827='[2]Beam '!U$44,$P827*'[2]Beam '!U$45,0)</f>
        <v>0</v>
      </c>
      <c r="V827" s="7">
        <f>IF($D827='[2]Beam '!V$44,$P827*'[2]Beam '!V$45,0)</f>
        <v>0</v>
      </c>
      <c r="W827" s="7">
        <f>IF($D827='[2]Beam '!W$44,$P827*'[2]Beam '!W$45,0)</f>
        <v>0</v>
      </c>
      <c r="X827" s="7">
        <f t="shared" si="150"/>
        <v>14.21074285714286</v>
      </c>
    </row>
    <row r="828" spans="1:32" s="9" customFormat="1" ht="21" customHeight="1" x14ac:dyDescent="0.25">
      <c r="A828" s="14"/>
      <c r="B828" s="10" t="s">
        <v>2</v>
      </c>
      <c r="C828" s="13" t="s">
        <v>9</v>
      </c>
      <c r="D828" s="14">
        <f>D826</f>
        <v>12</v>
      </c>
      <c r="E828" s="14">
        <f>+E826</f>
        <v>0.1</v>
      </c>
      <c r="F828" s="7">
        <f>ROUNDUP((E821/3*2)/E828,0)+1</f>
        <v>10</v>
      </c>
      <c r="H828" s="14"/>
      <c r="I828" s="14"/>
      <c r="J828" s="14"/>
      <c r="K828" s="14"/>
      <c r="L828" s="14"/>
      <c r="M828" s="14"/>
      <c r="N828" s="14"/>
      <c r="O828" s="7">
        <f>(2*(((F821-'[2]Beam '!$D$11*2)/(F822-1))+(G821-'[2]Beam '!$D$11*2))+(2*10*D828/1000))*D821</f>
        <v>2.76</v>
      </c>
      <c r="P828" s="7">
        <f t="shared" si="149"/>
        <v>27.599999999999998</v>
      </c>
      <c r="Q828" s="7">
        <f>IF($D828='[2]Beam '!Q$44,$P828*'[2]Beam '!Q$45,0)</f>
        <v>0</v>
      </c>
      <c r="R828" s="7">
        <f>IF($D828='[2]Beam '!R$44,$P828*'[2]Beam '!R$45,0)</f>
        <v>0</v>
      </c>
      <c r="S828" s="7">
        <f>IF($D828='[2]Beam '!S$44,$P828*'[2]Beam '!S$45,0)</f>
        <v>24.513531428571429</v>
      </c>
      <c r="T828" s="7">
        <f>IF($D828='[2]Beam '!T$44,$P828*'[2]Beam '!T$45,0)</f>
        <v>0</v>
      </c>
      <c r="U828" s="7">
        <f>IF($D828='[2]Beam '!U$44,$P828*'[2]Beam '!U$45,0)</f>
        <v>0</v>
      </c>
      <c r="V828" s="7">
        <f>IF($D828='[2]Beam '!V$44,$P828*'[2]Beam '!V$45,0)</f>
        <v>0</v>
      </c>
      <c r="W828" s="7">
        <f>IF($D828='[2]Beam '!W$44,$P828*'[2]Beam '!W$45,0)</f>
        <v>0</v>
      </c>
      <c r="X828" s="7">
        <f t="shared" si="150"/>
        <v>24.513531428571429</v>
      </c>
      <c r="Y828" s="14"/>
      <c r="Z828" s="7"/>
      <c r="AA828" s="7"/>
      <c r="AB828" s="7"/>
      <c r="AC828" s="7"/>
      <c r="AD828" s="7"/>
      <c r="AE828" s="7"/>
      <c r="AF828" s="7"/>
    </row>
    <row r="829" spans="1:32" s="9" customFormat="1" ht="20.100000000000001" customHeight="1" x14ac:dyDescent="0.25">
      <c r="A829" s="14"/>
      <c r="B829" s="10" t="s">
        <v>2</v>
      </c>
      <c r="C829" s="13" t="s">
        <v>10</v>
      </c>
      <c r="D829" s="14">
        <f>D827</f>
        <v>12</v>
      </c>
      <c r="E829" s="14">
        <f>+E827</f>
        <v>0.125</v>
      </c>
      <c r="F829" s="7">
        <f>ROUNDUP((E821/3)/E829,0)+1</f>
        <v>5</v>
      </c>
      <c r="H829" s="14"/>
      <c r="I829" s="14"/>
      <c r="J829" s="14"/>
      <c r="K829" s="14"/>
      <c r="L829" s="14"/>
      <c r="M829" s="14"/>
      <c r="N829" s="14"/>
      <c r="O829" s="7">
        <f>(2*(((F821-'[2]Beam '!$D$11*2)/(F822-1))+(G821-'[2]Beam '!$D$11*2))+(2*10*D829/1000))*D821</f>
        <v>2.76</v>
      </c>
      <c r="P829" s="7">
        <f t="shared" si="149"/>
        <v>13.799999999999999</v>
      </c>
      <c r="Q829" s="7">
        <f>IF($D829='[2]Beam '!Q$44,$P829*'[2]Beam '!Q$45,0)</f>
        <v>0</v>
      </c>
      <c r="R829" s="7">
        <f>IF($D829='[2]Beam '!R$44,$P829*'[2]Beam '!R$45,0)</f>
        <v>0</v>
      </c>
      <c r="S829" s="7">
        <f>IF($D829='[2]Beam '!S$44,$P829*'[2]Beam '!S$45,0)</f>
        <v>12.256765714285715</v>
      </c>
      <c r="T829" s="7">
        <f>IF($D829='[2]Beam '!T$44,$P829*'[2]Beam '!T$45,0)</f>
        <v>0</v>
      </c>
      <c r="U829" s="7">
        <f>IF($D829='[2]Beam '!U$44,$P829*'[2]Beam '!U$45,0)</f>
        <v>0</v>
      </c>
      <c r="V829" s="7">
        <f>IF($D829='[2]Beam '!V$44,$P829*'[2]Beam '!V$45,0)</f>
        <v>0</v>
      </c>
      <c r="W829" s="7">
        <f>IF($D829='[2]Beam '!W$44,$P829*'[2]Beam '!W$45,0)</f>
        <v>0</v>
      </c>
      <c r="X829" s="7">
        <f t="shared" si="150"/>
        <v>12.256765714285715</v>
      </c>
      <c r="Y829" s="14"/>
      <c r="Z829" s="7"/>
      <c r="AA829" s="7"/>
      <c r="AB829" s="7"/>
      <c r="AC829" s="7"/>
      <c r="AD829" s="7"/>
      <c r="AE829" s="7"/>
    </row>
    <row r="830" spans="1:32" s="9" customFormat="1" ht="20.100000000000001" customHeight="1" x14ac:dyDescent="0.25">
      <c r="A830" s="7">
        <v>1</v>
      </c>
      <c r="B830" s="10" t="s">
        <v>2</v>
      </c>
      <c r="C830" s="11" t="s">
        <v>127</v>
      </c>
      <c r="D830" s="11">
        <v>1</v>
      </c>
      <c r="E830" s="11">
        <v>1.19</v>
      </c>
      <c r="F830" s="11">
        <v>0.2</v>
      </c>
      <c r="G830" s="11">
        <v>1.1000000000000001</v>
      </c>
      <c r="H830" s="7">
        <f>G830-0.2</f>
        <v>0.90000000000000013</v>
      </c>
      <c r="I830" s="7">
        <f>E830*F830*G830*D830</f>
        <v>0.26180000000000003</v>
      </c>
      <c r="J830" s="7">
        <f>(2*(E830)*H830*D830)+(E830*F830)</f>
        <v>2.3800000000000003</v>
      </c>
      <c r="K830" s="12">
        <f>IF(E830=0.3,J830,0)</f>
        <v>0</v>
      </c>
      <c r="L830" s="12">
        <f>IF(AND(E830&gt;0.3,E830&lt;=0.75),J830,0)</f>
        <v>0</v>
      </c>
      <c r="M830" s="12">
        <f>IF(AND(E830&gt;0.75,E830&lt;=1.2),J830,0)</f>
        <v>2.3800000000000003</v>
      </c>
      <c r="N830" s="12">
        <f>IF(E830&gt;1.2,J830,0)</f>
        <v>0</v>
      </c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>
        <f>SUM(X831:X837)/I830</f>
        <v>164.56643877551019</v>
      </c>
      <c r="Z830" s="7"/>
      <c r="AA830" s="7"/>
      <c r="AB830" s="7"/>
      <c r="AC830" s="7"/>
      <c r="AD830" s="7"/>
      <c r="AE830" s="7"/>
    </row>
    <row r="831" spans="1:32" s="9" customFormat="1" ht="20.100000000000001" customHeight="1" x14ac:dyDescent="0.25">
      <c r="A831" s="6"/>
      <c r="B831" s="10" t="s">
        <v>2</v>
      </c>
      <c r="C831" s="13" t="s">
        <v>4</v>
      </c>
      <c r="D831" s="7">
        <v>16</v>
      </c>
      <c r="E831" s="7"/>
      <c r="F831" s="7">
        <v>2</v>
      </c>
      <c r="G831" s="8">
        <f>VLOOKUP(D831,'[2]Beam '!$C$20:$H$26,3,0)</f>
        <v>0.625</v>
      </c>
      <c r="H831" s="8"/>
      <c r="I831" s="7"/>
      <c r="J831" s="7"/>
      <c r="K831" s="7"/>
      <c r="L831" s="7"/>
      <c r="M831" s="7"/>
      <c r="N831" s="7"/>
      <c r="O831" s="7">
        <f>(E830+2*(G831+(12*D831/1000)))*D830</f>
        <v>2.8239999999999998</v>
      </c>
      <c r="P831" s="7">
        <f t="shared" ref="P831:P837" si="151">O831*F831</f>
        <v>5.6479999999999997</v>
      </c>
      <c r="Q831" s="7">
        <f>IF($D831='[2]Beam '!Q$44,$P831*'[2]Beam '!Q$45,0)</f>
        <v>0</v>
      </c>
      <c r="R831" s="7">
        <f>IF($D831='[2]Beam '!R$44,$P831*'[2]Beam '!R$45,0)</f>
        <v>0</v>
      </c>
      <c r="S831" s="7">
        <f>IF($D831='[2]Beam '!S$44,$P831*'[2]Beam '!S$45,0)</f>
        <v>0</v>
      </c>
      <c r="T831" s="7">
        <f>IF($D831='[2]Beam '!T$44,$P831*'[2]Beam '!T$45,0)</f>
        <v>8.9180306285714295</v>
      </c>
      <c r="U831" s="7">
        <f>IF($D831='[2]Beam '!U$44,$P831*'[2]Beam '!U$45,0)</f>
        <v>0</v>
      </c>
      <c r="V831" s="7">
        <f>IF($D831='[2]Beam '!V$44,$P831*'[2]Beam '!V$45,0)</f>
        <v>0</v>
      </c>
      <c r="W831" s="7">
        <f>IF($D831='[2]Beam '!W$44,$P831*'[2]Beam '!W$45,0)</f>
        <v>0</v>
      </c>
      <c r="X831" s="7">
        <f t="shared" ref="X831:X837" si="152">SUM(Q831:W831)</f>
        <v>8.9180306285714295</v>
      </c>
      <c r="Y831" s="7"/>
      <c r="Z831" s="7"/>
      <c r="AA831" s="7"/>
      <c r="AB831" s="7"/>
      <c r="AC831" s="7"/>
      <c r="AD831" s="7"/>
      <c r="AE831" s="7"/>
    </row>
    <row r="832" spans="1:32" s="9" customFormat="1" ht="20.100000000000001" customHeight="1" x14ac:dyDescent="0.25">
      <c r="A832" s="6"/>
      <c r="B832" s="10" t="s">
        <v>2</v>
      </c>
      <c r="C832" s="13" t="s">
        <v>5</v>
      </c>
      <c r="D832" s="7">
        <v>16</v>
      </c>
      <c r="E832" s="7"/>
      <c r="F832" s="7">
        <v>2</v>
      </c>
      <c r="G832" s="8">
        <f>VLOOKUP(D832,'[2]Beam '!$C$20:$H$26,3,0)</f>
        <v>0.625</v>
      </c>
      <c r="H832" s="8"/>
      <c r="I832" s="7"/>
      <c r="J832" s="7"/>
      <c r="K832" s="7"/>
      <c r="L832" s="7"/>
      <c r="M832" s="7"/>
      <c r="N832" s="7"/>
      <c r="O832" s="7">
        <f>(0.4+1*(G832+(12*D832/1000)))*D830</f>
        <v>1.2170000000000001</v>
      </c>
      <c r="P832" s="7">
        <f t="shared" si="151"/>
        <v>2.4340000000000002</v>
      </c>
      <c r="Q832" s="7">
        <f>IF($D832='[2]Beam '!Q$44,$P832*'[2]Beam '!Q$45,0)</f>
        <v>0</v>
      </c>
      <c r="R832" s="7">
        <f>IF($D832='[2]Beam '!R$44,$P832*'[2]Beam '!R$45,0)</f>
        <v>0</v>
      </c>
      <c r="S832" s="7">
        <f>IF($D832='[2]Beam '!S$44,$P832*'[2]Beam '!S$45,0)</f>
        <v>0</v>
      </c>
      <c r="T832" s="7">
        <f>IF($D832='[2]Beam '!T$44,$P832*'[2]Beam '!T$45,0)</f>
        <v>3.8432164571428578</v>
      </c>
      <c r="U832" s="7">
        <f>IF($D832='[2]Beam '!U$44,$P832*'[2]Beam '!U$45,0)</f>
        <v>0</v>
      </c>
      <c r="V832" s="7">
        <f>IF($D832='[2]Beam '!V$44,$P832*'[2]Beam '!V$45,0)</f>
        <v>0</v>
      </c>
      <c r="W832" s="7">
        <f>IF($D832='[2]Beam '!W$44,$P832*'[2]Beam '!W$45,0)</f>
        <v>0</v>
      </c>
      <c r="X832" s="7">
        <f t="shared" si="152"/>
        <v>3.8432164571428578</v>
      </c>
      <c r="Y832" s="7"/>
      <c r="Z832" s="7"/>
      <c r="AA832" s="7"/>
      <c r="AB832" s="7"/>
      <c r="AC832" s="7"/>
      <c r="AD832" s="7"/>
      <c r="AE832" s="7"/>
    </row>
    <row r="833" spans="1:32" s="9" customFormat="1" ht="20.100000000000001" customHeight="1" x14ac:dyDescent="0.25">
      <c r="A833" s="6"/>
      <c r="B833" s="10" t="s">
        <v>2</v>
      </c>
      <c r="C833" s="13" t="s">
        <v>5</v>
      </c>
      <c r="D833" s="7">
        <v>16</v>
      </c>
      <c r="E833" s="7"/>
      <c r="F833" s="7">
        <v>2</v>
      </c>
      <c r="G833" s="8">
        <f>VLOOKUP(D833,'[2]Beam '!$C$20:$H$26,3,0)</f>
        <v>0.625</v>
      </c>
      <c r="H833" s="8"/>
      <c r="I833" s="7"/>
      <c r="J833" s="7"/>
      <c r="K833" s="7"/>
      <c r="L833" s="7"/>
      <c r="M833" s="7"/>
      <c r="N833" s="7"/>
      <c r="O833" s="7">
        <f>(+E830-0.4+1*(G833+(12*D833/1000)))*D830</f>
        <v>1.6069999999999998</v>
      </c>
      <c r="P833" s="7">
        <f t="shared" si="151"/>
        <v>3.2139999999999995</v>
      </c>
      <c r="Q833" s="7">
        <f>IF($D833='[2]Beam '!Q$44,$P833*'[2]Beam '!Q$45,0)</f>
        <v>0</v>
      </c>
      <c r="R833" s="7">
        <f>IF($D833='[2]Beam '!R$44,$P833*'[2]Beam '!R$45,0)</f>
        <v>0</v>
      </c>
      <c r="S833" s="7">
        <f>IF($D833='[2]Beam '!S$44,$P833*'[2]Beam '!S$45,0)</f>
        <v>0</v>
      </c>
      <c r="T833" s="7">
        <f>IF($D833='[2]Beam '!T$44,$P833*'[2]Beam '!T$45,0)</f>
        <v>5.0748141714285708</v>
      </c>
      <c r="U833" s="7">
        <f>IF($D833='[2]Beam '!U$44,$P833*'[2]Beam '!U$45,0)</f>
        <v>0</v>
      </c>
      <c r="V833" s="7">
        <f>IF($D833='[2]Beam '!V$44,$P833*'[2]Beam '!V$45,0)</f>
        <v>0</v>
      </c>
      <c r="W833" s="7">
        <f>IF($D833='[2]Beam '!W$44,$P833*'[2]Beam '!W$45,0)</f>
        <v>0</v>
      </c>
      <c r="X833" s="7">
        <f t="shared" si="152"/>
        <v>5.0748141714285708</v>
      </c>
      <c r="Y833" s="7"/>
      <c r="Z833" s="7"/>
      <c r="AA833" s="7"/>
      <c r="AB833" s="7"/>
      <c r="AC833" s="7"/>
      <c r="AD833" s="7"/>
      <c r="AE833" s="7"/>
    </row>
    <row r="834" spans="1:32" s="14" customFormat="1" ht="20.100000000000001" customHeight="1" x14ac:dyDescent="0.3">
      <c r="A834" s="6"/>
      <c r="B834" s="10" t="s">
        <v>2</v>
      </c>
      <c r="C834" s="13" t="s">
        <v>6</v>
      </c>
      <c r="D834" s="7">
        <v>16</v>
      </c>
      <c r="E834" s="7"/>
      <c r="F834" s="7">
        <v>2</v>
      </c>
      <c r="G834" s="8">
        <f>VLOOKUP(D834,'[2]Beam '!$C$20:$H$26,3,0)</f>
        <v>0.625</v>
      </c>
      <c r="H834" s="7"/>
      <c r="I834" s="7"/>
      <c r="J834" s="7"/>
      <c r="K834" s="7"/>
      <c r="L834" s="7"/>
      <c r="M834" s="7"/>
      <c r="N834" s="7"/>
      <c r="O834" s="7">
        <f>(E830+2*(G834+(12*D834/1000)))*D830</f>
        <v>2.8239999999999998</v>
      </c>
      <c r="P834" s="7">
        <f t="shared" si="151"/>
        <v>5.6479999999999997</v>
      </c>
      <c r="Q834" s="7">
        <f>IF($D834='[2]Beam '!Q$44,$P834*'[2]Beam '!Q$45,0)</f>
        <v>0</v>
      </c>
      <c r="R834" s="7">
        <f>IF($D834='[2]Beam '!R$44,$P834*'[2]Beam '!R$45,0)</f>
        <v>0</v>
      </c>
      <c r="S834" s="7">
        <f>IF($D834='[2]Beam '!S$44,$P834*'[2]Beam '!S$45,0)</f>
        <v>0</v>
      </c>
      <c r="T834" s="7">
        <f>IF($D834='[2]Beam '!T$44,$P834*'[2]Beam '!T$45,0)</f>
        <v>8.9180306285714295</v>
      </c>
      <c r="U834" s="7">
        <f>IF($D834='[2]Beam '!U$44,$P834*'[2]Beam '!U$45,0)</f>
        <v>0</v>
      </c>
      <c r="V834" s="7">
        <f>IF($D834='[2]Beam '!V$44,$P834*'[2]Beam '!V$45,0)</f>
        <v>0</v>
      </c>
      <c r="W834" s="7">
        <f>IF($D834='[2]Beam '!W$44,$P834*'[2]Beam '!W$45,0)</f>
        <v>0</v>
      </c>
      <c r="X834" s="7">
        <f t="shared" si="152"/>
        <v>8.9180306285714295</v>
      </c>
      <c r="Y834" s="7"/>
    </row>
    <row r="835" spans="1:32" s="9" customFormat="1" ht="20.100000000000001" customHeight="1" x14ac:dyDescent="0.25">
      <c r="A835" s="6"/>
      <c r="B835" s="10" t="s">
        <v>2</v>
      </c>
      <c r="C835" s="13" t="s">
        <v>7</v>
      </c>
      <c r="D835" s="7">
        <v>10</v>
      </c>
      <c r="E835" s="7">
        <v>0.2</v>
      </c>
      <c r="F835" s="7">
        <f>ROUNDUP((E830/3*2)/E835,0)+1</f>
        <v>5</v>
      </c>
      <c r="H835" s="7"/>
      <c r="I835" s="7"/>
      <c r="J835" s="7"/>
      <c r="K835" s="7"/>
      <c r="L835" s="7"/>
      <c r="M835" s="7"/>
      <c r="N835" s="7"/>
      <c r="O835" s="7">
        <f>(2*((G830-(2*'[2]Beam '!$D$11))+(F830-(2*'[2]Beam '!$D$11)))+(2*10*D835/1000))*D830</f>
        <v>2.5600000000000005</v>
      </c>
      <c r="P835" s="7">
        <f t="shared" si="151"/>
        <v>12.800000000000002</v>
      </c>
      <c r="Q835" s="7">
        <f>IF($D835='[2]Beam '!Q$44,$P835*'[2]Beam '!Q$45,0)</f>
        <v>0</v>
      </c>
      <c r="R835" s="7">
        <f>IF($D835='[2]Beam '!R$44,$P835*'[2]Beam '!R$45,0)</f>
        <v>7.8948571428571439</v>
      </c>
      <c r="S835" s="7">
        <f>IF($D835='[2]Beam '!S$44,$P835*'[2]Beam '!S$45,0)</f>
        <v>0</v>
      </c>
      <c r="T835" s="7">
        <f>IF($D835='[2]Beam '!T$44,$P835*'[2]Beam '!T$45,0)</f>
        <v>0</v>
      </c>
      <c r="U835" s="7">
        <f>IF($D835='[2]Beam '!U$44,$P835*'[2]Beam '!U$45,0)</f>
        <v>0</v>
      </c>
      <c r="V835" s="7">
        <f>IF($D835='[2]Beam '!V$44,$P835*'[2]Beam '!V$45,0)</f>
        <v>0</v>
      </c>
      <c r="W835" s="7">
        <f>IF($D835='[2]Beam '!W$44,$P835*'[2]Beam '!W$45,0)</f>
        <v>0</v>
      </c>
      <c r="X835" s="7">
        <f t="shared" si="152"/>
        <v>7.8948571428571439</v>
      </c>
      <c r="Y835" s="7"/>
      <c r="Z835" s="7"/>
      <c r="AA835" s="7"/>
      <c r="AB835" s="7"/>
      <c r="AC835" s="7"/>
      <c r="AD835" s="7"/>
      <c r="AE835" s="7"/>
    </row>
    <row r="836" spans="1:32" s="9" customFormat="1" ht="21" customHeight="1" x14ac:dyDescent="0.25">
      <c r="A836" s="14"/>
      <c r="B836" s="10" t="s">
        <v>2</v>
      </c>
      <c r="C836" s="13" t="s">
        <v>8</v>
      </c>
      <c r="D836" s="14">
        <f>D835</f>
        <v>10</v>
      </c>
      <c r="E836" s="14">
        <v>0.125</v>
      </c>
      <c r="F836" s="7">
        <f>ROUNDUP((E830/3)/E836,0)+1</f>
        <v>5</v>
      </c>
      <c r="H836" s="14"/>
      <c r="I836" s="14"/>
      <c r="J836" s="14"/>
      <c r="K836" s="14"/>
      <c r="L836" s="14"/>
      <c r="M836" s="14"/>
      <c r="N836" s="14"/>
      <c r="O836" s="7">
        <f>(2*((G830-(2*'[2]Beam '!$D$11))+(F830-(2*'[2]Beam '!$D$11)))+(2*10*D836/1000))*D830</f>
        <v>2.5600000000000005</v>
      </c>
      <c r="P836" s="7">
        <f t="shared" si="151"/>
        <v>12.800000000000002</v>
      </c>
      <c r="Q836" s="7">
        <f>IF($D836='[2]Beam '!Q$44,$P836*'[2]Beam '!Q$45,0)</f>
        <v>0</v>
      </c>
      <c r="R836" s="7">
        <f>IF($D836='[2]Beam '!R$44,$P836*'[2]Beam '!R$45,0)</f>
        <v>7.8948571428571439</v>
      </c>
      <c r="S836" s="7">
        <f>IF($D836='[2]Beam '!S$44,$P836*'[2]Beam '!S$45,0)</f>
        <v>0</v>
      </c>
      <c r="T836" s="7">
        <f>IF($D836='[2]Beam '!T$44,$P836*'[2]Beam '!T$45,0)</f>
        <v>0</v>
      </c>
      <c r="U836" s="7">
        <f>IF($D836='[2]Beam '!U$44,$P836*'[2]Beam '!U$45,0)</f>
        <v>0</v>
      </c>
      <c r="V836" s="7">
        <f>IF($D836='[2]Beam '!V$44,$P836*'[2]Beam '!V$45,0)</f>
        <v>0</v>
      </c>
      <c r="W836" s="7">
        <f>IF($D836='[2]Beam '!W$44,$P836*'[2]Beam '!W$45,0)</f>
        <v>0</v>
      </c>
      <c r="X836" s="7">
        <f t="shared" si="152"/>
        <v>7.8948571428571439</v>
      </c>
      <c r="Y836" s="14"/>
      <c r="Z836" s="7"/>
      <c r="AA836" s="7"/>
      <c r="AB836" s="7"/>
      <c r="AC836" s="7"/>
      <c r="AD836" s="7"/>
      <c r="AE836" s="7"/>
      <c r="AF836" s="7"/>
    </row>
    <row r="837" spans="1:32" s="9" customFormat="1" ht="20.100000000000001" customHeight="1" x14ac:dyDescent="0.25">
      <c r="A837" s="6"/>
      <c r="B837" s="10" t="s">
        <v>2</v>
      </c>
      <c r="C837" s="13" t="s">
        <v>11</v>
      </c>
      <c r="D837" s="7">
        <f>+'[2]Beam '!$D$15</f>
        <v>25</v>
      </c>
      <c r="E837" s="7">
        <f>+'[2]Beam '!$E$15</f>
        <v>1</v>
      </c>
      <c r="F837" s="7">
        <f>ROUNDUP((0.4)/E837,0)</f>
        <v>1</v>
      </c>
      <c r="G837" s="8"/>
      <c r="H837" s="8"/>
      <c r="I837" s="7"/>
      <c r="J837" s="7"/>
      <c r="K837" s="7"/>
      <c r="L837" s="7"/>
      <c r="M837" s="7"/>
      <c r="N837" s="7"/>
      <c r="O837" s="7">
        <f>F830-'[2]Beam '!$F$15</f>
        <v>0.14000000000000001</v>
      </c>
      <c r="P837" s="7">
        <f t="shared" si="151"/>
        <v>0.14000000000000001</v>
      </c>
      <c r="Q837" s="7">
        <f>IF($D837='[2]Beam '!Q$44,$P837*'[2]Beam '!Q$45,0)</f>
        <v>0</v>
      </c>
      <c r="R837" s="7">
        <f>IF($D837='[2]Beam '!R$44,$P837*'[2]Beam '!R$45,0)</f>
        <v>0</v>
      </c>
      <c r="S837" s="7">
        <f>IF($D837='[2]Beam '!S$44,$P837*'[2]Beam '!S$45,0)</f>
        <v>0</v>
      </c>
      <c r="T837" s="7">
        <f>IF($D837='[2]Beam '!T$44,$P837*'[2]Beam '!T$45,0)</f>
        <v>0</v>
      </c>
      <c r="U837" s="7">
        <f>IF($D837='[2]Beam '!U$44,$P837*'[2]Beam '!U$45,0)</f>
        <v>0</v>
      </c>
      <c r="V837" s="7">
        <f>IF($D837='[2]Beam '!V$44,$P837*'[2]Beam '!V$45,0)</f>
        <v>0.5396875000000001</v>
      </c>
      <c r="W837" s="7">
        <f>IF($D837='[2]Beam '!W$44,$P837*'[2]Beam '!W$45,0)</f>
        <v>0</v>
      </c>
      <c r="X837" s="7">
        <f t="shared" si="152"/>
        <v>0.5396875000000001</v>
      </c>
      <c r="Y837" s="7"/>
      <c r="Z837" s="7"/>
      <c r="AA837" s="7"/>
      <c r="AB837" s="7"/>
      <c r="AC837" s="7"/>
      <c r="AD837" s="7"/>
      <c r="AE837" s="7"/>
    </row>
    <row r="838" spans="1:32" s="9" customFormat="1" ht="20.100000000000001" customHeight="1" x14ac:dyDescent="0.25">
      <c r="A838" s="7">
        <v>1</v>
      </c>
      <c r="B838" s="10" t="s">
        <v>2</v>
      </c>
      <c r="C838" s="11" t="s">
        <v>128</v>
      </c>
      <c r="D838" s="11">
        <v>1</v>
      </c>
      <c r="E838" s="11">
        <v>1.35</v>
      </c>
      <c r="F838" s="11">
        <v>0.2</v>
      </c>
      <c r="G838" s="11">
        <v>0.8</v>
      </c>
      <c r="H838" s="7">
        <f>G838-0.2</f>
        <v>0.60000000000000009</v>
      </c>
      <c r="I838" s="7">
        <f>E838*F838*G838*D838</f>
        <v>0.21600000000000003</v>
      </c>
      <c r="J838" s="7">
        <f>(2*(E838)*H838*D838)+(E838*F838)</f>
        <v>1.8900000000000003</v>
      </c>
      <c r="K838" s="12">
        <f>IF(E838=0.3,J838,0)</f>
        <v>0</v>
      </c>
      <c r="L838" s="12">
        <f>IF(AND(E838&gt;0.3,E838&lt;=0.75),J838,0)</f>
        <v>0</v>
      </c>
      <c r="M838" s="12">
        <f>IF(AND(E838&gt;0.75,E838&lt;=1.2),J838,0)</f>
        <v>0</v>
      </c>
      <c r="N838" s="12">
        <f>IF(E838&gt;1.2,J838,0)</f>
        <v>1.8900000000000003</v>
      </c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>
        <f>SUM(X839:X844)/I838</f>
        <v>558.39392539682547</v>
      </c>
      <c r="Z838" s="7"/>
      <c r="AA838" s="7"/>
      <c r="AB838" s="7"/>
      <c r="AC838" s="7"/>
      <c r="AD838" s="7"/>
      <c r="AE838" s="7"/>
    </row>
    <row r="839" spans="1:32" s="9" customFormat="1" ht="20.100000000000001" customHeight="1" x14ac:dyDescent="0.25">
      <c r="A839" s="6"/>
      <c r="B839" s="10" t="s">
        <v>2</v>
      </c>
      <c r="C839" s="13" t="s">
        <v>4</v>
      </c>
      <c r="D839" s="7">
        <v>25</v>
      </c>
      <c r="E839" s="7"/>
      <c r="F839" s="7">
        <v>2</v>
      </c>
      <c r="G839" s="8">
        <f>VLOOKUP(D839,'[2]Beam '!$C$20:$H$26,3,0)</f>
        <v>1</v>
      </c>
      <c r="H839" s="8"/>
      <c r="I839" s="7"/>
      <c r="J839" s="7"/>
      <c r="K839" s="7"/>
      <c r="L839" s="7"/>
      <c r="M839" s="7"/>
      <c r="N839" s="7"/>
      <c r="O839" s="7">
        <f>(E838+2*(G839+(12*D839/1000)))*D838</f>
        <v>3.95</v>
      </c>
      <c r="P839" s="7">
        <f t="shared" ref="P839:P844" si="153">O839*F839</f>
        <v>7.9</v>
      </c>
      <c r="Q839" s="7">
        <f>IF($D839='[2]Beam '!Q$44,$P839*'[2]Beam '!Q$45,0)</f>
        <v>0</v>
      </c>
      <c r="R839" s="7">
        <f>IF($D839='[2]Beam '!R$44,$P839*'[2]Beam '!R$45,0)</f>
        <v>0</v>
      </c>
      <c r="S839" s="7">
        <f>IF($D839='[2]Beam '!S$44,$P839*'[2]Beam '!S$45,0)</f>
        <v>0</v>
      </c>
      <c r="T839" s="7">
        <f>IF($D839='[2]Beam '!T$44,$P839*'[2]Beam '!T$45,0)</f>
        <v>0</v>
      </c>
      <c r="U839" s="7">
        <f>IF($D839='[2]Beam '!U$44,$P839*'[2]Beam '!U$45,0)</f>
        <v>0</v>
      </c>
      <c r="V839" s="7">
        <f>IF($D839='[2]Beam '!V$44,$P839*'[2]Beam '!V$45,0)</f>
        <v>30.453794642857147</v>
      </c>
      <c r="W839" s="7">
        <f>IF($D839='[2]Beam '!W$44,$P839*'[2]Beam '!W$45,0)</f>
        <v>0</v>
      </c>
      <c r="X839" s="7">
        <f t="shared" ref="X839:X844" si="154">SUM(Q839:W839)</f>
        <v>30.453794642857147</v>
      </c>
      <c r="Y839" s="7"/>
      <c r="Z839" s="7"/>
      <c r="AA839" s="7"/>
      <c r="AB839" s="7"/>
      <c r="AC839" s="7"/>
      <c r="AD839" s="7"/>
      <c r="AE839" s="7"/>
    </row>
    <row r="840" spans="1:32" s="9" customFormat="1" ht="20.100000000000001" customHeight="1" x14ac:dyDescent="0.25">
      <c r="A840" s="6"/>
      <c r="B840" s="10" t="s">
        <v>2</v>
      </c>
      <c r="C840" s="13" t="s">
        <v>5</v>
      </c>
      <c r="D840" s="7">
        <v>16</v>
      </c>
      <c r="E840" s="7"/>
      <c r="F840" s="7">
        <v>2</v>
      </c>
      <c r="G840" s="8">
        <f>VLOOKUP(D840,'[2]Beam '!$C$20:$H$26,3,0)</f>
        <v>0.625</v>
      </c>
      <c r="H840" s="8"/>
      <c r="I840" s="7"/>
      <c r="J840" s="7"/>
      <c r="K840" s="7"/>
      <c r="L840" s="7"/>
      <c r="M840" s="7"/>
      <c r="N840" s="7"/>
      <c r="O840" s="7">
        <f>(0.4+1*(G840+(12*D840/1000)))*D838</f>
        <v>1.2170000000000001</v>
      </c>
      <c r="P840" s="7">
        <f t="shared" si="153"/>
        <v>2.4340000000000002</v>
      </c>
      <c r="Q840" s="7">
        <f>IF($D840='[2]Beam '!Q$44,$P840*'[2]Beam '!Q$45,0)</f>
        <v>0</v>
      </c>
      <c r="R840" s="7">
        <f>IF($D840='[2]Beam '!R$44,$P840*'[2]Beam '!R$45,0)</f>
        <v>0</v>
      </c>
      <c r="S840" s="7">
        <f>IF($D840='[2]Beam '!S$44,$P840*'[2]Beam '!S$45,0)</f>
        <v>0</v>
      </c>
      <c r="T840" s="7">
        <f>IF($D840='[2]Beam '!T$44,$P840*'[2]Beam '!T$45,0)</f>
        <v>3.8432164571428578</v>
      </c>
      <c r="U840" s="7">
        <f>IF($D840='[2]Beam '!U$44,$P840*'[2]Beam '!U$45,0)</f>
        <v>0</v>
      </c>
      <c r="V840" s="7">
        <f>IF($D840='[2]Beam '!V$44,$P840*'[2]Beam '!V$45,0)</f>
        <v>0</v>
      </c>
      <c r="W840" s="7">
        <f>IF($D840='[2]Beam '!W$44,$P840*'[2]Beam '!W$45,0)</f>
        <v>0</v>
      </c>
      <c r="X840" s="7">
        <f t="shared" si="154"/>
        <v>3.8432164571428578</v>
      </c>
      <c r="Y840" s="7"/>
      <c r="Z840" s="7"/>
      <c r="AA840" s="7"/>
      <c r="AB840" s="7"/>
      <c r="AC840" s="7"/>
      <c r="AD840" s="7"/>
      <c r="AE840" s="7"/>
    </row>
    <row r="841" spans="1:32" s="9" customFormat="1" ht="20.100000000000001" customHeight="1" x14ac:dyDescent="0.25">
      <c r="A841" s="6"/>
      <c r="B841" s="10" t="s">
        <v>2</v>
      </c>
      <c r="C841" s="13" t="s">
        <v>6</v>
      </c>
      <c r="D841" s="7">
        <v>25</v>
      </c>
      <c r="E841" s="7"/>
      <c r="F841" s="7">
        <v>2</v>
      </c>
      <c r="G841" s="8">
        <f>VLOOKUP(D841,'[2]Beam '!$C$20:$H$26,3,0)</f>
        <v>1</v>
      </c>
      <c r="H841" s="7"/>
      <c r="I841" s="7"/>
      <c r="J841" s="7"/>
      <c r="K841" s="7"/>
      <c r="L841" s="7"/>
      <c r="M841" s="7"/>
      <c r="N841" s="7"/>
      <c r="O841" s="7">
        <f>(E838+2*(G841+(12*D841/1000)))*D838</f>
        <v>3.95</v>
      </c>
      <c r="P841" s="7">
        <f t="shared" si="153"/>
        <v>7.9</v>
      </c>
      <c r="Q841" s="7">
        <f>IF($D841='[2]Beam '!Q$44,$P841*'[2]Beam '!Q$45,0)</f>
        <v>0</v>
      </c>
      <c r="R841" s="7">
        <f>IF($D841='[2]Beam '!R$44,$P841*'[2]Beam '!R$45,0)</f>
        <v>0</v>
      </c>
      <c r="S841" s="7">
        <f>IF($D841='[2]Beam '!S$44,$P841*'[2]Beam '!S$45,0)</f>
        <v>0</v>
      </c>
      <c r="T841" s="7">
        <f>IF($D841='[2]Beam '!T$44,$P841*'[2]Beam '!T$45,0)</f>
        <v>0</v>
      </c>
      <c r="U841" s="7">
        <f>IF($D841='[2]Beam '!U$44,$P841*'[2]Beam '!U$45,0)</f>
        <v>0</v>
      </c>
      <c r="V841" s="7">
        <f>IF($D841='[2]Beam '!V$44,$P841*'[2]Beam '!V$45,0)</f>
        <v>30.453794642857147</v>
      </c>
      <c r="W841" s="7">
        <f>IF($D841='[2]Beam '!W$44,$P841*'[2]Beam '!W$45,0)</f>
        <v>0</v>
      </c>
      <c r="X841" s="7">
        <f t="shared" si="154"/>
        <v>30.453794642857147</v>
      </c>
      <c r="Y841" s="7"/>
      <c r="Z841" s="7"/>
      <c r="AA841" s="7"/>
      <c r="AB841" s="7"/>
      <c r="AC841" s="7"/>
      <c r="AD841" s="7"/>
      <c r="AE841" s="7"/>
    </row>
    <row r="842" spans="1:32" s="9" customFormat="1" ht="20.100000000000001" customHeight="1" x14ac:dyDescent="0.25">
      <c r="A842" s="6"/>
      <c r="B842" s="10" t="s">
        <v>2</v>
      </c>
      <c r="C842" s="13" t="s">
        <v>13</v>
      </c>
      <c r="D842" s="7">
        <v>25</v>
      </c>
      <c r="E842" s="7"/>
      <c r="F842" s="7">
        <v>2</v>
      </c>
      <c r="G842" s="8">
        <f>VLOOKUP(D842,'[2]Beam '!$C$20:$H$26,3,0)</f>
        <v>1</v>
      </c>
      <c r="H842" s="7"/>
      <c r="I842" s="7"/>
      <c r="J842" s="7"/>
      <c r="K842" s="7"/>
      <c r="L842" s="7"/>
      <c r="M842" s="7"/>
      <c r="N842" s="7"/>
      <c r="O842" s="7">
        <f>(E838+2*(G842+(12*D842/1000)))*D838</f>
        <v>3.95</v>
      </c>
      <c r="P842" s="7">
        <f t="shared" si="153"/>
        <v>7.9</v>
      </c>
      <c r="Q842" s="7">
        <f>IF($D842='[2]Beam '!Q$44,$P842*'[2]Beam '!Q$45,0)</f>
        <v>0</v>
      </c>
      <c r="R842" s="7">
        <f>IF($D842='[2]Beam '!R$44,$P842*'[2]Beam '!R$45,0)</f>
        <v>0</v>
      </c>
      <c r="S842" s="7">
        <f>IF($D842='[2]Beam '!S$44,$P842*'[2]Beam '!S$45,0)</f>
        <v>0</v>
      </c>
      <c r="T842" s="7">
        <f>IF($D842='[2]Beam '!T$44,$P842*'[2]Beam '!T$45,0)</f>
        <v>0</v>
      </c>
      <c r="U842" s="7">
        <f>IF($D842='[2]Beam '!U$44,$P842*'[2]Beam '!U$45,0)</f>
        <v>0</v>
      </c>
      <c r="V842" s="7">
        <f>IF($D842='[2]Beam '!V$44,$P842*'[2]Beam '!V$45,0)</f>
        <v>30.453794642857147</v>
      </c>
      <c r="W842" s="7">
        <f>IF($D842='[2]Beam '!W$44,$P842*'[2]Beam '!W$45,0)</f>
        <v>0</v>
      </c>
      <c r="X842" s="7">
        <f t="shared" si="154"/>
        <v>30.453794642857147</v>
      </c>
      <c r="Y842" s="7"/>
      <c r="Z842" s="7"/>
      <c r="AA842" s="7"/>
      <c r="AB842" s="7"/>
      <c r="AC842" s="7"/>
      <c r="AD842" s="7"/>
      <c r="AE842" s="7"/>
    </row>
    <row r="843" spans="1:32" s="9" customFormat="1" ht="21" customHeight="1" x14ac:dyDescent="0.25">
      <c r="A843" s="6"/>
      <c r="B843" s="10" t="s">
        <v>2</v>
      </c>
      <c r="C843" s="13" t="s">
        <v>26</v>
      </c>
      <c r="D843" s="7">
        <v>12</v>
      </c>
      <c r="E843" s="7">
        <v>0.1</v>
      </c>
      <c r="F843" s="7">
        <f>ROUNDUP(E838/E843,0)</f>
        <v>14</v>
      </c>
      <c r="H843" s="7"/>
      <c r="I843" s="7"/>
      <c r="J843" s="7"/>
      <c r="K843" s="7"/>
      <c r="L843" s="7"/>
      <c r="M843" s="7"/>
      <c r="N843" s="7"/>
      <c r="O843" s="7">
        <f>(2*((G838-(2*'[2]Beam '!$D$11))+(F838-(2*'[2]Beam '!$D$11)))+(2*10*D843/1000))*D838</f>
        <v>2</v>
      </c>
      <c r="P843" s="7">
        <f t="shared" si="153"/>
        <v>28</v>
      </c>
      <c r="Q843" s="7">
        <f>IF($D843='[2]Beam '!Q$44,$P843*'[2]Beam '!Q$45,0)</f>
        <v>0</v>
      </c>
      <c r="R843" s="7">
        <f>IF($D843='[2]Beam '!R$44,$P843*'[2]Beam '!R$45,0)</f>
        <v>0</v>
      </c>
      <c r="S843" s="7">
        <f>IF($D843='[2]Beam '!S$44,$P843*'[2]Beam '!S$45,0)</f>
        <v>24.868800000000004</v>
      </c>
      <c r="T843" s="7">
        <f>IF($D843='[2]Beam '!T$44,$P843*'[2]Beam '!T$45,0)</f>
        <v>0</v>
      </c>
      <c r="U843" s="7">
        <f>IF($D843='[2]Beam '!U$44,$P843*'[2]Beam '!U$45,0)</f>
        <v>0</v>
      </c>
      <c r="V843" s="7">
        <f>IF($D843='[2]Beam '!V$44,$P843*'[2]Beam '!V$45,0)</f>
        <v>0</v>
      </c>
      <c r="W843" s="7">
        <f>IF($D843='[2]Beam '!W$44,$P843*'[2]Beam '!W$45,0)</f>
        <v>0</v>
      </c>
      <c r="X843" s="7">
        <f t="shared" si="154"/>
        <v>24.868800000000004</v>
      </c>
      <c r="Y843" s="7"/>
      <c r="Z843" s="7"/>
      <c r="AA843" s="7"/>
      <c r="AB843" s="7"/>
      <c r="AC843" s="7"/>
      <c r="AD843" s="7"/>
      <c r="AE843" s="7"/>
      <c r="AF843" s="7"/>
    </row>
    <row r="844" spans="1:32" s="9" customFormat="1" ht="20.100000000000001" customHeight="1" x14ac:dyDescent="0.25">
      <c r="A844" s="6"/>
      <c r="B844" s="10" t="s">
        <v>2</v>
      </c>
      <c r="C844" s="13" t="s">
        <v>11</v>
      </c>
      <c r="D844" s="7">
        <f>+'[2]Beam '!$D$15</f>
        <v>25</v>
      </c>
      <c r="E844" s="7">
        <f>+'[2]Beam '!$E$15</f>
        <v>1</v>
      </c>
      <c r="F844" s="7">
        <f>ROUNDUP((0.4)/E844,0)</f>
        <v>1</v>
      </c>
      <c r="G844" s="8"/>
      <c r="H844" s="8"/>
      <c r="I844" s="7"/>
      <c r="J844" s="7"/>
      <c r="K844" s="7"/>
      <c r="L844" s="7"/>
      <c r="M844" s="7"/>
      <c r="N844" s="7"/>
      <c r="O844" s="7">
        <f>F838-'[2]Beam '!$F$15</f>
        <v>0.14000000000000001</v>
      </c>
      <c r="P844" s="7">
        <f t="shared" si="153"/>
        <v>0.14000000000000001</v>
      </c>
      <c r="Q844" s="7">
        <f>IF($D844='[2]Beam '!Q$44,$P844*'[2]Beam '!Q$45,0)</f>
        <v>0</v>
      </c>
      <c r="R844" s="7">
        <f>IF($D844='[2]Beam '!R$44,$P844*'[2]Beam '!R$45,0)</f>
        <v>0</v>
      </c>
      <c r="S844" s="7">
        <f>IF($D844='[2]Beam '!S$44,$P844*'[2]Beam '!S$45,0)</f>
        <v>0</v>
      </c>
      <c r="T844" s="7">
        <f>IF($D844='[2]Beam '!T$44,$P844*'[2]Beam '!T$45,0)</f>
        <v>0</v>
      </c>
      <c r="U844" s="7">
        <f>IF($D844='[2]Beam '!U$44,$P844*'[2]Beam '!U$45,0)</f>
        <v>0</v>
      </c>
      <c r="V844" s="7">
        <f>IF($D844='[2]Beam '!V$44,$P844*'[2]Beam '!V$45,0)</f>
        <v>0.5396875000000001</v>
      </c>
      <c r="W844" s="7">
        <f>IF($D844='[2]Beam '!W$44,$P844*'[2]Beam '!W$45,0)</f>
        <v>0</v>
      </c>
      <c r="X844" s="7">
        <f t="shared" si="154"/>
        <v>0.5396875000000001</v>
      </c>
      <c r="Y844" s="7"/>
      <c r="Z844" s="7"/>
      <c r="AA844" s="7"/>
      <c r="AB844" s="7"/>
      <c r="AC844" s="7"/>
      <c r="AD844" s="7"/>
      <c r="AE844" s="7"/>
    </row>
    <row r="845" spans="1:32" s="9" customFormat="1" ht="20.100000000000001" customHeight="1" x14ac:dyDescent="0.25">
      <c r="A845" s="7">
        <v>1</v>
      </c>
      <c r="B845" s="10" t="s">
        <v>2</v>
      </c>
      <c r="C845" s="11" t="s">
        <v>129</v>
      </c>
      <c r="D845" s="11">
        <v>1</v>
      </c>
      <c r="E845" s="11">
        <v>4.4249999999999998</v>
      </c>
      <c r="F845" s="11">
        <v>0.3</v>
      </c>
      <c r="G845" s="11">
        <v>1.1000000000000001</v>
      </c>
      <c r="H845" s="7">
        <f>G845-0.2</f>
        <v>0.90000000000000013</v>
      </c>
      <c r="I845" s="7">
        <f>E845*F845*G845*D845</f>
        <v>1.46025</v>
      </c>
      <c r="J845" s="7">
        <f>(2*(E845)*H845*D845)+(E845*F845)</f>
        <v>9.2925000000000004</v>
      </c>
      <c r="K845" s="12">
        <f>IF(E845=0.3,J845,0)</f>
        <v>0</v>
      </c>
      <c r="L845" s="12">
        <f>IF(AND(E845&gt;0.3,E845&lt;=0.75),J845,0)</f>
        <v>0</v>
      </c>
      <c r="M845" s="12">
        <f>IF(AND(E845&gt;0.75,E845&lt;=1.2),J845,0)</f>
        <v>0</v>
      </c>
      <c r="N845" s="12">
        <f>IF(E845&gt;1.2,J845,0)</f>
        <v>9.2925000000000004</v>
      </c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>
        <f>SUM(X846:X850)/I845</f>
        <v>144.64316653214959</v>
      </c>
      <c r="Z845" s="7"/>
      <c r="AA845" s="7"/>
      <c r="AB845" s="7"/>
      <c r="AC845" s="7"/>
      <c r="AD845" s="7"/>
      <c r="AE845" s="7"/>
    </row>
    <row r="846" spans="1:32" s="9" customFormat="1" ht="20.100000000000001" customHeight="1" x14ac:dyDescent="0.25">
      <c r="A846" s="6"/>
      <c r="B846" s="10" t="s">
        <v>2</v>
      </c>
      <c r="C846" s="13" t="s">
        <v>4</v>
      </c>
      <c r="D846" s="7">
        <v>25</v>
      </c>
      <c r="E846" s="7"/>
      <c r="F846" s="7">
        <v>2</v>
      </c>
      <c r="G846" s="8">
        <f>VLOOKUP(D846,'[2]Beam '!$C$20:$H$26,3,0)</f>
        <v>1</v>
      </c>
      <c r="H846" s="8"/>
      <c r="I846" s="7"/>
      <c r="J846" s="7"/>
      <c r="K846" s="7"/>
      <c r="L846" s="7"/>
      <c r="M846" s="7"/>
      <c r="N846" s="7"/>
      <c r="O846" s="7">
        <f>(E845+1*(G846+(12*D846/1000)))+1*(G846)*D845</f>
        <v>6.7249999999999996</v>
      </c>
      <c r="P846" s="7">
        <f>O846*F846</f>
        <v>13.45</v>
      </c>
      <c r="Q846" s="7">
        <f>IF($D846='[2]Beam '!Q$44,$P846*'[2]Beam '!Q$45,0)</f>
        <v>0</v>
      </c>
      <c r="R846" s="7">
        <f>IF($D846='[2]Beam '!R$44,$P846*'[2]Beam '!R$45,0)</f>
        <v>0</v>
      </c>
      <c r="S846" s="7">
        <f>IF($D846='[2]Beam '!S$44,$P846*'[2]Beam '!S$45,0)</f>
        <v>0</v>
      </c>
      <c r="T846" s="7">
        <f>IF($D846='[2]Beam '!T$44,$P846*'[2]Beam '!T$45,0)</f>
        <v>0</v>
      </c>
      <c r="U846" s="7">
        <f>IF($D846='[2]Beam '!U$44,$P846*'[2]Beam '!U$45,0)</f>
        <v>0</v>
      </c>
      <c r="V846" s="7">
        <f>IF($D846='[2]Beam '!V$44,$P846*'[2]Beam '!V$45,0)</f>
        <v>51.848549107142865</v>
      </c>
      <c r="W846" s="7">
        <f>IF($D846='[2]Beam '!W$44,$P846*'[2]Beam '!W$45,0)</f>
        <v>0</v>
      </c>
      <c r="X846" s="7">
        <f>SUM(Q846:W846)</f>
        <v>51.848549107142865</v>
      </c>
      <c r="Y846" s="7"/>
      <c r="Z846" s="7"/>
      <c r="AA846" s="7"/>
      <c r="AB846" s="7"/>
      <c r="AC846" s="7"/>
      <c r="AD846" s="7"/>
      <c r="AE846" s="7"/>
    </row>
    <row r="847" spans="1:32" s="9" customFormat="1" ht="20.100000000000001" customHeight="1" x14ac:dyDescent="0.25">
      <c r="A847" s="6"/>
      <c r="B847" s="10" t="s">
        <v>2</v>
      </c>
      <c r="C847" s="13" t="s">
        <v>4</v>
      </c>
      <c r="D847" s="7">
        <v>20</v>
      </c>
      <c r="E847" s="7"/>
      <c r="F847" s="7">
        <v>1</v>
      </c>
      <c r="G847" s="8">
        <f>VLOOKUP(D847,'[2]Beam '!$C$20:$H$26,3,0)</f>
        <v>0.8</v>
      </c>
      <c r="H847" s="8"/>
      <c r="I847" s="7"/>
      <c r="J847" s="7"/>
      <c r="K847" s="7"/>
      <c r="L847" s="7"/>
      <c r="M847" s="7"/>
      <c r="N847" s="7"/>
      <c r="O847" s="7">
        <f>(E845+1*(G847+(12*D847/1000)))+1*(G847)*D845</f>
        <v>6.2649999999999997</v>
      </c>
      <c r="P847" s="7">
        <f>O847*F847</f>
        <v>6.2649999999999997</v>
      </c>
      <c r="Q847" s="7">
        <f>IF($D847='[2]Beam '!Q$44,$P847*'[2]Beam '!Q$45,0)</f>
        <v>0</v>
      </c>
      <c r="R847" s="7">
        <f>IF($D847='[2]Beam '!R$44,$P847*'[2]Beam '!R$45,0)</f>
        <v>0</v>
      </c>
      <c r="S847" s="7">
        <f>IF($D847='[2]Beam '!S$44,$P847*'[2]Beam '!S$45,0)</f>
        <v>0</v>
      </c>
      <c r="T847" s="7">
        <f>IF($D847='[2]Beam '!T$44,$P847*'[2]Beam '!T$45,0)</f>
        <v>0</v>
      </c>
      <c r="U847" s="7">
        <f>IF($D847='[2]Beam '!U$44,$P847*'[2]Beam '!U$45,0)</f>
        <v>15.456649999999998</v>
      </c>
      <c r="V847" s="7">
        <f>IF($D847='[2]Beam '!V$44,$P847*'[2]Beam '!V$45,0)</f>
        <v>0</v>
      </c>
      <c r="W847" s="7">
        <f>IF($D847='[2]Beam '!W$44,$P847*'[2]Beam '!W$45,0)</f>
        <v>0</v>
      </c>
      <c r="X847" s="7">
        <f>SUM(Q847:W847)</f>
        <v>15.456649999999998</v>
      </c>
      <c r="Y847" s="7"/>
      <c r="Z847" s="7"/>
      <c r="AA847" s="7"/>
      <c r="AB847" s="7"/>
      <c r="AC847" s="7"/>
      <c r="AD847" s="7"/>
      <c r="AE847" s="7"/>
    </row>
    <row r="848" spans="1:32" s="9" customFormat="1" ht="20.100000000000001" customHeight="1" x14ac:dyDescent="0.25">
      <c r="A848" s="6"/>
      <c r="B848" s="10" t="s">
        <v>2</v>
      </c>
      <c r="C848" s="13" t="s">
        <v>6</v>
      </c>
      <c r="D848" s="7">
        <v>25</v>
      </c>
      <c r="E848" s="7"/>
      <c r="F848" s="7">
        <v>2</v>
      </c>
      <c r="G848" s="8">
        <f>VLOOKUP(D848,'[2]Beam '!$C$20:$H$26,3,0)</f>
        <v>1</v>
      </c>
      <c r="H848" s="7"/>
      <c r="I848" s="7"/>
      <c r="J848" s="7"/>
      <c r="K848" s="7"/>
      <c r="L848" s="7"/>
      <c r="M848" s="7"/>
      <c r="N848" s="7"/>
      <c r="O848" s="7">
        <f>(E845+1*(G848+(12*D848/1000))+1*(G848))*D845</f>
        <v>6.7249999999999996</v>
      </c>
      <c r="P848" s="7">
        <f>O848*F848</f>
        <v>13.45</v>
      </c>
      <c r="Q848" s="7">
        <f>IF($D848='[2]Beam '!Q$44,$P848*'[2]Beam '!Q$45,0)</f>
        <v>0</v>
      </c>
      <c r="R848" s="7">
        <f>IF($D848='[2]Beam '!R$44,$P848*'[2]Beam '!R$45,0)</f>
        <v>0</v>
      </c>
      <c r="S848" s="7">
        <f>IF($D848='[2]Beam '!S$44,$P848*'[2]Beam '!S$45,0)</f>
        <v>0</v>
      </c>
      <c r="T848" s="7">
        <f>IF($D848='[2]Beam '!T$44,$P848*'[2]Beam '!T$45,0)</f>
        <v>0</v>
      </c>
      <c r="U848" s="7">
        <f>IF($D848='[2]Beam '!U$44,$P848*'[2]Beam '!U$45,0)</f>
        <v>0</v>
      </c>
      <c r="V848" s="7">
        <f>IF($D848='[2]Beam '!V$44,$P848*'[2]Beam '!V$45,0)</f>
        <v>51.848549107142865</v>
      </c>
      <c r="W848" s="7">
        <f>IF($D848='[2]Beam '!W$44,$P848*'[2]Beam '!W$45,0)</f>
        <v>0</v>
      </c>
      <c r="X848" s="7">
        <f>SUM(Q848:W848)</f>
        <v>51.848549107142865</v>
      </c>
      <c r="Y848" s="7"/>
      <c r="Z848" s="7"/>
      <c r="AA848" s="7"/>
      <c r="AB848" s="7"/>
      <c r="AC848" s="7"/>
      <c r="AD848" s="7"/>
      <c r="AE848" s="7"/>
    </row>
    <row r="849" spans="1:32" s="9" customFormat="1" ht="21" customHeight="1" x14ac:dyDescent="0.25">
      <c r="A849" s="6"/>
      <c r="B849" s="10" t="s">
        <v>2</v>
      </c>
      <c r="C849" s="13" t="s">
        <v>6</v>
      </c>
      <c r="D849" s="7">
        <v>20</v>
      </c>
      <c r="E849" s="7"/>
      <c r="F849" s="7">
        <v>1</v>
      </c>
      <c r="G849" s="8">
        <f>VLOOKUP(D849,'[2]Beam '!$C$20:$H$26,3,0)</f>
        <v>0.8</v>
      </c>
      <c r="H849" s="7"/>
      <c r="I849" s="7"/>
      <c r="J849" s="7"/>
      <c r="K849" s="7"/>
      <c r="L849" s="7"/>
      <c r="M849" s="7"/>
      <c r="N849" s="7"/>
      <c r="O849" s="7">
        <f>(E845+1*(G849+(12*D849/1000))+1*(G849))*D845</f>
        <v>6.2649999999999997</v>
      </c>
      <c r="P849" s="7">
        <f>O849*F849</f>
        <v>6.2649999999999997</v>
      </c>
      <c r="Q849" s="7">
        <f>IF($D849='[2]Beam '!Q$44,$P849*'[2]Beam '!Q$45,0)</f>
        <v>0</v>
      </c>
      <c r="R849" s="7">
        <f>IF($D849='[2]Beam '!R$44,$P849*'[2]Beam '!R$45,0)</f>
        <v>0</v>
      </c>
      <c r="S849" s="7">
        <f>IF($D849='[2]Beam '!S$44,$P849*'[2]Beam '!S$45,0)</f>
        <v>0</v>
      </c>
      <c r="T849" s="7">
        <f>IF($D849='[2]Beam '!T$44,$P849*'[2]Beam '!T$45,0)</f>
        <v>0</v>
      </c>
      <c r="U849" s="7">
        <f>IF($D849='[2]Beam '!U$44,$P849*'[2]Beam '!U$45,0)</f>
        <v>15.456649999999998</v>
      </c>
      <c r="V849" s="7">
        <f>IF($D849='[2]Beam '!V$44,$P849*'[2]Beam '!V$45,0)</f>
        <v>0</v>
      </c>
      <c r="W849" s="7">
        <f>IF($D849='[2]Beam '!W$44,$P849*'[2]Beam '!W$45,0)</f>
        <v>0</v>
      </c>
      <c r="X849" s="7">
        <f>SUM(Q849:W849)</f>
        <v>15.456649999999998</v>
      </c>
      <c r="Y849" s="7"/>
      <c r="Z849" s="7"/>
      <c r="AA849" s="7"/>
      <c r="AB849" s="7"/>
      <c r="AC849" s="7"/>
      <c r="AD849" s="7"/>
      <c r="AE849" s="7"/>
      <c r="AF849" s="7"/>
    </row>
    <row r="850" spans="1:32" s="9" customFormat="1" ht="20.100000000000001" customHeight="1" x14ac:dyDescent="0.25">
      <c r="A850" s="6"/>
      <c r="B850" s="10" t="s">
        <v>2</v>
      </c>
      <c r="C850" s="13" t="s">
        <v>26</v>
      </c>
      <c r="D850" s="7">
        <v>10</v>
      </c>
      <c r="E850" s="7">
        <v>0.1</v>
      </c>
      <c r="F850" s="7">
        <f>ROUNDUP(E845/E850,0)</f>
        <v>45</v>
      </c>
      <c r="H850" s="7"/>
      <c r="I850" s="7"/>
      <c r="J850" s="7"/>
      <c r="K850" s="7"/>
      <c r="L850" s="7"/>
      <c r="M850" s="7"/>
      <c r="N850" s="7"/>
      <c r="O850" s="7">
        <f>(2*((G845-(2*'[2]Beam '!$D$11))+(F845-(2*'[2]Beam '!$D$11)))+(2*10*D850/1000))*D845</f>
        <v>2.7600000000000002</v>
      </c>
      <c r="P850" s="7">
        <f>O850*F850</f>
        <v>124.20000000000002</v>
      </c>
      <c r="Q850" s="7">
        <f>IF($D850='[2]Beam '!Q$44,$P850*'[2]Beam '!Q$45,0)</f>
        <v>0</v>
      </c>
      <c r="R850" s="7">
        <f>IF($D850='[2]Beam '!R$44,$P850*'[2]Beam '!R$45,0)</f>
        <v>76.604785714285725</v>
      </c>
      <c r="S850" s="7">
        <f>IF($D850='[2]Beam '!S$44,$P850*'[2]Beam '!S$45,0)</f>
        <v>0</v>
      </c>
      <c r="T850" s="7">
        <f>IF($D850='[2]Beam '!T$44,$P850*'[2]Beam '!T$45,0)</f>
        <v>0</v>
      </c>
      <c r="U850" s="7">
        <f>IF($D850='[2]Beam '!U$44,$P850*'[2]Beam '!U$45,0)</f>
        <v>0</v>
      </c>
      <c r="V850" s="7">
        <f>IF($D850='[2]Beam '!V$44,$P850*'[2]Beam '!V$45,0)</f>
        <v>0</v>
      </c>
      <c r="W850" s="7">
        <f>IF($D850='[2]Beam '!W$44,$P850*'[2]Beam '!W$45,0)</f>
        <v>0</v>
      </c>
      <c r="X850" s="7">
        <f>SUM(Q850:W850)</f>
        <v>76.604785714285725</v>
      </c>
      <c r="Y850" s="7"/>
      <c r="Z850" s="7"/>
      <c r="AA850" s="7"/>
      <c r="AB850" s="7"/>
      <c r="AC850" s="7"/>
      <c r="AD850" s="7"/>
      <c r="AE850" s="7"/>
    </row>
    <row r="851" spans="1:32" s="9" customFormat="1" ht="20.100000000000001" customHeight="1" x14ac:dyDescent="0.25">
      <c r="A851" s="7">
        <v>1</v>
      </c>
      <c r="B851" s="10" t="s">
        <v>2</v>
      </c>
      <c r="C851" s="11" t="s">
        <v>130</v>
      </c>
      <c r="D851" s="11">
        <v>1</v>
      </c>
      <c r="E851" s="11">
        <v>2</v>
      </c>
      <c r="F851" s="11">
        <v>0.4</v>
      </c>
      <c r="G851" s="11">
        <v>0.8</v>
      </c>
      <c r="H851" s="7">
        <f>G851-0.2</f>
        <v>0.60000000000000009</v>
      </c>
      <c r="I851" s="7">
        <f>E851*F851*G851*D851</f>
        <v>0.64000000000000012</v>
      </c>
      <c r="J851" s="7">
        <f>(2*(E851)*H851*D851)+(E851*F851)</f>
        <v>3.2</v>
      </c>
      <c r="K851" s="12">
        <f>IF(E851=0.3,J851,0)</f>
        <v>0</v>
      </c>
      <c r="L851" s="12">
        <f>IF(AND(E851&gt;0.3,E851&lt;=0.75),J851,0)</f>
        <v>0</v>
      </c>
      <c r="M851" s="12">
        <f>IF(AND(E851&gt;0.75,E851&lt;=1.2),J851,0)</f>
        <v>0</v>
      </c>
      <c r="N851" s="12">
        <f>IF(E851&gt;1.2,J851,0)</f>
        <v>3.2</v>
      </c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>
        <f>SUM(X852:X858)/I851</f>
        <v>353.44606601562498</v>
      </c>
      <c r="Z851" s="7"/>
      <c r="AA851" s="7"/>
      <c r="AB851" s="7"/>
      <c r="AC851" s="7"/>
      <c r="AD851" s="7"/>
      <c r="AE851" s="7"/>
    </row>
    <row r="852" spans="1:32" s="9" customFormat="1" ht="20.100000000000001" customHeight="1" x14ac:dyDescent="0.25">
      <c r="A852" s="6"/>
      <c r="B852" s="10" t="s">
        <v>2</v>
      </c>
      <c r="C852" s="13" t="s">
        <v>4</v>
      </c>
      <c r="D852" s="7">
        <v>32</v>
      </c>
      <c r="E852" s="7"/>
      <c r="F852" s="7">
        <v>4</v>
      </c>
      <c r="G852" s="8">
        <f>VLOOKUP(D852,'[2]Beam '!$C$20:$H$26,3,0)</f>
        <v>1.25</v>
      </c>
      <c r="H852" s="8"/>
      <c r="I852" s="7"/>
      <c r="J852" s="7"/>
      <c r="K852" s="7"/>
      <c r="L852" s="7"/>
      <c r="M852" s="7"/>
      <c r="N852" s="7"/>
      <c r="O852" s="7">
        <f>(E851+1*(0.3/2)+1*(G852)*D851)</f>
        <v>3.4</v>
      </c>
      <c r="P852" s="7">
        <f t="shared" ref="P852:P859" si="155">O852*F852</f>
        <v>13.6</v>
      </c>
      <c r="Q852" s="7">
        <f>IF($D852='[2]Beam '!Q$44,$P852*'[2]Beam '!Q$45,0)</f>
        <v>0</v>
      </c>
      <c r="R852" s="7">
        <f>IF($D852='[2]Beam '!R$44,$P852*'[2]Beam '!R$45,0)</f>
        <v>0</v>
      </c>
      <c r="S852" s="7">
        <f>IF($D852='[2]Beam '!S$44,$P852*'[2]Beam '!S$45,0)</f>
        <v>0</v>
      </c>
      <c r="T852" s="7">
        <f>IF($D852='[2]Beam '!T$44,$P852*'[2]Beam '!T$45,0)</f>
        <v>0</v>
      </c>
      <c r="U852" s="7">
        <f>IF($D852='[2]Beam '!U$44,$P852*'[2]Beam '!U$45,0)</f>
        <v>0</v>
      </c>
      <c r="V852" s="7">
        <f>IF($D852='[2]Beam '!V$44,$P852*'[2]Beam '!V$45,0)</f>
        <v>0</v>
      </c>
      <c r="W852" s="7">
        <f>IF($D852='[2]Beam '!W$44,$P852*'[2]Beam '!W$45,0)</f>
        <v>85.896045714285719</v>
      </c>
      <c r="X852" s="7">
        <f t="shared" ref="X852:X859" si="156">SUM(Q852:W852)</f>
        <v>85.896045714285719</v>
      </c>
      <c r="Y852" s="7"/>
      <c r="Z852" s="7"/>
      <c r="AA852" s="7"/>
      <c r="AB852" s="7"/>
      <c r="AC852" s="7"/>
      <c r="AD852" s="7"/>
      <c r="AE852" s="7"/>
    </row>
    <row r="853" spans="1:32" s="9" customFormat="1" ht="20.100000000000001" customHeight="1" x14ac:dyDescent="0.25">
      <c r="A853" s="6"/>
      <c r="B853" s="10" t="s">
        <v>2</v>
      </c>
      <c r="C853" s="13" t="s">
        <v>4</v>
      </c>
      <c r="D853" s="7">
        <v>32</v>
      </c>
      <c r="E853" s="7"/>
      <c r="F853" s="7">
        <v>4</v>
      </c>
      <c r="G853" s="8">
        <f>VLOOKUP(D853,'[2]Beam '!$C$20:$H$26,3,0)</f>
        <v>1.25</v>
      </c>
      <c r="H853" s="8"/>
      <c r="I853" s="7"/>
      <c r="J853" s="7"/>
      <c r="K853" s="7"/>
      <c r="L853" s="7"/>
      <c r="M853" s="7"/>
      <c r="N853" s="7"/>
      <c r="O853" s="7">
        <f>(0.6+1*(0.3/2)*D851)</f>
        <v>0.75</v>
      </c>
      <c r="P853" s="7">
        <f t="shared" si="155"/>
        <v>3</v>
      </c>
      <c r="Q853" s="7">
        <f>IF($D853='[2]Beam '!Q$44,$P853*'[2]Beam '!Q$45,0)</f>
        <v>0</v>
      </c>
      <c r="R853" s="7">
        <f>IF($D853='[2]Beam '!R$44,$P853*'[2]Beam '!R$45,0)</f>
        <v>0</v>
      </c>
      <c r="S853" s="7">
        <f>IF($D853='[2]Beam '!S$44,$P853*'[2]Beam '!S$45,0)</f>
        <v>0</v>
      </c>
      <c r="T853" s="7">
        <f>IF($D853='[2]Beam '!T$44,$P853*'[2]Beam '!T$45,0)</f>
        <v>0</v>
      </c>
      <c r="U853" s="7">
        <f>IF($D853='[2]Beam '!U$44,$P853*'[2]Beam '!U$45,0)</f>
        <v>0</v>
      </c>
      <c r="V853" s="7">
        <f>IF($D853='[2]Beam '!V$44,$P853*'[2]Beam '!V$45,0)</f>
        <v>0</v>
      </c>
      <c r="W853" s="7">
        <f>IF($D853='[2]Beam '!W$44,$P853*'[2]Beam '!W$45,0)</f>
        <v>18.947657142857146</v>
      </c>
      <c r="X853" s="7">
        <f t="shared" si="156"/>
        <v>18.947657142857146</v>
      </c>
      <c r="Y853" s="7"/>
      <c r="Z853" s="7"/>
      <c r="AA853" s="7"/>
      <c r="AB853" s="7"/>
      <c r="AC853" s="7"/>
      <c r="AD853" s="7"/>
      <c r="AE853" s="7"/>
    </row>
    <row r="854" spans="1:32" s="14" customFormat="1" ht="20.100000000000001" customHeight="1" x14ac:dyDescent="0.3">
      <c r="A854" s="6"/>
      <c r="B854" s="10" t="s">
        <v>2</v>
      </c>
      <c r="C854" s="13" t="s">
        <v>6</v>
      </c>
      <c r="D854" s="7">
        <v>25</v>
      </c>
      <c r="E854" s="7"/>
      <c r="F854" s="7">
        <v>3</v>
      </c>
      <c r="G854" s="8">
        <f>VLOOKUP(D854,'[2]Beam '!$C$20:$H$26,3,0)</f>
        <v>1</v>
      </c>
      <c r="H854" s="7"/>
      <c r="I854" s="7"/>
      <c r="J854" s="7"/>
      <c r="K854" s="7"/>
      <c r="L854" s="7"/>
      <c r="M854" s="7"/>
      <c r="N854" s="7"/>
      <c r="O854" s="7">
        <f>(E851+1*(0.3/2)+1*(G854)*D851)</f>
        <v>3.15</v>
      </c>
      <c r="P854" s="7">
        <f t="shared" si="155"/>
        <v>9.4499999999999993</v>
      </c>
      <c r="Q854" s="7">
        <f>IF($D854='[2]Beam '!Q$44,$P854*'[2]Beam '!Q$45,0)</f>
        <v>0</v>
      </c>
      <c r="R854" s="7">
        <f>IF($D854='[2]Beam '!R$44,$P854*'[2]Beam '!R$45,0)</f>
        <v>0</v>
      </c>
      <c r="S854" s="7">
        <f>IF($D854='[2]Beam '!S$44,$P854*'[2]Beam '!S$45,0)</f>
        <v>0</v>
      </c>
      <c r="T854" s="7">
        <f>IF($D854='[2]Beam '!T$44,$P854*'[2]Beam '!T$45,0)</f>
        <v>0</v>
      </c>
      <c r="U854" s="7">
        <f>IF($D854='[2]Beam '!U$44,$P854*'[2]Beam '!U$45,0)</f>
        <v>0</v>
      </c>
      <c r="V854" s="7">
        <f>IF($D854='[2]Beam '!V$44,$P854*'[2]Beam '!V$45,0)</f>
        <v>36.428906250000004</v>
      </c>
      <c r="W854" s="7">
        <f>IF($D854='[2]Beam '!W$44,$P854*'[2]Beam '!W$45,0)</f>
        <v>0</v>
      </c>
      <c r="X854" s="7">
        <f t="shared" si="156"/>
        <v>36.428906250000004</v>
      </c>
      <c r="Y854" s="7"/>
    </row>
    <row r="855" spans="1:32" s="14" customFormat="1" ht="20.100000000000001" customHeight="1" x14ac:dyDescent="0.25">
      <c r="A855" s="6"/>
      <c r="B855" s="10" t="s">
        <v>2</v>
      </c>
      <c r="C855" s="13" t="s">
        <v>7</v>
      </c>
      <c r="D855" s="7">
        <v>12</v>
      </c>
      <c r="E855" s="7">
        <v>0.1</v>
      </c>
      <c r="F855" s="7">
        <f>ROUNDUP((E851/3*2)/E855,0)+1</f>
        <v>15</v>
      </c>
      <c r="G855" s="9"/>
      <c r="H855" s="7"/>
      <c r="I855" s="7"/>
      <c r="J855" s="7"/>
      <c r="K855" s="7"/>
      <c r="L855" s="7"/>
      <c r="M855" s="7"/>
      <c r="N855" s="7"/>
      <c r="O855" s="7">
        <f>(2*((G851-(2*'[2]Beam '!$D$11))+(F851-(2*'[2]Beam '!$D$11)))+(2*10*D855/1000))*D851</f>
        <v>2.4000000000000004</v>
      </c>
      <c r="P855" s="7">
        <f t="shared" si="155"/>
        <v>36.000000000000007</v>
      </c>
      <c r="Q855" s="7">
        <f>IF($D855='[2]Beam '!Q$44,$P855*'[2]Beam '!Q$45,0)</f>
        <v>0</v>
      </c>
      <c r="R855" s="7">
        <f>IF($D855='[2]Beam '!R$44,$P855*'[2]Beam '!R$45,0)</f>
        <v>0</v>
      </c>
      <c r="S855" s="7">
        <f>IF($D855='[2]Beam '!S$44,$P855*'[2]Beam '!S$45,0)</f>
        <v>31.974171428571442</v>
      </c>
      <c r="T855" s="7">
        <f>IF($D855='[2]Beam '!T$44,$P855*'[2]Beam '!T$45,0)</f>
        <v>0</v>
      </c>
      <c r="U855" s="7">
        <f>IF($D855='[2]Beam '!U$44,$P855*'[2]Beam '!U$45,0)</f>
        <v>0</v>
      </c>
      <c r="V855" s="7">
        <f>IF($D855='[2]Beam '!V$44,$P855*'[2]Beam '!V$45,0)</f>
        <v>0</v>
      </c>
      <c r="W855" s="7">
        <f>IF($D855='[2]Beam '!W$44,$P855*'[2]Beam '!W$45,0)</f>
        <v>0</v>
      </c>
      <c r="X855" s="7">
        <f t="shared" si="156"/>
        <v>31.974171428571442</v>
      </c>
      <c r="Y855" s="7"/>
    </row>
    <row r="856" spans="1:32" s="14" customFormat="1" ht="20.100000000000001" customHeight="1" x14ac:dyDescent="0.25">
      <c r="B856" s="10" t="s">
        <v>2</v>
      </c>
      <c r="C856" s="13" t="s">
        <v>8</v>
      </c>
      <c r="D856" s="14">
        <f>D855</f>
        <v>12</v>
      </c>
      <c r="E856" s="14">
        <v>0.125</v>
      </c>
      <c r="F856" s="7">
        <f>ROUNDUP((E851/3)/E856,0)+1</f>
        <v>7</v>
      </c>
      <c r="G856" s="9"/>
      <c r="O856" s="7">
        <f>(2*((G851-(2*'[2]Beam '!$D$11))+(F851-(2*'[2]Beam '!$D$11)))+(2*10*D856/1000))*D851</f>
        <v>2.4000000000000004</v>
      </c>
      <c r="P856" s="7">
        <f t="shared" si="155"/>
        <v>16.800000000000004</v>
      </c>
      <c r="Q856" s="7">
        <f>IF($D856='[2]Beam '!Q$44,$P856*'[2]Beam '!Q$45,0)</f>
        <v>0</v>
      </c>
      <c r="R856" s="7">
        <f>IF($D856='[2]Beam '!R$44,$P856*'[2]Beam '!R$45,0)</f>
        <v>0</v>
      </c>
      <c r="S856" s="7">
        <f>IF($D856='[2]Beam '!S$44,$P856*'[2]Beam '!S$45,0)</f>
        <v>14.921280000000007</v>
      </c>
      <c r="T856" s="7">
        <f>IF($D856='[2]Beam '!T$44,$P856*'[2]Beam '!T$45,0)</f>
        <v>0</v>
      </c>
      <c r="U856" s="7">
        <f>IF($D856='[2]Beam '!U$44,$P856*'[2]Beam '!U$45,0)</f>
        <v>0</v>
      </c>
      <c r="V856" s="7">
        <f>IF($D856='[2]Beam '!V$44,$P856*'[2]Beam '!V$45,0)</f>
        <v>0</v>
      </c>
      <c r="W856" s="7">
        <f>IF($D856='[2]Beam '!W$44,$P856*'[2]Beam '!W$45,0)</f>
        <v>0</v>
      </c>
      <c r="X856" s="7">
        <f t="shared" si="156"/>
        <v>14.921280000000007</v>
      </c>
    </row>
    <row r="857" spans="1:32" s="9" customFormat="1" ht="20.100000000000001" customHeight="1" x14ac:dyDescent="0.25">
      <c r="A857" s="14"/>
      <c r="B857" s="10" t="s">
        <v>2</v>
      </c>
      <c r="C857" s="13" t="s">
        <v>9</v>
      </c>
      <c r="D857" s="14">
        <f>D855</f>
        <v>12</v>
      </c>
      <c r="E857" s="14">
        <f>+E855</f>
        <v>0.1</v>
      </c>
      <c r="F857" s="7">
        <f>ROUNDUP((E851/3*2)/E857,0)+1</f>
        <v>15</v>
      </c>
      <c r="H857" s="14"/>
      <c r="I857" s="14"/>
      <c r="J857" s="14"/>
      <c r="K857" s="14"/>
      <c r="L857" s="14"/>
      <c r="M857" s="14"/>
      <c r="N857" s="14"/>
      <c r="O857" s="7">
        <f>(2*(((F851-'[2]Beam '!$D$11*2)/(F852-1))+(G851-'[2]Beam '!$D$11*2))+(2*10*D857/1000))*D851</f>
        <v>1.9466666666666665</v>
      </c>
      <c r="P857" s="7">
        <f t="shared" si="155"/>
        <v>29.2</v>
      </c>
      <c r="Q857" s="7">
        <f>IF($D857='[2]Beam '!Q$44,$P857*'[2]Beam '!Q$45,0)</f>
        <v>0</v>
      </c>
      <c r="R857" s="7">
        <f>IF($D857='[2]Beam '!R$44,$P857*'[2]Beam '!R$45,0)</f>
        <v>0</v>
      </c>
      <c r="S857" s="7">
        <f>IF($D857='[2]Beam '!S$44,$P857*'[2]Beam '!S$45,0)</f>
        <v>25.93460571428572</v>
      </c>
      <c r="T857" s="7">
        <f>IF($D857='[2]Beam '!T$44,$P857*'[2]Beam '!T$45,0)</f>
        <v>0</v>
      </c>
      <c r="U857" s="7">
        <f>IF($D857='[2]Beam '!U$44,$P857*'[2]Beam '!U$45,0)</f>
        <v>0</v>
      </c>
      <c r="V857" s="7">
        <f>IF($D857='[2]Beam '!V$44,$P857*'[2]Beam '!V$45,0)</f>
        <v>0</v>
      </c>
      <c r="W857" s="7">
        <f>IF($D857='[2]Beam '!W$44,$P857*'[2]Beam '!W$45,0)</f>
        <v>0</v>
      </c>
      <c r="X857" s="7">
        <f t="shared" si="156"/>
        <v>25.93460571428572</v>
      </c>
      <c r="Y857" s="14"/>
      <c r="Z857" s="7"/>
      <c r="AA857" s="7"/>
      <c r="AB857" s="7"/>
      <c r="AC857" s="7"/>
      <c r="AD857" s="7"/>
      <c r="AE857" s="7"/>
    </row>
    <row r="858" spans="1:32" s="9" customFormat="1" ht="21" customHeight="1" x14ac:dyDescent="0.25">
      <c r="A858" s="14"/>
      <c r="B858" s="10" t="s">
        <v>2</v>
      </c>
      <c r="C858" s="13" t="s">
        <v>10</v>
      </c>
      <c r="D858" s="14">
        <f>D856</f>
        <v>12</v>
      </c>
      <c r="E858" s="14">
        <f>+E856</f>
        <v>0.125</v>
      </c>
      <c r="F858" s="7">
        <f>ROUNDUP((E851/3)/E858,0)+1</f>
        <v>7</v>
      </c>
      <c r="H858" s="14"/>
      <c r="I858" s="14"/>
      <c r="J858" s="14"/>
      <c r="K858" s="14"/>
      <c r="L858" s="14"/>
      <c r="M858" s="14"/>
      <c r="N858" s="14"/>
      <c r="O858" s="7">
        <f>(2*(((F851-'[2]Beam '!$D$11*2)/(F852-1))+(G851-'[2]Beam '!$D$11*2))+(2*10*D858/1000))*D851</f>
        <v>1.9466666666666665</v>
      </c>
      <c r="P858" s="7">
        <f t="shared" si="155"/>
        <v>13.626666666666665</v>
      </c>
      <c r="Q858" s="7">
        <f>IF($D858='[2]Beam '!Q$44,$P858*'[2]Beam '!Q$45,0)</f>
        <v>0</v>
      </c>
      <c r="R858" s="7">
        <f>IF($D858='[2]Beam '!R$44,$P858*'[2]Beam '!R$45,0)</f>
        <v>0</v>
      </c>
      <c r="S858" s="7">
        <f>IF($D858='[2]Beam '!S$44,$P858*'[2]Beam '!S$45,0)</f>
        <v>12.102816000000001</v>
      </c>
      <c r="T858" s="7">
        <f>IF($D858='[2]Beam '!T$44,$P858*'[2]Beam '!T$45,0)</f>
        <v>0</v>
      </c>
      <c r="U858" s="7">
        <f>IF($D858='[2]Beam '!U$44,$P858*'[2]Beam '!U$45,0)</f>
        <v>0</v>
      </c>
      <c r="V858" s="7">
        <f>IF($D858='[2]Beam '!V$44,$P858*'[2]Beam '!V$45,0)</f>
        <v>0</v>
      </c>
      <c r="W858" s="7">
        <f>IF($D858='[2]Beam '!W$44,$P858*'[2]Beam '!W$45,0)</f>
        <v>0</v>
      </c>
      <c r="X858" s="7">
        <f t="shared" si="156"/>
        <v>12.102816000000001</v>
      </c>
      <c r="Y858" s="14"/>
      <c r="Z858" s="7"/>
      <c r="AA858" s="7"/>
      <c r="AB858" s="7"/>
      <c r="AC858" s="7"/>
      <c r="AD858" s="7"/>
      <c r="AE858" s="7"/>
      <c r="AF858" s="7"/>
    </row>
    <row r="859" spans="1:32" s="9" customFormat="1" ht="20.100000000000001" customHeight="1" x14ac:dyDescent="0.25">
      <c r="A859" s="6"/>
      <c r="B859" s="10" t="s">
        <v>2</v>
      </c>
      <c r="C859" s="13" t="s">
        <v>11</v>
      </c>
      <c r="D859" s="7">
        <f>+'[2]Beam '!$D$15</f>
        <v>25</v>
      </c>
      <c r="E859" s="7">
        <f>+'[2]Beam '!$E$15</f>
        <v>1</v>
      </c>
      <c r="F859" s="7">
        <f>ROUNDUP((0.6)/E859,0)</f>
        <v>1</v>
      </c>
      <c r="G859" s="8"/>
      <c r="H859" s="8"/>
      <c r="I859" s="7"/>
      <c r="J859" s="7"/>
      <c r="K859" s="7"/>
      <c r="L859" s="7"/>
      <c r="M859" s="7"/>
      <c r="N859" s="7"/>
      <c r="O859" s="7">
        <f>F851-'[2]Beam '!$F$15</f>
        <v>0.34</v>
      </c>
      <c r="P859" s="7">
        <f t="shared" si="155"/>
        <v>0.34</v>
      </c>
      <c r="Q859" s="7">
        <f>IF($D859='[2]Beam '!Q$44,$P859*'[2]Beam '!Q$45,0)</f>
        <v>0</v>
      </c>
      <c r="R859" s="7">
        <f>IF($D859='[2]Beam '!R$44,$P859*'[2]Beam '!R$45,0)</f>
        <v>0</v>
      </c>
      <c r="S859" s="7">
        <f>IF($D859='[2]Beam '!S$44,$P859*'[2]Beam '!S$45,0)</f>
        <v>0</v>
      </c>
      <c r="T859" s="7">
        <f>IF($D859='[2]Beam '!T$44,$P859*'[2]Beam '!T$45,0)</f>
        <v>0</v>
      </c>
      <c r="U859" s="7">
        <f>IF($D859='[2]Beam '!U$44,$P859*'[2]Beam '!U$45,0)</f>
        <v>0</v>
      </c>
      <c r="V859" s="7">
        <f>IF($D859='[2]Beam '!V$44,$P859*'[2]Beam '!V$45,0)</f>
        <v>1.3106696428571432</v>
      </c>
      <c r="W859" s="7">
        <f>IF($D859='[2]Beam '!W$44,$P859*'[2]Beam '!W$45,0)</f>
        <v>0</v>
      </c>
      <c r="X859" s="7">
        <f t="shared" si="156"/>
        <v>1.3106696428571432</v>
      </c>
      <c r="Y859" s="7"/>
      <c r="Z859" s="7"/>
      <c r="AA859" s="7"/>
      <c r="AB859" s="7"/>
      <c r="AC859" s="7"/>
      <c r="AD859" s="7"/>
      <c r="AE859" s="7"/>
    </row>
    <row r="860" spans="1:32" s="9" customFormat="1" ht="20.100000000000001" customHeight="1" x14ac:dyDescent="0.25">
      <c r="A860" s="7">
        <v>1</v>
      </c>
      <c r="B860" s="10" t="s">
        <v>2</v>
      </c>
      <c r="C860" s="11" t="s">
        <v>131</v>
      </c>
      <c r="D860" s="11">
        <v>1</v>
      </c>
      <c r="E860" s="11">
        <v>3.9489999999999998</v>
      </c>
      <c r="F860" s="11">
        <v>0.3</v>
      </c>
      <c r="G860" s="11">
        <v>1.1000000000000001</v>
      </c>
      <c r="H860" s="7">
        <f>G860-0.2</f>
        <v>0.90000000000000013</v>
      </c>
      <c r="I860" s="7">
        <f>E860*F860*G860*D860</f>
        <v>1.3031699999999999</v>
      </c>
      <c r="J860" s="7">
        <f>(2*(E860)*H860*D860)+(E860*F860)</f>
        <v>8.2929000000000013</v>
      </c>
      <c r="K860" s="12">
        <f>IF(E860=0.3,J860,0)</f>
        <v>0</v>
      </c>
      <c r="L860" s="12">
        <f>IF(AND(E860&gt;0.3,E860&lt;=0.75),J860,0)</f>
        <v>0</v>
      </c>
      <c r="M860" s="12">
        <f>IF(AND(E860&gt;0.75,E860&lt;=1.2),J860,0)</f>
        <v>0</v>
      </c>
      <c r="N860" s="12">
        <f>IF(E860&gt;1.2,J860,0)</f>
        <v>8.2929000000000013</v>
      </c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>
        <f>SUM(X862:X865)/I860</f>
        <v>144.54366611800458</v>
      </c>
      <c r="Z860" s="7"/>
      <c r="AA860" s="7"/>
      <c r="AB860" s="7"/>
      <c r="AC860" s="7"/>
      <c r="AD860" s="7"/>
      <c r="AE860" s="7"/>
    </row>
    <row r="861" spans="1:32" s="9" customFormat="1" ht="20.100000000000001" customHeight="1" x14ac:dyDescent="0.25">
      <c r="A861" s="6"/>
      <c r="B861" s="10" t="s">
        <v>2</v>
      </c>
      <c r="C861" s="13" t="s">
        <v>4</v>
      </c>
      <c r="D861" s="7">
        <v>25</v>
      </c>
      <c r="E861" s="7"/>
      <c r="F861" s="7">
        <v>2</v>
      </c>
      <c r="G861" s="8">
        <f>VLOOKUP(D861,'[2]Beam '!$C$20:$H$26,3,0)</f>
        <v>1</v>
      </c>
      <c r="H861" s="8"/>
      <c r="I861" s="7"/>
      <c r="J861" s="7"/>
      <c r="K861" s="7"/>
      <c r="L861" s="7"/>
      <c r="M861" s="7"/>
      <c r="N861" s="7"/>
      <c r="O861" s="7">
        <f>(E860+1*(G861+(12*D861/1000)))+1*(0.3/2)*D860</f>
        <v>5.399</v>
      </c>
      <c r="P861" s="7">
        <f t="shared" ref="P861:P869" si="157">O861*F861</f>
        <v>10.798</v>
      </c>
      <c r="Q861" s="7">
        <f>IF($D861='[2]Beam '!Q$44,$P861*'[2]Beam '!Q$45,0)</f>
        <v>0</v>
      </c>
      <c r="R861" s="7">
        <f>IF($D861='[2]Beam '!R$44,$P861*'[2]Beam '!R$45,0)</f>
        <v>0</v>
      </c>
      <c r="S861" s="7">
        <f>IF($D861='[2]Beam '!S$44,$P861*'[2]Beam '!S$45,0)</f>
        <v>0</v>
      </c>
      <c r="T861" s="7">
        <f>IF($D861='[2]Beam '!T$44,$P861*'[2]Beam '!T$45,0)</f>
        <v>0</v>
      </c>
      <c r="U861" s="7">
        <f>IF($D861='[2]Beam '!U$44,$P861*'[2]Beam '!U$45,0)</f>
        <v>0</v>
      </c>
      <c r="V861" s="7">
        <f>IF($D861='[2]Beam '!V$44,$P861*'[2]Beam '!V$45,0)</f>
        <v>41.625325892857148</v>
      </c>
      <c r="W861" s="7">
        <f>IF($D861='[2]Beam '!W$44,$P861*'[2]Beam '!W$45,0)</f>
        <v>0</v>
      </c>
      <c r="X861" s="7">
        <f t="shared" ref="X861:X869" si="158">SUM(Q861:W861)</f>
        <v>41.625325892857148</v>
      </c>
      <c r="Y861" s="7"/>
      <c r="Z861" s="7"/>
      <c r="AA861" s="7"/>
      <c r="AB861" s="7"/>
      <c r="AC861" s="7"/>
      <c r="AD861" s="7"/>
      <c r="AE861" s="7"/>
    </row>
    <row r="862" spans="1:32" s="9" customFormat="1" ht="20.100000000000001" customHeight="1" x14ac:dyDescent="0.25">
      <c r="A862" s="6"/>
      <c r="B862" s="10" t="s">
        <v>2</v>
      </c>
      <c r="C862" s="13" t="s">
        <v>4</v>
      </c>
      <c r="D862" s="7">
        <v>20</v>
      </c>
      <c r="E862" s="7"/>
      <c r="F862" s="7">
        <v>1</v>
      </c>
      <c r="G862" s="8">
        <f>VLOOKUP(D862,'[2]Beam '!$C$20:$H$26,3,0)</f>
        <v>0.8</v>
      </c>
      <c r="H862" s="8"/>
      <c r="I862" s="7"/>
      <c r="J862" s="7"/>
      <c r="K862" s="7"/>
      <c r="L862" s="7"/>
      <c r="M862" s="7"/>
      <c r="N862" s="7"/>
      <c r="O862" s="7">
        <f>(E860+1*(G862+(12*D862/1000)))+1*(0.3/2)*D860</f>
        <v>5.1390000000000002</v>
      </c>
      <c r="P862" s="7">
        <f t="shared" si="157"/>
        <v>5.1390000000000002</v>
      </c>
      <c r="Q862" s="7">
        <f>IF($D862='[2]Beam '!Q$44,$P862*'[2]Beam '!Q$45,0)</f>
        <v>0</v>
      </c>
      <c r="R862" s="7">
        <f>IF($D862='[2]Beam '!R$44,$P862*'[2]Beam '!R$45,0)</f>
        <v>0</v>
      </c>
      <c r="S862" s="7">
        <f>IF($D862='[2]Beam '!S$44,$P862*'[2]Beam '!S$45,0)</f>
        <v>0</v>
      </c>
      <c r="T862" s="7">
        <f>IF($D862='[2]Beam '!T$44,$P862*'[2]Beam '!T$45,0)</f>
        <v>0</v>
      </c>
      <c r="U862" s="7">
        <f>IF($D862='[2]Beam '!U$44,$P862*'[2]Beam '!U$45,0)</f>
        <v>12.678647142857143</v>
      </c>
      <c r="V862" s="7">
        <f>IF($D862='[2]Beam '!V$44,$P862*'[2]Beam '!V$45,0)</f>
        <v>0</v>
      </c>
      <c r="W862" s="7">
        <f>IF($D862='[2]Beam '!W$44,$P862*'[2]Beam '!W$45,0)</f>
        <v>0</v>
      </c>
      <c r="X862" s="7">
        <f t="shared" si="158"/>
        <v>12.678647142857143</v>
      </c>
      <c r="Y862" s="7"/>
      <c r="Z862" s="7"/>
      <c r="AA862" s="7"/>
      <c r="AB862" s="7"/>
      <c r="AC862" s="7"/>
      <c r="AD862" s="7"/>
      <c r="AE862" s="7"/>
    </row>
    <row r="863" spans="1:32" s="9" customFormat="1" ht="20.100000000000001" customHeight="1" x14ac:dyDescent="0.25">
      <c r="A863" s="6"/>
      <c r="B863" s="10" t="s">
        <v>2</v>
      </c>
      <c r="C863" s="13" t="s">
        <v>46</v>
      </c>
      <c r="D863" s="7">
        <v>32</v>
      </c>
      <c r="E863" s="7"/>
      <c r="F863" s="7">
        <v>4</v>
      </c>
      <c r="G863" s="8">
        <f>VLOOKUP(D863,'[2]Beam '!$C$20:$H$26,3,0)</f>
        <v>1.25</v>
      </c>
      <c r="H863" s="7"/>
      <c r="I863" s="7"/>
      <c r="J863" s="7"/>
      <c r="K863" s="7"/>
      <c r="L863" s="7"/>
      <c r="M863" s="7"/>
      <c r="N863" s="7"/>
      <c r="O863" s="7">
        <f>(1.05+1*(0.3/2)*D860)</f>
        <v>1.2</v>
      </c>
      <c r="P863" s="7">
        <f t="shared" si="157"/>
        <v>4.8</v>
      </c>
      <c r="Q863" s="7">
        <f>IF($D863='[2]Beam '!Q$44,$P863*'[2]Beam '!Q$45,0)</f>
        <v>0</v>
      </c>
      <c r="R863" s="7">
        <f>IF($D863='[2]Beam '!R$44,$P863*'[2]Beam '!R$45,0)</f>
        <v>0</v>
      </c>
      <c r="S863" s="7">
        <f>IF($D863='[2]Beam '!S$44,$P863*'[2]Beam '!S$45,0)</f>
        <v>0</v>
      </c>
      <c r="T863" s="7">
        <f>IF($D863='[2]Beam '!T$44,$P863*'[2]Beam '!T$45,0)</f>
        <v>0</v>
      </c>
      <c r="U863" s="7">
        <f>IF($D863='[2]Beam '!U$44,$P863*'[2]Beam '!U$45,0)</f>
        <v>0</v>
      </c>
      <c r="V863" s="7">
        <f>IF($D863='[2]Beam '!V$44,$P863*'[2]Beam '!V$45,0)</f>
        <v>0</v>
      </c>
      <c r="W863" s="7">
        <f>IF($D863='[2]Beam '!W$44,$P863*'[2]Beam '!W$45,0)</f>
        <v>30.31625142857143</v>
      </c>
      <c r="X863" s="7">
        <f t="shared" si="158"/>
        <v>30.31625142857143</v>
      </c>
      <c r="Y863" s="7"/>
      <c r="Z863" s="7"/>
      <c r="AA863" s="7"/>
      <c r="AB863" s="7"/>
      <c r="AC863" s="7"/>
      <c r="AD863" s="7"/>
      <c r="AE863" s="7"/>
    </row>
    <row r="864" spans="1:32" s="14" customFormat="1" ht="20.100000000000001" customHeight="1" x14ac:dyDescent="0.3">
      <c r="A864" s="6"/>
      <c r="B864" s="10" t="s">
        <v>2</v>
      </c>
      <c r="C864" s="13" t="s">
        <v>6</v>
      </c>
      <c r="D864" s="7">
        <v>25</v>
      </c>
      <c r="E864" s="7"/>
      <c r="F864" s="7">
        <v>3</v>
      </c>
      <c r="G864" s="8">
        <f>VLOOKUP(D864,'[2]Beam '!$C$20:$H$26,3,0)</f>
        <v>1</v>
      </c>
      <c r="H864" s="7"/>
      <c r="I864" s="7"/>
      <c r="J864" s="7"/>
      <c r="K864" s="7"/>
      <c r="L864" s="7"/>
      <c r="M864" s="7"/>
      <c r="N864" s="7"/>
      <c r="O864" s="7">
        <f>(E860+2*(G864+(12*D864/1000)))*D860</f>
        <v>6.5489999999999995</v>
      </c>
      <c r="P864" s="7">
        <f t="shared" si="157"/>
        <v>19.646999999999998</v>
      </c>
      <c r="Q864" s="7">
        <f>IF($D864='[2]Beam '!Q$44,$P864*'[2]Beam '!Q$45,0)</f>
        <v>0</v>
      </c>
      <c r="R864" s="7">
        <f>IF($D864='[2]Beam '!R$44,$P864*'[2]Beam '!R$45,0)</f>
        <v>0</v>
      </c>
      <c r="S864" s="7">
        <f>IF($D864='[2]Beam '!S$44,$P864*'[2]Beam '!S$45,0)</f>
        <v>0</v>
      </c>
      <c r="T864" s="7">
        <f>IF($D864='[2]Beam '!T$44,$P864*'[2]Beam '!T$45,0)</f>
        <v>0</v>
      </c>
      <c r="U864" s="7">
        <f>IF($D864='[2]Beam '!U$44,$P864*'[2]Beam '!U$45,0)</f>
        <v>0</v>
      </c>
      <c r="V864" s="7">
        <f>IF($D864='[2]Beam '!V$44,$P864*'[2]Beam '!V$45,0)</f>
        <v>75.737430803571428</v>
      </c>
      <c r="W864" s="7">
        <f>IF($D864='[2]Beam '!W$44,$P864*'[2]Beam '!W$45,0)</f>
        <v>0</v>
      </c>
      <c r="X864" s="7">
        <f t="shared" si="158"/>
        <v>75.737430803571428</v>
      </c>
      <c r="Y864" s="7"/>
    </row>
    <row r="865" spans="1:32" s="14" customFormat="1" ht="20.100000000000001" customHeight="1" x14ac:dyDescent="0.25">
      <c r="A865" s="6"/>
      <c r="B865" s="10" t="s">
        <v>2</v>
      </c>
      <c r="C865" s="13" t="s">
        <v>7</v>
      </c>
      <c r="D865" s="7">
        <v>12</v>
      </c>
      <c r="E865" s="7">
        <v>0.1</v>
      </c>
      <c r="F865" s="7">
        <f>ROUNDUP((E860/3*2)/E865,0)+1</f>
        <v>28</v>
      </c>
      <c r="G865" s="9"/>
      <c r="H865" s="7"/>
      <c r="I865" s="7"/>
      <c r="J865" s="7"/>
      <c r="K865" s="7"/>
      <c r="L865" s="7"/>
      <c r="M865" s="7"/>
      <c r="N865" s="7"/>
      <c r="O865" s="7">
        <f>(2*((G860-(2*'[2]Beam '!$D$11))+(F860-(2*'[2]Beam '!$D$11)))+(2*10*D865/1000))*D860</f>
        <v>2.8</v>
      </c>
      <c r="P865" s="7">
        <f t="shared" si="157"/>
        <v>78.399999999999991</v>
      </c>
      <c r="Q865" s="7">
        <f>IF($D865='[2]Beam '!Q$44,$P865*'[2]Beam '!Q$45,0)</f>
        <v>0</v>
      </c>
      <c r="R865" s="7">
        <f>IF($D865='[2]Beam '!R$44,$P865*'[2]Beam '!R$45,0)</f>
        <v>0</v>
      </c>
      <c r="S865" s="7">
        <f>IF($D865='[2]Beam '!S$44,$P865*'[2]Beam '!S$45,0)</f>
        <v>69.632640000000009</v>
      </c>
      <c r="T865" s="7">
        <f>IF($D865='[2]Beam '!T$44,$P865*'[2]Beam '!T$45,0)</f>
        <v>0</v>
      </c>
      <c r="U865" s="7">
        <f>IF($D865='[2]Beam '!U$44,$P865*'[2]Beam '!U$45,0)</f>
        <v>0</v>
      </c>
      <c r="V865" s="7">
        <f>IF($D865='[2]Beam '!V$44,$P865*'[2]Beam '!V$45,0)</f>
        <v>0</v>
      </c>
      <c r="W865" s="7">
        <f>IF($D865='[2]Beam '!W$44,$P865*'[2]Beam '!W$45,0)</f>
        <v>0</v>
      </c>
      <c r="X865" s="7">
        <f t="shared" si="158"/>
        <v>69.632640000000009</v>
      </c>
      <c r="Y865" s="7"/>
    </row>
    <row r="866" spans="1:32" s="14" customFormat="1" ht="20.100000000000001" customHeight="1" x14ac:dyDescent="0.25">
      <c r="B866" s="10" t="s">
        <v>2</v>
      </c>
      <c r="C866" s="13" t="s">
        <v>8</v>
      </c>
      <c r="D866" s="14">
        <f>D865</f>
        <v>12</v>
      </c>
      <c r="E866" s="14">
        <v>0.125</v>
      </c>
      <c r="F866" s="7">
        <f>ROUNDUP((E860/3)/E866,0)+1</f>
        <v>12</v>
      </c>
      <c r="G866" s="9"/>
      <c r="O866" s="7">
        <f>(2*((G860-(2*'[2]Beam '!$D$11))+(F860-(2*'[2]Beam '!$D$11)))+(2*10*D866/1000))*D860</f>
        <v>2.8</v>
      </c>
      <c r="P866" s="7">
        <f t="shared" si="157"/>
        <v>33.599999999999994</v>
      </c>
      <c r="Q866" s="7">
        <f>IF($D866='[2]Beam '!Q$44,$P866*'[2]Beam '!Q$45,0)</f>
        <v>0</v>
      </c>
      <c r="R866" s="7">
        <f>IF($D866='[2]Beam '!R$44,$P866*'[2]Beam '!R$45,0)</f>
        <v>0</v>
      </c>
      <c r="S866" s="7">
        <f>IF($D866='[2]Beam '!S$44,$P866*'[2]Beam '!S$45,0)</f>
        <v>29.842559999999999</v>
      </c>
      <c r="T866" s="7">
        <f>IF($D866='[2]Beam '!T$44,$P866*'[2]Beam '!T$45,0)</f>
        <v>0</v>
      </c>
      <c r="U866" s="7">
        <f>IF($D866='[2]Beam '!U$44,$P866*'[2]Beam '!U$45,0)</f>
        <v>0</v>
      </c>
      <c r="V866" s="7">
        <f>IF($D866='[2]Beam '!V$44,$P866*'[2]Beam '!V$45,0)</f>
        <v>0</v>
      </c>
      <c r="W866" s="7">
        <f>IF($D866='[2]Beam '!W$44,$P866*'[2]Beam '!W$45,0)</f>
        <v>0</v>
      </c>
      <c r="X866" s="7">
        <f t="shared" si="158"/>
        <v>29.842559999999999</v>
      </c>
    </row>
    <row r="867" spans="1:32" s="9" customFormat="1" ht="20.100000000000001" customHeight="1" x14ac:dyDescent="0.25">
      <c r="A867" s="14"/>
      <c r="B867" s="10" t="s">
        <v>2</v>
      </c>
      <c r="C867" s="13" t="s">
        <v>9</v>
      </c>
      <c r="D867" s="14">
        <f>D865</f>
        <v>12</v>
      </c>
      <c r="E867" s="14">
        <f>+E865</f>
        <v>0.1</v>
      </c>
      <c r="F867" s="7">
        <f>ROUNDUP((E860/3*2)/E867,0)+1</f>
        <v>28</v>
      </c>
      <c r="H867" s="14"/>
      <c r="I867" s="14"/>
      <c r="J867" s="14"/>
      <c r="K867" s="14"/>
      <c r="L867" s="14"/>
      <c r="M867" s="14"/>
      <c r="N867" s="14"/>
      <c r="O867" s="7">
        <f>(2*(((F860-'[2]Beam '!$D$11*2)/(F861-1))+(G860-'[2]Beam '!$D$11*2))+(2*10*D867/1000))*D860</f>
        <v>2.8</v>
      </c>
      <c r="P867" s="7">
        <f t="shared" si="157"/>
        <v>78.399999999999991</v>
      </c>
      <c r="Q867" s="7">
        <f>IF($D867='[2]Beam '!Q$44,$P867*'[2]Beam '!Q$45,0)</f>
        <v>0</v>
      </c>
      <c r="R867" s="7">
        <f>IF($D867='[2]Beam '!R$44,$P867*'[2]Beam '!R$45,0)</f>
        <v>0</v>
      </c>
      <c r="S867" s="7">
        <f>IF($D867='[2]Beam '!S$44,$P867*'[2]Beam '!S$45,0)</f>
        <v>69.632640000000009</v>
      </c>
      <c r="T867" s="7">
        <f>IF($D867='[2]Beam '!T$44,$P867*'[2]Beam '!T$45,0)</f>
        <v>0</v>
      </c>
      <c r="U867" s="7">
        <f>IF($D867='[2]Beam '!U$44,$P867*'[2]Beam '!U$45,0)</f>
        <v>0</v>
      </c>
      <c r="V867" s="7">
        <f>IF($D867='[2]Beam '!V$44,$P867*'[2]Beam '!V$45,0)</f>
        <v>0</v>
      </c>
      <c r="W867" s="7">
        <f>IF($D867='[2]Beam '!W$44,$P867*'[2]Beam '!W$45,0)</f>
        <v>0</v>
      </c>
      <c r="X867" s="7">
        <f t="shared" si="158"/>
        <v>69.632640000000009</v>
      </c>
      <c r="Y867" s="14"/>
      <c r="Z867" s="7"/>
      <c r="AA867" s="7"/>
      <c r="AB867" s="7"/>
      <c r="AC867" s="7"/>
      <c r="AD867" s="7"/>
      <c r="AE867" s="7"/>
    </row>
    <row r="868" spans="1:32" s="9" customFormat="1" ht="21" customHeight="1" x14ac:dyDescent="0.25">
      <c r="A868" s="14"/>
      <c r="B868" s="10" t="s">
        <v>2</v>
      </c>
      <c r="C868" s="13" t="s">
        <v>10</v>
      </c>
      <c r="D868" s="14">
        <f>D866</f>
        <v>12</v>
      </c>
      <c r="E868" s="14">
        <f>+E866</f>
        <v>0.125</v>
      </c>
      <c r="F868" s="7">
        <f>ROUNDUP((E860/3)/E868,0)+1</f>
        <v>12</v>
      </c>
      <c r="H868" s="14"/>
      <c r="I868" s="14"/>
      <c r="J868" s="14"/>
      <c r="K868" s="14"/>
      <c r="L868" s="14"/>
      <c r="M868" s="14"/>
      <c r="N868" s="14"/>
      <c r="O868" s="7">
        <f>(2*(((F860-'[2]Beam '!$D$11*2)/(F861-1))+(G860-'[2]Beam '!$D$11*2))+(2*10*D868/1000))*D860</f>
        <v>2.8</v>
      </c>
      <c r="P868" s="7">
        <f t="shared" si="157"/>
        <v>33.599999999999994</v>
      </c>
      <c r="Q868" s="7">
        <f>IF($D868='[2]Beam '!Q$44,$P868*'[2]Beam '!Q$45,0)</f>
        <v>0</v>
      </c>
      <c r="R868" s="7">
        <f>IF($D868='[2]Beam '!R$44,$P868*'[2]Beam '!R$45,0)</f>
        <v>0</v>
      </c>
      <c r="S868" s="7">
        <f>IF($D868='[2]Beam '!S$44,$P868*'[2]Beam '!S$45,0)</f>
        <v>29.842559999999999</v>
      </c>
      <c r="T868" s="7">
        <f>IF($D868='[2]Beam '!T$44,$P868*'[2]Beam '!T$45,0)</f>
        <v>0</v>
      </c>
      <c r="U868" s="7">
        <f>IF($D868='[2]Beam '!U$44,$P868*'[2]Beam '!U$45,0)</f>
        <v>0</v>
      </c>
      <c r="V868" s="7">
        <f>IF($D868='[2]Beam '!V$44,$P868*'[2]Beam '!V$45,0)</f>
        <v>0</v>
      </c>
      <c r="W868" s="7">
        <f>IF($D868='[2]Beam '!W$44,$P868*'[2]Beam '!W$45,0)</f>
        <v>0</v>
      </c>
      <c r="X868" s="7">
        <f t="shared" si="158"/>
        <v>29.842559999999999</v>
      </c>
      <c r="Y868" s="14"/>
      <c r="Z868" s="7"/>
      <c r="AA868" s="7"/>
      <c r="AB868" s="7"/>
      <c r="AC868" s="7"/>
      <c r="AD868" s="7"/>
      <c r="AE868" s="7"/>
      <c r="AF868" s="7"/>
    </row>
    <row r="869" spans="1:32" s="9" customFormat="1" ht="20.100000000000001" customHeight="1" x14ac:dyDescent="0.25">
      <c r="A869" s="6"/>
      <c r="B869" s="10" t="s">
        <v>2</v>
      </c>
      <c r="C869" s="13" t="s">
        <v>11</v>
      </c>
      <c r="D869" s="7">
        <f>+'[2]Beam '!$D$15</f>
        <v>25</v>
      </c>
      <c r="E869" s="7">
        <f>+'[2]Beam '!$E$15</f>
        <v>1</v>
      </c>
      <c r="F869" s="7">
        <f>ROUNDUP((1.057)/E869,0)</f>
        <v>2</v>
      </c>
      <c r="G869" s="8"/>
      <c r="H869" s="8"/>
      <c r="I869" s="7"/>
      <c r="J869" s="7"/>
      <c r="K869" s="7"/>
      <c r="L869" s="7"/>
      <c r="M869" s="7"/>
      <c r="N869" s="7"/>
      <c r="O869" s="7">
        <f>F860-'[2]Beam '!$F$15</f>
        <v>0.24</v>
      </c>
      <c r="P869" s="7">
        <f t="shared" si="157"/>
        <v>0.48</v>
      </c>
      <c r="Q869" s="7">
        <f>IF($D869='[2]Beam '!Q$44,$P869*'[2]Beam '!Q$45,0)</f>
        <v>0</v>
      </c>
      <c r="R869" s="7">
        <f>IF($D869='[2]Beam '!R$44,$P869*'[2]Beam '!R$45,0)</f>
        <v>0</v>
      </c>
      <c r="S869" s="7">
        <f>IF($D869='[2]Beam '!S$44,$P869*'[2]Beam '!S$45,0)</f>
        <v>0</v>
      </c>
      <c r="T869" s="7">
        <f>IF($D869='[2]Beam '!T$44,$P869*'[2]Beam '!T$45,0)</f>
        <v>0</v>
      </c>
      <c r="U869" s="7">
        <f>IF($D869='[2]Beam '!U$44,$P869*'[2]Beam '!U$45,0)</f>
        <v>0</v>
      </c>
      <c r="V869" s="7">
        <f>IF($D869='[2]Beam '!V$44,$P869*'[2]Beam '!V$45,0)</f>
        <v>1.850357142857143</v>
      </c>
      <c r="W869" s="7">
        <f>IF($D869='[2]Beam '!W$44,$P869*'[2]Beam '!W$45,0)</f>
        <v>0</v>
      </c>
      <c r="X869" s="7">
        <f t="shared" si="158"/>
        <v>1.850357142857143</v>
      </c>
      <c r="Y869" s="7"/>
      <c r="Z869" s="7"/>
      <c r="AA869" s="7"/>
      <c r="AB869" s="7"/>
      <c r="AC869" s="7"/>
      <c r="AD869" s="7"/>
      <c r="AE869" s="7"/>
    </row>
    <row r="870" spans="1:32" s="9" customFormat="1" ht="20.100000000000001" customHeight="1" x14ac:dyDescent="0.25">
      <c r="A870" s="7">
        <v>1</v>
      </c>
      <c r="B870" s="10" t="s">
        <v>2</v>
      </c>
      <c r="C870" s="11" t="s">
        <v>132</v>
      </c>
      <c r="D870" s="11">
        <v>1</v>
      </c>
      <c r="E870" s="11">
        <v>0.83399999999999996</v>
      </c>
      <c r="F870" s="11">
        <v>0.4</v>
      </c>
      <c r="G870" s="11">
        <v>1</v>
      </c>
      <c r="H870" s="7">
        <f>G870-0.2</f>
        <v>0.8</v>
      </c>
      <c r="I870" s="7">
        <f>E870*F870*G870*D870</f>
        <v>0.33360000000000001</v>
      </c>
      <c r="J870" s="7">
        <f>(2*(E870)*H870*D870)+(E870*F870)</f>
        <v>1.6680000000000001</v>
      </c>
      <c r="K870" s="12">
        <f>IF(E870=0.3,J870,0)</f>
        <v>0</v>
      </c>
      <c r="L870" s="12">
        <f>IF(AND(E870&gt;0.3,E870&lt;=0.75),J870,0)</f>
        <v>0</v>
      </c>
      <c r="M870" s="12">
        <f>IF(AND(E870&gt;0.75,E870&lt;=1.2),J870,0)</f>
        <v>1.6680000000000001</v>
      </c>
      <c r="N870" s="12">
        <f>IF(E870&gt;1.2,J870,0)</f>
        <v>0</v>
      </c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>
        <f>SUM(X871:X873)/I870</f>
        <v>284.3814780318603</v>
      </c>
      <c r="Z870" s="7"/>
      <c r="AA870" s="7"/>
      <c r="AB870" s="7"/>
      <c r="AC870" s="7"/>
      <c r="AD870" s="7"/>
      <c r="AE870" s="7"/>
    </row>
    <row r="871" spans="1:32" s="9" customFormat="1" ht="20.100000000000001" customHeight="1" x14ac:dyDescent="0.25">
      <c r="A871" s="6"/>
      <c r="B871" s="10" t="s">
        <v>2</v>
      </c>
      <c r="C871" s="13" t="s">
        <v>4</v>
      </c>
      <c r="D871" s="7">
        <v>25</v>
      </c>
      <c r="E871" s="7"/>
      <c r="F871" s="7">
        <v>4</v>
      </c>
      <c r="G871" s="8">
        <f>VLOOKUP(D871,'[2]Beam '!$C$20:$H$26,3,0)</f>
        <v>1</v>
      </c>
      <c r="H871" s="8"/>
      <c r="I871" s="7"/>
      <c r="J871" s="7"/>
      <c r="K871" s="7"/>
      <c r="L871" s="7"/>
      <c r="M871" s="7"/>
      <c r="N871" s="7"/>
      <c r="O871" s="7">
        <f>(E870+1*(G871+(12*D871/1000)))+1*(G871)*D870</f>
        <v>3.1339999999999999</v>
      </c>
      <c r="P871" s="7">
        <f>O871*F871</f>
        <v>12.536</v>
      </c>
      <c r="Q871" s="7">
        <f>IF($D871='[2]Beam '!Q$44,$P871*'[2]Beam '!Q$45,0)</f>
        <v>0</v>
      </c>
      <c r="R871" s="7">
        <f>IF($D871='[2]Beam '!R$44,$P871*'[2]Beam '!R$45,0)</f>
        <v>0</v>
      </c>
      <c r="S871" s="7">
        <f>IF($D871='[2]Beam '!S$44,$P871*'[2]Beam '!S$45,0)</f>
        <v>0</v>
      </c>
      <c r="T871" s="7">
        <f>IF($D871='[2]Beam '!T$44,$P871*'[2]Beam '!T$45,0)</f>
        <v>0</v>
      </c>
      <c r="U871" s="7">
        <f>IF($D871='[2]Beam '!U$44,$P871*'[2]Beam '!U$45,0)</f>
        <v>0</v>
      </c>
      <c r="V871" s="7">
        <f>IF($D871='[2]Beam '!V$44,$P871*'[2]Beam '!V$45,0)</f>
        <v>48.325160714285722</v>
      </c>
      <c r="W871" s="7">
        <f>IF($D871='[2]Beam '!W$44,$P871*'[2]Beam '!W$45,0)</f>
        <v>0</v>
      </c>
      <c r="X871" s="7">
        <f>SUM(Q871:W871)</f>
        <v>48.325160714285722</v>
      </c>
      <c r="Y871" s="7"/>
      <c r="Z871" s="7"/>
      <c r="AA871" s="7"/>
      <c r="AB871" s="7"/>
      <c r="AC871" s="7"/>
      <c r="AD871" s="7"/>
      <c r="AE871" s="7"/>
    </row>
    <row r="872" spans="1:32" s="14" customFormat="1" ht="20.100000000000001" customHeight="1" x14ac:dyDescent="0.3">
      <c r="A872" s="6"/>
      <c r="B872" s="10" t="s">
        <v>2</v>
      </c>
      <c r="C872" s="13" t="s">
        <v>6</v>
      </c>
      <c r="D872" s="7">
        <v>25</v>
      </c>
      <c r="E872" s="7"/>
      <c r="F872" s="7">
        <v>2</v>
      </c>
      <c r="G872" s="8">
        <f>VLOOKUP(D872,'[2]Beam '!$C$20:$H$26,3,0)</f>
        <v>1</v>
      </c>
      <c r="H872" s="7"/>
      <c r="I872" s="7"/>
      <c r="J872" s="7"/>
      <c r="K872" s="7"/>
      <c r="L872" s="7"/>
      <c r="M872" s="7"/>
      <c r="N872" s="7"/>
      <c r="O872" s="7">
        <f>(E870+1*(G872+(12*D872/1000))+1*(G872))*D870</f>
        <v>3.1339999999999999</v>
      </c>
      <c r="P872" s="7">
        <f>O872*F872</f>
        <v>6.2679999999999998</v>
      </c>
      <c r="Q872" s="7">
        <f>IF($D872='[2]Beam '!Q$44,$P872*'[2]Beam '!Q$45,0)</f>
        <v>0</v>
      </c>
      <c r="R872" s="7">
        <f>IF($D872='[2]Beam '!R$44,$P872*'[2]Beam '!R$45,0)</f>
        <v>0</v>
      </c>
      <c r="S872" s="7">
        <f>IF($D872='[2]Beam '!S$44,$P872*'[2]Beam '!S$45,0)</f>
        <v>0</v>
      </c>
      <c r="T872" s="7">
        <f>IF($D872='[2]Beam '!T$44,$P872*'[2]Beam '!T$45,0)</f>
        <v>0</v>
      </c>
      <c r="U872" s="7">
        <f>IF($D872='[2]Beam '!U$44,$P872*'[2]Beam '!U$45,0)</f>
        <v>0</v>
      </c>
      <c r="V872" s="7">
        <f>IF($D872='[2]Beam '!V$44,$P872*'[2]Beam '!V$45,0)</f>
        <v>24.162580357142861</v>
      </c>
      <c r="W872" s="7">
        <f>IF($D872='[2]Beam '!W$44,$P872*'[2]Beam '!W$45,0)</f>
        <v>0</v>
      </c>
      <c r="X872" s="7">
        <f>SUM(Q872:W872)</f>
        <v>24.162580357142861</v>
      </c>
      <c r="Y872" s="7"/>
    </row>
    <row r="873" spans="1:32" s="9" customFormat="1" ht="21" customHeight="1" x14ac:dyDescent="0.25">
      <c r="A873" s="6"/>
      <c r="B873" s="10" t="s">
        <v>2</v>
      </c>
      <c r="C873" s="13" t="s">
        <v>17</v>
      </c>
      <c r="D873" s="7">
        <v>12</v>
      </c>
      <c r="E873" s="7">
        <v>0.1</v>
      </c>
      <c r="F873" s="7">
        <f>ROUNDUP(E870/E873,0)</f>
        <v>9</v>
      </c>
      <c r="H873" s="7"/>
      <c r="I873" s="7"/>
      <c r="J873" s="7"/>
      <c r="K873" s="7"/>
      <c r="L873" s="7"/>
      <c r="M873" s="7"/>
      <c r="N873" s="7"/>
      <c r="O873" s="7">
        <f>(2*((G870-(2*'[2]Beam '!$D$11))+(F870-(2*'[2]Beam '!$D$11)))+(2*10*D873/1000))*D870</f>
        <v>2.8</v>
      </c>
      <c r="P873" s="7">
        <f>O873*F873</f>
        <v>25.2</v>
      </c>
      <c r="Q873" s="7">
        <f>IF($D873='[2]Beam '!Q$44,$P873*'[2]Beam '!Q$45,0)</f>
        <v>0</v>
      </c>
      <c r="R873" s="7">
        <f>IF($D873='[2]Beam '!R$44,$P873*'[2]Beam '!R$45,0)</f>
        <v>0</v>
      </c>
      <c r="S873" s="7">
        <f>IF($D873='[2]Beam '!S$44,$P873*'[2]Beam '!S$45,0)</f>
        <v>22.381920000000004</v>
      </c>
      <c r="T873" s="7">
        <f>IF($D873='[2]Beam '!T$44,$P873*'[2]Beam '!T$45,0)</f>
        <v>0</v>
      </c>
      <c r="U873" s="7">
        <f>IF($D873='[2]Beam '!U$44,$P873*'[2]Beam '!U$45,0)</f>
        <v>0</v>
      </c>
      <c r="V873" s="7">
        <f>IF($D873='[2]Beam '!V$44,$P873*'[2]Beam '!V$45,0)</f>
        <v>0</v>
      </c>
      <c r="W873" s="7">
        <f>IF($D873='[2]Beam '!W$44,$P873*'[2]Beam '!W$45,0)</f>
        <v>0</v>
      </c>
      <c r="X873" s="7">
        <f>SUM(Q873:W873)</f>
        <v>22.381920000000004</v>
      </c>
      <c r="Y873" s="7"/>
      <c r="Z873" s="7"/>
      <c r="AA873" s="7"/>
      <c r="AB873" s="7"/>
      <c r="AC873" s="7"/>
      <c r="AD873" s="7"/>
      <c r="AE873" s="7"/>
      <c r="AF873" s="7"/>
    </row>
    <row r="874" spans="1:32" s="9" customFormat="1" ht="20.100000000000001" customHeight="1" x14ac:dyDescent="0.25">
      <c r="A874" s="14"/>
      <c r="B874" s="10" t="s">
        <v>2</v>
      </c>
      <c r="C874" s="13" t="s">
        <v>18</v>
      </c>
      <c r="D874" s="14">
        <f>D873</f>
        <v>12</v>
      </c>
      <c r="E874" s="14">
        <f>+E873</f>
        <v>0.1</v>
      </c>
      <c r="F874" s="7">
        <f>ROUNDUP(E870/E874,0)</f>
        <v>9</v>
      </c>
      <c r="H874" s="14"/>
      <c r="I874" s="14"/>
      <c r="J874" s="14"/>
      <c r="K874" s="14"/>
      <c r="L874" s="14"/>
      <c r="M874" s="14"/>
      <c r="N874" s="14"/>
      <c r="O874" s="7">
        <f>(2*(((F870-'[2]Beam '!$D$11*2)/(F871-1))+(G870-'[2]Beam '!$D$11*2))+(2*10*D874/1000))*D870</f>
        <v>2.3466666666666667</v>
      </c>
      <c r="P874" s="7">
        <f>O874*F874</f>
        <v>21.12</v>
      </c>
      <c r="Q874" s="7">
        <f>IF($D874='[2]Beam '!Q$44,$P874*'[2]Beam '!Q$45,0)</f>
        <v>0</v>
      </c>
      <c r="R874" s="7">
        <f>IF($D874='[2]Beam '!R$44,$P874*'[2]Beam '!R$45,0)</f>
        <v>0</v>
      </c>
      <c r="S874" s="7">
        <f>IF($D874='[2]Beam '!S$44,$P874*'[2]Beam '!S$45,0)</f>
        <v>18.758180571428575</v>
      </c>
      <c r="T874" s="7">
        <f>IF($D874='[2]Beam '!T$44,$P874*'[2]Beam '!T$45,0)</f>
        <v>0</v>
      </c>
      <c r="U874" s="7">
        <f>IF($D874='[2]Beam '!U$44,$P874*'[2]Beam '!U$45,0)</f>
        <v>0</v>
      </c>
      <c r="V874" s="7">
        <f>IF($D874='[2]Beam '!V$44,$P874*'[2]Beam '!V$45,0)</f>
        <v>0</v>
      </c>
      <c r="W874" s="7">
        <f>IF($D874='[2]Beam '!W$44,$P874*'[2]Beam '!W$45,0)</f>
        <v>0</v>
      </c>
      <c r="X874" s="7">
        <f>SUM(Q874:W874)</f>
        <v>18.758180571428575</v>
      </c>
      <c r="Y874" s="14"/>
      <c r="Z874" s="7"/>
      <c r="AA874" s="7"/>
      <c r="AB874" s="7"/>
      <c r="AC874" s="7"/>
      <c r="AD874" s="7"/>
      <c r="AE874" s="7"/>
    </row>
    <row r="875" spans="1:32" s="9" customFormat="1" ht="20.100000000000001" customHeight="1" x14ac:dyDescent="0.25">
      <c r="A875" s="7">
        <v>1</v>
      </c>
      <c r="B875" s="10" t="s">
        <v>2</v>
      </c>
      <c r="C875" s="11" t="s">
        <v>133</v>
      </c>
      <c r="D875" s="11">
        <v>1</v>
      </c>
      <c r="E875" s="11">
        <v>0.83399999999999996</v>
      </c>
      <c r="F875" s="11">
        <v>0.4</v>
      </c>
      <c r="G875" s="11">
        <v>1</v>
      </c>
      <c r="H875" s="7">
        <f>G875-0.2</f>
        <v>0.8</v>
      </c>
      <c r="I875" s="7">
        <f>E875*F875*G875*D875</f>
        <v>0.33360000000000001</v>
      </c>
      <c r="J875" s="7">
        <f>(2*(E875)*H875*D875)+(E875*F875)</f>
        <v>1.6680000000000001</v>
      </c>
      <c r="K875" s="12">
        <f>IF(E875=0.3,J875,0)</f>
        <v>0</v>
      </c>
      <c r="L875" s="12">
        <f>IF(AND(E875&gt;0.3,E875&lt;=0.75),J875,0)</f>
        <v>0</v>
      </c>
      <c r="M875" s="12">
        <f>IF(AND(E875&gt;0.75,E875&lt;=1.2),J875,0)</f>
        <v>1.6680000000000001</v>
      </c>
      <c r="N875" s="12">
        <f>IF(E875&gt;1.2,J875,0)</f>
        <v>0</v>
      </c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>
        <f>SUM(X876:X878)/I875</f>
        <v>284.3814780318603</v>
      </c>
      <c r="Z875" s="7"/>
      <c r="AA875" s="7"/>
      <c r="AB875" s="7"/>
      <c r="AC875" s="7"/>
      <c r="AD875" s="7"/>
      <c r="AE875" s="7"/>
    </row>
    <row r="876" spans="1:32" s="9" customFormat="1" ht="20.100000000000001" customHeight="1" x14ac:dyDescent="0.25">
      <c r="A876" s="6"/>
      <c r="B876" s="10" t="s">
        <v>2</v>
      </c>
      <c r="C876" s="13" t="s">
        <v>4</v>
      </c>
      <c r="D876" s="7">
        <v>25</v>
      </c>
      <c r="E876" s="7"/>
      <c r="F876" s="7">
        <v>4</v>
      </c>
      <c r="G876" s="8">
        <f>VLOOKUP(D876,'[2]Beam '!$C$20:$H$26,3,0)</f>
        <v>1</v>
      </c>
      <c r="H876" s="8"/>
      <c r="I876" s="7"/>
      <c r="J876" s="7"/>
      <c r="K876" s="7"/>
      <c r="L876" s="7"/>
      <c r="M876" s="7"/>
      <c r="N876" s="7"/>
      <c r="O876" s="7">
        <f>(E875+1*(G876+(12*D876/1000)))+1*(G876)*D875</f>
        <v>3.1339999999999999</v>
      </c>
      <c r="P876" s="7">
        <f>O876*F876</f>
        <v>12.536</v>
      </c>
      <c r="Q876" s="7">
        <f>IF($D876='[2]Beam '!Q$44,$P876*'[2]Beam '!Q$45,0)</f>
        <v>0</v>
      </c>
      <c r="R876" s="7">
        <f>IF($D876='[2]Beam '!R$44,$P876*'[2]Beam '!R$45,0)</f>
        <v>0</v>
      </c>
      <c r="S876" s="7">
        <f>IF($D876='[2]Beam '!S$44,$P876*'[2]Beam '!S$45,0)</f>
        <v>0</v>
      </c>
      <c r="T876" s="7">
        <f>IF($D876='[2]Beam '!T$44,$P876*'[2]Beam '!T$45,0)</f>
        <v>0</v>
      </c>
      <c r="U876" s="7">
        <f>IF($D876='[2]Beam '!U$44,$P876*'[2]Beam '!U$45,0)</f>
        <v>0</v>
      </c>
      <c r="V876" s="7">
        <f>IF($D876='[2]Beam '!V$44,$P876*'[2]Beam '!V$45,0)</f>
        <v>48.325160714285722</v>
      </c>
      <c r="W876" s="7">
        <f>IF($D876='[2]Beam '!W$44,$P876*'[2]Beam '!W$45,0)</f>
        <v>0</v>
      </c>
      <c r="X876" s="7">
        <f>SUM(Q876:W876)</f>
        <v>48.325160714285722</v>
      </c>
      <c r="Y876" s="7"/>
      <c r="Z876" s="7"/>
      <c r="AA876" s="7"/>
      <c r="AB876" s="7"/>
      <c r="AC876" s="7"/>
      <c r="AD876" s="7"/>
      <c r="AE876" s="7"/>
    </row>
    <row r="877" spans="1:32" s="14" customFormat="1" ht="20.100000000000001" customHeight="1" x14ac:dyDescent="0.3">
      <c r="A877" s="6"/>
      <c r="B877" s="10" t="s">
        <v>2</v>
      </c>
      <c r="C877" s="13" t="s">
        <v>6</v>
      </c>
      <c r="D877" s="7">
        <v>25</v>
      </c>
      <c r="E877" s="7"/>
      <c r="F877" s="7">
        <v>2</v>
      </c>
      <c r="G877" s="8">
        <f>VLOOKUP(D877,'[2]Beam '!$C$20:$H$26,3,0)</f>
        <v>1</v>
      </c>
      <c r="H877" s="7"/>
      <c r="I877" s="7"/>
      <c r="J877" s="7"/>
      <c r="K877" s="7"/>
      <c r="L877" s="7"/>
      <c r="M877" s="7"/>
      <c r="N877" s="7"/>
      <c r="O877" s="7">
        <f>(E875+1*(G877+(12*D877/1000))+1*(G877))*D875</f>
        <v>3.1339999999999999</v>
      </c>
      <c r="P877" s="7">
        <f>O877*F877</f>
        <v>6.2679999999999998</v>
      </c>
      <c r="Q877" s="7">
        <f>IF($D877='[2]Beam '!Q$44,$P877*'[2]Beam '!Q$45,0)</f>
        <v>0</v>
      </c>
      <c r="R877" s="7">
        <f>IF($D877='[2]Beam '!R$44,$P877*'[2]Beam '!R$45,0)</f>
        <v>0</v>
      </c>
      <c r="S877" s="7">
        <f>IF($D877='[2]Beam '!S$44,$P877*'[2]Beam '!S$45,0)</f>
        <v>0</v>
      </c>
      <c r="T877" s="7">
        <f>IF($D877='[2]Beam '!T$44,$P877*'[2]Beam '!T$45,0)</f>
        <v>0</v>
      </c>
      <c r="U877" s="7">
        <f>IF($D877='[2]Beam '!U$44,$P877*'[2]Beam '!U$45,0)</f>
        <v>0</v>
      </c>
      <c r="V877" s="7">
        <f>IF($D877='[2]Beam '!V$44,$P877*'[2]Beam '!V$45,0)</f>
        <v>24.162580357142861</v>
      </c>
      <c r="W877" s="7">
        <f>IF($D877='[2]Beam '!W$44,$P877*'[2]Beam '!W$45,0)</f>
        <v>0</v>
      </c>
      <c r="X877" s="7">
        <f>SUM(Q877:W877)</f>
        <v>24.162580357142861</v>
      </c>
      <c r="Y877" s="7"/>
    </row>
    <row r="878" spans="1:32" s="9" customFormat="1" ht="21" customHeight="1" x14ac:dyDescent="0.25">
      <c r="A878" s="6"/>
      <c r="B878" s="10" t="s">
        <v>2</v>
      </c>
      <c r="C878" s="13" t="s">
        <v>17</v>
      </c>
      <c r="D878" s="7">
        <v>12</v>
      </c>
      <c r="E878" s="7">
        <v>0.1</v>
      </c>
      <c r="F878" s="7">
        <f>ROUNDUP(E875/E878,0)</f>
        <v>9</v>
      </c>
      <c r="H878" s="7"/>
      <c r="I878" s="7"/>
      <c r="J878" s="7"/>
      <c r="K878" s="7"/>
      <c r="L878" s="7"/>
      <c r="M878" s="7"/>
      <c r="N878" s="7"/>
      <c r="O878" s="7">
        <f>(2*((G875-(2*'[2]Beam '!$D$11))+(F875-(2*'[2]Beam '!$D$11)))+(2*10*D878/1000))*D875</f>
        <v>2.8</v>
      </c>
      <c r="P878" s="7">
        <f>O878*F878</f>
        <v>25.2</v>
      </c>
      <c r="Q878" s="7">
        <f>IF($D878='[2]Beam '!Q$44,$P878*'[2]Beam '!Q$45,0)</f>
        <v>0</v>
      </c>
      <c r="R878" s="7">
        <f>IF($D878='[2]Beam '!R$44,$P878*'[2]Beam '!R$45,0)</f>
        <v>0</v>
      </c>
      <c r="S878" s="7">
        <f>IF($D878='[2]Beam '!S$44,$P878*'[2]Beam '!S$45,0)</f>
        <v>22.381920000000004</v>
      </c>
      <c r="T878" s="7">
        <f>IF($D878='[2]Beam '!T$44,$P878*'[2]Beam '!T$45,0)</f>
        <v>0</v>
      </c>
      <c r="U878" s="7">
        <f>IF($D878='[2]Beam '!U$44,$P878*'[2]Beam '!U$45,0)</f>
        <v>0</v>
      </c>
      <c r="V878" s="7">
        <f>IF($D878='[2]Beam '!V$44,$P878*'[2]Beam '!V$45,0)</f>
        <v>0</v>
      </c>
      <c r="W878" s="7">
        <f>IF($D878='[2]Beam '!W$44,$P878*'[2]Beam '!W$45,0)</f>
        <v>0</v>
      </c>
      <c r="X878" s="7">
        <f>SUM(Q878:W878)</f>
        <v>22.381920000000004</v>
      </c>
      <c r="Y878" s="7"/>
      <c r="Z878" s="7"/>
      <c r="AA878" s="7"/>
      <c r="AB878" s="7"/>
      <c r="AC878" s="7"/>
      <c r="AD878" s="7"/>
      <c r="AE878" s="7"/>
      <c r="AF878" s="7"/>
    </row>
    <row r="879" spans="1:32" s="9" customFormat="1" ht="20.100000000000001" customHeight="1" x14ac:dyDescent="0.25">
      <c r="A879" s="14"/>
      <c r="B879" s="10" t="s">
        <v>2</v>
      </c>
      <c r="C879" s="13" t="s">
        <v>18</v>
      </c>
      <c r="D879" s="14">
        <f>D878</f>
        <v>12</v>
      </c>
      <c r="E879" s="14">
        <f>+E878</f>
        <v>0.1</v>
      </c>
      <c r="F879" s="7">
        <f>ROUNDUP(E875/E879,0)</f>
        <v>9</v>
      </c>
      <c r="H879" s="14"/>
      <c r="I879" s="14"/>
      <c r="J879" s="14"/>
      <c r="K879" s="14"/>
      <c r="L879" s="14"/>
      <c r="M879" s="14"/>
      <c r="N879" s="14"/>
      <c r="O879" s="7">
        <f>(2*(((F875-'[2]Beam '!$D$11*2)/(F876-1))+(G875-'[2]Beam '!$D$11*2))+(2*10*D879/1000))*D875</f>
        <v>2.3466666666666667</v>
      </c>
      <c r="P879" s="7">
        <f>O879*F879</f>
        <v>21.12</v>
      </c>
      <c r="Q879" s="7">
        <f>IF($D879='[2]Beam '!Q$44,$P879*'[2]Beam '!Q$45,0)</f>
        <v>0</v>
      </c>
      <c r="R879" s="7">
        <f>IF($D879='[2]Beam '!R$44,$P879*'[2]Beam '!R$45,0)</f>
        <v>0</v>
      </c>
      <c r="S879" s="7">
        <f>IF($D879='[2]Beam '!S$44,$P879*'[2]Beam '!S$45,0)</f>
        <v>18.758180571428575</v>
      </c>
      <c r="T879" s="7">
        <f>IF($D879='[2]Beam '!T$44,$P879*'[2]Beam '!T$45,0)</f>
        <v>0</v>
      </c>
      <c r="U879" s="7">
        <f>IF($D879='[2]Beam '!U$44,$P879*'[2]Beam '!U$45,0)</f>
        <v>0</v>
      </c>
      <c r="V879" s="7">
        <f>IF($D879='[2]Beam '!V$44,$P879*'[2]Beam '!V$45,0)</f>
        <v>0</v>
      </c>
      <c r="W879" s="7">
        <f>IF($D879='[2]Beam '!W$44,$P879*'[2]Beam '!W$45,0)</f>
        <v>0</v>
      </c>
      <c r="X879" s="7">
        <f>SUM(Q879:W879)</f>
        <v>18.758180571428575</v>
      </c>
      <c r="Y879" s="14"/>
      <c r="Z879" s="7"/>
      <c r="AA879" s="7"/>
      <c r="AB879" s="7"/>
      <c r="AC879" s="7"/>
      <c r="AD879" s="7"/>
      <c r="AE879" s="7"/>
    </row>
    <row r="880" spans="1:32" s="9" customFormat="1" ht="20.100000000000001" customHeight="1" x14ac:dyDescent="0.25">
      <c r="A880" s="7">
        <v>1</v>
      </c>
      <c r="B880" s="10" t="s">
        <v>2</v>
      </c>
      <c r="C880" s="11" t="s">
        <v>134</v>
      </c>
      <c r="D880" s="11">
        <v>1</v>
      </c>
      <c r="E880" s="11">
        <v>3.5489999999999999</v>
      </c>
      <c r="F880" s="11">
        <v>0.2</v>
      </c>
      <c r="G880" s="11">
        <v>1.1000000000000001</v>
      </c>
      <c r="H880" s="7">
        <f>G880-0.2</f>
        <v>0.90000000000000013</v>
      </c>
      <c r="I880" s="7">
        <f>E880*F880*G880*D880</f>
        <v>0.78078000000000003</v>
      </c>
      <c r="J880" s="7">
        <f>(2*(E880)*H880*D880)+(E880*F880)</f>
        <v>7.0980000000000008</v>
      </c>
      <c r="K880" s="12">
        <f>IF(E880=0.3,J880,0)</f>
        <v>0</v>
      </c>
      <c r="L880" s="12">
        <f>IF(AND(E880&gt;0.3,E880&lt;=0.75),J880,0)</f>
        <v>0</v>
      </c>
      <c r="M880" s="12">
        <f>IF(AND(E880&gt;0.75,E880&lt;=1.2),J880,0)</f>
        <v>0</v>
      </c>
      <c r="N880" s="12">
        <f>IF(E880&gt;1.2,J880,0)</f>
        <v>7.0980000000000008</v>
      </c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>
        <f>SUM(X882:X883)/I880</f>
        <v>43.896044761099716</v>
      </c>
      <c r="Z880" s="7"/>
      <c r="AA880" s="7"/>
      <c r="AB880" s="7"/>
      <c r="AC880" s="7"/>
      <c r="AD880" s="7"/>
      <c r="AE880" s="7"/>
    </row>
    <row r="881" spans="1:32" s="9" customFormat="1" ht="20.100000000000001" customHeight="1" x14ac:dyDescent="0.25">
      <c r="A881" s="6"/>
      <c r="B881" s="10" t="s">
        <v>2</v>
      </c>
      <c r="C881" s="13" t="s">
        <v>4</v>
      </c>
      <c r="D881" s="7">
        <v>16</v>
      </c>
      <c r="E881" s="7"/>
      <c r="F881" s="7">
        <v>2</v>
      </c>
      <c r="G881" s="8">
        <f>VLOOKUP(D881,'[2]Beam '!$C$20:$H$26,3,0)</f>
        <v>0.625</v>
      </c>
      <c r="H881" s="8"/>
      <c r="I881" s="7"/>
      <c r="J881" s="7"/>
      <c r="K881" s="7"/>
      <c r="L881" s="7"/>
      <c r="M881" s="7"/>
      <c r="N881" s="7"/>
      <c r="O881" s="7">
        <f>(E880+2*(G881+(12*D881/1000)))*D880</f>
        <v>5.1829999999999998</v>
      </c>
      <c r="P881" s="7">
        <f>O881*F881</f>
        <v>10.366</v>
      </c>
      <c r="Q881" s="7">
        <f>IF($D881='[2]Beam '!Q$44,$P881*'[2]Beam '!Q$45,0)</f>
        <v>0</v>
      </c>
      <c r="R881" s="7">
        <f>IF($D881='[2]Beam '!R$44,$P881*'[2]Beam '!R$45,0)</f>
        <v>0</v>
      </c>
      <c r="S881" s="7">
        <f>IF($D881='[2]Beam '!S$44,$P881*'[2]Beam '!S$45,0)</f>
        <v>0</v>
      </c>
      <c r="T881" s="7">
        <f>IF($D881='[2]Beam '!T$44,$P881*'[2]Beam '!T$45,0)</f>
        <v>16.367617828571429</v>
      </c>
      <c r="U881" s="7">
        <f>IF($D881='[2]Beam '!U$44,$P881*'[2]Beam '!U$45,0)</f>
        <v>0</v>
      </c>
      <c r="V881" s="7">
        <f>IF($D881='[2]Beam '!V$44,$P881*'[2]Beam '!V$45,0)</f>
        <v>0</v>
      </c>
      <c r="W881" s="7">
        <f>IF($D881='[2]Beam '!W$44,$P881*'[2]Beam '!W$45,0)</f>
        <v>0</v>
      </c>
      <c r="X881" s="7">
        <f>SUM(Q881:W881)</f>
        <v>16.367617828571429</v>
      </c>
      <c r="Y881" s="7"/>
      <c r="Z881" s="7"/>
      <c r="AA881" s="7"/>
      <c r="AB881" s="7"/>
      <c r="AC881" s="7"/>
      <c r="AD881" s="7"/>
      <c r="AE881" s="7"/>
    </row>
    <row r="882" spans="1:32" s="9" customFormat="1" ht="21" customHeight="1" x14ac:dyDescent="0.25">
      <c r="A882" s="6"/>
      <c r="B882" s="10" t="s">
        <v>2</v>
      </c>
      <c r="C882" s="13" t="s">
        <v>6</v>
      </c>
      <c r="D882" s="7">
        <v>16</v>
      </c>
      <c r="E882" s="7"/>
      <c r="F882" s="7">
        <v>2</v>
      </c>
      <c r="G882" s="8">
        <f>VLOOKUP(D882,'[2]Beam '!$C$20:$H$26,3,0)</f>
        <v>0.625</v>
      </c>
      <c r="H882" s="7"/>
      <c r="I882" s="7"/>
      <c r="J882" s="7"/>
      <c r="K882" s="7"/>
      <c r="L882" s="7"/>
      <c r="M882" s="7"/>
      <c r="N882" s="7"/>
      <c r="O882" s="7">
        <f>(E880+2*(G882+(12*D882/1000)))*D880</f>
        <v>5.1829999999999998</v>
      </c>
      <c r="P882" s="7">
        <f>O882*F882</f>
        <v>10.366</v>
      </c>
      <c r="Q882" s="7">
        <f>IF($D882='[2]Beam '!Q$44,$P882*'[2]Beam '!Q$45,0)</f>
        <v>0</v>
      </c>
      <c r="R882" s="7">
        <f>IF($D882='[2]Beam '!R$44,$P882*'[2]Beam '!R$45,0)</f>
        <v>0</v>
      </c>
      <c r="S882" s="7">
        <f>IF($D882='[2]Beam '!S$44,$P882*'[2]Beam '!S$45,0)</f>
        <v>0</v>
      </c>
      <c r="T882" s="7">
        <f>IF($D882='[2]Beam '!T$44,$P882*'[2]Beam '!T$45,0)</f>
        <v>16.367617828571429</v>
      </c>
      <c r="U882" s="7">
        <f>IF($D882='[2]Beam '!U$44,$P882*'[2]Beam '!U$45,0)</f>
        <v>0</v>
      </c>
      <c r="V882" s="7">
        <f>IF($D882='[2]Beam '!V$44,$P882*'[2]Beam '!V$45,0)</f>
        <v>0</v>
      </c>
      <c r="W882" s="7">
        <f>IF($D882='[2]Beam '!W$44,$P882*'[2]Beam '!W$45,0)</f>
        <v>0</v>
      </c>
      <c r="X882" s="7">
        <f>SUM(Q882:W882)</f>
        <v>16.367617828571429</v>
      </c>
      <c r="Y882" s="7"/>
      <c r="Z882" s="7"/>
      <c r="AA882" s="7"/>
      <c r="AB882" s="7"/>
      <c r="AC882" s="7"/>
      <c r="AD882" s="7"/>
      <c r="AE882" s="7"/>
      <c r="AF882" s="7"/>
    </row>
    <row r="883" spans="1:32" s="9" customFormat="1" ht="20.100000000000001" customHeight="1" x14ac:dyDescent="0.25">
      <c r="A883" s="6"/>
      <c r="B883" s="10" t="s">
        <v>2</v>
      </c>
      <c r="C883" s="13" t="s">
        <v>26</v>
      </c>
      <c r="D883" s="7">
        <v>8</v>
      </c>
      <c r="E883" s="7">
        <v>0.2</v>
      </c>
      <c r="F883" s="7">
        <f>ROUNDUP(E880/E883,0)</f>
        <v>18</v>
      </c>
      <c r="H883" s="7"/>
      <c r="I883" s="7"/>
      <c r="J883" s="7"/>
      <c r="K883" s="7"/>
      <c r="L883" s="7"/>
      <c r="M883" s="7"/>
      <c r="N883" s="7"/>
      <c r="O883" s="7">
        <f>(2*((G880-(2*'[2]Beam '!$D$11))+(F880-(2*'[2]Beam '!$D$11)))+(2*10*D883/1000))*D880</f>
        <v>2.5200000000000005</v>
      </c>
      <c r="P883" s="7">
        <f>O883*F883</f>
        <v>45.360000000000007</v>
      </c>
      <c r="Q883" s="7">
        <f>IF($D883='[2]Beam '!Q$44,$P883*'[2]Beam '!Q$45,0)</f>
        <v>17.905536000000005</v>
      </c>
      <c r="R883" s="7">
        <f>IF($D883='[2]Beam '!R$44,$P883*'[2]Beam '!R$45,0)</f>
        <v>0</v>
      </c>
      <c r="S883" s="7">
        <f>IF($D883='[2]Beam '!S$44,$P883*'[2]Beam '!S$45,0)</f>
        <v>0</v>
      </c>
      <c r="T883" s="7">
        <f>IF($D883='[2]Beam '!T$44,$P883*'[2]Beam '!T$45,0)</f>
        <v>0</v>
      </c>
      <c r="U883" s="7">
        <f>IF($D883='[2]Beam '!U$44,$P883*'[2]Beam '!U$45,0)</f>
        <v>0</v>
      </c>
      <c r="V883" s="7">
        <f>IF($D883='[2]Beam '!V$44,$P883*'[2]Beam '!V$45,0)</f>
        <v>0</v>
      </c>
      <c r="W883" s="7">
        <f>IF($D883='[2]Beam '!W$44,$P883*'[2]Beam '!W$45,0)</f>
        <v>0</v>
      </c>
      <c r="X883" s="7">
        <f>SUM(Q883:W883)</f>
        <v>17.905536000000005</v>
      </c>
      <c r="Y883" s="7"/>
      <c r="Z883" s="7"/>
      <c r="AA883" s="7"/>
      <c r="AB883" s="7"/>
      <c r="AC883" s="7"/>
      <c r="AD883" s="7"/>
      <c r="AE883" s="7"/>
    </row>
    <row r="884" spans="1:32" s="9" customFormat="1" ht="20.100000000000001" customHeight="1" x14ac:dyDescent="0.25">
      <c r="A884" s="7">
        <v>1</v>
      </c>
      <c r="B884" s="10" t="s">
        <v>2</v>
      </c>
      <c r="C884" s="11" t="s">
        <v>135</v>
      </c>
      <c r="D884" s="11">
        <v>1</v>
      </c>
      <c r="E884" s="11">
        <v>1.36</v>
      </c>
      <c r="F884" s="11">
        <v>0.2</v>
      </c>
      <c r="G884" s="11">
        <v>0.8</v>
      </c>
      <c r="H884" s="7">
        <f>G884-0.2</f>
        <v>0.60000000000000009</v>
      </c>
      <c r="I884" s="7">
        <f>E884*F884*G884*D884</f>
        <v>0.21760000000000002</v>
      </c>
      <c r="J884" s="7">
        <f>(2*(E884)*H884*D884)+(E884*F884)</f>
        <v>1.9040000000000004</v>
      </c>
      <c r="K884" s="12">
        <f>IF(E884=0.3,J884,0)</f>
        <v>0</v>
      </c>
      <c r="L884" s="12">
        <f>IF(AND(E884&gt;0.3,E884&lt;=0.75),J884,0)</f>
        <v>0</v>
      </c>
      <c r="M884" s="12">
        <f>IF(AND(E884&gt;0.75,E884&lt;=1.2),J884,0)</f>
        <v>0</v>
      </c>
      <c r="N884" s="12">
        <f>IF(E884&gt;1.2,J884,0)</f>
        <v>1.9040000000000004</v>
      </c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>
        <f>SUM(X886:X887)/I884</f>
        <v>69.970711134453779</v>
      </c>
      <c r="Z884" s="7"/>
      <c r="AA884" s="7"/>
      <c r="AB884" s="7"/>
      <c r="AC884" s="7"/>
      <c r="AD884" s="7"/>
      <c r="AE884" s="7"/>
    </row>
    <row r="885" spans="1:32" s="9" customFormat="1" ht="20.100000000000001" customHeight="1" x14ac:dyDescent="0.25">
      <c r="A885" s="6"/>
      <c r="B885" s="10" t="s">
        <v>2</v>
      </c>
      <c r="C885" s="13" t="s">
        <v>4</v>
      </c>
      <c r="D885" s="7">
        <v>12</v>
      </c>
      <c r="E885" s="7"/>
      <c r="F885" s="7">
        <v>2</v>
      </c>
      <c r="G885" s="8">
        <f>VLOOKUP(D885,'[2]Beam '!$C$20:$H$26,3,0)</f>
        <v>0.47499999999999998</v>
      </c>
      <c r="H885" s="8"/>
      <c r="I885" s="7"/>
      <c r="J885" s="7"/>
      <c r="K885" s="7"/>
      <c r="L885" s="7"/>
      <c r="M885" s="7"/>
      <c r="N885" s="7"/>
      <c r="O885" s="7">
        <f>(E884+2*(G885+(12*D885/1000)))*D884</f>
        <v>2.5979999999999999</v>
      </c>
      <c r="P885" s="7">
        <f>O885*F885</f>
        <v>5.1959999999999997</v>
      </c>
      <c r="Q885" s="7">
        <f>IF($D885='[2]Beam '!Q$44,$P885*'[2]Beam '!Q$45,0)</f>
        <v>0</v>
      </c>
      <c r="R885" s="7">
        <f>IF($D885='[2]Beam '!R$44,$P885*'[2]Beam '!R$45,0)</f>
        <v>0</v>
      </c>
      <c r="S885" s="7">
        <f>IF($D885='[2]Beam '!S$44,$P885*'[2]Beam '!S$45,0)</f>
        <v>4.6149387428571433</v>
      </c>
      <c r="T885" s="7">
        <f>IF($D885='[2]Beam '!T$44,$P885*'[2]Beam '!T$45,0)</f>
        <v>0</v>
      </c>
      <c r="U885" s="7">
        <f>IF($D885='[2]Beam '!U$44,$P885*'[2]Beam '!U$45,0)</f>
        <v>0</v>
      </c>
      <c r="V885" s="7">
        <f>IF($D885='[2]Beam '!V$44,$P885*'[2]Beam '!V$45,0)</f>
        <v>0</v>
      </c>
      <c r="W885" s="7">
        <f>IF($D885='[2]Beam '!W$44,$P885*'[2]Beam '!W$45,0)</f>
        <v>0</v>
      </c>
      <c r="X885" s="7">
        <f>SUM(Q885:W885)</f>
        <v>4.6149387428571433</v>
      </c>
      <c r="Y885" s="7"/>
      <c r="Z885" s="7"/>
      <c r="AA885" s="7"/>
      <c r="AB885" s="7"/>
      <c r="AC885" s="7"/>
      <c r="AD885" s="7"/>
      <c r="AE885" s="7"/>
    </row>
    <row r="886" spans="1:32" s="9" customFormat="1" ht="21" customHeight="1" x14ac:dyDescent="0.25">
      <c r="A886" s="6"/>
      <c r="B886" s="10" t="s">
        <v>2</v>
      </c>
      <c r="C886" s="13" t="s">
        <v>6</v>
      </c>
      <c r="D886" s="7">
        <v>12</v>
      </c>
      <c r="E886" s="7"/>
      <c r="F886" s="7">
        <v>2</v>
      </c>
      <c r="G886" s="8">
        <f>VLOOKUP(D886,'[2]Beam '!$C$20:$H$26,3,0)</f>
        <v>0.47499999999999998</v>
      </c>
      <c r="H886" s="7"/>
      <c r="I886" s="7"/>
      <c r="J886" s="7"/>
      <c r="K886" s="7"/>
      <c r="L886" s="7"/>
      <c r="M886" s="7"/>
      <c r="N886" s="7"/>
      <c r="O886" s="7">
        <f>(E884+2*(G886+(12*D886/1000)))*D884</f>
        <v>2.5979999999999999</v>
      </c>
      <c r="P886" s="7">
        <f>O886*F886</f>
        <v>5.1959999999999997</v>
      </c>
      <c r="Q886" s="7">
        <f>IF($D886='[2]Beam '!Q$44,$P886*'[2]Beam '!Q$45,0)</f>
        <v>0</v>
      </c>
      <c r="R886" s="7">
        <f>IF($D886='[2]Beam '!R$44,$P886*'[2]Beam '!R$45,0)</f>
        <v>0</v>
      </c>
      <c r="S886" s="7">
        <f>IF($D886='[2]Beam '!S$44,$P886*'[2]Beam '!S$45,0)</f>
        <v>4.6149387428571433</v>
      </c>
      <c r="T886" s="7">
        <f>IF($D886='[2]Beam '!T$44,$P886*'[2]Beam '!T$45,0)</f>
        <v>0</v>
      </c>
      <c r="U886" s="7">
        <f>IF($D886='[2]Beam '!U$44,$P886*'[2]Beam '!U$45,0)</f>
        <v>0</v>
      </c>
      <c r="V886" s="7">
        <f>IF($D886='[2]Beam '!V$44,$P886*'[2]Beam '!V$45,0)</f>
        <v>0</v>
      </c>
      <c r="W886" s="7">
        <f>IF($D886='[2]Beam '!W$44,$P886*'[2]Beam '!W$45,0)</f>
        <v>0</v>
      </c>
      <c r="X886" s="7">
        <f>SUM(Q886:W886)</f>
        <v>4.6149387428571433</v>
      </c>
      <c r="Y886" s="7"/>
      <c r="Z886" s="7"/>
      <c r="AA886" s="7"/>
      <c r="AB886" s="7"/>
      <c r="AC886" s="7"/>
      <c r="AD886" s="7"/>
      <c r="AE886" s="7"/>
      <c r="AF886" s="7"/>
    </row>
    <row r="887" spans="1:32" s="9" customFormat="1" ht="20.100000000000001" customHeight="1" x14ac:dyDescent="0.25">
      <c r="A887" s="6"/>
      <c r="B887" s="10" t="s">
        <v>2</v>
      </c>
      <c r="C887" s="13" t="s">
        <v>26</v>
      </c>
      <c r="D887" s="7">
        <v>8</v>
      </c>
      <c r="E887" s="7">
        <v>0.1</v>
      </c>
      <c r="F887" s="7">
        <f>ROUNDUP(E884/E887,0)</f>
        <v>14</v>
      </c>
      <c r="H887" s="7"/>
      <c r="I887" s="7"/>
      <c r="J887" s="7"/>
      <c r="K887" s="7"/>
      <c r="L887" s="7"/>
      <c r="M887" s="7"/>
      <c r="N887" s="7"/>
      <c r="O887" s="7">
        <f>(2*((G884-(2*'[2]Beam '!$D$11))+(F884-(2*'[2]Beam '!$D$11)))+(2*10*D887/1000))*D884</f>
        <v>1.92</v>
      </c>
      <c r="P887" s="7">
        <f>O887*F887</f>
        <v>26.88</v>
      </c>
      <c r="Q887" s="7">
        <f>IF($D887='[2]Beam '!Q$44,$P887*'[2]Beam '!Q$45,0)</f>
        <v>10.610688</v>
      </c>
      <c r="R887" s="7">
        <f>IF($D887='[2]Beam '!R$44,$P887*'[2]Beam '!R$45,0)</f>
        <v>0</v>
      </c>
      <c r="S887" s="7">
        <f>IF($D887='[2]Beam '!S$44,$P887*'[2]Beam '!S$45,0)</f>
        <v>0</v>
      </c>
      <c r="T887" s="7">
        <f>IF($D887='[2]Beam '!T$44,$P887*'[2]Beam '!T$45,0)</f>
        <v>0</v>
      </c>
      <c r="U887" s="7">
        <f>IF($D887='[2]Beam '!U$44,$P887*'[2]Beam '!U$45,0)</f>
        <v>0</v>
      </c>
      <c r="V887" s="7">
        <f>IF($D887='[2]Beam '!V$44,$P887*'[2]Beam '!V$45,0)</f>
        <v>0</v>
      </c>
      <c r="W887" s="7">
        <f>IF($D887='[2]Beam '!W$44,$P887*'[2]Beam '!W$45,0)</f>
        <v>0</v>
      </c>
      <c r="X887" s="7">
        <f>SUM(Q887:W887)</f>
        <v>10.610688</v>
      </c>
      <c r="Y887" s="7"/>
      <c r="Z887" s="7"/>
      <c r="AA887" s="7"/>
      <c r="AB887" s="7"/>
      <c r="AC887" s="7"/>
      <c r="AD887" s="7"/>
      <c r="AE887" s="7"/>
    </row>
    <row r="888" spans="1:32" s="9" customFormat="1" ht="20.100000000000001" customHeight="1" x14ac:dyDescent="0.25">
      <c r="A888" s="7">
        <v>1</v>
      </c>
      <c r="B888" s="10" t="s">
        <v>2</v>
      </c>
      <c r="C888" s="11" t="s">
        <v>136</v>
      </c>
      <c r="D888" s="11">
        <v>1</v>
      </c>
      <c r="E888" s="11">
        <v>4.5199999999999996</v>
      </c>
      <c r="F888" s="11">
        <v>0.2</v>
      </c>
      <c r="G888" s="11">
        <v>1.1000000000000001</v>
      </c>
      <c r="H888" s="7">
        <f>G888-0.2</f>
        <v>0.90000000000000013</v>
      </c>
      <c r="I888" s="7">
        <f>E888*F888*G888*D888</f>
        <v>0.99439999999999995</v>
      </c>
      <c r="J888" s="7">
        <f>(2*(E888)*H888*D888)+(E888*F888)</f>
        <v>9.0400000000000009</v>
      </c>
      <c r="K888" s="12">
        <f>IF(E888=0.3,J888,0)</f>
        <v>0</v>
      </c>
      <c r="L888" s="12">
        <f>IF(AND(E888&gt;0.3,E888&lt;=0.75),J888,0)</f>
        <v>0</v>
      </c>
      <c r="M888" s="12">
        <f>IF(AND(E888&gt;0.75,E888&lt;=1.2),J888,0)</f>
        <v>0</v>
      </c>
      <c r="N888" s="12">
        <f>IF(E888&gt;1.2,J888,0)</f>
        <v>9.0400000000000009</v>
      </c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>
        <f>SUM(X890:X891)/I888</f>
        <v>78.211207332490531</v>
      </c>
      <c r="Z888" s="7"/>
      <c r="AA888" s="7"/>
      <c r="AB888" s="7"/>
      <c r="AC888" s="7"/>
      <c r="AD888" s="7"/>
      <c r="AE888" s="7"/>
    </row>
    <row r="889" spans="1:32" s="9" customFormat="1" ht="20.100000000000001" customHeight="1" x14ac:dyDescent="0.25">
      <c r="A889" s="6"/>
      <c r="B889" s="10" t="s">
        <v>2</v>
      </c>
      <c r="C889" s="13" t="s">
        <v>4</v>
      </c>
      <c r="D889" s="7">
        <v>16</v>
      </c>
      <c r="E889" s="7"/>
      <c r="F889" s="7">
        <v>2</v>
      </c>
      <c r="G889" s="8">
        <f>VLOOKUP(D889,'[2]Beam '!$C$20:$H$26,3,0)</f>
        <v>0.625</v>
      </c>
      <c r="H889" s="8"/>
      <c r="I889" s="7"/>
      <c r="J889" s="7"/>
      <c r="K889" s="7"/>
      <c r="L889" s="7"/>
      <c r="M889" s="7"/>
      <c r="N889" s="7"/>
      <c r="O889" s="7">
        <f>(E888+2*(G889+(12*D889/1000)))*D888</f>
        <v>6.1539999999999999</v>
      </c>
      <c r="P889" s="7">
        <f>O889*F889</f>
        <v>12.308</v>
      </c>
      <c r="Q889" s="7">
        <f>IF($D889='[2]Beam '!Q$44,$P889*'[2]Beam '!Q$45,0)</f>
        <v>0</v>
      </c>
      <c r="R889" s="7">
        <f>IF($D889='[2]Beam '!R$44,$P889*'[2]Beam '!R$45,0)</f>
        <v>0</v>
      </c>
      <c r="S889" s="7">
        <f>IF($D889='[2]Beam '!S$44,$P889*'[2]Beam '!S$45,0)</f>
        <v>0</v>
      </c>
      <c r="T889" s="7">
        <f>IF($D889='[2]Beam '!T$44,$P889*'[2]Beam '!T$45,0)</f>
        <v>19.433980342857144</v>
      </c>
      <c r="U889" s="7">
        <f>IF($D889='[2]Beam '!U$44,$P889*'[2]Beam '!U$45,0)</f>
        <v>0</v>
      </c>
      <c r="V889" s="7">
        <f>IF($D889='[2]Beam '!V$44,$P889*'[2]Beam '!V$45,0)</f>
        <v>0</v>
      </c>
      <c r="W889" s="7">
        <f>IF($D889='[2]Beam '!W$44,$P889*'[2]Beam '!W$45,0)</f>
        <v>0</v>
      </c>
      <c r="X889" s="7">
        <f>SUM(Q889:W889)</f>
        <v>19.433980342857144</v>
      </c>
      <c r="Y889" s="7"/>
      <c r="Z889" s="7"/>
      <c r="AA889" s="7"/>
      <c r="AB889" s="7"/>
      <c r="AC889" s="7"/>
      <c r="AD889" s="7"/>
      <c r="AE889" s="7"/>
    </row>
    <row r="890" spans="1:32" s="9" customFormat="1" ht="21" customHeight="1" x14ac:dyDescent="0.25">
      <c r="A890" s="6"/>
      <c r="B890" s="10" t="s">
        <v>2</v>
      </c>
      <c r="C890" s="13" t="s">
        <v>6</v>
      </c>
      <c r="D890" s="7">
        <v>25</v>
      </c>
      <c r="E890" s="7"/>
      <c r="F890" s="7">
        <v>2</v>
      </c>
      <c r="G890" s="8">
        <f>VLOOKUP(D890,'[2]Beam '!$C$20:$H$26,3,0)</f>
        <v>1</v>
      </c>
      <c r="H890" s="7"/>
      <c r="I890" s="7"/>
      <c r="J890" s="7"/>
      <c r="K890" s="7"/>
      <c r="L890" s="7"/>
      <c r="M890" s="7"/>
      <c r="N890" s="7"/>
      <c r="O890" s="7">
        <f>(E888+2*(G890+(12*D890/1000)))*D888</f>
        <v>7.1199999999999992</v>
      </c>
      <c r="P890" s="7">
        <f>O890*F890</f>
        <v>14.239999999999998</v>
      </c>
      <c r="Q890" s="7">
        <f>IF($D890='[2]Beam '!Q$44,$P890*'[2]Beam '!Q$45,0)</f>
        <v>0</v>
      </c>
      <c r="R890" s="7">
        <f>IF($D890='[2]Beam '!R$44,$P890*'[2]Beam '!R$45,0)</f>
        <v>0</v>
      </c>
      <c r="S890" s="7">
        <f>IF($D890='[2]Beam '!S$44,$P890*'[2]Beam '!S$45,0)</f>
        <v>0</v>
      </c>
      <c r="T890" s="7">
        <f>IF($D890='[2]Beam '!T$44,$P890*'[2]Beam '!T$45,0)</f>
        <v>0</v>
      </c>
      <c r="U890" s="7">
        <f>IF($D890='[2]Beam '!U$44,$P890*'[2]Beam '!U$45,0)</f>
        <v>0</v>
      </c>
      <c r="V890" s="7">
        <f>IF($D890='[2]Beam '!V$44,$P890*'[2]Beam '!V$45,0)</f>
        <v>54.893928571428575</v>
      </c>
      <c r="W890" s="7">
        <f>IF($D890='[2]Beam '!W$44,$P890*'[2]Beam '!W$45,0)</f>
        <v>0</v>
      </c>
      <c r="X890" s="7">
        <f>SUM(Q890:W890)</f>
        <v>54.893928571428575</v>
      </c>
      <c r="Y890" s="7"/>
      <c r="Z890" s="7"/>
      <c r="AA890" s="7"/>
      <c r="AB890" s="7"/>
      <c r="AC890" s="7"/>
      <c r="AD890" s="7"/>
      <c r="AE890" s="7"/>
      <c r="AF890" s="7"/>
    </row>
    <row r="891" spans="1:32" s="9" customFormat="1" ht="20.100000000000001" customHeight="1" x14ac:dyDescent="0.25">
      <c r="A891" s="6"/>
      <c r="B891" s="10" t="s">
        <v>2</v>
      </c>
      <c r="C891" s="13" t="s">
        <v>26</v>
      </c>
      <c r="D891" s="7">
        <v>8</v>
      </c>
      <c r="E891" s="7">
        <v>0.2</v>
      </c>
      <c r="F891" s="7">
        <f>ROUNDUP(E888/E891,0)</f>
        <v>23</v>
      </c>
      <c r="H891" s="7"/>
      <c r="I891" s="7"/>
      <c r="J891" s="7"/>
      <c r="K891" s="7"/>
      <c r="L891" s="7"/>
      <c r="M891" s="7"/>
      <c r="N891" s="7"/>
      <c r="O891" s="7">
        <f>(2*((G888-(2*'[2]Beam '!$D$11))+(F888-(2*'[2]Beam '!$D$11)))+(2*10*D891/1000))*D888</f>
        <v>2.5200000000000005</v>
      </c>
      <c r="P891" s="7">
        <f>O891*F891</f>
        <v>57.960000000000008</v>
      </c>
      <c r="Q891" s="7">
        <f>IF($D891='[2]Beam '!Q$44,$P891*'[2]Beam '!Q$45,0)</f>
        <v>22.879296000000004</v>
      </c>
      <c r="R891" s="7">
        <f>IF($D891='[2]Beam '!R$44,$P891*'[2]Beam '!R$45,0)</f>
        <v>0</v>
      </c>
      <c r="S891" s="7">
        <f>IF($D891='[2]Beam '!S$44,$P891*'[2]Beam '!S$45,0)</f>
        <v>0</v>
      </c>
      <c r="T891" s="7">
        <f>IF($D891='[2]Beam '!T$44,$P891*'[2]Beam '!T$45,0)</f>
        <v>0</v>
      </c>
      <c r="U891" s="7">
        <f>IF($D891='[2]Beam '!U$44,$P891*'[2]Beam '!U$45,0)</f>
        <v>0</v>
      </c>
      <c r="V891" s="7">
        <f>IF($D891='[2]Beam '!V$44,$P891*'[2]Beam '!V$45,0)</f>
        <v>0</v>
      </c>
      <c r="W891" s="7">
        <f>IF($D891='[2]Beam '!W$44,$P891*'[2]Beam '!W$45,0)</f>
        <v>0</v>
      </c>
      <c r="X891" s="7">
        <f>SUM(Q891:W891)</f>
        <v>22.879296000000004</v>
      </c>
      <c r="Y891" s="7"/>
      <c r="Z891" s="7"/>
      <c r="AA891" s="7"/>
      <c r="AB891" s="7"/>
      <c r="AC891" s="7"/>
      <c r="AD891" s="7"/>
      <c r="AE891" s="7"/>
    </row>
    <row r="892" spans="1:32" s="9" customFormat="1" ht="20.100000000000001" customHeight="1" x14ac:dyDescent="0.25">
      <c r="A892" s="7">
        <v>1</v>
      </c>
      <c r="B892" s="10" t="s">
        <v>2</v>
      </c>
      <c r="C892" s="11" t="s">
        <v>137</v>
      </c>
      <c r="D892" s="11">
        <v>1</v>
      </c>
      <c r="E892" s="11">
        <v>3.5489999999999999</v>
      </c>
      <c r="F892" s="11">
        <v>0.2</v>
      </c>
      <c r="G892" s="11">
        <v>1.1000000000000001</v>
      </c>
      <c r="H892" s="7">
        <f>G892-0.2</f>
        <v>0.90000000000000013</v>
      </c>
      <c r="I892" s="7">
        <f>E892*F892*G892*D892</f>
        <v>0.78078000000000003</v>
      </c>
      <c r="J892" s="7">
        <f>(2*(E892)*H892*D892)+(E892*F892)</f>
        <v>7.0980000000000008</v>
      </c>
      <c r="K892" s="12">
        <f>IF(E892=0.3,J892,0)</f>
        <v>0</v>
      </c>
      <c r="L892" s="12">
        <f>IF(AND(E892&gt;0.3,E892&lt;=0.75),J892,0)</f>
        <v>0</v>
      </c>
      <c r="M892" s="12">
        <f>IF(AND(E892&gt;0.75,E892&lt;=1.2),J892,0)</f>
        <v>0</v>
      </c>
      <c r="N892" s="12">
        <f>IF(E892&gt;1.2,J892,0)</f>
        <v>7.0980000000000008</v>
      </c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>
        <f>SUM(X894:X895)/I892</f>
        <v>43.896044761099716</v>
      </c>
      <c r="Z892" s="7"/>
      <c r="AA892" s="7"/>
      <c r="AB892" s="7"/>
      <c r="AC892" s="7"/>
      <c r="AD892" s="7"/>
      <c r="AE892" s="7"/>
    </row>
    <row r="893" spans="1:32" s="9" customFormat="1" ht="20.100000000000001" customHeight="1" x14ac:dyDescent="0.25">
      <c r="A893" s="6"/>
      <c r="B893" s="10" t="s">
        <v>2</v>
      </c>
      <c r="C893" s="13" t="s">
        <v>4</v>
      </c>
      <c r="D893" s="7">
        <v>16</v>
      </c>
      <c r="E893" s="7"/>
      <c r="F893" s="7">
        <v>2</v>
      </c>
      <c r="G893" s="8">
        <f>VLOOKUP(D893,'[2]Beam '!$C$20:$H$26,3,0)</f>
        <v>0.625</v>
      </c>
      <c r="H893" s="8"/>
      <c r="I893" s="7"/>
      <c r="J893" s="7"/>
      <c r="K893" s="7"/>
      <c r="L893" s="7"/>
      <c r="M893" s="7"/>
      <c r="N893" s="7"/>
      <c r="O893" s="7">
        <f>(E892+2*(G893+(12*D893/1000)))*D892</f>
        <v>5.1829999999999998</v>
      </c>
      <c r="P893" s="7">
        <f>O893*F893</f>
        <v>10.366</v>
      </c>
      <c r="Q893" s="7">
        <f>IF($D893='[2]Beam '!Q$44,$P893*'[2]Beam '!Q$45,0)</f>
        <v>0</v>
      </c>
      <c r="R893" s="7">
        <f>IF($D893='[2]Beam '!R$44,$P893*'[2]Beam '!R$45,0)</f>
        <v>0</v>
      </c>
      <c r="S893" s="7">
        <f>IF($D893='[2]Beam '!S$44,$P893*'[2]Beam '!S$45,0)</f>
        <v>0</v>
      </c>
      <c r="T893" s="7">
        <f>IF($D893='[2]Beam '!T$44,$P893*'[2]Beam '!T$45,0)</f>
        <v>16.367617828571429</v>
      </c>
      <c r="U893" s="7">
        <f>IF($D893='[2]Beam '!U$44,$P893*'[2]Beam '!U$45,0)</f>
        <v>0</v>
      </c>
      <c r="V893" s="7">
        <f>IF($D893='[2]Beam '!V$44,$P893*'[2]Beam '!V$45,0)</f>
        <v>0</v>
      </c>
      <c r="W893" s="7">
        <f>IF($D893='[2]Beam '!W$44,$P893*'[2]Beam '!W$45,0)</f>
        <v>0</v>
      </c>
      <c r="X893" s="7">
        <f>SUM(Q893:W893)</f>
        <v>16.367617828571429</v>
      </c>
      <c r="Y893" s="7"/>
      <c r="Z893" s="7"/>
      <c r="AA893" s="7"/>
      <c r="AB893" s="7"/>
      <c r="AC893" s="7"/>
      <c r="AD893" s="7"/>
      <c r="AE893" s="7"/>
    </row>
    <row r="894" spans="1:32" s="9" customFormat="1" ht="21" customHeight="1" x14ac:dyDescent="0.25">
      <c r="A894" s="6"/>
      <c r="B894" s="10" t="s">
        <v>2</v>
      </c>
      <c r="C894" s="13" t="s">
        <v>6</v>
      </c>
      <c r="D894" s="7">
        <v>16</v>
      </c>
      <c r="E894" s="7"/>
      <c r="F894" s="7">
        <v>2</v>
      </c>
      <c r="G894" s="8">
        <f>VLOOKUP(D894,'[2]Beam '!$C$20:$H$26,3,0)</f>
        <v>0.625</v>
      </c>
      <c r="H894" s="7"/>
      <c r="I894" s="7"/>
      <c r="J894" s="7"/>
      <c r="K894" s="7"/>
      <c r="L894" s="7"/>
      <c r="M894" s="7"/>
      <c r="N894" s="7"/>
      <c r="O894" s="7">
        <f>(E892+2*(G894+(12*D894/1000)))*D892</f>
        <v>5.1829999999999998</v>
      </c>
      <c r="P894" s="7">
        <f>O894*F894</f>
        <v>10.366</v>
      </c>
      <c r="Q894" s="7">
        <f>IF($D894='[2]Beam '!Q$44,$P894*'[2]Beam '!Q$45,0)</f>
        <v>0</v>
      </c>
      <c r="R894" s="7">
        <f>IF($D894='[2]Beam '!R$44,$P894*'[2]Beam '!R$45,0)</f>
        <v>0</v>
      </c>
      <c r="S894" s="7">
        <f>IF($D894='[2]Beam '!S$44,$P894*'[2]Beam '!S$45,0)</f>
        <v>0</v>
      </c>
      <c r="T894" s="7">
        <f>IF($D894='[2]Beam '!T$44,$P894*'[2]Beam '!T$45,0)</f>
        <v>16.367617828571429</v>
      </c>
      <c r="U894" s="7">
        <f>IF($D894='[2]Beam '!U$44,$P894*'[2]Beam '!U$45,0)</f>
        <v>0</v>
      </c>
      <c r="V894" s="7">
        <f>IF($D894='[2]Beam '!V$44,$P894*'[2]Beam '!V$45,0)</f>
        <v>0</v>
      </c>
      <c r="W894" s="7">
        <f>IF($D894='[2]Beam '!W$44,$P894*'[2]Beam '!W$45,0)</f>
        <v>0</v>
      </c>
      <c r="X894" s="7">
        <f>SUM(Q894:W894)</f>
        <v>16.367617828571429</v>
      </c>
      <c r="Y894" s="7"/>
      <c r="Z894" s="7"/>
      <c r="AA894" s="7"/>
      <c r="AB894" s="7"/>
      <c r="AC894" s="7"/>
      <c r="AD894" s="7"/>
      <c r="AE894" s="7"/>
      <c r="AF894" s="7"/>
    </row>
    <row r="895" spans="1:32" s="9" customFormat="1" ht="20.100000000000001" customHeight="1" x14ac:dyDescent="0.25">
      <c r="A895" s="6"/>
      <c r="B895" s="10" t="s">
        <v>2</v>
      </c>
      <c r="C895" s="13" t="s">
        <v>26</v>
      </c>
      <c r="D895" s="7">
        <v>8</v>
      </c>
      <c r="E895" s="7">
        <v>0.2</v>
      </c>
      <c r="F895" s="7">
        <f>ROUNDUP(E892/E895,0)</f>
        <v>18</v>
      </c>
      <c r="H895" s="7"/>
      <c r="I895" s="7"/>
      <c r="J895" s="7"/>
      <c r="K895" s="7"/>
      <c r="L895" s="7"/>
      <c r="M895" s="7"/>
      <c r="N895" s="7"/>
      <c r="O895" s="7">
        <f>(2*((G892-(2*'[2]Beam '!$D$11))+(F892-(2*'[2]Beam '!$D$11)))+(2*10*D895/1000))*D892</f>
        <v>2.5200000000000005</v>
      </c>
      <c r="P895" s="7">
        <f>O895*F895</f>
        <v>45.360000000000007</v>
      </c>
      <c r="Q895" s="7">
        <f>IF($D895='[2]Beam '!Q$44,$P895*'[2]Beam '!Q$45,0)</f>
        <v>17.905536000000005</v>
      </c>
      <c r="R895" s="7">
        <f>IF($D895='[2]Beam '!R$44,$P895*'[2]Beam '!R$45,0)</f>
        <v>0</v>
      </c>
      <c r="S895" s="7">
        <f>IF($D895='[2]Beam '!S$44,$P895*'[2]Beam '!S$45,0)</f>
        <v>0</v>
      </c>
      <c r="T895" s="7">
        <f>IF($D895='[2]Beam '!T$44,$P895*'[2]Beam '!T$45,0)</f>
        <v>0</v>
      </c>
      <c r="U895" s="7">
        <f>IF($D895='[2]Beam '!U$44,$P895*'[2]Beam '!U$45,0)</f>
        <v>0</v>
      </c>
      <c r="V895" s="7">
        <f>IF($D895='[2]Beam '!V$44,$P895*'[2]Beam '!V$45,0)</f>
        <v>0</v>
      </c>
      <c r="W895" s="7">
        <f>IF($D895='[2]Beam '!W$44,$P895*'[2]Beam '!W$45,0)</f>
        <v>0</v>
      </c>
      <c r="X895" s="7">
        <f>SUM(Q895:W895)</f>
        <v>17.905536000000005</v>
      </c>
      <c r="Y895" s="7"/>
      <c r="Z895" s="7"/>
      <c r="AA895" s="7"/>
      <c r="AB895" s="7"/>
      <c r="AC895" s="7"/>
      <c r="AD895" s="7"/>
      <c r="AE895" s="7"/>
    </row>
    <row r="896" spans="1:32" s="9" customFormat="1" ht="20.100000000000001" customHeight="1" x14ac:dyDescent="0.25">
      <c r="A896" s="7">
        <v>1</v>
      </c>
      <c r="B896" s="10" t="s">
        <v>2</v>
      </c>
      <c r="C896" s="11" t="s">
        <v>138</v>
      </c>
      <c r="D896" s="11">
        <v>1</v>
      </c>
      <c r="E896" s="11">
        <v>2</v>
      </c>
      <c r="F896" s="11">
        <v>0.4</v>
      </c>
      <c r="G896" s="11">
        <v>0.8</v>
      </c>
      <c r="H896" s="7">
        <f>G896-0.2</f>
        <v>0.60000000000000009</v>
      </c>
      <c r="I896" s="7">
        <f>E896*F896*G896*D896</f>
        <v>0.64000000000000012</v>
      </c>
      <c r="J896" s="7">
        <f>(2*(E896)*H896*D896)+(E896*F896)</f>
        <v>3.2</v>
      </c>
      <c r="K896" s="12">
        <f>IF(E896=0.3,J896,0)</f>
        <v>0</v>
      </c>
      <c r="L896" s="12">
        <f>IF(AND(E896&gt;0.3,E896&lt;=0.75),J896,0)</f>
        <v>0</v>
      </c>
      <c r="M896" s="12">
        <f>IF(AND(E896&gt;0.75,E896&lt;=1.2),J896,0)</f>
        <v>0</v>
      </c>
      <c r="N896" s="12">
        <f>IF(E896&gt;1.2,J896,0)</f>
        <v>3.2</v>
      </c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>
        <f>SUM(X897:X903)/I896</f>
        <v>353.44606601562498</v>
      </c>
      <c r="Z896" s="7"/>
      <c r="AA896" s="7"/>
      <c r="AB896" s="7"/>
      <c r="AC896" s="7"/>
      <c r="AD896" s="7"/>
      <c r="AE896" s="7"/>
    </row>
    <row r="897" spans="1:32" s="9" customFormat="1" ht="20.100000000000001" customHeight="1" x14ac:dyDescent="0.25">
      <c r="A897" s="6"/>
      <c r="B897" s="10" t="s">
        <v>2</v>
      </c>
      <c r="C897" s="13" t="s">
        <v>4</v>
      </c>
      <c r="D897" s="7">
        <v>32</v>
      </c>
      <c r="E897" s="7"/>
      <c r="F897" s="7">
        <v>4</v>
      </c>
      <c r="G897" s="8">
        <f>VLOOKUP(D897,'[2]Beam '!$C$20:$H$26,3,0)</f>
        <v>1.25</v>
      </c>
      <c r="H897" s="8"/>
      <c r="I897" s="7"/>
      <c r="J897" s="7"/>
      <c r="K897" s="7"/>
      <c r="L897" s="7"/>
      <c r="M897" s="7"/>
      <c r="N897" s="7"/>
      <c r="O897" s="7">
        <f>(E896+1*(0.3/2)+1*(G897)*D896)</f>
        <v>3.4</v>
      </c>
      <c r="P897" s="7">
        <f t="shared" ref="P897:P904" si="159">O897*F897</f>
        <v>13.6</v>
      </c>
      <c r="Q897" s="7">
        <f>IF($D897='[2]Beam '!Q$44,$P897*'[2]Beam '!Q$45,0)</f>
        <v>0</v>
      </c>
      <c r="R897" s="7">
        <f>IF($D897='[2]Beam '!R$44,$P897*'[2]Beam '!R$45,0)</f>
        <v>0</v>
      </c>
      <c r="S897" s="7">
        <f>IF($D897='[2]Beam '!S$44,$P897*'[2]Beam '!S$45,0)</f>
        <v>0</v>
      </c>
      <c r="T897" s="7">
        <f>IF($D897='[2]Beam '!T$44,$P897*'[2]Beam '!T$45,0)</f>
        <v>0</v>
      </c>
      <c r="U897" s="7">
        <f>IF($D897='[2]Beam '!U$44,$P897*'[2]Beam '!U$45,0)</f>
        <v>0</v>
      </c>
      <c r="V897" s="7">
        <f>IF($D897='[2]Beam '!V$44,$P897*'[2]Beam '!V$45,0)</f>
        <v>0</v>
      </c>
      <c r="W897" s="7">
        <f>IF($D897='[2]Beam '!W$44,$P897*'[2]Beam '!W$45,0)</f>
        <v>85.896045714285719</v>
      </c>
      <c r="X897" s="7">
        <f t="shared" ref="X897:X904" si="160">SUM(Q897:W897)</f>
        <v>85.896045714285719</v>
      </c>
      <c r="Y897" s="7"/>
      <c r="Z897" s="7"/>
      <c r="AA897" s="7"/>
      <c r="AB897" s="7"/>
      <c r="AC897" s="7"/>
      <c r="AD897" s="7"/>
      <c r="AE897" s="7"/>
    </row>
    <row r="898" spans="1:32" s="9" customFormat="1" ht="20.100000000000001" customHeight="1" x14ac:dyDescent="0.25">
      <c r="A898" s="6"/>
      <c r="B898" s="10" t="s">
        <v>2</v>
      </c>
      <c r="C898" s="13" t="s">
        <v>4</v>
      </c>
      <c r="D898" s="7">
        <v>32</v>
      </c>
      <c r="E898" s="7"/>
      <c r="F898" s="7">
        <v>4</v>
      </c>
      <c r="G898" s="8">
        <f>VLOOKUP(D898,'[2]Beam '!$C$20:$H$26,3,0)</f>
        <v>1.25</v>
      </c>
      <c r="H898" s="8"/>
      <c r="I898" s="7"/>
      <c r="J898" s="7"/>
      <c r="K898" s="7"/>
      <c r="L898" s="7"/>
      <c r="M898" s="7"/>
      <c r="N898" s="7"/>
      <c r="O898" s="7">
        <f>(0.6+1*(0.3/2)*D896)</f>
        <v>0.75</v>
      </c>
      <c r="P898" s="7">
        <f t="shared" si="159"/>
        <v>3</v>
      </c>
      <c r="Q898" s="7">
        <f>IF($D898='[2]Beam '!Q$44,$P898*'[2]Beam '!Q$45,0)</f>
        <v>0</v>
      </c>
      <c r="R898" s="7">
        <f>IF($D898='[2]Beam '!R$44,$P898*'[2]Beam '!R$45,0)</f>
        <v>0</v>
      </c>
      <c r="S898" s="7">
        <f>IF($D898='[2]Beam '!S$44,$P898*'[2]Beam '!S$45,0)</f>
        <v>0</v>
      </c>
      <c r="T898" s="7">
        <f>IF($D898='[2]Beam '!T$44,$P898*'[2]Beam '!T$45,0)</f>
        <v>0</v>
      </c>
      <c r="U898" s="7">
        <f>IF($D898='[2]Beam '!U$44,$P898*'[2]Beam '!U$45,0)</f>
        <v>0</v>
      </c>
      <c r="V898" s="7">
        <f>IF($D898='[2]Beam '!V$44,$P898*'[2]Beam '!V$45,0)</f>
        <v>0</v>
      </c>
      <c r="W898" s="7">
        <f>IF($D898='[2]Beam '!W$44,$P898*'[2]Beam '!W$45,0)</f>
        <v>18.947657142857146</v>
      </c>
      <c r="X898" s="7">
        <f t="shared" si="160"/>
        <v>18.947657142857146</v>
      </c>
      <c r="Y898" s="7"/>
      <c r="Z898" s="7"/>
      <c r="AA898" s="7"/>
      <c r="AB898" s="7"/>
      <c r="AC898" s="7"/>
      <c r="AD898" s="7"/>
      <c r="AE898" s="7"/>
    </row>
    <row r="899" spans="1:32" s="14" customFormat="1" ht="20.100000000000001" customHeight="1" x14ac:dyDescent="0.3">
      <c r="A899" s="6"/>
      <c r="B899" s="10" t="s">
        <v>2</v>
      </c>
      <c r="C899" s="13" t="s">
        <v>6</v>
      </c>
      <c r="D899" s="7">
        <v>25</v>
      </c>
      <c r="E899" s="7"/>
      <c r="F899" s="7">
        <v>3</v>
      </c>
      <c r="G899" s="8">
        <f>VLOOKUP(D899,'[2]Beam '!$C$20:$H$26,3,0)</f>
        <v>1</v>
      </c>
      <c r="H899" s="7"/>
      <c r="I899" s="7"/>
      <c r="J899" s="7"/>
      <c r="K899" s="7"/>
      <c r="L899" s="7"/>
      <c r="M899" s="7"/>
      <c r="N899" s="7"/>
      <c r="O899" s="7">
        <f>(E896+1*(0.3/2)+1*(G899)*D896)</f>
        <v>3.15</v>
      </c>
      <c r="P899" s="7">
        <f t="shared" si="159"/>
        <v>9.4499999999999993</v>
      </c>
      <c r="Q899" s="7">
        <f>IF($D899='[2]Beam '!Q$44,$P899*'[2]Beam '!Q$45,0)</f>
        <v>0</v>
      </c>
      <c r="R899" s="7">
        <f>IF($D899='[2]Beam '!R$44,$P899*'[2]Beam '!R$45,0)</f>
        <v>0</v>
      </c>
      <c r="S899" s="7">
        <f>IF($D899='[2]Beam '!S$44,$P899*'[2]Beam '!S$45,0)</f>
        <v>0</v>
      </c>
      <c r="T899" s="7">
        <f>IF($D899='[2]Beam '!T$44,$P899*'[2]Beam '!T$45,0)</f>
        <v>0</v>
      </c>
      <c r="U899" s="7">
        <f>IF($D899='[2]Beam '!U$44,$P899*'[2]Beam '!U$45,0)</f>
        <v>0</v>
      </c>
      <c r="V899" s="7">
        <f>IF($D899='[2]Beam '!V$44,$P899*'[2]Beam '!V$45,0)</f>
        <v>36.428906250000004</v>
      </c>
      <c r="W899" s="7">
        <f>IF($D899='[2]Beam '!W$44,$P899*'[2]Beam '!W$45,0)</f>
        <v>0</v>
      </c>
      <c r="X899" s="7">
        <f t="shared" si="160"/>
        <v>36.428906250000004</v>
      </c>
      <c r="Y899" s="7"/>
    </row>
    <row r="900" spans="1:32" s="14" customFormat="1" ht="20.100000000000001" customHeight="1" x14ac:dyDescent="0.25">
      <c r="A900" s="6"/>
      <c r="B900" s="10" t="s">
        <v>2</v>
      </c>
      <c r="C900" s="13" t="s">
        <v>7</v>
      </c>
      <c r="D900" s="7">
        <v>12</v>
      </c>
      <c r="E900" s="7">
        <v>0.1</v>
      </c>
      <c r="F900" s="7">
        <f>ROUNDUP((E896/3*2)/E900,0)+1</f>
        <v>15</v>
      </c>
      <c r="G900" s="9"/>
      <c r="H900" s="7"/>
      <c r="I900" s="7"/>
      <c r="J900" s="7"/>
      <c r="K900" s="7"/>
      <c r="L900" s="7"/>
      <c r="M900" s="7"/>
      <c r="N900" s="7"/>
      <c r="O900" s="7">
        <f>(2*((G896-(2*'[2]Beam '!$D$11))+(F896-(2*'[2]Beam '!$D$11)))+(2*10*D900/1000))*D896</f>
        <v>2.4000000000000004</v>
      </c>
      <c r="P900" s="7">
        <f t="shared" si="159"/>
        <v>36.000000000000007</v>
      </c>
      <c r="Q900" s="7">
        <f>IF($D900='[2]Beam '!Q$44,$P900*'[2]Beam '!Q$45,0)</f>
        <v>0</v>
      </c>
      <c r="R900" s="7">
        <f>IF($D900='[2]Beam '!R$44,$P900*'[2]Beam '!R$45,0)</f>
        <v>0</v>
      </c>
      <c r="S900" s="7">
        <f>IF($D900='[2]Beam '!S$44,$P900*'[2]Beam '!S$45,0)</f>
        <v>31.974171428571442</v>
      </c>
      <c r="T900" s="7">
        <f>IF($D900='[2]Beam '!T$44,$P900*'[2]Beam '!T$45,0)</f>
        <v>0</v>
      </c>
      <c r="U900" s="7">
        <f>IF($D900='[2]Beam '!U$44,$P900*'[2]Beam '!U$45,0)</f>
        <v>0</v>
      </c>
      <c r="V900" s="7">
        <f>IF($D900='[2]Beam '!V$44,$P900*'[2]Beam '!V$45,0)</f>
        <v>0</v>
      </c>
      <c r="W900" s="7">
        <f>IF($D900='[2]Beam '!W$44,$P900*'[2]Beam '!W$45,0)</f>
        <v>0</v>
      </c>
      <c r="X900" s="7">
        <f t="shared" si="160"/>
        <v>31.974171428571442</v>
      </c>
      <c r="Y900" s="7"/>
    </row>
    <row r="901" spans="1:32" s="14" customFormat="1" ht="20.100000000000001" customHeight="1" x14ac:dyDescent="0.25">
      <c r="B901" s="10" t="s">
        <v>2</v>
      </c>
      <c r="C901" s="13" t="s">
        <v>8</v>
      </c>
      <c r="D901" s="14">
        <f>D900</f>
        <v>12</v>
      </c>
      <c r="E901" s="14">
        <v>0.125</v>
      </c>
      <c r="F901" s="7">
        <f>ROUNDUP((E896/3)/E901,0)+1</f>
        <v>7</v>
      </c>
      <c r="G901" s="9"/>
      <c r="O901" s="7">
        <f>(2*((G896-(2*'[2]Beam '!$D$11))+(F896-(2*'[2]Beam '!$D$11)))+(2*10*D901/1000))*D896</f>
        <v>2.4000000000000004</v>
      </c>
      <c r="P901" s="7">
        <f t="shared" si="159"/>
        <v>16.800000000000004</v>
      </c>
      <c r="Q901" s="7">
        <f>IF($D901='[2]Beam '!Q$44,$P901*'[2]Beam '!Q$45,0)</f>
        <v>0</v>
      </c>
      <c r="R901" s="7">
        <f>IF($D901='[2]Beam '!R$44,$P901*'[2]Beam '!R$45,0)</f>
        <v>0</v>
      </c>
      <c r="S901" s="7">
        <f>IF($D901='[2]Beam '!S$44,$P901*'[2]Beam '!S$45,0)</f>
        <v>14.921280000000007</v>
      </c>
      <c r="T901" s="7">
        <f>IF($D901='[2]Beam '!T$44,$P901*'[2]Beam '!T$45,0)</f>
        <v>0</v>
      </c>
      <c r="U901" s="7">
        <f>IF($D901='[2]Beam '!U$44,$P901*'[2]Beam '!U$45,0)</f>
        <v>0</v>
      </c>
      <c r="V901" s="7">
        <f>IF($D901='[2]Beam '!V$44,$P901*'[2]Beam '!V$45,0)</f>
        <v>0</v>
      </c>
      <c r="W901" s="7">
        <f>IF($D901='[2]Beam '!W$44,$P901*'[2]Beam '!W$45,0)</f>
        <v>0</v>
      </c>
      <c r="X901" s="7">
        <f t="shared" si="160"/>
        <v>14.921280000000007</v>
      </c>
    </row>
    <row r="902" spans="1:32" s="9" customFormat="1" ht="20.100000000000001" customHeight="1" x14ac:dyDescent="0.25">
      <c r="A902" s="14"/>
      <c r="B902" s="10" t="s">
        <v>2</v>
      </c>
      <c r="C902" s="13" t="s">
        <v>9</v>
      </c>
      <c r="D902" s="14">
        <f>D900</f>
        <v>12</v>
      </c>
      <c r="E902" s="14">
        <f>+E900</f>
        <v>0.1</v>
      </c>
      <c r="F902" s="7">
        <f>ROUNDUP((E896/3*2)/E902,0)+1</f>
        <v>15</v>
      </c>
      <c r="H902" s="14"/>
      <c r="I902" s="14"/>
      <c r="J902" s="14"/>
      <c r="K902" s="14"/>
      <c r="L902" s="14"/>
      <c r="M902" s="14"/>
      <c r="N902" s="14"/>
      <c r="O902" s="7">
        <f>(2*(((F896-'[2]Beam '!$D$11*2)/(F897-1))+(G896-'[2]Beam '!$D$11*2))+(2*10*D902/1000))*D896</f>
        <v>1.9466666666666665</v>
      </c>
      <c r="P902" s="7">
        <f t="shared" si="159"/>
        <v>29.2</v>
      </c>
      <c r="Q902" s="7">
        <f>IF($D902='[2]Beam '!Q$44,$P902*'[2]Beam '!Q$45,0)</f>
        <v>0</v>
      </c>
      <c r="R902" s="7">
        <f>IF($D902='[2]Beam '!R$44,$P902*'[2]Beam '!R$45,0)</f>
        <v>0</v>
      </c>
      <c r="S902" s="7">
        <f>IF($D902='[2]Beam '!S$44,$P902*'[2]Beam '!S$45,0)</f>
        <v>25.93460571428572</v>
      </c>
      <c r="T902" s="7">
        <f>IF($D902='[2]Beam '!T$44,$P902*'[2]Beam '!T$45,0)</f>
        <v>0</v>
      </c>
      <c r="U902" s="7">
        <f>IF($D902='[2]Beam '!U$44,$P902*'[2]Beam '!U$45,0)</f>
        <v>0</v>
      </c>
      <c r="V902" s="7">
        <f>IF($D902='[2]Beam '!V$44,$P902*'[2]Beam '!V$45,0)</f>
        <v>0</v>
      </c>
      <c r="W902" s="7">
        <f>IF($D902='[2]Beam '!W$44,$P902*'[2]Beam '!W$45,0)</f>
        <v>0</v>
      </c>
      <c r="X902" s="7">
        <f t="shared" si="160"/>
        <v>25.93460571428572</v>
      </c>
      <c r="Y902" s="14"/>
      <c r="Z902" s="7"/>
      <c r="AA902" s="7"/>
      <c r="AB902" s="7"/>
      <c r="AC902" s="7"/>
      <c r="AD902" s="7"/>
      <c r="AE902" s="7"/>
    </row>
    <row r="903" spans="1:32" s="9" customFormat="1" ht="21" customHeight="1" x14ac:dyDescent="0.25">
      <c r="A903" s="14"/>
      <c r="B903" s="10" t="s">
        <v>2</v>
      </c>
      <c r="C903" s="13" t="s">
        <v>10</v>
      </c>
      <c r="D903" s="14">
        <f>D901</f>
        <v>12</v>
      </c>
      <c r="E903" s="14">
        <f>+E901</f>
        <v>0.125</v>
      </c>
      <c r="F903" s="7">
        <f>ROUNDUP((E896/3)/E903,0)+1</f>
        <v>7</v>
      </c>
      <c r="H903" s="14"/>
      <c r="I903" s="14"/>
      <c r="J903" s="14"/>
      <c r="K903" s="14"/>
      <c r="L903" s="14"/>
      <c r="M903" s="14"/>
      <c r="N903" s="14"/>
      <c r="O903" s="7">
        <f>(2*(((F896-'[2]Beam '!$D$11*2)/(F897-1))+(G896-'[2]Beam '!$D$11*2))+(2*10*D903/1000))*D896</f>
        <v>1.9466666666666665</v>
      </c>
      <c r="P903" s="7">
        <f t="shared" si="159"/>
        <v>13.626666666666665</v>
      </c>
      <c r="Q903" s="7">
        <f>IF($D903='[2]Beam '!Q$44,$P903*'[2]Beam '!Q$45,0)</f>
        <v>0</v>
      </c>
      <c r="R903" s="7">
        <f>IF($D903='[2]Beam '!R$44,$P903*'[2]Beam '!R$45,0)</f>
        <v>0</v>
      </c>
      <c r="S903" s="7">
        <f>IF($D903='[2]Beam '!S$44,$P903*'[2]Beam '!S$45,0)</f>
        <v>12.102816000000001</v>
      </c>
      <c r="T903" s="7">
        <f>IF($D903='[2]Beam '!T$44,$P903*'[2]Beam '!T$45,0)</f>
        <v>0</v>
      </c>
      <c r="U903" s="7">
        <f>IF($D903='[2]Beam '!U$44,$P903*'[2]Beam '!U$45,0)</f>
        <v>0</v>
      </c>
      <c r="V903" s="7">
        <f>IF($D903='[2]Beam '!V$44,$P903*'[2]Beam '!V$45,0)</f>
        <v>0</v>
      </c>
      <c r="W903" s="7">
        <f>IF($D903='[2]Beam '!W$44,$P903*'[2]Beam '!W$45,0)</f>
        <v>0</v>
      </c>
      <c r="X903" s="7">
        <f t="shared" si="160"/>
        <v>12.102816000000001</v>
      </c>
      <c r="Y903" s="14"/>
      <c r="Z903" s="7"/>
      <c r="AA903" s="7"/>
      <c r="AB903" s="7"/>
      <c r="AC903" s="7"/>
      <c r="AD903" s="7"/>
      <c r="AE903" s="7"/>
      <c r="AF903" s="7"/>
    </row>
    <row r="904" spans="1:32" s="9" customFormat="1" ht="20.100000000000001" customHeight="1" x14ac:dyDescent="0.25">
      <c r="A904" s="6"/>
      <c r="B904" s="10" t="s">
        <v>2</v>
      </c>
      <c r="C904" s="13" t="s">
        <v>11</v>
      </c>
      <c r="D904" s="7">
        <f>+'[2]Beam '!$D$15</f>
        <v>25</v>
      </c>
      <c r="E904" s="7">
        <f>+'[2]Beam '!$E$15</f>
        <v>1</v>
      </c>
      <c r="F904" s="7">
        <f>ROUNDUP((0.6)/E904,0)</f>
        <v>1</v>
      </c>
      <c r="G904" s="8"/>
      <c r="H904" s="8"/>
      <c r="I904" s="7"/>
      <c r="J904" s="7"/>
      <c r="K904" s="7"/>
      <c r="L904" s="7"/>
      <c r="M904" s="7"/>
      <c r="N904" s="7"/>
      <c r="O904" s="7">
        <f>F896-'[2]Beam '!$F$15</f>
        <v>0.34</v>
      </c>
      <c r="P904" s="7">
        <f t="shared" si="159"/>
        <v>0.34</v>
      </c>
      <c r="Q904" s="7">
        <f>IF($D904='[2]Beam '!Q$44,$P904*'[2]Beam '!Q$45,0)</f>
        <v>0</v>
      </c>
      <c r="R904" s="7">
        <f>IF($D904='[2]Beam '!R$44,$P904*'[2]Beam '!R$45,0)</f>
        <v>0</v>
      </c>
      <c r="S904" s="7">
        <f>IF($D904='[2]Beam '!S$44,$P904*'[2]Beam '!S$45,0)</f>
        <v>0</v>
      </c>
      <c r="T904" s="7">
        <f>IF($D904='[2]Beam '!T$44,$P904*'[2]Beam '!T$45,0)</f>
        <v>0</v>
      </c>
      <c r="U904" s="7">
        <f>IF($D904='[2]Beam '!U$44,$P904*'[2]Beam '!U$45,0)</f>
        <v>0</v>
      </c>
      <c r="V904" s="7">
        <f>IF($D904='[2]Beam '!V$44,$P904*'[2]Beam '!V$45,0)</f>
        <v>1.3106696428571432</v>
      </c>
      <c r="W904" s="7">
        <f>IF($D904='[2]Beam '!W$44,$P904*'[2]Beam '!W$45,0)</f>
        <v>0</v>
      </c>
      <c r="X904" s="7">
        <f t="shared" si="160"/>
        <v>1.3106696428571432</v>
      </c>
      <c r="Y904" s="7"/>
      <c r="Z904" s="7"/>
      <c r="AA904" s="7"/>
      <c r="AB904" s="7"/>
      <c r="AC904" s="7"/>
      <c r="AD904" s="7"/>
      <c r="AE904" s="7"/>
    </row>
    <row r="905" spans="1:32" s="9" customFormat="1" ht="20.100000000000001" customHeight="1" x14ac:dyDescent="0.25">
      <c r="A905" s="7">
        <v>1</v>
      </c>
      <c r="B905" s="10" t="s">
        <v>2</v>
      </c>
      <c r="C905" s="11" t="s">
        <v>139</v>
      </c>
      <c r="D905" s="11">
        <v>1</v>
      </c>
      <c r="E905" s="11">
        <v>3.9489999999999998</v>
      </c>
      <c r="F905" s="11">
        <v>0.3</v>
      </c>
      <c r="G905" s="11">
        <v>1.1000000000000001</v>
      </c>
      <c r="H905" s="7">
        <f>G905-0.2</f>
        <v>0.90000000000000013</v>
      </c>
      <c r="I905" s="7">
        <f>E905*F905*G905*D905</f>
        <v>1.3031699999999999</v>
      </c>
      <c r="J905" s="7">
        <f>(2*(E905)*H905*D905)+(E905*F905)</f>
        <v>8.2929000000000013</v>
      </c>
      <c r="K905" s="12">
        <f>IF(E905=0.3,J905,0)</f>
        <v>0</v>
      </c>
      <c r="L905" s="12">
        <f>IF(AND(E905&gt;0.3,E905&lt;=0.75),J905,0)</f>
        <v>0</v>
      </c>
      <c r="M905" s="12">
        <f>IF(AND(E905&gt;0.75,E905&lt;=1.2),J905,0)</f>
        <v>0</v>
      </c>
      <c r="N905" s="12">
        <f>IF(E905&gt;1.2,J905,0)</f>
        <v>8.2929000000000013</v>
      </c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>
        <f>SUM(X907:X910)/I905</f>
        <v>144.54366611800458</v>
      </c>
      <c r="Z905" s="7"/>
      <c r="AA905" s="7"/>
      <c r="AB905" s="7"/>
      <c r="AC905" s="7"/>
      <c r="AD905" s="7"/>
      <c r="AE905" s="7"/>
    </row>
    <row r="906" spans="1:32" s="9" customFormat="1" ht="20.100000000000001" customHeight="1" x14ac:dyDescent="0.25">
      <c r="A906" s="6"/>
      <c r="B906" s="10" t="s">
        <v>2</v>
      </c>
      <c r="C906" s="13" t="s">
        <v>4</v>
      </c>
      <c r="D906" s="7">
        <v>25</v>
      </c>
      <c r="E906" s="7"/>
      <c r="F906" s="7">
        <v>2</v>
      </c>
      <c r="G906" s="8">
        <f>VLOOKUP(D906,'[2]Beam '!$C$20:$H$26,3,0)</f>
        <v>1</v>
      </c>
      <c r="H906" s="8"/>
      <c r="I906" s="7"/>
      <c r="J906" s="7"/>
      <c r="K906" s="7"/>
      <c r="L906" s="7"/>
      <c r="M906" s="7"/>
      <c r="N906" s="7"/>
      <c r="O906" s="7">
        <f>(E905+1*(G906+(12*D906/1000)))+1*(0.3/2)*D905</f>
        <v>5.399</v>
      </c>
      <c r="P906" s="7">
        <f t="shared" ref="P906:P914" si="161">O906*F906</f>
        <v>10.798</v>
      </c>
      <c r="Q906" s="7">
        <f>IF($D906='[2]Beam '!Q$44,$P906*'[2]Beam '!Q$45,0)</f>
        <v>0</v>
      </c>
      <c r="R906" s="7">
        <f>IF($D906='[2]Beam '!R$44,$P906*'[2]Beam '!R$45,0)</f>
        <v>0</v>
      </c>
      <c r="S906" s="7">
        <f>IF($D906='[2]Beam '!S$44,$P906*'[2]Beam '!S$45,0)</f>
        <v>0</v>
      </c>
      <c r="T906" s="7">
        <f>IF($D906='[2]Beam '!T$44,$P906*'[2]Beam '!T$45,0)</f>
        <v>0</v>
      </c>
      <c r="U906" s="7">
        <f>IF($D906='[2]Beam '!U$44,$P906*'[2]Beam '!U$45,0)</f>
        <v>0</v>
      </c>
      <c r="V906" s="7">
        <f>IF($D906='[2]Beam '!V$44,$P906*'[2]Beam '!V$45,0)</f>
        <v>41.625325892857148</v>
      </c>
      <c r="W906" s="7">
        <f>IF($D906='[2]Beam '!W$44,$P906*'[2]Beam '!W$45,0)</f>
        <v>0</v>
      </c>
      <c r="X906" s="7">
        <f t="shared" ref="X906:X914" si="162">SUM(Q906:W906)</f>
        <v>41.625325892857148</v>
      </c>
      <c r="Y906" s="7"/>
      <c r="Z906" s="7"/>
      <c r="AA906" s="7"/>
      <c r="AB906" s="7"/>
      <c r="AC906" s="7"/>
      <c r="AD906" s="7"/>
      <c r="AE906" s="7"/>
    </row>
    <row r="907" spans="1:32" s="9" customFormat="1" ht="20.100000000000001" customHeight="1" x14ac:dyDescent="0.25">
      <c r="A907" s="6"/>
      <c r="B907" s="10" t="s">
        <v>2</v>
      </c>
      <c r="C907" s="13" t="s">
        <v>4</v>
      </c>
      <c r="D907" s="7">
        <v>20</v>
      </c>
      <c r="E907" s="7"/>
      <c r="F907" s="7">
        <v>1</v>
      </c>
      <c r="G907" s="8">
        <f>VLOOKUP(D907,'[2]Beam '!$C$20:$H$26,3,0)</f>
        <v>0.8</v>
      </c>
      <c r="H907" s="8"/>
      <c r="I907" s="7"/>
      <c r="J907" s="7"/>
      <c r="K907" s="7"/>
      <c r="L907" s="7"/>
      <c r="M907" s="7"/>
      <c r="N907" s="7"/>
      <c r="O907" s="7">
        <f>(E905+1*(G907+(12*D907/1000)))+1*(0.3/2)*D905</f>
        <v>5.1390000000000002</v>
      </c>
      <c r="P907" s="7">
        <f t="shared" si="161"/>
        <v>5.1390000000000002</v>
      </c>
      <c r="Q907" s="7">
        <f>IF($D907='[2]Beam '!Q$44,$P907*'[2]Beam '!Q$45,0)</f>
        <v>0</v>
      </c>
      <c r="R907" s="7">
        <f>IF($D907='[2]Beam '!R$44,$P907*'[2]Beam '!R$45,0)</f>
        <v>0</v>
      </c>
      <c r="S907" s="7">
        <f>IF($D907='[2]Beam '!S$44,$P907*'[2]Beam '!S$45,0)</f>
        <v>0</v>
      </c>
      <c r="T907" s="7">
        <f>IF($D907='[2]Beam '!T$44,$P907*'[2]Beam '!T$45,0)</f>
        <v>0</v>
      </c>
      <c r="U907" s="7">
        <f>IF($D907='[2]Beam '!U$44,$P907*'[2]Beam '!U$45,0)</f>
        <v>12.678647142857143</v>
      </c>
      <c r="V907" s="7">
        <f>IF($D907='[2]Beam '!V$44,$P907*'[2]Beam '!V$45,0)</f>
        <v>0</v>
      </c>
      <c r="W907" s="7">
        <f>IF($D907='[2]Beam '!W$44,$P907*'[2]Beam '!W$45,0)</f>
        <v>0</v>
      </c>
      <c r="X907" s="7">
        <f t="shared" si="162"/>
        <v>12.678647142857143</v>
      </c>
      <c r="Y907" s="7"/>
      <c r="Z907" s="7"/>
      <c r="AA907" s="7"/>
      <c r="AB907" s="7"/>
      <c r="AC907" s="7"/>
      <c r="AD907" s="7"/>
      <c r="AE907" s="7"/>
    </row>
    <row r="908" spans="1:32" s="9" customFormat="1" ht="20.100000000000001" customHeight="1" x14ac:dyDescent="0.25">
      <c r="A908" s="6"/>
      <c r="B908" s="10" t="s">
        <v>2</v>
      </c>
      <c r="C908" s="13" t="s">
        <v>46</v>
      </c>
      <c r="D908" s="7">
        <v>32</v>
      </c>
      <c r="E908" s="7"/>
      <c r="F908" s="7">
        <v>4</v>
      </c>
      <c r="G908" s="8">
        <f>VLOOKUP(D908,'[2]Beam '!$C$20:$H$26,3,0)</f>
        <v>1.25</v>
      </c>
      <c r="H908" s="7"/>
      <c r="I908" s="7"/>
      <c r="J908" s="7"/>
      <c r="K908" s="7"/>
      <c r="L908" s="7"/>
      <c r="M908" s="7"/>
      <c r="N908" s="7"/>
      <c r="O908" s="7">
        <f>(1.05+1*(0.3/2)*D905)</f>
        <v>1.2</v>
      </c>
      <c r="P908" s="7">
        <f t="shared" si="161"/>
        <v>4.8</v>
      </c>
      <c r="Q908" s="7">
        <f>IF($D908='[2]Beam '!Q$44,$P908*'[2]Beam '!Q$45,0)</f>
        <v>0</v>
      </c>
      <c r="R908" s="7">
        <f>IF($D908='[2]Beam '!R$44,$P908*'[2]Beam '!R$45,0)</f>
        <v>0</v>
      </c>
      <c r="S908" s="7">
        <f>IF($D908='[2]Beam '!S$44,$P908*'[2]Beam '!S$45,0)</f>
        <v>0</v>
      </c>
      <c r="T908" s="7">
        <f>IF($D908='[2]Beam '!T$44,$P908*'[2]Beam '!T$45,0)</f>
        <v>0</v>
      </c>
      <c r="U908" s="7">
        <f>IF($D908='[2]Beam '!U$44,$P908*'[2]Beam '!U$45,0)</f>
        <v>0</v>
      </c>
      <c r="V908" s="7">
        <f>IF($D908='[2]Beam '!V$44,$P908*'[2]Beam '!V$45,0)</f>
        <v>0</v>
      </c>
      <c r="W908" s="7">
        <f>IF($D908='[2]Beam '!W$44,$P908*'[2]Beam '!W$45,0)</f>
        <v>30.31625142857143</v>
      </c>
      <c r="X908" s="7">
        <f t="shared" si="162"/>
        <v>30.31625142857143</v>
      </c>
      <c r="Y908" s="7"/>
      <c r="Z908" s="7"/>
      <c r="AA908" s="7"/>
      <c r="AB908" s="7"/>
      <c r="AC908" s="7"/>
      <c r="AD908" s="7"/>
      <c r="AE908" s="7"/>
    </row>
    <row r="909" spans="1:32" s="14" customFormat="1" ht="20.100000000000001" customHeight="1" x14ac:dyDescent="0.3">
      <c r="A909" s="6"/>
      <c r="B909" s="10" t="s">
        <v>2</v>
      </c>
      <c r="C909" s="13" t="s">
        <v>6</v>
      </c>
      <c r="D909" s="7">
        <v>25</v>
      </c>
      <c r="E909" s="7"/>
      <c r="F909" s="7">
        <v>3</v>
      </c>
      <c r="G909" s="8">
        <f>VLOOKUP(D909,'[2]Beam '!$C$20:$H$26,3,0)</f>
        <v>1</v>
      </c>
      <c r="H909" s="7"/>
      <c r="I909" s="7"/>
      <c r="J909" s="7"/>
      <c r="K909" s="7"/>
      <c r="L909" s="7"/>
      <c r="M909" s="7"/>
      <c r="N909" s="7"/>
      <c r="O909" s="7">
        <f>(E905+2*(G909+(12*D909/1000)))*D905</f>
        <v>6.5489999999999995</v>
      </c>
      <c r="P909" s="7">
        <f t="shared" si="161"/>
        <v>19.646999999999998</v>
      </c>
      <c r="Q909" s="7">
        <f>IF($D909='[2]Beam '!Q$44,$P909*'[2]Beam '!Q$45,0)</f>
        <v>0</v>
      </c>
      <c r="R909" s="7">
        <f>IF($D909='[2]Beam '!R$44,$P909*'[2]Beam '!R$45,0)</f>
        <v>0</v>
      </c>
      <c r="S909" s="7">
        <f>IF($D909='[2]Beam '!S$44,$P909*'[2]Beam '!S$45,0)</f>
        <v>0</v>
      </c>
      <c r="T909" s="7">
        <f>IF($D909='[2]Beam '!T$44,$P909*'[2]Beam '!T$45,0)</f>
        <v>0</v>
      </c>
      <c r="U909" s="7">
        <f>IF($D909='[2]Beam '!U$44,$P909*'[2]Beam '!U$45,0)</f>
        <v>0</v>
      </c>
      <c r="V909" s="7">
        <f>IF($D909='[2]Beam '!V$44,$P909*'[2]Beam '!V$45,0)</f>
        <v>75.737430803571428</v>
      </c>
      <c r="W909" s="7">
        <f>IF($D909='[2]Beam '!W$44,$P909*'[2]Beam '!W$45,0)</f>
        <v>0</v>
      </c>
      <c r="X909" s="7">
        <f t="shared" si="162"/>
        <v>75.737430803571428</v>
      </c>
      <c r="Y909" s="7"/>
    </row>
    <row r="910" spans="1:32" s="14" customFormat="1" ht="20.100000000000001" customHeight="1" x14ac:dyDescent="0.25">
      <c r="A910" s="6"/>
      <c r="B910" s="10" t="s">
        <v>2</v>
      </c>
      <c r="C910" s="13" t="s">
        <v>7</v>
      </c>
      <c r="D910" s="7">
        <v>12</v>
      </c>
      <c r="E910" s="7">
        <v>0.1</v>
      </c>
      <c r="F910" s="7">
        <f>ROUNDUP((E905/3*2)/E910,0)+1</f>
        <v>28</v>
      </c>
      <c r="G910" s="9"/>
      <c r="H910" s="7"/>
      <c r="I910" s="7"/>
      <c r="J910" s="7"/>
      <c r="K910" s="7"/>
      <c r="L910" s="7"/>
      <c r="M910" s="7"/>
      <c r="N910" s="7"/>
      <c r="O910" s="7">
        <f>(2*((G905-(2*'[2]Beam '!$D$11))+(F905-(2*'[2]Beam '!$D$11)))+(2*10*D910/1000))*D905</f>
        <v>2.8</v>
      </c>
      <c r="P910" s="7">
        <f t="shared" si="161"/>
        <v>78.399999999999991</v>
      </c>
      <c r="Q910" s="7">
        <f>IF($D910='[2]Beam '!Q$44,$P910*'[2]Beam '!Q$45,0)</f>
        <v>0</v>
      </c>
      <c r="R910" s="7">
        <f>IF($D910='[2]Beam '!R$44,$P910*'[2]Beam '!R$45,0)</f>
        <v>0</v>
      </c>
      <c r="S910" s="7">
        <f>IF($D910='[2]Beam '!S$44,$P910*'[2]Beam '!S$45,0)</f>
        <v>69.632640000000009</v>
      </c>
      <c r="T910" s="7">
        <f>IF($D910='[2]Beam '!T$44,$P910*'[2]Beam '!T$45,0)</f>
        <v>0</v>
      </c>
      <c r="U910" s="7">
        <f>IF($D910='[2]Beam '!U$44,$P910*'[2]Beam '!U$45,0)</f>
        <v>0</v>
      </c>
      <c r="V910" s="7">
        <f>IF($D910='[2]Beam '!V$44,$P910*'[2]Beam '!V$45,0)</f>
        <v>0</v>
      </c>
      <c r="W910" s="7">
        <f>IF($D910='[2]Beam '!W$44,$P910*'[2]Beam '!W$45,0)</f>
        <v>0</v>
      </c>
      <c r="X910" s="7">
        <f t="shared" si="162"/>
        <v>69.632640000000009</v>
      </c>
      <c r="Y910" s="7"/>
    </row>
    <row r="911" spans="1:32" s="14" customFormat="1" ht="20.100000000000001" customHeight="1" x14ac:dyDescent="0.25">
      <c r="B911" s="10" t="s">
        <v>2</v>
      </c>
      <c r="C911" s="13" t="s">
        <v>8</v>
      </c>
      <c r="D911" s="14">
        <f>D910</f>
        <v>12</v>
      </c>
      <c r="E911" s="14">
        <v>0.125</v>
      </c>
      <c r="F911" s="7">
        <f>ROUNDUP((E905/3)/E911,0)+1</f>
        <v>12</v>
      </c>
      <c r="G911" s="9"/>
      <c r="O911" s="7">
        <f>(2*((G905-(2*'[2]Beam '!$D$11))+(F905-(2*'[2]Beam '!$D$11)))+(2*10*D911/1000))*D905</f>
        <v>2.8</v>
      </c>
      <c r="P911" s="7">
        <f t="shared" si="161"/>
        <v>33.599999999999994</v>
      </c>
      <c r="Q911" s="7">
        <f>IF($D911='[2]Beam '!Q$44,$P911*'[2]Beam '!Q$45,0)</f>
        <v>0</v>
      </c>
      <c r="R911" s="7">
        <f>IF($D911='[2]Beam '!R$44,$P911*'[2]Beam '!R$45,0)</f>
        <v>0</v>
      </c>
      <c r="S911" s="7">
        <f>IF($D911='[2]Beam '!S$44,$P911*'[2]Beam '!S$45,0)</f>
        <v>29.842559999999999</v>
      </c>
      <c r="T911" s="7">
        <f>IF($D911='[2]Beam '!T$44,$P911*'[2]Beam '!T$45,0)</f>
        <v>0</v>
      </c>
      <c r="U911" s="7">
        <f>IF($D911='[2]Beam '!U$44,$P911*'[2]Beam '!U$45,0)</f>
        <v>0</v>
      </c>
      <c r="V911" s="7">
        <f>IF($D911='[2]Beam '!V$44,$P911*'[2]Beam '!V$45,0)</f>
        <v>0</v>
      </c>
      <c r="W911" s="7">
        <f>IF($D911='[2]Beam '!W$44,$P911*'[2]Beam '!W$45,0)</f>
        <v>0</v>
      </c>
      <c r="X911" s="7">
        <f t="shared" si="162"/>
        <v>29.842559999999999</v>
      </c>
    </row>
    <row r="912" spans="1:32" s="9" customFormat="1" ht="20.100000000000001" customHeight="1" x14ac:dyDescent="0.25">
      <c r="A912" s="14"/>
      <c r="B912" s="10" t="s">
        <v>2</v>
      </c>
      <c r="C912" s="13" t="s">
        <v>9</v>
      </c>
      <c r="D912" s="14">
        <f>D910</f>
        <v>12</v>
      </c>
      <c r="E912" s="14">
        <f>+E910</f>
        <v>0.1</v>
      </c>
      <c r="F912" s="7">
        <f>ROUNDUP((E905/3*2)/E912,0)+1</f>
        <v>28</v>
      </c>
      <c r="H912" s="14"/>
      <c r="I912" s="14"/>
      <c r="J912" s="14"/>
      <c r="K912" s="14"/>
      <c r="L912" s="14"/>
      <c r="M912" s="14"/>
      <c r="N912" s="14"/>
      <c r="O912" s="7">
        <f>(2*(((F905-'[2]Beam '!$D$11*2)/(F906-1))+(G905-'[2]Beam '!$D$11*2))+(2*10*D912/1000))*D905</f>
        <v>2.8</v>
      </c>
      <c r="P912" s="7">
        <f t="shared" si="161"/>
        <v>78.399999999999991</v>
      </c>
      <c r="Q912" s="7">
        <f>IF($D912='[2]Beam '!Q$44,$P912*'[2]Beam '!Q$45,0)</f>
        <v>0</v>
      </c>
      <c r="R912" s="7">
        <f>IF($D912='[2]Beam '!R$44,$P912*'[2]Beam '!R$45,0)</f>
        <v>0</v>
      </c>
      <c r="S912" s="7">
        <f>IF($D912='[2]Beam '!S$44,$P912*'[2]Beam '!S$45,0)</f>
        <v>69.632640000000009</v>
      </c>
      <c r="T912" s="7">
        <f>IF($D912='[2]Beam '!T$44,$P912*'[2]Beam '!T$45,0)</f>
        <v>0</v>
      </c>
      <c r="U912" s="7">
        <f>IF($D912='[2]Beam '!U$44,$P912*'[2]Beam '!U$45,0)</f>
        <v>0</v>
      </c>
      <c r="V912" s="7">
        <f>IF($D912='[2]Beam '!V$44,$P912*'[2]Beam '!V$45,0)</f>
        <v>0</v>
      </c>
      <c r="W912" s="7">
        <f>IF($D912='[2]Beam '!W$44,$P912*'[2]Beam '!W$45,0)</f>
        <v>0</v>
      </c>
      <c r="X912" s="7">
        <f t="shared" si="162"/>
        <v>69.632640000000009</v>
      </c>
      <c r="Y912" s="14"/>
      <c r="Z912" s="7"/>
      <c r="AA912" s="7"/>
      <c r="AB912" s="7"/>
      <c r="AC912" s="7"/>
      <c r="AD912" s="7"/>
      <c r="AE912" s="7"/>
    </row>
    <row r="913" spans="1:32" s="9" customFormat="1" ht="21" customHeight="1" x14ac:dyDescent="0.25">
      <c r="A913" s="14"/>
      <c r="B913" s="10" t="s">
        <v>2</v>
      </c>
      <c r="C913" s="13" t="s">
        <v>10</v>
      </c>
      <c r="D913" s="14">
        <f>D911</f>
        <v>12</v>
      </c>
      <c r="E913" s="14">
        <f>+E911</f>
        <v>0.125</v>
      </c>
      <c r="F913" s="7">
        <f>ROUNDUP((E905/3)/E913,0)+1</f>
        <v>12</v>
      </c>
      <c r="H913" s="14"/>
      <c r="I913" s="14"/>
      <c r="J913" s="14"/>
      <c r="K913" s="14"/>
      <c r="L913" s="14"/>
      <c r="M913" s="14"/>
      <c r="N913" s="14"/>
      <c r="O913" s="7">
        <f>(2*(((F905-'[2]Beam '!$D$11*2)/(F906-1))+(G905-'[2]Beam '!$D$11*2))+(2*10*D913/1000))*D905</f>
        <v>2.8</v>
      </c>
      <c r="P913" s="7">
        <f t="shared" si="161"/>
        <v>33.599999999999994</v>
      </c>
      <c r="Q913" s="7">
        <f>IF($D913='[2]Beam '!Q$44,$P913*'[2]Beam '!Q$45,0)</f>
        <v>0</v>
      </c>
      <c r="R913" s="7">
        <f>IF($D913='[2]Beam '!R$44,$P913*'[2]Beam '!R$45,0)</f>
        <v>0</v>
      </c>
      <c r="S913" s="7">
        <f>IF($D913='[2]Beam '!S$44,$P913*'[2]Beam '!S$45,0)</f>
        <v>29.842559999999999</v>
      </c>
      <c r="T913" s="7">
        <f>IF($D913='[2]Beam '!T$44,$P913*'[2]Beam '!T$45,0)</f>
        <v>0</v>
      </c>
      <c r="U913" s="7">
        <f>IF($D913='[2]Beam '!U$44,$P913*'[2]Beam '!U$45,0)</f>
        <v>0</v>
      </c>
      <c r="V913" s="7">
        <f>IF($D913='[2]Beam '!V$44,$P913*'[2]Beam '!V$45,0)</f>
        <v>0</v>
      </c>
      <c r="W913" s="7">
        <f>IF($D913='[2]Beam '!W$44,$P913*'[2]Beam '!W$45,0)</f>
        <v>0</v>
      </c>
      <c r="X913" s="7">
        <f t="shared" si="162"/>
        <v>29.842559999999999</v>
      </c>
      <c r="Y913" s="14"/>
      <c r="Z913" s="7"/>
      <c r="AA913" s="7"/>
      <c r="AB913" s="7"/>
      <c r="AC913" s="7"/>
      <c r="AD913" s="7"/>
      <c r="AE913" s="7"/>
      <c r="AF913" s="7"/>
    </row>
    <row r="914" spans="1:32" s="9" customFormat="1" ht="20.100000000000001" customHeight="1" x14ac:dyDescent="0.25">
      <c r="A914" s="6"/>
      <c r="B914" s="10" t="s">
        <v>2</v>
      </c>
      <c r="C914" s="13" t="s">
        <v>11</v>
      </c>
      <c r="D914" s="7">
        <f>+'[2]Beam '!$D$15</f>
        <v>25</v>
      </c>
      <c r="E914" s="7">
        <f>+'[2]Beam '!$E$15</f>
        <v>1</v>
      </c>
      <c r="F914" s="7">
        <f>ROUNDUP((1.057)/E914,0)</f>
        <v>2</v>
      </c>
      <c r="G914" s="8"/>
      <c r="H914" s="8"/>
      <c r="I914" s="7"/>
      <c r="J914" s="7"/>
      <c r="K914" s="7"/>
      <c r="L914" s="7"/>
      <c r="M914" s="7"/>
      <c r="N914" s="7"/>
      <c r="O914" s="7">
        <f>F905-'[2]Beam '!$F$15</f>
        <v>0.24</v>
      </c>
      <c r="P914" s="7">
        <f t="shared" si="161"/>
        <v>0.48</v>
      </c>
      <c r="Q914" s="7">
        <f>IF($D914='[2]Beam '!Q$44,$P914*'[2]Beam '!Q$45,0)</f>
        <v>0</v>
      </c>
      <c r="R914" s="7">
        <f>IF($D914='[2]Beam '!R$44,$P914*'[2]Beam '!R$45,0)</f>
        <v>0</v>
      </c>
      <c r="S914" s="7">
        <f>IF($D914='[2]Beam '!S$44,$P914*'[2]Beam '!S$45,0)</f>
        <v>0</v>
      </c>
      <c r="T914" s="7">
        <f>IF($D914='[2]Beam '!T$44,$P914*'[2]Beam '!T$45,0)</f>
        <v>0</v>
      </c>
      <c r="U914" s="7">
        <f>IF($D914='[2]Beam '!U$44,$P914*'[2]Beam '!U$45,0)</f>
        <v>0</v>
      </c>
      <c r="V914" s="7">
        <f>IF($D914='[2]Beam '!V$44,$P914*'[2]Beam '!V$45,0)</f>
        <v>1.850357142857143</v>
      </c>
      <c r="W914" s="7">
        <f>IF($D914='[2]Beam '!W$44,$P914*'[2]Beam '!W$45,0)</f>
        <v>0</v>
      </c>
      <c r="X914" s="7">
        <f t="shared" si="162"/>
        <v>1.850357142857143</v>
      </c>
      <c r="Y914" s="7"/>
      <c r="Z914" s="7"/>
      <c r="AA914" s="7"/>
      <c r="AB914" s="7"/>
      <c r="AC914" s="7"/>
      <c r="AD914" s="7"/>
      <c r="AE914" s="7"/>
    </row>
    <row r="915" spans="1:32" s="9" customFormat="1" ht="20.100000000000001" customHeight="1" x14ac:dyDescent="0.25">
      <c r="A915" s="7">
        <v>1</v>
      </c>
      <c r="B915" s="10" t="s">
        <v>2</v>
      </c>
      <c r="C915" s="11" t="s">
        <v>140</v>
      </c>
      <c r="D915" s="11">
        <v>1</v>
      </c>
      <c r="E915" s="11">
        <v>1.35</v>
      </c>
      <c r="F915" s="11">
        <v>0.2</v>
      </c>
      <c r="G915" s="11">
        <v>0.8</v>
      </c>
      <c r="H915" s="7">
        <f>G915-0.2</f>
        <v>0.60000000000000009</v>
      </c>
      <c r="I915" s="7">
        <f>E915*F915*G915*D915</f>
        <v>0.21600000000000003</v>
      </c>
      <c r="J915" s="7">
        <f>(2*(E915)*H915*D915)+(E915*F915)</f>
        <v>1.8900000000000003</v>
      </c>
      <c r="K915" s="12">
        <f>IF(E915=0.3,J915,0)</f>
        <v>0</v>
      </c>
      <c r="L915" s="12">
        <f>IF(AND(E915&gt;0.3,E915&lt;=0.75),J915,0)</f>
        <v>0</v>
      </c>
      <c r="M915" s="12">
        <f>IF(AND(E915&gt;0.75,E915&lt;=1.2),J915,0)</f>
        <v>0</v>
      </c>
      <c r="N915" s="12">
        <f>IF(E915&gt;1.2,J915,0)</f>
        <v>1.8900000000000003</v>
      </c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>
        <f>SUM(X916:X921)/I915</f>
        <v>558.39392539682547</v>
      </c>
      <c r="Z915" s="7"/>
      <c r="AA915" s="7"/>
      <c r="AB915" s="7"/>
      <c r="AC915" s="7"/>
      <c r="AD915" s="7"/>
      <c r="AE915" s="7"/>
    </row>
    <row r="916" spans="1:32" s="9" customFormat="1" ht="20.100000000000001" customHeight="1" x14ac:dyDescent="0.25">
      <c r="A916" s="6"/>
      <c r="B916" s="10" t="s">
        <v>2</v>
      </c>
      <c r="C916" s="13" t="s">
        <v>4</v>
      </c>
      <c r="D916" s="7">
        <v>25</v>
      </c>
      <c r="E916" s="7"/>
      <c r="F916" s="7">
        <v>2</v>
      </c>
      <c r="G916" s="8">
        <f>VLOOKUP(D916,'[2]Beam '!$C$20:$H$26,3,0)</f>
        <v>1</v>
      </c>
      <c r="H916" s="8"/>
      <c r="I916" s="7"/>
      <c r="J916" s="7"/>
      <c r="K916" s="7"/>
      <c r="L916" s="7"/>
      <c r="M916" s="7"/>
      <c r="N916" s="7"/>
      <c r="O916" s="7">
        <f>(E915+2*(G916+(12*D916/1000)))*D915</f>
        <v>3.95</v>
      </c>
      <c r="P916" s="7">
        <f t="shared" ref="P916:P921" si="163">O916*F916</f>
        <v>7.9</v>
      </c>
      <c r="Q916" s="7">
        <f>IF($D916='[2]Beam '!Q$44,$P916*'[2]Beam '!Q$45,0)</f>
        <v>0</v>
      </c>
      <c r="R916" s="7">
        <f>IF($D916='[2]Beam '!R$44,$P916*'[2]Beam '!R$45,0)</f>
        <v>0</v>
      </c>
      <c r="S916" s="7">
        <f>IF($D916='[2]Beam '!S$44,$P916*'[2]Beam '!S$45,0)</f>
        <v>0</v>
      </c>
      <c r="T916" s="7">
        <f>IF($D916='[2]Beam '!T$44,$P916*'[2]Beam '!T$45,0)</f>
        <v>0</v>
      </c>
      <c r="U916" s="7">
        <f>IF($D916='[2]Beam '!U$44,$P916*'[2]Beam '!U$45,0)</f>
        <v>0</v>
      </c>
      <c r="V916" s="7">
        <f>IF($D916='[2]Beam '!V$44,$P916*'[2]Beam '!V$45,0)</f>
        <v>30.453794642857147</v>
      </c>
      <c r="W916" s="7">
        <f>IF($D916='[2]Beam '!W$44,$P916*'[2]Beam '!W$45,0)</f>
        <v>0</v>
      </c>
      <c r="X916" s="7">
        <f t="shared" ref="X916:X921" si="164">SUM(Q916:W916)</f>
        <v>30.453794642857147</v>
      </c>
      <c r="Y916" s="7"/>
      <c r="Z916" s="7"/>
      <c r="AA916" s="7"/>
      <c r="AB916" s="7"/>
      <c r="AC916" s="7"/>
      <c r="AD916" s="7"/>
      <c r="AE916" s="7"/>
    </row>
    <row r="917" spans="1:32" s="9" customFormat="1" ht="20.100000000000001" customHeight="1" x14ac:dyDescent="0.25">
      <c r="A917" s="6"/>
      <c r="B917" s="10" t="s">
        <v>2</v>
      </c>
      <c r="C917" s="13" t="s">
        <v>5</v>
      </c>
      <c r="D917" s="7">
        <v>16</v>
      </c>
      <c r="E917" s="7"/>
      <c r="F917" s="7">
        <v>2</v>
      </c>
      <c r="G917" s="8">
        <f>VLOOKUP(D917,'[2]Beam '!$C$20:$H$26,3,0)</f>
        <v>0.625</v>
      </c>
      <c r="H917" s="8"/>
      <c r="I917" s="7"/>
      <c r="J917" s="7"/>
      <c r="K917" s="7"/>
      <c r="L917" s="7"/>
      <c r="M917" s="7"/>
      <c r="N917" s="7"/>
      <c r="O917" s="7">
        <f>(0.4+1*(G917+(12*D917/1000)))*D915</f>
        <v>1.2170000000000001</v>
      </c>
      <c r="P917" s="7">
        <f t="shared" si="163"/>
        <v>2.4340000000000002</v>
      </c>
      <c r="Q917" s="7">
        <f>IF($D917='[2]Beam '!Q$44,$P917*'[2]Beam '!Q$45,0)</f>
        <v>0</v>
      </c>
      <c r="R917" s="7">
        <f>IF($D917='[2]Beam '!R$44,$P917*'[2]Beam '!R$45,0)</f>
        <v>0</v>
      </c>
      <c r="S917" s="7">
        <f>IF($D917='[2]Beam '!S$44,$P917*'[2]Beam '!S$45,0)</f>
        <v>0</v>
      </c>
      <c r="T917" s="7">
        <f>IF($D917='[2]Beam '!T$44,$P917*'[2]Beam '!T$45,0)</f>
        <v>3.8432164571428578</v>
      </c>
      <c r="U917" s="7">
        <f>IF($D917='[2]Beam '!U$44,$P917*'[2]Beam '!U$45,0)</f>
        <v>0</v>
      </c>
      <c r="V917" s="7">
        <f>IF($D917='[2]Beam '!V$44,$P917*'[2]Beam '!V$45,0)</f>
        <v>0</v>
      </c>
      <c r="W917" s="7">
        <f>IF($D917='[2]Beam '!W$44,$P917*'[2]Beam '!W$45,0)</f>
        <v>0</v>
      </c>
      <c r="X917" s="7">
        <f t="shared" si="164"/>
        <v>3.8432164571428578</v>
      </c>
      <c r="Y917" s="7"/>
      <c r="Z917" s="7"/>
      <c r="AA917" s="7"/>
      <c r="AB917" s="7"/>
      <c r="AC917" s="7"/>
      <c r="AD917" s="7"/>
      <c r="AE917" s="7"/>
    </row>
    <row r="918" spans="1:32" s="9" customFormat="1" ht="20.100000000000001" customHeight="1" x14ac:dyDescent="0.25">
      <c r="A918" s="6"/>
      <c r="B918" s="10" t="s">
        <v>2</v>
      </c>
      <c r="C918" s="13" t="s">
        <v>6</v>
      </c>
      <c r="D918" s="7">
        <v>25</v>
      </c>
      <c r="E918" s="7"/>
      <c r="F918" s="7">
        <v>2</v>
      </c>
      <c r="G918" s="8">
        <f>VLOOKUP(D918,'[2]Beam '!$C$20:$H$26,3,0)</f>
        <v>1</v>
      </c>
      <c r="H918" s="7"/>
      <c r="I918" s="7"/>
      <c r="J918" s="7"/>
      <c r="K918" s="7"/>
      <c r="L918" s="7"/>
      <c r="M918" s="7"/>
      <c r="N918" s="7"/>
      <c r="O918" s="7">
        <f>(E915+2*(G918+(12*D918/1000)))*D915</f>
        <v>3.95</v>
      </c>
      <c r="P918" s="7">
        <f t="shared" si="163"/>
        <v>7.9</v>
      </c>
      <c r="Q918" s="7">
        <f>IF($D918='[2]Beam '!Q$44,$P918*'[2]Beam '!Q$45,0)</f>
        <v>0</v>
      </c>
      <c r="R918" s="7">
        <f>IF($D918='[2]Beam '!R$44,$P918*'[2]Beam '!R$45,0)</f>
        <v>0</v>
      </c>
      <c r="S918" s="7">
        <f>IF($D918='[2]Beam '!S$44,$P918*'[2]Beam '!S$45,0)</f>
        <v>0</v>
      </c>
      <c r="T918" s="7">
        <f>IF($D918='[2]Beam '!T$44,$P918*'[2]Beam '!T$45,0)</f>
        <v>0</v>
      </c>
      <c r="U918" s="7">
        <f>IF($D918='[2]Beam '!U$44,$P918*'[2]Beam '!U$45,0)</f>
        <v>0</v>
      </c>
      <c r="V918" s="7">
        <f>IF($D918='[2]Beam '!V$44,$P918*'[2]Beam '!V$45,0)</f>
        <v>30.453794642857147</v>
      </c>
      <c r="W918" s="7">
        <f>IF($D918='[2]Beam '!W$44,$P918*'[2]Beam '!W$45,0)</f>
        <v>0</v>
      </c>
      <c r="X918" s="7">
        <f t="shared" si="164"/>
        <v>30.453794642857147</v>
      </c>
      <c r="Y918" s="7"/>
      <c r="Z918" s="7"/>
      <c r="AA918" s="7"/>
      <c r="AB918" s="7"/>
      <c r="AC918" s="7"/>
      <c r="AD918" s="7"/>
      <c r="AE918" s="7"/>
    </row>
    <row r="919" spans="1:32" s="9" customFormat="1" ht="20.100000000000001" customHeight="1" x14ac:dyDescent="0.25">
      <c r="A919" s="6"/>
      <c r="B919" s="10" t="s">
        <v>2</v>
      </c>
      <c r="C919" s="13" t="s">
        <v>13</v>
      </c>
      <c r="D919" s="7">
        <v>25</v>
      </c>
      <c r="E919" s="7"/>
      <c r="F919" s="7">
        <v>2</v>
      </c>
      <c r="G919" s="8">
        <f>VLOOKUP(D919,'[2]Beam '!$C$20:$H$26,3,0)</f>
        <v>1</v>
      </c>
      <c r="H919" s="7"/>
      <c r="I919" s="7"/>
      <c r="J919" s="7"/>
      <c r="K919" s="7"/>
      <c r="L919" s="7"/>
      <c r="M919" s="7"/>
      <c r="N919" s="7"/>
      <c r="O919" s="7">
        <f>(E915+2*(G919+(12*D919/1000)))*D915</f>
        <v>3.95</v>
      </c>
      <c r="P919" s="7">
        <f t="shared" si="163"/>
        <v>7.9</v>
      </c>
      <c r="Q919" s="7">
        <f>IF($D919='[2]Beam '!Q$44,$P919*'[2]Beam '!Q$45,0)</f>
        <v>0</v>
      </c>
      <c r="R919" s="7">
        <f>IF($D919='[2]Beam '!R$44,$P919*'[2]Beam '!R$45,0)</f>
        <v>0</v>
      </c>
      <c r="S919" s="7">
        <f>IF($D919='[2]Beam '!S$44,$P919*'[2]Beam '!S$45,0)</f>
        <v>0</v>
      </c>
      <c r="T919" s="7">
        <f>IF($D919='[2]Beam '!T$44,$P919*'[2]Beam '!T$45,0)</f>
        <v>0</v>
      </c>
      <c r="U919" s="7">
        <f>IF($D919='[2]Beam '!U$44,$P919*'[2]Beam '!U$45,0)</f>
        <v>0</v>
      </c>
      <c r="V919" s="7">
        <f>IF($D919='[2]Beam '!V$44,$P919*'[2]Beam '!V$45,0)</f>
        <v>30.453794642857147</v>
      </c>
      <c r="W919" s="7">
        <f>IF($D919='[2]Beam '!W$44,$P919*'[2]Beam '!W$45,0)</f>
        <v>0</v>
      </c>
      <c r="X919" s="7">
        <f t="shared" si="164"/>
        <v>30.453794642857147</v>
      </c>
      <c r="Y919" s="7"/>
      <c r="Z919" s="7"/>
      <c r="AA919" s="7"/>
      <c r="AB919" s="7"/>
      <c r="AC919" s="7"/>
      <c r="AD919" s="7"/>
      <c r="AE919" s="7"/>
    </row>
    <row r="920" spans="1:32" s="9" customFormat="1" ht="21" customHeight="1" x14ac:dyDescent="0.25">
      <c r="A920" s="6"/>
      <c r="B920" s="10" t="s">
        <v>2</v>
      </c>
      <c r="C920" s="13" t="s">
        <v>26</v>
      </c>
      <c r="D920" s="7">
        <v>12</v>
      </c>
      <c r="E920" s="7">
        <v>0.1</v>
      </c>
      <c r="F920" s="7">
        <f>ROUNDUP(E915/E920,0)</f>
        <v>14</v>
      </c>
      <c r="H920" s="7"/>
      <c r="I920" s="7"/>
      <c r="J920" s="7"/>
      <c r="K920" s="7"/>
      <c r="L920" s="7"/>
      <c r="M920" s="7"/>
      <c r="N920" s="7"/>
      <c r="O920" s="7">
        <f>(2*((G915-(2*'[2]Beam '!$D$11))+(F915-(2*'[2]Beam '!$D$11)))+(2*10*D920/1000))*D915</f>
        <v>2</v>
      </c>
      <c r="P920" s="7">
        <f t="shared" si="163"/>
        <v>28</v>
      </c>
      <c r="Q920" s="7">
        <f>IF($D920='[2]Beam '!Q$44,$P920*'[2]Beam '!Q$45,0)</f>
        <v>0</v>
      </c>
      <c r="R920" s="7">
        <f>IF($D920='[2]Beam '!R$44,$P920*'[2]Beam '!R$45,0)</f>
        <v>0</v>
      </c>
      <c r="S920" s="7">
        <f>IF($D920='[2]Beam '!S$44,$P920*'[2]Beam '!S$45,0)</f>
        <v>24.868800000000004</v>
      </c>
      <c r="T920" s="7">
        <f>IF($D920='[2]Beam '!T$44,$P920*'[2]Beam '!T$45,0)</f>
        <v>0</v>
      </c>
      <c r="U920" s="7">
        <f>IF($D920='[2]Beam '!U$44,$P920*'[2]Beam '!U$45,0)</f>
        <v>0</v>
      </c>
      <c r="V920" s="7">
        <f>IF($D920='[2]Beam '!V$44,$P920*'[2]Beam '!V$45,0)</f>
        <v>0</v>
      </c>
      <c r="W920" s="7">
        <f>IF($D920='[2]Beam '!W$44,$P920*'[2]Beam '!W$45,0)</f>
        <v>0</v>
      </c>
      <c r="X920" s="7">
        <f t="shared" si="164"/>
        <v>24.868800000000004</v>
      </c>
      <c r="Y920" s="7"/>
      <c r="Z920" s="7"/>
      <c r="AA920" s="7"/>
      <c r="AB920" s="7"/>
      <c r="AC920" s="7"/>
      <c r="AD920" s="7"/>
      <c r="AE920" s="7"/>
      <c r="AF920" s="7"/>
    </row>
    <row r="921" spans="1:32" s="9" customFormat="1" ht="20.100000000000001" customHeight="1" x14ac:dyDescent="0.25">
      <c r="A921" s="6"/>
      <c r="B921" s="10" t="s">
        <v>2</v>
      </c>
      <c r="C921" s="13" t="s">
        <v>11</v>
      </c>
      <c r="D921" s="7">
        <f>+'[2]Beam '!$D$15</f>
        <v>25</v>
      </c>
      <c r="E921" s="7">
        <f>+'[2]Beam '!$E$15</f>
        <v>1</v>
      </c>
      <c r="F921" s="7">
        <f>ROUNDUP((0.4)/E921,0)</f>
        <v>1</v>
      </c>
      <c r="G921" s="8"/>
      <c r="H921" s="8"/>
      <c r="I921" s="7"/>
      <c r="J921" s="7"/>
      <c r="K921" s="7"/>
      <c r="L921" s="7"/>
      <c r="M921" s="7"/>
      <c r="N921" s="7"/>
      <c r="O921" s="7">
        <f>F915-'[2]Beam '!$F$15</f>
        <v>0.14000000000000001</v>
      </c>
      <c r="P921" s="7">
        <f t="shared" si="163"/>
        <v>0.14000000000000001</v>
      </c>
      <c r="Q921" s="7">
        <f>IF($D921='[2]Beam '!Q$44,$P921*'[2]Beam '!Q$45,0)</f>
        <v>0</v>
      </c>
      <c r="R921" s="7">
        <f>IF($D921='[2]Beam '!R$44,$P921*'[2]Beam '!R$45,0)</f>
        <v>0</v>
      </c>
      <c r="S921" s="7">
        <f>IF($D921='[2]Beam '!S$44,$P921*'[2]Beam '!S$45,0)</f>
        <v>0</v>
      </c>
      <c r="T921" s="7">
        <f>IF($D921='[2]Beam '!T$44,$P921*'[2]Beam '!T$45,0)</f>
        <v>0</v>
      </c>
      <c r="U921" s="7">
        <f>IF($D921='[2]Beam '!U$44,$P921*'[2]Beam '!U$45,0)</f>
        <v>0</v>
      </c>
      <c r="V921" s="7">
        <f>IF($D921='[2]Beam '!V$44,$P921*'[2]Beam '!V$45,0)</f>
        <v>0.5396875000000001</v>
      </c>
      <c r="W921" s="7">
        <f>IF($D921='[2]Beam '!W$44,$P921*'[2]Beam '!W$45,0)</f>
        <v>0</v>
      </c>
      <c r="X921" s="7">
        <f t="shared" si="164"/>
        <v>0.5396875000000001</v>
      </c>
      <c r="Y921" s="7"/>
      <c r="Z921" s="7"/>
      <c r="AA921" s="7"/>
      <c r="AB921" s="7"/>
      <c r="AC921" s="7"/>
      <c r="AD921" s="7"/>
      <c r="AE921" s="7"/>
    </row>
    <row r="922" spans="1:32" s="9" customFormat="1" ht="20.100000000000001" customHeight="1" x14ac:dyDescent="0.25">
      <c r="A922" s="7">
        <v>1</v>
      </c>
      <c r="B922" s="10" t="s">
        <v>2</v>
      </c>
      <c r="C922" s="11" t="s">
        <v>141</v>
      </c>
      <c r="D922" s="11">
        <v>1</v>
      </c>
      <c r="E922" s="11">
        <v>1.19</v>
      </c>
      <c r="F922" s="11">
        <v>0.2</v>
      </c>
      <c r="G922" s="11">
        <v>1.1000000000000001</v>
      </c>
      <c r="H922" s="7">
        <f>G922-0.2</f>
        <v>0.90000000000000013</v>
      </c>
      <c r="I922" s="7">
        <f>E922*F922*G922*D922</f>
        <v>0.26180000000000003</v>
      </c>
      <c r="J922" s="7">
        <f>(2*(E922)*H922*D922)+(E922*F922)</f>
        <v>2.3800000000000003</v>
      </c>
      <c r="K922" s="12">
        <f>IF(E922=0.3,J922,0)</f>
        <v>0</v>
      </c>
      <c r="L922" s="12">
        <f>IF(AND(E922&gt;0.3,E922&lt;=0.75),J922,0)</f>
        <v>0</v>
      </c>
      <c r="M922" s="12">
        <f>IF(AND(E922&gt;0.75,E922&lt;=1.2),J922,0)</f>
        <v>2.3800000000000003</v>
      </c>
      <c r="N922" s="12">
        <f>IF(E922&gt;1.2,J922,0)</f>
        <v>0</v>
      </c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>
        <f>SUM(X923:X929)/I922</f>
        <v>164.56643877551019</v>
      </c>
      <c r="Z922" s="7"/>
      <c r="AA922" s="7"/>
      <c r="AB922" s="7"/>
      <c r="AC922" s="7"/>
      <c r="AD922" s="7"/>
      <c r="AE922" s="7"/>
    </row>
    <row r="923" spans="1:32" s="9" customFormat="1" ht="20.100000000000001" customHeight="1" x14ac:dyDescent="0.25">
      <c r="A923" s="6"/>
      <c r="B923" s="10" t="s">
        <v>2</v>
      </c>
      <c r="C923" s="13" t="s">
        <v>4</v>
      </c>
      <c r="D923" s="7">
        <v>16</v>
      </c>
      <c r="E923" s="7"/>
      <c r="F923" s="7">
        <v>2</v>
      </c>
      <c r="G923" s="8">
        <f>VLOOKUP(D923,'[2]Beam '!$C$20:$H$26,3,0)</f>
        <v>0.625</v>
      </c>
      <c r="H923" s="8"/>
      <c r="I923" s="7"/>
      <c r="J923" s="7"/>
      <c r="K923" s="7"/>
      <c r="L923" s="7"/>
      <c r="M923" s="7"/>
      <c r="N923" s="7"/>
      <c r="O923" s="7">
        <f>(E922+2*(G923+(12*D923/1000)))*D922</f>
        <v>2.8239999999999998</v>
      </c>
      <c r="P923" s="7">
        <f t="shared" ref="P923:P929" si="165">O923*F923</f>
        <v>5.6479999999999997</v>
      </c>
      <c r="Q923" s="7">
        <f>IF($D923='[2]Beam '!Q$44,$P923*'[2]Beam '!Q$45,0)</f>
        <v>0</v>
      </c>
      <c r="R923" s="7">
        <f>IF($D923='[2]Beam '!R$44,$P923*'[2]Beam '!R$45,0)</f>
        <v>0</v>
      </c>
      <c r="S923" s="7">
        <f>IF($D923='[2]Beam '!S$44,$P923*'[2]Beam '!S$45,0)</f>
        <v>0</v>
      </c>
      <c r="T923" s="7">
        <f>IF($D923='[2]Beam '!T$44,$P923*'[2]Beam '!T$45,0)</f>
        <v>8.9180306285714295</v>
      </c>
      <c r="U923" s="7">
        <f>IF($D923='[2]Beam '!U$44,$P923*'[2]Beam '!U$45,0)</f>
        <v>0</v>
      </c>
      <c r="V923" s="7">
        <f>IF($D923='[2]Beam '!V$44,$P923*'[2]Beam '!V$45,0)</f>
        <v>0</v>
      </c>
      <c r="W923" s="7">
        <f>IF($D923='[2]Beam '!W$44,$P923*'[2]Beam '!W$45,0)</f>
        <v>0</v>
      </c>
      <c r="X923" s="7">
        <f t="shared" ref="X923:X929" si="166">SUM(Q923:W923)</f>
        <v>8.9180306285714295</v>
      </c>
      <c r="Y923" s="7"/>
      <c r="Z923" s="7"/>
      <c r="AA923" s="7"/>
      <c r="AB923" s="7"/>
      <c r="AC923" s="7"/>
      <c r="AD923" s="7"/>
      <c r="AE923" s="7"/>
    </row>
    <row r="924" spans="1:32" s="9" customFormat="1" ht="20.100000000000001" customHeight="1" x14ac:dyDescent="0.25">
      <c r="A924" s="6"/>
      <c r="B924" s="10" t="s">
        <v>2</v>
      </c>
      <c r="C924" s="13" t="s">
        <v>5</v>
      </c>
      <c r="D924" s="7">
        <v>16</v>
      </c>
      <c r="E924" s="7"/>
      <c r="F924" s="7">
        <v>2</v>
      </c>
      <c r="G924" s="8">
        <f>VLOOKUP(D924,'[2]Beam '!$C$20:$H$26,3,0)</f>
        <v>0.625</v>
      </c>
      <c r="H924" s="8"/>
      <c r="I924" s="7"/>
      <c r="J924" s="7"/>
      <c r="K924" s="7"/>
      <c r="L924" s="7"/>
      <c r="M924" s="7"/>
      <c r="N924" s="7"/>
      <c r="O924" s="7">
        <f>(+E922-0.4+1*(G924+(12*D924/1000)))*D922</f>
        <v>1.6069999999999998</v>
      </c>
      <c r="P924" s="7">
        <f t="shared" si="165"/>
        <v>3.2139999999999995</v>
      </c>
      <c r="Q924" s="7">
        <f>IF($D924='[2]Beam '!Q$44,$P924*'[2]Beam '!Q$45,0)</f>
        <v>0</v>
      </c>
      <c r="R924" s="7">
        <f>IF($D924='[2]Beam '!R$44,$P924*'[2]Beam '!R$45,0)</f>
        <v>0</v>
      </c>
      <c r="S924" s="7">
        <f>IF($D924='[2]Beam '!S$44,$P924*'[2]Beam '!S$45,0)</f>
        <v>0</v>
      </c>
      <c r="T924" s="7">
        <f>IF($D924='[2]Beam '!T$44,$P924*'[2]Beam '!T$45,0)</f>
        <v>5.0748141714285708</v>
      </c>
      <c r="U924" s="7">
        <f>IF($D924='[2]Beam '!U$44,$P924*'[2]Beam '!U$45,0)</f>
        <v>0</v>
      </c>
      <c r="V924" s="7">
        <f>IF($D924='[2]Beam '!V$44,$P924*'[2]Beam '!V$45,0)</f>
        <v>0</v>
      </c>
      <c r="W924" s="7">
        <f>IF($D924='[2]Beam '!W$44,$P924*'[2]Beam '!W$45,0)</f>
        <v>0</v>
      </c>
      <c r="X924" s="7">
        <f t="shared" si="166"/>
        <v>5.0748141714285708</v>
      </c>
      <c r="Y924" s="7"/>
      <c r="Z924" s="7"/>
      <c r="AA924" s="7"/>
      <c r="AB924" s="7"/>
      <c r="AC924" s="7"/>
      <c r="AD924" s="7"/>
      <c r="AE924" s="7"/>
    </row>
    <row r="925" spans="1:32" s="9" customFormat="1" ht="20.100000000000001" customHeight="1" x14ac:dyDescent="0.25">
      <c r="A925" s="6"/>
      <c r="B925" s="10" t="s">
        <v>2</v>
      </c>
      <c r="C925" s="13" t="s">
        <v>5</v>
      </c>
      <c r="D925" s="7">
        <v>16</v>
      </c>
      <c r="E925" s="7"/>
      <c r="F925" s="7">
        <v>2</v>
      </c>
      <c r="G925" s="8">
        <f>VLOOKUP(D925,'[2]Beam '!$C$20:$H$26,3,0)</f>
        <v>0.625</v>
      </c>
      <c r="H925" s="8"/>
      <c r="I925" s="7"/>
      <c r="J925" s="7"/>
      <c r="K925" s="7"/>
      <c r="L925" s="7"/>
      <c r="M925" s="7"/>
      <c r="N925" s="7"/>
      <c r="O925" s="7">
        <f>(0.4+1*(G925+(12*D925/1000)))*D922</f>
        <v>1.2170000000000001</v>
      </c>
      <c r="P925" s="7">
        <f t="shared" si="165"/>
        <v>2.4340000000000002</v>
      </c>
      <c r="Q925" s="7">
        <f>IF($D925='[2]Beam '!Q$44,$P925*'[2]Beam '!Q$45,0)</f>
        <v>0</v>
      </c>
      <c r="R925" s="7">
        <f>IF($D925='[2]Beam '!R$44,$P925*'[2]Beam '!R$45,0)</f>
        <v>0</v>
      </c>
      <c r="S925" s="7">
        <f>IF($D925='[2]Beam '!S$44,$P925*'[2]Beam '!S$45,0)</f>
        <v>0</v>
      </c>
      <c r="T925" s="7">
        <f>IF($D925='[2]Beam '!T$44,$P925*'[2]Beam '!T$45,0)</f>
        <v>3.8432164571428578</v>
      </c>
      <c r="U925" s="7">
        <f>IF($D925='[2]Beam '!U$44,$P925*'[2]Beam '!U$45,0)</f>
        <v>0</v>
      </c>
      <c r="V925" s="7">
        <f>IF($D925='[2]Beam '!V$44,$P925*'[2]Beam '!V$45,0)</f>
        <v>0</v>
      </c>
      <c r="W925" s="7">
        <f>IF($D925='[2]Beam '!W$44,$P925*'[2]Beam '!W$45,0)</f>
        <v>0</v>
      </c>
      <c r="X925" s="7">
        <f t="shared" si="166"/>
        <v>3.8432164571428578</v>
      </c>
      <c r="Y925" s="7"/>
      <c r="Z925" s="7"/>
      <c r="AA925" s="7"/>
      <c r="AB925" s="7"/>
      <c r="AC925" s="7"/>
      <c r="AD925" s="7"/>
      <c r="AE925" s="7"/>
    </row>
    <row r="926" spans="1:32" s="14" customFormat="1" ht="20.100000000000001" customHeight="1" x14ac:dyDescent="0.3">
      <c r="A926" s="6"/>
      <c r="B926" s="10" t="s">
        <v>2</v>
      </c>
      <c r="C926" s="13" t="s">
        <v>6</v>
      </c>
      <c r="D926" s="7">
        <v>16</v>
      </c>
      <c r="E926" s="7"/>
      <c r="F926" s="7">
        <v>2</v>
      </c>
      <c r="G926" s="8">
        <f>VLOOKUP(D926,'[2]Beam '!$C$20:$H$26,3,0)</f>
        <v>0.625</v>
      </c>
      <c r="H926" s="7"/>
      <c r="I926" s="7"/>
      <c r="J926" s="7"/>
      <c r="K926" s="7"/>
      <c r="L926" s="7"/>
      <c r="M926" s="7"/>
      <c r="N926" s="7"/>
      <c r="O926" s="7">
        <f>(E922+2*(G926+(12*D926/1000)))*D922</f>
        <v>2.8239999999999998</v>
      </c>
      <c r="P926" s="7">
        <f t="shared" si="165"/>
        <v>5.6479999999999997</v>
      </c>
      <c r="Q926" s="7">
        <f>IF($D926='[2]Beam '!Q$44,$P926*'[2]Beam '!Q$45,0)</f>
        <v>0</v>
      </c>
      <c r="R926" s="7">
        <f>IF($D926='[2]Beam '!R$44,$P926*'[2]Beam '!R$45,0)</f>
        <v>0</v>
      </c>
      <c r="S926" s="7">
        <f>IF($D926='[2]Beam '!S$44,$P926*'[2]Beam '!S$45,0)</f>
        <v>0</v>
      </c>
      <c r="T926" s="7">
        <f>IF($D926='[2]Beam '!T$44,$P926*'[2]Beam '!T$45,0)</f>
        <v>8.9180306285714295</v>
      </c>
      <c r="U926" s="7">
        <f>IF($D926='[2]Beam '!U$44,$P926*'[2]Beam '!U$45,0)</f>
        <v>0</v>
      </c>
      <c r="V926" s="7">
        <f>IF($D926='[2]Beam '!V$44,$P926*'[2]Beam '!V$45,0)</f>
        <v>0</v>
      </c>
      <c r="W926" s="7">
        <f>IF($D926='[2]Beam '!W$44,$P926*'[2]Beam '!W$45,0)</f>
        <v>0</v>
      </c>
      <c r="X926" s="7">
        <f t="shared" si="166"/>
        <v>8.9180306285714295</v>
      </c>
      <c r="Y926" s="7"/>
    </row>
    <row r="927" spans="1:32" s="9" customFormat="1" ht="20.100000000000001" customHeight="1" x14ac:dyDescent="0.25">
      <c r="A927" s="6"/>
      <c r="B927" s="10" t="s">
        <v>2</v>
      </c>
      <c r="C927" s="13" t="s">
        <v>7</v>
      </c>
      <c r="D927" s="7">
        <v>10</v>
      </c>
      <c r="E927" s="7">
        <v>0.2</v>
      </c>
      <c r="F927" s="7">
        <f>ROUNDUP((E922/3*2)/E927,0)+1</f>
        <v>5</v>
      </c>
      <c r="H927" s="7"/>
      <c r="I927" s="7"/>
      <c r="J927" s="7"/>
      <c r="K927" s="7"/>
      <c r="L927" s="7"/>
      <c r="M927" s="7"/>
      <c r="N927" s="7"/>
      <c r="O927" s="7">
        <f>(2*((G922-(2*'[2]Beam '!$D$11))+(F922-(2*'[2]Beam '!$D$11)))+(2*10*D927/1000))*D922</f>
        <v>2.5600000000000005</v>
      </c>
      <c r="P927" s="7">
        <f t="shared" si="165"/>
        <v>12.800000000000002</v>
      </c>
      <c r="Q927" s="7">
        <f>IF($D927='[2]Beam '!Q$44,$P927*'[2]Beam '!Q$45,0)</f>
        <v>0</v>
      </c>
      <c r="R927" s="7">
        <f>IF($D927='[2]Beam '!R$44,$P927*'[2]Beam '!R$45,0)</f>
        <v>7.8948571428571439</v>
      </c>
      <c r="S927" s="7">
        <f>IF($D927='[2]Beam '!S$44,$P927*'[2]Beam '!S$45,0)</f>
        <v>0</v>
      </c>
      <c r="T927" s="7">
        <f>IF($D927='[2]Beam '!T$44,$P927*'[2]Beam '!T$45,0)</f>
        <v>0</v>
      </c>
      <c r="U927" s="7">
        <f>IF($D927='[2]Beam '!U$44,$P927*'[2]Beam '!U$45,0)</f>
        <v>0</v>
      </c>
      <c r="V927" s="7">
        <f>IF($D927='[2]Beam '!V$44,$P927*'[2]Beam '!V$45,0)</f>
        <v>0</v>
      </c>
      <c r="W927" s="7">
        <f>IF($D927='[2]Beam '!W$44,$P927*'[2]Beam '!W$45,0)</f>
        <v>0</v>
      </c>
      <c r="X927" s="7">
        <f t="shared" si="166"/>
        <v>7.8948571428571439</v>
      </c>
      <c r="Y927" s="7"/>
      <c r="Z927" s="7"/>
      <c r="AA927" s="7"/>
      <c r="AB927" s="7"/>
      <c r="AC927" s="7"/>
      <c r="AD927" s="7"/>
      <c r="AE927" s="7"/>
    </row>
    <row r="928" spans="1:32" s="9" customFormat="1" ht="21" customHeight="1" x14ac:dyDescent="0.25">
      <c r="A928" s="14"/>
      <c r="B928" s="10" t="s">
        <v>2</v>
      </c>
      <c r="C928" s="13" t="s">
        <v>8</v>
      </c>
      <c r="D928" s="14">
        <f>D927</f>
        <v>10</v>
      </c>
      <c r="E928" s="14">
        <v>0.125</v>
      </c>
      <c r="F928" s="7">
        <f>ROUNDUP((E922/3)/E928,0)+1</f>
        <v>5</v>
      </c>
      <c r="H928" s="14"/>
      <c r="I928" s="14"/>
      <c r="J928" s="14"/>
      <c r="K928" s="14"/>
      <c r="L928" s="14"/>
      <c r="M928" s="14"/>
      <c r="N928" s="14"/>
      <c r="O928" s="7">
        <f>(2*((G922-(2*'[2]Beam '!$D$11))+(F922-(2*'[2]Beam '!$D$11)))+(2*10*D928/1000))*D922</f>
        <v>2.5600000000000005</v>
      </c>
      <c r="P928" s="7">
        <f t="shared" si="165"/>
        <v>12.800000000000002</v>
      </c>
      <c r="Q928" s="7">
        <f>IF($D928='[2]Beam '!Q$44,$P928*'[2]Beam '!Q$45,0)</f>
        <v>0</v>
      </c>
      <c r="R928" s="7">
        <f>IF($D928='[2]Beam '!R$44,$P928*'[2]Beam '!R$45,0)</f>
        <v>7.8948571428571439</v>
      </c>
      <c r="S928" s="7">
        <f>IF($D928='[2]Beam '!S$44,$P928*'[2]Beam '!S$45,0)</f>
        <v>0</v>
      </c>
      <c r="T928" s="7">
        <f>IF($D928='[2]Beam '!T$44,$P928*'[2]Beam '!T$45,0)</f>
        <v>0</v>
      </c>
      <c r="U928" s="7">
        <f>IF($D928='[2]Beam '!U$44,$P928*'[2]Beam '!U$45,0)</f>
        <v>0</v>
      </c>
      <c r="V928" s="7">
        <f>IF($D928='[2]Beam '!V$44,$P928*'[2]Beam '!V$45,0)</f>
        <v>0</v>
      </c>
      <c r="W928" s="7">
        <f>IF($D928='[2]Beam '!W$44,$P928*'[2]Beam '!W$45,0)</f>
        <v>0</v>
      </c>
      <c r="X928" s="7">
        <f t="shared" si="166"/>
        <v>7.8948571428571439</v>
      </c>
      <c r="Y928" s="14"/>
      <c r="Z928" s="7"/>
      <c r="AA928" s="7"/>
      <c r="AB928" s="7"/>
      <c r="AC928" s="7"/>
      <c r="AD928" s="7"/>
      <c r="AE928" s="7"/>
      <c r="AF928" s="7"/>
    </row>
    <row r="929" spans="1:32" s="9" customFormat="1" ht="20.100000000000001" customHeight="1" x14ac:dyDescent="0.25">
      <c r="A929" s="6"/>
      <c r="B929" s="10" t="s">
        <v>2</v>
      </c>
      <c r="C929" s="13" t="s">
        <v>11</v>
      </c>
      <c r="D929" s="7">
        <f>+'[2]Beam '!$D$15</f>
        <v>25</v>
      </c>
      <c r="E929" s="7">
        <f>+'[2]Beam '!$E$15</f>
        <v>1</v>
      </c>
      <c r="F929" s="7">
        <f>ROUNDUP((0.4)/E929,0)</f>
        <v>1</v>
      </c>
      <c r="G929" s="8"/>
      <c r="H929" s="8"/>
      <c r="I929" s="7"/>
      <c r="J929" s="7"/>
      <c r="K929" s="7"/>
      <c r="L929" s="7"/>
      <c r="M929" s="7"/>
      <c r="N929" s="7"/>
      <c r="O929" s="7">
        <f>F922-'[2]Beam '!$F$15</f>
        <v>0.14000000000000001</v>
      </c>
      <c r="P929" s="7">
        <f t="shared" si="165"/>
        <v>0.14000000000000001</v>
      </c>
      <c r="Q929" s="7">
        <f>IF($D929='[2]Beam '!Q$44,$P929*'[2]Beam '!Q$45,0)</f>
        <v>0</v>
      </c>
      <c r="R929" s="7">
        <f>IF($D929='[2]Beam '!R$44,$P929*'[2]Beam '!R$45,0)</f>
        <v>0</v>
      </c>
      <c r="S929" s="7">
        <f>IF($D929='[2]Beam '!S$44,$P929*'[2]Beam '!S$45,0)</f>
        <v>0</v>
      </c>
      <c r="T929" s="7">
        <f>IF($D929='[2]Beam '!T$44,$P929*'[2]Beam '!T$45,0)</f>
        <v>0</v>
      </c>
      <c r="U929" s="7">
        <f>IF($D929='[2]Beam '!U$44,$P929*'[2]Beam '!U$45,0)</f>
        <v>0</v>
      </c>
      <c r="V929" s="7">
        <f>IF($D929='[2]Beam '!V$44,$P929*'[2]Beam '!V$45,0)</f>
        <v>0.5396875000000001</v>
      </c>
      <c r="W929" s="7">
        <f>IF($D929='[2]Beam '!W$44,$P929*'[2]Beam '!W$45,0)</f>
        <v>0</v>
      </c>
      <c r="X929" s="7">
        <f t="shared" si="166"/>
        <v>0.5396875000000001</v>
      </c>
      <c r="Y929" s="7"/>
      <c r="Z929" s="7"/>
      <c r="AA929" s="7"/>
      <c r="AB929" s="7"/>
      <c r="AC929" s="7"/>
      <c r="AD929" s="7"/>
      <c r="AE929" s="7"/>
    </row>
    <row r="930" spans="1:32" s="9" customFormat="1" ht="20.100000000000001" customHeight="1" x14ac:dyDescent="0.25">
      <c r="A930" s="7">
        <v>1</v>
      </c>
      <c r="B930" s="10" t="s">
        <v>2</v>
      </c>
      <c r="C930" s="11" t="s">
        <v>142</v>
      </c>
      <c r="D930" s="11">
        <v>1</v>
      </c>
      <c r="E930" s="11">
        <v>4.4249999999999998</v>
      </c>
      <c r="F930" s="11">
        <v>0.3</v>
      </c>
      <c r="G930" s="11">
        <v>1.1000000000000001</v>
      </c>
      <c r="H930" s="7">
        <f>G930-0.2</f>
        <v>0.90000000000000013</v>
      </c>
      <c r="I930" s="7">
        <f>E930*F930*G930*D930</f>
        <v>1.46025</v>
      </c>
      <c r="J930" s="7">
        <f>(2*(E930)*H930*D930)+(E930*F930)</f>
        <v>9.2925000000000004</v>
      </c>
      <c r="K930" s="12">
        <f>IF(E930=0.3,J930,0)</f>
        <v>0</v>
      </c>
      <c r="L930" s="12">
        <f>IF(AND(E930&gt;0.3,E930&lt;=0.75),J930,0)</f>
        <v>0</v>
      </c>
      <c r="M930" s="12">
        <f>IF(AND(E930&gt;0.75,E930&lt;=1.2),J930,0)</f>
        <v>0</v>
      </c>
      <c r="N930" s="12">
        <f>IF(E930&gt;1.2,J930,0)</f>
        <v>9.2925000000000004</v>
      </c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>
        <f>SUM(X931:X935)/I930</f>
        <v>144.64316653214959</v>
      </c>
      <c r="Z930" s="7"/>
      <c r="AA930" s="7"/>
      <c r="AB930" s="7"/>
      <c r="AC930" s="7"/>
      <c r="AD930" s="7"/>
      <c r="AE930" s="7"/>
    </row>
    <row r="931" spans="1:32" s="9" customFormat="1" ht="20.100000000000001" customHeight="1" x14ac:dyDescent="0.25">
      <c r="A931" s="6"/>
      <c r="B931" s="10" t="s">
        <v>2</v>
      </c>
      <c r="C931" s="13" t="s">
        <v>4</v>
      </c>
      <c r="D931" s="7">
        <v>25</v>
      </c>
      <c r="E931" s="7"/>
      <c r="F931" s="7">
        <v>2</v>
      </c>
      <c r="G931" s="8">
        <f>VLOOKUP(D931,'[2]Beam '!$C$20:$H$26,3,0)</f>
        <v>1</v>
      </c>
      <c r="H931" s="8"/>
      <c r="I931" s="7"/>
      <c r="J931" s="7"/>
      <c r="K931" s="7"/>
      <c r="L931" s="7"/>
      <c r="M931" s="7"/>
      <c r="N931" s="7"/>
      <c r="O931" s="7">
        <f>(E930+1*(G931+(12*D931/1000)))+1*(G931)*D930</f>
        <v>6.7249999999999996</v>
      </c>
      <c r="P931" s="7">
        <f>O931*F931</f>
        <v>13.45</v>
      </c>
      <c r="Q931" s="7">
        <f>IF($D931='[2]Beam '!Q$44,$P931*'[2]Beam '!Q$45,0)</f>
        <v>0</v>
      </c>
      <c r="R931" s="7">
        <f>IF($D931='[2]Beam '!R$44,$P931*'[2]Beam '!R$45,0)</f>
        <v>0</v>
      </c>
      <c r="S931" s="7">
        <f>IF($D931='[2]Beam '!S$44,$P931*'[2]Beam '!S$45,0)</f>
        <v>0</v>
      </c>
      <c r="T931" s="7">
        <f>IF($D931='[2]Beam '!T$44,$P931*'[2]Beam '!T$45,0)</f>
        <v>0</v>
      </c>
      <c r="U931" s="7">
        <f>IF($D931='[2]Beam '!U$44,$P931*'[2]Beam '!U$45,0)</f>
        <v>0</v>
      </c>
      <c r="V931" s="7">
        <f>IF($D931='[2]Beam '!V$44,$P931*'[2]Beam '!V$45,0)</f>
        <v>51.848549107142865</v>
      </c>
      <c r="W931" s="7">
        <f>IF($D931='[2]Beam '!W$44,$P931*'[2]Beam '!W$45,0)</f>
        <v>0</v>
      </c>
      <c r="X931" s="7">
        <f>SUM(Q931:W931)</f>
        <v>51.848549107142865</v>
      </c>
      <c r="Y931" s="7"/>
      <c r="Z931" s="7"/>
      <c r="AA931" s="7"/>
      <c r="AB931" s="7"/>
      <c r="AC931" s="7"/>
      <c r="AD931" s="7"/>
      <c r="AE931" s="7"/>
    </row>
    <row r="932" spans="1:32" s="9" customFormat="1" ht="20.100000000000001" customHeight="1" x14ac:dyDescent="0.25">
      <c r="A932" s="6"/>
      <c r="B932" s="10" t="s">
        <v>2</v>
      </c>
      <c r="C932" s="13" t="s">
        <v>4</v>
      </c>
      <c r="D932" s="7">
        <v>20</v>
      </c>
      <c r="E932" s="7"/>
      <c r="F932" s="7">
        <v>1</v>
      </c>
      <c r="G932" s="8">
        <f>VLOOKUP(D932,'[2]Beam '!$C$20:$H$26,3,0)</f>
        <v>0.8</v>
      </c>
      <c r="H932" s="8"/>
      <c r="I932" s="7"/>
      <c r="J932" s="7"/>
      <c r="K932" s="7"/>
      <c r="L932" s="7"/>
      <c r="M932" s="7"/>
      <c r="N932" s="7"/>
      <c r="O932" s="7">
        <f>(E930+1*(G932+(12*D932/1000)))+1*(G932)*D930</f>
        <v>6.2649999999999997</v>
      </c>
      <c r="P932" s="7">
        <f>O932*F932</f>
        <v>6.2649999999999997</v>
      </c>
      <c r="Q932" s="7">
        <f>IF($D932='[2]Beam '!Q$44,$P932*'[2]Beam '!Q$45,0)</f>
        <v>0</v>
      </c>
      <c r="R932" s="7">
        <f>IF($D932='[2]Beam '!R$44,$P932*'[2]Beam '!R$45,0)</f>
        <v>0</v>
      </c>
      <c r="S932" s="7">
        <f>IF($D932='[2]Beam '!S$44,$P932*'[2]Beam '!S$45,0)</f>
        <v>0</v>
      </c>
      <c r="T932" s="7">
        <f>IF($D932='[2]Beam '!T$44,$P932*'[2]Beam '!T$45,0)</f>
        <v>0</v>
      </c>
      <c r="U932" s="7">
        <f>IF($D932='[2]Beam '!U$44,$P932*'[2]Beam '!U$45,0)</f>
        <v>15.456649999999998</v>
      </c>
      <c r="V932" s="7">
        <f>IF($D932='[2]Beam '!V$44,$P932*'[2]Beam '!V$45,0)</f>
        <v>0</v>
      </c>
      <c r="W932" s="7">
        <f>IF($D932='[2]Beam '!W$44,$P932*'[2]Beam '!W$45,0)</f>
        <v>0</v>
      </c>
      <c r="X932" s="7">
        <f>SUM(Q932:W932)</f>
        <v>15.456649999999998</v>
      </c>
      <c r="Y932" s="7"/>
      <c r="Z932" s="7"/>
      <c r="AA932" s="7"/>
      <c r="AB932" s="7"/>
      <c r="AC932" s="7"/>
      <c r="AD932" s="7"/>
      <c r="AE932" s="7"/>
    </row>
    <row r="933" spans="1:32" s="9" customFormat="1" ht="20.100000000000001" customHeight="1" x14ac:dyDescent="0.25">
      <c r="A933" s="6"/>
      <c r="B933" s="10" t="s">
        <v>2</v>
      </c>
      <c r="C933" s="13" t="s">
        <v>6</v>
      </c>
      <c r="D933" s="7">
        <v>25</v>
      </c>
      <c r="E933" s="7"/>
      <c r="F933" s="7">
        <v>2</v>
      </c>
      <c r="G933" s="8">
        <f>VLOOKUP(D933,'[2]Beam '!$C$20:$H$26,3,0)</f>
        <v>1</v>
      </c>
      <c r="H933" s="7"/>
      <c r="I933" s="7"/>
      <c r="J933" s="7"/>
      <c r="K933" s="7"/>
      <c r="L933" s="7"/>
      <c r="M933" s="7"/>
      <c r="N933" s="7"/>
      <c r="O933" s="7">
        <f>(E930+1*(G933+(12*D933/1000))+1*(G933))*D930</f>
        <v>6.7249999999999996</v>
      </c>
      <c r="P933" s="7">
        <f>O933*F933</f>
        <v>13.45</v>
      </c>
      <c r="Q933" s="7">
        <f>IF($D933='[2]Beam '!Q$44,$P933*'[2]Beam '!Q$45,0)</f>
        <v>0</v>
      </c>
      <c r="R933" s="7">
        <f>IF($D933='[2]Beam '!R$44,$P933*'[2]Beam '!R$45,0)</f>
        <v>0</v>
      </c>
      <c r="S933" s="7">
        <f>IF($D933='[2]Beam '!S$44,$P933*'[2]Beam '!S$45,0)</f>
        <v>0</v>
      </c>
      <c r="T933" s="7">
        <f>IF($D933='[2]Beam '!T$44,$P933*'[2]Beam '!T$45,0)</f>
        <v>0</v>
      </c>
      <c r="U933" s="7">
        <f>IF($D933='[2]Beam '!U$44,$P933*'[2]Beam '!U$45,0)</f>
        <v>0</v>
      </c>
      <c r="V933" s="7">
        <f>IF($D933='[2]Beam '!V$44,$P933*'[2]Beam '!V$45,0)</f>
        <v>51.848549107142865</v>
      </c>
      <c r="W933" s="7">
        <f>IF($D933='[2]Beam '!W$44,$P933*'[2]Beam '!W$45,0)</f>
        <v>0</v>
      </c>
      <c r="X933" s="7">
        <f>SUM(Q933:W933)</f>
        <v>51.848549107142865</v>
      </c>
      <c r="Y933" s="7"/>
      <c r="Z933" s="7"/>
      <c r="AA933" s="7"/>
      <c r="AB933" s="7"/>
      <c r="AC933" s="7"/>
      <c r="AD933" s="7"/>
      <c r="AE933" s="7"/>
    </row>
    <row r="934" spans="1:32" s="9" customFormat="1" ht="21" customHeight="1" x14ac:dyDescent="0.25">
      <c r="A934" s="6"/>
      <c r="B934" s="10" t="s">
        <v>2</v>
      </c>
      <c r="C934" s="13" t="s">
        <v>6</v>
      </c>
      <c r="D934" s="7">
        <v>20</v>
      </c>
      <c r="E934" s="7"/>
      <c r="F934" s="7">
        <v>1</v>
      </c>
      <c r="G934" s="8">
        <f>VLOOKUP(D934,'[2]Beam '!$C$20:$H$26,3,0)</f>
        <v>0.8</v>
      </c>
      <c r="H934" s="7"/>
      <c r="I934" s="7"/>
      <c r="J934" s="7"/>
      <c r="K934" s="7"/>
      <c r="L934" s="7"/>
      <c r="M934" s="7"/>
      <c r="N934" s="7"/>
      <c r="O934" s="7">
        <f>(E930+1*(G934+(12*D934/1000))+1*(G934))*D930</f>
        <v>6.2649999999999997</v>
      </c>
      <c r="P934" s="7">
        <f>O934*F934</f>
        <v>6.2649999999999997</v>
      </c>
      <c r="Q934" s="7">
        <f>IF($D934='[2]Beam '!Q$44,$P934*'[2]Beam '!Q$45,0)</f>
        <v>0</v>
      </c>
      <c r="R934" s="7">
        <f>IF($D934='[2]Beam '!R$44,$P934*'[2]Beam '!R$45,0)</f>
        <v>0</v>
      </c>
      <c r="S934" s="7">
        <f>IF($D934='[2]Beam '!S$44,$P934*'[2]Beam '!S$45,0)</f>
        <v>0</v>
      </c>
      <c r="T934" s="7">
        <f>IF($D934='[2]Beam '!T$44,$P934*'[2]Beam '!T$45,0)</f>
        <v>0</v>
      </c>
      <c r="U934" s="7">
        <f>IF($D934='[2]Beam '!U$44,$P934*'[2]Beam '!U$45,0)</f>
        <v>15.456649999999998</v>
      </c>
      <c r="V934" s="7">
        <f>IF($D934='[2]Beam '!V$44,$P934*'[2]Beam '!V$45,0)</f>
        <v>0</v>
      </c>
      <c r="W934" s="7">
        <f>IF($D934='[2]Beam '!W$44,$P934*'[2]Beam '!W$45,0)</f>
        <v>0</v>
      </c>
      <c r="X934" s="7">
        <f>SUM(Q934:W934)</f>
        <v>15.456649999999998</v>
      </c>
      <c r="Y934" s="7"/>
      <c r="Z934" s="7"/>
      <c r="AA934" s="7"/>
      <c r="AB934" s="7"/>
      <c r="AC934" s="7"/>
      <c r="AD934" s="7"/>
      <c r="AE934" s="7"/>
      <c r="AF934" s="7"/>
    </row>
    <row r="935" spans="1:32" s="9" customFormat="1" ht="20.100000000000001" customHeight="1" x14ac:dyDescent="0.25">
      <c r="A935" s="6"/>
      <c r="B935" s="10" t="s">
        <v>2</v>
      </c>
      <c r="C935" s="13" t="s">
        <v>26</v>
      </c>
      <c r="D935" s="7">
        <v>10</v>
      </c>
      <c r="E935" s="7">
        <v>0.1</v>
      </c>
      <c r="F935" s="7">
        <f>ROUNDUP(E930/E935,0)</f>
        <v>45</v>
      </c>
      <c r="H935" s="7"/>
      <c r="I935" s="7"/>
      <c r="J935" s="7"/>
      <c r="K935" s="7"/>
      <c r="L935" s="7"/>
      <c r="M935" s="7"/>
      <c r="N935" s="7"/>
      <c r="O935" s="7">
        <f>(2*((G930-(2*'[2]Beam '!$D$11))+(F930-(2*'[2]Beam '!$D$11)))+(2*10*D935/1000))*D930</f>
        <v>2.7600000000000002</v>
      </c>
      <c r="P935" s="7">
        <f>O935*F935</f>
        <v>124.20000000000002</v>
      </c>
      <c r="Q935" s="7">
        <f>IF($D935='[2]Beam '!Q$44,$P935*'[2]Beam '!Q$45,0)</f>
        <v>0</v>
      </c>
      <c r="R935" s="7">
        <f>IF($D935='[2]Beam '!R$44,$P935*'[2]Beam '!R$45,0)</f>
        <v>76.604785714285725</v>
      </c>
      <c r="S935" s="7">
        <f>IF($D935='[2]Beam '!S$44,$P935*'[2]Beam '!S$45,0)</f>
        <v>0</v>
      </c>
      <c r="T935" s="7">
        <f>IF($D935='[2]Beam '!T$44,$P935*'[2]Beam '!T$45,0)</f>
        <v>0</v>
      </c>
      <c r="U935" s="7">
        <f>IF($D935='[2]Beam '!U$44,$P935*'[2]Beam '!U$45,0)</f>
        <v>0</v>
      </c>
      <c r="V935" s="7">
        <f>IF($D935='[2]Beam '!V$44,$P935*'[2]Beam '!V$45,0)</f>
        <v>0</v>
      </c>
      <c r="W935" s="7">
        <f>IF($D935='[2]Beam '!W$44,$P935*'[2]Beam '!W$45,0)</f>
        <v>0</v>
      </c>
      <c r="X935" s="7">
        <f>SUM(Q935:W935)</f>
        <v>76.604785714285725</v>
      </c>
      <c r="Y935" s="7"/>
      <c r="Z935" s="7"/>
      <c r="AA935" s="7"/>
      <c r="AB935" s="7"/>
      <c r="AC935" s="7"/>
      <c r="AD935" s="7"/>
      <c r="AE935" s="7"/>
    </row>
    <row r="936" spans="1:32" s="9" customFormat="1" ht="20.100000000000001" customHeight="1" x14ac:dyDescent="0.25">
      <c r="A936" s="7">
        <v>1</v>
      </c>
      <c r="B936" s="10" t="s">
        <v>2</v>
      </c>
      <c r="C936" s="11" t="s">
        <v>143</v>
      </c>
      <c r="D936" s="11">
        <v>1</v>
      </c>
      <c r="E936" s="11">
        <v>2.4</v>
      </c>
      <c r="F936" s="11">
        <v>0.3</v>
      </c>
      <c r="G936" s="11">
        <v>1.1000000000000001</v>
      </c>
      <c r="H936" s="7">
        <f>G936-0.2</f>
        <v>0.90000000000000013</v>
      </c>
      <c r="I936" s="7">
        <f>E936*F936*G936*D936</f>
        <v>0.79200000000000004</v>
      </c>
      <c r="J936" s="7">
        <f>(2*(E936)*H936*D936)+(E936*F936)</f>
        <v>5.04</v>
      </c>
      <c r="K936" s="12">
        <f>IF(E936=0.3,J936,0)</f>
        <v>0</v>
      </c>
      <c r="L936" s="12">
        <f>IF(AND(E936&gt;0.3,E936&lt;=0.75),J936,0)</f>
        <v>0</v>
      </c>
      <c r="M936" s="12">
        <f>IF(AND(E936&gt;0.75,E936&lt;=1.2),J936,0)</f>
        <v>0</v>
      </c>
      <c r="N936" s="12">
        <f>IF(E936&gt;1.2,J936,0)</f>
        <v>5.04</v>
      </c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>
        <f>SUM(X940:X941)/I936</f>
        <v>20.34794761904762</v>
      </c>
      <c r="Z936" s="7"/>
      <c r="AA936" s="7"/>
      <c r="AB936" s="7"/>
      <c r="AC936" s="7"/>
      <c r="AD936" s="7"/>
      <c r="AE936" s="7"/>
    </row>
    <row r="937" spans="1:32" s="9" customFormat="1" ht="20.100000000000001" customHeight="1" x14ac:dyDescent="0.25">
      <c r="A937" s="6"/>
      <c r="B937" s="10" t="s">
        <v>2</v>
      </c>
      <c r="C937" s="13" t="s">
        <v>4</v>
      </c>
      <c r="D937" s="7">
        <v>16</v>
      </c>
      <c r="E937" s="7"/>
      <c r="F937" s="7">
        <v>2</v>
      </c>
      <c r="G937" s="8">
        <f>VLOOKUP(D937,'[2]Beam '!$C$20:$H$26,3,0)</f>
        <v>0.625</v>
      </c>
      <c r="H937" s="8"/>
      <c r="I937" s="7"/>
      <c r="J937" s="7"/>
      <c r="K937" s="7"/>
      <c r="L937" s="7"/>
      <c r="M937" s="7"/>
      <c r="N937" s="7"/>
      <c r="O937" s="7">
        <f>(E936+2*(G937+(12*D937/1000)))*D936</f>
        <v>4.0339999999999998</v>
      </c>
      <c r="P937" s="7">
        <f>O937*F937</f>
        <v>8.0679999999999996</v>
      </c>
      <c r="Q937" s="7">
        <f>IF($D937='[2]Beam '!Q$44,$P937*'[2]Beam '!Q$45,0)</f>
        <v>0</v>
      </c>
      <c r="R937" s="7">
        <f>IF($D937='[2]Beam '!R$44,$P937*'[2]Beam '!R$45,0)</f>
        <v>0</v>
      </c>
      <c r="S937" s="7">
        <f>IF($D937='[2]Beam '!S$44,$P937*'[2]Beam '!S$45,0)</f>
        <v>0</v>
      </c>
      <c r="T937" s="7">
        <f>IF($D937='[2]Beam '!T$44,$P937*'[2]Beam '!T$45,0)</f>
        <v>12.739141485714287</v>
      </c>
      <c r="U937" s="7">
        <f>IF($D937='[2]Beam '!U$44,$P937*'[2]Beam '!U$45,0)</f>
        <v>0</v>
      </c>
      <c r="V937" s="7">
        <f>IF($D937='[2]Beam '!V$44,$P937*'[2]Beam '!V$45,0)</f>
        <v>0</v>
      </c>
      <c r="W937" s="7">
        <f>IF($D937='[2]Beam '!W$44,$P937*'[2]Beam '!W$45,0)</f>
        <v>0</v>
      </c>
      <c r="X937" s="7">
        <f>SUM(Q937:W937)</f>
        <v>12.739141485714287</v>
      </c>
      <c r="Y937" s="7"/>
      <c r="Z937" s="7"/>
      <c r="AA937" s="7"/>
      <c r="AB937" s="7"/>
      <c r="AC937" s="7"/>
      <c r="AD937" s="7"/>
      <c r="AE937" s="7"/>
    </row>
    <row r="938" spans="1:32" s="9" customFormat="1" ht="20.100000000000001" customHeight="1" x14ac:dyDescent="0.25">
      <c r="A938" s="6"/>
      <c r="B938" s="10" t="s">
        <v>2</v>
      </c>
      <c r="C938" s="13" t="s">
        <v>4</v>
      </c>
      <c r="D938" s="7">
        <v>12</v>
      </c>
      <c r="E938" s="7"/>
      <c r="F938" s="7">
        <v>1</v>
      </c>
      <c r="G938" s="8">
        <f>VLOOKUP(D938,'[2]Beam '!$C$20:$H$26,3,0)</f>
        <v>0.47499999999999998</v>
      </c>
      <c r="H938" s="8"/>
      <c r="I938" s="7"/>
      <c r="J938" s="7"/>
      <c r="K938" s="7"/>
      <c r="L938" s="7"/>
      <c r="M938" s="7"/>
      <c r="N938" s="7"/>
      <c r="O938" s="7">
        <f>(E936+2*(G938+(12*D938/1000)))*D936</f>
        <v>3.6379999999999999</v>
      </c>
      <c r="P938" s="7">
        <f>O938*F938</f>
        <v>3.6379999999999999</v>
      </c>
      <c r="Q938" s="7">
        <f>IF($D938='[2]Beam '!Q$44,$P938*'[2]Beam '!Q$45,0)</f>
        <v>0</v>
      </c>
      <c r="R938" s="7">
        <f>IF($D938='[2]Beam '!R$44,$P938*'[2]Beam '!R$45,0)</f>
        <v>0</v>
      </c>
      <c r="S938" s="7">
        <f>IF($D938='[2]Beam '!S$44,$P938*'[2]Beam '!S$45,0)</f>
        <v>3.2311676571428576</v>
      </c>
      <c r="T938" s="7">
        <f>IF($D938='[2]Beam '!T$44,$P938*'[2]Beam '!T$45,0)</f>
        <v>0</v>
      </c>
      <c r="U938" s="7">
        <f>IF($D938='[2]Beam '!U$44,$P938*'[2]Beam '!U$45,0)</f>
        <v>0</v>
      </c>
      <c r="V938" s="7">
        <f>IF($D938='[2]Beam '!V$44,$P938*'[2]Beam '!V$45,0)</f>
        <v>0</v>
      </c>
      <c r="W938" s="7">
        <f>IF($D938='[2]Beam '!W$44,$P938*'[2]Beam '!W$45,0)</f>
        <v>0</v>
      </c>
      <c r="X938" s="7">
        <f>SUM(Q938:W938)</f>
        <v>3.2311676571428576</v>
      </c>
      <c r="Y938" s="7"/>
      <c r="Z938" s="7"/>
      <c r="AA938" s="7"/>
      <c r="AB938" s="7"/>
      <c r="AC938" s="7"/>
      <c r="AD938" s="7"/>
      <c r="AE938" s="7"/>
    </row>
    <row r="939" spans="1:32" s="9" customFormat="1" ht="20.100000000000001" customHeight="1" x14ac:dyDescent="0.25">
      <c r="A939" s="6"/>
      <c r="B939" s="10" t="s">
        <v>2</v>
      </c>
      <c r="C939" s="13" t="s">
        <v>6</v>
      </c>
      <c r="D939" s="7">
        <v>16</v>
      </c>
      <c r="E939" s="7"/>
      <c r="F939" s="7">
        <v>2</v>
      </c>
      <c r="G939" s="8">
        <f>VLOOKUP(D939,'[2]Beam '!$C$20:$H$26,3,0)</f>
        <v>0.625</v>
      </c>
      <c r="H939" s="7"/>
      <c r="I939" s="7"/>
      <c r="J939" s="7"/>
      <c r="K939" s="7"/>
      <c r="L939" s="7"/>
      <c r="M939" s="7"/>
      <c r="N939" s="7"/>
      <c r="O939" s="7">
        <f>(E936+2*(G939+(12*D939/1000)))*D936</f>
        <v>4.0339999999999998</v>
      </c>
      <c r="P939" s="7">
        <f>O939*F939</f>
        <v>8.0679999999999996</v>
      </c>
      <c r="Q939" s="7">
        <f>IF($D939='[2]Beam '!Q$44,$P939*'[2]Beam '!Q$45,0)</f>
        <v>0</v>
      </c>
      <c r="R939" s="7">
        <f>IF($D939='[2]Beam '!R$44,$P939*'[2]Beam '!R$45,0)</f>
        <v>0</v>
      </c>
      <c r="S939" s="7">
        <f>IF($D939='[2]Beam '!S$44,$P939*'[2]Beam '!S$45,0)</f>
        <v>0</v>
      </c>
      <c r="T939" s="7">
        <f>IF($D939='[2]Beam '!T$44,$P939*'[2]Beam '!T$45,0)</f>
        <v>12.739141485714287</v>
      </c>
      <c r="U939" s="7">
        <f>IF($D939='[2]Beam '!U$44,$P939*'[2]Beam '!U$45,0)</f>
        <v>0</v>
      </c>
      <c r="V939" s="7">
        <f>IF($D939='[2]Beam '!V$44,$P939*'[2]Beam '!V$45,0)</f>
        <v>0</v>
      </c>
      <c r="W939" s="7">
        <f>IF($D939='[2]Beam '!W$44,$P939*'[2]Beam '!W$45,0)</f>
        <v>0</v>
      </c>
      <c r="X939" s="7">
        <f>SUM(Q939:W939)</f>
        <v>12.739141485714287</v>
      </c>
      <c r="Y939" s="7"/>
      <c r="Z939" s="7"/>
      <c r="AA939" s="7"/>
      <c r="AB939" s="7"/>
      <c r="AC939" s="7"/>
      <c r="AD939" s="7"/>
      <c r="AE939" s="7"/>
    </row>
    <row r="940" spans="1:32" s="9" customFormat="1" ht="21" customHeight="1" x14ac:dyDescent="0.25">
      <c r="A940" s="6"/>
      <c r="B940" s="10" t="s">
        <v>2</v>
      </c>
      <c r="C940" s="13" t="s">
        <v>6</v>
      </c>
      <c r="D940" s="7">
        <v>12</v>
      </c>
      <c r="E940" s="7"/>
      <c r="F940" s="7">
        <v>1</v>
      </c>
      <c r="G940" s="8">
        <f>VLOOKUP(D940,'[2]Beam '!$C$20:$H$26,3,0)</f>
        <v>0.47499999999999998</v>
      </c>
      <c r="H940" s="7"/>
      <c r="I940" s="7"/>
      <c r="J940" s="7"/>
      <c r="K940" s="7"/>
      <c r="L940" s="7"/>
      <c r="M940" s="7"/>
      <c r="N940" s="7"/>
      <c r="O940" s="7">
        <f>(E936+2*(G940+(12*D940/1000)))*D936</f>
        <v>3.6379999999999999</v>
      </c>
      <c r="P940" s="7">
        <f>O940*F940</f>
        <v>3.6379999999999999</v>
      </c>
      <c r="Q940" s="7">
        <f>IF($D940='[2]Beam '!Q$44,$P940*'[2]Beam '!Q$45,0)</f>
        <v>0</v>
      </c>
      <c r="R940" s="7">
        <f>IF($D940='[2]Beam '!R$44,$P940*'[2]Beam '!R$45,0)</f>
        <v>0</v>
      </c>
      <c r="S940" s="7">
        <f>IF($D940='[2]Beam '!S$44,$P940*'[2]Beam '!S$45,0)</f>
        <v>3.2311676571428576</v>
      </c>
      <c r="T940" s="7">
        <f>IF($D940='[2]Beam '!T$44,$P940*'[2]Beam '!T$45,0)</f>
        <v>0</v>
      </c>
      <c r="U940" s="7">
        <f>IF($D940='[2]Beam '!U$44,$P940*'[2]Beam '!U$45,0)</f>
        <v>0</v>
      </c>
      <c r="V940" s="7">
        <f>IF($D940='[2]Beam '!V$44,$P940*'[2]Beam '!V$45,0)</f>
        <v>0</v>
      </c>
      <c r="W940" s="7">
        <f>IF($D940='[2]Beam '!W$44,$P940*'[2]Beam '!W$45,0)</f>
        <v>0</v>
      </c>
      <c r="X940" s="7">
        <f>SUM(Q940:W940)</f>
        <v>3.2311676571428576</v>
      </c>
      <c r="Y940" s="7"/>
      <c r="Z940" s="7"/>
      <c r="AA940" s="7"/>
      <c r="AB940" s="7"/>
      <c r="AC940" s="7"/>
      <c r="AD940" s="7"/>
      <c r="AE940" s="7"/>
      <c r="AF940" s="7"/>
    </row>
    <row r="941" spans="1:32" s="9" customFormat="1" ht="20.100000000000001" customHeight="1" x14ac:dyDescent="0.25">
      <c r="A941" s="6"/>
      <c r="B941" s="10" t="s">
        <v>2</v>
      </c>
      <c r="C941" s="13" t="s">
        <v>26</v>
      </c>
      <c r="D941" s="7">
        <v>8</v>
      </c>
      <c r="E941" s="7">
        <v>0.2</v>
      </c>
      <c r="F941" s="7">
        <f>ROUNDUP(E936/E941,0)</f>
        <v>12</v>
      </c>
      <c r="H941" s="7"/>
      <c r="I941" s="7"/>
      <c r="J941" s="7"/>
      <c r="K941" s="7"/>
      <c r="L941" s="7"/>
      <c r="M941" s="7"/>
      <c r="N941" s="7"/>
      <c r="O941" s="7">
        <f>(2*((G936-(2*'[2]Beam '!$D$11))+(F936-(2*'[2]Beam '!$D$11)))+(2*10*D941/1000))*D936</f>
        <v>2.72</v>
      </c>
      <c r="P941" s="7">
        <f>O941*F941</f>
        <v>32.64</v>
      </c>
      <c r="Q941" s="7">
        <f>IF($D941='[2]Beam '!Q$44,$P941*'[2]Beam '!Q$45,0)</f>
        <v>12.884406857142858</v>
      </c>
      <c r="R941" s="7">
        <f>IF($D941='[2]Beam '!R$44,$P941*'[2]Beam '!R$45,0)</f>
        <v>0</v>
      </c>
      <c r="S941" s="7">
        <f>IF($D941='[2]Beam '!S$44,$P941*'[2]Beam '!S$45,0)</f>
        <v>0</v>
      </c>
      <c r="T941" s="7">
        <f>IF($D941='[2]Beam '!T$44,$P941*'[2]Beam '!T$45,0)</f>
        <v>0</v>
      </c>
      <c r="U941" s="7">
        <f>IF($D941='[2]Beam '!U$44,$P941*'[2]Beam '!U$45,0)</f>
        <v>0</v>
      </c>
      <c r="V941" s="7">
        <f>IF($D941='[2]Beam '!V$44,$P941*'[2]Beam '!V$45,0)</f>
        <v>0</v>
      </c>
      <c r="W941" s="7">
        <f>IF($D941='[2]Beam '!W$44,$P941*'[2]Beam '!W$45,0)</f>
        <v>0</v>
      </c>
      <c r="X941" s="7">
        <f>SUM(Q941:W941)</f>
        <v>12.884406857142858</v>
      </c>
      <c r="Y941" s="7"/>
      <c r="Z941" s="7"/>
      <c r="AA941" s="7"/>
      <c r="AB941" s="7"/>
      <c r="AC941" s="7"/>
      <c r="AD941" s="7"/>
      <c r="AE941" s="7"/>
    </row>
    <row r="942" spans="1:32" s="9" customFormat="1" ht="20.100000000000001" customHeight="1" x14ac:dyDescent="0.25">
      <c r="A942" s="7">
        <v>1</v>
      </c>
      <c r="B942" s="15" t="s">
        <v>2</v>
      </c>
      <c r="C942" s="11" t="s">
        <v>144</v>
      </c>
      <c r="D942" s="11">
        <v>1</v>
      </c>
      <c r="E942" s="11">
        <v>1.2889999999999999</v>
      </c>
      <c r="F942" s="11">
        <v>0.5</v>
      </c>
      <c r="G942" s="11">
        <v>1.1000000000000001</v>
      </c>
      <c r="H942" s="7">
        <f>G942-0.2</f>
        <v>0.90000000000000013</v>
      </c>
      <c r="I942" s="7">
        <f>E942*F942*G942*D942</f>
        <v>0.70894999999999997</v>
      </c>
      <c r="J942" s="7">
        <f>(2*(E942)*H942*D942)+(E942*F942)</f>
        <v>2.9647000000000001</v>
      </c>
      <c r="K942" s="12">
        <f>IF(E942=0.3,J942,0)</f>
        <v>0</v>
      </c>
      <c r="L942" s="12">
        <f>IF(AND(E942&gt;0.3,E942&lt;=0.75),J942,0)</f>
        <v>0</v>
      </c>
      <c r="M942" s="12">
        <f>IF(AND(E942&gt;0.75,E942&lt;=1.2),J942,0)</f>
        <v>0</v>
      </c>
      <c r="N942" s="12">
        <f>IF(E942&gt;1.2,J942,0)</f>
        <v>2.9647000000000001</v>
      </c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>
        <f>SUM(X944:X946)/I942</f>
        <v>134.62276720602907</v>
      </c>
      <c r="Z942" s="7"/>
      <c r="AA942" s="7"/>
      <c r="AB942" s="7"/>
      <c r="AC942" s="7"/>
      <c r="AD942" s="7"/>
      <c r="AE942" s="7"/>
    </row>
    <row r="943" spans="1:32" s="9" customFormat="1" ht="20.100000000000001" customHeight="1" x14ac:dyDescent="0.25">
      <c r="A943" s="6"/>
      <c r="B943" s="10" t="s">
        <v>2</v>
      </c>
      <c r="C943" s="13" t="s">
        <v>4</v>
      </c>
      <c r="D943" s="7">
        <v>25</v>
      </c>
      <c r="E943" s="7"/>
      <c r="F943" s="7">
        <v>5</v>
      </c>
      <c r="G943" s="8">
        <f>VLOOKUP(D943,'[2]Beam '!$C$20:$H$26,3,0)</f>
        <v>1</v>
      </c>
      <c r="H943" s="8"/>
      <c r="I943" s="7"/>
      <c r="J943" s="7"/>
      <c r="K943" s="7"/>
      <c r="L943" s="7"/>
      <c r="M943" s="7"/>
      <c r="N943" s="7"/>
      <c r="O943" s="7">
        <f>(E942+2*(G943))*D942</f>
        <v>3.2889999999999997</v>
      </c>
      <c r="P943" s="7">
        <f>O943*F943</f>
        <v>16.445</v>
      </c>
      <c r="Q943" s="7">
        <f>IF($D943='[2]Beam '!Q$44,$P943*'[2]Beam '!Q$45,0)</f>
        <v>0</v>
      </c>
      <c r="R943" s="7">
        <f>IF($D943='[2]Beam '!R$44,$P943*'[2]Beam '!R$45,0)</f>
        <v>0</v>
      </c>
      <c r="S943" s="7">
        <f>IF($D943='[2]Beam '!S$44,$P943*'[2]Beam '!S$45,0)</f>
        <v>0</v>
      </c>
      <c r="T943" s="7">
        <f>IF($D943='[2]Beam '!T$44,$P943*'[2]Beam '!T$45,0)</f>
        <v>0</v>
      </c>
      <c r="U943" s="7">
        <f>IF($D943='[2]Beam '!U$44,$P943*'[2]Beam '!U$45,0)</f>
        <v>0</v>
      </c>
      <c r="V943" s="7">
        <f>IF($D943='[2]Beam '!V$44,$P943*'[2]Beam '!V$45,0)</f>
        <v>63.394006696428583</v>
      </c>
      <c r="W943" s="7">
        <f>IF($D943='[2]Beam '!W$44,$P943*'[2]Beam '!W$45,0)</f>
        <v>0</v>
      </c>
      <c r="X943" s="7">
        <f>SUM(Q943:W943)</f>
        <v>63.394006696428583</v>
      </c>
      <c r="Y943" s="7"/>
      <c r="Z943" s="7"/>
      <c r="AA943" s="7"/>
      <c r="AB943" s="7"/>
      <c r="AC943" s="7"/>
      <c r="AD943" s="7"/>
      <c r="AE943" s="7"/>
    </row>
    <row r="944" spans="1:32" s="9" customFormat="1" ht="20.100000000000001" customHeight="1" x14ac:dyDescent="0.25">
      <c r="A944" s="6"/>
      <c r="B944" s="10" t="s">
        <v>2</v>
      </c>
      <c r="C944" s="13" t="s">
        <v>46</v>
      </c>
      <c r="D944" s="7">
        <v>16</v>
      </c>
      <c r="E944" s="7"/>
      <c r="F944" s="7">
        <v>4</v>
      </c>
      <c r="G944" s="8">
        <f>VLOOKUP(D944,'[2]Beam '!$C$20:$H$26,3,0)</f>
        <v>0.625</v>
      </c>
      <c r="H944" s="8"/>
      <c r="I944" s="7"/>
      <c r="J944" s="7"/>
      <c r="K944" s="7"/>
      <c r="L944" s="7"/>
      <c r="M944" s="7"/>
      <c r="N944" s="7"/>
      <c r="O944" s="7">
        <f>(E942+2*(G944))*D942</f>
        <v>2.5389999999999997</v>
      </c>
      <c r="P944" s="7">
        <f>O944*F944</f>
        <v>10.155999999999999</v>
      </c>
      <c r="Q944" s="7">
        <f>IF($D944='[2]Beam '!Q$44,$P944*'[2]Beam '!Q$45,0)</f>
        <v>0</v>
      </c>
      <c r="R944" s="7">
        <f>IF($D944='[2]Beam '!R$44,$P944*'[2]Beam '!R$45,0)</f>
        <v>0</v>
      </c>
      <c r="S944" s="7">
        <f>IF($D944='[2]Beam '!S$44,$P944*'[2]Beam '!S$45,0)</f>
        <v>0</v>
      </c>
      <c r="T944" s="7">
        <f>IF($D944='[2]Beam '!T$44,$P944*'[2]Beam '!T$45,0)</f>
        <v>16.036033828571426</v>
      </c>
      <c r="U944" s="7">
        <f>IF($D944='[2]Beam '!U$44,$P944*'[2]Beam '!U$45,0)</f>
        <v>0</v>
      </c>
      <c r="V944" s="7">
        <f>IF($D944='[2]Beam '!V$44,$P944*'[2]Beam '!V$45,0)</f>
        <v>0</v>
      </c>
      <c r="W944" s="7">
        <f>IF($D944='[2]Beam '!W$44,$P944*'[2]Beam '!W$45,0)</f>
        <v>0</v>
      </c>
      <c r="X944" s="7">
        <f>SUM(Q944:W944)</f>
        <v>16.036033828571426</v>
      </c>
      <c r="Y944" s="7"/>
      <c r="Z944" s="7"/>
      <c r="AA944" s="7"/>
      <c r="AB944" s="7"/>
      <c r="AC944" s="7"/>
      <c r="AD944" s="7"/>
      <c r="AE944" s="7"/>
    </row>
    <row r="945" spans="1:32" s="9" customFormat="1" ht="20.100000000000001" customHeight="1" x14ac:dyDescent="0.25">
      <c r="A945" s="6"/>
      <c r="B945" s="10" t="s">
        <v>2</v>
      </c>
      <c r="C945" s="13" t="s">
        <v>6</v>
      </c>
      <c r="D945" s="7">
        <v>25</v>
      </c>
      <c r="E945" s="7"/>
      <c r="F945" s="7">
        <v>5</v>
      </c>
      <c r="G945" s="8">
        <f>VLOOKUP(D945,'[2]Beam '!$C$20:$H$26,3,0)</f>
        <v>1</v>
      </c>
      <c r="H945" s="7"/>
      <c r="I945" s="7"/>
      <c r="J945" s="7"/>
      <c r="K945" s="7"/>
      <c r="L945" s="7"/>
      <c r="M945" s="7"/>
      <c r="N945" s="7"/>
      <c r="O945" s="7">
        <f>(E942+2*(G945))*D942</f>
        <v>3.2889999999999997</v>
      </c>
      <c r="P945" s="7">
        <f>O945*F945</f>
        <v>16.445</v>
      </c>
      <c r="Q945" s="7">
        <f>IF($D945='[2]Beam '!Q$44,$P945*'[2]Beam '!Q$45,0)</f>
        <v>0</v>
      </c>
      <c r="R945" s="7">
        <f>IF($D945='[2]Beam '!R$44,$P945*'[2]Beam '!R$45,0)</f>
        <v>0</v>
      </c>
      <c r="S945" s="7">
        <f>IF($D945='[2]Beam '!S$44,$P945*'[2]Beam '!S$45,0)</f>
        <v>0</v>
      </c>
      <c r="T945" s="7">
        <f>IF($D945='[2]Beam '!T$44,$P945*'[2]Beam '!T$45,0)</f>
        <v>0</v>
      </c>
      <c r="U945" s="7">
        <f>IF($D945='[2]Beam '!U$44,$P945*'[2]Beam '!U$45,0)</f>
        <v>0</v>
      </c>
      <c r="V945" s="7">
        <f>IF($D945='[2]Beam '!V$44,$P945*'[2]Beam '!V$45,0)</f>
        <v>63.394006696428583</v>
      </c>
      <c r="W945" s="7">
        <f>IF($D945='[2]Beam '!W$44,$P945*'[2]Beam '!W$45,0)</f>
        <v>0</v>
      </c>
      <c r="X945" s="7">
        <f>SUM(Q945:W945)</f>
        <v>63.394006696428583</v>
      </c>
      <c r="Y945" s="7"/>
      <c r="Z945" s="7"/>
      <c r="AA945" s="7"/>
      <c r="AB945" s="7"/>
      <c r="AC945" s="7"/>
      <c r="AD945" s="7"/>
      <c r="AE945" s="7"/>
    </row>
    <row r="946" spans="1:32" s="9" customFormat="1" ht="21" customHeight="1" x14ac:dyDescent="0.25">
      <c r="A946" s="6"/>
      <c r="B946" s="10" t="s">
        <v>2</v>
      </c>
      <c r="C946" s="13" t="s">
        <v>26</v>
      </c>
      <c r="D946" s="7">
        <v>8</v>
      </c>
      <c r="E946" s="7">
        <v>0.1</v>
      </c>
      <c r="F946" s="7">
        <f>ROUNDUP(E942/E946,0)</f>
        <v>13</v>
      </c>
      <c r="H946" s="7"/>
      <c r="I946" s="7"/>
      <c r="J946" s="7"/>
      <c r="K946" s="7"/>
      <c r="L946" s="7"/>
      <c r="M946" s="7"/>
      <c r="N946" s="7"/>
      <c r="O946" s="7">
        <f>(2*((G942-(2*'[2]Beam '!$D$11))+(F942-(2*'[2]Beam '!$D$11)))+(2*10*D946/1000))*D942</f>
        <v>3.12</v>
      </c>
      <c r="P946" s="7">
        <f>O946*F946</f>
        <v>40.56</v>
      </c>
      <c r="Q946" s="7">
        <f>IF($D946='[2]Beam '!Q$44,$P946*'[2]Beam '!Q$45,0)</f>
        <v>16.010770285714287</v>
      </c>
      <c r="R946" s="7">
        <f>IF($D946='[2]Beam '!R$44,$P946*'[2]Beam '!R$45,0)</f>
        <v>0</v>
      </c>
      <c r="S946" s="7">
        <f>IF($D946='[2]Beam '!S$44,$P946*'[2]Beam '!S$45,0)</f>
        <v>0</v>
      </c>
      <c r="T946" s="7">
        <f>IF($D946='[2]Beam '!T$44,$P946*'[2]Beam '!T$45,0)</f>
        <v>0</v>
      </c>
      <c r="U946" s="7">
        <f>IF($D946='[2]Beam '!U$44,$P946*'[2]Beam '!U$45,0)</f>
        <v>0</v>
      </c>
      <c r="V946" s="7">
        <f>IF($D946='[2]Beam '!V$44,$P946*'[2]Beam '!V$45,0)</f>
        <v>0</v>
      </c>
      <c r="W946" s="7">
        <f>IF($D946='[2]Beam '!W$44,$P946*'[2]Beam '!W$45,0)</f>
        <v>0</v>
      </c>
      <c r="X946" s="7">
        <f>SUM(Q946:W946)</f>
        <v>16.010770285714287</v>
      </c>
      <c r="Y946" s="7"/>
      <c r="Z946" s="7"/>
      <c r="AA946" s="7"/>
      <c r="AB946" s="7"/>
      <c r="AC946" s="7"/>
      <c r="AD946" s="7"/>
      <c r="AE946" s="7"/>
      <c r="AF946" s="7"/>
    </row>
    <row r="947" spans="1:32" s="9" customFormat="1" ht="20.100000000000001" customHeight="1" x14ac:dyDescent="0.25">
      <c r="A947" s="6"/>
      <c r="B947" s="10" t="s">
        <v>2</v>
      </c>
      <c r="C947" s="13" t="s">
        <v>11</v>
      </c>
      <c r="D947" s="7">
        <f>+'[2]Beam '!$D$15</f>
        <v>25</v>
      </c>
      <c r="E947" s="7">
        <f>+'[2]Beam '!$E$15</f>
        <v>1</v>
      </c>
      <c r="F947" s="7">
        <f>ROUNDUP((E942)/E947,0)</f>
        <v>2</v>
      </c>
      <c r="G947" s="8"/>
      <c r="H947" s="8"/>
      <c r="I947" s="7"/>
      <c r="J947" s="7"/>
      <c r="K947" s="7"/>
      <c r="L947" s="7"/>
      <c r="M947" s="7"/>
      <c r="N947" s="7"/>
      <c r="O947" s="7">
        <f>F942-'[2]Beam '!$F$15</f>
        <v>0.44</v>
      </c>
      <c r="P947" s="7">
        <f>O947*F947</f>
        <v>0.88</v>
      </c>
      <c r="Q947" s="7">
        <f>IF($D947='[2]Beam '!Q$44,$P947*'[2]Beam '!Q$45,0)</f>
        <v>0</v>
      </c>
      <c r="R947" s="7">
        <f>IF($D947='[2]Beam '!R$44,$P947*'[2]Beam '!R$45,0)</f>
        <v>0</v>
      </c>
      <c r="S947" s="7">
        <f>IF($D947='[2]Beam '!S$44,$P947*'[2]Beam '!S$45,0)</f>
        <v>0</v>
      </c>
      <c r="T947" s="7">
        <f>IF($D947='[2]Beam '!T$44,$P947*'[2]Beam '!T$45,0)</f>
        <v>0</v>
      </c>
      <c r="U947" s="7">
        <f>IF($D947='[2]Beam '!U$44,$P947*'[2]Beam '!U$45,0)</f>
        <v>0</v>
      </c>
      <c r="V947" s="7">
        <f>IF($D947='[2]Beam '!V$44,$P947*'[2]Beam '!V$45,0)</f>
        <v>3.3923214285714289</v>
      </c>
      <c r="W947" s="7">
        <f>IF($D947='[2]Beam '!W$44,$P947*'[2]Beam '!W$45,0)</f>
        <v>0</v>
      </c>
      <c r="X947" s="7">
        <f>SUM(Q947:W947)</f>
        <v>3.3923214285714289</v>
      </c>
      <c r="Y947" s="7"/>
      <c r="Z947" s="7"/>
      <c r="AA947" s="7"/>
      <c r="AB947" s="7"/>
      <c r="AC947" s="7"/>
      <c r="AD947" s="7"/>
      <c r="AE947" s="7"/>
    </row>
    <row r="948" spans="1:32" s="9" customFormat="1" ht="20.100000000000001" customHeight="1" x14ac:dyDescent="0.25">
      <c r="A948" s="7">
        <v>1</v>
      </c>
      <c r="B948" s="10" t="s">
        <v>2</v>
      </c>
      <c r="C948" s="11" t="s">
        <v>145</v>
      </c>
      <c r="D948" s="11">
        <v>1</v>
      </c>
      <c r="E948" s="11">
        <v>2.4</v>
      </c>
      <c r="F948" s="11">
        <v>0.4</v>
      </c>
      <c r="G948" s="11">
        <v>0.6</v>
      </c>
      <c r="H948" s="7">
        <f>G948-0.2</f>
        <v>0.39999999999999997</v>
      </c>
      <c r="I948" s="7">
        <f>E948*F948*G948*D948</f>
        <v>0.57599999999999996</v>
      </c>
      <c r="J948" s="7">
        <f>(2*(E948)*H948*D948)+(E948*F948)</f>
        <v>2.88</v>
      </c>
      <c r="K948" s="12">
        <f>IF(E948=0.3,J948,0)</f>
        <v>0</v>
      </c>
      <c r="L948" s="12">
        <f>IF(AND(E948&gt;0.3,E948&lt;=0.75),J948,0)</f>
        <v>0</v>
      </c>
      <c r="M948" s="12">
        <f>IF(AND(E948&gt;0.75,E948&lt;=1.2),J948,0)</f>
        <v>0</v>
      </c>
      <c r="N948" s="12">
        <f>IF(E948&gt;1.2,J948,0)</f>
        <v>2.88</v>
      </c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>
        <f>SUM(X949:X951)/I948</f>
        <v>95.248161904761929</v>
      </c>
      <c r="Z948" s="7"/>
      <c r="AA948" s="7"/>
      <c r="AB948" s="7"/>
      <c r="AC948" s="7"/>
      <c r="AD948" s="7"/>
      <c r="AE948" s="7"/>
    </row>
    <row r="949" spans="1:32" s="9" customFormat="1" ht="20.100000000000001" customHeight="1" x14ac:dyDescent="0.25">
      <c r="A949" s="6"/>
      <c r="B949" s="10" t="s">
        <v>2</v>
      </c>
      <c r="C949" s="13" t="s">
        <v>4</v>
      </c>
      <c r="D949" s="7">
        <v>12</v>
      </c>
      <c r="E949" s="7"/>
      <c r="F949" s="7">
        <v>4</v>
      </c>
      <c r="G949" s="8">
        <f>VLOOKUP(D949,'[2]Beam '!$C$20:$H$26,3,0)</f>
        <v>0.47499999999999998</v>
      </c>
      <c r="H949" s="8"/>
      <c r="I949" s="7"/>
      <c r="J949" s="7"/>
      <c r="K949" s="7"/>
      <c r="L949" s="7"/>
      <c r="M949" s="7"/>
      <c r="N949" s="7"/>
      <c r="O949" s="7">
        <f>(E948+2*(G949+(12*D949/1000)))*D948</f>
        <v>3.6379999999999999</v>
      </c>
      <c r="P949" s="7">
        <f>O949*F949</f>
        <v>14.552</v>
      </c>
      <c r="Q949" s="7">
        <f>IF($D949='[2]Beam '!Q$44,$P949*'[2]Beam '!Q$45,0)</f>
        <v>0</v>
      </c>
      <c r="R949" s="7">
        <f>IF($D949='[2]Beam '!R$44,$P949*'[2]Beam '!R$45,0)</f>
        <v>0</v>
      </c>
      <c r="S949" s="7">
        <f>IF($D949='[2]Beam '!S$44,$P949*'[2]Beam '!S$45,0)</f>
        <v>12.92467062857143</v>
      </c>
      <c r="T949" s="7">
        <f>IF($D949='[2]Beam '!T$44,$P949*'[2]Beam '!T$45,0)</f>
        <v>0</v>
      </c>
      <c r="U949" s="7">
        <f>IF($D949='[2]Beam '!U$44,$P949*'[2]Beam '!U$45,0)</f>
        <v>0</v>
      </c>
      <c r="V949" s="7">
        <f>IF($D949='[2]Beam '!V$44,$P949*'[2]Beam '!V$45,0)</f>
        <v>0</v>
      </c>
      <c r="W949" s="7">
        <f>IF($D949='[2]Beam '!W$44,$P949*'[2]Beam '!W$45,0)</f>
        <v>0</v>
      </c>
      <c r="X949" s="7">
        <f>SUM(Q949:W949)</f>
        <v>12.92467062857143</v>
      </c>
      <c r="Y949" s="7"/>
      <c r="Z949" s="7"/>
      <c r="AA949" s="7"/>
      <c r="AB949" s="7"/>
      <c r="AC949" s="7"/>
      <c r="AD949" s="7"/>
      <c r="AE949" s="7"/>
    </row>
    <row r="950" spans="1:32" s="9" customFormat="1" ht="21" customHeight="1" x14ac:dyDescent="0.25">
      <c r="A950" s="6"/>
      <c r="B950" s="10" t="s">
        <v>2</v>
      </c>
      <c r="C950" s="13" t="s">
        <v>6</v>
      </c>
      <c r="D950" s="7">
        <v>12</v>
      </c>
      <c r="E950" s="7"/>
      <c r="F950" s="7">
        <v>4</v>
      </c>
      <c r="G950" s="8">
        <f>VLOOKUP(D950,'[2]Beam '!$C$20:$H$26,3,0)</f>
        <v>0.47499999999999998</v>
      </c>
      <c r="H950" s="7"/>
      <c r="I950" s="7"/>
      <c r="J950" s="7"/>
      <c r="K950" s="7"/>
      <c r="L950" s="7"/>
      <c r="M950" s="7"/>
      <c r="N950" s="7"/>
      <c r="O950" s="7">
        <f>(E948+2*(G950+(12*D950/1000)))*D948</f>
        <v>3.6379999999999999</v>
      </c>
      <c r="P950" s="7">
        <f>O950*F950</f>
        <v>14.552</v>
      </c>
      <c r="Q950" s="7">
        <f>IF($D950='[2]Beam '!Q$44,$P950*'[2]Beam '!Q$45,0)</f>
        <v>0</v>
      </c>
      <c r="R950" s="7">
        <f>IF($D950='[2]Beam '!R$44,$P950*'[2]Beam '!R$45,0)</f>
        <v>0</v>
      </c>
      <c r="S950" s="7">
        <f>IF($D950='[2]Beam '!S$44,$P950*'[2]Beam '!S$45,0)</f>
        <v>12.92467062857143</v>
      </c>
      <c r="T950" s="7">
        <f>IF($D950='[2]Beam '!T$44,$P950*'[2]Beam '!T$45,0)</f>
        <v>0</v>
      </c>
      <c r="U950" s="7">
        <f>IF($D950='[2]Beam '!U$44,$P950*'[2]Beam '!U$45,0)</f>
        <v>0</v>
      </c>
      <c r="V950" s="7">
        <f>IF($D950='[2]Beam '!V$44,$P950*'[2]Beam '!V$45,0)</f>
        <v>0</v>
      </c>
      <c r="W950" s="7">
        <f>IF($D950='[2]Beam '!W$44,$P950*'[2]Beam '!W$45,0)</f>
        <v>0</v>
      </c>
      <c r="X950" s="7">
        <f>SUM(Q950:W950)</f>
        <v>12.92467062857143</v>
      </c>
      <c r="Y950" s="7"/>
      <c r="Z950" s="7"/>
      <c r="AA950" s="7"/>
      <c r="AB950" s="7"/>
      <c r="AC950" s="7"/>
      <c r="AD950" s="7"/>
      <c r="AE950" s="7"/>
      <c r="AF950" s="7"/>
    </row>
    <row r="951" spans="1:32" s="9" customFormat="1" ht="20.100000000000001" customHeight="1" x14ac:dyDescent="0.25">
      <c r="A951" s="6"/>
      <c r="B951" s="10" t="s">
        <v>2</v>
      </c>
      <c r="C951" s="13" t="s">
        <v>26</v>
      </c>
      <c r="D951" s="7">
        <v>10</v>
      </c>
      <c r="E951" s="7">
        <v>0.1</v>
      </c>
      <c r="F951" s="7">
        <f>ROUNDUP(E948/E951,0)</f>
        <v>24</v>
      </c>
      <c r="H951" s="7"/>
      <c r="I951" s="7"/>
      <c r="J951" s="7"/>
      <c r="K951" s="7"/>
      <c r="L951" s="7"/>
      <c r="M951" s="7"/>
      <c r="N951" s="7"/>
      <c r="O951" s="7">
        <f>(2*((G948-(2*'[2]Beam '!$D$11))+(F948-(2*'[2]Beam '!$D$11)))+(2*10*D951/1000))*D948</f>
        <v>1.9600000000000002</v>
      </c>
      <c r="P951" s="7">
        <f>O951*F951</f>
        <v>47.040000000000006</v>
      </c>
      <c r="Q951" s="7">
        <f>IF($D951='[2]Beam '!Q$44,$P951*'[2]Beam '!Q$45,0)</f>
        <v>0</v>
      </c>
      <c r="R951" s="7">
        <f>IF($D951='[2]Beam '!R$44,$P951*'[2]Beam '!R$45,0)</f>
        <v>29.013600000000004</v>
      </c>
      <c r="S951" s="7">
        <f>IF($D951='[2]Beam '!S$44,$P951*'[2]Beam '!S$45,0)</f>
        <v>0</v>
      </c>
      <c r="T951" s="7">
        <f>IF($D951='[2]Beam '!T$44,$P951*'[2]Beam '!T$45,0)</f>
        <v>0</v>
      </c>
      <c r="U951" s="7">
        <f>IF($D951='[2]Beam '!U$44,$P951*'[2]Beam '!U$45,0)</f>
        <v>0</v>
      </c>
      <c r="V951" s="7">
        <f>IF($D951='[2]Beam '!V$44,$P951*'[2]Beam '!V$45,0)</f>
        <v>0</v>
      </c>
      <c r="W951" s="7">
        <f>IF($D951='[2]Beam '!W$44,$P951*'[2]Beam '!W$45,0)</f>
        <v>0</v>
      </c>
      <c r="X951" s="7">
        <f>SUM(Q951:W951)</f>
        <v>29.013600000000004</v>
      </c>
      <c r="Y951" s="7"/>
      <c r="Z951" s="7"/>
      <c r="AA951" s="7"/>
      <c r="AB951" s="7"/>
      <c r="AC951" s="7"/>
      <c r="AD951" s="7"/>
      <c r="AE951" s="7"/>
    </row>
    <row r="952" spans="1:32" s="9" customFormat="1" ht="20.100000000000001" customHeight="1" x14ac:dyDescent="0.25">
      <c r="A952" s="7">
        <v>1</v>
      </c>
      <c r="B952" s="10" t="s">
        <v>2</v>
      </c>
      <c r="C952" s="11" t="s">
        <v>146</v>
      </c>
      <c r="D952" s="11">
        <v>1</v>
      </c>
      <c r="E952" s="11">
        <v>1.4</v>
      </c>
      <c r="F952" s="11">
        <v>0.4</v>
      </c>
      <c r="G952" s="11">
        <v>1.1000000000000001</v>
      </c>
      <c r="H952" s="7">
        <f>G952-0.2</f>
        <v>0.90000000000000013</v>
      </c>
      <c r="I952" s="7">
        <f>E952*F952*G952*D952</f>
        <v>0.61599999999999999</v>
      </c>
      <c r="J952" s="7">
        <f>(2*(E952)*H952*D952)+(E952*F952)</f>
        <v>3.08</v>
      </c>
      <c r="K952" s="12">
        <f>IF(E952=0.3,J952,0)</f>
        <v>0</v>
      </c>
      <c r="L952" s="12">
        <f>IF(AND(E952&gt;0.3,E952&lt;=0.75),J952,0)</f>
        <v>0</v>
      </c>
      <c r="M952" s="12">
        <f>IF(AND(E952&gt;0.75,E952&lt;=1.2),J952,0)</f>
        <v>0</v>
      </c>
      <c r="N952" s="12">
        <f>IF(E952&gt;1.2,J952,0)</f>
        <v>3.08</v>
      </c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>
        <f>SUM(X953:X957)/I952</f>
        <v>192.10471938775513</v>
      </c>
      <c r="Z952" s="7"/>
      <c r="AA952" s="7"/>
      <c r="AB952" s="7"/>
      <c r="AC952" s="7"/>
      <c r="AD952" s="7"/>
      <c r="AE952" s="7"/>
    </row>
    <row r="953" spans="1:32" s="9" customFormat="1" ht="20.100000000000001" customHeight="1" x14ac:dyDescent="0.25">
      <c r="A953" s="6"/>
      <c r="B953" s="10" t="s">
        <v>2</v>
      </c>
      <c r="C953" s="13" t="s">
        <v>4</v>
      </c>
      <c r="D953" s="7">
        <v>25</v>
      </c>
      <c r="E953" s="7"/>
      <c r="F953" s="7">
        <v>2</v>
      </c>
      <c r="G953" s="8">
        <f>VLOOKUP(D953,'[2]Beam '!$C$20:$H$26,3,0)</f>
        <v>1</v>
      </c>
      <c r="H953" s="8"/>
      <c r="I953" s="7"/>
      <c r="J953" s="7"/>
      <c r="K953" s="7"/>
      <c r="L953" s="7"/>
      <c r="M953" s="7"/>
      <c r="N953" s="7"/>
      <c r="O953" s="7">
        <f>(E952+1*(G953+(12*D953/1000)))+1*(G953)*D952</f>
        <v>3.7</v>
      </c>
      <c r="P953" s="7">
        <f t="shared" ref="P953:P960" si="167">O953*F953</f>
        <v>7.4</v>
      </c>
      <c r="Q953" s="7">
        <f>IF($D953='[2]Beam '!Q$44,$P953*'[2]Beam '!Q$45,0)</f>
        <v>0</v>
      </c>
      <c r="R953" s="7">
        <f>IF($D953='[2]Beam '!R$44,$P953*'[2]Beam '!R$45,0)</f>
        <v>0</v>
      </c>
      <c r="S953" s="7">
        <f>IF($D953='[2]Beam '!S$44,$P953*'[2]Beam '!S$45,0)</f>
        <v>0</v>
      </c>
      <c r="T953" s="7">
        <f>IF($D953='[2]Beam '!T$44,$P953*'[2]Beam '!T$45,0)</f>
        <v>0</v>
      </c>
      <c r="U953" s="7">
        <f>IF($D953='[2]Beam '!U$44,$P953*'[2]Beam '!U$45,0)</f>
        <v>0</v>
      </c>
      <c r="V953" s="7">
        <f>IF($D953='[2]Beam '!V$44,$P953*'[2]Beam '!V$45,0)</f>
        <v>28.52633928571429</v>
      </c>
      <c r="W953" s="7">
        <f>IF($D953='[2]Beam '!W$44,$P953*'[2]Beam '!W$45,0)</f>
        <v>0</v>
      </c>
      <c r="X953" s="7">
        <f t="shared" ref="X953:X960" si="168">SUM(Q953:W953)</f>
        <v>28.52633928571429</v>
      </c>
      <c r="Y953" s="7"/>
      <c r="Z953" s="7"/>
      <c r="AA953" s="7"/>
      <c r="AB953" s="7"/>
      <c r="AC953" s="7"/>
      <c r="AD953" s="7"/>
      <c r="AE953" s="7"/>
    </row>
    <row r="954" spans="1:32" s="9" customFormat="1" ht="20.100000000000001" customHeight="1" x14ac:dyDescent="0.25">
      <c r="A954" s="6"/>
      <c r="B954" s="10" t="s">
        <v>2</v>
      </c>
      <c r="C954" s="13" t="s">
        <v>4</v>
      </c>
      <c r="D954" s="7">
        <v>20</v>
      </c>
      <c r="E954" s="7"/>
      <c r="F954" s="7">
        <v>2</v>
      </c>
      <c r="G954" s="8">
        <f>VLOOKUP(D954,'[2]Beam '!$C$20:$H$26,3,0)</f>
        <v>0.8</v>
      </c>
      <c r="H954" s="8"/>
      <c r="I954" s="7"/>
      <c r="J954" s="7"/>
      <c r="K954" s="7"/>
      <c r="L954" s="7"/>
      <c r="M954" s="7"/>
      <c r="N954" s="7"/>
      <c r="O954" s="7">
        <f>(E952+1*(G954+(12*D954/1000)))+1*(G954)*D952</f>
        <v>3.24</v>
      </c>
      <c r="P954" s="7">
        <f t="shared" si="167"/>
        <v>6.48</v>
      </c>
      <c r="Q954" s="7">
        <f>IF($D954='[2]Beam '!Q$44,$P954*'[2]Beam '!Q$45,0)</f>
        <v>0</v>
      </c>
      <c r="R954" s="7">
        <f>IF($D954='[2]Beam '!R$44,$P954*'[2]Beam '!R$45,0)</f>
        <v>0</v>
      </c>
      <c r="S954" s="7">
        <f>IF($D954='[2]Beam '!S$44,$P954*'[2]Beam '!S$45,0)</f>
        <v>0</v>
      </c>
      <c r="T954" s="7">
        <f>IF($D954='[2]Beam '!T$44,$P954*'[2]Beam '!T$45,0)</f>
        <v>0</v>
      </c>
      <c r="U954" s="7">
        <f>IF($D954='[2]Beam '!U$44,$P954*'[2]Beam '!U$45,0)</f>
        <v>15.987085714285715</v>
      </c>
      <c r="V954" s="7">
        <f>IF($D954='[2]Beam '!V$44,$P954*'[2]Beam '!V$45,0)</f>
        <v>0</v>
      </c>
      <c r="W954" s="7">
        <f>IF($D954='[2]Beam '!W$44,$P954*'[2]Beam '!W$45,0)</f>
        <v>0</v>
      </c>
      <c r="X954" s="7">
        <f t="shared" si="168"/>
        <v>15.987085714285715</v>
      </c>
      <c r="Y954" s="7"/>
      <c r="Z954" s="7"/>
      <c r="AA954" s="7"/>
      <c r="AB954" s="7"/>
      <c r="AC954" s="7"/>
      <c r="AD954" s="7"/>
      <c r="AE954" s="7"/>
    </row>
    <row r="955" spans="1:32" s="9" customFormat="1" ht="20.100000000000001" customHeight="1" x14ac:dyDescent="0.25">
      <c r="A955" s="6"/>
      <c r="B955" s="10" t="s">
        <v>2</v>
      </c>
      <c r="C955" s="13" t="s">
        <v>6</v>
      </c>
      <c r="D955" s="7">
        <v>25</v>
      </c>
      <c r="E955" s="7"/>
      <c r="F955" s="7">
        <v>2</v>
      </c>
      <c r="G955" s="8">
        <f>VLOOKUP(D955,'[2]Beam '!$C$20:$H$26,3,0)</f>
        <v>1</v>
      </c>
      <c r="H955" s="7"/>
      <c r="I955" s="7"/>
      <c r="J955" s="7"/>
      <c r="K955" s="7"/>
      <c r="L955" s="7"/>
      <c r="M955" s="7"/>
      <c r="N955" s="7"/>
      <c r="O955" s="7">
        <f>(E952+1*(G955+(12*D955/1000))+1*(G955))*D952</f>
        <v>3.7</v>
      </c>
      <c r="P955" s="7">
        <f t="shared" si="167"/>
        <v>7.4</v>
      </c>
      <c r="Q955" s="7">
        <f>IF($D955='[2]Beam '!Q$44,$P955*'[2]Beam '!Q$45,0)</f>
        <v>0</v>
      </c>
      <c r="R955" s="7">
        <f>IF($D955='[2]Beam '!R$44,$P955*'[2]Beam '!R$45,0)</f>
        <v>0</v>
      </c>
      <c r="S955" s="7">
        <f>IF($D955='[2]Beam '!S$44,$P955*'[2]Beam '!S$45,0)</f>
        <v>0</v>
      </c>
      <c r="T955" s="7">
        <f>IF($D955='[2]Beam '!T$44,$P955*'[2]Beam '!T$45,0)</f>
        <v>0</v>
      </c>
      <c r="U955" s="7">
        <f>IF($D955='[2]Beam '!U$44,$P955*'[2]Beam '!U$45,0)</f>
        <v>0</v>
      </c>
      <c r="V955" s="7">
        <f>IF($D955='[2]Beam '!V$44,$P955*'[2]Beam '!V$45,0)</f>
        <v>28.52633928571429</v>
      </c>
      <c r="W955" s="7">
        <f>IF($D955='[2]Beam '!W$44,$P955*'[2]Beam '!W$45,0)</f>
        <v>0</v>
      </c>
      <c r="X955" s="7">
        <f t="shared" si="168"/>
        <v>28.52633928571429</v>
      </c>
      <c r="Y955" s="7"/>
      <c r="Z955" s="7"/>
      <c r="AA955" s="7"/>
      <c r="AB955" s="7"/>
      <c r="AC955" s="7"/>
      <c r="AD955" s="7"/>
      <c r="AE955" s="7"/>
    </row>
    <row r="956" spans="1:32" s="14" customFormat="1" ht="20.100000000000001" customHeight="1" x14ac:dyDescent="0.3">
      <c r="A956" s="6"/>
      <c r="B956" s="10" t="s">
        <v>2</v>
      </c>
      <c r="C956" s="13" t="s">
        <v>6</v>
      </c>
      <c r="D956" s="7">
        <v>20</v>
      </c>
      <c r="E956" s="7"/>
      <c r="F956" s="7">
        <v>2</v>
      </c>
      <c r="G956" s="8">
        <f>VLOOKUP(D956,'[2]Beam '!$C$20:$H$26,3,0)</f>
        <v>0.8</v>
      </c>
      <c r="H956" s="7"/>
      <c r="I956" s="7"/>
      <c r="J956" s="7"/>
      <c r="K956" s="7"/>
      <c r="L956" s="7"/>
      <c r="M956" s="7"/>
      <c r="N956" s="7"/>
      <c r="O956" s="7">
        <f>(E952+1*(G956+(12*D956/1000))+1*(G956))*D952</f>
        <v>3.24</v>
      </c>
      <c r="P956" s="7">
        <f t="shared" si="167"/>
        <v>6.48</v>
      </c>
      <c r="Q956" s="7">
        <f>IF($D956='[2]Beam '!Q$44,$P956*'[2]Beam '!Q$45,0)</f>
        <v>0</v>
      </c>
      <c r="R956" s="7">
        <f>IF($D956='[2]Beam '!R$44,$P956*'[2]Beam '!R$45,0)</f>
        <v>0</v>
      </c>
      <c r="S956" s="7">
        <f>IF($D956='[2]Beam '!S$44,$P956*'[2]Beam '!S$45,0)</f>
        <v>0</v>
      </c>
      <c r="T956" s="7">
        <f>IF($D956='[2]Beam '!T$44,$P956*'[2]Beam '!T$45,0)</f>
        <v>0</v>
      </c>
      <c r="U956" s="7">
        <f>IF($D956='[2]Beam '!U$44,$P956*'[2]Beam '!U$45,0)</f>
        <v>15.987085714285715</v>
      </c>
      <c r="V956" s="7">
        <f>IF($D956='[2]Beam '!V$44,$P956*'[2]Beam '!V$45,0)</f>
        <v>0</v>
      </c>
      <c r="W956" s="7">
        <f>IF($D956='[2]Beam '!W$44,$P956*'[2]Beam '!W$45,0)</f>
        <v>0</v>
      </c>
      <c r="X956" s="7">
        <f t="shared" si="168"/>
        <v>15.987085714285715</v>
      </c>
      <c r="Y956" s="7"/>
    </row>
    <row r="957" spans="1:32" s="14" customFormat="1" ht="20.100000000000001" customHeight="1" x14ac:dyDescent="0.25">
      <c r="A957" s="6"/>
      <c r="B957" s="10" t="s">
        <v>2</v>
      </c>
      <c r="C957" s="13" t="s">
        <v>7</v>
      </c>
      <c r="D957" s="7">
        <v>12</v>
      </c>
      <c r="E957" s="7">
        <v>0.1</v>
      </c>
      <c r="F957" s="7">
        <f>ROUNDUP((E952/3*2)/E957,0)+1</f>
        <v>11</v>
      </c>
      <c r="G957" s="9"/>
      <c r="H957" s="7"/>
      <c r="I957" s="7"/>
      <c r="J957" s="7"/>
      <c r="K957" s="7"/>
      <c r="L957" s="7"/>
      <c r="M957" s="7"/>
      <c r="N957" s="7"/>
      <c r="O957" s="7">
        <f>(2*((G952-(2*'[2]Beam '!$D$11))+(F952-(2*'[2]Beam '!$D$11)))+(2*10*D957/1000))*D952</f>
        <v>3</v>
      </c>
      <c r="P957" s="7">
        <f t="shared" si="167"/>
        <v>33</v>
      </c>
      <c r="Q957" s="7">
        <f>IF($D957='[2]Beam '!Q$44,$P957*'[2]Beam '!Q$45,0)</f>
        <v>0</v>
      </c>
      <c r="R957" s="7">
        <f>IF($D957='[2]Beam '!R$44,$P957*'[2]Beam '!R$45,0)</f>
        <v>0</v>
      </c>
      <c r="S957" s="7">
        <f>IF($D957='[2]Beam '!S$44,$P957*'[2]Beam '!S$45,0)</f>
        <v>29.309657142857148</v>
      </c>
      <c r="T957" s="7">
        <f>IF($D957='[2]Beam '!T$44,$P957*'[2]Beam '!T$45,0)</f>
        <v>0</v>
      </c>
      <c r="U957" s="7">
        <f>IF($D957='[2]Beam '!U$44,$P957*'[2]Beam '!U$45,0)</f>
        <v>0</v>
      </c>
      <c r="V957" s="7">
        <f>IF($D957='[2]Beam '!V$44,$P957*'[2]Beam '!V$45,0)</f>
        <v>0</v>
      </c>
      <c r="W957" s="7">
        <f>IF($D957='[2]Beam '!W$44,$P957*'[2]Beam '!W$45,0)</f>
        <v>0</v>
      </c>
      <c r="X957" s="7">
        <f t="shared" si="168"/>
        <v>29.309657142857148</v>
      </c>
      <c r="Y957" s="7"/>
    </row>
    <row r="958" spans="1:32" s="14" customFormat="1" ht="20.100000000000001" customHeight="1" x14ac:dyDescent="0.25">
      <c r="B958" s="10" t="s">
        <v>2</v>
      </c>
      <c r="C958" s="13" t="s">
        <v>8</v>
      </c>
      <c r="D958" s="14">
        <f>D957</f>
        <v>12</v>
      </c>
      <c r="E958" s="14">
        <v>0.125</v>
      </c>
      <c r="F958" s="7">
        <f>ROUNDUP((E952/3)/E958,0)+1</f>
        <v>5</v>
      </c>
      <c r="G958" s="9"/>
      <c r="O958" s="7">
        <f>(2*((G952-(2*'[2]Beam '!$D$11))+(F952-(2*'[2]Beam '!$D$11)))+(2*10*D958/1000))*D952</f>
        <v>3</v>
      </c>
      <c r="P958" s="7">
        <f t="shared" si="167"/>
        <v>15</v>
      </c>
      <c r="Q958" s="7">
        <f>IF($D958='[2]Beam '!Q$44,$P958*'[2]Beam '!Q$45,0)</f>
        <v>0</v>
      </c>
      <c r="R958" s="7">
        <f>IF($D958='[2]Beam '!R$44,$P958*'[2]Beam '!R$45,0)</f>
        <v>0</v>
      </c>
      <c r="S958" s="7">
        <f>IF($D958='[2]Beam '!S$44,$P958*'[2]Beam '!S$45,0)</f>
        <v>13.322571428571431</v>
      </c>
      <c r="T958" s="7">
        <f>IF($D958='[2]Beam '!T$44,$P958*'[2]Beam '!T$45,0)</f>
        <v>0</v>
      </c>
      <c r="U958" s="7">
        <f>IF($D958='[2]Beam '!U$44,$P958*'[2]Beam '!U$45,0)</f>
        <v>0</v>
      </c>
      <c r="V958" s="7">
        <f>IF($D958='[2]Beam '!V$44,$P958*'[2]Beam '!V$45,0)</f>
        <v>0</v>
      </c>
      <c r="W958" s="7">
        <f>IF($D958='[2]Beam '!W$44,$P958*'[2]Beam '!W$45,0)</f>
        <v>0</v>
      </c>
      <c r="X958" s="7">
        <f t="shared" si="168"/>
        <v>13.322571428571431</v>
      </c>
    </row>
    <row r="959" spans="1:32" s="9" customFormat="1" ht="21" customHeight="1" x14ac:dyDescent="0.25">
      <c r="A959" s="14"/>
      <c r="B959" s="10" t="s">
        <v>2</v>
      </c>
      <c r="C959" s="13" t="s">
        <v>9</v>
      </c>
      <c r="D959" s="14">
        <f>D957</f>
        <v>12</v>
      </c>
      <c r="E959" s="14">
        <f>+E957</f>
        <v>0.1</v>
      </c>
      <c r="F959" s="7">
        <f>ROUNDUP((E952/3*2)/E959,0)+1</f>
        <v>11</v>
      </c>
      <c r="H959" s="14"/>
      <c r="I959" s="14"/>
      <c r="J959" s="14"/>
      <c r="K959" s="14"/>
      <c r="L959" s="14"/>
      <c r="M959" s="14"/>
      <c r="N959" s="14"/>
      <c r="O959" s="7">
        <f>(2*(((F952-'[2]Beam '!$D$11*2)/(F953+F954-1))+(G952-'[2]Beam '!$D$11*2))+(2*10*D959/1000))*D952</f>
        <v>2.5466666666666669</v>
      </c>
      <c r="P959" s="7">
        <f t="shared" si="167"/>
        <v>28.013333333333335</v>
      </c>
      <c r="Q959" s="7">
        <f>IF($D959='[2]Beam '!Q$44,$P959*'[2]Beam '!Q$45,0)</f>
        <v>0</v>
      </c>
      <c r="R959" s="7">
        <f>IF($D959='[2]Beam '!R$44,$P959*'[2]Beam '!R$45,0)</f>
        <v>0</v>
      </c>
      <c r="S959" s="7">
        <f>IF($D959='[2]Beam '!S$44,$P959*'[2]Beam '!S$45,0)</f>
        <v>24.880642285714291</v>
      </c>
      <c r="T959" s="7">
        <f>IF($D959='[2]Beam '!T$44,$P959*'[2]Beam '!T$45,0)</f>
        <v>0</v>
      </c>
      <c r="U959" s="7">
        <f>IF($D959='[2]Beam '!U$44,$P959*'[2]Beam '!U$45,0)</f>
        <v>0</v>
      </c>
      <c r="V959" s="7">
        <f>IF($D959='[2]Beam '!V$44,$P959*'[2]Beam '!V$45,0)</f>
        <v>0</v>
      </c>
      <c r="W959" s="7">
        <f>IF($D959='[2]Beam '!W$44,$P959*'[2]Beam '!W$45,0)</f>
        <v>0</v>
      </c>
      <c r="X959" s="7">
        <f t="shared" si="168"/>
        <v>24.880642285714291</v>
      </c>
      <c r="Y959" s="14"/>
      <c r="Z959" s="7"/>
      <c r="AA959" s="7"/>
      <c r="AB959" s="7"/>
      <c r="AC959" s="7"/>
      <c r="AD959" s="7"/>
      <c r="AE959" s="7"/>
      <c r="AF959" s="7"/>
    </row>
    <row r="960" spans="1:32" s="9" customFormat="1" ht="20.100000000000001" customHeight="1" x14ac:dyDescent="0.25">
      <c r="A960" s="14"/>
      <c r="B960" s="10" t="s">
        <v>2</v>
      </c>
      <c r="C960" s="13" t="s">
        <v>10</v>
      </c>
      <c r="D960" s="14">
        <f>D958</f>
        <v>12</v>
      </c>
      <c r="E960" s="14">
        <f>+E958</f>
        <v>0.125</v>
      </c>
      <c r="F960" s="7">
        <f>ROUNDUP((E952/3)/E960,0)+1</f>
        <v>5</v>
      </c>
      <c r="H960" s="14"/>
      <c r="I960" s="14"/>
      <c r="J960" s="14"/>
      <c r="K960" s="14"/>
      <c r="L960" s="14"/>
      <c r="M960" s="14"/>
      <c r="N960" s="14"/>
      <c r="O960" s="7">
        <f>(2*(((F952-'[2]Beam '!$D$11*2)/(F953+F954-1))+(G952-'[2]Beam '!$D$11*2))+(2*10*D960/1000))*D952</f>
        <v>2.5466666666666669</v>
      </c>
      <c r="P960" s="7">
        <f t="shared" si="167"/>
        <v>12.733333333333334</v>
      </c>
      <c r="Q960" s="7">
        <f>IF($D960='[2]Beam '!Q$44,$P960*'[2]Beam '!Q$45,0)</f>
        <v>0</v>
      </c>
      <c r="R960" s="7">
        <f>IF($D960='[2]Beam '!R$44,$P960*'[2]Beam '!R$45,0)</f>
        <v>0</v>
      </c>
      <c r="S960" s="7">
        <f>IF($D960='[2]Beam '!S$44,$P960*'[2]Beam '!S$45,0)</f>
        <v>11.309382857142859</v>
      </c>
      <c r="T960" s="7">
        <f>IF($D960='[2]Beam '!T$44,$P960*'[2]Beam '!T$45,0)</f>
        <v>0</v>
      </c>
      <c r="U960" s="7">
        <f>IF($D960='[2]Beam '!U$44,$P960*'[2]Beam '!U$45,0)</f>
        <v>0</v>
      </c>
      <c r="V960" s="7">
        <f>IF($D960='[2]Beam '!V$44,$P960*'[2]Beam '!V$45,0)</f>
        <v>0</v>
      </c>
      <c r="W960" s="7">
        <f>IF($D960='[2]Beam '!W$44,$P960*'[2]Beam '!W$45,0)</f>
        <v>0</v>
      </c>
      <c r="X960" s="7">
        <f t="shared" si="168"/>
        <v>11.309382857142859</v>
      </c>
      <c r="Y960" s="14"/>
      <c r="Z960" s="7"/>
      <c r="AA960" s="7"/>
      <c r="AB960" s="7"/>
      <c r="AC960" s="7"/>
      <c r="AD960" s="7"/>
      <c r="AE960" s="7"/>
    </row>
    <row r="961" spans="1:32" s="9" customFormat="1" ht="20.100000000000001" customHeight="1" x14ac:dyDescent="0.25">
      <c r="A961" s="7">
        <v>1</v>
      </c>
      <c r="B961" s="10" t="s">
        <v>2</v>
      </c>
      <c r="C961" s="11" t="s">
        <v>147</v>
      </c>
      <c r="D961" s="11">
        <v>1</v>
      </c>
      <c r="E961" s="11">
        <v>2.4</v>
      </c>
      <c r="F961" s="11">
        <v>0.4</v>
      </c>
      <c r="G961" s="11">
        <v>0.6</v>
      </c>
      <c r="H961" s="7">
        <f>G961-0.2</f>
        <v>0.39999999999999997</v>
      </c>
      <c r="I961" s="7">
        <f>E961*F961*G961*D961</f>
        <v>0.57599999999999996</v>
      </c>
      <c r="J961" s="7">
        <f>(2*(E961)*H961*D961)+(E961*F961)</f>
        <v>2.88</v>
      </c>
      <c r="K961" s="12">
        <f>IF(E961=0.3,J961,0)</f>
        <v>0</v>
      </c>
      <c r="L961" s="12">
        <f>IF(AND(E961&gt;0.3,E961&lt;=0.75),J961,0)</f>
        <v>0</v>
      </c>
      <c r="M961" s="12">
        <f>IF(AND(E961&gt;0.75,E961&lt;=1.2),J961,0)</f>
        <v>0</v>
      </c>
      <c r="N961" s="12">
        <f>IF(E961&gt;1.2,J961,0)</f>
        <v>2.88</v>
      </c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>
        <f>SUM(X962:X967)/I961</f>
        <v>77.602693601190481</v>
      </c>
      <c r="Z961" s="7"/>
      <c r="AA961" s="7"/>
      <c r="AB961" s="7"/>
      <c r="AC961" s="7"/>
      <c r="AD961" s="7"/>
      <c r="AE961" s="7"/>
    </row>
    <row r="962" spans="1:32" s="9" customFormat="1" ht="20.100000000000001" customHeight="1" x14ac:dyDescent="0.25">
      <c r="A962" s="6"/>
      <c r="B962" s="10" t="s">
        <v>2</v>
      </c>
      <c r="C962" s="13" t="s">
        <v>4</v>
      </c>
      <c r="D962" s="7">
        <v>12</v>
      </c>
      <c r="E962" s="7"/>
      <c r="F962" s="7">
        <v>4</v>
      </c>
      <c r="G962" s="8">
        <f>VLOOKUP(D962,'[2]Beam '!$C$20:$H$26,3,0)</f>
        <v>0.47499999999999998</v>
      </c>
      <c r="H962" s="8"/>
      <c r="I962" s="7"/>
      <c r="J962" s="7"/>
      <c r="K962" s="7"/>
      <c r="L962" s="7"/>
      <c r="M962" s="7"/>
      <c r="N962" s="7"/>
      <c r="O962" s="7">
        <f>(E961+2*(G962+(12*D962/1000)))*D961</f>
        <v>3.6379999999999999</v>
      </c>
      <c r="P962" s="7">
        <f t="shared" ref="P962:P967" si="169">O962*F962</f>
        <v>14.552</v>
      </c>
      <c r="Q962" s="7">
        <f>IF($D962='[2]Beam '!Q$44,$P962*'[2]Beam '!Q$45,0)</f>
        <v>0</v>
      </c>
      <c r="R962" s="7">
        <f>IF($D962='[2]Beam '!R$44,$P962*'[2]Beam '!R$45,0)</f>
        <v>0</v>
      </c>
      <c r="S962" s="7">
        <f>IF($D962='[2]Beam '!S$44,$P962*'[2]Beam '!S$45,0)</f>
        <v>12.92467062857143</v>
      </c>
      <c r="T962" s="7">
        <f>IF($D962='[2]Beam '!T$44,$P962*'[2]Beam '!T$45,0)</f>
        <v>0</v>
      </c>
      <c r="U962" s="7">
        <f>IF($D962='[2]Beam '!U$44,$P962*'[2]Beam '!U$45,0)</f>
        <v>0</v>
      </c>
      <c r="V962" s="7">
        <f>IF($D962='[2]Beam '!V$44,$P962*'[2]Beam '!V$45,0)</f>
        <v>0</v>
      </c>
      <c r="W962" s="7">
        <f>IF($D962='[2]Beam '!W$44,$P962*'[2]Beam '!W$45,0)</f>
        <v>0</v>
      </c>
      <c r="X962" s="7">
        <f t="shared" ref="X962:X967" si="170">SUM(Q962:W962)</f>
        <v>12.92467062857143</v>
      </c>
      <c r="Y962" s="7"/>
      <c r="Z962" s="7"/>
      <c r="AA962" s="7"/>
      <c r="AB962" s="7"/>
      <c r="AC962" s="7"/>
      <c r="AD962" s="7"/>
      <c r="AE962" s="7"/>
    </row>
    <row r="963" spans="1:32" s="9" customFormat="1" ht="20.100000000000001" customHeight="1" x14ac:dyDescent="0.25">
      <c r="A963" s="6"/>
      <c r="B963" s="10" t="s">
        <v>2</v>
      </c>
      <c r="C963" s="13" t="s">
        <v>5</v>
      </c>
      <c r="D963" s="7">
        <v>16</v>
      </c>
      <c r="E963" s="7"/>
      <c r="F963" s="7">
        <v>2</v>
      </c>
      <c r="G963" s="8">
        <f>VLOOKUP(D963,'[2]Beam '!$C$20:$H$26,3,0)</f>
        <v>0.625</v>
      </c>
      <c r="H963" s="8"/>
      <c r="I963" s="7"/>
      <c r="J963" s="7"/>
      <c r="K963" s="7"/>
      <c r="L963" s="7"/>
      <c r="M963" s="7"/>
      <c r="N963" s="7"/>
      <c r="O963" s="7">
        <f>(0.7+1*(G963+(12*D963/1000)))*D961</f>
        <v>1.5169999999999999</v>
      </c>
      <c r="P963" s="7">
        <f t="shared" si="169"/>
        <v>3.0339999999999998</v>
      </c>
      <c r="Q963" s="7">
        <f>IF($D963='[2]Beam '!Q$44,$P963*'[2]Beam '!Q$45,0)</f>
        <v>0</v>
      </c>
      <c r="R963" s="7">
        <f>IF($D963='[2]Beam '!R$44,$P963*'[2]Beam '!R$45,0)</f>
        <v>0</v>
      </c>
      <c r="S963" s="7">
        <f>IF($D963='[2]Beam '!S$44,$P963*'[2]Beam '!S$45,0)</f>
        <v>0</v>
      </c>
      <c r="T963" s="7">
        <f>IF($D963='[2]Beam '!T$44,$P963*'[2]Beam '!T$45,0)</f>
        <v>4.7905993142857142</v>
      </c>
      <c r="U963" s="7">
        <f>IF($D963='[2]Beam '!U$44,$P963*'[2]Beam '!U$45,0)</f>
        <v>0</v>
      </c>
      <c r="V963" s="7">
        <f>IF($D963='[2]Beam '!V$44,$P963*'[2]Beam '!V$45,0)</f>
        <v>0</v>
      </c>
      <c r="W963" s="7">
        <f>IF($D963='[2]Beam '!W$44,$P963*'[2]Beam '!W$45,0)</f>
        <v>0</v>
      </c>
      <c r="X963" s="7">
        <f t="shared" si="170"/>
        <v>4.7905993142857142</v>
      </c>
      <c r="Y963" s="7"/>
      <c r="Z963" s="7"/>
      <c r="AA963" s="7"/>
      <c r="AB963" s="7"/>
      <c r="AC963" s="7"/>
      <c r="AD963" s="7"/>
      <c r="AE963" s="7"/>
    </row>
    <row r="964" spans="1:32" s="9" customFormat="1" ht="20.100000000000001" customHeight="1" x14ac:dyDescent="0.25">
      <c r="A964" s="6"/>
      <c r="B964" s="10" t="s">
        <v>2</v>
      </c>
      <c r="C964" s="13" t="s">
        <v>5</v>
      </c>
      <c r="D964" s="7">
        <v>12</v>
      </c>
      <c r="E964" s="7"/>
      <c r="F964" s="7">
        <v>2</v>
      </c>
      <c r="G964" s="8">
        <f>VLOOKUP(D964,'[2]Beam '!$C$20:$H$26,3,0)</f>
        <v>0.47499999999999998</v>
      </c>
      <c r="H964" s="8"/>
      <c r="I964" s="7"/>
      <c r="J964" s="7"/>
      <c r="K964" s="7"/>
      <c r="L964" s="7"/>
      <c r="M964" s="7"/>
      <c r="N964" s="7"/>
      <c r="O964" s="7">
        <f>(0.7+1*(G964+(12*D964/1000)))*D961</f>
        <v>1.319</v>
      </c>
      <c r="P964" s="7">
        <f t="shared" si="169"/>
        <v>2.6379999999999999</v>
      </c>
      <c r="Q964" s="7">
        <f>IF($D964='[2]Beam '!Q$44,$P964*'[2]Beam '!Q$45,0)</f>
        <v>0</v>
      </c>
      <c r="R964" s="7">
        <f>IF($D964='[2]Beam '!R$44,$P964*'[2]Beam '!R$45,0)</f>
        <v>0</v>
      </c>
      <c r="S964" s="7">
        <f>IF($D964='[2]Beam '!S$44,$P964*'[2]Beam '!S$45,0)</f>
        <v>2.3429962285714288</v>
      </c>
      <c r="T964" s="7">
        <f>IF($D964='[2]Beam '!T$44,$P964*'[2]Beam '!T$45,0)</f>
        <v>0</v>
      </c>
      <c r="U964" s="7">
        <f>IF($D964='[2]Beam '!U$44,$P964*'[2]Beam '!U$45,0)</f>
        <v>0</v>
      </c>
      <c r="V964" s="7">
        <f>IF($D964='[2]Beam '!V$44,$P964*'[2]Beam '!V$45,0)</f>
        <v>0</v>
      </c>
      <c r="W964" s="7">
        <f>IF($D964='[2]Beam '!W$44,$P964*'[2]Beam '!W$45,0)</f>
        <v>0</v>
      </c>
      <c r="X964" s="7">
        <f t="shared" si="170"/>
        <v>2.3429962285714288</v>
      </c>
      <c r="Y964" s="7"/>
      <c r="Z964" s="7"/>
      <c r="AA964" s="7"/>
      <c r="AB964" s="7"/>
      <c r="AC964" s="7"/>
      <c r="AD964" s="7"/>
      <c r="AE964" s="7"/>
    </row>
    <row r="965" spans="1:32" s="9" customFormat="1" ht="20.100000000000001" customHeight="1" x14ac:dyDescent="0.25">
      <c r="A965" s="6"/>
      <c r="B965" s="10" t="s">
        <v>2</v>
      </c>
      <c r="C965" s="13" t="s">
        <v>6</v>
      </c>
      <c r="D965" s="7">
        <v>12</v>
      </c>
      <c r="E965" s="7"/>
      <c r="F965" s="7">
        <v>4</v>
      </c>
      <c r="G965" s="8">
        <f>VLOOKUP(D965,'[2]Beam '!$C$20:$H$26,3,0)</f>
        <v>0.47499999999999998</v>
      </c>
      <c r="H965" s="7"/>
      <c r="I965" s="7"/>
      <c r="J965" s="7"/>
      <c r="K965" s="7"/>
      <c r="L965" s="7"/>
      <c r="M965" s="7"/>
      <c r="N965" s="7"/>
      <c r="O965" s="7">
        <f>(E961+2*(G965+(12*D965/1000)))*D961</f>
        <v>3.6379999999999999</v>
      </c>
      <c r="P965" s="7">
        <f t="shared" si="169"/>
        <v>14.552</v>
      </c>
      <c r="Q965" s="7">
        <f>IF($D965='[2]Beam '!Q$44,$P965*'[2]Beam '!Q$45,0)</f>
        <v>0</v>
      </c>
      <c r="R965" s="7">
        <f>IF($D965='[2]Beam '!R$44,$P965*'[2]Beam '!R$45,0)</f>
        <v>0</v>
      </c>
      <c r="S965" s="7">
        <f>IF($D965='[2]Beam '!S$44,$P965*'[2]Beam '!S$45,0)</f>
        <v>12.92467062857143</v>
      </c>
      <c r="T965" s="7">
        <f>IF($D965='[2]Beam '!T$44,$P965*'[2]Beam '!T$45,0)</f>
        <v>0</v>
      </c>
      <c r="U965" s="7">
        <f>IF($D965='[2]Beam '!U$44,$P965*'[2]Beam '!U$45,0)</f>
        <v>0</v>
      </c>
      <c r="V965" s="7">
        <f>IF($D965='[2]Beam '!V$44,$P965*'[2]Beam '!V$45,0)</f>
        <v>0</v>
      </c>
      <c r="W965" s="7">
        <f>IF($D965='[2]Beam '!W$44,$P965*'[2]Beam '!W$45,0)</f>
        <v>0</v>
      </c>
      <c r="X965" s="7">
        <f t="shared" si="170"/>
        <v>12.92467062857143</v>
      </c>
      <c r="Y965" s="7"/>
      <c r="Z965" s="7"/>
      <c r="AA965" s="7"/>
      <c r="AB965" s="7"/>
      <c r="AC965" s="7"/>
      <c r="AD965" s="7"/>
      <c r="AE965" s="7"/>
    </row>
    <row r="966" spans="1:32" s="9" customFormat="1" ht="21" customHeight="1" x14ac:dyDescent="0.25">
      <c r="A966" s="6"/>
      <c r="B966" s="10" t="s">
        <v>2</v>
      </c>
      <c r="C966" s="13" t="s">
        <v>26</v>
      </c>
      <c r="D966" s="7">
        <v>8</v>
      </c>
      <c r="E966" s="7">
        <v>0.2</v>
      </c>
      <c r="F966" s="7">
        <f>ROUNDUP(E961/E966,0)</f>
        <v>12</v>
      </c>
      <c r="H966" s="7"/>
      <c r="I966" s="7"/>
      <c r="J966" s="7"/>
      <c r="K966" s="7"/>
      <c r="L966" s="7"/>
      <c r="M966" s="7"/>
      <c r="N966" s="7"/>
      <c r="O966" s="7">
        <f>(2*((G961-(2*'[2]Beam '!$D$11))+(F961-(2*'[2]Beam '!$D$11)))+(2*10*D966/1000))*D961</f>
        <v>1.9200000000000002</v>
      </c>
      <c r="P966" s="7">
        <f t="shared" si="169"/>
        <v>23.040000000000003</v>
      </c>
      <c r="Q966" s="7">
        <f>IF($D966='[2]Beam '!Q$44,$P966*'[2]Beam '!Q$45,0)</f>
        <v>9.0948754285714308</v>
      </c>
      <c r="R966" s="7">
        <f>IF($D966='[2]Beam '!R$44,$P966*'[2]Beam '!R$45,0)</f>
        <v>0</v>
      </c>
      <c r="S966" s="7">
        <f>IF($D966='[2]Beam '!S$44,$P966*'[2]Beam '!S$45,0)</f>
        <v>0</v>
      </c>
      <c r="T966" s="7">
        <f>IF($D966='[2]Beam '!T$44,$P966*'[2]Beam '!T$45,0)</f>
        <v>0</v>
      </c>
      <c r="U966" s="7">
        <f>IF($D966='[2]Beam '!U$44,$P966*'[2]Beam '!U$45,0)</f>
        <v>0</v>
      </c>
      <c r="V966" s="7">
        <f>IF($D966='[2]Beam '!V$44,$P966*'[2]Beam '!V$45,0)</f>
        <v>0</v>
      </c>
      <c r="W966" s="7">
        <f>IF($D966='[2]Beam '!W$44,$P966*'[2]Beam '!W$45,0)</f>
        <v>0</v>
      </c>
      <c r="X966" s="7">
        <f t="shared" si="170"/>
        <v>9.0948754285714308</v>
      </c>
      <c r="Y966" s="7"/>
      <c r="Z966" s="7"/>
      <c r="AA966" s="7"/>
      <c r="AB966" s="7"/>
      <c r="AC966" s="7"/>
      <c r="AD966" s="7"/>
      <c r="AE966" s="7"/>
      <c r="AF966" s="7"/>
    </row>
    <row r="967" spans="1:32" s="9" customFormat="1" ht="20.100000000000001" customHeight="1" x14ac:dyDescent="0.25">
      <c r="A967" s="6"/>
      <c r="B967" s="10" t="s">
        <v>2</v>
      </c>
      <c r="C967" s="13" t="s">
        <v>11</v>
      </c>
      <c r="D967" s="7">
        <f>+'[2]Beam '!$D$15</f>
        <v>25</v>
      </c>
      <c r="E967" s="7">
        <f>+'[2]Beam '!$E$15</f>
        <v>1</v>
      </c>
      <c r="F967" s="7">
        <f>ROUNDUP((0.7+0.7)/E967,0)</f>
        <v>2</v>
      </c>
      <c r="G967" s="8"/>
      <c r="H967" s="8"/>
      <c r="I967" s="7"/>
      <c r="J967" s="7"/>
      <c r="K967" s="7"/>
      <c r="L967" s="7"/>
      <c r="M967" s="7"/>
      <c r="N967" s="7"/>
      <c r="O967" s="7">
        <f>F961-'[2]Beam '!$F$15</f>
        <v>0.34</v>
      </c>
      <c r="P967" s="7">
        <f t="shared" si="169"/>
        <v>0.68</v>
      </c>
      <c r="Q967" s="7">
        <f>IF($D967='[2]Beam '!Q$44,$P967*'[2]Beam '!Q$45,0)</f>
        <v>0</v>
      </c>
      <c r="R967" s="7">
        <f>IF($D967='[2]Beam '!R$44,$P967*'[2]Beam '!R$45,0)</f>
        <v>0</v>
      </c>
      <c r="S967" s="7">
        <f>IF($D967='[2]Beam '!S$44,$P967*'[2]Beam '!S$45,0)</f>
        <v>0</v>
      </c>
      <c r="T967" s="7">
        <f>IF($D967='[2]Beam '!T$44,$P967*'[2]Beam '!T$45,0)</f>
        <v>0</v>
      </c>
      <c r="U967" s="7">
        <f>IF($D967='[2]Beam '!U$44,$P967*'[2]Beam '!U$45,0)</f>
        <v>0</v>
      </c>
      <c r="V967" s="7">
        <f>IF($D967='[2]Beam '!V$44,$P967*'[2]Beam '!V$45,0)</f>
        <v>2.6213392857142863</v>
      </c>
      <c r="W967" s="7">
        <f>IF($D967='[2]Beam '!W$44,$P967*'[2]Beam '!W$45,0)</f>
        <v>0</v>
      </c>
      <c r="X967" s="7">
        <f t="shared" si="170"/>
        <v>2.6213392857142863</v>
      </c>
      <c r="Y967" s="7"/>
      <c r="Z967" s="7"/>
      <c r="AA967" s="7"/>
      <c r="AB967" s="7"/>
      <c r="AC967" s="7"/>
      <c r="AD967" s="7"/>
      <c r="AE967" s="7"/>
    </row>
    <row r="968" spans="1:32" s="9" customFormat="1" ht="20.100000000000001" customHeight="1" x14ac:dyDescent="0.25">
      <c r="A968" s="7">
        <v>1</v>
      </c>
      <c r="B968" s="10" t="s">
        <v>2</v>
      </c>
      <c r="C968" s="11" t="s">
        <v>148</v>
      </c>
      <c r="D968" s="11">
        <v>1</v>
      </c>
      <c r="E968" s="11">
        <v>1.4</v>
      </c>
      <c r="F968" s="11">
        <v>0.3</v>
      </c>
      <c r="G968" s="11">
        <v>0.8</v>
      </c>
      <c r="H968" s="7">
        <f>G968-0.2</f>
        <v>0.60000000000000009</v>
      </c>
      <c r="I968" s="7">
        <f>E968*F968*G968*D968</f>
        <v>0.33600000000000002</v>
      </c>
      <c r="J968" s="7">
        <f>(2*(E968)*H968*D968)+(E968*F968)</f>
        <v>2.1</v>
      </c>
      <c r="K968" s="12">
        <f>IF(E968=0.3,J968,0)</f>
        <v>0</v>
      </c>
      <c r="L968" s="12">
        <f>IF(AND(E968&gt;0.3,E968&lt;=0.75),J968,0)</f>
        <v>0</v>
      </c>
      <c r="M968" s="12">
        <f>IF(AND(E968&gt;0.75,E968&lt;=1.2),J968,0)</f>
        <v>0</v>
      </c>
      <c r="N968" s="12">
        <f>IF(E968&gt;1.2,J968,0)</f>
        <v>2.1</v>
      </c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>
        <f>SUM(X969:X975)/I968</f>
        <v>293.18174659863945</v>
      </c>
      <c r="Z968" s="7"/>
      <c r="AA968" s="7"/>
      <c r="AB968" s="7"/>
      <c r="AC968" s="7"/>
      <c r="AD968" s="7"/>
      <c r="AE968" s="7"/>
    </row>
    <row r="969" spans="1:32" s="9" customFormat="1" ht="20.100000000000001" customHeight="1" x14ac:dyDescent="0.25">
      <c r="A969" s="6"/>
      <c r="B969" s="10" t="s">
        <v>2</v>
      </c>
      <c r="C969" s="13" t="s">
        <v>4</v>
      </c>
      <c r="D969" s="7">
        <v>20</v>
      </c>
      <c r="E969" s="7"/>
      <c r="F969" s="7">
        <v>3</v>
      </c>
      <c r="G969" s="8">
        <f>VLOOKUP(D969,'[2]Beam '!$C$20:$H$26,3,0)</f>
        <v>0.8</v>
      </c>
      <c r="H969" s="8"/>
      <c r="I969" s="7"/>
      <c r="J969" s="7"/>
      <c r="K969" s="7"/>
      <c r="L969" s="7"/>
      <c r="M969" s="7"/>
      <c r="N969" s="7"/>
      <c r="O969" s="7">
        <f>(E968+2*(G969+(12*D969/1000)))*D968</f>
        <v>3.48</v>
      </c>
      <c r="P969" s="7">
        <f t="shared" ref="P969:P975" si="171">O969*F969</f>
        <v>10.44</v>
      </c>
      <c r="Q969" s="7">
        <f>IF($D969='[2]Beam '!Q$44,$P969*'[2]Beam '!Q$45,0)</f>
        <v>0</v>
      </c>
      <c r="R969" s="7">
        <f>IF($D969='[2]Beam '!R$44,$P969*'[2]Beam '!R$45,0)</f>
        <v>0</v>
      </c>
      <c r="S969" s="7">
        <f>IF($D969='[2]Beam '!S$44,$P969*'[2]Beam '!S$45,0)</f>
        <v>0</v>
      </c>
      <c r="T969" s="7">
        <f>IF($D969='[2]Beam '!T$44,$P969*'[2]Beam '!T$45,0)</f>
        <v>0</v>
      </c>
      <c r="U969" s="7">
        <f>IF($D969='[2]Beam '!U$44,$P969*'[2]Beam '!U$45,0)</f>
        <v>25.756971428571426</v>
      </c>
      <c r="V969" s="7">
        <f>IF($D969='[2]Beam '!V$44,$P969*'[2]Beam '!V$45,0)</f>
        <v>0</v>
      </c>
      <c r="W969" s="7">
        <f>IF($D969='[2]Beam '!W$44,$P969*'[2]Beam '!W$45,0)</f>
        <v>0</v>
      </c>
      <c r="X969" s="7">
        <f t="shared" ref="X969:X975" si="172">SUM(Q969:W969)</f>
        <v>25.756971428571426</v>
      </c>
      <c r="Y969" s="7"/>
      <c r="Z969" s="7"/>
      <c r="AA969" s="7"/>
      <c r="AB969" s="7"/>
      <c r="AC969" s="7"/>
      <c r="AD969" s="7"/>
      <c r="AE969" s="7"/>
    </row>
    <row r="970" spans="1:32" s="9" customFormat="1" ht="20.100000000000001" customHeight="1" x14ac:dyDescent="0.25">
      <c r="A970" s="6"/>
      <c r="B970" s="10" t="s">
        <v>2</v>
      </c>
      <c r="C970" s="13" t="s">
        <v>5</v>
      </c>
      <c r="D970" s="7">
        <v>25</v>
      </c>
      <c r="E970" s="7"/>
      <c r="F970" s="7">
        <v>2</v>
      </c>
      <c r="G970" s="8">
        <f>VLOOKUP(D970,'[2]Beam '!$C$20:$H$26,3,0)</f>
        <v>1</v>
      </c>
      <c r="H970" s="8"/>
      <c r="I970" s="7"/>
      <c r="J970" s="7"/>
      <c r="K970" s="7"/>
      <c r="L970" s="7"/>
      <c r="M970" s="7"/>
      <c r="N970" s="7"/>
      <c r="O970" s="7">
        <f>(E968-0.45+1*(G970+(12*D970/1000)))*D968</f>
        <v>2.25</v>
      </c>
      <c r="P970" s="7">
        <f t="shared" si="171"/>
        <v>4.5</v>
      </c>
      <c r="Q970" s="7">
        <f>IF($D970='[2]Beam '!Q$44,$P970*'[2]Beam '!Q$45,0)</f>
        <v>0</v>
      </c>
      <c r="R970" s="7">
        <f>IF($D970='[2]Beam '!R$44,$P970*'[2]Beam '!R$45,0)</f>
        <v>0</v>
      </c>
      <c r="S970" s="7">
        <f>IF($D970='[2]Beam '!S$44,$P970*'[2]Beam '!S$45,0)</f>
        <v>0</v>
      </c>
      <c r="T970" s="7">
        <f>IF($D970='[2]Beam '!T$44,$P970*'[2]Beam '!T$45,0)</f>
        <v>0</v>
      </c>
      <c r="U970" s="7">
        <f>IF($D970='[2]Beam '!U$44,$P970*'[2]Beam '!U$45,0)</f>
        <v>0</v>
      </c>
      <c r="V970" s="7">
        <f>IF($D970='[2]Beam '!V$44,$P970*'[2]Beam '!V$45,0)</f>
        <v>17.347098214285715</v>
      </c>
      <c r="W970" s="7">
        <f>IF($D970='[2]Beam '!W$44,$P970*'[2]Beam '!W$45,0)</f>
        <v>0</v>
      </c>
      <c r="X970" s="7">
        <f t="shared" si="172"/>
        <v>17.347098214285715</v>
      </c>
      <c r="Y970" s="7"/>
      <c r="Z970" s="7"/>
      <c r="AA970" s="7"/>
      <c r="AB970" s="7"/>
      <c r="AC970" s="7"/>
      <c r="AD970" s="7"/>
      <c r="AE970" s="7"/>
    </row>
    <row r="971" spans="1:32" s="9" customFormat="1" ht="20.100000000000001" customHeight="1" x14ac:dyDescent="0.25">
      <c r="A971" s="6"/>
      <c r="B971" s="10" t="s">
        <v>2</v>
      </c>
      <c r="C971" s="13" t="s">
        <v>6</v>
      </c>
      <c r="D971" s="7">
        <v>20</v>
      </c>
      <c r="E971" s="7"/>
      <c r="F971" s="7">
        <v>3</v>
      </c>
      <c r="G971" s="8">
        <f>VLOOKUP(D971,'[2]Beam '!$C$20:$H$26,3,0)</f>
        <v>0.8</v>
      </c>
      <c r="H971" s="7"/>
      <c r="I971" s="7"/>
      <c r="J971" s="7"/>
      <c r="K971" s="7"/>
      <c r="L971" s="7"/>
      <c r="M971" s="7"/>
      <c r="N971" s="7"/>
      <c r="O971" s="7">
        <f>(E968+2*(G971+(12*D971/1000)))*D968</f>
        <v>3.48</v>
      </c>
      <c r="P971" s="7">
        <f t="shared" si="171"/>
        <v>10.44</v>
      </c>
      <c r="Q971" s="7">
        <f>IF($D971='[2]Beam '!Q$44,$P971*'[2]Beam '!Q$45,0)</f>
        <v>0</v>
      </c>
      <c r="R971" s="7">
        <f>IF($D971='[2]Beam '!R$44,$P971*'[2]Beam '!R$45,0)</f>
        <v>0</v>
      </c>
      <c r="S971" s="7">
        <f>IF($D971='[2]Beam '!S$44,$P971*'[2]Beam '!S$45,0)</f>
        <v>0</v>
      </c>
      <c r="T971" s="7">
        <f>IF($D971='[2]Beam '!T$44,$P971*'[2]Beam '!T$45,0)</f>
        <v>0</v>
      </c>
      <c r="U971" s="7">
        <f>IF($D971='[2]Beam '!U$44,$P971*'[2]Beam '!U$45,0)</f>
        <v>25.756971428571426</v>
      </c>
      <c r="V971" s="7">
        <f>IF($D971='[2]Beam '!V$44,$P971*'[2]Beam '!V$45,0)</f>
        <v>0</v>
      </c>
      <c r="W971" s="7">
        <f>IF($D971='[2]Beam '!W$44,$P971*'[2]Beam '!W$45,0)</f>
        <v>0</v>
      </c>
      <c r="X971" s="7">
        <f t="shared" si="172"/>
        <v>25.756971428571426</v>
      </c>
      <c r="Y971" s="7"/>
      <c r="Z971" s="7"/>
      <c r="AA971" s="7"/>
      <c r="AB971" s="7"/>
      <c r="AC971" s="7"/>
      <c r="AD971" s="7"/>
      <c r="AE971" s="7"/>
    </row>
    <row r="972" spans="1:32" s="14" customFormat="1" ht="20.100000000000001" customHeight="1" x14ac:dyDescent="0.3">
      <c r="A972" s="6"/>
      <c r="B972" s="10" t="s">
        <v>2</v>
      </c>
      <c r="C972" s="13" t="s">
        <v>13</v>
      </c>
      <c r="D972" s="7">
        <v>25</v>
      </c>
      <c r="E972" s="7"/>
      <c r="F972" s="7">
        <v>2</v>
      </c>
      <c r="G972" s="8">
        <f>VLOOKUP(D972,'[2]Beam '!$C$20:$H$26,3,0)</f>
        <v>1</v>
      </c>
      <c r="H972" s="7"/>
      <c r="I972" s="7"/>
      <c r="J972" s="7"/>
      <c r="K972" s="7"/>
      <c r="L972" s="7"/>
      <c r="M972" s="7"/>
      <c r="N972" s="7"/>
      <c r="O972" s="7">
        <f>(0.45+1*(G972+(12*D972/1000)))*D968</f>
        <v>1.75</v>
      </c>
      <c r="P972" s="7">
        <f t="shared" si="171"/>
        <v>3.5</v>
      </c>
      <c r="Q972" s="7">
        <f>IF($D972='[2]Beam '!Q$44,$P972*'[2]Beam '!Q$45,0)</f>
        <v>0</v>
      </c>
      <c r="R972" s="7">
        <f>IF($D972='[2]Beam '!R$44,$P972*'[2]Beam '!R$45,0)</f>
        <v>0</v>
      </c>
      <c r="S972" s="7">
        <f>IF($D972='[2]Beam '!S$44,$P972*'[2]Beam '!S$45,0)</f>
        <v>0</v>
      </c>
      <c r="T972" s="7">
        <f>IF($D972='[2]Beam '!T$44,$P972*'[2]Beam '!T$45,0)</f>
        <v>0</v>
      </c>
      <c r="U972" s="7">
        <f>IF($D972='[2]Beam '!U$44,$P972*'[2]Beam '!U$45,0)</f>
        <v>0</v>
      </c>
      <c r="V972" s="7">
        <f>IF($D972='[2]Beam '!V$44,$P972*'[2]Beam '!V$45,0)</f>
        <v>13.492187500000002</v>
      </c>
      <c r="W972" s="7">
        <f>IF($D972='[2]Beam '!W$44,$P972*'[2]Beam '!W$45,0)</f>
        <v>0</v>
      </c>
      <c r="X972" s="7">
        <f t="shared" si="172"/>
        <v>13.492187500000002</v>
      </c>
      <c r="Y972" s="7"/>
    </row>
    <row r="973" spans="1:32" s="9" customFormat="1" ht="20.100000000000001" customHeight="1" x14ac:dyDescent="0.25">
      <c r="A973" s="6"/>
      <c r="B973" s="10" t="s">
        <v>2</v>
      </c>
      <c r="C973" s="13" t="s">
        <v>26</v>
      </c>
      <c r="D973" s="7">
        <v>8</v>
      </c>
      <c r="E973" s="7">
        <v>0.125</v>
      </c>
      <c r="F973" s="7">
        <f>ROUNDUP(E968/E973,0)</f>
        <v>12</v>
      </c>
      <c r="H973" s="7"/>
      <c r="I973" s="7"/>
      <c r="J973" s="7"/>
      <c r="K973" s="7"/>
      <c r="L973" s="7"/>
      <c r="M973" s="7"/>
      <c r="N973" s="7"/>
      <c r="O973" s="7">
        <f>(2*((G968-(2*'[2]Beam '!$D$11))+(F968-(2*'[2]Beam '!$D$11)))+(2*10*D973/1000))*D968</f>
        <v>2.12</v>
      </c>
      <c r="P973" s="7">
        <f t="shared" si="171"/>
        <v>25.44</v>
      </c>
      <c r="Q973" s="7">
        <f>IF($D973='[2]Beam '!Q$44,$P973*'[2]Beam '!Q$45,0)</f>
        <v>10.042258285714286</v>
      </c>
      <c r="R973" s="7">
        <f>IF($D973='[2]Beam '!R$44,$P973*'[2]Beam '!R$45,0)</f>
        <v>0</v>
      </c>
      <c r="S973" s="7">
        <f>IF($D973='[2]Beam '!S$44,$P973*'[2]Beam '!S$45,0)</f>
        <v>0</v>
      </c>
      <c r="T973" s="7">
        <f>IF($D973='[2]Beam '!T$44,$P973*'[2]Beam '!T$45,0)</f>
        <v>0</v>
      </c>
      <c r="U973" s="7">
        <f>IF($D973='[2]Beam '!U$44,$P973*'[2]Beam '!U$45,0)</f>
        <v>0</v>
      </c>
      <c r="V973" s="7">
        <f>IF($D973='[2]Beam '!V$44,$P973*'[2]Beam '!V$45,0)</f>
        <v>0</v>
      </c>
      <c r="W973" s="7">
        <f>IF($D973='[2]Beam '!W$44,$P973*'[2]Beam '!W$45,0)</f>
        <v>0</v>
      </c>
      <c r="X973" s="7">
        <f t="shared" si="172"/>
        <v>10.042258285714286</v>
      </c>
      <c r="Y973" s="7"/>
      <c r="Z973" s="7"/>
      <c r="AA973" s="7"/>
      <c r="AB973" s="7"/>
      <c r="AC973" s="7"/>
      <c r="AD973" s="7"/>
      <c r="AE973" s="7"/>
    </row>
    <row r="974" spans="1:32" s="9" customFormat="1" ht="21" customHeight="1" x14ac:dyDescent="0.25">
      <c r="A974" s="14"/>
      <c r="B974" s="10" t="s">
        <v>2</v>
      </c>
      <c r="C974" s="13" t="s">
        <v>47</v>
      </c>
      <c r="D974" s="7">
        <f>+D973</f>
        <v>8</v>
      </c>
      <c r="E974" s="14">
        <f>+E973</f>
        <v>0.125</v>
      </c>
      <c r="F974" s="7">
        <f>ROUNDUP(E968/E974,0)</f>
        <v>12</v>
      </c>
      <c r="H974" s="14"/>
      <c r="I974" s="14"/>
      <c r="J974" s="14"/>
      <c r="K974" s="14"/>
      <c r="L974" s="14"/>
      <c r="M974" s="14"/>
      <c r="N974" s="14"/>
      <c r="O974" s="7">
        <f>((((G968-(2*'[2]Beam '!$D$11))+(2*10*D974/1000))*D968))</f>
        <v>0.9</v>
      </c>
      <c r="P974" s="7">
        <f t="shared" si="171"/>
        <v>10.8</v>
      </c>
      <c r="Q974" s="7">
        <f>IF($D974='[2]Beam '!Q$44,$P974*'[2]Beam '!Q$45,0)</f>
        <v>4.2632228571428579</v>
      </c>
      <c r="R974" s="7">
        <f>IF($D974='[2]Beam '!R$44,$P974*'[2]Beam '!R$45,0)</f>
        <v>0</v>
      </c>
      <c r="S974" s="7">
        <f>IF($D974='[2]Beam '!S$44,$P974*'[2]Beam '!S$45,0)</f>
        <v>0</v>
      </c>
      <c r="T974" s="7">
        <f>IF($D974='[2]Beam '!T$44,$P974*'[2]Beam '!T$45,0)</f>
        <v>0</v>
      </c>
      <c r="U974" s="7">
        <f>IF($D974='[2]Beam '!U$44,$P974*'[2]Beam '!U$45,0)</f>
        <v>0</v>
      </c>
      <c r="V974" s="7">
        <f>IF($D974='[2]Beam '!V$44,$P974*'[2]Beam '!V$45,0)</f>
        <v>0</v>
      </c>
      <c r="W974" s="7">
        <f>IF($D974='[2]Beam '!W$44,$P974*'[2]Beam '!W$45,0)</f>
        <v>0</v>
      </c>
      <c r="X974" s="7">
        <f t="shared" si="172"/>
        <v>4.2632228571428579</v>
      </c>
      <c r="Y974" s="14"/>
      <c r="Z974" s="7"/>
      <c r="AA974" s="7"/>
      <c r="AB974" s="7"/>
      <c r="AC974" s="7"/>
      <c r="AD974" s="7"/>
      <c r="AE974" s="7"/>
      <c r="AF974" s="7"/>
    </row>
    <row r="975" spans="1:32" s="9" customFormat="1" ht="20.100000000000001" customHeight="1" x14ac:dyDescent="0.25">
      <c r="A975" s="6"/>
      <c r="B975" s="10" t="s">
        <v>2</v>
      </c>
      <c r="C975" s="13" t="s">
        <v>11</v>
      </c>
      <c r="D975" s="7">
        <f>+'[2]Beam '!$D$15</f>
        <v>25</v>
      </c>
      <c r="E975" s="7">
        <f>+'[2]Beam '!$E$15</f>
        <v>1</v>
      </c>
      <c r="F975" s="7">
        <f>ROUNDUP((0.7+0.45)/E975,0)</f>
        <v>2</v>
      </c>
      <c r="G975" s="8"/>
      <c r="H975" s="8"/>
      <c r="I975" s="7"/>
      <c r="J975" s="7"/>
      <c r="K975" s="7"/>
      <c r="L975" s="7"/>
      <c r="M975" s="7"/>
      <c r="N975" s="7"/>
      <c r="O975" s="7">
        <f>F968-'[2]Beam '!$F$15</f>
        <v>0.24</v>
      </c>
      <c r="P975" s="7">
        <f t="shared" si="171"/>
        <v>0.48</v>
      </c>
      <c r="Q975" s="7">
        <f>IF($D975='[2]Beam '!Q$44,$P975*'[2]Beam '!Q$45,0)</f>
        <v>0</v>
      </c>
      <c r="R975" s="7">
        <f>IF($D975='[2]Beam '!R$44,$P975*'[2]Beam '!R$45,0)</f>
        <v>0</v>
      </c>
      <c r="S975" s="7">
        <f>IF($D975='[2]Beam '!S$44,$P975*'[2]Beam '!S$45,0)</f>
        <v>0</v>
      </c>
      <c r="T975" s="7">
        <f>IF($D975='[2]Beam '!T$44,$P975*'[2]Beam '!T$45,0)</f>
        <v>0</v>
      </c>
      <c r="U975" s="7">
        <f>IF($D975='[2]Beam '!U$44,$P975*'[2]Beam '!U$45,0)</f>
        <v>0</v>
      </c>
      <c r="V975" s="7">
        <f>IF($D975='[2]Beam '!V$44,$P975*'[2]Beam '!V$45,0)</f>
        <v>1.850357142857143</v>
      </c>
      <c r="W975" s="7">
        <f>IF($D975='[2]Beam '!W$44,$P975*'[2]Beam '!W$45,0)</f>
        <v>0</v>
      </c>
      <c r="X975" s="7">
        <f t="shared" si="172"/>
        <v>1.850357142857143</v>
      </c>
      <c r="Y975" s="7"/>
      <c r="Z975" s="7"/>
      <c r="AA975" s="7"/>
      <c r="AB975" s="7"/>
      <c r="AC975" s="7"/>
      <c r="AD975" s="7"/>
      <c r="AE975" s="7"/>
    </row>
    <row r="976" spans="1:32" s="9" customFormat="1" ht="20.100000000000001" customHeight="1" x14ac:dyDescent="0.25">
      <c r="A976" s="7">
        <v>1</v>
      </c>
      <c r="B976" s="10" t="s">
        <v>2</v>
      </c>
      <c r="C976" s="11" t="s">
        <v>149</v>
      </c>
      <c r="D976" s="11">
        <v>1</v>
      </c>
      <c r="E976" s="11">
        <v>1.4</v>
      </c>
      <c r="F976" s="11">
        <v>0.2</v>
      </c>
      <c r="G976" s="11">
        <v>0.8</v>
      </c>
      <c r="H976" s="7">
        <f>G976-0.2</f>
        <v>0.60000000000000009</v>
      </c>
      <c r="I976" s="7">
        <f>E976*F976*G976*D976</f>
        <v>0.22399999999999998</v>
      </c>
      <c r="J976" s="7">
        <f>(2*(E976)*H976*D976)+(E976*F976)</f>
        <v>1.9600000000000002</v>
      </c>
      <c r="K976" s="12">
        <f>IF(E976=0.3,J976,0)</f>
        <v>0</v>
      </c>
      <c r="L976" s="12">
        <f>IF(AND(E976&gt;0.3,E976&lt;=0.75),J976,0)</f>
        <v>0</v>
      </c>
      <c r="M976" s="12">
        <f>IF(AND(E976&gt;0.75,E976&lt;=1.2),J976,0)</f>
        <v>0</v>
      </c>
      <c r="N976" s="12">
        <f>IF(E976&gt;1.2,J976,0)</f>
        <v>1.9600000000000002</v>
      </c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>
        <f>SUM(X977:X982)/I976</f>
        <v>390.77284980867347</v>
      </c>
      <c r="Z976" s="7"/>
      <c r="AA976" s="7"/>
      <c r="AB976" s="7"/>
      <c r="AC976" s="7"/>
      <c r="AD976" s="7"/>
      <c r="AE976" s="7"/>
    </row>
    <row r="977" spans="1:32" s="9" customFormat="1" ht="20.100000000000001" customHeight="1" x14ac:dyDescent="0.25">
      <c r="A977" s="6"/>
      <c r="B977" s="10" t="s">
        <v>2</v>
      </c>
      <c r="C977" s="13" t="s">
        <v>4</v>
      </c>
      <c r="D977" s="7">
        <v>25</v>
      </c>
      <c r="E977" s="7"/>
      <c r="F977" s="7">
        <v>2</v>
      </c>
      <c r="G977" s="8">
        <f>VLOOKUP(D977,'[2]Beam '!$C$20:$H$26,3,0)</f>
        <v>1</v>
      </c>
      <c r="H977" s="8"/>
      <c r="I977" s="7"/>
      <c r="J977" s="7"/>
      <c r="K977" s="7"/>
      <c r="L977" s="7"/>
      <c r="M977" s="7"/>
      <c r="N977" s="7"/>
      <c r="O977" s="7">
        <f>(E976+2*(G977+(12*D977/1000)))*D976</f>
        <v>4</v>
      </c>
      <c r="P977" s="7">
        <f t="shared" ref="P977:P982" si="173">O977*F977</f>
        <v>8</v>
      </c>
      <c r="Q977" s="7">
        <f>IF($D977='[2]Beam '!Q$44,$P977*'[2]Beam '!Q$45,0)</f>
        <v>0</v>
      </c>
      <c r="R977" s="7">
        <f>IF($D977='[2]Beam '!R$44,$P977*'[2]Beam '!R$45,0)</f>
        <v>0</v>
      </c>
      <c r="S977" s="7">
        <f>IF($D977='[2]Beam '!S$44,$P977*'[2]Beam '!S$45,0)</f>
        <v>0</v>
      </c>
      <c r="T977" s="7">
        <f>IF($D977='[2]Beam '!T$44,$P977*'[2]Beam '!T$45,0)</f>
        <v>0</v>
      </c>
      <c r="U977" s="7">
        <f>IF($D977='[2]Beam '!U$44,$P977*'[2]Beam '!U$45,0)</f>
        <v>0</v>
      </c>
      <c r="V977" s="7">
        <f>IF($D977='[2]Beam '!V$44,$P977*'[2]Beam '!V$45,0)</f>
        <v>30.839285714285719</v>
      </c>
      <c r="W977" s="7">
        <f>IF($D977='[2]Beam '!W$44,$P977*'[2]Beam '!W$45,0)</f>
        <v>0</v>
      </c>
      <c r="X977" s="7">
        <f t="shared" ref="X977:X982" si="174">SUM(Q977:W977)</f>
        <v>30.839285714285719</v>
      </c>
      <c r="Y977" s="7"/>
      <c r="Z977" s="7"/>
      <c r="AA977" s="7"/>
      <c r="AB977" s="7"/>
      <c r="AC977" s="7"/>
      <c r="AD977" s="7"/>
      <c r="AE977" s="7"/>
    </row>
    <row r="978" spans="1:32" s="9" customFormat="1" ht="20.100000000000001" customHeight="1" x14ac:dyDescent="0.25">
      <c r="A978" s="6"/>
      <c r="B978" s="10" t="s">
        <v>2</v>
      </c>
      <c r="C978" s="13" t="s">
        <v>5</v>
      </c>
      <c r="D978" s="7">
        <v>20</v>
      </c>
      <c r="E978" s="7"/>
      <c r="F978" s="7">
        <v>2</v>
      </c>
      <c r="G978" s="8">
        <f>VLOOKUP(D978,'[2]Beam '!$C$20:$H$26,3,0)</f>
        <v>0.8</v>
      </c>
      <c r="H978" s="8"/>
      <c r="I978" s="7"/>
      <c r="J978" s="7"/>
      <c r="K978" s="7"/>
      <c r="L978" s="7"/>
      <c r="M978" s="7"/>
      <c r="N978" s="7"/>
      <c r="O978" s="7">
        <f>(0.45+1*(G978+(12*D978/1000)))*D976</f>
        <v>1.49</v>
      </c>
      <c r="P978" s="7">
        <f t="shared" si="173"/>
        <v>2.98</v>
      </c>
      <c r="Q978" s="7">
        <f>IF($D978='[2]Beam '!Q$44,$P978*'[2]Beam '!Q$45,0)</f>
        <v>0</v>
      </c>
      <c r="R978" s="7">
        <f>IF($D978='[2]Beam '!R$44,$P978*'[2]Beam '!R$45,0)</f>
        <v>0</v>
      </c>
      <c r="S978" s="7">
        <f>IF($D978='[2]Beam '!S$44,$P978*'[2]Beam '!S$45,0)</f>
        <v>0</v>
      </c>
      <c r="T978" s="7">
        <f>IF($D978='[2]Beam '!T$44,$P978*'[2]Beam '!T$45,0)</f>
        <v>0</v>
      </c>
      <c r="U978" s="7">
        <f>IF($D978='[2]Beam '!U$44,$P978*'[2]Beam '!U$45,0)</f>
        <v>7.3520857142857139</v>
      </c>
      <c r="V978" s="7">
        <f>IF($D978='[2]Beam '!V$44,$P978*'[2]Beam '!V$45,0)</f>
        <v>0</v>
      </c>
      <c r="W978" s="7">
        <f>IF($D978='[2]Beam '!W$44,$P978*'[2]Beam '!W$45,0)</f>
        <v>0</v>
      </c>
      <c r="X978" s="7">
        <f t="shared" si="174"/>
        <v>7.3520857142857139</v>
      </c>
      <c r="Y978" s="7"/>
      <c r="Z978" s="7"/>
      <c r="AA978" s="7"/>
      <c r="AB978" s="7"/>
      <c r="AC978" s="7"/>
      <c r="AD978" s="7"/>
      <c r="AE978" s="7"/>
    </row>
    <row r="979" spans="1:32" s="9" customFormat="1" ht="20.100000000000001" customHeight="1" x14ac:dyDescent="0.25">
      <c r="A979" s="6"/>
      <c r="B979" s="10" t="s">
        <v>2</v>
      </c>
      <c r="C979" s="13" t="s">
        <v>6</v>
      </c>
      <c r="D979" s="7">
        <v>25</v>
      </c>
      <c r="E979" s="7"/>
      <c r="F979" s="7">
        <v>2</v>
      </c>
      <c r="G979" s="8">
        <f>VLOOKUP(D979,'[2]Beam '!$C$20:$H$26,3,0)</f>
        <v>1</v>
      </c>
      <c r="H979" s="7"/>
      <c r="I979" s="7"/>
      <c r="J979" s="7"/>
      <c r="K979" s="7"/>
      <c r="L979" s="7"/>
      <c r="M979" s="7"/>
      <c r="N979" s="7"/>
      <c r="O979" s="7">
        <f>(E976+2*(G979+(12*D979/1000)))*D976</f>
        <v>4</v>
      </c>
      <c r="P979" s="7">
        <f t="shared" si="173"/>
        <v>8</v>
      </c>
      <c r="Q979" s="7">
        <f>IF($D979='[2]Beam '!Q$44,$P979*'[2]Beam '!Q$45,0)</f>
        <v>0</v>
      </c>
      <c r="R979" s="7">
        <f>IF($D979='[2]Beam '!R$44,$P979*'[2]Beam '!R$45,0)</f>
        <v>0</v>
      </c>
      <c r="S979" s="7">
        <f>IF($D979='[2]Beam '!S$44,$P979*'[2]Beam '!S$45,0)</f>
        <v>0</v>
      </c>
      <c r="T979" s="7">
        <f>IF($D979='[2]Beam '!T$44,$P979*'[2]Beam '!T$45,0)</f>
        <v>0</v>
      </c>
      <c r="U979" s="7">
        <f>IF($D979='[2]Beam '!U$44,$P979*'[2]Beam '!U$45,0)</f>
        <v>0</v>
      </c>
      <c r="V979" s="7">
        <f>IF($D979='[2]Beam '!V$44,$P979*'[2]Beam '!V$45,0)</f>
        <v>30.839285714285719</v>
      </c>
      <c r="W979" s="7">
        <f>IF($D979='[2]Beam '!W$44,$P979*'[2]Beam '!W$45,0)</f>
        <v>0</v>
      </c>
      <c r="X979" s="7">
        <f t="shared" si="174"/>
        <v>30.839285714285719</v>
      </c>
      <c r="Y979" s="7"/>
      <c r="Z979" s="7"/>
      <c r="AA979" s="7"/>
      <c r="AB979" s="7"/>
      <c r="AC979" s="7"/>
      <c r="AD979" s="7"/>
      <c r="AE979" s="7"/>
    </row>
    <row r="980" spans="1:32" s="9" customFormat="1" ht="20.100000000000001" customHeight="1" x14ac:dyDescent="0.25">
      <c r="A980" s="6"/>
      <c r="B980" s="10" t="s">
        <v>2</v>
      </c>
      <c r="C980" s="13" t="s">
        <v>13</v>
      </c>
      <c r="D980" s="7">
        <v>20</v>
      </c>
      <c r="E980" s="7"/>
      <c r="F980" s="7">
        <v>2</v>
      </c>
      <c r="G980" s="8">
        <f>VLOOKUP(D980,'[2]Beam '!$C$20:$H$26,3,0)</f>
        <v>0.8</v>
      </c>
      <c r="H980" s="7"/>
      <c r="I980" s="7"/>
      <c r="J980" s="7"/>
      <c r="K980" s="7"/>
      <c r="L980" s="7"/>
      <c r="M980" s="7"/>
      <c r="N980" s="7"/>
      <c r="O980" s="7">
        <f>(0.45+1*(G980+(12*D980/1000)))*D976</f>
        <v>1.49</v>
      </c>
      <c r="P980" s="7">
        <f t="shared" si="173"/>
        <v>2.98</v>
      </c>
      <c r="Q980" s="7">
        <f>IF($D980='[2]Beam '!Q$44,$P980*'[2]Beam '!Q$45,0)</f>
        <v>0</v>
      </c>
      <c r="R980" s="7">
        <f>IF($D980='[2]Beam '!R$44,$P980*'[2]Beam '!R$45,0)</f>
        <v>0</v>
      </c>
      <c r="S980" s="7">
        <f>IF($D980='[2]Beam '!S$44,$P980*'[2]Beam '!S$45,0)</f>
        <v>0</v>
      </c>
      <c r="T980" s="7">
        <f>IF($D980='[2]Beam '!T$44,$P980*'[2]Beam '!T$45,0)</f>
        <v>0</v>
      </c>
      <c r="U980" s="7">
        <f>IF($D980='[2]Beam '!U$44,$P980*'[2]Beam '!U$45,0)</f>
        <v>7.3520857142857139</v>
      </c>
      <c r="V980" s="7">
        <f>IF($D980='[2]Beam '!V$44,$P980*'[2]Beam '!V$45,0)</f>
        <v>0</v>
      </c>
      <c r="W980" s="7">
        <f>IF($D980='[2]Beam '!W$44,$P980*'[2]Beam '!W$45,0)</f>
        <v>0</v>
      </c>
      <c r="X980" s="7">
        <f t="shared" si="174"/>
        <v>7.3520857142857139</v>
      </c>
      <c r="Y980" s="7"/>
      <c r="Z980" s="7"/>
      <c r="AA980" s="7"/>
      <c r="AB980" s="7"/>
      <c r="AC980" s="7"/>
      <c r="AD980" s="7"/>
      <c r="AE980" s="7"/>
    </row>
    <row r="981" spans="1:32" s="9" customFormat="1" ht="21" customHeight="1" x14ac:dyDescent="0.25">
      <c r="A981" s="6"/>
      <c r="B981" s="10" t="s">
        <v>2</v>
      </c>
      <c r="C981" s="13" t="s">
        <v>26</v>
      </c>
      <c r="D981" s="7">
        <v>8</v>
      </c>
      <c r="E981" s="7">
        <v>0.1</v>
      </c>
      <c r="F981" s="7">
        <f>ROUNDUP(E976/E981,0)</f>
        <v>14</v>
      </c>
      <c r="H981" s="7"/>
      <c r="I981" s="7"/>
      <c r="J981" s="7"/>
      <c r="K981" s="7"/>
      <c r="L981" s="7"/>
      <c r="M981" s="7"/>
      <c r="N981" s="7"/>
      <c r="O981" s="7">
        <f>(2*((G976-(2*'[2]Beam '!$D$11))+(F976-(2*'[2]Beam '!$D$11)))+(2*10*D981/1000))*D976</f>
        <v>1.92</v>
      </c>
      <c r="P981" s="7">
        <f t="shared" si="173"/>
        <v>26.88</v>
      </c>
      <c r="Q981" s="7">
        <f>IF($D981='[2]Beam '!Q$44,$P981*'[2]Beam '!Q$45,0)</f>
        <v>10.610688</v>
      </c>
      <c r="R981" s="7">
        <f>IF($D981='[2]Beam '!R$44,$P981*'[2]Beam '!R$45,0)</f>
        <v>0</v>
      </c>
      <c r="S981" s="7">
        <f>IF($D981='[2]Beam '!S$44,$P981*'[2]Beam '!S$45,0)</f>
        <v>0</v>
      </c>
      <c r="T981" s="7">
        <f>IF($D981='[2]Beam '!T$44,$P981*'[2]Beam '!T$45,0)</f>
        <v>0</v>
      </c>
      <c r="U981" s="7">
        <f>IF($D981='[2]Beam '!U$44,$P981*'[2]Beam '!U$45,0)</f>
        <v>0</v>
      </c>
      <c r="V981" s="7">
        <f>IF($D981='[2]Beam '!V$44,$P981*'[2]Beam '!V$45,0)</f>
        <v>0</v>
      </c>
      <c r="W981" s="7">
        <f>IF($D981='[2]Beam '!W$44,$P981*'[2]Beam '!W$45,0)</f>
        <v>0</v>
      </c>
      <c r="X981" s="7">
        <f t="shared" si="174"/>
        <v>10.610688</v>
      </c>
      <c r="Y981" s="7"/>
      <c r="Z981" s="7"/>
      <c r="AA981" s="7"/>
      <c r="AB981" s="7"/>
      <c r="AC981" s="7"/>
      <c r="AD981" s="7"/>
      <c r="AE981" s="7"/>
      <c r="AF981" s="7"/>
    </row>
    <row r="982" spans="1:32" s="9" customFormat="1" ht="20.100000000000001" customHeight="1" x14ac:dyDescent="0.25">
      <c r="A982" s="6"/>
      <c r="B982" s="10" t="s">
        <v>2</v>
      </c>
      <c r="C982" s="13" t="s">
        <v>11</v>
      </c>
      <c r="D982" s="7">
        <f>+'[2]Beam '!$D$15</f>
        <v>25</v>
      </c>
      <c r="E982" s="7">
        <f>+'[2]Beam '!$E$15</f>
        <v>1</v>
      </c>
      <c r="F982" s="7">
        <f>ROUNDUP((0.45+0.45)/E982,0)</f>
        <v>1</v>
      </c>
      <c r="G982" s="8"/>
      <c r="H982" s="8"/>
      <c r="I982" s="7"/>
      <c r="J982" s="7"/>
      <c r="K982" s="7"/>
      <c r="L982" s="7"/>
      <c r="M982" s="7"/>
      <c r="N982" s="7"/>
      <c r="O982" s="7">
        <f>F976-'[2]Beam '!$F$15</f>
        <v>0.14000000000000001</v>
      </c>
      <c r="P982" s="7">
        <f t="shared" si="173"/>
        <v>0.14000000000000001</v>
      </c>
      <c r="Q982" s="7">
        <f>IF($D982='[2]Beam '!Q$44,$P982*'[2]Beam '!Q$45,0)</f>
        <v>0</v>
      </c>
      <c r="R982" s="7">
        <f>IF($D982='[2]Beam '!R$44,$P982*'[2]Beam '!R$45,0)</f>
        <v>0</v>
      </c>
      <c r="S982" s="7">
        <f>IF($D982='[2]Beam '!S$44,$P982*'[2]Beam '!S$45,0)</f>
        <v>0</v>
      </c>
      <c r="T982" s="7">
        <f>IF($D982='[2]Beam '!T$44,$P982*'[2]Beam '!T$45,0)</f>
        <v>0</v>
      </c>
      <c r="U982" s="7">
        <f>IF($D982='[2]Beam '!U$44,$P982*'[2]Beam '!U$45,0)</f>
        <v>0</v>
      </c>
      <c r="V982" s="7">
        <f>IF($D982='[2]Beam '!V$44,$P982*'[2]Beam '!V$45,0)</f>
        <v>0.5396875000000001</v>
      </c>
      <c r="W982" s="7">
        <f>IF($D982='[2]Beam '!W$44,$P982*'[2]Beam '!W$45,0)</f>
        <v>0</v>
      </c>
      <c r="X982" s="7">
        <f t="shared" si="174"/>
        <v>0.5396875000000001</v>
      </c>
      <c r="Y982" s="7"/>
      <c r="Z982" s="7"/>
      <c r="AA982" s="7"/>
      <c r="AB982" s="7"/>
      <c r="AC982" s="7"/>
      <c r="AD982" s="7"/>
      <c r="AE982" s="7"/>
    </row>
    <row r="983" spans="1:32" s="9" customFormat="1" ht="20.100000000000001" customHeight="1" x14ac:dyDescent="0.25">
      <c r="A983" s="7">
        <v>1</v>
      </c>
      <c r="B983" s="10" t="s">
        <v>2</v>
      </c>
      <c r="C983" s="11" t="s">
        <v>150</v>
      </c>
      <c r="D983" s="11">
        <v>1</v>
      </c>
      <c r="E983" s="11">
        <v>2.87</v>
      </c>
      <c r="F983" s="11">
        <v>0.55000000000000004</v>
      </c>
      <c r="G983" s="11">
        <v>1.1000000000000001</v>
      </c>
      <c r="H983" s="7">
        <f>G983-0.2</f>
        <v>0.90000000000000013</v>
      </c>
      <c r="I983" s="7">
        <f>E983*F983*G983*D983</f>
        <v>1.7363500000000005</v>
      </c>
      <c r="J983" s="7">
        <f>(2*(E983)*H983*D983)+(E983*F983)</f>
        <v>6.7445000000000013</v>
      </c>
      <c r="K983" s="12">
        <f>IF(E983=0.3,J983,0)</f>
        <v>0</v>
      </c>
      <c r="L983" s="12">
        <f>IF(AND(E983&gt;0.3,E983&lt;=0.75),J983,0)</f>
        <v>0</v>
      </c>
      <c r="M983" s="12">
        <f>IF(AND(E983&gt;0.75,E983&lt;=1.2),J983,0)</f>
        <v>0</v>
      </c>
      <c r="N983" s="12">
        <f>IF(E983&gt;1.2,J983,0)</f>
        <v>6.7445000000000013</v>
      </c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>
        <f>SUM(X985:X988)/I983</f>
        <v>106.79342617313</v>
      </c>
      <c r="Z983" s="7"/>
      <c r="AA983" s="7"/>
      <c r="AB983" s="7"/>
      <c r="AC983" s="7"/>
      <c r="AD983" s="7"/>
      <c r="AE983" s="7"/>
    </row>
    <row r="984" spans="1:32" s="9" customFormat="1" ht="20.100000000000001" customHeight="1" x14ac:dyDescent="0.25">
      <c r="A984" s="6"/>
      <c r="B984" s="10" t="s">
        <v>2</v>
      </c>
      <c r="C984" s="13" t="s">
        <v>4</v>
      </c>
      <c r="D984" s="7">
        <v>25</v>
      </c>
      <c r="E984" s="7"/>
      <c r="F984" s="7">
        <v>3</v>
      </c>
      <c r="G984" s="8">
        <f>VLOOKUP(D984,'[2]Beam '!$C$20:$H$26,3,0)</f>
        <v>1</v>
      </c>
      <c r="H984" s="8"/>
      <c r="I984" s="7"/>
      <c r="J984" s="7"/>
      <c r="K984" s="7"/>
      <c r="L984" s="7"/>
      <c r="M984" s="7"/>
      <c r="N984" s="7"/>
      <c r="O984" s="7">
        <f>(E983+2*(G984))*D983</f>
        <v>4.87</v>
      </c>
      <c r="P984" s="7">
        <f t="shared" ref="P984:P989" si="175">O984*F984</f>
        <v>14.61</v>
      </c>
      <c r="Q984" s="7">
        <f>IF($D984='[2]Beam '!Q$44,$P984*'[2]Beam '!Q$45,0)</f>
        <v>0</v>
      </c>
      <c r="R984" s="7">
        <f>IF($D984='[2]Beam '!R$44,$P984*'[2]Beam '!R$45,0)</f>
        <v>0</v>
      </c>
      <c r="S984" s="7">
        <f>IF($D984='[2]Beam '!S$44,$P984*'[2]Beam '!S$45,0)</f>
        <v>0</v>
      </c>
      <c r="T984" s="7">
        <f>IF($D984='[2]Beam '!T$44,$P984*'[2]Beam '!T$45,0)</f>
        <v>0</v>
      </c>
      <c r="U984" s="7">
        <f>IF($D984='[2]Beam '!U$44,$P984*'[2]Beam '!U$45,0)</f>
        <v>0</v>
      </c>
      <c r="V984" s="7">
        <f>IF($D984='[2]Beam '!V$44,$P984*'[2]Beam '!V$45,0)</f>
        <v>56.320245535714292</v>
      </c>
      <c r="W984" s="7">
        <f>IF($D984='[2]Beam '!W$44,$P984*'[2]Beam '!W$45,0)</f>
        <v>0</v>
      </c>
      <c r="X984" s="7">
        <f t="shared" ref="X984:X989" si="176">SUM(Q984:W984)</f>
        <v>56.320245535714292</v>
      </c>
      <c r="Y984" s="7"/>
      <c r="Z984" s="7"/>
      <c r="AA984" s="7"/>
      <c r="AB984" s="7"/>
      <c r="AC984" s="7"/>
      <c r="AD984" s="7"/>
      <c r="AE984" s="7"/>
    </row>
    <row r="985" spans="1:32" s="9" customFormat="1" ht="20.100000000000001" customHeight="1" x14ac:dyDescent="0.25">
      <c r="A985" s="6"/>
      <c r="B985" s="10" t="s">
        <v>2</v>
      </c>
      <c r="C985" s="13" t="s">
        <v>4</v>
      </c>
      <c r="D985" s="7">
        <v>20</v>
      </c>
      <c r="E985" s="7"/>
      <c r="F985" s="7">
        <v>2</v>
      </c>
      <c r="G985" s="8">
        <f>VLOOKUP(D985,'[2]Beam '!$C$20:$H$26,3,0)</f>
        <v>0.8</v>
      </c>
      <c r="H985" s="8"/>
      <c r="I985" s="7"/>
      <c r="J985" s="7"/>
      <c r="K985" s="7"/>
      <c r="L985" s="7"/>
      <c r="M985" s="7"/>
      <c r="N985" s="7"/>
      <c r="O985" s="7">
        <f>(E983+2*(G985))*D983</f>
        <v>4.4700000000000006</v>
      </c>
      <c r="P985" s="7">
        <f t="shared" si="175"/>
        <v>8.9400000000000013</v>
      </c>
      <c r="Q985" s="7">
        <f>IF($D985='[2]Beam '!Q$44,$P985*'[2]Beam '!Q$45,0)</f>
        <v>0</v>
      </c>
      <c r="R985" s="7">
        <f>IF($D985='[2]Beam '!R$44,$P985*'[2]Beam '!R$45,0)</f>
        <v>0</v>
      </c>
      <c r="S985" s="7">
        <f>IF($D985='[2]Beam '!S$44,$P985*'[2]Beam '!S$45,0)</f>
        <v>0</v>
      </c>
      <c r="T985" s="7">
        <f>IF($D985='[2]Beam '!T$44,$P985*'[2]Beam '!T$45,0)</f>
        <v>0</v>
      </c>
      <c r="U985" s="7">
        <f>IF($D985='[2]Beam '!U$44,$P985*'[2]Beam '!U$45,0)</f>
        <v>22.056257142857145</v>
      </c>
      <c r="V985" s="7">
        <f>IF($D985='[2]Beam '!V$44,$P985*'[2]Beam '!V$45,0)</f>
        <v>0</v>
      </c>
      <c r="W985" s="7">
        <f>IF($D985='[2]Beam '!W$44,$P985*'[2]Beam '!W$45,0)</f>
        <v>0</v>
      </c>
      <c r="X985" s="7">
        <f t="shared" si="176"/>
        <v>22.056257142857145</v>
      </c>
      <c r="Y985" s="7"/>
      <c r="Z985" s="7"/>
      <c r="AA985" s="7"/>
      <c r="AB985" s="7"/>
      <c r="AC985" s="7"/>
      <c r="AD985" s="7"/>
      <c r="AE985" s="7"/>
    </row>
    <row r="986" spans="1:32" s="9" customFormat="1" ht="20.100000000000001" customHeight="1" x14ac:dyDescent="0.25">
      <c r="A986" s="6"/>
      <c r="B986" s="10" t="s">
        <v>2</v>
      </c>
      <c r="C986" s="13" t="s">
        <v>6</v>
      </c>
      <c r="D986" s="7">
        <v>25</v>
      </c>
      <c r="E986" s="7"/>
      <c r="F986" s="7">
        <v>3</v>
      </c>
      <c r="G986" s="8">
        <f>VLOOKUP(D986,'[2]Beam '!$C$20:$H$26,3,0)</f>
        <v>1</v>
      </c>
      <c r="H986" s="7"/>
      <c r="I986" s="7"/>
      <c r="J986" s="7"/>
      <c r="K986" s="7"/>
      <c r="L986" s="7"/>
      <c r="M986" s="7"/>
      <c r="N986" s="7"/>
      <c r="O986" s="7">
        <f>(E983+2*(G986))*D983</f>
        <v>4.87</v>
      </c>
      <c r="P986" s="7">
        <f t="shared" si="175"/>
        <v>14.61</v>
      </c>
      <c r="Q986" s="7">
        <f>IF($D986='[2]Beam '!Q$44,$P986*'[2]Beam '!Q$45,0)</f>
        <v>0</v>
      </c>
      <c r="R986" s="7">
        <f>IF($D986='[2]Beam '!R$44,$P986*'[2]Beam '!R$45,0)</f>
        <v>0</v>
      </c>
      <c r="S986" s="7">
        <f>IF($D986='[2]Beam '!S$44,$P986*'[2]Beam '!S$45,0)</f>
        <v>0</v>
      </c>
      <c r="T986" s="7">
        <f>IF($D986='[2]Beam '!T$44,$P986*'[2]Beam '!T$45,0)</f>
        <v>0</v>
      </c>
      <c r="U986" s="7">
        <f>IF($D986='[2]Beam '!U$44,$P986*'[2]Beam '!U$45,0)</f>
        <v>0</v>
      </c>
      <c r="V986" s="7">
        <f>IF($D986='[2]Beam '!V$44,$P986*'[2]Beam '!V$45,0)</f>
        <v>56.320245535714292</v>
      </c>
      <c r="W986" s="7">
        <f>IF($D986='[2]Beam '!W$44,$P986*'[2]Beam '!W$45,0)</f>
        <v>0</v>
      </c>
      <c r="X986" s="7">
        <f t="shared" si="176"/>
        <v>56.320245535714292</v>
      </c>
      <c r="Y986" s="7"/>
      <c r="Z986" s="7"/>
      <c r="AA986" s="7"/>
      <c r="AB986" s="7"/>
      <c r="AC986" s="7"/>
      <c r="AD986" s="7"/>
      <c r="AE986" s="7"/>
    </row>
    <row r="987" spans="1:32" s="14" customFormat="1" ht="20.100000000000001" customHeight="1" x14ac:dyDescent="0.3">
      <c r="A987" s="6"/>
      <c r="B987" s="10" t="s">
        <v>2</v>
      </c>
      <c r="C987" s="13" t="s">
        <v>6</v>
      </c>
      <c r="D987" s="7">
        <v>20</v>
      </c>
      <c r="E987" s="7"/>
      <c r="F987" s="7">
        <v>2</v>
      </c>
      <c r="G987" s="8">
        <f>VLOOKUP(D987,'[2]Beam '!$C$20:$H$26,3,0)</f>
        <v>0.8</v>
      </c>
      <c r="H987" s="7"/>
      <c r="I987" s="7"/>
      <c r="J987" s="7"/>
      <c r="K987" s="7"/>
      <c r="L987" s="7"/>
      <c r="M987" s="7"/>
      <c r="N987" s="7"/>
      <c r="O987" s="7">
        <f>(E983+2*(G987))*D983</f>
        <v>4.4700000000000006</v>
      </c>
      <c r="P987" s="7">
        <f t="shared" si="175"/>
        <v>8.9400000000000013</v>
      </c>
      <c r="Q987" s="7">
        <f>IF($D987='[2]Beam '!Q$44,$P987*'[2]Beam '!Q$45,0)</f>
        <v>0</v>
      </c>
      <c r="R987" s="7">
        <f>IF($D987='[2]Beam '!R$44,$P987*'[2]Beam '!R$45,0)</f>
        <v>0</v>
      </c>
      <c r="S987" s="7">
        <f>IF($D987='[2]Beam '!S$44,$P987*'[2]Beam '!S$45,0)</f>
        <v>0</v>
      </c>
      <c r="T987" s="7">
        <f>IF($D987='[2]Beam '!T$44,$P987*'[2]Beam '!T$45,0)</f>
        <v>0</v>
      </c>
      <c r="U987" s="7">
        <f>IF($D987='[2]Beam '!U$44,$P987*'[2]Beam '!U$45,0)</f>
        <v>22.056257142857145</v>
      </c>
      <c r="V987" s="7">
        <f>IF($D987='[2]Beam '!V$44,$P987*'[2]Beam '!V$45,0)</f>
        <v>0</v>
      </c>
      <c r="W987" s="7">
        <f>IF($D987='[2]Beam '!W$44,$P987*'[2]Beam '!W$45,0)</f>
        <v>0</v>
      </c>
      <c r="X987" s="7">
        <f t="shared" si="176"/>
        <v>22.056257142857145</v>
      </c>
      <c r="Y987" s="7"/>
    </row>
    <row r="988" spans="1:32" s="9" customFormat="1" ht="21" customHeight="1" x14ac:dyDescent="0.25">
      <c r="A988" s="6"/>
      <c r="B988" s="10" t="s">
        <v>2</v>
      </c>
      <c r="C988" s="13" t="s">
        <v>17</v>
      </c>
      <c r="D988" s="7">
        <v>12</v>
      </c>
      <c r="E988" s="7">
        <v>0.1</v>
      </c>
      <c r="F988" s="7">
        <f>ROUNDUP(E983/E988,0)</f>
        <v>29</v>
      </c>
      <c r="H988" s="7"/>
      <c r="I988" s="7"/>
      <c r="J988" s="7"/>
      <c r="K988" s="7"/>
      <c r="L988" s="7"/>
      <c r="M988" s="7"/>
      <c r="N988" s="7"/>
      <c r="O988" s="7">
        <f>(2*((G983-(2*'[2]Beam '!$D$11))+(F983-(2*'[2]Beam '!$D$11)))+(2*10*D988/1000))*D983</f>
        <v>3.3</v>
      </c>
      <c r="P988" s="7">
        <f t="shared" si="175"/>
        <v>95.699999999999989</v>
      </c>
      <c r="Q988" s="7">
        <f>IF($D988='[2]Beam '!Q$44,$P988*'[2]Beam '!Q$45,0)</f>
        <v>0</v>
      </c>
      <c r="R988" s="7">
        <f>IF($D988='[2]Beam '!R$44,$P988*'[2]Beam '!R$45,0)</f>
        <v>0</v>
      </c>
      <c r="S988" s="7">
        <f>IF($D988='[2]Beam '!S$44,$P988*'[2]Beam '!S$45,0)</f>
        <v>84.998005714285725</v>
      </c>
      <c r="T988" s="7">
        <f>IF($D988='[2]Beam '!T$44,$P988*'[2]Beam '!T$45,0)</f>
        <v>0</v>
      </c>
      <c r="U988" s="7">
        <f>IF($D988='[2]Beam '!U$44,$P988*'[2]Beam '!U$45,0)</f>
        <v>0</v>
      </c>
      <c r="V988" s="7">
        <f>IF($D988='[2]Beam '!V$44,$P988*'[2]Beam '!V$45,0)</f>
        <v>0</v>
      </c>
      <c r="W988" s="7">
        <f>IF($D988='[2]Beam '!W$44,$P988*'[2]Beam '!W$45,0)</f>
        <v>0</v>
      </c>
      <c r="X988" s="7">
        <f t="shared" si="176"/>
        <v>84.998005714285725</v>
      </c>
      <c r="Y988" s="7"/>
      <c r="Z988" s="7"/>
      <c r="AA988" s="7"/>
      <c r="AB988" s="7"/>
      <c r="AC988" s="7"/>
      <c r="AD988" s="7"/>
      <c r="AE988" s="7"/>
      <c r="AF988" s="7"/>
    </row>
    <row r="989" spans="1:32" s="9" customFormat="1" ht="20.100000000000001" customHeight="1" x14ac:dyDescent="0.25">
      <c r="A989" s="14"/>
      <c r="B989" s="10" t="s">
        <v>2</v>
      </c>
      <c r="C989" s="13" t="s">
        <v>18</v>
      </c>
      <c r="D989" s="14">
        <f>D988</f>
        <v>12</v>
      </c>
      <c r="E989" s="14">
        <f>+E988</f>
        <v>0.1</v>
      </c>
      <c r="F989" s="7">
        <f>ROUNDUP(E983/E989,0)</f>
        <v>29</v>
      </c>
      <c r="H989" s="14"/>
      <c r="I989" s="14"/>
      <c r="J989" s="14"/>
      <c r="K989" s="14"/>
      <c r="L989" s="14"/>
      <c r="M989" s="14"/>
      <c r="N989" s="14"/>
      <c r="O989" s="7">
        <f>(2*(((F983-'[2]Beam '!$D$11*2)/(F984-1))+(G983-'[2]Beam '!$D$11*2))+(2*10*D989/1000))*D983</f>
        <v>2.8100000000000005</v>
      </c>
      <c r="P989" s="7">
        <f t="shared" si="175"/>
        <v>81.490000000000009</v>
      </c>
      <c r="Q989" s="7">
        <f>IF($D989='[2]Beam '!Q$44,$P989*'[2]Beam '!Q$45,0)</f>
        <v>0</v>
      </c>
      <c r="R989" s="7">
        <f>IF($D989='[2]Beam '!R$44,$P989*'[2]Beam '!R$45,0)</f>
        <v>0</v>
      </c>
      <c r="S989" s="7">
        <f>IF($D989='[2]Beam '!S$44,$P989*'[2]Beam '!S$45,0)</f>
        <v>72.377089714285731</v>
      </c>
      <c r="T989" s="7">
        <f>IF($D989='[2]Beam '!T$44,$P989*'[2]Beam '!T$45,0)</f>
        <v>0</v>
      </c>
      <c r="U989" s="7">
        <f>IF($D989='[2]Beam '!U$44,$P989*'[2]Beam '!U$45,0)</f>
        <v>0</v>
      </c>
      <c r="V989" s="7">
        <f>IF($D989='[2]Beam '!V$44,$P989*'[2]Beam '!V$45,0)</f>
        <v>0</v>
      </c>
      <c r="W989" s="7">
        <f>IF($D989='[2]Beam '!W$44,$P989*'[2]Beam '!W$45,0)</f>
        <v>0</v>
      </c>
      <c r="X989" s="7">
        <f t="shared" si="176"/>
        <v>72.377089714285731</v>
      </c>
      <c r="Y989" s="14"/>
      <c r="Z989" s="7"/>
      <c r="AA989" s="7"/>
      <c r="AB989" s="7"/>
      <c r="AC989" s="7"/>
      <c r="AD989" s="7"/>
      <c r="AE989" s="7"/>
    </row>
    <row r="990" spans="1:32" s="9" customFormat="1" ht="20.100000000000001" customHeight="1" x14ac:dyDescent="0.25">
      <c r="A990" s="7">
        <v>1</v>
      </c>
      <c r="B990" s="10" t="s">
        <v>2</v>
      </c>
      <c r="C990" s="11" t="s">
        <v>151</v>
      </c>
      <c r="D990" s="11">
        <v>1</v>
      </c>
      <c r="E990" s="11">
        <v>2</v>
      </c>
      <c r="F990" s="11">
        <v>0.3</v>
      </c>
      <c r="G990" s="11">
        <v>1.1000000000000001</v>
      </c>
      <c r="H990" s="7">
        <f>G990-0.2</f>
        <v>0.90000000000000013</v>
      </c>
      <c r="I990" s="7">
        <f>E990*F990*G990*D990</f>
        <v>0.66</v>
      </c>
      <c r="J990" s="7">
        <f>(2*(E990)*H990*D990)+(E990*F990)</f>
        <v>4.2</v>
      </c>
      <c r="K990" s="12">
        <f>IF(E990=0.3,J990,0)</f>
        <v>0</v>
      </c>
      <c r="L990" s="12">
        <f>IF(AND(E990&gt;0.3,E990&lt;=0.75),J990,0)</f>
        <v>0</v>
      </c>
      <c r="M990" s="12">
        <f>IF(AND(E990&gt;0.75,E990&lt;=1.2),J990,0)</f>
        <v>0</v>
      </c>
      <c r="N990" s="12">
        <f>IF(E990&gt;1.2,J990,0)</f>
        <v>4.2</v>
      </c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>
        <f>SUM(X991:X997)/I990</f>
        <v>267.74578142857143</v>
      </c>
      <c r="Z990" s="7"/>
      <c r="AA990" s="7"/>
      <c r="AB990" s="7"/>
      <c r="AC990" s="7"/>
      <c r="AD990" s="7"/>
      <c r="AE990" s="7"/>
    </row>
    <row r="991" spans="1:32" s="9" customFormat="1" ht="20.100000000000001" customHeight="1" x14ac:dyDescent="0.25">
      <c r="A991" s="6"/>
      <c r="B991" s="10" t="s">
        <v>2</v>
      </c>
      <c r="C991" s="13" t="s">
        <v>4</v>
      </c>
      <c r="D991" s="7">
        <v>25</v>
      </c>
      <c r="E991" s="7"/>
      <c r="F991" s="7">
        <v>3</v>
      </c>
      <c r="G991" s="8">
        <f>VLOOKUP(D991,'[2]Beam '!$C$20:$H$26,3,0)</f>
        <v>1</v>
      </c>
      <c r="H991" s="8"/>
      <c r="I991" s="7"/>
      <c r="J991" s="7"/>
      <c r="K991" s="7"/>
      <c r="L991" s="7"/>
      <c r="M991" s="7"/>
      <c r="N991" s="7"/>
      <c r="O991" s="7">
        <f>(E990+2*(G991+(12*D991/1000)))*D990</f>
        <v>4.5999999999999996</v>
      </c>
      <c r="P991" s="7">
        <f t="shared" ref="P991:P997" si="177">O991*F991</f>
        <v>13.799999999999999</v>
      </c>
      <c r="Q991" s="7">
        <f>IF($D991='[2]Beam '!Q$44,$P991*'[2]Beam '!Q$45,0)</f>
        <v>0</v>
      </c>
      <c r="R991" s="7">
        <f>IF($D991='[2]Beam '!R$44,$P991*'[2]Beam '!R$45,0)</f>
        <v>0</v>
      </c>
      <c r="S991" s="7">
        <f>IF($D991='[2]Beam '!S$44,$P991*'[2]Beam '!S$45,0)</f>
        <v>0</v>
      </c>
      <c r="T991" s="7">
        <f>IF($D991='[2]Beam '!T$44,$P991*'[2]Beam '!T$45,0)</f>
        <v>0</v>
      </c>
      <c r="U991" s="7">
        <f>IF($D991='[2]Beam '!U$44,$P991*'[2]Beam '!U$45,0)</f>
        <v>0</v>
      </c>
      <c r="V991" s="7">
        <f>IF($D991='[2]Beam '!V$44,$P991*'[2]Beam '!V$45,0)</f>
        <v>53.197767857142864</v>
      </c>
      <c r="W991" s="7">
        <f>IF($D991='[2]Beam '!W$44,$P991*'[2]Beam '!W$45,0)</f>
        <v>0</v>
      </c>
      <c r="X991" s="7">
        <f t="shared" ref="X991:X997" si="178">SUM(Q991:W991)</f>
        <v>53.197767857142864</v>
      </c>
      <c r="Y991" s="7"/>
      <c r="Z991" s="7"/>
      <c r="AA991" s="7"/>
      <c r="AB991" s="7"/>
      <c r="AC991" s="7"/>
      <c r="AD991" s="7"/>
      <c r="AE991" s="7"/>
    </row>
    <row r="992" spans="1:32" s="9" customFormat="1" ht="20.100000000000001" customHeight="1" x14ac:dyDescent="0.25">
      <c r="A992" s="6"/>
      <c r="B992" s="10" t="s">
        <v>2</v>
      </c>
      <c r="C992" s="13" t="s">
        <v>5</v>
      </c>
      <c r="D992" s="7">
        <v>25</v>
      </c>
      <c r="E992" s="7"/>
      <c r="F992" s="7">
        <v>2</v>
      </c>
      <c r="G992" s="8">
        <f>VLOOKUP(D992,'[2]Beam '!$C$20:$H$26,3,0)</f>
        <v>1</v>
      </c>
      <c r="H992" s="8"/>
      <c r="I992" s="7"/>
      <c r="J992" s="7"/>
      <c r="K992" s="7"/>
      <c r="L992" s="7"/>
      <c r="M992" s="7"/>
      <c r="N992" s="7"/>
      <c r="O992" s="7">
        <f>(0.6+1*(G992+(12*D992/1000)))*D990</f>
        <v>1.9</v>
      </c>
      <c r="P992" s="7">
        <f t="shared" si="177"/>
        <v>3.8</v>
      </c>
      <c r="Q992" s="7">
        <f>IF($D992='[2]Beam '!Q$44,$P992*'[2]Beam '!Q$45,0)</f>
        <v>0</v>
      </c>
      <c r="R992" s="7">
        <f>IF($D992='[2]Beam '!R$44,$P992*'[2]Beam '!R$45,0)</f>
        <v>0</v>
      </c>
      <c r="S992" s="7">
        <f>IF($D992='[2]Beam '!S$44,$P992*'[2]Beam '!S$45,0)</f>
        <v>0</v>
      </c>
      <c r="T992" s="7">
        <f>IF($D992='[2]Beam '!T$44,$P992*'[2]Beam '!T$45,0)</f>
        <v>0</v>
      </c>
      <c r="U992" s="7">
        <f>IF($D992='[2]Beam '!U$44,$P992*'[2]Beam '!U$45,0)</f>
        <v>0</v>
      </c>
      <c r="V992" s="7">
        <f>IF($D992='[2]Beam '!V$44,$P992*'[2]Beam '!V$45,0)</f>
        <v>14.648660714285716</v>
      </c>
      <c r="W992" s="7">
        <f>IF($D992='[2]Beam '!W$44,$P992*'[2]Beam '!W$45,0)</f>
        <v>0</v>
      </c>
      <c r="X992" s="7">
        <f t="shared" si="178"/>
        <v>14.648660714285716</v>
      </c>
      <c r="Y992" s="7"/>
      <c r="Z992" s="7"/>
      <c r="AA992" s="7"/>
      <c r="AB992" s="7"/>
      <c r="AC992" s="7"/>
      <c r="AD992" s="7"/>
      <c r="AE992" s="7"/>
    </row>
    <row r="993" spans="1:32" s="9" customFormat="1" ht="20.100000000000001" customHeight="1" x14ac:dyDescent="0.25">
      <c r="A993" s="6"/>
      <c r="B993" s="10" t="s">
        <v>2</v>
      </c>
      <c r="C993" s="13" t="s">
        <v>6</v>
      </c>
      <c r="D993" s="7">
        <v>25</v>
      </c>
      <c r="E993" s="7"/>
      <c r="F993" s="7">
        <v>3</v>
      </c>
      <c r="G993" s="8">
        <f>VLOOKUP(D993,'[2]Beam '!$C$20:$H$26,3,0)</f>
        <v>1</v>
      </c>
      <c r="H993" s="7"/>
      <c r="I993" s="7"/>
      <c r="J993" s="7"/>
      <c r="K993" s="7"/>
      <c r="L993" s="7"/>
      <c r="M993" s="7"/>
      <c r="N993" s="7"/>
      <c r="O993" s="7">
        <f>(E990+2*(G993+(12*D993/1000)))*D990</f>
        <v>4.5999999999999996</v>
      </c>
      <c r="P993" s="7">
        <f t="shared" si="177"/>
        <v>13.799999999999999</v>
      </c>
      <c r="Q993" s="7">
        <f>IF($D993='[2]Beam '!Q$44,$P993*'[2]Beam '!Q$45,0)</f>
        <v>0</v>
      </c>
      <c r="R993" s="7">
        <f>IF($D993='[2]Beam '!R$44,$P993*'[2]Beam '!R$45,0)</f>
        <v>0</v>
      </c>
      <c r="S993" s="7">
        <f>IF($D993='[2]Beam '!S$44,$P993*'[2]Beam '!S$45,0)</f>
        <v>0</v>
      </c>
      <c r="T993" s="7">
        <f>IF($D993='[2]Beam '!T$44,$P993*'[2]Beam '!T$45,0)</f>
        <v>0</v>
      </c>
      <c r="U993" s="7">
        <f>IF($D993='[2]Beam '!U$44,$P993*'[2]Beam '!U$45,0)</f>
        <v>0</v>
      </c>
      <c r="V993" s="7">
        <f>IF($D993='[2]Beam '!V$44,$P993*'[2]Beam '!V$45,0)</f>
        <v>53.197767857142864</v>
      </c>
      <c r="W993" s="7">
        <f>IF($D993='[2]Beam '!W$44,$P993*'[2]Beam '!W$45,0)</f>
        <v>0</v>
      </c>
      <c r="X993" s="7">
        <f t="shared" si="178"/>
        <v>53.197767857142864</v>
      </c>
      <c r="Y993" s="7"/>
      <c r="Z993" s="7"/>
      <c r="AA993" s="7"/>
      <c r="AB993" s="7"/>
      <c r="AC993" s="7"/>
      <c r="AD993" s="7"/>
      <c r="AE993" s="7"/>
    </row>
    <row r="994" spans="1:32" s="14" customFormat="1" ht="20.100000000000001" customHeight="1" x14ac:dyDescent="0.3">
      <c r="A994" s="6"/>
      <c r="B994" s="10" t="s">
        <v>2</v>
      </c>
      <c r="C994" s="13" t="s">
        <v>6</v>
      </c>
      <c r="D994" s="7">
        <v>16</v>
      </c>
      <c r="E994" s="7"/>
      <c r="F994" s="7">
        <v>2</v>
      </c>
      <c r="G994" s="8">
        <f>VLOOKUP(D994,'[2]Beam '!$C$20:$H$26,3,0)</f>
        <v>0.625</v>
      </c>
      <c r="H994" s="7"/>
      <c r="I994" s="7"/>
      <c r="J994" s="7"/>
      <c r="K994" s="7"/>
      <c r="L994" s="7"/>
      <c r="M994" s="7"/>
      <c r="N994" s="7"/>
      <c r="O994" s="7">
        <f>(0.6+1*(G994+(12*D994/1000)))*D990</f>
        <v>1.4169999999999998</v>
      </c>
      <c r="P994" s="7">
        <f t="shared" si="177"/>
        <v>2.8339999999999996</v>
      </c>
      <c r="Q994" s="7">
        <f>IF($D994='[2]Beam '!Q$44,$P994*'[2]Beam '!Q$45,0)</f>
        <v>0</v>
      </c>
      <c r="R994" s="7">
        <f>IF($D994='[2]Beam '!R$44,$P994*'[2]Beam '!R$45,0)</f>
        <v>0</v>
      </c>
      <c r="S994" s="7">
        <f>IF($D994='[2]Beam '!S$44,$P994*'[2]Beam '!S$45,0)</f>
        <v>0</v>
      </c>
      <c r="T994" s="7">
        <f>IF($D994='[2]Beam '!T$44,$P994*'[2]Beam '!T$45,0)</f>
        <v>4.4748050285714287</v>
      </c>
      <c r="U994" s="7">
        <f>IF($D994='[2]Beam '!U$44,$P994*'[2]Beam '!U$45,0)</f>
        <v>0</v>
      </c>
      <c r="V994" s="7">
        <f>IF($D994='[2]Beam '!V$44,$P994*'[2]Beam '!V$45,0)</f>
        <v>0</v>
      </c>
      <c r="W994" s="7">
        <f>IF($D994='[2]Beam '!W$44,$P994*'[2]Beam '!W$45,0)</f>
        <v>0</v>
      </c>
      <c r="X994" s="7">
        <f t="shared" si="178"/>
        <v>4.4748050285714287</v>
      </c>
      <c r="Y994" s="7"/>
    </row>
    <row r="995" spans="1:32" s="9" customFormat="1" ht="20.100000000000001" customHeight="1" x14ac:dyDescent="0.25">
      <c r="A995" s="6"/>
      <c r="B995" s="10" t="s">
        <v>2</v>
      </c>
      <c r="C995" s="13" t="s">
        <v>26</v>
      </c>
      <c r="D995" s="7">
        <v>10</v>
      </c>
      <c r="E995" s="7">
        <v>0.1</v>
      </c>
      <c r="F995" s="7">
        <f>ROUNDUP(E990/E995,0)</f>
        <v>20</v>
      </c>
      <c r="H995" s="7"/>
      <c r="I995" s="7"/>
      <c r="J995" s="7"/>
      <c r="K995" s="7"/>
      <c r="L995" s="7"/>
      <c r="M995" s="7"/>
      <c r="N995" s="7"/>
      <c r="O995" s="7">
        <f>(2*((G990-(2*'[2]Beam '!$D$11))+(F990-(2*'[2]Beam '!$D$11)))+(2*10*D995/1000))*D990</f>
        <v>2.7600000000000002</v>
      </c>
      <c r="P995" s="7">
        <f t="shared" si="177"/>
        <v>55.2</v>
      </c>
      <c r="Q995" s="7">
        <f>IF($D995='[2]Beam '!Q$44,$P995*'[2]Beam '!Q$45,0)</f>
        <v>0</v>
      </c>
      <c r="R995" s="7">
        <f>IF($D995='[2]Beam '!R$44,$P995*'[2]Beam '!R$45,0)</f>
        <v>34.046571428571433</v>
      </c>
      <c r="S995" s="7">
        <f>IF($D995='[2]Beam '!S$44,$P995*'[2]Beam '!S$45,0)</f>
        <v>0</v>
      </c>
      <c r="T995" s="7">
        <f>IF($D995='[2]Beam '!T$44,$P995*'[2]Beam '!T$45,0)</f>
        <v>0</v>
      </c>
      <c r="U995" s="7">
        <f>IF($D995='[2]Beam '!U$44,$P995*'[2]Beam '!U$45,0)</f>
        <v>0</v>
      </c>
      <c r="V995" s="7">
        <f>IF($D995='[2]Beam '!V$44,$P995*'[2]Beam '!V$45,0)</f>
        <v>0</v>
      </c>
      <c r="W995" s="7">
        <f>IF($D995='[2]Beam '!W$44,$P995*'[2]Beam '!W$45,0)</f>
        <v>0</v>
      </c>
      <c r="X995" s="7">
        <f t="shared" si="178"/>
        <v>34.046571428571433</v>
      </c>
      <c r="Y995" s="7"/>
      <c r="Z995" s="7"/>
      <c r="AA995" s="7"/>
      <c r="AB995" s="7"/>
      <c r="AC995" s="7"/>
      <c r="AD995" s="7"/>
      <c r="AE995" s="7"/>
    </row>
    <row r="996" spans="1:32" s="9" customFormat="1" ht="21" customHeight="1" x14ac:dyDescent="0.25">
      <c r="A996" s="14"/>
      <c r="B996" s="10" t="s">
        <v>2</v>
      </c>
      <c r="C996" s="13" t="s">
        <v>47</v>
      </c>
      <c r="D996" s="7">
        <f>+D995</f>
        <v>10</v>
      </c>
      <c r="E996" s="14">
        <f>+E995</f>
        <v>0.1</v>
      </c>
      <c r="F996" s="7">
        <f>ROUNDUP(E990/E996,0)</f>
        <v>20</v>
      </c>
      <c r="H996" s="14"/>
      <c r="I996" s="14"/>
      <c r="J996" s="14"/>
      <c r="K996" s="14"/>
      <c r="L996" s="14"/>
      <c r="M996" s="14"/>
      <c r="N996" s="14"/>
      <c r="O996" s="7">
        <f>((((G990-(2*'[2]Beam '!$D$11))+(2*10*D996/1000))*D990))</f>
        <v>1.24</v>
      </c>
      <c r="P996" s="7">
        <f t="shared" si="177"/>
        <v>24.8</v>
      </c>
      <c r="Q996" s="7">
        <f>IF($D996='[2]Beam '!Q$44,$P996*'[2]Beam '!Q$45,0)</f>
        <v>0</v>
      </c>
      <c r="R996" s="7">
        <f>IF($D996='[2]Beam '!R$44,$P996*'[2]Beam '!R$45,0)</f>
        <v>15.296285714285714</v>
      </c>
      <c r="S996" s="7">
        <f>IF($D996='[2]Beam '!S$44,$P996*'[2]Beam '!S$45,0)</f>
        <v>0</v>
      </c>
      <c r="T996" s="7">
        <f>IF($D996='[2]Beam '!T$44,$P996*'[2]Beam '!T$45,0)</f>
        <v>0</v>
      </c>
      <c r="U996" s="7">
        <f>IF($D996='[2]Beam '!U$44,$P996*'[2]Beam '!U$45,0)</f>
        <v>0</v>
      </c>
      <c r="V996" s="7">
        <f>IF($D996='[2]Beam '!V$44,$P996*'[2]Beam '!V$45,0)</f>
        <v>0</v>
      </c>
      <c r="W996" s="7">
        <f>IF($D996='[2]Beam '!W$44,$P996*'[2]Beam '!W$45,0)</f>
        <v>0</v>
      </c>
      <c r="X996" s="7">
        <f t="shared" si="178"/>
        <v>15.296285714285714</v>
      </c>
      <c r="Y996" s="14"/>
      <c r="Z996" s="7"/>
      <c r="AA996" s="7"/>
      <c r="AB996" s="7"/>
      <c r="AC996" s="7"/>
      <c r="AD996" s="7"/>
      <c r="AE996" s="7"/>
      <c r="AF996" s="7"/>
    </row>
    <row r="997" spans="1:32" s="9" customFormat="1" ht="20.100000000000001" customHeight="1" x14ac:dyDescent="0.25">
      <c r="A997" s="6"/>
      <c r="B997" s="10" t="s">
        <v>2</v>
      </c>
      <c r="C997" s="13" t="s">
        <v>11</v>
      </c>
      <c r="D997" s="7">
        <f>+'[2]Beam '!$D$15</f>
        <v>25</v>
      </c>
      <c r="E997" s="7">
        <f>+'[2]Beam '!$E$15</f>
        <v>1</v>
      </c>
      <c r="F997" s="7">
        <f>ROUNDUP((0.6+0.6)/E997,0)</f>
        <v>2</v>
      </c>
      <c r="G997" s="8"/>
      <c r="H997" s="8"/>
      <c r="I997" s="7"/>
      <c r="J997" s="7"/>
      <c r="K997" s="7"/>
      <c r="L997" s="7"/>
      <c r="M997" s="7"/>
      <c r="N997" s="7"/>
      <c r="O997" s="7">
        <f>F990-'[2]Beam '!$F$15</f>
        <v>0.24</v>
      </c>
      <c r="P997" s="7">
        <f t="shared" si="177"/>
        <v>0.48</v>
      </c>
      <c r="Q997" s="7">
        <f>IF($D997='[2]Beam '!Q$44,$P997*'[2]Beam '!Q$45,0)</f>
        <v>0</v>
      </c>
      <c r="R997" s="7">
        <f>IF($D997='[2]Beam '!R$44,$P997*'[2]Beam '!R$45,0)</f>
        <v>0</v>
      </c>
      <c r="S997" s="7">
        <f>IF($D997='[2]Beam '!S$44,$P997*'[2]Beam '!S$45,0)</f>
        <v>0</v>
      </c>
      <c r="T997" s="7">
        <f>IF($D997='[2]Beam '!T$44,$P997*'[2]Beam '!T$45,0)</f>
        <v>0</v>
      </c>
      <c r="U997" s="7">
        <f>IF($D997='[2]Beam '!U$44,$P997*'[2]Beam '!U$45,0)</f>
        <v>0</v>
      </c>
      <c r="V997" s="7">
        <f>IF($D997='[2]Beam '!V$44,$P997*'[2]Beam '!V$45,0)</f>
        <v>1.850357142857143</v>
      </c>
      <c r="W997" s="7">
        <f>IF($D997='[2]Beam '!W$44,$P997*'[2]Beam '!W$45,0)</f>
        <v>0</v>
      </c>
      <c r="X997" s="7">
        <f t="shared" si="178"/>
        <v>1.850357142857143</v>
      </c>
      <c r="Y997" s="7"/>
      <c r="Z997" s="7"/>
      <c r="AA997" s="7"/>
      <c r="AB997" s="7"/>
      <c r="AC997" s="7"/>
      <c r="AD997" s="7"/>
      <c r="AE997" s="7"/>
    </row>
    <row r="998" spans="1:32" s="9" customFormat="1" ht="20.100000000000001" customHeight="1" x14ac:dyDescent="0.25">
      <c r="A998" s="7">
        <v>1</v>
      </c>
      <c r="B998" s="10" t="s">
        <v>2</v>
      </c>
      <c r="C998" s="11" t="s">
        <v>152</v>
      </c>
      <c r="D998" s="11">
        <v>1</v>
      </c>
      <c r="E998" s="11">
        <v>1.7</v>
      </c>
      <c r="F998" s="11">
        <v>0.3</v>
      </c>
      <c r="G998" s="11">
        <v>1.1000000000000001</v>
      </c>
      <c r="H998" s="7">
        <f>G998-0.2</f>
        <v>0.90000000000000013</v>
      </c>
      <c r="I998" s="7">
        <f>E998*F998*G998*D998</f>
        <v>0.56100000000000005</v>
      </c>
      <c r="J998" s="7">
        <f>(2*(E998)*H998*D998)+(E998*F998)</f>
        <v>3.5700000000000003</v>
      </c>
      <c r="K998" s="12">
        <f>IF(E998=0.3,J998,0)</f>
        <v>0</v>
      </c>
      <c r="L998" s="12">
        <f>IF(AND(E998&gt;0.3,E998&lt;=0.75),J998,0)</f>
        <v>0</v>
      </c>
      <c r="M998" s="12">
        <f>IF(AND(E998&gt;0.75,E998&lt;=1.2),J998,0)</f>
        <v>0</v>
      </c>
      <c r="N998" s="12">
        <f>IF(E998&gt;1.2,J998,0)</f>
        <v>3.5700000000000003</v>
      </c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>
        <f>SUM(X999:X1003)/I998</f>
        <v>216.44011204481794</v>
      </c>
      <c r="Z998" s="7"/>
      <c r="AA998" s="7"/>
      <c r="AB998" s="7"/>
      <c r="AC998" s="7"/>
      <c r="AD998" s="7"/>
      <c r="AE998" s="7"/>
    </row>
    <row r="999" spans="1:32" s="9" customFormat="1" ht="20.100000000000001" customHeight="1" x14ac:dyDescent="0.25">
      <c r="A999" s="6"/>
      <c r="B999" s="10" t="s">
        <v>2</v>
      </c>
      <c r="C999" s="13" t="s">
        <v>4</v>
      </c>
      <c r="D999" s="7">
        <v>25</v>
      </c>
      <c r="E999" s="7"/>
      <c r="F999" s="7">
        <v>2</v>
      </c>
      <c r="G999" s="8">
        <f>VLOOKUP(D999,'[2]Beam '!$C$20:$H$26,3,0)</f>
        <v>1</v>
      </c>
      <c r="H999" s="8"/>
      <c r="I999" s="7"/>
      <c r="J999" s="7"/>
      <c r="K999" s="7"/>
      <c r="L999" s="7"/>
      <c r="M999" s="7"/>
      <c r="N999" s="7"/>
      <c r="O999" s="7">
        <f>(E998+1*(G999+(12*D999/1000)))+1*(G999)*D998</f>
        <v>4</v>
      </c>
      <c r="P999" s="7">
        <f t="shared" ref="P999:P1005" si="179">O999*F999</f>
        <v>8</v>
      </c>
      <c r="Q999" s="7">
        <f>IF($D999='[2]Beam '!Q$44,$P999*'[2]Beam '!Q$45,0)</f>
        <v>0</v>
      </c>
      <c r="R999" s="7">
        <f>IF($D999='[2]Beam '!R$44,$P999*'[2]Beam '!R$45,0)</f>
        <v>0</v>
      </c>
      <c r="S999" s="7">
        <f>IF($D999='[2]Beam '!S$44,$P999*'[2]Beam '!S$45,0)</f>
        <v>0</v>
      </c>
      <c r="T999" s="7">
        <f>IF($D999='[2]Beam '!T$44,$P999*'[2]Beam '!T$45,0)</f>
        <v>0</v>
      </c>
      <c r="U999" s="7">
        <f>IF($D999='[2]Beam '!U$44,$P999*'[2]Beam '!U$45,0)</f>
        <v>0</v>
      </c>
      <c r="V999" s="7">
        <f>IF($D999='[2]Beam '!V$44,$P999*'[2]Beam '!V$45,0)</f>
        <v>30.839285714285719</v>
      </c>
      <c r="W999" s="7">
        <f>IF($D999='[2]Beam '!W$44,$P999*'[2]Beam '!W$45,0)</f>
        <v>0</v>
      </c>
      <c r="X999" s="7">
        <f t="shared" ref="X999:X1005" si="180">SUM(Q999:W999)</f>
        <v>30.839285714285719</v>
      </c>
      <c r="Y999" s="7"/>
      <c r="Z999" s="7"/>
      <c r="AA999" s="7"/>
      <c r="AB999" s="7"/>
      <c r="AC999" s="7"/>
      <c r="AD999" s="7"/>
      <c r="AE999" s="7"/>
    </row>
    <row r="1000" spans="1:32" s="9" customFormat="1" ht="20.100000000000001" customHeight="1" x14ac:dyDescent="0.25">
      <c r="A1000" s="6"/>
      <c r="B1000" s="10" t="s">
        <v>2</v>
      </c>
      <c r="C1000" s="13" t="s">
        <v>4</v>
      </c>
      <c r="D1000" s="7">
        <v>20</v>
      </c>
      <c r="E1000" s="7"/>
      <c r="F1000" s="7">
        <v>1</v>
      </c>
      <c r="G1000" s="8">
        <f>VLOOKUP(D1000,'[2]Beam '!$C$20:$H$26,3,0)</f>
        <v>0.8</v>
      </c>
      <c r="H1000" s="8"/>
      <c r="I1000" s="7"/>
      <c r="J1000" s="7"/>
      <c r="K1000" s="7"/>
      <c r="L1000" s="7"/>
      <c r="M1000" s="7"/>
      <c r="N1000" s="7"/>
      <c r="O1000" s="7">
        <f>(E998+1*(G1000+(12*D1000/1000)))+1*(G1000)*D998</f>
        <v>3.54</v>
      </c>
      <c r="P1000" s="7">
        <f t="shared" si="179"/>
        <v>3.54</v>
      </c>
      <c r="Q1000" s="7">
        <f>IF($D1000='[2]Beam '!Q$44,$P1000*'[2]Beam '!Q$45,0)</f>
        <v>0</v>
      </c>
      <c r="R1000" s="7">
        <f>IF($D1000='[2]Beam '!R$44,$P1000*'[2]Beam '!R$45,0)</f>
        <v>0</v>
      </c>
      <c r="S1000" s="7">
        <f>IF($D1000='[2]Beam '!S$44,$P1000*'[2]Beam '!S$45,0)</f>
        <v>0</v>
      </c>
      <c r="T1000" s="7">
        <f>IF($D1000='[2]Beam '!T$44,$P1000*'[2]Beam '!T$45,0)</f>
        <v>0</v>
      </c>
      <c r="U1000" s="7">
        <f>IF($D1000='[2]Beam '!U$44,$P1000*'[2]Beam '!U$45,0)</f>
        <v>8.7336857142857145</v>
      </c>
      <c r="V1000" s="7">
        <f>IF($D1000='[2]Beam '!V$44,$P1000*'[2]Beam '!V$45,0)</f>
        <v>0</v>
      </c>
      <c r="W1000" s="7">
        <f>IF($D1000='[2]Beam '!W$44,$P1000*'[2]Beam '!W$45,0)</f>
        <v>0</v>
      </c>
      <c r="X1000" s="7">
        <f t="shared" si="180"/>
        <v>8.7336857142857145</v>
      </c>
      <c r="Y1000" s="7"/>
      <c r="Z1000" s="7"/>
      <c r="AA1000" s="7"/>
      <c r="AB1000" s="7"/>
      <c r="AC1000" s="7"/>
      <c r="AD1000" s="7"/>
      <c r="AE1000" s="7"/>
    </row>
    <row r="1001" spans="1:32" s="9" customFormat="1" ht="20.100000000000001" customHeight="1" x14ac:dyDescent="0.25">
      <c r="A1001" s="6"/>
      <c r="B1001" s="10" t="s">
        <v>2</v>
      </c>
      <c r="C1001" s="13" t="s">
        <v>6</v>
      </c>
      <c r="D1001" s="7">
        <v>25</v>
      </c>
      <c r="E1001" s="7"/>
      <c r="F1001" s="7">
        <v>2</v>
      </c>
      <c r="G1001" s="8">
        <f>VLOOKUP(D1001,'[2]Beam '!$C$20:$H$26,3,0)</f>
        <v>1</v>
      </c>
      <c r="H1001" s="7"/>
      <c r="I1001" s="7"/>
      <c r="J1001" s="7"/>
      <c r="K1001" s="7"/>
      <c r="L1001" s="7"/>
      <c r="M1001" s="7"/>
      <c r="N1001" s="7"/>
      <c r="O1001" s="7">
        <f>(E998+1*(G1001+(12*D1001/1000))+1*(G1001))*D998</f>
        <v>4</v>
      </c>
      <c r="P1001" s="7">
        <f t="shared" si="179"/>
        <v>8</v>
      </c>
      <c r="Q1001" s="7">
        <f>IF($D1001='[2]Beam '!Q$44,$P1001*'[2]Beam '!Q$45,0)</f>
        <v>0</v>
      </c>
      <c r="R1001" s="7">
        <f>IF($D1001='[2]Beam '!R$44,$P1001*'[2]Beam '!R$45,0)</f>
        <v>0</v>
      </c>
      <c r="S1001" s="7">
        <f>IF($D1001='[2]Beam '!S$44,$P1001*'[2]Beam '!S$45,0)</f>
        <v>0</v>
      </c>
      <c r="T1001" s="7">
        <f>IF($D1001='[2]Beam '!T$44,$P1001*'[2]Beam '!T$45,0)</f>
        <v>0</v>
      </c>
      <c r="U1001" s="7">
        <f>IF($D1001='[2]Beam '!U$44,$P1001*'[2]Beam '!U$45,0)</f>
        <v>0</v>
      </c>
      <c r="V1001" s="7">
        <f>IF($D1001='[2]Beam '!V$44,$P1001*'[2]Beam '!V$45,0)</f>
        <v>30.839285714285719</v>
      </c>
      <c r="W1001" s="7">
        <f>IF($D1001='[2]Beam '!W$44,$P1001*'[2]Beam '!W$45,0)</f>
        <v>0</v>
      </c>
      <c r="X1001" s="7">
        <f t="shared" si="180"/>
        <v>30.839285714285719</v>
      </c>
      <c r="Y1001" s="7"/>
      <c r="Z1001" s="7"/>
      <c r="AA1001" s="7"/>
      <c r="AB1001" s="7"/>
      <c r="AC1001" s="7"/>
      <c r="AD1001" s="7"/>
      <c r="AE1001" s="7"/>
    </row>
    <row r="1002" spans="1:32" s="14" customFormat="1" ht="20.100000000000001" customHeight="1" x14ac:dyDescent="0.3">
      <c r="A1002" s="6"/>
      <c r="B1002" s="10" t="s">
        <v>2</v>
      </c>
      <c r="C1002" s="13" t="s">
        <v>6</v>
      </c>
      <c r="D1002" s="7">
        <v>20</v>
      </c>
      <c r="E1002" s="7"/>
      <c r="F1002" s="7">
        <v>1</v>
      </c>
      <c r="G1002" s="8">
        <f>VLOOKUP(D1002,'[2]Beam '!$C$20:$H$26,3,0)</f>
        <v>0.8</v>
      </c>
      <c r="H1002" s="7"/>
      <c r="I1002" s="7"/>
      <c r="J1002" s="7"/>
      <c r="K1002" s="7"/>
      <c r="L1002" s="7"/>
      <c r="M1002" s="7"/>
      <c r="N1002" s="7"/>
      <c r="O1002" s="7">
        <f>(E998+1*(G1002+(12*D1002/1000))+1*(G1002))*D998</f>
        <v>3.54</v>
      </c>
      <c r="P1002" s="7">
        <f t="shared" si="179"/>
        <v>3.54</v>
      </c>
      <c r="Q1002" s="7">
        <f>IF($D1002='[2]Beam '!Q$44,$P1002*'[2]Beam '!Q$45,0)</f>
        <v>0</v>
      </c>
      <c r="R1002" s="7">
        <f>IF($D1002='[2]Beam '!R$44,$P1002*'[2]Beam '!R$45,0)</f>
        <v>0</v>
      </c>
      <c r="S1002" s="7">
        <f>IF($D1002='[2]Beam '!S$44,$P1002*'[2]Beam '!S$45,0)</f>
        <v>0</v>
      </c>
      <c r="T1002" s="7">
        <f>IF($D1002='[2]Beam '!T$44,$P1002*'[2]Beam '!T$45,0)</f>
        <v>0</v>
      </c>
      <c r="U1002" s="7">
        <f>IF($D1002='[2]Beam '!U$44,$P1002*'[2]Beam '!U$45,0)</f>
        <v>8.7336857142857145</v>
      </c>
      <c r="V1002" s="7">
        <f>IF($D1002='[2]Beam '!V$44,$P1002*'[2]Beam '!V$45,0)</f>
        <v>0</v>
      </c>
      <c r="W1002" s="7">
        <f>IF($D1002='[2]Beam '!W$44,$P1002*'[2]Beam '!W$45,0)</f>
        <v>0</v>
      </c>
      <c r="X1002" s="7">
        <f t="shared" si="180"/>
        <v>8.7336857142857145</v>
      </c>
      <c r="Y1002" s="7"/>
    </row>
    <row r="1003" spans="1:32" s="9" customFormat="1" ht="20.100000000000001" customHeight="1" x14ac:dyDescent="0.25">
      <c r="A1003" s="6"/>
      <c r="B1003" s="10" t="s">
        <v>2</v>
      </c>
      <c r="C1003" s="13" t="s">
        <v>26</v>
      </c>
      <c r="D1003" s="7">
        <v>12</v>
      </c>
      <c r="E1003" s="7">
        <v>0.1</v>
      </c>
      <c r="F1003" s="7">
        <f>ROUNDUP(E998/E1003,0)</f>
        <v>17</v>
      </c>
      <c r="H1003" s="7"/>
      <c r="I1003" s="7"/>
      <c r="J1003" s="7"/>
      <c r="K1003" s="7"/>
      <c r="L1003" s="7"/>
      <c r="M1003" s="7"/>
      <c r="N1003" s="7"/>
      <c r="O1003" s="7">
        <f>(2*((G998-(2*'[2]Beam '!$D$11))+(F998-(2*'[2]Beam '!$D$11)))+(2*10*D1003/1000))*D998</f>
        <v>2.8</v>
      </c>
      <c r="P1003" s="7">
        <f t="shared" si="179"/>
        <v>47.599999999999994</v>
      </c>
      <c r="Q1003" s="7">
        <f>IF($D1003='[2]Beam '!Q$44,$P1003*'[2]Beam '!Q$45,0)</f>
        <v>0</v>
      </c>
      <c r="R1003" s="7">
        <f>IF($D1003='[2]Beam '!R$44,$P1003*'[2]Beam '!R$45,0)</f>
        <v>0</v>
      </c>
      <c r="S1003" s="7">
        <f>IF($D1003='[2]Beam '!S$44,$P1003*'[2]Beam '!S$45,0)</f>
        <v>42.276960000000003</v>
      </c>
      <c r="T1003" s="7">
        <f>IF($D1003='[2]Beam '!T$44,$P1003*'[2]Beam '!T$45,0)</f>
        <v>0</v>
      </c>
      <c r="U1003" s="7">
        <f>IF($D1003='[2]Beam '!U$44,$P1003*'[2]Beam '!U$45,0)</f>
        <v>0</v>
      </c>
      <c r="V1003" s="7">
        <f>IF($D1003='[2]Beam '!V$44,$P1003*'[2]Beam '!V$45,0)</f>
        <v>0</v>
      </c>
      <c r="W1003" s="7">
        <f>IF($D1003='[2]Beam '!W$44,$P1003*'[2]Beam '!W$45,0)</f>
        <v>0</v>
      </c>
      <c r="X1003" s="7">
        <f t="shared" si="180"/>
        <v>42.276960000000003</v>
      </c>
      <c r="Y1003" s="7"/>
      <c r="Z1003" s="7"/>
      <c r="AA1003" s="7"/>
      <c r="AB1003" s="7"/>
      <c r="AC1003" s="7"/>
      <c r="AD1003" s="7"/>
      <c r="AE1003" s="7"/>
    </row>
    <row r="1004" spans="1:32" s="9" customFormat="1" ht="21" customHeight="1" x14ac:dyDescent="0.25">
      <c r="A1004" s="14"/>
      <c r="B1004" s="10" t="s">
        <v>2</v>
      </c>
      <c r="C1004" s="13" t="s">
        <v>47</v>
      </c>
      <c r="D1004" s="7">
        <f>+D1003</f>
        <v>12</v>
      </c>
      <c r="E1004" s="14">
        <f>+E1003</f>
        <v>0.1</v>
      </c>
      <c r="F1004" s="7">
        <f>ROUNDUP(E998/E1004,0)</f>
        <v>17</v>
      </c>
      <c r="H1004" s="14"/>
      <c r="I1004" s="14"/>
      <c r="J1004" s="14"/>
      <c r="K1004" s="14"/>
      <c r="L1004" s="14"/>
      <c r="M1004" s="14"/>
      <c r="N1004" s="14"/>
      <c r="O1004" s="7">
        <f>((((G998-(2*'[2]Beam '!$D$11))+(2*10*D1004/1000))*D998))</f>
        <v>1.28</v>
      </c>
      <c r="P1004" s="7">
        <f t="shared" si="179"/>
        <v>21.76</v>
      </c>
      <c r="Q1004" s="7">
        <f>IF($D1004='[2]Beam '!Q$44,$P1004*'[2]Beam '!Q$45,0)</f>
        <v>0</v>
      </c>
      <c r="R1004" s="7">
        <f>IF($D1004='[2]Beam '!R$44,$P1004*'[2]Beam '!R$45,0)</f>
        <v>0</v>
      </c>
      <c r="S1004" s="7">
        <f>IF($D1004='[2]Beam '!S$44,$P1004*'[2]Beam '!S$45,0)</f>
        <v>19.326610285714292</v>
      </c>
      <c r="T1004" s="7">
        <f>IF($D1004='[2]Beam '!T$44,$P1004*'[2]Beam '!T$45,0)</f>
        <v>0</v>
      </c>
      <c r="U1004" s="7">
        <f>IF($D1004='[2]Beam '!U$44,$P1004*'[2]Beam '!U$45,0)</f>
        <v>0</v>
      </c>
      <c r="V1004" s="7">
        <f>IF($D1004='[2]Beam '!V$44,$P1004*'[2]Beam '!V$45,0)</f>
        <v>0</v>
      </c>
      <c r="W1004" s="7">
        <f>IF($D1004='[2]Beam '!W$44,$P1004*'[2]Beam '!W$45,0)</f>
        <v>0</v>
      </c>
      <c r="X1004" s="7">
        <f t="shared" si="180"/>
        <v>19.326610285714292</v>
      </c>
      <c r="Y1004" s="14"/>
      <c r="Z1004" s="7"/>
      <c r="AA1004" s="7"/>
      <c r="AB1004" s="7"/>
      <c r="AC1004" s="7"/>
      <c r="AD1004" s="7"/>
      <c r="AE1004" s="7"/>
      <c r="AF1004" s="7"/>
    </row>
    <row r="1005" spans="1:32" s="9" customFormat="1" ht="20.100000000000001" customHeight="1" x14ac:dyDescent="0.25">
      <c r="A1005" s="6"/>
      <c r="B1005" s="10" t="s">
        <v>2</v>
      </c>
      <c r="C1005" s="13" t="s">
        <v>11</v>
      </c>
      <c r="D1005" s="7">
        <f>+'[2]Beam '!$D$15</f>
        <v>25</v>
      </c>
      <c r="E1005" s="7">
        <f>+'[2]Beam '!$E$15</f>
        <v>1</v>
      </c>
      <c r="F1005" s="7">
        <f>ROUNDUP((E998)/E1005,0)</f>
        <v>2</v>
      </c>
      <c r="G1005" s="8"/>
      <c r="H1005" s="8"/>
      <c r="I1005" s="7"/>
      <c r="J1005" s="7"/>
      <c r="K1005" s="7"/>
      <c r="L1005" s="7"/>
      <c r="M1005" s="7"/>
      <c r="N1005" s="7"/>
      <c r="O1005" s="7">
        <f>F998-'[2]Beam '!$F$15</f>
        <v>0.24</v>
      </c>
      <c r="P1005" s="7">
        <f t="shared" si="179"/>
        <v>0.48</v>
      </c>
      <c r="Q1005" s="7">
        <f>IF($D1005='[2]Beam '!Q$44,$P1005*'[2]Beam '!Q$45,0)</f>
        <v>0</v>
      </c>
      <c r="R1005" s="7">
        <f>IF($D1005='[2]Beam '!R$44,$P1005*'[2]Beam '!R$45,0)</f>
        <v>0</v>
      </c>
      <c r="S1005" s="7">
        <f>IF($D1005='[2]Beam '!S$44,$P1005*'[2]Beam '!S$45,0)</f>
        <v>0</v>
      </c>
      <c r="T1005" s="7">
        <f>IF($D1005='[2]Beam '!T$44,$P1005*'[2]Beam '!T$45,0)</f>
        <v>0</v>
      </c>
      <c r="U1005" s="7">
        <f>IF($D1005='[2]Beam '!U$44,$P1005*'[2]Beam '!U$45,0)</f>
        <v>0</v>
      </c>
      <c r="V1005" s="7">
        <f>IF($D1005='[2]Beam '!V$44,$P1005*'[2]Beam '!V$45,0)</f>
        <v>1.850357142857143</v>
      </c>
      <c r="W1005" s="7">
        <f>IF($D1005='[2]Beam '!W$44,$P1005*'[2]Beam '!W$45,0)</f>
        <v>0</v>
      </c>
      <c r="X1005" s="7">
        <f t="shared" si="180"/>
        <v>1.850357142857143</v>
      </c>
      <c r="Y1005" s="7"/>
      <c r="Z1005" s="7"/>
      <c r="AA1005" s="7"/>
      <c r="AB1005" s="7"/>
      <c r="AC1005" s="7"/>
      <c r="AD1005" s="7"/>
      <c r="AE1005" s="7"/>
    </row>
    <row r="1006" spans="1:32" s="9" customFormat="1" ht="20.100000000000001" customHeight="1" x14ac:dyDescent="0.25">
      <c r="A1006" s="7">
        <v>1</v>
      </c>
      <c r="B1006" s="10" t="s">
        <v>2</v>
      </c>
      <c r="C1006" s="11" t="s">
        <v>153</v>
      </c>
      <c r="D1006" s="11">
        <v>1</v>
      </c>
      <c r="E1006" s="11">
        <v>1.127</v>
      </c>
      <c r="F1006" s="11">
        <v>0.3</v>
      </c>
      <c r="G1006" s="11">
        <v>1.1000000000000001</v>
      </c>
      <c r="H1006" s="7">
        <f>G1006-0.2</f>
        <v>0.90000000000000013</v>
      </c>
      <c r="I1006" s="7">
        <f>E1006*F1006*G1006*D1006</f>
        <v>0.37191000000000002</v>
      </c>
      <c r="J1006" s="7">
        <f>(2*(E1006)*H1006*D1006)+(E1006*F1006)</f>
        <v>2.3667000000000002</v>
      </c>
      <c r="K1006" s="12">
        <f>IF(E1006=0.3,J1006,0)</f>
        <v>0</v>
      </c>
      <c r="L1006" s="12">
        <f>IF(AND(E1006&gt;0.3,E1006&lt;=0.75),J1006,0)</f>
        <v>0</v>
      </c>
      <c r="M1006" s="12">
        <f>IF(AND(E1006&gt;0.75,E1006&lt;=1.2),J1006,0)</f>
        <v>2.3667000000000002</v>
      </c>
      <c r="N1006" s="12">
        <f>IF(E1006&gt;1.2,J1006,0)</f>
        <v>0</v>
      </c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>
        <f>SUM(X1007:X1011)/I1006</f>
        <v>261.69154307685812</v>
      </c>
      <c r="Z1006" s="7"/>
      <c r="AA1006" s="7"/>
      <c r="AB1006" s="7"/>
      <c r="AC1006" s="7"/>
      <c r="AD1006" s="7"/>
      <c r="AE1006" s="7"/>
    </row>
    <row r="1007" spans="1:32" s="9" customFormat="1" ht="20.100000000000001" customHeight="1" x14ac:dyDescent="0.25">
      <c r="A1007" s="6"/>
      <c r="B1007" s="10" t="s">
        <v>2</v>
      </c>
      <c r="C1007" s="13" t="s">
        <v>4</v>
      </c>
      <c r="D1007" s="7">
        <v>25</v>
      </c>
      <c r="E1007" s="7"/>
      <c r="F1007" s="7">
        <v>2</v>
      </c>
      <c r="G1007" s="8">
        <f>VLOOKUP(D1007,'[2]Beam '!$C$20:$H$26,3,0)</f>
        <v>1</v>
      </c>
      <c r="H1007" s="8"/>
      <c r="I1007" s="7"/>
      <c r="J1007" s="7"/>
      <c r="K1007" s="7"/>
      <c r="L1007" s="7"/>
      <c r="M1007" s="7"/>
      <c r="N1007" s="7"/>
      <c r="O1007" s="7">
        <f>(E1006+1*(G1007+(12*D1007/1000)))+1*(G1007)*D1006</f>
        <v>3.427</v>
      </c>
      <c r="P1007" s="7">
        <f t="shared" ref="P1007:P1013" si="181">O1007*F1007</f>
        <v>6.8540000000000001</v>
      </c>
      <c r="Q1007" s="7">
        <f>IF($D1007='[2]Beam '!Q$44,$P1007*'[2]Beam '!Q$45,0)</f>
        <v>0</v>
      </c>
      <c r="R1007" s="7">
        <f>IF($D1007='[2]Beam '!R$44,$P1007*'[2]Beam '!R$45,0)</f>
        <v>0</v>
      </c>
      <c r="S1007" s="7">
        <f>IF($D1007='[2]Beam '!S$44,$P1007*'[2]Beam '!S$45,0)</f>
        <v>0</v>
      </c>
      <c r="T1007" s="7">
        <f>IF($D1007='[2]Beam '!T$44,$P1007*'[2]Beam '!T$45,0)</f>
        <v>0</v>
      </c>
      <c r="U1007" s="7">
        <f>IF($D1007='[2]Beam '!U$44,$P1007*'[2]Beam '!U$45,0)</f>
        <v>0</v>
      </c>
      <c r="V1007" s="7">
        <f>IF($D1007='[2]Beam '!V$44,$P1007*'[2]Beam '!V$45,0)</f>
        <v>26.421558035714291</v>
      </c>
      <c r="W1007" s="7">
        <f>IF($D1007='[2]Beam '!W$44,$P1007*'[2]Beam '!W$45,0)</f>
        <v>0</v>
      </c>
      <c r="X1007" s="7">
        <f t="shared" ref="X1007:X1013" si="182">SUM(Q1007:W1007)</f>
        <v>26.421558035714291</v>
      </c>
      <c r="Y1007" s="7"/>
      <c r="Z1007" s="7"/>
      <c r="AA1007" s="7"/>
      <c r="AB1007" s="7"/>
      <c r="AC1007" s="7"/>
      <c r="AD1007" s="7"/>
      <c r="AE1007" s="7"/>
    </row>
    <row r="1008" spans="1:32" s="9" customFormat="1" ht="20.100000000000001" customHeight="1" x14ac:dyDescent="0.25">
      <c r="A1008" s="6"/>
      <c r="B1008" s="10" t="s">
        <v>2</v>
      </c>
      <c r="C1008" s="13" t="s">
        <v>4</v>
      </c>
      <c r="D1008" s="7">
        <v>20</v>
      </c>
      <c r="E1008" s="7"/>
      <c r="F1008" s="7">
        <v>1</v>
      </c>
      <c r="G1008" s="8">
        <f>VLOOKUP(D1008,'[2]Beam '!$C$20:$H$26,3,0)</f>
        <v>0.8</v>
      </c>
      <c r="H1008" s="8"/>
      <c r="I1008" s="7"/>
      <c r="J1008" s="7"/>
      <c r="K1008" s="7"/>
      <c r="L1008" s="7"/>
      <c r="M1008" s="7"/>
      <c r="N1008" s="7"/>
      <c r="O1008" s="7">
        <f>(E1006+1*(G1008+(12*D1008/1000)))+1*(G1008)*D1006</f>
        <v>2.9669999999999996</v>
      </c>
      <c r="P1008" s="7">
        <f t="shared" si="181"/>
        <v>2.9669999999999996</v>
      </c>
      <c r="Q1008" s="7">
        <f>IF($D1008='[2]Beam '!Q$44,$P1008*'[2]Beam '!Q$45,0)</f>
        <v>0</v>
      </c>
      <c r="R1008" s="7">
        <f>IF($D1008='[2]Beam '!R$44,$P1008*'[2]Beam '!R$45,0)</f>
        <v>0</v>
      </c>
      <c r="S1008" s="7">
        <f>IF($D1008='[2]Beam '!S$44,$P1008*'[2]Beam '!S$45,0)</f>
        <v>0</v>
      </c>
      <c r="T1008" s="7">
        <f>IF($D1008='[2]Beam '!T$44,$P1008*'[2]Beam '!T$45,0)</f>
        <v>0</v>
      </c>
      <c r="U1008" s="7">
        <f>IF($D1008='[2]Beam '!U$44,$P1008*'[2]Beam '!U$45,0)</f>
        <v>7.3200128571428564</v>
      </c>
      <c r="V1008" s="7">
        <f>IF($D1008='[2]Beam '!V$44,$P1008*'[2]Beam '!V$45,0)</f>
        <v>0</v>
      </c>
      <c r="W1008" s="7">
        <f>IF($D1008='[2]Beam '!W$44,$P1008*'[2]Beam '!W$45,0)</f>
        <v>0</v>
      </c>
      <c r="X1008" s="7">
        <f t="shared" si="182"/>
        <v>7.3200128571428564</v>
      </c>
      <c r="Y1008" s="7"/>
      <c r="Z1008" s="7"/>
      <c r="AA1008" s="7"/>
      <c r="AB1008" s="7"/>
      <c r="AC1008" s="7"/>
      <c r="AD1008" s="7"/>
      <c r="AE1008" s="7"/>
    </row>
    <row r="1009" spans="1:32" s="9" customFormat="1" ht="20.100000000000001" customHeight="1" x14ac:dyDescent="0.25">
      <c r="A1009" s="6"/>
      <c r="B1009" s="10" t="s">
        <v>2</v>
      </c>
      <c r="C1009" s="13" t="s">
        <v>6</v>
      </c>
      <c r="D1009" s="7">
        <v>25</v>
      </c>
      <c r="E1009" s="7"/>
      <c r="F1009" s="7">
        <v>2</v>
      </c>
      <c r="G1009" s="8">
        <f>VLOOKUP(D1009,'[2]Beam '!$C$20:$H$26,3,0)</f>
        <v>1</v>
      </c>
      <c r="H1009" s="7"/>
      <c r="I1009" s="7"/>
      <c r="J1009" s="7"/>
      <c r="K1009" s="7"/>
      <c r="L1009" s="7"/>
      <c r="M1009" s="7"/>
      <c r="N1009" s="7"/>
      <c r="O1009" s="7">
        <f>(E1006+1*(G1009+(12*D1009/1000))+1*(G1009))*D1006</f>
        <v>3.427</v>
      </c>
      <c r="P1009" s="7">
        <f t="shared" si="181"/>
        <v>6.8540000000000001</v>
      </c>
      <c r="Q1009" s="7">
        <f>IF($D1009='[2]Beam '!Q$44,$P1009*'[2]Beam '!Q$45,0)</f>
        <v>0</v>
      </c>
      <c r="R1009" s="7">
        <f>IF($D1009='[2]Beam '!R$44,$P1009*'[2]Beam '!R$45,0)</f>
        <v>0</v>
      </c>
      <c r="S1009" s="7">
        <f>IF($D1009='[2]Beam '!S$44,$P1009*'[2]Beam '!S$45,0)</f>
        <v>0</v>
      </c>
      <c r="T1009" s="7">
        <f>IF($D1009='[2]Beam '!T$44,$P1009*'[2]Beam '!T$45,0)</f>
        <v>0</v>
      </c>
      <c r="U1009" s="7">
        <f>IF($D1009='[2]Beam '!U$44,$P1009*'[2]Beam '!U$45,0)</f>
        <v>0</v>
      </c>
      <c r="V1009" s="7">
        <f>IF($D1009='[2]Beam '!V$44,$P1009*'[2]Beam '!V$45,0)</f>
        <v>26.421558035714291</v>
      </c>
      <c r="W1009" s="7">
        <f>IF($D1009='[2]Beam '!W$44,$P1009*'[2]Beam '!W$45,0)</f>
        <v>0</v>
      </c>
      <c r="X1009" s="7">
        <f t="shared" si="182"/>
        <v>26.421558035714291</v>
      </c>
      <c r="Y1009" s="7"/>
      <c r="Z1009" s="7"/>
      <c r="AA1009" s="7"/>
      <c r="AB1009" s="7"/>
      <c r="AC1009" s="7"/>
      <c r="AD1009" s="7"/>
      <c r="AE1009" s="7"/>
    </row>
    <row r="1010" spans="1:32" s="14" customFormat="1" ht="20.100000000000001" customHeight="1" x14ac:dyDescent="0.3">
      <c r="A1010" s="6"/>
      <c r="B1010" s="10" t="s">
        <v>2</v>
      </c>
      <c r="C1010" s="13" t="s">
        <v>6</v>
      </c>
      <c r="D1010" s="7">
        <v>20</v>
      </c>
      <c r="E1010" s="7"/>
      <c r="F1010" s="7">
        <v>1</v>
      </c>
      <c r="G1010" s="8">
        <f>VLOOKUP(D1010,'[2]Beam '!$C$20:$H$26,3,0)</f>
        <v>0.8</v>
      </c>
      <c r="H1010" s="7"/>
      <c r="I1010" s="7"/>
      <c r="J1010" s="7"/>
      <c r="K1010" s="7"/>
      <c r="L1010" s="7"/>
      <c r="M1010" s="7"/>
      <c r="N1010" s="7"/>
      <c r="O1010" s="7">
        <f>(E1006+1*(G1010+(12*D1010/1000))+1*(G1010))*D1006</f>
        <v>2.9669999999999996</v>
      </c>
      <c r="P1010" s="7">
        <f t="shared" si="181"/>
        <v>2.9669999999999996</v>
      </c>
      <c r="Q1010" s="7">
        <f>IF($D1010='[2]Beam '!Q$44,$P1010*'[2]Beam '!Q$45,0)</f>
        <v>0</v>
      </c>
      <c r="R1010" s="7">
        <f>IF($D1010='[2]Beam '!R$44,$P1010*'[2]Beam '!R$45,0)</f>
        <v>0</v>
      </c>
      <c r="S1010" s="7">
        <f>IF($D1010='[2]Beam '!S$44,$P1010*'[2]Beam '!S$45,0)</f>
        <v>0</v>
      </c>
      <c r="T1010" s="7">
        <f>IF($D1010='[2]Beam '!T$44,$P1010*'[2]Beam '!T$45,0)</f>
        <v>0</v>
      </c>
      <c r="U1010" s="7">
        <f>IF($D1010='[2]Beam '!U$44,$P1010*'[2]Beam '!U$45,0)</f>
        <v>7.3200128571428564</v>
      </c>
      <c r="V1010" s="7">
        <f>IF($D1010='[2]Beam '!V$44,$P1010*'[2]Beam '!V$45,0)</f>
        <v>0</v>
      </c>
      <c r="W1010" s="7">
        <f>IF($D1010='[2]Beam '!W$44,$P1010*'[2]Beam '!W$45,0)</f>
        <v>0</v>
      </c>
      <c r="X1010" s="7">
        <f t="shared" si="182"/>
        <v>7.3200128571428564</v>
      </c>
      <c r="Y1010" s="7"/>
    </row>
    <row r="1011" spans="1:32" s="9" customFormat="1" ht="20.100000000000001" customHeight="1" x14ac:dyDescent="0.25">
      <c r="A1011" s="6"/>
      <c r="B1011" s="10" t="s">
        <v>2</v>
      </c>
      <c r="C1011" s="13" t="s">
        <v>26</v>
      </c>
      <c r="D1011" s="7">
        <v>12</v>
      </c>
      <c r="E1011" s="7">
        <v>0.1</v>
      </c>
      <c r="F1011" s="7">
        <f>ROUNDUP(E1006/E1011,0)</f>
        <v>12</v>
      </c>
      <c r="H1011" s="7"/>
      <c r="I1011" s="7"/>
      <c r="J1011" s="7"/>
      <c r="K1011" s="7"/>
      <c r="L1011" s="7"/>
      <c r="M1011" s="7"/>
      <c r="N1011" s="7"/>
      <c r="O1011" s="7">
        <f>(2*((G1006-(2*'[2]Beam '!$D$11))+(F1006-(2*'[2]Beam '!$D$11)))+(2*10*D1011/1000))*D1006</f>
        <v>2.8</v>
      </c>
      <c r="P1011" s="7">
        <f t="shared" si="181"/>
        <v>33.599999999999994</v>
      </c>
      <c r="Q1011" s="7">
        <f>IF($D1011='[2]Beam '!Q$44,$P1011*'[2]Beam '!Q$45,0)</f>
        <v>0</v>
      </c>
      <c r="R1011" s="7">
        <f>IF($D1011='[2]Beam '!R$44,$P1011*'[2]Beam '!R$45,0)</f>
        <v>0</v>
      </c>
      <c r="S1011" s="7">
        <f>IF($D1011='[2]Beam '!S$44,$P1011*'[2]Beam '!S$45,0)</f>
        <v>29.842559999999999</v>
      </c>
      <c r="T1011" s="7">
        <f>IF($D1011='[2]Beam '!T$44,$P1011*'[2]Beam '!T$45,0)</f>
        <v>0</v>
      </c>
      <c r="U1011" s="7">
        <f>IF($D1011='[2]Beam '!U$44,$P1011*'[2]Beam '!U$45,0)</f>
        <v>0</v>
      </c>
      <c r="V1011" s="7">
        <f>IF($D1011='[2]Beam '!V$44,$P1011*'[2]Beam '!V$45,0)</f>
        <v>0</v>
      </c>
      <c r="W1011" s="7">
        <f>IF($D1011='[2]Beam '!W$44,$P1011*'[2]Beam '!W$45,0)</f>
        <v>0</v>
      </c>
      <c r="X1011" s="7">
        <f t="shared" si="182"/>
        <v>29.842559999999999</v>
      </c>
      <c r="Y1011" s="7"/>
      <c r="Z1011" s="7"/>
      <c r="AA1011" s="7"/>
      <c r="AB1011" s="7"/>
      <c r="AC1011" s="7"/>
      <c r="AD1011" s="7"/>
      <c r="AE1011" s="7"/>
    </row>
    <row r="1012" spans="1:32" s="9" customFormat="1" ht="21" customHeight="1" x14ac:dyDescent="0.25">
      <c r="A1012" s="14"/>
      <c r="B1012" s="10" t="s">
        <v>2</v>
      </c>
      <c r="C1012" s="13" t="s">
        <v>47</v>
      </c>
      <c r="D1012" s="7">
        <f>+D1011</f>
        <v>12</v>
      </c>
      <c r="E1012" s="14">
        <f>+E1011</f>
        <v>0.1</v>
      </c>
      <c r="F1012" s="7">
        <f>ROUNDUP(E1006/E1012,0)</f>
        <v>12</v>
      </c>
      <c r="H1012" s="14"/>
      <c r="I1012" s="14"/>
      <c r="J1012" s="14"/>
      <c r="K1012" s="14"/>
      <c r="L1012" s="14"/>
      <c r="M1012" s="14"/>
      <c r="N1012" s="14"/>
      <c r="O1012" s="7">
        <f>((((G1006-(2*'[2]Beam '!$D$11))+(2*10*D1012/1000))*D1006))</f>
        <v>1.28</v>
      </c>
      <c r="P1012" s="7">
        <f t="shared" si="181"/>
        <v>15.36</v>
      </c>
      <c r="Q1012" s="7">
        <f>IF($D1012='[2]Beam '!Q$44,$P1012*'[2]Beam '!Q$45,0)</f>
        <v>0</v>
      </c>
      <c r="R1012" s="7">
        <f>IF($D1012='[2]Beam '!R$44,$P1012*'[2]Beam '!R$45,0)</f>
        <v>0</v>
      </c>
      <c r="S1012" s="7">
        <f>IF($D1012='[2]Beam '!S$44,$P1012*'[2]Beam '!S$45,0)</f>
        <v>13.642313142857144</v>
      </c>
      <c r="T1012" s="7">
        <f>IF($D1012='[2]Beam '!T$44,$P1012*'[2]Beam '!T$45,0)</f>
        <v>0</v>
      </c>
      <c r="U1012" s="7">
        <f>IF($D1012='[2]Beam '!U$44,$P1012*'[2]Beam '!U$45,0)</f>
        <v>0</v>
      </c>
      <c r="V1012" s="7">
        <f>IF($D1012='[2]Beam '!V$44,$P1012*'[2]Beam '!V$45,0)</f>
        <v>0</v>
      </c>
      <c r="W1012" s="7">
        <f>IF($D1012='[2]Beam '!W$44,$P1012*'[2]Beam '!W$45,0)</f>
        <v>0</v>
      </c>
      <c r="X1012" s="7">
        <f t="shared" si="182"/>
        <v>13.642313142857144</v>
      </c>
      <c r="Y1012" s="14"/>
      <c r="Z1012" s="7"/>
      <c r="AA1012" s="7"/>
      <c r="AB1012" s="7"/>
      <c r="AC1012" s="7"/>
      <c r="AD1012" s="7"/>
      <c r="AE1012" s="7"/>
      <c r="AF1012" s="7"/>
    </row>
    <row r="1013" spans="1:32" s="9" customFormat="1" ht="20.100000000000001" customHeight="1" x14ac:dyDescent="0.25">
      <c r="A1013" s="6"/>
      <c r="B1013" s="10" t="s">
        <v>2</v>
      </c>
      <c r="C1013" s="13" t="s">
        <v>11</v>
      </c>
      <c r="D1013" s="7">
        <f>+'[2]Beam '!$D$15</f>
        <v>25</v>
      </c>
      <c r="E1013" s="7">
        <f>+'[2]Beam '!$E$15</f>
        <v>1</v>
      </c>
      <c r="F1013" s="7">
        <f>ROUNDUP((E1006)/E1013,0)</f>
        <v>2</v>
      </c>
      <c r="G1013" s="8"/>
      <c r="H1013" s="8"/>
      <c r="I1013" s="7"/>
      <c r="J1013" s="7"/>
      <c r="K1013" s="7"/>
      <c r="L1013" s="7"/>
      <c r="M1013" s="7"/>
      <c r="N1013" s="7"/>
      <c r="O1013" s="7">
        <f>F1006-'[2]Beam '!$F$15</f>
        <v>0.24</v>
      </c>
      <c r="P1013" s="7">
        <f t="shared" si="181"/>
        <v>0.48</v>
      </c>
      <c r="Q1013" s="7">
        <f>IF($D1013='[2]Beam '!Q$44,$P1013*'[2]Beam '!Q$45,0)</f>
        <v>0</v>
      </c>
      <c r="R1013" s="7">
        <f>IF($D1013='[2]Beam '!R$44,$P1013*'[2]Beam '!R$45,0)</f>
        <v>0</v>
      </c>
      <c r="S1013" s="7">
        <f>IF($D1013='[2]Beam '!S$44,$P1013*'[2]Beam '!S$45,0)</f>
        <v>0</v>
      </c>
      <c r="T1013" s="7">
        <f>IF($D1013='[2]Beam '!T$44,$P1013*'[2]Beam '!T$45,0)</f>
        <v>0</v>
      </c>
      <c r="U1013" s="7">
        <f>IF($D1013='[2]Beam '!U$44,$P1013*'[2]Beam '!U$45,0)</f>
        <v>0</v>
      </c>
      <c r="V1013" s="7">
        <f>IF($D1013='[2]Beam '!V$44,$P1013*'[2]Beam '!V$45,0)</f>
        <v>1.850357142857143</v>
      </c>
      <c r="W1013" s="7">
        <f>IF($D1013='[2]Beam '!W$44,$P1013*'[2]Beam '!W$45,0)</f>
        <v>0</v>
      </c>
      <c r="X1013" s="7">
        <f t="shared" si="182"/>
        <v>1.850357142857143</v>
      </c>
      <c r="Y1013" s="7"/>
      <c r="Z1013" s="7"/>
      <c r="AA1013" s="7"/>
      <c r="AB1013" s="7"/>
      <c r="AC1013" s="7"/>
      <c r="AD1013" s="7"/>
      <c r="AE1013" s="7"/>
    </row>
    <row r="1014" spans="1:32" s="9" customFormat="1" ht="20.100000000000001" customHeight="1" x14ac:dyDescent="0.25">
      <c r="A1014" s="7">
        <v>1</v>
      </c>
      <c r="B1014" s="10" t="s">
        <v>2</v>
      </c>
      <c r="C1014" s="11" t="s">
        <v>154</v>
      </c>
      <c r="D1014" s="11">
        <v>1</v>
      </c>
      <c r="E1014" s="11">
        <v>5.524</v>
      </c>
      <c r="F1014" s="11">
        <v>0.2</v>
      </c>
      <c r="G1014" s="11">
        <v>1.1000000000000001</v>
      </c>
      <c r="H1014" s="7">
        <f>G1014-0.2</f>
        <v>0.90000000000000013</v>
      </c>
      <c r="I1014" s="7">
        <f>E1014*F1014*G1014*D1014</f>
        <v>1.2152800000000001</v>
      </c>
      <c r="J1014" s="7">
        <f>(2*(E1014)*H1014*D1014)+(E1014*F1014)</f>
        <v>11.048000000000002</v>
      </c>
      <c r="K1014" s="12">
        <f>IF(E1014=0.3,J1014,0)</f>
        <v>0</v>
      </c>
      <c r="L1014" s="12">
        <f>IF(AND(E1014&gt;0.3,E1014&lt;=0.75),J1014,0)</f>
        <v>0</v>
      </c>
      <c r="M1014" s="12">
        <f>IF(AND(E1014&gt;0.75,E1014&lt;=1.2),J1014,0)</f>
        <v>0</v>
      </c>
      <c r="N1014" s="12">
        <f>IF(E1014&gt;1.2,J1014,0)</f>
        <v>11.048000000000002</v>
      </c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>
        <f>SUM(X1015:X1017)/I1014</f>
        <v>60.119615185683251</v>
      </c>
      <c r="Z1014" s="7"/>
      <c r="AA1014" s="7"/>
      <c r="AB1014" s="7"/>
      <c r="AC1014" s="7"/>
      <c r="AD1014" s="7"/>
      <c r="AE1014" s="7"/>
    </row>
    <row r="1015" spans="1:32" s="9" customFormat="1" ht="20.100000000000001" customHeight="1" x14ac:dyDescent="0.25">
      <c r="A1015" s="6"/>
      <c r="B1015" s="10" t="s">
        <v>2</v>
      </c>
      <c r="C1015" s="13" t="s">
        <v>4</v>
      </c>
      <c r="D1015" s="7">
        <v>16</v>
      </c>
      <c r="E1015" s="7"/>
      <c r="F1015" s="7">
        <v>2</v>
      </c>
      <c r="G1015" s="8">
        <f>VLOOKUP(D1015,'[2]Beam '!$C$20:$H$26,3,0)</f>
        <v>0.625</v>
      </c>
      <c r="H1015" s="8"/>
      <c r="I1015" s="7"/>
      <c r="J1015" s="7"/>
      <c r="K1015" s="7"/>
      <c r="L1015" s="7"/>
      <c r="M1015" s="7"/>
      <c r="N1015" s="7"/>
      <c r="O1015" s="7">
        <f>(E1014+2*(G1015+(12*D1015/1000)))*D1014</f>
        <v>7.1579999999999995</v>
      </c>
      <c r="P1015" s="7">
        <f>O1015*F1015</f>
        <v>14.315999999999999</v>
      </c>
      <c r="Q1015" s="7">
        <f>IF($D1015='[2]Beam '!Q$44,$P1015*'[2]Beam '!Q$45,0)</f>
        <v>0</v>
      </c>
      <c r="R1015" s="7">
        <f>IF($D1015='[2]Beam '!R$44,$P1015*'[2]Beam '!R$45,0)</f>
        <v>0</v>
      </c>
      <c r="S1015" s="7">
        <f>IF($D1015='[2]Beam '!S$44,$P1015*'[2]Beam '!S$45,0)</f>
        <v>0</v>
      </c>
      <c r="T1015" s="7">
        <f>IF($D1015='[2]Beam '!T$44,$P1015*'[2]Beam '!T$45,0)</f>
        <v>22.60455497142857</v>
      </c>
      <c r="U1015" s="7">
        <f>IF($D1015='[2]Beam '!U$44,$P1015*'[2]Beam '!U$45,0)</f>
        <v>0</v>
      </c>
      <c r="V1015" s="7">
        <f>IF($D1015='[2]Beam '!V$44,$P1015*'[2]Beam '!V$45,0)</f>
        <v>0</v>
      </c>
      <c r="W1015" s="7">
        <f>IF($D1015='[2]Beam '!W$44,$P1015*'[2]Beam '!W$45,0)</f>
        <v>0</v>
      </c>
      <c r="X1015" s="7">
        <f>SUM(Q1015:W1015)</f>
        <v>22.60455497142857</v>
      </c>
      <c r="Y1015" s="7"/>
      <c r="Z1015" s="7"/>
      <c r="AA1015" s="7"/>
      <c r="AB1015" s="7"/>
      <c r="AC1015" s="7"/>
      <c r="AD1015" s="7"/>
      <c r="AE1015" s="7"/>
    </row>
    <row r="1016" spans="1:32" s="9" customFormat="1" ht="21" customHeight="1" x14ac:dyDescent="0.25">
      <c r="A1016" s="6"/>
      <c r="B1016" s="10" t="s">
        <v>2</v>
      </c>
      <c r="C1016" s="13" t="s">
        <v>6</v>
      </c>
      <c r="D1016" s="7">
        <v>16</v>
      </c>
      <c r="E1016" s="7"/>
      <c r="F1016" s="7">
        <v>2</v>
      </c>
      <c r="G1016" s="8">
        <f>VLOOKUP(D1016,'[2]Beam '!$C$20:$H$26,3,0)</f>
        <v>0.625</v>
      </c>
      <c r="H1016" s="7"/>
      <c r="I1016" s="7"/>
      <c r="J1016" s="7"/>
      <c r="K1016" s="7"/>
      <c r="L1016" s="7"/>
      <c r="M1016" s="7"/>
      <c r="N1016" s="7"/>
      <c r="O1016" s="7">
        <f>(E1014+2*(G1016+(12*D1016/1000)))*D1014</f>
        <v>7.1579999999999995</v>
      </c>
      <c r="P1016" s="7">
        <f>O1016*F1016</f>
        <v>14.315999999999999</v>
      </c>
      <c r="Q1016" s="7">
        <f>IF($D1016='[2]Beam '!Q$44,$P1016*'[2]Beam '!Q$45,0)</f>
        <v>0</v>
      </c>
      <c r="R1016" s="7">
        <f>IF($D1016='[2]Beam '!R$44,$P1016*'[2]Beam '!R$45,0)</f>
        <v>0</v>
      </c>
      <c r="S1016" s="7">
        <f>IF($D1016='[2]Beam '!S$44,$P1016*'[2]Beam '!S$45,0)</f>
        <v>0</v>
      </c>
      <c r="T1016" s="7">
        <f>IF($D1016='[2]Beam '!T$44,$P1016*'[2]Beam '!T$45,0)</f>
        <v>22.60455497142857</v>
      </c>
      <c r="U1016" s="7">
        <f>IF($D1016='[2]Beam '!U$44,$P1016*'[2]Beam '!U$45,0)</f>
        <v>0</v>
      </c>
      <c r="V1016" s="7">
        <f>IF($D1016='[2]Beam '!V$44,$P1016*'[2]Beam '!V$45,0)</f>
        <v>0</v>
      </c>
      <c r="W1016" s="7">
        <f>IF($D1016='[2]Beam '!W$44,$P1016*'[2]Beam '!W$45,0)</f>
        <v>0</v>
      </c>
      <c r="X1016" s="7">
        <f>SUM(Q1016:W1016)</f>
        <v>22.60455497142857</v>
      </c>
      <c r="Y1016" s="7"/>
      <c r="Z1016" s="7"/>
      <c r="AA1016" s="7"/>
      <c r="AB1016" s="7"/>
      <c r="AC1016" s="7"/>
      <c r="AD1016" s="7"/>
      <c r="AE1016" s="7"/>
      <c r="AF1016" s="7"/>
    </row>
    <row r="1017" spans="1:32" s="9" customFormat="1" ht="20.100000000000001" customHeight="1" x14ac:dyDescent="0.25">
      <c r="A1017" s="6"/>
      <c r="B1017" s="10" t="s">
        <v>2</v>
      </c>
      <c r="C1017" s="13" t="s">
        <v>26</v>
      </c>
      <c r="D1017" s="7">
        <v>8</v>
      </c>
      <c r="E1017" s="7">
        <v>0.2</v>
      </c>
      <c r="F1017" s="7">
        <f>ROUNDUP(E1014/E1017,0)</f>
        <v>28</v>
      </c>
      <c r="H1017" s="7"/>
      <c r="I1017" s="7"/>
      <c r="J1017" s="7"/>
      <c r="K1017" s="7"/>
      <c r="L1017" s="7"/>
      <c r="M1017" s="7"/>
      <c r="N1017" s="7"/>
      <c r="O1017" s="7">
        <f>(2*((G1014-(2*'[2]Beam '!$D$11))+(F1014-(2*'[2]Beam '!$D$11)))+(2*10*D1017/1000))*D1014</f>
        <v>2.5200000000000005</v>
      </c>
      <c r="P1017" s="7">
        <f>O1017*F1017</f>
        <v>70.560000000000016</v>
      </c>
      <c r="Q1017" s="7">
        <f>IF($D1017='[2]Beam '!Q$44,$P1017*'[2]Beam '!Q$45,0)</f>
        <v>27.853056000000009</v>
      </c>
      <c r="R1017" s="7">
        <f>IF($D1017='[2]Beam '!R$44,$P1017*'[2]Beam '!R$45,0)</f>
        <v>0</v>
      </c>
      <c r="S1017" s="7">
        <f>IF($D1017='[2]Beam '!S$44,$P1017*'[2]Beam '!S$45,0)</f>
        <v>0</v>
      </c>
      <c r="T1017" s="7">
        <f>IF($D1017='[2]Beam '!T$44,$P1017*'[2]Beam '!T$45,0)</f>
        <v>0</v>
      </c>
      <c r="U1017" s="7">
        <f>IF($D1017='[2]Beam '!U$44,$P1017*'[2]Beam '!U$45,0)</f>
        <v>0</v>
      </c>
      <c r="V1017" s="7">
        <f>IF($D1017='[2]Beam '!V$44,$P1017*'[2]Beam '!V$45,0)</f>
        <v>0</v>
      </c>
      <c r="W1017" s="7">
        <f>IF($D1017='[2]Beam '!W$44,$P1017*'[2]Beam '!W$45,0)</f>
        <v>0</v>
      </c>
      <c r="X1017" s="7">
        <f>SUM(Q1017:W1017)</f>
        <v>27.853056000000009</v>
      </c>
      <c r="Y1017" s="7"/>
      <c r="Z1017" s="7"/>
      <c r="AA1017" s="7"/>
      <c r="AB1017" s="7"/>
      <c r="AC1017" s="7"/>
      <c r="AD1017" s="7"/>
      <c r="AE1017" s="7"/>
    </row>
    <row r="1018" spans="1:32" s="9" customFormat="1" ht="20.100000000000001" customHeight="1" x14ac:dyDescent="0.25">
      <c r="A1018" s="7">
        <v>1</v>
      </c>
      <c r="B1018" s="10" t="s">
        <v>2</v>
      </c>
      <c r="C1018" s="11" t="s">
        <v>155</v>
      </c>
      <c r="D1018" s="11">
        <v>1</v>
      </c>
      <c r="E1018" s="11">
        <v>2.1</v>
      </c>
      <c r="F1018" s="11">
        <v>0.3</v>
      </c>
      <c r="G1018" s="11">
        <v>0.8</v>
      </c>
      <c r="H1018" s="7">
        <f>G1018-0.2</f>
        <v>0.60000000000000009</v>
      </c>
      <c r="I1018" s="7">
        <f>E1018*F1018*G1018*D1018</f>
        <v>0.504</v>
      </c>
      <c r="J1018" s="7">
        <f>(2*(E1018)*H1018*D1018)+(E1018*F1018)</f>
        <v>3.1500000000000004</v>
      </c>
      <c r="K1018" s="12">
        <f>IF(E1018=0.3,J1018,0)</f>
        <v>0</v>
      </c>
      <c r="L1018" s="12">
        <f>IF(AND(E1018&gt;0.3,E1018&lt;=0.75),J1018,0)</f>
        <v>0</v>
      </c>
      <c r="M1018" s="12">
        <f>IF(AND(E1018&gt;0.75,E1018&lt;=1.2),J1018,0)</f>
        <v>0</v>
      </c>
      <c r="N1018" s="12">
        <f>IF(E1018&gt;1.2,J1018,0)</f>
        <v>3.1500000000000004</v>
      </c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>
        <f>SUM(X1019:X1021)/I1018</f>
        <v>178.28044217687074</v>
      </c>
      <c r="Z1018" s="7"/>
      <c r="AA1018" s="7"/>
      <c r="AB1018" s="7"/>
      <c r="AC1018" s="7"/>
      <c r="AD1018" s="7"/>
      <c r="AE1018" s="7"/>
    </row>
    <row r="1019" spans="1:32" s="9" customFormat="1" ht="20.100000000000001" customHeight="1" x14ac:dyDescent="0.25">
      <c r="A1019" s="6"/>
      <c r="B1019" s="10" t="s">
        <v>2</v>
      </c>
      <c r="C1019" s="13" t="s">
        <v>4</v>
      </c>
      <c r="D1019" s="7">
        <v>20</v>
      </c>
      <c r="E1019" s="7"/>
      <c r="F1019" s="7">
        <v>3</v>
      </c>
      <c r="G1019" s="8">
        <f>VLOOKUP(D1019,'[2]Beam '!$C$20:$H$26,3,0)</f>
        <v>0.8</v>
      </c>
      <c r="H1019" s="8"/>
      <c r="I1019" s="7"/>
      <c r="J1019" s="7"/>
      <c r="K1019" s="7"/>
      <c r="L1019" s="7"/>
      <c r="M1019" s="7"/>
      <c r="N1019" s="7"/>
      <c r="O1019" s="7">
        <f>(E1018+2*(G1019+(12*D1019/1000)))*D1018</f>
        <v>4.18</v>
      </c>
      <c r="P1019" s="7">
        <f>O1019*F1019</f>
        <v>12.54</v>
      </c>
      <c r="Q1019" s="7">
        <f>IF($D1019='[2]Beam '!Q$44,$P1019*'[2]Beam '!Q$45,0)</f>
        <v>0</v>
      </c>
      <c r="R1019" s="7">
        <f>IF($D1019='[2]Beam '!R$44,$P1019*'[2]Beam '!R$45,0)</f>
        <v>0</v>
      </c>
      <c r="S1019" s="7">
        <f>IF($D1019='[2]Beam '!S$44,$P1019*'[2]Beam '!S$45,0)</f>
        <v>0</v>
      </c>
      <c r="T1019" s="7">
        <f>IF($D1019='[2]Beam '!T$44,$P1019*'[2]Beam '!T$45,0)</f>
        <v>0</v>
      </c>
      <c r="U1019" s="7">
        <f>IF($D1019='[2]Beam '!U$44,$P1019*'[2]Beam '!U$45,0)</f>
        <v>30.937971428571426</v>
      </c>
      <c r="V1019" s="7">
        <f>IF($D1019='[2]Beam '!V$44,$P1019*'[2]Beam '!V$45,0)</f>
        <v>0</v>
      </c>
      <c r="W1019" s="7">
        <f>IF($D1019='[2]Beam '!W$44,$P1019*'[2]Beam '!W$45,0)</f>
        <v>0</v>
      </c>
      <c r="X1019" s="7">
        <f>SUM(Q1019:W1019)</f>
        <v>30.937971428571426</v>
      </c>
      <c r="Y1019" s="7"/>
      <c r="Z1019" s="7"/>
      <c r="AA1019" s="7"/>
      <c r="AB1019" s="7"/>
      <c r="AC1019" s="7"/>
      <c r="AD1019" s="7"/>
      <c r="AE1019" s="7"/>
    </row>
    <row r="1020" spans="1:32" s="9" customFormat="1" ht="21" customHeight="1" x14ac:dyDescent="0.25">
      <c r="A1020" s="6"/>
      <c r="B1020" s="10" t="s">
        <v>2</v>
      </c>
      <c r="C1020" s="13" t="s">
        <v>6</v>
      </c>
      <c r="D1020" s="7">
        <v>20</v>
      </c>
      <c r="E1020" s="7"/>
      <c r="F1020" s="7">
        <v>3</v>
      </c>
      <c r="G1020" s="8">
        <f>VLOOKUP(D1020,'[2]Beam '!$C$20:$H$26,3,0)</f>
        <v>0.8</v>
      </c>
      <c r="H1020" s="7"/>
      <c r="I1020" s="7"/>
      <c r="J1020" s="7"/>
      <c r="K1020" s="7"/>
      <c r="L1020" s="7"/>
      <c r="M1020" s="7"/>
      <c r="N1020" s="7"/>
      <c r="O1020" s="7">
        <f>(E1018+2*(G1020+(12*D1020/1000)))*D1018</f>
        <v>4.18</v>
      </c>
      <c r="P1020" s="7">
        <f>O1020*F1020</f>
        <v>12.54</v>
      </c>
      <c r="Q1020" s="7">
        <f>IF($D1020='[2]Beam '!Q$44,$P1020*'[2]Beam '!Q$45,0)</f>
        <v>0</v>
      </c>
      <c r="R1020" s="7">
        <f>IF($D1020='[2]Beam '!R$44,$P1020*'[2]Beam '!R$45,0)</f>
        <v>0</v>
      </c>
      <c r="S1020" s="7">
        <f>IF($D1020='[2]Beam '!S$44,$P1020*'[2]Beam '!S$45,0)</f>
        <v>0</v>
      </c>
      <c r="T1020" s="7">
        <f>IF($D1020='[2]Beam '!T$44,$P1020*'[2]Beam '!T$45,0)</f>
        <v>0</v>
      </c>
      <c r="U1020" s="7">
        <f>IF($D1020='[2]Beam '!U$44,$P1020*'[2]Beam '!U$45,0)</f>
        <v>30.937971428571426</v>
      </c>
      <c r="V1020" s="7">
        <f>IF($D1020='[2]Beam '!V$44,$P1020*'[2]Beam '!V$45,0)</f>
        <v>0</v>
      </c>
      <c r="W1020" s="7">
        <f>IF($D1020='[2]Beam '!W$44,$P1020*'[2]Beam '!W$45,0)</f>
        <v>0</v>
      </c>
      <c r="X1020" s="7">
        <f>SUM(Q1020:W1020)</f>
        <v>30.937971428571426</v>
      </c>
      <c r="Y1020" s="7"/>
      <c r="Z1020" s="7"/>
      <c r="AA1020" s="7"/>
      <c r="AB1020" s="7"/>
      <c r="AC1020" s="7"/>
      <c r="AD1020" s="7"/>
      <c r="AE1020" s="7"/>
      <c r="AF1020" s="7"/>
    </row>
    <row r="1021" spans="1:32" s="9" customFormat="1" ht="20.100000000000001" customHeight="1" x14ac:dyDescent="0.25">
      <c r="A1021" s="6"/>
      <c r="B1021" s="10" t="s">
        <v>2</v>
      </c>
      <c r="C1021" s="13" t="s">
        <v>26</v>
      </c>
      <c r="D1021" s="7">
        <v>10</v>
      </c>
      <c r="E1021" s="7">
        <v>0.1</v>
      </c>
      <c r="F1021" s="7">
        <f>ROUNDUP(E1018/E1021,0)</f>
        <v>21</v>
      </c>
      <c r="H1021" s="7"/>
      <c r="I1021" s="7"/>
      <c r="J1021" s="7"/>
      <c r="K1021" s="7"/>
      <c r="L1021" s="7"/>
      <c r="M1021" s="7"/>
      <c r="N1021" s="7"/>
      <c r="O1021" s="7">
        <f>(2*((G1018-(2*'[2]Beam '!$D$11))+(F1018-(2*'[2]Beam '!$D$11)))+(2*10*D1021/1000))*D1018</f>
        <v>2.16</v>
      </c>
      <c r="P1021" s="7">
        <f>O1021*F1021</f>
        <v>45.36</v>
      </c>
      <c r="Q1021" s="7">
        <f>IF($D1021='[2]Beam '!Q$44,$P1021*'[2]Beam '!Q$45,0)</f>
        <v>0</v>
      </c>
      <c r="R1021" s="7">
        <f>IF($D1021='[2]Beam '!R$44,$P1021*'[2]Beam '!R$45,0)</f>
        <v>27.977399999999999</v>
      </c>
      <c r="S1021" s="7">
        <f>IF($D1021='[2]Beam '!S$44,$P1021*'[2]Beam '!S$45,0)</f>
        <v>0</v>
      </c>
      <c r="T1021" s="7">
        <f>IF($D1021='[2]Beam '!T$44,$P1021*'[2]Beam '!T$45,0)</f>
        <v>0</v>
      </c>
      <c r="U1021" s="7">
        <f>IF($D1021='[2]Beam '!U$44,$P1021*'[2]Beam '!U$45,0)</f>
        <v>0</v>
      </c>
      <c r="V1021" s="7">
        <f>IF($D1021='[2]Beam '!V$44,$P1021*'[2]Beam '!V$45,0)</f>
        <v>0</v>
      </c>
      <c r="W1021" s="7">
        <f>IF($D1021='[2]Beam '!W$44,$P1021*'[2]Beam '!W$45,0)</f>
        <v>0</v>
      </c>
      <c r="X1021" s="7">
        <f>SUM(Q1021:W1021)</f>
        <v>27.977399999999999</v>
      </c>
      <c r="Y1021" s="7"/>
      <c r="Z1021" s="7"/>
      <c r="AA1021" s="7"/>
      <c r="AB1021" s="7"/>
      <c r="AC1021" s="7"/>
      <c r="AD1021" s="7"/>
      <c r="AE1021" s="7"/>
    </row>
    <row r="1022" spans="1:32" s="9" customFormat="1" ht="20.100000000000001" customHeight="1" x14ac:dyDescent="0.25">
      <c r="A1022" s="7">
        <v>1</v>
      </c>
      <c r="B1022" s="10" t="s">
        <v>2</v>
      </c>
      <c r="C1022" s="11" t="s">
        <v>156</v>
      </c>
      <c r="D1022" s="11">
        <v>1</v>
      </c>
      <c r="E1022" s="11">
        <v>1.5</v>
      </c>
      <c r="F1022" s="11">
        <v>0.2</v>
      </c>
      <c r="G1022" s="11">
        <v>0.8</v>
      </c>
      <c r="H1022" s="7">
        <f>G1022-0.2</f>
        <v>0.60000000000000009</v>
      </c>
      <c r="I1022" s="7">
        <f>E1022*F1022*G1022*D1022</f>
        <v>0.24000000000000005</v>
      </c>
      <c r="J1022" s="7">
        <f>(2*(E1022)*H1022*D1022)+(E1022*F1022)</f>
        <v>2.1000000000000005</v>
      </c>
      <c r="K1022" s="12">
        <f>IF(E1022=0.3,J1022,0)</f>
        <v>0</v>
      </c>
      <c r="L1022" s="12">
        <f>IF(AND(E1022&gt;0.3,E1022&lt;=0.75),J1022,0)</f>
        <v>0</v>
      </c>
      <c r="M1022" s="12">
        <f>IF(AND(E1022&gt;0.75,E1022&lt;=1.2),J1022,0)</f>
        <v>0</v>
      </c>
      <c r="N1022" s="12">
        <f>IF(E1022&gt;1.2,J1022,0)</f>
        <v>2.1000000000000005</v>
      </c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>
        <f>SUM(X1023:X1025)/I1022</f>
        <v>258.22761904761904</v>
      </c>
      <c r="Z1022" s="7"/>
      <c r="AA1022" s="7"/>
      <c r="AB1022" s="7"/>
      <c r="AC1022" s="7"/>
      <c r="AD1022" s="7"/>
      <c r="AE1022" s="7"/>
    </row>
    <row r="1023" spans="1:32" s="9" customFormat="1" ht="20.100000000000001" customHeight="1" x14ac:dyDescent="0.25">
      <c r="A1023" s="6"/>
      <c r="B1023" s="10" t="s">
        <v>2</v>
      </c>
      <c r="C1023" s="13" t="s">
        <v>4</v>
      </c>
      <c r="D1023" s="7">
        <v>20</v>
      </c>
      <c r="E1023" s="7"/>
      <c r="F1023" s="7">
        <v>2</v>
      </c>
      <c r="G1023" s="8">
        <f>VLOOKUP(D1023,'[2]Beam '!$C$20:$H$26,3,0)</f>
        <v>0.8</v>
      </c>
      <c r="H1023" s="8"/>
      <c r="I1023" s="7"/>
      <c r="J1023" s="7"/>
      <c r="K1023" s="7"/>
      <c r="L1023" s="7"/>
      <c r="M1023" s="7"/>
      <c r="N1023" s="7"/>
      <c r="O1023" s="7">
        <f>(E1022+2*(G1023+(12*D1023/1000)))*D1022</f>
        <v>3.58</v>
      </c>
      <c r="P1023" s="7">
        <f>O1023*F1023</f>
        <v>7.16</v>
      </c>
      <c r="Q1023" s="7">
        <f>IF($D1023='[2]Beam '!Q$44,$P1023*'[2]Beam '!Q$45,0)</f>
        <v>0</v>
      </c>
      <c r="R1023" s="7">
        <f>IF($D1023='[2]Beam '!R$44,$P1023*'[2]Beam '!R$45,0)</f>
        <v>0</v>
      </c>
      <c r="S1023" s="7">
        <f>IF($D1023='[2]Beam '!S$44,$P1023*'[2]Beam '!S$45,0)</f>
        <v>0</v>
      </c>
      <c r="T1023" s="7">
        <f>IF($D1023='[2]Beam '!T$44,$P1023*'[2]Beam '!T$45,0)</f>
        <v>0</v>
      </c>
      <c r="U1023" s="7">
        <f>IF($D1023='[2]Beam '!U$44,$P1023*'[2]Beam '!U$45,0)</f>
        <v>17.664742857142858</v>
      </c>
      <c r="V1023" s="7">
        <f>IF($D1023='[2]Beam '!V$44,$P1023*'[2]Beam '!V$45,0)</f>
        <v>0</v>
      </c>
      <c r="W1023" s="7">
        <f>IF($D1023='[2]Beam '!W$44,$P1023*'[2]Beam '!W$45,0)</f>
        <v>0</v>
      </c>
      <c r="X1023" s="7">
        <f>SUM(Q1023:W1023)</f>
        <v>17.664742857142858</v>
      </c>
      <c r="Y1023" s="7"/>
      <c r="Z1023" s="7"/>
      <c r="AA1023" s="7"/>
      <c r="AB1023" s="7"/>
      <c r="AC1023" s="7"/>
      <c r="AD1023" s="7"/>
      <c r="AE1023" s="7"/>
    </row>
    <row r="1024" spans="1:32" s="9" customFormat="1" ht="21" customHeight="1" x14ac:dyDescent="0.25">
      <c r="A1024" s="6"/>
      <c r="B1024" s="10" t="s">
        <v>2</v>
      </c>
      <c r="C1024" s="13" t="s">
        <v>6</v>
      </c>
      <c r="D1024" s="7">
        <v>20</v>
      </c>
      <c r="E1024" s="7"/>
      <c r="F1024" s="7">
        <v>2</v>
      </c>
      <c r="G1024" s="8">
        <f>VLOOKUP(D1024,'[2]Beam '!$C$20:$H$26,3,0)</f>
        <v>0.8</v>
      </c>
      <c r="H1024" s="7"/>
      <c r="I1024" s="7"/>
      <c r="J1024" s="7"/>
      <c r="K1024" s="7"/>
      <c r="L1024" s="7"/>
      <c r="M1024" s="7"/>
      <c r="N1024" s="7"/>
      <c r="O1024" s="7">
        <f>(E1022+2*(G1024+(12*D1024/1000)))*D1022</f>
        <v>3.58</v>
      </c>
      <c r="P1024" s="7">
        <f>O1024*F1024</f>
        <v>7.16</v>
      </c>
      <c r="Q1024" s="7">
        <f>IF($D1024='[2]Beam '!Q$44,$P1024*'[2]Beam '!Q$45,0)</f>
        <v>0</v>
      </c>
      <c r="R1024" s="7">
        <f>IF($D1024='[2]Beam '!R$44,$P1024*'[2]Beam '!R$45,0)</f>
        <v>0</v>
      </c>
      <c r="S1024" s="7">
        <f>IF($D1024='[2]Beam '!S$44,$P1024*'[2]Beam '!S$45,0)</f>
        <v>0</v>
      </c>
      <c r="T1024" s="7">
        <f>IF($D1024='[2]Beam '!T$44,$P1024*'[2]Beam '!T$45,0)</f>
        <v>0</v>
      </c>
      <c r="U1024" s="7">
        <f>IF($D1024='[2]Beam '!U$44,$P1024*'[2]Beam '!U$45,0)</f>
        <v>17.664742857142858</v>
      </c>
      <c r="V1024" s="7">
        <f>IF($D1024='[2]Beam '!V$44,$P1024*'[2]Beam '!V$45,0)</f>
        <v>0</v>
      </c>
      <c r="W1024" s="7">
        <f>IF($D1024='[2]Beam '!W$44,$P1024*'[2]Beam '!W$45,0)</f>
        <v>0</v>
      </c>
      <c r="X1024" s="7">
        <f>SUM(Q1024:W1024)</f>
        <v>17.664742857142858</v>
      </c>
      <c r="Y1024" s="7"/>
      <c r="Z1024" s="7"/>
      <c r="AA1024" s="7"/>
      <c r="AB1024" s="7"/>
      <c r="AC1024" s="7"/>
      <c r="AD1024" s="7"/>
      <c r="AE1024" s="7"/>
      <c r="AF1024" s="7"/>
    </row>
    <row r="1025" spans="1:32" s="9" customFormat="1" ht="20.100000000000001" customHeight="1" x14ac:dyDescent="0.25">
      <c r="A1025" s="6"/>
      <c r="B1025" s="10" t="s">
        <v>2</v>
      </c>
      <c r="C1025" s="13" t="s">
        <v>26</v>
      </c>
      <c r="D1025" s="7">
        <v>12</v>
      </c>
      <c r="E1025" s="7">
        <v>0.1</v>
      </c>
      <c r="F1025" s="7">
        <f>ROUNDUP(E1022/E1025,0)</f>
        <v>15</v>
      </c>
      <c r="H1025" s="7"/>
      <c r="I1025" s="7"/>
      <c r="J1025" s="7"/>
      <c r="K1025" s="7"/>
      <c r="L1025" s="7"/>
      <c r="M1025" s="7"/>
      <c r="N1025" s="7"/>
      <c r="O1025" s="7">
        <f>(2*((G1022-(2*'[2]Beam '!$D$11))+(F1022-(2*'[2]Beam '!$D$11)))+(2*10*D1025/1000))*D1022</f>
        <v>2</v>
      </c>
      <c r="P1025" s="7">
        <f>O1025*F1025</f>
        <v>30</v>
      </c>
      <c r="Q1025" s="7">
        <f>IF($D1025='[2]Beam '!Q$44,$P1025*'[2]Beam '!Q$45,0)</f>
        <v>0</v>
      </c>
      <c r="R1025" s="7">
        <f>IF($D1025='[2]Beam '!R$44,$P1025*'[2]Beam '!R$45,0)</f>
        <v>0</v>
      </c>
      <c r="S1025" s="7">
        <f>IF($D1025='[2]Beam '!S$44,$P1025*'[2]Beam '!S$45,0)</f>
        <v>26.645142857142861</v>
      </c>
      <c r="T1025" s="7">
        <f>IF($D1025='[2]Beam '!T$44,$P1025*'[2]Beam '!T$45,0)</f>
        <v>0</v>
      </c>
      <c r="U1025" s="7">
        <f>IF($D1025='[2]Beam '!U$44,$P1025*'[2]Beam '!U$45,0)</f>
        <v>0</v>
      </c>
      <c r="V1025" s="7">
        <f>IF($D1025='[2]Beam '!V$44,$P1025*'[2]Beam '!V$45,0)</f>
        <v>0</v>
      </c>
      <c r="W1025" s="7">
        <f>IF($D1025='[2]Beam '!W$44,$P1025*'[2]Beam '!W$45,0)</f>
        <v>0</v>
      </c>
      <c r="X1025" s="7">
        <f>SUM(Q1025:W1025)</f>
        <v>26.645142857142861</v>
      </c>
      <c r="Y1025" s="7"/>
      <c r="Z1025" s="7"/>
      <c r="AA1025" s="7"/>
      <c r="AB1025" s="7"/>
      <c r="AC1025" s="7"/>
      <c r="AD1025" s="7"/>
      <c r="AE1025" s="7"/>
    </row>
    <row r="1026" spans="1:32" s="9" customFormat="1" ht="20.100000000000001" customHeight="1" x14ac:dyDescent="0.25">
      <c r="A1026" s="7">
        <v>1</v>
      </c>
      <c r="B1026" s="10" t="s">
        <v>2</v>
      </c>
      <c r="C1026" s="11" t="s">
        <v>157</v>
      </c>
      <c r="D1026" s="11">
        <v>1</v>
      </c>
      <c r="E1026" s="11">
        <v>3.3</v>
      </c>
      <c r="F1026" s="11">
        <v>0.2</v>
      </c>
      <c r="G1026" s="11">
        <v>1.1000000000000001</v>
      </c>
      <c r="H1026" s="7">
        <f>G1026-0.2</f>
        <v>0.90000000000000013</v>
      </c>
      <c r="I1026" s="7">
        <f>E1026*F1026*G1026*D1026</f>
        <v>0.72600000000000009</v>
      </c>
      <c r="J1026" s="7">
        <f>(2*(E1026)*H1026*D1026)+(E1026*F1026)</f>
        <v>6.6000000000000005</v>
      </c>
      <c r="K1026" s="12">
        <f>IF(E1026=0.3,J1026,0)</f>
        <v>0</v>
      </c>
      <c r="L1026" s="12">
        <f>IF(AND(E1026&gt;0.3,E1026&lt;=0.75),J1026,0)</f>
        <v>0</v>
      </c>
      <c r="M1026" s="12">
        <f>IF(AND(E1026&gt;0.75,E1026&lt;=1.2),J1026,0)</f>
        <v>0</v>
      </c>
      <c r="N1026" s="12">
        <f>IF(E1026&gt;1.2,J1026,0)</f>
        <v>6.6000000000000005</v>
      </c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>
        <f>SUM(X1027:X1033)/I1026</f>
        <v>311.89052489177499</v>
      </c>
      <c r="Z1026" s="7"/>
      <c r="AA1026" s="7"/>
      <c r="AB1026" s="7"/>
      <c r="AC1026" s="7"/>
      <c r="AD1026" s="7"/>
      <c r="AE1026" s="7"/>
    </row>
    <row r="1027" spans="1:32" s="9" customFormat="1" ht="20.100000000000001" customHeight="1" x14ac:dyDescent="0.25">
      <c r="A1027" s="6"/>
      <c r="B1027" s="10" t="s">
        <v>2</v>
      </c>
      <c r="C1027" s="13" t="s">
        <v>4</v>
      </c>
      <c r="D1027" s="7">
        <v>25</v>
      </c>
      <c r="E1027" s="7"/>
      <c r="F1027" s="7">
        <v>2</v>
      </c>
      <c r="G1027" s="8">
        <f>VLOOKUP(D1027,'[2]Beam '!$C$20:$H$26,3,0)</f>
        <v>1</v>
      </c>
      <c r="H1027" s="8"/>
      <c r="I1027" s="7"/>
      <c r="J1027" s="7"/>
      <c r="K1027" s="7"/>
      <c r="L1027" s="7"/>
      <c r="M1027" s="7"/>
      <c r="N1027" s="7"/>
      <c r="O1027" s="7">
        <f>(E1026+2*(G1027+(12*D1027/1000)))*D1026</f>
        <v>5.9</v>
      </c>
      <c r="P1027" s="7">
        <f t="shared" ref="P1027:P1033" si="183">O1027*F1027</f>
        <v>11.8</v>
      </c>
      <c r="Q1027" s="7">
        <f>IF($D1027='[2]Beam '!Q$44,$P1027*'[2]Beam '!Q$45,0)</f>
        <v>0</v>
      </c>
      <c r="R1027" s="7">
        <f>IF($D1027='[2]Beam '!R$44,$P1027*'[2]Beam '!R$45,0)</f>
        <v>0</v>
      </c>
      <c r="S1027" s="7">
        <f>IF($D1027='[2]Beam '!S$44,$P1027*'[2]Beam '!S$45,0)</f>
        <v>0</v>
      </c>
      <c r="T1027" s="7">
        <f>IF($D1027='[2]Beam '!T$44,$P1027*'[2]Beam '!T$45,0)</f>
        <v>0</v>
      </c>
      <c r="U1027" s="7">
        <f>IF($D1027='[2]Beam '!U$44,$P1027*'[2]Beam '!U$45,0)</f>
        <v>0</v>
      </c>
      <c r="V1027" s="7">
        <f>IF($D1027='[2]Beam '!V$44,$P1027*'[2]Beam '!V$45,0)</f>
        <v>45.487946428571441</v>
      </c>
      <c r="W1027" s="7">
        <f>IF($D1027='[2]Beam '!W$44,$P1027*'[2]Beam '!W$45,0)</f>
        <v>0</v>
      </c>
      <c r="X1027" s="7">
        <f t="shared" ref="X1027:X1033" si="184">SUM(Q1027:W1027)</f>
        <v>45.487946428571441</v>
      </c>
      <c r="Y1027" s="7"/>
      <c r="Z1027" s="7"/>
      <c r="AA1027" s="7"/>
      <c r="AB1027" s="7"/>
      <c r="AC1027" s="7"/>
      <c r="AD1027" s="7"/>
      <c r="AE1027" s="7"/>
    </row>
    <row r="1028" spans="1:32" s="9" customFormat="1" ht="20.100000000000001" customHeight="1" x14ac:dyDescent="0.25">
      <c r="A1028" s="6"/>
      <c r="B1028" s="10" t="s">
        <v>2</v>
      </c>
      <c r="C1028" s="13" t="s">
        <v>5</v>
      </c>
      <c r="D1028" s="7">
        <v>25</v>
      </c>
      <c r="E1028" s="7"/>
      <c r="F1028" s="7">
        <v>2</v>
      </c>
      <c r="G1028" s="8">
        <f>VLOOKUP(D1028,'[2]Beam '!$C$20:$H$26,3,0)</f>
        <v>1</v>
      </c>
      <c r="H1028" s="8"/>
      <c r="I1028" s="7"/>
      <c r="J1028" s="7"/>
      <c r="K1028" s="7"/>
      <c r="L1028" s="7"/>
      <c r="M1028" s="7"/>
      <c r="N1028" s="7"/>
      <c r="O1028" s="7">
        <f>(E1026-0.9+1*(G1028+(12*D1028/1000)))*D1026</f>
        <v>3.7</v>
      </c>
      <c r="P1028" s="7">
        <f t="shared" si="183"/>
        <v>7.4</v>
      </c>
      <c r="Q1028" s="7">
        <f>IF($D1028='[2]Beam '!Q$44,$P1028*'[2]Beam '!Q$45,0)</f>
        <v>0</v>
      </c>
      <c r="R1028" s="7">
        <f>IF($D1028='[2]Beam '!R$44,$P1028*'[2]Beam '!R$45,0)</f>
        <v>0</v>
      </c>
      <c r="S1028" s="7">
        <f>IF($D1028='[2]Beam '!S$44,$P1028*'[2]Beam '!S$45,0)</f>
        <v>0</v>
      </c>
      <c r="T1028" s="7">
        <f>IF($D1028='[2]Beam '!T$44,$P1028*'[2]Beam '!T$45,0)</f>
        <v>0</v>
      </c>
      <c r="U1028" s="7">
        <f>IF($D1028='[2]Beam '!U$44,$P1028*'[2]Beam '!U$45,0)</f>
        <v>0</v>
      </c>
      <c r="V1028" s="7">
        <f>IF($D1028='[2]Beam '!V$44,$P1028*'[2]Beam '!V$45,0)</f>
        <v>28.52633928571429</v>
      </c>
      <c r="W1028" s="7">
        <f>IF($D1028='[2]Beam '!W$44,$P1028*'[2]Beam '!W$45,0)</f>
        <v>0</v>
      </c>
      <c r="X1028" s="7">
        <f t="shared" si="184"/>
        <v>28.52633928571429</v>
      </c>
      <c r="Y1028" s="7"/>
      <c r="Z1028" s="7"/>
      <c r="AA1028" s="7"/>
      <c r="AB1028" s="7"/>
      <c r="AC1028" s="7"/>
      <c r="AD1028" s="7"/>
      <c r="AE1028" s="7"/>
    </row>
    <row r="1029" spans="1:32" s="9" customFormat="1" ht="20.100000000000001" customHeight="1" x14ac:dyDescent="0.25">
      <c r="A1029" s="6"/>
      <c r="B1029" s="10" t="s">
        <v>2</v>
      </c>
      <c r="C1029" s="13" t="s">
        <v>5</v>
      </c>
      <c r="D1029" s="7">
        <v>20</v>
      </c>
      <c r="E1029" s="7"/>
      <c r="F1029" s="7">
        <v>2</v>
      </c>
      <c r="G1029" s="8">
        <f>VLOOKUP(D1029,'[2]Beam '!$C$20:$H$26,3,0)</f>
        <v>0.8</v>
      </c>
      <c r="H1029" s="8"/>
      <c r="I1029" s="7"/>
      <c r="J1029" s="7"/>
      <c r="K1029" s="7"/>
      <c r="L1029" s="7"/>
      <c r="M1029" s="7"/>
      <c r="N1029" s="7"/>
      <c r="O1029" s="7">
        <f>(0.9+1*(G1029+(12*D1029/1000)))*D1026</f>
        <v>1.94</v>
      </c>
      <c r="P1029" s="7">
        <f t="shared" si="183"/>
        <v>3.88</v>
      </c>
      <c r="Q1029" s="7">
        <f>IF($D1029='[2]Beam '!Q$44,$P1029*'[2]Beam '!Q$45,0)</f>
        <v>0</v>
      </c>
      <c r="R1029" s="7">
        <f>IF($D1029='[2]Beam '!R$44,$P1029*'[2]Beam '!R$45,0)</f>
        <v>0</v>
      </c>
      <c r="S1029" s="7">
        <f>IF($D1029='[2]Beam '!S$44,$P1029*'[2]Beam '!S$45,0)</f>
        <v>0</v>
      </c>
      <c r="T1029" s="7">
        <f>IF($D1029='[2]Beam '!T$44,$P1029*'[2]Beam '!T$45,0)</f>
        <v>0</v>
      </c>
      <c r="U1029" s="7">
        <f>IF($D1029='[2]Beam '!U$44,$P1029*'[2]Beam '!U$45,0)</f>
        <v>9.572514285714286</v>
      </c>
      <c r="V1029" s="7">
        <f>IF($D1029='[2]Beam '!V$44,$P1029*'[2]Beam '!V$45,0)</f>
        <v>0</v>
      </c>
      <c r="W1029" s="7">
        <f>IF($D1029='[2]Beam '!W$44,$P1029*'[2]Beam '!W$45,0)</f>
        <v>0</v>
      </c>
      <c r="X1029" s="7">
        <f t="shared" si="184"/>
        <v>9.572514285714286</v>
      </c>
      <c r="Y1029" s="7"/>
      <c r="Z1029" s="7"/>
      <c r="AA1029" s="7"/>
      <c r="AB1029" s="7"/>
      <c r="AC1029" s="7"/>
      <c r="AD1029" s="7"/>
      <c r="AE1029" s="7"/>
    </row>
    <row r="1030" spans="1:32" s="9" customFormat="1" ht="20.100000000000001" customHeight="1" x14ac:dyDescent="0.25">
      <c r="A1030" s="6"/>
      <c r="B1030" s="10" t="s">
        <v>2</v>
      </c>
      <c r="C1030" s="13" t="s">
        <v>6</v>
      </c>
      <c r="D1030" s="7">
        <v>25</v>
      </c>
      <c r="E1030" s="7"/>
      <c r="F1030" s="7">
        <v>2</v>
      </c>
      <c r="G1030" s="8">
        <f>VLOOKUP(D1030,'[2]Beam '!$C$20:$H$26,3,0)</f>
        <v>1</v>
      </c>
      <c r="H1030" s="7"/>
      <c r="I1030" s="7"/>
      <c r="J1030" s="7"/>
      <c r="K1030" s="7"/>
      <c r="L1030" s="7"/>
      <c r="M1030" s="7"/>
      <c r="N1030" s="7"/>
      <c r="O1030" s="7">
        <f>(E1026+2*(G1030+(12*D1030/1000)))*D1026</f>
        <v>5.9</v>
      </c>
      <c r="P1030" s="7">
        <f t="shared" si="183"/>
        <v>11.8</v>
      </c>
      <c r="Q1030" s="7">
        <f>IF($D1030='[2]Beam '!Q$44,$P1030*'[2]Beam '!Q$45,0)</f>
        <v>0</v>
      </c>
      <c r="R1030" s="7">
        <f>IF($D1030='[2]Beam '!R$44,$P1030*'[2]Beam '!R$45,0)</f>
        <v>0</v>
      </c>
      <c r="S1030" s="7">
        <f>IF($D1030='[2]Beam '!S$44,$P1030*'[2]Beam '!S$45,0)</f>
        <v>0</v>
      </c>
      <c r="T1030" s="7">
        <f>IF($D1030='[2]Beam '!T$44,$P1030*'[2]Beam '!T$45,0)</f>
        <v>0</v>
      </c>
      <c r="U1030" s="7">
        <f>IF($D1030='[2]Beam '!U$44,$P1030*'[2]Beam '!U$45,0)</f>
        <v>0</v>
      </c>
      <c r="V1030" s="7">
        <f>IF($D1030='[2]Beam '!V$44,$P1030*'[2]Beam '!V$45,0)</f>
        <v>45.487946428571441</v>
      </c>
      <c r="W1030" s="7">
        <f>IF($D1030='[2]Beam '!W$44,$P1030*'[2]Beam '!W$45,0)</f>
        <v>0</v>
      </c>
      <c r="X1030" s="7">
        <f t="shared" si="184"/>
        <v>45.487946428571441</v>
      </c>
      <c r="Y1030" s="7"/>
      <c r="Z1030" s="7"/>
      <c r="AA1030" s="7"/>
      <c r="AB1030" s="7"/>
      <c r="AC1030" s="7"/>
      <c r="AD1030" s="7"/>
      <c r="AE1030" s="7"/>
    </row>
    <row r="1031" spans="1:32" s="9" customFormat="1" ht="20.100000000000001" customHeight="1" x14ac:dyDescent="0.25">
      <c r="A1031" s="6"/>
      <c r="B1031" s="10" t="s">
        <v>2</v>
      </c>
      <c r="C1031" s="13" t="s">
        <v>6</v>
      </c>
      <c r="D1031" s="7">
        <v>20</v>
      </c>
      <c r="E1031" s="7"/>
      <c r="F1031" s="7">
        <v>2</v>
      </c>
      <c r="G1031" s="8">
        <f>VLOOKUP(D1031,'[2]Beam '!$C$20:$H$26,3,0)</f>
        <v>0.8</v>
      </c>
      <c r="H1031" s="7"/>
      <c r="I1031" s="7"/>
      <c r="J1031" s="7"/>
      <c r="K1031" s="7"/>
      <c r="L1031" s="7"/>
      <c r="M1031" s="7"/>
      <c r="N1031" s="7"/>
      <c r="O1031" s="7">
        <f>(E1026-0.6+1*(G1031+(12*D1031/1000)))*D1026</f>
        <v>3.7399999999999998</v>
      </c>
      <c r="P1031" s="7">
        <f t="shared" si="183"/>
        <v>7.4799999999999995</v>
      </c>
      <c r="Q1031" s="7">
        <f>IF($D1031='[2]Beam '!Q$44,$P1031*'[2]Beam '!Q$45,0)</f>
        <v>0</v>
      </c>
      <c r="R1031" s="7">
        <f>IF($D1031='[2]Beam '!R$44,$P1031*'[2]Beam '!R$45,0)</f>
        <v>0</v>
      </c>
      <c r="S1031" s="7">
        <f>IF($D1031='[2]Beam '!S$44,$P1031*'[2]Beam '!S$45,0)</f>
        <v>0</v>
      </c>
      <c r="T1031" s="7">
        <f>IF($D1031='[2]Beam '!T$44,$P1031*'[2]Beam '!T$45,0)</f>
        <v>0</v>
      </c>
      <c r="U1031" s="7">
        <f>IF($D1031='[2]Beam '!U$44,$P1031*'[2]Beam '!U$45,0)</f>
        <v>18.454228571428569</v>
      </c>
      <c r="V1031" s="7">
        <f>IF($D1031='[2]Beam '!V$44,$P1031*'[2]Beam '!V$45,0)</f>
        <v>0</v>
      </c>
      <c r="W1031" s="7">
        <f>IF($D1031='[2]Beam '!W$44,$P1031*'[2]Beam '!W$45,0)</f>
        <v>0</v>
      </c>
      <c r="X1031" s="7">
        <f t="shared" si="184"/>
        <v>18.454228571428569</v>
      </c>
      <c r="Y1031" s="7"/>
      <c r="Z1031" s="7"/>
      <c r="AA1031" s="7"/>
      <c r="AB1031" s="7"/>
      <c r="AC1031" s="7"/>
      <c r="AD1031" s="7"/>
      <c r="AE1031" s="7"/>
    </row>
    <row r="1032" spans="1:32" s="9" customFormat="1" ht="21" customHeight="1" x14ac:dyDescent="0.25">
      <c r="A1032" s="6"/>
      <c r="B1032" s="10" t="s">
        <v>2</v>
      </c>
      <c r="C1032" s="13" t="s">
        <v>26</v>
      </c>
      <c r="D1032" s="7">
        <v>12</v>
      </c>
      <c r="E1032" s="7">
        <v>0.1</v>
      </c>
      <c r="F1032" s="7">
        <f>ROUNDUP(E1026/E1032,0)</f>
        <v>33</v>
      </c>
      <c r="H1032" s="7"/>
      <c r="I1032" s="7"/>
      <c r="J1032" s="7"/>
      <c r="K1032" s="7"/>
      <c r="L1032" s="7"/>
      <c r="M1032" s="7"/>
      <c r="N1032" s="7"/>
      <c r="O1032" s="7">
        <f>(2*((G1026-(2*'[2]Beam '!$D$11))+(F1026-(2*'[2]Beam '!$D$11)))+(2*10*D1032/1000))*D1026</f>
        <v>2.6000000000000005</v>
      </c>
      <c r="P1032" s="7">
        <f t="shared" si="183"/>
        <v>85.800000000000011</v>
      </c>
      <c r="Q1032" s="7">
        <f>IF($D1032='[2]Beam '!Q$44,$P1032*'[2]Beam '!Q$45,0)</f>
        <v>0</v>
      </c>
      <c r="R1032" s="7">
        <f>IF($D1032='[2]Beam '!R$44,$P1032*'[2]Beam '!R$45,0)</f>
        <v>0</v>
      </c>
      <c r="S1032" s="7">
        <f>IF($D1032='[2]Beam '!S$44,$P1032*'[2]Beam '!S$45,0)</f>
        <v>76.205108571428596</v>
      </c>
      <c r="T1032" s="7">
        <f>IF($D1032='[2]Beam '!T$44,$P1032*'[2]Beam '!T$45,0)</f>
        <v>0</v>
      </c>
      <c r="U1032" s="7">
        <f>IF($D1032='[2]Beam '!U$44,$P1032*'[2]Beam '!U$45,0)</f>
        <v>0</v>
      </c>
      <c r="V1032" s="7">
        <f>IF($D1032='[2]Beam '!V$44,$P1032*'[2]Beam '!V$45,0)</f>
        <v>0</v>
      </c>
      <c r="W1032" s="7">
        <f>IF($D1032='[2]Beam '!W$44,$P1032*'[2]Beam '!W$45,0)</f>
        <v>0</v>
      </c>
      <c r="X1032" s="7">
        <f t="shared" si="184"/>
        <v>76.205108571428596</v>
      </c>
      <c r="Y1032" s="7"/>
      <c r="Z1032" s="7"/>
      <c r="AA1032" s="7"/>
      <c r="AB1032" s="7"/>
      <c r="AC1032" s="7"/>
      <c r="AD1032" s="7"/>
      <c r="AE1032" s="7"/>
      <c r="AF1032" s="7"/>
    </row>
    <row r="1033" spans="1:32" s="9" customFormat="1" ht="20.100000000000001" customHeight="1" x14ac:dyDescent="0.25">
      <c r="A1033" s="6"/>
      <c r="B1033" s="10" t="s">
        <v>2</v>
      </c>
      <c r="C1033" s="13" t="s">
        <v>11</v>
      </c>
      <c r="D1033" s="7">
        <f>+'[2]Beam '!$D$15</f>
        <v>25</v>
      </c>
      <c r="E1033" s="7">
        <f>+'[2]Beam '!$E$15</f>
        <v>1</v>
      </c>
      <c r="F1033" s="7">
        <f>ROUNDUP((2.4+2.4)/E1033,0)</f>
        <v>5</v>
      </c>
      <c r="G1033" s="8"/>
      <c r="H1033" s="8"/>
      <c r="I1033" s="7"/>
      <c r="J1033" s="7"/>
      <c r="K1033" s="7"/>
      <c r="L1033" s="7"/>
      <c r="M1033" s="7"/>
      <c r="N1033" s="7"/>
      <c r="O1033" s="7">
        <f>F1026-'[2]Beam '!$F$15</f>
        <v>0.14000000000000001</v>
      </c>
      <c r="P1033" s="7">
        <f t="shared" si="183"/>
        <v>0.70000000000000007</v>
      </c>
      <c r="Q1033" s="7">
        <f>IF($D1033='[2]Beam '!Q$44,$P1033*'[2]Beam '!Q$45,0)</f>
        <v>0</v>
      </c>
      <c r="R1033" s="7">
        <f>IF($D1033='[2]Beam '!R$44,$P1033*'[2]Beam '!R$45,0)</f>
        <v>0</v>
      </c>
      <c r="S1033" s="7">
        <f>IF($D1033='[2]Beam '!S$44,$P1033*'[2]Beam '!S$45,0)</f>
        <v>0</v>
      </c>
      <c r="T1033" s="7">
        <f>IF($D1033='[2]Beam '!T$44,$P1033*'[2]Beam '!T$45,0)</f>
        <v>0</v>
      </c>
      <c r="U1033" s="7">
        <f>IF($D1033='[2]Beam '!U$44,$P1033*'[2]Beam '!U$45,0)</f>
        <v>0</v>
      </c>
      <c r="V1033" s="7">
        <f>IF($D1033='[2]Beam '!V$44,$P1033*'[2]Beam '!V$45,0)</f>
        <v>2.6984375000000007</v>
      </c>
      <c r="W1033" s="7">
        <f>IF($D1033='[2]Beam '!W$44,$P1033*'[2]Beam '!W$45,0)</f>
        <v>0</v>
      </c>
      <c r="X1033" s="7">
        <f t="shared" si="184"/>
        <v>2.6984375000000007</v>
      </c>
      <c r="Y1033" s="7"/>
      <c r="Z1033" s="7"/>
      <c r="AA1033" s="7"/>
      <c r="AB1033" s="7"/>
      <c r="AC1033" s="7"/>
      <c r="AD1033" s="7"/>
      <c r="AE1033" s="7"/>
    </row>
    <row r="1034" spans="1:32" s="9" customFormat="1" ht="20.100000000000001" customHeight="1" x14ac:dyDescent="0.25">
      <c r="A1034" s="7">
        <v>1</v>
      </c>
      <c r="B1034" s="10" t="s">
        <v>2</v>
      </c>
      <c r="C1034" s="11" t="s">
        <v>158</v>
      </c>
      <c r="D1034" s="11">
        <v>1</v>
      </c>
      <c r="E1034" s="11">
        <v>2.6</v>
      </c>
      <c r="F1034" s="11">
        <v>0.5</v>
      </c>
      <c r="G1034" s="11">
        <v>1.1000000000000001</v>
      </c>
      <c r="H1034" s="7">
        <f>G1034-0.2</f>
        <v>0.90000000000000013</v>
      </c>
      <c r="I1034" s="7">
        <f>E1034*F1034*G1034*D1034</f>
        <v>1.4300000000000002</v>
      </c>
      <c r="J1034" s="7">
        <f>(2*(E1034)*H1034*D1034)+(E1034*F1034)</f>
        <v>5.98</v>
      </c>
      <c r="K1034" s="12">
        <f>IF(E1034=0.3,J1034,0)</f>
        <v>0</v>
      </c>
      <c r="L1034" s="12">
        <f>IF(AND(E1034&gt;0.3,E1034&lt;=0.75),J1034,0)</f>
        <v>0</v>
      </c>
      <c r="M1034" s="12">
        <f>IF(AND(E1034&gt;0.75,E1034&lt;=1.2),J1034,0)</f>
        <v>0</v>
      </c>
      <c r="N1034" s="12">
        <f>IF(E1034&gt;1.2,J1034,0)</f>
        <v>5.98</v>
      </c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>
        <f>SUM(X1035:X1039)/I1034</f>
        <v>536.0994461538462</v>
      </c>
      <c r="Z1034" s="7"/>
      <c r="AA1034" s="7"/>
      <c r="AB1034" s="7"/>
      <c r="AC1034" s="7"/>
      <c r="AD1034" s="7"/>
      <c r="AE1034" s="7"/>
    </row>
    <row r="1035" spans="1:32" s="9" customFormat="1" ht="20.100000000000001" customHeight="1" x14ac:dyDescent="0.25">
      <c r="A1035" s="6"/>
      <c r="B1035" s="10" t="s">
        <v>2</v>
      </c>
      <c r="C1035" s="13" t="s">
        <v>4</v>
      </c>
      <c r="D1035" s="7">
        <v>32</v>
      </c>
      <c r="E1035" s="7"/>
      <c r="F1035" s="7">
        <v>5</v>
      </c>
      <c r="G1035" s="8">
        <f>VLOOKUP(D1035,'[2]Beam '!$C$20:$H$26,3,0)</f>
        <v>1.25</v>
      </c>
      <c r="H1035" s="8"/>
      <c r="I1035" s="7"/>
      <c r="J1035" s="7"/>
      <c r="K1035" s="7"/>
      <c r="L1035" s="7"/>
      <c r="M1035" s="7"/>
      <c r="N1035" s="7"/>
      <c r="O1035" s="7">
        <f>(E1034+1*(G1035+(12*D1035/1000)))+1*(G1035)*D1034</f>
        <v>5.484</v>
      </c>
      <c r="P1035" s="7">
        <f t="shared" ref="P1035:P1041" si="185">O1035*F1035</f>
        <v>27.42</v>
      </c>
      <c r="Q1035" s="7">
        <f>IF($D1035='[2]Beam '!Q$44,$P1035*'[2]Beam '!Q$45,0)</f>
        <v>0</v>
      </c>
      <c r="R1035" s="7">
        <f>IF($D1035='[2]Beam '!R$44,$P1035*'[2]Beam '!R$45,0)</f>
        <v>0</v>
      </c>
      <c r="S1035" s="7">
        <f>IF($D1035='[2]Beam '!S$44,$P1035*'[2]Beam '!S$45,0)</f>
        <v>0</v>
      </c>
      <c r="T1035" s="7">
        <f>IF($D1035='[2]Beam '!T$44,$P1035*'[2]Beam '!T$45,0)</f>
        <v>0</v>
      </c>
      <c r="U1035" s="7">
        <f>IF($D1035='[2]Beam '!U$44,$P1035*'[2]Beam '!U$45,0)</f>
        <v>0</v>
      </c>
      <c r="V1035" s="7">
        <f>IF($D1035='[2]Beam '!V$44,$P1035*'[2]Beam '!V$45,0)</f>
        <v>0</v>
      </c>
      <c r="W1035" s="7">
        <f>IF($D1035='[2]Beam '!W$44,$P1035*'[2]Beam '!W$45,0)</f>
        <v>173.1815862857143</v>
      </c>
      <c r="X1035" s="7">
        <f t="shared" ref="X1035:X1041" si="186">SUM(Q1035:W1035)</f>
        <v>173.1815862857143</v>
      </c>
      <c r="Y1035" s="7"/>
      <c r="Z1035" s="7"/>
      <c r="AA1035" s="7"/>
      <c r="AB1035" s="7"/>
      <c r="AC1035" s="7"/>
      <c r="AD1035" s="7"/>
      <c r="AE1035" s="7"/>
    </row>
    <row r="1036" spans="1:32" s="9" customFormat="1" ht="20.100000000000001" customHeight="1" x14ac:dyDescent="0.25">
      <c r="A1036" s="6"/>
      <c r="B1036" s="10" t="s">
        <v>2</v>
      </c>
      <c r="C1036" s="13" t="s">
        <v>4</v>
      </c>
      <c r="D1036" s="7">
        <v>32</v>
      </c>
      <c r="E1036" s="7"/>
      <c r="F1036" s="7">
        <v>5</v>
      </c>
      <c r="G1036" s="8">
        <f>VLOOKUP(D1036,'[2]Beam '!$C$20:$H$26,3,0)</f>
        <v>1.25</v>
      </c>
      <c r="H1036" s="8"/>
      <c r="I1036" s="7"/>
      <c r="J1036" s="7"/>
      <c r="K1036" s="7"/>
      <c r="L1036" s="7"/>
      <c r="M1036" s="7"/>
      <c r="N1036" s="7"/>
      <c r="O1036" s="7">
        <f>(E1034+1*(G1036+(12*D1036/1000)))+1*(G1036)*D1034</f>
        <v>5.484</v>
      </c>
      <c r="P1036" s="7">
        <f t="shared" si="185"/>
        <v>27.42</v>
      </c>
      <c r="Q1036" s="7">
        <f>IF($D1036='[2]Beam '!Q$44,$P1036*'[2]Beam '!Q$45,0)</f>
        <v>0</v>
      </c>
      <c r="R1036" s="7">
        <f>IF($D1036='[2]Beam '!R$44,$P1036*'[2]Beam '!R$45,0)</f>
        <v>0</v>
      </c>
      <c r="S1036" s="7">
        <f>IF($D1036='[2]Beam '!S$44,$P1036*'[2]Beam '!S$45,0)</f>
        <v>0</v>
      </c>
      <c r="T1036" s="7">
        <f>IF($D1036='[2]Beam '!T$44,$P1036*'[2]Beam '!T$45,0)</f>
        <v>0</v>
      </c>
      <c r="U1036" s="7">
        <f>IF($D1036='[2]Beam '!U$44,$P1036*'[2]Beam '!U$45,0)</f>
        <v>0</v>
      </c>
      <c r="V1036" s="7">
        <f>IF($D1036='[2]Beam '!V$44,$P1036*'[2]Beam '!V$45,0)</f>
        <v>0</v>
      </c>
      <c r="W1036" s="7">
        <f>IF($D1036='[2]Beam '!W$44,$P1036*'[2]Beam '!W$45,0)</f>
        <v>173.1815862857143</v>
      </c>
      <c r="X1036" s="7">
        <f t="shared" si="186"/>
        <v>173.1815862857143</v>
      </c>
      <c r="Y1036" s="7"/>
      <c r="Z1036" s="7"/>
      <c r="AA1036" s="7"/>
      <c r="AB1036" s="7"/>
      <c r="AC1036" s="7"/>
      <c r="AD1036" s="7"/>
      <c r="AE1036" s="7"/>
    </row>
    <row r="1037" spans="1:32" s="9" customFormat="1" ht="19.5" customHeight="1" x14ac:dyDescent="0.25">
      <c r="A1037" s="6"/>
      <c r="B1037" s="10" t="s">
        <v>2</v>
      </c>
      <c r="C1037" s="13" t="s">
        <v>6</v>
      </c>
      <c r="D1037" s="7">
        <v>32</v>
      </c>
      <c r="E1037" s="7"/>
      <c r="F1037" s="7">
        <v>5</v>
      </c>
      <c r="G1037" s="8">
        <f>VLOOKUP(D1037,'[2]Beam '!$C$20:$H$26,3,0)</f>
        <v>1.25</v>
      </c>
      <c r="H1037" s="7"/>
      <c r="I1037" s="7"/>
      <c r="J1037" s="7"/>
      <c r="K1037" s="7"/>
      <c r="L1037" s="7"/>
      <c r="M1037" s="7"/>
      <c r="N1037" s="7"/>
      <c r="O1037" s="7">
        <f>(E1034+1*(G1037+(12*D1037/1000))+1*(G1037))*D1034</f>
        <v>5.484</v>
      </c>
      <c r="P1037" s="7">
        <f t="shared" si="185"/>
        <v>27.42</v>
      </c>
      <c r="Q1037" s="7">
        <f>IF($D1037='[2]Beam '!Q$44,$P1037*'[2]Beam '!Q$45,0)</f>
        <v>0</v>
      </c>
      <c r="R1037" s="7">
        <f>IF($D1037='[2]Beam '!R$44,$P1037*'[2]Beam '!R$45,0)</f>
        <v>0</v>
      </c>
      <c r="S1037" s="7">
        <f>IF($D1037='[2]Beam '!S$44,$P1037*'[2]Beam '!S$45,0)</f>
        <v>0</v>
      </c>
      <c r="T1037" s="7">
        <f>IF($D1037='[2]Beam '!T$44,$P1037*'[2]Beam '!T$45,0)</f>
        <v>0</v>
      </c>
      <c r="U1037" s="7">
        <f>IF($D1037='[2]Beam '!U$44,$P1037*'[2]Beam '!U$45,0)</f>
        <v>0</v>
      </c>
      <c r="V1037" s="7">
        <f>IF($D1037='[2]Beam '!V$44,$P1037*'[2]Beam '!V$45,0)</f>
        <v>0</v>
      </c>
      <c r="W1037" s="7">
        <f>IF($D1037='[2]Beam '!W$44,$P1037*'[2]Beam '!W$45,0)</f>
        <v>173.1815862857143</v>
      </c>
      <c r="X1037" s="7">
        <f t="shared" si="186"/>
        <v>173.1815862857143</v>
      </c>
      <c r="Y1037" s="7"/>
      <c r="Z1037" s="7"/>
      <c r="AA1037" s="7"/>
      <c r="AB1037" s="7"/>
      <c r="AC1037" s="7"/>
      <c r="AD1037" s="7"/>
      <c r="AE1037" s="7"/>
    </row>
    <row r="1038" spans="1:32" s="14" customFormat="1" ht="20.100000000000001" customHeight="1" x14ac:dyDescent="0.3">
      <c r="A1038" s="6"/>
      <c r="B1038" s="10" t="s">
        <v>2</v>
      </c>
      <c r="C1038" s="13" t="s">
        <v>6</v>
      </c>
      <c r="D1038" s="7">
        <v>32</v>
      </c>
      <c r="E1038" s="7"/>
      <c r="F1038" s="7">
        <v>5</v>
      </c>
      <c r="G1038" s="8">
        <f>VLOOKUP(D1038,'[2]Beam '!$C$20:$H$26,3,0)</f>
        <v>1.25</v>
      </c>
      <c r="H1038" s="7"/>
      <c r="I1038" s="7"/>
      <c r="J1038" s="7"/>
      <c r="K1038" s="7"/>
      <c r="L1038" s="7"/>
      <c r="M1038" s="7"/>
      <c r="N1038" s="7"/>
      <c r="O1038" s="7">
        <f>(E1034+1*(G1038+(12*D1038/1000))+1*(G1038))*D1034</f>
        <v>5.484</v>
      </c>
      <c r="P1038" s="7">
        <f t="shared" si="185"/>
        <v>27.42</v>
      </c>
      <c r="Q1038" s="7">
        <f>IF($D1038='[2]Beam '!Q$44,$P1038*'[2]Beam '!Q$45,0)</f>
        <v>0</v>
      </c>
      <c r="R1038" s="7">
        <f>IF($D1038='[2]Beam '!R$44,$P1038*'[2]Beam '!R$45,0)</f>
        <v>0</v>
      </c>
      <c r="S1038" s="7">
        <f>IF($D1038='[2]Beam '!S$44,$P1038*'[2]Beam '!S$45,0)</f>
        <v>0</v>
      </c>
      <c r="T1038" s="7">
        <f>IF($D1038='[2]Beam '!T$44,$P1038*'[2]Beam '!T$45,0)</f>
        <v>0</v>
      </c>
      <c r="U1038" s="7">
        <f>IF($D1038='[2]Beam '!U$44,$P1038*'[2]Beam '!U$45,0)</f>
        <v>0</v>
      </c>
      <c r="V1038" s="7">
        <f>IF($D1038='[2]Beam '!V$44,$P1038*'[2]Beam '!V$45,0)</f>
        <v>0</v>
      </c>
      <c r="W1038" s="7">
        <f>IF($D1038='[2]Beam '!W$44,$P1038*'[2]Beam '!W$45,0)</f>
        <v>173.1815862857143</v>
      </c>
      <c r="X1038" s="7">
        <f t="shared" si="186"/>
        <v>173.1815862857143</v>
      </c>
      <c r="Y1038" s="7"/>
    </row>
    <row r="1039" spans="1:32" s="9" customFormat="1" ht="20.100000000000001" customHeight="1" x14ac:dyDescent="0.25">
      <c r="A1039" s="6"/>
      <c r="B1039" s="10" t="s">
        <v>2</v>
      </c>
      <c r="C1039" s="13" t="s">
        <v>17</v>
      </c>
      <c r="D1039" s="7">
        <v>12</v>
      </c>
      <c r="E1039" s="7">
        <v>0.1</v>
      </c>
      <c r="F1039" s="7">
        <f>ROUNDUP(E1034/E1039,0)</f>
        <v>26</v>
      </c>
      <c r="H1039" s="7"/>
      <c r="I1039" s="7"/>
      <c r="J1039" s="7"/>
      <c r="K1039" s="7"/>
      <c r="L1039" s="7"/>
      <c r="M1039" s="7"/>
      <c r="N1039" s="7"/>
      <c r="O1039" s="7">
        <f>(2*((G1034-(2*'[2]Beam '!$D$11))+(F1034-(2*'[2]Beam '!$D$11)))+(2*10*D1039/1000))*D1034</f>
        <v>3.2</v>
      </c>
      <c r="P1039" s="7">
        <f t="shared" si="185"/>
        <v>83.2</v>
      </c>
      <c r="Q1039" s="7">
        <f>IF($D1039='[2]Beam '!Q$44,$P1039*'[2]Beam '!Q$45,0)</f>
        <v>0</v>
      </c>
      <c r="R1039" s="7">
        <f>IF($D1039='[2]Beam '!R$44,$P1039*'[2]Beam '!R$45,0)</f>
        <v>0</v>
      </c>
      <c r="S1039" s="7">
        <f>IF($D1039='[2]Beam '!S$44,$P1039*'[2]Beam '!S$45,0)</f>
        <v>73.895862857142873</v>
      </c>
      <c r="T1039" s="7">
        <f>IF($D1039='[2]Beam '!T$44,$P1039*'[2]Beam '!T$45,0)</f>
        <v>0</v>
      </c>
      <c r="U1039" s="7">
        <f>IF($D1039='[2]Beam '!U$44,$P1039*'[2]Beam '!U$45,0)</f>
        <v>0</v>
      </c>
      <c r="V1039" s="7">
        <f>IF($D1039='[2]Beam '!V$44,$P1039*'[2]Beam '!V$45,0)</f>
        <v>0</v>
      </c>
      <c r="W1039" s="7">
        <f>IF($D1039='[2]Beam '!W$44,$P1039*'[2]Beam '!W$45,0)</f>
        <v>0</v>
      </c>
      <c r="X1039" s="7">
        <f t="shared" si="186"/>
        <v>73.895862857142873</v>
      </c>
      <c r="Y1039" s="7"/>
      <c r="Z1039" s="7"/>
      <c r="AA1039" s="7"/>
      <c r="AB1039" s="7"/>
      <c r="AC1039" s="7"/>
      <c r="AD1039" s="7"/>
      <c r="AE1039" s="7"/>
    </row>
    <row r="1040" spans="1:32" s="9" customFormat="1" ht="21" customHeight="1" x14ac:dyDescent="0.25">
      <c r="A1040" s="14"/>
      <c r="B1040" s="10" t="s">
        <v>2</v>
      </c>
      <c r="C1040" s="13" t="s">
        <v>18</v>
      </c>
      <c r="D1040" s="14">
        <f>D1039</f>
        <v>12</v>
      </c>
      <c r="E1040" s="14">
        <f>+E1039</f>
        <v>0.1</v>
      </c>
      <c r="F1040" s="7">
        <f>ROUNDUP(E1034/E1040,0)</f>
        <v>26</v>
      </c>
      <c r="H1040" s="14"/>
      <c r="I1040" s="14"/>
      <c r="J1040" s="14"/>
      <c r="K1040" s="14"/>
      <c r="L1040" s="14"/>
      <c r="M1040" s="14"/>
      <c r="N1040" s="14"/>
      <c r="O1040" s="7">
        <f>(2*(((F1034-'[2]Beam '!$D$11*2)/(F1035-1))+(G1034-'[2]Beam '!$D$11*2))+(2*10*D1040/1000))*D1034</f>
        <v>2.54</v>
      </c>
      <c r="P1040" s="7">
        <f t="shared" si="185"/>
        <v>66.040000000000006</v>
      </c>
      <c r="Q1040" s="7">
        <f>IF($D1040='[2]Beam '!Q$44,$P1040*'[2]Beam '!Q$45,0)</f>
        <v>0</v>
      </c>
      <c r="R1040" s="7">
        <f>IF($D1040='[2]Beam '!R$44,$P1040*'[2]Beam '!R$45,0)</f>
        <v>0</v>
      </c>
      <c r="S1040" s="7">
        <f>IF($D1040='[2]Beam '!S$44,$P1040*'[2]Beam '!S$45,0)</f>
        <v>58.654841142857158</v>
      </c>
      <c r="T1040" s="7">
        <f>IF($D1040='[2]Beam '!T$44,$P1040*'[2]Beam '!T$45,0)</f>
        <v>0</v>
      </c>
      <c r="U1040" s="7">
        <f>IF($D1040='[2]Beam '!U$44,$P1040*'[2]Beam '!U$45,0)</f>
        <v>0</v>
      </c>
      <c r="V1040" s="7">
        <f>IF($D1040='[2]Beam '!V$44,$P1040*'[2]Beam '!V$45,0)</f>
        <v>0</v>
      </c>
      <c r="W1040" s="7">
        <f>IF($D1040='[2]Beam '!W$44,$P1040*'[2]Beam '!W$45,0)</f>
        <v>0</v>
      </c>
      <c r="X1040" s="7">
        <f t="shared" si="186"/>
        <v>58.654841142857158</v>
      </c>
      <c r="Y1040" s="14"/>
      <c r="Z1040" s="7"/>
      <c r="AA1040" s="7"/>
      <c r="AB1040" s="7"/>
      <c r="AC1040" s="7"/>
      <c r="AD1040" s="7"/>
      <c r="AE1040" s="7"/>
      <c r="AF1040" s="7"/>
    </row>
    <row r="1041" spans="1:32" s="9" customFormat="1" ht="20.100000000000001" customHeight="1" x14ac:dyDescent="0.25">
      <c r="A1041" s="6"/>
      <c r="B1041" s="10" t="s">
        <v>2</v>
      </c>
      <c r="C1041" s="13" t="s">
        <v>11</v>
      </c>
      <c r="D1041" s="7">
        <f>+'[2]Beam '!$D$15</f>
        <v>25</v>
      </c>
      <c r="E1041" s="7">
        <f>+'[2]Beam '!$E$15</f>
        <v>1</v>
      </c>
      <c r="F1041" s="7">
        <f>ROUNDUP((E1034+E1034)/E1041,0)</f>
        <v>6</v>
      </c>
      <c r="G1041" s="8"/>
      <c r="H1041" s="8"/>
      <c r="I1041" s="7"/>
      <c r="J1041" s="7"/>
      <c r="K1041" s="7"/>
      <c r="L1041" s="7"/>
      <c r="M1041" s="7"/>
      <c r="N1041" s="7"/>
      <c r="O1041" s="7">
        <f>F1034-'[2]Beam '!$F$15</f>
        <v>0.44</v>
      </c>
      <c r="P1041" s="7">
        <f t="shared" si="185"/>
        <v>2.64</v>
      </c>
      <c r="Q1041" s="7">
        <f>IF($D1041='[2]Beam '!Q$44,$P1041*'[2]Beam '!Q$45,0)</f>
        <v>0</v>
      </c>
      <c r="R1041" s="7">
        <f>IF($D1041='[2]Beam '!R$44,$P1041*'[2]Beam '!R$45,0)</f>
        <v>0</v>
      </c>
      <c r="S1041" s="7">
        <f>IF($D1041='[2]Beam '!S$44,$P1041*'[2]Beam '!S$45,0)</f>
        <v>0</v>
      </c>
      <c r="T1041" s="7">
        <f>IF($D1041='[2]Beam '!T$44,$P1041*'[2]Beam '!T$45,0)</f>
        <v>0</v>
      </c>
      <c r="U1041" s="7">
        <f>IF($D1041='[2]Beam '!U$44,$P1041*'[2]Beam '!U$45,0)</f>
        <v>0</v>
      </c>
      <c r="V1041" s="7">
        <f>IF($D1041='[2]Beam '!V$44,$P1041*'[2]Beam '!V$45,0)</f>
        <v>10.176964285714288</v>
      </c>
      <c r="W1041" s="7">
        <f>IF($D1041='[2]Beam '!W$44,$P1041*'[2]Beam '!W$45,0)</f>
        <v>0</v>
      </c>
      <c r="X1041" s="7">
        <f t="shared" si="186"/>
        <v>10.176964285714288</v>
      </c>
      <c r="Y1041" s="7"/>
      <c r="Z1041" s="7"/>
      <c r="AA1041" s="7"/>
      <c r="AB1041" s="7"/>
      <c r="AC1041" s="7"/>
      <c r="AD1041" s="7"/>
      <c r="AE1041" s="7"/>
    </row>
    <row r="1042" spans="1:32" s="9" customFormat="1" ht="20.100000000000001" customHeight="1" x14ac:dyDescent="0.25">
      <c r="A1042" s="7">
        <v>1</v>
      </c>
      <c r="B1042" s="10" t="s">
        <v>2</v>
      </c>
      <c r="C1042" s="11" t="s">
        <v>159</v>
      </c>
      <c r="D1042" s="11">
        <v>1</v>
      </c>
      <c r="E1042" s="11">
        <v>2.2000000000000002</v>
      </c>
      <c r="F1042" s="11">
        <v>0.5</v>
      </c>
      <c r="G1042" s="11">
        <v>1.05</v>
      </c>
      <c r="H1042" s="7">
        <f>G1042-0.2</f>
        <v>0.85000000000000009</v>
      </c>
      <c r="I1042" s="7">
        <f>E1042*F1042*G1042*D1042</f>
        <v>1.1550000000000002</v>
      </c>
      <c r="J1042" s="7">
        <f>(2*(E1042)*H1042*D1042)+(E1042*F1042)</f>
        <v>4.8400000000000007</v>
      </c>
      <c r="K1042" s="12">
        <f>IF(E1042=0.3,J1042,0)</f>
        <v>0</v>
      </c>
      <c r="L1042" s="12">
        <f>IF(AND(E1042&gt;0.3,E1042&lt;=0.75),J1042,0)</f>
        <v>0</v>
      </c>
      <c r="M1042" s="12">
        <f>IF(AND(E1042&gt;0.75,E1042&lt;=1.2),J1042,0)</f>
        <v>0</v>
      </c>
      <c r="N1042" s="12">
        <f>IF(E1042&gt;1.2,J1042,0)</f>
        <v>4.8400000000000007</v>
      </c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>
        <f>SUM(X1044:X1048)/I1042</f>
        <v>215.40506802721086</v>
      </c>
      <c r="Z1042" s="7"/>
      <c r="AA1042" s="7"/>
      <c r="AB1042" s="7"/>
      <c r="AC1042" s="7"/>
      <c r="AD1042" s="7"/>
      <c r="AE1042" s="7"/>
    </row>
    <row r="1043" spans="1:32" s="9" customFormat="1" ht="20.100000000000001" customHeight="1" x14ac:dyDescent="0.25">
      <c r="A1043" s="6"/>
      <c r="B1043" s="10" t="s">
        <v>2</v>
      </c>
      <c r="C1043" s="13" t="s">
        <v>4</v>
      </c>
      <c r="D1043" s="7">
        <v>25</v>
      </c>
      <c r="E1043" s="7"/>
      <c r="F1043" s="7">
        <v>5</v>
      </c>
      <c r="G1043" s="8">
        <f>VLOOKUP(D1043,'[2]Beam '!$C$20:$H$26,3,0)</f>
        <v>1</v>
      </c>
      <c r="H1043" s="8"/>
      <c r="I1043" s="7"/>
      <c r="J1043" s="7"/>
      <c r="K1043" s="7"/>
      <c r="L1043" s="7"/>
      <c r="M1043" s="7"/>
      <c r="N1043" s="7"/>
      <c r="O1043" s="7">
        <f>(E1042+2*(G1043))*D1042</f>
        <v>4.2</v>
      </c>
      <c r="P1043" s="7">
        <f t="shared" ref="P1043:P1049" si="187">O1043*F1043</f>
        <v>21</v>
      </c>
      <c r="Q1043" s="7">
        <f>IF($D1043='[2]Beam '!Q$44,$P1043*'[2]Beam '!Q$45,0)</f>
        <v>0</v>
      </c>
      <c r="R1043" s="7">
        <f>IF($D1043='[2]Beam '!R$44,$P1043*'[2]Beam '!R$45,0)</f>
        <v>0</v>
      </c>
      <c r="S1043" s="7">
        <f>IF($D1043='[2]Beam '!S$44,$P1043*'[2]Beam '!S$45,0)</f>
        <v>0</v>
      </c>
      <c r="T1043" s="7">
        <f>IF($D1043='[2]Beam '!T$44,$P1043*'[2]Beam '!T$45,0)</f>
        <v>0</v>
      </c>
      <c r="U1043" s="7">
        <f>IF($D1043='[2]Beam '!U$44,$P1043*'[2]Beam '!U$45,0)</f>
        <v>0</v>
      </c>
      <c r="V1043" s="7">
        <f>IF($D1043='[2]Beam '!V$44,$P1043*'[2]Beam '!V$45,0)</f>
        <v>80.953125000000014</v>
      </c>
      <c r="W1043" s="7">
        <f>IF($D1043='[2]Beam '!W$44,$P1043*'[2]Beam '!W$45,0)</f>
        <v>0</v>
      </c>
      <c r="X1043" s="7">
        <f t="shared" ref="X1043:X1049" si="188">SUM(Q1043:W1043)</f>
        <v>80.953125000000014</v>
      </c>
      <c r="Y1043" s="7"/>
      <c r="Z1043" s="7"/>
      <c r="AA1043" s="7"/>
      <c r="AB1043" s="7"/>
      <c r="AC1043" s="7"/>
      <c r="AD1043" s="7"/>
      <c r="AE1043" s="7"/>
    </row>
    <row r="1044" spans="1:32" s="9" customFormat="1" ht="20.100000000000001" customHeight="1" x14ac:dyDescent="0.25">
      <c r="A1044" s="6"/>
      <c r="B1044" s="10" t="s">
        <v>2</v>
      </c>
      <c r="C1044" s="13" t="s">
        <v>46</v>
      </c>
      <c r="D1044" s="7">
        <v>20</v>
      </c>
      <c r="E1044" s="7"/>
      <c r="F1044" s="7">
        <v>5</v>
      </c>
      <c r="G1044" s="8">
        <f>VLOOKUP(D1044,'[2]Beam '!$C$20:$H$26,3,0)</f>
        <v>0.8</v>
      </c>
      <c r="H1044" s="8"/>
      <c r="I1044" s="7"/>
      <c r="J1044" s="7"/>
      <c r="K1044" s="7"/>
      <c r="L1044" s="7"/>
      <c r="M1044" s="7"/>
      <c r="N1044" s="7"/>
      <c r="O1044" s="7">
        <f>(E1042+2*(G1044))*D1042</f>
        <v>3.8000000000000003</v>
      </c>
      <c r="P1044" s="7">
        <f t="shared" si="187"/>
        <v>19</v>
      </c>
      <c r="Q1044" s="7">
        <f>IF($D1044='[2]Beam '!Q$44,$P1044*'[2]Beam '!Q$45,0)</f>
        <v>0</v>
      </c>
      <c r="R1044" s="7">
        <f>IF($D1044='[2]Beam '!R$44,$P1044*'[2]Beam '!R$45,0)</f>
        <v>0</v>
      </c>
      <c r="S1044" s="7">
        <f>IF($D1044='[2]Beam '!S$44,$P1044*'[2]Beam '!S$45,0)</f>
        <v>0</v>
      </c>
      <c r="T1044" s="7">
        <f>IF($D1044='[2]Beam '!T$44,$P1044*'[2]Beam '!T$45,0)</f>
        <v>0</v>
      </c>
      <c r="U1044" s="7">
        <f>IF($D1044='[2]Beam '!U$44,$P1044*'[2]Beam '!U$45,0)</f>
        <v>46.875714285714281</v>
      </c>
      <c r="V1044" s="7">
        <f>IF($D1044='[2]Beam '!V$44,$P1044*'[2]Beam '!V$45,0)</f>
        <v>0</v>
      </c>
      <c r="W1044" s="7">
        <f>IF($D1044='[2]Beam '!W$44,$P1044*'[2]Beam '!W$45,0)</f>
        <v>0</v>
      </c>
      <c r="X1044" s="7">
        <f t="shared" si="188"/>
        <v>46.875714285714281</v>
      </c>
      <c r="Y1044" s="7"/>
      <c r="Z1044" s="7"/>
      <c r="AA1044" s="7"/>
      <c r="AB1044" s="7"/>
      <c r="AC1044" s="7"/>
      <c r="AD1044" s="7"/>
      <c r="AE1044" s="7"/>
    </row>
    <row r="1045" spans="1:32" s="9" customFormat="1" ht="19.5" customHeight="1" x14ac:dyDescent="0.25">
      <c r="A1045" s="6"/>
      <c r="B1045" s="10" t="s">
        <v>2</v>
      </c>
      <c r="C1045" s="13" t="s">
        <v>6</v>
      </c>
      <c r="D1045" s="7">
        <v>25</v>
      </c>
      <c r="E1045" s="7"/>
      <c r="F1045" s="7">
        <v>5</v>
      </c>
      <c r="G1045" s="8">
        <f>VLOOKUP(D1045,'[2]Beam '!$C$20:$H$26,3,0)</f>
        <v>1</v>
      </c>
      <c r="H1045" s="7"/>
      <c r="I1045" s="7"/>
      <c r="J1045" s="7"/>
      <c r="K1045" s="7"/>
      <c r="L1045" s="7"/>
      <c r="M1045" s="7"/>
      <c r="N1045" s="7"/>
      <c r="O1045" s="7">
        <f>(E1042+2*(G1045))*D1042</f>
        <v>4.2</v>
      </c>
      <c r="P1045" s="7">
        <f t="shared" si="187"/>
        <v>21</v>
      </c>
      <c r="Q1045" s="7">
        <f>IF($D1045='[2]Beam '!Q$44,$P1045*'[2]Beam '!Q$45,0)</f>
        <v>0</v>
      </c>
      <c r="R1045" s="7">
        <f>IF($D1045='[2]Beam '!R$44,$P1045*'[2]Beam '!R$45,0)</f>
        <v>0</v>
      </c>
      <c r="S1045" s="7">
        <f>IF($D1045='[2]Beam '!S$44,$P1045*'[2]Beam '!S$45,0)</f>
        <v>0</v>
      </c>
      <c r="T1045" s="7">
        <f>IF($D1045='[2]Beam '!T$44,$P1045*'[2]Beam '!T$45,0)</f>
        <v>0</v>
      </c>
      <c r="U1045" s="7">
        <f>IF($D1045='[2]Beam '!U$44,$P1045*'[2]Beam '!U$45,0)</f>
        <v>0</v>
      </c>
      <c r="V1045" s="7">
        <f>IF($D1045='[2]Beam '!V$44,$P1045*'[2]Beam '!V$45,0)</f>
        <v>80.953125000000014</v>
      </c>
      <c r="W1045" s="7">
        <f>IF($D1045='[2]Beam '!W$44,$P1045*'[2]Beam '!W$45,0)</f>
        <v>0</v>
      </c>
      <c r="X1045" s="7">
        <f t="shared" si="188"/>
        <v>80.953125000000014</v>
      </c>
      <c r="Y1045" s="7"/>
      <c r="Z1045" s="7"/>
      <c r="AA1045" s="7"/>
      <c r="AB1045" s="7"/>
      <c r="AC1045" s="7"/>
      <c r="AD1045" s="7"/>
      <c r="AE1045" s="7"/>
    </row>
    <row r="1046" spans="1:32" s="14" customFormat="1" ht="20.100000000000001" customHeight="1" x14ac:dyDescent="0.3">
      <c r="A1046" s="6"/>
      <c r="B1046" s="10" t="s">
        <v>2</v>
      </c>
      <c r="C1046" s="13" t="s">
        <v>6</v>
      </c>
      <c r="D1046" s="7">
        <v>20</v>
      </c>
      <c r="E1046" s="7"/>
      <c r="F1046" s="7">
        <v>5</v>
      </c>
      <c r="G1046" s="8">
        <f>VLOOKUP(D1046,'[2]Beam '!$C$20:$H$26,3,0)</f>
        <v>0.8</v>
      </c>
      <c r="H1046" s="7"/>
      <c r="I1046" s="7"/>
      <c r="J1046" s="7"/>
      <c r="K1046" s="7"/>
      <c r="L1046" s="7"/>
      <c r="M1046" s="7"/>
      <c r="N1046" s="7"/>
      <c r="O1046" s="7">
        <f>(E1042+2*(G1046))*D1042</f>
        <v>3.8000000000000003</v>
      </c>
      <c r="P1046" s="7">
        <f t="shared" si="187"/>
        <v>19</v>
      </c>
      <c r="Q1046" s="7">
        <f>IF($D1046='[2]Beam '!Q$44,$P1046*'[2]Beam '!Q$45,0)</f>
        <v>0</v>
      </c>
      <c r="R1046" s="7">
        <f>IF($D1046='[2]Beam '!R$44,$P1046*'[2]Beam '!R$45,0)</f>
        <v>0</v>
      </c>
      <c r="S1046" s="7">
        <f>IF($D1046='[2]Beam '!S$44,$P1046*'[2]Beam '!S$45,0)</f>
        <v>0</v>
      </c>
      <c r="T1046" s="7">
        <f>IF($D1046='[2]Beam '!T$44,$P1046*'[2]Beam '!T$45,0)</f>
        <v>0</v>
      </c>
      <c r="U1046" s="7">
        <f>IF($D1046='[2]Beam '!U$44,$P1046*'[2]Beam '!U$45,0)</f>
        <v>46.875714285714281</v>
      </c>
      <c r="V1046" s="7">
        <f>IF($D1046='[2]Beam '!V$44,$P1046*'[2]Beam '!V$45,0)</f>
        <v>0</v>
      </c>
      <c r="W1046" s="7">
        <f>IF($D1046='[2]Beam '!W$44,$P1046*'[2]Beam '!W$45,0)</f>
        <v>0</v>
      </c>
      <c r="X1046" s="7">
        <f t="shared" si="188"/>
        <v>46.875714285714281</v>
      </c>
      <c r="Y1046" s="7"/>
    </row>
    <row r="1047" spans="1:32" s="9" customFormat="1" ht="20.100000000000001" customHeight="1" x14ac:dyDescent="0.25">
      <c r="A1047" s="6"/>
      <c r="B1047" s="10" t="s">
        <v>2</v>
      </c>
      <c r="C1047" s="13" t="s">
        <v>17</v>
      </c>
      <c r="D1047" s="7">
        <v>10</v>
      </c>
      <c r="E1047" s="7">
        <v>0.1</v>
      </c>
      <c r="F1047" s="7">
        <f>ROUNDUP(E1042/E1047,0)</f>
        <v>22</v>
      </c>
      <c r="H1047" s="7"/>
      <c r="I1047" s="7"/>
      <c r="J1047" s="7"/>
      <c r="K1047" s="7"/>
      <c r="L1047" s="7"/>
      <c r="M1047" s="7"/>
      <c r="N1047" s="7"/>
      <c r="O1047" s="7">
        <f>(2*((G1042-(2*'[2]Beam '!$D$11))+(F1042-(2*'[2]Beam '!$D$11)))+(2*10*D1047/1000))*D1042</f>
        <v>3.06</v>
      </c>
      <c r="P1047" s="7">
        <f t="shared" si="187"/>
        <v>67.320000000000007</v>
      </c>
      <c r="Q1047" s="7">
        <f>IF($D1047='[2]Beam '!Q$44,$P1047*'[2]Beam '!Q$45,0)</f>
        <v>0</v>
      </c>
      <c r="R1047" s="7">
        <f>IF($D1047='[2]Beam '!R$44,$P1047*'[2]Beam '!R$45,0)</f>
        <v>41.522014285714292</v>
      </c>
      <c r="S1047" s="7">
        <f>IF($D1047='[2]Beam '!S$44,$P1047*'[2]Beam '!S$45,0)</f>
        <v>0</v>
      </c>
      <c r="T1047" s="7">
        <f>IF($D1047='[2]Beam '!T$44,$P1047*'[2]Beam '!T$45,0)</f>
        <v>0</v>
      </c>
      <c r="U1047" s="7">
        <f>IF($D1047='[2]Beam '!U$44,$P1047*'[2]Beam '!U$45,0)</f>
        <v>0</v>
      </c>
      <c r="V1047" s="7">
        <f>IF($D1047='[2]Beam '!V$44,$P1047*'[2]Beam '!V$45,0)</f>
        <v>0</v>
      </c>
      <c r="W1047" s="7">
        <f>IF($D1047='[2]Beam '!W$44,$P1047*'[2]Beam '!W$45,0)</f>
        <v>0</v>
      </c>
      <c r="X1047" s="7">
        <f t="shared" si="188"/>
        <v>41.522014285714292</v>
      </c>
      <c r="Y1047" s="7"/>
      <c r="Z1047" s="7"/>
      <c r="AA1047" s="7"/>
      <c r="AB1047" s="7"/>
      <c r="AC1047" s="7"/>
      <c r="AD1047" s="7"/>
      <c r="AE1047" s="7"/>
    </row>
    <row r="1048" spans="1:32" s="9" customFormat="1" ht="21" customHeight="1" x14ac:dyDescent="0.25">
      <c r="A1048" s="14"/>
      <c r="B1048" s="10" t="s">
        <v>2</v>
      </c>
      <c r="C1048" s="13" t="s">
        <v>18</v>
      </c>
      <c r="D1048" s="14">
        <f>D1047</f>
        <v>10</v>
      </c>
      <c r="E1048" s="14">
        <f>+E1047</f>
        <v>0.1</v>
      </c>
      <c r="F1048" s="7">
        <f>ROUNDUP(E1042/E1048,0)</f>
        <v>22</v>
      </c>
      <c r="H1048" s="14"/>
      <c r="I1048" s="14"/>
      <c r="J1048" s="14"/>
      <c r="K1048" s="14"/>
      <c r="L1048" s="14"/>
      <c r="M1048" s="14"/>
      <c r="N1048" s="14"/>
      <c r="O1048" s="7">
        <f>(2*(((F1042-'[2]Beam '!$D$11*2)/(F1043-1))+(G1042-'[2]Beam '!$D$11*2))+(2*10*D1048/1000))*D1042</f>
        <v>2.4000000000000004</v>
      </c>
      <c r="P1048" s="7">
        <f t="shared" si="187"/>
        <v>52.800000000000011</v>
      </c>
      <c r="Q1048" s="7">
        <f>IF($D1048='[2]Beam '!Q$44,$P1048*'[2]Beam '!Q$45,0)</f>
        <v>0</v>
      </c>
      <c r="R1048" s="7">
        <f>IF($D1048='[2]Beam '!R$44,$P1048*'[2]Beam '!R$45,0)</f>
        <v>32.566285714285719</v>
      </c>
      <c r="S1048" s="7">
        <f>IF($D1048='[2]Beam '!S$44,$P1048*'[2]Beam '!S$45,0)</f>
        <v>0</v>
      </c>
      <c r="T1048" s="7">
        <f>IF($D1048='[2]Beam '!T$44,$P1048*'[2]Beam '!T$45,0)</f>
        <v>0</v>
      </c>
      <c r="U1048" s="7">
        <f>IF($D1048='[2]Beam '!U$44,$P1048*'[2]Beam '!U$45,0)</f>
        <v>0</v>
      </c>
      <c r="V1048" s="7">
        <f>IF($D1048='[2]Beam '!V$44,$P1048*'[2]Beam '!V$45,0)</f>
        <v>0</v>
      </c>
      <c r="W1048" s="7">
        <f>IF($D1048='[2]Beam '!W$44,$P1048*'[2]Beam '!W$45,0)</f>
        <v>0</v>
      </c>
      <c r="X1048" s="7">
        <f t="shared" si="188"/>
        <v>32.566285714285719</v>
      </c>
      <c r="Y1048" s="14"/>
      <c r="Z1048" s="7"/>
      <c r="AA1048" s="7"/>
      <c r="AB1048" s="7"/>
      <c r="AC1048" s="7"/>
      <c r="AD1048" s="7"/>
      <c r="AE1048" s="7"/>
      <c r="AF1048" s="7"/>
    </row>
    <row r="1049" spans="1:32" s="9" customFormat="1" ht="20.100000000000001" customHeight="1" x14ac:dyDescent="0.25">
      <c r="A1049" s="6"/>
      <c r="B1049" s="10" t="s">
        <v>2</v>
      </c>
      <c r="C1049" s="13" t="s">
        <v>11</v>
      </c>
      <c r="D1049" s="7">
        <f>+'[2]Beam '!$D$15</f>
        <v>25</v>
      </c>
      <c r="E1049" s="7">
        <f>+'[2]Beam '!$E$15</f>
        <v>1</v>
      </c>
      <c r="F1049" s="7">
        <f>ROUNDUP((E1042+E1042)/E1049,0)</f>
        <v>5</v>
      </c>
      <c r="G1049" s="8"/>
      <c r="H1049" s="8"/>
      <c r="I1049" s="7"/>
      <c r="J1049" s="7"/>
      <c r="K1049" s="7"/>
      <c r="L1049" s="7"/>
      <c r="M1049" s="7"/>
      <c r="N1049" s="7"/>
      <c r="O1049" s="7">
        <f>F1042-'[2]Beam '!$F$15</f>
        <v>0.44</v>
      </c>
      <c r="P1049" s="7">
        <f t="shared" si="187"/>
        <v>2.2000000000000002</v>
      </c>
      <c r="Q1049" s="7">
        <f>IF($D1049='[2]Beam '!Q$44,$P1049*'[2]Beam '!Q$45,0)</f>
        <v>0</v>
      </c>
      <c r="R1049" s="7">
        <f>IF($D1049='[2]Beam '!R$44,$P1049*'[2]Beam '!R$45,0)</f>
        <v>0</v>
      </c>
      <c r="S1049" s="7">
        <f>IF($D1049='[2]Beam '!S$44,$P1049*'[2]Beam '!S$45,0)</f>
        <v>0</v>
      </c>
      <c r="T1049" s="7">
        <f>IF($D1049='[2]Beam '!T$44,$P1049*'[2]Beam '!T$45,0)</f>
        <v>0</v>
      </c>
      <c r="U1049" s="7">
        <f>IF($D1049='[2]Beam '!U$44,$P1049*'[2]Beam '!U$45,0)</f>
        <v>0</v>
      </c>
      <c r="V1049" s="7">
        <f>IF($D1049='[2]Beam '!V$44,$P1049*'[2]Beam '!V$45,0)</f>
        <v>8.4808035714285737</v>
      </c>
      <c r="W1049" s="7">
        <f>IF($D1049='[2]Beam '!W$44,$P1049*'[2]Beam '!W$45,0)</f>
        <v>0</v>
      </c>
      <c r="X1049" s="7">
        <f t="shared" si="188"/>
        <v>8.4808035714285737</v>
      </c>
      <c r="Y1049" s="7"/>
      <c r="Z1049" s="7"/>
      <c r="AA1049" s="7"/>
      <c r="AB1049" s="7"/>
      <c r="AC1049" s="7"/>
      <c r="AD1049" s="7"/>
      <c r="AE1049" s="7"/>
    </row>
    <row r="1050" spans="1:32" s="9" customFormat="1" ht="20.100000000000001" customHeight="1" x14ac:dyDescent="0.25">
      <c r="A1050" s="7">
        <v>1</v>
      </c>
      <c r="B1050" s="10" t="s">
        <v>2</v>
      </c>
      <c r="C1050" s="11" t="s">
        <v>160</v>
      </c>
      <c r="D1050" s="11">
        <v>1</v>
      </c>
      <c r="E1050" s="11">
        <v>2.1890000000000001</v>
      </c>
      <c r="F1050" s="11">
        <v>0.2</v>
      </c>
      <c r="G1050" s="11">
        <v>0.6</v>
      </c>
      <c r="H1050" s="7">
        <f>G1050-0.2</f>
        <v>0.39999999999999997</v>
      </c>
      <c r="I1050" s="7">
        <f>E1050*F1050*G1050*D1050</f>
        <v>0.26268000000000002</v>
      </c>
      <c r="J1050" s="7">
        <f>(2*(E1050)*H1050*D1050)+(E1050*F1050)</f>
        <v>2.1890000000000001</v>
      </c>
      <c r="K1050" s="12">
        <f>IF(E1050=0.3,J1050,0)</f>
        <v>0</v>
      </c>
      <c r="L1050" s="12">
        <f>IF(AND(E1050&gt;0.3,E1050&lt;=0.75),J1050,0)</f>
        <v>0</v>
      </c>
      <c r="M1050" s="12">
        <f>IF(AND(E1050&gt;0.75,E1050&lt;=1.2),J1050,0)</f>
        <v>0</v>
      </c>
      <c r="N1050" s="12">
        <f>IF(E1050&gt;1.2,J1050,0)</f>
        <v>2.1890000000000001</v>
      </c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>
        <f>SUM(X1051:X1053)/I1050</f>
        <v>71.475386456089979</v>
      </c>
      <c r="Z1050" s="7"/>
      <c r="AA1050" s="7"/>
      <c r="AB1050" s="7"/>
      <c r="AC1050" s="7"/>
      <c r="AD1050" s="7"/>
      <c r="AE1050" s="7"/>
    </row>
    <row r="1051" spans="1:32" s="9" customFormat="1" ht="20.100000000000001" customHeight="1" x14ac:dyDescent="0.25">
      <c r="A1051" s="6"/>
      <c r="B1051" s="10" t="s">
        <v>2</v>
      </c>
      <c r="C1051" s="13" t="s">
        <v>4</v>
      </c>
      <c r="D1051" s="7">
        <v>12</v>
      </c>
      <c r="E1051" s="7"/>
      <c r="F1051" s="7">
        <v>2</v>
      </c>
      <c r="G1051" s="8">
        <f>VLOOKUP(D1051,'[2]Beam '!$C$20:$H$26,3,0)</f>
        <v>0.47499999999999998</v>
      </c>
      <c r="H1051" s="8"/>
      <c r="I1051" s="7"/>
      <c r="J1051" s="7"/>
      <c r="K1051" s="7"/>
      <c r="L1051" s="7"/>
      <c r="M1051" s="7"/>
      <c r="N1051" s="7"/>
      <c r="O1051" s="7">
        <f>(E1050+2*(G1051+(12*D1051/1000)))*D1050</f>
        <v>3.427</v>
      </c>
      <c r="P1051" s="7">
        <f>O1051*F1051</f>
        <v>6.8540000000000001</v>
      </c>
      <c r="Q1051" s="7">
        <f>IF($D1051='[2]Beam '!Q$44,$P1051*'[2]Beam '!Q$45,0)</f>
        <v>0</v>
      </c>
      <c r="R1051" s="7">
        <f>IF($D1051='[2]Beam '!R$44,$P1051*'[2]Beam '!R$45,0)</f>
        <v>0</v>
      </c>
      <c r="S1051" s="7">
        <f>IF($D1051='[2]Beam '!S$44,$P1051*'[2]Beam '!S$45,0)</f>
        <v>6.0875269714285727</v>
      </c>
      <c r="T1051" s="7">
        <f>IF($D1051='[2]Beam '!T$44,$P1051*'[2]Beam '!T$45,0)</f>
        <v>0</v>
      </c>
      <c r="U1051" s="7">
        <f>IF($D1051='[2]Beam '!U$44,$P1051*'[2]Beam '!U$45,0)</f>
        <v>0</v>
      </c>
      <c r="V1051" s="7">
        <f>IF($D1051='[2]Beam '!V$44,$P1051*'[2]Beam '!V$45,0)</f>
        <v>0</v>
      </c>
      <c r="W1051" s="7">
        <f>IF($D1051='[2]Beam '!W$44,$P1051*'[2]Beam '!W$45,0)</f>
        <v>0</v>
      </c>
      <c r="X1051" s="7">
        <f>SUM(Q1051:W1051)</f>
        <v>6.0875269714285727</v>
      </c>
      <c r="Y1051" s="7"/>
      <c r="Z1051" s="7"/>
      <c r="AA1051" s="7"/>
      <c r="AB1051" s="7"/>
      <c r="AC1051" s="7"/>
      <c r="AD1051" s="7"/>
      <c r="AE1051" s="7"/>
    </row>
    <row r="1052" spans="1:32" s="9" customFormat="1" ht="21" customHeight="1" x14ac:dyDescent="0.25">
      <c r="A1052" s="6"/>
      <c r="B1052" s="10" t="s">
        <v>2</v>
      </c>
      <c r="C1052" s="13" t="s">
        <v>6</v>
      </c>
      <c r="D1052" s="7">
        <v>12</v>
      </c>
      <c r="E1052" s="7"/>
      <c r="F1052" s="7">
        <v>2</v>
      </c>
      <c r="G1052" s="8">
        <f>VLOOKUP(D1052,'[2]Beam '!$C$20:$H$26,3,0)</f>
        <v>0.47499999999999998</v>
      </c>
      <c r="H1052" s="7"/>
      <c r="I1052" s="7"/>
      <c r="J1052" s="7"/>
      <c r="K1052" s="7"/>
      <c r="L1052" s="7"/>
      <c r="M1052" s="7"/>
      <c r="N1052" s="7"/>
      <c r="O1052" s="7">
        <f>(E1050+2*(G1052+(12*D1052/1000)))*D1050</f>
        <v>3.427</v>
      </c>
      <c r="P1052" s="7">
        <f>O1052*F1052</f>
        <v>6.8540000000000001</v>
      </c>
      <c r="Q1052" s="7">
        <f>IF($D1052='[2]Beam '!Q$44,$P1052*'[2]Beam '!Q$45,0)</f>
        <v>0</v>
      </c>
      <c r="R1052" s="7">
        <f>IF($D1052='[2]Beam '!R$44,$P1052*'[2]Beam '!R$45,0)</f>
        <v>0</v>
      </c>
      <c r="S1052" s="7">
        <f>IF($D1052='[2]Beam '!S$44,$P1052*'[2]Beam '!S$45,0)</f>
        <v>6.0875269714285727</v>
      </c>
      <c r="T1052" s="7">
        <f>IF($D1052='[2]Beam '!T$44,$P1052*'[2]Beam '!T$45,0)</f>
        <v>0</v>
      </c>
      <c r="U1052" s="7">
        <f>IF($D1052='[2]Beam '!U$44,$P1052*'[2]Beam '!U$45,0)</f>
        <v>0</v>
      </c>
      <c r="V1052" s="7">
        <f>IF($D1052='[2]Beam '!V$44,$P1052*'[2]Beam '!V$45,0)</f>
        <v>0</v>
      </c>
      <c r="W1052" s="7">
        <f>IF($D1052='[2]Beam '!W$44,$P1052*'[2]Beam '!W$45,0)</f>
        <v>0</v>
      </c>
      <c r="X1052" s="7">
        <f>SUM(Q1052:W1052)</f>
        <v>6.0875269714285727</v>
      </c>
      <c r="Y1052" s="7"/>
      <c r="Z1052" s="7"/>
      <c r="AA1052" s="7"/>
      <c r="AB1052" s="7"/>
      <c r="AC1052" s="7"/>
      <c r="AD1052" s="7"/>
      <c r="AE1052" s="7"/>
      <c r="AF1052" s="7"/>
    </row>
    <row r="1053" spans="1:32" s="9" customFormat="1" ht="20.100000000000001" customHeight="1" x14ac:dyDescent="0.25">
      <c r="A1053" s="6"/>
      <c r="B1053" s="10" t="s">
        <v>2</v>
      </c>
      <c r="C1053" s="13" t="s">
        <v>26</v>
      </c>
      <c r="D1053" s="7">
        <v>8</v>
      </c>
      <c r="E1053" s="7">
        <v>0.2</v>
      </c>
      <c r="F1053" s="7">
        <f>ROUNDUP(E1050/E1053,0)</f>
        <v>11</v>
      </c>
      <c r="H1053" s="7"/>
      <c r="I1053" s="7"/>
      <c r="J1053" s="7"/>
      <c r="K1053" s="7"/>
      <c r="L1053" s="7"/>
      <c r="M1053" s="7"/>
      <c r="N1053" s="7"/>
      <c r="O1053" s="7">
        <f>(2*((G1050-(2*'[2]Beam '!$D$11))+(F1050-(2*'[2]Beam '!$D$11)))+(2*10*D1053/1000))*D1050</f>
        <v>1.52</v>
      </c>
      <c r="P1053" s="7">
        <f>O1053*F1053</f>
        <v>16.72</v>
      </c>
      <c r="Q1053" s="7">
        <f>IF($D1053='[2]Beam '!Q$44,$P1053*'[2]Beam '!Q$45,0)</f>
        <v>6.6001005714285714</v>
      </c>
      <c r="R1053" s="7">
        <f>IF($D1053='[2]Beam '!R$44,$P1053*'[2]Beam '!R$45,0)</f>
        <v>0</v>
      </c>
      <c r="S1053" s="7">
        <f>IF($D1053='[2]Beam '!S$44,$P1053*'[2]Beam '!S$45,0)</f>
        <v>0</v>
      </c>
      <c r="T1053" s="7">
        <f>IF($D1053='[2]Beam '!T$44,$P1053*'[2]Beam '!T$45,0)</f>
        <v>0</v>
      </c>
      <c r="U1053" s="7">
        <f>IF($D1053='[2]Beam '!U$44,$P1053*'[2]Beam '!U$45,0)</f>
        <v>0</v>
      </c>
      <c r="V1053" s="7">
        <f>IF($D1053='[2]Beam '!V$44,$P1053*'[2]Beam '!V$45,0)</f>
        <v>0</v>
      </c>
      <c r="W1053" s="7">
        <f>IF($D1053='[2]Beam '!W$44,$P1053*'[2]Beam '!W$45,0)</f>
        <v>0</v>
      </c>
      <c r="X1053" s="7">
        <f>SUM(Q1053:W1053)</f>
        <v>6.6001005714285714</v>
      </c>
      <c r="Y1053" s="7"/>
      <c r="Z1053" s="7"/>
      <c r="AA1053" s="7"/>
      <c r="AB1053" s="7"/>
      <c r="AC1053" s="7"/>
      <c r="AD1053" s="7"/>
      <c r="AE1053" s="7"/>
    </row>
    <row r="1054" spans="1:32" s="9" customFormat="1" ht="20.100000000000001" customHeight="1" x14ac:dyDescent="0.25">
      <c r="A1054" s="7">
        <v>1</v>
      </c>
      <c r="B1054" s="10" t="s">
        <v>2</v>
      </c>
      <c r="C1054" s="11" t="s">
        <v>161</v>
      </c>
      <c r="D1054" s="11">
        <v>1</v>
      </c>
      <c r="E1054" s="11">
        <v>3.6389999999999998</v>
      </c>
      <c r="F1054" s="11">
        <v>0.5</v>
      </c>
      <c r="G1054" s="11">
        <v>1.1000000000000001</v>
      </c>
      <c r="H1054" s="7">
        <f>G1054-0.2</f>
        <v>0.90000000000000013</v>
      </c>
      <c r="I1054" s="7">
        <f>E1054*F1054*G1054*D1054</f>
        <v>2.0014500000000002</v>
      </c>
      <c r="J1054" s="7">
        <f>(2*(E1054)*H1054*D1054)+(E1054*F1054)</f>
        <v>8.3696999999999999</v>
      </c>
      <c r="K1054" s="12">
        <f>IF(E1054=0.3,J1054,0)</f>
        <v>0</v>
      </c>
      <c r="L1054" s="12">
        <f>IF(AND(E1054&gt;0.3,E1054&lt;=0.75),J1054,0)</f>
        <v>0</v>
      </c>
      <c r="M1054" s="12">
        <f>IF(AND(E1054&gt;0.75,E1054&lt;=1.2),J1054,0)</f>
        <v>0</v>
      </c>
      <c r="N1054" s="12">
        <f>IF(E1054&gt;1.2,J1054,0)</f>
        <v>8.3696999999999999</v>
      </c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>
        <f>SUM(X1055:X1061)/I1054</f>
        <v>158.25123364608277</v>
      </c>
      <c r="Z1054" s="7"/>
      <c r="AA1054" s="7"/>
      <c r="AB1054" s="7"/>
      <c r="AC1054" s="7"/>
      <c r="AD1054" s="7"/>
      <c r="AE1054" s="7"/>
    </row>
    <row r="1055" spans="1:32" s="9" customFormat="1" ht="20.100000000000001" customHeight="1" x14ac:dyDescent="0.25">
      <c r="A1055" s="6"/>
      <c r="B1055" s="10" t="s">
        <v>2</v>
      </c>
      <c r="C1055" s="13" t="s">
        <v>4</v>
      </c>
      <c r="D1055" s="7">
        <v>20</v>
      </c>
      <c r="E1055" s="7"/>
      <c r="F1055" s="7">
        <v>4</v>
      </c>
      <c r="G1055" s="8">
        <f>VLOOKUP(D1055,'[2]Beam '!$C$20:$H$26,3,0)</f>
        <v>0.8</v>
      </c>
      <c r="H1055" s="8"/>
      <c r="I1055" s="7"/>
      <c r="J1055" s="7"/>
      <c r="K1055" s="7"/>
      <c r="L1055" s="7"/>
      <c r="M1055" s="7"/>
      <c r="N1055" s="7"/>
      <c r="O1055" s="7">
        <f>(E1054+1*(G1055+(12*D1055/1000)))+1*(G1055)*D1054</f>
        <v>5.4790000000000001</v>
      </c>
      <c r="P1055" s="7">
        <f t="shared" ref="P1055:P1061" si="189">O1055*F1055</f>
        <v>21.916</v>
      </c>
      <c r="Q1055" s="7">
        <f>IF($D1055='[2]Beam '!Q$44,$P1055*'[2]Beam '!Q$45,0)</f>
        <v>0</v>
      </c>
      <c r="R1055" s="7">
        <f>IF($D1055='[2]Beam '!R$44,$P1055*'[2]Beam '!R$45,0)</f>
        <v>0</v>
      </c>
      <c r="S1055" s="7">
        <f>IF($D1055='[2]Beam '!S$44,$P1055*'[2]Beam '!S$45,0)</f>
        <v>0</v>
      </c>
      <c r="T1055" s="7">
        <f>IF($D1055='[2]Beam '!T$44,$P1055*'[2]Beam '!T$45,0)</f>
        <v>0</v>
      </c>
      <c r="U1055" s="7">
        <f>IF($D1055='[2]Beam '!U$44,$P1055*'[2]Beam '!U$45,0)</f>
        <v>54.069902857142857</v>
      </c>
      <c r="V1055" s="7">
        <f>IF($D1055='[2]Beam '!V$44,$P1055*'[2]Beam '!V$45,0)</f>
        <v>0</v>
      </c>
      <c r="W1055" s="7">
        <f>IF($D1055='[2]Beam '!W$44,$P1055*'[2]Beam '!W$45,0)</f>
        <v>0</v>
      </c>
      <c r="X1055" s="7">
        <f t="shared" ref="X1055:X1061" si="190">SUM(Q1055:W1055)</f>
        <v>54.069902857142857</v>
      </c>
      <c r="Y1055" s="7"/>
      <c r="Z1055" s="7"/>
      <c r="AA1055" s="7"/>
      <c r="AB1055" s="7"/>
      <c r="AC1055" s="7"/>
      <c r="AD1055" s="7"/>
      <c r="AE1055" s="7"/>
    </row>
    <row r="1056" spans="1:32" s="9" customFormat="1" ht="20.100000000000001" customHeight="1" x14ac:dyDescent="0.25">
      <c r="A1056" s="6"/>
      <c r="B1056" s="10" t="s">
        <v>2</v>
      </c>
      <c r="C1056" s="13" t="s">
        <v>4</v>
      </c>
      <c r="D1056" s="7">
        <v>16</v>
      </c>
      <c r="E1056" s="7"/>
      <c r="F1056" s="7">
        <v>4</v>
      </c>
      <c r="G1056" s="8">
        <f>VLOOKUP(D1056,'[2]Beam '!$C$20:$H$26,3,0)</f>
        <v>0.625</v>
      </c>
      <c r="H1056" s="8"/>
      <c r="I1056" s="7"/>
      <c r="J1056" s="7"/>
      <c r="K1056" s="7"/>
      <c r="L1056" s="7"/>
      <c r="M1056" s="7"/>
      <c r="N1056" s="7"/>
      <c r="O1056" s="7">
        <f>(E1054+1*(G1056+(12*D1056/1000)))+1*(G1056)*D1054</f>
        <v>5.0809999999999995</v>
      </c>
      <c r="P1056" s="7">
        <f t="shared" si="189"/>
        <v>20.323999999999998</v>
      </c>
      <c r="Q1056" s="7">
        <f>IF($D1056='[2]Beam '!Q$44,$P1056*'[2]Beam '!Q$45,0)</f>
        <v>0</v>
      </c>
      <c r="R1056" s="7">
        <f>IF($D1056='[2]Beam '!R$44,$P1056*'[2]Beam '!R$45,0)</f>
        <v>0</v>
      </c>
      <c r="S1056" s="7">
        <f>IF($D1056='[2]Beam '!S$44,$P1056*'[2]Beam '!S$45,0)</f>
        <v>0</v>
      </c>
      <c r="T1056" s="7">
        <f>IF($D1056='[2]Beam '!T$44,$P1056*'[2]Beam '!T$45,0)</f>
        <v>32.091015314285713</v>
      </c>
      <c r="U1056" s="7">
        <f>IF($D1056='[2]Beam '!U$44,$P1056*'[2]Beam '!U$45,0)</f>
        <v>0</v>
      </c>
      <c r="V1056" s="7">
        <f>IF($D1056='[2]Beam '!V$44,$P1056*'[2]Beam '!V$45,0)</f>
        <v>0</v>
      </c>
      <c r="W1056" s="7">
        <f>IF($D1056='[2]Beam '!W$44,$P1056*'[2]Beam '!W$45,0)</f>
        <v>0</v>
      </c>
      <c r="X1056" s="7">
        <f t="shared" si="190"/>
        <v>32.091015314285713</v>
      </c>
      <c r="Y1056" s="7"/>
      <c r="Z1056" s="7"/>
      <c r="AA1056" s="7"/>
      <c r="AB1056" s="7"/>
      <c r="AC1056" s="7"/>
      <c r="AD1056" s="7"/>
      <c r="AE1056" s="7"/>
    </row>
    <row r="1057" spans="1:32" s="9" customFormat="1" ht="19.5" customHeight="1" x14ac:dyDescent="0.25">
      <c r="A1057" s="6"/>
      <c r="B1057" s="10" t="s">
        <v>2</v>
      </c>
      <c r="C1057" s="13" t="s">
        <v>6</v>
      </c>
      <c r="D1057" s="7">
        <v>20</v>
      </c>
      <c r="E1057" s="7"/>
      <c r="F1057" s="7">
        <v>4</v>
      </c>
      <c r="G1057" s="8">
        <f>VLOOKUP(D1057,'[2]Beam '!$C$20:$H$26,3,0)</f>
        <v>0.8</v>
      </c>
      <c r="H1057" s="7"/>
      <c r="I1057" s="7"/>
      <c r="J1057" s="7"/>
      <c r="K1057" s="7"/>
      <c r="L1057" s="7"/>
      <c r="M1057" s="7"/>
      <c r="N1057" s="7"/>
      <c r="O1057" s="7">
        <f>(E1054+1*(G1057+(12*D1057/1000))+1*(G1057))*D1054</f>
        <v>5.4790000000000001</v>
      </c>
      <c r="P1057" s="7">
        <f t="shared" si="189"/>
        <v>21.916</v>
      </c>
      <c r="Q1057" s="7">
        <f>IF($D1057='[2]Beam '!Q$44,$P1057*'[2]Beam '!Q$45,0)</f>
        <v>0</v>
      </c>
      <c r="R1057" s="7">
        <f>IF($D1057='[2]Beam '!R$44,$P1057*'[2]Beam '!R$45,0)</f>
        <v>0</v>
      </c>
      <c r="S1057" s="7">
        <f>IF($D1057='[2]Beam '!S$44,$P1057*'[2]Beam '!S$45,0)</f>
        <v>0</v>
      </c>
      <c r="T1057" s="7">
        <f>IF($D1057='[2]Beam '!T$44,$P1057*'[2]Beam '!T$45,0)</f>
        <v>0</v>
      </c>
      <c r="U1057" s="7">
        <f>IF($D1057='[2]Beam '!U$44,$P1057*'[2]Beam '!U$45,0)</f>
        <v>54.069902857142857</v>
      </c>
      <c r="V1057" s="7">
        <f>IF($D1057='[2]Beam '!V$44,$P1057*'[2]Beam '!V$45,0)</f>
        <v>0</v>
      </c>
      <c r="W1057" s="7">
        <f>IF($D1057='[2]Beam '!W$44,$P1057*'[2]Beam '!W$45,0)</f>
        <v>0</v>
      </c>
      <c r="X1057" s="7">
        <f t="shared" si="190"/>
        <v>54.069902857142857</v>
      </c>
      <c r="Y1057" s="7"/>
      <c r="Z1057" s="7"/>
      <c r="AA1057" s="7"/>
      <c r="AB1057" s="7"/>
      <c r="AC1057" s="7"/>
      <c r="AD1057" s="7"/>
      <c r="AE1057" s="7"/>
    </row>
    <row r="1058" spans="1:32" s="14" customFormat="1" ht="20.100000000000001" customHeight="1" x14ac:dyDescent="0.3">
      <c r="A1058" s="6"/>
      <c r="B1058" s="10" t="s">
        <v>2</v>
      </c>
      <c r="C1058" s="13" t="s">
        <v>6</v>
      </c>
      <c r="D1058" s="7">
        <v>16</v>
      </c>
      <c r="E1058" s="7"/>
      <c r="F1058" s="7">
        <v>4</v>
      </c>
      <c r="G1058" s="8">
        <f>VLOOKUP(D1058,'[2]Beam '!$C$20:$H$26,3,0)</f>
        <v>0.625</v>
      </c>
      <c r="H1058" s="7"/>
      <c r="I1058" s="7"/>
      <c r="J1058" s="7"/>
      <c r="K1058" s="7"/>
      <c r="L1058" s="7"/>
      <c r="M1058" s="7"/>
      <c r="N1058" s="7"/>
      <c r="O1058" s="7">
        <f>(E1054+1*(G1058+(12*D1058/1000))+1*(G1058))*D1054</f>
        <v>5.0809999999999995</v>
      </c>
      <c r="P1058" s="7">
        <f t="shared" si="189"/>
        <v>20.323999999999998</v>
      </c>
      <c r="Q1058" s="7">
        <f>IF($D1058='[2]Beam '!Q$44,$P1058*'[2]Beam '!Q$45,0)</f>
        <v>0</v>
      </c>
      <c r="R1058" s="7">
        <f>IF($D1058='[2]Beam '!R$44,$P1058*'[2]Beam '!R$45,0)</f>
        <v>0</v>
      </c>
      <c r="S1058" s="7">
        <f>IF($D1058='[2]Beam '!S$44,$P1058*'[2]Beam '!S$45,0)</f>
        <v>0</v>
      </c>
      <c r="T1058" s="7">
        <f>IF($D1058='[2]Beam '!T$44,$P1058*'[2]Beam '!T$45,0)</f>
        <v>32.091015314285713</v>
      </c>
      <c r="U1058" s="7">
        <f>IF($D1058='[2]Beam '!U$44,$P1058*'[2]Beam '!U$45,0)</f>
        <v>0</v>
      </c>
      <c r="V1058" s="7">
        <f>IF($D1058='[2]Beam '!V$44,$P1058*'[2]Beam '!V$45,0)</f>
        <v>0</v>
      </c>
      <c r="W1058" s="7">
        <f>IF($D1058='[2]Beam '!W$44,$P1058*'[2]Beam '!W$45,0)</f>
        <v>0</v>
      </c>
      <c r="X1058" s="7">
        <f t="shared" si="190"/>
        <v>32.091015314285713</v>
      </c>
      <c r="Y1058" s="7"/>
    </row>
    <row r="1059" spans="1:32" s="9" customFormat="1" ht="20.100000000000001" customHeight="1" x14ac:dyDescent="0.25">
      <c r="A1059" s="6"/>
      <c r="B1059" s="10" t="s">
        <v>2</v>
      </c>
      <c r="C1059" s="13" t="s">
        <v>17</v>
      </c>
      <c r="D1059" s="7">
        <v>10</v>
      </c>
      <c r="E1059" s="7">
        <v>0.1</v>
      </c>
      <c r="F1059" s="7">
        <f>ROUNDUP(E1054/E1059,0)</f>
        <v>37</v>
      </c>
      <c r="H1059" s="7"/>
      <c r="I1059" s="7"/>
      <c r="J1059" s="7"/>
      <c r="K1059" s="7"/>
      <c r="L1059" s="7"/>
      <c r="M1059" s="7"/>
      <c r="N1059" s="7"/>
      <c r="O1059" s="7">
        <f>(2*((G1054-(2*'[2]Beam '!$D$11))+(F1054-(2*'[2]Beam '!$D$11)))+(2*10*D1059/1000))*D1054</f>
        <v>3.16</v>
      </c>
      <c r="P1059" s="7">
        <f t="shared" si="189"/>
        <v>116.92</v>
      </c>
      <c r="Q1059" s="7">
        <f>IF($D1059='[2]Beam '!Q$44,$P1059*'[2]Beam '!Q$45,0)</f>
        <v>0</v>
      </c>
      <c r="R1059" s="7">
        <f>IF($D1059='[2]Beam '!R$44,$P1059*'[2]Beam '!R$45,0)</f>
        <v>72.11458571428571</v>
      </c>
      <c r="S1059" s="7">
        <f>IF($D1059='[2]Beam '!S$44,$P1059*'[2]Beam '!S$45,0)</f>
        <v>0</v>
      </c>
      <c r="T1059" s="7">
        <f>IF($D1059='[2]Beam '!T$44,$P1059*'[2]Beam '!T$45,0)</f>
        <v>0</v>
      </c>
      <c r="U1059" s="7">
        <f>IF($D1059='[2]Beam '!U$44,$P1059*'[2]Beam '!U$45,0)</f>
        <v>0</v>
      </c>
      <c r="V1059" s="7">
        <f>IF($D1059='[2]Beam '!V$44,$P1059*'[2]Beam '!V$45,0)</f>
        <v>0</v>
      </c>
      <c r="W1059" s="7">
        <f>IF($D1059='[2]Beam '!W$44,$P1059*'[2]Beam '!W$45,0)</f>
        <v>0</v>
      </c>
      <c r="X1059" s="7">
        <f t="shared" si="190"/>
        <v>72.11458571428571</v>
      </c>
      <c r="Y1059" s="7"/>
      <c r="Z1059" s="7"/>
      <c r="AA1059" s="7"/>
      <c r="AB1059" s="7"/>
      <c r="AC1059" s="7"/>
      <c r="AD1059" s="7"/>
      <c r="AE1059" s="7"/>
    </row>
    <row r="1060" spans="1:32" s="9" customFormat="1" ht="21" customHeight="1" x14ac:dyDescent="0.25">
      <c r="A1060" s="14"/>
      <c r="B1060" s="10" t="s">
        <v>2</v>
      </c>
      <c r="C1060" s="13" t="s">
        <v>18</v>
      </c>
      <c r="D1060" s="14">
        <f>D1059</f>
        <v>10</v>
      </c>
      <c r="E1060" s="14">
        <f>+E1059</f>
        <v>0.1</v>
      </c>
      <c r="F1060" s="7">
        <f>ROUNDUP(E1054/E1060,0)</f>
        <v>37</v>
      </c>
      <c r="H1060" s="14"/>
      <c r="I1060" s="14"/>
      <c r="J1060" s="14"/>
      <c r="K1060" s="14"/>
      <c r="L1060" s="14"/>
      <c r="M1060" s="14"/>
      <c r="N1060" s="14"/>
      <c r="O1060" s="7">
        <f>(2*(((F1054-'[2]Beam '!$D$11*2)/(F1055-1))+(G1054-'[2]Beam '!$D$11*2))+(2*10*D1060/1000))*D1054</f>
        <v>2.5733333333333337</v>
      </c>
      <c r="P1060" s="7">
        <f t="shared" si="189"/>
        <v>95.213333333333352</v>
      </c>
      <c r="Q1060" s="7">
        <f>IF($D1060='[2]Beam '!Q$44,$P1060*'[2]Beam '!Q$45,0)</f>
        <v>0</v>
      </c>
      <c r="R1060" s="7">
        <f>IF($D1060='[2]Beam '!R$44,$P1060*'[2]Beam '!R$45,0)</f>
        <v>58.726223809523823</v>
      </c>
      <c r="S1060" s="7">
        <f>IF($D1060='[2]Beam '!S$44,$P1060*'[2]Beam '!S$45,0)</f>
        <v>0</v>
      </c>
      <c r="T1060" s="7">
        <f>IF($D1060='[2]Beam '!T$44,$P1060*'[2]Beam '!T$45,0)</f>
        <v>0</v>
      </c>
      <c r="U1060" s="7">
        <f>IF($D1060='[2]Beam '!U$44,$P1060*'[2]Beam '!U$45,0)</f>
        <v>0</v>
      </c>
      <c r="V1060" s="7">
        <f>IF($D1060='[2]Beam '!V$44,$P1060*'[2]Beam '!V$45,0)</f>
        <v>0</v>
      </c>
      <c r="W1060" s="7">
        <f>IF($D1060='[2]Beam '!W$44,$P1060*'[2]Beam '!W$45,0)</f>
        <v>0</v>
      </c>
      <c r="X1060" s="7">
        <f t="shared" si="190"/>
        <v>58.726223809523823</v>
      </c>
      <c r="Y1060" s="14"/>
      <c r="Z1060" s="7"/>
      <c r="AA1060" s="7"/>
      <c r="AB1060" s="7"/>
      <c r="AC1060" s="7"/>
      <c r="AD1060" s="7"/>
      <c r="AE1060" s="7"/>
      <c r="AF1060" s="7"/>
    </row>
    <row r="1061" spans="1:32" s="9" customFormat="1" ht="20.100000000000001" customHeight="1" x14ac:dyDescent="0.25">
      <c r="A1061" s="6"/>
      <c r="B1061" s="10" t="s">
        <v>2</v>
      </c>
      <c r="C1061" s="13" t="s">
        <v>11</v>
      </c>
      <c r="D1061" s="7">
        <f>+'[2]Beam '!$D$15</f>
        <v>25</v>
      </c>
      <c r="E1061" s="7">
        <f>+'[2]Beam '!$E$15</f>
        <v>1</v>
      </c>
      <c r="F1061" s="7">
        <f>ROUNDUP((E1054+E1054)/E1061,0)</f>
        <v>8</v>
      </c>
      <c r="G1061" s="8"/>
      <c r="H1061" s="8"/>
      <c r="I1061" s="7"/>
      <c r="J1061" s="7"/>
      <c r="K1061" s="7"/>
      <c r="L1061" s="7"/>
      <c r="M1061" s="7"/>
      <c r="N1061" s="7"/>
      <c r="O1061" s="7">
        <f>F1054-'[2]Beam '!$F$15</f>
        <v>0.44</v>
      </c>
      <c r="P1061" s="7">
        <f t="shared" si="189"/>
        <v>3.52</v>
      </c>
      <c r="Q1061" s="7">
        <f>IF($D1061='[2]Beam '!Q$44,$P1061*'[2]Beam '!Q$45,0)</f>
        <v>0</v>
      </c>
      <c r="R1061" s="7">
        <f>IF($D1061='[2]Beam '!R$44,$P1061*'[2]Beam '!R$45,0)</f>
        <v>0</v>
      </c>
      <c r="S1061" s="7">
        <f>IF($D1061='[2]Beam '!S$44,$P1061*'[2]Beam '!S$45,0)</f>
        <v>0</v>
      </c>
      <c r="T1061" s="7">
        <f>IF($D1061='[2]Beam '!T$44,$P1061*'[2]Beam '!T$45,0)</f>
        <v>0</v>
      </c>
      <c r="U1061" s="7">
        <f>IF($D1061='[2]Beam '!U$44,$P1061*'[2]Beam '!U$45,0)</f>
        <v>0</v>
      </c>
      <c r="V1061" s="7">
        <f>IF($D1061='[2]Beam '!V$44,$P1061*'[2]Beam '!V$45,0)</f>
        <v>13.569285714285716</v>
      </c>
      <c r="W1061" s="7">
        <f>IF($D1061='[2]Beam '!W$44,$P1061*'[2]Beam '!W$45,0)</f>
        <v>0</v>
      </c>
      <c r="X1061" s="7">
        <f t="shared" si="190"/>
        <v>13.569285714285716</v>
      </c>
      <c r="Y1061" s="7"/>
      <c r="Z1061" s="7"/>
      <c r="AA1061" s="7"/>
      <c r="AB1061" s="7"/>
      <c r="AC1061" s="7"/>
      <c r="AD1061" s="7"/>
      <c r="AE1061" s="7"/>
    </row>
    <row r="1062" spans="1:32" s="9" customFormat="1" ht="20.100000000000001" customHeight="1" x14ac:dyDescent="0.25">
      <c r="A1062" s="7">
        <v>1</v>
      </c>
      <c r="B1062" s="10" t="s">
        <v>2</v>
      </c>
      <c r="C1062" s="11" t="s">
        <v>162</v>
      </c>
      <c r="D1062" s="11">
        <v>1</v>
      </c>
      <c r="E1062" s="11">
        <v>5.7249999999999996</v>
      </c>
      <c r="F1062" s="11">
        <v>0.3</v>
      </c>
      <c r="G1062" s="11">
        <v>1.05</v>
      </c>
      <c r="H1062" s="7">
        <f>G1062-0.2</f>
        <v>0.85000000000000009</v>
      </c>
      <c r="I1062" s="7">
        <f>E1062*F1062*G1062*D1062</f>
        <v>1.803375</v>
      </c>
      <c r="J1062" s="7">
        <f>(2*(E1062)*H1062*D1062)+(E1062*F1062)</f>
        <v>11.45</v>
      </c>
      <c r="K1062" s="12">
        <f>IF(E1062=0.3,J1062,0)</f>
        <v>0</v>
      </c>
      <c r="L1062" s="12">
        <f>IF(AND(E1062&gt;0.3,E1062&lt;=0.75),J1062,0)</f>
        <v>0</v>
      </c>
      <c r="M1062" s="12">
        <f>IF(AND(E1062&gt;0.75,E1062&lt;=1.2),J1062,0)</f>
        <v>0</v>
      </c>
      <c r="N1062" s="12">
        <f>IF(E1062&gt;1.2,J1062,0)</f>
        <v>11.45</v>
      </c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>
        <f>SUM(X1063:X1065)/I1062</f>
        <v>55.291033059046029</v>
      </c>
      <c r="Z1062" s="7"/>
      <c r="AA1062" s="7"/>
      <c r="AB1062" s="7"/>
      <c r="AC1062" s="7"/>
      <c r="AD1062" s="7"/>
      <c r="AE1062" s="7"/>
    </row>
    <row r="1063" spans="1:32" s="9" customFormat="1" ht="20.100000000000001" customHeight="1" x14ac:dyDescent="0.25">
      <c r="A1063" s="6"/>
      <c r="B1063" s="10" t="s">
        <v>2</v>
      </c>
      <c r="C1063" s="13" t="s">
        <v>4</v>
      </c>
      <c r="D1063" s="7">
        <v>16</v>
      </c>
      <c r="E1063" s="7"/>
      <c r="F1063" s="7">
        <v>3</v>
      </c>
      <c r="G1063" s="8">
        <f>VLOOKUP(D1063,'[2]Beam '!$C$20:$H$26,3,0)</f>
        <v>0.625</v>
      </c>
      <c r="H1063" s="8"/>
      <c r="I1063" s="7"/>
      <c r="J1063" s="7"/>
      <c r="K1063" s="7"/>
      <c r="L1063" s="7"/>
      <c r="M1063" s="7"/>
      <c r="N1063" s="7"/>
      <c r="O1063" s="7">
        <f>(E1062+2*(G1063+(12*D1063/1000)))*D1062</f>
        <v>7.359</v>
      </c>
      <c r="P1063" s="7">
        <f>O1063*F1063</f>
        <v>22.076999999999998</v>
      </c>
      <c r="Q1063" s="7">
        <f>IF($D1063='[2]Beam '!Q$44,$P1063*'[2]Beam '!Q$45,0)</f>
        <v>0</v>
      </c>
      <c r="R1063" s="7">
        <f>IF($D1063='[2]Beam '!R$44,$P1063*'[2]Beam '!R$45,0)</f>
        <v>0</v>
      </c>
      <c r="S1063" s="7">
        <f>IF($D1063='[2]Beam '!S$44,$P1063*'[2]Beam '!S$45,0)</f>
        <v>0</v>
      </c>
      <c r="T1063" s="7">
        <f>IF($D1063='[2]Beam '!T$44,$P1063*'[2]Beam '!T$45,0)</f>
        <v>34.858952228571425</v>
      </c>
      <c r="U1063" s="7">
        <f>IF($D1063='[2]Beam '!U$44,$P1063*'[2]Beam '!U$45,0)</f>
        <v>0</v>
      </c>
      <c r="V1063" s="7">
        <f>IF($D1063='[2]Beam '!V$44,$P1063*'[2]Beam '!V$45,0)</f>
        <v>0</v>
      </c>
      <c r="W1063" s="7">
        <f>IF($D1063='[2]Beam '!W$44,$P1063*'[2]Beam '!W$45,0)</f>
        <v>0</v>
      </c>
      <c r="X1063" s="7">
        <f>SUM(Q1063:W1063)</f>
        <v>34.858952228571425</v>
      </c>
      <c r="Y1063" s="7"/>
      <c r="Z1063" s="7"/>
      <c r="AA1063" s="7"/>
      <c r="AB1063" s="7"/>
      <c r="AC1063" s="7"/>
      <c r="AD1063" s="7"/>
      <c r="AE1063" s="7"/>
    </row>
    <row r="1064" spans="1:32" s="9" customFormat="1" ht="21" customHeight="1" x14ac:dyDescent="0.25">
      <c r="A1064" s="6"/>
      <c r="B1064" s="10" t="s">
        <v>2</v>
      </c>
      <c r="C1064" s="13" t="s">
        <v>6</v>
      </c>
      <c r="D1064" s="7">
        <v>16</v>
      </c>
      <c r="E1064" s="7"/>
      <c r="F1064" s="7">
        <v>3</v>
      </c>
      <c r="G1064" s="8">
        <f>VLOOKUP(D1064,'[2]Beam '!$C$20:$H$26,3,0)</f>
        <v>0.625</v>
      </c>
      <c r="H1064" s="7"/>
      <c r="I1064" s="7"/>
      <c r="J1064" s="7"/>
      <c r="K1064" s="7"/>
      <c r="L1064" s="7"/>
      <c r="M1064" s="7"/>
      <c r="N1064" s="7"/>
      <c r="O1064" s="7">
        <f>(E1062+2*(G1064+(12*D1064/1000)))*D1062</f>
        <v>7.359</v>
      </c>
      <c r="P1064" s="7">
        <f>O1064*F1064</f>
        <v>22.076999999999998</v>
      </c>
      <c r="Q1064" s="7">
        <f>IF($D1064='[2]Beam '!Q$44,$P1064*'[2]Beam '!Q$45,0)</f>
        <v>0</v>
      </c>
      <c r="R1064" s="7">
        <f>IF($D1064='[2]Beam '!R$44,$P1064*'[2]Beam '!R$45,0)</f>
        <v>0</v>
      </c>
      <c r="S1064" s="7">
        <f>IF($D1064='[2]Beam '!S$44,$P1064*'[2]Beam '!S$45,0)</f>
        <v>0</v>
      </c>
      <c r="T1064" s="7">
        <f>IF($D1064='[2]Beam '!T$44,$P1064*'[2]Beam '!T$45,0)</f>
        <v>34.858952228571425</v>
      </c>
      <c r="U1064" s="7">
        <f>IF($D1064='[2]Beam '!U$44,$P1064*'[2]Beam '!U$45,0)</f>
        <v>0</v>
      </c>
      <c r="V1064" s="7">
        <f>IF($D1064='[2]Beam '!V$44,$P1064*'[2]Beam '!V$45,0)</f>
        <v>0</v>
      </c>
      <c r="W1064" s="7">
        <f>IF($D1064='[2]Beam '!W$44,$P1064*'[2]Beam '!W$45,0)</f>
        <v>0</v>
      </c>
      <c r="X1064" s="7">
        <f>SUM(Q1064:W1064)</f>
        <v>34.858952228571425</v>
      </c>
      <c r="Y1064" s="7"/>
      <c r="Z1064" s="7"/>
      <c r="AA1064" s="7"/>
      <c r="AB1064" s="7"/>
      <c r="AC1064" s="7"/>
      <c r="AD1064" s="7"/>
      <c r="AE1064" s="7"/>
      <c r="AF1064" s="7"/>
    </row>
    <row r="1065" spans="1:32" s="9" customFormat="1" ht="20.100000000000001" customHeight="1" x14ac:dyDescent="0.25">
      <c r="A1065" s="6"/>
      <c r="B1065" s="10" t="s">
        <v>2</v>
      </c>
      <c r="C1065" s="13" t="s">
        <v>26</v>
      </c>
      <c r="D1065" s="7">
        <v>8</v>
      </c>
      <c r="E1065" s="7">
        <v>0.2</v>
      </c>
      <c r="F1065" s="7">
        <f>ROUNDUP(E1062/E1065,0)</f>
        <v>29</v>
      </c>
      <c r="H1065" s="7"/>
      <c r="I1065" s="7"/>
      <c r="J1065" s="7"/>
      <c r="K1065" s="7"/>
      <c r="L1065" s="7"/>
      <c r="M1065" s="7"/>
      <c r="N1065" s="7"/>
      <c r="O1065" s="7">
        <f>(2*((G1062-(2*'[2]Beam '!$D$11))+(F1062-(2*'[2]Beam '!$D$11)))+(2*10*D1065/1000))*D1062</f>
        <v>2.62</v>
      </c>
      <c r="P1065" s="7">
        <f>O1065*F1065</f>
        <v>75.98</v>
      </c>
      <c r="Q1065" s="7">
        <f>IF($D1065='[2]Beam '!Q$44,$P1065*'[2]Beam '!Q$45,0)</f>
        <v>29.992562285714289</v>
      </c>
      <c r="R1065" s="7">
        <f>IF($D1065='[2]Beam '!R$44,$P1065*'[2]Beam '!R$45,0)</f>
        <v>0</v>
      </c>
      <c r="S1065" s="7">
        <f>IF($D1065='[2]Beam '!S$44,$P1065*'[2]Beam '!S$45,0)</f>
        <v>0</v>
      </c>
      <c r="T1065" s="7">
        <f>IF($D1065='[2]Beam '!T$44,$P1065*'[2]Beam '!T$45,0)</f>
        <v>0</v>
      </c>
      <c r="U1065" s="7">
        <f>IF($D1065='[2]Beam '!U$44,$P1065*'[2]Beam '!U$45,0)</f>
        <v>0</v>
      </c>
      <c r="V1065" s="7">
        <f>IF($D1065='[2]Beam '!V$44,$P1065*'[2]Beam '!V$45,0)</f>
        <v>0</v>
      </c>
      <c r="W1065" s="7">
        <f>IF($D1065='[2]Beam '!W$44,$P1065*'[2]Beam '!W$45,0)</f>
        <v>0</v>
      </c>
      <c r="X1065" s="7">
        <f>SUM(Q1065:W1065)</f>
        <v>29.992562285714289</v>
      </c>
      <c r="Y1065" s="7"/>
      <c r="Z1065" s="7"/>
      <c r="AA1065" s="7"/>
      <c r="AB1065" s="7"/>
      <c r="AC1065" s="7"/>
      <c r="AD1065" s="7"/>
      <c r="AE1065" s="7"/>
    </row>
    <row r="1066" spans="1:32" s="9" customFormat="1" ht="20.100000000000001" customHeight="1" x14ac:dyDescent="0.25">
      <c r="A1066" s="7">
        <v>1</v>
      </c>
      <c r="B1066" s="10" t="s">
        <v>2</v>
      </c>
      <c r="C1066" s="11" t="s">
        <v>163</v>
      </c>
      <c r="D1066" s="11">
        <v>1</v>
      </c>
      <c r="E1066" s="11">
        <v>2.9550000000000001</v>
      </c>
      <c r="F1066" s="11">
        <v>0.2</v>
      </c>
      <c r="G1066" s="11">
        <v>0.6</v>
      </c>
      <c r="H1066" s="7">
        <f>G1066-0.2</f>
        <v>0.39999999999999997</v>
      </c>
      <c r="I1066" s="7">
        <f>E1066*F1066*G1066*D1066</f>
        <v>0.35460000000000003</v>
      </c>
      <c r="J1066" s="7">
        <f>(2*(E1066)*H1066*D1066)+(E1066*F1066)</f>
        <v>2.9550000000000001</v>
      </c>
      <c r="K1066" s="12">
        <f>IF(E1066=0.3,J1066,0)</f>
        <v>0</v>
      </c>
      <c r="L1066" s="12">
        <f>IF(AND(E1066&gt;0.3,E1066&lt;=0.75),J1066,0)</f>
        <v>0</v>
      </c>
      <c r="M1066" s="12">
        <f>IF(AND(E1066&gt;0.75,E1066&lt;=1.2),J1066,0)</f>
        <v>0</v>
      </c>
      <c r="N1066" s="12">
        <f>IF(E1066&gt;1.2,J1066,0)</f>
        <v>2.9550000000000001</v>
      </c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>
        <f>SUM(X1067:X1072)/I1066</f>
        <v>153.07125557972765</v>
      </c>
      <c r="Z1066" s="7"/>
      <c r="AA1066" s="7"/>
      <c r="AB1066" s="7"/>
      <c r="AC1066" s="7"/>
      <c r="AD1066" s="7"/>
      <c r="AE1066" s="7"/>
    </row>
    <row r="1067" spans="1:32" s="9" customFormat="1" ht="20.100000000000001" customHeight="1" x14ac:dyDescent="0.25">
      <c r="A1067" s="6"/>
      <c r="B1067" s="10" t="s">
        <v>2</v>
      </c>
      <c r="C1067" s="13" t="s">
        <v>4</v>
      </c>
      <c r="D1067" s="7">
        <v>16</v>
      </c>
      <c r="E1067" s="7"/>
      <c r="F1067" s="7">
        <v>2</v>
      </c>
      <c r="G1067" s="8">
        <f>VLOOKUP(D1067,'[2]Beam '!$C$20:$H$26,3,0)</f>
        <v>0.625</v>
      </c>
      <c r="H1067" s="8"/>
      <c r="I1067" s="7"/>
      <c r="J1067" s="7"/>
      <c r="K1067" s="7"/>
      <c r="L1067" s="7"/>
      <c r="M1067" s="7"/>
      <c r="N1067" s="7"/>
      <c r="O1067" s="7">
        <f>(E1066+2*(G1067+(12*D1067/1000)))*D1066</f>
        <v>4.5890000000000004</v>
      </c>
      <c r="P1067" s="7">
        <f t="shared" ref="P1067:P1072" si="191">O1067*F1067</f>
        <v>9.1780000000000008</v>
      </c>
      <c r="Q1067" s="7">
        <f>IF($D1067='[2]Beam '!Q$44,$P1067*'[2]Beam '!Q$45,0)</f>
        <v>0</v>
      </c>
      <c r="R1067" s="7">
        <f>IF($D1067='[2]Beam '!R$44,$P1067*'[2]Beam '!R$45,0)</f>
        <v>0</v>
      </c>
      <c r="S1067" s="7">
        <f>IF($D1067='[2]Beam '!S$44,$P1067*'[2]Beam '!S$45,0)</f>
        <v>0</v>
      </c>
      <c r="T1067" s="7">
        <f>IF($D1067='[2]Beam '!T$44,$P1067*'[2]Beam '!T$45,0)</f>
        <v>14.491799771428575</v>
      </c>
      <c r="U1067" s="7">
        <f>IF($D1067='[2]Beam '!U$44,$P1067*'[2]Beam '!U$45,0)</f>
        <v>0</v>
      </c>
      <c r="V1067" s="7">
        <f>IF($D1067='[2]Beam '!V$44,$P1067*'[2]Beam '!V$45,0)</f>
        <v>0</v>
      </c>
      <c r="W1067" s="7">
        <f>IF($D1067='[2]Beam '!W$44,$P1067*'[2]Beam '!W$45,0)</f>
        <v>0</v>
      </c>
      <c r="X1067" s="7">
        <f t="shared" ref="X1067:X1072" si="192">SUM(Q1067:W1067)</f>
        <v>14.491799771428575</v>
      </c>
      <c r="Y1067" s="7"/>
      <c r="Z1067" s="7"/>
      <c r="AA1067" s="7"/>
      <c r="AB1067" s="7"/>
      <c r="AC1067" s="7"/>
      <c r="AD1067" s="7"/>
      <c r="AE1067" s="7"/>
    </row>
    <row r="1068" spans="1:32" s="9" customFormat="1" ht="20.100000000000001" customHeight="1" x14ac:dyDescent="0.25">
      <c r="A1068" s="6"/>
      <c r="B1068" s="10" t="s">
        <v>2</v>
      </c>
      <c r="C1068" s="13" t="s">
        <v>5</v>
      </c>
      <c r="D1068" s="7">
        <v>12</v>
      </c>
      <c r="E1068" s="7"/>
      <c r="F1068" s="7">
        <v>2</v>
      </c>
      <c r="G1068" s="8">
        <f>VLOOKUP(D1068,'[2]Beam '!$C$20:$H$26,3,0)</f>
        <v>0.47499999999999998</v>
      </c>
      <c r="H1068" s="8"/>
      <c r="I1068" s="7"/>
      <c r="J1068" s="7"/>
      <c r="K1068" s="7"/>
      <c r="L1068" s="7"/>
      <c r="M1068" s="7"/>
      <c r="N1068" s="7"/>
      <c r="O1068" s="7">
        <f>(0.75+1*(G1068+(12*D1068/1000)))*D1066</f>
        <v>1.369</v>
      </c>
      <c r="P1068" s="7">
        <f t="shared" si="191"/>
        <v>2.738</v>
      </c>
      <c r="Q1068" s="7">
        <f>IF($D1068='[2]Beam '!Q$44,$P1068*'[2]Beam '!Q$45,0)</f>
        <v>0</v>
      </c>
      <c r="R1068" s="7">
        <f>IF($D1068='[2]Beam '!R$44,$P1068*'[2]Beam '!R$45,0)</f>
        <v>0</v>
      </c>
      <c r="S1068" s="7">
        <f>IF($D1068='[2]Beam '!S$44,$P1068*'[2]Beam '!S$45,0)</f>
        <v>2.4318133714285719</v>
      </c>
      <c r="T1068" s="7">
        <f>IF($D1068='[2]Beam '!T$44,$P1068*'[2]Beam '!T$45,0)</f>
        <v>0</v>
      </c>
      <c r="U1068" s="7">
        <f>IF($D1068='[2]Beam '!U$44,$P1068*'[2]Beam '!U$45,0)</f>
        <v>0</v>
      </c>
      <c r="V1068" s="7">
        <f>IF($D1068='[2]Beam '!V$44,$P1068*'[2]Beam '!V$45,0)</f>
        <v>0</v>
      </c>
      <c r="W1068" s="7">
        <f>IF($D1068='[2]Beam '!W$44,$P1068*'[2]Beam '!W$45,0)</f>
        <v>0</v>
      </c>
      <c r="X1068" s="7">
        <f t="shared" si="192"/>
        <v>2.4318133714285719</v>
      </c>
      <c r="Y1068" s="7"/>
      <c r="Z1068" s="7"/>
      <c r="AA1068" s="7"/>
      <c r="AB1068" s="7"/>
      <c r="AC1068" s="7"/>
      <c r="AD1068" s="7"/>
      <c r="AE1068" s="7"/>
    </row>
    <row r="1069" spans="1:32" s="9" customFormat="1" ht="20.100000000000001" customHeight="1" x14ac:dyDescent="0.25">
      <c r="A1069" s="6"/>
      <c r="B1069" s="10" t="s">
        <v>2</v>
      </c>
      <c r="C1069" s="13" t="s">
        <v>5</v>
      </c>
      <c r="D1069" s="7">
        <v>12</v>
      </c>
      <c r="E1069" s="7"/>
      <c r="F1069" s="7">
        <v>2</v>
      </c>
      <c r="G1069" s="8">
        <f>VLOOKUP(D1069,'[2]Beam '!$C$20:$H$26,3,0)</f>
        <v>0.47499999999999998</v>
      </c>
      <c r="H1069" s="8"/>
      <c r="I1069" s="7"/>
      <c r="J1069" s="7"/>
      <c r="K1069" s="7"/>
      <c r="L1069" s="7"/>
      <c r="M1069" s="7"/>
      <c r="N1069" s="7"/>
      <c r="O1069" s="7">
        <f>(0.75+1*(G1069+(12*D1069/1000)))*D1066</f>
        <v>1.369</v>
      </c>
      <c r="P1069" s="7">
        <f t="shared" si="191"/>
        <v>2.738</v>
      </c>
      <c r="Q1069" s="7">
        <f>IF($D1069='[2]Beam '!Q$44,$P1069*'[2]Beam '!Q$45,0)</f>
        <v>0</v>
      </c>
      <c r="R1069" s="7">
        <f>IF($D1069='[2]Beam '!R$44,$P1069*'[2]Beam '!R$45,0)</f>
        <v>0</v>
      </c>
      <c r="S1069" s="7">
        <f>IF($D1069='[2]Beam '!S$44,$P1069*'[2]Beam '!S$45,0)</f>
        <v>2.4318133714285719</v>
      </c>
      <c r="T1069" s="7">
        <f>IF($D1069='[2]Beam '!T$44,$P1069*'[2]Beam '!T$45,0)</f>
        <v>0</v>
      </c>
      <c r="U1069" s="7">
        <f>IF($D1069='[2]Beam '!U$44,$P1069*'[2]Beam '!U$45,0)</f>
        <v>0</v>
      </c>
      <c r="V1069" s="7">
        <f>IF($D1069='[2]Beam '!V$44,$P1069*'[2]Beam '!V$45,0)</f>
        <v>0</v>
      </c>
      <c r="W1069" s="7">
        <f>IF($D1069='[2]Beam '!W$44,$P1069*'[2]Beam '!W$45,0)</f>
        <v>0</v>
      </c>
      <c r="X1069" s="7">
        <f t="shared" si="192"/>
        <v>2.4318133714285719</v>
      </c>
      <c r="Y1069" s="7"/>
      <c r="Z1069" s="7"/>
      <c r="AA1069" s="7"/>
      <c r="AB1069" s="7"/>
      <c r="AC1069" s="7"/>
      <c r="AD1069" s="7"/>
      <c r="AE1069" s="7"/>
    </row>
    <row r="1070" spans="1:32" s="9" customFormat="1" ht="20.100000000000001" customHeight="1" x14ac:dyDescent="0.25">
      <c r="A1070" s="6"/>
      <c r="B1070" s="10" t="s">
        <v>2</v>
      </c>
      <c r="C1070" s="13" t="s">
        <v>6</v>
      </c>
      <c r="D1070" s="7">
        <v>20</v>
      </c>
      <c r="E1070" s="7"/>
      <c r="F1070" s="7">
        <v>2</v>
      </c>
      <c r="G1070" s="8">
        <f>VLOOKUP(D1070,'[2]Beam '!$C$20:$H$26,3,0)</f>
        <v>0.8</v>
      </c>
      <c r="H1070" s="7"/>
      <c r="I1070" s="7"/>
      <c r="J1070" s="7"/>
      <c r="K1070" s="7"/>
      <c r="L1070" s="7"/>
      <c r="M1070" s="7"/>
      <c r="N1070" s="7"/>
      <c r="O1070" s="7">
        <f>(E1066+2*(G1070+(12*D1070/1000)))*D1066</f>
        <v>5.0350000000000001</v>
      </c>
      <c r="P1070" s="7">
        <f t="shared" si="191"/>
        <v>10.07</v>
      </c>
      <c r="Q1070" s="7">
        <f>IF($D1070='[2]Beam '!Q$44,$P1070*'[2]Beam '!Q$45,0)</f>
        <v>0</v>
      </c>
      <c r="R1070" s="7">
        <f>IF($D1070='[2]Beam '!R$44,$P1070*'[2]Beam '!R$45,0)</f>
        <v>0</v>
      </c>
      <c r="S1070" s="7">
        <f>IF($D1070='[2]Beam '!S$44,$P1070*'[2]Beam '!S$45,0)</f>
        <v>0</v>
      </c>
      <c r="T1070" s="7">
        <f>IF($D1070='[2]Beam '!T$44,$P1070*'[2]Beam '!T$45,0)</f>
        <v>0</v>
      </c>
      <c r="U1070" s="7">
        <f>IF($D1070='[2]Beam '!U$44,$P1070*'[2]Beam '!U$45,0)</f>
        <v>24.84412857142857</v>
      </c>
      <c r="V1070" s="7">
        <f>IF($D1070='[2]Beam '!V$44,$P1070*'[2]Beam '!V$45,0)</f>
        <v>0</v>
      </c>
      <c r="W1070" s="7">
        <f>IF($D1070='[2]Beam '!W$44,$P1070*'[2]Beam '!W$45,0)</f>
        <v>0</v>
      </c>
      <c r="X1070" s="7">
        <f t="shared" si="192"/>
        <v>24.84412857142857</v>
      </c>
      <c r="Y1070" s="7"/>
      <c r="Z1070" s="7"/>
      <c r="AA1070" s="7"/>
      <c r="AB1070" s="7"/>
      <c r="AC1070" s="7"/>
      <c r="AD1070" s="7"/>
      <c r="AE1070" s="7"/>
    </row>
    <row r="1071" spans="1:32" x14ac:dyDescent="0.3">
      <c r="A1071" s="6"/>
      <c r="B1071" s="10" t="s">
        <v>2</v>
      </c>
      <c r="C1071" s="13" t="s">
        <v>26</v>
      </c>
      <c r="D1071" s="7">
        <v>8</v>
      </c>
      <c r="E1071" s="7">
        <v>0.2</v>
      </c>
      <c r="F1071" s="7">
        <f>ROUNDUP(E1066/E1071,0)</f>
        <v>15</v>
      </c>
      <c r="G1071" s="9"/>
      <c r="H1071" s="7"/>
      <c r="I1071" s="7"/>
      <c r="J1071" s="7"/>
      <c r="K1071" s="7"/>
      <c r="L1071" s="7"/>
      <c r="M1071" s="7"/>
      <c r="N1071" s="7"/>
      <c r="O1071" s="7">
        <f>(2*((G1066-(2*'[2]Beam '!$D$11))+(F1066-(2*'[2]Beam '!$D$11)))+(2*10*D1071/1000))*D1066</f>
        <v>1.52</v>
      </c>
      <c r="P1071" s="7">
        <f t="shared" si="191"/>
        <v>22.8</v>
      </c>
      <c r="Q1071" s="7">
        <f>IF($D1071='[2]Beam '!Q$44,$P1071*'[2]Beam '!Q$45,0)</f>
        <v>9.0001371428571435</v>
      </c>
      <c r="R1071" s="7">
        <f>IF($D1071='[2]Beam '!R$44,$P1071*'[2]Beam '!R$45,0)</f>
        <v>0</v>
      </c>
      <c r="S1071" s="7">
        <f>IF($D1071='[2]Beam '!S$44,$P1071*'[2]Beam '!S$45,0)</f>
        <v>0</v>
      </c>
      <c r="T1071" s="7">
        <f>IF($D1071='[2]Beam '!T$44,$P1071*'[2]Beam '!T$45,0)</f>
        <v>0</v>
      </c>
      <c r="U1071" s="7">
        <f>IF($D1071='[2]Beam '!U$44,$P1071*'[2]Beam '!U$45,0)</f>
        <v>0</v>
      </c>
      <c r="V1071" s="7">
        <f>IF($D1071='[2]Beam '!V$44,$P1071*'[2]Beam '!V$45,0)</f>
        <v>0</v>
      </c>
      <c r="W1071" s="7">
        <f>IF($D1071='[2]Beam '!W$44,$P1071*'[2]Beam '!W$45,0)</f>
        <v>0</v>
      </c>
      <c r="X1071" s="7">
        <f t="shared" si="192"/>
        <v>9.0001371428571435</v>
      </c>
      <c r="Y1071" s="7"/>
    </row>
    <row r="1072" spans="1:32" x14ac:dyDescent="0.3">
      <c r="A1072" s="6"/>
      <c r="B1072" s="10" t="s">
        <v>2</v>
      </c>
      <c r="C1072" s="13" t="s">
        <v>11</v>
      </c>
      <c r="D1072" s="7">
        <f>+'[2]Beam '!$D$15</f>
        <v>25</v>
      </c>
      <c r="E1072" s="7">
        <f>+'[2]Beam '!$E$15</f>
        <v>1</v>
      </c>
      <c r="F1072" s="7">
        <f>ROUNDUP((0.75+0.75)/E1072,0)</f>
        <v>2</v>
      </c>
      <c r="G1072" s="8"/>
      <c r="H1072" s="8"/>
      <c r="I1072" s="7"/>
      <c r="J1072" s="7"/>
      <c r="K1072" s="7"/>
      <c r="L1072" s="7"/>
      <c r="M1072" s="7"/>
      <c r="N1072" s="7"/>
      <c r="O1072" s="7">
        <f>F1066-'[2]Beam '!$F$15</f>
        <v>0.14000000000000001</v>
      </c>
      <c r="P1072" s="7">
        <f t="shared" si="191"/>
        <v>0.28000000000000003</v>
      </c>
      <c r="Q1072" s="7">
        <f>IF($D1072='[2]Beam '!Q$44,$P1072*'[2]Beam '!Q$45,0)</f>
        <v>0</v>
      </c>
      <c r="R1072" s="7">
        <f>IF($D1072='[2]Beam '!R$44,$P1072*'[2]Beam '!R$45,0)</f>
        <v>0</v>
      </c>
      <c r="S1072" s="7">
        <f>IF($D1072='[2]Beam '!S$44,$P1072*'[2]Beam '!S$45,0)</f>
        <v>0</v>
      </c>
      <c r="T1072" s="7">
        <f>IF($D1072='[2]Beam '!T$44,$P1072*'[2]Beam '!T$45,0)</f>
        <v>0</v>
      </c>
      <c r="U1072" s="7">
        <f>IF($D1072='[2]Beam '!U$44,$P1072*'[2]Beam '!U$45,0)</f>
        <v>0</v>
      </c>
      <c r="V1072" s="7">
        <f>IF($D1072='[2]Beam '!V$44,$P1072*'[2]Beam '!V$45,0)</f>
        <v>1.0793750000000002</v>
      </c>
      <c r="W1072" s="7">
        <f>IF($D1072='[2]Beam '!W$44,$P1072*'[2]Beam '!W$45,0)</f>
        <v>0</v>
      </c>
      <c r="X1072" s="7">
        <f t="shared" si="192"/>
        <v>1.0793750000000002</v>
      </c>
      <c r="Y1072" s="7"/>
    </row>
  </sheetData>
  <mergeCells count="13">
    <mergeCell ref="C4:G4"/>
    <mergeCell ref="C6:G6"/>
    <mergeCell ref="A2:A3"/>
    <mergeCell ref="C2:C3"/>
    <mergeCell ref="D2:D3"/>
    <mergeCell ref="E2:E3"/>
    <mergeCell ref="F2:F3"/>
    <mergeCell ref="Y2:Y3"/>
    <mergeCell ref="J2:J3"/>
    <mergeCell ref="K2:N2"/>
    <mergeCell ref="O2:O3"/>
    <mergeCell ref="P2:P3"/>
    <mergeCell ref="X2:X3"/>
  </mergeCells>
  <conditionalFormatting sqref="O4:O1072">
    <cfRule type="cellIs" dxfId="0" priority="1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</dc:creator>
  <cp:lastModifiedBy>Nishanth Bilimagga Hanumantha</cp:lastModifiedBy>
  <dcterms:created xsi:type="dcterms:W3CDTF">2026-08-01T05:20:22Z</dcterms:created>
  <dcterms:modified xsi:type="dcterms:W3CDTF">2026-08-01T12:03:59Z</dcterms:modified>
</cp:coreProperties>
</file>