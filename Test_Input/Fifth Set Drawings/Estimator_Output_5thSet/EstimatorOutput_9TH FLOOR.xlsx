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bha_Analysis_2\Steel Beam\Beams - Sobha Inizio_BBS_01Aug_15_15\9TH FLOOR\"/>
    </mc:Choice>
  </mc:AlternateContent>
  <xr:revisionPtr revIDLastSave="0" documentId="13_ncr:1_{2D249514-BB7C-43DE-BE0B-551CF484E3FA}" xr6:coauthVersionLast="47" xr6:coauthVersionMax="47" xr10:uidLastSave="{00000000-0000-0000-0000-000000000000}"/>
  <bookViews>
    <workbookView xWindow="-108" yWindow="-108" windowWidth="23256" windowHeight="12456" xr2:uid="{F9292587-9300-4B68-A983-4E66688AFF57}"/>
  </bookViews>
  <sheets>
    <sheet name="Sheet1" sheetId="1" r:id="rId1"/>
  </sheets>
  <externalReferences>
    <externalReference r:id="rId2"/>
    <externalReference r:id="rId3"/>
  </externalReferences>
  <definedNames>
    <definedName name="\0">#REF!</definedName>
    <definedName name="\a">#REF!</definedName>
    <definedName name="\C">#REF!</definedName>
    <definedName name="\kl">#REF!</definedName>
    <definedName name="\l">#REF!</definedName>
    <definedName name="\p">#REF!</definedName>
    <definedName name="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iv66666">#REF!</definedName>
    <definedName name="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iv66666">#REF!</definedName>
    <definedName name="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iv66666">#REF!</definedName>
    <definedName name="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iv66666">#REF!</definedName>
    <definedName name="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iv66666">#REF!</definedName>
    <definedName name="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aj1">#REF!</definedName>
    <definedName name="_________________________________________b1">#REF!</definedName>
    <definedName name="_________________________________________B100000">#REF!</definedName>
    <definedName name="_________________________________________bol1">#REF!</definedName>
    <definedName name="_________________________________________can430">40.73</definedName>
    <definedName name="_________________________________________can435">43.3</definedName>
    <definedName name="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iv66666">#REF!</definedName>
    <definedName name="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sdb2">#REF!</definedName>
    <definedName name="________________________________________aj1">#REF!</definedName>
    <definedName name="________________________________________b1">#REF!</definedName>
    <definedName name="________________________________________B100000">#REF!</definedName>
    <definedName name="________________________________________bol1">#REF!</definedName>
    <definedName name="________________________________________can430">40.73</definedName>
    <definedName name="________________________________________can435">43.3</definedName>
    <definedName name="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iv66666">#REF!</definedName>
    <definedName name="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sdb2">#REF!</definedName>
    <definedName name="_______________________________________aj1">#REF!</definedName>
    <definedName name="_______________________________________b1">#REF!</definedName>
    <definedName name="_______________________________________B100000">#REF!</definedName>
    <definedName name="_______________________________________bol1">#REF!</definedName>
    <definedName name="_______________________________________can430">40.73</definedName>
    <definedName name="_______________________________________can435">43.3</definedName>
    <definedName name="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iv66666">#REF!</definedName>
    <definedName name="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sdb2">#REF!</definedName>
    <definedName name="______________________________________aj1">#REF!</definedName>
    <definedName name="______________________________________b1">#REF!</definedName>
    <definedName name="______________________________________B100000">#REF!</definedName>
    <definedName name="______________________________________bol1">#REF!</definedName>
    <definedName name="______________________________________can430">40.73</definedName>
    <definedName name="______________________________________can435">43.3</definedName>
    <definedName name="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iv66666">#REF!</definedName>
    <definedName name="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sdb2">#REF!</definedName>
    <definedName name="_____________________________________aj1">#REF!</definedName>
    <definedName name="_____________________________________b1">#REF!</definedName>
    <definedName name="_____________________________________B100000">#REF!</definedName>
    <definedName name="_____________________________________bol1">#REF!</definedName>
    <definedName name="_____________________________________can430">40.73</definedName>
    <definedName name="_____________________________________can435">43.3</definedName>
    <definedName name="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iv66666">#REF!</definedName>
    <definedName name="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sdb2">#REF!</definedName>
    <definedName name="____________________________________aj1">#REF!</definedName>
    <definedName name="____________________________________b1">#REF!</definedName>
    <definedName name="____________________________________B100000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iv66666">#REF!</definedName>
    <definedName name="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sdb2">#REF!</definedName>
    <definedName name="___________________________________aj1">#REF!</definedName>
    <definedName name="___________________________________b1">#REF!</definedName>
    <definedName name="___________________________________B100000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iv66666">#REF!</definedName>
    <definedName name="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sdb2">#REF!</definedName>
    <definedName name="__________________________________aj1">#REF!</definedName>
    <definedName name="__________________________________b1">#REF!</definedName>
    <definedName name="__________________________________B100000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iv66666">#REF!</definedName>
    <definedName name="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sdb2">#REF!</definedName>
    <definedName name="_________________________________aj1">#REF!</definedName>
    <definedName name="_________________________________b1">#REF!</definedName>
    <definedName name="_________________________________B100000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iv66666">#REF!</definedName>
    <definedName name="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PO1">#REF!</definedName>
    <definedName name="_________________________________PO2">#REF!</definedName>
    <definedName name="_________________________________sdb2">#REF!</definedName>
    <definedName name="________________________________aj1">#REF!</definedName>
    <definedName name="________________________________b1">#REF!</definedName>
    <definedName name="________________________________B100000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iv66666">#REF!</definedName>
    <definedName name="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PO1">#REF!</definedName>
    <definedName name="________________________________PO2">#REF!</definedName>
    <definedName name="________________________________sdb2">#REF!</definedName>
    <definedName name="_______________________________aj1">#REF!</definedName>
    <definedName name="_______________________________b1">#REF!</definedName>
    <definedName name="_______________________________B100000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iv66666">#REF!</definedName>
    <definedName name="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sdb2">#REF!</definedName>
    <definedName name="______________________________aj1">#REF!</definedName>
    <definedName name="______________________________b1">#REF!</definedName>
    <definedName name="______________________________B100000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iv66666">#REF!</definedName>
    <definedName name="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PO1">#REF!</definedName>
    <definedName name="______________________________PO2">#REF!</definedName>
    <definedName name="______________________________sdb2">#REF!</definedName>
    <definedName name="_____________________________aj1">#REF!</definedName>
    <definedName name="_____________________________b1">#REF!</definedName>
    <definedName name="_____________________________B100000">#REF!</definedName>
    <definedName name="_____________________________bol1">#REF!</definedName>
    <definedName name="_____________________________can430">40.73</definedName>
    <definedName name="_____________________________can435">43.3</definedName>
    <definedName name="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iv66666">#REF!</definedName>
    <definedName name="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PO1">#REF!</definedName>
    <definedName name="_____________________________PO2">#REF!</definedName>
    <definedName name="_____________________________sdb2">#REF!</definedName>
    <definedName name="____________________________aj1">#REF!</definedName>
    <definedName name="____________________________b1">#REF!</definedName>
    <definedName name="____________________________B100000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iv66666">#REF!</definedName>
    <definedName name="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PO1">#REF!</definedName>
    <definedName name="____________________________PO2">#REF!</definedName>
    <definedName name="____________________________sdb2">#REF!</definedName>
    <definedName name="____________________________zz65536">#REF!</definedName>
    <definedName name="___________________________aj1">#REF!</definedName>
    <definedName name="___________________________b1">#REF!</definedName>
    <definedName name="___________________________B100000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fS2">#REF!</definedName>
    <definedName name="___________________________iv66666">#REF!</definedName>
    <definedName name="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PO1">#REF!</definedName>
    <definedName name="___________________________PO2">#REF!</definedName>
    <definedName name="___________________________sdb2">#REF!</definedName>
    <definedName name="___________________________zz65536">#REF!</definedName>
    <definedName name="__________________________aj1">#REF!</definedName>
    <definedName name="__________________________b1">#REF!</definedName>
    <definedName name="__________________________B100000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fS2">#REF!</definedName>
    <definedName name="__________________________DIA1">#REF!</definedName>
    <definedName name="__________________________DIA2">#REF!</definedName>
    <definedName name="__________________________iv66666">#REF!</definedName>
    <definedName name="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PO1">#REF!</definedName>
    <definedName name="__________________________PO2">#REF!</definedName>
    <definedName name="__________________________sdb2">#REF!</definedName>
    <definedName name="__________________________zz65536">#REF!</definedName>
    <definedName name="_________________________A1">#REF!</definedName>
    <definedName name="_________________________aj1">#REF!</definedName>
    <definedName name="_________________________b1">#REF!</definedName>
    <definedName name="_________________________B100000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fS2">#REF!</definedName>
    <definedName name="_________________________iv66666">#REF!</definedName>
    <definedName name="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PO1">#REF!</definedName>
    <definedName name="_________________________PO2">#REF!</definedName>
    <definedName name="_________________________sdb2">#REF!</definedName>
    <definedName name="_________________________TB2">#REF!</definedName>
    <definedName name="_________________________zz65536">#REF!</definedName>
    <definedName name="________________________A1">#REF!</definedName>
    <definedName name="________________________aj1">#REF!</definedName>
    <definedName name="________________________b1">#REF!</definedName>
    <definedName name="________________________B100000">#REF!</definedName>
    <definedName name="________________________bak151">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cbd148">#REF!</definedName>
    <definedName name="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fS2">#REF!</definedName>
    <definedName name="________________________DIA1">#REF!</definedName>
    <definedName name="________________________DIA2">#REF!</definedName>
    <definedName name="________________________iv66666">#REF!</definedName>
    <definedName name="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PO1">#REF!</definedName>
    <definedName name="________________________PO2">#REF!</definedName>
    <definedName name="________________________sdb2">#REF!</definedName>
    <definedName name="________________________TB2">#REF!</definedName>
    <definedName name="________________________zz65536">#REF!</definedName>
    <definedName name="_______________________A1">#REF!</definedName>
    <definedName name="_______________________aj1">#REF!</definedName>
    <definedName name="_______________________b1">#REF!</definedName>
    <definedName name="_______________________B100000">#REF!</definedName>
    <definedName name="_______________________bak151">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cbd148">#REF!</definedName>
    <definedName name="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fS2">#REF!</definedName>
    <definedName name="_______________________DIA1">#REF!</definedName>
    <definedName name="_______________________DIA2">#REF!</definedName>
    <definedName name="_______________________iv66666">#REF!</definedName>
    <definedName name="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PO1">#REF!</definedName>
    <definedName name="_______________________PO2">#REF!</definedName>
    <definedName name="_______________________sdb2">#REF!</definedName>
    <definedName name="_______________________TB2">#REF!</definedName>
    <definedName name="_______________________zz65536">#REF!</definedName>
    <definedName name="______________________A1">#REF!</definedName>
    <definedName name="______________________aj1">#REF!</definedName>
    <definedName name="______________________b1">#REF!</definedName>
    <definedName name="______________________B100000">#REF!</definedName>
    <definedName name="______________________bak151">#REF!</definedName>
    <definedName name="______________________bol1">#REF!</definedName>
    <definedName name="______________________can430">40.73</definedName>
    <definedName name="______________________can435">43.3</definedName>
    <definedName name="______________________cbd148">#REF!</definedName>
    <definedName name="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fS2">#REF!</definedName>
    <definedName name="______________________DIA1">#REF!</definedName>
    <definedName name="______________________DIA2">#REF!</definedName>
    <definedName name="______________________fab1">#REF!</definedName>
    <definedName name="______________________iv66666">#REF!</definedName>
    <definedName name="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PO1">#REF!</definedName>
    <definedName name="______________________PO2">#REF!</definedName>
    <definedName name="______________________sdb2">#REF!</definedName>
    <definedName name="______________________TB2">#REF!</definedName>
    <definedName name="______________________zz65536">#REF!</definedName>
    <definedName name="_____________________A1">#REF!</definedName>
    <definedName name="_____________________aj1">#REF!</definedName>
    <definedName name="_____________________b1">#REF!</definedName>
    <definedName name="_____________________B100000">#REF!</definedName>
    <definedName name="_____________________bak151">#REF!</definedName>
    <definedName name="_____________________bol1">#REF!</definedName>
    <definedName name="_____________________can430">40.73</definedName>
    <definedName name="_____________________can435">43.3</definedName>
    <definedName name="_____________________cbd148">#REF!</definedName>
    <definedName name="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fS2">#REF!</definedName>
    <definedName name="_____________________DIA1">#REF!</definedName>
    <definedName name="_____________________DIA2">#REF!</definedName>
    <definedName name="_____________________fab1">#REF!</definedName>
    <definedName name="_____________________iv66666">#REF!</definedName>
    <definedName name="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MS010">#REF!</definedName>
    <definedName name="_____________________PO1">#REF!</definedName>
    <definedName name="_____________________PO2">#REF!</definedName>
    <definedName name="_____________________sdb2">#REF!</definedName>
    <definedName name="_____________________TB2">#REF!</definedName>
    <definedName name="_____________________zz65536">#REF!</definedName>
    <definedName name="____________________A1">#REF!</definedName>
    <definedName name="____________________aj1">#REF!</definedName>
    <definedName name="____________________b1">#REF!</definedName>
    <definedName name="____________________B100000">#REF!</definedName>
    <definedName name="____________________bak151">#REF!</definedName>
    <definedName name="____________________bol1">#REF!</definedName>
    <definedName name="____________________can430">40.73</definedName>
    <definedName name="____________________can435">43.3</definedName>
    <definedName name="____________________cbd148">#REF!</definedName>
    <definedName name="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fS2">#REF!</definedName>
    <definedName name="____________________DIA1">#REF!</definedName>
    <definedName name="____________________DIA2">#REF!</definedName>
    <definedName name="____________________fab1">#REF!</definedName>
    <definedName name="____________________iv66666">#REF!</definedName>
    <definedName name="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PO1">#REF!</definedName>
    <definedName name="____________________PO2">#REF!</definedName>
    <definedName name="____________________sdb2">#REF!</definedName>
    <definedName name="____________________TB2">#REF!</definedName>
    <definedName name="____________________zz65536">#REF!</definedName>
    <definedName name="___________________A1">#REF!</definedName>
    <definedName name="___________________aj1">#REF!</definedName>
    <definedName name="___________________b1">#REF!</definedName>
    <definedName name="___________________B100000">#REF!</definedName>
    <definedName name="___________________bak151">#REF!</definedName>
    <definedName name="___________________bol1">#REF!</definedName>
    <definedName name="___________________can430">40.73</definedName>
    <definedName name="___________________can435">43.3</definedName>
    <definedName name="___________________cbd148">#REF!</definedName>
    <definedName name="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fS2">#REF!</definedName>
    <definedName name="___________________DIA1">#REF!</definedName>
    <definedName name="___________________DIA2">#REF!</definedName>
    <definedName name="___________________fab1">#REF!</definedName>
    <definedName name="___________________FLG2">#REF!</definedName>
    <definedName name="___________________iv66666">#REF!</definedName>
    <definedName name="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MS010">#REF!</definedName>
    <definedName name="___________________PO1">#REF!</definedName>
    <definedName name="___________________PO2">#REF!</definedName>
    <definedName name="___________________sdb2">#REF!</definedName>
    <definedName name="___________________TB2">#REF!</definedName>
    <definedName name="___________________zz65536">#REF!</definedName>
    <definedName name="__________________A1">#REF!</definedName>
    <definedName name="__________________aj1">#REF!</definedName>
    <definedName name="__________________b1">#REF!</definedName>
    <definedName name="__________________B100000">#REF!</definedName>
    <definedName name="__________________bak151">#REF!</definedName>
    <definedName name="__________________bol1">#REF!</definedName>
    <definedName name="__________________can430">40.73</definedName>
    <definedName name="__________________can435">43.3</definedName>
    <definedName name="__________________cbd148">#REF!</definedName>
    <definedName name="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fS2">#REF!</definedName>
    <definedName name="__________________DIA1">#REF!</definedName>
    <definedName name="__________________DIA2">#REF!</definedName>
    <definedName name="__________________fab1">#REF!</definedName>
    <definedName name="__________________FLG2">#REF!</definedName>
    <definedName name="__________________iv66666">#REF!</definedName>
    <definedName name="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MS010">#REF!</definedName>
    <definedName name="__________________PO1">#REF!</definedName>
    <definedName name="__________________PO2">#REF!</definedName>
    <definedName name="__________________sdb2">#REF!</definedName>
    <definedName name="__________________TB2">#REF!</definedName>
    <definedName name="__________________zz65536">#REF!</definedName>
    <definedName name="_________________A1">#REF!</definedName>
    <definedName name="_________________aj1">#REF!</definedName>
    <definedName name="_________________b1">#REF!</definedName>
    <definedName name="_________________B100000">#REF!</definedName>
    <definedName name="_________________bak151">#REF!</definedName>
    <definedName name="_________________bol1">#REF!</definedName>
    <definedName name="_________________can430">40.73</definedName>
    <definedName name="_________________can435">43.3</definedName>
    <definedName name="_________________cbd148">#REF!</definedName>
    <definedName name="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fS2">#REF!</definedName>
    <definedName name="_________________DIA1">#REF!</definedName>
    <definedName name="_________________dia10">#REF!</definedName>
    <definedName name="_________________dia12">#REF!</definedName>
    <definedName name="_________________dia16">#REF!</definedName>
    <definedName name="_________________DIA2">#REF!</definedName>
    <definedName name="_________________dia20">#REF!</definedName>
    <definedName name="_________________dia25">#REF!</definedName>
    <definedName name="_________________dia8">#REF!</definedName>
    <definedName name="_________________fab1">#REF!</definedName>
    <definedName name="_________________FLG2">#REF!</definedName>
    <definedName name="_________________iv66666">#REF!</definedName>
    <definedName name="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MS010">#REF!</definedName>
    <definedName name="_________________PO1">#REF!</definedName>
    <definedName name="_________________PO2">#REF!</definedName>
    <definedName name="_________________sdb2">#REF!</definedName>
    <definedName name="_________________TB2">#REF!</definedName>
    <definedName name="_________________UGF1">#REF!</definedName>
    <definedName name="_________________zz65536">#REF!</definedName>
    <definedName name="________________A1">#REF!</definedName>
    <definedName name="________________aj1">#REF!</definedName>
    <definedName name="________________b1">#REF!</definedName>
    <definedName name="________________B100000">#REF!</definedName>
    <definedName name="________________bak151">#REF!</definedName>
    <definedName name="________________bol1">#REF!</definedName>
    <definedName name="________________can430">40.73</definedName>
    <definedName name="________________can435">43.3</definedName>
    <definedName name="________________cbd148">#REF!</definedName>
    <definedName name="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fS2">#REF!</definedName>
    <definedName name="________________DIA1">#REF!</definedName>
    <definedName name="________________dia10">#REF!</definedName>
    <definedName name="________________dia12">#REF!</definedName>
    <definedName name="________________dia16">#REF!</definedName>
    <definedName name="________________DIA2">#REF!</definedName>
    <definedName name="________________dia20">#REF!</definedName>
    <definedName name="________________dia25">#REF!</definedName>
    <definedName name="________________dia8">#REF!</definedName>
    <definedName name="________________fab1">#REF!</definedName>
    <definedName name="________________FLG2">#REF!</definedName>
    <definedName name="________________iv66666">#REF!</definedName>
    <definedName name="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MS010">#REF!</definedName>
    <definedName name="________________PO1">#REF!</definedName>
    <definedName name="________________PO2">#REF!</definedName>
    <definedName name="________________sdb2">#REF!</definedName>
    <definedName name="________________TB2">#REF!</definedName>
    <definedName name="________________UGF1">#REF!</definedName>
    <definedName name="________________zz65536">#REF!</definedName>
    <definedName name="_______________A1">#REF!</definedName>
    <definedName name="_______________aj1">#REF!</definedName>
    <definedName name="_______________b1">#REF!</definedName>
    <definedName name="_______________B100000">#REF!</definedName>
    <definedName name="_______________bak151">#REF!</definedName>
    <definedName name="_______________bol1">#REF!</definedName>
    <definedName name="_______________can430">40.73</definedName>
    <definedName name="_______________can435">43.3</definedName>
    <definedName name="_______________cbd148">#REF!</definedName>
    <definedName name="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fS2">#REF!</definedName>
    <definedName name="_______________DIA1">#REF!</definedName>
    <definedName name="_______________dia10">#REF!</definedName>
    <definedName name="_______________dia12">#REF!</definedName>
    <definedName name="_______________dia16">#REF!</definedName>
    <definedName name="_______________DIA2">#REF!</definedName>
    <definedName name="_______________dia20">#REF!</definedName>
    <definedName name="_______________dia25">#REF!</definedName>
    <definedName name="_______________dia8">#REF!</definedName>
    <definedName name="_______________fab1">#REF!</definedName>
    <definedName name="_______________FLG2">#REF!</definedName>
    <definedName name="_______________iv66666">#REF!</definedName>
    <definedName name="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MS010">#REF!</definedName>
    <definedName name="_______________PO1">#REF!</definedName>
    <definedName name="_______________PO2">#REF!</definedName>
    <definedName name="_______________sdb2">#REF!</definedName>
    <definedName name="_______________TB2">#REF!</definedName>
    <definedName name="_______________UGF1">#REF!</definedName>
    <definedName name="_______________zz65536">#REF!</definedName>
    <definedName name="______________A1">#REF!</definedName>
    <definedName name="______________aj1">#REF!</definedName>
    <definedName name="______________b1">#REF!</definedName>
    <definedName name="______________B100000">#REF!</definedName>
    <definedName name="______________bak151">#REF!</definedName>
    <definedName name="______________bol1">#REF!</definedName>
    <definedName name="______________can430">40.73</definedName>
    <definedName name="______________can435">43.3</definedName>
    <definedName name="______________cbd148">#REF!</definedName>
    <definedName name="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fS2">#REF!</definedName>
    <definedName name="______________DIA1">#REF!</definedName>
    <definedName name="______________dia10">#REF!</definedName>
    <definedName name="______________dia12">#REF!</definedName>
    <definedName name="______________dia16">#REF!</definedName>
    <definedName name="______________DIA2">#REF!</definedName>
    <definedName name="______________dia20">#REF!</definedName>
    <definedName name="______________dia25">#REF!</definedName>
    <definedName name="______________dia8">#REF!</definedName>
    <definedName name="______________fab1">#REF!</definedName>
    <definedName name="______________iv66666">#REF!</definedName>
    <definedName name="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MS010">#REF!</definedName>
    <definedName name="______________PO1">#REF!</definedName>
    <definedName name="______________PO2">#REF!</definedName>
    <definedName name="______________sdb2">#REF!</definedName>
    <definedName name="______________TB2">#REF!</definedName>
    <definedName name="______________UGF1">#REF!</definedName>
    <definedName name="______________zz65536">#REF!</definedName>
    <definedName name="_____________A1">#REF!</definedName>
    <definedName name="_____________aj1">#REF!</definedName>
    <definedName name="_____________b1">#REF!</definedName>
    <definedName name="_____________B100000">#REF!</definedName>
    <definedName name="_____________bak151">#REF!</definedName>
    <definedName name="_____________bol1">#REF!</definedName>
    <definedName name="_____________can430">40.73</definedName>
    <definedName name="_____________can435">43.3</definedName>
    <definedName name="_____________cbd148">#REF!</definedName>
    <definedName name="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fS2">#REF!</definedName>
    <definedName name="_____________DIA1">#REF!</definedName>
    <definedName name="_____________dia10">#REF!</definedName>
    <definedName name="_____________dia12">#REF!</definedName>
    <definedName name="_____________dia16">#REF!</definedName>
    <definedName name="_____________DIA2">#REF!</definedName>
    <definedName name="_____________dia20">#REF!</definedName>
    <definedName name="_____________dia25">#REF!</definedName>
    <definedName name="_____________dia8">#REF!</definedName>
    <definedName name="_____________fab1">#REF!</definedName>
    <definedName name="_____________FLG2">#REF!</definedName>
    <definedName name="_____________iv66666">#REF!</definedName>
    <definedName name="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MS010">#REF!</definedName>
    <definedName name="_____________PO1">#REF!</definedName>
    <definedName name="_____________PO2">#REF!</definedName>
    <definedName name="_____________sdb2">#REF!</definedName>
    <definedName name="_____________TB2">#REF!</definedName>
    <definedName name="_____________UGF1">#REF!</definedName>
    <definedName name="_____________zz65536">#REF!</definedName>
    <definedName name="____________A1">#REF!</definedName>
    <definedName name="____________aj1">#REF!</definedName>
    <definedName name="____________b1">#REF!</definedName>
    <definedName name="____________B100000">#REF!</definedName>
    <definedName name="____________bak151">#REF!</definedName>
    <definedName name="____________bol1">#REF!</definedName>
    <definedName name="____________can430">40.73</definedName>
    <definedName name="____________can435">43.3</definedName>
    <definedName name="____________cbd148">#REF!</definedName>
    <definedName name="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fS2">#REF!</definedName>
    <definedName name="____________DIA1">#REF!</definedName>
    <definedName name="____________dia10">#REF!</definedName>
    <definedName name="____________dia12">#REF!</definedName>
    <definedName name="____________dia16">#REF!</definedName>
    <definedName name="____________DIA2">#REF!</definedName>
    <definedName name="____________dia20">#REF!</definedName>
    <definedName name="____________dia25">#REF!</definedName>
    <definedName name="____________dia8">#REF!</definedName>
    <definedName name="____________fab1">#REF!</definedName>
    <definedName name="____________FLG2">#REF!</definedName>
    <definedName name="____________iv66666">#REF!</definedName>
    <definedName name="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MS010">#REF!</definedName>
    <definedName name="____________PO1">#REF!</definedName>
    <definedName name="____________PO2">#REF!</definedName>
    <definedName name="____________sdb2">#REF!</definedName>
    <definedName name="____________TB2">#REF!</definedName>
    <definedName name="____________UGF1">#REF!</definedName>
    <definedName name="____________zz65536">#REF!</definedName>
    <definedName name="___________A1">#REF!</definedName>
    <definedName name="___________aj1">#REF!</definedName>
    <definedName name="___________b1">#REF!</definedName>
    <definedName name="___________B100000">#REF!</definedName>
    <definedName name="___________bak151">#REF!</definedName>
    <definedName name="___________bol1">#REF!</definedName>
    <definedName name="___________can430">40.73</definedName>
    <definedName name="___________can435">43.3</definedName>
    <definedName name="___________cbd148">#REF!</definedName>
    <definedName name="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fS2">#REF!</definedName>
    <definedName name="___________DIA1">#REF!</definedName>
    <definedName name="___________dia10">#REF!</definedName>
    <definedName name="___________dia12">#REF!</definedName>
    <definedName name="___________dia16">#REF!</definedName>
    <definedName name="___________DIA2">#REF!</definedName>
    <definedName name="___________dia20">#REF!</definedName>
    <definedName name="___________dia25">#REF!</definedName>
    <definedName name="___________dia8">#REF!</definedName>
    <definedName name="___________fab1">#REF!</definedName>
    <definedName name="___________FLG2">#REF!</definedName>
    <definedName name="___________iv66666">#REF!</definedName>
    <definedName name="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MS010">#REF!</definedName>
    <definedName name="___________PO1">#REF!</definedName>
    <definedName name="___________PO2">#REF!</definedName>
    <definedName name="___________sdb2">#REF!</definedName>
    <definedName name="___________TB2">#REF!</definedName>
    <definedName name="___________UGF1">#REF!</definedName>
    <definedName name="___________zz65536">#REF!</definedName>
    <definedName name="__________A1">#REF!</definedName>
    <definedName name="__________aj1">#REF!</definedName>
    <definedName name="__________b1">#REF!</definedName>
    <definedName name="__________B100000">#REF!</definedName>
    <definedName name="__________bak151">#REF!</definedName>
    <definedName name="__________bol1">#REF!</definedName>
    <definedName name="__________can430">40.73</definedName>
    <definedName name="__________can435">43.3</definedName>
    <definedName name="__________cbd148">#REF!</definedName>
    <definedName name="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fS2">#REF!</definedName>
    <definedName name="__________DIA1">#REF!</definedName>
    <definedName name="__________dia10">#REF!</definedName>
    <definedName name="__________dia12">#REF!</definedName>
    <definedName name="__________dia16">#REF!</definedName>
    <definedName name="__________DIA2">#REF!</definedName>
    <definedName name="__________dia20">#REF!</definedName>
    <definedName name="__________dia25">#REF!</definedName>
    <definedName name="__________dia8">#REF!</definedName>
    <definedName name="__________fab1">#REF!</definedName>
    <definedName name="__________FLG2">#REF!</definedName>
    <definedName name="__________iv66666">#REF!</definedName>
    <definedName name="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MS010">#REF!</definedName>
    <definedName name="__________PO1">#REF!</definedName>
    <definedName name="__________PO2">#REF!</definedName>
    <definedName name="__________sdb2">#REF!</definedName>
    <definedName name="__________TB2">#REF!</definedName>
    <definedName name="__________UGF1">#REF!</definedName>
    <definedName name="__________zz65536">#REF!</definedName>
    <definedName name="_________A1">#REF!</definedName>
    <definedName name="_________aj1">#REF!</definedName>
    <definedName name="_________b1">#REF!</definedName>
    <definedName name="_________B100000">#REF!</definedName>
    <definedName name="_________bak151">#REF!</definedName>
    <definedName name="_________bol1">#REF!</definedName>
    <definedName name="_________can430">40.73</definedName>
    <definedName name="_________can435">43.3</definedName>
    <definedName name="_________cbd148">#REF!</definedName>
    <definedName name="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fS2">#REF!</definedName>
    <definedName name="_________DIA1">#REF!</definedName>
    <definedName name="_________dia10">#REF!</definedName>
    <definedName name="_________dia12">#REF!</definedName>
    <definedName name="_________dia16">#REF!</definedName>
    <definedName name="_________DIA2">#REF!</definedName>
    <definedName name="_________dia20">#REF!</definedName>
    <definedName name="_________dia25">#REF!</definedName>
    <definedName name="_________dia8">#REF!</definedName>
    <definedName name="_________fab1">#REF!</definedName>
    <definedName name="_________FLG2">#REF!</definedName>
    <definedName name="_________iv66666">#REF!</definedName>
    <definedName name="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MS010">#REF!</definedName>
    <definedName name="_________PO1">#REF!</definedName>
    <definedName name="_________PO2">#REF!</definedName>
    <definedName name="_________sdb2">#REF!</definedName>
    <definedName name="_________TB2">#REF!</definedName>
    <definedName name="_________UGF1">#REF!</definedName>
    <definedName name="_________zz65536">#REF!</definedName>
    <definedName name="________A1">#REF!</definedName>
    <definedName name="________aj1">#REF!</definedName>
    <definedName name="________b1">#REF!</definedName>
    <definedName name="________B100000">#REF!</definedName>
    <definedName name="________bak151">#REF!</definedName>
    <definedName name="________bol1">#REF!</definedName>
    <definedName name="________can430">40.73</definedName>
    <definedName name="________can435">43.3</definedName>
    <definedName name="________cbd148">#REF!</definedName>
    <definedName name="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fS2">#REF!</definedName>
    <definedName name="________DIA1">#REF!</definedName>
    <definedName name="________dia10">#REF!</definedName>
    <definedName name="________dia12">#REF!</definedName>
    <definedName name="________dia16">#REF!</definedName>
    <definedName name="________DIA2">#REF!</definedName>
    <definedName name="________dia20">#REF!</definedName>
    <definedName name="________dia25">#REF!</definedName>
    <definedName name="________dia8">#REF!</definedName>
    <definedName name="________fab1">#REF!</definedName>
    <definedName name="________FLG2">#REF!</definedName>
    <definedName name="________iv66666">#REF!</definedName>
    <definedName name="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MS010">#REF!</definedName>
    <definedName name="________PO1">#REF!</definedName>
    <definedName name="________PO2">#REF!</definedName>
    <definedName name="________sdb2">#REF!</definedName>
    <definedName name="________TB2">#REF!</definedName>
    <definedName name="________UGF1">#REF!</definedName>
    <definedName name="________zz65536">#REF!</definedName>
    <definedName name="_______A1">#REF!</definedName>
    <definedName name="_______aj1">#REF!</definedName>
    <definedName name="_______b1">#REF!</definedName>
    <definedName name="_______B100000">#REF!</definedName>
    <definedName name="_______bak151">#REF!</definedName>
    <definedName name="_______bol1">#REF!</definedName>
    <definedName name="_______can430">40.73</definedName>
    <definedName name="_______can435">43.3</definedName>
    <definedName name="_______cbd148">#REF!</definedName>
    <definedName name="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fS2">#REF!</definedName>
    <definedName name="_______DIA1">#REF!</definedName>
    <definedName name="_______dia10">#REF!</definedName>
    <definedName name="_______dia12">#REF!</definedName>
    <definedName name="_______dia16">#REF!</definedName>
    <definedName name="_______DIA2">#REF!</definedName>
    <definedName name="_______dia20">#REF!</definedName>
    <definedName name="_______dia25">#REF!</definedName>
    <definedName name="_______dia8">#REF!</definedName>
    <definedName name="_______fab1">#REF!</definedName>
    <definedName name="_______FLG2">#REF!</definedName>
    <definedName name="_______iv66666">#REF!</definedName>
    <definedName name="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MS010">#REF!</definedName>
    <definedName name="_______PO1">#REF!</definedName>
    <definedName name="_______PO2">#REF!</definedName>
    <definedName name="_______sdb2">#REF!</definedName>
    <definedName name="_______TB2">#REF!</definedName>
    <definedName name="_______UGF1">#REF!</definedName>
    <definedName name="_______zz65536">#REF!</definedName>
    <definedName name="______A1">#REF!</definedName>
    <definedName name="______aj1">#REF!</definedName>
    <definedName name="______b1">#REF!</definedName>
    <definedName name="______B100000">#REF!</definedName>
    <definedName name="______bak151">#REF!</definedName>
    <definedName name="______bol1">#REF!</definedName>
    <definedName name="______can430">40.73</definedName>
    <definedName name="______can435">43.3</definedName>
    <definedName name="______cbd148">#REF!</definedName>
    <definedName name="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fS2">#REF!</definedName>
    <definedName name="______DIA1">#REF!</definedName>
    <definedName name="______dia10">#REF!</definedName>
    <definedName name="______dia12">#REF!</definedName>
    <definedName name="______dia16">#REF!</definedName>
    <definedName name="______DIA2">#REF!</definedName>
    <definedName name="______dia20">#REF!</definedName>
    <definedName name="______dia25">#REF!</definedName>
    <definedName name="______dia8">#REF!</definedName>
    <definedName name="______fab1">#REF!</definedName>
    <definedName name="______FLG2">#REF!</definedName>
    <definedName name="______iv66666">#REF!</definedName>
    <definedName name="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MS010">#REF!</definedName>
    <definedName name="______PO1">#REF!</definedName>
    <definedName name="______PO2">#REF!</definedName>
    <definedName name="______sdb2">#REF!</definedName>
    <definedName name="______TB2">#REF!</definedName>
    <definedName name="______UGF1">#REF!</definedName>
    <definedName name="______zz65536">#REF!</definedName>
    <definedName name="_____A1">#REF!</definedName>
    <definedName name="_____aj1">#REF!</definedName>
    <definedName name="_____b1">#REF!</definedName>
    <definedName name="_____B100000">#REF!</definedName>
    <definedName name="_____bak151">#REF!</definedName>
    <definedName name="_____bol1">#REF!</definedName>
    <definedName name="_____can430">40.73</definedName>
    <definedName name="_____can435">43.3</definedName>
    <definedName name="_____cbd148">#REF!</definedName>
    <definedName name="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fS2">#REF!</definedName>
    <definedName name="_____DIA1">#REF!</definedName>
    <definedName name="_____dia10">#REF!</definedName>
    <definedName name="_____dia12">#REF!</definedName>
    <definedName name="_____dia16">#REF!</definedName>
    <definedName name="_____DIA2">#REF!</definedName>
    <definedName name="_____dia20">#REF!</definedName>
    <definedName name="_____dia25">#REF!</definedName>
    <definedName name="_____dia8">#REF!</definedName>
    <definedName name="_____fab1">#REF!</definedName>
    <definedName name="_____FLG2">#REF!</definedName>
    <definedName name="_____iv66666">#REF!</definedName>
    <definedName name="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MS010">#REF!</definedName>
    <definedName name="_____PO1">#REF!</definedName>
    <definedName name="_____PO2">#REF!</definedName>
    <definedName name="_____sdb2">#REF!</definedName>
    <definedName name="_____TB2">#REF!</definedName>
    <definedName name="_____UGF1">#REF!</definedName>
    <definedName name="_____zz65536">#REF!</definedName>
    <definedName name="____A1">#REF!</definedName>
    <definedName name="____aj1">#REF!</definedName>
    <definedName name="____b1">#REF!</definedName>
    <definedName name="____B100000">#REF!</definedName>
    <definedName name="____bak151">#REF!</definedName>
    <definedName name="____bol1">#REF!</definedName>
    <definedName name="____can430">40.73</definedName>
    <definedName name="____can435">43.3</definedName>
    <definedName name="____cbd148">#REF!</definedName>
    <definedName name="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fS2">#REF!</definedName>
    <definedName name="____DIA1">#REF!</definedName>
    <definedName name="____dia10">#REF!</definedName>
    <definedName name="____dia12">#REF!</definedName>
    <definedName name="____dia16">#REF!</definedName>
    <definedName name="____DIA2">#REF!</definedName>
    <definedName name="____dia20">#REF!</definedName>
    <definedName name="____dia25">#REF!</definedName>
    <definedName name="____dia8">#REF!</definedName>
    <definedName name="____fab1">#REF!</definedName>
    <definedName name="____FLG2">#REF!</definedName>
    <definedName name="____iv66666">#REF!</definedName>
    <definedName name="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MS010">#REF!</definedName>
    <definedName name="____PO1">#REF!</definedName>
    <definedName name="____PO2">#REF!</definedName>
    <definedName name="____sdb2">#REF!</definedName>
    <definedName name="____TB2">#REF!</definedName>
    <definedName name="____UGF1">#REF!</definedName>
    <definedName name="____zz65536">#REF!</definedName>
    <definedName name="___A1">#REF!</definedName>
    <definedName name="___aj1">#REF!</definedName>
    <definedName name="___b1">#REF!</definedName>
    <definedName name="___B100000">#REF!</definedName>
    <definedName name="___b111121">#REF!</definedName>
    <definedName name="___bak151">#REF!</definedName>
    <definedName name="___bol1">#REF!</definedName>
    <definedName name="___can430">40.73</definedName>
    <definedName name="___can435">43.3</definedName>
    <definedName name="___cbd148">#REF!</definedName>
    <definedName name="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fS2">#REF!</definedName>
    <definedName name="___DIA1">#REF!</definedName>
    <definedName name="___dia10">#REF!</definedName>
    <definedName name="___dia12">#REF!</definedName>
    <definedName name="___dia16">#REF!</definedName>
    <definedName name="___DIA2">#REF!</definedName>
    <definedName name="___dia20">#REF!</definedName>
    <definedName name="___dia25">#REF!</definedName>
    <definedName name="___dia8">#REF!</definedName>
    <definedName name="___fab1">#REF!</definedName>
    <definedName name="___FLG2">#REF!</definedName>
    <definedName name="___iv66666">#REF!</definedName>
    <definedName name="___Ki1">#REF!</definedName>
    <definedName name="___Ki2">#REF!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MAN1">#REF!</definedName>
    <definedName name="___MS010">#REF!</definedName>
    <definedName name="___PB1">#REF!</definedName>
    <definedName name="___PO1">#REF!</definedName>
    <definedName name="___PO2">#REF!</definedName>
    <definedName name="___sdb2">#REF!</definedName>
    <definedName name="___TB2">#REF!</definedName>
    <definedName name="___UGF1">#REF!</definedName>
    <definedName name="___zz65536">#REF!</definedName>
    <definedName name="__A1">#REF!</definedName>
    <definedName name="__aj1">#REF!</definedName>
    <definedName name="__b1">#REF!</definedName>
    <definedName name="__B100000">#REF!</definedName>
    <definedName name="__b111121">#REF!</definedName>
    <definedName name="__bak151">#REF!</definedName>
    <definedName name="__bol1">#REF!</definedName>
    <definedName name="__can430">40.73</definedName>
    <definedName name="__can435">43.3</definedName>
    <definedName name="__cbd148">#REF!</definedName>
    <definedName name="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fS2">#REF!</definedName>
    <definedName name="__DIA1">#REF!</definedName>
    <definedName name="__dia10">#REF!</definedName>
    <definedName name="__dia12">#REF!</definedName>
    <definedName name="__dia16">#REF!</definedName>
    <definedName name="__DIA2">#REF!</definedName>
    <definedName name="__dia20">#REF!</definedName>
    <definedName name="__dia25">#REF!</definedName>
    <definedName name="__dia8">#REF!</definedName>
    <definedName name="__fab1">#REF!</definedName>
    <definedName name="__FLG2">#REF!</definedName>
    <definedName name="__iv66666">#REF!</definedName>
    <definedName name="__Ki1">#REF!</definedName>
    <definedName name="__Ki2">#REF!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MAN1">#REF!</definedName>
    <definedName name="__MS010">#REF!</definedName>
    <definedName name="__PB1">#REF!</definedName>
    <definedName name="__PO1">#REF!</definedName>
    <definedName name="__PO2">#REF!</definedName>
    <definedName name="__sdb2">#REF!</definedName>
    <definedName name="__TB2">#REF!</definedName>
    <definedName name="__UGF1">#REF!</definedName>
    <definedName name="__xlnm.Print_Area_2">#REF!</definedName>
    <definedName name="__xlnm.Print_Titles_2">#REF!</definedName>
    <definedName name="__zz65536">#REF!</definedName>
    <definedName name="_0">#REF!</definedName>
    <definedName name="_0___0">#REF!</definedName>
    <definedName name="_0_1">#REF!</definedName>
    <definedName name="_06_26_03">#REF!</definedName>
    <definedName name="_1">#REF!</definedName>
    <definedName name="_1_a_1">#REF!</definedName>
    <definedName name="_10">#REF!</definedName>
    <definedName name="_100SalesMgr_4_1">#REF!</definedName>
    <definedName name="_101saud_4_1">#REF!</definedName>
    <definedName name="_102sauf_4_1">#REF!</definedName>
    <definedName name="_103sauif_4_1">#REF!</definedName>
    <definedName name="_104SelectedLanguage_4_1">#REF!</definedName>
    <definedName name="_105SiteID_4_1">#REF!</definedName>
    <definedName name="_106SiteType_4_1">#REF!</definedName>
    <definedName name="_107SmallProj_4_1">#REF!</definedName>
    <definedName name="_108SmallProj_Text_4_1">#REF!</definedName>
    <definedName name="_109SP1Branch_4_1">#REF!</definedName>
    <definedName name="_10BidClass_4_1">#REF!</definedName>
    <definedName name="_11">#REF!</definedName>
    <definedName name="_110SP1Credit_4_1">#REF!</definedName>
    <definedName name="_111SP1Name_4_1">#REF!</definedName>
    <definedName name="_112SP1Number_4_1">#REF!</definedName>
    <definedName name="_113SP2Branch_4_1">#REF!</definedName>
    <definedName name="_114SP2Credit_4_1">#REF!</definedName>
    <definedName name="_115SP2Name_4_1">#REF!</definedName>
    <definedName name="_116SP2Number_4_1">#REF!</definedName>
    <definedName name="_117SP3Branch_4_1">#REF!</definedName>
    <definedName name="_118SP3Credit_4_1">#REF!</definedName>
    <definedName name="_119SP3Name_4_1">#REF!</definedName>
    <definedName name="_11BidClass_Text_4_1">#REF!</definedName>
    <definedName name="_12">#REF!</definedName>
    <definedName name="_120SP3Number_4_1">#REF!</definedName>
    <definedName name="_121SP4Branch_4_1">#REF!</definedName>
    <definedName name="_122SP4Credit_4_1">#REF!</definedName>
    <definedName name="_123SP4Name_4_1">#REF!</definedName>
    <definedName name="_124SP4Number_4_1">#REF!</definedName>
    <definedName name="_125SP5Branch_4_1">#REF!</definedName>
    <definedName name="_126SP5Credit_4_1">#REF!</definedName>
    <definedName name="_127SP5Name_4_1">#REF!</definedName>
    <definedName name="_128SP5Number_4_1">#REF!</definedName>
    <definedName name="_129SpecClass_4_1">#REF!</definedName>
    <definedName name="_12BillingFreq_4_1">#REF!</definedName>
    <definedName name="_13">#REF!</definedName>
    <definedName name="_130SpecClass_Text_4_1">#REF!</definedName>
    <definedName name="_131SpecEnv1_4_1">#REF!</definedName>
    <definedName name="_132SpecEnv1_Text_4_1">#REF!</definedName>
    <definedName name="_133SpecEnv2_4_1">#REF!</definedName>
    <definedName name="_134SpecEnv2_Text_4_1">#REF!</definedName>
    <definedName name="_135SPLR_4_1">#REF!</definedName>
    <definedName name="_136SrvcCode1_4_1">#REF!</definedName>
    <definedName name="_137SrvcCode1_Text_4_1">#REF!</definedName>
    <definedName name="_138SrvcCode2_4_1">#REF!</definedName>
    <definedName name="_139SrvcCode2_Text_4_1">#REF!</definedName>
    <definedName name="_13BillingTiming_4_1">#REF!</definedName>
    <definedName name="_14">#REF!</definedName>
    <definedName name="_140SrvcCode3_4_1">#REF!</definedName>
    <definedName name="_141SrvcCode3_Text_4_1">#REF!</definedName>
    <definedName name="_142SrvcCode4_4_1">#REF!</definedName>
    <definedName name="_143SrvcCode4_Text_4_1">#REF!</definedName>
    <definedName name="_144SrvcCode5_4_1">#REF!</definedName>
    <definedName name="_145SrvcCode5_Text_4_1">#REF!</definedName>
    <definedName name="_146StartDate_4_1">#REF!</definedName>
    <definedName name="_147swf_4_1">#REF!</definedName>
    <definedName name="_148TierCode_4_1">#REF!</definedName>
    <definedName name="_149TierCode_Text_4_1">#REF!</definedName>
    <definedName name="_14BusType_4_1">#REF!</definedName>
    <definedName name="_15">#REF!</definedName>
    <definedName name="_150vatf_4_1">#REF!</definedName>
    <definedName name="_15BusType_Text_4_1">#REF!</definedName>
    <definedName name="_16">#REF!</definedName>
    <definedName name="_16cab21.5tp_4_1">#REF!</definedName>
    <definedName name="_17">#REF!</definedName>
    <definedName name="_17cab21s_4_1">#REF!</definedName>
    <definedName name="_18">#REF!</definedName>
    <definedName name="_18cab21us_4_1">#REF!</definedName>
    <definedName name="_19">#REF!</definedName>
    <definedName name="_19cab31s_4_1">#REF!</definedName>
    <definedName name="_1Excel_BuiltIn_Print_Titles_1_1">#REF!</definedName>
    <definedName name="_2">#REF!</definedName>
    <definedName name="_2_a_4_1">#REF!</definedName>
    <definedName name="_20">#REF!</definedName>
    <definedName name="_20cab31us_4_1">#REF!</definedName>
    <definedName name="_21">#REF!</definedName>
    <definedName name="_21cab41s_4_1">#REF!</definedName>
    <definedName name="_22">#REF!</definedName>
    <definedName name="_22cab41us_4_1">#REF!</definedName>
    <definedName name="_23">#REF!</definedName>
    <definedName name="_23cabf_4_1">#REF!</definedName>
    <definedName name="_24">#REF!</definedName>
    <definedName name="_24CABLE_4_1">#REF!</definedName>
    <definedName name="_25">#REF!</definedName>
    <definedName name="_25CALf_4_1">#REF!</definedName>
    <definedName name="_26">#REF!</definedName>
    <definedName name="_26ChangeBy_4_1">#REF!</definedName>
    <definedName name="_27">#REF!</definedName>
    <definedName name="_27ChangeDate_4_1">#REF!</definedName>
    <definedName name="_28">#REF!</definedName>
    <definedName name="_28CompDate_4_1">#REF!</definedName>
    <definedName name="_29">#REF!</definedName>
    <definedName name="_29conf_4_1">#REF!</definedName>
    <definedName name="_3">#REF!</definedName>
    <definedName name="_3_l_1">#REF!</definedName>
    <definedName name="_30">#REF!</definedName>
    <definedName name="_30cd___Horizontal_Strobe_light_speaker__wall_mounted">#REF!</definedName>
    <definedName name="_30cd__Vertical_strobe_light__wall_mounted">#REF!</definedName>
    <definedName name="_30ContAmt_4_1">#REF!</definedName>
    <definedName name="_31">#REF!</definedName>
    <definedName name="_31ContWithAcct_4_1">#REF!</definedName>
    <definedName name="_32">#REF!</definedName>
    <definedName name="_32ContWithName_4_1">#REF!</definedName>
    <definedName name="_33">#REF!</definedName>
    <definedName name="_33ContWithPrio_4_1">#REF!</definedName>
    <definedName name="_34">#REF!</definedName>
    <definedName name="_34ContWithPrio_Text_4_1">#REF!</definedName>
    <definedName name="_35">#REF!</definedName>
    <definedName name="_35CONum_4_1">#REF!</definedName>
    <definedName name="_36">#REF!</definedName>
    <definedName name="_36CorpClient_4_1">#REF!</definedName>
    <definedName name="_37">#REF!</definedName>
    <definedName name="_37CorpClient_Text_4_1">#REF!</definedName>
    <definedName name="_38">#REF!</definedName>
    <definedName name="_38CURR_4_1">#REF!</definedName>
    <definedName name="_39">#REF!</definedName>
    <definedName name="_39CurrencyRate_4_1">#REF!</definedName>
    <definedName name="_4">#REF!</definedName>
    <definedName name="_4_l_4_1">#REF!</definedName>
    <definedName name="_40">#REF!</definedName>
    <definedName name="_40dim4_4_1">#REF!</definedName>
    <definedName name="_41">#REF!</definedName>
    <definedName name="_41EngAddress_4_1">#REF!</definedName>
    <definedName name="_42">#REF!</definedName>
    <definedName name="_42EngCity_4_1">#REF!</definedName>
    <definedName name="_43">#REF!</definedName>
    <definedName name="_43EngName_4_1">#REF!</definedName>
    <definedName name="_44">#REF!</definedName>
    <definedName name="_44EngPostal_4_1">#REF!</definedName>
    <definedName name="_45">#REF!</definedName>
    <definedName name="_45EngPrio_4_1">#REF!</definedName>
    <definedName name="_46">#REF!</definedName>
    <definedName name="_46EngPrio_Text_4_1">#REF!</definedName>
    <definedName name="_47">#REF!</definedName>
    <definedName name="_47EngState_4_1">#REF!</definedName>
    <definedName name="_48">#REF!</definedName>
    <definedName name="_48EstCost_4_1">#REF!</definedName>
    <definedName name="_49">#REF!</definedName>
    <definedName name="_49eu_4_1">#REF!</definedName>
    <definedName name="_5">#REF!</definedName>
    <definedName name="_5_p_1">#REF!</definedName>
    <definedName name="_50">#REF!</definedName>
    <definedName name="_50Excel_BuiltIn_Print_Area_1">#REF!</definedName>
    <definedName name="_51">#REF!</definedName>
    <definedName name="_51Excel_BuiltIn_Print_Titles_3_4_1">#REF!</definedName>
    <definedName name="_52">#REF!</definedName>
    <definedName name="_52FiscalIDNum_4_1">#REF!</definedName>
    <definedName name="_53">#REF!</definedName>
    <definedName name="_53FormTitle_4_1">#REF!</definedName>
    <definedName name="_54">#REF!</definedName>
    <definedName name="_54GMAmount_4_1">#REF!</definedName>
    <definedName name="_55">#REF!</definedName>
    <definedName name="_55GMPercent_4_1">#REF!</definedName>
    <definedName name="_56">#REF!</definedName>
    <definedName name="_56Headings_4_1">#REF!</definedName>
    <definedName name="_57">#REF!</definedName>
    <definedName name="_57indf_4_1">#REF!</definedName>
    <definedName name="_58">#REF!</definedName>
    <definedName name="_58InstBillingMethod_4_1">#REF!</definedName>
    <definedName name="_59">#REF!</definedName>
    <definedName name="_59instf_4_1">#REF!</definedName>
    <definedName name="_6">#REF!</definedName>
    <definedName name="_6_p_4_1">#REF!</definedName>
    <definedName name="_60">#REF!</definedName>
    <definedName name="_60MarketType_4_1">#REF!</definedName>
    <definedName name="_61">#REF!</definedName>
    <definedName name="_61MarketType_Text_4_1">#REF!</definedName>
    <definedName name="_62">#REF!</definedName>
    <definedName name="_62nonmodular_4_1">#REF!</definedName>
    <definedName name="_63">#REF!</definedName>
    <definedName name="_63OwnAcctNum_4_1">#REF!</definedName>
    <definedName name="_64">#REF!</definedName>
    <definedName name="_64po_4_1">#REF!</definedName>
    <definedName name="_65">#REF!</definedName>
    <definedName name="_65PrimeAddress_4_1">#REF!</definedName>
    <definedName name="_66">#REF!</definedName>
    <definedName name="_66PrimeCity_4_1">#REF!</definedName>
    <definedName name="_67">#REF!</definedName>
    <definedName name="_67PrimeName_4_1">#REF!</definedName>
    <definedName name="_68">#REF!</definedName>
    <definedName name="_68PrimePostal_4_1">#REF!</definedName>
    <definedName name="_69">#REF!</definedName>
    <definedName name="_69PrimePrio_4_1">#REF!</definedName>
    <definedName name="_7">#REF!</definedName>
    <definedName name="_70">#REF!</definedName>
    <definedName name="_70PrimePrio_Text_4_1">#REF!</definedName>
    <definedName name="_71">#REF!</definedName>
    <definedName name="_71PrimeState_4_1">#REF!</definedName>
    <definedName name="_72">#REF!</definedName>
    <definedName name="_72PRINT_AREA_MI_4_1">#REF!</definedName>
    <definedName name="_73">#REF!</definedName>
    <definedName name="_73PROD_4_1">#REF!</definedName>
    <definedName name="_74">#REF!</definedName>
    <definedName name="_74ProdCode1_4_1">#REF!</definedName>
    <definedName name="_75">#REF!</definedName>
    <definedName name="_75ProdCode1_Text_4_1">#REF!</definedName>
    <definedName name="_76ProdCode2_4_1">#REF!</definedName>
    <definedName name="_77ProdCode2_Text_4_1">#REF!</definedName>
    <definedName name="_78ProdCode3_4_1">#REF!</definedName>
    <definedName name="_79ProdCode3_Text_4_1">#REF!</definedName>
    <definedName name="_7AcctName_4_1">#REF!</definedName>
    <definedName name="_8">#REF!</definedName>
    <definedName name="_80ProdCode4_4_1">#REF!</definedName>
    <definedName name="_81ProdCode4_Text_4_1">#REF!</definedName>
    <definedName name="_82ProdCode5_4_1">#REF!</definedName>
    <definedName name="_83ProdCode5_Text_4_1">#REF!</definedName>
    <definedName name="_84ProdPct1_4_1">#REF!</definedName>
    <definedName name="_85ProdPct2_4_1">#REF!</definedName>
    <definedName name="_86ProdPct3_4_1">#REF!</definedName>
    <definedName name="_87ProdPct4_4_1">#REF!</definedName>
    <definedName name="_88ProdPct5_4_1">#REF!</definedName>
    <definedName name="_89ProjAddress1_4_1">#REF!</definedName>
    <definedName name="_8AcctPrio_4_1">#REF!</definedName>
    <definedName name="_9">#REF!</definedName>
    <definedName name="_90ProjAddress2_4_1">#REF!</definedName>
    <definedName name="_91ProjCity_4_1">#REF!</definedName>
    <definedName name="_92ProjCountry_4_1">#REF!</definedName>
    <definedName name="_93ProjCounty_4_1">#REF!</definedName>
    <definedName name="_94ProjName_4_1">#REF!</definedName>
    <definedName name="_95ProjNum_4_1">#REF!</definedName>
    <definedName name="_96ProjPostal_4_1">#REF!</definedName>
    <definedName name="_97ProjState_4_1">#REF!</definedName>
    <definedName name="_98PSABillingMethod_4_1">#REF!</definedName>
    <definedName name="_99rim4_4_1">#REF!</definedName>
    <definedName name="_9AcctPrio_Text_4_1">#REF!</definedName>
    <definedName name="_a">#REF!</definedName>
    <definedName name="_a_4">#REF!</definedName>
    <definedName name="_a_6">#REF!</definedName>
    <definedName name="_A1">#REF!</definedName>
    <definedName name="_A31">#REF!</definedName>
    <definedName name="_AA1">#REF!</definedName>
    <definedName name="_aj1">#REF!</definedName>
    <definedName name="_alt1">#REF!</definedName>
    <definedName name="_ALT2">#REF!</definedName>
    <definedName name="_ALT3">#REF!</definedName>
    <definedName name="_ALT4">#REF!</definedName>
    <definedName name="_b1">#REF!</definedName>
    <definedName name="_B100000">#REF!</definedName>
    <definedName name="_b111121">#REF!</definedName>
    <definedName name="_bak151">#REF!</definedName>
    <definedName name="_bol1">#REF!</definedName>
    <definedName name="_C">#REF!</definedName>
    <definedName name="_C___0">#REF!</definedName>
    <definedName name="_C___13">#REF!</definedName>
    <definedName name="_C_1">#REF!</definedName>
    <definedName name="_can430">40.73</definedName>
    <definedName name="_can435">43.3</definedName>
    <definedName name="_cbd148">#REF!</definedName>
    <definedName name="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fS2">#REF!</definedName>
    <definedName name="_DIA1">#REF!</definedName>
    <definedName name="_dia10">#REF!</definedName>
    <definedName name="_dia12">#REF!</definedName>
    <definedName name="_dia16">#REF!</definedName>
    <definedName name="_DIA2">#REF!</definedName>
    <definedName name="_dia20">#REF!</definedName>
    <definedName name="_dia25">#REF!</definedName>
    <definedName name="_dia8">#REF!</definedName>
    <definedName name="_dim4">#REF!</definedName>
    <definedName name="_DSF4">Scheduled_Payment+Extra_Payment</definedName>
    <definedName name="_fab1">#REF!</definedName>
    <definedName name="_Fill" hidden="1">#REF!</definedName>
    <definedName name="_xlnm._FilterDatabase" hidden="1">#REF!</definedName>
    <definedName name="_FLG2">#REF!</definedName>
    <definedName name="_G72228">#REF!</definedName>
    <definedName name="_hf">#REF!</definedName>
    <definedName name="_ig541">#REF!</definedName>
    <definedName name="_iv66666">#REF!</definedName>
    <definedName name="_Ki1">#REF!</definedName>
    <definedName name="_Ki2">#REF!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l">#REF!</definedName>
    <definedName name="_l_4">#REF!</definedName>
    <definedName name="_l_6">#REF!</definedName>
    <definedName name="_MAN1">#REF!</definedName>
    <definedName name="_MS010">#REF!</definedName>
    <definedName name="_Order1" hidden="1">255</definedName>
    <definedName name="_p">#REF!</definedName>
    <definedName name="_p_4">#REF!</definedName>
    <definedName name="_p_6">#REF!</definedName>
    <definedName name="_PB1">#REF!</definedName>
    <definedName name="_PO1">#REF!</definedName>
    <definedName name="_PO2">#REF!</definedName>
    <definedName name="_rim4">#REF!</definedName>
    <definedName name="_rm4">#REF!</definedName>
    <definedName name="_sdb2">#REF!</definedName>
    <definedName name="_TB2">#REF!</definedName>
    <definedName name="_UGF1">#REF!</definedName>
    <definedName name="_xleta.IF" hidden="1">#NAME?</definedName>
    <definedName name="_xleta.SUBTOTAL" hidden="1">#NAME?</definedName>
    <definedName name="_zz65536">#REF!</definedName>
    <definedName name="a">#REF!</definedName>
    <definedName name="a___0">#REF!</definedName>
    <definedName name="a___13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595H50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aaaaaaaaaaaaa">#REF!</definedName>
    <definedName name="aaasa">#REF!</definedName>
    <definedName name="aad">#REF!</definedName>
    <definedName name="aadawawdaW">#REF!</definedName>
    <definedName name="ab">#REF!</definedName>
    <definedName name="abc">#REF!</definedName>
    <definedName name="ABCD">#REF!</definedName>
    <definedName name="abcdefghij">#REF!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ta">#REF!</definedName>
    <definedName name="Abst">#REF!</definedName>
    <definedName name="abstrac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>#REF!</definedName>
    <definedName name="acc">#REF!</definedName>
    <definedName name="Acc.Recon">#REF!</definedName>
    <definedName name="AccessDatabase" hidden="1">"D:\MIS\TALLY  31.09.04 sep\AS PER TALLY 31.09.04.mdb"</definedName>
    <definedName name="accomation" hidden="1">#REF!</definedName>
    <definedName name="accounts">#REF!</definedName>
    <definedName name="AcctName">#REF!</definedName>
    <definedName name="AcctName_4">#REF!</definedName>
    <definedName name="AcctName_6">#REF!</definedName>
    <definedName name="AcctPrio">#REF!</definedName>
    <definedName name="AcctPrio_4">#REF!</definedName>
    <definedName name="AcctPrio_6">#REF!</definedName>
    <definedName name="AcctPrio_Text">#REF!</definedName>
    <definedName name="AcctPrio_Text_4">#REF!</definedName>
    <definedName name="AcctPrio_Text_6">#REF!</definedName>
    <definedName name="ACT">#REF!</definedName>
    <definedName name="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D">#REF!</definedName>
    <definedName name="ADADASASDASD">#REF!</definedName>
    <definedName name="ADADDA">#REF!</definedName>
    <definedName name="ADASASDASASDASDAS">#REF!</definedName>
    <definedName name="ADASASDASDASDAD">#REF!</definedName>
    <definedName name="ADASDASASDAS">#REF!</definedName>
    <definedName name="ADASDASDASDAS">#REF!</definedName>
    <definedName name="adf">#REF!</definedName>
    <definedName name="ADFADD">#REF!</definedName>
    <definedName name="adfadsff">#REF!</definedName>
    <definedName name="ADFASDAD">#REF!</definedName>
    <definedName name="ad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>#REF!</definedName>
    <definedName name="admn_site">#REF!</definedName>
    <definedName name="ADSAD">#REF!</definedName>
    <definedName name="Ag">#REF!</definedName>
    <definedName name="Ag___0">#REF!</definedName>
    <definedName name="Ag___13">#REF!</definedName>
    <definedName name="agdfjk">#REF!</definedName>
    <definedName name="aham">#REF!</definedName>
    <definedName name="ahu">#REF!</definedName>
    <definedName name="aj">#REF!</definedName>
    <definedName name="aji">#REF!</definedName>
    <definedName name="ajitha">#REF!</definedName>
    <definedName name="Alarm_current_Amp_In_Minutes">#REF!</definedName>
    <definedName name="alpha">#REF!</definedName>
    <definedName name="alphabet">#REF!</definedName>
    <definedName name="Aluminium">#REF!</definedName>
    <definedName name="Alw">#REF!</definedName>
    <definedName name="AM_1">#REF!</definedName>
    <definedName name="ams">#REF!</definedName>
    <definedName name="anantha">#REF!</definedName>
    <definedName name="anch">#REF!</definedName>
    <definedName name="Anil148">#REF!</definedName>
    <definedName name="anil543">#REF!</definedName>
    <definedName name="ann">#REF!</definedName>
    <definedName name="anne">#REF!</definedName>
    <definedName name="annealing">#REF!</definedName>
    <definedName name="annealing1">#REF!</definedName>
    <definedName name="anscount" hidden="1">1</definedName>
    <definedName name="aoio">#REF!</definedName>
    <definedName name="AP_1">#REF!</definedName>
    <definedName name="AP_2">#REF!</definedName>
    <definedName name="AP_3">#REF!</definedName>
    <definedName name="ARCHITECT________M_s">#REF!</definedName>
    <definedName name="archon141">#REF!</definedName>
    <definedName name="archon142">#REF!</definedName>
    <definedName name="archon143">#REF!</definedName>
    <definedName name="area">#REF!</definedName>
    <definedName name="ARUN" hidden="1">#REF!</definedName>
    <definedName name="as">#REF!</definedName>
    <definedName name="AS_PER_TALLY_31_09_04_ONYX_List1">#REF!</definedName>
    <definedName name="asas">#REF!</definedName>
    <definedName name="asd">#REF!</definedName>
    <definedName name="asdads">#REF!</definedName>
    <definedName name="asdas">#REF!</definedName>
    <definedName name="asdasd">#REF!</definedName>
    <definedName name="ASDASDASD">#REF!</definedName>
    <definedName name="asdd">#REF!</definedName>
    <definedName name="asdf">#REF!</definedName>
    <definedName name="asdfasdf" hidden="1">#REF!</definedName>
    <definedName name="asdfsa" hidden="1">#REF!</definedName>
    <definedName name="asdfsad">#REF!</definedName>
    <definedName name="asdfsadf" hidden="1">#REF!</definedName>
    <definedName name="asdfsdfd">#N/A</definedName>
    <definedName name="asdsdfsda">#REF!</definedName>
    <definedName name="asf">#REF!</definedName>
    <definedName name="as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OKA">#REF!</definedName>
    <definedName name="ass">#REF!</definedName>
    <definedName name="assadg" hidden="1">#REF!</definedName>
    <definedName name="assd">#REF!</definedName>
    <definedName name="assfsd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xlp">#REF!</definedName>
    <definedName name="av">#REF!</definedName>
    <definedName name="avi">#REF!</definedName>
    <definedName name="AWAWWWWAA">#REF!</definedName>
    <definedName name="AWWEDWER">#REF!</definedName>
    <definedName name="B">#REF!</definedName>
    <definedName name="B___0">#REF!</definedName>
    <definedName name="B___13">#REF!</definedName>
    <definedName name="b1210.">#REF!</definedName>
    <definedName name="B4a">#REF!</definedName>
    <definedName name="b5a">#REF!</definedName>
    <definedName name="b832.">#REF!</definedName>
    <definedName name="Backfilling">#REF!</definedName>
    <definedName name="BALCONY">#REF!</definedName>
    <definedName name="Base" hidden="1">#REF!</definedName>
    <definedName name="Basement" hidden="1">#REF!</definedName>
    <definedName name="BASIC">#REF!</definedName>
    <definedName name="bb">#REF!</definedName>
    <definedName name="bbbb">#REF!</definedName>
    <definedName name="bbbbbbbbbb" hidden="1">#REF!</definedName>
    <definedName name="BC">#REF!</definedName>
    <definedName name="BC_1">#REF!</definedName>
    <definedName name="bcb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vv">#REF!</definedName>
    <definedName name="bdbdb">#REF!</definedName>
    <definedName name="be">#N/A</definedName>
    <definedName name="beam">#REF!</definedName>
    <definedName name="Beams">#REF!</definedName>
    <definedName name="BEAMS2">#N/A</definedName>
    <definedName name="Beg_Bal">#REF!</definedName>
    <definedName name="BELL__Polarised">#REF!</definedName>
    <definedName name="BEND">#REF!</definedName>
    <definedName name="bends">#REF!</definedName>
    <definedName name="beta">#REF!</definedName>
    <definedName name="bfdx" hidden="1">#REF!</definedName>
    <definedName name="bgbb">#REF!</definedName>
    <definedName name="bggfgj">Scheduled_Payment+Extra_Payment</definedName>
    <definedName name="bhg">#REF!</definedName>
    <definedName name="bhjbh">#REF!</definedName>
    <definedName name="BidClass">#REF!</definedName>
    <definedName name="BidClass_4">#REF!</definedName>
    <definedName name="BidClass_6">#REF!</definedName>
    <definedName name="BidClass_Text">#REF!</definedName>
    <definedName name="BidClass_Text_4">#REF!</definedName>
    <definedName name="BidClass_Text_6">#REF!</definedName>
    <definedName name="BillingFreq">#REF!</definedName>
    <definedName name="BillingFreq_4">#REF!</definedName>
    <definedName name="BillingFreq_6">#REF!</definedName>
    <definedName name="BillingTiming">#REF!</definedName>
    <definedName name="BillingTiming_4">#REF!</definedName>
    <definedName name="BillingTiming_6">#REF!</definedName>
    <definedName name="bit">#REF!</definedName>
    <definedName name="bl">#REF!</definedName>
    <definedName name="blo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">#REF!</definedName>
    <definedName name="bol">#REF!</definedName>
    <definedName name="boml">#REF!</definedName>
    <definedName name="boml1">#REF!</definedName>
    <definedName name="boq">#REF!</definedName>
    <definedName name="bore">#REF!</definedName>
    <definedName name="botl">#REF!</definedName>
    <definedName name="botl1">#REF!</definedName>
    <definedName name="botn">#REF!</definedName>
    <definedName name="box_speaker">#REF!</definedName>
    <definedName name="BQ">#REF!</definedName>
    <definedName name="Breaks">#REF!</definedName>
    <definedName name="BSSRAILING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Area___0___0">#REF!</definedName>
    <definedName name="BuiltIn_Print_Area___0_1">#REF!</definedName>
    <definedName name="BuiltIn_Print_Area___0_4">#REF!</definedName>
    <definedName name="BuiltIn_Print_Area_4">#REF!</definedName>
    <definedName name="BuiltIn_Print_Titles">#REF!</definedName>
    <definedName name="BuiltIn_Print_Titles___0">#N/A</definedName>
    <definedName name="BuiltIn_Print_Titles___0___0">#REF!</definedName>
    <definedName name="BuiltIn_Print_Titles_1">#REF!</definedName>
    <definedName name="BuiltIn_Print_Titles_4">#REF!</definedName>
    <definedName name="BusType">#REF!</definedName>
    <definedName name="BusType_4">#REF!</definedName>
    <definedName name="BusType_6">#REF!</definedName>
    <definedName name="BusType_Text">#REF!</definedName>
    <definedName name="BusType_Text_4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">#REF!</definedName>
    <definedName name="bvcvhcv">#REF!</definedName>
    <definedName name="Bx">#REF!</definedName>
    <definedName name="Bx___0">#REF!</definedName>
    <definedName name="Bx___13">#REF!</definedName>
    <definedName name="bxnvxnd">#REF!</definedName>
    <definedName name="CA_1">#REF!</definedName>
    <definedName name="CA_2">#REF!</definedName>
    <definedName name="CA_3">#REF!</definedName>
    <definedName name="ca1boq">#REF!</definedName>
    <definedName name="cab">#REF!</definedName>
    <definedName name="cab21.5tp">#REF!</definedName>
    <definedName name="cab21.5tp_4">#REF!</definedName>
    <definedName name="cab21.5tp_6">#REF!</definedName>
    <definedName name="cab21s">#REF!</definedName>
    <definedName name="cab21s_4">#REF!</definedName>
    <definedName name="cab21s_6">#REF!</definedName>
    <definedName name="cab21us">#REF!</definedName>
    <definedName name="cab21us_4">#REF!</definedName>
    <definedName name="cab21us_6">#REF!</definedName>
    <definedName name="cab31s">#REF!</definedName>
    <definedName name="cab31s_4">#REF!</definedName>
    <definedName name="cab31s_6">#REF!</definedName>
    <definedName name="cab31us">#REF!</definedName>
    <definedName name="cab31us_4">#REF!</definedName>
    <definedName name="cab31us_6">#REF!</definedName>
    <definedName name="cab41s">#REF!</definedName>
    <definedName name="cab41s_4">#REF!</definedName>
    <definedName name="cab41s_6">#REF!</definedName>
    <definedName name="cab41us">#REF!</definedName>
    <definedName name="cab41us_4">#REF!</definedName>
    <definedName name="cab41us_6">#REF!</definedName>
    <definedName name="cabf">#REF!</definedName>
    <definedName name="cabf_4">#REF!</definedName>
    <definedName name="cabf_6">#REF!</definedName>
    <definedName name="CABLE">#REF!</definedName>
    <definedName name="CABLE_4">#REF!</definedName>
    <definedName name="CABLE_6">#REF!</definedName>
    <definedName name="CALf">#REF!</definedName>
    <definedName name="CALf_4">#REF!</definedName>
    <definedName name="CALf_6">#REF!</definedName>
    <definedName name="cant">#REF!</definedName>
    <definedName name="capacity">#REF!</definedName>
    <definedName name="capacity1">#REF!</definedName>
    <definedName name="capacity2">#REF!</definedName>
    <definedName name="capacity3">#REF!</definedName>
    <definedName name="capital">#REF!</definedName>
    <definedName name="carpet">#REF!</definedName>
    <definedName name="carpet___0">#REF!</definedName>
    <definedName name="carpet___11">#REF!</definedName>
    <definedName name="carpet___12">#REF!</definedName>
    <definedName name="C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>#REF!</definedName>
    <definedName name="CASH_OUT">#REF!</definedName>
    <definedName name="Casual">#REF!</definedName>
    <definedName name="category">#REF!</definedName>
    <definedName name="cb">#REF!</definedName>
    <definedName name="cbcbc">#REF!</definedName>
    <definedName name="cbcbxc">#REF!</definedName>
    <definedName name="cbccb">#REF!</definedName>
    <definedName name="cbcvbcbc">#REF!</definedName>
    <definedName name="CC">#REF!</definedName>
    <definedName name="CCC">#REF!</definedName>
    <definedName name="cccc">#REF!</definedName>
    <definedName name="cd">#REF!</definedName>
    <definedName name="cdds">#REF!</definedName>
    <definedName name="cdf">#REF!</definedName>
    <definedName name="Ceiling_Plaster">#REF!</definedName>
    <definedName name="Ceiling_speaker">#REF!</definedName>
    <definedName name="Ceiling_Speaker_Unsupervised">#REF!</definedName>
    <definedName name="CENTER" hidden="1">#REF!</definedName>
    <definedName name="ch">#REF!</definedName>
    <definedName name="ChangeBy">#REF!</definedName>
    <definedName name="ChangeBy_4">#REF!</definedName>
    <definedName name="ChangeBy_6">#REF!</definedName>
    <definedName name="ChangeDate">#REF!</definedName>
    <definedName name="ChangeDate_4">#REF!</definedName>
    <definedName name="ChangeDate_6">#REF!</definedName>
    <definedName name="charles">#REF!</definedName>
    <definedName name="checked">#REF!</definedName>
    <definedName name="chiller">#REF!</definedName>
    <definedName name="ciff">#REF!</definedName>
    <definedName name="CIMM">#REF!</definedName>
    <definedName name="Cinnam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k">#REF!</definedName>
    <definedName name="ckd">#REF!</definedName>
    <definedName name="cl">#REF!</definedName>
    <definedName name="Cleaning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rf">#REF!</definedName>
    <definedName name="CO">#REF!</definedName>
    <definedName name="CO_1">#REF!</definedName>
    <definedName name="coimbatore">#REF!</definedName>
    <definedName name="co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___0">#REF!</definedName>
    <definedName name="col___11">#REF!</definedName>
    <definedName name="col___12">#REF!</definedName>
    <definedName name="coloumn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Reft">#REF!</definedName>
    <definedName name="Columns">#REF!</definedName>
    <definedName name="Company">#REF!</definedName>
    <definedName name="CompDate">#REF!</definedName>
    <definedName name="CompDate_4">#REF!</definedName>
    <definedName name="CompDate_6">#REF!</definedName>
    <definedName name="con">#REF!</definedName>
    <definedName name="condf">#REF!</definedName>
    <definedName name="conf">#REF!</definedName>
    <definedName name="conf_4">#REF!</definedName>
    <definedName name="conf_6">#REF!</definedName>
    <definedName name="confli">#REF!</definedName>
    <definedName name="constrn">#REF!</definedName>
    <definedName name="Construction_Period">#REF!</definedName>
    <definedName name="consumables">#REF!</definedName>
    <definedName name="cont">#REF!</definedName>
    <definedName name="Contact">#REF!</definedName>
    <definedName name="ContAmt">#REF!</definedName>
    <definedName name="ContAmt_4">#REF!</definedName>
    <definedName name="ContAmt_6">#REF!</definedName>
    <definedName name="ContWithAcct">#REF!</definedName>
    <definedName name="ContWithAcct_4">#REF!</definedName>
    <definedName name="ContWithAcct_6">#REF!</definedName>
    <definedName name="ContWithName">#REF!</definedName>
    <definedName name="ContWithName_4">#REF!</definedName>
    <definedName name="ContWithName_6">#REF!</definedName>
    <definedName name="ContWithPrio">#REF!</definedName>
    <definedName name="ContWithPrio_4">#REF!</definedName>
    <definedName name="ContWithPrio_6">#REF!</definedName>
    <definedName name="ContWithPrio_Text">#REF!</definedName>
    <definedName name="ContWithPrio_Text_4">#REF!</definedName>
    <definedName name="ContWithPrio_Text_6">#REF!</definedName>
    <definedName name="CONum">#REF!</definedName>
    <definedName name="CONum_4">#REF!</definedName>
    <definedName name="CONum_6">#REF!</definedName>
    <definedName name="copper">#REF!</definedName>
    <definedName name="copy">#REF!</definedName>
    <definedName name="CorpClient">#REF!</definedName>
    <definedName name="CorpClient_4">#REF!</definedName>
    <definedName name="CorpClient_6">#REF!</definedName>
    <definedName name="CorpClient_Text">#REF!</definedName>
    <definedName name="CorpClient_Text_4">#REF!</definedName>
    <definedName name="CorpClient_Text_6">#REF!</definedName>
    <definedName name="CORRI">#REF!</definedName>
    <definedName name="cost">#REF!</definedName>
    <definedName name="costcomparisi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">#REF!</definedName>
    <definedName name="COU___0">#REF!</definedName>
    <definedName name="COU___13">#REF!</definedName>
    <definedName name="COVER_FOR_SLAB">#REF!</definedName>
    <definedName name="c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Criteria">#REF!</definedName>
    <definedName name="crsobpl">#REF!</definedName>
    <definedName name="CS">#REF!</definedName>
    <definedName name="Cs___0">#REF!</definedName>
    <definedName name="Cs___13">#REF!</definedName>
    <definedName name="cscsd">#REF!</definedName>
    <definedName name="cstf">#REF!</definedName>
    <definedName name="CURR">#REF!</definedName>
    <definedName name="CURR_4">#REF!</definedName>
    <definedName name="CURR_6">#REF!</definedName>
    <definedName name="curr_liab_prov">#REF!</definedName>
    <definedName name="CurrencyRate">#REF!</definedName>
    <definedName name="CurrencyRate_4">#REF!</definedName>
    <definedName name="CurrencyRate_6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">#REF!</definedName>
    <definedName name="cvdf">#REF!</definedName>
    <definedName name="cx">#REF!</definedName>
    <definedName name="d">#REF!</definedName>
    <definedName name="d___0">#REF!</definedName>
    <definedName name="d___13">#REF!</definedName>
    <definedName name="da" hidden="1">#REF!</definedName>
    <definedName name="dad">#REF!</definedName>
    <definedName name="daeawtwtg">#REF!</definedName>
    <definedName name="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f">#REF!</definedName>
    <definedName name="das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">#REF!</definedName>
    <definedName name="_xlnm.Database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cbcvbc">#REF!</definedName>
    <definedName name="dd">#REF!</definedName>
    <definedName name="ddd">#REF!</definedName>
    <definedName name="dddd">#REF!</definedName>
    <definedName name="ddddd">#REF!</definedName>
    <definedName name="dddddddd">#REF!</definedName>
    <definedName name="ddddddddd">#REF!</definedName>
    <definedName name="dddddddddd">#REF!</definedName>
    <definedName name="ddddddddddd">#REF!</definedName>
    <definedName name="dddddddddddddddddddd">#REF!</definedName>
    <definedName name="de">#REF!</definedName>
    <definedName name="deghdfjg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TA20">#REF!</definedName>
    <definedName name="DELTA20___0">#REF!</definedName>
    <definedName name="DELTA20___13">#REF!</definedName>
    <definedName name="Depn">#REF!</definedName>
    <definedName name="DER">#REF!</definedName>
    <definedName name="DES">#REF!</definedName>
    <definedName name="designed">#REF!</definedName>
    <definedName name="df">#REF!</definedName>
    <definedName name="DFADAD">#REF!</definedName>
    <definedName name="dfafdasdf">#REF!</definedName>
    <definedName name="dfd">#REF!</definedName>
    <definedName name="DFDDA">#REF!</definedName>
    <definedName name="dfdfdf">#N/A</definedName>
    <definedName name="DFDFG">#REF!</definedName>
    <definedName name="dfffb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DF">#REF!</definedName>
    <definedName name="dfgdfsg">#REF!</definedName>
    <definedName name="dfgdsfg">#REF!</definedName>
    <definedName name="dfh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DF">#REF!</definedName>
    <definedName name="dg">#REF!</definedName>
    <definedName name="DGDF">#REF!</definedName>
    <definedName name="DGDFG">#REF!</definedName>
    <definedName name="dghdd">#REF!</definedName>
    <definedName name="Di">#REF!</definedName>
    <definedName name="DIAMETER">#REF!</definedName>
    <definedName name="DICL">#REF!</definedName>
    <definedName name="dIESEL">#REF!</definedName>
    <definedName name="dim4_4">#REF!</definedName>
    <definedName name="dim4_6">#REF!</definedName>
    <definedName name="DIns">#REF!</definedName>
    <definedName name="div">#REF!</definedName>
    <definedName name="dl">#REF!</definedName>
    <definedName name="dl___0">#REF!</definedName>
    <definedName name="dl___13">#REF!</definedName>
    <definedName name="Do">#REF!</definedName>
    <definedName name="docu">#REF!</definedName>
    <definedName name="DONGRE_ASSOCIATES______________PROJECT">#REF!</definedName>
    <definedName name="door">#REF!</definedName>
    <definedName name="Doors">#REF!</definedName>
    <definedName name="DOW_CORNING_789_SILICONE_SEALANT">#REF!</definedName>
    <definedName name="DP">#REF!</definedName>
    <definedName name="dq">#REF!</definedName>
    <definedName name="Drivers">#REF!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___0">#REF!</definedName>
    <definedName name="Ds___13">#REF!</definedName>
    <definedName name="dsds">#REF!</definedName>
    <definedName name="dsdud">#REF!</definedName>
    <definedName name="DSF">Scheduled_Payment+Extra_Payment</definedName>
    <definedName name="dsf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gdsfgsgf">#REF!</definedName>
    <definedName name="dsfgsd">#REF!</definedName>
    <definedName name="dsfj" hidden="1">#REF!</definedName>
    <definedName name="dsfsd">#REF!</definedName>
    <definedName name="dsw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">#N/A</definedName>
    <definedName name="Duct_Plaster">#REF!</definedName>
    <definedName name="e">#REF!</definedName>
    <definedName name="earth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">#REF!</definedName>
    <definedName name="eeee">#REF!</definedName>
    <definedName name="eeeeeeeeeee">#REF!</definedName>
    <definedName name="ees">#REF!</definedName>
    <definedName name="em">#REF!</definedName>
    <definedName name="Em___0">#REF!</definedName>
    <definedName name="Em___13">#REF!</definedName>
    <definedName name="enckcolumn">#REF!</definedName>
    <definedName name="End_Bal">#REF!</definedName>
    <definedName name="EngAddress">#REF!</definedName>
    <definedName name="EngAddress_4">#REF!</definedName>
    <definedName name="EngAddress_6">#REF!</definedName>
    <definedName name="EngCity">#REF!</definedName>
    <definedName name="EngCity_4">#REF!</definedName>
    <definedName name="EngCity_6">#REF!</definedName>
    <definedName name="EngName">#REF!</definedName>
    <definedName name="EngName_4">#REF!</definedName>
    <definedName name="EngName_6">#REF!</definedName>
    <definedName name="EngPostal">#REF!</definedName>
    <definedName name="EngPostal_4">#REF!</definedName>
    <definedName name="EngPostal_6">#REF!</definedName>
    <definedName name="EngPrio">#REF!</definedName>
    <definedName name="EngPrio_4">#REF!</definedName>
    <definedName name="EngPrio_6">#REF!</definedName>
    <definedName name="EngPrio_Text">#REF!</definedName>
    <definedName name="EngPrio_Text_4">#REF!</definedName>
    <definedName name="EngPrio_Text_6">#REF!</definedName>
    <definedName name="EngState">#REF!</definedName>
    <definedName name="EngState_4">#REF!</definedName>
    <definedName name="EngState_6">#REF!</definedName>
    <definedName name="enter">#REF!</definedName>
    <definedName name="eqw">#REF!</definedName>
    <definedName name="er">#REF!</definedName>
    <definedName name="ererer">#REF!</definedName>
    <definedName name="ererwtert">#REF!</definedName>
    <definedName name="eret">#REF!</definedName>
    <definedName name="erhrhjurt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>#REF!</definedName>
    <definedName name="erretr">#REF!</definedName>
    <definedName name="ert">#REF!</definedName>
    <definedName name="es">#REF!</definedName>
    <definedName name="Es___0">#REF!</definedName>
    <definedName name="Es___13">#REF!</definedName>
    <definedName name="est">#N/A</definedName>
    <definedName name="EstCost">#REF!</definedName>
    <definedName name="EstCost_4">#REF!</definedName>
    <definedName name="EstCost_6">#REF!</definedName>
    <definedName name="esti">#REF!</definedName>
    <definedName name="estim">#REF!</definedName>
    <definedName name="estimate">#REF!</definedName>
    <definedName name="estimate1">#REF!</definedName>
    <definedName name="Estimation">#REF!</definedName>
    <definedName name="estimation1">#REF!</definedName>
    <definedName name="et">#REF!</definedName>
    <definedName name="Et___0">#REF!</definedName>
    <definedName name="Et___13">#REF!</definedName>
    <definedName name="etew">#REF!</definedName>
    <definedName name="etewt">#REF!</definedName>
    <definedName name="E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">#REF!</definedName>
    <definedName name="eu_4">#REF!</definedName>
    <definedName name="eu_6">#REF!</definedName>
    <definedName name="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EDWFRW">#REF!</definedName>
    <definedName name="ewtew">#REF!</definedName>
    <definedName name="exc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Criteria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Titles">#REF!</definedName>
    <definedName name="Excel_BuiltIn_Print_Titles_1_1">#REF!</definedName>
    <definedName name="Excel_BuiltIn_Print_Titles_3">#REF!</definedName>
    <definedName name="Excel_BuiltIn_Print_Titles_3_16">#REF!</definedName>
    <definedName name="Excel_BuiltIn_Print_Titles_3_3">#REF!</definedName>
    <definedName name="Excel_BuiltIn_Print_Titles_3_4">#REF!</definedName>
    <definedName name="Excel_BuiltIn_Print_Titles_3_6">#REF!</definedName>
    <definedName name="Excel_BuiltIn_Print_Titles_3_9">#REF!</definedName>
    <definedName name="Excel_BuiltIn_Print_Titles_4">#REF!</definedName>
    <definedName name="Excel_BuiltIn_Recorder">#REF!</definedName>
    <definedName name="Exchange_rate">#REF!</definedName>
    <definedName name="EXIT">#REF!</definedName>
    <definedName name="ext">#REF!</definedName>
    <definedName name="External_Plaster">#REF!</definedName>
    <definedName name="Extra_Pay">#REF!</definedName>
    <definedName name="eyrlp">#REF!</definedName>
    <definedName name="f" hidden="1">#REF!</definedName>
    <definedName name="f534.">#REF!</definedName>
    <definedName name="facom">#REF!</definedName>
    <definedName name="fafur">#REF!</definedName>
    <definedName name="faofeq">#REF!</definedName>
    <definedName name="faplm">#REF!</definedName>
    <definedName name="fapms">#REF!</definedName>
    <definedName name="faveh">#REF!</definedName>
    <definedName name="Fb">#REF!</definedName>
    <definedName name="fd">#REF!</definedName>
    <definedName name="fdasds">#REF!</definedName>
    <definedName name="fdghdgfh">#REF!</definedName>
    <definedName name="fdhjfju">#REF!</definedName>
    <definedName name="FF">#REF!</definedName>
    <definedName name="FFGTET">MATCH(0.01,#REF!,-1)+1</definedName>
    <definedName name="FFL">#REF!</definedName>
    <definedName name="fg">#REF!</definedName>
    <definedName name="fgececf">#REF!</definedName>
    <definedName name="fgf">#REF!</definedName>
    <definedName name="fgfdg" hidden="1">#REF!</definedName>
    <definedName name="fgh">#REF!</definedName>
    <definedName name="FGH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g">#REF!</definedName>
    <definedName name="FGHGFH">#REF!</definedName>
    <definedName name="fgsadgsgfd">#REF!</definedName>
    <definedName name="fgty">#REF!</definedName>
    <definedName name="FH">#REF!</definedName>
    <definedName name="fhdsgbh">#REF!</definedName>
    <definedName name="FHFGHFF">#REF!</definedName>
    <definedName name="FHFGHGFH">#REF!</definedName>
    <definedName name="FHGFHFF">#REF!</definedName>
    <definedName name="FHGFHGFH">#REF!</definedName>
    <definedName name="FHJFHGFH">#REF!</definedName>
    <definedName name="FHNFHFHF">#REF!</definedName>
    <definedName name="fhryu">#REF!</definedName>
    <definedName name="Fhwl">#REF!</definedName>
    <definedName name="fin">#REF!</definedName>
    <definedName name="Final" hidden="1">#REF!</definedName>
    <definedName name="finish">#REF!</definedName>
    <definedName name="FINISHES">#REF!</definedName>
    <definedName name="first">#REF!</definedName>
    <definedName name="firstfloor">#REF!</definedName>
    <definedName name="FiscalIDNum">#REF!</definedName>
    <definedName name="FiscalIDNum_4">#REF!</definedName>
    <definedName name="FiscalIDNum_6">#REF!</definedName>
    <definedName name="FIT">#REF!</definedName>
    <definedName name="FIT___0">#REF!</definedName>
    <definedName name="FIT___13">#REF!</definedName>
    <definedName name="fixed">#REF!</definedName>
    <definedName name="fixed_asset">#REF!</definedName>
    <definedName name="fj">#REF!</definedName>
    <definedName name="flag1">#REF!</definedName>
    <definedName name="FLG">#REF!</definedName>
    <definedName name="Floor">#REF!</definedName>
    <definedName name="flr.tile">#REF!</definedName>
    <definedName name="fn">#REF!</definedName>
    <definedName name="fo">#REF!</definedName>
    <definedName name="foo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ing">#REF!</definedName>
    <definedName name="Footings">#REF!</definedName>
    <definedName name="ForestEdge" hidden="1">#REF!</definedName>
    <definedName name="FormTitle">#REF!</definedName>
    <definedName name="FormTitle_4">#REF!</definedName>
    <definedName name="FormTitle_6">#REF!</definedName>
    <definedName name="Fp">#REF!</definedName>
    <definedName name="FQAQ">#REF!</definedName>
    <definedName name="FR">#REF!</definedName>
    <definedName name="fRANCIS">#REF!</definedName>
    <definedName name="Francis.">#REF!</definedName>
    <definedName name="fRANCU">#REF!</definedName>
    <definedName name="frncis">#REF!</definedName>
    <definedName name="frt">#REF!</definedName>
    <definedName name="Fs">#REF!</definedName>
    <definedName name="fsaf">#REF!</definedName>
    <definedName name="fsds">#REF!</definedName>
    <definedName name="fsdsdf">#REF!</definedName>
    <definedName name="fsfs" hidden="1">#REF!</definedName>
    <definedName name="fsg">#REF!</definedName>
    <definedName name="FSRVRFR">#REF!</definedName>
    <definedName name="FSSDD">#REF!</definedName>
    <definedName name="ft">#REF!</definedName>
    <definedName name="ftg">#REF!</definedName>
    <definedName name="Full_Print">#REF!</definedName>
    <definedName name="Funiture">#REF!</definedName>
    <definedName name="Fv">#REF!</definedName>
    <definedName name="FWS">#REF!</definedName>
    <definedName name="g">#REF!</definedName>
    <definedName name="g1622.">#REF!</definedName>
    <definedName name="g2669.">#REF!</definedName>
    <definedName name="g2707.">#REF!</definedName>
    <definedName name="G31j1620">#REF!</definedName>
    <definedName name="G345d58">#REF!</definedName>
    <definedName name="g452.">#REF!</definedName>
    <definedName name="GA_1">#REF!</definedName>
    <definedName name="GA_2">#REF!</definedName>
    <definedName name="gala135">#REF!</definedName>
    <definedName name="gama">#REF!</definedName>
    <definedName name="gamah">#REF!</definedName>
    <definedName name="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>#REF!</definedName>
    <definedName name="g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neral">#REF!</definedName>
    <definedName name="ger">#REF!</definedName>
    <definedName name="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gthj">#REF!</definedName>
    <definedName name="gfu">#REF!</definedName>
    <definedName name="ggg" hidden="1">#REF!</definedName>
    <definedName name="ggggggggggg">#REF!</definedName>
    <definedName name="ggrtr">#REF!</definedName>
    <definedName name="gh">#REF!</definedName>
    <definedName name="gherh">Scheduled_Payment+Extra_Payment</definedName>
    <definedName name="ghfghgfjfjgfjgfjgf" hidden="1">#REF!</definedName>
    <definedName name="ghjfhfhl">#REF!</definedName>
    <definedName name="ghjhjh" hidden="1">#REF!</definedName>
    <definedName name="ghjkhkj">#N/A</definedName>
    <definedName name="GHJT">#REF!</definedName>
    <definedName name="gj">#REF!</definedName>
    <definedName name="gk">#REF!</definedName>
    <definedName name="GL">#REF!</definedName>
    <definedName name="GLAND">#REF!</definedName>
    <definedName name="gm">#REF!</definedName>
    <definedName name="GMAmount">#REF!</definedName>
    <definedName name="GMAmount_4">#REF!</definedName>
    <definedName name="GMAmount_6">#REF!</definedName>
    <definedName name="GMPercent">#REF!</definedName>
    <definedName name="GMPercent_4">#REF!</definedName>
    <definedName name="GMPercent_6">#REF!</definedName>
    <definedName name="gnotes">#REF!</definedName>
    <definedName name="gopi">#REF!</definedName>
    <definedName name="Group1">#REF!</definedName>
    <definedName name="Group2">#REF!</definedName>
    <definedName name="Group3">#REF!</definedName>
    <definedName name="Group4">#REF!</definedName>
    <definedName name="gs">#REF!</definedName>
    <definedName name="GSDFSDF">#REF!</definedName>
    <definedName name="gsgfrr">#N/A</definedName>
    <definedName name="gt">#REF!</definedName>
    <definedName name="gyp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608.">#REF!</definedName>
    <definedName name="Hafeez">#REF!</definedName>
    <definedName name="handrail">#REF!</definedName>
    <definedName name="handrails">#REF!</definedName>
    <definedName name="handrails\">#REF!</definedName>
    <definedName name="HARI">#REF!</definedName>
    <definedName name="hatmy145">#REF!</definedName>
    <definedName name="hb">#REF!</definedName>
    <definedName name="head">#N/A</definedName>
    <definedName name="Header_Row">ROW(#REF!)</definedName>
    <definedName name="Headings">#REF!</definedName>
    <definedName name="Headings_16">#REF!</definedName>
    <definedName name="Headings_3">#REF!</definedName>
    <definedName name="Headings_4">#REF!</definedName>
    <definedName name="Headings_6">#REF!</definedName>
    <definedName name="Headings_9">#REF!</definedName>
    <definedName name="hf">#REF!</definedName>
    <definedName name="hgg">#REF!</definedName>
    <definedName name="hgjjjgfj">#REF!</definedName>
    <definedName name="h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">#N/A</definedName>
    <definedName name="hh___0">#REF!</definedName>
    <definedName name="hh___13">#REF!</definedName>
    <definedName name="hhk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>#REF!</definedName>
    <definedName name="HINDHUSTAN">#REF!</definedName>
    <definedName name="HIns">#REF!</definedName>
    <definedName name="hj" hidden="1">#REF!</definedName>
    <definedName name="HJGFJSDGHJ">#N/A</definedName>
    <definedName name="hjk">#REF!</definedName>
    <definedName name="hjkhjk">#REF!</definedName>
    <definedName name="ho">#REF!</definedName>
    <definedName name="ho___0">#REF!</definedName>
    <definedName name="ho___13">#REF!</definedName>
    <definedName name="hoi">#REF!</definedName>
    <definedName name="Horn_Speaker">#REF!</definedName>
    <definedName name="Housekeeping">#REF!</definedName>
    <definedName name="hr">#REF!</definedName>
    <definedName name="hS">#REF!</definedName>
    <definedName name="hS___0">#REF!</definedName>
    <definedName name="hS___13">#REF!</definedName>
    <definedName name="HU">#REF!</definedName>
    <definedName name="Hu___0">#REF!</definedName>
    <definedName name="Hu___13">#REF!</definedName>
    <definedName name="hxb">#REF!</definedName>
    <definedName name="hxi">#REF!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">#REF!</definedName>
    <definedName name="I___0">#REF!</definedName>
    <definedName name="I___13">#REF!</definedName>
    <definedName name="ie">#REF!</definedName>
    <definedName name="If">#REF!</definedName>
    <definedName name="Ig">#REF!</definedName>
    <definedName name="Ig___0">#REF!</definedName>
    <definedName name="Ig___13">#REF!</definedName>
    <definedName name="ihkjhkj">#REF!</definedName>
    <definedName name="iii">#REF!</definedName>
    <definedName name="iiiiiiiiiii">#REF!</definedName>
    <definedName name="iju">#REF!</definedName>
    <definedName name="ik">#REF!</definedName>
    <definedName name="IN">#REF!</definedName>
    <definedName name="income">#REF!</definedName>
    <definedName name="indf">#REF!</definedName>
    <definedName name="indf_4">#REF!</definedName>
    <definedName name="indf_6">#REF!</definedName>
    <definedName name="indu">#REF!</definedName>
    <definedName name="INFRASTRUCTURE_ENTRY">#REF!</definedName>
    <definedName name="insert_rows_1">#REF!</definedName>
    <definedName name="InstBillingMethod">#REF!</definedName>
    <definedName name="InstBillingMethod_4">#REF!</definedName>
    <definedName name="InstBillingMethod_6">#REF!</definedName>
    <definedName name="instf">#REF!</definedName>
    <definedName name="instf_4">#REF!</definedName>
    <definedName name="instf_6">#REF!</definedName>
    <definedName name="Int">#REF!</definedName>
    <definedName name="Interest_Rate">#REF!</definedName>
    <definedName name="Internal_Plaster">#REF!</definedName>
    <definedName name="inv">#REF!</definedName>
    <definedName name="INV_SCH">#REF!</definedName>
    <definedName name="investment">#REF!</definedName>
    <definedName name="ioio">#REF!</definedName>
    <definedName name="iop">#REF!</definedName>
    <definedName name="ipip">#REF!</definedName>
    <definedName name="ipu">#REF!</definedName>
    <definedName name="ipu___0">#REF!</definedName>
    <definedName name="ipu___13">#REF!</definedName>
    <definedName name="iri">#REF!</definedName>
    <definedName name="iris">#REF!</definedName>
    <definedName name="Is">#REF!</definedName>
    <definedName name="iui">#REF!</definedName>
    <definedName name="IV">#REF!</definedName>
    <definedName name="iyui">#REF!</definedName>
    <definedName name="j" hidden="1">#REF!</definedName>
    <definedName name="jas">#REF!</definedName>
    <definedName name="jaspre">#REF!</definedName>
    <definedName name="jbhjb">#REF!</definedName>
    <definedName name="jbvhbvh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ri">#REF!</definedName>
    <definedName name="jfjh" hidden="1">#REF!</definedName>
    <definedName name="jfjy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k">#REF!</definedName>
    <definedName name="jhjyhj">#REF!</definedName>
    <definedName name="jhkl">#REF!</definedName>
    <definedName name="jj">#REF!</definedName>
    <definedName name="jjj">#REF!</definedName>
    <definedName name="jjjjjjjjjj">#REF!</definedName>
    <definedName name="jjk">#REF!</definedName>
    <definedName name="jk">#REF!</definedName>
    <definedName name="jkkkj" hidden="1">#REF!</definedName>
    <definedName name="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ui">#REF!</definedName>
    <definedName name="k">#REF!</definedName>
    <definedName name="K___0">#REF!</definedName>
    <definedName name="K___13">#REF!</definedName>
    <definedName name="k1_table">#REF!</definedName>
    <definedName name="k1x">#REF!</definedName>
    <definedName name="k1y">#REF!</definedName>
    <definedName name="k2x">#REF!</definedName>
    <definedName name="k2y">#REF!</definedName>
    <definedName name="ka">#REF!</definedName>
    <definedName name="kaja">#REF!</definedName>
    <definedName name="kan">#REF!</definedName>
    <definedName name="kanch">#REF!</definedName>
    <definedName name="KARNA">#REF!</definedName>
    <definedName name="kb">#REF!</definedName>
    <definedName name="kc">#REF!</definedName>
    <definedName name="Kh">#REF!</definedName>
    <definedName name="Kh___0">#REF!</definedName>
    <definedName name="Kh___13">#REF!</definedName>
    <definedName name="k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it">#REF!</definedName>
    <definedName name="kj">#REF!</definedName>
    <definedName name="kjbkjh">#REF!</definedName>
    <definedName name="kjdnfdf">#REF!</definedName>
    <definedName name="kjh">#REF!</definedName>
    <definedName name="k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>#REF!</definedName>
    <definedName name="kkkj" hidden="1">#REF!</definedName>
    <definedName name="Km">#REF!</definedName>
    <definedName name="Km___0">#REF!</definedName>
    <definedName name="Km___13">#REF!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">#REF!</definedName>
    <definedName name="Ks___0">#REF!</definedName>
    <definedName name="Ks___13">#REF!</definedName>
    <definedName name="l">#REF!</definedName>
    <definedName name="L___0">#REF!</definedName>
    <definedName name="L___13">#REF!</definedName>
    <definedName name="labourrate">#REF!</definedName>
    <definedName name="LAMP">#REF!</definedName>
    <definedName name="LAMP___0">#REF!</definedName>
    <definedName name="LAMP___13">#REF!</definedName>
    <definedName name="Land_adv">#REF!</definedName>
    <definedName name="landscape">#REF!</definedName>
    <definedName name="landscpe">#REF!</definedName>
    <definedName name="lasdk">#REF!</definedName>
    <definedName name="Last_Row">IF(Values_Entered,Header_Row+Number_of_Payments,Header_Row)</definedName>
    <definedName name="Lc">#REF!</definedName>
    <definedName name="Lc___0">#REF!</definedName>
    <definedName name="Lc___13">#REF!</definedName>
    <definedName name="LCAR100">#REF!</definedName>
    <definedName name="Lead">#REF!</definedName>
    <definedName name="leela">#REF!</definedName>
    <definedName name="lef">#REF!</definedName>
    <definedName name="lel">#REF!</definedName>
    <definedName name="len">#REF!</definedName>
    <definedName name="LG_1">#REF!</definedName>
    <definedName name="LGF">#REF!</definedName>
    <definedName name="lhuuioyhuyhui">#REF!</definedName>
    <definedName name="limcount" hidden="1">1</definedName>
    <definedName name="li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hidden="1">#REF!</definedName>
    <definedName name="lo">#REF!</definedName>
    <definedName name="Loan_Amount">#REF!</definedName>
    <definedName name="Loan_Start">#REF!</definedName>
    <definedName name="Loan_Years">#REF!</definedName>
    <definedName name="loans_adv">#REF!</definedName>
    <definedName name="LOCAL_STAFF">#REF!</definedName>
    <definedName name="LOCAL_STAFF_ENTRY">#REF!</definedName>
    <definedName name="Lr">#REF!</definedName>
    <definedName name="Lr___0">#REF!</definedName>
    <definedName name="Lr___13">#REF!</definedName>
    <definedName name="lrt">#REF!</definedName>
    <definedName name="LSD_4100">#REF!</definedName>
    <definedName name="lsest">#REF!</definedName>
    <definedName name="lshead">#REF!</definedName>
    <definedName name="LUMEN">#REF!</definedName>
    <definedName name="LUMEN___0">#REF!</definedName>
    <definedName name="LUMEN___13">#REF!</definedName>
    <definedName name="Lump_Sum_Discount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m">#REF!</definedName>
    <definedName name="m___0">#REF!</definedName>
    <definedName name="m___13">#REF!</definedName>
    <definedName name="M1x">#REF!</definedName>
    <definedName name="M1y">#REF!</definedName>
    <definedName name="M2x">#REF!</definedName>
    <definedName name="M2y">#REF!</definedName>
    <definedName name="MACHINE_EQUIPMENT">#REF!</definedName>
    <definedName name="MACHINE_EQUIPMENT_ENTRY">#REF!</definedName>
    <definedName name="Macro1">#REF!</definedName>
    <definedName name="Macro2">#REF!</definedName>
    <definedName name="macrocopy">#N/A</definedName>
    <definedName name="m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iantrev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hole">#REF!</definedName>
    <definedName name="manish">#REF!</definedName>
    <definedName name="MarketType">#REF!</definedName>
    <definedName name="MarketType_4">#REF!</definedName>
    <definedName name="MarketType_6">#REF!</definedName>
    <definedName name="MarketType_Text">#REF!</definedName>
    <definedName name="MarketType_Text_4">#REF!</definedName>
    <definedName name="MarketType_Text_6">#REF!</definedName>
    <definedName name="Masonary">#REF!</definedName>
    <definedName name="masterlist">#N/A</definedName>
    <definedName name="Mat">#REF!</definedName>
    <definedName name="Material_rate_entry">#REF!</definedName>
    <definedName name="MATV">#REF!</definedName>
    <definedName name="mayflower">#REF!</definedName>
    <definedName name="MDF">#REF!</definedName>
    <definedName name="meest">#REF!</definedName>
    <definedName name="mehead">#REF!</definedName>
    <definedName name="mena">#REF!</definedName>
    <definedName name="MF">#REF!</definedName>
    <definedName name="MF___0">#REF!</definedName>
    <definedName name="MF___13">#REF!</definedName>
    <definedName name="MIS">#N/A</definedName>
    <definedName name="mm">#REF!</definedName>
    <definedName name="mmm">#REF!</definedName>
    <definedName name="mmmmmmmmmm">#REF!</definedName>
    <definedName name="mnvgdg">#REF!</definedName>
    <definedName name="mobi">#REF!</definedName>
    <definedName name="Mobilization">#REF!</definedName>
    <definedName name="Month1_Ending_Bal">#REF!</definedName>
    <definedName name="Month2_Ending_Bal">#REF!</definedName>
    <definedName name="Month3_Ending_Bal">#REF!</definedName>
    <definedName name="Month4_Ending_Bal">#REF!</definedName>
    <definedName name="Month5_Ending_Bal">#REF!</definedName>
    <definedName name="Month6_Ending_Bal">#REF!</definedName>
    <definedName name="MP" hidden="1">#REF!</definedName>
    <definedName name="ms">#REF!</definedName>
    <definedName name="MT_1">#REF!</definedName>
    <definedName name="MT_2">#REF!</definedName>
    <definedName name="MT_3">#REF!</definedName>
    <definedName name="MTV">#REF!</definedName>
    <definedName name="MV_1">#REF!</definedName>
    <definedName name="MV_2">#REF!</definedName>
    <definedName name="MV_3">#REF!</definedName>
    <definedName name="MV_4">#REF!</definedName>
    <definedName name="MV_5">#REF!</definedName>
    <definedName name="n">MATCH(0.01,End_Bal,-1)+1</definedName>
    <definedName name="N___0">#REF!</definedName>
    <definedName name="N___13">#REF!</definedName>
    <definedName name="nagapp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k">#REF!</definedName>
    <definedName name="NBMF">#REF!</definedName>
    <definedName name="Neck">#REF!</definedName>
    <definedName name="NEW">#REF!</definedName>
    <definedName name="nmmn">#REF!</definedName>
    <definedName name="NN">#REF!</definedName>
    <definedName name="NN___0">#REF!</definedName>
    <definedName name="NN___13">#REF!</definedName>
    <definedName name="nnn">#REF!</definedName>
    <definedName name="no">#REF!</definedName>
    <definedName name="nonmodular">#REF!</definedName>
    <definedName name="nonmodular_4">#REF!</definedName>
    <definedName name="nonmodular_6">#REF!</definedName>
    <definedName name="NOT_SPECIFIED">#REF!</definedName>
    <definedName name="not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tesu">#REF!</definedName>
    <definedName name="Num_Pmt_Per_Year">#REF!</definedName>
    <definedName name="Number_of_Payments">MATCH(0.01,End_Bal,-1)+1</definedName>
    <definedName name="Nx">#REF!</definedName>
    <definedName name="Nx___0">#REF!</definedName>
    <definedName name="Nx___13">#REF!</definedName>
    <definedName name="Ny">#REF!</definedName>
    <definedName name="Ny___0">#REF!</definedName>
    <definedName name="Ny___13">#REF!</definedName>
    <definedName name="o">#REF!</definedName>
    <definedName name="obpl">#REF!</definedName>
    <definedName name="octf">#REF!</definedName>
    <definedName name="OfficeBoys">#REF!</definedName>
    <definedName name="oio">#REF!</definedName>
    <definedName name="oipo">#REF!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l">#REF!</definedName>
    <definedName name="ooooooooo">#REF!</definedName>
    <definedName name="ooopp">#REF!</definedName>
    <definedName name="Open">#REF!</definedName>
    <definedName name="option22">#REF!</definedName>
    <definedName name="osdnvkls" hidden="1">#REF!</definedName>
    <definedName name="OVER_HEADS_ENTRY">#REF!</definedName>
    <definedName name="Overall_Summary_Title">#REF!</definedName>
    <definedName name="OVERHEADS">#REF!</definedName>
    <definedName name="OwnAcctNum">#REF!</definedName>
    <definedName name="OwnAcctNum_4">#REF!</definedName>
    <definedName name="OwnAcctNum_6">#REF!</definedName>
    <definedName name="P">#REF!</definedName>
    <definedName name="p___0">#REF!</definedName>
    <definedName name="p___13">#REF!</definedName>
    <definedName name="pa">#REF!</definedName>
    <definedName name="pa___0">#REF!</definedName>
    <definedName name="pa___13">#REF!</definedName>
    <definedName name="Pane2">#REF!</definedName>
    <definedName name="Pane2___0">#REF!</definedName>
    <definedName name="Pane2___13">#REF!</definedName>
    <definedName name="par">#N/A</definedName>
    <definedName name="part">#REF!</definedName>
    <definedName name="paul">50000</definedName>
    <definedName name="Pay_Date">#REF!</definedName>
    <definedName name="Pay_Num">#REF!</definedName>
    <definedName name="Payment_Date">DATE(YEAR(Loan_Start),MONTH(Loan_Start)+Payment_Number,DAY(Loan_Start))</definedName>
    <definedName name="pb">#REF!</definedName>
    <definedName name="pb___0">#REF!</definedName>
    <definedName name="pb___11">#REF!</definedName>
    <definedName name="pb___12">#REF!</definedName>
    <definedName name="PBILL">#REF!</definedName>
    <definedName name="Pbx">#REF!</definedName>
    <definedName name="Pby">#REF!</definedName>
    <definedName name="PCC">#REF!</definedName>
    <definedName name="pd">#REF!</definedName>
    <definedName name="PD_1">#REF!</definedName>
    <definedName name="PEDESTAL">#REF!</definedName>
    <definedName name="pH">#REF!</definedName>
    <definedName name="pH___0">#REF!</definedName>
    <definedName name="pH___13">#REF!</definedName>
    <definedName name="PhaseCode">#REF!</definedName>
    <definedName name="pioi">#REF!</definedName>
    <definedName name="PL_1">#REF!</definedName>
    <definedName name="Plant">#REF!</definedName>
    <definedName name="plants">#REF!</definedName>
    <definedName name="Plinth_beam">#REF!</definedName>
    <definedName name="plumbing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YWOOD">#REF!</definedName>
    <definedName name="PM">#REF!</definedName>
    <definedName name="p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.1">#REF!</definedName>
    <definedName name="PO.2">#REF!</definedName>
    <definedName name="PO_1">#REF!</definedName>
    <definedName name="PO_2">#REF!</definedName>
    <definedName name="PO_3">#REF!</definedName>
    <definedName name="po_4">#REF!</definedName>
    <definedName name="po_6">#REF!</definedName>
    <definedName name="poles">#REF!</definedName>
    <definedName name="pp" hidden="1">#REF!</definedName>
    <definedName name="pppppppppp">#REF!</definedName>
    <definedName name="pr">#REF!</definedName>
    <definedName name="prasad145">#REF!</definedName>
    <definedName name="prasad146">#REF!</definedName>
    <definedName name="pre">#REF!</definedName>
    <definedName name="preli">#REF!</definedName>
    <definedName name="PRELIM">#REF!</definedName>
    <definedName name="Preliminaries">#REF!</definedName>
    <definedName name="preliminary">#REF!</definedName>
    <definedName name="prelim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m_Exp">#REF!</definedName>
    <definedName name="PREM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">#REF!</definedName>
    <definedName name="PrimeAddress">#REF!</definedName>
    <definedName name="PrimeAddress_4">#REF!</definedName>
    <definedName name="PrimeAddress_6">#REF!</definedName>
    <definedName name="PrimeCity">#REF!</definedName>
    <definedName name="PrimeCity_4">#REF!</definedName>
    <definedName name="PrimeCity_6">#REF!</definedName>
    <definedName name="PrimeName">#REF!</definedName>
    <definedName name="PrimeName_4">#REF!</definedName>
    <definedName name="PrimeName_6">#REF!</definedName>
    <definedName name="PrimePostal">#REF!</definedName>
    <definedName name="PrimePostal_4">#REF!</definedName>
    <definedName name="PrimePostal_6">#REF!</definedName>
    <definedName name="PrimePrio">#REF!</definedName>
    <definedName name="PrimePrio_4">#REF!</definedName>
    <definedName name="PrimePrio_6">#REF!</definedName>
    <definedName name="PrimePrio_Text">#REF!</definedName>
    <definedName name="PrimePrio_Text_4">#REF!</definedName>
    <definedName name="PrimePrio_Text_6">#REF!</definedName>
    <definedName name="PrimeState">#REF!</definedName>
    <definedName name="PrimeState_4">#REF!</definedName>
    <definedName name="PrimeState_6">#REF!</definedName>
    <definedName name="prin">#REF!</definedName>
    <definedName name="Princ">#REF!</definedName>
    <definedName name="Principal">#REF!</definedName>
    <definedName name="Print">#REF!</definedName>
    <definedName name="print_ar">#REF!</definedName>
    <definedName name="_xlnm.Print_Area">#REF!</definedName>
    <definedName name="PRINT_AREA_MI">#REF!</definedName>
    <definedName name="PRINT_AREA_MI___0">#REF!</definedName>
    <definedName name="PRINT_AREA_MI_4">#REF!</definedName>
    <definedName name="PRINT_AREA_MI_6">#REF!</definedName>
    <definedName name="Print_Area_Reset">OFFSET(Full_Print,0,0,Last_Row)</definedName>
    <definedName name="_xlnm.Print_Titles">#REF!</definedName>
    <definedName name="priya">#REF!</definedName>
    <definedName name="priya1">#REF!</definedName>
    <definedName name="pro">#REF!</definedName>
    <definedName name="PROD">#REF!</definedName>
    <definedName name="PROD_4">#REF!</definedName>
    <definedName name="PROD_6">#REF!</definedName>
    <definedName name="ProdCode1">#REF!</definedName>
    <definedName name="ProdCode1_4">#REF!</definedName>
    <definedName name="ProdCode1_6">#REF!</definedName>
    <definedName name="ProdCode1_Text">#REF!</definedName>
    <definedName name="ProdCode1_Text_4">#REF!</definedName>
    <definedName name="ProdCode1_Text_6">#REF!</definedName>
    <definedName name="ProdCode2">#REF!</definedName>
    <definedName name="ProdCode2_4">#REF!</definedName>
    <definedName name="ProdCode2_6">#REF!</definedName>
    <definedName name="ProdCode2_Text">#REF!</definedName>
    <definedName name="ProdCode2_Text_4">#REF!</definedName>
    <definedName name="ProdCode2_Text_6">#REF!</definedName>
    <definedName name="ProdCode3">#REF!</definedName>
    <definedName name="ProdCode3_4">#REF!</definedName>
    <definedName name="ProdCode3_6">#REF!</definedName>
    <definedName name="ProdCode3_Text">#REF!</definedName>
    <definedName name="ProdCode3_Text_4">#REF!</definedName>
    <definedName name="ProdCode3_Text_6">#REF!</definedName>
    <definedName name="PRODCODE3KJGSCJKSDHCV">#REF!</definedName>
    <definedName name="ProdCode4">#REF!</definedName>
    <definedName name="ProdCode4_4">#REF!</definedName>
    <definedName name="ProdCode4_6">#REF!</definedName>
    <definedName name="ProdCode4_Text">#REF!</definedName>
    <definedName name="ProdCode4_Text_4">#REF!</definedName>
    <definedName name="ProdCode4_Text_6">#REF!</definedName>
    <definedName name="ProdCode5">#REF!</definedName>
    <definedName name="ProdCode5_4">#REF!</definedName>
    <definedName name="ProdCode5_6">#REF!</definedName>
    <definedName name="ProdCode5_Text">#REF!</definedName>
    <definedName name="ProdCode5_Text_4">#REF!</definedName>
    <definedName name="ProdCode5_Text_6">#REF!</definedName>
    <definedName name="ProdPct1">#REF!</definedName>
    <definedName name="ProdPct1_4">#REF!</definedName>
    <definedName name="ProdPct1_6">#REF!</definedName>
    <definedName name="ProdPct2">#REF!</definedName>
    <definedName name="ProdPct2_4">#REF!</definedName>
    <definedName name="ProdPct2_6">#REF!</definedName>
    <definedName name="ProdPct3">#REF!</definedName>
    <definedName name="ProdPct3_4">#REF!</definedName>
    <definedName name="ProdPct3_6">#REF!</definedName>
    <definedName name="ProdPct4">#REF!</definedName>
    <definedName name="ProdPct4_4">#REF!</definedName>
    <definedName name="ProdPct4_6">#REF!</definedName>
    <definedName name="ProdPct5">#REF!</definedName>
    <definedName name="ProdPct5_4">#REF!</definedName>
    <definedName name="ProdPct5_6">#REF!</definedName>
    <definedName name="ProjAddress1">#REF!</definedName>
    <definedName name="ProjAddress1_4">#REF!</definedName>
    <definedName name="ProjAddress1_6">#REF!</definedName>
    <definedName name="ProjAddress2">#REF!</definedName>
    <definedName name="ProjAddress2_4">#REF!</definedName>
    <definedName name="ProjAddress2_6">#REF!</definedName>
    <definedName name="ProjCity">#REF!</definedName>
    <definedName name="ProjCity_4">#REF!</definedName>
    <definedName name="ProjCity_6">#REF!</definedName>
    <definedName name="ProjCity1">#REF!</definedName>
    <definedName name="ProjCountry">#REF!</definedName>
    <definedName name="ProjCountry_4">#REF!</definedName>
    <definedName name="ProjCountry_6">#REF!</definedName>
    <definedName name="ProjCounty">#REF!</definedName>
    <definedName name="ProjCounty_4">#REF!</definedName>
    <definedName name="ProjCounty_6">#REF!</definedName>
    <definedName name="project">#REF!</definedName>
    <definedName name="ProjectLocation">#REF!</definedName>
    <definedName name="ProjectNumber">#REF!</definedName>
    <definedName name="ProjectSubtitle">#REF!</definedName>
    <definedName name="ProjectTitle">#REF!</definedName>
    <definedName name="ProjName">#REF!</definedName>
    <definedName name="ProjName_4">#REF!</definedName>
    <definedName name="ProjName_6">#REF!</definedName>
    <definedName name="ProjNum">#REF!</definedName>
    <definedName name="ProjNum_4">#REF!</definedName>
    <definedName name="ProjNum_6">#REF!</definedName>
    <definedName name="ProjPostal">#REF!</definedName>
    <definedName name="ProjPostal_4">#REF!</definedName>
    <definedName name="ProjPostal_6">#REF!</definedName>
    <definedName name="ProjState">#REF!</definedName>
    <definedName name="ProjState_4">#REF!</definedName>
    <definedName name="ProjState_6">#REF!</definedName>
    <definedName name="PS">#REF!</definedName>
    <definedName name="PS___0">#REF!</definedName>
    <definedName name="PS___13">#REF!</definedName>
    <definedName name="PSABillingMethod">#REF!</definedName>
    <definedName name="PSABillingMethod_4">#REF!</definedName>
    <definedName name="PSABillingMethod_6">#REF!</definedName>
    <definedName name="pss">#REF!</definedName>
    <definedName name="pt">'[1]HF Blk 1'!#REF!</definedName>
    <definedName name="pu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z">#REF!</definedName>
    <definedName name="PV">#REF!</definedName>
    <definedName name="q">#REF!</definedName>
    <definedName name="qa">#REF!</definedName>
    <definedName name="Qc">#REF!</definedName>
    <definedName name="Qc___0">#REF!</definedName>
    <definedName name="Qc___13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hidden="1">#REF!</definedName>
    <definedName name="QRQWD">#REF!</definedName>
    <definedName name="Qspan">#REF!</definedName>
    <definedName name="QTY">#REF!</definedName>
    <definedName name="qua">#REF!</definedName>
    <definedName name="Quantity">#REF!</definedName>
    <definedName name="QUANTITY1">#REF!</definedName>
    <definedName name="Quantity2">#REF!</definedName>
    <definedName name="quar">#REF!</definedName>
    <definedName name="QUARTZ">#REF!</definedName>
    <definedName name="quotient">"denominator"</definedName>
    <definedName name="qw">#REF!</definedName>
    <definedName name="qwe">#REF!</definedName>
    <definedName name="qwerwqerwe">#REF!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>#REF!</definedName>
    <definedName name="radhika">#REF!</definedName>
    <definedName name="rahaer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NGE">#REF!</definedName>
    <definedName name="RANGE1">#REF!</definedName>
    <definedName name="RANGE2">#REF!</definedName>
    <definedName name="RANGE21">#REF!</definedName>
    <definedName name="range3">#REF!</definedName>
    <definedName name="RASH">#REF!</definedName>
    <definedName name="rashmi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>#REF!</definedName>
    <definedName name="Re___0">#REF!</definedName>
    <definedName name="Re___13">#REF!</definedName>
    <definedName name="rec">#REF!</definedName>
    <definedName name="Recon">#REF!</definedName>
    <definedName name="reconcilation">#REF!</definedName>
    <definedName name="reconcile">#REF!</definedName>
    <definedName name="Reconcole">#N/A</definedName>
    <definedName name="_xlnm.Recorder">#REF!</definedName>
    <definedName name="rect_4_415">#REF!</definedName>
    <definedName name="reee">#REF!</definedName>
    <definedName name="re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ULAR_STAFF">#REF!</definedName>
    <definedName name="REGULAR_STAFF_ENTRY">#REF!</definedName>
    <definedName name="rel">#REF!</definedName>
    <definedName name="RES">#REF!</definedName>
    <definedName name="resd">#REF!</definedName>
    <definedName name="reswe" hidden="1">#REF!</definedName>
    <definedName name="Rev">#REF!</definedName>
    <definedName name="REVISED">#REF!</definedName>
    <definedName name="Revision">#REF!</definedName>
    <definedName name="REW">#REF!</definedName>
    <definedName name="r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D">#REF!</definedName>
    <definedName name="rig">#REF!</definedName>
    <definedName name="rim4_4">#REF!</definedName>
    <definedName name="rim4_6">#REF!</definedName>
    <definedName name="Rl">#REF!</definedName>
    <definedName name="Rl___0">#REF!</definedName>
    <definedName name="Rl___13">#REF!</definedName>
    <definedName name="robot">#REF!</definedName>
    <definedName name="rosid">#REF!</definedName>
    <definedName name="RQQQ">#REF!</definedName>
    <definedName name="rr">#REF!</definedName>
    <definedName name="rrr">#REF!</definedName>
    <definedName name="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r">#REF!</definedName>
    <definedName name="rrrrrrrrr">#REF!</definedName>
    <definedName name="rrrrrrrrrr">#REF!</definedName>
    <definedName name="rrrrrrrrrrr">#REF!</definedName>
    <definedName name="Rs">#REF!</definedName>
    <definedName name="Rs___0">#REF!</definedName>
    <definedName name="Rs___13">#REF!</definedName>
    <definedName name="Rse">#REF!</definedName>
    <definedName name="Rse___0">#REF!</definedName>
    <definedName name="Rse___13">#REF!</definedName>
    <definedName name="rt">#REF!</definedName>
    <definedName name="rtr">#REF!</definedName>
    <definedName name="rtrt">#REF!</definedName>
    <definedName name="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t">#REF!</definedName>
    <definedName name="rttrt">#REF!</definedName>
    <definedName name="rty">#REF!</definedName>
    <definedName name="rtyu">#REF!</definedName>
    <definedName name="RUT">#REF!</definedName>
    <definedName name="ryy">#REF!</definedName>
    <definedName name="S">#REF!</definedName>
    <definedName name="S0">#REF!</definedName>
    <definedName name="SA">#REF!</definedName>
    <definedName name="saa">#REF!</definedName>
    <definedName name="sadd">#REF!</definedName>
    <definedName name="sadfasdf">#REF!</definedName>
    <definedName name="sadfdasf" hidden="1">#REF!</definedName>
    <definedName name="sadfsadf">#REF!</definedName>
    <definedName name="sadfsdaf">#REF!</definedName>
    <definedName name="safe">#REF!</definedName>
    <definedName name="Safety">#REF!</definedName>
    <definedName name="salary">#REF!</definedName>
    <definedName name="SalesMgr">#REF!</definedName>
    <definedName name="SalesMgr_4">#REF!</definedName>
    <definedName name="SalesMgr_6">#REF!</definedName>
    <definedName name="SASDASD">#REF!</definedName>
    <definedName name="saucomd">#REF!</definedName>
    <definedName name="saucstf">#REF!</definedName>
    <definedName name="saud">#REF!</definedName>
    <definedName name="saud_4">#REF!</definedName>
    <definedName name="saud_6">#REF!</definedName>
    <definedName name="saudirf">#REF!</definedName>
    <definedName name="sauf">#REF!</definedName>
    <definedName name="sauf_4">#REF!</definedName>
    <definedName name="sauf_6">#REF!</definedName>
    <definedName name="sauif">#REF!</definedName>
    <definedName name="sauif_4">#REF!</definedName>
    <definedName name="sauif_6">#REF!</definedName>
    <definedName name="sauspad">#REF!</definedName>
    <definedName name="sausysd">#REF!</definedName>
    <definedName name="scaffolding" hidden="1">#REF!</definedName>
    <definedName name="SCC">#REF!</definedName>
    <definedName name="SCD">#REF!</definedName>
    <definedName name="SCE">#REF!</definedName>
    <definedName name="SCED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roll">#REF!</definedName>
    <definedName name="SD">#REF!</definedName>
    <definedName name="sdasd">#REF!</definedName>
    <definedName name="Sdate">#REF!</definedName>
    <definedName name="sddff">#REF!</definedName>
    <definedName name="sdfd">#REF!</definedName>
    <definedName name="sdfdf">#REF!</definedName>
    <definedName name="sdffggg">#REF!</definedName>
    <definedName name="sdffs">#REF!</definedName>
    <definedName name="sdffsd">#REF!</definedName>
    <definedName name="sdfgdsfgdf">#REF!</definedName>
    <definedName name="sdfgsdg">#N/A</definedName>
    <definedName name="sdfgsdsdsdf">#REF!</definedName>
    <definedName name="sdfjasdfklj">#REF!</definedName>
    <definedName name="SDFS">#REF!</definedName>
    <definedName name="sdfsd">#REF!</definedName>
    <definedName name="sdfsdf">#REF!</definedName>
    <definedName name="sdggdsfgsdf">#REF!</definedName>
    <definedName name="sdgsdht">#REF!</definedName>
    <definedName name="sdgsdsdf">#REF!</definedName>
    <definedName name="sdpl">#REF!</definedName>
    <definedName name="SDPLBS">#REF!</definedName>
    <definedName name="SDPLFA">#REF!</definedName>
    <definedName name="SDPLPL">#REF!</definedName>
    <definedName name="sdsd">#REF!</definedName>
    <definedName name="sdsss">#REF!</definedName>
    <definedName name="SDW">#REF!</definedName>
    <definedName name="se">#REF!</definedName>
    <definedName name="sec">#REF!</definedName>
    <definedName name="sec_deposit">#REF!</definedName>
    <definedName name="SECT">#REF!</definedName>
    <definedName name="sect1">#REF!</definedName>
    <definedName name="SECTION">#REF!</definedName>
    <definedName name="Section_1_Title">#REF!</definedName>
    <definedName name="Section_2_Title">#REF!</definedName>
    <definedName name="Section_3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ured">#REF!</definedName>
    <definedName name="securi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lectedLanguage">#REF!</definedName>
    <definedName name="SelectedLanguage_4">#REF!</definedName>
    <definedName name="SelectedLanguage_6">#REF!</definedName>
    <definedName name="sencount" hidden="1">1</definedName>
    <definedName name="SER">#REF!</definedName>
    <definedName name="servf">#REF!</definedName>
    <definedName name="Setflag">#REF!</definedName>
    <definedName name="SF">#REF!</definedName>
    <definedName name="sfdfsd">#REF!</definedName>
    <definedName name="sfe" hidden="1">#REF!</definedName>
    <definedName name="sfff">#REF!</definedName>
    <definedName name="SFFSDF">#REF!</definedName>
    <definedName name="sffsff">#REF!</definedName>
    <definedName name="sffssd">#REF!</definedName>
    <definedName name="SFL">#REF!</definedName>
    <definedName name="sfsd">#REF!</definedName>
    <definedName name="SFSDFS">#REF!</definedName>
    <definedName name="SFSDFSD">#REF!</definedName>
    <definedName name="SFSDFSDF">#REF!</definedName>
    <definedName name="SFSDFSF">#REF!</definedName>
    <definedName name="sfsf">#REF!</definedName>
    <definedName name="sfsfs">#REF!</definedName>
    <definedName name="sfssdfs">#REF!</definedName>
    <definedName name="sfssf" hidden="1">#REF!</definedName>
    <definedName name="SFWEWFRWER">#REF!</definedName>
    <definedName name="sg">#REF!</definedName>
    <definedName name="sgfe" hidden="1">#REF!</definedName>
    <definedName name="sgfssfs">#REF!</definedName>
    <definedName name="sgggggg" hidden="1">#REF!</definedName>
    <definedName name="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ji545">#REF!</definedName>
    <definedName name="shank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r">#REF!</definedName>
    <definedName name="Shear" hidden="1">#REF!</definedName>
    <definedName name="Sheet" hidden="1">#REF!</definedName>
    <definedName name="sheet1">#REF!</definedName>
    <definedName name="sheet1___0">#REF!</definedName>
    <definedName name="sheet1___13">#REF!</definedName>
    <definedName name="SHOPBOQ">#REF!</definedName>
    <definedName name="SHOPHED">#REF!</definedName>
    <definedName name="SHRLMR">Scheduled_Payment+Extra_Payment</definedName>
    <definedName name="Sht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ni">#REF!</definedName>
    <definedName name="SiteID">#REF!</definedName>
    <definedName name="SiteID_4">#REF!</definedName>
    <definedName name="SiteID_6">#REF!</definedName>
    <definedName name="SiteType">#REF!</definedName>
    <definedName name="SiteType_4">#REF!</definedName>
    <definedName name="SiteType_6">#REF!</definedName>
    <definedName name="siva">#REF!</definedName>
    <definedName name="sl">#REF!</definedName>
    <definedName name="SmallProj">#REF!</definedName>
    <definedName name="SmallProj_4">#REF!</definedName>
    <definedName name="SmallProj_6">#REF!</definedName>
    <definedName name="SmallProj_Text">#REF!</definedName>
    <definedName name="SmallProj_Text_4">#REF!</definedName>
    <definedName name="SmallProj_Text_6">#REF!</definedName>
    <definedName name="soasia" hidden="1">#REF!</definedName>
    <definedName name="sob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">#REF!</definedName>
    <definedName name="SOL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VENT">#REF!</definedName>
    <definedName name="solvents">#REF!</definedName>
    <definedName name="sond">#REF!</definedName>
    <definedName name="sondf">#REF!</definedName>
    <definedName name="soo" hidden="1">#REF!</definedName>
    <definedName name="sp">#REF!</definedName>
    <definedName name="SP_1">#REF!</definedName>
    <definedName name="SP_2">#REF!</definedName>
    <definedName name="SP1Branch">#REF!</definedName>
    <definedName name="SP1Branch_4">#REF!</definedName>
    <definedName name="SP1Branch_6">#REF!</definedName>
    <definedName name="SP1Credit">#REF!</definedName>
    <definedName name="SP1Credit_4">#REF!</definedName>
    <definedName name="SP1Credit_6">#REF!</definedName>
    <definedName name="SP1Name">#REF!</definedName>
    <definedName name="SP1Name_4">#REF!</definedName>
    <definedName name="SP1Name_6">#REF!</definedName>
    <definedName name="SP1Number">#REF!</definedName>
    <definedName name="SP1Number_4">#REF!</definedName>
    <definedName name="SP1Number_6">#REF!</definedName>
    <definedName name="SP2Branch">#REF!</definedName>
    <definedName name="SP2Branch_4">#REF!</definedName>
    <definedName name="SP2Branch_6">#REF!</definedName>
    <definedName name="SP2Credit">#REF!</definedName>
    <definedName name="SP2Credit_4">#REF!</definedName>
    <definedName name="SP2Credit_6">#REF!</definedName>
    <definedName name="SP2Name">#REF!</definedName>
    <definedName name="SP2Name_4">#REF!</definedName>
    <definedName name="SP2Name_6">#REF!</definedName>
    <definedName name="SP2Number">#REF!</definedName>
    <definedName name="SP2Number_4">#REF!</definedName>
    <definedName name="SP2Number_6">#REF!</definedName>
    <definedName name="SP3Branch">#REF!</definedName>
    <definedName name="SP3Branch_4">#REF!</definedName>
    <definedName name="SP3Branch_6">#REF!</definedName>
    <definedName name="SP3Credit">#REF!</definedName>
    <definedName name="SP3Credit_4">#REF!</definedName>
    <definedName name="SP3Credit_6">#REF!</definedName>
    <definedName name="SP3Name">#REF!</definedName>
    <definedName name="SP3Name_4">#REF!</definedName>
    <definedName name="SP3Name_6">#REF!</definedName>
    <definedName name="SP3Number">#REF!</definedName>
    <definedName name="SP3Number_4">#REF!</definedName>
    <definedName name="SP3Number_6">#REF!</definedName>
    <definedName name="SP4Branch">#REF!</definedName>
    <definedName name="SP4Branch_4">#REF!</definedName>
    <definedName name="SP4Branch_6">#REF!</definedName>
    <definedName name="SP4Credit">#REF!</definedName>
    <definedName name="SP4Credit_4">#REF!</definedName>
    <definedName name="SP4Credit_6">#REF!</definedName>
    <definedName name="SP4Name">#REF!</definedName>
    <definedName name="SP4Name_4">#REF!</definedName>
    <definedName name="SP4Name_6">#REF!</definedName>
    <definedName name="SP4Number">#REF!</definedName>
    <definedName name="SP4Number_4">#REF!</definedName>
    <definedName name="SP4Number_6">#REF!</definedName>
    <definedName name="SP5Branch">#REF!</definedName>
    <definedName name="SP5Branch_4">#REF!</definedName>
    <definedName name="SP5Branch_6">#REF!</definedName>
    <definedName name="SP5Credit">#REF!</definedName>
    <definedName name="SP5Credit_4">#REF!</definedName>
    <definedName name="SP5Credit_6">#REF!</definedName>
    <definedName name="SP5Name">#REF!</definedName>
    <definedName name="SP5Name_4">#REF!</definedName>
    <definedName name="SP5Name_6">#REF!</definedName>
    <definedName name="SP5Number">#REF!</definedName>
    <definedName name="SP5Number_4">#REF!</definedName>
    <definedName name="SP5Number_6">#REF!</definedName>
    <definedName name="spares">#REF!</definedName>
    <definedName name="SpecClass">#REF!</definedName>
    <definedName name="SpecClass_4">#REF!</definedName>
    <definedName name="SpecClass_6">#REF!</definedName>
    <definedName name="SpecClass_Text">#REF!</definedName>
    <definedName name="SpecClass_Text_4">#REF!</definedName>
    <definedName name="SpecClass_Text_6">#REF!</definedName>
    <definedName name="SpecEnv1">#REF!</definedName>
    <definedName name="SpecEnv1_4">#REF!</definedName>
    <definedName name="SpecEnv1_6">#REF!</definedName>
    <definedName name="SpecEnv1_Text">#REF!</definedName>
    <definedName name="SpecEnv1_Text_4">#REF!</definedName>
    <definedName name="SpecEnv1_Text_6">#REF!</definedName>
    <definedName name="SpecEnv2">#REF!</definedName>
    <definedName name="SpecEnv2_4">#REF!</definedName>
    <definedName name="SpecEnv2_6">#REF!</definedName>
    <definedName name="SpecEnv2_Text">#REF!</definedName>
    <definedName name="SpecEnv2_Text_4">#REF!</definedName>
    <definedName name="SpecEnv2_Text_6">#REF!</definedName>
    <definedName name="SPLR">#REF!</definedName>
    <definedName name="SPLR_4">#REF!</definedName>
    <definedName name="SPLR_6">#REF!</definedName>
    <definedName name="sprare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DATE(YEAR(#REF!),MONTH(#REF!)+Payment_Number,DAY(#REF!))</definedName>
    <definedName name="SR_NO.">#REF!</definedName>
    <definedName name="srasf">#REF!</definedName>
    <definedName name="SRRRRR">#REF!</definedName>
    <definedName name="SrvcCode1">#REF!</definedName>
    <definedName name="SrvcCode1_4">#REF!</definedName>
    <definedName name="SrvcCode1_6">#REF!</definedName>
    <definedName name="SrvcCode1_Text">#REF!</definedName>
    <definedName name="SrvcCode1_Text_4">#REF!</definedName>
    <definedName name="SrvcCode1_Text_6">#REF!</definedName>
    <definedName name="SrvcCode2">#REF!</definedName>
    <definedName name="SrvcCode2_4">#REF!</definedName>
    <definedName name="SrvcCode2_6">#REF!</definedName>
    <definedName name="SrvcCode2_Text">#REF!</definedName>
    <definedName name="SrvcCode2_Text_4">#REF!</definedName>
    <definedName name="SrvcCode2_Text_6">#REF!</definedName>
    <definedName name="SrvcCode3">#REF!</definedName>
    <definedName name="SrvcCode3_4">#REF!</definedName>
    <definedName name="SrvcCode3_6">#REF!</definedName>
    <definedName name="SrvcCode3_Text">#REF!</definedName>
    <definedName name="SrvcCode3_Text_4">#REF!</definedName>
    <definedName name="SrvcCode3_Text_6">#REF!</definedName>
    <definedName name="SrvcCode4">#REF!</definedName>
    <definedName name="SrvcCode4_4">#REF!</definedName>
    <definedName name="SrvcCode4_6">#REF!</definedName>
    <definedName name="SrvcCode4_Text">#REF!</definedName>
    <definedName name="SrvcCode4_Text_4">#REF!</definedName>
    <definedName name="SrvcCode4_Text_6">#REF!</definedName>
    <definedName name="SrvcCode5">#REF!</definedName>
    <definedName name="SrvcCode5_4">#REF!</definedName>
    <definedName name="SrvcCode5_6">#REF!</definedName>
    <definedName name="SrvcCode5_Text">#REF!</definedName>
    <definedName name="SrvcCode5_Text_4">#REF!</definedName>
    <definedName name="SrvcCode5_Text_6">#REF!</definedName>
    <definedName name="ss">#REF!</definedName>
    <definedName name="ssa">#REF!</definedName>
    <definedName name="ssfsfsf">#REF!</definedName>
    <definedName name="ssfss">#REF!</definedName>
    <definedName name="ssfssf">#REF!</definedName>
    <definedName name="sss">#REF!</definedName>
    <definedName name="sssdsf">#REF!</definedName>
    <definedName name="sssss" hidden="1">#REF!</definedName>
    <definedName name="SSWEWE" hidden="1">#REF!</definedName>
    <definedName name="ST">#REF!</definedName>
    <definedName name="staffing">#REF!</definedName>
    <definedName name="Stage">#REF!</definedName>
    <definedName name="Staircase">#REF!</definedName>
    <definedName name="Staircase2">#REF!</definedName>
    <definedName name="Start_Date">#REF!</definedName>
    <definedName name="StartDate">#REF!</definedName>
    <definedName name="StartDate_4">#REF!</definedName>
    <definedName name="StartDate_6">#REF!</definedName>
    <definedName name="steel">#REF!</definedName>
    <definedName name="steelc.b.d">#REF!</definedName>
    <definedName name="stetr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">#REF!</definedName>
    <definedName name="stoolag08">#REF!</definedName>
    <definedName name="stoolag50">#REF!</definedName>
    <definedName name="stoolag81">#REF!</definedName>
    <definedName name="StrID">#REF!</definedName>
    <definedName name="structure">#REF!</definedName>
    <definedName name="stt">#REF!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ject">#REF!</definedName>
    <definedName name="SUMMARY">#REF!</definedName>
    <definedName name="suresh">#REF!</definedName>
    <definedName name="SURYA">#REF!</definedName>
    <definedName name="sushma">#REF!</definedName>
    <definedName name="swf">#REF!</definedName>
    <definedName name="swf_4">#REF!</definedName>
    <definedName name="swf_6">#REF!</definedName>
    <definedName name="swimmingpool">#REF!</definedName>
    <definedName name="sysysey">Scheduled_Payment+Extra_Payment</definedName>
    <definedName name="sytey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ysysy">#N/A</definedName>
    <definedName name="t">#REF!</definedName>
    <definedName name="t___0">#REF!</definedName>
    <definedName name="t___13">#REF!</definedName>
    <definedName name="T0">#REF!</definedName>
    <definedName name="TA_1">#REF!</definedName>
    <definedName name="TA_2">#REF!</definedName>
    <definedName name="Table">#REF!</definedName>
    <definedName name="table1">#REF!</definedName>
    <definedName name="TABLE2">#REF!</definedName>
    <definedName name="table3">#REF!</definedName>
    <definedName name="TABLE4">#REF!</definedName>
    <definedName name="TableRange">#REF!</definedName>
    <definedName name="ta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llu">#REF!</definedName>
    <definedName name="tally">#REF!</definedName>
    <definedName name="tc">#REF!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CHI">#REF!</definedName>
    <definedName name="TechnoSpace">#REF!</definedName>
    <definedName name="tee">#REF!</definedName>
    <definedName name="tel">#REF!</definedName>
    <definedName name="TELEVISION">#REF!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ND">#REF!</definedName>
    <definedName name="TEs">#REF!</definedName>
    <definedName name="TEs___0">#REF!</definedName>
    <definedName name="TEs___13">#REF!</definedName>
    <definedName name="testse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t">#REF!</definedName>
    <definedName name="TEt___0">#REF!</definedName>
    <definedName name="TEt___13">#REF!</definedName>
    <definedName name="TF">#REF!</definedName>
    <definedName name="TFL">#REF!</definedName>
    <definedName name="TierCode">#REF!</definedName>
    <definedName name="TierCode_4">#REF!</definedName>
    <definedName name="TierCode_6">#REF!</definedName>
    <definedName name="TierCode_Text">#REF!</definedName>
    <definedName name="TierCode_Text_4">#REF!</definedName>
    <definedName name="TierCode_Text_6">#REF!</definedName>
    <definedName name="tileaq">#REF!</definedName>
    <definedName name="Timberstep">#REF!</definedName>
    <definedName name="Title">#REF!</definedName>
    <definedName name="Title1">#REF!</definedName>
    <definedName name="Title2">#REF!</definedName>
    <definedName name="tol">#REF!</definedName>
    <definedName name="tools">#REF!</definedName>
    <definedName name="tools1">#REF!</definedName>
    <definedName name="topl">#REF!</definedName>
    <definedName name="topn">#REF!</definedName>
    <definedName name="TOTAL_CONSUMPTION">#REF!</definedName>
    <definedName name="Total_Interest">#REF!</definedName>
    <definedName name="Total_Pay">#REF!</definedName>
    <definedName name="Total_Payment">Scheduled_Payment+Extra_Payment</definedName>
    <definedName name="towre">#REF!</definedName>
    <definedName name="tr">#REF!</definedName>
    <definedName name="tranformer" hidden="1">#REF!</definedName>
    <definedName name="TRA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tr">#REF!</definedName>
    <definedName name="tS">#REF!</definedName>
    <definedName name="tS___0">#REF!</definedName>
    <definedName name="tS___13">#REF!</definedName>
    <definedName name="tt">#REF!</definedName>
    <definedName name="ttt" hidden="1">#REF!</definedName>
    <definedName name="tttt">#REF!</definedName>
    <definedName name="ttttt">#REF!</definedName>
    <definedName name="tttttt">#REF!</definedName>
    <definedName name="tttttttt">#REF!</definedName>
    <definedName name="ttttttttt">#REF!</definedName>
    <definedName name="tu">#REF!</definedName>
    <definedName name="TUES1">#REF!</definedName>
    <definedName name="tulip">#REF!</definedName>
    <definedName name="tuti" hidden="1">#REF!</definedName>
    <definedName name="tutyoiou">#N/A</definedName>
    <definedName name="TV">#REF!</definedName>
    <definedName name="TVV">#REF!</definedName>
    <definedName name="ty" hidden="1">#REF!</definedName>
    <definedName name="tyeesgy">#REF!</definedName>
    <definedName name="type">#REF!</definedName>
    <definedName name="Type1">#REF!</definedName>
    <definedName name="Type2">#REF!</definedName>
    <definedName name="Type3">#REF!</definedName>
    <definedName name="tyt">#REF!</definedName>
    <definedName name="tyy">#REF!</definedName>
    <definedName name="u">#REF!</definedName>
    <definedName name="UGF">#REF!</definedName>
    <definedName name="uiui">#REF!</definedName>
    <definedName name="uiyo">#REF!</definedName>
    <definedName name="UNITS">#REF!</definedName>
    <definedName name="unsecured">#REF!</definedName>
    <definedName name="usd">#REF!</definedName>
    <definedName name="Use_Alternates">#REF!</definedName>
    <definedName name="uu">#REF!</definedName>
    <definedName name="uuu">#REF!</definedName>
    <definedName name="uuuuuuuu">#REF!</definedName>
    <definedName name="uyiui">#REF!</definedName>
    <definedName name="va">#REF!</definedName>
    <definedName name="va___0">#REF!</definedName>
    <definedName name="va___13">#REF!</definedName>
    <definedName name="VA_1">#REF!</definedName>
    <definedName name="VA_2">#REF!</definedName>
    <definedName name="VA_3">#REF!</definedName>
    <definedName name="VADODARA_________________________________CLIENT_______________M_s">#REF!</definedName>
    <definedName name="vahas">#REF!</definedName>
    <definedName name="Values_Entered">IF(Loan_Amount*Interest_Rate*Loan_Years*Loan_Start&gt;0,1,0)</definedName>
    <definedName name="VANDEMATARAM">#REF!</definedName>
    <definedName name="variance">#REF!</definedName>
    <definedName name="variance..">#REF!</definedName>
    <definedName name="vatf">#REF!</definedName>
    <definedName name="vatf_4">#REF!</definedName>
    <definedName name="vatf_6">#REF!</definedName>
    <definedName name="VB">#REF!</definedName>
    <definedName name="vbv">#REF!</definedName>
    <definedName name="vbvb">#REF!</definedName>
    <definedName name="vc">#REF!</definedName>
    <definedName name="VD">#REF!</definedName>
    <definedName name="veh">#REF!</definedName>
    <definedName name="vehicle">#REF!</definedName>
    <definedName name="Velocity_DiCL">#REF!</definedName>
    <definedName name="Velocity_ORD">#REF!</definedName>
    <definedName name="Vend">#REF!</definedName>
    <definedName name="VENEER">#REF!</definedName>
    <definedName name="Vf">#REF!</definedName>
    <definedName name="vgj">#REF!</definedName>
    <definedName name="vijay">#REF!</definedName>
    <definedName name="VIVEKANANDA">#REF!</definedName>
    <definedName name="vjj">#REF!</definedName>
    <definedName name="VNFVBDVFBZDSD">#REF!</definedName>
    <definedName name="Vsigma">#REF!</definedName>
    <definedName name="vv">#REF!</definedName>
    <definedName name="vxckbmjklbgjnklgbmjh" hidden="1">#REF!</definedName>
    <definedName name="Vz">#REF!</definedName>
    <definedName name="w">#REF!</definedName>
    <definedName name="Waiting">"Picture 1"</definedName>
    <definedName name="Water_Proofing">#REF!</definedName>
    <definedName name="wdf">#REF!</definedName>
    <definedName name="we">#REF!</definedName>
    <definedName name="wee">#REF!</definedName>
    <definedName name="werwe">#REF!</definedName>
    <definedName name="wetewt">#REF!</definedName>
    <definedName name="wewe">#REF!</definedName>
    <definedName name="wfrwfrwefw">#REF!</definedName>
    <definedName name="WHITEWOOD">#REF!</definedName>
    <definedName name="wid">#REF!</definedName>
    <definedName name="wip">#REF!</definedName>
    <definedName name="WLP">#REF!</definedName>
    <definedName name="wood1344">#REF!</definedName>
    <definedName name="woodc.b.d">#REF!</definedName>
    <definedName name="woodenflooring">#REF!</definedName>
    <definedName name="work">#REF!</definedName>
    <definedName name="WP">#REF!</definedName>
    <definedName name="wreqwrt">#REF!</definedName>
    <definedName name="wrftw">#REF!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www">#REF!</definedName>
    <definedName name="wtrwwefr">#REF!</definedName>
    <definedName name="ww" hidden="1">#REF!</definedName>
    <definedName name="wwwwww" hidden="1">#REF!</definedName>
    <definedName name="wwwwwwe" hidden="1">#REF!</definedName>
    <definedName name="x">#REF!</definedName>
    <definedName name="xc">#REF!</definedName>
    <definedName name="xcv">#REF!</definedName>
    <definedName name="Xl">#REF!</definedName>
    <definedName name="Xl___0">#REF!</definedName>
    <definedName name="Xl___13">#REF!</definedName>
    <definedName name="x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">#REF!</definedName>
    <definedName name="xy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">#REF!</definedName>
    <definedName name="xzfvv">#REF!</definedName>
    <definedName name="y5ey">#REF!</definedName>
    <definedName name="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ryeruj">#N/A</definedName>
    <definedName name="ystyet">#N/A</definedName>
    <definedName name="ysysyr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>#N/A</definedName>
    <definedName name="ytut">#N/A</definedName>
    <definedName name="y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>#REF!</definedName>
    <definedName name="yuyu">#REF!</definedName>
    <definedName name="ywerteqrt">#REF!</definedName>
    <definedName name="yyy">#REF!</definedName>
    <definedName name="yyyyyyyyyyy">#REF!</definedName>
    <definedName name="z">#REF!</definedName>
    <definedName name="Z_01EEECA8_52E8_4BA6_B221_CB6D3C468C80_.wvu.Cols" hidden="1">#REF!</definedName>
    <definedName name="Z_01EEECA8_52E8_4BA6_B221_CB6D3C468C80_.wvu.FilterData" hidden="1">#REF!</definedName>
    <definedName name="Z_0B3EF283_BAAE_40DA_B109_606B8002D5D4_.wvu.FilterData" hidden="1">#REF!</definedName>
    <definedName name="Z_0C509CAE_4B28_497F_9463_E056D87AE422_.wvu.Rows" hidden="1">#REF!</definedName>
    <definedName name="Z_5A4CDE39_BC84_48C0_8208_6970E7A71896_.wvu.Cols" hidden="1">#REF!,#REF!,#REF!</definedName>
    <definedName name="Z_64FBE21F_D610_4122_B662_C1CA556F0E6B_.wvu.Rows" hidden="1">#REF!,#REF!</definedName>
    <definedName name="Z_67879F2D_A365_4C5F_ACA2_06A222DC585F_.wvu.FilterData" hidden="1">#REF!</definedName>
    <definedName name="Z_6CDCF69B_5AF1_4147_8314_DDC51BBAE13A_.wvu.FilterData" hidden="1">#REF!</definedName>
    <definedName name="Z_821080B5_A53F_46D5_A7A8_C550E9A6DB8E_.wvu.Rows" hidden="1">#REF!</definedName>
    <definedName name="Z_89FC4C3A_6586_42BA_B0E6_F0959042E6A0_.wvu.Rows" hidden="1">#REF!</definedName>
    <definedName name="Z_8FCC9949_BB10_48DD_835F_9D6E68B3AE12_.wvu.PrintTitles" hidden="1">#REF!</definedName>
    <definedName name="Z_8FCC9949_BB10_48DD_835F_9D6E68B3AE12_.wvu.Rows" hidden="1">#REF!,#REF!</definedName>
    <definedName name="Z_97AF8B62_D04D_48F2_A853_93998C7922D6_.wvu.FilterData" hidden="1">#REF!</definedName>
    <definedName name="Z_9F278A40_BF82_4E3D_9E8B_F7A34E58042E_.wvu.FilterData" hidden="1">#REF!</definedName>
    <definedName name="Z_E61184E6_4A82_48AD_BD46_AD03682B9E61_.wvu.Rows" hidden="1">#REF!</definedName>
    <definedName name="Z_EA424862_9DB5_4158_B57E_464B76E20666_.wvu.FilterData" hidden="1">#REF!</definedName>
    <definedName name="Z_F56F135F_44F3_478B_BCC3_5E739B702BEF_.wvu.Cols" hidden="1">#REF!</definedName>
    <definedName name="Z_F56F135F_44F3_478B_BCC3_5E739B702BEF_.wvu.FilterData" hidden="1">#REF!</definedName>
    <definedName name="Z_F56F135F_44F3_478B_BCC3_5E739B702BEF_.wvu.PrintTitles" hidden="1">#REF!,#REF!</definedName>
    <definedName name="ZAS">#REF!</definedName>
    <definedName name="za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e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dgfeg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vzv">#REF!</definedName>
    <definedName name="zx">#REF!</definedName>
    <definedName name="zxv">#REF!</definedName>
    <definedName name="zxvxzcvb">#REF!</definedName>
    <definedName name="ZY">#REF!</definedName>
    <definedName name="ZY___0">#REF!</definedName>
    <definedName name="ZY___13">#REF!</definedName>
    <definedName name="zz">#REF!</definedName>
    <definedName name="zz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" i="1" l="1"/>
  <c r="V3" i="1"/>
  <c r="U3" i="1"/>
  <c r="T3" i="1"/>
  <c r="S3" i="1"/>
  <c r="R3" i="1"/>
  <c r="Q3" i="1"/>
  <c r="Q1632" i="1" l="1"/>
  <c r="O1632" i="1"/>
  <c r="E1632" i="1"/>
  <c r="F1632" i="1" s="1"/>
  <c r="D1632" i="1"/>
  <c r="W1632" i="1" s="1"/>
  <c r="W1631" i="1"/>
  <c r="V1631" i="1"/>
  <c r="U1631" i="1"/>
  <c r="T1631" i="1"/>
  <c r="S1631" i="1"/>
  <c r="R1631" i="1"/>
  <c r="O1631" i="1"/>
  <c r="F1631" i="1"/>
  <c r="W1630" i="1"/>
  <c r="U1630" i="1"/>
  <c r="T1630" i="1"/>
  <c r="S1630" i="1"/>
  <c r="R1630" i="1"/>
  <c r="Q1630" i="1"/>
  <c r="G1630" i="1"/>
  <c r="O1630" i="1" s="1"/>
  <c r="P1630" i="1" s="1"/>
  <c r="V1630" i="1" s="1"/>
  <c r="W1629" i="1"/>
  <c r="V1629" i="1"/>
  <c r="U1629" i="1"/>
  <c r="S1629" i="1"/>
  <c r="R1629" i="1"/>
  <c r="Q1629" i="1"/>
  <c r="G1629" i="1"/>
  <c r="O1629" i="1" s="1"/>
  <c r="P1629" i="1" s="1"/>
  <c r="T1629" i="1" s="1"/>
  <c r="X1629" i="1" s="1"/>
  <c r="W1628" i="1"/>
  <c r="U1628" i="1"/>
  <c r="T1628" i="1"/>
  <c r="S1628" i="1"/>
  <c r="R1628" i="1"/>
  <c r="Q1628" i="1"/>
  <c r="G1628" i="1"/>
  <c r="O1628" i="1" s="1"/>
  <c r="P1628" i="1" s="1"/>
  <c r="V1628" i="1" s="1"/>
  <c r="M1627" i="1"/>
  <c r="L1627" i="1"/>
  <c r="K1627" i="1"/>
  <c r="J1627" i="1"/>
  <c r="N1627" i="1" s="1"/>
  <c r="I1627" i="1"/>
  <c r="H1627" i="1"/>
  <c r="U1626" i="1"/>
  <c r="S1626" i="1"/>
  <c r="O1626" i="1"/>
  <c r="E1626" i="1"/>
  <c r="F1626" i="1" s="1"/>
  <c r="D1626" i="1"/>
  <c r="W1626" i="1" s="1"/>
  <c r="W1625" i="1"/>
  <c r="V1625" i="1"/>
  <c r="U1625" i="1"/>
  <c r="T1625" i="1"/>
  <c r="S1625" i="1"/>
  <c r="Q1625" i="1"/>
  <c r="O1625" i="1"/>
  <c r="F1625" i="1"/>
  <c r="W1624" i="1"/>
  <c r="U1624" i="1"/>
  <c r="T1624" i="1"/>
  <c r="S1624" i="1"/>
  <c r="R1624" i="1"/>
  <c r="Q1624" i="1"/>
  <c r="G1624" i="1"/>
  <c r="O1624" i="1" s="1"/>
  <c r="P1624" i="1" s="1"/>
  <c r="V1624" i="1" s="1"/>
  <c r="W1623" i="1"/>
  <c r="V1623" i="1"/>
  <c r="U1623" i="1"/>
  <c r="S1623" i="1"/>
  <c r="R1623" i="1"/>
  <c r="Q1623" i="1"/>
  <c r="G1623" i="1"/>
  <c r="O1623" i="1" s="1"/>
  <c r="P1623" i="1" s="1"/>
  <c r="T1623" i="1" s="1"/>
  <c r="W1622" i="1"/>
  <c r="U1622" i="1"/>
  <c r="T1622" i="1"/>
  <c r="S1622" i="1"/>
  <c r="R1622" i="1"/>
  <c r="Q1622" i="1"/>
  <c r="G1622" i="1"/>
  <c r="O1622" i="1" s="1"/>
  <c r="P1622" i="1" s="1"/>
  <c r="V1622" i="1" s="1"/>
  <c r="M1621" i="1"/>
  <c r="L1621" i="1"/>
  <c r="K1621" i="1"/>
  <c r="I1621" i="1"/>
  <c r="H1621" i="1"/>
  <c r="J1621" i="1" s="1"/>
  <c r="N1621" i="1" s="1"/>
  <c r="O1620" i="1"/>
  <c r="E1620" i="1"/>
  <c r="F1620" i="1" s="1"/>
  <c r="P1620" i="1" s="1"/>
  <c r="D1620" i="1"/>
  <c r="W1619" i="1"/>
  <c r="V1619" i="1"/>
  <c r="U1619" i="1"/>
  <c r="T1619" i="1"/>
  <c r="S1619" i="1"/>
  <c r="Q1619" i="1"/>
  <c r="O1619" i="1"/>
  <c r="P1619" i="1" s="1"/>
  <c r="R1619" i="1" s="1"/>
  <c r="F1619" i="1"/>
  <c r="W1618" i="1"/>
  <c r="U1618" i="1"/>
  <c r="T1618" i="1"/>
  <c r="S1618" i="1"/>
  <c r="R1618" i="1"/>
  <c r="Q1618" i="1"/>
  <c r="O1618" i="1"/>
  <c r="P1618" i="1" s="1"/>
  <c r="V1618" i="1" s="1"/>
  <c r="G1618" i="1"/>
  <c r="W1617" i="1"/>
  <c r="V1617" i="1"/>
  <c r="U1617" i="1"/>
  <c r="S1617" i="1"/>
  <c r="R1617" i="1"/>
  <c r="Q1617" i="1"/>
  <c r="G1617" i="1"/>
  <c r="O1617" i="1" s="1"/>
  <c r="P1617" i="1" s="1"/>
  <c r="T1617" i="1" s="1"/>
  <c r="W1616" i="1"/>
  <c r="U1616" i="1"/>
  <c r="T1616" i="1"/>
  <c r="S1616" i="1"/>
  <c r="R1616" i="1"/>
  <c r="Q1616" i="1"/>
  <c r="G1616" i="1"/>
  <c r="O1616" i="1" s="1"/>
  <c r="P1616" i="1" s="1"/>
  <c r="V1616" i="1" s="1"/>
  <c r="M1615" i="1"/>
  <c r="L1615" i="1"/>
  <c r="K1615" i="1"/>
  <c r="I1615" i="1"/>
  <c r="H1615" i="1"/>
  <c r="J1615" i="1" s="1"/>
  <c r="N1615" i="1" s="1"/>
  <c r="T1614" i="1"/>
  <c r="O1614" i="1"/>
  <c r="P1614" i="1" s="1"/>
  <c r="E1614" i="1"/>
  <c r="F1614" i="1" s="1"/>
  <c r="D1614" i="1"/>
  <c r="E1613" i="1"/>
  <c r="F1613" i="1" s="1"/>
  <c r="T1612" i="1"/>
  <c r="S1612" i="1"/>
  <c r="E1612" i="1"/>
  <c r="F1612" i="1" s="1"/>
  <c r="D1612" i="1"/>
  <c r="F1611" i="1"/>
  <c r="D1611" i="1"/>
  <c r="W1610" i="1"/>
  <c r="V1610" i="1"/>
  <c r="U1610" i="1"/>
  <c r="T1610" i="1"/>
  <c r="S1610" i="1"/>
  <c r="Q1610" i="1"/>
  <c r="O1610" i="1"/>
  <c r="P1610" i="1" s="1"/>
  <c r="R1610" i="1" s="1"/>
  <c r="F1610" i="1"/>
  <c r="W1609" i="1"/>
  <c r="U1609" i="1"/>
  <c r="T1609" i="1"/>
  <c r="S1609" i="1"/>
  <c r="R1609" i="1"/>
  <c r="Q1609" i="1"/>
  <c r="G1609" i="1"/>
  <c r="O1609" i="1" s="1"/>
  <c r="P1609" i="1" s="1"/>
  <c r="V1609" i="1" s="1"/>
  <c r="W1608" i="1"/>
  <c r="U1608" i="1"/>
  <c r="T1608" i="1"/>
  <c r="S1608" i="1"/>
  <c r="R1608" i="1"/>
  <c r="Q1608" i="1"/>
  <c r="G1608" i="1"/>
  <c r="O1608" i="1" s="1"/>
  <c r="P1608" i="1" s="1"/>
  <c r="V1608" i="1" s="1"/>
  <c r="M1607" i="1"/>
  <c r="L1607" i="1"/>
  <c r="K1607" i="1"/>
  <c r="I1607" i="1"/>
  <c r="H1607" i="1"/>
  <c r="J1607" i="1" s="1"/>
  <c r="N1607" i="1" s="1"/>
  <c r="O1606" i="1"/>
  <c r="P1606" i="1" s="1"/>
  <c r="F1606" i="1"/>
  <c r="E1606" i="1"/>
  <c r="D1606" i="1"/>
  <c r="U1606" i="1" s="1"/>
  <c r="T1605" i="1"/>
  <c r="Q1605" i="1"/>
  <c r="F1605" i="1"/>
  <c r="E1605" i="1"/>
  <c r="D1605" i="1"/>
  <c r="W1605" i="1" s="1"/>
  <c r="W1604" i="1"/>
  <c r="U1604" i="1"/>
  <c r="T1604" i="1"/>
  <c r="Q1604" i="1"/>
  <c r="O1604" i="1"/>
  <c r="E1604" i="1"/>
  <c r="F1604" i="1" s="1"/>
  <c r="D1604" i="1"/>
  <c r="S1604" i="1" s="1"/>
  <c r="W1603" i="1"/>
  <c r="U1603" i="1"/>
  <c r="T1603" i="1"/>
  <c r="Q1603" i="1"/>
  <c r="O1603" i="1"/>
  <c r="F1603" i="1"/>
  <c r="D1603" i="1"/>
  <c r="S1603" i="1" s="1"/>
  <c r="W1602" i="1"/>
  <c r="V1602" i="1"/>
  <c r="U1602" i="1"/>
  <c r="T1602" i="1"/>
  <c r="S1602" i="1"/>
  <c r="Q1602" i="1"/>
  <c r="O1602" i="1"/>
  <c r="P1602" i="1" s="1"/>
  <c r="R1602" i="1" s="1"/>
  <c r="F1602" i="1"/>
  <c r="W1601" i="1"/>
  <c r="V1601" i="1"/>
  <c r="U1601" i="1"/>
  <c r="T1601" i="1"/>
  <c r="S1601" i="1"/>
  <c r="R1601" i="1"/>
  <c r="Q1601" i="1"/>
  <c r="O1601" i="1"/>
  <c r="P1601" i="1" s="1"/>
  <c r="G1601" i="1"/>
  <c r="W1600" i="1"/>
  <c r="U1600" i="1"/>
  <c r="T1600" i="1"/>
  <c r="S1600" i="1"/>
  <c r="R1600" i="1"/>
  <c r="Q1600" i="1"/>
  <c r="O1600" i="1"/>
  <c r="P1600" i="1" s="1"/>
  <c r="V1600" i="1" s="1"/>
  <c r="G1600" i="1"/>
  <c r="M1599" i="1"/>
  <c r="L1599" i="1"/>
  <c r="K1599" i="1"/>
  <c r="I1599" i="1"/>
  <c r="H1599" i="1"/>
  <c r="J1599" i="1" s="1"/>
  <c r="N1599" i="1" s="1"/>
  <c r="O1598" i="1"/>
  <c r="F1598" i="1"/>
  <c r="P1598" i="1" s="1"/>
  <c r="E1598" i="1"/>
  <c r="D1598" i="1"/>
  <c r="F1597" i="1"/>
  <c r="E1597" i="1"/>
  <c r="D1597" i="1"/>
  <c r="U1597" i="1" s="1"/>
  <c r="W1596" i="1"/>
  <c r="V1596" i="1"/>
  <c r="U1596" i="1"/>
  <c r="T1596" i="1"/>
  <c r="S1596" i="1"/>
  <c r="Q1596" i="1"/>
  <c r="O1596" i="1"/>
  <c r="P1596" i="1" s="1"/>
  <c r="R1596" i="1" s="1"/>
  <c r="F1596" i="1"/>
  <c r="W1595" i="1"/>
  <c r="U1595" i="1"/>
  <c r="T1595" i="1"/>
  <c r="S1595" i="1"/>
  <c r="R1595" i="1"/>
  <c r="Q1595" i="1"/>
  <c r="G1595" i="1"/>
  <c r="O1595" i="1" s="1"/>
  <c r="P1595" i="1" s="1"/>
  <c r="V1595" i="1" s="1"/>
  <c r="W1594" i="1"/>
  <c r="U1594" i="1"/>
  <c r="T1594" i="1"/>
  <c r="S1594" i="1"/>
  <c r="R1594" i="1"/>
  <c r="Q1594" i="1"/>
  <c r="X1594" i="1" s="1"/>
  <c r="G1594" i="1"/>
  <c r="O1594" i="1" s="1"/>
  <c r="P1594" i="1" s="1"/>
  <c r="V1594" i="1" s="1"/>
  <c r="M1593" i="1"/>
  <c r="L1593" i="1"/>
  <c r="K1593" i="1"/>
  <c r="J1593" i="1"/>
  <c r="N1593" i="1" s="1"/>
  <c r="I1593" i="1"/>
  <c r="H1593" i="1"/>
  <c r="O1592" i="1"/>
  <c r="E1592" i="1"/>
  <c r="F1592" i="1" s="1"/>
  <c r="D1592" i="1"/>
  <c r="E1591" i="1"/>
  <c r="F1591" i="1" s="1"/>
  <c r="D1591" i="1"/>
  <c r="W1590" i="1"/>
  <c r="V1590" i="1"/>
  <c r="U1590" i="1"/>
  <c r="T1590" i="1"/>
  <c r="S1590" i="1"/>
  <c r="Q1590" i="1"/>
  <c r="O1590" i="1"/>
  <c r="F1590" i="1"/>
  <c r="P1590" i="1" s="1"/>
  <c r="R1590" i="1" s="1"/>
  <c r="W1589" i="1"/>
  <c r="U1589" i="1"/>
  <c r="T1589" i="1"/>
  <c r="S1589" i="1"/>
  <c r="R1589" i="1"/>
  <c r="Q1589" i="1"/>
  <c r="G1589" i="1"/>
  <c r="O1589" i="1" s="1"/>
  <c r="P1589" i="1" s="1"/>
  <c r="V1589" i="1" s="1"/>
  <c r="W1588" i="1"/>
  <c r="U1588" i="1"/>
  <c r="T1588" i="1"/>
  <c r="S1588" i="1"/>
  <c r="R1588" i="1"/>
  <c r="Q1588" i="1"/>
  <c r="G1588" i="1"/>
  <c r="O1588" i="1" s="1"/>
  <c r="P1588" i="1" s="1"/>
  <c r="V1588" i="1" s="1"/>
  <c r="M1587" i="1"/>
  <c r="L1587" i="1"/>
  <c r="K1587" i="1"/>
  <c r="I1587" i="1"/>
  <c r="H1587" i="1"/>
  <c r="J1587" i="1" s="1"/>
  <c r="N1587" i="1" s="1"/>
  <c r="W1586" i="1"/>
  <c r="R1586" i="1"/>
  <c r="Q1586" i="1"/>
  <c r="O1586" i="1"/>
  <c r="E1586" i="1"/>
  <c r="F1586" i="1" s="1"/>
  <c r="D1586" i="1"/>
  <c r="S1586" i="1" s="1"/>
  <c r="F1585" i="1"/>
  <c r="E1585" i="1"/>
  <c r="D1585" i="1"/>
  <c r="T1585" i="1" s="1"/>
  <c r="W1584" i="1"/>
  <c r="V1584" i="1"/>
  <c r="U1584" i="1"/>
  <c r="T1584" i="1"/>
  <c r="S1584" i="1"/>
  <c r="R1584" i="1"/>
  <c r="O1584" i="1"/>
  <c r="P1584" i="1" s="1"/>
  <c r="Q1584" i="1" s="1"/>
  <c r="F1584" i="1"/>
  <c r="W1583" i="1"/>
  <c r="U1583" i="1"/>
  <c r="T1583" i="1"/>
  <c r="S1583" i="1"/>
  <c r="R1583" i="1"/>
  <c r="Q1583" i="1"/>
  <c r="P1583" i="1"/>
  <c r="V1583" i="1" s="1"/>
  <c r="O1583" i="1"/>
  <c r="G1583" i="1"/>
  <c r="W1582" i="1"/>
  <c r="U1582" i="1"/>
  <c r="T1582" i="1"/>
  <c r="S1582" i="1"/>
  <c r="R1582" i="1"/>
  <c r="Q1582" i="1"/>
  <c r="O1582" i="1"/>
  <c r="P1582" i="1" s="1"/>
  <c r="V1582" i="1" s="1"/>
  <c r="G1582" i="1"/>
  <c r="M1581" i="1"/>
  <c r="L1581" i="1"/>
  <c r="K1581" i="1"/>
  <c r="I1581" i="1"/>
  <c r="H1581" i="1"/>
  <c r="J1581" i="1" s="1"/>
  <c r="N1581" i="1" s="1"/>
  <c r="W1580" i="1"/>
  <c r="U1580" i="1"/>
  <c r="S1580" i="1"/>
  <c r="R1580" i="1"/>
  <c r="Q1580" i="1"/>
  <c r="O1580" i="1"/>
  <c r="E1580" i="1"/>
  <c r="F1580" i="1" s="1"/>
  <c r="D1580" i="1"/>
  <c r="T1580" i="1" s="1"/>
  <c r="W1579" i="1"/>
  <c r="R1579" i="1"/>
  <c r="F1579" i="1"/>
  <c r="E1579" i="1"/>
  <c r="D1579" i="1"/>
  <c r="V1579" i="1" s="1"/>
  <c r="W1578" i="1"/>
  <c r="V1578" i="1"/>
  <c r="U1578" i="1"/>
  <c r="T1578" i="1"/>
  <c r="S1578" i="1"/>
  <c r="R1578" i="1"/>
  <c r="O1578" i="1"/>
  <c r="F1578" i="1"/>
  <c r="W1577" i="1"/>
  <c r="U1577" i="1"/>
  <c r="T1577" i="1"/>
  <c r="S1577" i="1"/>
  <c r="R1577" i="1"/>
  <c r="Q1577" i="1"/>
  <c r="O1577" i="1"/>
  <c r="P1577" i="1" s="1"/>
  <c r="V1577" i="1" s="1"/>
  <c r="G1577" i="1"/>
  <c r="W1576" i="1"/>
  <c r="U1576" i="1"/>
  <c r="X1576" i="1" s="1"/>
  <c r="T1576" i="1"/>
  <c r="S1576" i="1"/>
  <c r="R1576" i="1"/>
  <c r="Q1576" i="1"/>
  <c r="G1576" i="1"/>
  <c r="O1576" i="1" s="1"/>
  <c r="P1576" i="1" s="1"/>
  <c r="V1576" i="1" s="1"/>
  <c r="M1575" i="1"/>
  <c r="L1575" i="1"/>
  <c r="K1575" i="1"/>
  <c r="I1575" i="1"/>
  <c r="H1575" i="1"/>
  <c r="J1575" i="1" s="1"/>
  <c r="N1575" i="1" s="1"/>
  <c r="R1574" i="1"/>
  <c r="O1574" i="1"/>
  <c r="P1574" i="1" s="1"/>
  <c r="E1574" i="1"/>
  <c r="F1574" i="1" s="1"/>
  <c r="D1574" i="1"/>
  <c r="T1574" i="1" s="1"/>
  <c r="V1573" i="1"/>
  <c r="U1573" i="1"/>
  <c r="T1573" i="1"/>
  <c r="R1573" i="1"/>
  <c r="Q1573" i="1"/>
  <c r="O1573" i="1"/>
  <c r="E1573" i="1"/>
  <c r="F1573" i="1" s="1"/>
  <c r="D1573" i="1"/>
  <c r="W1573" i="1" s="1"/>
  <c r="W1572" i="1"/>
  <c r="V1572" i="1"/>
  <c r="U1572" i="1"/>
  <c r="T1572" i="1"/>
  <c r="R1572" i="1"/>
  <c r="Q1572" i="1"/>
  <c r="O1572" i="1"/>
  <c r="P1572" i="1" s="1"/>
  <c r="S1572" i="1" s="1"/>
  <c r="F1572" i="1"/>
  <c r="W1571" i="1"/>
  <c r="U1571" i="1"/>
  <c r="T1571" i="1"/>
  <c r="S1571" i="1"/>
  <c r="R1571" i="1"/>
  <c r="Q1571" i="1"/>
  <c r="G1571" i="1"/>
  <c r="O1571" i="1" s="1"/>
  <c r="P1571" i="1" s="1"/>
  <c r="V1571" i="1" s="1"/>
  <c r="W1570" i="1"/>
  <c r="U1570" i="1"/>
  <c r="T1570" i="1"/>
  <c r="S1570" i="1"/>
  <c r="R1570" i="1"/>
  <c r="Q1570" i="1"/>
  <c r="G1570" i="1"/>
  <c r="O1570" i="1" s="1"/>
  <c r="P1570" i="1" s="1"/>
  <c r="V1570" i="1" s="1"/>
  <c r="W1569" i="1"/>
  <c r="U1569" i="1"/>
  <c r="T1569" i="1"/>
  <c r="S1569" i="1"/>
  <c r="R1569" i="1"/>
  <c r="Q1569" i="1"/>
  <c r="P1569" i="1"/>
  <c r="V1569" i="1" s="1"/>
  <c r="G1569" i="1"/>
  <c r="O1569" i="1" s="1"/>
  <c r="W1568" i="1"/>
  <c r="U1568" i="1"/>
  <c r="T1568" i="1"/>
  <c r="S1568" i="1"/>
  <c r="R1568" i="1"/>
  <c r="Q1568" i="1"/>
  <c r="G1568" i="1"/>
  <c r="O1568" i="1" s="1"/>
  <c r="P1568" i="1" s="1"/>
  <c r="V1568" i="1" s="1"/>
  <c r="N1567" i="1"/>
  <c r="M1567" i="1"/>
  <c r="L1567" i="1"/>
  <c r="K1567" i="1"/>
  <c r="I1567" i="1"/>
  <c r="H1567" i="1"/>
  <c r="J1567" i="1" s="1"/>
  <c r="Q1566" i="1"/>
  <c r="O1566" i="1"/>
  <c r="F1566" i="1"/>
  <c r="P1566" i="1" s="1"/>
  <c r="E1566" i="1"/>
  <c r="D1566" i="1"/>
  <c r="R1565" i="1"/>
  <c r="O1565" i="1"/>
  <c r="P1565" i="1" s="1"/>
  <c r="E1565" i="1"/>
  <c r="F1565" i="1" s="1"/>
  <c r="D1565" i="1"/>
  <c r="W1564" i="1"/>
  <c r="V1564" i="1"/>
  <c r="U1564" i="1"/>
  <c r="T1564" i="1"/>
  <c r="R1564" i="1"/>
  <c r="Q1564" i="1"/>
  <c r="O1564" i="1"/>
  <c r="F1564" i="1"/>
  <c r="X1563" i="1"/>
  <c r="W1563" i="1"/>
  <c r="U1563" i="1"/>
  <c r="T1563" i="1"/>
  <c r="S1563" i="1"/>
  <c r="R1563" i="1"/>
  <c r="Q1563" i="1"/>
  <c r="G1563" i="1"/>
  <c r="O1563" i="1" s="1"/>
  <c r="P1563" i="1" s="1"/>
  <c r="V1563" i="1" s="1"/>
  <c r="W1562" i="1"/>
  <c r="U1562" i="1"/>
  <c r="T1562" i="1"/>
  <c r="S1562" i="1"/>
  <c r="R1562" i="1"/>
  <c r="Q1562" i="1"/>
  <c r="G1562" i="1"/>
  <c r="O1562" i="1" s="1"/>
  <c r="P1562" i="1" s="1"/>
  <c r="V1562" i="1" s="1"/>
  <c r="W1561" i="1"/>
  <c r="U1561" i="1"/>
  <c r="T1561" i="1"/>
  <c r="S1561" i="1"/>
  <c r="R1561" i="1"/>
  <c r="Q1561" i="1"/>
  <c r="O1561" i="1"/>
  <c r="P1561" i="1" s="1"/>
  <c r="V1561" i="1" s="1"/>
  <c r="G1561" i="1"/>
  <c r="W1560" i="1"/>
  <c r="V1560" i="1"/>
  <c r="U1560" i="1"/>
  <c r="T1560" i="1"/>
  <c r="S1560" i="1"/>
  <c r="R1560" i="1"/>
  <c r="Q1560" i="1"/>
  <c r="G1560" i="1"/>
  <c r="O1560" i="1" s="1"/>
  <c r="P1560" i="1" s="1"/>
  <c r="M1559" i="1"/>
  <c r="L1559" i="1"/>
  <c r="K1559" i="1"/>
  <c r="I1559" i="1"/>
  <c r="H1559" i="1"/>
  <c r="J1559" i="1" s="1"/>
  <c r="N1559" i="1" s="1"/>
  <c r="Q1558" i="1"/>
  <c r="O1558" i="1"/>
  <c r="F1558" i="1"/>
  <c r="E1558" i="1"/>
  <c r="D1558" i="1"/>
  <c r="W1558" i="1" s="1"/>
  <c r="E1557" i="1"/>
  <c r="F1557" i="1" s="1"/>
  <c r="E1556" i="1"/>
  <c r="F1556" i="1" s="1"/>
  <c r="D1556" i="1"/>
  <c r="S1555" i="1"/>
  <c r="F1555" i="1"/>
  <c r="D1555" i="1"/>
  <c r="D1557" i="1" s="1"/>
  <c r="W1554" i="1"/>
  <c r="V1554" i="1"/>
  <c r="U1554" i="1"/>
  <c r="T1554" i="1"/>
  <c r="S1554" i="1"/>
  <c r="Q1554" i="1"/>
  <c r="O1554" i="1"/>
  <c r="F1554" i="1"/>
  <c r="P1554" i="1" s="1"/>
  <c r="R1554" i="1" s="1"/>
  <c r="W1553" i="1"/>
  <c r="U1553" i="1"/>
  <c r="T1553" i="1"/>
  <c r="S1553" i="1"/>
  <c r="R1553" i="1"/>
  <c r="Q1553" i="1"/>
  <c r="P1553" i="1"/>
  <c r="V1553" i="1" s="1"/>
  <c r="G1553" i="1"/>
  <c r="O1553" i="1" s="1"/>
  <c r="W1552" i="1"/>
  <c r="U1552" i="1"/>
  <c r="T1552" i="1"/>
  <c r="S1552" i="1"/>
  <c r="R1552" i="1"/>
  <c r="Q1552" i="1"/>
  <c r="G1552" i="1"/>
  <c r="O1552" i="1" s="1"/>
  <c r="P1552" i="1" s="1"/>
  <c r="V1552" i="1" s="1"/>
  <c r="W1551" i="1"/>
  <c r="V1551" i="1"/>
  <c r="T1551" i="1"/>
  <c r="S1551" i="1"/>
  <c r="R1551" i="1"/>
  <c r="Q1551" i="1"/>
  <c r="G1551" i="1"/>
  <c r="O1551" i="1" s="1"/>
  <c r="P1551" i="1" s="1"/>
  <c r="U1551" i="1" s="1"/>
  <c r="W1550" i="1"/>
  <c r="V1550" i="1"/>
  <c r="T1550" i="1"/>
  <c r="S1550" i="1"/>
  <c r="R1550" i="1"/>
  <c r="Q1550" i="1"/>
  <c r="G1550" i="1"/>
  <c r="O1550" i="1" s="1"/>
  <c r="P1550" i="1" s="1"/>
  <c r="U1550" i="1" s="1"/>
  <c r="N1549" i="1"/>
  <c r="M1549" i="1"/>
  <c r="L1549" i="1"/>
  <c r="K1549" i="1"/>
  <c r="I1549" i="1"/>
  <c r="H1549" i="1"/>
  <c r="J1549" i="1" s="1"/>
  <c r="W1548" i="1"/>
  <c r="T1548" i="1"/>
  <c r="O1548" i="1"/>
  <c r="E1548" i="1"/>
  <c r="F1548" i="1" s="1"/>
  <c r="P1548" i="1" s="1"/>
  <c r="V1548" i="1" s="1"/>
  <c r="D1548" i="1"/>
  <c r="Q1548" i="1" s="1"/>
  <c r="E1547" i="1"/>
  <c r="F1547" i="1" s="1"/>
  <c r="W1546" i="1"/>
  <c r="V1546" i="1"/>
  <c r="U1546" i="1"/>
  <c r="S1546" i="1"/>
  <c r="E1546" i="1"/>
  <c r="F1546" i="1" s="1"/>
  <c r="D1546" i="1"/>
  <c r="W1545" i="1"/>
  <c r="U1545" i="1"/>
  <c r="O1545" i="1"/>
  <c r="P1545" i="1" s="1"/>
  <c r="F1545" i="1"/>
  <c r="D1545" i="1"/>
  <c r="W1544" i="1"/>
  <c r="V1544" i="1"/>
  <c r="U1544" i="1"/>
  <c r="T1544" i="1"/>
  <c r="S1544" i="1"/>
  <c r="Q1544" i="1"/>
  <c r="O1544" i="1"/>
  <c r="F1544" i="1"/>
  <c r="W1543" i="1"/>
  <c r="U1543" i="1"/>
  <c r="T1543" i="1"/>
  <c r="S1543" i="1"/>
  <c r="R1543" i="1"/>
  <c r="Q1543" i="1"/>
  <c r="O1543" i="1"/>
  <c r="P1543" i="1" s="1"/>
  <c r="V1543" i="1" s="1"/>
  <c r="G1543" i="1"/>
  <c r="W1542" i="1"/>
  <c r="U1542" i="1"/>
  <c r="T1542" i="1"/>
  <c r="S1542" i="1"/>
  <c r="R1542" i="1"/>
  <c r="Q1542" i="1"/>
  <c r="G1542" i="1"/>
  <c r="O1542" i="1" s="1"/>
  <c r="P1542" i="1" s="1"/>
  <c r="V1542" i="1" s="1"/>
  <c r="W1541" i="1"/>
  <c r="V1541" i="1"/>
  <c r="T1541" i="1"/>
  <c r="S1541" i="1"/>
  <c r="R1541" i="1"/>
  <c r="Q1541" i="1"/>
  <c r="O1541" i="1"/>
  <c r="P1541" i="1" s="1"/>
  <c r="U1541" i="1" s="1"/>
  <c r="G1541" i="1"/>
  <c r="W1540" i="1"/>
  <c r="V1540" i="1"/>
  <c r="T1540" i="1"/>
  <c r="S1540" i="1"/>
  <c r="R1540" i="1"/>
  <c r="Q1540" i="1"/>
  <c r="O1540" i="1"/>
  <c r="P1540" i="1" s="1"/>
  <c r="U1540" i="1" s="1"/>
  <c r="G1540" i="1"/>
  <c r="M1539" i="1"/>
  <c r="L1539" i="1"/>
  <c r="K1539" i="1"/>
  <c r="I1539" i="1"/>
  <c r="H1539" i="1"/>
  <c r="J1539" i="1" s="1"/>
  <c r="N1539" i="1" s="1"/>
  <c r="O1538" i="1"/>
  <c r="P1538" i="1" s="1"/>
  <c r="E1538" i="1"/>
  <c r="F1538" i="1" s="1"/>
  <c r="D1538" i="1"/>
  <c r="S1538" i="1" s="1"/>
  <c r="E1537" i="1"/>
  <c r="F1537" i="1" s="1"/>
  <c r="D1537" i="1"/>
  <c r="W1537" i="1" s="1"/>
  <c r="W1536" i="1"/>
  <c r="V1536" i="1"/>
  <c r="U1536" i="1"/>
  <c r="T1536" i="1"/>
  <c r="R1536" i="1"/>
  <c r="Q1536" i="1"/>
  <c r="O1536" i="1"/>
  <c r="P1536" i="1" s="1"/>
  <c r="S1536" i="1" s="1"/>
  <c r="F1536" i="1"/>
  <c r="W1535" i="1"/>
  <c r="U1535" i="1"/>
  <c r="T1535" i="1"/>
  <c r="S1535" i="1"/>
  <c r="R1535" i="1"/>
  <c r="Q1535" i="1"/>
  <c r="O1535" i="1"/>
  <c r="P1535" i="1" s="1"/>
  <c r="V1535" i="1" s="1"/>
  <c r="G1535" i="1"/>
  <c r="W1534" i="1"/>
  <c r="U1534" i="1"/>
  <c r="T1534" i="1"/>
  <c r="S1534" i="1"/>
  <c r="R1534" i="1"/>
  <c r="Q1534" i="1"/>
  <c r="O1534" i="1"/>
  <c r="P1534" i="1" s="1"/>
  <c r="V1534" i="1" s="1"/>
  <c r="G1534" i="1"/>
  <c r="N1533" i="1"/>
  <c r="M1533" i="1"/>
  <c r="L1533" i="1"/>
  <c r="K1533" i="1"/>
  <c r="I1533" i="1"/>
  <c r="H1533" i="1"/>
  <c r="J1533" i="1" s="1"/>
  <c r="O1532" i="1"/>
  <c r="E1532" i="1"/>
  <c r="F1532" i="1" s="1"/>
  <c r="D1532" i="1"/>
  <c r="E1531" i="1"/>
  <c r="F1531" i="1" s="1"/>
  <c r="E1530" i="1"/>
  <c r="F1530" i="1" s="1"/>
  <c r="D1530" i="1"/>
  <c r="F1529" i="1"/>
  <c r="D1529" i="1"/>
  <c r="W1528" i="1"/>
  <c r="V1528" i="1"/>
  <c r="U1528" i="1"/>
  <c r="T1528" i="1"/>
  <c r="S1528" i="1"/>
  <c r="Q1528" i="1"/>
  <c r="O1528" i="1"/>
  <c r="F1528" i="1"/>
  <c r="W1527" i="1"/>
  <c r="V1527" i="1"/>
  <c r="U1527" i="1"/>
  <c r="S1527" i="1"/>
  <c r="R1527" i="1"/>
  <c r="Q1527" i="1"/>
  <c r="G1527" i="1"/>
  <c r="O1527" i="1" s="1"/>
  <c r="P1527" i="1" s="1"/>
  <c r="T1527" i="1" s="1"/>
  <c r="W1526" i="1"/>
  <c r="V1526" i="1"/>
  <c r="U1526" i="1"/>
  <c r="S1526" i="1"/>
  <c r="R1526" i="1"/>
  <c r="Q1526" i="1"/>
  <c r="G1526" i="1"/>
  <c r="O1526" i="1" s="1"/>
  <c r="P1526" i="1" s="1"/>
  <c r="T1526" i="1" s="1"/>
  <c r="W1525" i="1"/>
  <c r="V1525" i="1"/>
  <c r="T1525" i="1"/>
  <c r="S1525" i="1"/>
  <c r="R1525" i="1"/>
  <c r="Q1525" i="1"/>
  <c r="G1525" i="1"/>
  <c r="O1525" i="1" s="1"/>
  <c r="P1525" i="1" s="1"/>
  <c r="U1525" i="1" s="1"/>
  <c r="W1524" i="1"/>
  <c r="V1524" i="1"/>
  <c r="U1524" i="1"/>
  <c r="S1524" i="1"/>
  <c r="R1524" i="1"/>
  <c r="Q1524" i="1"/>
  <c r="O1524" i="1"/>
  <c r="P1524" i="1" s="1"/>
  <c r="T1524" i="1" s="1"/>
  <c r="G1524" i="1"/>
  <c r="W1523" i="1"/>
  <c r="V1523" i="1"/>
  <c r="T1523" i="1"/>
  <c r="S1523" i="1"/>
  <c r="R1523" i="1"/>
  <c r="Q1523" i="1"/>
  <c r="G1523" i="1"/>
  <c r="O1523" i="1" s="1"/>
  <c r="P1523" i="1" s="1"/>
  <c r="U1523" i="1" s="1"/>
  <c r="W1522" i="1"/>
  <c r="V1522" i="1"/>
  <c r="T1522" i="1"/>
  <c r="S1522" i="1"/>
  <c r="R1522" i="1"/>
  <c r="Q1522" i="1"/>
  <c r="G1522" i="1"/>
  <c r="O1522" i="1" s="1"/>
  <c r="P1522" i="1" s="1"/>
  <c r="U1522" i="1" s="1"/>
  <c r="M1521" i="1"/>
  <c r="L1521" i="1"/>
  <c r="K1521" i="1"/>
  <c r="I1521" i="1"/>
  <c r="H1521" i="1"/>
  <c r="J1521" i="1" s="1"/>
  <c r="N1521" i="1" s="1"/>
  <c r="O1520" i="1"/>
  <c r="F1520" i="1"/>
  <c r="E1520" i="1"/>
  <c r="D1520" i="1"/>
  <c r="R1520" i="1" s="1"/>
  <c r="E1519" i="1"/>
  <c r="F1519" i="1" s="1"/>
  <c r="D1519" i="1"/>
  <c r="W1519" i="1" s="1"/>
  <c r="T1518" i="1"/>
  <c r="E1518" i="1"/>
  <c r="F1518" i="1" s="1"/>
  <c r="D1518" i="1"/>
  <c r="F1517" i="1"/>
  <c r="D1517" i="1"/>
  <c r="O1517" i="1" s="1"/>
  <c r="P1517" i="1" s="1"/>
  <c r="W1516" i="1"/>
  <c r="V1516" i="1"/>
  <c r="U1516" i="1"/>
  <c r="T1516" i="1"/>
  <c r="S1516" i="1"/>
  <c r="R1516" i="1"/>
  <c r="O1516" i="1"/>
  <c r="F1516" i="1"/>
  <c r="P1516" i="1" s="1"/>
  <c r="Q1516" i="1" s="1"/>
  <c r="W1515" i="1"/>
  <c r="V1515" i="1"/>
  <c r="U1515" i="1"/>
  <c r="S1515" i="1"/>
  <c r="R1515" i="1"/>
  <c r="Q1515" i="1"/>
  <c r="G1515" i="1"/>
  <c r="O1515" i="1" s="1"/>
  <c r="P1515" i="1" s="1"/>
  <c r="T1515" i="1" s="1"/>
  <c r="W1514" i="1"/>
  <c r="V1514" i="1"/>
  <c r="U1514" i="1"/>
  <c r="S1514" i="1"/>
  <c r="R1514" i="1"/>
  <c r="Q1514" i="1"/>
  <c r="G1514" i="1"/>
  <c r="O1514" i="1" s="1"/>
  <c r="P1514" i="1" s="1"/>
  <c r="T1514" i="1" s="1"/>
  <c r="W1513" i="1"/>
  <c r="V1513" i="1"/>
  <c r="T1513" i="1"/>
  <c r="S1513" i="1"/>
  <c r="R1513" i="1"/>
  <c r="Q1513" i="1"/>
  <c r="O1513" i="1"/>
  <c r="P1513" i="1" s="1"/>
  <c r="U1513" i="1" s="1"/>
  <c r="G1513" i="1"/>
  <c r="W1512" i="1"/>
  <c r="V1512" i="1"/>
  <c r="T1512" i="1"/>
  <c r="S1512" i="1"/>
  <c r="R1512" i="1"/>
  <c r="Q1512" i="1"/>
  <c r="G1512" i="1"/>
  <c r="O1512" i="1" s="1"/>
  <c r="P1512" i="1" s="1"/>
  <c r="U1512" i="1" s="1"/>
  <c r="M1511" i="1"/>
  <c r="L1511" i="1"/>
  <c r="K1511" i="1"/>
  <c r="J1511" i="1"/>
  <c r="N1511" i="1" s="1"/>
  <c r="I1511" i="1"/>
  <c r="H1511" i="1"/>
  <c r="W1510" i="1"/>
  <c r="U1510" i="1"/>
  <c r="S1510" i="1"/>
  <c r="O1510" i="1"/>
  <c r="F1510" i="1"/>
  <c r="E1510" i="1"/>
  <c r="D1510" i="1"/>
  <c r="Q1510" i="1" s="1"/>
  <c r="E1509" i="1"/>
  <c r="F1509" i="1" s="1"/>
  <c r="D1509" i="1"/>
  <c r="Q1509" i="1" s="1"/>
  <c r="W1508" i="1"/>
  <c r="V1508" i="1"/>
  <c r="U1508" i="1"/>
  <c r="T1508" i="1"/>
  <c r="S1508" i="1"/>
  <c r="Q1508" i="1"/>
  <c r="O1508" i="1"/>
  <c r="F1508" i="1"/>
  <c r="P1508" i="1" s="1"/>
  <c r="R1508" i="1" s="1"/>
  <c r="W1507" i="1"/>
  <c r="V1507" i="1"/>
  <c r="T1507" i="1"/>
  <c r="S1507" i="1"/>
  <c r="R1507" i="1"/>
  <c r="Q1507" i="1"/>
  <c r="O1507" i="1"/>
  <c r="P1507" i="1" s="1"/>
  <c r="U1507" i="1" s="1"/>
  <c r="G1507" i="1"/>
  <c r="W1506" i="1"/>
  <c r="V1506" i="1"/>
  <c r="T1506" i="1"/>
  <c r="S1506" i="1"/>
  <c r="R1506" i="1"/>
  <c r="Q1506" i="1"/>
  <c r="P1506" i="1"/>
  <c r="U1506" i="1" s="1"/>
  <c r="G1506" i="1"/>
  <c r="O1506" i="1" s="1"/>
  <c r="W1505" i="1"/>
  <c r="V1505" i="1"/>
  <c r="U1505" i="1"/>
  <c r="T1505" i="1"/>
  <c r="S1505" i="1"/>
  <c r="R1505" i="1"/>
  <c r="Q1505" i="1"/>
  <c r="G1505" i="1"/>
  <c r="O1505" i="1" s="1"/>
  <c r="P1505" i="1" s="1"/>
  <c r="M1504" i="1"/>
  <c r="L1504" i="1"/>
  <c r="K1504" i="1"/>
  <c r="I1504" i="1"/>
  <c r="H1504" i="1"/>
  <c r="J1504" i="1" s="1"/>
  <c r="N1504" i="1" s="1"/>
  <c r="O1503" i="1"/>
  <c r="E1503" i="1"/>
  <c r="F1503" i="1" s="1"/>
  <c r="P1503" i="1" s="1"/>
  <c r="D1503" i="1"/>
  <c r="R1503" i="1" s="1"/>
  <c r="E1502" i="1"/>
  <c r="F1502" i="1" s="1"/>
  <c r="D1502" i="1"/>
  <c r="W1501" i="1"/>
  <c r="V1501" i="1"/>
  <c r="U1501" i="1"/>
  <c r="T1501" i="1"/>
  <c r="R1501" i="1"/>
  <c r="Q1501" i="1"/>
  <c r="O1501" i="1"/>
  <c r="F1501" i="1"/>
  <c r="W1500" i="1"/>
  <c r="V1500" i="1"/>
  <c r="U1500" i="1"/>
  <c r="S1500" i="1"/>
  <c r="R1500" i="1"/>
  <c r="Q1500" i="1"/>
  <c r="P1500" i="1"/>
  <c r="T1500" i="1" s="1"/>
  <c r="O1500" i="1"/>
  <c r="G1500" i="1"/>
  <c r="W1499" i="1"/>
  <c r="V1499" i="1"/>
  <c r="U1499" i="1"/>
  <c r="T1499" i="1"/>
  <c r="S1499" i="1"/>
  <c r="R1499" i="1"/>
  <c r="Q1499" i="1"/>
  <c r="O1499" i="1"/>
  <c r="P1499" i="1" s="1"/>
  <c r="G1499" i="1"/>
  <c r="W1498" i="1"/>
  <c r="V1498" i="1"/>
  <c r="T1498" i="1"/>
  <c r="S1498" i="1"/>
  <c r="R1498" i="1"/>
  <c r="Q1498" i="1"/>
  <c r="O1498" i="1"/>
  <c r="P1498" i="1" s="1"/>
  <c r="U1498" i="1" s="1"/>
  <c r="G1498" i="1"/>
  <c r="W1497" i="1"/>
  <c r="V1497" i="1"/>
  <c r="T1497" i="1"/>
  <c r="S1497" i="1"/>
  <c r="R1497" i="1"/>
  <c r="Q1497" i="1"/>
  <c r="X1497" i="1" s="1"/>
  <c r="G1497" i="1"/>
  <c r="O1497" i="1" s="1"/>
  <c r="P1497" i="1" s="1"/>
  <c r="U1497" i="1" s="1"/>
  <c r="W1496" i="1"/>
  <c r="V1496" i="1"/>
  <c r="T1496" i="1"/>
  <c r="S1496" i="1"/>
  <c r="R1496" i="1"/>
  <c r="Q1496" i="1"/>
  <c r="G1496" i="1"/>
  <c r="O1496" i="1" s="1"/>
  <c r="P1496" i="1" s="1"/>
  <c r="U1496" i="1" s="1"/>
  <c r="N1495" i="1"/>
  <c r="M1495" i="1"/>
  <c r="L1495" i="1"/>
  <c r="K1495" i="1"/>
  <c r="I1495" i="1"/>
  <c r="H1495" i="1"/>
  <c r="J1495" i="1" s="1"/>
  <c r="O1494" i="1"/>
  <c r="P1494" i="1" s="1"/>
  <c r="V1494" i="1" s="1"/>
  <c r="F1494" i="1"/>
  <c r="E1494" i="1"/>
  <c r="D1494" i="1"/>
  <c r="U1493" i="1"/>
  <c r="T1493" i="1"/>
  <c r="Q1493" i="1"/>
  <c r="E1493" i="1"/>
  <c r="F1493" i="1" s="1"/>
  <c r="D1493" i="1"/>
  <c r="W1493" i="1" s="1"/>
  <c r="W1492" i="1"/>
  <c r="V1492" i="1"/>
  <c r="U1492" i="1"/>
  <c r="T1492" i="1"/>
  <c r="R1492" i="1"/>
  <c r="Q1492" i="1"/>
  <c r="O1492" i="1"/>
  <c r="F1492" i="1"/>
  <c r="W1491" i="1"/>
  <c r="V1491" i="1"/>
  <c r="U1491" i="1"/>
  <c r="S1491" i="1"/>
  <c r="R1491" i="1"/>
  <c r="Q1491" i="1"/>
  <c r="G1491" i="1"/>
  <c r="O1491" i="1" s="1"/>
  <c r="P1491" i="1" s="1"/>
  <c r="T1491" i="1" s="1"/>
  <c r="W1490" i="1"/>
  <c r="V1490" i="1"/>
  <c r="T1490" i="1"/>
  <c r="S1490" i="1"/>
  <c r="R1490" i="1"/>
  <c r="Q1490" i="1"/>
  <c r="O1490" i="1"/>
  <c r="P1490" i="1" s="1"/>
  <c r="U1490" i="1" s="1"/>
  <c r="G1490" i="1"/>
  <c r="W1489" i="1"/>
  <c r="V1489" i="1"/>
  <c r="T1489" i="1"/>
  <c r="S1489" i="1"/>
  <c r="R1489" i="1"/>
  <c r="Q1489" i="1"/>
  <c r="P1489" i="1"/>
  <c r="U1489" i="1" s="1"/>
  <c r="O1489" i="1"/>
  <c r="G1489" i="1"/>
  <c r="W1488" i="1"/>
  <c r="V1488" i="1"/>
  <c r="T1488" i="1"/>
  <c r="S1488" i="1"/>
  <c r="R1488" i="1"/>
  <c r="Q1488" i="1"/>
  <c r="P1488" i="1"/>
  <c r="U1488" i="1" s="1"/>
  <c r="G1488" i="1"/>
  <c r="O1488" i="1" s="1"/>
  <c r="W1487" i="1"/>
  <c r="V1487" i="1"/>
  <c r="T1487" i="1"/>
  <c r="S1487" i="1"/>
  <c r="R1487" i="1"/>
  <c r="Q1487" i="1"/>
  <c r="O1487" i="1"/>
  <c r="P1487" i="1" s="1"/>
  <c r="U1487" i="1" s="1"/>
  <c r="G1487" i="1"/>
  <c r="M1486" i="1"/>
  <c r="L1486" i="1"/>
  <c r="K1486" i="1"/>
  <c r="I1486" i="1"/>
  <c r="H1486" i="1"/>
  <c r="J1486" i="1" s="1"/>
  <c r="N1486" i="1" s="1"/>
  <c r="O1485" i="1"/>
  <c r="F1485" i="1"/>
  <c r="E1485" i="1"/>
  <c r="D1485" i="1"/>
  <c r="S1485" i="1" s="1"/>
  <c r="V1484" i="1"/>
  <c r="O1484" i="1"/>
  <c r="P1484" i="1" s="1"/>
  <c r="E1484" i="1"/>
  <c r="F1484" i="1" s="1"/>
  <c r="D1484" i="1"/>
  <c r="Q1484" i="1" s="1"/>
  <c r="W1483" i="1"/>
  <c r="V1483" i="1"/>
  <c r="U1483" i="1"/>
  <c r="T1483" i="1"/>
  <c r="S1483" i="1"/>
  <c r="X1483" i="1" s="1"/>
  <c r="R1483" i="1"/>
  <c r="Q1483" i="1"/>
  <c r="O1483" i="1"/>
  <c r="F1483" i="1"/>
  <c r="P1483" i="1" s="1"/>
  <c r="W1482" i="1"/>
  <c r="V1482" i="1"/>
  <c r="U1482" i="1"/>
  <c r="S1482" i="1"/>
  <c r="R1482" i="1"/>
  <c r="Q1482" i="1"/>
  <c r="G1482" i="1"/>
  <c r="O1482" i="1" s="1"/>
  <c r="P1482" i="1" s="1"/>
  <c r="T1482" i="1" s="1"/>
  <c r="W1481" i="1"/>
  <c r="V1481" i="1"/>
  <c r="T1481" i="1"/>
  <c r="S1481" i="1"/>
  <c r="R1481" i="1"/>
  <c r="Q1481" i="1"/>
  <c r="P1481" i="1"/>
  <c r="U1481" i="1" s="1"/>
  <c r="O1481" i="1"/>
  <c r="G1481" i="1"/>
  <c r="W1480" i="1"/>
  <c r="V1480" i="1"/>
  <c r="T1480" i="1"/>
  <c r="S1480" i="1"/>
  <c r="R1480" i="1"/>
  <c r="Q1480" i="1"/>
  <c r="O1480" i="1"/>
  <c r="P1480" i="1" s="1"/>
  <c r="U1480" i="1" s="1"/>
  <c r="G1480" i="1"/>
  <c r="W1479" i="1"/>
  <c r="V1479" i="1"/>
  <c r="T1479" i="1"/>
  <c r="S1479" i="1"/>
  <c r="R1479" i="1"/>
  <c r="Q1479" i="1"/>
  <c r="G1479" i="1"/>
  <c r="O1479" i="1" s="1"/>
  <c r="P1479" i="1" s="1"/>
  <c r="U1479" i="1" s="1"/>
  <c r="W1478" i="1"/>
  <c r="V1478" i="1"/>
  <c r="T1478" i="1"/>
  <c r="S1478" i="1"/>
  <c r="R1478" i="1"/>
  <c r="Q1478" i="1"/>
  <c r="G1478" i="1"/>
  <c r="O1478" i="1" s="1"/>
  <c r="P1478" i="1" s="1"/>
  <c r="U1478" i="1" s="1"/>
  <c r="M1477" i="1"/>
  <c r="L1477" i="1"/>
  <c r="K1477" i="1"/>
  <c r="J1477" i="1"/>
  <c r="N1477" i="1" s="1"/>
  <c r="I1477" i="1"/>
  <c r="H1477" i="1"/>
  <c r="O1476" i="1"/>
  <c r="E1476" i="1"/>
  <c r="F1476" i="1" s="1"/>
  <c r="P1476" i="1" s="1"/>
  <c r="D1476" i="1"/>
  <c r="V1476" i="1" s="1"/>
  <c r="F1475" i="1"/>
  <c r="E1475" i="1"/>
  <c r="D1475" i="1"/>
  <c r="X1474" i="1"/>
  <c r="W1474" i="1"/>
  <c r="V1474" i="1"/>
  <c r="U1474" i="1"/>
  <c r="T1474" i="1"/>
  <c r="R1474" i="1"/>
  <c r="Q1474" i="1"/>
  <c r="O1474" i="1"/>
  <c r="P1474" i="1" s="1"/>
  <c r="S1474" i="1" s="1"/>
  <c r="F1474" i="1"/>
  <c r="W1473" i="1"/>
  <c r="V1473" i="1"/>
  <c r="T1473" i="1"/>
  <c r="S1473" i="1"/>
  <c r="R1473" i="1"/>
  <c r="Q1473" i="1"/>
  <c r="G1473" i="1"/>
  <c r="O1473" i="1" s="1"/>
  <c r="P1473" i="1" s="1"/>
  <c r="U1473" i="1" s="1"/>
  <c r="W1472" i="1"/>
  <c r="V1472" i="1"/>
  <c r="T1472" i="1"/>
  <c r="S1472" i="1"/>
  <c r="R1472" i="1"/>
  <c r="Q1472" i="1"/>
  <c r="O1472" i="1"/>
  <c r="P1472" i="1" s="1"/>
  <c r="U1472" i="1" s="1"/>
  <c r="G1472" i="1"/>
  <c r="W1471" i="1"/>
  <c r="V1471" i="1"/>
  <c r="U1471" i="1"/>
  <c r="S1471" i="1"/>
  <c r="X1471" i="1" s="1"/>
  <c r="R1471" i="1"/>
  <c r="Q1471" i="1"/>
  <c r="P1471" i="1"/>
  <c r="T1471" i="1" s="1"/>
  <c r="O1471" i="1"/>
  <c r="G1471" i="1"/>
  <c r="W1470" i="1"/>
  <c r="V1470" i="1"/>
  <c r="T1470" i="1"/>
  <c r="S1470" i="1"/>
  <c r="R1470" i="1"/>
  <c r="Q1470" i="1"/>
  <c r="G1470" i="1"/>
  <c r="O1470" i="1" s="1"/>
  <c r="P1470" i="1" s="1"/>
  <c r="U1470" i="1" s="1"/>
  <c r="W1469" i="1"/>
  <c r="V1469" i="1"/>
  <c r="T1469" i="1"/>
  <c r="S1469" i="1"/>
  <c r="R1469" i="1"/>
  <c r="Q1469" i="1"/>
  <c r="G1469" i="1"/>
  <c r="O1469" i="1" s="1"/>
  <c r="P1469" i="1" s="1"/>
  <c r="U1469" i="1" s="1"/>
  <c r="M1468" i="1"/>
  <c r="L1468" i="1"/>
  <c r="K1468" i="1"/>
  <c r="I1468" i="1"/>
  <c r="H1468" i="1"/>
  <c r="J1468" i="1" s="1"/>
  <c r="N1468" i="1" s="1"/>
  <c r="S1467" i="1"/>
  <c r="O1467" i="1"/>
  <c r="E1467" i="1"/>
  <c r="F1467" i="1" s="1"/>
  <c r="D1467" i="1"/>
  <c r="U1467" i="1" s="1"/>
  <c r="Q1466" i="1"/>
  <c r="E1466" i="1"/>
  <c r="F1466" i="1" s="1"/>
  <c r="D1466" i="1"/>
  <c r="T1466" i="1" s="1"/>
  <c r="W1465" i="1"/>
  <c r="V1465" i="1"/>
  <c r="U1465" i="1"/>
  <c r="T1465" i="1"/>
  <c r="R1465" i="1"/>
  <c r="Q1465" i="1"/>
  <c r="O1465" i="1"/>
  <c r="F1465" i="1"/>
  <c r="W1464" i="1"/>
  <c r="V1464" i="1"/>
  <c r="U1464" i="1"/>
  <c r="S1464" i="1"/>
  <c r="R1464" i="1"/>
  <c r="X1464" i="1" s="1"/>
  <c r="Q1464" i="1"/>
  <c r="G1464" i="1"/>
  <c r="O1464" i="1" s="1"/>
  <c r="P1464" i="1" s="1"/>
  <c r="T1464" i="1" s="1"/>
  <c r="W1463" i="1"/>
  <c r="V1463" i="1"/>
  <c r="U1463" i="1"/>
  <c r="S1463" i="1"/>
  <c r="R1463" i="1"/>
  <c r="Q1463" i="1"/>
  <c r="P1463" i="1"/>
  <c r="T1463" i="1" s="1"/>
  <c r="O1463" i="1"/>
  <c r="G1463" i="1"/>
  <c r="W1462" i="1"/>
  <c r="V1462" i="1"/>
  <c r="T1462" i="1"/>
  <c r="S1462" i="1"/>
  <c r="R1462" i="1"/>
  <c r="Q1462" i="1"/>
  <c r="O1462" i="1"/>
  <c r="P1462" i="1" s="1"/>
  <c r="U1462" i="1" s="1"/>
  <c r="G1462" i="1"/>
  <c r="W1461" i="1"/>
  <c r="V1461" i="1"/>
  <c r="T1461" i="1"/>
  <c r="S1461" i="1"/>
  <c r="R1461" i="1"/>
  <c r="Q1461" i="1"/>
  <c r="G1461" i="1"/>
  <c r="O1461" i="1" s="1"/>
  <c r="P1461" i="1" s="1"/>
  <c r="U1461" i="1" s="1"/>
  <c r="M1460" i="1"/>
  <c r="L1460" i="1"/>
  <c r="K1460" i="1"/>
  <c r="I1460" i="1"/>
  <c r="H1460" i="1"/>
  <c r="J1460" i="1" s="1"/>
  <c r="N1460" i="1" s="1"/>
  <c r="W1459" i="1"/>
  <c r="V1459" i="1"/>
  <c r="U1459" i="1"/>
  <c r="T1459" i="1"/>
  <c r="S1459" i="1"/>
  <c r="R1459" i="1"/>
  <c r="O1459" i="1"/>
  <c r="P1459" i="1" s="1"/>
  <c r="Q1459" i="1" s="1"/>
  <c r="F1459" i="1"/>
  <c r="W1458" i="1"/>
  <c r="V1458" i="1"/>
  <c r="U1458" i="1"/>
  <c r="T1458" i="1"/>
  <c r="R1458" i="1"/>
  <c r="Q1458" i="1"/>
  <c r="O1458" i="1"/>
  <c r="P1458" i="1" s="1"/>
  <c r="S1458" i="1" s="1"/>
  <c r="G1458" i="1"/>
  <c r="W1457" i="1"/>
  <c r="V1457" i="1"/>
  <c r="T1457" i="1"/>
  <c r="S1457" i="1"/>
  <c r="R1457" i="1"/>
  <c r="Q1457" i="1"/>
  <c r="G1457" i="1"/>
  <c r="O1457" i="1" s="1"/>
  <c r="P1457" i="1" s="1"/>
  <c r="U1457" i="1" s="1"/>
  <c r="W1456" i="1"/>
  <c r="V1456" i="1"/>
  <c r="T1456" i="1"/>
  <c r="S1456" i="1"/>
  <c r="R1456" i="1"/>
  <c r="Q1456" i="1"/>
  <c r="G1456" i="1"/>
  <c r="O1456" i="1" s="1"/>
  <c r="P1456" i="1" s="1"/>
  <c r="U1456" i="1" s="1"/>
  <c r="M1455" i="1"/>
  <c r="L1455" i="1"/>
  <c r="K1455" i="1"/>
  <c r="J1455" i="1"/>
  <c r="N1455" i="1" s="1"/>
  <c r="I1455" i="1"/>
  <c r="H1455" i="1"/>
  <c r="W1454" i="1"/>
  <c r="V1454" i="1"/>
  <c r="U1454" i="1"/>
  <c r="T1454" i="1"/>
  <c r="S1454" i="1"/>
  <c r="R1454" i="1"/>
  <c r="O1454" i="1"/>
  <c r="F1454" i="1"/>
  <c r="W1453" i="1"/>
  <c r="V1453" i="1"/>
  <c r="U1453" i="1"/>
  <c r="T1453" i="1"/>
  <c r="R1453" i="1"/>
  <c r="Q1453" i="1"/>
  <c r="G1453" i="1"/>
  <c r="O1453" i="1" s="1"/>
  <c r="P1453" i="1" s="1"/>
  <c r="S1453" i="1" s="1"/>
  <c r="W1452" i="1"/>
  <c r="V1452" i="1"/>
  <c r="U1452" i="1"/>
  <c r="S1452" i="1"/>
  <c r="R1452" i="1"/>
  <c r="Q1452" i="1"/>
  <c r="P1452" i="1"/>
  <c r="T1452" i="1" s="1"/>
  <c r="G1452" i="1"/>
  <c r="O1452" i="1" s="1"/>
  <c r="W1451" i="1"/>
  <c r="V1451" i="1"/>
  <c r="U1451" i="1"/>
  <c r="S1451" i="1"/>
  <c r="R1451" i="1"/>
  <c r="Q1451" i="1"/>
  <c r="G1451" i="1"/>
  <c r="O1451" i="1" s="1"/>
  <c r="P1451" i="1" s="1"/>
  <c r="T1451" i="1" s="1"/>
  <c r="M1450" i="1"/>
  <c r="L1450" i="1"/>
  <c r="K1450" i="1"/>
  <c r="I1450" i="1"/>
  <c r="H1450" i="1"/>
  <c r="J1450" i="1" s="1"/>
  <c r="N1450" i="1" s="1"/>
  <c r="W1449" i="1"/>
  <c r="V1449" i="1"/>
  <c r="U1449" i="1"/>
  <c r="T1449" i="1"/>
  <c r="S1449" i="1"/>
  <c r="R1449" i="1"/>
  <c r="O1449" i="1"/>
  <c r="F1449" i="1"/>
  <c r="P1449" i="1" s="1"/>
  <c r="Q1449" i="1" s="1"/>
  <c r="X1449" i="1" s="1"/>
  <c r="W1448" i="1"/>
  <c r="U1448" i="1"/>
  <c r="T1448" i="1"/>
  <c r="S1448" i="1"/>
  <c r="R1448" i="1"/>
  <c r="Q1448" i="1"/>
  <c r="G1448" i="1"/>
  <c r="O1448" i="1" s="1"/>
  <c r="P1448" i="1" s="1"/>
  <c r="V1448" i="1" s="1"/>
  <c r="W1447" i="1"/>
  <c r="V1447" i="1"/>
  <c r="T1447" i="1"/>
  <c r="S1447" i="1"/>
  <c r="R1447" i="1"/>
  <c r="Q1447" i="1"/>
  <c r="G1447" i="1"/>
  <c r="O1447" i="1" s="1"/>
  <c r="P1447" i="1" s="1"/>
  <c r="U1447" i="1" s="1"/>
  <c r="M1446" i="1"/>
  <c r="L1446" i="1"/>
  <c r="K1446" i="1"/>
  <c r="I1446" i="1"/>
  <c r="H1446" i="1"/>
  <c r="J1446" i="1" s="1"/>
  <c r="N1446" i="1" s="1"/>
  <c r="O1445" i="1"/>
  <c r="E1445" i="1"/>
  <c r="F1445" i="1" s="1"/>
  <c r="P1445" i="1" s="1"/>
  <c r="D1445" i="1"/>
  <c r="U1445" i="1" s="1"/>
  <c r="E1444" i="1"/>
  <c r="F1444" i="1" s="1"/>
  <c r="W1443" i="1"/>
  <c r="V1443" i="1"/>
  <c r="U1443" i="1"/>
  <c r="T1443" i="1"/>
  <c r="S1443" i="1"/>
  <c r="Q1443" i="1"/>
  <c r="O1443" i="1"/>
  <c r="E1443" i="1"/>
  <c r="F1443" i="1" s="1"/>
  <c r="D1443" i="1"/>
  <c r="U1442" i="1"/>
  <c r="S1442" i="1"/>
  <c r="F1442" i="1"/>
  <c r="D1442" i="1"/>
  <c r="W1441" i="1"/>
  <c r="V1441" i="1"/>
  <c r="U1441" i="1"/>
  <c r="T1441" i="1"/>
  <c r="S1441" i="1"/>
  <c r="Q1441" i="1"/>
  <c r="O1441" i="1"/>
  <c r="W1440" i="1"/>
  <c r="U1440" i="1"/>
  <c r="T1440" i="1"/>
  <c r="S1440" i="1"/>
  <c r="R1440" i="1"/>
  <c r="Q1440" i="1"/>
  <c r="G1440" i="1"/>
  <c r="O1440" i="1" s="1"/>
  <c r="P1440" i="1" s="1"/>
  <c r="V1440" i="1" s="1"/>
  <c r="W1439" i="1"/>
  <c r="U1439" i="1"/>
  <c r="T1439" i="1"/>
  <c r="S1439" i="1"/>
  <c r="R1439" i="1"/>
  <c r="Q1439" i="1"/>
  <c r="P1439" i="1"/>
  <c r="V1439" i="1" s="1"/>
  <c r="G1439" i="1"/>
  <c r="O1439" i="1" s="1"/>
  <c r="W1438" i="1"/>
  <c r="U1438" i="1"/>
  <c r="T1438" i="1"/>
  <c r="S1438" i="1"/>
  <c r="R1438" i="1"/>
  <c r="Q1438" i="1"/>
  <c r="O1438" i="1"/>
  <c r="P1438" i="1" s="1"/>
  <c r="V1438" i="1" s="1"/>
  <c r="G1438" i="1"/>
  <c r="M1437" i="1"/>
  <c r="L1437" i="1"/>
  <c r="K1437" i="1"/>
  <c r="I1437" i="1"/>
  <c r="H1437" i="1"/>
  <c r="J1437" i="1" s="1"/>
  <c r="N1437" i="1" s="1"/>
  <c r="T1436" i="1"/>
  <c r="S1436" i="1"/>
  <c r="R1436" i="1"/>
  <c r="Q1436" i="1"/>
  <c r="O1436" i="1"/>
  <c r="E1436" i="1"/>
  <c r="D1436" i="1"/>
  <c r="U1435" i="1"/>
  <c r="T1435" i="1"/>
  <c r="F1435" i="1"/>
  <c r="E1435" i="1"/>
  <c r="D1435" i="1"/>
  <c r="W1434" i="1"/>
  <c r="V1434" i="1"/>
  <c r="U1434" i="1"/>
  <c r="T1434" i="1"/>
  <c r="S1434" i="1"/>
  <c r="Q1434" i="1"/>
  <c r="O1434" i="1"/>
  <c r="P1434" i="1" s="1"/>
  <c r="R1434" i="1" s="1"/>
  <c r="F1434" i="1"/>
  <c r="W1433" i="1"/>
  <c r="V1433" i="1"/>
  <c r="U1433" i="1"/>
  <c r="S1433" i="1"/>
  <c r="R1433" i="1"/>
  <c r="Q1433" i="1"/>
  <c r="G1433" i="1"/>
  <c r="O1433" i="1" s="1"/>
  <c r="P1433" i="1" s="1"/>
  <c r="T1433" i="1" s="1"/>
  <c r="W1432" i="1"/>
  <c r="V1432" i="1"/>
  <c r="T1432" i="1"/>
  <c r="S1432" i="1"/>
  <c r="R1432" i="1"/>
  <c r="Q1432" i="1"/>
  <c r="O1432" i="1"/>
  <c r="P1432" i="1" s="1"/>
  <c r="U1432" i="1" s="1"/>
  <c r="G1432" i="1"/>
  <c r="W1431" i="1"/>
  <c r="U1431" i="1"/>
  <c r="T1431" i="1"/>
  <c r="S1431" i="1"/>
  <c r="R1431" i="1"/>
  <c r="Q1431" i="1"/>
  <c r="G1431" i="1"/>
  <c r="O1431" i="1" s="1"/>
  <c r="P1431" i="1" s="1"/>
  <c r="V1431" i="1" s="1"/>
  <c r="W1430" i="1"/>
  <c r="U1430" i="1"/>
  <c r="T1430" i="1"/>
  <c r="S1430" i="1"/>
  <c r="R1430" i="1"/>
  <c r="Q1430" i="1"/>
  <c r="G1430" i="1"/>
  <c r="O1430" i="1" s="1"/>
  <c r="P1430" i="1" s="1"/>
  <c r="V1430" i="1" s="1"/>
  <c r="M1429" i="1"/>
  <c r="L1429" i="1"/>
  <c r="K1429" i="1"/>
  <c r="I1429" i="1"/>
  <c r="H1429" i="1"/>
  <c r="J1429" i="1" s="1"/>
  <c r="N1429" i="1" s="1"/>
  <c r="E1428" i="1"/>
  <c r="F1428" i="1" s="1"/>
  <c r="D1428" i="1"/>
  <c r="X1427" i="1"/>
  <c r="W1427" i="1"/>
  <c r="V1427" i="1"/>
  <c r="U1427" i="1"/>
  <c r="T1427" i="1"/>
  <c r="S1427" i="1"/>
  <c r="R1427" i="1"/>
  <c r="O1427" i="1"/>
  <c r="F1427" i="1"/>
  <c r="P1427" i="1" s="1"/>
  <c r="Q1427" i="1" s="1"/>
  <c r="W1426" i="1"/>
  <c r="V1426" i="1"/>
  <c r="T1426" i="1"/>
  <c r="S1426" i="1"/>
  <c r="R1426" i="1"/>
  <c r="Q1426" i="1"/>
  <c r="G1426" i="1"/>
  <c r="O1426" i="1" s="1"/>
  <c r="P1426" i="1" s="1"/>
  <c r="U1426" i="1" s="1"/>
  <c r="W1425" i="1"/>
  <c r="U1425" i="1"/>
  <c r="T1425" i="1"/>
  <c r="S1425" i="1"/>
  <c r="R1425" i="1"/>
  <c r="Q1425" i="1"/>
  <c r="G1425" i="1"/>
  <c r="O1425" i="1" s="1"/>
  <c r="P1425" i="1" s="1"/>
  <c r="V1425" i="1" s="1"/>
  <c r="W1424" i="1"/>
  <c r="V1424" i="1"/>
  <c r="T1424" i="1"/>
  <c r="S1424" i="1"/>
  <c r="R1424" i="1"/>
  <c r="Q1424" i="1"/>
  <c r="G1424" i="1"/>
  <c r="O1424" i="1" s="1"/>
  <c r="P1424" i="1" s="1"/>
  <c r="U1424" i="1" s="1"/>
  <c r="M1423" i="1"/>
  <c r="L1423" i="1"/>
  <c r="K1423" i="1"/>
  <c r="I1423" i="1"/>
  <c r="H1423" i="1"/>
  <c r="J1423" i="1" s="1"/>
  <c r="N1423" i="1" s="1"/>
  <c r="W1422" i="1"/>
  <c r="V1422" i="1"/>
  <c r="U1422" i="1"/>
  <c r="T1422" i="1"/>
  <c r="S1422" i="1"/>
  <c r="R1422" i="1"/>
  <c r="O1422" i="1"/>
  <c r="P1422" i="1" s="1"/>
  <c r="Q1422" i="1" s="1"/>
  <c r="F1422" i="1"/>
  <c r="W1421" i="1"/>
  <c r="V1421" i="1"/>
  <c r="U1421" i="1"/>
  <c r="S1421" i="1"/>
  <c r="R1421" i="1"/>
  <c r="Q1421" i="1"/>
  <c r="G1421" i="1"/>
  <c r="O1421" i="1" s="1"/>
  <c r="P1421" i="1" s="1"/>
  <c r="T1421" i="1" s="1"/>
  <c r="X1421" i="1" s="1"/>
  <c r="W1420" i="1"/>
  <c r="V1420" i="1"/>
  <c r="U1420" i="1"/>
  <c r="S1420" i="1"/>
  <c r="R1420" i="1"/>
  <c r="Q1420" i="1"/>
  <c r="G1420" i="1"/>
  <c r="O1420" i="1" s="1"/>
  <c r="P1420" i="1" s="1"/>
  <c r="T1420" i="1" s="1"/>
  <c r="M1419" i="1"/>
  <c r="L1419" i="1"/>
  <c r="K1419" i="1"/>
  <c r="I1419" i="1"/>
  <c r="H1419" i="1"/>
  <c r="J1419" i="1" s="1"/>
  <c r="N1419" i="1" s="1"/>
  <c r="R1418" i="1"/>
  <c r="O1418" i="1"/>
  <c r="E1418" i="1"/>
  <c r="F1418" i="1" s="1"/>
  <c r="D1418" i="1"/>
  <c r="Q1418" i="1" s="1"/>
  <c r="R1417" i="1"/>
  <c r="Q1417" i="1"/>
  <c r="E1417" i="1"/>
  <c r="F1417" i="1" s="1"/>
  <c r="D1417" i="1"/>
  <c r="V1417" i="1" s="1"/>
  <c r="W1416" i="1"/>
  <c r="V1416" i="1"/>
  <c r="U1416" i="1"/>
  <c r="T1416" i="1"/>
  <c r="R1416" i="1"/>
  <c r="Q1416" i="1"/>
  <c r="O1416" i="1"/>
  <c r="F1416" i="1"/>
  <c r="X1415" i="1"/>
  <c r="W1415" i="1"/>
  <c r="U1415" i="1"/>
  <c r="T1415" i="1"/>
  <c r="S1415" i="1"/>
  <c r="R1415" i="1"/>
  <c r="Q1415" i="1"/>
  <c r="G1415" i="1"/>
  <c r="O1415" i="1" s="1"/>
  <c r="P1415" i="1" s="1"/>
  <c r="V1415" i="1" s="1"/>
  <c r="W1414" i="1"/>
  <c r="U1414" i="1"/>
  <c r="T1414" i="1"/>
  <c r="S1414" i="1"/>
  <c r="R1414" i="1"/>
  <c r="Q1414" i="1"/>
  <c r="O1414" i="1"/>
  <c r="P1414" i="1" s="1"/>
  <c r="V1414" i="1" s="1"/>
  <c r="G1414" i="1"/>
  <c r="N1413" i="1"/>
  <c r="L1413" i="1"/>
  <c r="K1413" i="1"/>
  <c r="I1413" i="1"/>
  <c r="H1413" i="1"/>
  <c r="J1413" i="1" s="1"/>
  <c r="M1413" i="1" s="1"/>
  <c r="Q1412" i="1"/>
  <c r="O1412" i="1"/>
  <c r="E1412" i="1"/>
  <c r="F1412" i="1" s="1"/>
  <c r="P1412" i="1" s="1"/>
  <c r="V1412" i="1" s="1"/>
  <c r="D1412" i="1"/>
  <c r="W1412" i="1" s="1"/>
  <c r="T1411" i="1"/>
  <c r="E1411" i="1"/>
  <c r="F1411" i="1" s="1"/>
  <c r="D1411" i="1"/>
  <c r="O1411" i="1" s="1"/>
  <c r="P1411" i="1" s="1"/>
  <c r="E1410" i="1"/>
  <c r="F1410" i="1" s="1"/>
  <c r="D1410" i="1"/>
  <c r="W1409" i="1"/>
  <c r="V1409" i="1"/>
  <c r="F1409" i="1"/>
  <c r="D1409" i="1"/>
  <c r="W1408" i="1"/>
  <c r="V1408" i="1"/>
  <c r="U1408" i="1"/>
  <c r="T1408" i="1"/>
  <c r="S1408" i="1"/>
  <c r="R1408" i="1"/>
  <c r="O1408" i="1"/>
  <c r="P1408" i="1" s="1"/>
  <c r="Q1408" i="1" s="1"/>
  <c r="F1408" i="1"/>
  <c r="W1407" i="1"/>
  <c r="V1407" i="1"/>
  <c r="U1407" i="1"/>
  <c r="T1407" i="1"/>
  <c r="S1407" i="1"/>
  <c r="R1407" i="1"/>
  <c r="Q1407" i="1"/>
  <c r="O1407" i="1"/>
  <c r="P1407" i="1" s="1"/>
  <c r="G1407" i="1"/>
  <c r="W1406" i="1"/>
  <c r="V1406" i="1"/>
  <c r="T1406" i="1"/>
  <c r="S1406" i="1"/>
  <c r="R1406" i="1"/>
  <c r="Q1406" i="1"/>
  <c r="G1406" i="1"/>
  <c r="O1406" i="1" s="1"/>
  <c r="P1406" i="1" s="1"/>
  <c r="U1406" i="1" s="1"/>
  <c r="M1405" i="1"/>
  <c r="L1405" i="1"/>
  <c r="K1405" i="1"/>
  <c r="J1405" i="1"/>
  <c r="N1405" i="1" s="1"/>
  <c r="I1405" i="1"/>
  <c r="H1405" i="1"/>
  <c r="W1404" i="1"/>
  <c r="V1404" i="1"/>
  <c r="U1404" i="1"/>
  <c r="T1404" i="1"/>
  <c r="S1404" i="1"/>
  <c r="Q1404" i="1"/>
  <c r="O1404" i="1"/>
  <c r="F1404" i="1"/>
  <c r="W1403" i="1"/>
  <c r="U1403" i="1"/>
  <c r="T1403" i="1"/>
  <c r="S1403" i="1"/>
  <c r="R1403" i="1"/>
  <c r="Q1403" i="1"/>
  <c r="G1403" i="1"/>
  <c r="O1403" i="1" s="1"/>
  <c r="P1403" i="1" s="1"/>
  <c r="V1403" i="1" s="1"/>
  <c r="W1402" i="1"/>
  <c r="U1402" i="1"/>
  <c r="T1402" i="1"/>
  <c r="S1402" i="1"/>
  <c r="R1402" i="1"/>
  <c r="Q1402" i="1"/>
  <c r="P1402" i="1"/>
  <c r="V1402" i="1" s="1"/>
  <c r="G1402" i="1"/>
  <c r="O1402" i="1" s="1"/>
  <c r="M1401" i="1"/>
  <c r="L1401" i="1"/>
  <c r="K1401" i="1"/>
  <c r="I1401" i="1"/>
  <c r="H1401" i="1"/>
  <c r="J1401" i="1" s="1"/>
  <c r="N1401" i="1" s="1"/>
  <c r="U1400" i="1"/>
  <c r="T1400" i="1"/>
  <c r="S1400" i="1"/>
  <c r="R1400" i="1"/>
  <c r="O1400" i="1"/>
  <c r="E1400" i="1"/>
  <c r="F1400" i="1" s="1"/>
  <c r="D1400" i="1"/>
  <c r="W1399" i="1"/>
  <c r="V1399" i="1"/>
  <c r="U1399" i="1"/>
  <c r="T1399" i="1"/>
  <c r="R1399" i="1"/>
  <c r="Q1399" i="1"/>
  <c r="O1399" i="1"/>
  <c r="P1399" i="1" s="1"/>
  <c r="S1399" i="1" s="1"/>
  <c r="F1399" i="1"/>
  <c r="W1398" i="1"/>
  <c r="U1398" i="1"/>
  <c r="T1398" i="1"/>
  <c r="S1398" i="1"/>
  <c r="R1398" i="1"/>
  <c r="Q1398" i="1"/>
  <c r="G1398" i="1"/>
  <c r="O1398" i="1" s="1"/>
  <c r="P1398" i="1" s="1"/>
  <c r="V1398" i="1" s="1"/>
  <c r="W1397" i="1"/>
  <c r="U1397" i="1"/>
  <c r="T1397" i="1"/>
  <c r="S1397" i="1"/>
  <c r="R1397" i="1"/>
  <c r="Q1397" i="1"/>
  <c r="G1397" i="1"/>
  <c r="O1397" i="1" s="1"/>
  <c r="P1397" i="1" s="1"/>
  <c r="V1397" i="1" s="1"/>
  <c r="W1396" i="1"/>
  <c r="V1396" i="1"/>
  <c r="T1396" i="1"/>
  <c r="S1396" i="1"/>
  <c r="R1396" i="1"/>
  <c r="Q1396" i="1"/>
  <c r="O1396" i="1"/>
  <c r="P1396" i="1" s="1"/>
  <c r="U1396" i="1" s="1"/>
  <c r="G1396" i="1"/>
  <c r="W1395" i="1"/>
  <c r="U1395" i="1"/>
  <c r="T1395" i="1"/>
  <c r="S1395" i="1"/>
  <c r="R1395" i="1"/>
  <c r="Q1395" i="1"/>
  <c r="G1395" i="1"/>
  <c r="O1395" i="1" s="1"/>
  <c r="P1395" i="1" s="1"/>
  <c r="V1395" i="1" s="1"/>
  <c r="W1394" i="1"/>
  <c r="U1394" i="1"/>
  <c r="T1394" i="1"/>
  <c r="S1394" i="1"/>
  <c r="R1394" i="1"/>
  <c r="Q1394" i="1"/>
  <c r="P1394" i="1"/>
  <c r="V1394" i="1" s="1"/>
  <c r="G1394" i="1"/>
  <c r="O1394" i="1" s="1"/>
  <c r="W1393" i="1"/>
  <c r="U1393" i="1"/>
  <c r="T1393" i="1"/>
  <c r="S1393" i="1"/>
  <c r="R1393" i="1"/>
  <c r="Q1393" i="1"/>
  <c r="G1393" i="1"/>
  <c r="O1393" i="1" s="1"/>
  <c r="P1393" i="1" s="1"/>
  <c r="V1393" i="1" s="1"/>
  <c r="M1392" i="1"/>
  <c r="L1392" i="1"/>
  <c r="K1392" i="1"/>
  <c r="J1392" i="1"/>
  <c r="N1392" i="1" s="1"/>
  <c r="I1392" i="1"/>
  <c r="H1392" i="1"/>
  <c r="U1391" i="1"/>
  <c r="T1391" i="1"/>
  <c r="S1391" i="1"/>
  <c r="O1391" i="1"/>
  <c r="P1391" i="1" s="1"/>
  <c r="V1391" i="1" s="1"/>
  <c r="E1391" i="1"/>
  <c r="F1391" i="1" s="1"/>
  <c r="D1391" i="1"/>
  <c r="W1391" i="1" s="1"/>
  <c r="R1390" i="1"/>
  <c r="E1390" i="1"/>
  <c r="F1390" i="1" s="1"/>
  <c r="D1390" i="1"/>
  <c r="W1389" i="1"/>
  <c r="V1389" i="1"/>
  <c r="U1389" i="1"/>
  <c r="T1389" i="1"/>
  <c r="R1389" i="1"/>
  <c r="Q1389" i="1"/>
  <c r="O1389" i="1"/>
  <c r="P1389" i="1" s="1"/>
  <c r="S1389" i="1" s="1"/>
  <c r="F1389" i="1"/>
  <c r="W1388" i="1"/>
  <c r="U1388" i="1"/>
  <c r="T1388" i="1"/>
  <c r="S1388" i="1"/>
  <c r="R1388" i="1"/>
  <c r="Q1388" i="1"/>
  <c r="O1388" i="1"/>
  <c r="P1388" i="1" s="1"/>
  <c r="V1388" i="1" s="1"/>
  <c r="G1388" i="1"/>
  <c r="W1387" i="1"/>
  <c r="V1387" i="1"/>
  <c r="U1387" i="1"/>
  <c r="T1387" i="1"/>
  <c r="S1387" i="1"/>
  <c r="R1387" i="1"/>
  <c r="Q1387" i="1"/>
  <c r="P1387" i="1"/>
  <c r="G1387" i="1"/>
  <c r="O1387" i="1" s="1"/>
  <c r="W1386" i="1"/>
  <c r="U1386" i="1"/>
  <c r="T1386" i="1"/>
  <c r="S1386" i="1"/>
  <c r="R1386" i="1"/>
  <c r="Q1386" i="1"/>
  <c r="G1386" i="1"/>
  <c r="O1386" i="1" s="1"/>
  <c r="P1386" i="1" s="1"/>
  <c r="V1386" i="1" s="1"/>
  <c r="W1385" i="1"/>
  <c r="U1385" i="1"/>
  <c r="T1385" i="1"/>
  <c r="S1385" i="1"/>
  <c r="R1385" i="1"/>
  <c r="Q1385" i="1"/>
  <c r="G1385" i="1"/>
  <c r="O1385" i="1" s="1"/>
  <c r="P1385" i="1" s="1"/>
  <c r="V1385" i="1" s="1"/>
  <c r="W1384" i="1"/>
  <c r="U1384" i="1"/>
  <c r="T1384" i="1"/>
  <c r="S1384" i="1"/>
  <c r="R1384" i="1"/>
  <c r="Q1384" i="1"/>
  <c r="G1384" i="1"/>
  <c r="O1384" i="1" s="1"/>
  <c r="P1384" i="1" s="1"/>
  <c r="V1384" i="1" s="1"/>
  <c r="W1383" i="1"/>
  <c r="U1383" i="1"/>
  <c r="T1383" i="1"/>
  <c r="S1383" i="1"/>
  <c r="R1383" i="1"/>
  <c r="Q1383" i="1"/>
  <c r="P1383" i="1"/>
  <c r="V1383" i="1" s="1"/>
  <c r="G1383" i="1"/>
  <c r="O1383" i="1" s="1"/>
  <c r="M1382" i="1"/>
  <c r="L1382" i="1"/>
  <c r="K1382" i="1"/>
  <c r="I1382" i="1"/>
  <c r="H1382" i="1"/>
  <c r="J1382" i="1" s="1"/>
  <c r="N1382" i="1" s="1"/>
  <c r="W1381" i="1"/>
  <c r="U1381" i="1"/>
  <c r="S1381" i="1"/>
  <c r="O1381" i="1"/>
  <c r="E1381" i="1"/>
  <c r="F1381" i="1" s="1"/>
  <c r="P1381" i="1" s="1"/>
  <c r="V1381" i="1" s="1"/>
  <c r="D1381" i="1"/>
  <c r="W1380" i="1"/>
  <c r="T1380" i="1"/>
  <c r="R1380" i="1"/>
  <c r="O1380" i="1"/>
  <c r="P1380" i="1" s="1"/>
  <c r="S1380" i="1" s="1"/>
  <c r="E1380" i="1"/>
  <c r="F1380" i="1" s="1"/>
  <c r="D1380" i="1"/>
  <c r="V1380" i="1" s="1"/>
  <c r="W1379" i="1"/>
  <c r="V1379" i="1"/>
  <c r="U1379" i="1"/>
  <c r="T1379" i="1"/>
  <c r="R1379" i="1"/>
  <c r="Q1379" i="1"/>
  <c r="O1379" i="1"/>
  <c r="P1379" i="1" s="1"/>
  <c r="S1379" i="1" s="1"/>
  <c r="F1379" i="1"/>
  <c r="W1378" i="1"/>
  <c r="V1378" i="1"/>
  <c r="U1378" i="1"/>
  <c r="T1378" i="1"/>
  <c r="S1378" i="1"/>
  <c r="R1378" i="1"/>
  <c r="Q1378" i="1"/>
  <c r="G1378" i="1"/>
  <c r="O1378" i="1" s="1"/>
  <c r="P1378" i="1" s="1"/>
  <c r="W1377" i="1"/>
  <c r="U1377" i="1"/>
  <c r="T1377" i="1"/>
  <c r="S1377" i="1"/>
  <c r="R1377" i="1"/>
  <c r="Q1377" i="1"/>
  <c r="G1377" i="1"/>
  <c r="O1377" i="1" s="1"/>
  <c r="P1377" i="1" s="1"/>
  <c r="V1377" i="1" s="1"/>
  <c r="W1376" i="1"/>
  <c r="U1376" i="1"/>
  <c r="T1376" i="1"/>
  <c r="S1376" i="1"/>
  <c r="R1376" i="1"/>
  <c r="Q1376" i="1"/>
  <c r="G1376" i="1"/>
  <c r="O1376" i="1" s="1"/>
  <c r="P1376" i="1" s="1"/>
  <c r="V1376" i="1" s="1"/>
  <c r="V1375" i="1"/>
  <c r="U1375" i="1"/>
  <c r="T1375" i="1"/>
  <c r="S1375" i="1"/>
  <c r="R1375" i="1"/>
  <c r="Q1375" i="1"/>
  <c r="G1375" i="1"/>
  <c r="O1375" i="1" s="1"/>
  <c r="P1375" i="1" s="1"/>
  <c r="W1375" i="1" s="1"/>
  <c r="N1374" i="1"/>
  <c r="L1374" i="1"/>
  <c r="K1374" i="1"/>
  <c r="I1374" i="1"/>
  <c r="H1374" i="1"/>
  <c r="J1374" i="1" s="1"/>
  <c r="M1374" i="1" s="1"/>
  <c r="W1373" i="1"/>
  <c r="V1373" i="1"/>
  <c r="U1373" i="1"/>
  <c r="T1373" i="1"/>
  <c r="S1373" i="1"/>
  <c r="R1373" i="1"/>
  <c r="O1373" i="1"/>
  <c r="F1373" i="1"/>
  <c r="W1372" i="1"/>
  <c r="U1372" i="1"/>
  <c r="T1372" i="1"/>
  <c r="S1372" i="1"/>
  <c r="R1372" i="1"/>
  <c r="Q1372" i="1"/>
  <c r="G1372" i="1"/>
  <c r="O1372" i="1" s="1"/>
  <c r="P1372" i="1" s="1"/>
  <c r="V1372" i="1" s="1"/>
  <c r="W1371" i="1"/>
  <c r="U1371" i="1"/>
  <c r="T1371" i="1"/>
  <c r="S1371" i="1"/>
  <c r="R1371" i="1"/>
  <c r="Q1371" i="1"/>
  <c r="O1371" i="1"/>
  <c r="P1371" i="1" s="1"/>
  <c r="V1371" i="1" s="1"/>
  <c r="G1371" i="1"/>
  <c r="M1370" i="1"/>
  <c r="L1370" i="1"/>
  <c r="K1370" i="1"/>
  <c r="J1370" i="1"/>
  <c r="N1370" i="1" s="1"/>
  <c r="I1370" i="1"/>
  <c r="H1370" i="1"/>
  <c r="W1369" i="1"/>
  <c r="V1369" i="1"/>
  <c r="U1369" i="1"/>
  <c r="T1369" i="1"/>
  <c r="S1369" i="1"/>
  <c r="R1369" i="1"/>
  <c r="O1369" i="1"/>
  <c r="P1369" i="1" s="1"/>
  <c r="Q1369" i="1" s="1"/>
  <c r="F1369" i="1"/>
  <c r="W1368" i="1"/>
  <c r="V1368" i="1"/>
  <c r="U1368" i="1"/>
  <c r="T1368" i="1"/>
  <c r="S1368" i="1"/>
  <c r="R1368" i="1"/>
  <c r="Q1368" i="1"/>
  <c r="G1368" i="1"/>
  <c r="O1368" i="1" s="1"/>
  <c r="P1368" i="1" s="1"/>
  <c r="W1367" i="1"/>
  <c r="V1367" i="1"/>
  <c r="U1367" i="1"/>
  <c r="S1367" i="1"/>
  <c r="R1367" i="1"/>
  <c r="Q1367" i="1"/>
  <c r="X1367" i="1" s="1"/>
  <c r="G1367" i="1"/>
  <c r="O1367" i="1" s="1"/>
  <c r="P1367" i="1" s="1"/>
  <c r="T1367" i="1" s="1"/>
  <c r="M1366" i="1"/>
  <c r="L1366" i="1"/>
  <c r="K1366" i="1"/>
  <c r="I1366" i="1"/>
  <c r="H1366" i="1"/>
  <c r="J1366" i="1" s="1"/>
  <c r="N1366" i="1" s="1"/>
  <c r="O1365" i="1"/>
  <c r="E1365" i="1"/>
  <c r="D1365" i="1"/>
  <c r="W1365" i="1" s="1"/>
  <c r="U1364" i="1"/>
  <c r="T1364" i="1"/>
  <c r="E1364" i="1"/>
  <c r="F1364" i="1" s="1"/>
  <c r="D1364" i="1"/>
  <c r="E1363" i="1"/>
  <c r="F1363" i="1" s="1"/>
  <c r="D1363" i="1"/>
  <c r="W1362" i="1"/>
  <c r="T1362" i="1"/>
  <c r="R1362" i="1"/>
  <c r="Q1362" i="1"/>
  <c r="O1362" i="1"/>
  <c r="F1362" i="1"/>
  <c r="D1362" i="1"/>
  <c r="W1361" i="1"/>
  <c r="V1361" i="1"/>
  <c r="U1361" i="1"/>
  <c r="T1361" i="1"/>
  <c r="R1361" i="1"/>
  <c r="Q1361" i="1"/>
  <c r="O1361" i="1"/>
  <c r="F1361" i="1"/>
  <c r="W1360" i="1"/>
  <c r="U1360" i="1"/>
  <c r="T1360" i="1"/>
  <c r="S1360" i="1"/>
  <c r="R1360" i="1"/>
  <c r="Q1360" i="1"/>
  <c r="P1360" i="1"/>
  <c r="V1360" i="1" s="1"/>
  <c r="G1360" i="1"/>
  <c r="O1360" i="1" s="1"/>
  <c r="W1359" i="1"/>
  <c r="U1359" i="1"/>
  <c r="T1359" i="1"/>
  <c r="S1359" i="1"/>
  <c r="R1359" i="1"/>
  <c r="Q1359" i="1"/>
  <c r="G1359" i="1"/>
  <c r="O1359" i="1" s="1"/>
  <c r="P1359" i="1" s="1"/>
  <c r="V1359" i="1" s="1"/>
  <c r="W1358" i="1"/>
  <c r="V1358" i="1"/>
  <c r="T1358" i="1"/>
  <c r="S1358" i="1"/>
  <c r="R1358" i="1"/>
  <c r="Q1358" i="1"/>
  <c r="G1358" i="1"/>
  <c r="O1358" i="1" s="1"/>
  <c r="P1358" i="1" s="1"/>
  <c r="U1358" i="1" s="1"/>
  <c r="X1358" i="1" s="1"/>
  <c r="M1357" i="1"/>
  <c r="L1357" i="1"/>
  <c r="K1357" i="1"/>
  <c r="J1357" i="1"/>
  <c r="N1357" i="1" s="1"/>
  <c r="I1357" i="1"/>
  <c r="H1357" i="1"/>
  <c r="O1356" i="1"/>
  <c r="F1356" i="1"/>
  <c r="E1356" i="1"/>
  <c r="D1356" i="1"/>
  <c r="S1356" i="1" s="1"/>
  <c r="E1355" i="1"/>
  <c r="F1355" i="1" s="1"/>
  <c r="W1354" i="1"/>
  <c r="V1354" i="1"/>
  <c r="Q1354" i="1"/>
  <c r="F1354" i="1"/>
  <c r="E1354" i="1"/>
  <c r="D1354" i="1"/>
  <c r="W1353" i="1"/>
  <c r="V1353" i="1"/>
  <c r="T1353" i="1"/>
  <c r="O1353" i="1"/>
  <c r="F1353" i="1"/>
  <c r="D1353" i="1"/>
  <c r="W1352" i="1"/>
  <c r="V1352" i="1"/>
  <c r="U1352" i="1"/>
  <c r="T1352" i="1"/>
  <c r="S1352" i="1"/>
  <c r="Q1352" i="1"/>
  <c r="O1352" i="1"/>
  <c r="F1352" i="1"/>
  <c r="W1351" i="1"/>
  <c r="V1351" i="1"/>
  <c r="T1351" i="1"/>
  <c r="S1351" i="1"/>
  <c r="R1351" i="1"/>
  <c r="Q1351" i="1"/>
  <c r="O1351" i="1"/>
  <c r="P1351" i="1" s="1"/>
  <c r="U1351" i="1" s="1"/>
  <c r="G1351" i="1"/>
  <c r="W1350" i="1"/>
  <c r="U1350" i="1"/>
  <c r="T1350" i="1"/>
  <c r="S1350" i="1"/>
  <c r="R1350" i="1"/>
  <c r="Q1350" i="1"/>
  <c r="O1350" i="1"/>
  <c r="P1350" i="1" s="1"/>
  <c r="V1350" i="1" s="1"/>
  <c r="G1350" i="1"/>
  <c r="W1349" i="1"/>
  <c r="V1349" i="1"/>
  <c r="T1349" i="1"/>
  <c r="S1349" i="1"/>
  <c r="R1349" i="1"/>
  <c r="Q1349" i="1"/>
  <c r="O1349" i="1"/>
  <c r="P1349" i="1" s="1"/>
  <c r="U1349" i="1" s="1"/>
  <c r="G1349" i="1"/>
  <c r="M1348" i="1"/>
  <c r="L1348" i="1"/>
  <c r="K1348" i="1"/>
  <c r="I1348" i="1"/>
  <c r="H1348" i="1"/>
  <c r="J1348" i="1" s="1"/>
  <c r="N1348" i="1" s="1"/>
  <c r="U1347" i="1"/>
  <c r="R1347" i="1"/>
  <c r="O1347" i="1"/>
  <c r="P1347" i="1" s="1"/>
  <c r="E1347" i="1"/>
  <c r="F1347" i="1" s="1"/>
  <c r="D1347" i="1"/>
  <c r="W1347" i="1" s="1"/>
  <c r="W1346" i="1"/>
  <c r="S1346" i="1"/>
  <c r="O1346" i="1"/>
  <c r="E1346" i="1"/>
  <c r="F1346" i="1" s="1"/>
  <c r="D1346" i="1"/>
  <c r="W1345" i="1"/>
  <c r="V1345" i="1"/>
  <c r="U1345" i="1"/>
  <c r="T1345" i="1"/>
  <c r="S1345" i="1"/>
  <c r="Q1345" i="1"/>
  <c r="O1345" i="1"/>
  <c r="F1345" i="1"/>
  <c r="W1344" i="1"/>
  <c r="U1344" i="1"/>
  <c r="T1344" i="1"/>
  <c r="S1344" i="1"/>
  <c r="R1344" i="1"/>
  <c r="Q1344" i="1"/>
  <c r="G1344" i="1"/>
  <c r="O1344" i="1" s="1"/>
  <c r="P1344" i="1" s="1"/>
  <c r="V1344" i="1" s="1"/>
  <c r="W1343" i="1"/>
  <c r="U1343" i="1"/>
  <c r="T1343" i="1"/>
  <c r="S1343" i="1"/>
  <c r="R1343" i="1"/>
  <c r="Q1343" i="1"/>
  <c r="G1343" i="1"/>
  <c r="O1343" i="1" s="1"/>
  <c r="P1343" i="1" s="1"/>
  <c r="V1343" i="1" s="1"/>
  <c r="M1342" i="1"/>
  <c r="L1342" i="1"/>
  <c r="K1342" i="1"/>
  <c r="I1342" i="1"/>
  <c r="H1342" i="1"/>
  <c r="J1342" i="1" s="1"/>
  <c r="N1342" i="1" s="1"/>
  <c r="W1341" i="1"/>
  <c r="V1341" i="1"/>
  <c r="U1341" i="1"/>
  <c r="T1341" i="1"/>
  <c r="S1341" i="1"/>
  <c r="R1341" i="1"/>
  <c r="O1341" i="1"/>
  <c r="F1341" i="1"/>
  <c r="W1340" i="1"/>
  <c r="V1340" i="1"/>
  <c r="U1340" i="1"/>
  <c r="S1340" i="1"/>
  <c r="R1340" i="1"/>
  <c r="Q1340" i="1"/>
  <c r="G1340" i="1"/>
  <c r="O1340" i="1" s="1"/>
  <c r="P1340" i="1" s="1"/>
  <c r="T1340" i="1" s="1"/>
  <c r="X1340" i="1" s="1"/>
  <c r="W1339" i="1"/>
  <c r="V1339" i="1"/>
  <c r="U1339" i="1"/>
  <c r="S1339" i="1"/>
  <c r="R1339" i="1"/>
  <c r="Q1339" i="1"/>
  <c r="P1339" i="1"/>
  <c r="T1339" i="1" s="1"/>
  <c r="G1339" i="1"/>
  <c r="O1339" i="1" s="1"/>
  <c r="M1338" i="1"/>
  <c r="L1338" i="1"/>
  <c r="K1338" i="1"/>
  <c r="I1338" i="1"/>
  <c r="H1338" i="1"/>
  <c r="J1338" i="1" s="1"/>
  <c r="N1338" i="1" s="1"/>
  <c r="W1337" i="1"/>
  <c r="V1337" i="1"/>
  <c r="U1337" i="1"/>
  <c r="T1337" i="1"/>
  <c r="S1337" i="1"/>
  <c r="R1337" i="1"/>
  <c r="O1337" i="1"/>
  <c r="P1337" i="1" s="1"/>
  <c r="Q1337" i="1" s="1"/>
  <c r="F1337" i="1"/>
  <c r="W1336" i="1"/>
  <c r="V1336" i="1"/>
  <c r="U1336" i="1"/>
  <c r="S1336" i="1"/>
  <c r="R1336" i="1"/>
  <c r="Q1336" i="1"/>
  <c r="X1336" i="1" s="1"/>
  <c r="G1336" i="1"/>
  <c r="O1336" i="1" s="1"/>
  <c r="P1336" i="1" s="1"/>
  <c r="T1336" i="1" s="1"/>
  <c r="W1335" i="1"/>
  <c r="V1335" i="1"/>
  <c r="U1335" i="1"/>
  <c r="S1335" i="1"/>
  <c r="R1335" i="1"/>
  <c r="Q1335" i="1"/>
  <c r="G1335" i="1"/>
  <c r="O1335" i="1" s="1"/>
  <c r="P1335" i="1" s="1"/>
  <c r="T1335" i="1" s="1"/>
  <c r="M1334" i="1"/>
  <c r="L1334" i="1"/>
  <c r="K1334" i="1"/>
  <c r="I1334" i="1"/>
  <c r="H1334" i="1"/>
  <c r="J1334" i="1" s="1"/>
  <c r="N1334" i="1" s="1"/>
  <c r="O1333" i="1"/>
  <c r="P1333" i="1" s="1"/>
  <c r="E1333" i="1"/>
  <c r="F1333" i="1" s="1"/>
  <c r="D1333" i="1"/>
  <c r="W1333" i="1" s="1"/>
  <c r="U1332" i="1"/>
  <c r="E1332" i="1"/>
  <c r="F1332" i="1" s="1"/>
  <c r="D1332" i="1"/>
  <c r="W1331" i="1"/>
  <c r="V1331" i="1"/>
  <c r="U1331" i="1"/>
  <c r="T1331" i="1"/>
  <c r="R1331" i="1"/>
  <c r="Q1331" i="1"/>
  <c r="O1331" i="1"/>
  <c r="P1331" i="1" s="1"/>
  <c r="S1331" i="1" s="1"/>
  <c r="F1331" i="1"/>
  <c r="X1330" i="1"/>
  <c r="W1330" i="1"/>
  <c r="V1330" i="1"/>
  <c r="U1330" i="1"/>
  <c r="S1330" i="1"/>
  <c r="R1330" i="1"/>
  <c r="Q1330" i="1"/>
  <c r="G1330" i="1"/>
  <c r="O1330" i="1" s="1"/>
  <c r="P1330" i="1" s="1"/>
  <c r="T1330" i="1" s="1"/>
  <c r="W1329" i="1"/>
  <c r="V1329" i="1"/>
  <c r="U1329" i="1"/>
  <c r="S1329" i="1"/>
  <c r="R1329" i="1"/>
  <c r="Q1329" i="1"/>
  <c r="G1329" i="1"/>
  <c r="O1329" i="1" s="1"/>
  <c r="P1329" i="1" s="1"/>
  <c r="T1329" i="1" s="1"/>
  <c r="W1328" i="1"/>
  <c r="V1328" i="1"/>
  <c r="U1328" i="1"/>
  <c r="T1328" i="1"/>
  <c r="S1328" i="1"/>
  <c r="R1328" i="1"/>
  <c r="Q1328" i="1"/>
  <c r="P1328" i="1"/>
  <c r="G1328" i="1"/>
  <c r="O1328" i="1" s="1"/>
  <c r="W1327" i="1"/>
  <c r="V1327" i="1"/>
  <c r="U1327" i="1"/>
  <c r="T1327" i="1"/>
  <c r="S1327" i="1"/>
  <c r="R1327" i="1"/>
  <c r="Q1327" i="1"/>
  <c r="G1327" i="1"/>
  <c r="O1327" i="1" s="1"/>
  <c r="P1327" i="1" s="1"/>
  <c r="W1326" i="1"/>
  <c r="V1326" i="1"/>
  <c r="T1326" i="1"/>
  <c r="S1326" i="1"/>
  <c r="R1326" i="1"/>
  <c r="X1326" i="1" s="1"/>
  <c r="Q1326" i="1"/>
  <c r="G1326" i="1"/>
  <c r="O1326" i="1" s="1"/>
  <c r="P1326" i="1" s="1"/>
  <c r="U1326" i="1" s="1"/>
  <c r="M1325" i="1"/>
  <c r="L1325" i="1"/>
  <c r="K1325" i="1"/>
  <c r="I1325" i="1"/>
  <c r="H1325" i="1"/>
  <c r="J1325" i="1" s="1"/>
  <c r="N1325" i="1" s="1"/>
  <c r="O1324" i="1"/>
  <c r="E1324" i="1"/>
  <c r="D1324" i="1"/>
  <c r="U1324" i="1" s="1"/>
  <c r="E1323" i="1"/>
  <c r="F1323" i="1" s="1"/>
  <c r="D1323" i="1"/>
  <c r="W1322" i="1"/>
  <c r="V1322" i="1"/>
  <c r="U1322" i="1"/>
  <c r="T1322" i="1"/>
  <c r="S1322" i="1"/>
  <c r="Q1322" i="1"/>
  <c r="O1322" i="1"/>
  <c r="F1322" i="1"/>
  <c r="W1321" i="1"/>
  <c r="V1321" i="1"/>
  <c r="U1321" i="1"/>
  <c r="S1321" i="1"/>
  <c r="R1321" i="1"/>
  <c r="Q1321" i="1"/>
  <c r="G1321" i="1"/>
  <c r="O1321" i="1" s="1"/>
  <c r="W1320" i="1"/>
  <c r="V1320" i="1"/>
  <c r="T1320" i="1"/>
  <c r="S1320" i="1"/>
  <c r="R1320" i="1"/>
  <c r="X1320" i="1" s="1"/>
  <c r="Q1320" i="1"/>
  <c r="G1320" i="1"/>
  <c r="O1320" i="1" s="1"/>
  <c r="P1320" i="1" s="1"/>
  <c r="U1320" i="1" s="1"/>
  <c r="W1319" i="1"/>
  <c r="V1319" i="1"/>
  <c r="U1319" i="1"/>
  <c r="S1319" i="1"/>
  <c r="R1319" i="1"/>
  <c r="Q1319" i="1"/>
  <c r="O1319" i="1"/>
  <c r="P1319" i="1" s="1"/>
  <c r="T1319" i="1" s="1"/>
  <c r="G1319" i="1"/>
  <c r="W1318" i="1"/>
  <c r="V1318" i="1"/>
  <c r="U1318" i="1"/>
  <c r="S1318" i="1"/>
  <c r="R1318" i="1"/>
  <c r="Q1318" i="1"/>
  <c r="P1318" i="1"/>
  <c r="T1318" i="1" s="1"/>
  <c r="G1318" i="1"/>
  <c r="O1318" i="1" s="1"/>
  <c r="W1317" i="1"/>
  <c r="V1317" i="1"/>
  <c r="T1317" i="1"/>
  <c r="S1317" i="1"/>
  <c r="R1317" i="1"/>
  <c r="Q1317" i="1"/>
  <c r="G1317" i="1"/>
  <c r="O1317" i="1" s="1"/>
  <c r="P1317" i="1" s="1"/>
  <c r="U1317" i="1" s="1"/>
  <c r="M1316" i="1"/>
  <c r="L1316" i="1"/>
  <c r="K1316" i="1"/>
  <c r="I1316" i="1"/>
  <c r="H1316" i="1"/>
  <c r="J1316" i="1" s="1"/>
  <c r="N1316" i="1" s="1"/>
  <c r="T1315" i="1"/>
  <c r="O1315" i="1"/>
  <c r="P1315" i="1" s="1"/>
  <c r="E1315" i="1"/>
  <c r="F1315" i="1" s="1"/>
  <c r="D1315" i="1"/>
  <c r="R1315" i="1" s="1"/>
  <c r="F1314" i="1"/>
  <c r="E1314" i="1"/>
  <c r="T1313" i="1"/>
  <c r="O1313" i="1"/>
  <c r="P1313" i="1" s="1"/>
  <c r="E1313" i="1"/>
  <c r="F1313" i="1" s="1"/>
  <c r="D1313" i="1"/>
  <c r="R1313" i="1" s="1"/>
  <c r="F1312" i="1"/>
  <c r="D1312" i="1"/>
  <c r="W1311" i="1"/>
  <c r="V1311" i="1"/>
  <c r="U1311" i="1"/>
  <c r="T1311" i="1"/>
  <c r="S1311" i="1"/>
  <c r="R1311" i="1"/>
  <c r="O1311" i="1"/>
  <c r="F1311" i="1"/>
  <c r="W1310" i="1"/>
  <c r="V1310" i="1"/>
  <c r="T1310" i="1"/>
  <c r="S1310" i="1"/>
  <c r="R1310" i="1"/>
  <c r="Q1310" i="1"/>
  <c r="P1310" i="1"/>
  <c r="U1310" i="1" s="1"/>
  <c r="G1310" i="1"/>
  <c r="O1310" i="1" s="1"/>
  <c r="W1309" i="1"/>
  <c r="V1309" i="1"/>
  <c r="T1309" i="1"/>
  <c r="S1309" i="1"/>
  <c r="R1309" i="1"/>
  <c r="Q1309" i="1"/>
  <c r="O1309" i="1"/>
  <c r="P1309" i="1" s="1"/>
  <c r="U1309" i="1" s="1"/>
  <c r="G1309" i="1"/>
  <c r="M1308" i="1"/>
  <c r="L1308" i="1"/>
  <c r="K1308" i="1"/>
  <c r="I1308" i="1"/>
  <c r="H1308" i="1"/>
  <c r="J1308" i="1" s="1"/>
  <c r="N1308" i="1" s="1"/>
  <c r="W1307" i="1"/>
  <c r="T1307" i="1"/>
  <c r="S1307" i="1"/>
  <c r="O1307" i="1"/>
  <c r="F1307" i="1"/>
  <c r="E1307" i="1"/>
  <c r="D1307" i="1"/>
  <c r="E1306" i="1"/>
  <c r="F1306" i="1" s="1"/>
  <c r="W1305" i="1"/>
  <c r="E1305" i="1"/>
  <c r="F1305" i="1" s="1"/>
  <c r="D1305" i="1"/>
  <c r="T1305" i="1" s="1"/>
  <c r="F1304" i="1"/>
  <c r="D1304" i="1"/>
  <c r="W1303" i="1"/>
  <c r="V1303" i="1"/>
  <c r="U1303" i="1"/>
  <c r="T1303" i="1"/>
  <c r="S1303" i="1"/>
  <c r="R1303" i="1"/>
  <c r="O1303" i="1"/>
  <c r="F1303" i="1"/>
  <c r="W1302" i="1"/>
  <c r="V1302" i="1"/>
  <c r="T1302" i="1"/>
  <c r="S1302" i="1"/>
  <c r="R1302" i="1"/>
  <c r="Q1302" i="1"/>
  <c r="P1302" i="1"/>
  <c r="U1302" i="1" s="1"/>
  <c r="O1302" i="1"/>
  <c r="G1302" i="1"/>
  <c r="W1301" i="1"/>
  <c r="V1301" i="1"/>
  <c r="T1301" i="1"/>
  <c r="S1301" i="1"/>
  <c r="R1301" i="1"/>
  <c r="Q1301" i="1"/>
  <c r="G1301" i="1"/>
  <c r="O1301" i="1" s="1"/>
  <c r="P1301" i="1" s="1"/>
  <c r="U1301" i="1" s="1"/>
  <c r="W1300" i="1"/>
  <c r="V1300" i="1"/>
  <c r="T1300" i="1"/>
  <c r="S1300" i="1"/>
  <c r="R1300" i="1"/>
  <c r="Q1300" i="1"/>
  <c r="O1300" i="1"/>
  <c r="P1300" i="1" s="1"/>
  <c r="U1300" i="1" s="1"/>
  <c r="G1300" i="1"/>
  <c r="M1299" i="1"/>
  <c r="L1299" i="1"/>
  <c r="K1299" i="1"/>
  <c r="J1299" i="1"/>
  <c r="N1299" i="1" s="1"/>
  <c r="I1299" i="1"/>
  <c r="H1299" i="1"/>
  <c r="W1298" i="1"/>
  <c r="U1298" i="1"/>
  <c r="T1298" i="1"/>
  <c r="S1298" i="1"/>
  <c r="R1298" i="1"/>
  <c r="Q1298" i="1"/>
  <c r="O1298" i="1"/>
  <c r="E1298" i="1"/>
  <c r="D1298" i="1"/>
  <c r="F1297" i="1"/>
  <c r="E1297" i="1"/>
  <c r="W1296" i="1"/>
  <c r="V1296" i="1"/>
  <c r="U1296" i="1"/>
  <c r="T1296" i="1"/>
  <c r="S1296" i="1"/>
  <c r="Q1296" i="1"/>
  <c r="O1296" i="1"/>
  <c r="P1296" i="1" s="1"/>
  <c r="R1296" i="1" s="1"/>
  <c r="E1296" i="1"/>
  <c r="F1296" i="1" s="1"/>
  <c r="D1296" i="1"/>
  <c r="W1295" i="1"/>
  <c r="S1295" i="1"/>
  <c r="F1295" i="1"/>
  <c r="D1295" i="1"/>
  <c r="W1294" i="1"/>
  <c r="V1294" i="1"/>
  <c r="U1294" i="1"/>
  <c r="T1294" i="1"/>
  <c r="S1294" i="1"/>
  <c r="Q1294" i="1"/>
  <c r="O1294" i="1"/>
  <c r="F1294" i="1"/>
  <c r="P1294" i="1" s="1"/>
  <c r="R1294" i="1" s="1"/>
  <c r="W1293" i="1"/>
  <c r="V1293" i="1"/>
  <c r="U1293" i="1"/>
  <c r="S1293" i="1"/>
  <c r="R1293" i="1"/>
  <c r="Q1293" i="1"/>
  <c r="O1293" i="1"/>
  <c r="P1293" i="1" s="1"/>
  <c r="T1293" i="1" s="1"/>
  <c r="G1293" i="1"/>
  <c r="W1292" i="1"/>
  <c r="U1292" i="1"/>
  <c r="T1292" i="1"/>
  <c r="S1292" i="1"/>
  <c r="R1292" i="1"/>
  <c r="Q1292" i="1"/>
  <c r="G1292" i="1"/>
  <c r="O1292" i="1" s="1"/>
  <c r="P1292" i="1" s="1"/>
  <c r="V1292" i="1" s="1"/>
  <c r="W1291" i="1"/>
  <c r="U1291" i="1"/>
  <c r="T1291" i="1"/>
  <c r="S1291" i="1"/>
  <c r="R1291" i="1"/>
  <c r="Q1291" i="1"/>
  <c r="G1291" i="1"/>
  <c r="O1291" i="1" s="1"/>
  <c r="P1291" i="1" s="1"/>
  <c r="V1291" i="1" s="1"/>
  <c r="W1290" i="1"/>
  <c r="V1290" i="1"/>
  <c r="T1290" i="1"/>
  <c r="S1290" i="1"/>
  <c r="R1290" i="1"/>
  <c r="Q1290" i="1"/>
  <c r="O1290" i="1"/>
  <c r="P1290" i="1" s="1"/>
  <c r="U1290" i="1" s="1"/>
  <c r="G1290" i="1"/>
  <c r="W1289" i="1"/>
  <c r="V1289" i="1"/>
  <c r="U1289" i="1"/>
  <c r="T1289" i="1"/>
  <c r="S1289" i="1"/>
  <c r="R1289" i="1"/>
  <c r="Q1289" i="1"/>
  <c r="G1289" i="1"/>
  <c r="O1289" i="1" s="1"/>
  <c r="P1289" i="1" s="1"/>
  <c r="M1288" i="1"/>
  <c r="L1288" i="1"/>
  <c r="K1288" i="1"/>
  <c r="I1288" i="1"/>
  <c r="H1288" i="1"/>
  <c r="J1288" i="1" s="1"/>
  <c r="N1288" i="1" s="1"/>
  <c r="X1287" i="1"/>
  <c r="W1287" i="1"/>
  <c r="V1287" i="1"/>
  <c r="U1287" i="1"/>
  <c r="T1287" i="1"/>
  <c r="S1287" i="1"/>
  <c r="R1287" i="1"/>
  <c r="O1287" i="1"/>
  <c r="P1287" i="1" s="1"/>
  <c r="Q1287" i="1" s="1"/>
  <c r="F1287" i="1"/>
  <c r="W1286" i="1"/>
  <c r="V1286" i="1"/>
  <c r="U1286" i="1"/>
  <c r="S1286" i="1"/>
  <c r="R1286" i="1"/>
  <c r="Q1286" i="1"/>
  <c r="G1286" i="1"/>
  <c r="O1286" i="1" s="1"/>
  <c r="P1286" i="1" s="1"/>
  <c r="T1286" i="1" s="1"/>
  <c r="X1286" i="1" s="1"/>
  <c r="W1285" i="1"/>
  <c r="V1285" i="1"/>
  <c r="U1285" i="1"/>
  <c r="S1285" i="1"/>
  <c r="R1285" i="1"/>
  <c r="X1285" i="1" s="1"/>
  <c r="Q1285" i="1"/>
  <c r="G1285" i="1"/>
  <c r="O1285" i="1" s="1"/>
  <c r="P1285" i="1" s="1"/>
  <c r="T1285" i="1" s="1"/>
  <c r="M1284" i="1"/>
  <c r="L1284" i="1"/>
  <c r="K1284" i="1"/>
  <c r="I1284" i="1"/>
  <c r="H1284" i="1"/>
  <c r="J1284" i="1" s="1"/>
  <c r="N1284" i="1" s="1"/>
  <c r="S1283" i="1"/>
  <c r="R1283" i="1"/>
  <c r="Q1283" i="1"/>
  <c r="O1283" i="1"/>
  <c r="E1283" i="1"/>
  <c r="D1283" i="1"/>
  <c r="V1282" i="1"/>
  <c r="T1282" i="1"/>
  <c r="R1282" i="1"/>
  <c r="O1282" i="1"/>
  <c r="P1282" i="1" s="1"/>
  <c r="E1282" i="1"/>
  <c r="F1282" i="1" s="1"/>
  <c r="D1282" i="1"/>
  <c r="U1282" i="1" s="1"/>
  <c r="W1281" i="1"/>
  <c r="V1281" i="1"/>
  <c r="U1281" i="1"/>
  <c r="T1281" i="1"/>
  <c r="R1281" i="1"/>
  <c r="Q1281" i="1"/>
  <c r="O1281" i="1"/>
  <c r="F1281" i="1"/>
  <c r="V1280" i="1"/>
  <c r="U1280" i="1"/>
  <c r="T1280" i="1"/>
  <c r="S1280" i="1"/>
  <c r="R1280" i="1"/>
  <c r="Q1280" i="1"/>
  <c r="G1280" i="1"/>
  <c r="O1280" i="1" s="1"/>
  <c r="P1280" i="1" s="1"/>
  <c r="W1280" i="1" s="1"/>
  <c r="W1279" i="1"/>
  <c r="V1279" i="1"/>
  <c r="T1279" i="1"/>
  <c r="S1279" i="1"/>
  <c r="R1279" i="1"/>
  <c r="Q1279" i="1"/>
  <c r="P1279" i="1"/>
  <c r="U1279" i="1" s="1"/>
  <c r="G1279" i="1"/>
  <c r="O1279" i="1" s="1"/>
  <c r="F1283" i="1" s="1"/>
  <c r="V1278" i="1"/>
  <c r="U1278" i="1"/>
  <c r="T1278" i="1"/>
  <c r="S1278" i="1"/>
  <c r="R1278" i="1"/>
  <c r="Q1278" i="1"/>
  <c r="O1278" i="1"/>
  <c r="P1278" i="1" s="1"/>
  <c r="W1278" i="1" s="1"/>
  <c r="G1278" i="1"/>
  <c r="N1277" i="1"/>
  <c r="M1277" i="1"/>
  <c r="L1277" i="1"/>
  <c r="K1277" i="1"/>
  <c r="I1277" i="1"/>
  <c r="H1277" i="1"/>
  <c r="J1277" i="1" s="1"/>
  <c r="U1276" i="1"/>
  <c r="T1276" i="1"/>
  <c r="S1276" i="1"/>
  <c r="R1276" i="1"/>
  <c r="O1276" i="1"/>
  <c r="E1276" i="1"/>
  <c r="F1276" i="1" s="1"/>
  <c r="D1276" i="1"/>
  <c r="W1275" i="1"/>
  <c r="O1275" i="1"/>
  <c r="F1275" i="1"/>
  <c r="E1275" i="1"/>
  <c r="D1275" i="1"/>
  <c r="W1274" i="1"/>
  <c r="V1274" i="1"/>
  <c r="U1274" i="1"/>
  <c r="T1274" i="1"/>
  <c r="R1274" i="1"/>
  <c r="Q1274" i="1"/>
  <c r="O1274" i="1"/>
  <c r="F1274" i="1"/>
  <c r="V1273" i="1"/>
  <c r="U1273" i="1"/>
  <c r="T1273" i="1"/>
  <c r="S1273" i="1"/>
  <c r="R1273" i="1"/>
  <c r="Q1273" i="1"/>
  <c r="G1273" i="1"/>
  <c r="O1273" i="1" s="1"/>
  <c r="P1273" i="1" s="1"/>
  <c r="W1273" i="1" s="1"/>
  <c r="W1272" i="1"/>
  <c r="V1272" i="1"/>
  <c r="T1272" i="1"/>
  <c r="S1272" i="1"/>
  <c r="R1272" i="1"/>
  <c r="Q1272" i="1"/>
  <c r="O1272" i="1"/>
  <c r="P1272" i="1" s="1"/>
  <c r="U1272" i="1" s="1"/>
  <c r="G1272" i="1"/>
  <c r="X1271" i="1"/>
  <c r="V1271" i="1"/>
  <c r="U1271" i="1"/>
  <c r="T1271" i="1"/>
  <c r="S1271" i="1"/>
  <c r="R1271" i="1"/>
  <c r="Q1271" i="1"/>
  <c r="G1271" i="1"/>
  <c r="O1271" i="1" s="1"/>
  <c r="P1271" i="1" s="1"/>
  <c r="W1271" i="1" s="1"/>
  <c r="N1270" i="1"/>
  <c r="M1270" i="1"/>
  <c r="L1270" i="1"/>
  <c r="K1270" i="1"/>
  <c r="J1270" i="1"/>
  <c r="I1270" i="1"/>
  <c r="H1270" i="1"/>
  <c r="O1269" i="1"/>
  <c r="E1269" i="1"/>
  <c r="D1269" i="1"/>
  <c r="F1268" i="1"/>
  <c r="E1268" i="1"/>
  <c r="D1268" i="1"/>
  <c r="W1267" i="1"/>
  <c r="V1267" i="1"/>
  <c r="U1267" i="1"/>
  <c r="T1267" i="1"/>
  <c r="R1267" i="1"/>
  <c r="Q1267" i="1"/>
  <c r="O1267" i="1"/>
  <c r="F1267" i="1"/>
  <c r="W1266" i="1"/>
  <c r="V1266" i="1"/>
  <c r="T1266" i="1"/>
  <c r="S1266" i="1"/>
  <c r="R1266" i="1"/>
  <c r="Q1266" i="1"/>
  <c r="G1266" i="1"/>
  <c r="O1266" i="1" s="1"/>
  <c r="P1266" i="1" s="1"/>
  <c r="U1266" i="1" s="1"/>
  <c r="W1265" i="1"/>
  <c r="U1265" i="1"/>
  <c r="T1265" i="1"/>
  <c r="S1265" i="1"/>
  <c r="R1265" i="1"/>
  <c r="Q1265" i="1"/>
  <c r="G1265" i="1"/>
  <c r="O1265" i="1" s="1"/>
  <c r="P1265" i="1" s="1"/>
  <c r="V1265" i="1" s="1"/>
  <c r="W1264" i="1"/>
  <c r="V1264" i="1"/>
  <c r="T1264" i="1"/>
  <c r="S1264" i="1"/>
  <c r="R1264" i="1"/>
  <c r="Q1264" i="1"/>
  <c r="G1264" i="1"/>
  <c r="O1264" i="1" s="1"/>
  <c r="P1264" i="1" s="1"/>
  <c r="U1264" i="1" s="1"/>
  <c r="M1263" i="1"/>
  <c r="L1263" i="1"/>
  <c r="K1263" i="1"/>
  <c r="I1263" i="1"/>
  <c r="H1263" i="1"/>
  <c r="J1263" i="1" s="1"/>
  <c r="N1263" i="1" s="1"/>
  <c r="W1262" i="1"/>
  <c r="O1262" i="1"/>
  <c r="E1262" i="1"/>
  <c r="D1262" i="1"/>
  <c r="Q1262" i="1" s="1"/>
  <c r="E1261" i="1"/>
  <c r="F1261" i="1" s="1"/>
  <c r="D1261" i="1"/>
  <c r="W1260" i="1"/>
  <c r="V1260" i="1"/>
  <c r="U1260" i="1"/>
  <c r="T1260" i="1"/>
  <c r="R1260" i="1"/>
  <c r="Q1260" i="1"/>
  <c r="O1260" i="1"/>
  <c r="F1260" i="1"/>
  <c r="P1260" i="1" s="1"/>
  <c r="S1260" i="1" s="1"/>
  <c r="W1259" i="1"/>
  <c r="V1259" i="1"/>
  <c r="T1259" i="1"/>
  <c r="S1259" i="1"/>
  <c r="R1259" i="1"/>
  <c r="Q1259" i="1"/>
  <c r="O1259" i="1"/>
  <c r="G1259" i="1"/>
  <c r="W1258" i="1"/>
  <c r="U1258" i="1"/>
  <c r="T1258" i="1"/>
  <c r="S1258" i="1"/>
  <c r="R1258" i="1"/>
  <c r="Q1258" i="1"/>
  <c r="O1258" i="1"/>
  <c r="P1258" i="1" s="1"/>
  <c r="V1258" i="1" s="1"/>
  <c r="G1258" i="1"/>
  <c r="W1257" i="1"/>
  <c r="V1257" i="1"/>
  <c r="U1257" i="1"/>
  <c r="T1257" i="1"/>
  <c r="S1257" i="1"/>
  <c r="R1257" i="1"/>
  <c r="Q1257" i="1"/>
  <c r="G1257" i="1"/>
  <c r="O1257" i="1" s="1"/>
  <c r="P1257" i="1" s="1"/>
  <c r="M1256" i="1"/>
  <c r="L1256" i="1"/>
  <c r="K1256" i="1"/>
  <c r="I1256" i="1"/>
  <c r="H1256" i="1"/>
  <c r="J1256" i="1" s="1"/>
  <c r="N1256" i="1" s="1"/>
  <c r="W1255" i="1"/>
  <c r="R1255" i="1"/>
  <c r="O1255" i="1"/>
  <c r="E1255" i="1"/>
  <c r="D1255" i="1"/>
  <c r="T1255" i="1" s="1"/>
  <c r="F1254" i="1"/>
  <c r="E1254" i="1"/>
  <c r="W1253" i="1"/>
  <c r="U1253" i="1"/>
  <c r="T1253" i="1"/>
  <c r="R1253" i="1"/>
  <c r="Q1253" i="1"/>
  <c r="O1253" i="1"/>
  <c r="P1253" i="1" s="1"/>
  <c r="S1253" i="1" s="1"/>
  <c r="F1253" i="1"/>
  <c r="E1253" i="1"/>
  <c r="D1253" i="1"/>
  <c r="V1253" i="1" s="1"/>
  <c r="F1252" i="1"/>
  <c r="D1252" i="1"/>
  <c r="W1251" i="1"/>
  <c r="V1251" i="1"/>
  <c r="U1251" i="1"/>
  <c r="T1251" i="1"/>
  <c r="R1251" i="1"/>
  <c r="Q1251" i="1"/>
  <c r="O1251" i="1"/>
  <c r="P1251" i="1" s="1"/>
  <c r="S1251" i="1" s="1"/>
  <c r="F1251" i="1"/>
  <c r="W1250" i="1"/>
  <c r="V1250" i="1"/>
  <c r="T1250" i="1"/>
  <c r="S1250" i="1"/>
  <c r="R1250" i="1"/>
  <c r="Q1250" i="1"/>
  <c r="O1250" i="1"/>
  <c r="G1250" i="1"/>
  <c r="W1249" i="1"/>
  <c r="U1249" i="1"/>
  <c r="T1249" i="1"/>
  <c r="S1249" i="1"/>
  <c r="R1249" i="1"/>
  <c r="Q1249" i="1"/>
  <c r="G1249" i="1"/>
  <c r="O1249" i="1" s="1"/>
  <c r="P1249" i="1" s="1"/>
  <c r="V1249" i="1" s="1"/>
  <c r="W1248" i="1"/>
  <c r="V1248" i="1"/>
  <c r="T1248" i="1"/>
  <c r="S1248" i="1"/>
  <c r="R1248" i="1"/>
  <c r="Q1248" i="1"/>
  <c r="G1248" i="1"/>
  <c r="O1248" i="1" s="1"/>
  <c r="P1248" i="1" s="1"/>
  <c r="U1248" i="1" s="1"/>
  <c r="W1247" i="1"/>
  <c r="V1247" i="1"/>
  <c r="T1247" i="1"/>
  <c r="S1247" i="1"/>
  <c r="R1247" i="1"/>
  <c r="Q1247" i="1"/>
  <c r="G1247" i="1"/>
  <c r="O1247" i="1" s="1"/>
  <c r="P1247" i="1" s="1"/>
  <c r="U1247" i="1" s="1"/>
  <c r="W1246" i="1"/>
  <c r="V1246" i="1"/>
  <c r="T1246" i="1"/>
  <c r="S1246" i="1"/>
  <c r="R1246" i="1"/>
  <c r="Q1246" i="1"/>
  <c r="G1246" i="1"/>
  <c r="O1246" i="1" s="1"/>
  <c r="P1246" i="1" s="1"/>
  <c r="U1246" i="1" s="1"/>
  <c r="N1245" i="1"/>
  <c r="M1245" i="1"/>
  <c r="L1245" i="1"/>
  <c r="K1245" i="1"/>
  <c r="I1245" i="1"/>
  <c r="H1245" i="1"/>
  <c r="J1245" i="1" s="1"/>
  <c r="E1244" i="1"/>
  <c r="F1244" i="1" s="1"/>
  <c r="W1243" i="1"/>
  <c r="S1243" i="1"/>
  <c r="F1243" i="1"/>
  <c r="E1243" i="1"/>
  <c r="D1243" i="1"/>
  <c r="W1242" i="1"/>
  <c r="F1242" i="1"/>
  <c r="D1242" i="1"/>
  <c r="W1241" i="1"/>
  <c r="V1241" i="1"/>
  <c r="U1241" i="1"/>
  <c r="T1241" i="1"/>
  <c r="S1241" i="1"/>
  <c r="Q1241" i="1"/>
  <c r="O1241" i="1"/>
  <c r="P1241" i="1" s="1"/>
  <c r="R1241" i="1" s="1"/>
  <c r="X1241" i="1" s="1"/>
  <c r="F1241" i="1"/>
  <c r="W1240" i="1"/>
  <c r="U1240" i="1"/>
  <c r="T1240" i="1"/>
  <c r="S1240" i="1"/>
  <c r="R1240" i="1"/>
  <c r="Q1240" i="1"/>
  <c r="X1240" i="1" s="1"/>
  <c r="O1240" i="1"/>
  <c r="P1240" i="1" s="1"/>
  <c r="V1240" i="1" s="1"/>
  <c r="G1240" i="1"/>
  <c r="W1239" i="1"/>
  <c r="V1239" i="1"/>
  <c r="U1239" i="1"/>
  <c r="T1239" i="1"/>
  <c r="S1239" i="1"/>
  <c r="R1239" i="1"/>
  <c r="Q1239" i="1"/>
  <c r="G1239" i="1"/>
  <c r="O1239" i="1" s="1"/>
  <c r="P1239" i="1" s="1"/>
  <c r="M1238" i="1"/>
  <c r="L1238" i="1"/>
  <c r="K1238" i="1"/>
  <c r="I1238" i="1"/>
  <c r="H1238" i="1"/>
  <c r="J1238" i="1" s="1"/>
  <c r="N1238" i="1" s="1"/>
  <c r="U1237" i="1"/>
  <c r="S1237" i="1"/>
  <c r="O1237" i="1"/>
  <c r="E1237" i="1"/>
  <c r="D1237" i="1"/>
  <c r="Q1237" i="1" s="1"/>
  <c r="F1236" i="1"/>
  <c r="E1236" i="1"/>
  <c r="V1235" i="1"/>
  <c r="S1235" i="1"/>
  <c r="R1235" i="1"/>
  <c r="O1235" i="1"/>
  <c r="P1235" i="1" s="1"/>
  <c r="Q1235" i="1" s="1"/>
  <c r="E1235" i="1"/>
  <c r="F1235" i="1" s="1"/>
  <c r="D1235" i="1"/>
  <c r="F1234" i="1"/>
  <c r="D1234" i="1"/>
  <c r="W1233" i="1"/>
  <c r="V1233" i="1"/>
  <c r="U1233" i="1"/>
  <c r="T1233" i="1"/>
  <c r="S1233" i="1"/>
  <c r="R1233" i="1"/>
  <c r="O1233" i="1"/>
  <c r="F1233" i="1"/>
  <c r="W1232" i="1"/>
  <c r="V1232" i="1"/>
  <c r="U1232" i="1"/>
  <c r="S1232" i="1"/>
  <c r="R1232" i="1"/>
  <c r="Q1232" i="1"/>
  <c r="O1232" i="1"/>
  <c r="G1232" i="1"/>
  <c r="W1231" i="1"/>
  <c r="V1231" i="1"/>
  <c r="T1231" i="1"/>
  <c r="S1231" i="1"/>
  <c r="R1231" i="1"/>
  <c r="Q1231" i="1"/>
  <c r="G1231" i="1"/>
  <c r="O1231" i="1" s="1"/>
  <c r="P1231" i="1" s="1"/>
  <c r="U1231" i="1" s="1"/>
  <c r="X1230" i="1"/>
  <c r="W1230" i="1"/>
  <c r="V1230" i="1"/>
  <c r="T1230" i="1"/>
  <c r="S1230" i="1"/>
  <c r="R1230" i="1"/>
  <c r="Q1230" i="1"/>
  <c r="G1230" i="1"/>
  <c r="O1230" i="1" s="1"/>
  <c r="P1230" i="1" s="1"/>
  <c r="U1230" i="1" s="1"/>
  <c r="N1229" i="1"/>
  <c r="M1229" i="1"/>
  <c r="L1229" i="1"/>
  <c r="K1229" i="1"/>
  <c r="I1229" i="1"/>
  <c r="H1229" i="1"/>
  <c r="J1229" i="1" s="1"/>
  <c r="O1228" i="1"/>
  <c r="F1228" i="1"/>
  <c r="P1228" i="1" s="1"/>
  <c r="V1228" i="1" s="1"/>
  <c r="E1228" i="1"/>
  <c r="D1228" i="1"/>
  <c r="T1228" i="1" s="1"/>
  <c r="E1227" i="1"/>
  <c r="F1227" i="1" s="1"/>
  <c r="D1227" i="1"/>
  <c r="W1226" i="1"/>
  <c r="V1226" i="1"/>
  <c r="U1226" i="1"/>
  <c r="T1226" i="1"/>
  <c r="S1226" i="1"/>
  <c r="R1226" i="1"/>
  <c r="O1226" i="1"/>
  <c r="P1226" i="1" s="1"/>
  <c r="Q1226" i="1" s="1"/>
  <c r="F1226" i="1"/>
  <c r="W1225" i="1"/>
  <c r="V1225" i="1"/>
  <c r="U1225" i="1"/>
  <c r="T1225" i="1"/>
  <c r="S1225" i="1"/>
  <c r="R1225" i="1"/>
  <c r="Q1225" i="1"/>
  <c r="O1225" i="1"/>
  <c r="P1225" i="1" s="1"/>
  <c r="G1225" i="1"/>
  <c r="W1224" i="1"/>
  <c r="V1224" i="1"/>
  <c r="U1224" i="1"/>
  <c r="T1224" i="1"/>
  <c r="S1224" i="1"/>
  <c r="R1224" i="1"/>
  <c r="Q1224" i="1"/>
  <c r="G1224" i="1"/>
  <c r="O1224" i="1" s="1"/>
  <c r="P1224" i="1" s="1"/>
  <c r="W1223" i="1"/>
  <c r="V1223" i="1"/>
  <c r="T1223" i="1"/>
  <c r="S1223" i="1"/>
  <c r="R1223" i="1"/>
  <c r="Q1223" i="1"/>
  <c r="X1223" i="1" s="1"/>
  <c r="O1223" i="1"/>
  <c r="P1223" i="1" s="1"/>
  <c r="U1223" i="1" s="1"/>
  <c r="G1223" i="1"/>
  <c r="M1222" i="1"/>
  <c r="L1222" i="1"/>
  <c r="K1222" i="1"/>
  <c r="J1222" i="1"/>
  <c r="N1222" i="1" s="1"/>
  <c r="I1222" i="1"/>
  <c r="H1222" i="1"/>
  <c r="O1221" i="1"/>
  <c r="E1221" i="1"/>
  <c r="F1221" i="1" s="1"/>
  <c r="D1221" i="1"/>
  <c r="W1220" i="1"/>
  <c r="V1220" i="1"/>
  <c r="T1220" i="1"/>
  <c r="R1220" i="1"/>
  <c r="Q1220" i="1"/>
  <c r="F1220" i="1"/>
  <c r="E1220" i="1"/>
  <c r="D1220" i="1"/>
  <c r="O1220" i="1" s="1"/>
  <c r="W1219" i="1"/>
  <c r="V1219" i="1"/>
  <c r="U1219" i="1"/>
  <c r="T1219" i="1"/>
  <c r="R1219" i="1"/>
  <c r="Q1219" i="1"/>
  <c r="O1219" i="1"/>
  <c r="F1219" i="1"/>
  <c r="W1218" i="1"/>
  <c r="V1218" i="1"/>
  <c r="U1218" i="1"/>
  <c r="S1218" i="1"/>
  <c r="R1218" i="1"/>
  <c r="Q1218" i="1"/>
  <c r="P1218" i="1"/>
  <c r="T1218" i="1" s="1"/>
  <c r="G1218" i="1"/>
  <c r="O1218" i="1" s="1"/>
  <c r="W1217" i="1"/>
  <c r="U1217" i="1"/>
  <c r="T1217" i="1"/>
  <c r="S1217" i="1"/>
  <c r="R1217" i="1"/>
  <c r="Q1217" i="1"/>
  <c r="O1217" i="1"/>
  <c r="P1217" i="1" s="1"/>
  <c r="V1217" i="1" s="1"/>
  <c r="G1217" i="1"/>
  <c r="W1216" i="1"/>
  <c r="U1216" i="1"/>
  <c r="T1216" i="1"/>
  <c r="S1216" i="1"/>
  <c r="R1216" i="1"/>
  <c r="Q1216" i="1"/>
  <c r="O1216" i="1"/>
  <c r="P1216" i="1" s="1"/>
  <c r="V1216" i="1" s="1"/>
  <c r="G1216" i="1"/>
  <c r="W1215" i="1"/>
  <c r="V1215" i="1"/>
  <c r="T1215" i="1"/>
  <c r="S1215" i="1"/>
  <c r="R1215" i="1"/>
  <c r="Q1215" i="1"/>
  <c r="P1215" i="1"/>
  <c r="U1215" i="1" s="1"/>
  <c r="G1215" i="1"/>
  <c r="O1215" i="1" s="1"/>
  <c r="W1214" i="1"/>
  <c r="U1214" i="1"/>
  <c r="T1214" i="1"/>
  <c r="S1214" i="1"/>
  <c r="R1214" i="1"/>
  <c r="Q1214" i="1"/>
  <c r="O1214" i="1"/>
  <c r="P1214" i="1" s="1"/>
  <c r="V1214" i="1" s="1"/>
  <c r="G1214" i="1"/>
  <c r="M1213" i="1"/>
  <c r="L1213" i="1"/>
  <c r="K1213" i="1"/>
  <c r="I1213" i="1"/>
  <c r="H1213" i="1"/>
  <c r="J1213" i="1" s="1"/>
  <c r="N1213" i="1" s="1"/>
  <c r="W1212" i="1"/>
  <c r="V1212" i="1"/>
  <c r="U1212" i="1"/>
  <c r="T1212" i="1"/>
  <c r="S1212" i="1"/>
  <c r="R1212" i="1"/>
  <c r="O1212" i="1"/>
  <c r="F1212" i="1"/>
  <c r="W1211" i="1"/>
  <c r="V1211" i="1"/>
  <c r="U1211" i="1"/>
  <c r="S1211" i="1"/>
  <c r="R1211" i="1"/>
  <c r="Q1211" i="1"/>
  <c r="G1211" i="1"/>
  <c r="O1211" i="1" s="1"/>
  <c r="P1211" i="1" s="1"/>
  <c r="T1211" i="1" s="1"/>
  <c r="W1210" i="1"/>
  <c r="V1210" i="1"/>
  <c r="U1210" i="1"/>
  <c r="S1210" i="1"/>
  <c r="R1210" i="1"/>
  <c r="Q1210" i="1"/>
  <c r="O1210" i="1"/>
  <c r="P1210" i="1" s="1"/>
  <c r="T1210" i="1" s="1"/>
  <c r="G1210" i="1"/>
  <c r="N1209" i="1"/>
  <c r="M1209" i="1"/>
  <c r="L1209" i="1"/>
  <c r="K1209" i="1"/>
  <c r="J1209" i="1"/>
  <c r="I1209" i="1"/>
  <c r="H1209" i="1"/>
  <c r="W1208" i="1"/>
  <c r="T1208" i="1"/>
  <c r="R1208" i="1"/>
  <c r="Q1208" i="1"/>
  <c r="O1208" i="1"/>
  <c r="F1208" i="1"/>
  <c r="E1208" i="1"/>
  <c r="D1208" i="1"/>
  <c r="E1207" i="1"/>
  <c r="F1207" i="1" s="1"/>
  <c r="E1206" i="1"/>
  <c r="F1206" i="1" s="1"/>
  <c r="D1206" i="1"/>
  <c r="F1205" i="1"/>
  <c r="D1205" i="1"/>
  <c r="D1207" i="1" s="1"/>
  <c r="W1204" i="1"/>
  <c r="V1204" i="1"/>
  <c r="U1204" i="1"/>
  <c r="T1204" i="1"/>
  <c r="S1204" i="1"/>
  <c r="R1204" i="1"/>
  <c r="P1204" i="1"/>
  <c r="Q1204" i="1" s="1"/>
  <c r="O1204" i="1"/>
  <c r="F1204" i="1"/>
  <c r="W1203" i="1"/>
  <c r="V1203" i="1"/>
  <c r="U1203" i="1"/>
  <c r="S1203" i="1"/>
  <c r="R1203" i="1"/>
  <c r="Q1203" i="1"/>
  <c r="X1203" i="1" s="1"/>
  <c r="O1203" i="1"/>
  <c r="P1203" i="1" s="1"/>
  <c r="T1203" i="1" s="1"/>
  <c r="G1203" i="1"/>
  <c r="W1202" i="1"/>
  <c r="V1202" i="1"/>
  <c r="T1202" i="1"/>
  <c r="S1202" i="1"/>
  <c r="R1202" i="1"/>
  <c r="Q1202" i="1"/>
  <c r="O1202" i="1"/>
  <c r="P1202" i="1" s="1"/>
  <c r="U1202" i="1" s="1"/>
  <c r="G1202" i="1"/>
  <c r="W1201" i="1"/>
  <c r="V1201" i="1"/>
  <c r="T1201" i="1"/>
  <c r="S1201" i="1"/>
  <c r="R1201" i="1"/>
  <c r="Q1201" i="1"/>
  <c r="G1201" i="1"/>
  <c r="O1201" i="1" s="1"/>
  <c r="P1201" i="1" s="1"/>
  <c r="U1201" i="1" s="1"/>
  <c r="M1200" i="1"/>
  <c r="L1200" i="1"/>
  <c r="K1200" i="1"/>
  <c r="J1200" i="1"/>
  <c r="N1200" i="1" s="1"/>
  <c r="I1200" i="1"/>
  <c r="H1200" i="1"/>
  <c r="U1199" i="1"/>
  <c r="T1199" i="1"/>
  <c r="O1199" i="1"/>
  <c r="E1199" i="1"/>
  <c r="F1199" i="1" s="1"/>
  <c r="D1199" i="1"/>
  <c r="E1198" i="1"/>
  <c r="F1198" i="1" s="1"/>
  <c r="F1197" i="1"/>
  <c r="E1197" i="1"/>
  <c r="D1197" i="1"/>
  <c r="F1196" i="1"/>
  <c r="D1196" i="1"/>
  <c r="W1195" i="1"/>
  <c r="V1195" i="1"/>
  <c r="U1195" i="1"/>
  <c r="T1195" i="1"/>
  <c r="R1195" i="1"/>
  <c r="Q1195" i="1"/>
  <c r="O1195" i="1"/>
  <c r="P1195" i="1" s="1"/>
  <c r="S1195" i="1" s="1"/>
  <c r="F1195" i="1"/>
  <c r="W1194" i="1"/>
  <c r="V1194" i="1"/>
  <c r="U1194" i="1"/>
  <c r="T1194" i="1"/>
  <c r="S1194" i="1"/>
  <c r="R1194" i="1"/>
  <c r="Q1194" i="1"/>
  <c r="P1194" i="1"/>
  <c r="O1194" i="1"/>
  <c r="G1194" i="1"/>
  <c r="W1193" i="1"/>
  <c r="U1193" i="1"/>
  <c r="T1193" i="1"/>
  <c r="S1193" i="1"/>
  <c r="R1193" i="1"/>
  <c r="Q1193" i="1"/>
  <c r="G1193" i="1"/>
  <c r="O1193" i="1" s="1"/>
  <c r="P1193" i="1" s="1"/>
  <c r="V1193" i="1" s="1"/>
  <c r="W1192" i="1"/>
  <c r="V1192" i="1"/>
  <c r="T1192" i="1"/>
  <c r="S1192" i="1"/>
  <c r="R1192" i="1"/>
  <c r="Q1192" i="1"/>
  <c r="G1192" i="1"/>
  <c r="O1192" i="1" s="1"/>
  <c r="P1192" i="1" s="1"/>
  <c r="U1192" i="1" s="1"/>
  <c r="W1191" i="1"/>
  <c r="U1191" i="1"/>
  <c r="T1191" i="1"/>
  <c r="S1191" i="1"/>
  <c r="R1191" i="1"/>
  <c r="Q1191" i="1"/>
  <c r="G1191" i="1"/>
  <c r="O1191" i="1" s="1"/>
  <c r="P1191" i="1" s="1"/>
  <c r="V1191" i="1" s="1"/>
  <c r="W1190" i="1"/>
  <c r="V1190" i="1"/>
  <c r="T1190" i="1"/>
  <c r="S1190" i="1"/>
  <c r="R1190" i="1"/>
  <c r="Q1190" i="1"/>
  <c r="G1190" i="1"/>
  <c r="O1190" i="1" s="1"/>
  <c r="P1190" i="1" s="1"/>
  <c r="U1190" i="1" s="1"/>
  <c r="M1189" i="1"/>
  <c r="L1189" i="1"/>
  <c r="K1189" i="1"/>
  <c r="I1189" i="1"/>
  <c r="H1189" i="1"/>
  <c r="J1189" i="1" s="1"/>
  <c r="N1189" i="1" s="1"/>
  <c r="O1188" i="1"/>
  <c r="E1188" i="1"/>
  <c r="D1188" i="1"/>
  <c r="Q1187" i="1"/>
  <c r="E1187" i="1"/>
  <c r="F1187" i="1" s="1"/>
  <c r="D1187" i="1"/>
  <c r="S1186" i="1"/>
  <c r="Q1186" i="1"/>
  <c r="E1186" i="1"/>
  <c r="F1186" i="1" s="1"/>
  <c r="D1186" i="1"/>
  <c r="U1185" i="1"/>
  <c r="T1185" i="1"/>
  <c r="S1185" i="1"/>
  <c r="Q1185" i="1"/>
  <c r="F1185" i="1"/>
  <c r="D1185" i="1"/>
  <c r="W1184" i="1"/>
  <c r="V1184" i="1"/>
  <c r="U1184" i="1"/>
  <c r="T1184" i="1"/>
  <c r="S1184" i="1"/>
  <c r="Q1184" i="1"/>
  <c r="P1184" i="1"/>
  <c r="R1184" i="1" s="1"/>
  <c r="O1184" i="1"/>
  <c r="F1184" i="1"/>
  <c r="W1183" i="1"/>
  <c r="V1183" i="1"/>
  <c r="T1183" i="1"/>
  <c r="S1183" i="1"/>
  <c r="R1183" i="1"/>
  <c r="Q1183" i="1"/>
  <c r="O1183" i="1"/>
  <c r="G1183" i="1"/>
  <c r="W1182" i="1"/>
  <c r="U1182" i="1"/>
  <c r="T1182" i="1"/>
  <c r="S1182" i="1"/>
  <c r="R1182" i="1"/>
  <c r="Q1182" i="1"/>
  <c r="G1182" i="1"/>
  <c r="O1182" i="1" s="1"/>
  <c r="P1182" i="1" s="1"/>
  <c r="V1182" i="1" s="1"/>
  <c r="W1181" i="1"/>
  <c r="V1181" i="1"/>
  <c r="T1181" i="1"/>
  <c r="S1181" i="1"/>
  <c r="R1181" i="1"/>
  <c r="Q1181" i="1"/>
  <c r="O1181" i="1"/>
  <c r="P1181" i="1" s="1"/>
  <c r="U1181" i="1" s="1"/>
  <c r="G1181" i="1"/>
  <c r="M1180" i="1"/>
  <c r="L1180" i="1"/>
  <c r="K1180" i="1"/>
  <c r="I1180" i="1"/>
  <c r="H1180" i="1"/>
  <c r="J1180" i="1" s="1"/>
  <c r="N1180" i="1" s="1"/>
  <c r="W1179" i="1"/>
  <c r="V1179" i="1"/>
  <c r="U1179" i="1"/>
  <c r="T1179" i="1"/>
  <c r="S1179" i="1"/>
  <c r="R1179" i="1"/>
  <c r="O1179" i="1"/>
  <c r="F1179" i="1"/>
  <c r="W1178" i="1"/>
  <c r="V1178" i="1"/>
  <c r="U1178" i="1"/>
  <c r="S1178" i="1"/>
  <c r="R1178" i="1"/>
  <c r="Q1178" i="1"/>
  <c r="P1178" i="1"/>
  <c r="T1178" i="1" s="1"/>
  <c r="G1178" i="1"/>
  <c r="O1178" i="1" s="1"/>
  <c r="W1177" i="1"/>
  <c r="V1177" i="1"/>
  <c r="U1177" i="1"/>
  <c r="S1177" i="1"/>
  <c r="R1177" i="1"/>
  <c r="Q1177" i="1"/>
  <c r="O1177" i="1"/>
  <c r="P1177" i="1" s="1"/>
  <c r="T1177" i="1" s="1"/>
  <c r="G1177" i="1"/>
  <c r="M1176" i="1"/>
  <c r="L1176" i="1"/>
  <c r="K1176" i="1"/>
  <c r="I1176" i="1"/>
  <c r="H1176" i="1"/>
  <c r="J1176" i="1" s="1"/>
  <c r="N1176" i="1" s="1"/>
  <c r="W1175" i="1"/>
  <c r="T1175" i="1"/>
  <c r="O1175" i="1"/>
  <c r="F1175" i="1"/>
  <c r="E1175" i="1"/>
  <c r="D1175" i="1"/>
  <c r="E1174" i="1"/>
  <c r="F1174" i="1" s="1"/>
  <c r="D1174" i="1"/>
  <c r="W1173" i="1"/>
  <c r="V1173" i="1"/>
  <c r="U1173" i="1"/>
  <c r="T1173" i="1"/>
  <c r="R1173" i="1"/>
  <c r="Q1173" i="1"/>
  <c r="P1173" i="1"/>
  <c r="S1173" i="1" s="1"/>
  <c r="O1173" i="1"/>
  <c r="F1173" i="1"/>
  <c r="W1172" i="1"/>
  <c r="U1172" i="1"/>
  <c r="T1172" i="1"/>
  <c r="S1172" i="1"/>
  <c r="R1172" i="1"/>
  <c r="Q1172" i="1"/>
  <c r="G1172" i="1"/>
  <c r="O1172" i="1" s="1"/>
  <c r="P1172" i="1" s="1"/>
  <c r="V1172" i="1" s="1"/>
  <c r="W1171" i="1"/>
  <c r="U1171" i="1"/>
  <c r="T1171" i="1"/>
  <c r="S1171" i="1"/>
  <c r="R1171" i="1"/>
  <c r="Q1171" i="1"/>
  <c r="G1171" i="1"/>
  <c r="O1171" i="1" s="1"/>
  <c r="P1171" i="1" s="1"/>
  <c r="V1171" i="1" s="1"/>
  <c r="M1170" i="1"/>
  <c r="L1170" i="1"/>
  <c r="K1170" i="1"/>
  <c r="I1170" i="1"/>
  <c r="H1170" i="1"/>
  <c r="J1170" i="1" s="1"/>
  <c r="N1170" i="1" s="1"/>
  <c r="U1169" i="1"/>
  <c r="T1169" i="1"/>
  <c r="S1169" i="1"/>
  <c r="O1169" i="1"/>
  <c r="E1169" i="1"/>
  <c r="D1169" i="1"/>
  <c r="Q1169" i="1" s="1"/>
  <c r="F1168" i="1"/>
  <c r="E1168" i="1"/>
  <c r="U1167" i="1"/>
  <c r="T1167" i="1"/>
  <c r="E1167" i="1"/>
  <c r="F1167" i="1" s="1"/>
  <c r="D1167" i="1"/>
  <c r="F1166" i="1"/>
  <c r="D1166" i="1"/>
  <c r="W1165" i="1"/>
  <c r="V1165" i="1"/>
  <c r="U1165" i="1"/>
  <c r="T1165" i="1"/>
  <c r="R1165" i="1"/>
  <c r="Q1165" i="1"/>
  <c r="O1165" i="1"/>
  <c r="F1165" i="1"/>
  <c r="W1164" i="1"/>
  <c r="V1164" i="1"/>
  <c r="T1164" i="1"/>
  <c r="S1164" i="1"/>
  <c r="R1164" i="1"/>
  <c r="Q1164" i="1"/>
  <c r="O1164" i="1"/>
  <c r="P1164" i="1" s="1"/>
  <c r="U1164" i="1" s="1"/>
  <c r="G1164" i="1"/>
  <c r="W1163" i="1"/>
  <c r="U1163" i="1"/>
  <c r="T1163" i="1"/>
  <c r="S1163" i="1"/>
  <c r="R1163" i="1"/>
  <c r="Q1163" i="1"/>
  <c r="O1163" i="1"/>
  <c r="P1163" i="1" s="1"/>
  <c r="V1163" i="1" s="1"/>
  <c r="G1163" i="1"/>
  <c r="W1162" i="1"/>
  <c r="U1162" i="1"/>
  <c r="T1162" i="1"/>
  <c r="S1162" i="1"/>
  <c r="R1162" i="1"/>
  <c r="Q1162" i="1"/>
  <c r="O1162" i="1"/>
  <c r="P1162" i="1" s="1"/>
  <c r="V1162" i="1" s="1"/>
  <c r="G1162" i="1"/>
  <c r="W1161" i="1"/>
  <c r="U1161" i="1"/>
  <c r="T1161" i="1"/>
  <c r="S1161" i="1"/>
  <c r="R1161" i="1"/>
  <c r="Q1161" i="1"/>
  <c r="G1161" i="1"/>
  <c r="O1161" i="1" s="1"/>
  <c r="P1161" i="1" s="1"/>
  <c r="V1161" i="1" s="1"/>
  <c r="W1160" i="1"/>
  <c r="U1160" i="1"/>
  <c r="T1160" i="1"/>
  <c r="S1160" i="1"/>
  <c r="R1160" i="1"/>
  <c r="Q1160" i="1"/>
  <c r="P1160" i="1"/>
  <c r="V1160" i="1" s="1"/>
  <c r="O1160" i="1"/>
  <c r="G1160" i="1"/>
  <c r="M1159" i="1"/>
  <c r="L1159" i="1"/>
  <c r="K1159" i="1"/>
  <c r="I1159" i="1"/>
  <c r="H1159" i="1"/>
  <c r="J1159" i="1" s="1"/>
  <c r="N1159" i="1" s="1"/>
  <c r="O1158" i="1"/>
  <c r="E1158" i="1"/>
  <c r="D1158" i="1"/>
  <c r="U1157" i="1"/>
  <c r="R1157" i="1"/>
  <c r="E1157" i="1"/>
  <c r="F1157" i="1" s="1"/>
  <c r="D1157" i="1"/>
  <c r="W1157" i="1" s="1"/>
  <c r="W1156" i="1"/>
  <c r="V1156" i="1"/>
  <c r="U1156" i="1"/>
  <c r="T1156" i="1"/>
  <c r="S1156" i="1"/>
  <c r="R1156" i="1"/>
  <c r="O1156" i="1"/>
  <c r="F1156" i="1"/>
  <c r="W1155" i="1"/>
  <c r="V1155" i="1"/>
  <c r="U1155" i="1"/>
  <c r="S1155" i="1"/>
  <c r="R1155" i="1"/>
  <c r="Q1155" i="1"/>
  <c r="G1155" i="1"/>
  <c r="O1155" i="1" s="1"/>
  <c r="W1154" i="1"/>
  <c r="V1154" i="1"/>
  <c r="T1154" i="1"/>
  <c r="S1154" i="1"/>
  <c r="R1154" i="1"/>
  <c r="Q1154" i="1"/>
  <c r="X1154" i="1" s="1"/>
  <c r="G1154" i="1"/>
  <c r="O1154" i="1" s="1"/>
  <c r="P1154" i="1" s="1"/>
  <c r="U1154" i="1" s="1"/>
  <c r="W1153" i="1"/>
  <c r="V1153" i="1"/>
  <c r="U1153" i="1"/>
  <c r="S1153" i="1"/>
  <c r="R1153" i="1"/>
  <c r="Q1153" i="1"/>
  <c r="O1153" i="1"/>
  <c r="P1153" i="1" s="1"/>
  <c r="T1153" i="1" s="1"/>
  <c r="G1153" i="1"/>
  <c r="W1152" i="1"/>
  <c r="V1152" i="1"/>
  <c r="T1152" i="1"/>
  <c r="S1152" i="1"/>
  <c r="R1152" i="1"/>
  <c r="Q1152" i="1"/>
  <c r="P1152" i="1"/>
  <c r="U1152" i="1" s="1"/>
  <c r="G1152" i="1"/>
  <c r="O1152" i="1" s="1"/>
  <c r="M1151" i="1"/>
  <c r="L1151" i="1"/>
  <c r="K1151" i="1"/>
  <c r="I1151" i="1"/>
  <c r="H1151" i="1"/>
  <c r="J1151" i="1" s="1"/>
  <c r="N1151" i="1" s="1"/>
  <c r="O1150" i="1"/>
  <c r="E1150" i="1"/>
  <c r="D1150" i="1"/>
  <c r="W1149" i="1"/>
  <c r="V1149" i="1"/>
  <c r="U1149" i="1"/>
  <c r="T1149" i="1"/>
  <c r="S1149" i="1"/>
  <c r="R1149" i="1"/>
  <c r="Q1149" i="1"/>
  <c r="O1149" i="1"/>
  <c r="F1149" i="1"/>
  <c r="P1149" i="1" s="1"/>
  <c r="W1148" i="1"/>
  <c r="V1148" i="1"/>
  <c r="T1148" i="1"/>
  <c r="S1148" i="1"/>
  <c r="R1148" i="1"/>
  <c r="Q1148" i="1"/>
  <c r="O1148" i="1"/>
  <c r="G1148" i="1"/>
  <c r="W1147" i="1"/>
  <c r="V1147" i="1"/>
  <c r="T1147" i="1"/>
  <c r="S1147" i="1"/>
  <c r="R1147" i="1"/>
  <c r="Q1147" i="1"/>
  <c r="P1147" i="1"/>
  <c r="U1147" i="1" s="1"/>
  <c r="G1147" i="1"/>
  <c r="O1147" i="1" s="1"/>
  <c r="W1146" i="1"/>
  <c r="V1146" i="1"/>
  <c r="T1146" i="1"/>
  <c r="S1146" i="1"/>
  <c r="R1146" i="1"/>
  <c r="Q1146" i="1"/>
  <c r="G1146" i="1"/>
  <c r="O1146" i="1" s="1"/>
  <c r="P1146" i="1" s="1"/>
  <c r="U1146" i="1" s="1"/>
  <c r="M1145" i="1"/>
  <c r="L1145" i="1"/>
  <c r="K1145" i="1"/>
  <c r="I1145" i="1"/>
  <c r="H1145" i="1"/>
  <c r="J1145" i="1" s="1"/>
  <c r="N1145" i="1" s="1"/>
  <c r="O1144" i="1"/>
  <c r="E1144" i="1"/>
  <c r="D1144" i="1"/>
  <c r="E1143" i="1"/>
  <c r="F1143" i="1" s="1"/>
  <c r="D1143" i="1"/>
  <c r="O1143" i="1" s="1"/>
  <c r="E1142" i="1"/>
  <c r="F1142" i="1" s="1"/>
  <c r="D1142" i="1"/>
  <c r="Q1141" i="1"/>
  <c r="F1141" i="1"/>
  <c r="D1141" i="1"/>
  <c r="W1140" i="1"/>
  <c r="V1140" i="1"/>
  <c r="U1140" i="1"/>
  <c r="T1140" i="1"/>
  <c r="R1140" i="1"/>
  <c r="Q1140" i="1"/>
  <c r="O1140" i="1"/>
  <c r="F1140" i="1"/>
  <c r="W1139" i="1"/>
  <c r="U1139" i="1"/>
  <c r="T1139" i="1"/>
  <c r="S1139" i="1"/>
  <c r="R1139" i="1"/>
  <c r="Q1139" i="1"/>
  <c r="O1139" i="1"/>
  <c r="G1139" i="1"/>
  <c r="W1138" i="1"/>
  <c r="U1138" i="1"/>
  <c r="T1138" i="1"/>
  <c r="S1138" i="1"/>
  <c r="R1138" i="1"/>
  <c r="Q1138" i="1"/>
  <c r="O1138" i="1"/>
  <c r="P1138" i="1" s="1"/>
  <c r="V1138" i="1" s="1"/>
  <c r="G1138" i="1"/>
  <c r="V1137" i="1"/>
  <c r="U1137" i="1"/>
  <c r="T1137" i="1"/>
  <c r="S1137" i="1"/>
  <c r="R1137" i="1"/>
  <c r="Q1137" i="1"/>
  <c r="P1137" i="1"/>
  <c r="W1137" i="1" s="1"/>
  <c r="G1137" i="1"/>
  <c r="O1137" i="1" s="1"/>
  <c r="W1136" i="1"/>
  <c r="V1136" i="1"/>
  <c r="U1136" i="1"/>
  <c r="S1136" i="1"/>
  <c r="R1136" i="1"/>
  <c r="Q1136" i="1"/>
  <c r="X1136" i="1" s="1"/>
  <c r="P1136" i="1"/>
  <c r="T1136" i="1" s="1"/>
  <c r="O1136" i="1"/>
  <c r="G1136" i="1"/>
  <c r="W1135" i="1"/>
  <c r="U1135" i="1"/>
  <c r="T1135" i="1"/>
  <c r="S1135" i="1"/>
  <c r="R1135" i="1"/>
  <c r="Q1135" i="1"/>
  <c r="G1135" i="1"/>
  <c r="O1135" i="1" s="1"/>
  <c r="P1135" i="1" s="1"/>
  <c r="V1135" i="1" s="1"/>
  <c r="M1134" i="1"/>
  <c r="L1134" i="1"/>
  <c r="K1134" i="1"/>
  <c r="I1134" i="1"/>
  <c r="H1134" i="1"/>
  <c r="J1134" i="1" s="1"/>
  <c r="N1134" i="1" s="1"/>
  <c r="W1133" i="1"/>
  <c r="T1133" i="1"/>
  <c r="S1133" i="1"/>
  <c r="R1133" i="1"/>
  <c r="Q1133" i="1"/>
  <c r="O1133" i="1"/>
  <c r="E1133" i="1"/>
  <c r="F1133" i="1" s="1"/>
  <c r="P1133" i="1" s="1"/>
  <c r="V1133" i="1" s="1"/>
  <c r="D1133" i="1"/>
  <c r="U1133" i="1" s="1"/>
  <c r="W1132" i="1"/>
  <c r="V1132" i="1"/>
  <c r="U1132" i="1"/>
  <c r="T1132" i="1"/>
  <c r="R1132" i="1"/>
  <c r="Q1132" i="1"/>
  <c r="O1132" i="1"/>
  <c r="F1132" i="1"/>
  <c r="W1131" i="1"/>
  <c r="V1131" i="1"/>
  <c r="T1131" i="1"/>
  <c r="S1131" i="1"/>
  <c r="R1131" i="1"/>
  <c r="Q1131" i="1"/>
  <c r="P1131" i="1"/>
  <c r="U1131" i="1" s="1"/>
  <c r="G1131" i="1"/>
  <c r="O1131" i="1" s="1"/>
  <c r="W1130" i="1"/>
  <c r="V1130" i="1"/>
  <c r="T1130" i="1"/>
  <c r="S1130" i="1"/>
  <c r="R1130" i="1"/>
  <c r="Q1130" i="1"/>
  <c r="O1130" i="1"/>
  <c r="P1130" i="1" s="1"/>
  <c r="U1130" i="1" s="1"/>
  <c r="G1130" i="1"/>
  <c r="N1129" i="1"/>
  <c r="L1129" i="1"/>
  <c r="K1129" i="1"/>
  <c r="I1129" i="1"/>
  <c r="H1129" i="1"/>
  <c r="J1129" i="1" s="1"/>
  <c r="M1129" i="1" s="1"/>
  <c r="U1128" i="1"/>
  <c r="T1128" i="1"/>
  <c r="S1128" i="1"/>
  <c r="P1128" i="1"/>
  <c r="V1128" i="1" s="1"/>
  <c r="O1128" i="1"/>
  <c r="E1128" i="1"/>
  <c r="F1128" i="1" s="1"/>
  <c r="D1128" i="1"/>
  <c r="W1127" i="1"/>
  <c r="V1127" i="1"/>
  <c r="U1127" i="1"/>
  <c r="T1127" i="1"/>
  <c r="S1127" i="1"/>
  <c r="R1127" i="1"/>
  <c r="O1127" i="1"/>
  <c r="F1127" i="1"/>
  <c r="W1126" i="1"/>
  <c r="V1126" i="1"/>
  <c r="U1126" i="1"/>
  <c r="S1126" i="1"/>
  <c r="R1126" i="1"/>
  <c r="Q1126" i="1"/>
  <c r="G1126" i="1"/>
  <c r="O1126" i="1" s="1"/>
  <c r="P1126" i="1" s="1"/>
  <c r="T1126" i="1" s="1"/>
  <c r="W1125" i="1"/>
  <c r="V1125" i="1"/>
  <c r="U1125" i="1"/>
  <c r="S1125" i="1"/>
  <c r="R1125" i="1"/>
  <c r="Q1125" i="1"/>
  <c r="O1125" i="1"/>
  <c r="P1125" i="1" s="1"/>
  <c r="T1125" i="1" s="1"/>
  <c r="G1125" i="1"/>
  <c r="M1124" i="1"/>
  <c r="L1124" i="1"/>
  <c r="K1124" i="1"/>
  <c r="I1124" i="1"/>
  <c r="H1124" i="1"/>
  <c r="J1124" i="1" s="1"/>
  <c r="N1124" i="1" s="1"/>
  <c r="W1123" i="1"/>
  <c r="V1123" i="1"/>
  <c r="S1123" i="1"/>
  <c r="R1123" i="1"/>
  <c r="F1123" i="1"/>
  <c r="E1123" i="1"/>
  <c r="D1123" i="1"/>
  <c r="W1122" i="1"/>
  <c r="V1122" i="1"/>
  <c r="U1122" i="1"/>
  <c r="T1122" i="1"/>
  <c r="S1122" i="1"/>
  <c r="R1122" i="1"/>
  <c r="O1122" i="1"/>
  <c r="F1122" i="1"/>
  <c r="W1121" i="1"/>
  <c r="V1121" i="1"/>
  <c r="T1121" i="1"/>
  <c r="S1121" i="1"/>
  <c r="R1121" i="1"/>
  <c r="Q1121" i="1"/>
  <c r="O1121" i="1"/>
  <c r="P1121" i="1" s="1"/>
  <c r="U1121" i="1" s="1"/>
  <c r="G1121" i="1"/>
  <c r="W1120" i="1"/>
  <c r="U1120" i="1"/>
  <c r="T1120" i="1"/>
  <c r="S1120" i="1"/>
  <c r="R1120" i="1"/>
  <c r="Q1120" i="1"/>
  <c r="O1120" i="1"/>
  <c r="P1120" i="1" s="1"/>
  <c r="V1120" i="1" s="1"/>
  <c r="G1120" i="1"/>
  <c r="M1119" i="1"/>
  <c r="L1119" i="1"/>
  <c r="K1119" i="1"/>
  <c r="J1119" i="1"/>
  <c r="N1119" i="1" s="1"/>
  <c r="I1119" i="1"/>
  <c r="H1119" i="1"/>
  <c r="O1118" i="1"/>
  <c r="E1118" i="1"/>
  <c r="F1118" i="1" s="1"/>
  <c r="D1118" i="1"/>
  <c r="F1117" i="1"/>
  <c r="E1117" i="1"/>
  <c r="E1116" i="1"/>
  <c r="F1116" i="1" s="1"/>
  <c r="D1116" i="1"/>
  <c r="W1115" i="1"/>
  <c r="V1115" i="1"/>
  <c r="F1115" i="1"/>
  <c r="D1115" i="1"/>
  <c r="W1114" i="1"/>
  <c r="V1114" i="1"/>
  <c r="U1114" i="1"/>
  <c r="T1114" i="1"/>
  <c r="S1114" i="1"/>
  <c r="Q1114" i="1"/>
  <c r="O1114" i="1"/>
  <c r="F1114" i="1"/>
  <c r="W1113" i="1"/>
  <c r="V1113" i="1"/>
  <c r="U1113" i="1"/>
  <c r="S1113" i="1"/>
  <c r="R1113" i="1"/>
  <c r="Q1113" i="1"/>
  <c r="O1113" i="1"/>
  <c r="P1113" i="1" s="1"/>
  <c r="T1113" i="1" s="1"/>
  <c r="G1113" i="1"/>
  <c r="W1112" i="1"/>
  <c r="V1112" i="1"/>
  <c r="T1112" i="1"/>
  <c r="S1112" i="1"/>
  <c r="R1112" i="1"/>
  <c r="Q1112" i="1"/>
  <c r="O1112" i="1"/>
  <c r="P1112" i="1" s="1"/>
  <c r="U1112" i="1" s="1"/>
  <c r="G1112" i="1"/>
  <c r="W1111" i="1"/>
  <c r="V1111" i="1"/>
  <c r="U1111" i="1"/>
  <c r="S1111" i="1"/>
  <c r="R1111" i="1"/>
  <c r="Q1111" i="1"/>
  <c r="G1111" i="1"/>
  <c r="O1111" i="1" s="1"/>
  <c r="P1111" i="1" s="1"/>
  <c r="T1111" i="1" s="1"/>
  <c r="W1110" i="1"/>
  <c r="U1110" i="1"/>
  <c r="T1110" i="1"/>
  <c r="S1110" i="1"/>
  <c r="R1110" i="1"/>
  <c r="Q1110" i="1"/>
  <c r="O1110" i="1"/>
  <c r="P1110" i="1" s="1"/>
  <c r="V1110" i="1" s="1"/>
  <c r="G1110" i="1"/>
  <c r="W1109" i="1"/>
  <c r="V1109" i="1"/>
  <c r="T1109" i="1"/>
  <c r="S1109" i="1"/>
  <c r="R1109" i="1"/>
  <c r="Q1109" i="1"/>
  <c r="G1109" i="1"/>
  <c r="O1109" i="1" s="1"/>
  <c r="P1109" i="1" s="1"/>
  <c r="U1109" i="1" s="1"/>
  <c r="M1108" i="1"/>
  <c r="L1108" i="1"/>
  <c r="K1108" i="1"/>
  <c r="J1108" i="1"/>
  <c r="N1108" i="1" s="1"/>
  <c r="I1108" i="1"/>
  <c r="H1108" i="1"/>
  <c r="S1107" i="1"/>
  <c r="O1107" i="1"/>
  <c r="E1107" i="1"/>
  <c r="D1107" i="1"/>
  <c r="E1106" i="1"/>
  <c r="F1106" i="1" s="1"/>
  <c r="V1105" i="1"/>
  <c r="O1105" i="1"/>
  <c r="E1105" i="1"/>
  <c r="F1105" i="1" s="1"/>
  <c r="P1105" i="1" s="1"/>
  <c r="D1105" i="1"/>
  <c r="U1104" i="1"/>
  <c r="F1104" i="1"/>
  <c r="D1104" i="1"/>
  <c r="O1104" i="1" s="1"/>
  <c r="P1104" i="1" s="1"/>
  <c r="R1104" i="1" s="1"/>
  <c r="W1103" i="1"/>
  <c r="V1103" i="1"/>
  <c r="U1103" i="1"/>
  <c r="T1103" i="1"/>
  <c r="S1103" i="1"/>
  <c r="Q1103" i="1"/>
  <c r="O1103" i="1"/>
  <c r="F1103" i="1"/>
  <c r="W1102" i="1"/>
  <c r="V1102" i="1"/>
  <c r="U1102" i="1"/>
  <c r="S1102" i="1"/>
  <c r="R1102" i="1"/>
  <c r="Q1102" i="1"/>
  <c r="X1102" i="1" s="1"/>
  <c r="O1102" i="1"/>
  <c r="P1102" i="1" s="1"/>
  <c r="T1102" i="1" s="1"/>
  <c r="G1102" i="1"/>
  <c r="W1101" i="1"/>
  <c r="V1101" i="1"/>
  <c r="U1101" i="1"/>
  <c r="S1101" i="1"/>
  <c r="R1101" i="1"/>
  <c r="Q1101" i="1"/>
  <c r="O1101" i="1"/>
  <c r="P1101" i="1" s="1"/>
  <c r="T1101" i="1" s="1"/>
  <c r="G1101" i="1"/>
  <c r="W1100" i="1"/>
  <c r="U1100" i="1"/>
  <c r="T1100" i="1"/>
  <c r="S1100" i="1"/>
  <c r="R1100" i="1"/>
  <c r="Q1100" i="1"/>
  <c r="P1100" i="1"/>
  <c r="V1100" i="1" s="1"/>
  <c r="O1100" i="1"/>
  <c r="G1100" i="1"/>
  <c r="W1099" i="1"/>
  <c r="V1099" i="1"/>
  <c r="T1099" i="1"/>
  <c r="S1099" i="1"/>
  <c r="R1099" i="1"/>
  <c r="Q1099" i="1"/>
  <c r="G1099" i="1"/>
  <c r="O1099" i="1" s="1"/>
  <c r="P1099" i="1" s="1"/>
  <c r="U1099" i="1" s="1"/>
  <c r="W1098" i="1"/>
  <c r="V1098" i="1"/>
  <c r="T1098" i="1"/>
  <c r="S1098" i="1"/>
  <c r="R1098" i="1"/>
  <c r="Q1098" i="1"/>
  <c r="G1098" i="1"/>
  <c r="O1098" i="1" s="1"/>
  <c r="P1098" i="1" s="1"/>
  <c r="U1098" i="1" s="1"/>
  <c r="M1097" i="1"/>
  <c r="L1097" i="1"/>
  <c r="K1097" i="1"/>
  <c r="I1097" i="1"/>
  <c r="H1097" i="1"/>
  <c r="J1097" i="1" s="1"/>
  <c r="N1097" i="1" s="1"/>
  <c r="O1096" i="1"/>
  <c r="E1096" i="1"/>
  <c r="D1096" i="1"/>
  <c r="F1095" i="1"/>
  <c r="E1095" i="1"/>
  <c r="W1094" i="1"/>
  <c r="V1094" i="1"/>
  <c r="U1094" i="1"/>
  <c r="T1094" i="1"/>
  <c r="S1094" i="1"/>
  <c r="Q1094" i="1"/>
  <c r="O1094" i="1"/>
  <c r="P1094" i="1" s="1"/>
  <c r="F1094" i="1"/>
  <c r="E1094" i="1"/>
  <c r="D1094" i="1"/>
  <c r="U1093" i="1"/>
  <c r="O1093" i="1"/>
  <c r="P1093" i="1" s="1"/>
  <c r="F1093" i="1"/>
  <c r="D1093" i="1"/>
  <c r="T1093" i="1" s="1"/>
  <c r="W1092" i="1"/>
  <c r="V1092" i="1"/>
  <c r="U1092" i="1"/>
  <c r="T1092" i="1"/>
  <c r="S1092" i="1"/>
  <c r="Q1092" i="1"/>
  <c r="O1092" i="1"/>
  <c r="F1092" i="1"/>
  <c r="W1091" i="1"/>
  <c r="V1091" i="1"/>
  <c r="U1091" i="1"/>
  <c r="S1091" i="1"/>
  <c r="R1091" i="1"/>
  <c r="Q1091" i="1"/>
  <c r="X1091" i="1" s="1"/>
  <c r="O1091" i="1"/>
  <c r="P1091" i="1" s="1"/>
  <c r="T1091" i="1" s="1"/>
  <c r="G1091" i="1"/>
  <c r="W1090" i="1"/>
  <c r="U1090" i="1"/>
  <c r="T1090" i="1"/>
  <c r="S1090" i="1"/>
  <c r="R1090" i="1"/>
  <c r="Q1090" i="1"/>
  <c r="O1090" i="1"/>
  <c r="G1090" i="1"/>
  <c r="W1089" i="1"/>
  <c r="V1089" i="1"/>
  <c r="U1089" i="1"/>
  <c r="T1089" i="1"/>
  <c r="S1089" i="1"/>
  <c r="R1089" i="1"/>
  <c r="Q1089" i="1"/>
  <c r="G1089" i="1"/>
  <c r="O1089" i="1" s="1"/>
  <c r="P1089" i="1" s="1"/>
  <c r="W1088" i="1"/>
  <c r="V1088" i="1"/>
  <c r="T1088" i="1"/>
  <c r="S1088" i="1"/>
  <c r="R1088" i="1"/>
  <c r="Q1088" i="1"/>
  <c r="X1088" i="1" s="1"/>
  <c r="P1088" i="1"/>
  <c r="U1088" i="1" s="1"/>
  <c r="G1088" i="1"/>
  <c r="O1088" i="1" s="1"/>
  <c r="M1087" i="1"/>
  <c r="L1087" i="1"/>
  <c r="K1087" i="1"/>
  <c r="I1087" i="1"/>
  <c r="H1087" i="1"/>
  <c r="J1087" i="1" s="1"/>
  <c r="N1087" i="1" s="1"/>
  <c r="T1086" i="1"/>
  <c r="S1086" i="1"/>
  <c r="R1086" i="1"/>
  <c r="O1086" i="1"/>
  <c r="P1086" i="1" s="1"/>
  <c r="E1086" i="1"/>
  <c r="D1086" i="1"/>
  <c r="V1085" i="1"/>
  <c r="T1085" i="1"/>
  <c r="E1085" i="1"/>
  <c r="F1085" i="1" s="1"/>
  <c r="D1085" i="1"/>
  <c r="T1084" i="1"/>
  <c r="E1084" i="1"/>
  <c r="F1084" i="1" s="1"/>
  <c r="D1084" i="1"/>
  <c r="W1083" i="1"/>
  <c r="U1083" i="1"/>
  <c r="T1083" i="1"/>
  <c r="S1083" i="1"/>
  <c r="O1083" i="1"/>
  <c r="P1083" i="1" s="1"/>
  <c r="Q1083" i="1" s="1"/>
  <c r="F1083" i="1"/>
  <c r="D1083" i="1"/>
  <c r="R1083" i="1" s="1"/>
  <c r="W1082" i="1"/>
  <c r="V1082" i="1"/>
  <c r="U1082" i="1"/>
  <c r="T1082" i="1"/>
  <c r="S1082" i="1"/>
  <c r="R1082" i="1"/>
  <c r="O1082" i="1"/>
  <c r="F1082" i="1"/>
  <c r="P1082" i="1" s="1"/>
  <c r="Q1082" i="1" s="1"/>
  <c r="W1081" i="1"/>
  <c r="U1081" i="1"/>
  <c r="T1081" i="1"/>
  <c r="S1081" i="1"/>
  <c r="R1081" i="1"/>
  <c r="Q1081" i="1"/>
  <c r="O1081" i="1"/>
  <c r="F1086" i="1" s="1"/>
  <c r="G1081" i="1"/>
  <c r="W1080" i="1"/>
  <c r="V1080" i="1"/>
  <c r="T1080" i="1"/>
  <c r="S1080" i="1"/>
  <c r="R1080" i="1"/>
  <c r="Q1080" i="1"/>
  <c r="G1080" i="1"/>
  <c r="O1080" i="1" s="1"/>
  <c r="P1080" i="1" s="1"/>
  <c r="U1080" i="1" s="1"/>
  <c r="W1079" i="1"/>
  <c r="V1079" i="1"/>
  <c r="T1079" i="1"/>
  <c r="S1079" i="1"/>
  <c r="R1079" i="1"/>
  <c r="Q1079" i="1"/>
  <c r="O1079" i="1"/>
  <c r="P1079" i="1" s="1"/>
  <c r="U1079" i="1" s="1"/>
  <c r="G1079" i="1"/>
  <c r="M1078" i="1"/>
  <c r="L1078" i="1"/>
  <c r="K1078" i="1"/>
  <c r="I1078" i="1"/>
  <c r="H1078" i="1"/>
  <c r="J1078" i="1" s="1"/>
  <c r="N1078" i="1" s="1"/>
  <c r="U1077" i="1"/>
  <c r="R1077" i="1"/>
  <c r="O1077" i="1"/>
  <c r="P1077" i="1" s="1"/>
  <c r="V1077" i="1" s="1"/>
  <c r="E1077" i="1"/>
  <c r="F1077" i="1" s="1"/>
  <c r="D1077" i="1"/>
  <c r="S1077" i="1" s="1"/>
  <c r="U1076" i="1"/>
  <c r="E1076" i="1"/>
  <c r="F1076" i="1" s="1"/>
  <c r="D1076" i="1"/>
  <c r="W1075" i="1"/>
  <c r="V1075" i="1"/>
  <c r="U1075" i="1"/>
  <c r="T1075" i="1"/>
  <c r="R1075" i="1"/>
  <c r="Q1075" i="1"/>
  <c r="O1075" i="1"/>
  <c r="P1075" i="1" s="1"/>
  <c r="S1075" i="1" s="1"/>
  <c r="F1075" i="1"/>
  <c r="W1074" i="1"/>
  <c r="U1074" i="1"/>
  <c r="T1074" i="1"/>
  <c r="S1074" i="1"/>
  <c r="R1074" i="1"/>
  <c r="Q1074" i="1"/>
  <c r="O1074" i="1"/>
  <c r="P1074" i="1" s="1"/>
  <c r="V1074" i="1" s="1"/>
  <c r="G1074" i="1"/>
  <c r="W1073" i="1"/>
  <c r="U1073" i="1"/>
  <c r="T1073" i="1"/>
  <c r="S1073" i="1"/>
  <c r="R1073" i="1"/>
  <c r="Q1073" i="1"/>
  <c r="P1073" i="1"/>
  <c r="V1073" i="1" s="1"/>
  <c r="O1073" i="1"/>
  <c r="G1073" i="1"/>
  <c r="W1072" i="1"/>
  <c r="U1072" i="1"/>
  <c r="T1072" i="1"/>
  <c r="S1072" i="1"/>
  <c r="R1072" i="1"/>
  <c r="Q1072" i="1"/>
  <c r="G1072" i="1"/>
  <c r="O1072" i="1" s="1"/>
  <c r="P1072" i="1" s="1"/>
  <c r="V1072" i="1" s="1"/>
  <c r="W1071" i="1"/>
  <c r="U1071" i="1"/>
  <c r="T1071" i="1"/>
  <c r="S1071" i="1"/>
  <c r="R1071" i="1"/>
  <c r="Q1071" i="1"/>
  <c r="G1071" i="1"/>
  <c r="O1071" i="1" s="1"/>
  <c r="P1071" i="1" s="1"/>
  <c r="V1071" i="1" s="1"/>
  <c r="W1070" i="1"/>
  <c r="U1070" i="1"/>
  <c r="T1070" i="1"/>
  <c r="S1070" i="1"/>
  <c r="R1070" i="1"/>
  <c r="Q1070" i="1"/>
  <c r="O1070" i="1"/>
  <c r="P1070" i="1" s="1"/>
  <c r="V1070" i="1" s="1"/>
  <c r="G1070" i="1"/>
  <c r="W1069" i="1"/>
  <c r="U1069" i="1"/>
  <c r="T1069" i="1"/>
  <c r="S1069" i="1"/>
  <c r="R1069" i="1"/>
  <c r="Q1069" i="1"/>
  <c r="G1069" i="1"/>
  <c r="O1069" i="1" s="1"/>
  <c r="P1069" i="1" s="1"/>
  <c r="V1069" i="1" s="1"/>
  <c r="M1068" i="1"/>
  <c r="L1068" i="1"/>
  <c r="K1068" i="1"/>
  <c r="I1068" i="1"/>
  <c r="H1068" i="1"/>
  <c r="J1068" i="1" s="1"/>
  <c r="N1068" i="1" s="1"/>
  <c r="O1067" i="1"/>
  <c r="E1067" i="1"/>
  <c r="F1067" i="1" s="1"/>
  <c r="D1067" i="1"/>
  <c r="F1066" i="1"/>
  <c r="E1066" i="1"/>
  <c r="D1066" i="1"/>
  <c r="W1065" i="1"/>
  <c r="V1065" i="1"/>
  <c r="U1065" i="1"/>
  <c r="T1065" i="1"/>
  <c r="R1065" i="1"/>
  <c r="Q1065" i="1"/>
  <c r="O1065" i="1"/>
  <c r="P1065" i="1" s="1"/>
  <c r="S1065" i="1" s="1"/>
  <c r="F1065" i="1"/>
  <c r="W1064" i="1"/>
  <c r="U1064" i="1"/>
  <c r="T1064" i="1"/>
  <c r="S1064" i="1"/>
  <c r="R1064" i="1"/>
  <c r="Q1064" i="1"/>
  <c r="G1064" i="1"/>
  <c r="O1064" i="1" s="1"/>
  <c r="P1064" i="1" s="1"/>
  <c r="V1064" i="1" s="1"/>
  <c r="W1063" i="1"/>
  <c r="U1063" i="1"/>
  <c r="T1063" i="1"/>
  <c r="S1063" i="1"/>
  <c r="R1063" i="1"/>
  <c r="Q1063" i="1"/>
  <c r="G1063" i="1"/>
  <c r="O1063" i="1" s="1"/>
  <c r="P1063" i="1" s="1"/>
  <c r="V1063" i="1" s="1"/>
  <c r="M1062" i="1"/>
  <c r="L1062" i="1"/>
  <c r="K1062" i="1"/>
  <c r="I1062" i="1"/>
  <c r="H1062" i="1"/>
  <c r="J1062" i="1" s="1"/>
  <c r="N1062" i="1" s="1"/>
  <c r="Q1061" i="1"/>
  <c r="O1061" i="1"/>
  <c r="F1061" i="1"/>
  <c r="E1061" i="1"/>
  <c r="D1061" i="1"/>
  <c r="E1060" i="1"/>
  <c r="F1060" i="1" s="1"/>
  <c r="W1059" i="1"/>
  <c r="V1059" i="1"/>
  <c r="E1059" i="1"/>
  <c r="F1059" i="1" s="1"/>
  <c r="D1059" i="1"/>
  <c r="U1059" i="1" s="1"/>
  <c r="V1058" i="1"/>
  <c r="T1058" i="1"/>
  <c r="F1058" i="1"/>
  <c r="D1058" i="1"/>
  <c r="W1057" i="1"/>
  <c r="V1057" i="1"/>
  <c r="U1057" i="1"/>
  <c r="T1057" i="1"/>
  <c r="R1057" i="1"/>
  <c r="Q1057" i="1"/>
  <c r="O1057" i="1"/>
  <c r="F1057" i="1"/>
  <c r="W1056" i="1"/>
  <c r="U1056" i="1"/>
  <c r="T1056" i="1"/>
  <c r="S1056" i="1"/>
  <c r="R1056" i="1"/>
  <c r="Q1056" i="1"/>
  <c r="O1056" i="1"/>
  <c r="P1056" i="1" s="1"/>
  <c r="V1056" i="1" s="1"/>
  <c r="G1056" i="1"/>
  <c r="W1055" i="1"/>
  <c r="U1055" i="1"/>
  <c r="T1055" i="1"/>
  <c r="S1055" i="1"/>
  <c r="R1055" i="1"/>
  <c r="Q1055" i="1"/>
  <c r="G1055" i="1"/>
  <c r="O1055" i="1" s="1"/>
  <c r="P1055" i="1" s="1"/>
  <c r="V1055" i="1" s="1"/>
  <c r="V1054" i="1"/>
  <c r="U1054" i="1"/>
  <c r="T1054" i="1"/>
  <c r="S1054" i="1"/>
  <c r="R1054" i="1"/>
  <c r="Q1054" i="1"/>
  <c r="G1054" i="1"/>
  <c r="O1054" i="1" s="1"/>
  <c r="P1054" i="1" s="1"/>
  <c r="W1054" i="1" s="1"/>
  <c r="W1053" i="1"/>
  <c r="U1053" i="1"/>
  <c r="T1053" i="1"/>
  <c r="S1053" i="1"/>
  <c r="R1053" i="1"/>
  <c r="Q1053" i="1"/>
  <c r="O1053" i="1"/>
  <c r="P1053" i="1" s="1"/>
  <c r="V1053" i="1" s="1"/>
  <c r="G1053" i="1"/>
  <c r="W1052" i="1"/>
  <c r="U1052" i="1"/>
  <c r="T1052" i="1"/>
  <c r="S1052" i="1"/>
  <c r="R1052" i="1"/>
  <c r="Q1052" i="1"/>
  <c r="P1052" i="1"/>
  <c r="V1052" i="1" s="1"/>
  <c r="G1052" i="1"/>
  <c r="O1052" i="1" s="1"/>
  <c r="M1051" i="1"/>
  <c r="L1051" i="1"/>
  <c r="K1051" i="1"/>
  <c r="I1051" i="1"/>
  <c r="H1051" i="1"/>
  <c r="J1051" i="1" s="1"/>
  <c r="N1051" i="1" s="1"/>
  <c r="W1050" i="1"/>
  <c r="Q1050" i="1"/>
  <c r="O1050" i="1"/>
  <c r="E1050" i="1"/>
  <c r="D1050" i="1"/>
  <c r="R1050" i="1" s="1"/>
  <c r="E1049" i="1"/>
  <c r="F1049" i="1" s="1"/>
  <c r="E1048" i="1"/>
  <c r="F1048" i="1" s="1"/>
  <c r="D1048" i="1"/>
  <c r="W1048" i="1" s="1"/>
  <c r="F1047" i="1"/>
  <c r="D1047" i="1"/>
  <c r="W1046" i="1"/>
  <c r="V1046" i="1"/>
  <c r="U1046" i="1"/>
  <c r="T1046" i="1"/>
  <c r="R1046" i="1"/>
  <c r="Q1046" i="1"/>
  <c r="O1046" i="1"/>
  <c r="P1046" i="1" s="1"/>
  <c r="S1046" i="1" s="1"/>
  <c r="X1046" i="1" s="1"/>
  <c r="F1046" i="1"/>
  <c r="W1045" i="1"/>
  <c r="U1045" i="1"/>
  <c r="T1045" i="1"/>
  <c r="S1045" i="1"/>
  <c r="R1045" i="1"/>
  <c r="Q1045" i="1"/>
  <c r="O1045" i="1"/>
  <c r="P1045" i="1" s="1"/>
  <c r="V1045" i="1" s="1"/>
  <c r="G1045" i="1"/>
  <c r="W1044" i="1"/>
  <c r="U1044" i="1"/>
  <c r="T1044" i="1"/>
  <c r="S1044" i="1"/>
  <c r="R1044" i="1"/>
  <c r="Q1044" i="1"/>
  <c r="G1044" i="1"/>
  <c r="O1044" i="1" s="1"/>
  <c r="P1044" i="1" s="1"/>
  <c r="V1044" i="1" s="1"/>
  <c r="W1043" i="1"/>
  <c r="U1043" i="1"/>
  <c r="T1043" i="1"/>
  <c r="S1043" i="1"/>
  <c r="R1043" i="1"/>
  <c r="Q1043" i="1"/>
  <c r="G1043" i="1"/>
  <c r="O1043" i="1" s="1"/>
  <c r="P1043" i="1" s="1"/>
  <c r="V1043" i="1" s="1"/>
  <c r="V1042" i="1"/>
  <c r="U1042" i="1"/>
  <c r="T1042" i="1"/>
  <c r="S1042" i="1"/>
  <c r="R1042" i="1"/>
  <c r="Q1042" i="1"/>
  <c r="O1042" i="1"/>
  <c r="P1042" i="1" s="1"/>
  <c r="W1042" i="1" s="1"/>
  <c r="G1042" i="1"/>
  <c r="W1041" i="1"/>
  <c r="U1041" i="1"/>
  <c r="T1041" i="1"/>
  <c r="S1041" i="1"/>
  <c r="R1041" i="1"/>
  <c r="Q1041" i="1"/>
  <c r="G1041" i="1"/>
  <c r="O1041" i="1" s="1"/>
  <c r="P1041" i="1" s="1"/>
  <c r="V1041" i="1" s="1"/>
  <c r="M1040" i="1"/>
  <c r="L1040" i="1"/>
  <c r="K1040" i="1"/>
  <c r="I1040" i="1"/>
  <c r="H1040" i="1"/>
  <c r="J1040" i="1" s="1"/>
  <c r="N1040" i="1" s="1"/>
  <c r="O1039" i="1"/>
  <c r="F1039" i="1"/>
  <c r="E1039" i="1"/>
  <c r="D1039" i="1"/>
  <c r="W1038" i="1"/>
  <c r="T1038" i="1"/>
  <c r="R1038" i="1"/>
  <c r="Q1038" i="1"/>
  <c r="E1038" i="1"/>
  <c r="F1038" i="1" s="1"/>
  <c r="D1038" i="1"/>
  <c r="W1037" i="1"/>
  <c r="V1037" i="1"/>
  <c r="U1037" i="1"/>
  <c r="T1037" i="1"/>
  <c r="R1037" i="1"/>
  <c r="Q1037" i="1"/>
  <c r="O1037" i="1"/>
  <c r="F1037" i="1"/>
  <c r="W1036" i="1"/>
  <c r="U1036" i="1"/>
  <c r="T1036" i="1"/>
  <c r="S1036" i="1"/>
  <c r="R1036" i="1"/>
  <c r="Q1036" i="1"/>
  <c r="P1036" i="1"/>
  <c r="V1036" i="1" s="1"/>
  <c r="O1036" i="1"/>
  <c r="G1036" i="1"/>
  <c r="W1035" i="1"/>
  <c r="U1035" i="1"/>
  <c r="T1035" i="1"/>
  <c r="S1035" i="1"/>
  <c r="R1035" i="1"/>
  <c r="Q1035" i="1"/>
  <c r="O1035" i="1"/>
  <c r="P1035" i="1" s="1"/>
  <c r="V1035" i="1" s="1"/>
  <c r="G1035" i="1"/>
  <c r="W1034" i="1"/>
  <c r="V1034" i="1"/>
  <c r="U1034" i="1"/>
  <c r="T1034" i="1"/>
  <c r="S1034" i="1"/>
  <c r="R1034" i="1"/>
  <c r="Q1034" i="1"/>
  <c r="P1034" i="1"/>
  <c r="G1034" i="1"/>
  <c r="O1034" i="1" s="1"/>
  <c r="W1033" i="1"/>
  <c r="U1033" i="1"/>
  <c r="T1033" i="1"/>
  <c r="S1033" i="1"/>
  <c r="R1033" i="1"/>
  <c r="Q1033" i="1"/>
  <c r="O1033" i="1"/>
  <c r="P1033" i="1" s="1"/>
  <c r="V1033" i="1" s="1"/>
  <c r="G1033" i="1"/>
  <c r="M1032" i="1"/>
  <c r="L1032" i="1"/>
  <c r="K1032" i="1"/>
  <c r="I1032" i="1"/>
  <c r="H1032" i="1"/>
  <c r="J1032" i="1" s="1"/>
  <c r="N1032" i="1" s="1"/>
  <c r="O1031" i="1"/>
  <c r="E1031" i="1"/>
  <c r="F1031" i="1" s="1"/>
  <c r="D1031" i="1"/>
  <c r="E1030" i="1"/>
  <c r="F1030" i="1" s="1"/>
  <c r="D1030" i="1"/>
  <c r="V1030" i="1" s="1"/>
  <c r="W1029" i="1"/>
  <c r="V1029" i="1"/>
  <c r="U1029" i="1"/>
  <c r="T1029" i="1"/>
  <c r="R1029" i="1"/>
  <c r="Q1029" i="1"/>
  <c r="O1029" i="1"/>
  <c r="P1029" i="1" s="1"/>
  <c r="S1029" i="1" s="1"/>
  <c r="F1029" i="1"/>
  <c r="W1028" i="1"/>
  <c r="U1028" i="1"/>
  <c r="T1028" i="1"/>
  <c r="S1028" i="1"/>
  <c r="R1028" i="1"/>
  <c r="Q1028" i="1"/>
  <c r="G1028" i="1"/>
  <c r="O1028" i="1" s="1"/>
  <c r="P1028" i="1" s="1"/>
  <c r="V1028" i="1" s="1"/>
  <c r="W1027" i="1"/>
  <c r="U1027" i="1"/>
  <c r="T1027" i="1"/>
  <c r="S1027" i="1"/>
  <c r="R1027" i="1"/>
  <c r="Q1027" i="1"/>
  <c r="G1027" i="1"/>
  <c r="O1027" i="1" s="1"/>
  <c r="P1027" i="1" s="1"/>
  <c r="V1027" i="1" s="1"/>
  <c r="W1026" i="1"/>
  <c r="U1026" i="1"/>
  <c r="T1026" i="1"/>
  <c r="S1026" i="1"/>
  <c r="R1026" i="1"/>
  <c r="Q1026" i="1"/>
  <c r="P1026" i="1"/>
  <c r="V1026" i="1" s="1"/>
  <c r="G1026" i="1"/>
  <c r="O1026" i="1" s="1"/>
  <c r="W1025" i="1"/>
  <c r="V1025" i="1"/>
  <c r="U1025" i="1"/>
  <c r="T1025" i="1"/>
  <c r="S1025" i="1"/>
  <c r="R1025" i="1"/>
  <c r="Q1025" i="1"/>
  <c r="G1025" i="1"/>
  <c r="O1025" i="1" s="1"/>
  <c r="P1025" i="1" s="1"/>
  <c r="N1024" i="1"/>
  <c r="L1024" i="1"/>
  <c r="K1024" i="1"/>
  <c r="I1024" i="1"/>
  <c r="H1024" i="1"/>
  <c r="J1024" i="1" s="1"/>
  <c r="M1024" i="1" s="1"/>
  <c r="T1023" i="1"/>
  <c r="R1023" i="1"/>
  <c r="O1023" i="1"/>
  <c r="E1023" i="1"/>
  <c r="D1023" i="1"/>
  <c r="E1022" i="1"/>
  <c r="F1022" i="1" s="1"/>
  <c r="E1021" i="1"/>
  <c r="F1021" i="1" s="1"/>
  <c r="D1021" i="1"/>
  <c r="V1020" i="1"/>
  <c r="F1020" i="1"/>
  <c r="D1020" i="1"/>
  <c r="W1019" i="1"/>
  <c r="V1019" i="1"/>
  <c r="U1019" i="1"/>
  <c r="T1019" i="1"/>
  <c r="S1019" i="1"/>
  <c r="Q1019" i="1"/>
  <c r="O1019" i="1"/>
  <c r="F1019" i="1"/>
  <c r="W1018" i="1"/>
  <c r="U1018" i="1"/>
  <c r="T1018" i="1"/>
  <c r="S1018" i="1"/>
  <c r="R1018" i="1"/>
  <c r="Q1018" i="1"/>
  <c r="O1018" i="1"/>
  <c r="G1018" i="1"/>
  <c r="W1017" i="1"/>
  <c r="V1017" i="1"/>
  <c r="T1017" i="1"/>
  <c r="S1017" i="1"/>
  <c r="R1017" i="1"/>
  <c r="Q1017" i="1"/>
  <c r="P1017" i="1"/>
  <c r="U1017" i="1" s="1"/>
  <c r="O1017" i="1"/>
  <c r="G1017" i="1"/>
  <c r="W1016" i="1"/>
  <c r="U1016" i="1"/>
  <c r="T1016" i="1"/>
  <c r="S1016" i="1"/>
  <c r="R1016" i="1"/>
  <c r="Q1016" i="1"/>
  <c r="P1016" i="1"/>
  <c r="V1016" i="1" s="1"/>
  <c r="O1016" i="1"/>
  <c r="G1016" i="1"/>
  <c r="W1015" i="1"/>
  <c r="U1015" i="1"/>
  <c r="T1015" i="1"/>
  <c r="S1015" i="1"/>
  <c r="R1015" i="1"/>
  <c r="Q1015" i="1"/>
  <c r="G1015" i="1"/>
  <c r="O1015" i="1" s="1"/>
  <c r="P1015" i="1" s="1"/>
  <c r="V1015" i="1" s="1"/>
  <c r="W1014" i="1"/>
  <c r="V1014" i="1"/>
  <c r="T1014" i="1"/>
  <c r="S1014" i="1"/>
  <c r="R1014" i="1"/>
  <c r="Q1014" i="1"/>
  <c r="O1014" i="1"/>
  <c r="P1014" i="1" s="1"/>
  <c r="U1014" i="1" s="1"/>
  <c r="G1014" i="1"/>
  <c r="W1013" i="1"/>
  <c r="V1013" i="1"/>
  <c r="T1013" i="1"/>
  <c r="S1013" i="1"/>
  <c r="R1013" i="1"/>
  <c r="Q1013" i="1"/>
  <c r="P1013" i="1"/>
  <c r="U1013" i="1" s="1"/>
  <c r="G1013" i="1"/>
  <c r="O1013" i="1" s="1"/>
  <c r="M1012" i="1"/>
  <c r="L1012" i="1"/>
  <c r="K1012" i="1"/>
  <c r="J1012" i="1"/>
  <c r="N1012" i="1" s="1"/>
  <c r="I1012" i="1"/>
  <c r="H1012" i="1"/>
  <c r="O1011" i="1"/>
  <c r="F1011" i="1"/>
  <c r="P1011" i="1" s="1"/>
  <c r="E1011" i="1"/>
  <c r="D1011" i="1"/>
  <c r="Q1011" i="1" s="1"/>
  <c r="E1010" i="1"/>
  <c r="F1010" i="1" s="1"/>
  <c r="D1010" i="1"/>
  <c r="W1009" i="1"/>
  <c r="V1009" i="1"/>
  <c r="U1009" i="1"/>
  <c r="T1009" i="1"/>
  <c r="S1009" i="1"/>
  <c r="Q1009" i="1"/>
  <c r="O1009" i="1"/>
  <c r="F1009" i="1"/>
  <c r="E1009" i="1"/>
  <c r="D1009" i="1"/>
  <c r="W1008" i="1"/>
  <c r="V1008" i="1"/>
  <c r="U1008" i="1"/>
  <c r="S1008" i="1"/>
  <c r="P1008" i="1"/>
  <c r="R1008" i="1" s="1"/>
  <c r="O1008" i="1"/>
  <c r="F1008" i="1"/>
  <c r="D1008" i="1"/>
  <c r="W1007" i="1"/>
  <c r="V1007" i="1"/>
  <c r="U1007" i="1"/>
  <c r="T1007" i="1"/>
  <c r="S1007" i="1"/>
  <c r="Q1007" i="1"/>
  <c r="O1007" i="1"/>
  <c r="F1007" i="1"/>
  <c r="W1006" i="1"/>
  <c r="V1006" i="1"/>
  <c r="T1006" i="1"/>
  <c r="S1006" i="1"/>
  <c r="R1006" i="1"/>
  <c r="Q1006" i="1"/>
  <c r="O1006" i="1"/>
  <c r="P1006" i="1" s="1"/>
  <c r="U1006" i="1" s="1"/>
  <c r="G1006" i="1"/>
  <c r="W1005" i="1"/>
  <c r="V1005" i="1"/>
  <c r="T1005" i="1"/>
  <c r="S1005" i="1"/>
  <c r="R1005" i="1"/>
  <c r="Q1005" i="1"/>
  <c r="O1005" i="1"/>
  <c r="P1005" i="1" s="1"/>
  <c r="U1005" i="1" s="1"/>
  <c r="G1005" i="1"/>
  <c r="W1004" i="1"/>
  <c r="U1004" i="1"/>
  <c r="T1004" i="1"/>
  <c r="S1004" i="1"/>
  <c r="R1004" i="1"/>
  <c r="Q1004" i="1"/>
  <c r="O1004" i="1"/>
  <c r="P1004" i="1" s="1"/>
  <c r="V1004" i="1" s="1"/>
  <c r="G1004" i="1"/>
  <c r="W1003" i="1"/>
  <c r="V1003" i="1"/>
  <c r="T1003" i="1"/>
  <c r="S1003" i="1"/>
  <c r="R1003" i="1"/>
  <c r="Q1003" i="1"/>
  <c r="O1003" i="1"/>
  <c r="P1003" i="1" s="1"/>
  <c r="U1003" i="1" s="1"/>
  <c r="G1003" i="1"/>
  <c r="W1002" i="1"/>
  <c r="V1002" i="1"/>
  <c r="T1002" i="1"/>
  <c r="S1002" i="1"/>
  <c r="R1002" i="1"/>
  <c r="Q1002" i="1"/>
  <c r="X1002" i="1" s="1"/>
  <c r="P1002" i="1"/>
  <c r="U1002" i="1" s="1"/>
  <c r="O1002" i="1"/>
  <c r="G1002" i="1"/>
  <c r="M1001" i="1"/>
  <c r="L1001" i="1"/>
  <c r="K1001" i="1"/>
  <c r="I1001" i="1"/>
  <c r="H1001" i="1"/>
  <c r="J1001" i="1" s="1"/>
  <c r="N1001" i="1" s="1"/>
  <c r="F1000" i="1"/>
  <c r="D1000" i="1"/>
  <c r="V1000" i="1" s="1"/>
  <c r="W999" i="1"/>
  <c r="V999" i="1"/>
  <c r="U999" i="1"/>
  <c r="T999" i="1"/>
  <c r="S999" i="1"/>
  <c r="R999" i="1"/>
  <c r="O999" i="1"/>
  <c r="F999" i="1"/>
  <c r="P999" i="1" s="1"/>
  <c r="Q999" i="1" s="1"/>
  <c r="W998" i="1"/>
  <c r="V998" i="1"/>
  <c r="T998" i="1"/>
  <c r="S998" i="1"/>
  <c r="R998" i="1"/>
  <c r="Q998" i="1"/>
  <c r="O998" i="1"/>
  <c r="P998" i="1" s="1"/>
  <c r="U998" i="1" s="1"/>
  <c r="G998" i="1"/>
  <c r="W997" i="1"/>
  <c r="V997" i="1"/>
  <c r="T997" i="1"/>
  <c r="S997" i="1"/>
  <c r="R997" i="1"/>
  <c r="Q997" i="1"/>
  <c r="O997" i="1"/>
  <c r="P997" i="1" s="1"/>
  <c r="U997" i="1" s="1"/>
  <c r="X997" i="1" s="1"/>
  <c r="G997" i="1"/>
  <c r="M996" i="1"/>
  <c r="L996" i="1"/>
  <c r="K996" i="1"/>
  <c r="I996" i="1"/>
  <c r="H996" i="1"/>
  <c r="J996" i="1" s="1"/>
  <c r="N996" i="1" s="1"/>
  <c r="U995" i="1"/>
  <c r="R995" i="1"/>
  <c r="O995" i="1"/>
  <c r="E995" i="1"/>
  <c r="F995" i="1" s="1"/>
  <c r="D995" i="1"/>
  <c r="Q995" i="1" s="1"/>
  <c r="E994" i="1"/>
  <c r="F994" i="1" s="1"/>
  <c r="D994" i="1"/>
  <c r="W994" i="1" s="1"/>
  <c r="W993" i="1"/>
  <c r="V993" i="1"/>
  <c r="U993" i="1"/>
  <c r="T993" i="1"/>
  <c r="S993" i="1"/>
  <c r="R993" i="1"/>
  <c r="Q993" i="1"/>
  <c r="O993" i="1"/>
  <c r="F993" i="1"/>
  <c r="P993" i="1" s="1"/>
  <c r="W992" i="1"/>
  <c r="U992" i="1"/>
  <c r="T992" i="1"/>
  <c r="S992" i="1"/>
  <c r="R992" i="1"/>
  <c r="Q992" i="1"/>
  <c r="G992" i="1"/>
  <c r="O992" i="1" s="1"/>
  <c r="P992" i="1" s="1"/>
  <c r="V992" i="1" s="1"/>
  <c r="W991" i="1"/>
  <c r="U991" i="1"/>
  <c r="T991" i="1"/>
  <c r="S991" i="1"/>
  <c r="R991" i="1"/>
  <c r="Q991" i="1"/>
  <c r="G991" i="1"/>
  <c r="O991" i="1" s="1"/>
  <c r="P991" i="1" s="1"/>
  <c r="V991" i="1" s="1"/>
  <c r="W990" i="1"/>
  <c r="U990" i="1"/>
  <c r="T990" i="1"/>
  <c r="S990" i="1"/>
  <c r="R990" i="1"/>
  <c r="Q990" i="1"/>
  <c r="G990" i="1"/>
  <c r="O990" i="1" s="1"/>
  <c r="P990" i="1" s="1"/>
  <c r="V990" i="1" s="1"/>
  <c r="M989" i="1"/>
  <c r="L989" i="1"/>
  <c r="K989" i="1"/>
  <c r="I989" i="1"/>
  <c r="H989" i="1"/>
  <c r="J989" i="1" s="1"/>
  <c r="N989" i="1" s="1"/>
  <c r="T988" i="1"/>
  <c r="O988" i="1"/>
  <c r="E988" i="1"/>
  <c r="F988" i="1" s="1"/>
  <c r="D988" i="1"/>
  <c r="Q987" i="1"/>
  <c r="F987" i="1"/>
  <c r="E987" i="1"/>
  <c r="D987" i="1"/>
  <c r="V987" i="1" s="1"/>
  <c r="W986" i="1"/>
  <c r="V986" i="1"/>
  <c r="U986" i="1"/>
  <c r="T986" i="1"/>
  <c r="R986" i="1"/>
  <c r="Q986" i="1"/>
  <c r="O986" i="1"/>
  <c r="F986" i="1"/>
  <c r="W985" i="1"/>
  <c r="U985" i="1"/>
  <c r="T985" i="1"/>
  <c r="S985" i="1"/>
  <c r="R985" i="1"/>
  <c r="X985" i="1" s="1"/>
  <c r="Q985" i="1"/>
  <c r="G985" i="1"/>
  <c r="O985" i="1" s="1"/>
  <c r="P985" i="1" s="1"/>
  <c r="V985" i="1" s="1"/>
  <c r="W984" i="1"/>
  <c r="U984" i="1"/>
  <c r="T984" i="1"/>
  <c r="S984" i="1"/>
  <c r="R984" i="1"/>
  <c r="Q984" i="1"/>
  <c r="G984" i="1"/>
  <c r="O984" i="1" s="1"/>
  <c r="P984" i="1" s="1"/>
  <c r="V984" i="1" s="1"/>
  <c r="W983" i="1"/>
  <c r="U983" i="1"/>
  <c r="T983" i="1"/>
  <c r="S983" i="1"/>
  <c r="R983" i="1"/>
  <c r="Q983" i="1"/>
  <c r="O983" i="1"/>
  <c r="P983" i="1" s="1"/>
  <c r="V983" i="1" s="1"/>
  <c r="G983" i="1"/>
  <c r="W982" i="1"/>
  <c r="V982" i="1"/>
  <c r="U982" i="1"/>
  <c r="T982" i="1"/>
  <c r="S982" i="1"/>
  <c r="R982" i="1"/>
  <c r="Q982" i="1"/>
  <c r="O982" i="1"/>
  <c r="P982" i="1" s="1"/>
  <c r="G982" i="1"/>
  <c r="M981" i="1"/>
  <c r="L981" i="1"/>
  <c r="K981" i="1"/>
  <c r="J981" i="1"/>
  <c r="N981" i="1" s="1"/>
  <c r="I981" i="1"/>
  <c r="H981" i="1"/>
  <c r="O980" i="1"/>
  <c r="E980" i="1"/>
  <c r="F980" i="1" s="1"/>
  <c r="P980" i="1" s="1"/>
  <c r="D980" i="1"/>
  <c r="E979" i="1"/>
  <c r="F979" i="1" s="1"/>
  <c r="D979" i="1"/>
  <c r="U979" i="1" s="1"/>
  <c r="W978" i="1"/>
  <c r="V978" i="1"/>
  <c r="U978" i="1"/>
  <c r="T978" i="1"/>
  <c r="S978" i="1"/>
  <c r="R978" i="1"/>
  <c r="Q978" i="1"/>
  <c r="P978" i="1"/>
  <c r="O978" i="1"/>
  <c r="F978" i="1"/>
  <c r="W977" i="1"/>
  <c r="U977" i="1"/>
  <c r="T977" i="1"/>
  <c r="S977" i="1"/>
  <c r="R977" i="1"/>
  <c r="Q977" i="1"/>
  <c r="P977" i="1"/>
  <c r="V977" i="1" s="1"/>
  <c r="O977" i="1"/>
  <c r="G977" i="1"/>
  <c r="W976" i="1"/>
  <c r="U976" i="1"/>
  <c r="T976" i="1"/>
  <c r="S976" i="1"/>
  <c r="R976" i="1"/>
  <c r="Q976" i="1"/>
  <c r="G976" i="1"/>
  <c r="O976" i="1" s="1"/>
  <c r="P976" i="1" s="1"/>
  <c r="V976" i="1" s="1"/>
  <c r="X975" i="1"/>
  <c r="W975" i="1"/>
  <c r="U975" i="1"/>
  <c r="T975" i="1"/>
  <c r="S975" i="1"/>
  <c r="R975" i="1"/>
  <c r="Q975" i="1"/>
  <c r="O975" i="1"/>
  <c r="P975" i="1" s="1"/>
  <c r="V975" i="1" s="1"/>
  <c r="G975" i="1"/>
  <c r="W974" i="1"/>
  <c r="V974" i="1"/>
  <c r="U974" i="1"/>
  <c r="T974" i="1"/>
  <c r="S974" i="1"/>
  <c r="R974" i="1"/>
  <c r="Q974" i="1"/>
  <c r="O974" i="1"/>
  <c r="P974" i="1" s="1"/>
  <c r="G974" i="1"/>
  <c r="M973" i="1"/>
  <c r="L973" i="1"/>
  <c r="K973" i="1"/>
  <c r="I973" i="1"/>
  <c r="H973" i="1"/>
  <c r="J973" i="1" s="1"/>
  <c r="N973" i="1" s="1"/>
  <c r="W972" i="1"/>
  <c r="O972" i="1"/>
  <c r="F972" i="1"/>
  <c r="P972" i="1" s="1"/>
  <c r="V972" i="1" s="1"/>
  <c r="E972" i="1"/>
  <c r="D972" i="1"/>
  <c r="U972" i="1" s="1"/>
  <c r="V971" i="1"/>
  <c r="T971" i="1"/>
  <c r="Q971" i="1"/>
  <c r="O971" i="1"/>
  <c r="E971" i="1"/>
  <c r="F971" i="1" s="1"/>
  <c r="D971" i="1"/>
  <c r="R971" i="1" s="1"/>
  <c r="W970" i="1"/>
  <c r="V970" i="1"/>
  <c r="U970" i="1"/>
  <c r="T970" i="1"/>
  <c r="R970" i="1"/>
  <c r="Q970" i="1"/>
  <c r="O970" i="1"/>
  <c r="F970" i="1"/>
  <c r="W969" i="1"/>
  <c r="V969" i="1"/>
  <c r="U969" i="1"/>
  <c r="S969" i="1"/>
  <c r="R969" i="1"/>
  <c r="Q969" i="1"/>
  <c r="P969" i="1"/>
  <c r="T969" i="1" s="1"/>
  <c r="O969" i="1"/>
  <c r="G969" i="1"/>
  <c r="W968" i="1"/>
  <c r="V968" i="1"/>
  <c r="U968" i="1"/>
  <c r="S968" i="1"/>
  <c r="R968" i="1"/>
  <c r="Q968" i="1"/>
  <c r="P968" i="1"/>
  <c r="T968" i="1" s="1"/>
  <c r="G968" i="1"/>
  <c r="O968" i="1" s="1"/>
  <c r="W967" i="1"/>
  <c r="U967" i="1"/>
  <c r="T967" i="1"/>
  <c r="S967" i="1"/>
  <c r="R967" i="1"/>
  <c r="Q967" i="1"/>
  <c r="O967" i="1"/>
  <c r="P967" i="1" s="1"/>
  <c r="V967" i="1" s="1"/>
  <c r="G967" i="1"/>
  <c r="W966" i="1"/>
  <c r="U966" i="1"/>
  <c r="T966" i="1"/>
  <c r="S966" i="1"/>
  <c r="R966" i="1"/>
  <c r="Q966" i="1"/>
  <c r="O966" i="1"/>
  <c r="P966" i="1" s="1"/>
  <c r="V966" i="1" s="1"/>
  <c r="G966" i="1"/>
  <c r="M965" i="1"/>
  <c r="L965" i="1"/>
  <c r="K965" i="1"/>
  <c r="I965" i="1"/>
  <c r="H965" i="1"/>
  <c r="J965" i="1" s="1"/>
  <c r="N965" i="1" s="1"/>
  <c r="O964" i="1"/>
  <c r="P964" i="1" s="1"/>
  <c r="E964" i="1"/>
  <c r="F964" i="1" s="1"/>
  <c r="D964" i="1"/>
  <c r="U964" i="1" s="1"/>
  <c r="W963" i="1"/>
  <c r="V963" i="1"/>
  <c r="U963" i="1"/>
  <c r="T963" i="1"/>
  <c r="R963" i="1"/>
  <c r="F963" i="1"/>
  <c r="E963" i="1"/>
  <c r="D963" i="1"/>
  <c r="W962" i="1"/>
  <c r="V962" i="1"/>
  <c r="U962" i="1"/>
  <c r="T962" i="1"/>
  <c r="S962" i="1"/>
  <c r="R962" i="1"/>
  <c r="Q962" i="1"/>
  <c r="O962" i="1"/>
  <c r="P962" i="1" s="1"/>
  <c r="F962" i="1"/>
  <c r="W961" i="1"/>
  <c r="V961" i="1"/>
  <c r="U961" i="1"/>
  <c r="S961" i="1"/>
  <c r="R961" i="1"/>
  <c r="Q961" i="1"/>
  <c r="O961" i="1"/>
  <c r="P961" i="1" s="1"/>
  <c r="T961" i="1" s="1"/>
  <c r="G961" i="1"/>
  <c r="W960" i="1"/>
  <c r="V960" i="1"/>
  <c r="U960" i="1"/>
  <c r="S960" i="1"/>
  <c r="R960" i="1"/>
  <c r="Q960" i="1"/>
  <c r="G960" i="1"/>
  <c r="O960" i="1" s="1"/>
  <c r="P960" i="1" s="1"/>
  <c r="T960" i="1" s="1"/>
  <c r="W959" i="1"/>
  <c r="U959" i="1"/>
  <c r="T959" i="1"/>
  <c r="S959" i="1"/>
  <c r="R959" i="1"/>
  <c r="Q959" i="1"/>
  <c r="X959" i="1" s="1"/>
  <c r="P959" i="1"/>
  <c r="V959" i="1" s="1"/>
  <c r="O959" i="1"/>
  <c r="G959" i="1"/>
  <c r="W958" i="1"/>
  <c r="U958" i="1"/>
  <c r="T958" i="1"/>
  <c r="S958" i="1"/>
  <c r="R958" i="1"/>
  <c r="Q958" i="1"/>
  <c r="O958" i="1"/>
  <c r="P958" i="1" s="1"/>
  <c r="V958" i="1" s="1"/>
  <c r="G958" i="1"/>
  <c r="M957" i="1"/>
  <c r="L957" i="1"/>
  <c r="K957" i="1"/>
  <c r="J957" i="1"/>
  <c r="N957" i="1" s="1"/>
  <c r="I957" i="1"/>
  <c r="H957" i="1"/>
  <c r="O956" i="1"/>
  <c r="P956" i="1" s="1"/>
  <c r="F956" i="1"/>
  <c r="E956" i="1"/>
  <c r="D956" i="1"/>
  <c r="T955" i="1"/>
  <c r="R955" i="1"/>
  <c r="E955" i="1"/>
  <c r="F955" i="1" s="1"/>
  <c r="D955" i="1"/>
  <c r="O955" i="1" s="1"/>
  <c r="W954" i="1"/>
  <c r="V954" i="1"/>
  <c r="U954" i="1"/>
  <c r="T954" i="1"/>
  <c r="R954" i="1"/>
  <c r="Q954" i="1"/>
  <c r="O954" i="1"/>
  <c r="F954" i="1"/>
  <c r="W953" i="1"/>
  <c r="V953" i="1"/>
  <c r="U953" i="1"/>
  <c r="S953" i="1"/>
  <c r="R953" i="1"/>
  <c r="Q953" i="1"/>
  <c r="P953" i="1"/>
  <c r="T953" i="1" s="1"/>
  <c r="O953" i="1"/>
  <c r="G953" i="1"/>
  <c r="W952" i="1"/>
  <c r="V952" i="1"/>
  <c r="U952" i="1"/>
  <c r="S952" i="1"/>
  <c r="R952" i="1"/>
  <c r="Q952" i="1"/>
  <c r="O952" i="1"/>
  <c r="P952" i="1" s="1"/>
  <c r="T952" i="1" s="1"/>
  <c r="G952" i="1"/>
  <c r="W951" i="1"/>
  <c r="U951" i="1"/>
  <c r="T951" i="1"/>
  <c r="S951" i="1"/>
  <c r="R951" i="1"/>
  <c r="Q951" i="1"/>
  <c r="O951" i="1"/>
  <c r="P951" i="1" s="1"/>
  <c r="V951" i="1" s="1"/>
  <c r="G951" i="1"/>
  <c r="W950" i="1"/>
  <c r="U950" i="1"/>
  <c r="T950" i="1"/>
  <c r="S950" i="1"/>
  <c r="R950" i="1"/>
  <c r="Q950" i="1"/>
  <c r="O950" i="1"/>
  <c r="P950" i="1" s="1"/>
  <c r="V950" i="1" s="1"/>
  <c r="G950" i="1"/>
  <c r="M949" i="1"/>
  <c r="L949" i="1"/>
  <c r="K949" i="1"/>
  <c r="I949" i="1"/>
  <c r="H949" i="1"/>
  <c r="J949" i="1" s="1"/>
  <c r="N949" i="1" s="1"/>
  <c r="R948" i="1"/>
  <c r="O948" i="1"/>
  <c r="E948" i="1"/>
  <c r="F948" i="1" s="1"/>
  <c r="D948" i="1"/>
  <c r="S948" i="1" s="1"/>
  <c r="W947" i="1"/>
  <c r="T947" i="1"/>
  <c r="Q947" i="1"/>
  <c r="F947" i="1"/>
  <c r="E947" i="1"/>
  <c r="D947" i="1"/>
  <c r="U947" i="1" s="1"/>
  <c r="W946" i="1"/>
  <c r="V946" i="1"/>
  <c r="U946" i="1"/>
  <c r="T946" i="1"/>
  <c r="R946" i="1"/>
  <c r="Q946" i="1"/>
  <c r="O946" i="1"/>
  <c r="F946" i="1"/>
  <c r="W945" i="1"/>
  <c r="V945" i="1"/>
  <c r="U945" i="1"/>
  <c r="S945" i="1"/>
  <c r="R945" i="1"/>
  <c r="Q945" i="1"/>
  <c r="P945" i="1"/>
  <c r="T945" i="1" s="1"/>
  <c r="X945" i="1" s="1"/>
  <c r="O945" i="1"/>
  <c r="G945" i="1"/>
  <c r="W944" i="1"/>
  <c r="V944" i="1"/>
  <c r="U944" i="1"/>
  <c r="S944" i="1"/>
  <c r="R944" i="1"/>
  <c r="Q944" i="1"/>
  <c r="O944" i="1"/>
  <c r="P944" i="1" s="1"/>
  <c r="T944" i="1" s="1"/>
  <c r="G944" i="1"/>
  <c r="W943" i="1"/>
  <c r="U943" i="1"/>
  <c r="T943" i="1"/>
  <c r="S943" i="1"/>
  <c r="R943" i="1"/>
  <c r="Q943" i="1"/>
  <c r="P943" i="1"/>
  <c r="V943" i="1" s="1"/>
  <c r="O943" i="1"/>
  <c r="G943" i="1"/>
  <c r="W942" i="1"/>
  <c r="U942" i="1"/>
  <c r="T942" i="1"/>
  <c r="S942" i="1"/>
  <c r="R942" i="1"/>
  <c r="Q942" i="1"/>
  <c r="P942" i="1"/>
  <c r="V942" i="1" s="1"/>
  <c r="O942" i="1"/>
  <c r="G942" i="1"/>
  <c r="M941" i="1"/>
  <c r="L941" i="1"/>
  <c r="K941" i="1"/>
  <c r="I941" i="1"/>
  <c r="H941" i="1"/>
  <c r="J941" i="1" s="1"/>
  <c r="N941" i="1" s="1"/>
  <c r="O940" i="1"/>
  <c r="P940" i="1" s="1"/>
  <c r="E940" i="1"/>
  <c r="F940" i="1" s="1"/>
  <c r="D940" i="1"/>
  <c r="E939" i="1"/>
  <c r="F939" i="1" s="1"/>
  <c r="D939" i="1"/>
  <c r="W939" i="1" s="1"/>
  <c r="W938" i="1"/>
  <c r="V938" i="1"/>
  <c r="U938" i="1"/>
  <c r="T938" i="1"/>
  <c r="R938" i="1"/>
  <c r="Q938" i="1"/>
  <c r="O938" i="1"/>
  <c r="P938" i="1" s="1"/>
  <c r="S938" i="1" s="1"/>
  <c r="F938" i="1"/>
  <c r="W937" i="1"/>
  <c r="V937" i="1"/>
  <c r="U937" i="1"/>
  <c r="S937" i="1"/>
  <c r="R937" i="1"/>
  <c r="Q937" i="1"/>
  <c r="G937" i="1"/>
  <c r="W936" i="1"/>
  <c r="V936" i="1"/>
  <c r="U936" i="1"/>
  <c r="S936" i="1"/>
  <c r="R936" i="1"/>
  <c r="Q936" i="1"/>
  <c r="O936" i="1"/>
  <c r="P936" i="1" s="1"/>
  <c r="T936" i="1" s="1"/>
  <c r="G936" i="1"/>
  <c r="W935" i="1"/>
  <c r="U935" i="1"/>
  <c r="T935" i="1"/>
  <c r="S935" i="1"/>
  <c r="R935" i="1"/>
  <c r="Q935" i="1"/>
  <c r="O935" i="1"/>
  <c r="P935" i="1" s="1"/>
  <c r="V935" i="1" s="1"/>
  <c r="G935" i="1"/>
  <c r="W934" i="1"/>
  <c r="U934" i="1"/>
  <c r="T934" i="1"/>
  <c r="S934" i="1"/>
  <c r="R934" i="1"/>
  <c r="Q934" i="1"/>
  <c r="O934" i="1"/>
  <c r="P934" i="1" s="1"/>
  <c r="V934" i="1" s="1"/>
  <c r="G934" i="1"/>
  <c r="M933" i="1"/>
  <c r="L933" i="1"/>
  <c r="K933" i="1"/>
  <c r="I933" i="1"/>
  <c r="H933" i="1"/>
  <c r="J933" i="1" s="1"/>
  <c r="N933" i="1" s="1"/>
  <c r="W932" i="1"/>
  <c r="U932" i="1"/>
  <c r="T932" i="1"/>
  <c r="S932" i="1"/>
  <c r="R932" i="1"/>
  <c r="Q932" i="1"/>
  <c r="O932" i="1"/>
  <c r="E932" i="1"/>
  <c r="F932" i="1" s="1"/>
  <c r="D932" i="1"/>
  <c r="U931" i="1"/>
  <c r="F931" i="1"/>
  <c r="E931" i="1"/>
  <c r="D931" i="1"/>
  <c r="W930" i="1"/>
  <c r="V930" i="1"/>
  <c r="U930" i="1"/>
  <c r="T930" i="1"/>
  <c r="R930" i="1"/>
  <c r="Q930" i="1"/>
  <c r="O930" i="1"/>
  <c r="F930" i="1"/>
  <c r="P930" i="1" s="1"/>
  <c r="S930" i="1" s="1"/>
  <c r="W929" i="1"/>
  <c r="V929" i="1"/>
  <c r="U929" i="1"/>
  <c r="S929" i="1"/>
  <c r="X929" i="1" s="1"/>
  <c r="R929" i="1"/>
  <c r="Q929" i="1"/>
  <c r="O929" i="1"/>
  <c r="P929" i="1" s="1"/>
  <c r="T929" i="1" s="1"/>
  <c r="G929" i="1"/>
  <c r="W928" i="1"/>
  <c r="V928" i="1"/>
  <c r="U928" i="1"/>
  <c r="S928" i="1"/>
  <c r="R928" i="1"/>
  <c r="Q928" i="1"/>
  <c r="O928" i="1"/>
  <c r="P928" i="1" s="1"/>
  <c r="T928" i="1" s="1"/>
  <c r="G928" i="1"/>
  <c r="W927" i="1"/>
  <c r="U927" i="1"/>
  <c r="T927" i="1"/>
  <c r="S927" i="1"/>
  <c r="R927" i="1"/>
  <c r="Q927" i="1"/>
  <c r="X927" i="1" s="1"/>
  <c r="O927" i="1"/>
  <c r="P927" i="1" s="1"/>
  <c r="V927" i="1" s="1"/>
  <c r="G927" i="1"/>
  <c r="W926" i="1"/>
  <c r="U926" i="1"/>
  <c r="T926" i="1"/>
  <c r="S926" i="1"/>
  <c r="R926" i="1"/>
  <c r="Q926" i="1"/>
  <c r="P926" i="1"/>
  <c r="V926" i="1" s="1"/>
  <c r="O926" i="1"/>
  <c r="G926" i="1"/>
  <c r="M925" i="1"/>
  <c r="L925" i="1"/>
  <c r="K925" i="1"/>
  <c r="I925" i="1"/>
  <c r="H925" i="1"/>
  <c r="J925" i="1" s="1"/>
  <c r="N925" i="1" s="1"/>
  <c r="W924" i="1"/>
  <c r="U924" i="1"/>
  <c r="T924" i="1"/>
  <c r="S924" i="1"/>
  <c r="R924" i="1"/>
  <c r="O924" i="1"/>
  <c r="F924" i="1"/>
  <c r="P924" i="1" s="1"/>
  <c r="V924" i="1" s="1"/>
  <c r="E924" i="1"/>
  <c r="D924" i="1"/>
  <c r="Q924" i="1" s="1"/>
  <c r="E923" i="1"/>
  <c r="F923" i="1" s="1"/>
  <c r="X922" i="1"/>
  <c r="W922" i="1"/>
  <c r="V922" i="1"/>
  <c r="U922" i="1"/>
  <c r="T922" i="1"/>
  <c r="Q922" i="1"/>
  <c r="O922" i="1"/>
  <c r="P922" i="1" s="1"/>
  <c r="R922" i="1" s="1"/>
  <c r="E922" i="1"/>
  <c r="F922" i="1" s="1"/>
  <c r="D922" i="1"/>
  <c r="S922" i="1" s="1"/>
  <c r="F921" i="1"/>
  <c r="D921" i="1"/>
  <c r="S921" i="1" s="1"/>
  <c r="W920" i="1"/>
  <c r="V920" i="1"/>
  <c r="U920" i="1"/>
  <c r="T920" i="1"/>
  <c r="S920" i="1"/>
  <c r="Q920" i="1"/>
  <c r="P920" i="1"/>
  <c r="R920" i="1" s="1"/>
  <c r="O920" i="1"/>
  <c r="F920" i="1"/>
  <c r="W919" i="1"/>
  <c r="V919" i="1"/>
  <c r="U919" i="1"/>
  <c r="S919" i="1"/>
  <c r="R919" i="1"/>
  <c r="Q919" i="1"/>
  <c r="O919" i="1"/>
  <c r="P919" i="1" s="1"/>
  <c r="T919" i="1" s="1"/>
  <c r="G919" i="1"/>
  <c r="W918" i="1"/>
  <c r="V918" i="1"/>
  <c r="U918" i="1"/>
  <c r="S918" i="1"/>
  <c r="R918" i="1"/>
  <c r="Q918" i="1"/>
  <c r="G918" i="1"/>
  <c r="O918" i="1" s="1"/>
  <c r="P918" i="1" s="1"/>
  <c r="T918" i="1" s="1"/>
  <c r="W917" i="1"/>
  <c r="U917" i="1"/>
  <c r="T917" i="1"/>
  <c r="S917" i="1"/>
  <c r="R917" i="1"/>
  <c r="Q917" i="1"/>
  <c r="O917" i="1"/>
  <c r="P917" i="1" s="1"/>
  <c r="V917" i="1" s="1"/>
  <c r="G917" i="1"/>
  <c r="W916" i="1"/>
  <c r="U916" i="1"/>
  <c r="T916" i="1"/>
  <c r="S916" i="1"/>
  <c r="R916" i="1"/>
  <c r="Q916" i="1"/>
  <c r="O916" i="1"/>
  <c r="P916" i="1" s="1"/>
  <c r="V916" i="1" s="1"/>
  <c r="G916" i="1"/>
  <c r="O937" i="1" s="1"/>
  <c r="P937" i="1" s="1"/>
  <c r="T937" i="1" s="1"/>
  <c r="M915" i="1"/>
  <c r="L915" i="1"/>
  <c r="K915" i="1"/>
  <c r="I915" i="1"/>
  <c r="H915" i="1"/>
  <c r="J915" i="1" s="1"/>
  <c r="N915" i="1" s="1"/>
  <c r="Q914" i="1"/>
  <c r="O914" i="1"/>
  <c r="E914" i="1"/>
  <c r="F914" i="1" s="1"/>
  <c r="D914" i="1"/>
  <c r="T914" i="1" s="1"/>
  <c r="E913" i="1"/>
  <c r="F913" i="1" s="1"/>
  <c r="D913" i="1"/>
  <c r="W912" i="1"/>
  <c r="V912" i="1"/>
  <c r="U912" i="1"/>
  <c r="T912" i="1"/>
  <c r="S912" i="1"/>
  <c r="Q912" i="1"/>
  <c r="O912" i="1"/>
  <c r="F912" i="1"/>
  <c r="D912" i="1"/>
  <c r="W911" i="1"/>
  <c r="V911" i="1"/>
  <c r="U911" i="1"/>
  <c r="T911" i="1"/>
  <c r="S911" i="1"/>
  <c r="Q911" i="1"/>
  <c r="O911" i="1"/>
  <c r="P911" i="1" s="1"/>
  <c r="R911" i="1" s="1"/>
  <c r="F911" i="1"/>
  <c r="W910" i="1"/>
  <c r="U910" i="1"/>
  <c r="T910" i="1"/>
  <c r="S910" i="1"/>
  <c r="R910" i="1"/>
  <c r="Q910" i="1"/>
  <c r="G910" i="1"/>
  <c r="O910" i="1" s="1"/>
  <c r="P910" i="1" s="1"/>
  <c r="V910" i="1" s="1"/>
  <c r="W909" i="1"/>
  <c r="V909" i="1"/>
  <c r="U909" i="1"/>
  <c r="T909" i="1"/>
  <c r="S909" i="1"/>
  <c r="R909" i="1"/>
  <c r="Q909" i="1"/>
  <c r="G909" i="1"/>
  <c r="O909" i="1" s="1"/>
  <c r="P909" i="1" s="1"/>
  <c r="M908" i="1"/>
  <c r="L908" i="1"/>
  <c r="K908" i="1"/>
  <c r="I908" i="1"/>
  <c r="H908" i="1"/>
  <c r="J908" i="1" s="1"/>
  <c r="N908" i="1" s="1"/>
  <c r="E907" i="1"/>
  <c r="F907" i="1" s="1"/>
  <c r="P906" i="1"/>
  <c r="E906" i="1"/>
  <c r="F906" i="1" s="1"/>
  <c r="D906" i="1"/>
  <c r="O906" i="1" s="1"/>
  <c r="F905" i="1"/>
  <c r="D905" i="1"/>
  <c r="W905" i="1" s="1"/>
  <c r="W904" i="1"/>
  <c r="V904" i="1"/>
  <c r="U904" i="1"/>
  <c r="T904" i="1"/>
  <c r="S904" i="1"/>
  <c r="Q904" i="1"/>
  <c r="X904" i="1" s="1"/>
  <c r="P904" i="1"/>
  <c r="R904" i="1" s="1"/>
  <c r="O904" i="1"/>
  <c r="F904" i="1"/>
  <c r="W903" i="1"/>
  <c r="V903" i="1"/>
  <c r="U903" i="1"/>
  <c r="T903" i="1"/>
  <c r="S903" i="1"/>
  <c r="R903" i="1"/>
  <c r="Q903" i="1"/>
  <c r="O903" i="1"/>
  <c r="P903" i="1" s="1"/>
  <c r="G903" i="1"/>
  <c r="W902" i="1"/>
  <c r="U902" i="1"/>
  <c r="T902" i="1"/>
  <c r="S902" i="1"/>
  <c r="R902" i="1"/>
  <c r="Q902" i="1"/>
  <c r="O902" i="1"/>
  <c r="P902" i="1" s="1"/>
  <c r="V902" i="1" s="1"/>
  <c r="G902" i="1"/>
  <c r="M901" i="1"/>
  <c r="L901" i="1"/>
  <c r="K901" i="1"/>
  <c r="J901" i="1"/>
  <c r="N901" i="1" s="1"/>
  <c r="I901" i="1"/>
  <c r="H901" i="1"/>
  <c r="Q900" i="1"/>
  <c r="E900" i="1"/>
  <c r="F900" i="1" s="1"/>
  <c r="D900" i="1"/>
  <c r="W899" i="1"/>
  <c r="V899" i="1"/>
  <c r="U899" i="1"/>
  <c r="T899" i="1"/>
  <c r="S899" i="1"/>
  <c r="X899" i="1" s="1"/>
  <c r="Q899" i="1"/>
  <c r="O899" i="1"/>
  <c r="P899" i="1" s="1"/>
  <c r="R899" i="1" s="1"/>
  <c r="F899" i="1"/>
  <c r="W898" i="1"/>
  <c r="U898" i="1"/>
  <c r="T898" i="1"/>
  <c r="S898" i="1"/>
  <c r="R898" i="1"/>
  <c r="Q898" i="1"/>
  <c r="O898" i="1"/>
  <c r="P898" i="1" s="1"/>
  <c r="V898" i="1" s="1"/>
  <c r="G898" i="1"/>
  <c r="W897" i="1"/>
  <c r="U897" i="1"/>
  <c r="T897" i="1"/>
  <c r="S897" i="1"/>
  <c r="R897" i="1"/>
  <c r="Q897" i="1"/>
  <c r="O897" i="1"/>
  <c r="P897" i="1" s="1"/>
  <c r="V897" i="1" s="1"/>
  <c r="G897" i="1"/>
  <c r="M896" i="1"/>
  <c r="L896" i="1"/>
  <c r="K896" i="1"/>
  <c r="J896" i="1"/>
  <c r="N896" i="1" s="1"/>
  <c r="I896" i="1"/>
  <c r="H896" i="1"/>
  <c r="F895" i="1"/>
  <c r="E895" i="1"/>
  <c r="D895" i="1"/>
  <c r="W894" i="1"/>
  <c r="V894" i="1"/>
  <c r="U894" i="1"/>
  <c r="T894" i="1"/>
  <c r="S894" i="1"/>
  <c r="Q894" i="1"/>
  <c r="O894" i="1"/>
  <c r="F894" i="1"/>
  <c r="W893" i="1"/>
  <c r="U893" i="1"/>
  <c r="T893" i="1"/>
  <c r="S893" i="1"/>
  <c r="R893" i="1"/>
  <c r="Q893" i="1"/>
  <c r="P893" i="1"/>
  <c r="V893" i="1" s="1"/>
  <c r="O893" i="1"/>
  <c r="G893" i="1"/>
  <c r="W892" i="1"/>
  <c r="U892" i="1"/>
  <c r="T892" i="1"/>
  <c r="S892" i="1"/>
  <c r="R892" i="1"/>
  <c r="Q892" i="1"/>
  <c r="O892" i="1"/>
  <c r="P892" i="1" s="1"/>
  <c r="V892" i="1" s="1"/>
  <c r="G892" i="1"/>
  <c r="M891" i="1"/>
  <c r="L891" i="1"/>
  <c r="K891" i="1"/>
  <c r="J891" i="1"/>
  <c r="N891" i="1" s="1"/>
  <c r="I891" i="1"/>
  <c r="H891" i="1"/>
  <c r="W890" i="1"/>
  <c r="T890" i="1"/>
  <c r="O890" i="1"/>
  <c r="E890" i="1"/>
  <c r="F890" i="1" s="1"/>
  <c r="D890" i="1"/>
  <c r="E889" i="1"/>
  <c r="F889" i="1" s="1"/>
  <c r="D889" i="1"/>
  <c r="W889" i="1" s="1"/>
  <c r="W888" i="1"/>
  <c r="V888" i="1"/>
  <c r="U888" i="1"/>
  <c r="T888" i="1"/>
  <c r="S888" i="1"/>
  <c r="Q888" i="1"/>
  <c r="O888" i="1"/>
  <c r="F888" i="1"/>
  <c r="W887" i="1"/>
  <c r="V887" i="1"/>
  <c r="U887" i="1"/>
  <c r="T887" i="1"/>
  <c r="S887" i="1"/>
  <c r="R887" i="1"/>
  <c r="Q887" i="1"/>
  <c r="O887" i="1"/>
  <c r="P887" i="1" s="1"/>
  <c r="G887" i="1"/>
  <c r="W886" i="1"/>
  <c r="U886" i="1"/>
  <c r="T886" i="1"/>
  <c r="S886" i="1"/>
  <c r="R886" i="1"/>
  <c r="Q886" i="1"/>
  <c r="O886" i="1"/>
  <c r="P886" i="1" s="1"/>
  <c r="V886" i="1" s="1"/>
  <c r="G886" i="1"/>
  <c r="W885" i="1"/>
  <c r="U885" i="1"/>
  <c r="T885" i="1"/>
  <c r="S885" i="1"/>
  <c r="R885" i="1"/>
  <c r="Q885" i="1"/>
  <c r="P885" i="1"/>
  <c r="V885" i="1" s="1"/>
  <c r="O885" i="1"/>
  <c r="G885" i="1"/>
  <c r="W884" i="1"/>
  <c r="U884" i="1"/>
  <c r="T884" i="1"/>
  <c r="S884" i="1"/>
  <c r="R884" i="1"/>
  <c r="Q884" i="1"/>
  <c r="O884" i="1"/>
  <c r="P884" i="1" s="1"/>
  <c r="V884" i="1" s="1"/>
  <c r="G884" i="1"/>
  <c r="M883" i="1"/>
  <c r="L883" i="1"/>
  <c r="K883" i="1"/>
  <c r="I883" i="1"/>
  <c r="H883" i="1"/>
  <c r="J883" i="1" s="1"/>
  <c r="N883" i="1" s="1"/>
  <c r="E882" i="1"/>
  <c r="F882" i="1" s="1"/>
  <c r="V881" i="1"/>
  <c r="T881" i="1"/>
  <c r="E881" i="1"/>
  <c r="F881" i="1" s="1"/>
  <c r="D881" i="1"/>
  <c r="U881" i="1" s="1"/>
  <c r="U880" i="1"/>
  <c r="S880" i="1"/>
  <c r="F880" i="1"/>
  <c r="D880" i="1"/>
  <c r="Q880" i="1" s="1"/>
  <c r="W879" i="1"/>
  <c r="V879" i="1"/>
  <c r="U879" i="1"/>
  <c r="T879" i="1"/>
  <c r="S879" i="1"/>
  <c r="Q879" i="1"/>
  <c r="O879" i="1"/>
  <c r="F879" i="1"/>
  <c r="W878" i="1"/>
  <c r="U878" i="1"/>
  <c r="T878" i="1"/>
  <c r="S878" i="1"/>
  <c r="R878" i="1"/>
  <c r="Q878" i="1"/>
  <c r="O878" i="1"/>
  <c r="P878" i="1" s="1"/>
  <c r="V878" i="1" s="1"/>
  <c r="G878" i="1"/>
  <c r="W877" i="1"/>
  <c r="U877" i="1"/>
  <c r="T877" i="1"/>
  <c r="S877" i="1"/>
  <c r="R877" i="1"/>
  <c r="Q877" i="1"/>
  <c r="O877" i="1"/>
  <c r="P877" i="1" s="1"/>
  <c r="V877" i="1" s="1"/>
  <c r="G877" i="1"/>
  <c r="W876" i="1"/>
  <c r="U876" i="1"/>
  <c r="T876" i="1"/>
  <c r="S876" i="1"/>
  <c r="R876" i="1"/>
  <c r="Q876" i="1"/>
  <c r="G876" i="1"/>
  <c r="O876" i="1" s="1"/>
  <c r="P876" i="1" s="1"/>
  <c r="V876" i="1" s="1"/>
  <c r="X876" i="1" s="1"/>
  <c r="N875" i="1"/>
  <c r="M875" i="1"/>
  <c r="L875" i="1"/>
  <c r="K875" i="1"/>
  <c r="I875" i="1"/>
  <c r="H875" i="1"/>
  <c r="J875" i="1" s="1"/>
  <c r="V874" i="1"/>
  <c r="Q874" i="1"/>
  <c r="E874" i="1"/>
  <c r="F874" i="1" s="1"/>
  <c r="D874" i="1"/>
  <c r="O874" i="1" s="1"/>
  <c r="P874" i="1" s="1"/>
  <c r="R874" i="1" s="1"/>
  <c r="W873" i="1"/>
  <c r="V873" i="1"/>
  <c r="U873" i="1"/>
  <c r="T873" i="1"/>
  <c r="S873" i="1"/>
  <c r="Q873" i="1"/>
  <c r="O873" i="1"/>
  <c r="P873" i="1" s="1"/>
  <c r="R873" i="1" s="1"/>
  <c r="F873" i="1"/>
  <c r="W872" i="1"/>
  <c r="V872" i="1"/>
  <c r="U872" i="1"/>
  <c r="S872" i="1"/>
  <c r="R872" i="1"/>
  <c r="Q872" i="1"/>
  <c r="G872" i="1"/>
  <c r="O872" i="1" s="1"/>
  <c r="P872" i="1" s="1"/>
  <c r="T872" i="1" s="1"/>
  <c r="W871" i="1"/>
  <c r="V871" i="1"/>
  <c r="U871" i="1"/>
  <c r="S871" i="1"/>
  <c r="X871" i="1" s="1"/>
  <c r="R871" i="1"/>
  <c r="Q871" i="1"/>
  <c r="O871" i="1"/>
  <c r="P871" i="1" s="1"/>
  <c r="T871" i="1" s="1"/>
  <c r="G871" i="1"/>
  <c r="M870" i="1"/>
  <c r="L870" i="1"/>
  <c r="K870" i="1"/>
  <c r="I870" i="1"/>
  <c r="H870" i="1"/>
  <c r="J870" i="1" s="1"/>
  <c r="N870" i="1" s="1"/>
  <c r="W869" i="1"/>
  <c r="V869" i="1"/>
  <c r="U869" i="1"/>
  <c r="S869" i="1"/>
  <c r="P869" i="1"/>
  <c r="Q869" i="1" s="1"/>
  <c r="O869" i="1"/>
  <c r="F869" i="1"/>
  <c r="D869" i="1"/>
  <c r="W868" i="1"/>
  <c r="V868" i="1"/>
  <c r="U868" i="1"/>
  <c r="T868" i="1"/>
  <c r="S868" i="1"/>
  <c r="R868" i="1"/>
  <c r="O868" i="1"/>
  <c r="F868" i="1"/>
  <c r="W867" i="1"/>
  <c r="V867" i="1"/>
  <c r="U867" i="1"/>
  <c r="S867" i="1"/>
  <c r="R867" i="1"/>
  <c r="Q867" i="1"/>
  <c r="G867" i="1"/>
  <c r="O867" i="1" s="1"/>
  <c r="P867" i="1" s="1"/>
  <c r="T867" i="1" s="1"/>
  <c r="W866" i="1"/>
  <c r="V866" i="1"/>
  <c r="U866" i="1"/>
  <c r="S866" i="1"/>
  <c r="R866" i="1"/>
  <c r="Q866" i="1"/>
  <c r="O866" i="1"/>
  <c r="P866" i="1" s="1"/>
  <c r="T866" i="1" s="1"/>
  <c r="G866" i="1"/>
  <c r="M865" i="1"/>
  <c r="L865" i="1"/>
  <c r="K865" i="1"/>
  <c r="J865" i="1"/>
  <c r="N865" i="1" s="1"/>
  <c r="I865" i="1"/>
  <c r="H865" i="1"/>
  <c r="E864" i="1"/>
  <c r="F864" i="1" s="1"/>
  <c r="W863" i="1"/>
  <c r="R863" i="1"/>
  <c r="O863" i="1"/>
  <c r="E863" i="1"/>
  <c r="F863" i="1" s="1"/>
  <c r="D863" i="1"/>
  <c r="Q863" i="1" s="1"/>
  <c r="F862" i="1"/>
  <c r="D862" i="1"/>
  <c r="W861" i="1"/>
  <c r="V861" i="1"/>
  <c r="U861" i="1"/>
  <c r="T861" i="1"/>
  <c r="R861" i="1"/>
  <c r="Q861" i="1"/>
  <c r="P861" i="1"/>
  <c r="S861" i="1" s="1"/>
  <c r="O861" i="1"/>
  <c r="F861" i="1"/>
  <c r="W860" i="1"/>
  <c r="U860" i="1"/>
  <c r="T860" i="1"/>
  <c r="S860" i="1"/>
  <c r="R860" i="1"/>
  <c r="Q860" i="1"/>
  <c r="G860" i="1"/>
  <c r="W859" i="1"/>
  <c r="U859" i="1"/>
  <c r="T859" i="1"/>
  <c r="S859" i="1"/>
  <c r="R859" i="1"/>
  <c r="Q859" i="1"/>
  <c r="O859" i="1"/>
  <c r="P859" i="1" s="1"/>
  <c r="V859" i="1" s="1"/>
  <c r="G859" i="1"/>
  <c r="N858" i="1"/>
  <c r="M858" i="1"/>
  <c r="L858" i="1"/>
  <c r="K858" i="1"/>
  <c r="I858" i="1"/>
  <c r="H858" i="1"/>
  <c r="J858" i="1" s="1"/>
  <c r="E857" i="1"/>
  <c r="F857" i="1" s="1"/>
  <c r="D857" i="1"/>
  <c r="R856" i="1"/>
  <c r="Q856" i="1"/>
  <c r="P856" i="1"/>
  <c r="O856" i="1"/>
  <c r="E856" i="1"/>
  <c r="F856" i="1" s="1"/>
  <c r="D856" i="1"/>
  <c r="W855" i="1"/>
  <c r="F855" i="1"/>
  <c r="D855" i="1"/>
  <c r="W854" i="1"/>
  <c r="V854" i="1"/>
  <c r="U854" i="1"/>
  <c r="T854" i="1"/>
  <c r="R854" i="1"/>
  <c r="Q854" i="1"/>
  <c r="P854" i="1"/>
  <c r="S854" i="1" s="1"/>
  <c r="O854" i="1"/>
  <c r="F854" i="1"/>
  <c r="W853" i="1"/>
  <c r="V853" i="1"/>
  <c r="U853" i="1"/>
  <c r="T853" i="1"/>
  <c r="S853" i="1"/>
  <c r="R853" i="1"/>
  <c r="Q853" i="1"/>
  <c r="O853" i="1"/>
  <c r="P853" i="1" s="1"/>
  <c r="G853" i="1"/>
  <c r="W852" i="1"/>
  <c r="U852" i="1"/>
  <c r="T852" i="1"/>
  <c r="S852" i="1"/>
  <c r="R852" i="1"/>
  <c r="Q852" i="1"/>
  <c r="O852" i="1"/>
  <c r="P852" i="1" s="1"/>
  <c r="V852" i="1" s="1"/>
  <c r="G852" i="1"/>
  <c r="N851" i="1"/>
  <c r="M851" i="1"/>
  <c r="L851" i="1"/>
  <c r="K851" i="1"/>
  <c r="I851" i="1"/>
  <c r="H851" i="1"/>
  <c r="J851" i="1" s="1"/>
  <c r="W850" i="1"/>
  <c r="V850" i="1"/>
  <c r="U850" i="1"/>
  <c r="T850" i="1"/>
  <c r="S850" i="1"/>
  <c r="Q850" i="1"/>
  <c r="O850" i="1"/>
  <c r="E850" i="1"/>
  <c r="F850" i="1" s="1"/>
  <c r="D850" i="1"/>
  <c r="W849" i="1"/>
  <c r="V849" i="1"/>
  <c r="U849" i="1"/>
  <c r="T849" i="1"/>
  <c r="S849" i="1"/>
  <c r="Q849" i="1"/>
  <c r="O849" i="1"/>
  <c r="F849" i="1"/>
  <c r="W848" i="1"/>
  <c r="U848" i="1"/>
  <c r="T848" i="1"/>
  <c r="S848" i="1"/>
  <c r="R848" i="1"/>
  <c r="Q848" i="1"/>
  <c r="O848" i="1"/>
  <c r="P848" i="1" s="1"/>
  <c r="V848" i="1" s="1"/>
  <c r="G848" i="1"/>
  <c r="W847" i="1"/>
  <c r="U847" i="1"/>
  <c r="T847" i="1"/>
  <c r="S847" i="1"/>
  <c r="R847" i="1"/>
  <c r="Q847" i="1"/>
  <c r="O847" i="1"/>
  <c r="P847" i="1" s="1"/>
  <c r="V847" i="1" s="1"/>
  <c r="G847" i="1"/>
  <c r="M846" i="1"/>
  <c r="L846" i="1"/>
  <c r="K846" i="1"/>
  <c r="I846" i="1"/>
  <c r="H846" i="1"/>
  <c r="J846" i="1" s="1"/>
  <c r="N846" i="1" s="1"/>
  <c r="F845" i="1"/>
  <c r="E845" i="1"/>
  <c r="W844" i="1"/>
  <c r="V844" i="1"/>
  <c r="E844" i="1"/>
  <c r="F844" i="1" s="1"/>
  <c r="D844" i="1"/>
  <c r="V843" i="1"/>
  <c r="T843" i="1"/>
  <c r="Q843" i="1"/>
  <c r="O843" i="1"/>
  <c r="P843" i="1" s="1"/>
  <c r="R843" i="1" s="1"/>
  <c r="F843" i="1"/>
  <c r="D843" i="1"/>
  <c r="W842" i="1"/>
  <c r="V842" i="1"/>
  <c r="U842" i="1"/>
  <c r="T842" i="1"/>
  <c r="S842" i="1"/>
  <c r="Q842" i="1"/>
  <c r="O842" i="1"/>
  <c r="P842" i="1" s="1"/>
  <c r="R842" i="1" s="1"/>
  <c r="F842" i="1"/>
  <c r="W841" i="1"/>
  <c r="U841" i="1"/>
  <c r="T841" i="1"/>
  <c r="S841" i="1"/>
  <c r="R841" i="1"/>
  <c r="Q841" i="1"/>
  <c r="O841" i="1"/>
  <c r="P841" i="1" s="1"/>
  <c r="V841" i="1" s="1"/>
  <c r="G841" i="1"/>
  <c r="W840" i="1"/>
  <c r="U840" i="1"/>
  <c r="T840" i="1"/>
  <c r="S840" i="1"/>
  <c r="R840" i="1"/>
  <c r="Q840" i="1"/>
  <c r="O840" i="1"/>
  <c r="P840" i="1" s="1"/>
  <c r="V840" i="1" s="1"/>
  <c r="G840" i="1"/>
  <c r="M839" i="1"/>
  <c r="L839" i="1"/>
  <c r="K839" i="1"/>
  <c r="I839" i="1"/>
  <c r="H839" i="1"/>
  <c r="J839" i="1" s="1"/>
  <c r="N839" i="1" s="1"/>
  <c r="E838" i="1"/>
  <c r="F838" i="1" s="1"/>
  <c r="W837" i="1"/>
  <c r="V837" i="1"/>
  <c r="U837" i="1"/>
  <c r="T837" i="1"/>
  <c r="S837" i="1"/>
  <c r="Q837" i="1"/>
  <c r="E837" i="1"/>
  <c r="F837" i="1" s="1"/>
  <c r="P837" i="1" s="1"/>
  <c r="R837" i="1" s="1"/>
  <c r="D837" i="1"/>
  <c r="O837" i="1" s="1"/>
  <c r="F836" i="1"/>
  <c r="D836" i="1"/>
  <c r="W835" i="1"/>
  <c r="V835" i="1"/>
  <c r="U835" i="1"/>
  <c r="T835" i="1"/>
  <c r="S835" i="1"/>
  <c r="Q835" i="1"/>
  <c r="O835" i="1"/>
  <c r="F835" i="1"/>
  <c r="W834" i="1"/>
  <c r="U834" i="1"/>
  <c r="T834" i="1"/>
  <c r="S834" i="1"/>
  <c r="R834" i="1"/>
  <c r="Q834" i="1"/>
  <c r="G834" i="1"/>
  <c r="W833" i="1"/>
  <c r="U833" i="1"/>
  <c r="T833" i="1"/>
  <c r="S833" i="1"/>
  <c r="R833" i="1"/>
  <c r="Q833" i="1"/>
  <c r="O833" i="1"/>
  <c r="P833" i="1" s="1"/>
  <c r="V833" i="1" s="1"/>
  <c r="G833" i="1"/>
  <c r="M832" i="1"/>
  <c r="L832" i="1"/>
  <c r="K832" i="1"/>
  <c r="I832" i="1"/>
  <c r="H832" i="1"/>
  <c r="J832" i="1" s="1"/>
  <c r="N832" i="1" s="1"/>
  <c r="W831" i="1"/>
  <c r="T831" i="1"/>
  <c r="S831" i="1"/>
  <c r="R831" i="1"/>
  <c r="Q831" i="1"/>
  <c r="O831" i="1"/>
  <c r="P831" i="1" s="1"/>
  <c r="V831" i="1" s="1"/>
  <c r="F831" i="1"/>
  <c r="E831" i="1"/>
  <c r="D831" i="1"/>
  <c r="U831" i="1" s="1"/>
  <c r="U830" i="1"/>
  <c r="P830" i="1"/>
  <c r="R830" i="1" s="1"/>
  <c r="O830" i="1"/>
  <c r="E830" i="1"/>
  <c r="F830" i="1" s="1"/>
  <c r="D830" i="1"/>
  <c r="V830" i="1" s="1"/>
  <c r="S829" i="1"/>
  <c r="E829" i="1"/>
  <c r="F829" i="1" s="1"/>
  <c r="D829" i="1"/>
  <c r="V828" i="1"/>
  <c r="U828" i="1"/>
  <c r="O828" i="1"/>
  <c r="P828" i="1" s="1"/>
  <c r="R828" i="1" s="1"/>
  <c r="F828" i="1"/>
  <c r="D828" i="1"/>
  <c r="W828" i="1" s="1"/>
  <c r="W827" i="1"/>
  <c r="V827" i="1"/>
  <c r="U827" i="1"/>
  <c r="T827" i="1"/>
  <c r="S827" i="1"/>
  <c r="Q827" i="1"/>
  <c r="O827" i="1"/>
  <c r="F827" i="1"/>
  <c r="W826" i="1"/>
  <c r="V826" i="1"/>
  <c r="U826" i="1"/>
  <c r="S826" i="1"/>
  <c r="R826" i="1"/>
  <c r="Q826" i="1"/>
  <c r="G826" i="1"/>
  <c r="O826" i="1" s="1"/>
  <c r="P826" i="1" s="1"/>
  <c r="T826" i="1" s="1"/>
  <c r="W825" i="1"/>
  <c r="U825" i="1"/>
  <c r="T825" i="1"/>
  <c r="S825" i="1"/>
  <c r="R825" i="1"/>
  <c r="Q825" i="1"/>
  <c r="G825" i="1"/>
  <c r="O825" i="1" s="1"/>
  <c r="P825" i="1" s="1"/>
  <c r="V825" i="1" s="1"/>
  <c r="W824" i="1"/>
  <c r="U824" i="1"/>
  <c r="T824" i="1"/>
  <c r="S824" i="1"/>
  <c r="R824" i="1"/>
  <c r="Q824" i="1"/>
  <c r="G824" i="1"/>
  <c r="O824" i="1" s="1"/>
  <c r="P824" i="1" s="1"/>
  <c r="V824" i="1" s="1"/>
  <c r="N823" i="1"/>
  <c r="M823" i="1"/>
  <c r="L823" i="1"/>
  <c r="K823" i="1"/>
  <c r="I823" i="1"/>
  <c r="H823" i="1"/>
  <c r="J823" i="1" s="1"/>
  <c r="W822" i="1"/>
  <c r="U822" i="1"/>
  <c r="T822" i="1"/>
  <c r="S822" i="1"/>
  <c r="R822" i="1"/>
  <c r="Q822" i="1"/>
  <c r="O822" i="1"/>
  <c r="P822" i="1" s="1"/>
  <c r="V822" i="1" s="1"/>
  <c r="E822" i="1"/>
  <c r="F822" i="1" s="1"/>
  <c r="D822" i="1"/>
  <c r="E821" i="1"/>
  <c r="F821" i="1" s="1"/>
  <c r="E820" i="1"/>
  <c r="F820" i="1" s="1"/>
  <c r="D820" i="1"/>
  <c r="F819" i="1"/>
  <c r="D819" i="1"/>
  <c r="W818" i="1"/>
  <c r="V818" i="1"/>
  <c r="U818" i="1"/>
  <c r="T818" i="1"/>
  <c r="S818" i="1"/>
  <c r="Q818" i="1"/>
  <c r="O818" i="1"/>
  <c r="F818" i="1"/>
  <c r="W817" i="1"/>
  <c r="U817" i="1"/>
  <c r="T817" i="1"/>
  <c r="S817" i="1"/>
  <c r="R817" i="1"/>
  <c r="Q817" i="1"/>
  <c r="O817" i="1"/>
  <c r="P817" i="1" s="1"/>
  <c r="V817" i="1" s="1"/>
  <c r="G817" i="1"/>
  <c r="W816" i="1"/>
  <c r="U816" i="1"/>
  <c r="T816" i="1"/>
  <c r="S816" i="1"/>
  <c r="R816" i="1"/>
  <c r="Q816" i="1"/>
  <c r="O816" i="1"/>
  <c r="P816" i="1" s="1"/>
  <c r="V816" i="1" s="1"/>
  <c r="G816" i="1"/>
  <c r="M815" i="1"/>
  <c r="L815" i="1"/>
  <c r="K815" i="1"/>
  <c r="I815" i="1"/>
  <c r="H815" i="1"/>
  <c r="J815" i="1" s="1"/>
  <c r="N815" i="1" s="1"/>
  <c r="U814" i="1"/>
  <c r="T814" i="1"/>
  <c r="O814" i="1"/>
  <c r="E814" i="1"/>
  <c r="F814" i="1" s="1"/>
  <c r="D814" i="1"/>
  <c r="W814" i="1" s="1"/>
  <c r="E813" i="1"/>
  <c r="F813" i="1" s="1"/>
  <c r="W812" i="1"/>
  <c r="E812" i="1"/>
  <c r="F812" i="1" s="1"/>
  <c r="D812" i="1"/>
  <c r="V811" i="1"/>
  <c r="U811" i="1"/>
  <c r="S811" i="1"/>
  <c r="Q811" i="1"/>
  <c r="F811" i="1"/>
  <c r="D811" i="1"/>
  <c r="W810" i="1"/>
  <c r="V810" i="1"/>
  <c r="U810" i="1"/>
  <c r="T810" i="1"/>
  <c r="S810" i="1"/>
  <c r="Q810" i="1"/>
  <c r="O810" i="1"/>
  <c r="F810" i="1"/>
  <c r="W809" i="1"/>
  <c r="U809" i="1"/>
  <c r="T809" i="1"/>
  <c r="S809" i="1"/>
  <c r="R809" i="1"/>
  <c r="Q809" i="1"/>
  <c r="O809" i="1"/>
  <c r="P809" i="1" s="1"/>
  <c r="V809" i="1" s="1"/>
  <c r="G809" i="1"/>
  <c r="W808" i="1"/>
  <c r="U808" i="1"/>
  <c r="T808" i="1"/>
  <c r="S808" i="1"/>
  <c r="R808" i="1"/>
  <c r="Q808" i="1"/>
  <c r="G808" i="1"/>
  <c r="O808" i="1" s="1"/>
  <c r="P808" i="1" s="1"/>
  <c r="V808" i="1" s="1"/>
  <c r="M807" i="1"/>
  <c r="L807" i="1"/>
  <c r="K807" i="1"/>
  <c r="I807" i="1"/>
  <c r="H807" i="1"/>
  <c r="J807" i="1" s="1"/>
  <c r="N807" i="1" s="1"/>
  <c r="R806" i="1"/>
  <c r="Q806" i="1"/>
  <c r="O806" i="1"/>
  <c r="E806" i="1"/>
  <c r="F806" i="1" s="1"/>
  <c r="P806" i="1" s="1"/>
  <c r="D806" i="1"/>
  <c r="U806" i="1" s="1"/>
  <c r="W805" i="1"/>
  <c r="V805" i="1"/>
  <c r="U805" i="1"/>
  <c r="T805" i="1"/>
  <c r="S805" i="1"/>
  <c r="R805" i="1"/>
  <c r="P805" i="1"/>
  <c r="Q805" i="1" s="1"/>
  <c r="X805" i="1" s="1"/>
  <c r="O805" i="1"/>
  <c r="F805" i="1"/>
  <c r="W804" i="1"/>
  <c r="V804" i="1"/>
  <c r="U804" i="1"/>
  <c r="S804" i="1"/>
  <c r="R804" i="1"/>
  <c r="Q804" i="1"/>
  <c r="O804" i="1"/>
  <c r="P804" i="1" s="1"/>
  <c r="T804" i="1" s="1"/>
  <c r="G804" i="1"/>
  <c r="W803" i="1"/>
  <c r="V803" i="1"/>
  <c r="T803" i="1"/>
  <c r="S803" i="1"/>
  <c r="R803" i="1"/>
  <c r="Q803" i="1"/>
  <c r="O803" i="1"/>
  <c r="P803" i="1" s="1"/>
  <c r="U803" i="1" s="1"/>
  <c r="G803" i="1"/>
  <c r="W802" i="1"/>
  <c r="U802" i="1"/>
  <c r="T802" i="1"/>
  <c r="S802" i="1"/>
  <c r="R802" i="1"/>
  <c r="Q802" i="1"/>
  <c r="G802" i="1"/>
  <c r="O802" i="1" s="1"/>
  <c r="P802" i="1" s="1"/>
  <c r="V802" i="1" s="1"/>
  <c r="W801" i="1"/>
  <c r="U801" i="1"/>
  <c r="T801" i="1"/>
  <c r="S801" i="1"/>
  <c r="R801" i="1"/>
  <c r="Q801" i="1"/>
  <c r="G801" i="1"/>
  <c r="O801" i="1" s="1"/>
  <c r="P801" i="1" s="1"/>
  <c r="V801" i="1" s="1"/>
  <c r="W800" i="1"/>
  <c r="V800" i="1"/>
  <c r="T800" i="1"/>
  <c r="S800" i="1"/>
  <c r="R800" i="1"/>
  <c r="Q800" i="1"/>
  <c r="G800" i="1"/>
  <c r="O800" i="1" s="1"/>
  <c r="P800" i="1" s="1"/>
  <c r="U800" i="1" s="1"/>
  <c r="M799" i="1"/>
  <c r="L799" i="1"/>
  <c r="K799" i="1"/>
  <c r="J799" i="1"/>
  <c r="N799" i="1" s="1"/>
  <c r="I799" i="1"/>
  <c r="H799" i="1"/>
  <c r="U798" i="1"/>
  <c r="T798" i="1"/>
  <c r="P798" i="1"/>
  <c r="V798" i="1" s="1"/>
  <c r="O798" i="1"/>
  <c r="E798" i="1"/>
  <c r="F798" i="1" s="1"/>
  <c r="D798" i="1"/>
  <c r="W798" i="1" s="1"/>
  <c r="W797" i="1"/>
  <c r="V797" i="1"/>
  <c r="U797" i="1"/>
  <c r="T797" i="1"/>
  <c r="S797" i="1"/>
  <c r="R797" i="1"/>
  <c r="O797" i="1"/>
  <c r="F797" i="1"/>
  <c r="P797" i="1" s="1"/>
  <c r="Q797" i="1" s="1"/>
  <c r="X797" i="1" s="1"/>
  <c r="W796" i="1"/>
  <c r="V796" i="1"/>
  <c r="T796" i="1"/>
  <c r="S796" i="1"/>
  <c r="R796" i="1"/>
  <c r="Q796" i="1"/>
  <c r="G796" i="1"/>
  <c r="O796" i="1" s="1"/>
  <c r="P796" i="1" s="1"/>
  <c r="U796" i="1" s="1"/>
  <c r="W795" i="1"/>
  <c r="V795" i="1"/>
  <c r="T795" i="1"/>
  <c r="S795" i="1"/>
  <c r="R795" i="1"/>
  <c r="Q795" i="1"/>
  <c r="G795" i="1"/>
  <c r="O795" i="1" s="1"/>
  <c r="P795" i="1" s="1"/>
  <c r="U795" i="1" s="1"/>
  <c r="N794" i="1"/>
  <c r="M794" i="1"/>
  <c r="L794" i="1"/>
  <c r="K794" i="1"/>
  <c r="I794" i="1"/>
  <c r="H794" i="1"/>
  <c r="J794" i="1" s="1"/>
  <c r="T793" i="1"/>
  <c r="S793" i="1"/>
  <c r="R793" i="1"/>
  <c r="O793" i="1"/>
  <c r="F793" i="1"/>
  <c r="P793" i="1" s="1"/>
  <c r="E793" i="1"/>
  <c r="D793" i="1"/>
  <c r="Q793" i="1" s="1"/>
  <c r="F792" i="1"/>
  <c r="E792" i="1"/>
  <c r="V791" i="1"/>
  <c r="U791" i="1"/>
  <c r="E791" i="1"/>
  <c r="F791" i="1" s="1"/>
  <c r="D791" i="1"/>
  <c r="Q791" i="1" s="1"/>
  <c r="Q790" i="1"/>
  <c r="F790" i="1"/>
  <c r="D790" i="1"/>
  <c r="W790" i="1" s="1"/>
  <c r="W789" i="1"/>
  <c r="V789" i="1"/>
  <c r="U789" i="1"/>
  <c r="T789" i="1"/>
  <c r="S789" i="1"/>
  <c r="Q789" i="1"/>
  <c r="O789" i="1"/>
  <c r="F789" i="1"/>
  <c r="W788" i="1"/>
  <c r="V788" i="1"/>
  <c r="U788" i="1"/>
  <c r="S788" i="1"/>
  <c r="R788" i="1"/>
  <c r="Q788" i="1"/>
  <c r="O788" i="1"/>
  <c r="P788" i="1" s="1"/>
  <c r="T788" i="1" s="1"/>
  <c r="G788" i="1"/>
  <c r="W787" i="1"/>
  <c r="U787" i="1"/>
  <c r="T787" i="1"/>
  <c r="S787" i="1"/>
  <c r="R787" i="1"/>
  <c r="Q787" i="1"/>
  <c r="P787" i="1"/>
  <c r="V787" i="1" s="1"/>
  <c r="O787" i="1"/>
  <c r="G787" i="1"/>
  <c r="W786" i="1"/>
  <c r="V786" i="1"/>
  <c r="U786" i="1"/>
  <c r="S786" i="1"/>
  <c r="R786" i="1"/>
  <c r="Q786" i="1"/>
  <c r="O786" i="1"/>
  <c r="P786" i="1" s="1"/>
  <c r="T786" i="1" s="1"/>
  <c r="G786" i="1"/>
  <c r="W785" i="1"/>
  <c r="V785" i="1"/>
  <c r="U785" i="1"/>
  <c r="S785" i="1"/>
  <c r="R785" i="1"/>
  <c r="Q785" i="1"/>
  <c r="G785" i="1"/>
  <c r="O785" i="1" s="1"/>
  <c r="P785" i="1" s="1"/>
  <c r="T785" i="1" s="1"/>
  <c r="W784" i="1"/>
  <c r="U784" i="1"/>
  <c r="T784" i="1"/>
  <c r="S784" i="1"/>
  <c r="R784" i="1"/>
  <c r="Q784" i="1"/>
  <c r="G784" i="1"/>
  <c r="O784" i="1" s="1"/>
  <c r="P784" i="1" s="1"/>
  <c r="V784" i="1" s="1"/>
  <c r="N783" i="1"/>
  <c r="M783" i="1"/>
  <c r="L783" i="1"/>
  <c r="K783" i="1"/>
  <c r="I783" i="1"/>
  <c r="H783" i="1"/>
  <c r="J783" i="1" s="1"/>
  <c r="U782" i="1"/>
  <c r="Q782" i="1"/>
  <c r="O782" i="1"/>
  <c r="E782" i="1"/>
  <c r="F782" i="1" s="1"/>
  <c r="D782" i="1"/>
  <c r="W782" i="1" s="1"/>
  <c r="E781" i="1"/>
  <c r="F781" i="1" s="1"/>
  <c r="W780" i="1"/>
  <c r="S780" i="1"/>
  <c r="Q780" i="1"/>
  <c r="E780" i="1"/>
  <c r="F780" i="1" s="1"/>
  <c r="D780" i="1"/>
  <c r="O780" i="1" s="1"/>
  <c r="P780" i="1" s="1"/>
  <c r="R780" i="1" s="1"/>
  <c r="U779" i="1"/>
  <c r="T779" i="1"/>
  <c r="S779" i="1"/>
  <c r="O779" i="1"/>
  <c r="F779" i="1"/>
  <c r="P779" i="1" s="1"/>
  <c r="R779" i="1" s="1"/>
  <c r="D779" i="1"/>
  <c r="W779" i="1" s="1"/>
  <c r="W778" i="1"/>
  <c r="V778" i="1"/>
  <c r="U778" i="1"/>
  <c r="T778" i="1"/>
  <c r="S778" i="1"/>
  <c r="Q778" i="1"/>
  <c r="O778" i="1"/>
  <c r="F778" i="1"/>
  <c r="W777" i="1"/>
  <c r="V777" i="1"/>
  <c r="U777" i="1"/>
  <c r="T777" i="1"/>
  <c r="S777" i="1"/>
  <c r="R777" i="1"/>
  <c r="Q777" i="1"/>
  <c r="P777" i="1"/>
  <c r="O777" i="1"/>
  <c r="G777" i="1"/>
  <c r="W776" i="1"/>
  <c r="V776" i="1"/>
  <c r="T776" i="1"/>
  <c r="S776" i="1"/>
  <c r="R776" i="1"/>
  <c r="Q776" i="1"/>
  <c r="G776" i="1"/>
  <c r="O776" i="1" s="1"/>
  <c r="P776" i="1" s="1"/>
  <c r="U776" i="1" s="1"/>
  <c r="W775" i="1"/>
  <c r="V775" i="1"/>
  <c r="T775" i="1"/>
  <c r="S775" i="1"/>
  <c r="R775" i="1"/>
  <c r="Q775" i="1"/>
  <c r="G775" i="1"/>
  <c r="O775" i="1" s="1"/>
  <c r="P775" i="1" s="1"/>
  <c r="U775" i="1" s="1"/>
  <c r="W774" i="1"/>
  <c r="V774" i="1"/>
  <c r="U774" i="1"/>
  <c r="S774" i="1"/>
  <c r="R774" i="1"/>
  <c r="Q774" i="1"/>
  <c r="G774" i="1"/>
  <c r="O774" i="1" s="1"/>
  <c r="P774" i="1" s="1"/>
  <c r="T774" i="1" s="1"/>
  <c r="W773" i="1"/>
  <c r="V773" i="1"/>
  <c r="T773" i="1"/>
  <c r="S773" i="1"/>
  <c r="R773" i="1"/>
  <c r="Q773" i="1"/>
  <c r="O773" i="1"/>
  <c r="P773" i="1" s="1"/>
  <c r="U773" i="1" s="1"/>
  <c r="G773" i="1"/>
  <c r="M772" i="1"/>
  <c r="L772" i="1"/>
  <c r="K772" i="1"/>
  <c r="I772" i="1"/>
  <c r="H772" i="1"/>
  <c r="J772" i="1" s="1"/>
  <c r="N772" i="1" s="1"/>
  <c r="O771" i="1"/>
  <c r="E771" i="1"/>
  <c r="F771" i="1" s="1"/>
  <c r="D771" i="1"/>
  <c r="W770" i="1"/>
  <c r="V770" i="1"/>
  <c r="E770" i="1"/>
  <c r="F770" i="1" s="1"/>
  <c r="D770" i="1"/>
  <c r="U770" i="1" s="1"/>
  <c r="W769" i="1"/>
  <c r="V769" i="1"/>
  <c r="U769" i="1"/>
  <c r="T769" i="1"/>
  <c r="S769" i="1"/>
  <c r="Q769" i="1"/>
  <c r="O769" i="1"/>
  <c r="P769" i="1" s="1"/>
  <c r="R769" i="1" s="1"/>
  <c r="F769" i="1"/>
  <c r="W768" i="1"/>
  <c r="V768" i="1"/>
  <c r="U768" i="1"/>
  <c r="T768" i="1"/>
  <c r="S768" i="1"/>
  <c r="R768" i="1"/>
  <c r="Q768" i="1"/>
  <c r="O768" i="1"/>
  <c r="P768" i="1" s="1"/>
  <c r="G768" i="1"/>
  <c r="W767" i="1"/>
  <c r="V767" i="1"/>
  <c r="T767" i="1"/>
  <c r="S767" i="1"/>
  <c r="R767" i="1"/>
  <c r="Q767" i="1"/>
  <c r="G767" i="1"/>
  <c r="O767" i="1" s="1"/>
  <c r="P767" i="1" s="1"/>
  <c r="U767" i="1" s="1"/>
  <c r="M766" i="1"/>
  <c r="L766" i="1"/>
  <c r="K766" i="1"/>
  <c r="I766" i="1"/>
  <c r="H766" i="1"/>
  <c r="J766" i="1" s="1"/>
  <c r="N766" i="1" s="1"/>
  <c r="W765" i="1"/>
  <c r="U765" i="1"/>
  <c r="T765" i="1"/>
  <c r="O765" i="1"/>
  <c r="F765" i="1"/>
  <c r="E765" i="1"/>
  <c r="D765" i="1"/>
  <c r="Q765" i="1" s="1"/>
  <c r="E764" i="1"/>
  <c r="F764" i="1" s="1"/>
  <c r="D764" i="1"/>
  <c r="V764" i="1" s="1"/>
  <c r="W763" i="1"/>
  <c r="V763" i="1"/>
  <c r="U763" i="1"/>
  <c r="T763" i="1"/>
  <c r="S763" i="1"/>
  <c r="Q763" i="1"/>
  <c r="O763" i="1"/>
  <c r="F763" i="1"/>
  <c r="W762" i="1"/>
  <c r="V762" i="1"/>
  <c r="U762" i="1"/>
  <c r="X762" i="1" s="1"/>
  <c r="T762" i="1"/>
  <c r="S762" i="1"/>
  <c r="R762" i="1"/>
  <c r="Q762" i="1"/>
  <c r="G762" i="1"/>
  <c r="O762" i="1" s="1"/>
  <c r="P762" i="1" s="1"/>
  <c r="W761" i="1"/>
  <c r="V761" i="1"/>
  <c r="T761" i="1"/>
  <c r="S761" i="1"/>
  <c r="R761" i="1"/>
  <c r="Q761" i="1"/>
  <c r="O761" i="1"/>
  <c r="P761" i="1" s="1"/>
  <c r="U761" i="1" s="1"/>
  <c r="X761" i="1" s="1"/>
  <c r="G761" i="1"/>
  <c r="M760" i="1"/>
  <c r="L760" i="1"/>
  <c r="K760" i="1"/>
  <c r="J760" i="1"/>
  <c r="N760" i="1" s="1"/>
  <c r="I760" i="1"/>
  <c r="H760" i="1"/>
  <c r="S759" i="1"/>
  <c r="O759" i="1"/>
  <c r="E759" i="1"/>
  <c r="F759" i="1" s="1"/>
  <c r="D759" i="1"/>
  <c r="V758" i="1"/>
  <c r="S758" i="1"/>
  <c r="E758" i="1"/>
  <c r="F758" i="1" s="1"/>
  <c r="D758" i="1"/>
  <c r="O758" i="1" s="1"/>
  <c r="W757" i="1"/>
  <c r="V757" i="1"/>
  <c r="U757" i="1"/>
  <c r="T757" i="1"/>
  <c r="S757" i="1"/>
  <c r="Q757" i="1"/>
  <c r="O757" i="1"/>
  <c r="F757" i="1"/>
  <c r="W756" i="1"/>
  <c r="V756" i="1"/>
  <c r="T756" i="1"/>
  <c r="S756" i="1"/>
  <c r="R756" i="1"/>
  <c r="Q756" i="1"/>
  <c r="G756" i="1"/>
  <c r="O756" i="1" s="1"/>
  <c r="P756" i="1" s="1"/>
  <c r="U756" i="1" s="1"/>
  <c r="W755" i="1"/>
  <c r="V755" i="1"/>
  <c r="T755" i="1"/>
  <c r="S755" i="1"/>
  <c r="R755" i="1"/>
  <c r="Q755" i="1"/>
  <c r="G755" i="1"/>
  <c r="O755" i="1" s="1"/>
  <c r="P755" i="1" s="1"/>
  <c r="U755" i="1" s="1"/>
  <c r="M754" i="1"/>
  <c r="L754" i="1"/>
  <c r="K754" i="1"/>
  <c r="I754" i="1"/>
  <c r="H754" i="1"/>
  <c r="J754" i="1" s="1"/>
  <c r="N754" i="1" s="1"/>
  <c r="W753" i="1"/>
  <c r="U753" i="1"/>
  <c r="T753" i="1"/>
  <c r="S753" i="1"/>
  <c r="R753" i="1"/>
  <c r="Q753" i="1"/>
  <c r="O753" i="1"/>
  <c r="F753" i="1"/>
  <c r="P753" i="1" s="1"/>
  <c r="V753" i="1" s="1"/>
  <c r="E753" i="1"/>
  <c r="D753" i="1"/>
  <c r="F752" i="1"/>
  <c r="E752" i="1"/>
  <c r="D752" i="1"/>
  <c r="W751" i="1"/>
  <c r="V751" i="1"/>
  <c r="U751" i="1"/>
  <c r="T751" i="1"/>
  <c r="S751" i="1"/>
  <c r="Q751" i="1"/>
  <c r="O751" i="1"/>
  <c r="P751" i="1" s="1"/>
  <c r="R751" i="1" s="1"/>
  <c r="F751" i="1"/>
  <c r="W750" i="1"/>
  <c r="V750" i="1"/>
  <c r="U750" i="1"/>
  <c r="S750" i="1"/>
  <c r="R750" i="1"/>
  <c r="Q750" i="1"/>
  <c r="G750" i="1"/>
  <c r="O750" i="1" s="1"/>
  <c r="P750" i="1" s="1"/>
  <c r="T750" i="1" s="1"/>
  <c r="W749" i="1"/>
  <c r="V749" i="1"/>
  <c r="T749" i="1"/>
  <c r="S749" i="1"/>
  <c r="R749" i="1"/>
  <c r="Q749" i="1"/>
  <c r="O749" i="1"/>
  <c r="P749" i="1" s="1"/>
  <c r="U749" i="1" s="1"/>
  <c r="G749" i="1"/>
  <c r="W748" i="1"/>
  <c r="V748" i="1"/>
  <c r="U748" i="1"/>
  <c r="S748" i="1"/>
  <c r="R748" i="1"/>
  <c r="Q748" i="1"/>
  <c r="G748" i="1"/>
  <c r="O748" i="1" s="1"/>
  <c r="P748" i="1" s="1"/>
  <c r="T748" i="1" s="1"/>
  <c r="W747" i="1"/>
  <c r="V747" i="1"/>
  <c r="T747" i="1"/>
  <c r="S747" i="1"/>
  <c r="R747" i="1"/>
  <c r="Q747" i="1"/>
  <c r="G747" i="1"/>
  <c r="O747" i="1" s="1"/>
  <c r="P747" i="1" s="1"/>
  <c r="U747" i="1" s="1"/>
  <c r="M746" i="1"/>
  <c r="L746" i="1"/>
  <c r="K746" i="1"/>
  <c r="J746" i="1"/>
  <c r="N746" i="1" s="1"/>
  <c r="I746" i="1"/>
  <c r="H746" i="1"/>
  <c r="U745" i="1"/>
  <c r="R745" i="1"/>
  <c r="O745" i="1"/>
  <c r="E745" i="1"/>
  <c r="F745" i="1" s="1"/>
  <c r="D745" i="1"/>
  <c r="W744" i="1"/>
  <c r="V744" i="1"/>
  <c r="U744" i="1"/>
  <c r="T744" i="1"/>
  <c r="S744" i="1"/>
  <c r="R744" i="1"/>
  <c r="O744" i="1"/>
  <c r="F744" i="1"/>
  <c r="W743" i="1"/>
  <c r="V743" i="1"/>
  <c r="U743" i="1"/>
  <c r="T743" i="1"/>
  <c r="R743" i="1"/>
  <c r="Q743" i="1"/>
  <c r="P743" i="1"/>
  <c r="S743" i="1" s="1"/>
  <c r="O743" i="1"/>
  <c r="G743" i="1"/>
  <c r="W742" i="1"/>
  <c r="U742" i="1"/>
  <c r="T742" i="1"/>
  <c r="S742" i="1"/>
  <c r="R742" i="1"/>
  <c r="Q742" i="1"/>
  <c r="G742" i="1"/>
  <c r="O742" i="1" s="1"/>
  <c r="P742" i="1" s="1"/>
  <c r="V742" i="1" s="1"/>
  <c r="W741" i="1"/>
  <c r="U741" i="1"/>
  <c r="T741" i="1"/>
  <c r="S741" i="1"/>
  <c r="R741" i="1"/>
  <c r="Q741" i="1"/>
  <c r="P741" i="1"/>
  <c r="V741" i="1" s="1"/>
  <c r="G741" i="1"/>
  <c r="O741" i="1" s="1"/>
  <c r="M740" i="1"/>
  <c r="L740" i="1"/>
  <c r="K740" i="1"/>
  <c r="J740" i="1"/>
  <c r="N740" i="1" s="1"/>
  <c r="I740" i="1"/>
  <c r="H740" i="1"/>
  <c r="P739" i="1"/>
  <c r="O739" i="1"/>
  <c r="E739" i="1"/>
  <c r="F739" i="1" s="1"/>
  <c r="D739" i="1"/>
  <c r="V738" i="1"/>
  <c r="S738" i="1"/>
  <c r="O738" i="1"/>
  <c r="P738" i="1" s="1"/>
  <c r="R738" i="1" s="1"/>
  <c r="F738" i="1"/>
  <c r="E738" i="1"/>
  <c r="D738" i="1"/>
  <c r="Q738" i="1" s="1"/>
  <c r="W737" i="1"/>
  <c r="V737" i="1"/>
  <c r="U737" i="1"/>
  <c r="T737" i="1"/>
  <c r="S737" i="1"/>
  <c r="Q737" i="1"/>
  <c r="O737" i="1"/>
  <c r="F737" i="1"/>
  <c r="P737" i="1" s="1"/>
  <c r="R737" i="1" s="1"/>
  <c r="W736" i="1"/>
  <c r="V736" i="1"/>
  <c r="U736" i="1"/>
  <c r="S736" i="1"/>
  <c r="R736" i="1"/>
  <c r="Q736" i="1"/>
  <c r="G736" i="1"/>
  <c r="O736" i="1" s="1"/>
  <c r="P736" i="1" s="1"/>
  <c r="T736" i="1" s="1"/>
  <c r="W735" i="1"/>
  <c r="V735" i="1"/>
  <c r="T735" i="1"/>
  <c r="S735" i="1"/>
  <c r="R735" i="1"/>
  <c r="Q735" i="1"/>
  <c r="G735" i="1"/>
  <c r="O735" i="1" s="1"/>
  <c r="P735" i="1" s="1"/>
  <c r="U735" i="1" s="1"/>
  <c r="W734" i="1"/>
  <c r="X734" i="1" s="1"/>
  <c r="V734" i="1"/>
  <c r="U734" i="1"/>
  <c r="S734" i="1"/>
  <c r="R734" i="1"/>
  <c r="Q734" i="1"/>
  <c r="G734" i="1"/>
  <c r="O734" i="1" s="1"/>
  <c r="P734" i="1" s="1"/>
  <c r="T734" i="1" s="1"/>
  <c r="W733" i="1"/>
  <c r="V733" i="1"/>
  <c r="T733" i="1"/>
  <c r="S733" i="1"/>
  <c r="R733" i="1"/>
  <c r="Q733" i="1"/>
  <c r="G733" i="1"/>
  <c r="O733" i="1" s="1"/>
  <c r="P733" i="1" s="1"/>
  <c r="U733" i="1" s="1"/>
  <c r="N732" i="1"/>
  <c r="M732" i="1"/>
  <c r="L732" i="1"/>
  <c r="K732" i="1"/>
  <c r="I732" i="1"/>
  <c r="H732" i="1"/>
  <c r="J732" i="1" s="1"/>
  <c r="E731" i="1"/>
  <c r="F731" i="1" s="1"/>
  <c r="D731" i="1"/>
  <c r="U731" i="1" s="1"/>
  <c r="W730" i="1"/>
  <c r="V730" i="1"/>
  <c r="U730" i="1"/>
  <c r="T730" i="1"/>
  <c r="S730" i="1"/>
  <c r="Q730" i="1"/>
  <c r="O730" i="1"/>
  <c r="F730" i="1"/>
  <c r="W729" i="1"/>
  <c r="V729" i="1"/>
  <c r="T729" i="1"/>
  <c r="S729" i="1"/>
  <c r="R729" i="1"/>
  <c r="Q729" i="1"/>
  <c r="G729" i="1"/>
  <c r="O729" i="1" s="1"/>
  <c r="P729" i="1" s="1"/>
  <c r="U729" i="1" s="1"/>
  <c r="W728" i="1"/>
  <c r="V728" i="1"/>
  <c r="T728" i="1"/>
  <c r="S728" i="1"/>
  <c r="R728" i="1"/>
  <c r="Q728" i="1"/>
  <c r="G728" i="1"/>
  <c r="O728" i="1" s="1"/>
  <c r="P728" i="1" s="1"/>
  <c r="U728" i="1" s="1"/>
  <c r="M727" i="1"/>
  <c r="L727" i="1"/>
  <c r="K727" i="1"/>
  <c r="J727" i="1"/>
  <c r="N727" i="1" s="1"/>
  <c r="I727" i="1"/>
  <c r="H727" i="1"/>
  <c r="W726" i="1"/>
  <c r="T726" i="1"/>
  <c r="S726" i="1"/>
  <c r="R726" i="1"/>
  <c r="Q726" i="1"/>
  <c r="O726" i="1"/>
  <c r="P726" i="1" s="1"/>
  <c r="V726" i="1" s="1"/>
  <c r="F726" i="1"/>
  <c r="E726" i="1"/>
  <c r="D726" i="1"/>
  <c r="U726" i="1" s="1"/>
  <c r="F725" i="1"/>
  <c r="E725" i="1"/>
  <c r="U724" i="1"/>
  <c r="T724" i="1"/>
  <c r="Q724" i="1"/>
  <c r="E724" i="1"/>
  <c r="F724" i="1" s="1"/>
  <c r="D724" i="1"/>
  <c r="W724" i="1" s="1"/>
  <c r="F723" i="1"/>
  <c r="D723" i="1"/>
  <c r="W722" i="1"/>
  <c r="V722" i="1"/>
  <c r="U722" i="1"/>
  <c r="T722" i="1"/>
  <c r="S722" i="1"/>
  <c r="Q722" i="1"/>
  <c r="O722" i="1"/>
  <c r="P722" i="1" s="1"/>
  <c r="R722" i="1" s="1"/>
  <c r="F722" i="1"/>
  <c r="W721" i="1"/>
  <c r="V721" i="1"/>
  <c r="U721" i="1"/>
  <c r="T721" i="1"/>
  <c r="R721" i="1"/>
  <c r="Q721" i="1"/>
  <c r="O721" i="1"/>
  <c r="P721" i="1" s="1"/>
  <c r="S721" i="1" s="1"/>
  <c r="G721" i="1"/>
  <c r="W720" i="1"/>
  <c r="V720" i="1"/>
  <c r="T720" i="1"/>
  <c r="S720" i="1"/>
  <c r="R720" i="1"/>
  <c r="Q720" i="1"/>
  <c r="P720" i="1"/>
  <c r="U720" i="1" s="1"/>
  <c r="O720" i="1"/>
  <c r="G720" i="1"/>
  <c r="W719" i="1"/>
  <c r="V719" i="1"/>
  <c r="T719" i="1"/>
  <c r="S719" i="1"/>
  <c r="R719" i="1"/>
  <c r="Q719" i="1"/>
  <c r="G719" i="1"/>
  <c r="O719" i="1" s="1"/>
  <c r="P719" i="1" s="1"/>
  <c r="U719" i="1" s="1"/>
  <c r="W718" i="1"/>
  <c r="U718" i="1"/>
  <c r="T718" i="1"/>
  <c r="S718" i="1"/>
  <c r="R718" i="1"/>
  <c r="Q718" i="1"/>
  <c r="G718" i="1"/>
  <c r="O718" i="1" s="1"/>
  <c r="P718" i="1" s="1"/>
  <c r="V718" i="1" s="1"/>
  <c r="W717" i="1"/>
  <c r="V717" i="1"/>
  <c r="U717" i="1"/>
  <c r="S717" i="1"/>
  <c r="R717" i="1"/>
  <c r="Q717" i="1"/>
  <c r="P717" i="1"/>
  <c r="T717" i="1" s="1"/>
  <c r="O717" i="1"/>
  <c r="G717" i="1"/>
  <c r="M716" i="1"/>
  <c r="L716" i="1"/>
  <c r="K716" i="1"/>
  <c r="I716" i="1"/>
  <c r="H716" i="1"/>
  <c r="J716" i="1" s="1"/>
  <c r="N716" i="1" s="1"/>
  <c r="E715" i="1"/>
  <c r="F715" i="1" s="1"/>
  <c r="D715" i="1"/>
  <c r="W714" i="1"/>
  <c r="V714" i="1"/>
  <c r="U714" i="1"/>
  <c r="T714" i="1"/>
  <c r="R714" i="1"/>
  <c r="Q714" i="1"/>
  <c r="O714" i="1"/>
  <c r="F714" i="1"/>
  <c r="W713" i="1"/>
  <c r="V713" i="1"/>
  <c r="U713" i="1"/>
  <c r="T713" i="1"/>
  <c r="R713" i="1"/>
  <c r="Q713" i="1"/>
  <c r="O713" i="1"/>
  <c r="P713" i="1" s="1"/>
  <c r="S713" i="1" s="1"/>
  <c r="G713" i="1"/>
  <c r="W712" i="1"/>
  <c r="U712" i="1"/>
  <c r="T712" i="1"/>
  <c r="S712" i="1"/>
  <c r="R712" i="1"/>
  <c r="Q712" i="1"/>
  <c r="G712" i="1"/>
  <c r="O712" i="1" s="1"/>
  <c r="P712" i="1" s="1"/>
  <c r="V712" i="1" s="1"/>
  <c r="W711" i="1"/>
  <c r="V711" i="1"/>
  <c r="U711" i="1"/>
  <c r="T711" i="1"/>
  <c r="R711" i="1"/>
  <c r="Q711" i="1"/>
  <c r="P711" i="1"/>
  <c r="S711" i="1" s="1"/>
  <c r="O711" i="1"/>
  <c r="G711" i="1"/>
  <c r="W710" i="1"/>
  <c r="U710" i="1"/>
  <c r="T710" i="1"/>
  <c r="S710" i="1"/>
  <c r="R710" i="1"/>
  <c r="Q710" i="1"/>
  <c r="G710" i="1"/>
  <c r="O710" i="1" s="1"/>
  <c r="P710" i="1" s="1"/>
  <c r="V710" i="1" s="1"/>
  <c r="N709" i="1"/>
  <c r="L709" i="1"/>
  <c r="K709" i="1"/>
  <c r="J709" i="1"/>
  <c r="M709" i="1" s="1"/>
  <c r="I709" i="1"/>
  <c r="H709" i="1"/>
  <c r="O708" i="1"/>
  <c r="P708" i="1" s="1"/>
  <c r="F708" i="1"/>
  <c r="E708" i="1"/>
  <c r="D708" i="1"/>
  <c r="W707" i="1"/>
  <c r="V707" i="1"/>
  <c r="U707" i="1"/>
  <c r="T707" i="1"/>
  <c r="R707" i="1"/>
  <c r="Q707" i="1"/>
  <c r="O707" i="1"/>
  <c r="E707" i="1"/>
  <c r="F707" i="1" s="1"/>
  <c r="D707" i="1"/>
  <c r="W706" i="1"/>
  <c r="V706" i="1"/>
  <c r="U706" i="1"/>
  <c r="T706" i="1"/>
  <c r="R706" i="1"/>
  <c r="Q706" i="1"/>
  <c r="O706" i="1"/>
  <c r="F706" i="1"/>
  <c r="W705" i="1"/>
  <c r="U705" i="1"/>
  <c r="T705" i="1"/>
  <c r="S705" i="1"/>
  <c r="R705" i="1"/>
  <c r="Q705" i="1"/>
  <c r="O705" i="1"/>
  <c r="P705" i="1" s="1"/>
  <c r="V705" i="1" s="1"/>
  <c r="G705" i="1"/>
  <c r="W704" i="1"/>
  <c r="V704" i="1"/>
  <c r="U704" i="1"/>
  <c r="S704" i="1"/>
  <c r="R704" i="1"/>
  <c r="Q704" i="1"/>
  <c r="G704" i="1"/>
  <c r="O704" i="1" s="1"/>
  <c r="P704" i="1" s="1"/>
  <c r="T704" i="1" s="1"/>
  <c r="W703" i="1"/>
  <c r="U703" i="1"/>
  <c r="T703" i="1"/>
  <c r="S703" i="1"/>
  <c r="R703" i="1"/>
  <c r="Q703" i="1"/>
  <c r="G703" i="1"/>
  <c r="O703" i="1" s="1"/>
  <c r="P703" i="1" s="1"/>
  <c r="V703" i="1" s="1"/>
  <c r="M702" i="1"/>
  <c r="L702" i="1"/>
  <c r="K702" i="1"/>
  <c r="I702" i="1"/>
  <c r="H702" i="1"/>
  <c r="J702" i="1" s="1"/>
  <c r="N702" i="1" s="1"/>
  <c r="W701" i="1"/>
  <c r="V701" i="1"/>
  <c r="U701" i="1"/>
  <c r="T701" i="1"/>
  <c r="S701" i="1"/>
  <c r="R701" i="1"/>
  <c r="O701" i="1"/>
  <c r="F701" i="1"/>
  <c r="W700" i="1"/>
  <c r="V700" i="1"/>
  <c r="U700" i="1"/>
  <c r="T700" i="1"/>
  <c r="S700" i="1"/>
  <c r="R700" i="1"/>
  <c r="Q700" i="1"/>
  <c r="G700" i="1"/>
  <c r="O700" i="1" s="1"/>
  <c r="P700" i="1" s="1"/>
  <c r="W699" i="1"/>
  <c r="V699" i="1"/>
  <c r="U699" i="1"/>
  <c r="S699" i="1"/>
  <c r="R699" i="1"/>
  <c r="Q699" i="1"/>
  <c r="O699" i="1"/>
  <c r="P699" i="1" s="1"/>
  <c r="T699" i="1" s="1"/>
  <c r="G699" i="1"/>
  <c r="M698" i="1"/>
  <c r="L698" i="1"/>
  <c r="K698" i="1"/>
  <c r="I698" i="1"/>
  <c r="H698" i="1"/>
  <c r="J698" i="1" s="1"/>
  <c r="N698" i="1" s="1"/>
  <c r="W697" i="1"/>
  <c r="T697" i="1"/>
  <c r="S697" i="1"/>
  <c r="O697" i="1"/>
  <c r="E697" i="1"/>
  <c r="F697" i="1" s="1"/>
  <c r="D697" i="1"/>
  <c r="E696" i="1"/>
  <c r="F696" i="1" s="1"/>
  <c r="D696" i="1"/>
  <c r="W695" i="1"/>
  <c r="V695" i="1"/>
  <c r="U695" i="1"/>
  <c r="T695" i="1"/>
  <c r="R695" i="1"/>
  <c r="Q695" i="1"/>
  <c r="O695" i="1"/>
  <c r="F695" i="1"/>
  <c r="P695" i="1" s="1"/>
  <c r="S695" i="1" s="1"/>
  <c r="W694" i="1"/>
  <c r="U694" i="1"/>
  <c r="T694" i="1"/>
  <c r="S694" i="1"/>
  <c r="R694" i="1"/>
  <c r="Q694" i="1"/>
  <c r="O694" i="1"/>
  <c r="P694" i="1" s="1"/>
  <c r="V694" i="1" s="1"/>
  <c r="G694" i="1"/>
  <c r="W693" i="1"/>
  <c r="V693" i="1"/>
  <c r="U693" i="1"/>
  <c r="S693" i="1"/>
  <c r="R693" i="1"/>
  <c r="Q693" i="1"/>
  <c r="G693" i="1"/>
  <c r="O693" i="1" s="1"/>
  <c r="P693" i="1" s="1"/>
  <c r="T693" i="1" s="1"/>
  <c r="X693" i="1" s="1"/>
  <c r="W692" i="1"/>
  <c r="U692" i="1"/>
  <c r="T692" i="1"/>
  <c r="S692" i="1"/>
  <c r="R692" i="1"/>
  <c r="Q692" i="1"/>
  <c r="G692" i="1"/>
  <c r="O692" i="1" s="1"/>
  <c r="P692" i="1" s="1"/>
  <c r="V692" i="1" s="1"/>
  <c r="M691" i="1"/>
  <c r="L691" i="1"/>
  <c r="K691" i="1"/>
  <c r="I691" i="1"/>
  <c r="H691" i="1"/>
  <c r="J691" i="1" s="1"/>
  <c r="N691" i="1" s="1"/>
  <c r="Q690" i="1"/>
  <c r="P690" i="1"/>
  <c r="O690" i="1"/>
  <c r="E690" i="1"/>
  <c r="F690" i="1" s="1"/>
  <c r="D690" i="1"/>
  <c r="W689" i="1"/>
  <c r="V689" i="1"/>
  <c r="U689" i="1"/>
  <c r="T689" i="1"/>
  <c r="R689" i="1"/>
  <c r="Q689" i="1"/>
  <c r="O689" i="1"/>
  <c r="E689" i="1"/>
  <c r="F689" i="1" s="1"/>
  <c r="D689" i="1"/>
  <c r="W688" i="1"/>
  <c r="V688" i="1"/>
  <c r="U688" i="1"/>
  <c r="T688" i="1"/>
  <c r="R688" i="1"/>
  <c r="Q688" i="1"/>
  <c r="O688" i="1"/>
  <c r="F688" i="1"/>
  <c r="W687" i="1"/>
  <c r="U687" i="1"/>
  <c r="T687" i="1"/>
  <c r="S687" i="1"/>
  <c r="R687" i="1"/>
  <c r="Q687" i="1"/>
  <c r="G687" i="1"/>
  <c r="O687" i="1" s="1"/>
  <c r="P687" i="1" s="1"/>
  <c r="V687" i="1" s="1"/>
  <c r="V686" i="1"/>
  <c r="U686" i="1"/>
  <c r="T686" i="1"/>
  <c r="S686" i="1"/>
  <c r="R686" i="1"/>
  <c r="Q686" i="1"/>
  <c r="O686" i="1"/>
  <c r="P686" i="1" s="1"/>
  <c r="W686" i="1" s="1"/>
  <c r="G686" i="1"/>
  <c r="W685" i="1"/>
  <c r="V685" i="1"/>
  <c r="U685" i="1"/>
  <c r="S685" i="1"/>
  <c r="R685" i="1"/>
  <c r="Q685" i="1"/>
  <c r="G685" i="1"/>
  <c r="O685" i="1" s="1"/>
  <c r="P685" i="1" s="1"/>
  <c r="T685" i="1" s="1"/>
  <c r="W684" i="1"/>
  <c r="U684" i="1"/>
  <c r="T684" i="1"/>
  <c r="S684" i="1"/>
  <c r="R684" i="1"/>
  <c r="Q684" i="1"/>
  <c r="P684" i="1"/>
  <c r="V684" i="1" s="1"/>
  <c r="O684" i="1"/>
  <c r="G684" i="1"/>
  <c r="M683" i="1"/>
  <c r="L683" i="1"/>
  <c r="K683" i="1"/>
  <c r="I683" i="1"/>
  <c r="H683" i="1"/>
  <c r="J683" i="1" s="1"/>
  <c r="N683" i="1" s="1"/>
  <c r="W682" i="1"/>
  <c r="S682" i="1"/>
  <c r="R682" i="1"/>
  <c r="Q682" i="1"/>
  <c r="O682" i="1"/>
  <c r="F682" i="1"/>
  <c r="E682" i="1"/>
  <c r="D682" i="1"/>
  <c r="U682" i="1" s="1"/>
  <c r="E681" i="1"/>
  <c r="F681" i="1" s="1"/>
  <c r="V680" i="1"/>
  <c r="T680" i="1"/>
  <c r="F680" i="1"/>
  <c r="E680" i="1"/>
  <c r="D680" i="1"/>
  <c r="Q680" i="1" s="1"/>
  <c r="F679" i="1"/>
  <c r="D679" i="1"/>
  <c r="W678" i="1"/>
  <c r="V678" i="1"/>
  <c r="U678" i="1"/>
  <c r="T678" i="1"/>
  <c r="R678" i="1"/>
  <c r="Q678" i="1"/>
  <c r="O678" i="1"/>
  <c r="P678" i="1" s="1"/>
  <c r="S678" i="1" s="1"/>
  <c r="F678" i="1"/>
  <c r="W677" i="1"/>
  <c r="U677" i="1"/>
  <c r="T677" i="1"/>
  <c r="S677" i="1"/>
  <c r="R677" i="1"/>
  <c r="Q677" i="1"/>
  <c r="G677" i="1"/>
  <c r="O677" i="1" s="1"/>
  <c r="P677" i="1" s="1"/>
  <c r="V677" i="1" s="1"/>
  <c r="W676" i="1"/>
  <c r="U676" i="1"/>
  <c r="T676" i="1"/>
  <c r="S676" i="1"/>
  <c r="R676" i="1"/>
  <c r="Q676" i="1"/>
  <c r="O676" i="1"/>
  <c r="P676" i="1" s="1"/>
  <c r="V676" i="1" s="1"/>
  <c r="X676" i="1" s="1"/>
  <c r="G676" i="1"/>
  <c r="W675" i="1"/>
  <c r="X675" i="1" s="1"/>
  <c r="V675" i="1"/>
  <c r="U675" i="1"/>
  <c r="T675" i="1"/>
  <c r="S675" i="1"/>
  <c r="R675" i="1"/>
  <c r="Q675" i="1"/>
  <c r="O675" i="1"/>
  <c r="P675" i="1" s="1"/>
  <c r="G675" i="1"/>
  <c r="M674" i="1"/>
  <c r="L674" i="1"/>
  <c r="K674" i="1"/>
  <c r="J674" i="1"/>
  <c r="N674" i="1" s="1"/>
  <c r="I674" i="1"/>
  <c r="H674" i="1"/>
  <c r="S673" i="1"/>
  <c r="O673" i="1"/>
  <c r="E673" i="1"/>
  <c r="F673" i="1" s="1"/>
  <c r="D673" i="1"/>
  <c r="W672" i="1"/>
  <c r="V672" i="1"/>
  <c r="U672" i="1"/>
  <c r="T672" i="1"/>
  <c r="O672" i="1"/>
  <c r="P672" i="1" s="1"/>
  <c r="R672" i="1" s="1"/>
  <c r="F672" i="1"/>
  <c r="E672" i="1"/>
  <c r="D672" i="1"/>
  <c r="S672" i="1" s="1"/>
  <c r="W671" i="1"/>
  <c r="V671" i="1"/>
  <c r="U671" i="1"/>
  <c r="T671" i="1"/>
  <c r="S671" i="1"/>
  <c r="Q671" i="1"/>
  <c r="O671" i="1"/>
  <c r="F671" i="1"/>
  <c r="W670" i="1"/>
  <c r="U670" i="1"/>
  <c r="T670" i="1"/>
  <c r="S670" i="1"/>
  <c r="R670" i="1"/>
  <c r="Q670" i="1"/>
  <c r="G670" i="1"/>
  <c r="O670" i="1" s="1"/>
  <c r="P670" i="1" s="1"/>
  <c r="V670" i="1" s="1"/>
  <c r="W669" i="1"/>
  <c r="U669" i="1"/>
  <c r="T669" i="1"/>
  <c r="S669" i="1"/>
  <c r="R669" i="1"/>
  <c r="Q669" i="1"/>
  <c r="O669" i="1"/>
  <c r="P669" i="1" s="1"/>
  <c r="V669" i="1" s="1"/>
  <c r="G669" i="1"/>
  <c r="M668" i="1"/>
  <c r="L668" i="1"/>
  <c r="K668" i="1"/>
  <c r="I668" i="1"/>
  <c r="H668" i="1"/>
  <c r="J668" i="1" s="1"/>
  <c r="N668" i="1" s="1"/>
  <c r="Q667" i="1"/>
  <c r="O667" i="1"/>
  <c r="E667" i="1"/>
  <c r="F667" i="1" s="1"/>
  <c r="D667" i="1"/>
  <c r="W667" i="1" s="1"/>
  <c r="E666" i="1"/>
  <c r="F666" i="1" s="1"/>
  <c r="V665" i="1"/>
  <c r="U665" i="1"/>
  <c r="S665" i="1"/>
  <c r="E665" i="1"/>
  <c r="F665" i="1" s="1"/>
  <c r="D665" i="1"/>
  <c r="F664" i="1"/>
  <c r="D664" i="1"/>
  <c r="W663" i="1"/>
  <c r="V663" i="1"/>
  <c r="U663" i="1"/>
  <c r="T663" i="1"/>
  <c r="S663" i="1"/>
  <c r="Q663" i="1"/>
  <c r="O663" i="1"/>
  <c r="F663" i="1"/>
  <c r="W662" i="1"/>
  <c r="V662" i="1"/>
  <c r="U662" i="1"/>
  <c r="S662" i="1"/>
  <c r="R662" i="1"/>
  <c r="Q662" i="1"/>
  <c r="O662" i="1"/>
  <c r="P662" i="1" s="1"/>
  <c r="T662" i="1" s="1"/>
  <c r="G662" i="1"/>
  <c r="W661" i="1"/>
  <c r="V661" i="1"/>
  <c r="T661" i="1"/>
  <c r="S661" i="1"/>
  <c r="R661" i="1"/>
  <c r="Q661" i="1"/>
  <c r="G661" i="1"/>
  <c r="O661" i="1" s="1"/>
  <c r="P661" i="1" s="1"/>
  <c r="U661" i="1" s="1"/>
  <c r="W660" i="1"/>
  <c r="V660" i="1"/>
  <c r="U660" i="1"/>
  <c r="T660" i="1"/>
  <c r="S660" i="1"/>
  <c r="R660" i="1"/>
  <c r="Q660" i="1"/>
  <c r="G660" i="1"/>
  <c r="O660" i="1" s="1"/>
  <c r="P660" i="1" s="1"/>
  <c r="W659" i="1"/>
  <c r="V659" i="1"/>
  <c r="T659" i="1"/>
  <c r="S659" i="1"/>
  <c r="R659" i="1"/>
  <c r="Q659" i="1"/>
  <c r="P659" i="1"/>
  <c r="U659" i="1" s="1"/>
  <c r="O659" i="1"/>
  <c r="G659" i="1"/>
  <c r="M658" i="1"/>
  <c r="L658" i="1"/>
  <c r="K658" i="1"/>
  <c r="I658" i="1"/>
  <c r="H658" i="1"/>
  <c r="J658" i="1" s="1"/>
  <c r="N658" i="1" s="1"/>
  <c r="W657" i="1"/>
  <c r="S657" i="1"/>
  <c r="R657" i="1"/>
  <c r="O657" i="1"/>
  <c r="E657" i="1"/>
  <c r="F657" i="1" s="1"/>
  <c r="D657" i="1"/>
  <c r="Q656" i="1"/>
  <c r="F656" i="1"/>
  <c r="E656" i="1"/>
  <c r="D656" i="1"/>
  <c r="W656" i="1" s="1"/>
  <c r="E655" i="1"/>
  <c r="F655" i="1" s="1"/>
  <c r="D655" i="1"/>
  <c r="F654" i="1"/>
  <c r="D654" i="1"/>
  <c r="W653" i="1"/>
  <c r="V653" i="1"/>
  <c r="U653" i="1"/>
  <c r="T653" i="1"/>
  <c r="S653" i="1"/>
  <c r="Q653" i="1"/>
  <c r="O653" i="1"/>
  <c r="F653" i="1"/>
  <c r="W652" i="1"/>
  <c r="V652" i="1"/>
  <c r="U652" i="1"/>
  <c r="T652" i="1"/>
  <c r="S652" i="1"/>
  <c r="R652" i="1"/>
  <c r="Q652" i="1"/>
  <c r="O652" i="1"/>
  <c r="P652" i="1" s="1"/>
  <c r="G652" i="1"/>
  <c r="W651" i="1"/>
  <c r="V651" i="1"/>
  <c r="U651" i="1"/>
  <c r="T651" i="1"/>
  <c r="S651" i="1"/>
  <c r="R651" i="1"/>
  <c r="Q651" i="1"/>
  <c r="O651" i="1"/>
  <c r="P651" i="1" s="1"/>
  <c r="G651" i="1"/>
  <c r="W650" i="1"/>
  <c r="V650" i="1"/>
  <c r="U650" i="1"/>
  <c r="S650" i="1"/>
  <c r="R650" i="1"/>
  <c r="Q650" i="1"/>
  <c r="O650" i="1"/>
  <c r="P650" i="1" s="1"/>
  <c r="T650" i="1" s="1"/>
  <c r="G650" i="1"/>
  <c r="W649" i="1"/>
  <c r="V649" i="1"/>
  <c r="U649" i="1"/>
  <c r="S649" i="1"/>
  <c r="R649" i="1"/>
  <c r="Q649" i="1"/>
  <c r="O649" i="1"/>
  <c r="P649" i="1" s="1"/>
  <c r="T649" i="1" s="1"/>
  <c r="G649" i="1"/>
  <c r="W648" i="1"/>
  <c r="V648" i="1"/>
  <c r="T648" i="1"/>
  <c r="S648" i="1"/>
  <c r="R648" i="1"/>
  <c r="Q648" i="1"/>
  <c r="O648" i="1"/>
  <c r="P648" i="1" s="1"/>
  <c r="U648" i="1" s="1"/>
  <c r="G648" i="1"/>
  <c r="M647" i="1"/>
  <c r="L647" i="1"/>
  <c r="K647" i="1"/>
  <c r="I647" i="1"/>
  <c r="H647" i="1"/>
  <c r="J647" i="1" s="1"/>
  <c r="N647" i="1" s="1"/>
  <c r="U646" i="1"/>
  <c r="P646" i="1"/>
  <c r="V646" i="1" s="1"/>
  <c r="O646" i="1"/>
  <c r="E646" i="1"/>
  <c r="F646" i="1" s="1"/>
  <c r="D646" i="1"/>
  <c r="F645" i="1"/>
  <c r="E645" i="1"/>
  <c r="V644" i="1"/>
  <c r="U644" i="1"/>
  <c r="T644" i="1"/>
  <c r="O644" i="1"/>
  <c r="E644" i="1"/>
  <c r="F644" i="1" s="1"/>
  <c r="P644" i="1" s="1"/>
  <c r="D644" i="1"/>
  <c r="W644" i="1" s="1"/>
  <c r="F643" i="1"/>
  <c r="D643" i="1"/>
  <c r="W642" i="1"/>
  <c r="V642" i="1"/>
  <c r="U642" i="1"/>
  <c r="T642" i="1"/>
  <c r="S642" i="1"/>
  <c r="Q642" i="1"/>
  <c r="O642" i="1"/>
  <c r="P642" i="1" s="1"/>
  <c r="R642" i="1" s="1"/>
  <c r="F642" i="1"/>
  <c r="W641" i="1"/>
  <c r="V641" i="1"/>
  <c r="U641" i="1"/>
  <c r="S641" i="1"/>
  <c r="R641" i="1"/>
  <c r="Q641" i="1"/>
  <c r="G641" i="1"/>
  <c r="O641" i="1" s="1"/>
  <c r="P641" i="1" s="1"/>
  <c r="T641" i="1" s="1"/>
  <c r="W640" i="1"/>
  <c r="V640" i="1"/>
  <c r="T640" i="1"/>
  <c r="S640" i="1"/>
  <c r="R640" i="1"/>
  <c r="Q640" i="1"/>
  <c r="G640" i="1"/>
  <c r="O640" i="1" s="1"/>
  <c r="P640" i="1" s="1"/>
  <c r="U640" i="1" s="1"/>
  <c r="X640" i="1" s="1"/>
  <c r="W639" i="1"/>
  <c r="V639" i="1"/>
  <c r="T639" i="1"/>
  <c r="S639" i="1"/>
  <c r="R639" i="1"/>
  <c r="Q639" i="1"/>
  <c r="G639" i="1"/>
  <c r="O639" i="1" s="1"/>
  <c r="P639" i="1" s="1"/>
  <c r="U639" i="1" s="1"/>
  <c r="W638" i="1"/>
  <c r="V638" i="1"/>
  <c r="T638" i="1"/>
  <c r="S638" i="1"/>
  <c r="R638" i="1"/>
  <c r="Q638" i="1"/>
  <c r="G638" i="1"/>
  <c r="O638" i="1" s="1"/>
  <c r="P638" i="1" s="1"/>
  <c r="U638" i="1" s="1"/>
  <c r="M637" i="1"/>
  <c r="L637" i="1"/>
  <c r="K637" i="1"/>
  <c r="I637" i="1"/>
  <c r="H637" i="1"/>
  <c r="J637" i="1" s="1"/>
  <c r="N637" i="1" s="1"/>
  <c r="V636" i="1"/>
  <c r="U636" i="1"/>
  <c r="Q636" i="1"/>
  <c r="O636" i="1"/>
  <c r="E636" i="1"/>
  <c r="F636" i="1" s="1"/>
  <c r="D636" i="1"/>
  <c r="W635" i="1"/>
  <c r="V635" i="1"/>
  <c r="U635" i="1"/>
  <c r="T635" i="1"/>
  <c r="R635" i="1"/>
  <c r="Q635" i="1"/>
  <c r="O635" i="1"/>
  <c r="F635" i="1"/>
  <c r="W634" i="1"/>
  <c r="U634" i="1"/>
  <c r="T634" i="1"/>
  <c r="S634" i="1"/>
  <c r="R634" i="1"/>
  <c r="Q634" i="1"/>
  <c r="O634" i="1"/>
  <c r="P634" i="1" s="1"/>
  <c r="V634" i="1" s="1"/>
  <c r="G634" i="1"/>
  <c r="W633" i="1"/>
  <c r="U633" i="1"/>
  <c r="T633" i="1"/>
  <c r="S633" i="1"/>
  <c r="R633" i="1"/>
  <c r="Q633" i="1"/>
  <c r="O633" i="1"/>
  <c r="P633" i="1" s="1"/>
  <c r="V633" i="1" s="1"/>
  <c r="G633" i="1"/>
  <c r="N632" i="1"/>
  <c r="L632" i="1"/>
  <c r="K632" i="1"/>
  <c r="I632" i="1"/>
  <c r="H632" i="1"/>
  <c r="J632" i="1" s="1"/>
  <c r="M632" i="1" s="1"/>
  <c r="O631" i="1"/>
  <c r="E631" i="1"/>
  <c r="F631" i="1" s="1"/>
  <c r="D631" i="1"/>
  <c r="W630" i="1"/>
  <c r="V630" i="1"/>
  <c r="U630" i="1"/>
  <c r="T630" i="1"/>
  <c r="S630" i="1"/>
  <c r="R630" i="1"/>
  <c r="O630" i="1"/>
  <c r="F630" i="1"/>
  <c r="W629" i="1"/>
  <c r="V629" i="1"/>
  <c r="U629" i="1"/>
  <c r="S629" i="1"/>
  <c r="X629" i="1" s="1"/>
  <c r="R629" i="1"/>
  <c r="Q629" i="1"/>
  <c r="G629" i="1"/>
  <c r="O629" i="1" s="1"/>
  <c r="P629" i="1" s="1"/>
  <c r="T629" i="1" s="1"/>
  <c r="W628" i="1"/>
  <c r="V628" i="1"/>
  <c r="U628" i="1"/>
  <c r="S628" i="1"/>
  <c r="R628" i="1"/>
  <c r="Q628" i="1"/>
  <c r="G628" i="1"/>
  <c r="O628" i="1" s="1"/>
  <c r="P628" i="1" s="1"/>
  <c r="T628" i="1" s="1"/>
  <c r="M627" i="1"/>
  <c r="L627" i="1"/>
  <c r="K627" i="1"/>
  <c r="I627" i="1"/>
  <c r="H627" i="1"/>
  <c r="J627" i="1" s="1"/>
  <c r="N627" i="1" s="1"/>
  <c r="O626" i="1"/>
  <c r="P626" i="1" s="1"/>
  <c r="E626" i="1"/>
  <c r="F626" i="1" s="1"/>
  <c r="D626" i="1"/>
  <c r="W625" i="1"/>
  <c r="V625" i="1"/>
  <c r="U625" i="1"/>
  <c r="T625" i="1"/>
  <c r="S625" i="1"/>
  <c r="R625" i="1"/>
  <c r="O625" i="1"/>
  <c r="F625" i="1"/>
  <c r="W624" i="1"/>
  <c r="V624" i="1"/>
  <c r="U624" i="1"/>
  <c r="S624" i="1"/>
  <c r="R624" i="1"/>
  <c r="Q624" i="1"/>
  <c r="O624" i="1"/>
  <c r="P624" i="1" s="1"/>
  <c r="T624" i="1" s="1"/>
  <c r="G624" i="1"/>
  <c r="W623" i="1"/>
  <c r="V623" i="1"/>
  <c r="U623" i="1"/>
  <c r="S623" i="1"/>
  <c r="R623" i="1"/>
  <c r="Q623" i="1"/>
  <c r="G623" i="1"/>
  <c r="O623" i="1" s="1"/>
  <c r="P623" i="1" s="1"/>
  <c r="T623" i="1" s="1"/>
  <c r="M622" i="1"/>
  <c r="L622" i="1"/>
  <c r="K622" i="1"/>
  <c r="J622" i="1"/>
  <c r="N622" i="1" s="1"/>
  <c r="I622" i="1"/>
  <c r="H622" i="1"/>
  <c r="V621" i="1"/>
  <c r="U621" i="1"/>
  <c r="O621" i="1"/>
  <c r="E621" i="1"/>
  <c r="F621" i="1" s="1"/>
  <c r="P621" i="1" s="1"/>
  <c r="R621" i="1" s="1"/>
  <c r="D621" i="1"/>
  <c r="W620" i="1"/>
  <c r="V620" i="1"/>
  <c r="U620" i="1"/>
  <c r="T620" i="1"/>
  <c r="S620" i="1"/>
  <c r="Q620" i="1"/>
  <c r="O620" i="1"/>
  <c r="F620" i="1"/>
  <c r="P620" i="1" s="1"/>
  <c r="R620" i="1" s="1"/>
  <c r="W619" i="1"/>
  <c r="U619" i="1"/>
  <c r="T619" i="1"/>
  <c r="S619" i="1"/>
  <c r="R619" i="1"/>
  <c r="Q619" i="1"/>
  <c r="G619" i="1"/>
  <c r="O619" i="1" s="1"/>
  <c r="P619" i="1" s="1"/>
  <c r="V619" i="1" s="1"/>
  <c r="W618" i="1"/>
  <c r="U618" i="1"/>
  <c r="T618" i="1"/>
  <c r="S618" i="1"/>
  <c r="R618" i="1"/>
  <c r="Q618" i="1"/>
  <c r="G618" i="1"/>
  <c r="O618" i="1" s="1"/>
  <c r="P618" i="1" s="1"/>
  <c r="V618" i="1" s="1"/>
  <c r="M617" i="1"/>
  <c r="L617" i="1"/>
  <c r="K617" i="1"/>
  <c r="I617" i="1"/>
  <c r="H617" i="1"/>
  <c r="J617" i="1" s="1"/>
  <c r="N617" i="1" s="1"/>
  <c r="T616" i="1"/>
  <c r="S616" i="1"/>
  <c r="Q616" i="1"/>
  <c r="O616" i="1"/>
  <c r="E616" i="1"/>
  <c r="F616" i="1" s="1"/>
  <c r="D616" i="1"/>
  <c r="W615" i="1"/>
  <c r="T615" i="1"/>
  <c r="S615" i="1"/>
  <c r="Q615" i="1"/>
  <c r="O615" i="1"/>
  <c r="F615" i="1"/>
  <c r="E615" i="1"/>
  <c r="D615" i="1"/>
  <c r="W614" i="1"/>
  <c r="V614" i="1"/>
  <c r="U614" i="1"/>
  <c r="T614" i="1"/>
  <c r="S614" i="1"/>
  <c r="Q614" i="1"/>
  <c r="O614" i="1"/>
  <c r="F614" i="1"/>
  <c r="P614" i="1" s="1"/>
  <c r="R614" i="1" s="1"/>
  <c r="W613" i="1"/>
  <c r="V613" i="1"/>
  <c r="T613" i="1"/>
  <c r="S613" i="1"/>
  <c r="R613" i="1"/>
  <c r="Q613" i="1"/>
  <c r="G613" i="1"/>
  <c r="O613" i="1" s="1"/>
  <c r="P613" i="1" s="1"/>
  <c r="U613" i="1" s="1"/>
  <c r="W612" i="1"/>
  <c r="U612" i="1"/>
  <c r="T612" i="1"/>
  <c r="S612" i="1"/>
  <c r="R612" i="1"/>
  <c r="Q612" i="1"/>
  <c r="P612" i="1"/>
  <c r="V612" i="1" s="1"/>
  <c r="O612" i="1"/>
  <c r="G612" i="1"/>
  <c r="W611" i="1"/>
  <c r="U611" i="1"/>
  <c r="T611" i="1"/>
  <c r="S611" i="1"/>
  <c r="R611" i="1"/>
  <c r="Q611" i="1"/>
  <c r="O611" i="1"/>
  <c r="P611" i="1" s="1"/>
  <c r="V611" i="1" s="1"/>
  <c r="G611" i="1"/>
  <c r="M610" i="1"/>
  <c r="L610" i="1"/>
  <c r="K610" i="1"/>
  <c r="J610" i="1"/>
  <c r="N610" i="1" s="1"/>
  <c r="I610" i="1"/>
  <c r="H610" i="1"/>
  <c r="O609" i="1"/>
  <c r="P609" i="1" s="1"/>
  <c r="V609" i="1" s="1"/>
  <c r="E609" i="1"/>
  <c r="F609" i="1" s="1"/>
  <c r="D609" i="1"/>
  <c r="V608" i="1"/>
  <c r="U608" i="1"/>
  <c r="F608" i="1"/>
  <c r="E608" i="1"/>
  <c r="D608" i="1"/>
  <c r="W607" i="1"/>
  <c r="V607" i="1"/>
  <c r="U607" i="1"/>
  <c r="T607" i="1"/>
  <c r="R607" i="1"/>
  <c r="Q607" i="1"/>
  <c r="P607" i="1"/>
  <c r="S607" i="1" s="1"/>
  <c r="O607" i="1"/>
  <c r="F607" i="1"/>
  <c r="W606" i="1"/>
  <c r="U606" i="1"/>
  <c r="T606" i="1"/>
  <c r="S606" i="1"/>
  <c r="R606" i="1"/>
  <c r="Q606" i="1"/>
  <c r="G606" i="1"/>
  <c r="O606" i="1" s="1"/>
  <c r="P606" i="1" s="1"/>
  <c r="V606" i="1" s="1"/>
  <c r="V605" i="1"/>
  <c r="U605" i="1"/>
  <c r="T605" i="1"/>
  <c r="S605" i="1"/>
  <c r="R605" i="1"/>
  <c r="Q605" i="1"/>
  <c r="O605" i="1"/>
  <c r="P605" i="1" s="1"/>
  <c r="W605" i="1" s="1"/>
  <c r="G605" i="1"/>
  <c r="W604" i="1"/>
  <c r="U604" i="1"/>
  <c r="T604" i="1"/>
  <c r="S604" i="1"/>
  <c r="R604" i="1"/>
  <c r="Q604" i="1"/>
  <c r="G604" i="1"/>
  <c r="O604" i="1" s="1"/>
  <c r="P604" i="1" s="1"/>
  <c r="V604" i="1" s="1"/>
  <c r="M603" i="1"/>
  <c r="L603" i="1"/>
  <c r="K603" i="1"/>
  <c r="I603" i="1"/>
  <c r="H603" i="1"/>
  <c r="J603" i="1" s="1"/>
  <c r="N603" i="1" s="1"/>
  <c r="O602" i="1"/>
  <c r="E602" i="1"/>
  <c r="F602" i="1" s="1"/>
  <c r="D602" i="1"/>
  <c r="E601" i="1"/>
  <c r="F601" i="1" s="1"/>
  <c r="T600" i="1"/>
  <c r="S600" i="1"/>
  <c r="F600" i="1"/>
  <c r="E600" i="1"/>
  <c r="D600" i="1"/>
  <c r="F599" i="1"/>
  <c r="D599" i="1"/>
  <c r="W598" i="1"/>
  <c r="V598" i="1"/>
  <c r="U598" i="1"/>
  <c r="T598" i="1"/>
  <c r="S598" i="1"/>
  <c r="Q598" i="1"/>
  <c r="O598" i="1"/>
  <c r="P598" i="1" s="1"/>
  <c r="R598" i="1" s="1"/>
  <c r="F598" i="1"/>
  <c r="W597" i="1"/>
  <c r="V597" i="1"/>
  <c r="U597" i="1"/>
  <c r="S597" i="1"/>
  <c r="R597" i="1"/>
  <c r="Q597" i="1"/>
  <c r="O597" i="1"/>
  <c r="P597" i="1" s="1"/>
  <c r="T597" i="1" s="1"/>
  <c r="G597" i="1"/>
  <c r="W596" i="1"/>
  <c r="V596" i="1"/>
  <c r="T596" i="1"/>
  <c r="S596" i="1"/>
  <c r="R596" i="1"/>
  <c r="Q596" i="1"/>
  <c r="G596" i="1"/>
  <c r="O596" i="1" s="1"/>
  <c r="P596" i="1" s="1"/>
  <c r="U596" i="1" s="1"/>
  <c r="W595" i="1"/>
  <c r="V595" i="1"/>
  <c r="U595" i="1"/>
  <c r="S595" i="1"/>
  <c r="R595" i="1"/>
  <c r="Q595" i="1"/>
  <c r="G595" i="1"/>
  <c r="O595" i="1" s="1"/>
  <c r="P595" i="1" s="1"/>
  <c r="T595" i="1" s="1"/>
  <c r="W594" i="1"/>
  <c r="V594" i="1"/>
  <c r="U594" i="1"/>
  <c r="T594" i="1"/>
  <c r="S594" i="1"/>
  <c r="R594" i="1"/>
  <c r="Q594" i="1"/>
  <c r="P594" i="1"/>
  <c r="G594" i="1"/>
  <c r="O594" i="1" s="1"/>
  <c r="W593" i="1"/>
  <c r="V593" i="1"/>
  <c r="T593" i="1"/>
  <c r="S593" i="1"/>
  <c r="R593" i="1"/>
  <c r="Q593" i="1"/>
  <c r="G593" i="1"/>
  <c r="O593" i="1" s="1"/>
  <c r="P593" i="1" s="1"/>
  <c r="U593" i="1" s="1"/>
  <c r="M592" i="1"/>
  <c r="L592" i="1"/>
  <c r="K592" i="1"/>
  <c r="J592" i="1"/>
  <c r="N592" i="1" s="1"/>
  <c r="I592" i="1"/>
  <c r="H592" i="1"/>
  <c r="U591" i="1"/>
  <c r="T591" i="1"/>
  <c r="S591" i="1"/>
  <c r="R591" i="1"/>
  <c r="O591" i="1"/>
  <c r="F591" i="1"/>
  <c r="E591" i="1"/>
  <c r="D591" i="1"/>
  <c r="O590" i="1"/>
  <c r="E590" i="1"/>
  <c r="F590" i="1" s="1"/>
  <c r="D590" i="1"/>
  <c r="V590" i="1" s="1"/>
  <c r="W589" i="1"/>
  <c r="V589" i="1"/>
  <c r="U589" i="1"/>
  <c r="T589" i="1"/>
  <c r="S589" i="1"/>
  <c r="R589" i="1"/>
  <c r="O589" i="1"/>
  <c r="P589" i="1" s="1"/>
  <c r="Q589" i="1" s="1"/>
  <c r="X589" i="1" s="1"/>
  <c r="F589" i="1"/>
  <c r="W588" i="1"/>
  <c r="V588" i="1"/>
  <c r="U588" i="1"/>
  <c r="S588" i="1"/>
  <c r="R588" i="1"/>
  <c r="Q588" i="1"/>
  <c r="G588" i="1"/>
  <c r="O588" i="1" s="1"/>
  <c r="P588" i="1" s="1"/>
  <c r="T588" i="1" s="1"/>
  <c r="X588" i="1" s="1"/>
  <c r="W587" i="1"/>
  <c r="V587" i="1"/>
  <c r="U587" i="1"/>
  <c r="S587" i="1"/>
  <c r="R587" i="1"/>
  <c r="Q587" i="1"/>
  <c r="G587" i="1"/>
  <c r="O587" i="1" s="1"/>
  <c r="P587" i="1" s="1"/>
  <c r="T587" i="1" s="1"/>
  <c r="M586" i="1"/>
  <c r="L586" i="1"/>
  <c r="K586" i="1"/>
  <c r="I586" i="1"/>
  <c r="H586" i="1"/>
  <c r="J586" i="1" s="1"/>
  <c r="N586" i="1" s="1"/>
  <c r="U585" i="1"/>
  <c r="T585" i="1"/>
  <c r="S585" i="1"/>
  <c r="O585" i="1"/>
  <c r="E585" i="1"/>
  <c r="F585" i="1" s="1"/>
  <c r="D585" i="1"/>
  <c r="E584" i="1"/>
  <c r="F584" i="1" s="1"/>
  <c r="F583" i="1"/>
  <c r="E583" i="1"/>
  <c r="D583" i="1"/>
  <c r="W582" i="1"/>
  <c r="U582" i="1"/>
  <c r="F582" i="1"/>
  <c r="D582" i="1"/>
  <c r="W581" i="1"/>
  <c r="V581" i="1"/>
  <c r="U581" i="1"/>
  <c r="T581" i="1"/>
  <c r="S581" i="1"/>
  <c r="R581" i="1"/>
  <c r="O581" i="1"/>
  <c r="P581" i="1" s="1"/>
  <c r="Q581" i="1" s="1"/>
  <c r="X581" i="1" s="1"/>
  <c r="F581" i="1"/>
  <c r="W580" i="1"/>
  <c r="V580" i="1"/>
  <c r="U580" i="1"/>
  <c r="T580" i="1"/>
  <c r="R580" i="1"/>
  <c r="Q580" i="1"/>
  <c r="P580" i="1"/>
  <c r="S580" i="1" s="1"/>
  <c r="O580" i="1"/>
  <c r="G580" i="1"/>
  <c r="W579" i="1"/>
  <c r="V579" i="1"/>
  <c r="U579" i="1"/>
  <c r="S579" i="1"/>
  <c r="R579" i="1"/>
  <c r="Q579" i="1"/>
  <c r="G579" i="1"/>
  <c r="O579" i="1" s="1"/>
  <c r="P579" i="1" s="1"/>
  <c r="T579" i="1" s="1"/>
  <c r="W578" i="1"/>
  <c r="V578" i="1"/>
  <c r="U578" i="1"/>
  <c r="S578" i="1"/>
  <c r="R578" i="1"/>
  <c r="Q578" i="1"/>
  <c r="G578" i="1"/>
  <c r="O578" i="1" s="1"/>
  <c r="P578" i="1" s="1"/>
  <c r="T578" i="1" s="1"/>
  <c r="M577" i="1"/>
  <c r="L577" i="1"/>
  <c r="K577" i="1"/>
  <c r="I577" i="1"/>
  <c r="H577" i="1"/>
  <c r="J577" i="1" s="1"/>
  <c r="N577" i="1" s="1"/>
  <c r="O576" i="1"/>
  <c r="E576" i="1"/>
  <c r="F576" i="1" s="1"/>
  <c r="D576" i="1"/>
  <c r="F575" i="1"/>
  <c r="E575" i="1"/>
  <c r="W574" i="1"/>
  <c r="V574" i="1"/>
  <c r="U574" i="1"/>
  <c r="E574" i="1"/>
  <c r="F574" i="1" s="1"/>
  <c r="D574" i="1"/>
  <c r="O574" i="1" s="1"/>
  <c r="P574" i="1" s="1"/>
  <c r="F573" i="1"/>
  <c r="D573" i="1"/>
  <c r="W572" i="1"/>
  <c r="V572" i="1"/>
  <c r="U572" i="1"/>
  <c r="T572" i="1"/>
  <c r="S572" i="1"/>
  <c r="Q572" i="1"/>
  <c r="O572" i="1"/>
  <c r="P572" i="1" s="1"/>
  <c r="R572" i="1" s="1"/>
  <c r="F572" i="1"/>
  <c r="W571" i="1"/>
  <c r="V571" i="1"/>
  <c r="U571" i="1"/>
  <c r="S571" i="1"/>
  <c r="R571" i="1"/>
  <c r="Q571" i="1"/>
  <c r="G571" i="1"/>
  <c r="O571" i="1" s="1"/>
  <c r="P571" i="1" s="1"/>
  <c r="T571" i="1" s="1"/>
  <c r="W570" i="1"/>
  <c r="V570" i="1"/>
  <c r="T570" i="1"/>
  <c r="S570" i="1"/>
  <c r="R570" i="1"/>
  <c r="Q570" i="1"/>
  <c r="O570" i="1"/>
  <c r="P570" i="1" s="1"/>
  <c r="U570" i="1" s="1"/>
  <c r="G570" i="1"/>
  <c r="W569" i="1"/>
  <c r="V569" i="1"/>
  <c r="T569" i="1"/>
  <c r="S569" i="1"/>
  <c r="R569" i="1"/>
  <c r="Q569" i="1"/>
  <c r="P569" i="1"/>
  <c r="U569" i="1" s="1"/>
  <c r="O569" i="1"/>
  <c r="G569" i="1"/>
  <c r="W568" i="1"/>
  <c r="V568" i="1"/>
  <c r="T568" i="1"/>
  <c r="S568" i="1"/>
  <c r="R568" i="1"/>
  <c r="Q568" i="1"/>
  <c r="G568" i="1"/>
  <c r="O568" i="1" s="1"/>
  <c r="P568" i="1" s="1"/>
  <c r="U568" i="1" s="1"/>
  <c r="W567" i="1"/>
  <c r="U567" i="1"/>
  <c r="T567" i="1"/>
  <c r="S567" i="1"/>
  <c r="R567" i="1"/>
  <c r="Q567" i="1"/>
  <c r="G567" i="1"/>
  <c r="O567" i="1" s="1"/>
  <c r="P567" i="1" s="1"/>
  <c r="V567" i="1" s="1"/>
  <c r="M566" i="1"/>
  <c r="L566" i="1"/>
  <c r="K566" i="1"/>
  <c r="I566" i="1"/>
  <c r="H566" i="1"/>
  <c r="J566" i="1" s="1"/>
  <c r="N566" i="1" s="1"/>
  <c r="S565" i="1"/>
  <c r="O565" i="1"/>
  <c r="E565" i="1"/>
  <c r="F565" i="1" s="1"/>
  <c r="D565" i="1"/>
  <c r="E564" i="1"/>
  <c r="F564" i="1" s="1"/>
  <c r="O563" i="1"/>
  <c r="F563" i="1"/>
  <c r="E563" i="1"/>
  <c r="D563" i="1"/>
  <c r="W563" i="1" s="1"/>
  <c r="F562" i="1"/>
  <c r="D562" i="1"/>
  <c r="W561" i="1"/>
  <c r="V561" i="1"/>
  <c r="U561" i="1"/>
  <c r="T561" i="1"/>
  <c r="S561" i="1"/>
  <c r="Q561" i="1"/>
  <c r="O561" i="1"/>
  <c r="F561" i="1"/>
  <c r="W560" i="1"/>
  <c r="V560" i="1"/>
  <c r="U560" i="1"/>
  <c r="S560" i="1"/>
  <c r="R560" i="1"/>
  <c r="Q560" i="1"/>
  <c r="O560" i="1"/>
  <c r="P560" i="1" s="1"/>
  <c r="T560" i="1" s="1"/>
  <c r="G560" i="1"/>
  <c r="W559" i="1"/>
  <c r="V559" i="1"/>
  <c r="T559" i="1"/>
  <c r="S559" i="1"/>
  <c r="R559" i="1"/>
  <c r="Q559" i="1"/>
  <c r="O559" i="1"/>
  <c r="P559" i="1" s="1"/>
  <c r="U559" i="1" s="1"/>
  <c r="G559" i="1"/>
  <c r="W558" i="1"/>
  <c r="V558" i="1"/>
  <c r="T558" i="1"/>
  <c r="S558" i="1"/>
  <c r="R558" i="1"/>
  <c r="Q558" i="1"/>
  <c r="P558" i="1"/>
  <c r="U558" i="1" s="1"/>
  <c r="O558" i="1"/>
  <c r="G558" i="1"/>
  <c r="W557" i="1"/>
  <c r="U557" i="1"/>
  <c r="T557" i="1"/>
  <c r="S557" i="1"/>
  <c r="R557" i="1"/>
  <c r="Q557" i="1"/>
  <c r="O557" i="1"/>
  <c r="P557" i="1" s="1"/>
  <c r="V557" i="1" s="1"/>
  <c r="G557" i="1"/>
  <c r="M556" i="1"/>
  <c r="L556" i="1"/>
  <c r="K556" i="1"/>
  <c r="I556" i="1"/>
  <c r="H556" i="1"/>
  <c r="J556" i="1" s="1"/>
  <c r="N556" i="1" s="1"/>
  <c r="O555" i="1"/>
  <c r="E555" i="1"/>
  <c r="D555" i="1"/>
  <c r="U555" i="1" s="1"/>
  <c r="E554" i="1"/>
  <c r="F554" i="1" s="1"/>
  <c r="T553" i="1"/>
  <c r="E553" i="1"/>
  <c r="F553" i="1" s="1"/>
  <c r="D553" i="1"/>
  <c r="F552" i="1"/>
  <c r="D552" i="1"/>
  <c r="W552" i="1" s="1"/>
  <c r="W551" i="1"/>
  <c r="V551" i="1"/>
  <c r="U551" i="1"/>
  <c r="T551" i="1"/>
  <c r="S551" i="1"/>
  <c r="Q551" i="1"/>
  <c r="O551" i="1"/>
  <c r="F551" i="1"/>
  <c r="W550" i="1"/>
  <c r="V550" i="1"/>
  <c r="U550" i="1"/>
  <c r="S550" i="1"/>
  <c r="R550" i="1"/>
  <c r="Q550" i="1"/>
  <c r="G550" i="1"/>
  <c r="O550" i="1" s="1"/>
  <c r="W549" i="1"/>
  <c r="V549" i="1"/>
  <c r="T549" i="1"/>
  <c r="S549" i="1"/>
  <c r="R549" i="1"/>
  <c r="Q549" i="1"/>
  <c r="G549" i="1"/>
  <c r="O549" i="1" s="1"/>
  <c r="P549" i="1" s="1"/>
  <c r="U549" i="1" s="1"/>
  <c r="W548" i="1"/>
  <c r="U548" i="1"/>
  <c r="T548" i="1"/>
  <c r="S548" i="1"/>
  <c r="R548" i="1"/>
  <c r="Q548" i="1"/>
  <c r="P548" i="1"/>
  <c r="V548" i="1" s="1"/>
  <c r="O548" i="1"/>
  <c r="G548" i="1"/>
  <c r="M547" i="1"/>
  <c r="L547" i="1"/>
  <c r="K547" i="1"/>
  <c r="I547" i="1"/>
  <c r="H547" i="1"/>
  <c r="J547" i="1" s="1"/>
  <c r="N547" i="1" s="1"/>
  <c r="O546" i="1"/>
  <c r="P546" i="1" s="1"/>
  <c r="F546" i="1"/>
  <c r="E546" i="1"/>
  <c r="D546" i="1"/>
  <c r="T545" i="1"/>
  <c r="S545" i="1"/>
  <c r="Q545" i="1"/>
  <c r="O545" i="1"/>
  <c r="F545" i="1"/>
  <c r="E545" i="1"/>
  <c r="D545" i="1"/>
  <c r="W545" i="1" s="1"/>
  <c r="W544" i="1"/>
  <c r="V544" i="1"/>
  <c r="U544" i="1"/>
  <c r="T544" i="1"/>
  <c r="S544" i="1"/>
  <c r="Q544" i="1"/>
  <c r="X544" i="1" s="1"/>
  <c r="P544" i="1"/>
  <c r="R544" i="1" s="1"/>
  <c r="O544" i="1"/>
  <c r="F544" i="1"/>
  <c r="W543" i="1"/>
  <c r="V543" i="1"/>
  <c r="T543" i="1"/>
  <c r="S543" i="1"/>
  <c r="R543" i="1"/>
  <c r="Q543" i="1"/>
  <c r="G543" i="1"/>
  <c r="O543" i="1" s="1"/>
  <c r="P543" i="1" s="1"/>
  <c r="U543" i="1" s="1"/>
  <c r="W542" i="1"/>
  <c r="U542" i="1"/>
  <c r="T542" i="1"/>
  <c r="S542" i="1"/>
  <c r="R542" i="1"/>
  <c r="Q542" i="1"/>
  <c r="G542" i="1"/>
  <c r="O542" i="1" s="1"/>
  <c r="P542" i="1" s="1"/>
  <c r="V542" i="1" s="1"/>
  <c r="M541" i="1"/>
  <c r="L541" i="1"/>
  <c r="K541" i="1"/>
  <c r="I541" i="1"/>
  <c r="H541" i="1"/>
  <c r="J541" i="1" s="1"/>
  <c r="N541" i="1" s="1"/>
  <c r="W540" i="1"/>
  <c r="U540" i="1"/>
  <c r="T540" i="1"/>
  <c r="O540" i="1"/>
  <c r="E540" i="1"/>
  <c r="F540" i="1" s="1"/>
  <c r="D540" i="1"/>
  <c r="S540" i="1" s="1"/>
  <c r="E539" i="1"/>
  <c r="F539" i="1" s="1"/>
  <c r="W538" i="1"/>
  <c r="V538" i="1"/>
  <c r="T538" i="1"/>
  <c r="S538" i="1"/>
  <c r="R538" i="1"/>
  <c r="O538" i="1"/>
  <c r="E538" i="1"/>
  <c r="F538" i="1" s="1"/>
  <c r="D538" i="1"/>
  <c r="U538" i="1" s="1"/>
  <c r="W537" i="1"/>
  <c r="U537" i="1"/>
  <c r="T537" i="1"/>
  <c r="S537" i="1"/>
  <c r="R537" i="1"/>
  <c r="O537" i="1"/>
  <c r="P537" i="1" s="1"/>
  <c r="Q537" i="1" s="1"/>
  <c r="F537" i="1"/>
  <c r="D537" i="1"/>
  <c r="V537" i="1" s="1"/>
  <c r="W536" i="1"/>
  <c r="V536" i="1"/>
  <c r="U536" i="1"/>
  <c r="T536" i="1"/>
  <c r="S536" i="1"/>
  <c r="R536" i="1"/>
  <c r="O536" i="1"/>
  <c r="F536" i="1"/>
  <c r="W535" i="1"/>
  <c r="V535" i="1"/>
  <c r="U535" i="1"/>
  <c r="S535" i="1"/>
  <c r="R535" i="1"/>
  <c r="Q535" i="1"/>
  <c r="G535" i="1"/>
  <c r="O535" i="1" s="1"/>
  <c r="P535" i="1" s="1"/>
  <c r="T535" i="1" s="1"/>
  <c r="W534" i="1"/>
  <c r="V534" i="1"/>
  <c r="U534" i="1"/>
  <c r="S534" i="1"/>
  <c r="R534" i="1"/>
  <c r="Q534" i="1"/>
  <c r="G534" i="1"/>
  <c r="O534" i="1" s="1"/>
  <c r="P534" i="1" s="1"/>
  <c r="T534" i="1" s="1"/>
  <c r="M533" i="1"/>
  <c r="L533" i="1"/>
  <c r="K533" i="1"/>
  <c r="I533" i="1"/>
  <c r="H533" i="1"/>
  <c r="J533" i="1" s="1"/>
  <c r="N533" i="1" s="1"/>
  <c r="O532" i="1"/>
  <c r="F532" i="1"/>
  <c r="P532" i="1" s="1"/>
  <c r="E532" i="1"/>
  <c r="D532" i="1"/>
  <c r="V531" i="1"/>
  <c r="S531" i="1"/>
  <c r="E531" i="1"/>
  <c r="F531" i="1" s="1"/>
  <c r="D531" i="1"/>
  <c r="W530" i="1"/>
  <c r="V530" i="1"/>
  <c r="U530" i="1"/>
  <c r="T530" i="1"/>
  <c r="S530" i="1"/>
  <c r="Q530" i="1"/>
  <c r="O530" i="1"/>
  <c r="F530" i="1"/>
  <c r="W529" i="1"/>
  <c r="V529" i="1"/>
  <c r="U529" i="1"/>
  <c r="T529" i="1"/>
  <c r="S529" i="1"/>
  <c r="R529" i="1"/>
  <c r="Q529" i="1"/>
  <c r="O529" i="1"/>
  <c r="P529" i="1" s="1"/>
  <c r="G529" i="1"/>
  <c r="W528" i="1"/>
  <c r="U528" i="1"/>
  <c r="T528" i="1"/>
  <c r="S528" i="1"/>
  <c r="R528" i="1"/>
  <c r="Q528" i="1"/>
  <c r="G528" i="1"/>
  <c r="O528" i="1" s="1"/>
  <c r="P528" i="1" s="1"/>
  <c r="V528" i="1" s="1"/>
  <c r="M527" i="1"/>
  <c r="L527" i="1"/>
  <c r="K527" i="1"/>
  <c r="I527" i="1"/>
  <c r="H527" i="1"/>
  <c r="J527" i="1" s="1"/>
  <c r="N527" i="1" s="1"/>
  <c r="W526" i="1"/>
  <c r="U526" i="1"/>
  <c r="Q526" i="1"/>
  <c r="O526" i="1"/>
  <c r="F526" i="1"/>
  <c r="E526" i="1"/>
  <c r="D526" i="1"/>
  <c r="E525" i="1"/>
  <c r="Q524" i="1"/>
  <c r="O524" i="1"/>
  <c r="E524" i="1"/>
  <c r="D524" i="1"/>
  <c r="W524" i="1" s="1"/>
  <c r="Q523" i="1"/>
  <c r="D523" i="1"/>
  <c r="W523" i="1" s="1"/>
  <c r="W522" i="1"/>
  <c r="V522" i="1"/>
  <c r="U522" i="1"/>
  <c r="T522" i="1"/>
  <c r="S522" i="1"/>
  <c r="Q522" i="1"/>
  <c r="O522" i="1"/>
  <c r="W521" i="1"/>
  <c r="V521" i="1"/>
  <c r="U521" i="1"/>
  <c r="S521" i="1"/>
  <c r="R521" i="1"/>
  <c r="Q521" i="1"/>
  <c r="O521" i="1"/>
  <c r="P521" i="1" s="1"/>
  <c r="T521" i="1" s="1"/>
  <c r="G521" i="1"/>
  <c r="W520" i="1"/>
  <c r="V520" i="1"/>
  <c r="T520" i="1"/>
  <c r="S520" i="1"/>
  <c r="R520" i="1"/>
  <c r="Q520" i="1"/>
  <c r="G520" i="1"/>
  <c r="O520" i="1" s="1"/>
  <c r="P520" i="1" s="1"/>
  <c r="U520" i="1" s="1"/>
  <c r="W519" i="1"/>
  <c r="U519" i="1"/>
  <c r="T519" i="1"/>
  <c r="S519" i="1"/>
  <c r="R519" i="1"/>
  <c r="Q519" i="1"/>
  <c r="O519" i="1"/>
  <c r="P519" i="1" s="1"/>
  <c r="V519" i="1" s="1"/>
  <c r="G519" i="1"/>
  <c r="M518" i="1"/>
  <c r="L518" i="1"/>
  <c r="K518" i="1"/>
  <c r="J518" i="1"/>
  <c r="N518" i="1" s="1"/>
  <c r="I518" i="1"/>
  <c r="H518" i="1"/>
  <c r="O517" i="1"/>
  <c r="P517" i="1" s="1"/>
  <c r="E517" i="1"/>
  <c r="F517" i="1" s="1"/>
  <c r="D517" i="1"/>
  <c r="W517" i="1" s="1"/>
  <c r="E516" i="1"/>
  <c r="W515" i="1"/>
  <c r="F515" i="1"/>
  <c r="E515" i="1"/>
  <c r="D515" i="1"/>
  <c r="S514" i="1"/>
  <c r="Q514" i="1"/>
  <c r="F514" i="1"/>
  <c r="D514" i="1"/>
  <c r="W513" i="1"/>
  <c r="V513" i="1"/>
  <c r="U513" i="1"/>
  <c r="T513" i="1"/>
  <c r="S513" i="1"/>
  <c r="Q513" i="1"/>
  <c r="O513" i="1"/>
  <c r="F513" i="1"/>
  <c r="W512" i="1"/>
  <c r="V512" i="1"/>
  <c r="T512" i="1"/>
  <c r="S512" i="1"/>
  <c r="R512" i="1"/>
  <c r="Q512" i="1"/>
  <c r="O512" i="1"/>
  <c r="P512" i="1" s="1"/>
  <c r="U512" i="1" s="1"/>
  <c r="G512" i="1"/>
  <c r="W511" i="1"/>
  <c r="V511" i="1"/>
  <c r="T511" i="1"/>
  <c r="S511" i="1"/>
  <c r="R511" i="1"/>
  <c r="Q511" i="1"/>
  <c r="O511" i="1"/>
  <c r="P511" i="1" s="1"/>
  <c r="U511" i="1" s="1"/>
  <c r="G511" i="1"/>
  <c r="W510" i="1"/>
  <c r="V510" i="1"/>
  <c r="T510" i="1"/>
  <c r="S510" i="1"/>
  <c r="R510" i="1"/>
  <c r="Q510" i="1"/>
  <c r="P510" i="1"/>
  <c r="U510" i="1" s="1"/>
  <c r="O510" i="1"/>
  <c r="G510" i="1"/>
  <c r="W509" i="1"/>
  <c r="V509" i="1"/>
  <c r="U509" i="1"/>
  <c r="T509" i="1"/>
  <c r="S509" i="1"/>
  <c r="R509" i="1"/>
  <c r="Q509" i="1"/>
  <c r="O509" i="1"/>
  <c r="P509" i="1" s="1"/>
  <c r="G509" i="1"/>
  <c r="M508" i="1"/>
  <c r="L508" i="1"/>
  <c r="K508" i="1"/>
  <c r="I508" i="1"/>
  <c r="H508" i="1"/>
  <c r="J508" i="1" s="1"/>
  <c r="N508" i="1" s="1"/>
  <c r="T507" i="1"/>
  <c r="R507" i="1"/>
  <c r="Q507" i="1"/>
  <c r="O507" i="1"/>
  <c r="P507" i="1" s="1"/>
  <c r="E507" i="1"/>
  <c r="F507" i="1" s="1"/>
  <c r="D507" i="1"/>
  <c r="E506" i="1"/>
  <c r="F506" i="1" s="1"/>
  <c r="E505" i="1"/>
  <c r="F505" i="1" s="1"/>
  <c r="D505" i="1"/>
  <c r="U504" i="1"/>
  <c r="T504" i="1"/>
  <c r="S504" i="1"/>
  <c r="F504" i="1"/>
  <c r="D504" i="1"/>
  <c r="W503" i="1"/>
  <c r="V503" i="1"/>
  <c r="U503" i="1"/>
  <c r="T503" i="1"/>
  <c r="S503" i="1"/>
  <c r="R503" i="1"/>
  <c r="Q503" i="1"/>
  <c r="P503" i="1"/>
  <c r="O503" i="1"/>
  <c r="F503" i="1"/>
  <c r="W502" i="1"/>
  <c r="V502" i="1"/>
  <c r="U502" i="1"/>
  <c r="S502" i="1"/>
  <c r="R502" i="1"/>
  <c r="Q502" i="1"/>
  <c r="G502" i="1"/>
  <c r="O502" i="1" s="1"/>
  <c r="P502" i="1" s="1"/>
  <c r="T502" i="1" s="1"/>
  <c r="W501" i="1"/>
  <c r="V501" i="1"/>
  <c r="T501" i="1"/>
  <c r="S501" i="1"/>
  <c r="R501" i="1"/>
  <c r="Q501" i="1"/>
  <c r="G501" i="1"/>
  <c r="O501" i="1" s="1"/>
  <c r="P501" i="1" s="1"/>
  <c r="U501" i="1" s="1"/>
  <c r="W500" i="1"/>
  <c r="V500" i="1"/>
  <c r="T500" i="1"/>
  <c r="S500" i="1"/>
  <c r="R500" i="1"/>
  <c r="Q500" i="1"/>
  <c r="O500" i="1"/>
  <c r="P500" i="1" s="1"/>
  <c r="U500" i="1" s="1"/>
  <c r="G500" i="1"/>
  <c r="W499" i="1"/>
  <c r="V499" i="1"/>
  <c r="U499" i="1"/>
  <c r="S499" i="1"/>
  <c r="R499" i="1"/>
  <c r="Q499" i="1"/>
  <c r="G499" i="1"/>
  <c r="O499" i="1" s="1"/>
  <c r="P499" i="1" s="1"/>
  <c r="T499" i="1" s="1"/>
  <c r="W498" i="1"/>
  <c r="U498" i="1"/>
  <c r="T498" i="1"/>
  <c r="S498" i="1"/>
  <c r="R498" i="1"/>
  <c r="Q498" i="1"/>
  <c r="G498" i="1"/>
  <c r="O498" i="1" s="1"/>
  <c r="P498" i="1" s="1"/>
  <c r="V498" i="1" s="1"/>
  <c r="X498" i="1" s="1"/>
  <c r="M497" i="1"/>
  <c r="L497" i="1"/>
  <c r="K497" i="1"/>
  <c r="I497" i="1"/>
  <c r="H497" i="1"/>
  <c r="J497" i="1" s="1"/>
  <c r="N497" i="1" s="1"/>
  <c r="O496" i="1"/>
  <c r="E496" i="1"/>
  <c r="F496" i="1" s="1"/>
  <c r="D496" i="1"/>
  <c r="O495" i="1"/>
  <c r="P495" i="1" s="1"/>
  <c r="S495" i="1" s="1"/>
  <c r="E495" i="1"/>
  <c r="F495" i="1" s="1"/>
  <c r="D495" i="1"/>
  <c r="V495" i="1" s="1"/>
  <c r="W494" i="1"/>
  <c r="V494" i="1"/>
  <c r="U494" i="1"/>
  <c r="T494" i="1"/>
  <c r="S494" i="1"/>
  <c r="R494" i="1"/>
  <c r="Q494" i="1"/>
  <c r="O494" i="1"/>
  <c r="P494" i="1" s="1"/>
  <c r="F494" i="1"/>
  <c r="W493" i="1"/>
  <c r="U493" i="1"/>
  <c r="T493" i="1"/>
  <c r="S493" i="1"/>
  <c r="R493" i="1"/>
  <c r="Q493" i="1"/>
  <c r="G493" i="1"/>
  <c r="O493" i="1" s="1"/>
  <c r="P493" i="1" s="1"/>
  <c r="V493" i="1" s="1"/>
  <c r="W492" i="1"/>
  <c r="U492" i="1"/>
  <c r="T492" i="1"/>
  <c r="S492" i="1"/>
  <c r="R492" i="1"/>
  <c r="Q492" i="1"/>
  <c r="G492" i="1"/>
  <c r="O492" i="1" s="1"/>
  <c r="P492" i="1" s="1"/>
  <c r="V492" i="1" s="1"/>
  <c r="W491" i="1"/>
  <c r="V491" i="1"/>
  <c r="U491" i="1"/>
  <c r="S491" i="1"/>
  <c r="R491" i="1"/>
  <c r="Q491" i="1"/>
  <c r="G491" i="1"/>
  <c r="O491" i="1" s="1"/>
  <c r="P491" i="1" s="1"/>
  <c r="T491" i="1" s="1"/>
  <c r="W490" i="1"/>
  <c r="U490" i="1"/>
  <c r="T490" i="1"/>
  <c r="S490" i="1"/>
  <c r="R490" i="1"/>
  <c r="Q490" i="1"/>
  <c r="P490" i="1"/>
  <c r="V490" i="1" s="1"/>
  <c r="O490" i="1"/>
  <c r="G490" i="1"/>
  <c r="M489" i="1"/>
  <c r="L489" i="1"/>
  <c r="K489" i="1"/>
  <c r="I489" i="1"/>
  <c r="H489" i="1"/>
  <c r="J489" i="1" s="1"/>
  <c r="N489" i="1" s="1"/>
  <c r="W488" i="1"/>
  <c r="T488" i="1"/>
  <c r="S488" i="1"/>
  <c r="R488" i="1"/>
  <c r="Q488" i="1"/>
  <c r="O488" i="1"/>
  <c r="E488" i="1"/>
  <c r="F488" i="1" s="1"/>
  <c r="D488" i="1"/>
  <c r="U488" i="1" s="1"/>
  <c r="E487" i="1"/>
  <c r="F487" i="1" s="1"/>
  <c r="D487" i="1"/>
  <c r="W486" i="1"/>
  <c r="V486" i="1"/>
  <c r="U486" i="1"/>
  <c r="T486" i="1"/>
  <c r="R486" i="1"/>
  <c r="Q486" i="1"/>
  <c r="O486" i="1"/>
  <c r="F486" i="1"/>
  <c r="W485" i="1"/>
  <c r="V485" i="1"/>
  <c r="U485" i="1"/>
  <c r="T485" i="1"/>
  <c r="S485" i="1"/>
  <c r="R485" i="1"/>
  <c r="Q485" i="1"/>
  <c r="O485" i="1"/>
  <c r="P485" i="1" s="1"/>
  <c r="G485" i="1"/>
  <c r="W484" i="1"/>
  <c r="U484" i="1"/>
  <c r="T484" i="1"/>
  <c r="S484" i="1"/>
  <c r="R484" i="1"/>
  <c r="Q484" i="1"/>
  <c r="P484" i="1"/>
  <c r="V484" i="1" s="1"/>
  <c r="G484" i="1"/>
  <c r="O484" i="1" s="1"/>
  <c r="W483" i="1"/>
  <c r="U483" i="1"/>
  <c r="T483" i="1"/>
  <c r="S483" i="1"/>
  <c r="R483" i="1"/>
  <c r="Q483" i="1"/>
  <c r="G483" i="1"/>
  <c r="O483" i="1" s="1"/>
  <c r="P483" i="1" s="1"/>
  <c r="V483" i="1" s="1"/>
  <c r="W482" i="1"/>
  <c r="U482" i="1"/>
  <c r="T482" i="1"/>
  <c r="S482" i="1"/>
  <c r="R482" i="1"/>
  <c r="Q482" i="1"/>
  <c r="G482" i="1"/>
  <c r="O482" i="1" s="1"/>
  <c r="P482" i="1" s="1"/>
  <c r="V482" i="1" s="1"/>
  <c r="M481" i="1"/>
  <c r="L481" i="1"/>
  <c r="K481" i="1"/>
  <c r="I481" i="1"/>
  <c r="H481" i="1"/>
  <c r="J481" i="1" s="1"/>
  <c r="N481" i="1" s="1"/>
  <c r="U480" i="1"/>
  <c r="T480" i="1"/>
  <c r="S480" i="1"/>
  <c r="Q480" i="1"/>
  <c r="O480" i="1"/>
  <c r="E480" i="1"/>
  <c r="F480" i="1" s="1"/>
  <c r="D480" i="1"/>
  <c r="R480" i="1" s="1"/>
  <c r="E479" i="1"/>
  <c r="F479" i="1" s="1"/>
  <c r="D479" i="1"/>
  <c r="W478" i="1"/>
  <c r="V478" i="1"/>
  <c r="U478" i="1"/>
  <c r="T478" i="1"/>
  <c r="S478" i="1"/>
  <c r="R478" i="1"/>
  <c r="Q478" i="1"/>
  <c r="O478" i="1"/>
  <c r="P478" i="1" s="1"/>
  <c r="F478" i="1"/>
  <c r="W477" i="1"/>
  <c r="V477" i="1"/>
  <c r="T477" i="1"/>
  <c r="S477" i="1"/>
  <c r="R477" i="1"/>
  <c r="Q477" i="1"/>
  <c r="P477" i="1"/>
  <c r="U477" i="1" s="1"/>
  <c r="G477" i="1"/>
  <c r="O477" i="1" s="1"/>
  <c r="W476" i="1"/>
  <c r="U476" i="1"/>
  <c r="T476" i="1"/>
  <c r="S476" i="1"/>
  <c r="R476" i="1"/>
  <c r="Q476" i="1"/>
  <c r="G476" i="1"/>
  <c r="O476" i="1" s="1"/>
  <c r="P476" i="1" s="1"/>
  <c r="V476" i="1" s="1"/>
  <c r="W475" i="1"/>
  <c r="U475" i="1"/>
  <c r="T475" i="1"/>
  <c r="S475" i="1"/>
  <c r="R475" i="1"/>
  <c r="Q475" i="1"/>
  <c r="G475" i="1"/>
  <c r="O475" i="1" s="1"/>
  <c r="P475" i="1" s="1"/>
  <c r="V475" i="1" s="1"/>
  <c r="W474" i="1"/>
  <c r="U474" i="1"/>
  <c r="T474" i="1"/>
  <c r="S474" i="1"/>
  <c r="R474" i="1"/>
  <c r="Q474" i="1"/>
  <c r="G474" i="1"/>
  <c r="O474" i="1" s="1"/>
  <c r="P474" i="1" s="1"/>
  <c r="V474" i="1" s="1"/>
  <c r="M473" i="1"/>
  <c r="L473" i="1"/>
  <c r="K473" i="1"/>
  <c r="I473" i="1"/>
  <c r="H473" i="1"/>
  <c r="J473" i="1" s="1"/>
  <c r="N473" i="1" s="1"/>
  <c r="O472" i="1"/>
  <c r="F472" i="1"/>
  <c r="E472" i="1"/>
  <c r="D472" i="1"/>
  <c r="U471" i="1"/>
  <c r="F471" i="1"/>
  <c r="E471" i="1"/>
  <c r="D471" i="1"/>
  <c r="W470" i="1"/>
  <c r="V470" i="1"/>
  <c r="U470" i="1"/>
  <c r="T470" i="1"/>
  <c r="R470" i="1"/>
  <c r="Q470" i="1"/>
  <c r="O470" i="1"/>
  <c r="F470" i="1"/>
  <c r="P470" i="1" s="1"/>
  <c r="S470" i="1" s="1"/>
  <c r="W469" i="1"/>
  <c r="V469" i="1"/>
  <c r="T469" i="1"/>
  <c r="S469" i="1"/>
  <c r="R469" i="1"/>
  <c r="Q469" i="1"/>
  <c r="O469" i="1"/>
  <c r="P469" i="1" s="1"/>
  <c r="U469" i="1" s="1"/>
  <c r="X469" i="1" s="1"/>
  <c r="G469" i="1"/>
  <c r="W468" i="1"/>
  <c r="V468" i="1"/>
  <c r="U468" i="1"/>
  <c r="T468" i="1"/>
  <c r="S468" i="1"/>
  <c r="R468" i="1"/>
  <c r="Q468" i="1"/>
  <c r="G468" i="1"/>
  <c r="O468" i="1" s="1"/>
  <c r="P468" i="1" s="1"/>
  <c r="W467" i="1"/>
  <c r="U467" i="1"/>
  <c r="T467" i="1"/>
  <c r="S467" i="1"/>
  <c r="R467" i="1"/>
  <c r="Q467" i="1"/>
  <c r="G467" i="1"/>
  <c r="O467" i="1" s="1"/>
  <c r="P467" i="1" s="1"/>
  <c r="V467" i="1" s="1"/>
  <c r="W466" i="1"/>
  <c r="U466" i="1"/>
  <c r="T466" i="1"/>
  <c r="S466" i="1"/>
  <c r="R466" i="1"/>
  <c r="Q466" i="1"/>
  <c r="G466" i="1"/>
  <c r="O466" i="1" s="1"/>
  <c r="P466" i="1" s="1"/>
  <c r="V466" i="1" s="1"/>
  <c r="M465" i="1"/>
  <c r="L465" i="1"/>
  <c r="K465" i="1"/>
  <c r="I465" i="1"/>
  <c r="H465" i="1"/>
  <c r="J465" i="1" s="1"/>
  <c r="N465" i="1" s="1"/>
  <c r="O464" i="1"/>
  <c r="E464" i="1"/>
  <c r="F464" i="1" s="1"/>
  <c r="D464" i="1"/>
  <c r="W463" i="1"/>
  <c r="V463" i="1"/>
  <c r="U463" i="1"/>
  <c r="T463" i="1"/>
  <c r="R463" i="1"/>
  <c r="Q463" i="1"/>
  <c r="O463" i="1"/>
  <c r="F463" i="1"/>
  <c r="W462" i="1"/>
  <c r="U462" i="1"/>
  <c r="T462" i="1"/>
  <c r="S462" i="1"/>
  <c r="R462" i="1"/>
  <c r="Q462" i="1"/>
  <c r="G462" i="1"/>
  <c r="O462" i="1" s="1"/>
  <c r="P462" i="1" s="1"/>
  <c r="V462" i="1" s="1"/>
  <c r="W461" i="1"/>
  <c r="U461" i="1"/>
  <c r="T461" i="1"/>
  <c r="S461" i="1"/>
  <c r="R461" i="1"/>
  <c r="Q461" i="1"/>
  <c r="G461" i="1"/>
  <c r="O461" i="1" s="1"/>
  <c r="P461" i="1" s="1"/>
  <c r="V461" i="1" s="1"/>
  <c r="X460" i="1"/>
  <c r="W460" i="1"/>
  <c r="V460" i="1"/>
  <c r="U460" i="1"/>
  <c r="S460" i="1"/>
  <c r="R460" i="1"/>
  <c r="Q460" i="1"/>
  <c r="O460" i="1"/>
  <c r="P460" i="1" s="1"/>
  <c r="T460" i="1" s="1"/>
  <c r="G460" i="1"/>
  <c r="W459" i="1"/>
  <c r="V459" i="1"/>
  <c r="U459" i="1"/>
  <c r="T459" i="1"/>
  <c r="S459" i="1"/>
  <c r="R459" i="1"/>
  <c r="Q459" i="1"/>
  <c r="G459" i="1"/>
  <c r="O459" i="1" s="1"/>
  <c r="P459" i="1" s="1"/>
  <c r="M458" i="1"/>
  <c r="L458" i="1"/>
  <c r="K458" i="1"/>
  <c r="I458" i="1"/>
  <c r="H458" i="1"/>
  <c r="J458" i="1" s="1"/>
  <c r="N458" i="1" s="1"/>
  <c r="O457" i="1"/>
  <c r="F457" i="1"/>
  <c r="E457" i="1"/>
  <c r="D457" i="1"/>
  <c r="F456" i="1"/>
  <c r="D456" i="1"/>
  <c r="W456" i="1" s="1"/>
  <c r="W455" i="1"/>
  <c r="V455" i="1"/>
  <c r="U455" i="1"/>
  <c r="T455" i="1"/>
  <c r="S455" i="1"/>
  <c r="Q455" i="1"/>
  <c r="O455" i="1"/>
  <c r="P455" i="1" s="1"/>
  <c r="R455" i="1" s="1"/>
  <c r="F455" i="1"/>
  <c r="W454" i="1"/>
  <c r="V454" i="1"/>
  <c r="U454" i="1"/>
  <c r="T454" i="1"/>
  <c r="R454" i="1"/>
  <c r="Q454" i="1"/>
  <c r="G454" i="1"/>
  <c r="O454" i="1" s="1"/>
  <c r="P454" i="1" s="1"/>
  <c r="S454" i="1" s="1"/>
  <c r="W453" i="1"/>
  <c r="V453" i="1"/>
  <c r="T453" i="1"/>
  <c r="S453" i="1"/>
  <c r="R453" i="1"/>
  <c r="Q453" i="1"/>
  <c r="P453" i="1"/>
  <c r="U453" i="1" s="1"/>
  <c r="G453" i="1"/>
  <c r="O453" i="1" s="1"/>
  <c r="W452" i="1"/>
  <c r="V452" i="1"/>
  <c r="U452" i="1"/>
  <c r="T452" i="1"/>
  <c r="R452" i="1"/>
  <c r="Q452" i="1"/>
  <c r="G452" i="1"/>
  <c r="O452" i="1" s="1"/>
  <c r="P452" i="1" s="1"/>
  <c r="S452" i="1" s="1"/>
  <c r="W451" i="1"/>
  <c r="V451" i="1"/>
  <c r="T451" i="1"/>
  <c r="S451" i="1"/>
  <c r="R451" i="1"/>
  <c r="Q451" i="1"/>
  <c r="G451" i="1"/>
  <c r="O451" i="1" s="1"/>
  <c r="P451" i="1" s="1"/>
  <c r="U451" i="1" s="1"/>
  <c r="M450" i="1"/>
  <c r="L450" i="1"/>
  <c r="K450" i="1"/>
  <c r="I450" i="1"/>
  <c r="H450" i="1"/>
  <c r="J450" i="1" s="1"/>
  <c r="N450" i="1" s="1"/>
  <c r="O449" i="1"/>
  <c r="P449" i="1" s="1"/>
  <c r="E449" i="1"/>
  <c r="F449" i="1" s="1"/>
  <c r="D449" i="1"/>
  <c r="W448" i="1"/>
  <c r="V448" i="1"/>
  <c r="S448" i="1"/>
  <c r="F448" i="1"/>
  <c r="D448" i="1"/>
  <c r="W447" i="1"/>
  <c r="V447" i="1"/>
  <c r="U447" i="1"/>
  <c r="T447" i="1"/>
  <c r="S447" i="1"/>
  <c r="Q447" i="1"/>
  <c r="P447" i="1"/>
  <c r="R447" i="1" s="1"/>
  <c r="O447" i="1"/>
  <c r="F447" i="1"/>
  <c r="W446" i="1"/>
  <c r="V446" i="1"/>
  <c r="U446" i="1"/>
  <c r="T446" i="1"/>
  <c r="R446" i="1"/>
  <c r="Q446" i="1"/>
  <c r="G446" i="1"/>
  <c r="O446" i="1" s="1"/>
  <c r="P446" i="1" s="1"/>
  <c r="S446" i="1" s="1"/>
  <c r="W445" i="1"/>
  <c r="V445" i="1"/>
  <c r="T445" i="1"/>
  <c r="S445" i="1"/>
  <c r="R445" i="1"/>
  <c r="Q445" i="1"/>
  <c r="G445" i="1"/>
  <c r="O445" i="1" s="1"/>
  <c r="P445" i="1" s="1"/>
  <c r="U445" i="1" s="1"/>
  <c r="W444" i="1"/>
  <c r="V444" i="1"/>
  <c r="U444" i="1"/>
  <c r="T444" i="1"/>
  <c r="R444" i="1"/>
  <c r="Q444" i="1"/>
  <c r="O444" i="1"/>
  <c r="P444" i="1" s="1"/>
  <c r="S444" i="1" s="1"/>
  <c r="G444" i="1"/>
  <c r="W443" i="1"/>
  <c r="V443" i="1"/>
  <c r="T443" i="1"/>
  <c r="S443" i="1"/>
  <c r="R443" i="1"/>
  <c r="Q443" i="1"/>
  <c r="O443" i="1"/>
  <c r="P443" i="1" s="1"/>
  <c r="U443" i="1" s="1"/>
  <c r="X443" i="1" s="1"/>
  <c r="G443" i="1"/>
  <c r="M442" i="1"/>
  <c r="L442" i="1"/>
  <c r="K442" i="1"/>
  <c r="J442" i="1"/>
  <c r="N442" i="1" s="1"/>
  <c r="I442" i="1"/>
  <c r="H442" i="1"/>
  <c r="R441" i="1"/>
  <c r="O441" i="1"/>
  <c r="F441" i="1"/>
  <c r="P441" i="1" s="1"/>
  <c r="V441" i="1" s="1"/>
  <c r="E441" i="1"/>
  <c r="D441" i="1"/>
  <c r="W441" i="1" s="1"/>
  <c r="W440" i="1"/>
  <c r="V440" i="1"/>
  <c r="U440" i="1"/>
  <c r="T440" i="1"/>
  <c r="S440" i="1"/>
  <c r="R440" i="1"/>
  <c r="O440" i="1"/>
  <c r="F440" i="1"/>
  <c r="W439" i="1"/>
  <c r="V439" i="1"/>
  <c r="U439" i="1"/>
  <c r="T439" i="1"/>
  <c r="R439" i="1"/>
  <c r="Q439" i="1"/>
  <c r="G439" i="1"/>
  <c r="O439" i="1" s="1"/>
  <c r="P439" i="1" s="1"/>
  <c r="S439" i="1" s="1"/>
  <c r="W438" i="1"/>
  <c r="V438" i="1"/>
  <c r="T438" i="1"/>
  <c r="S438" i="1"/>
  <c r="R438" i="1"/>
  <c r="Q438" i="1"/>
  <c r="P438" i="1"/>
  <c r="U438" i="1" s="1"/>
  <c r="G438" i="1"/>
  <c r="O438" i="1" s="1"/>
  <c r="W437" i="1"/>
  <c r="V437" i="1"/>
  <c r="T437" i="1"/>
  <c r="S437" i="1"/>
  <c r="R437" i="1"/>
  <c r="Q437" i="1"/>
  <c r="G437" i="1"/>
  <c r="O437" i="1" s="1"/>
  <c r="P437" i="1" s="1"/>
  <c r="U437" i="1" s="1"/>
  <c r="M436" i="1"/>
  <c r="L436" i="1"/>
  <c r="K436" i="1"/>
  <c r="I436" i="1"/>
  <c r="H436" i="1"/>
  <c r="J436" i="1" s="1"/>
  <c r="N436" i="1" s="1"/>
  <c r="S435" i="1"/>
  <c r="O435" i="1"/>
  <c r="P435" i="1" s="1"/>
  <c r="E435" i="1"/>
  <c r="F435" i="1" s="1"/>
  <c r="D435" i="1"/>
  <c r="W434" i="1"/>
  <c r="V434" i="1"/>
  <c r="U434" i="1"/>
  <c r="T434" i="1"/>
  <c r="S434" i="1"/>
  <c r="R434" i="1"/>
  <c r="Q434" i="1"/>
  <c r="O434" i="1"/>
  <c r="P434" i="1" s="1"/>
  <c r="F434" i="1"/>
  <c r="W433" i="1"/>
  <c r="V433" i="1"/>
  <c r="U433" i="1"/>
  <c r="T433" i="1"/>
  <c r="R433" i="1"/>
  <c r="Q433" i="1"/>
  <c r="G433" i="1"/>
  <c r="O433" i="1" s="1"/>
  <c r="P433" i="1" s="1"/>
  <c r="S433" i="1" s="1"/>
  <c r="W432" i="1"/>
  <c r="V432" i="1"/>
  <c r="T432" i="1"/>
  <c r="S432" i="1"/>
  <c r="R432" i="1"/>
  <c r="Q432" i="1"/>
  <c r="G432" i="1"/>
  <c r="O432" i="1" s="1"/>
  <c r="P432" i="1" s="1"/>
  <c r="U432" i="1" s="1"/>
  <c r="W431" i="1"/>
  <c r="V431" i="1"/>
  <c r="T431" i="1"/>
  <c r="S431" i="1"/>
  <c r="R431" i="1"/>
  <c r="Q431" i="1"/>
  <c r="P431" i="1"/>
  <c r="U431" i="1" s="1"/>
  <c r="G431" i="1"/>
  <c r="O431" i="1" s="1"/>
  <c r="M430" i="1"/>
  <c r="L430" i="1"/>
  <c r="K430" i="1"/>
  <c r="I430" i="1"/>
  <c r="H430" i="1"/>
  <c r="J430" i="1" s="1"/>
  <c r="N430" i="1" s="1"/>
  <c r="W429" i="1"/>
  <c r="U429" i="1"/>
  <c r="T429" i="1"/>
  <c r="S429" i="1"/>
  <c r="R429" i="1"/>
  <c r="Q429" i="1"/>
  <c r="O429" i="1"/>
  <c r="E429" i="1"/>
  <c r="F429" i="1" s="1"/>
  <c r="D429" i="1"/>
  <c r="W428" i="1"/>
  <c r="V428" i="1"/>
  <c r="U428" i="1"/>
  <c r="T428" i="1"/>
  <c r="S428" i="1"/>
  <c r="R428" i="1"/>
  <c r="Q428" i="1"/>
  <c r="P428" i="1"/>
  <c r="O428" i="1"/>
  <c r="F428" i="1"/>
  <c r="W427" i="1"/>
  <c r="V427" i="1"/>
  <c r="U427" i="1"/>
  <c r="S427" i="1"/>
  <c r="R427" i="1"/>
  <c r="Q427" i="1"/>
  <c r="P427" i="1"/>
  <c r="T427" i="1" s="1"/>
  <c r="O427" i="1"/>
  <c r="G427" i="1"/>
  <c r="W426" i="1"/>
  <c r="V426" i="1"/>
  <c r="T426" i="1"/>
  <c r="S426" i="1"/>
  <c r="R426" i="1"/>
  <c r="Q426" i="1"/>
  <c r="G426" i="1"/>
  <c r="O426" i="1" s="1"/>
  <c r="P426" i="1" s="1"/>
  <c r="U426" i="1" s="1"/>
  <c r="W425" i="1"/>
  <c r="V425" i="1"/>
  <c r="T425" i="1"/>
  <c r="S425" i="1"/>
  <c r="R425" i="1"/>
  <c r="Q425" i="1"/>
  <c r="G425" i="1"/>
  <c r="O425" i="1" s="1"/>
  <c r="P425" i="1" s="1"/>
  <c r="U425" i="1" s="1"/>
  <c r="M424" i="1"/>
  <c r="L424" i="1"/>
  <c r="K424" i="1"/>
  <c r="I424" i="1"/>
  <c r="H424" i="1"/>
  <c r="J424" i="1" s="1"/>
  <c r="N424" i="1" s="1"/>
  <c r="T423" i="1"/>
  <c r="S423" i="1"/>
  <c r="R423" i="1"/>
  <c r="Q423" i="1"/>
  <c r="O423" i="1"/>
  <c r="E423" i="1"/>
  <c r="F423" i="1" s="1"/>
  <c r="P423" i="1" s="1"/>
  <c r="D423" i="1"/>
  <c r="W423" i="1" s="1"/>
  <c r="W422" i="1"/>
  <c r="V422" i="1"/>
  <c r="U422" i="1"/>
  <c r="T422" i="1"/>
  <c r="R422" i="1"/>
  <c r="Q422" i="1"/>
  <c r="O422" i="1"/>
  <c r="F422" i="1"/>
  <c r="W421" i="1"/>
  <c r="V421" i="1"/>
  <c r="U421" i="1"/>
  <c r="S421" i="1"/>
  <c r="R421" i="1"/>
  <c r="Q421" i="1"/>
  <c r="G421" i="1"/>
  <c r="O421" i="1" s="1"/>
  <c r="P421" i="1" s="1"/>
  <c r="T421" i="1" s="1"/>
  <c r="W420" i="1"/>
  <c r="V420" i="1"/>
  <c r="T420" i="1"/>
  <c r="S420" i="1"/>
  <c r="R420" i="1"/>
  <c r="Q420" i="1"/>
  <c r="G420" i="1"/>
  <c r="O420" i="1" s="1"/>
  <c r="P420" i="1" s="1"/>
  <c r="U420" i="1" s="1"/>
  <c r="W419" i="1"/>
  <c r="V419" i="1"/>
  <c r="T419" i="1"/>
  <c r="S419" i="1"/>
  <c r="R419" i="1"/>
  <c r="Q419" i="1"/>
  <c r="G419" i="1"/>
  <c r="O419" i="1" s="1"/>
  <c r="P419" i="1" s="1"/>
  <c r="U419" i="1" s="1"/>
  <c r="M418" i="1"/>
  <c r="L418" i="1"/>
  <c r="K418" i="1"/>
  <c r="I418" i="1"/>
  <c r="H418" i="1"/>
  <c r="J418" i="1" s="1"/>
  <c r="N418" i="1" s="1"/>
  <c r="O417" i="1"/>
  <c r="E417" i="1"/>
  <c r="F417" i="1" s="1"/>
  <c r="D417" i="1"/>
  <c r="R417" i="1" s="1"/>
  <c r="V416" i="1"/>
  <c r="T416" i="1"/>
  <c r="F416" i="1"/>
  <c r="D416" i="1"/>
  <c r="W415" i="1"/>
  <c r="V415" i="1"/>
  <c r="U415" i="1"/>
  <c r="T415" i="1"/>
  <c r="S415" i="1"/>
  <c r="Q415" i="1"/>
  <c r="O415" i="1"/>
  <c r="F415" i="1"/>
  <c r="W414" i="1"/>
  <c r="V414" i="1"/>
  <c r="U414" i="1"/>
  <c r="T414" i="1"/>
  <c r="R414" i="1"/>
  <c r="Q414" i="1"/>
  <c r="G414" i="1"/>
  <c r="O414" i="1" s="1"/>
  <c r="P414" i="1" s="1"/>
  <c r="S414" i="1" s="1"/>
  <c r="W413" i="1"/>
  <c r="V413" i="1"/>
  <c r="T413" i="1"/>
  <c r="S413" i="1"/>
  <c r="R413" i="1"/>
  <c r="Q413" i="1"/>
  <c r="P413" i="1"/>
  <c r="U413" i="1" s="1"/>
  <c r="O413" i="1"/>
  <c r="G413" i="1"/>
  <c r="W412" i="1"/>
  <c r="V412" i="1"/>
  <c r="U412" i="1"/>
  <c r="T412" i="1"/>
  <c r="R412" i="1"/>
  <c r="Q412" i="1"/>
  <c r="G412" i="1"/>
  <c r="O412" i="1" s="1"/>
  <c r="P412" i="1" s="1"/>
  <c r="S412" i="1" s="1"/>
  <c r="W411" i="1"/>
  <c r="V411" i="1"/>
  <c r="T411" i="1"/>
  <c r="S411" i="1"/>
  <c r="R411" i="1"/>
  <c r="Q411" i="1"/>
  <c r="G411" i="1"/>
  <c r="O411" i="1" s="1"/>
  <c r="P411" i="1" s="1"/>
  <c r="U411" i="1" s="1"/>
  <c r="M410" i="1"/>
  <c r="L410" i="1"/>
  <c r="K410" i="1"/>
  <c r="I410" i="1"/>
  <c r="H410" i="1"/>
  <c r="J410" i="1" s="1"/>
  <c r="N410" i="1" s="1"/>
  <c r="O409" i="1"/>
  <c r="F409" i="1"/>
  <c r="E409" i="1"/>
  <c r="D409" i="1"/>
  <c r="W408" i="1"/>
  <c r="F408" i="1"/>
  <c r="D408" i="1"/>
  <c r="V408" i="1" s="1"/>
  <c r="W407" i="1"/>
  <c r="V407" i="1"/>
  <c r="U407" i="1"/>
  <c r="T407" i="1"/>
  <c r="S407" i="1"/>
  <c r="Q407" i="1"/>
  <c r="O407" i="1"/>
  <c r="P407" i="1" s="1"/>
  <c r="R407" i="1" s="1"/>
  <c r="F407" i="1"/>
  <c r="W406" i="1"/>
  <c r="V406" i="1"/>
  <c r="U406" i="1"/>
  <c r="T406" i="1"/>
  <c r="R406" i="1"/>
  <c r="Q406" i="1"/>
  <c r="G406" i="1"/>
  <c r="O406" i="1" s="1"/>
  <c r="P406" i="1" s="1"/>
  <c r="S406" i="1" s="1"/>
  <c r="W405" i="1"/>
  <c r="V405" i="1"/>
  <c r="T405" i="1"/>
  <c r="S405" i="1"/>
  <c r="R405" i="1"/>
  <c r="Q405" i="1"/>
  <c r="G405" i="1"/>
  <c r="O405" i="1" s="1"/>
  <c r="P405" i="1" s="1"/>
  <c r="U405" i="1" s="1"/>
  <c r="W404" i="1"/>
  <c r="V404" i="1"/>
  <c r="U404" i="1"/>
  <c r="T404" i="1"/>
  <c r="R404" i="1"/>
  <c r="Q404" i="1"/>
  <c r="G404" i="1"/>
  <c r="O404" i="1" s="1"/>
  <c r="P404" i="1" s="1"/>
  <c r="S404" i="1" s="1"/>
  <c r="W403" i="1"/>
  <c r="V403" i="1"/>
  <c r="T403" i="1"/>
  <c r="S403" i="1"/>
  <c r="R403" i="1"/>
  <c r="Q403" i="1"/>
  <c r="G403" i="1"/>
  <c r="O403" i="1" s="1"/>
  <c r="P403" i="1" s="1"/>
  <c r="U403" i="1" s="1"/>
  <c r="M402" i="1"/>
  <c r="L402" i="1"/>
  <c r="K402" i="1"/>
  <c r="I402" i="1"/>
  <c r="H402" i="1"/>
  <c r="J402" i="1" s="1"/>
  <c r="N402" i="1" s="1"/>
  <c r="O401" i="1"/>
  <c r="F401" i="1"/>
  <c r="E401" i="1"/>
  <c r="D401" i="1"/>
  <c r="E400" i="1"/>
  <c r="F400" i="1" s="1"/>
  <c r="W399" i="1"/>
  <c r="S399" i="1"/>
  <c r="Q399" i="1"/>
  <c r="E399" i="1"/>
  <c r="F399" i="1" s="1"/>
  <c r="D399" i="1"/>
  <c r="O399" i="1" s="1"/>
  <c r="F398" i="1"/>
  <c r="D398" i="1"/>
  <c r="W397" i="1"/>
  <c r="V397" i="1"/>
  <c r="U397" i="1"/>
  <c r="T397" i="1"/>
  <c r="S397" i="1"/>
  <c r="Q397" i="1"/>
  <c r="O397" i="1"/>
  <c r="F397" i="1"/>
  <c r="W396" i="1"/>
  <c r="V396" i="1"/>
  <c r="U396" i="1"/>
  <c r="S396" i="1"/>
  <c r="R396" i="1"/>
  <c r="Q396" i="1"/>
  <c r="G396" i="1"/>
  <c r="O396" i="1" s="1"/>
  <c r="P396" i="1" s="1"/>
  <c r="T396" i="1" s="1"/>
  <c r="W395" i="1"/>
  <c r="V395" i="1"/>
  <c r="T395" i="1"/>
  <c r="S395" i="1"/>
  <c r="R395" i="1"/>
  <c r="Q395" i="1"/>
  <c r="G395" i="1"/>
  <c r="O395" i="1" s="1"/>
  <c r="P395" i="1" s="1"/>
  <c r="U395" i="1" s="1"/>
  <c r="W394" i="1"/>
  <c r="V394" i="1"/>
  <c r="U394" i="1"/>
  <c r="T394" i="1"/>
  <c r="S394" i="1"/>
  <c r="R394" i="1"/>
  <c r="Q394" i="1"/>
  <c r="G394" i="1"/>
  <c r="O394" i="1" s="1"/>
  <c r="P394" i="1" s="1"/>
  <c r="W393" i="1"/>
  <c r="V393" i="1"/>
  <c r="T393" i="1"/>
  <c r="S393" i="1"/>
  <c r="R393" i="1"/>
  <c r="Q393" i="1"/>
  <c r="G393" i="1"/>
  <c r="O393" i="1" s="1"/>
  <c r="P393" i="1" s="1"/>
  <c r="U393" i="1" s="1"/>
  <c r="M392" i="1"/>
  <c r="L392" i="1"/>
  <c r="K392" i="1"/>
  <c r="I392" i="1"/>
  <c r="H392" i="1"/>
  <c r="J392" i="1" s="1"/>
  <c r="N392" i="1" s="1"/>
  <c r="W391" i="1"/>
  <c r="U391" i="1"/>
  <c r="O391" i="1"/>
  <c r="P391" i="1" s="1"/>
  <c r="E391" i="1"/>
  <c r="F391" i="1" s="1"/>
  <c r="D391" i="1"/>
  <c r="W390" i="1"/>
  <c r="V390" i="1"/>
  <c r="U390" i="1"/>
  <c r="T390" i="1"/>
  <c r="S390" i="1"/>
  <c r="Q390" i="1"/>
  <c r="P390" i="1"/>
  <c r="R390" i="1" s="1"/>
  <c r="O390" i="1"/>
  <c r="F390" i="1"/>
  <c r="W389" i="1"/>
  <c r="V389" i="1"/>
  <c r="U389" i="1"/>
  <c r="S389" i="1"/>
  <c r="R389" i="1"/>
  <c r="Q389" i="1"/>
  <c r="G389" i="1"/>
  <c r="O389" i="1" s="1"/>
  <c r="P389" i="1" s="1"/>
  <c r="T389" i="1" s="1"/>
  <c r="W388" i="1"/>
  <c r="V388" i="1"/>
  <c r="U388" i="1"/>
  <c r="S388" i="1"/>
  <c r="R388" i="1"/>
  <c r="Q388" i="1"/>
  <c r="P388" i="1"/>
  <c r="T388" i="1" s="1"/>
  <c r="O388" i="1"/>
  <c r="G388" i="1"/>
  <c r="M387" i="1"/>
  <c r="L387" i="1"/>
  <c r="K387" i="1"/>
  <c r="I387" i="1"/>
  <c r="H387" i="1"/>
  <c r="J387" i="1" s="1"/>
  <c r="N387" i="1" s="1"/>
  <c r="W386" i="1"/>
  <c r="U386" i="1"/>
  <c r="T386" i="1"/>
  <c r="O386" i="1"/>
  <c r="E386" i="1"/>
  <c r="F386" i="1" s="1"/>
  <c r="D386" i="1"/>
  <c r="S386" i="1" s="1"/>
  <c r="W385" i="1"/>
  <c r="X385" i="1" s="1"/>
  <c r="V385" i="1"/>
  <c r="U385" i="1"/>
  <c r="T385" i="1"/>
  <c r="S385" i="1"/>
  <c r="Q385" i="1"/>
  <c r="O385" i="1"/>
  <c r="P385" i="1" s="1"/>
  <c r="R385" i="1" s="1"/>
  <c r="F385" i="1"/>
  <c r="W384" i="1"/>
  <c r="V384" i="1"/>
  <c r="U384" i="1"/>
  <c r="T384" i="1"/>
  <c r="S384" i="1"/>
  <c r="R384" i="1"/>
  <c r="Q384" i="1"/>
  <c r="G384" i="1"/>
  <c r="O384" i="1" s="1"/>
  <c r="P384" i="1" s="1"/>
  <c r="W383" i="1"/>
  <c r="V383" i="1"/>
  <c r="U383" i="1"/>
  <c r="S383" i="1"/>
  <c r="R383" i="1"/>
  <c r="Q383" i="1"/>
  <c r="G383" i="1"/>
  <c r="O383" i="1" s="1"/>
  <c r="P383" i="1" s="1"/>
  <c r="T383" i="1" s="1"/>
  <c r="M382" i="1"/>
  <c r="L382" i="1"/>
  <c r="K382" i="1"/>
  <c r="I382" i="1"/>
  <c r="H382" i="1"/>
  <c r="J382" i="1" s="1"/>
  <c r="N382" i="1" s="1"/>
  <c r="O381" i="1"/>
  <c r="E381" i="1"/>
  <c r="F381" i="1" s="1"/>
  <c r="P381" i="1" s="1"/>
  <c r="D381" i="1"/>
  <c r="S380" i="1"/>
  <c r="E380" i="1"/>
  <c r="F380" i="1" s="1"/>
  <c r="D380" i="1"/>
  <c r="W379" i="1"/>
  <c r="V379" i="1"/>
  <c r="U379" i="1"/>
  <c r="T379" i="1"/>
  <c r="S379" i="1"/>
  <c r="Q379" i="1"/>
  <c r="O379" i="1"/>
  <c r="F379" i="1"/>
  <c r="W378" i="1"/>
  <c r="V378" i="1"/>
  <c r="U378" i="1"/>
  <c r="S378" i="1"/>
  <c r="R378" i="1"/>
  <c r="Q378" i="1"/>
  <c r="O378" i="1"/>
  <c r="P378" i="1" s="1"/>
  <c r="T378" i="1" s="1"/>
  <c r="G378" i="1"/>
  <c r="W377" i="1"/>
  <c r="V377" i="1"/>
  <c r="T377" i="1"/>
  <c r="S377" i="1"/>
  <c r="R377" i="1"/>
  <c r="Q377" i="1"/>
  <c r="G377" i="1"/>
  <c r="O377" i="1" s="1"/>
  <c r="P377" i="1" s="1"/>
  <c r="U377" i="1" s="1"/>
  <c r="W376" i="1"/>
  <c r="V376" i="1"/>
  <c r="U376" i="1"/>
  <c r="S376" i="1"/>
  <c r="R376" i="1"/>
  <c r="Q376" i="1"/>
  <c r="G376" i="1"/>
  <c r="O376" i="1" s="1"/>
  <c r="P376" i="1" s="1"/>
  <c r="T376" i="1" s="1"/>
  <c r="W375" i="1"/>
  <c r="V375" i="1"/>
  <c r="T375" i="1"/>
  <c r="S375" i="1"/>
  <c r="R375" i="1"/>
  <c r="Q375" i="1"/>
  <c r="O375" i="1"/>
  <c r="P375" i="1" s="1"/>
  <c r="U375" i="1" s="1"/>
  <c r="G375" i="1"/>
  <c r="M374" i="1"/>
  <c r="L374" i="1"/>
  <c r="K374" i="1"/>
  <c r="I374" i="1"/>
  <c r="H374" i="1"/>
  <c r="J374" i="1" s="1"/>
  <c r="N374" i="1" s="1"/>
  <c r="O373" i="1"/>
  <c r="E373" i="1"/>
  <c r="F373" i="1" s="1"/>
  <c r="P373" i="1" s="1"/>
  <c r="D373" i="1"/>
  <c r="W373" i="1" s="1"/>
  <c r="E372" i="1"/>
  <c r="F372" i="1" s="1"/>
  <c r="V371" i="1"/>
  <c r="U371" i="1"/>
  <c r="O371" i="1"/>
  <c r="P371" i="1" s="1"/>
  <c r="F371" i="1"/>
  <c r="E371" i="1"/>
  <c r="D371" i="1"/>
  <c r="F370" i="1"/>
  <c r="D370" i="1"/>
  <c r="W369" i="1"/>
  <c r="V369" i="1"/>
  <c r="U369" i="1"/>
  <c r="T369" i="1"/>
  <c r="S369" i="1"/>
  <c r="Q369" i="1"/>
  <c r="O369" i="1"/>
  <c r="F369" i="1"/>
  <c r="W368" i="1"/>
  <c r="U368" i="1"/>
  <c r="T368" i="1"/>
  <c r="S368" i="1"/>
  <c r="R368" i="1"/>
  <c r="Q368" i="1"/>
  <c r="G368" i="1"/>
  <c r="O368" i="1" s="1"/>
  <c r="P368" i="1" s="1"/>
  <c r="V368" i="1" s="1"/>
  <c r="W367" i="1"/>
  <c r="V367" i="1"/>
  <c r="T367" i="1"/>
  <c r="S367" i="1"/>
  <c r="R367" i="1"/>
  <c r="Q367" i="1"/>
  <c r="G367" i="1"/>
  <c r="O367" i="1" s="1"/>
  <c r="P367" i="1" s="1"/>
  <c r="U367" i="1" s="1"/>
  <c r="W366" i="1"/>
  <c r="V366" i="1"/>
  <c r="U366" i="1"/>
  <c r="T366" i="1"/>
  <c r="S366" i="1"/>
  <c r="R366" i="1"/>
  <c r="Q366" i="1"/>
  <c r="G366" i="1"/>
  <c r="O366" i="1" s="1"/>
  <c r="P366" i="1" s="1"/>
  <c r="W365" i="1"/>
  <c r="V365" i="1"/>
  <c r="T365" i="1"/>
  <c r="S365" i="1"/>
  <c r="R365" i="1"/>
  <c r="Q365" i="1"/>
  <c r="O365" i="1"/>
  <c r="P365" i="1" s="1"/>
  <c r="U365" i="1" s="1"/>
  <c r="G365" i="1"/>
  <c r="M364" i="1"/>
  <c r="L364" i="1"/>
  <c r="K364" i="1"/>
  <c r="J364" i="1"/>
  <c r="N364" i="1" s="1"/>
  <c r="I364" i="1"/>
  <c r="H364" i="1"/>
  <c r="O363" i="1"/>
  <c r="E363" i="1"/>
  <c r="F363" i="1" s="1"/>
  <c r="D363" i="1"/>
  <c r="U362" i="1"/>
  <c r="S362" i="1"/>
  <c r="O362" i="1"/>
  <c r="F362" i="1"/>
  <c r="D362" i="1"/>
  <c r="W362" i="1" s="1"/>
  <c r="W361" i="1"/>
  <c r="V361" i="1"/>
  <c r="U361" i="1"/>
  <c r="T361" i="1"/>
  <c r="S361" i="1"/>
  <c r="Q361" i="1"/>
  <c r="O361" i="1"/>
  <c r="F361" i="1"/>
  <c r="W360" i="1"/>
  <c r="V360" i="1"/>
  <c r="T360" i="1"/>
  <c r="S360" i="1"/>
  <c r="R360" i="1"/>
  <c r="Q360" i="1"/>
  <c r="G360" i="1"/>
  <c r="O360" i="1" s="1"/>
  <c r="P360" i="1" s="1"/>
  <c r="U360" i="1" s="1"/>
  <c r="W359" i="1"/>
  <c r="V359" i="1"/>
  <c r="U359" i="1"/>
  <c r="S359" i="1"/>
  <c r="R359" i="1"/>
  <c r="Q359" i="1"/>
  <c r="G359" i="1"/>
  <c r="O359" i="1" s="1"/>
  <c r="P359" i="1" s="1"/>
  <c r="T359" i="1" s="1"/>
  <c r="W358" i="1"/>
  <c r="V358" i="1"/>
  <c r="U358" i="1"/>
  <c r="S358" i="1"/>
  <c r="R358" i="1"/>
  <c r="Q358" i="1"/>
  <c r="G358" i="1"/>
  <c r="O358" i="1" s="1"/>
  <c r="P358" i="1" s="1"/>
  <c r="T358" i="1" s="1"/>
  <c r="W357" i="1"/>
  <c r="V357" i="1"/>
  <c r="T357" i="1"/>
  <c r="S357" i="1"/>
  <c r="R357" i="1"/>
  <c r="Q357" i="1"/>
  <c r="G357" i="1"/>
  <c r="O357" i="1" s="1"/>
  <c r="P357" i="1" s="1"/>
  <c r="U357" i="1" s="1"/>
  <c r="M356" i="1"/>
  <c r="L356" i="1"/>
  <c r="K356" i="1"/>
  <c r="I356" i="1"/>
  <c r="H356" i="1"/>
  <c r="J356" i="1" s="1"/>
  <c r="N356" i="1" s="1"/>
  <c r="O355" i="1"/>
  <c r="E355" i="1"/>
  <c r="F355" i="1" s="1"/>
  <c r="D355" i="1"/>
  <c r="E354" i="1"/>
  <c r="F354" i="1" s="1"/>
  <c r="D354" i="1"/>
  <c r="O354" i="1" s="1"/>
  <c r="P354" i="1" s="1"/>
  <c r="W353" i="1"/>
  <c r="V353" i="1"/>
  <c r="U353" i="1"/>
  <c r="T353" i="1"/>
  <c r="R353" i="1"/>
  <c r="Q353" i="1"/>
  <c r="O353" i="1"/>
  <c r="F353" i="1"/>
  <c r="W352" i="1"/>
  <c r="U352" i="1"/>
  <c r="T352" i="1"/>
  <c r="S352" i="1"/>
  <c r="R352" i="1"/>
  <c r="Q352" i="1"/>
  <c r="O352" i="1"/>
  <c r="P352" i="1" s="1"/>
  <c r="V352" i="1" s="1"/>
  <c r="G352" i="1"/>
  <c r="W351" i="1"/>
  <c r="V351" i="1"/>
  <c r="U351" i="1"/>
  <c r="S351" i="1"/>
  <c r="R351" i="1"/>
  <c r="Q351" i="1"/>
  <c r="O351" i="1"/>
  <c r="P351" i="1" s="1"/>
  <c r="T351" i="1" s="1"/>
  <c r="G351" i="1"/>
  <c r="W350" i="1"/>
  <c r="U350" i="1"/>
  <c r="T350" i="1"/>
  <c r="S350" i="1"/>
  <c r="R350" i="1"/>
  <c r="Q350" i="1"/>
  <c r="G350" i="1"/>
  <c r="O350" i="1" s="1"/>
  <c r="P350" i="1" s="1"/>
  <c r="V350" i="1" s="1"/>
  <c r="M349" i="1"/>
  <c r="L349" i="1"/>
  <c r="K349" i="1"/>
  <c r="J349" i="1"/>
  <c r="N349" i="1" s="1"/>
  <c r="I349" i="1"/>
  <c r="H349" i="1"/>
  <c r="O348" i="1"/>
  <c r="P348" i="1" s="1"/>
  <c r="V348" i="1" s="1"/>
  <c r="E348" i="1"/>
  <c r="F348" i="1" s="1"/>
  <c r="D348" i="1"/>
  <c r="W348" i="1" s="1"/>
  <c r="W347" i="1"/>
  <c r="V347" i="1"/>
  <c r="R347" i="1"/>
  <c r="Q347" i="1"/>
  <c r="O347" i="1"/>
  <c r="F347" i="1"/>
  <c r="E347" i="1"/>
  <c r="D347" i="1"/>
  <c r="W346" i="1"/>
  <c r="V346" i="1"/>
  <c r="U346" i="1"/>
  <c r="T346" i="1"/>
  <c r="R346" i="1"/>
  <c r="Q346" i="1"/>
  <c r="O346" i="1"/>
  <c r="F346" i="1"/>
  <c r="W345" i="1"/>
  <c r="U345" i="1"/>
  <c r="T345" i="1"/>
  <c r="S345" i="1"/>
  <c r="R345" i="1"/>
  <c r="Q345" i="1"/>
  <c r="G345" i="1"/>
  <c r="O345" i="1" s="1"/>
  <c r="P345" i="1" s="1"/>
  <c r="V345" i="1" s="1"/>
  <c r="W344" i="1"/>
  <c r="V344" i="1"/>
  <c r="U344" i="1"/>
  <c r="S344" i="1"/>
  <c r="R344" i="1"/>
  <c r="Q344" i="1"/>
  <c r="G344" i="1"/>
  <c r="O344" i="1" s="1"/>
  <c r="P344" i="1" s="1"/>
  <c r="T344" i="1" s="1"/>
  <c r="W343" i="1"/>
  <c r="U343" i="1"/>
  <c r="T343" i="1"/>
  <c r="S343" i="1"/>
  <c r="R343" i="1"/>
  <c r="Q343" i="1"/>
  <c r="G343" i="1"/>
  <c r="O343" i="1" s="1"/>
  <c r="P343" i="1" s="1"/>
  <c r="V343" i="1" s="1"/>
  <c r="M342" i="1"/>
  <c r="L342" i="1"/>
  <c r="K342" i="1"/>
  <c r="J342" i="1"/>
  <c r="N342" i="1" s="1"/>
  <c r="I342" i="1"/>
  <c r="H342" i="1"/>
  <c r="U341" i="1"/>
  <c r="T341" i="1"/>
  <c r="R341" i="1"/>
  <c r="Q341" i="1"/>
  <c r="O341" i="1"/>
  <c r="E341" i="1"/>
  <c r="F341" i="1" s="1"/>
  <c r="D341" i="1"/>
  <c r="W341" i="1" s="1"/>
  <c r="E340" i="1"/>
  <c r="F340" i="1" s="1"/>
  <c r="W339" i="1"/>
  <c r="V339" i="1"/>
  <c r="T339" i="1"/>
  <c r="S339" i="1"/>
  <c r="R339" i="1"/>
  <c r="E339" i="1"/>
  <c r="F339" i="1" s="1"/>
  <c r="P339" i="1" s="1"/>
  <c r="Q339" i="1" s="1"/>
  <c r="D339" i="1"/>
  <c r="O339" i="1" s="1"/>
  <c r="O338" i="1"/>
  <c r="F338" i="1"/>
  <c r="D338" i="1"/>
  <c r="W337" i="1"/>
  <c r="V337" i="1"/>
  <c r="U337" i="1"/>
  <c r="T337" i="1"/>
  <c r="S337" i="1"/>
  <c r="R337" i="1"/>
  <c r="O337" i="1"/>
  <c r="F337" i="1"/>
  <c r="W336" i="1"/>
  <c r="U336" i="1"/>
  <c r="T336" i="1"/>
  <c r="S336" i="1"/>
  <c r="R336" i="1"/>
  <c r="Q336" i="1"/>
  <c r="P336" i="1"/>
  <c r="V336" i="1" s="1"/>
  <c r="G336" i="1"/>
  <c r="O336" i="1" s="1"/>
  <c r="W335" i="1"/>
  <c r="V335" i="1"/>
  <c r="U335" i="1"/>
  <c r="S335" i="1"/>
  <c r="R335" i="1"/>
  <c r="Q335" i="1"/>
  <c r="O335" i="1"/>
  <c r="P335" i="1" s="1"/>
  <c r="T335" i="1" s="1"/>
  <c r="G335" i="1"/>
  <c r="W334" i="1"/>
  <c r="V334" i="1"/>
  <c r="T334" i="1"/>
  <c r="S334" i="1"/>
  <c r="R334" i="1"/>
  <c r="Q334" i="1"/>
  <c r="O334" i="1"/>
  <c r="P334" i="1" s="1"/>
  <c r="U334" i="1" s="1"/>
  <c r="X334" i="1" s="1"/>
  <c r="G334" i="1"/>
  <c r="W333" i="1"/>
  <c r="V333" i="1"/>
  <c r="T333" i="1"/>
  <c r="S333" i="1"/>
  <c r="R333" i="1"/>
  <c r="Q333" i="1"/>
  <c r="G333" i="1"/>
  <c r="O333" i="1" s="1"/>
  <c r="P333" i="1" s="1"/>
  <c r="U333" i="1" s="1"/>
  <c r="M332" i="1"/>
  <c r="L332" i="1"/>
  <c r="K332" i="1"/>
  <c r="I332" i="1"/>
  <c r="H332" i="1"/>
  <c r="J332" i="1" s="1"/>
  <c r="N332" i="1" s="1"/>
  <c r="U331" i="1"/>
  <c r="T331" i="1"/>
  <c r="S331" i="1"/>
  <c r="O331" i="1"/>
  <c r="E331" i="1"/>
  <c r="D331" i="1"/>
  <c r="W331" i="1" s="1"/>
  <c r="F330" i="1"/>
  <c r="E330" i="1"/>
  <c r="E329" i="1"/>
  <c r="F329" i="1" s="1"/>
  <c r="D329" i="1"/>
  <c r="W328" i="1"/>
  <c r="U328" i="1"/>
  <c r="Q328" i="1"/>
  <c r="F328" i="1"/>
  <c r="D328" i="1"/>
  <c r="W327" i="1"/>
  <c r="V327" i="1"/>
  <c r="U327" i="1"/>
  <c r="T327" i="1"/>
  <c r="S327" i="1"/>
  <c r="Q327" i="1"/>
  <c r="P327" i="1"/>
  <c r="R327" i="1" s="1"/>
  <c r="O327" i="1"/>
  <c r="F327" i="1"/>
  <c r="W326" i="1"/>
  <c r="V326" i="1"/>
  <c r="U326" i="1"/>
  <c r="S326" i="1"/>
  <c r="R326" i="1"/>
  <c r="Q326" i="1"/>
  <c r="O326" i="1"/>
  <c r="P326" i="1" s="1"/>
  <c r="T326" i="1" s="1"/>
  <c r="G326" i="1"/>
  <c r="W325" i="1"/>
  <c r="U325" i="1"/>
  <c r="T325" i="1"/>
  <c r="S325" i="1"/>
  <c r="R325" i="1"/>
  <c r="Q325" i="1"/>
  <c r="O325" i="1"/>
  <c r="P325" i="1" s="1"/>
  <c r="V325" i="1" s="1"/>
  <c r="G325" i="1"/>
  <c r="W324" i="1"/>
  <c r="V324" i="1"/>
  <c r="U324" i="1"/>
  <c r="T324" i="1"/>
  <c r="S324" i="1"/>
  <c r="R324" i="1"/>
  <c r="Q324" i="1"/>
  <c r="O324" i="1"/>
  <c r="P324" i="1" s="1"/>
  <c r="G324" i="1"/>
  <c r="W323" i="1"/>
  <c r="V323" i="1"/>
  <c r="T323" i="1"/>
  <c r="S323" i="1"/>
  <c r="R323" i="1"/>
  <c r="Q323" i="1"/>
  <c r="P323" i="1"/>
  <c r="U323" i="1" s="1"/>
  <c r="O323" i="1"/>
  <c r="G323" i="1"/>
  <c r="W322" i="1"/>
  <c r="V322" i="1"/>
  <c r="T322" i="1"/>
  <c r="S322" i="1"/>
  <c r="R322" i="1"/>
  <c r="Q322" i="1"/>
  <c r="O322" i="1"/>
  <c r="P322" i="1" s="1"/>
  <c r="U322" i="1" s="1"/>
  <c r="G322" i="1"/>
  <c r="W321" i="1"/>
  <c r="V321" i="1"/>
  <c r="T321" i="1"/>
  <c r="S321" i="1"/>
  <c r="R321" i="1"/>
  <c r="Q321" i="1"/>
  <c r="O321" i="1"/>
  <c r="P321" i="1" s="1"/>
  <c r="U321" i="1" s="1"/>
  <c r="G321" i="1"/>
  <c r="N320" i="1"/>
  <c r="M320" i="1"/>
  <c r="L320" i="1"/>
  <c r="K320" i="1"/>
  <c r="I320" i="1"/>
  <c r="H320" i="1"/>
  <c r="J320" i="1" s="1"/>
  <c r="O319" i="1"/>
  <c r="F319" i="1"/>
  <c r="P319" i="1" s="1"/>
  <c r="E319" i="1"/>
  <c r="D319" i="1"/>
  <c r="V318" i="1"/>
  <c r="F318" i="1"/>
  <c r="E318" i="1"/>
  <c r="V317" i="1"/>
  <c r="U317" i="1"/>
  <c r="E317" i="1"/>
  <c r="F317" i="1" s="1"/>
  <c r="D317" i="1"/>
  <c r="W317" i="1" s="1"/>
  <c r="T316" i="1"/>
  <c r="Q316" i="1"/>
  <c r="O316" i="1"/>
  <c r="P316" i="1" s="1"/>
  <c r="F316" i="1"/>
  <c r="D316" i="1"/>
  <c r="D318" i="1" s="1"/>
  <c r="W315" i="1"/>
  <c r="V315" i="1"/>
  <c r="U315" i="1"/>
  <c r="T315" i="1"/>
  <c r="R315" i="1"/>
  <c r="Q315" i="1"/>
  <c r="O315" i="1"/>
  <c r="F315" i="1"/>
  <c r="W314" i="1"/>
  <c r="U314" i="1"/>
  <c r="T314" i="1"/>
  <c r="S314" i="1"/>
  <c r="R314" i="1"/>
  <c r="Q314" i="1"/>
  <c r="O314" i="1"/>
  <c r="P314" i="1" s="1"/>
  <c r="V314" i="1" s="1"/>
  <c r="G314" i="1"/>
  <c r="W313" i="1"/>
  <c r="V313" i="1"/>
  <c r="T313" i="1"/>
  <c r="S313" i="1"/>
  <c r="R313" i="1"/>
  <c r="Q313" i="1"/>
  <c r="O313" i="1"/>
  <c r="P313" i="1" s="1"/>
  <c r="U313" i="1" s="1"/>
  <c r="G313" i="1"/>
  <c r="W312" i="1"/>
  <c r="U312" i="1"/>
  <c r="T312" i="1"/>
  <c r="S312" i="1"/>
  <c r="R312" i="1"/>
  <c r="Q312" i="1"/>
  <c r="O312" i="1"/>
  <c r="P312" i="1" s="1"/>
  <c r="V312" i="1" s="1"/>
  <c r="G312" i="1"/>
  <c r="W311" i="1"/>
  <c r="V311" i="1"/>
  <c r="T311" i="1"/>
  <c r="S311" i="1"/>
  <c r="R311" i="1"/>
  <c r="Q311" i="1"/>
  <c r="O311" i="1"/>
  <c r="P311" i="1" s="1"/>
  <c r="U311" i="1" s="1"/>
  <c r="G311" i="1"/>
  <c r="M310" i="1"/>
  <c r="L310" i="1"/>
  <c r="K310" i="1"/>
  <c r="J310" i="1"/>
  <c r="N310" i="1" s="1"/>
  <c r="I310" i="1"/>
  <c r="H310" i="1"/>
  <c r="O309" i="1"/>
  <c r="E309" i="1"/>
  <c r="F309" i="1" s="1"/>
  <c r="D309" i="1"/>
  <c r="E308" i="1"/>
  <c r="F308" i="1" s="1"/>
  <c r="D308" i="1"/>
  <c r="W307" i="1"/>
  <c r="V307" i="1"/>
  <c r="U307" i="1"/>
  <c r="T307" i="1"/>
  <c r="R307" i="1"/>
  <c r="Q307" i="1"/>
  <c r="O307" i="1"/>
  <c r="F307" i="1"/>
  <c r="W306" i="1"/>
  <c r="V306" i="1"/>
  <c r="U306" i="1"/>
  <c r="S306" i="1"/>
  <c r="R306" i="1"/>
  <c r="Q306" i="1"/>
  <c r="O306" i="1"/>
  <c r="P306" i="1" s="1"/>
  <c r="T306" i="1" s="1"/>
  <c r="G306" i="1"/>
  <c r="W305" i="1"/>
  <c r="U305" i="1"/>
  <c r="T305" i="1"/>
  <c r="S305" i="1"/>
  <c r="R305" i="1"/>
  <c r="Q305" i="1"/>
  <c r="O305" i="1"/>
  <c r="P305" i="1" s="1"/>
  <c r="V305" i="1" s="1"/>
  <c r="G305" i="1"/>
  <c r="W304" i="1"/>
  <c r="V304" i="1"/>
  <c r="U304" i="1"/>
  <c r="S304" i="1"/>
  <c r="R304" i="1"/>
  <c r="Q304" i="1"/>
  <c r="O304" i="1"/>
  <c r="P304" i="1" s="1"/>
  <c r="T304" i="1" s="1"/>
  <c r="G304" i="1"/>
  <c r="W303" i="1"/>
  <c r="U303" i="1"/>
  <c r="T303" i="1"/>
  <c r="S303" i="1"/>
  <c r="R303" i="1"/>
  <c r="Q303" i="1"/>
  <c r="O303" i="1"/>
  <c r="P303" i="1" s="1"/>
  <c r="V303" i="1" s="1"/>
  <c r="G303" i="1"/>
  <c r="W302" i="1"/>
  <c r="V302" i="1"/>
  <c r="U302" i="1"/>
  <c r="T302" i="1"/>
  <c r="S302" i="1"/>
  <c r="R302" i="1"/>
  <c r="Q302" i="1"/>
  <c r="O302" i="1"/>
  <c r="P302" i="1" s="1"/>
  <c r="G302" i="1"/>
  <c r="W301" i="1"/>
  <c r="V301" i="1"/>
  <c r="T301" i="1"/>
  <c r="S301" i="1"/>
  <c r="R301" i="1"/>
  <c r="Q301" i="1"/>
  <c r="O301" i="1"/>
  <c r="P301" i="1" s="1"/>
  <c r="U301" i="1" s="1"/>
  <c r="G301" i="1"/>
  <c r="M300" i="1"/>
  <c r="L300" i="1"/>
  <c r="K300" i="1"/>
  <c r="J300" i="1"/>
  <c r="N300" i="1" s="1"/>
  <c r="I300" i="1"/>
  <c r="H300" i="1"/>
  <c r="W299" i="1"/>
  <c r="U299" i="1"/>
  <c r="T299" i="1"/>
  <c r="O299" i="1"/>
  <c r="E299" i="1"/>
  <c r="F299" i="1" s="1"/>
  <c r="D299" i="1"/>
  <c r="S299" i="1" s="1"/>
  <c r="E298" i="1"/>
  <c r="F298" i="1" s="1"/>
  <c r="E297" i="1"/>
  <c r="F297" i="1" s="1"/>
  <c r="D297" i="1"/>
  <c r="F296" i="1"/>
  <c r="D296" i="1"/>
  <c r="W295" i="1"/>
  <c r="V295" i="1"/>
  <c r="U295" i="1"/>
  <c r="T295" i="1"/>
  <c r="S295" i="1"/>
  <c r="Q295" i="1"/>
  <c r="O295" i="1"/>
  <c r="F295" i="1"/>
  <c r="P295" i="1" s="1"/>
  <c r="R295" i="1" s="1"/>
  <c r="W294" i="1"/>
  <c r="U294" i="1"/>
  <c r="T294" i="1"/>
  <c r="S294" i="1"/>
  <c r="R294" i="1"/>
  <c r="Q294" i="1"/>
  <c r="O294" i="1"/>
  <c r="P294" i="1" s="1"/>
  <c r="V294" i="1" s="1"/>
  <c r="G294" i="1"/>
  <c r="W293" i="1"/>
  <c r="V293" i="1"/>
  <c r="U293" i="1"/>
  <c r="T293" i="1"/>
  <c r="S293" i="1"/>
  <c r="R293" i="1"/>
  <c r="Q293" i="1"/>
  <c r="O293" i="1"/>
  <c r="P293" i="1" s="1"/>
  <c r="G293" i="1"/>
  <c r="W292" i="1"/>
  <c r="V292" i="1"/>
  <c r="U292" i="1"/>
  <c r="S292" i="1"/>
  <c r="R292" i="1"/>
  <c r="Q292" i="1"/>
  <c r="P292" i="1"/>
  <c r="T292" i="1" s="1"/>
  <c r="O292" i="1"/>
  <c r="G292" i="1"/>
  <c r="W291" i="1"/>
  <c r="U291" i="1"/>
  <c r="T291" i="1"/>
  <c r="S291" i="1"/>
  <c r="R291" i="1"/>
  <c r="Q291" i="1"/>
  <c r="O291" i="1"/>
  <c r="P291" i="1" s="1"/>
  <c r="V291" i="1" s="1"/>
  <c r="G291" i="1"/>
  <c r="W290" i="1"/>
  <c r="U290" i="1"/>
  <c r="T290" i="1"/>
  <c r="S290" i="1"/>
  <c r="R290" i="1"/>
  <c r="Q290" i="1"/>
  <c r="O290" i="1"/>
  <c r="P290" i="1" s="1"/>
  <c r="V290" i="1" s="1"/>
  <c r="G290" i="1"/>
  <c r="W289" i="1"/>
  <c r="V289" i="1"/>
  <c r="T289" i="1"/>
  <c r="X289" i="1" s="1"/>
  <c r="S289" i="1"/>
  <c r="R289" i="1"/>
  <c r="Q289" i="1"/>
  <c r="P289" i="1"/>
  <c r="U289" i="1" s="1"/>
  <c r="O289" i="1"/>
  <c r="G289" i="1"/>
  <c r="M288" i="1"/>
  <c r="L288" i="1"/>
  <c r="K288" i="1"/>
  <c r="I288" i="1"/>
  <c r="H288" i="1"/>
  <c r="J288" i="1" s="1"/>
  <c r="N288" i="1" s="1"/>
  <c r="W287" i="1"/>
  <c r="S287" i="1"/>
  <c r="R287" i="1"/>
  <c r="O287" i="1"/>
  <c r="P287" i="1" s="1"/>
  <c r="E287" i="1"/>
  <c r="F287" i="1" s="1"/>
  <c r="D287" i="1"/>
  <c r="E286" i="1"/>
  <c r="F286" i="1" s="1"/>
  <c r="D286" i="1"/>
  <c r="T286" i="1" s="1"/>
  <c r="W285" i="1"/>
  <c r="V285" i="1"/>
  <c r="U285" i="1"/>
  <c r="T285" i="1"/>
  <c r="R285" i="1"/>
  <c r="Q285" i="1"/>
  <c r="O285" i="1"/>
  <c r="F285" i="1"/>
  <c r="W284" i="1"/>
  <c r="V284" i="1"/>
  <c r="U284" i="1"/>
  <c r="S284" i="1"/>
  <c r="R284" i="1"/>
  <c r="Q284" i="1"/>
  <c r="P284" i="1"/>
  <c r="T284" i="1" s="1"/>
  <c r="O284" i="1"/>
  <c r="G284" i="1"/>
  <c r="W283" i="1"/>
  <c r="U283" i="1"/>
  <c r="T283" i="1"/>
  <c r="S283" i="1"/>
  <c r="R283" i="1"/>
  <c r="Q283" i="1"/>
  <c r="O283" i="1"/>
  <c r="P283" i="1" s="1"/>
  <c r="V283" i="1" s="1"/>
  <c r="G283" i="1"/>
  <c r="W282" i="1"/>
  <c r="V282" i="1"/>
  <c r="U282" i="1"/>
  <c r="S282" i="1"/>
  <c r="R282" i="1"/>
  <c r="Q282" i="1"/>
  <c r="O282" i="1"/>
  <c r="P282" i="1" s="1"/>
  <c r="T282" i="1" s="1"/>
  <c r="G282" i="1"/>
  <c r="W281" i="1"/>
  <c r="U281" i="1"/>
  <c r="T281" i="1"/>
  <c r="S281" i="1"/>
  <c r="R281" i="1"/>
  <c r="Q281" i="1"/>
  <c r="O281" i="1"/>
  <c r="P281" i="1" s="1"/>
  <c r="V281" i="1" s="1"/>
  <c r="X281" i="1" s="1"/>
  <c r="G281" i="1"/>
  <c r="W280" i="1"/>
  <c r="U280" i="1"/>
  <c r="T280" i="1"/>
  <c r="S280" i="1"/>
  <c r="R280" i="1"/>
  <c r="Q280" i="1"/>
  <c r="O280" i="1"/>
  <c r="P280" i="1" s="1"/>
  <c r="V280" i="1" s="1"/>
  <c r="G280" i="1"/>
  <c r="W279" i="1"/>
  <c r="V279" i="1"/>
  <c r="T279" i="1"/>
  <c r="S279" i="1"/>
  <c r="R279" i="1"/>
  <c r="Q279" i="1"/>
  <c r="O279" i="1"/>
  <c r="P279" i="1" s="1"/>
  <c r="U279" i="1" s="1"/>
  <c r="G279" i="1"/>
  <c r="M278" i="1"/>
  <c r="L278" i="1"/>
  <c r="K278" i="1"/>
  <c r="I278" i="1"/>
  <c r="H278" i="1"/>
  <c r="J278" i="1" s="1"/>
  <c r="N278" i="1" s="1"/>
  <c r="O277" i="1"/>
  <c r="E277" i="1"/>
  <c r="F277" i="1" s="1"/>
  <c r="P277" i="1" s="1"/>
  <c r="D277" i="1"/>
  <c r="E276" i="1"/>
  <c r="F276" i="1" s="1"/>
  <c r="W275" i="1"/>
  <c r="Q275" i="1"/>
  <c r="E275" i="1"/>
  <c r="F275" i="1" s="1"/>
  <c r="D275" i="1"/>
  <c r="F274" i="1"/>
  <c r="D274" i="1"/>
  <c r="W273" i="1"/>
  <c r="V273" i="1"/>
  <c r="U273" i="1"/>
  <c r="T273" i="1"/>
  <c r="S273" i="1"/>
  <c r="R273" i="1"/>
  <c r="Q273" i="1"/>
  <c r="P273" i="1"/>
  <c r="O273" i="1"/>
  <c r="F273" i="1"/>
  <c r="W272" i="1"/>
  <c r="V272" i="1"/>
  <c r="U272" i="1"/>
  <c r="S272" i="1"/>
  <c r="R272" i="1"/>
  <c r="Q272" i="1"/>
  <c r="O272" i="1"/>
  <c r="P272" i="1" s="1"/>
  <c r="T272" i="1" s="1"/>
  <c r="G272" i="1"/>
  <c r="W271" i="1"/>
  <c r="U271" i="1"/>
  <c r="T271" i="1"/>
  <c r="S271" i="1"/>
  <c r="R271" i="1"/>
  <c r="Q271" i="1"/>
  <c r="O271" i="1"/>
  <c r="P271" i="1" s="1"/>
  <c r="V271" i="1" s="1"/>
  <c r="G271" i="1"/>
  <c r="W270" i="1"/>
  <c r="U270" i="1"/>
  <c r="T270" i="1"/>
  <c r="S270" i="1"/>
  <c r="R270" i="1"/>
  <c r="Q270" i="1"/>
  <c r="O270" i="1"/>
  <c r="P270" i="1" s="1"/>
  <c r="V270" i="1" s="1"/>
  <c r="G270" i="1"/>
  <c r="W269" i="1"/>
  <c r="V269" i="1"/>
  <c r="U269" i="1"/>
  <c r="S269" i="1"/>
  <c r="R269" i="1"/>
  <c r="Q269" i="1"/>
  <c r="O269" i="1"/>
  <c r="P269" i="1" s="1"/>
  <c r="T269" i="1" s="1"/>
  <c r="G269" i="1"/>
  <c r="W268" i="1"/>
  <c r="V268" i="1"/>
  <c r="T268" i="1"/>
  <c r="S268" i="1"/>
  <c r="R268" i="1"/>
  <c r="Q268" i="1"/>
  <c r="P268" i="1"/>
  <c r="U268" i="1" s="1"/>
  <c r="O268" i="1"/>
  <c r="G268" i="1"/>
  <c r="M267" i="1"/>
  <c r="L267" i="1"/>
  <c r="K267" i="1"/>
  <c r="I267" i="1"/>
  <c r="H267" i="1"/>
  <c r="J267" i="1" s="1"/>
  <c r="N267" i="1" s="1"/>
  <c r="W266" i="1"/>
  <c r="U266" i="1"/>
  <c r="T266" i="1"/>
  <c r="S266" i="1"/>
  <c r="R266" i="1"/>
  <c r="Q266" i="1"/>
  <c r="O266" i="1"/>
  <c r="F266" i="1"/>
  <c r="E266" i="1"/>
  <c r="D266" i="1"/>
  <c r="E265" i="1"/>
  <c r="F265" i="1" s="1"/>
  <c r="D265" i="1"/>
  <c r="W264" i="1"/>
  <c r="V264" i="1"/>
  <c r="U264" i="1"/>
  <c r="T264" i="1"/>
  <c r="S264" i="1"/>
  <c r="Q264" i="1"/>
  <c r="O264" i="1"/>
  <c r="P264" i="1" s="1"/>
  <c r="R264" i="1" s="1"/>
  <c r="F264" i="1"/>
  <c r="W263" i="1"/>
  <c r="U263" i="1"/>
  <c r="T263" i="1"/>
  <c r="S263" i="1"/>
  <c r="R263" i="1"/>
  <c r="Q263" i="1"/>
  <c r="O263" i="1"/>
  <c r="P263" i="1" s="1"/>
  <c r="V263" i="1" s="1"/>
  <c r="G263" i="1"/>
  <c r="W262" i="1"/>
  <c r="V262" i="1"/>
  <c r="U262" i="1"/>
  <c r="S262" i="1"/>
  <c r="R262" i="1"/>
  <c r="Q262" i="1"/>
  <c r="O262" i="1"/>
  <c r="P262" i="1" s="1"/>
  <c r="T262" i="1" s="1"/>
  <c r="G262" i="1"/>
  <c r="W261" i="1"/>
  <c r="U261" i="1"/>
  <c r="T261" i="1"/>
  <c r="S261" i="1"/>
  <c r="R261" i="1"/>
  <c r="Q261" i="1"/>
  <c r="O261" i="1"/>
  <c r="P261" i="1" s="1"/>
  <c r="V261" i="1" s="1"/>
  <c r="G261" i="1"/>
  <c r="W260" i="1"/>
  <c r="V260" i="1"/>
  <c r="T260" i="1"/>
  <c r="S260" i="1"/>
  <c r="R260" i="1"/>
  <c r="Q260" i="1"/>
  <c r="O260" i="1"/>
  <c r="P260" i="1" s="1"/>
  <c r="U260" i="1" s="1"/>
  <c r="G260" i="1"/>
  <c r="M259" i="1"/>
  <c r="L259" i="1"/>
  <c r="K259" i="1"/>
  <c r="I259" i="1"/>
  <c r="H259" i="1"/>
  <c r="J259" i="1" s="1"/>
  <c r="N259" i="1" s="1"/>
  <c r="T258" i="1"/>
  <c r="O258" i="1"/>
  <c r="E258" i="1"/>
  <c r="F258" i="1" s="1"/>
  <c r="D258" i="1"/>
  <c r="E257" i="1"/>
  <c r="F257" i="1" s="1"/>
  <c r="W256" i="1"/>
  <c r="V256" i="1"/>
  <c r="U256" i="1"/>
  <c r="E256" i="1"/>
  <c r="F256" i="1" s="1"/>
  <c r="D256" i="1"/>
  <c r="W255" i="1"/>
  <c r="O255" i="1"/>
  <c r="F255" i="1"/>
  <c r="D255" i="1"/>
  <c r="V255" i="1" s="1"/>
  <c r="W254" i="1"/>
  <c r="V254" i="1"/>
  <c r="U254" i="1"/>
  <c r="T254" i="1"/>
  <c r="S254" i="1"/>
  <c r="Q254" i="1"/>
  <c r="O254" i="1"/>
  <c r="F254" i="1"/>
  <c r="W253" i="1"/>
  <c r="U253" i="1"/>
  <c r="T253" i="1"/>
  <c r="S253" i="1"/>
  <c r="R253" i="1"/>
  <c r="Q253" i="1"/>
  <c r="P253" i="1"/>
  <c r="V253" i="1" s="1"/>
  <c r="O253" i="1"/>
  <c r="G253" i="1"/>
  <c r="W252" i="1"/>
  <c r="V252" i="1"/>
  <c r="U252" i="1"/>
  <c r="S252" i="1"/>
  <c r="R252" i="1"/>
  <c r="Q252" i="1"/>
  <c r="O252" i="1"/>
  <c r="P252" i="1" s="1"/>
  <c r="T252" i="1" s="1"/>
  <c r="G252" i="1"/>
  <c r="W251" i="1"/>
  <c r="U251" i="1"/>
  <c r="T251" i="1"/>
  <c r="S251" i="1"/>
  <c r="R251" i="1"/>
  <c r="Q251" i="1"/>
  <c r="O251" i="1"/>
  <c r="P251" i="1" s="1"/>
  <c r="V251" i="1" s="1"/>
  <c r="G251" i="1"/>
  <c r="W250" i="1"/>
  <c r="V250" i="1"/>
  <c r="T250" i="1"/>
  <c r="S250" i="1"/>
  <c r="R250" i="1"/>
  <c r="Q250" i="1"/>
  <c r="O250" i="1"/>
  <c r="P250" i="1" s="1"/>
  <c r="U250" i="1" s="1"/>
  <c r="G250" i="1"/>
  <c r="M249" i="1"/>
  <c r="L249" i="1"/>
  <c r="K249" i="1"/>
  <c r="I249" i="1"/>
  <c r="H249" i="1"/>
  <c r="J249" i="1" s="1"/>
  <c r="N249" i="1" s="1"/>
  <c r="U248" i="1"/>
  <c r="T248" i="1"/>
  <c r="S248" i="1"/>
  <c r="R248" i="1"/>
  <c r="Q248" i="1"/>
  <c r="O248" i="1"/>
  <c r="E248" i="1"/>
  <c r="D248" i="1"/>
  <c r="W248" i="1" s="1"/>
  <c r="E247" i="1"/>
  <c r="F247" i="1" s="1"/>
  <c r="E246" i="1"/>
  <c r="F246" i="1" s="1"/>
  <c r="D246" i="1"/>
  <c r="R246" i="1" s="1"/>
  <c r="W245" i="1"/>
  <c r="V245" i="1"/>
  <c r="U245" i="1"/>
  <c r="T245" i="1"/>
  <c r="F245" i="1"/>
  <c r="D245" i="1"/>
  <c r="R245" i="1" s="1"/>
  <c r="W244" i="1"/>
  <c r="V244" i="1"/>
  <c r="U244" i="1"/>
  <c r="T244" i="1"/>
  <c r="S244" i="1"/>
  <c r="X244" i="1" s="1"/>
  <c r="R244" i="1"/>
  <c r="Q244" i="1"/>
  <c r="P244" i="1"/>
  <c r="O244" i="1"/>
  <c r="F244" i="1"/>
  <c r="W243" i="1"/>
  <c r="V243" i="1"/>
  <c r="U243" i="1"/>
  <c r="S243" i="1"/>
  <c r="R243" i="1"/>
  <c r="Q243" i="1"/>
  <c r="P243" i="1"/>
  <c r="T243" i="1" s="1"/>
  <c r="G243" i="1"/>
  <c r="O243" i="1" s="1"/>
  <c r="F248" i="1" s="1"/>
  <c r="W242" i="1"/>
  <c r="U242" i="1"/>
  <c r="T242" i="1"/>
  <c r="S242" i="1"/>
  <c r="R242" i="1"/>
  <c r="Q242" i="1"/>
  <c r="G242" i="1"/>
  <c r="O242" i="1" s="1"/>
  <c r="P242" i="1" s="1"/>
  <c r="V242" i="1" s="1"/>
  <c r="W241" i="1"/>
  <c r="V241" i="1"/>
  <c r="T241" i="1"/>
  <c r="S241" i="1"/>
  <c r="R241" i="1"/>
  <c r="Q241" i="1"/>
  <c r="G241" i="1"/>
  <c r="O241" i="1" s="1"/>
  <c r="P241" i="1" s="1"/>
  <c r="U241" i="1" s="1"/>
  <c r="W240" i="1"/>
  <c r="U240" i="1"/>
  <c r="T240" i="1"/>
  <c r="S240" i="1"/>
  <c r="R240" i="1"/>
  <c r="Q240" i="1"/>
  <c r="G240" i="1"/>
  <c r="O240" i="1" s="1"/>
  <c r="P240" i="1" s="1"/>
  <c r="V240" i="1" s="1"/>
  <c r="W239" i="1"/>
  <c r="V239" i="1"/>
  <c r="T239" i="1"/>
  <c r="S239" i="1"/>
  <c r="R239" i="1"/>
  <c r="Q239" i="1"/>
  <c r="G239" i="1"/>
  <c r="O239" i="1" s="1"/>
  <c r="P239" i="1" s="1"/>
  <c r="U239" i="1" s="1"/>
  <c r="M238" i="1"/>
  <c r="L238" i="1"/>
  <c r="K238" i="1"/>
  <c r="I238" i="1"/>
  <c r="H238" i="1"/>
  <c r="J238" i="1" s="1"/>
  <c r="N238" i="1" s="1"/>
  <c r="U237" i="1"/>
  <c r="O237" i="1"/>
  <c r="E237" i="1"/>
  <c r="F237" i="1" s="1"/>
  <c r="D237" i="1"/>
  <c r="Q237" i="1" s="1"/>
  <c r="E236" i="1"/>
  <c r="F236" i="1" s="1"/>
  <c r="V235" i="1"/>
  <c r="T235" i="1"/>
  <c r="Q235" i="1"/>
  <c r="P235" i="1"/>
  <c r="O235" i="1"/>
  <c r="F235" i="1"/>
  <c r="E235" i="1"/>
  <c r="D235" i="1"/>
  <c r="W235" i="1" s="1"/>
  <c r="F234" i="1"/>
  <c r="D234" i="1"/>
  <c r="W233" i="1"/>
  <c r="V233" i="1"/>
  <c r="U233" i="1"/>
  <c r="T233" i="1"/>
  <c r="R233" i="1"/>
  <c r="Q233" i="1"/>
  <c r="O233" i="1"/>
  <c r="P233" i="1" s="1"/>
  <c r="S233" i="1" s="1"/>
  <c r="F233" i="1"/>
  <c r="W232" i="1"/>
  <c r="U232" i="1"/>
  <c r="T232" i="1"/>
  <c r="S232" i="1"/>
  <c r="R232" i="1"/>
  <c r="Q232" i="1"/>
  <c r="G232" i="1"/>
  <c r="O232" i="1" s="1"/>
  <c r="P232" i="1" s="1"/>
  <c r="V232" i="1" s="1"/>
  <c r="X232" i="1" s="1"/>
  <c r="W231" i="1"/>
  <c r="U231" i="1"/>
  <c r="T231" i="1"/>
  <c r="S231" i="1"/>
  <c r="R231" i="1"/>
  <c r="Q231" i="1"/>
  <c r="G231" i="1"/>
  <c r="O231" i="1" s="1"/>
  <c r="P231" i="1" s="1"/>
  <c r="V231" i="1" s="1"/>
  <c r="X231" i="1" s="1"/>
  <c r="W230" i="1"/>
  <c r="V230" i="1"/>
  <c r="U230" i="1"/>
  <c r="T230" i="1"/>
  <c r="S230" i="1"/>
  <c r="R230" i="1"/>
  <c r="Q230" i="1"/>
  <c r="O230" i="1"/>
  <c r="P230" i="1" s="1"/>
  <c r="G230" i="1"/>
  <c r="W229" i="1"/>
  <c r="V229" i="1"/>
  <c r="U229" i="1"/>
  <c r="T229" i="1"/>
  <c r="S229" i="1"/>
  <c r="R229" i="1"/>
  <c r="Q229" i="1"/>
  <c r="P229" i="1"/>
  <c r="O229" i="1"/>
  <c r="G229" i="1"/>
  <c r="W228" i="1"/>
  <c r="U228" i="1"/>
  <c r="T228" i="1"/>
  <c r="S228" i="1"/>
  <c r="R228" i="1"/>
  <c r="Q228" i="1"/>
  <c r="P228" i="1"/>
  <c r="V228" i="1" s="1"/>
  <c r="O228" i="1"/>
  <c r="G228" i="1"/>
  <c r="M227" i="1"/>
  <c r="L227" i="1"/>
  <c r="K227" i="1"/>
  <c r="I227" i="1"/>
  <c r="H227" i="1"/>
  <c r="J227" i="1" s="1"/>
  <c r="N227" i="1" s="1"/>
  <c r="R226" i="1"/>
  <c r="Q226" i="1"/>
  <c r="O226" i="1"/>
  <c r="E226" i="1"/>
  <c r="F226" i="1" s="1"/>
  <c r="D226" i="1"/>
  <c r="W226" i="1" s="1"/>
  <c r="E225" i="1"/>
  <c r="F225" i="1" s="1"/>
  <c r="V224" i="1"/>
  <c r="U224" i="1"/>
  <c r="T224" i="1"/>
  <c r="R224" i="1"/>
  <c r="Q224" i="1"/>
  <c r="O224" i="1"/>
  <c r="E224" i="1"/>
  <c r="F224" i="1" s="1"/>
  <c r="D224" i="1"/>
  <c r="W224" i="1" s="1"/>
  <c r="Q223" i="1"/>
  <c r="O223" i="1"/>
  <c r="F223" i="1"/>
  <c r="D223" i="1"/>
  <c r="W223" i="1" s="1"/>
  <c r="W222" i="1"/>
  <c r="V222" i="1"/>
  <c r="U222" i="1"/>
  <c r="T222" i="1"/>
  <c r="R222" i="1"/>
  <c r="Q222" i="1"/>
  <c r="O222" i="1"/>
  <c r="F222" i="1"/>
  <c r="W221" i="1"/>
  <c r="V221" i="1"/>
  <c r="T221" i="1"/>
  <c r="S221" i="1"/>
  <c r="R221" i="1"/>
  <c r="Q221" i="1"/>
  <c r="P221" i="1"/>
  <c r="U221" i="1" s="1"/>
  <c r="O221" i="1"/>
  <c r="G221" i="1"/>
  <c r="W220" i="1"/>
  <c r="U220" i="1"/>
  <c r="T220" i="1"/>
  <c r="S220" i="1"/>
  <c r="R220" i="1"/>
  <c r="Q220" i="1"/>
  <c r="O220" i="1"/>
  <c r="P220" i="1" s="1"/>
  <c r="V220" i="1" s="1"/>
  <c r="G220" i="1"/>
  <c r="W219" i="1"/>
  <c r="U219" i="1"/>
  <c r="T219" i="1"/>
  <c r="S219" i="1"/>
  <c r="R219" i="1"/>
  <c r="Q219" i="1"/>
  <c r="O219" i="1"/>
  <c r="P219" i="1" s="1"/>
  <c r="V219" i="1" s="1"/>
  <c r="G219" i="1"/>
  <c r="W218" i="1"/>
  <c r="U218" i="1"/>
  <c r="T218" i="1"/>
  <c r="S218" i="1"/>
  <c r="R218" i="1"/>
  <c r="Q218" i="1"/>
  <c r="O218" i="1"/>
  <c r="P218" i="1" s="1"/>
  <c r="V218" i="1" s="1"/>
  <c r="G218" i="1"/>
  <c r="V217" i="1"/>
  <c r="U217" i="1"/>
  <c r="T217" i="1"/>
  <c r="S217" i="1"/>
  <c r="R217" i="1"/>
  <c r="Q217" i="1"/>
  <c r="O217" i="1"/>
  <c r="P217" i="1" s="1"/>
  <c r="W217" i="1" s="1"/>
  <c r="G217" i="1"/>
  <c r="W216" i="1"/>
  <c r="U216" i="1"/>
  <c r="T216" i="1"/>
  <c r="S216" i="1"/>
  <c r="R216" i="1"/>
  <c r="Q216" i="1"/>
  <c r="O216" i="1"/>
  <c r="P216" i="1" s="1"/>
  <c r="V216" i="1" s="1"/>
  <c r="G216" i="1"/>
  <c r="W215" i="1"/>
  <c r="U215" i="1"/>
  <c r="T215" i="1"/>
  <c r="S215" i="1"/>
  <c r="R215" i="1"/>
  <c r="Q215" i="1"/>
  <c r="O215" i="1"/>
  <c r="P215" i="1" s="1"/>
  <c r="V215" i="1" s="1"/>
  <c r="G215" i="1"/>
  <c r="N214" i="1"/>
  <c r="M214" i="1"/>
  <c r="L214" i="1"/>
  <c r="K214" i="1"/>
  <c r="J214" i="1"/>
  <c r="I214" i="1"/>
  <c r="H214" i="1"/>
  <c r="Q213" i="1"/>
  <c r="O213" i="1"/>
  <c r="F213" i="1"/>
  <c r="E213" i="1"/>
  <c r="D213" i="1"/>
  <c r="W213" i="1" s="1"/>
  <c r="F212" i="1"/>
  <c r="E212" i="1"/>
  <c r="Q211" i="1"/>
  <c r="P211" i="1"/>
  <c r="E211" i="1"/>
  <c r="F211" i="1" s="1"/>
  <c r="D211" i="1"/>
  <c r="O211" i="1" s="1"/>
  <c r="R210" i="1"/>
  <c r="Q210" i="1"/>
  <c r="F210" i="1"/>
  <c r="D210" i="1"/>
  <c r="W209" i="1"/>
  <c r="V209" i="1"/>
  <c r="U209" i="1"/>
  <c r="T209" i="1"/>
  <c r="R209" i="1"/>
  <c r="Q209" i="1"/>
  <c r="O209" i="1"/>
  <c r="F209" i="1"/>
  <c r="W208" i="1"/>
  <c r="V208" i="1"/>
  <c r="T208" i="1"/>
  <c r="S208" i="1"/>
  <c r="R208" i="1"/>
  <c r="Q208" i="1"/>
  <c r="O208" i="1"/>
  <c r="P208" i="1" s="1"/>
  <c r="U208" i="1" s="1"/>
  <c r="X208" i="1" s="1"/>
  <c r="G208" i="1"/>
  <c r="X207" i="1"/>
  <c r="W207" i="1"/>
  <c r="V207" i="1"/>
  <c r="T207" i="1"/>
  <c r="S207" i="1"/>
  <c r="R207" i="1"/>
  <c r="Q207" i="1"/>
  <c r="O207" i="1"/>
  <c r="P207" i="1" s="1"/>
  <c r="U207" i="1" s="1"/>
  <c r="G207" i="1"/>
  <c r="W206" i="1"/>
  <c r="V206" i="1"/>
  <c r="U206" i="1"/>
  <c r="T206" i="1"/>
  <c r="S206" i="1"/>
  <c r="R206" i="1"/>
  <c r="Q206" i="1"/>
  <c r="P206" i="1"/>
  <c r="O206" i="1"/>
  <c r="G206" i="1"/>
  <c r="W205" i="1"/>
  <c r="U205" i="1"/>
  <c r="T205" i="1"/>
  <c r="S205" i="1"/>
  <c r="R205" i="1"/>
  <c r="Q205" i="1"/>
  <c r="O205" i="1"/>
  <c r="P205" i="1" s="1"/>
  <c r="V205" i="1" s="1"/>
  <c r="G205" i="1"/>
  <c r="W204" i="1"/>
  <c r="U204" i="1"/>
  <c r="T204" i="1"/>
  <c r="S204" i="1"/>
  <c r="R204" i="1"/>
  <c r="Q204" i="1"/>
  <c r="O204" i="1"/>
  <c r="P204" i="1" s="1"/>
  <c r="V204" i="1" s="1"/>
  <c r="G204" i="1"/>
  <c r="W203" i="1"/>
  <c r="V203" i="1"/>
  <c r="T203" i="1"/>
  <c r="S203" i="1"/>
  <c r="R203" i="1"/>
  <c r="Q203" i="1"/>
  <c r="O203" i="1"/>
  <c r="P203" i="1" s="1"/>
  <c r="U203" i="1" s="1"/>
  <c r="G203" i="1"/>
  <c r="M202" i="1"/>
  <c r="L202" i="1"/>
  <c r="K202" i="1"/>
  <c r="I202" i="1"/>
  <c r="H202" i="1"/>
  <c r="J202" i="1" s="1"/>
  <c r="N202" i="1" s="1"/>
  <c r="W201" i="1"/>
  <c r="U201" i="1"/>
  <c r="T201" i="1"/>
  <c r="O201" i="1"/>
  <c r="E201" i="1"/>
  <c r="F201" i="1" s="1"/>
  <c r="D201" i="1"/>
  <c r="Q201" i="1" s="1"/>
  <c r="F200" i="1"/>
  <c r="E200" i="1"/>
  <c r="D200" i="1"/>
  <c r="V200" i="1" s="1"/>
  <c r="F199" i="1"/>
  <c r="E199" i="1"/>
  <c r="D199" i="1"/>
  <c r="U198" i="1"/>
  <c r="R198" i="1"/>
  <c r="Q198" i="1"/>
  <c r="O198" i="1"/>
  <c r="F198" i="1"/>
  <c r="D198" i="1"/>
  <c r="W198" i="1" s="1"/>
  <c r="W197" i="1"/>
  <c r="V197" i="1"/>
  <c r="U197" i="1"/>
  <c r="T197" i="1"/>
  <c r="R197" i="1"/>
  <c r="Q197" i="1"/>
  <c r="O197" i="1"/>
  <c r="F197" i="1"/>
  <c r="W196" i="1"/>
  <c r="V196" i="1"/>
  <c r="T196" i="1"/>
  <c r="S196" i="1"/>
  <c r="R196" i="1"/>
  <c r="Q196" i="1"/>
  <c r="G196" i="1"/>
  <c r="O196" i="1" s="1"/>
  <c r="P196" i="1" s="1"/>
  <c r="U196" i="1" s="1"/>
  <c r="X196" i="1" s="1"/>
  <c r="W195" i="1"/>
  <c r="V195" i="1"/>
  <c r="U195" i="1"/>
  <c r="T195" i="1"/>
  <c r="S195" i="1"/>
  <c r="R195" i="1"/>
  <c r="Q195" i="1"/>
  <c r="G195" i="1"/>
  <c r="O195" i="1" s="1"/>
  <c r="P195" i="1" s="1"/>
  <c r="W194" i="1"/>
  <c r="U194" i="1"/>
  <c r="T194" i="1"/>
  <c r="S194" i="1"/>
  <c r="R194" i="1"/>
  <c r="Q194" i="1"/>
  <c r="O194" i="1"/>
  <c r="P194" i="1" s="1"/>
  <c r="V194" i="1" s="1"/>
  <c r="G194" i="1"/>
  <c r="W193" i="1"/>
  <c r="U193" i="1"/>
  <c r="T193" i="1"/>
  <c r="S193" i="1"/>
  <c r="R193" i="1"/>
  <c r="Q193" i="1"/>
  <c r="O193" i="1"/>
  <c r="P193" i="1" s="1"/>
  <c r="V193" i="1" s="1"/>
  <c r="G193" i="1"/>
  <c r="W192" i="1"/>
  <c r="U192" i="1"/>
  <c r="T192" i="1"/>
  <c r="S192" i="1"/>
  <c r="R192" i="1"/>
  <c r="Q192" i="1"/>
  <c r="O192" i="1"/>
  <c r="P192" i="1" s="1"/>
  <c r="V192" i="1" s="1"/>
  <c r="G192" i="1"/>
  <c r="W191" i="1"/>
  <c r="U191" i="1"/>
  <c r="T191" i="1"/>
  <c r="S191" i="1"/>
  <c r="R191" i="1"/>
  <c r="Q191" i="1"/>
  <c r="O191" i="1"/>
  <c r="P191" i="1" s="1"/>
  <c r="V191" i="1" s="1"/>
  <c r="G191" i="1"/>
  <c r="M190" i="1"/>
  <c r="L190" i="1"/>
  <c r="K190" i="1"/>
  <c r="J190" i="1"/>
  <c r="N190" i="1" s="1"/>
  <c r="I190" i="1"/>
  <c r="H190" i="1"/>
  <c r="W189" i="1"/>
  <c r="O189" i="1"/>
  <c r="E189" i="1"/>
  <c r="D189" i="1"/>
  <c r="E188" i="1"/>
  <c r="F188" i="1" s="1"/>
  <c r="T187" i="1"/>
  <c r="E187" i="1"/>
  <c r="F187" i="1" s="1"/>
  <c r="D187" i="1"/>
  <c r="U187" i="1" s="1"/>
  <c r="T186" i="1"/>
  <c r="R186" i="1"/>
  <c r="Q186" i="1"/>
  <c r="O186" i="1"/>
  <c r="F186" i="1"/>
  <c r="D186" i="1"/>
  <c r="W186" i="1" s="1"/>
  <c r="W185" i="1"/>
  <c r="V185" i="1"/>
  <c r="U185" i="1"/>
  <c r="T185" i="1"/>
  <c r="R185" i="1"/>
  <c r="Q185" i="1"/>
  <c r="P185" i="1"/>
  <c r="S185" i="1" s="1"/>
  <c r="O185" i="1"/>
  <c r="F185" i="1"/>
  <c r="W184" i="1"/>
  <c r="U184" i="1"/>
  <c r="T184" i="1"/>
  <c r="S184" i="1"/>
  <c r="R184" i="1"/>
  <c r="Q184" i="1"/>
  <c r="O184" i="1"/>
  <c r="G184" i="1"/>
  <c r="W183" i="1"/>
  <c r="U183" i="1"/>
  <c r="T183" i="1"/>
  <c r="S183" i="1"/>
  <c r="R183" i="1"/>
  <c r="Q183" i="1"/>
  <c r="G183" i="1"/>
  <c r="O183" i="1" s="1"/>
  <c r="P183" i="1" s="1"/>
  <c r="V183" i="1" s="1"/>
  <c r="W182" i="1"/>
  <c r="U182" i="1"/>
  <c r="T182" i="1"/>
  <c r="S182" i="1"/>
  <c r="R182" i="1"/>
  <c r="Q182" i="1"/>
  <c r="O182" i="1"/>
  <c r="P182" i="1" s="1"/>
  <c r="V182" i="1" s="1"/>
  <c r="G182" i="1"/>
  <c r="W181" i="1"/>
  <c r="U181" i="1"/>
  <c r="T181" i="1"/>
  <c r="S181" i="1"/>
  <c r="R181" i="1"/>
  <c r="Q181" i="1"/>
  <c r="O181" i="1"/>
  <c r="P181" i="1" s="1"/>
  <c r="V181" i="1" s="1"/>
  <c r="G181" i="1"/>
  <c r="W180" i="1"/>
  <c r="V180" i="1"/>
  <c r="T180" i="1"/>
  <c r="S180" i="1"/>
  <c r="R180" i="1"/>
  <c r="Q180" i="1"/>
  <c r="G180" i="1"/>
  <c r="O180" i="1" s="1"/>
  <c r="P180" i="1" s="1"/>
  <c r="U180" i="1" s="1"/>
  <c r="W179" i="1"/>
  <c r="V179" i="1"/>
  <c r="T179" i="1"/>
  <c r="S179" i="1"/>
  <c r="R179" i="1"/>
  <c r="Q179" i="1"/>
  <c r="G179" i="1"/>
  <c r="O179" i="1" s="1"/>
  <c r="P179" i="1" s="1"/>
  <c r="U179" i="1" s="1"/>
  <c r="M178" i="1"/>
  <c r="L178" i="1"/>
  <c r="K178" i="1"/>
  <c r="J178" i="1"/>
  <c r="N178" i="1" s="1"/>
  <c r="I178" i="1"/>
  <c r="H178" i="1"/>
  <c r="O177" i="1"/>
  <c r="E177" i="1"/>
  <c r="F177" i="1" s="1"/>
  <c r="D177" i="1"/>
  <c r="F176" i="1"/>
  <c r="E176" i="1"/>
  <c r="E175" i="1"/>
  <c r="F175" i="1" s="1"/>
  <c r="D175" i="1"/>
  <c r="W175" i="1" s="1"/>
  <c r="F174" i="1"/>
  <c r="D174" i="1"/>
  <c r="W173" i="1"/>
  <c r="V173" i="1"/>
  <c r="U173" i="1"/>
  <c r="T173" i="1"/>
  <c r="S173" i="1"/>
  <c r="R173" i="1"/>
  <c r="O173" i="1"/>
  <c r="F173" i="1"/>
  <c r="P173" i="1" s="1"/>
  <c r="Q173" i="1" s="1"/>
  <c r="W172" i="1"/>
  <c r="V172" i="1"/>
  <c r="T172" i="1"/>
  <c r="S172" i="1"/>
  <c r="R172" i="1"/>
  <c r="Q172" i="1"/>
  <c r="O172" i="1"/>
  <c r="P172" i="1" s="1"/>
  <c r="U172" i="1" s="1"/>
  <c r="G172" i="1"/>
  <c r="W171" i="1"/>
  <c r="V171" i="1"/>
  <c r="U171" i="1"/>
  <c r="T171" i="1"/>
  <c r="S171" i="1"/>
  <c r="R171" i="1"/>
  <c r="Q171" i="1"/>
  <c r="P171" i="1"/>
  <c r="O171" i="1"/>
  <c r="G171" i="1"/>
  <c r="W170" i="1"/>
  <c r="V170" i="1"/>
  <c r="U170" i="1"/>
  <c r="S170" i="1"/>
  <c r="R170" i="1"/>
  <c r="Q170" i="1"/>
  <c r="G170" i="1"/>
  <c r="O170" i="1" s="1"/>
  <c r="P170" i="1" s="1"/>
  <c r="T170" i="1" s="1"/>
  <c r="W169" i="1"/>
  <c r="V169" i="1"/>
  <c r="T169" i="1"/>
  <c r="S169" i="1"/>
  <c r="R169" i="1"/>
  <c r="Q169" i="1"/>
  <c r="G169" i="1"/>
  <c r="O169" i="1" s="1"/>
  <c r="P169" i="1" s="1"/>
  <c r="U169" i="1" s="1"/>
  <c r="M168" i="1"/>
  <c r="L168" i="1"/>
  <c r="K168" i="1"/>
  <c r="J168" i="1"/>
  <c r="N168" i="1" s="1"/>
  <c r="I168" i="1"/>
  <c r="H168" i="1"/>
  <c r="Q167" i="1"/>
  <c r="O167" i="1"/>
  <c r="E167" i="1"/>
  <c r="F167" i="1" s="1"/>
  <c r="D167" i="1"/>
  <c r="E166" i="1"/>
  <c r="F166" i="1" s="1"/>
  <c r="V165" i="1"/>
  <c r="O165" i="1"/>
  <c r="E165" i="1"/>
  <c r="F165" i="1" s="1"/>
  <c r="D165" i="1"/>
  <c r="F164" i="1"/>
  <c r="D164" i="1"/>
  <c r="Q164" i="1" s="1"/>
  <c r="W163" i="1"/>
  <c r="V163" i="1"/>
  <c r="U163" i="1"/>
  <c r="T163" i="1"/>
  <c r="S163" i="1"/>
  <c r="Q163" i="1"/>
  <c r="P163" i="1"/>
  <c r="R163" i="1" s="1"/>
  <c r="O163" i="1"/>
  <c r="F163" i="1"/>
  <c r="W162" i="1"/>
  <c r="V162" i="1"/>
  <c r="T162" i="1"/>
  <c r="S162" i="1"/>
  <c r="R162" i="1"/>
  <c r="Q162" i="1"/>
  <c r="O162" i="1"/>
  <c r="P162" i="1" s="1"/>
  <c r="U162" i="1" s="1"/>
  <c r="G162" i="1"/>
  <c r="W161" i="1"/>
  <c r="V161" i="1"/>
  <c r="T161" i="1"/>
  <c r="S161" i="1"/>
  <c r="R161" i="1"/>
  <c r="Q161" i="1"/>
  <c r="G161" i="1"/>
  <c r="O161" i="1" s="1"/>
  <c r="P161" i="1" s="1"/>
  <c r="U161" i="1" s="1"/>
  <c r="X161" i="1" s="1"/>
  <c r="W160" i="1"/>
  <c r="V160" i="1"/>
  <c r="U160" i="1"/>
  <c r="S160" i="1"/>
  <c r="R160" i="1"/>
  <c r="Q160" i="1"/>
  <c r="P160" i="1"/>
  <c r="T160" i="1" s="1"/>
  <c r="O160" i="1"/>
  <c r="G160" i="1"/>
  <c r="W159" i="1"/>
  <c r="U159" i="1"/>
  <c r="T159" i="1"/>
  <c r="S159" i="1"/>
  <c r="R159" i="1"/>
  <c r="Q159" i="1"/>
  <c r="P159" i="1"/>
  <c r="V159" i="1" s="1"/>
  <c r="O159" i="1"/>
  <c r="G159" i="1"/>
  <c r="W158" i="1"/>
  <c r="V158" i="1"/>
  <c r="T158" i="1"/>
  <c r="S158" i="1"/>
  <c r="R158" i="1"/>
  <c r="Q158" i="1"/>
  <c r="O158" i="1"/>
  <c r="P158" i="1" s="1"/>
  <c r="U158" i="1" s="1"/>
  <c r="G158" i="1"/>
  <c r="N157" i="1"/>
  <c r="M157" i="1"/>
  <c r="L157" i="1"/>
  <c r="K157" i="1"/>
  <c r="I157" i="1"/>
  <c r="H157" i="1"/>
  <c r="J157" i="1" s="1"/>
  <c r="S156" i="1"/>
  <c r="R156" i="1"/>
  <c r="O156" i="1"/>
  <c r="E156" i="1"/>
  <c r="F156" i="1" s="1"/>
  <c r="D156" i="1"/>
  <c r="F155" i="1"/>
  <c r="E155" i="1"/>
  <c r="E154" i="1"/>
  <c r="F154" i="1" s="1"/>
  <c r="D154" i="1"/>
  <c r="U154" i="1" s="1"/>
  <c r="U153" i="1"/>
  <c r="F153" i="1"/>
  <c r="D153" i="1"/>
  <c r="W152" i="1"/>
  <c r="V152" i="1"/>
  <c r="U152" i="1"/>
  <c r="T152" i="1"/>
  <c r="R152" i="1"/>
  <c r="Q152" i="1"/>
  <c r="O152" i="1"/>
  <c r="F152" i="1"/>
  <c r="P152" i="1" s="1"/>
  <c r="S152" i="1" s="1"/>
  <c r="X152" i="1" s="1"/>
  <c r="W151" i="1"/>
  <c r="V151" i="1"/>
  <c r="T151" i="1"/>
  <c r="S151" i="1"/>
  <c r="R151" i="1"/>
  <c r="Q151" i="1"/>
  <c r="O151" i="1"/>
  <c r="P151" i="1" s="1"/>
  <c r="U151" i="1" s="1"/>
  <c r="G151" i="1"/>
  <c r="W150" i="1"/>
  <c r="V150" i="1"/>
  <c r="T150" i="1"/>
  <c r="S150" i="1"/>
  <c r="R150" i="1"/>
  <c r="Q150" i="1"/>
  <c r="P150" i="1"/>
  <c r="U150" i="1" s="1"/>
  <c r="G150" i="1"/>
  <c r="O150" i="1" s="1"/>
  <c r="W149" i="1"/>
  <c r="U149" i="1"/>
  <c r="T149" i="1"/>
  <c r="S149" i="1"/>
  <c r="R149" i="1"/>
  <c r="Q149" i="1"/>
  <c r="O149" i="1"/>
  <c r="P149" i="1" s="1"/>
  <c r="V149" i="1" s="1"/>
  <c r="G149" i="1"/>
  <c r="W148" i="1"/>
  <c r="U148" i="1"/>
  <c r="T148" i="1"/>
  <c r="S148" i="1"/>
  <c r="R148" i="1"/>
  <c r="Q148" i="1"/>
  <c r="P148" i="1"/>
  <c r="V148" i="1" s="1"/>
  <c r="O148" i="1"/>
  <c r="G148" i="1"/>
  <c r="W147" i="1"/>
  <c r="V147" i="1"/>
  <c r="T147" i="1"/>
  <c r="S147" i="1"/>
  <c r="R147" i="1"/>
  <c r="Q147" i="1"/>
  <c r="O147" i="1"/>
  <c r="P147" i="1" s="1"/>
  <c r="U147" i="1" s="1"/>
  <c r="G147" i="1"/>
  <c r="M146" i="1"/>
  <c r="L146" i="1"/>
  <c r="K146" i="1"/>
  <c r="I146" i="1"/>
  <c r="H146" i="1"/>
  <c r="J146" i="1" s="1"/>
  <c r="N146" i="1" s="1"/>
  <c r="W145" i="1"/>
  <c r="U145" i="1"/>
  <c r="T145" i="1"/>
  <c r="S145" i="1"/>
  <c r="O145" i="1"/>
  <c r="E145" i="1"/>
  <c r="F145" i="1" s="1"/>
  <c r="D145" i="1"/>
  <c r="F144" i="1"/>
  <c r="E144" i="1"/>
  <c r="V143" i="1"/>
  <c r="E143" i="1"/>
  <c r="F143" i="1" s="1"/>
  <c r="D143" i="1"/>
  <c r="Q142" i="1"/>
  <c r="O142" i="1"/>
  <c r="F142" i="1"/>
  <c r="D142" i="1"/>
  <c r="W141" i="1"/>
  <c r="V141" i="1"/>
  <c r="U141" i="1"/>
  <c r="T141" i="1"/>
  <c r="R141" i="1"/>
  <c r="Q141" i="1"/>
  <c r="O141" i="1"/>
  <c r="F141" i="1"/>
  <c r="P141" i="1" s="1"/>
  <c r="S141" i="1" s="1"/>
  <c r="W140" i="1"/>
  <c r="V140" i="1"/>
  <c r="U140" i="1"/>
  <c r="S140" i="1"/>
  <c r="R140" i="1"/>
  <c r="Q140" i="1"/>
  <c r="O140" i="1"/>
  <c r="P140" i="1" s="1"/>
  <c r="T140" i="1" s="1"/>
  <c r="X140" i="1" s="1"/>
  <c r="G140" i="1"/>
  <c r="W139" i="1"/>
  <c r="V139" i="1"/>
  <c r="T139" i="1"/>
  <c r="S139" i="1"/>
  <c r="R139" i="1"/>
  <c r="Q139" i="1"/>
  <c r="G139" i="1"/>
  <c r="O139" i="1" s="1"/>
  <c r="P139" i="1" s="1"/>
  <c r="U139" i="1" s="1"/>
  <c r="W138" i="1"/>
  <c r="V138" i="1"/>
  <c r="U138" i="1"/>
  <c r="S138" i="1"/>
  <c r="R138" i="1"/>
  <c r="Q138" i="1"/>
  <c r="G138" i="1"/>
  <c r="O138" i="1" s="1"/>
  <c r="P138" i="1" s="1"/>
  <c r="T138" i="1" s="1"/>
  <c r="W137" i="1"/>
  <c r="U137" i="1"/>
  <c r="T137" i="1"/>
  <c r="S137" i="1"/>
  <c r="R137" i="1"/>
  <c r="Q137" i="1"/>
  <c r="O137" i="1"/>
  <c r="P137" i="1" s="1"/>
  <c r="V137" i="1" s="1"/>
  <c r="G137" i="1"/>
  <c r="W136" i="1"/>
  <c r="U136" i="1"/>
  <c r="T136" i="1"/>
  <c r="S136" i="1"/>
  <c r="R136" i="1"/>
  <c r="Q136" i="1"/>
  <c r="O136" i="1"/>
  <c r="P136" i="1" s="1"/>
  <c r="V136" i="1" s="1"/>
  <c r="G136" i="1"/>
  <c r="W135" i="1"/>
  <c r="V135" i="1"/>
  <c r="T135" i="1"/>
  <c r="S135" i="1"/>
  <c r="R135" i="1"/>
  <c r="Q135" i="1"/>
  <c r="O135" i="1"/>
  <c r="P135" i="1" s="1"/>
  <c r="U135" i="1" s="1"/>
  <c r="G135" i="1"/>
  <c r="M134" i="1"/>
  <c r="L134" i="1"/>
  <c r="K134" i="1"/>
  <c r="I134" i="1"/>
  <c r="H134" i="1"/>
  <c r="J134" i="1" s="1"/>
  <c r="N134" i="1" s="1"/>
  <c r="O133" i="1"/>
  <c r="E133" i="1"/>
  <c r="F133" i="1" s="1"/>
  <c r="P133" i="1" s="1"/>
  <c r="D133" i="1"/>
  <c r="W133" i="1" s="1"/>
  <c r="T132" i="1"/>
  <c r="S132" i="1"/>
  <c r="O132" i="1"/>
  <c r="E132" i="1"/>
  <c r="F132" i="1" s="1"/>
  <c r="D132" i="1"/>
  <c r="W132" i="1" s="1"/>
  <c r="E131" i="1"/>
  <c r="F131" i="1" s="1"/>
  <c r="D131" i="1"/>
  <c r="U130" i="1"/>
  <c r="T130" i="1"/>
  <c r="S130" i="1"/>
  <c r="Q130" i="1"/>
  <c r="O130" i="1"/>
  <c r="F130" i="1"/>
  <c r="D130" i="1"/>
  <c r="W130" i="1" s="1"/>
  <c r="W129" i="1"/>
  <c r="V129" i="1"/>
  <c r="U129" i="1"/>
  <c r="T129" i="1"/>
  <c r="S129" i="1"/>
  <c r="Q129" i="1"/>
  <c r="O129" i="1"/>
  <c r="P129" i="1" s="1"/>
  <c r="R129" i="1" s="1"/>
  <c r="F129" i="1"/>
  <c r="W128" i="1"/>
  <c r="U128" i="1"/>
  <c r="T128" i="1"/>
  <c r="S128" i="1"/>
  <c r="R128" i="1"/>
  <c r="Q128" i="1"/>
  <c r="G128" i="1"/>
  <c r="O128" i="1" s="1"/>
  <c r="P128" i="1" s="1"/>
  <c r="V128" i="1" s="1"/>
  <c r="W127" i="1"/>
  <c r="V127" i="1"/>
  <c r="T127" i="1"/>
  <c r="S127" i="1"/>
  <c r="R127" i="1"/>
  <c r="Q127" i="1"/>
  <c r="G127" i="1"/>
  <c r="O127" i="1" s="1"/>
  <c r="P127" i="1" s="1"/>
  <c r="U127" i="1" s="1"/>
  <c r="W126" i="1"/>
  <c r="V126" i="1"/>
  <c r="U126" i="1"/>
  <c r="S126" i="1"/>
  <c r="R126" i="1"/>
  <c r="Q126" i="1"/>
  <c r="O126" i="1"/>
  <c r="P126" i="1" s="1"/>
  <c r="T126" i="1" s="1"/>
  <c r="G126" i="1"/>
  <c r="W125" i="1"/>
  <c r="V125" i="1"/>
  <c r="U125" i="1"/>
  <c r="T125" i="1"/>
  <c r="S125" i="1"/>
  <c r="R125" i="1"/>
  <c r="Q125" i="1"/>
  <c r="O125" i="1"/>
  <c r="P125" i="1" s="1"/>
  <c r="G125" i="1"/>
  <c r="W124" i="1"/>
  <c r="V124" i="1"/>
  <c r="U124" i="1"/>
  <c r="T124" i="1"/>
  <c r="S124" i="1"/>
  <c r="R124" i="1"/>
  <c r="Q124" i="1"/>
  <c r="G124" i="1"/>
  <c r="O124" i="1" s="1"/>
  <c r="P124" i="1" s="1"/>
  <c r="M123" i="1"/>
  <c r="L123" i="1"/>
  <c r="K123" i="1"/>
  <c r="J123" i="1"/>
  <c r="N123" i="1" s="1"/>
  <c r="I123" i="1"/>
  <c r="H123" i="1"/>
  <c r="W122" i="1"/>
  <c r="U122" i="1"/>
  <c r="T122" i="1"/>
  <c r="S122" i="1"/>
  <c r="R122" i="1"/>
  <c r="O122" i="1"/>
  <c r="E122" i="1"/>
  <c r="D122" i="1"/>
  <c r="Q122" i="1" s="1"/>
  <c r="E121" i="1"/>
  <c r="F121" i="1" s="1"/>
  <c r="D121" i="1"/>
  <c r="W120" i="1"/>
  <c r="V120" i="1"/>
  <c r="E120" i="1"/>
  <c r="F120" i="1" s="1"/>
  <c r="D120" i="1"/>
  <c r="V119" i="1"/>
  <c r="O119" i="1"/>
  <c r="F119" i="1"/>
  <c r="D119" i="1"/>
  <c r="W118" i="1"/>
  <c r="V118" i="1"/>
  <c r="U118" i="1"/>
  <c r="T118" i="1"/>
  <c r="S118" i="1"/>
  <c r="Q118" i="1"/>
  <c r="O118" i="1"/>
  <c r="F118" i="1"/>
  <c r="W117" i="1"/>
  <c r="V117" i="1"/>
  <c r="U117" i="1"/>
  <c r="S117" i="1"/>
  <c r="R117" i="1"/>
  <c r="Q117" i="1"/>
  <c r="P117" i="1"/>
  <c r="T117" i="1" s="1"/>
  <c r="O117" i="1"/>
  <c r="G117" i="1"/>
  <c r="W116" i="1"/>
  <c r="V116" i="1"/>
  <c r="T116" i="1"/>
  <c r="S116" i="1"/>
  <c r="R116" i="1"/>
  <c r="Q116" i="1"/>
  <c r="P116" i="1"/>
  <c r="U116" i="1" s="1"/>
  <c r="O116" i="1"/>
  <c r="G116" i="1"/>
  <c r="W115" i="1"/>
  <c r="U115" i="1"/>
  <c r="T115" i="1"/>
  <c r="S115" i="1"/>
  <c r="R115" i="1"/>
  <c r="Q115" i="1"/>
  <c r="O115" i="1"/>
  <c r="P115" i="1" s="1"/>
  <c r="V115" i="1" s="1"/>
  <c r="G115" i="1"/>
  <c r="W114" i="1"/>
  <c r="U114" i="1"/>
  <c r="T114" i="1"/>
  <c r="S114" i="1"/>
  <c r="R114" i="1"/>
  <c r="Q114" i="1"/>
  <c r="O114" i="1"/>
  <c r="P114" i="1" s="1"/>
  <c r="V114" i="1" s="1"/>
  <c r="G114" i="1"/>
  <c r="W113" i="1"/>
  <c r="V113" i="1"/>
  <c r="T113" i="1"/>
  <c r="S113" i="1"/>
  <c r="R113" i="1"/>
  <c r="Q113" i="1"/>
  <c r="G113" i="1"/>
  <c r="O113" i="1" s="1"/>
  <c r="P113" i="1" s="1"/>
  <c r="U113" i="1" s="1"/>
  <c r="M112" i="1"/>
  <c r="L112" i="1"/>
  <c r="K112" i="1"/>
  <c r="I112" i="1"/>
  <c r="H112" i="1"/>
  <c r="J112" i="1" s="1"/>
  <c r="N112" i="1" s="1"/>
  <c r="O111" i="1"/>
  <c r="E111" i="1"/>
  <c r="F111" i="1" s="1"/>
  <c r="D111" i="1"/>
  <c r="W110" i="1"/>
  <c r="V110" i="1"/>
  <c r="U110" i="1"/>
  <c r="T110" i="1"/>
  <c r="R110" i="1"/>
  <c r="Q110" i="1"/>
  <c r="O110" i="1"/>
  <c r="F110" i="1"/>
  <c r="W109" i="1"/>
  <c r="V109" i="1"/>
  <c r="U109" i="1"/>
  <c r="S109" i="1"/>
  <c r="R109" i="1"/>
  <c r="Q109" i="1"/>
  <c r="G109" i="1"/>
  <c r="W108" i="1"/>
  <c r="V108" i="1"/>
  <c r="T108" i="1"/>
  <c r="S108" i="1"/>
  <c r="R108" i="1"/>
  <c r="Q108" i="1"/>
  <c r="G108" i="1"/>
  <c r="W107" i="1"/>
  <c r="V107" i="1"/>
  <c r="U107" i="1"/>
  <c r="T107" i="1"/>
  <c r="S107" i="1"/>
  <c r="R107" i="1"/>
  <c r="Q107" i="1"/>
  <c r="O107" i="1"/>
  <c r="P107" i="1" s="1"/>
  <c r="G107" i="1"/>
  <c r="W106" i="1"/>
  <c r="V106" i="1"/>
  <c r="U106" i="1"/>
  <c r="T106" i="1"/>
  <c r="S106" i="1"/>
  <c r="R106" i="1"/>
  <c r="Q106" i="1"/>
  <c r="P106" i="1"/>
  <c r="O106" i="1"/>
  <c r="G106" i="1"/>
  <c r="W105" i="1"/>
  <c r="V105" i="1"/>
  <c r="T105" i="1"/>
  <c r="S105" i="1"/>
  <c r="R105" i="1"/>
  <c r="Q105" i="1"/>
  <c r="G105" i="1"/>
  <c r="N104" i="1"/>
  <c r="L104" i="1"/>
  <c r="K104" i="1"/>
  <c r="I104" i="1"/>
  <c r="H104" i="1"/>
  <c r="J104" i="1" s="1"/>
  <c r="M104" i="1" s="1"/>
  <c r="O103" i="1"/>
  <c r="E103" i="1"/>
  <c r="F103" i="1" s="1"/>
  <c r="D103" i="1"/>
  <c r="W103" i="1" s="1"/>
  <c r="U102" i="1"/>
  <c r="T102" i="1"/>
  <c r="R102" i="1"/>
  <c r="Q102" i="1"/>
  <c r="O102" i="1"/>
  <c r="E102" i="1"/>
  <c r="F102" i="1" s="1"/>
  <c r="D102" i="1"/>
  <c r="W101" i="1"/>
  <c r="V101" i="1"/>
  <c r="U101" i="1"/>
  <c r="T101" i="1"/>
  <c r="R101" i="1"/>
  <c r="Q101" i="1"/>
  <c r="O101" i="1"/>
  <c r="P101" i="1" s="1"/>
  <c r="S101" i="1" s="1"/>
  <c r="F101" i="1"/>
  <c r="W100" i="1"/>
  <c r="V100" i="1"/>
  <c r="U100" i="1"/>
  <c r="T100" i="1"/>
  <c r="R100" i="1"/>
  <c r="Q100" i="1"/>
  <c r="O100" i="1"/>
  <c r="P100" i="1" s="1"/>
  <c r="S100" i="1" s="1"/>
  <c r="G100" i="1"/>
  <c r="W99" i="1"/>
  <c r="V99" i="1"/>
  <c r="U99" i="1"/>
  <c r="S99" i="1"/>
  <c r="R99" i="1"/>
  <c r="Q99" i="1"/>
  <c r="G99" i="1"/>
  <c r="W98" i="1"/>
  <c r="V98" i="1"/>
  <c r="U98" i="1"/>
  <c r="S98" i="1"/>
  <c r="R98" i="1"/>
  <c r="Q98" i="1"/>
  <c r="G98" i="1"/>
  <c r="W97" i="1"/>
  <c r="U97" i="1"/>
  <c r="T97" i="1"/>
  <c r="S97" i="1"/>
  <c r="R97" i="1"/>
  <c r="Q97" i="1"/>
  <c r="O97" i="1"/>
  <c r="P97" i="1" s="1"/>
  <c r="V97" i="1" s="1"/>
  <c r="G97" i="1"/>
  <c r="W96" i="1"/>
  <c r="V96" i="1"/>
  <c r="T96" i="1"/>
  <c r="S96" i="1"/>
  <c r="R96" i="1"/>
  <c r="Q96" i="1"/>
  <c r="O96" i="1"/>
  <c r="P96" i="1" s="1"/>
  <c r="U96" i="1" s="1"/>
  <c r="X96" i="1" s="1"/>
  <c r="G96" i="1"/>
  <c r="W95" i="1"/>
  <c r="V95" i="1"/>
  <c r="T95" i="1"/>
  <c r="S95" i="1"/>
  <c r="R95" i="1"/>
  <c r="Q95" i="1"/>
  <c r="G95" i="1"/>
  <c r="M94" i="1"/>
  <c r="L94" i="1"/>
  <c r="K94" i="1"/>
  <c r="J94" i="1"/>
  <c r="N94" i="1" s="1"/>
  <c r="I94" i="1"/>
  <c r="H94" i="1"/>
  <c r="S93" i="1"/>
  <c r="O93" i="1"/>
  <c r="E93" i="1"/>
  <c r="F93" i="1" s="1"/>
  <c r="P93" i="1" s="1"/>
  <c r="V93" i="1" s="1"/>
  <c r="D93" i="1"/>
  <c r="F92" i="1"/>
  <c r="E92" i="1"/>
  <c r="T91" i="1"/>
  <c r="E91" i="1"/>
  <c r="F91" i="1" s="1"/>
  <c r="D91" i="1"/>
  <c r="F90" i="1"/>
  <c r="D90" i="1"/>
  <c r="W89" i="1"/>
  <c r="V89" i="1"/>
  <c r="U89" i="1"/>
  <c r="T89" i="1"/>
  <c r="S89" i="1"/>
  <c r="Q89" i="1"/>
  <c r="P89" i="1"/>
  <c r="R89" i="1" s="1"/>
  <c r="O89" i="1"/>
  <c r="F89" i="1"/>
  <c r="W88" i="1"/>
  <c r="V88" i="1"/>
  <c r="U88" i="1"/>
  <c r="T88" i="1"/>
  <c r="R88" i="1"/>
  <c r="Q88" i="1"/>
  <c r="O88" i="1"/>
  <c r="P88" i="1" s="1"/>
  <c r="S88" i="1" s="1"/>
  <c r="G88" i="1"/>
  <c r="W87" i="1"/>
  <c r="V87" i="1"/>
  <c r="U87" i="1"/>
  <c r="S87" i="1"/>
  <c r="R87" i="1"/>
  <c r="Q87" i="1"/>
  <c r="O87" i="1"/>
  <c r="P87" i="1" s="1"/>
  <c r="T87" i="1" s="1"/>
  <c r="G87" i="1"/>
  <c r="W86" i="1"/>
  <c r="V86" i="1"/>
  <c r="T86" i="1"/>
  <c r="S86" i="1"/>
  <c r="R86" i="1"/>
  <c r="Q86" i="1"/>
  <c r="O86" i="1"/>
  <c r="P86" i="1" s="1"/>
  <c r="U86" i="1" s="1"/>
  <c r="G86" i="1"/>
  <c r="W85" i="1"/>
  <c r="V85" i="1"/>
  <c r="U85" i="1"/>
  <c r="S85" i="1"/>
  <c r="R85" i="1"/>
  <c r="Q85" i="1"/>
  <c r="O85" i="1"/>
  <c r="P85" i="1" s="1"/>
  <c r="T85" i="1" s="1"/>
  <c r="G85" i="1"/>
  <c r="O109" i="1" s="1"/>
  <c r="P109" i="1" s="1"/>
  <c r="T109" i="1" s="1"/>
  <c r="W84" i="1"/>
  <c r="V84" i="1"/>
  <c r="T84" i="1"/>
  <c r="S84" i="1"/>
  <c r="R84" i="1"/>
  <c r="Q84" i="1"/>
  <c r="X84" i="1" s="1"/>
  <c r="O84" i="1"/>
  <c r="P84" i="1" s="1"/>
  <c r="U84" i="1" s="1"/>
  <c r="G84" i="1"/>
  <c r="N83" i="1"/>
  <c r="M83" i="1"/>
  <c r="L83" i="1"/>
  <c r="K83" i="1"/>
  <c r="I83" i="1"/>
  <c r="H83" i="1"/>
  <c r="J83" i="1" s="1"/>
  <c r="O82" i="1"/>
  <c r="E82" i="1"/>
  <c r="F82" i="1" s="1"/>
  <c r="D82" i="1"/>
  <c r="R82" i="1" s="1"/>
  <c r="E81" i="1"/>
  <c r="F81" i="1" s="1"/>
  <c r="E80" i="1"/>
  <c r="F80" i="1" s="1"/>
  <c r="D80" i="1"/>
  <c r="W79" i="1"/>
  <c r="F79" i="1"/>
  <c r="D79" i="1"/>
  <c r="W78" i="1"/>
  <c r="V78" i="1"/>
  <c r="U78" i="1"/>
  <c r="T78" i="1"/>
  <c r="S78" i="1"/>
  <c r="Q78" i="1"/>
  <c r="O78" i="1"/>
  <c r="F78" i="1"/>
  <c r="W77" i="1"/>
  <c r="V77" i="1"/>
  <c r="U77" i="1"/>
  <c r="T77" i="1"/>
  <c r="R77" i="1"/>
  <c r="Q77" i="1"/>
  <c r="G77" i="1"/>
  <c r="O77" i="1" s="1"/>
  <c r="P77" i="1" s="1"/>
  <c r="S77" i="1" s="1"/>
  <c r="X77" i="1" s="1"/>
  <c r="W76" i="1"/>
  <c r="V76" i="1"/>
  <c r="U76" i="1"/>
  <c r="T76" i="1"/>
  <c r="S76" i="1"/>
  <c r="R76" i="1"/>
  <c r="Q76" i="1"/>
  <c r="O76" i="1"/>
  <c r="P76" i="1" s="1"/>
  <c r="G76" i="1"/>
  <c r="W75" i="1"/>
  <c r="V75" i="1"/>
  <c r="U75" i="1"/>
  <c r="S75" i="1"/>
  <c r="R75" i="1"/>
  <c r="Q75" i="1"/>
  <c r="O75" i="1"/>
  <c r="P75" i="1" s="1"/>
  <c r="T75" i="1" s="1"/>
  <c r="G75" i="1"/>
  <c r="W74" i="1"/>
  <c r="V74" i="1"/>
  <c r="T74" i="1"/>
  <c r="S74" i="1"/>
  <c r="R74" i="1"/>
  <c r="Q74" i="1"/>
  <c r="G74" i="1"/>
  <c r="O95" i="1" s="1"/>
  <c r="P95" i="1" s="1"/>
  <c r="U95" i="1" s="1"/>
  <c r="M73" i="1"/>
  <c r="L73" i="1"/>
  <c r="K73" i="1"/>
  <c r="I73" i="1"/>
  <c r="H73" i="1"/>
  <c r="J73" i="1" s="1"/>
  <c r="N73" i="1" s="1"/>
  <c r="P72" i="1"/>
  <c r="V72" i="1" s="1"/>
  <c r="O72" i="1"/>
  <c r="E72" i="1"/>
  <c r="F72" i="1" s="1"/>
  <c r="D72" i="1"/>
  <c r="W71" i="1"/>
  <c r="V71" i="1"/>
  <c r="U71" i="1"/>
  <c r="T71" i="1"/>
  <c r="E71" i="1"/>
  <c r="F71" i="1" s="1"/>
  <c r="D71" i="1"/>
  <c r="W70" i="1"/>
  <c r="V70" i="1"/>
  <c r="U70" i="1"/>
  <c r="T70" i="1"/>
  <c r="R70" i="1"/>
  <c r="Q70" i="1"/>
  <c r="P70" i="1"/>
  <c r="S70" i="1" s="1"/>
  <c r="O70" i="1"/>
  <c r="F70" i="1"/>
  <c r="W69" i="1"/>
  <c r="V69" i="1"/>
  <c r="T69" i="1"/>
  <c r="S69" i="1"/>
  <c r="R69" i="1"/>
  <c r="Q69" i="1"/>
  <c r="G69" i="1"/>
  <c r="O69" i="1" s="1"/>
  <c r="P69" i="1" s="1"/>
  <c r="U69" i="1" s="1"/>
  <c r="W68" i="1"/>
  <c r="V68" i="1"/>
  <c r="T68" i="1"/>
  <c r="S68" i="1"/>
  <c r="R68" i="1"/>
  <c r="Q68" i="1"/>
  <c r="O68" i="1"/>
  <c r="P68" i="1" s="1"/>
  <c r="U68" i="1" s="1"/>
  <c r="G68" i="1"/>
  <c r="W67" i="1"/>
  <c r="V67" i="1"/>
  <c r="T67" i="1"/>
  <c r="S67" i="1"/>
  <c r="R67" i="1"/>
  <c r="Q67" i="1"/>
  <c r="G67" i="1"/>
  <c r="O67" i="1" s="1"/>
  <c r="P67" i="1" s="1"/>
  <c r="U67" i="1" s="1"/>
  <c r="W66" i="1"/>
  <c r="U66" i="1"/>
  <c r="T66" i="1"/>
  <c r="S66" i="1"/>
  <c r="R66" i="1"/>
  <c r="Q66" i="1"/>
  <c r="G66" i="1"/>
  <c r="O66" i="1" s="1"/>
  <c r="P66" i="1" s="1"/>
  <c r="V66" i="1" s="1"/>
  <c r="M65" i="1"/>
  <c r="L65" i="1"/>
  <c r="K65" i="1"/>
  <c r="I65" i="1"/>
  <c r="H65" i="1"/>
  <c r="J65" i="1" s="1"/>
  <c r="N65" i="1" s="1"/>
  <c r="W64" i="1"/>
  <c r="U64" i="1"/>
  <c r="T64" i="1"/>
  <c r="S64" i="1"/>
  <c r="R64" i="1"/>
  <c r="O64" i="1"/>
  <c r="E64" i="1"/>
  <c r="F64" i="1" s="1"/>
  <c r="D64" i="1"/>
  <c r="Q64" i="1" s="1"/>
  <c r="E63" i="1"/>
  <c r="F63" i="1" s="1"/>
  <c r="D63" i="1"/>
  <c r="U63" i="1" s="1"/>
  <c r="W62" i="1"/>
  <c r="V62" i="1"/>
  <c r="U62" i="1"/>
  <c r="T62" i="1"/>
  <c r="S62" i="1"/>
  <c r="Q62" i="1"/>
  <c r="O62" i="1"/>
  <c r="F62" i="1"/>
  <c r="W61" i="1"/>
  <c r="V61" i="1"/>
  <c r="T61" i="1"/>
  <c r="S61" i="1"/>
  <c r="R61" i="1"/>
  <c r="Q61" i="1"/>
  <c r="P61" i="1"/>
  <c r="U61" i="1" s="1"/>
  <c r="O61" i="1"/>
  <c r="G61" i="1"/>
  <c r="W60" i="1"/>
  <c r="V60" i="1"/>
  <c r="T60" i="1"/>
  <c r="S60" i="1"/>
  <c r="R60" i="1"/>
  <c r="Q60" i="1"/>
  <c r="O60" i="1"/>
  <c r="P60" i="1" s="1"/>
  <c r="U60" i="1" s="1"/>
  <c r="G60" i="1"/>
  <c r="W59" i="1"/>
  <c r="V59" i="1"/>
  <c r="U59" i="1"/>
  <c r="T59" i="1"/>
  <c r="S59" i="1"/>
  <c r="R59" i="1"/>
  <c r="Q59" i="1"/>
  <c r="P59" i="1"/>
  <c r="O59" i="1"/>
  <c r="G59" i="1"/>
  <c r="W58" i="1"/>
  <c r="U58" i="1"/>
  <c r="T58" i="1"/>
  <c r="S58" i="1"/>
  <c r="R58" i="1"/>
  <c r="Q58" i="1"/>
  <c r="O58" i="1"/>
  <c r="P58" i="1" s="1"/>
  <c r="V58" i="1" s="1"/>
  <c r="X58" i="1" s="1"/>
  <c r="G58" i="1"/>
  <c r="M57" i="1"/>
  <c r="L57" i="1"/>
  <c r="K57" i="1"/>
  <c r="I57" i="1"/>
  <c r="H57" i="1"/>
  <c r="J57" i="1" s="1"/>
  <c r="N57" i="1" s="1"/>
  <c r="T56" i="1"/>
  <c r="S56" i="1"/>
  <c r="R56" i="1"/>
  <c r="O56" i="1"/>
  <c r="F56" i="1"/>
  <c r="E56" i="1"/>
  <c r="D56" i="1"/>
  <c r="W56" i="1" s="1"/>
  <c r="O55" i="1"/>
  <c r="P55" i="1" s="1"/>
  <c r="F55" i="1"/>
  <c r="E55" i="1"/>
  <c r="D55" i="1"/>
  <c r="W54" i="1"/>
  <c r="V54" i="1"/>
  <c r="U54" i="1"/>
  <c r="T54" i="1"/>
  <c r="S54" i="1"/>
  <c r="Q54" i="1"/>
  <c r="O54" i="1"/>
  <c r="P54" i="1" s="1"/>
  <c r="R54" i="1" s="1"/>
  <c r="F54" i="1"/>
  <c r="W53" i="1"/>
  <c r="V53" i="1"/>
  <c r="T53" i="1"/>
  <c r="S53" i="1"/>
  <c r="R53" i="1"/>
  <c r="Q53" i="1"/>
  <c r="O53" i="1"/>
  <c r="P53" i="1" s="1"/>
  <c r="U53" i="1" s="1"/>
  <c r="G53" i="1"/>
  <c r="W52" i="1"/>
  <c r="V52" i="1"/>
  <c r="T52" i="1"/>
  <c r="S52" i="1"/>
  <c r="R52" i="1"/>
  <c r="X52" i="1" s="1"/>
  <c r="Q52" i="1"/>
  <c r="P52" i="1"/>
  <c r="U52" i="1" s="1"/>
  <c r="O52" i="1"/>
  <c r="G52" i="1"/>
  <c r="W51" i="1"/>
  <c r="V51" i="1"/>
  <c r="T51" i="1"/>
  <c r="S51" i="1"/>
  <c r="R51" i="1"/>
  <c r="Q51" i="1"/>
  <c r="G51" i="1"/>
  <c r="O51" i="1" s="1"/>
  <c r="P51" i="1" s="1"/>
  <c r="U51" i="1" s="1"/>
  <c r="W50" i="1"/>
  <c r="U50" i="1"/>
  <c r="T50" i="1"/>
  <c r="X50" i="1" s="1"/>
  <c r="S50" i="1"/>
  <c r="R50" i="1"/>
  <c r="Q50" i="1"/>
  <c r="O50" i="1"/>
  <c r="P50" i="1" s="1"/>
  <c r="V50" i="1" s="1"/>
  <c r="G50" i="1"/>
  <c r="M49" i="1"/>
  <c r="L49" i="1"/>
  <c r="K49" i="1"/>
  <c r="I49" i="1"/>
  <c r="H49" i="1"/>
  <c r="J49" i="1" s="1"/>
  <c r="N49" i="1" s="1"/>
  <c r="O48" i="1"/>
  <c r="P48" i="1" s="1"/>
  <c r="E48" i="1"/>
  <c r="F48" i="1" s="1"/>
  <c r="D48" i="1"/>
  <c r="E47" i="1"/>
  <c r="F47" i="1" s="1"/>
  <c r="D47" i="1"/>
  <c r="U47" i="1" s="1"/>
  <c r="W46" i="1"/>
  <c r="V46" i="1"/>
  <c r="U46" i="1"/>
  <c r="T46" i="1"/>
  <c r="S46" i="1"/>
  <c r="Q46" i="1"/>
  <c r="O46" i="1"/>
  <c r="F46" i="1"/>
  <c r="W45" i="1"/>
  <c r="V45" i="1"/>
  <c r="U45" i="1"/>
  <c r="T45" i="1"/>
  <c r="S45" i="1"/>
  <c r="X45" i="1" s="1"/>
  <c r="R45" i="1"/>
  <c r="Q45" i="1"/>
  <c r="P45" i="1"/>
  <c r="O45" i="1"/>
  <c r="G45" i="1"/>
  <c r="W44" i="1"/>
  <c r="V44" i="1"/>
  <c r="U44" i="1"/>
  <c r="T44" i="1"/>
  <c r="S44" i="1"/>
  <c r="R44" i="1"/>
  <c r="Q44" i="1"/>
  <c r="O44" i="1"/>
  <c r="P44" i="1" s="1"/>
  <c r="G44" i="1"/>
  <c r="W43" i="1"/>
  <c r="V43" i="1"/>
  <c r="T43" i="1"/>
  <c r="S43" i="1"/>
  <c r="R43" i="1"/>
  <c r="Q43" i="1"/>
  <c r="G43" i="1"/>
  <c r="O43" i="1" s="1"/>
  <c r="P43" i="1" s="1"/>
  <c r="U43" i="1" s="1"/>
  <c r="X43" i="1" s="1"/>
  <c r="W42" i="1"/>
  <c r="U42" i="1"/>
  <c r="T42" i="1"/>
  <c r="S42" i="1"/>
  <c r="R42" i="1"/>
  <c r="Q42" i="1"/>
  <c r="O42" i="1"/>
  <c r="P42" i="1" s="1"/>
  <c r="V42" i="1" s="1"/>
  <c r="G42" i="1"/>
  <c r="M41" i="1"/>
  <c r="L41" i="1"/>
  <c r="K41" i="1"/>
  <c r="J41" i="1"/>
  <c r="N41" i="1" s="1"/>
  <c r="I41" i="1"/>
  <c r="H41" i="1"/>
  <c r="O40" i="1"/>
  <c r="E40" i="1"/>
  <c r="F40" i="1" s="1"/>
  <c r="D40" i="1"/>
  <c r="E39" i="1"/>
  <c r="F39" i="1" s="1"/>
  <c r="D39" i="1"/>
  <c r="W38" i="1"/>
  <c r="V38" i="1"/>
  <c r="U38" i="1"/>
  <c r="T38" i="1"/>
  <c r="S38" i="1"/>
  <c r="Q38" i="1"/>
  <c r="O38" i="1"/>
  <c r="P38" i="1" s="1"/>
  <c r="R38" i="1" s="1"/>
  <c r="F38" i="1"/>
  <c r="W37" i="1"/>
  <c r="V37" i="1"/>
  <c r="T37" i="1"/>
  <c r="S37" i="1"/>
  <c r="R37" i="1"/>
  <c r="Q37" i="1"/>
  <c r="P37" i="1"/>
  <c r="U37" i="1" s="1"/>
  <c r="O37" i="1"/>
  <c r="G37" i="1"/>
  <c r="W36" i="1"/>
  <c r="V36" i="1"/>
  <c r="T36" i="1"/>
  <c r="S36" i="1"/>
  <c r="R36" i="1"/>
  <c r="Q36" i="1"/>
  <c r="O36" i="1"/>
  <c r="P36" i="1" s="1"/>
  <c r="U36" i="1" s="1"/>
  <c r="G36" i="1"/>
  <c r="W35" i="1"/>
  <c r="V35" i="1"/>
  <c r="T35" i="1"/>
  <c r="S35" i="1"/>
  <c r="R35" i="1"/>
  <c r="Q35" i="1"/>
  <c r="G35" i="1"/>
  <c r="O35" i="1" s="1"/>
  <c r="P35" i="1" s="1"/>
  <c r="U35" i="1" s="1"/>
  <c r="W34" i="1"/>
  <c r="V34" i="1"/>
  <c r="U34" i="1"/>
  <c r="T34" i="1"/>
  <c r="S34" i="1"/>
  <c r="R34" i="1"/>
  <c r="Q34" i="1"/>
  <c r="O34" i="1"/>
  <c r="P34" i="1" s="1"/>
  <c r="G34" i="1"/>
  <c r="M33" i="1"/>
  <c r="L33" i="1"/>
  <c r="K33" i="1"/>
  <c r="J33" i="1"/>
  <c r="N33" i="1" s="1"/>
  <c r="I33" i="1"/>
  <c r="H33" i="1"/>
  <c r="O32" i="1"/>
  <c r="E32" i="1"/>
  <c r="F32" i="1" s="1"/>
  <c r="D32" i="1"/>
  <c r="E31" i="1"/>
  <c r="F31" i="1" s="1"/>
  <c r="D31" i="1"/>
  <c r="E30" i="1"/>
  <c r="F30" i="1" s="1"/>
  <c r="D30" i="1"/>
  <c r="F29" i="1"/>
  <c r="D29" i="1"/>
  <c r="W28" i="1"/>
  <c r="V28" i="1"/>
  <c r="U28" i="1"/>
  <c r="T28" i="1"/>
  <c r="S28" i="1"/>
  <c r="Q28" i="1"/>
  <c r="O28" i="1"/>
  <c r="F28" i="1"/>
  <c r="W27" i="1"/>
  <c r="U27" i="1"/>
  <c r="T27" i="1"/>
  <c r="S27" i="1"/>
  <c r="R27" i="1"/>
  <c r="Q27" i="1"/>
  <c r="O27" i="1"/>
  <c r="P27" i="1" s="1"/>
  <c r="V27" i="1" s="1"/>
  <c r="G27" i="1"/>
  <c r="W26" i="1"/>
  <c r="V26" i="1"/>
  <c r="T26" i="1"/>
  <c r="S26" i="1"/>
  <c r="R26" i="1"/>
  <c r="Q26" i="1"/>
  <c r="P26" i="1"/>
  <c r="U26" i="1" s="1"/>
  <c r="O26" i="1"/>
  <c r="G26" i="1"/>
  <c r="W25" i="1"/>
  <c r="U25" i="1"/>
  <c r="T25" i="1"/>
  <c r="S25" i="1"/>
  <c r="R25" i="1"/>
  <c r="Q25" i="1"/>
  <c r="G25" i="1"/>
  <c r="O25" i="1" s="1"/>
  <c r="P25" i="1" s="1"/>
  <c r="V25" i="1" s="1"/>
  <c r="W24" i="1"/>
  <c r="V24" i="1"/>
  <c r="U24" i="1"/>
  <c r="T24" i="1"/>
  <c r="S24" i="1"/>
  <c r="R24" i="1"/>
  <c r="Q24" i="1"/>
  <c r="P24" i="1"/>
  <c r="O24" i="1"/>
  <c r="G24" i="1"/>
  <c r="M23" i="1"/>
  <c r="L23" i="1"/>
  <c r="K23" i="1"/>
  <c r="I23" i="1"/>
  <c r="H23" i="1"/>
  <c r="J23" i="1" s="1"/>
  <c r="N23" i="1" s="1"/>
  <c r="O22" i="1"/>
  <c r="E22" i="1"/>
  <c r="F22" i="1" s="1"/>
  <c r="D22" i="1"/>
  <c r="E21" i="1"/>
  <c r="F21" i="1" s="1"/>
  <c r="D21" i="1"/>
  <c r="W20" i="1"/>
  <c r="V20" i="1"/>
  <c r="U20" i="1"/>
  <c r="T20" i="1"/>
  <c r="S20" i="1"/>
  <c r="Q20" i="1"/>
  <c r="O20" i="1"/>
  <c r="F20" i="1"/>
  <c r="W19" i="1"/>
  <c r="U19" i="1"/>
  <c r="T19" i="1"/>
  <c r="S19" i="1"/>
  <c r="R19" i="1"/>
  <c r="Q19" i="1"/>
  <c r="G19" i="1"/>
  <c r="O19" i="1" s="1"/>
  <c r="P19" i="1" s="1"/>
  <c r="V19" i="1" s="1"/>
  <c r="W18" i="1"/>
  <c r="V18" i="1"/>
  <c r="T18" i="1"/>
  <c r="S18" i="1"/>
  <c r="R18" i="1"/>
  <c r="Q18" i="1"/>
  <c r="O18" i="1"/>
  <c r="P18" i="1" s="1"/>
  <c r="U18" i="1" s="1"/>
  <c r="G18" i="1"/>
  <c r="W17" i="1"/>
  <c r="U17" i="1"/>
  <c r="T17" i="1"/>
  <c r="S17" i="1"/>
  <c r="R17" i="1"/>
  <c r="Q17" i="1"/>
  <c r="G17" i="1"/>
  <c r="O17" i="1" s="1"/>
  <c r="P17" i="1" s="1"/>
  <c r="V17" i="1" s="1"/>
  <c r="W16" i="1"/>
  <c r="U16" i="1"/>
  <c r="T16" i="1"/>
  <c r="S16" i="1"/>
  <c r="R16" i="1"/>
  <c r="Q16" i="1"/>
  <c r="P16" i="1"/>
  <c r="V16" i="1" s="1"/>
  <c r="O16" i="1"/>
  <c r="G16" i="1"/>
  <c r="N15" i="1"/>
  <c r="M15" i="1"/>
  <c r="L15" i="1"/>
  <c r="K15" i="1"/>
  <c r="I15" i="1"/>
  <c r="H15" i="1"/>
  <c r="J15" i="1" s="1"/>
  <c r="A15" i="1"/>
  <c r="A23" i="1" s="1"/>
  <c r="A33" i="1" s="1"/>
  <c r="O14" i="1"/>
  <c r="P14" i="1" s="1"/>
  <c r="E14" i="1"/>
  <c r="F14" i="1" s="1"/>
  <c r="D14" i="1"/>
  <c r="W14" i="1" s="1"/>
  <c r="R13" i="1"/>
  <c r="E13" i="1"/>
  <c r="F13" i="1" s="1"/>
  <c r="D13" i="1"/>
  <c r="W12" i="1"/>
  <c r="V12" i="1"/>
  <c r="U12" i="1"/>
  <c r="T12" i="1"/>
  <c r="S12" i="1"/>
  <c r="R12" i="1"/>
  <c r="O12" i="1"/>
  <c r="F12" i="1"/>
  <c r="W11" i="1"/>
  <c r="U11" i="1"/>
  <c r="T11" i="1"/>
  <c r="S11" i="1"/>
  <c r="R11" i="1"/>
  <c r="Q11" i="1"/>
  <c r="G11" i="1"/>
  <c r="O11" i="1" s="1"/>
  <c r="W10" i="1"/>
  <c r="V10" i="1"/>
  <c r="T10" i="1"/>
  <c r="S10" i="1"/>
  <c r="R10" i="1"/>
  <c r="Q10" i="1"/>
  <c r="G10" i="1"/>
  <c r="O10" i="1" s="1"/>
  <c r="P10" i="1" s="1"/>
  <c r="U10" i="1" s="1"/>
  <c r="W9" i="1"/>
  <c r="U9" i="1"/>
  <c r="T9" i="1"/>
  <c r="S9" i="1"/>
  <c r="R9" i="1"/>
  <c r="Q9" i="1"/>
  <c r="G9" i="1"/>
  <c r="O9" i="1" s="1"/>
  <c r="P9" i="1" s="1"/>
  <c r="V9" i="1" s="1"/>
  <c r="W8" i="1"/>
  <c r="U8" i="1"/>
  <c r="T8" i="1"/>
  <c r="S8" i="1"/>
  <c r="R8" i="1"/>
  <c r="Q8" i="1"/>
  <c r="G8" i="1"/>
  <c r="O8" i="1" s="1"/>
  <c r="P8" i="1" s="1"/>
  <c r="V8" i="1" s="1"/>
  <c r="M7" i="1"/>
  <c r="L7" i="1"/>
  <c r="K7" i="1"/>
  <c r="I7" i="1"/>
  <c r="H7" i="1"/>
  <c r="J7" i="1" s="1"/>
  <c r="R55" i="1" l="1"/>
  <c r="P197" i="1"/>
  <c r="S197" i="1" s="1"/>
  <c r="P299" i="1"/>
  <c r="V299" i="1" s="1"/>
  <c r="Q319" i="1"/>
  <c r="W319" i="1"/>
  <c r="V319" i="1"/>
  <c r="R319" i="1"/>
  <c r="W398" i="1"/>
  <c r="V398" i="1"/>
  <c r="O398" i="1"/>
  <c r="P398" i="1" s="1"/>
  <c r="R398" i="1" s="1"/>
  <c r="X558" i="1"/>
  <c r="O583" i="1"/>
  <c r="P583" i="1" s="1"/>
  <c r="Q583" i="1" s="1"/>
  <c r="W583" i="1"/>
  <c r="U583" i="1"/>
  <c r="T583" i="1"/>
  <c r="S583" i="1"/>
  <c r="R583" i="1"/>
  <c r="P616" i="1"/>
  <c r="O90" i="1"/>
  <c r="P90" i="1" s="1"/>
  <c r="R90" i="1" s="1"/>
  <c r="S90" i="1"/>
  <c r="D92" i="1"/>
  <c r="Q90" i="1"/>
  <c r="O174" i="1"/>
  <c r="P174" i="1" s="1"/>
  <c r="D176" i="1"/>
  <c r="O176" i="1" s="1"/>
  <c r="P176" i="1" s="1"/>
  <c r="Q176" i="1" s="1"/>
  <c r="W174" i="1"/>
  <c r="W199" i="1"/>
  <c r="V199" i="1"/>
  <c r="U199" i="1"/>
  <c r="T199" i="1"/>
  <c r="Q199" i="1"/>
  <c r="O199" i="1"/>
  <c r="P199" i="1" s="1"/>
  <c r="X127" i="1"/>
  <c r="X181" i="1"/>
  <c r="X74" i="1"/>
  <c r="P82" i="1"/>
  <c r="W93" i="1"/>
  <c r="U93" i="1"/>
  <c r="T93" i="1"/>
  <c r="O99" i="1"/>
  <c r="P99" i="1" s="1"/>
  <c r="T99" i="1" s="1"/>
  <c r="P103" i="1"/>
  <c r="X195" i="1"/>
  <c r="X304" i="1"/>
  <c r="X383" i="1"/>
  <c r="U472" i="1"/>
  <c r="R472" i="1"/>
  <c r="Q472" i="1"/>
  <c r="W409" i="1"/>
  <c r="U409" i="1"/>
  <c r="X409" i="1" s="1"/>
  <c r="T409" i="1"/>
  <c r="S409" i="1"/>
  <c r="R409" i="1"/>
  <c r="Q409" i="1"/>
  <c r="X95" i="1"/>
  <c r="X100" i="1"/>
  <c r="P156" i="1"/>
  <c r="V156" i="1" s="1"/>
  <c r="P177" i="1"/>
  <c r="X18" i="1"/>
  <c r="W72" i="1"/>
  <c r="U72" i="1"/>
  <c r="T72" i="1"/>
  <c r="Q72" i="1"/>
  <c r="T90" i="1"/>
  <c r="R174" i="1"/>
  <c r="X313" i="1"/>
  <c r="W505" i="1"/>
  <c r="T505" i="1"/>
  <c r="W40" i="1"/>
  <c r="Q40" i="1"/>
  <c r="P62" i="1"/>
  <c r="R62" i="1" s="1"/>
  <c r="U90" i="1"/>
  <c r="S103" i="1"/>
  <c r="P110" i="1"/>
  <c r="S110" i="1" s="1"/>
  <c r="S174" i="1"/>
  <c r="X263" i="1"/>
  <c r="W381" i="1"/>
  <c r="U381" i="1"/>
  <c r="Q381" i="1"/>
  <c r="P415" i="1"/>
  <c r="R415" i="1" s="1"/>
  <c r="X415" i="1" s="1"/>
  <c r="X470" i="1"/>
  <c r="X500" i="1"/>
  <c r="X503" i="1"/>
  <c r="U546" i="1"/>
  <c r="X546" i="1" s="1"/>
  <c r="T546" i="1"/>
  <c r="S546" i="1"/>
  <c r="R546" i="1"/>
  <c r="Q546" i="1"/>
  <c r="V599" i="1"/>
  <c r="U599" i="1"/>
  <c r="S599" i="1"/>
  <c r="Q599" i="1"/>
  <c r="X612" i="1"/>
  <c r="X444" i="1"/>
  <c r="Q14" i="1"/>
  <c r="X19" i="1"/>
  <c r="V90" i="1"/>
  <c r="O98" i="1"/>
  <c r="P98" i="1" s="1"/>
  <c r="T98" i="1" s="1"/>
  <c r="T103" i="1"/>
  <c r="F122" i="1"/>
  <c r="U131" i="1"/>
  <c r="T131" i="1"/>
  <c r="S131" i="1"/>
  <c r="X138" i="1"/>
  <c r="V174" i="1"/>
  <c r="P213" i="1"/>
  <c r="V213" i="1" s="1"/>
  <c r="X250" i="1"/>
  <c r="X306" i="1"/>
  <c r="P379" i="1"/>
  <c r="R379" i="1" s="1"/>
  <c r="X407" i="1"/>
  <c r="X431" i="1"/>
  <c r="P615" i="1"/>
  <c r="R615" i="1" s="1"/>
  <c r="W464" i="1"/>
  <c r="U464" i="1"/>
  <c r="T464" i="1"/>
  <c r="S464" i="1"/>
  <c r="R464" i="1"/>
  <c r="Q464" i="1"/>
  <c r="O679" i="1"/>
  <c r="P679" i="1" s="1"/>
  <c r="S679" i="1" s="1"/>
  <c r="R679" i="1"/>
  <c r="P130" i="1"/>
  <c r="R130" i="1" s="1"/>
  <c r="P20" i="1"/>
  <c r="R20" i="1" s="1"/>
  <c r="X20" i="1" s="1"/>
  <c r="X344" i="1"/>
  <c r="X425" i="1"/>
  <c r="V487" i="1"/>
  <c r="W487" i="1"/>
  <c r="U487" i="1"/>
  <c r="T487" i="1"/>
  <c r="R487" i="1"/>
  <c r="Q487" i="1"/>
  <c r="O487" i="1"/>
  <c r="P487" i="1" s="1"/>
  <c r="S487" i="1" s="1"/>
  <c r="X487" i="1" s="1"/>
  <c r="X548" i="1"/>
  <c r="X615" i="1"/>
  <c r="O91" i="1"/>
  <c r="P91" i="1" s="1"/>
  <c r="R91" i="1" s="1"/>
  <c r="U91" i="1"/>
  <c r="V265" i="1"/>
  <c r="Q265" i="1"/>
  <c r="O265" i="1"/>
  <c r="P265" i="1" s="1"/>
  <c r="S14" i="1"/>
  <c r="Q93" i="1"/>
  <c r="X93" i="1" s="1"/>
  <c r="X117" i="1"/>
  <c r="Q131" i="1"/>
  <c r="P346" i="1"/>
  <c r="S346" i="1" s="1"/>
  <c r="X346" i="1" s="1"/>
  <c r="P355" i="1"/>
  <c r="D400" i="1"/>
  <c r="V546" i="1"/>
  <c r="P591" i="1"/>
  <c r="P22" i="1"/>
  <c r="X38" i="1"/>
  <c r="X51" i="1"/>
  <c r="O74" i="1"/>
  <c r="P74" i="1" s="1"/>
  <c r="U74" i="1" s="1"/>
  <c r="X159" i="1"/>
  <c r="R14" i="1"/>
  <c r="X9" i="1"/>
  <c r="O13" i="1"/>
  <c r="P13" i="1" s="1"/>
  <c r="Q13" i="1" s="1"/>
  <c r="T13" i="1"/>
  <c r="S13" i="1"/>
  <c r="T14" i="1"/>
  <c r="S21" i="1"/>
  <c r="O21" i="1"/>
  <c r="Q71" i="1"/>
  <c r="O71" i="1"/>
  <c r="P71" i="1" s="1"/>
  <c r="S71" i="1" s="1"/>
  <c r="X109" i="1"/>
  <c r="Q91" i="1"/>
  <c r="R93" i="1"/>
  <c r="U167" i="1"/>
  <c r="T167" i="1"/>
  <c r="X509" i="1"/>
  <c r="X537" i="1"/>
  <c r="W546" i="1"/>
  <c r="Q655" i="1"/>
  <c r="W655" i="1"/>
  <c r="T655" i="1"/>
  <c r="O655" i="1"/>
  <c r="P655" i="1" s="1"/>
  <c r="R655" i="1" s="1"/>
  <c r="U55" i="1"/>
  <c r="W55" i="1"/>
  <c r="S55" i="1"/>
  <c r="W277" i="1"/>
  <c r="U277" i="1"/>
  <c r="R277" i="1"/>
  <c r="D340" i="1"/>
  <c r="W338" i="1"/>
  <c r="V338" i="1"/>
  <c r="U338" i="1"/>
  <c r="T338" i="1"/>
  <c r="S338" i="1"/>
  <c r="R338" i="1"/>
  <c r="X605" i="1"/>
  <c r="Q609" i="1"/>
  <c r="W609" i="1"/>
  <c r="U609" i="1"/>
  <c r="X609" i="1" s="1"/>
  <c r="T609" i="1"/>
  <c r="S609" i="1"/>
  <c r="R609" i="1"/>
  <c r="R708" i="1"/>
  <c r="T708" i="1"/>
  <c r="S708" i="1"/>
  <c r="W708" i="1"/>
  <c r="U708" i="1"/>
  <c r="Q708" i="1"/>
  <c r="X53" i="1"/>
  <c r="X106" i="1"/>
  <c r="S401" i="1"/>
  <c r="R401" i="1"/>
  <c r="Q401" i="1"/>
  <c r="X25" i="1"/>
  <c r="X61" i="1"/>
  <c r="R71" i="1"/>
  <c r="P78" i="1"/>
  <c r="R78" i="1" s="1"/>
  <c r="X78" i="1" s="1"/>
  <c r="X85" i="1"/>
  <c r="S91" i="1"/>
  <c r="U119" i="1"/>
  <c r="T119" i="1"/>
  <c r="S119" i="1"/>
  <c r="X139" i="1"/>
  <c r="D144" i="1"/>
  <c r="U142" i="1"/>
  <c r="R142" i="1"/>
  <c r="Q145" i="1"/>
  <c r="R145" i="1"/>
  <c r="W156" i="1"/>
  <c r="U156" i="1"/>
  <c r="T156" i="1"/>
  <c r="Q156" i="1"/>
  <c r="X156" i="1" s="1"/>
  <c r="P167" i="1"/>
  <c r="W177" i="1"/>
  <c r="V177" i="1"/>
  <c r="X177" i="1" s="1"/>
  <c r="U177" i="1"/>
  <c r="T177" i="1"/>
  <c r="S177" i="1"/>
  <c r="R177" i="1"/>
  <c r="Q177" i="1"/>
  <c r="P223" i="1"/>
  <c r="S223" i="1" s="1"/>
  <c r="X269" i="1"/>
  <c r="X272" i="1"/>
  <c r="W309" i="1"/>
  <c r="T309" i="1"/>
  <c r="S309" i="1"/>
  <c r="R309" i="1"/>
  <c r="Q309" i="1"/>
  <c r="P341" i="1"/>
  <c r="V341" i="1" s="1"/>
  <c r="X353" i="1"/>
  <c r="X493" i="1"/>
  <c r="X512" i="1"/>
  <c r="P561" i="1"/>
  <c r="R561" i="1" s="1"/>
  <c r="X604" i="1"/>
  <c r="D725" i="1"/>
  <c r="S723" i="1"/>
  <c r="O723" i="1"/>
  <c r="P723" i="1" s="1"/>
  <c r="R723" i="1" s="1"/>
  <c r="X723" i="1" s="1"/>
  <c r="W723" i="1"/>
  <c r="V723" i="1"/>
  <c r="P757" i="1"/>
  <c r="R757" i="1" s="1"/>
  <c r="S820" i="1"/>
  <c r="Q820" i="1"/>
  <c r="O820" i="1"/>
  <c r="P820" i="1" s="1"/>
  <c r="O862" i="1"/>
  <c r="P862" i="1" s="1"/>
  <c r="S862" i="1" s="1"/>
  <c r="W862" i="1"/>
  <c r="V862" i="1"/>
  <c r="D864" i="1"/>
  <c r="U862" i="1"/>
  <c r="R862" i="1"/>
  <c r="X862" i="1" s="1"/>
  <c r="Q862" i="1"/>
  <c r="Q913" i="1"/>
  <c r="W913" i="1"/>
  <c r="V913" i="1"/>
  <c r="U913" i="1"/>
  <c r="T913" i="1"/>
  <c r="S913" i="1"/>
  <c r="O913" i="1"/>
  <c r="P142" i="1"/>
  <c r="R211" i="1"/>
  <c r="R213" i="1"/>
  <c r="R223" i="1"/>
  <c r="X223" i="1" s="1"/>
  <c r="T226" i="1"/>
  <c r="D257" i="1"/>
  <c r="P307" i="1"/>
  <c r="S307" i="1" s="1"/>
  <c r="P315" i="1"/>
  <c r="S315" i="1" s="1"/>
  <c r="U316" i="1"/>
  <c r="U339" i="1"/>
  <c r="S341" i="1"/>
  <c r="P361" i="1"/>
  <c r="R361" i="1" s="1"/>
  <c r="X368" i="1"/>
  <c r="X433" i="1"/>
  <c r="Q441" i="1"/>
  <c r="S524" i="1"/>
  <c r="P536" i="1"/>
  <c r="Q536" i="1" s="1"/>
  <c r="X536" i="1" s="1"/>
  <c r="D554" i="1"/>
  <c r="S563" i="1"/>
  <c r="X606" i="1"/>
  <c r="S667" i="1"/>
  <c r="P689" i="1"/>
  <c r="S689" i="1" s="1"/>
  <c r="V708" i="1"/>
  <c r="P879" i="1"/>
  <c r="R879" i="1" s="1"/>
  <c r="X879" i="1" s="1"/>
  <c r="S211" i="1"/>
  <c r="S213" i="1"/>
  <c r="T223" i="1"/>
  <c r="D225" i="1"/>
  <c r="V316" i="1"/>
  <c r="X322" i="1"/>
  <c r="O523" i="1"/>
  <c r="T524" i="1"/>
  <c r="V563" i="1"/>
  <c r="X580" i="1"/>
  <c r="P653" i="1"/>
  <c r="R653" i="1" s="1"/>
  <c r="V715" i="1"/>
  <c r="U715" i="1"/>
  <c r="R715" i="1"/>
  <c r="Q715" i="1"/>
  <c r="O715" i="1"/>
  <c r="P715" i="1" s="1"/>
  <c r="S715" i="1" s="1"/>
  <c r="X715" i="1" s="1"/>
  <c r="Q723" i="1"/>
  <c r="U752" i="1"/>
  <c r="S752" i="1"/>
  <c r="T820" i="1"/>
  <c r="T862" i="1"/>
  <c r="X180" i="1"/>
  <c r="T211" i="1"/>
  <c r="T213" i="1"/>
  <c r="U223" i="1"/>
  <c r="X240" i="1"/>
  <c r="W316" i="1"/>
  <c r="P337" i="1"/>
  <c r="Q337" i="1" s="1"/>
  <c r="X337" i="1" s="1"/>
  <c r="X361" i="1"/>
  <c r="V373" i="1"/>
  <c r="S441" i="1"/>
  <c r="P472" i="1"/>
  <c r="X520" i="1"/>
  <c r="U524" i="1"/>
  <c r="T723" i="1"/>
  <c r="T836" i="1"/>
  <c r="Q836" i="1"/>
  <c r="O836" i="1"/>
  <c r="Q857" i="1"/>
  <c r="V857" i="1"/>
  <c r="T857" i="1"/>
  <c r="W1066" i="1"/>
  <c r="V1066" i="1"/>
  <c r="T1066" i="1"/>
  <c r="Q1066" i="1"/>
  <c r="P1139" i="1"/>
  <c r="V1139" i="1" s="1"/>
  <c r="F1144" i="1"/>
  <c r="P1144" i="1" s="1"/>
  <c r="V1144" i="1" s="1"/>
  <c r="P12" i="1"/>
  <c r="Q12" i="1" s="1"/>
  <c r="X12" i="1" s="1"/>
  <c r="X16" i="1"/>
  <c r="X36" i="1"/>
  <c r="X44" i="1"/>
  <c r="X98" i="1"/>
  <c r="O154" i="1"/>
  <c r="P154" i="1" s="1"/>
  <c r="S175" i="1"/>
  <c r="U211" i="1"/>
  <c r="U213" i="1"/>
  <c r="V223" i="1"/>
  <c r="X239" i="1"/>
  <c r="Q255" i="1"/>
  <c r="X270" i="1"/>
  <c r="F331" i="1"/>
  <c r="P331" i="1" s="1"/>
  <c r="V331" i="1" s="1"/>
  <c r="X331" i="1" s="1"/>
  <c r="X351" i="1"/>
  <c r="P386" i="1"/>
  <c r="V386" i="1" s="1"/>
  <c r="P397" i="1"/>
  <c r="R397" i="1" s="1"/>
  <c r="X397" i="1" s="1"/>
  <c r="X403" i="1"/>
  <c r="O408" i="1"/>
  <c r="P408" i="1" s="1"/>
  <c r="R408" i="1" s="1"/>
  <c r="T441" i="1"/>
  <c r="P463" i="1"/>
  <c r="S463" i="1" s="1"/>
  <c r="R495" i="1"/>
  <c r="S523" i="1"/>
  <c r="V524" i="1"/>
  <c r="O552" i="1"/>
  <c r="P552" i="1" s="1"/>
  <c r="W673" i="1"/>
  <c r="U673" i="1"/>
  <c r="T673" i="1"/>
  <c r="R673" i="1"/>
  <c r="Q673" i="1"/>
  <c r="P688" i="1"/>
  <c r="S688" i="1" s="1"/>
  <c r="T715" i="1"/>
  <c r="U723" i="1"/>
  <c r="S731" i="1"/>
  <c r="P914" i="1"/>
  <c r="X10" i="1"/>
  <c r="X26" i="1"/>
  <c r="P122" i="1"/>
  <c r="V122" i="1" s="1"/>
  <c r="P145" i="1"/>
  <c r="V145" i="1" s="1"/>
  <c r="X145" i="1" s="1"/>
  <c r="Q154" i="1"/>
  <c r="X194" i="1"/>
  <c r="R201" i="1"/>
  <c r="V211" i="1"/>
  <c r="X218" i="1"/>
  <c r="R237" i="1"/>
  <c r="Q245" i="1"/>
  <c r="S255" i="1"/>
  <c r="S373" i="1"/>
  <c r="Q386" i="1"/>
  <c r="X389" i="1"/>
  <c r="Q408" i="1"/>
  <c r="X408" i="1" s="1"/>
  <c r="X437" i="1"/>
  <c r="U441" i="1"/>
  <c r="T495" i="1"/>
  <c r="T523" i="1"/>
  <c r="S552" i="1"/>
  <c r="U600" i="1"/>
  <c r="Q600" i="1"/>
  <c r="O600" i="1"/>
  <c r="X619" i="1"/>
  <c r="X678" i="1"/>
  <c r="X688" i="1"/>
  <c r="W715" i="1"/>
  <c r="T731" i="1"/>
  <c r="T752" i="1"/>
  <c r="X808" i="1"/>
  <c r="W829" i="1"/>
  <c r="V829" i="1"/>
  <c r="U829" i="1"/>
  <c r="T829" i="1"/>
  <c r="Q829" i="1"/>
  <c r="O829" i="1"/>
  <c r="P829" i="1" s="1"/>
  <c r="R829" i="1" s="1"/>
  <c r="U836" i="1"/>
  <c r="W857" i="1"/>
  <c r="T1116" i="1"/>
  <c r="W1116" i="1"/>
  <c r="V1116" i="1"/>
  <c r="Q1116" i="1"/>
  <c r="U1116" i="1"/>
  <c r="S1116" i="1"/>
  <c r="O1116" i="1"/>
  <c r="P1116" i="1" s="1"/>
  <c r="R1116" i="1" s="1"/>
  <c r="X1301" i="1"/>
  <c r="X97" i="1"/>
  <c r="X151" i="1"/>
  <c r="X191" i="1"/>
  <c r="S201" i="1"/>
  <c r="X215" i="1"/>
  <c r="S237" i="1"/>
  <c r="T317" i="1"/>
  <c r="Q331" i="1"/>
  <c r="Q348" i="1"/>
  <c r="T354" i="1"/>
  <c r="T373" i="1"/>
  <c r="R386" i="1"/>
  <c r="S408" i="1"/>
  <c r="X459" i="1"/>
  <c r="U495" i="1"/>
  <c r="S517" i="1"/>
  <c r="U523" i="1"/>
  <c r="D525" i="1"/>
  <c r="V525" i="1" s="1"/>
  <c r="P540" i="1"/>
  <c r="V540" i="1" s="1"/>
  <c r="P551" i="1"/>
  <c r="R551" i="1" s="1"/>
  <c r="U552" i="1"/>
  <c r="R855" i="1"/>
  <c r="V855" i="1"/>
  <c r="Q855" i="1"/>
  <c r="O855" i="1"/>
  <c r="X903" i="1"/>
  <c r="P970" i="1"/>
  <c r="S970" i="1" s="1"/>
  <c r="X984" i="1"/>
  <c r="W1031" i="1"/>
  <c r="S1031" i="1"/>
  <c r="U1031" i="1"/>
  <c r="T1031" i="1"/>
  <c r="X1112" i="1"/>
  <c r="P198" i="1"/>
  <c r="P224" i="1"/>
  <c r="S224" i="1" s="1"/>
  <c r="X233" i="1"/>
  <c r="T237" i="1"/>
  <c r="X241" i="1"/>
  <c r="P266" i="1"/>
  <c r="V266" i="1" s="1"/>
  <c r="X293" i="1"/>
  <c r="X295" i="1"/>
  <c r="Q299" i="1"/>
  <c r="R331" i="1"/>
  <c r="R348" i="1"/>
  <c r="P353" i="1"/>
  <c r="S353" i="1" s="1"/>
  <c r="U373" i="1"/>
  <c r="X377" i="1"/>
  <c r="T408" i="1"/>
  <c r="P429" i="1"/>
  <c r="X432" i="1"/>
  <c r="T517" i="1"/>
  <c r="X519" i="1"/>
  <c r="V523" i="1"/>
  <c r="Q540" i="1"/>
  <c r="V552" i="1"/>
  <c r="X572" i="1"/>
  <c r="X751" i="1"/>
  <c r="X817" i="1"/>
  <c r="R299" i="1"/>
  <c r="X314" i="1"/>
  <c r="U408" i="1"/>
  <c r="P480" i="1"/>
  <c r="V480" i="1" s="1"/>
  <c r="P488" i="1"/>
  <c r="V488" i="1" s="1"/>
  <c r="R540" i="1"/>
  <c r="P545" i="1"/>
  <c r="R545" i="1" s="1"/>
  <c r="W585" i="1"/>
  <c r="R585" i="1"/>
  <c r="Q585" i="1"/>
  <c r="P590" i="1"/>
  <c r="V615" i="1"/>
  <c r="U615" i="1"/>
  <c r="W646" i="1"/>
  <c r="T646" i="1"/>
  <c r="R646" i="1"/>
  <c r="Q657" i="1"/>
  <c r="U657" i="1"/>
  <c r="T657" i="1"/>
  <c r="X657" i="1" s="1"/>
  <c r="X677" i="1"/>
  <c r="T690" i="1"/>
  <c r="S690" i="1"/>
  <c r="X768" i="1"/>
  <c r="V812" i="1"/>
  <c r="U812" i="1"/>
  <c r="S812" i="1"/>
  <c r="O812" i="1"/>
  <c r="P812" i="1" s="1"/>
  <c r="R812" i="1" s="1"/>
  <c r="X992" i="1"/>
  <c r="P209" i="1"/>
  <c r="S209" i="1" s="1"/>
  <c r="X209" i="1" s="1"/>
  <c r="X305" i="1"/>
  <c r="P347" i="1"/>
  <c r="X388" i="1"/>
  <c r="X491" i="1"/>
  <c r="P513" i="1"/>
  <c r="R513" i="1" s="1"/>
  <c r="Q563" i="1"/>
  <c r="U563" i="1"/>
  <c r="T563" i="1"/>
  <c r="P585" i="1"/>
  <c r="V585" i="1" s="1"/>
  <c r="P657" i="1"/>
  <c r="V657" i="1" s="1"/>
  <c r="R667" i="1"/>
  <c r="U667" i="1"/>
  <c r="T667" i="1"/>
  <c r="X718" i="1"/>
  <c r="X822" i="1"/>
  <c r="X930" i="1"/>
  <c r="W1047" i="1"/>
  <c r="U1047" i="1"/>
  <c r="R1047" i="1"/>
  <c r="Q1047" i="1"/>
  <c r="D1049" i="1"/>
  <c r="V1047" i="1"/>
  <c r="T1047" i="1"/>
  <c r="O1047" i="1"/>
  <c r="P1047" i="1" s="1"/>
  <c r="S1047" i="1" s="1"/>
  <c r="X1047" i="1" s="1"/>
  <c r="P630" i="1"/>
  <c r="Q630" i="1" s="1"/>
  <c r="X630" i="1" s="1"/>
  <c r="Q644" i="1"/>
  <c r="V724" i="1"/>
  <c r="Q779" i="1"/>
  <c r="T780" i="1"/>
  <c r="R782" i="1"/>
  <c r="X787" i="1"/>
  <c r="D792" i="1"/>
  <c r="S806" i="1"/>
  <c r="P818" i="1"/>
  <c r="R818" i="1" s="1"/>
  <c r="X818" i="1" s="1"/>
  <c r="Q830" i="1"/>
  <c r="X830" i="1" s="1"/>
  <c r="X831" i="1"/>
  <c r="X833" i="1"/>
  <c r="T863" i="1"/>
  <c r="S874" i="1"/>
  <c r="V880" i="1"/>
  <c r="X962" i="1"/>
  <c r="S1039" i="1"/>
  <c r="R1039" i="1"/>
  <c r="X1164" i="1"/>
  <c r="V1166" i="1"/>
  <c r="O1166" i="1"/>
  <c r="P1166" i="1" s="1"/>
  <c r="S1166" i="1" s="1"/>
  <c r="D1168" i="1"/>
  <c r="V1168" i="1" s="1"/>
  <c r="U1166" i="1"/>
  <c r="R1166" i="1"/>
  <c r="X1216" i="1"/>
  <c r="X1289" i="1"/>
  <c r="X659" i="1"/>
  <c r="X694" i="1"/>
  <c r="X744" i="1"/>
  <c r="P778" i="1"/>
  <c r="R778" i="1" s="1"/>
  <c r="U780" i="1"/>
  <c r="S782" i="1"/>
  <c r="P810" i="1"/>
  <c r="R810" i="1" s="1"/>
  <c r="S830" i="1"/>
  <c r="X852" i="1"/>
  <c r="U863" i="1"/>
  <c r="T874" i="1"/>
  <c r="W880" i="1"/>
  <c r="X886" i="1"/>
  <c r="X936" i="1"/>
  <c r="X976" i="1"/>
  <c r="X991" i="1"/>
  <c r="X993" i="1"/>
  <c r="X998" i="1"/>
  <c r="X1029" i="1"/>
  <c r="X1041" i="1"/>
  <c r="X1079" i="1"/>
  <c r="S1084" i="1"/>
  <c r="V1084" i="1"/>
  <c r="U1084" i="1"/>
  <c r="R1084" i="1"/>
  <c r="O1084" i="1"/>
  <c r="X1280" i="1"/>
  <c r="X684" i="1"/>
  <c r="P714" i="1"/>
  <c r="S714" i="1" s="1"/>
  <c r="V780" i="1"/>
  <c r="X780" i="1" s="1"/>
  <c r="T782" i="1"/>
  <c r="X784" i="1"/>
  <c r="X795" i="1"/>
  <c r="T830" i="1"/>
  <c r="X842" i="1"/>
  <c r="V863" i="1"/>
  <c r="U874" i="1"/>
  <c r="X1003" i="1"/>
  <c r="X1014" i="1"/>
  <c r="P1039" i="1"/>
  <c r="V1039" i="1" s="1"/>
  <c r="U1252" i="1"/>
  <c r="O1252" i="1"/>
  <c r="P1252" i="1" s="1"/>
  <c r="S1252" i="1" s="1"/>
  <c r="W1252" i="1"/>
  <c r="D1254" i="1"/>
  <c r="V1252" i="1"/>
  <c r="T1252" i="1"/>
  <c r="T1557" i="1"/>
  <c r="S1557" i="1"/>
  <c r="T1067" i="1"/>
  <c r="R1067" i="1"/>
  <c r="W1067" i="1"/>
  <c r="R1118" i="1"/>
  <c r="T1118" i="1"/>
  <c r="W1118" i="1"/>
  <c r="U1118" i="1"/>
  <c r="P1141" i="1"/>
  <c r="D1236" i="1"/>
  <c r="W1234" i="1"/>
  <c r="V1234" i="1"/>
  <c r="S1234" i="1"/>
  <c r="O1234" i="1"/>
  <c r="P1234" i="1" s="1"/>
  <c r="Q1234" i="1" s="1"/>
  <c r="U1234" i="1"/>
  <c r="Q1475" i="1"/>
  <c r="R1475" i="1"/>
  <c r="O1475" i="1"/>
  <c r="P1475" i="1" s="1"/>
  <c r="X587" i="1"/>
  <c r="X594" i="1"/>
  <c r="P625" i="1"/>
  <c r="Q625" i="1" s="1"/>
  <c r="X634" i="1"/>
  <c r="T656" i="1"/>
  <c r="X662" i="1"/>
  <c r="P671" i="1"/>
  <c r="R671" i="1" s="1"/>
  <c r="Q672" i="1"/>
  <c r="X672" i="1" s="1"/>
  <c r="O680" i="1"/>
  <c r="P680" i="1" s="1"/>
  <c r="S680" i="1" s="1"/>
  <c r="T682" i="1"/>
  <c r="X720" i="1"/>
  <c r="P765" i="1"/>
  <c r="V779" i="1"/>
  <c r="X779" i="1" s="1"/>
  <c r="D781" i="1"/>
  <c r="S790" i="1"/>
  <c r="U793" i="1"/>
  <c r="Q798" i="1"/>
  <c r="Q814" i="1"/>
  <c r="Q828" i="1"/>
  <c r="W830" i="1"/>
  <c r="R869" i="1"/>
  <c r="T869" i="1"/>
  <c r="X869" i="1" s="1"/>
  <c r="W874" i="1"/>
  <c r="S889" i="1"/>
  <c r="T906" i="1"/>
  <c r="P912" i="1"/>
  <c r="R912" i="1" s="1"/>
  <c r="S964" i="1"/>
  <c r="T987" i="1"/>
  <c r="T1008" i="1"/>
  <c r="Q1008" i="1"/>
  <c r="P1009" i="1"/>
  <c r="R1009" i="1" s="1"/>
  <c r="Q1039" i="1"/>
  <c r="P1061" i="1"/>
  <c r="V1061" i="1" s="1"/>
  <c r="W1084" i="1"/>
  <c r="U1105" i="1"/>
  <c r="T1105" i="1"/>
  <c r="Q1105" i="1"/>
  <c r="P1123" i="1"/>
  <c r="Q1123" i="1" s="1"/>
  <c r="P1345" i="1"/>
  <c r="R1345" i="1" s="1"/>
  <c r="U1410" i="1"/>
  <c r="T1410" i="1"/>
  <c r="S1410" i="1"/>
  <c r="V591" i="1"/>
  <c r="X611" i="1"/>
  <c r="P636" i="1"/>
  <c r="X639" i="1"/>
  <c r="X651" i="1"/>
  <c r="O724" i="1"/>
  <c r="P724" i="1" s="1"/>
  <c r="R724" i="1" s="1"/>
  <c r="P745" i="1"/>
  <c r="V745" i="1" s="1"/>
  <c r="P789" i="1"/>
  <c r="R789" i="1" s="1"/>
  <c r="V793" i="1"/>
  <c r="R798" i="1"/>
  <c r="R814" i="1"/>
  <c r="S828" i="1"/>
  <c r="O881" i="1"/>
  <c r="T889" i="1"/>
  <c r="V906" i="1"/>
  <c r="X909" i="1"/>
  <c r="X917" i="1"/>
  <c r="X960" i="1"/>
  <c r="Q963" i="1"/>
  <c r="X963" i="1" s="1"/>
  <c r="O963" i="1"/>
  <c r="T964" i="1"/>
  <c r="O979" i="1"/>
  <c r="P979" i="1" s="1"/>
  <c r="S979" i="1" s="1"/>
  <c r="U987" i="1"/>
  <c r="S1000" i="1"/>
  <c r="W1011" i="1"/>
  <c r="W1039" i="1"/>
  <c r="O1048" i="1"/>
  <c r="P1048" i="1" s="1"/>
  <c r="O1058" i="1"/>
  <c r="W1058" i="1"/>
  <c r="Q1058" i="1"/>
  <c r="S1085" i="1"/>
  <c r="R1085" i="1"/>
  <c r="O1085" i="1"/>
  <c r="X1193" i="1"/>
  <c r="Q1252" i="1"/>
  <c r="X1469" i="1"/>
  <c r="W793" i="1"/>
  <c r="S798" i="1"/>
  <c r="S814" i="1"/>
  <c r="T828" i="1"/>
  <c r="Q881" i="1"/>
  <c r="P888" i="1"/>
  <c r="R888" i="1" s="1"/>
  <c r="W906" i="1"/>
  <c r="P932" i="1"/>
  <c r="V932" i="1" s="1"/>
  <c r="X953" i="1"/>
  <c r="Q972" i="1"/>
  <c r="W987" i="1"/>
  <c r="P995" i="1"/>
  <c r="V995" i="1" s="1"/>
  <c r="W1000" i="1"/>
  <c r="X1016" i="1"/>
  <c r="V1038" i="1"/>
  <c r="U1038" i="1"/>
  <c r="O1038" i="1"/>
  <c r="Q1067" i="1"/>
  <c r="Q1118" i="1"/>
  <c r="X1125" i="1"/>
  <c r="X1138" i="1"/>
  <c r="O1174" i="1"/>
  <c r="P1174" i="1" s="1"/>
  <c r="W1174" i="1"/>
  <c r="U1174" i="1"/>
  <c r="T1174" i="1"/>
  <c r="S1174" i="1"/>
  <c r="Q1174" i="1"/>
  <c r="X1225" i="1"/>
  <c r="R1234" i="1"/>
  <c r="R1252" i="1"/>
  <c r="X1257" i="1"/>
  <c r="X1369" i="1"/>
  <c r="X1379" i="1"/>
  <c r="X742" i="1"/>
  <c r="X809" i="1"/>
  <c r="X841" i="1"/>
  <c r="P850" i="1"/>
  <c r="X916" i="1"/>
  <c r="X952" i="1"/>
  <c r="P955" i="1"/>
  <c r="P963" i="1"/>
  <c r="S963" i="1" s="1"/>
  <c r="R972" i="1"/>
  <c r="X972" i="1" s="1"/>
  <c r="R979" i="1"/>
  <c r="X999" i="1"/>
  <c r="S1067" i="1"/>
  <c r="S1118" i="1"/>
  <c r="R1197" i="1"/>
  <c r="U1197" i="1"/>
  <c r="T1197" i="1"/>
  <c r="W1197" i="1"/>
  <c r="V1197" i="1"/>
  <c r="O1197" i="1"/>
  <c r="P1197" i="1" s="1"/>
  <c r="S1197" i="1" s="1"/>
  <c r="T1234" i="1"/>
  <c r="W1269" i="1"/>
  <c r="U1269" i="1"/>
  <c r="T1269" i="1"/>
  <c r="Q1269" i="1"/>
  <c r="W1283" i="1"/>
  <c r="U1283" i="1"/>
  <c r="T1283" i="1"/>
  <c r="X1383" i="1"/>
  <c r="P707" i="1"/>
  <c r="V806" i="1"/>
  <c r="X898" i="1"/>
  <c r="S972" i="1"/>
  <c r="V979" i="1"/>
  <c r="P1007" i="1"/>
  <c r="R1007" i="1" s="1"/>
  <c r="X1013" i="1"/>
  <c r="X1025" i="1"/>
  <c r="U1067" i="1"/>
  <c r="R1076" i="1"/>
  <c r="W1076" i="1"/>
  <c r="T1076" i="1"/>
  <c r="V1076" i="1"/>
  <c r="Q1076" i="1"/>
  <c r="O1076" i="1"/>
  <c r="P1076" i="1" s="1"/>
  <c r="X1171" i="1"/>
  <c r="P1233" i="1"/>
  <c r="Q1233" i="1" s="1"/>
  <c r="X1233" i="1" s="1"/>
  <c r="X1359" i="1"/>
  <c r="P635" i="1"/>
  <c r="S635" i="1" s="1"/>
  <c r="P706" i="1"/>
  <c r="S706" i="1" s="1"/>
  <c r="X706" i="1" s="1"/>
  <c r="S724" i="1"/>
  <c r="P744" i="1"/>
  <c r="Q744" i="1" s="1"/>
  <c r="X769" i="1"/>
  <c r="P771" i="1"/>
  <c r="V771" i="1" s="1"/>
  <c r="P782" i="1"/>
  <c r="P849" i="1"/>
  <c r="R849" i="1" s="1"/>
  <c r="P868" i="1"/>
  <c r="Q868" i="1" s="1"/>
  <c r="W881" i="1"/>
  <c r="R947" i="1"/>
  <c r="P971" i="1"/>
  <c r="S971" i="1" s="1"/>
  <c r="T972" i="1"/>
  <c r="P1037" i="1"/>
  <c r="S1037" i="1" s="1"/>
  <c r="X1053" i="1"/>
  <c r="W1143" i="1"/>
  <c r="F1169" i="1"/>
  <c r="P1485" i="1"/>
  <c r="V1485" i="1" s="1"/>
  <c r="X1541" i="1"/>
  <c r="S1556" i="1"/>
  <c r="T1556" i="1"/>
  <c r="Y1575" i="1"/>
  <c r="X970" i="1"/>
  <c r="X1055" i="1"/>
  <c r="X1074" i="1"/>
  <c r="V1083" i="1"/>
  <c r="P1092" i="1"/>
  <c r="R1092" i="1" s="1"/>
  <c r="U1123" i="1"/>
  <c r="T1123" i="1"/>
  <c r="O1123" i="1"/>
  <c r="U1220" i="1"/>
  <c r="W1261" i="1"/>
  <c r="R1261" i="1"/>
  <c r="Q1276" i="1"/>
  <c r="W1276" i="1"/>
  <c r="F1298" i="1"/>
  <c r="P1298" i="1" s="1"/>
  <c r="V1298" i="1" s="1"/>
  <c r="T1324" i="1"/>
  <c r="S1365" i="1"/>
  <c r="Q1400" i="1"/>
  <c r="W1400" i="1"/>
  <c r="U1436" i="1"/>
  <c r="W1436" i="1"/>
  <c r="R1445" i="1"/>
  <c r="S1509" i="1"/>
  <c r="O1556" i="1"/>
  <c r="X1580" i="1"/>
  <c r="X1582" i="1"/>
  <c r="F1107" i="1"/>
  <c r="P1107" i="1" s="1"/>
  <c r="U1186" i="1"/>
  <c r="T1186" i="1"/>
  <c r="X1210" i="1"/>
  <c r="W1235" i="1"/>
  <c r="T1235" i="1"/>
  <c r="P1307" i="1"/>
  <c r="V1307" i="1" s="1"/>
  <c r="W1324" i="1"/>
  <c r="X1331" i="1"/>
  <c r="X1377" i="1"/>
  <c r="X1388" i="1"/>
  <c r="X1397" i="1"/>
  <c r="F1441" i="1"/>
  <c r="P1441" i="1" s="1"/>
  <c r="R1441" i="1" s="1"/>
  <c r="F1436" i="1"/>
  <c r="P1436" i="1" s="1"/>
  <c r="V1436" i="1" s="1"/>
  <c r="X1439" i="1"/>
  <c r="S1445" i="1"/>
  <c r="U1494" i="1"/>
  <c r="R1494" i="1"/>
  <c r="Q1494" i="1"/>
  <c r="W1509" i="1"/>
  <c r="X1544" i="1"/>
  <c r="U1556" i="1"/>
  <c r="U1592" i="1"/>
  <c r="Q1592" i="1"/>
  <c r="X1596" i="1"/>
  <c r="X1191" i="1"/>
  <c r="X1251" i="1"/>
  <c r="X1337" i="1"/>
  <c r="T1445" i="1"/>
  <c r="P1454" i="1"/>
  <c r="Q1454" i="1" s="1"/>
  <c r="V1545" i="1"/>
  <c r="T1545" i="1"/>
  <c r="S1545" i="1"/>
  <c r="P1573" i="1"/>
  <c r="S1573" i="1" s="1"/>
  <c r="X1588" i="1"/>
  <c r="T1144" i="1"/>
  <c r="Q1144" i="1"/>
  <c r="X1173" i="1"/>
  <c r="F1237" i="1"/>
  <c r="P1237" i="1" s="1"/>
  <c r="P1232" i="1"/>
  <c r="T1232" i="1" s="1"/>
  <c r="P1321" i="1"/>
  <c r="T1321" i="1" s="1"/>
  <c r="F1324" i="1"/>
  <c r="X1459" i="1"/>
  <c r="X1553" i="1"/>
  <c r="X1590" i="1"/>
  <c r="X1109" i="1"/>
  <c r="X1149" i="1"/>
  <c r="R1205" i="1"/>
  <c r="S1242" i="1"/>
  <c r="O1242" i="1"/>
  <c r="P1242" i="1" s="1"/>
  <c r="P1281" i="1"/>
  <c r="S1281" i="1" s="1"/>
  <c r="Q1364" i="1"/>
  <c r="O1364" i="1"/>
  <c r="X1524" i="1"/>
  <c r="X1527" i="1"/>
  <c r="P1019" i="1"/>
  <c r="R1019" i="1" s="1"/>
  <c r="S1050" i="1"/>
  <c r="X1089" i="1"/>
  <c r="P1103" i="1"/>
  <c r="R1103" i="1" s="1"/>
  <c r="P1127" i="1"/>
  <c r="Q1127" i="1" s="1"/>
  <c r="X1133" i="1"/>
  <c r="W1141" i="1"/>
  <c r="U1141" i="1"/>
  <c r="O1141" i="1"/>
  <c r="S1175" i="1"/>
  <c r="Q1175" i="1"/>
  <c r="X1181" i="1"/>
  <c r="R1199" i="1"/>
  <c r="W1199" i="1"/>
  <c r="S1199" i="1"/>
  <c r="X1258" i="1"/>
  <c r="X1300" i="1"/>
  <c r="P1303" i="1"/>
  <c r="Q1303" i="1" s="1"/>
  <c r="X1303" i="1" s="1"/>
  <c r="O1305" i="1"/>
  <c r="P1305" i="1" s="1"/>
  <c r="U1313" i="1"/>
  <c r="U1353" i="1"/>
  <c r="D1355" i="1"/>
  <c r="Q1353" i="1"/>
  <c r="X1360" i="1"/>
  <c r="T1381" i="1"/>
  <c r="Q1381" i="1"/>
  <c r="R1391" i="1"/>
  <c r="X1391" i="1" s="1"/>
  <c r="Q1391" i="1"/>
  <c r="R1409" i="1"/>
  <c r="U1409" i="1"/>
  <c r="T1409" i="1"/>
  <c r="O1409" i="1"/>
  <c r="P1409" i="1" s="1"/>
  <c r="Q1409" i="1" s="1"/>
  <c r="S1411" i="1"/>
  <c r="S1418" i="1"/>
  <c r="X1461" i="1"/>
  <c r="S1494" i="1"/>
  <c r="V1503" i="1"/>
  <c r="U1520" i="1"/>
  <c r="V1529" i="1"/>
  <c r="T1529" i="1"/>
  <c r="O1529" i="1"/>
  <c r="P1529" i="1" s="1"/>
  <c r="D1531" i="1"/>
  <c r="V1531" i="1" s="1"/>
  <c r="W1529" i="1"/>
  <c r="X1542" i="1"/>
  <c r="X1610" i="1"/>
  <c r="V1555" i="1"/>
  <c r="U1555" i="1"/>
  <c r="O1555" i="1"/>
  <c r="P1555" i="1" s="1"/>
  <c r="P1604" i="1"/>
  <c r="R1604" i="1" s="1"/>
  <c r="U1144" i="1"/>
  <c r="X1161" i="1"/>
  <c r="X1201" i="1"/>
  <c r="X1214" i="1"/>
  <c r="Q1305" i="1"/>
  <c r="P1373" i="1"/>
  <c r="Q1373" i="1" s="1"/>
  <c r="X1373" i="1" s="1"/>
  <c r="X1394" i="1"/>
  <c r="U1411" i="1"/>
  <c r="W1435" i="1"/>
  <c r="Q1435" i="1"/>
  <c r="U1476" i="1"/>
  <c r="R1493" i="1"/>
  <c r="O1493" i="1"/>
  <c r="P1493" i="1" s="1"/>
  <c r="S1493" i="1" s="1"/>
  <c r="V1493" i="1"/>
  <c r="X1493" i="1" s="1"/>
  <c r="Q1503" i="1"/>
  <c r="U1517" i="1"/>
  <c r="U1614" i="1"/>
  <c r="Q1614" i="1"/>
  <c r="X983" i="1"/>
  <c r="X1036" i="1"/>
  <c r="O1059" i="1"/>
  <c r="P1059" i="1" s="1"/>
  <c r="T1141" i="1"/>
  <c r="W1144" i="1"/>
  <c r="X1152" i="1"/>
  <c r="P1175" i="1"/>
  <c r="Q1199" i="1"/>
  <c r="U1235" i="1"/>
  <c r="X1235" i="1" s="1"/>
  <c r="R1237" i="1"/>
  <c r="R1305" i="1"/>
  <c r="P1341" i="1"/>
  <c r="Q1341" i="1" s="1"/>
  <c r="X1341" i="1" s="1"/>
  <c r="X1343" i="1"/>
  <c r="S1353" i="1"/>
  <c r="W1364" i="1"/>
  <c r="R1381" i="1"/>
  <c r="X1396" i="1"/>
  <c r="S1409" i="1"/>
  <c r="W1411" i="1"/>
  <c r="U1417" i="1"/>
  <c r="T1417" i="1"/>
  <c r="X1453" i="1"/>
  <c r="W1476" i="1"/>
  <c r="U1485" i="1"/>
  <c r="R1485" i="1"/>
  <c r="Q1485" i="1"/>
  <c r="T1503" i="1"/>
  <c r="X1507" i="1"/>
  <c r="X1526" i="1"/>
  <c r="U1529" i="1"/>
  <c r="Q1555" i="1"/>
  <c r="X1302" i="1"/>
  <c r="Y1299" i="1" s="1"/>
  <c r="X1329" i="1"/>
  <c r="X1375" i="1"/>
  <c r="X1398" i="1"/>
  <c r="X1403" i="1"/>
  <c r="X1432" i="1"/>
  <c r="Q1445" i="1"/>
  <c r="W1445" i="1"/>
  <c r="W1466" i="1"/>
  <c r="V1466" i="1"/>
  <c r="X1480" i="1"/>
  <c r="P1322" i="1"/>
  <c r="R1322" i="1" s="1"/>
  <c r="P1356" i="1"/>
  <c r="V1356" i="1" s="1"/>
  <c r="X1406" i="1"/>
  <c r="P1501" i="1"/>
  <c r="S1501" i="1" s="1"/>
  <c r="X1501" i="1" s="1"/>
  <c r="P1580" i="1"/>
  <c r="V1580" i="1" s="1"/>
  <c r="X1583" i="1"/>
  <c r="V1605" i="1"/>
  <c r="V1603" i="1"/>
  <c r="V1604" i="1"/>
  <c r="X1056" i="1"/>
  <c r="P1156" i="1"/>
  <c r="Q1156" i="1" s="1"/>
  <c r="X1163" i="1"/>
  <c r="X1190" i="1"/>
  <c r="X1218" i="1"/>
  <c r="F1365" i="1"/>
  <c r="P1365" i="1" s="1"/>
  <c r="V1365" i="1" s="1"/>
  <c r="Q1380" i="1"/>
  <c r="X1386" i="1"/>
  <c r="X1488" i="1"/>
  <c r="X1577" i="1"/>
  <c r="X1623" i="1"/>
  <c r="P1626" i="1"/>
  <c r="P1592" i="1"/>
  <c r="V1592" i="1" s="1"/>
  <c r="X1618" i="1"/>
  <c r="R1626" i="1"/>
  <c r="P1631" i="1"/>
  <c r="Q1631" i="1" s="1"/>
  <c r="X1631" i="1" s="1"/>
  <c r="R1632" i="1"/>
  <c r="X1075" i="1"/>
  <c r="X1162" i="1"/>
  <c r="U1380" i="1"/>
  <c r="P1400" i="1"/>
  <c r="T1412" i="1"/>
  <c r="P1510" i="1"/>
  <c r="S1632" i="1"/>
  <c r="X1137" i="1"/>
  <c r="X1211" i="1"/>
  <c r="X1232" i="1"/>
  <c r="P1274" i="1"/>
  <c r="S1274" i="1" s="1"/>
  <c r="P1283" i="1"/>
  <c r="X1293" i="1"/>
  <c r="X1296" i="1"/>
  <c r="X1321" i="1"/>
  <c r="X1376" i="1"/>
  <c r="X1433" i="1"/>
  <c r="P1532" i="1"/>
  <c r="X1534" i="1"/>
  <c r="P1544" i="1"/>
  <c r="R1544" i="1" s="1"/>
  <c r="X1551" i="1"/>
  <c r="X1568" i="1"/>
  <c r="O1579" i="1"/>
  <c r="P1579" i="1" s="1"/>
  <c r="P1586" i="1"/>
  <c r="V1586" i="1" s="1"/>
  <c r="O1605" i="1"/>
  <c r="T1632" i="1"/>
  <c r="U1632" i="1"/>
  <c r="P1467" i="1"/>
  <c r="X1560" i="1"/>
  <c r="P1578" i="1"/>
  <c r="Q1578" i="1" s="1"/>
  <c r="X1578" i="1" s="1"/>
  <c r="P1603" i="1"/>
  <c r="R1603" i="1" s="1"/>
  <c r="X1603" i="1" s="1"/>
  <c r="S1605" i="1"/>
  <c r="P1520" i="1"/>
  <c r="U1605" i="1"/>
  <c r="X1616" i="1"/>
  <c r="W29" i="1"/>
  <c r="V29" i="1"/>
  <c r="U29" i="1"/>
  <c r="S29" i="1"/>
  <c r="Q29" i="1"/>
  <c r="T29" i="1"/>
  <c r="O29" i="1"/>
  <c r="P29" i="1" s="1"/>
  <c r="R29" i="1" s="1"/>
  <c r="Q1150" i="1"/>
  <c r="R1150" i="1"/>
  <c r="S1150" i="1"/>
  <c r="U1150" i="1"/>
  <c r="T1150" i="1"/>
  <c r="W1150" i="1"/>
  <c r="P11" i="1"/>
  <c r="S80" i="1"/>
  <c r="W80" i="1"/>
  <c r="V80" i="1"/>
  <c r="U80" i="1"/>
  <c r="Q80" i="1"/>
  <c r="T80" i="1"/>
  <c r="O80" i="1"/>
  <c r="P80" i="1" s="1"/>
  <c r="R80" i="1" s="1"/>
  <c r="S176" i="1"/>
  <c r="X699" i="1"/>
  <c r="T22" i="1"/>
  <c r="W22" i="1"/>
  <c r="V22" i="1"/>
  <c r="U22" i="1"/>
  <c r="R22" i="1"/>
  <c r="Q22" i="1"/>
  <c r="S22" i="1"/>
  <c r="X171" i="1"/>
  <c r="T643" i="1"/>
  <c r="D645" i="1"/>
  <c r="U643" i="1"/>
  <c r="O643" i="1"/>
  <c r="P643" i="1" s="1"/>
  <c r="R643" i="1" s="1"/>
  <c r="V643" i="1"/>
  <c r="S643" i="1"/>
  <c r="Q643" i="1"/>
  <c r="W643" i="1"/>
  <c r="T48" i="1"/>
  <c r="W48" i="1"/>
  <c r="U48" i="1"/>
  <c r="R48" i="1"/>
  <c r="S48" i="1"/>
  <c r="V48" i="1"/>
  <c r="Q48" i="1"/>
  <c r="X68" i="1"/>
  <c r="O121" i="1"/>
  <c r="P121" i="1" s="1"/>
  <c r="R121" i="1" s="1"/>
  <c r="W121" i="1"/>
  <c r="V121" i="1"/>
  <c r="U121" i="1"/>
  <c r="S121" i="1"/>
  <c r="Q121" i="1"/>
  <c r="T121" i="1"/>
  <c r="P550" i="1"/>
  <c r="T550" i="1" s="1"/>
  <c r="X550" i="1" s="1"/>
  <c r="F555" i="1"/>
  <c r="P555" i="1" s="1"/>
  <c r="V555" i="1" s="1"/>
  <c r="W626" i="1"/>
  <c r="V626" i="1"/>
  <c r="U626" i="1"/>
  <c r="T626" i="1"/>
  <c r="S626" i="1"/>
  <c r="Q626" i="1"/>
  <c r="R626" i="1"/>
  <c r="W31" i="1"/>
  <c r="V31" i="1"/>
  <c r="U31" i="1"/>
  <c r="S31" i="1"/>
  <c r="Q31" i="1"/>
  <c r="T31" i="1"/>
  <c r="O31" i="1"/>
  <c r="P31" i="1" s="1"/>
  <c r="R31" i="1" s="1"/>
  <c r="W274" i="1"/>
  <c r="V274" i="1"/>
  <c r="Q274" i="1"/>
  <c r="O274" i="1"/>
  <c r="P274" i="1" s="1"/>
  <c r="S274" i="1" s="1"/>
  <c r="U274" i="1"/>
  <c r="T274" i="1"/>
  <c r="R274" i="1"/>
  <c r="D276" i="1"/>
  <c r="X37" i="1"/>
  <c r="X595" i="1"/>
  <c r="W532" i="1"/>
  <c r="V532" i="1"/>
  <c r="U532" i="1"/>
  <c r="T532" i="1"/>
  <c r="R532" i="1"/>
  <c r="Q532" i="1"/>
  <c r="S532" i="1"/>
  <c r="X27" i="1"/>
  <c r="T39" i="1"/>
  <c r="S39" i="1"/>
  <c r="U39" i="1"/>
  <c r="Q39" i="1"/>
  <c r="O39" i="1"/>
  <c r="P39" i="1" s="1"/>
  <c r="R39" i="1" s="1"/>
  <c r="W39" i="1"/>
  <c r="V39" i="1"/>
  <c r="K4" i="1"/>
  <c r="O92" i="1"/>
  <c r="P92" i="1" s="1"/>
  <c r="R92" i="1" s="1"/>
  <c r="W92" i="1"/>
  <c r="U92" i="1"/>
  <c r="V92" i="1"/>
  <c r="Q92" i="1"/>
  <c r="T92" i="1"/>
  <c r="S92" i="1"/>
  <c r="X492" i="1"/>
  <c r="X712" i="1"/>
  <c r="S819" i="1"/>
  <c r="W819" i="1"/>
  <c r="V819" i="1"/>
  <c r="R819" i="1"/>
  <c r="Q819" i="1"/>
  <c r="T819" i="1"/>
  <c r="U819" i="1"/>
  <c r="D821" i="1"/>
  <c r="O819" i="1"/>
  <c r="P819" i="1" s="1"/>
  <c r="X446" i="1"/>
  <c r="X476" i="1"/>
  <c r="O479" i="1"/>
  <c r="P479" i="1" s="1"/>
  <c r="S479" i="1" s="1"/>
  <c r="Q479" i="1"/>
  <c r="W479" i="1"/>
  <c r="U479" i="1"/>
  <c r="R479" i="1"/>
  <c r="T479" i="1"/>
  <c r="V479" i="1"/>
  <c r="M4" i="1"/>
  <c r="X17" i="1"/>
  <c r="O30" i="1"/>
  <c r="P30" i="1" s="1"/>
  <c r="R30" i="1" s="1"/>
  <c r="W30" i="1"/>
  <c r="V30" i="1"/>
  <c r="U30" i="1"/>
  <c r="S30" i="1"/>
  <c r="Q30" i="1"/>
  <c r="T30" i="1"/>
  <c r="S111" i="1"/>
  <c r="R111" i="1"/>
  <c r="Q111" i="1"/>
  <c r="T111" i="1"/>
  <c r="U111" i="1"/>
  <c r="W111" i="1"/>
  <c r="W187" i="1"/>
  <c r="V187" i="1"/>
  <c r="Q187" i="1"/>
  <c r="O187" i="1"/>
  <c r="P187" i="1" s="1"/>
  <c r="S187" i="1" s="1"/>
  <c r="R187" i="1"/>
  <c r="O246" i="1"/>
  <c r="P246" i="1" s="1"/>
  <c r="S246" i="1" s="1"/>
  <c r="V246" i="1"/>
  <c r="W246" i="1"/>
  <c r="U246" i="1"/>
  <c r="T246" i="1"/>
  <c r="W308" i="1"/>
  <c r="V308" i="1"/>
  <c r="T308" i="1"/>
  <c r="U308" i="1"/>
  <c r="R308" i="1"/>
  <c r="O308" i="1"/>
  <c r="P308" i="1" s="1"/>
  <c r="S308" i="1" s="1"/>
  <c r="X390" i="1"/>
  <c r="Y430" i="1"/>
  <c r="X434" i="1"/>
  <c r="F524" i="1"/>
  <c r="P524" i="1" s="1"/>
  <c r="R524" i="1" s="1"/>
  <c r="X524" i="1" s="1"/>
  <c r="F523" i="1"/>
  <c r="P523" i="1" s="1"/>
  <c r="R523" i="1" s="1"/>
  <c r="X523" i="1" s="1"/>
  <c r="F525" i="1"/>
  <c r="F522" i="1"/>
  <c r="F516" i="1"/>
  <c r="X567" i="1"/>
  <c r="R696" i="1"/>
  <c r="V696" i="1"/>
  <c r="U696" i="1"/>
  <c r="O696" i="1"/>
  <c r="P696" i="1" s="1"/>
  <c r="S696" i="1" s="1"/>
  <c r="W696" i="1"/>
  <c r="Q696" i="1"/>
  <c r="T696" i="1"/>
  <c r="X748" i="1"/>
  <c r="P32" i="1"/>
  <c r="P40" i="1"/>
  <c r="X54" i="1"/>
  <c r="X75" i="1"/>
  <c r="X137" i="1"/>
  <c r="P184" i="1"/>
  <c r="V184" i="1" s="1"/>
  <c r="X184" i="1" s="1"/>
  <c r="F189" i="1"/>
  <c r="P189" i="1" s="1"/>
  <c r="Q400" i="1"/>
  <c r="U400" i="1"/>
  <c r="T400" i="1"/>
  <c r="S400" i="1"/>
  <c r="W400" i="1"/>
  <c r="V400" i="1"/>
  <c r="O400" i="1"/>
  <c r="P400" i="1" s="1"/>
  <c r="R400" i="1" s="1"/>
  <c r="X427" i="1"/>
  <c r="X463" i="1"/>
  <c r="X484" i="1"/>
  <c r="P576" i="1"/>
  <c r="V576" i="1" s="1"/>
  <c r="X633" i="1"/>
  <c r="X719" i="1"/>
  <c r="X724" i="1"/>
  <c r="P763" i="1"/>
  <c r="R763" i="1" s="1"/>
  <c r="P21" i="1"/>
  <c r="O47" i="1"/>
  <c r="P47" i="1" s="1"/>
  <c r="R47" i="1" s="1"/>
  <c r="T47" i="1"/>
  <c r="W47" i="1"/>
  <c r="V47" i="1"/>
  <c r="S47" i="1"/>
  <c r="Q47" i="1"/>
  <c r="Q63" i="1"/>
  <c r="O63" i="1"/>
  <c r="P63" i="1" s="1"/>
  <c r="R63" i="1" s="1"/>
  <c r="W63" i="1"/>
  <c r="T63" i="1"/>
  <c r="S63" i="1"/>
  <c r="V63" i="1"/>
  <c r="P102" i="1"/>
  <c r="S102" i="1" s="1"/>
  <c r="U133" i="1"/>
  <c r="T133" i="1"/>
  <c r="Q133" i="1"/>
  <c r="V133" i="1"/>
  <c r="S133" i="1"/>
  <c r="R133" i="1"/>
  <c r="X136" i="1"/>
  <c r="X172" i="1"/>
  <c r="X219" i="1"/>
  <c r="X228" i="1"/>
  <c r="X264" i="1"/>
  <c r="X271" i="1"/>
  <c r="Q308" i="1"/>
  <c r="Q318" i="1"/>
  <c r="O318" i="1"/>
  <c r="P318" i="1" s="1"/>
  <c r="S318" i="1" s="1"/>
  <c r="T318" i="1"/>
  <c r="R318" i="1"/>
  <c r="U318" i="1"/>
  <c r="X511" i="1"/>
  <c r="T514" i="1"/>
  <c r="V514" i="1"/>
  <c r="U514" i="1"/>
  <c r="D516" i="1"/>
  <c r="W514" i="1"/>
  <c r="O514" i="1"/>
  <c r="P514" i="1" s="1"/>
  <c r="R514" i="1" s="1"/>
  <c r="P526" i="1"/>
  <c r="X549" i="1"/>
  <c r="S554" i="1"/>
  <c r="Q554" i="1"/>
  <c r="U554" i="1"/>
  <c r="O554" i="1"/>
  <c r="P554" i="1" s="1"/>
  <c r="R554" i="1" s="1"/>
  <c r="W554" i="1"/>
  <c r="T554" i="1"/>
  <c r="V554" i="1"/>
  <c r="X570" i="1"/>
  <c r="X624" i="1"/>
  <c r="Q631" i="1"/>
  <c r="W631" i="1"/>
  <c r="T631" i="1"/>
  <c r="S631" i="1"/>
  <c r="R631" i="1"/>
  <c r="U631" i="1"/>
  <c r="X888" i="1"/>
  <c r="W1268" i="1"/>
  <c r="R1268" i="1"/>
  <c r="Q1268" i="1"/>
  <c r="U1268" i="1"/>
  <c r="V1268" i="1"/>
  <c r="T1268" i="1"/>
  <c r="O1268" i="1"/>
  <c r="P1268" i="1" s="1"/>
  <c r="S1268" i="1" s="1"/>
  <c r="X8" i="1"/>
  <c r="X42" i="1"/>
  <c r="X60" i="1"/>
  <c r="P111" i="1"/>
  <c r="V111" i="1" s="1"/>
  <c r="X135" i="1"/>
  <c r="X147" i="1"/>
  <c r="X162" i="1"/>
  <c r="Q246" i="1"/>
  <c r="R258" i="1"/>
  <c r="Q258" i="1"/>
  <c r="U258" i="1"/>
  <c r="W258" i="1"/>
  <c r="S258" i="1"/>
  <c r="X260" i="1"/>
  <c r="X378" i="1"/>
  <c r="X477" i="1"/>
  <c r="X542" i="1"/>
  <c r="X561" i="1"/>
  <c r="X598" i="1"/>
  <c r="W602" i="1"/>
  <c r="U602" i="1"/>
  <c r="S602" i="1"/>
  <c r="Q602" i="1"/>
  <c r="R602" i="1"/>
  <c r="T602" i="1"/>
  <c r="X628" i="1"/>
  <c r="X638" i="1"/>
  <c r="X802" i="1"/>
  <c r="P46" i="1"/>
  <c r="R46" i="1" s="1"/>
  <c r="X46" i="1" s="1"/>
  <c r="P56" i="1"/>
  <c r="V56" i="1" s="1"/>
  <c r="X115" i="1"/>
  <c r="X124" i="1"/>
  <c r="X170" i="1"/>
  <c r="X179" i="1"/>
  <c r="T234" i="1"/>
  <c r="W234" i="1"/>
  <c r="R234" i="1"/>
  <c r="V234" i="1"/>
  <c r="Q234" i="1"/>
  <c r="D236" i="1"/>
  <c r="U234" i="1"/>
  <c r="X307" i="1"/>
  <c r="X358" i="1"/>
  <c r="U363" i="1"/>
  <c r="Q363" i="1"/>
  <c r="W363" i="1"/>
  <c r="S363" i="1"/>
  <c r="R363" i="1"/>
  <c r="X412" i="1"/>
  <c r="X534" i="1"/>
  <c r="X597" i="1"/>
  <c r="X872" i="1"/>
  <c r="X893" i="1"/>
  <c r="P1143" i="1"/>
  <c r="X1147" i="1"/>
  <c r="X292" i="1"/>
  <c r="O296" i="1"/>
  <c r="P296" i="1" s="1"/>
  <c r="R296" i="1" s="1"/>
  <c r="V296" i="1"/>
  <c r="S296" i="1"/>
  <c r="W296" i="1"/>
  <c r="D298" i="1"/>
  <c r="U296" i="1"/>
  <c r="Q296" i="1"/>
  <c r="T449" i="1"/>
  <c r="R449" i="1"/>
  <c r="Q449" i="1"/>
  <c r="W449" i="1"/>
  <c r="S449" i="1"/>
  <c r="U449" i="1"/>
  <c r="X502" i="1"/>
  <c r="X510" i="1"/>
  <c r="U664" i="1"/>
  <c r="D666" i="1"/>
  <c r="W664" i="1"/>
  <c r="V664" i="1"/>
  <c r="T664" i="1"/>
  <c r="Q664" i="1"/>
  <c r="S664" i="1"/>
  <c r="I4" i="1"/>
  <c r="X24" i="1"/>
  <c r="X67" i="1"/>
  <c r="X89" i="1"/>
  <c r="X126" i="1"/>
  <c r="U165" i="1"/>
  <c r="T165" i="1"/>
  <c r="S165" i="1"/>
  <c r="W165" i="1"/>
  <c r="Q165" i="1"/>
  <c r="O234" i="1"/>
  <c r="P234" i="1" s="1"/>
  <c r="S234" i="1" s="1"/>
  <c r="X252" i="1"/>
  <c r="W318" i="1"/>
  <c r="X323" i="1"/>
  <c r="D584" i="1"/>
  <c r="O582" i="1"/>
  <c r="P582" i="1" s="1"/>
  <c r="Q582" i="1" s="1"/>
  <c r="V582" i="1"/>
  <c r="R582" i="1"/>
  <c r="T582" i="1"/>
  <c r="P600" i="1"/>
  <c r="R600" i="1" s="1"/>
  <c r="W764" i="1"/>
  <c r="S764" i="1"/>
  <c r="T764" i="1"/>
  <c r="Q764" i="1"/>
  <c r="O764" i="1"/>
  <c r="P764" i="1" s="1"/>
  <c r="R764" i="1" s="1"/>
  <c r="Q771" i="1"/>
  <c r="U771" i="1"/>
  <c r="T771" i="1"/>
  <c r="W771" i="1"/>
  <c r="S771" i="1"/>
  <c r="R771" i="1"/>
  <c r="X173" i="1"/>
  <c r="X230" i="1"/>
  <c r="T296" i="1"/>
  <c r="U329" i="1"/>
  <c r="R329" i="1"/>
  <c r="V329" i="1"/>
  <c r="T329" i="1"/>
  <c r="S329" i="1"/>
  <c r="O329" i="1"/>
  <c r="P329" i="1" s="1"/>
  <c r="W329" i="1"/>
  <c r="Q329" i="1"/>
  <c r="T363" i="1"/>
  <c r="X365" i="1"/>
  <c r="Y387" i="1"/>
  <c r="X560" i="1"/>
  <c r="O664" i="1"/>
  <c r="P664" i="1" s="1"/>
  <c r="R664" i="1" s="1"/>
  <c r="Q752" i="1"/>
  <c r="W752" i="1"/>
  <c r="V752" i="1"/>
  <c r="O752" i="1"/>
  <c r="P752" i="1" s="1"/>
  <c r="R752" i="1" s="1"/>
  <c r="X755" i="1"/>
  <c r="O834" i="1"/>
  <c r="P834" i="1" s="1"/>
  <c r="V834" i="1" s="1"/>
  <c r="X834" i="1" s="1"/>
  <c r="O860" i="1"/>
  <c r="P860" i="1" s="1"/>
  <c r="V860" i="1" s="1"/>
  <c r="S940" i="1"/>
  <c r="R940" i="1"/>
  <c r="W940" i="1"/>
  <c r="V940" i="1"/>
  <c r="U940" i="1"/>
  <c r="Q940" i="1"/>
  <c r="T940" i="1"/>
  <c r="V32" i="1"/>
  <c r="U32" i="1"/>
  <c r="T32" i="1"/>
  <c r="R32" i="1"/>
  <c r="Q32" i="1"/>
  <c r="W32" i="1"/>
  <c r="S32" i="1"/>
  <c r="X35" i="1"/>
  <c r="Q82" i="1"/>
  <c r="W82" i="1"/>
  <c r="U82" i="1"/>
  <c r="S82" i="1"/>
  <c r="T82" i="1"/>
  <c r="V82" i="1"/>
  <c r="X141" i="1"/>
  <c r="X163" i="1"/>
  <c r="U189" i="1"/>
  <c r="T189" i="1"/>
  <c r="S189" i="1"/>
  <c r="V189" i="1"/>
  <c r="R189" i="1"/>
  <c r="Q189" i="1"/>
  <c r="X203" i="1"/>
  <c r="P255" i="1"/>
  <c r="R255" i="1" s="1"/>
  <c r="X273" i="1"/>
  <c r="X282" i="1"/>
  <c r="X291" i="1"/>
  <c r="O297" i="1"/>
  <c r="P297" i="1" s="1"/>
  <c r="R297" i="1" s="1"/>
  <c r="W297" i="1"/>
  <c r="T297" i="1"/>
  <c r="V297" i="1"/>
  <c r="S297" i="1"/>
  <c r="U297" i="1"/>
  <c r="Q297" i="1"/>
  <c r="X336" i="1"/>
  <c r="X360" i="1"/>
  <c r="R370" i="1"/>
  <c r="S370" i="1"/>
  <c r="Q370" i="1"/>
  <c r="U370" i="1"/>
  <c r="O370" i="1"/>
  <c r="P370" i="1" s="1"/>
  <c r="V370" i="1"/>
  <c r="D372" i="1"/>
  <c r="T370" i="1"/>
  <c r="W370" i="1"/>
  <c r="X396" i="1"/>
  <c r="V449" i="1"/>
  <c r="X454" i="1"/>
  <c r="D564" i="1"/>
  <c r="Q562" i="1"/>
  <c r="V562" i="1"/>
  <c r="T562" i="1"/>
  <c r="S562" i="1"/>
  <c r="U562" i="1"/>
  <c r="W562" i="1"/>
  <c r="O562" i="1"/>
  <c r="P562" i="1" s="1"/>
  <c r="R562" i="1" s="1"/>
  <c r="S582" i="1"/>
  <c r="X625" i="1"/>
  <c r="U764" i="1"/>
  <c r="X868" i="1"/>
  <c r="F1188" i="1"/>
  <c r="P1188" i="1" s="1"/>
  <c r="P1183" i="1"/>
  <c r="U1183" i="1" s="1"/>
  <c r="L4" i="1"/>
  <c r="U21" i="1"/>
  <c r="W21" i="1"/>
  <c r="V21" i="1"/>
  <c r="T21" i="1"/>
  <c r="R21" i="1"/>
  <c r="Q21" i="1"/>
  <c r="S40" i="1"/>
  <c r="T40" i="1"/>
  <c r="V40" i="1"/>
  <c r="U40" i="1"/>
  <c r="R40" i="1"/>
  <c r="R143" i="1"/>
  <c r="O143" i="1"/>
  <c r="P143" i="1" s="1"/>
  <c r="S143" i="1" s="1"/>
  <c r="W143" i="1"/>
  <c r="U143" i="1"/>
  <c r="T143" i="1"/>
  <c r="Q143" i="1"/>
  <c r="P165" i="1"/>
  <c r="R165" i="1" s="1"/>
  <c r="X182" i="1"/>
  <c r="X229" i="1"/>
  <c r="X251" i="1"/>
  <c r="X311" i="1"/>
  <c r="X327" i="1"/>
  <c r="X339" i="1"/>
  <c r="X393" i="1"/>
  <c r="X453" i="1"/>
  <c r="W496" i="1"/>
  <c r="U496" i="1"/>
  <c r="S496" i="1"/>
  <c r="Q496" i="1"/>
  <c r="R496" i="1"/>
  <c r="T496" i="1"/>
  <c r="X571" i="1"/>
  <c r="U573" i="1"/>
  <c r="Q573" i="1"/>
  <c r="O573" i="1"/>
  <c r="P573" i="1" s="1"/>
  <c r="R573" i="1" s="1"/>
  <c r="V573" i="1"/>
  <c r="S573" i="1"/>
  <c r="D575" i="1"/>
  <c r="T573" i="1"/>
  <c r="W573" i="1"/>
  <c r="X620" i="1"/>
  <c r="X661" i="1"/>
  <c r="X854" i="1"/>
  <c r="X62" i="1"/>
  <c r="X76" i="1"/>
  <c r="T79" i="1"/>
  <c r="V79" i="1"/>
  <c r="U79" i="1"/>
  <c r="S79" i="1"/>
  <c r="Q79" i="1"/>
  <c r="O79" i="1"/>
  <c r="P79" i="1" s="1"/>
  <c r="R79" i="1" s="1"/>
  <c r="X99" i="1"/>
  <c r="W131" i="1"/>
  <c r="V131" i="1"/>
  <c r="O131" i="1"/>
  <c r="P131" i="1" s="1"/>
  <c r="R131" i="1" s="1"/>
  <c r="W154" i="1"/>
  <c r="V154" i="1"/>
  <c r="T154" i="1"/>
  <c r="R154" i="1"/>
  <c r="X154" i="1" s="1"/>
  <c r="S154" i="1"/>
  <c r="X160" i="1"/>
  <c r="V167" i="1"/>
  <c r="X185" i="1"/>
  <c r="X216" i="1"/>
  <c r="X220" i="1"/>
  <c r="X243" i="1"/>
  <c r="X294" i="1"/>
  <c r="X312" i="1"/>
  <c r="X315" i="1"/>
  <c r="X394" i="1"/>
  <c r="P401" i="1"/>
  <c r="V401" i="1" s="1"/>
  <c r="X452" i="1"/>
  <c r="X455" i="1"/>
  <c r="T457" i="1"/>
  <c r="S457" i="1"/>
  <c r="Q457" i="1"/>
  <c r="W457" i="1"/>
  <c r="U457" i="1"/>
  <c r="R457" i="1"/>
  <c r="X466" i="1"/>
  <c r="P538" i="1"/>
  <c r="Q538" i="1" s="1"/>
  <c r="X538" i="1" s="1"/>
  <c r="X618" i="1"/>
  <c r="X642" i="1"/>
  <c r="X671" i="1"/>
  <c r="X700" i="1"/>
  <c r="P758" i="1"/>
  <c r="X867" i="1"/>
  <c r="X873" i="1"/>
  <c r="Y870" i="1" s="1"/>
  <c r="V1207" i="1"/>
  <c r="U1207" i="1"/>
  <c r="W1207" i="1"/>
  <c r="T1207" i="1"/>
  <c r="O1207" i="1"/>
  <c r="P1207" i="1" s="1"/>
  <c r="S1207" i="1"/>
  <c r="R1207" i="1"/>
  <c r="Q1207" i="1"/>
  <c r="W1221" i="1"/>
  <c r="Q1221" i="1"/>
  <c r="R1221" i="1"/>
  <c r="U1221" i="1"/>
  <c r="T1221" i="1"/>
  <c r="S1221" i="1"/>
  <c r="X1451" i="1"/>
  <c r="X192" i="1"/>
  <c r="X193" i="1"/>
  <c r="X197" i="1"/>
  <c r="R200" i="1"/>
  <c r="Q200" i="1"/>
  <c r="O200" i="1"/>
  <c r="P200" i="1" s="1"/>
  <c r="W200" i="1"/>
  <c r="X204" i="1"/>
  <c r="X283" i="1"/>
  <c r="R286" i="1"/>
  <c r="Q286" i="1"/>
  <c r="W286" i="1"/>
  <c r="V286" i="1"/>
  <c r="U286" i="1"/>
  <c r="O286" i="1"/>
  <c r="P286" i="1" s="1"/>
  <c r="S286" i="1" s="1"/>
  <c r="X301" i="1"/>
  <c r="X335" i="1"/>
  <c r="R355" i="1"/>
  <c r="Q355" i="1"/>
  <c r="T355" i="1"/>
  <c r="W355" i="1"/>
  <c r="U355" i="1"/>
  <c r="S355" i="1"/>
  <c r="W380" i="1"/>
  <c r="O380" i="1"/>
  <c r="P380" i="1" s="1"/>
  <c r="R380" i="1" s="1"/>
  <c r="Q380" i="1"/>
  <c r="X405" i="1"/>
  <c r="X420" i="1"/>
  <c r="X447" i="1"/>
  <c r="T471" i="1"/>
  <c r="W471" i="1"/>
  <c r="V471" i="1"/>
  <c r="R471" i="1"/>
  <c r="O471" i="1"/>
  <c r="P471" i="1" s="1"/>
  <c r="S471" i="1" s="1"/>
  <c r="Q471" i="1"/>
  <c r="X529" i="1"/>
  <c r="R576" i="1"/>
  <c r="S576" i="1"/>
  <c r="Q576" i="1"/>
  <c r="U576" i="1"/>
  <c r="W576" i="1"/>
  <c r="T576" i="1"/>
  <c r="P631" i="1"/>
  <c r="V631" i="1" s="1"/>
  <c r="X641" i="1"/>
  <c r="X685" i="1"/>
  <c r="V739" i="1"/>
  <c r="U739" i="1"/>
  <c r="T739" i="1"/>
  <c r="W739" i="1"/>
  <c r="R739" i="1"/>
  <c r="Q739" i="1"/>
  <c r="X825" i="1"/>
  <c r="X878" i="1"/>
  <c r="S895" i="1"/>
  <c r="W895" i="1"/>
  <c r="R895" i="1"/>
  <c r="Q895" i="1"/>
  <c r="U895" i="1"/>
  <c r="T895" i="1"/>
  <c r="V895" i="1"/>
  <c r="O895" i="1"/>
  <c r="P895" i="1" s="1"/>
  <c r="P913" i="1"/>
  <c r="R913" i="1" s="1"/>
  <c r="X913" i="1" s="1"/>
  <c r="X1005" i="1"/>
  <c r="W1010" i="1"/>
  <c r="Q1010" i="1"/>
  <c r="V1010" i="1"/>
  <c r="O1010" i="1"/>
  <c r="P1010" i="1" s="1"/>
  <c r="R1010" i="1" s="1"/>
  <c r="T1010" i="1"/>
  <c r="S1010" i="1"/>
  <c r="U1010" i="1"/>
  <c r="X1026" i="1"/>
  <c r="X1065" i="1"/>
  <c r="P1221" i="1"/>
  <c r="V1221" i="1" s="1"/>
  <c r="Q1323" i="1"/>
  <c r="W1323" i="1"/>
  <c r="V1323" i="1"/>
  <c r="O1323" i="1"/>
  <c r="P1323" i="1" s="1"/>
  <c r="R1323" i="1" s="1"/>
  <c r="S1323" i="1"/>
  <c r="T1323" i="1"/>
  <c r="U1323" i="1"/>
  <c r="N7" i="1"/>
  <c r="N4" i="1" s="1"/>
  <c r="J4" i="1"/>
  <c r="X88" i="1"/>
  <c r="X101" i="1"/>
  <c r="O120" i="1"/>
  <c r="P120" i="1" s="1"/>
  <c r="R120" i="1" s="1"/>
  <c r="U120" i="1"/>
  <c r="T120" i="1"/>
  <c r="S120" i="1"/>
  <c r="Q120" i="1"/>
  <c r="X129" i="1"/>
  <c r="O153" i="1"/>
  <c r="P153" i="1" s="1"/>
  <c r="S153" i="1" s="1"/>
  <c r="D155" i="1"/>
  <c r="Q153" i="1"/>
  <c r="W153" i="1"/>
  <c r="V153" i="1"/>
  <c r="T153" i="1"/>
  <c r="R153" i="1"/>
  <c r="P186" i="1"/>
  <c r="S186" i="1" s="1"/>
  <c r="X186" i="1" s="1"/>
  <c r="S200" i="1"/>
  <c r="O210" i="1"/>
  <c r="P210" i="1" s="1"/>
  <c r="S210" i="1" s="1"/>
  <c r="V210" i="1"/>
  <c r="D212" i="1"/>
  <c r="W210" i="1"/>
  <c r="T210" i="1"/>
  <c r="U210" i="1"/>
  <c r="X266" i="1"/>
  <c r="P285" i="1"/>
  <c r="S285" i="1" s="1"/>
  <c r="X285" i="1" s="1"/>
  <c r="Q287" i="1"/>
  <c r="V287" i="1"/>
  <c r="T287" i="1"/>
  <c r="U287" i="1"/>
  <c r="P309" i="1"/>
  <c r="X326" i="1"/>
  <c r="V355" i="1"/>
  <c r="X357" i="1"/>
  <c r="T380" i="1"/>
  <c r="X404" i="1"/>
  <c r="P440" i="1"/>
  <c r="Q440" i="1" s="1"/>
  <c r="X440" i="1" s="1"/>
  <c r="X445" i="1"/>
  <c r="V472" i="1"/>
  <c r="X513" i="1"/>
  <c r="X593" i="1"/>
  <c r="Y627" i="1"/>
  <c r="T665" i="1"/>
  <c r="Q665" i="1"/>
  <c r="O665" i="1"/>
  <c r="P665" i="1" s="1"/>
  <c r="R665" i="1" s="1"/>
  <c r="W665" i="1"/>
  <c r="X703" i="1"/>
  <c r="X735" i="1"/>
  <c r="S739" i="1"/>
  <c r="X775" i="1"/>
  <c r="X778" i="1"/>
  <c r="X824" i="1"/>
  <c r="X885" i="1"/>
  <c r="X1045" i="1"/>
  <c r="R1168" i="1"/>
  <c r="U1188" i="1"/>
  <c r="W1188" i="1"/>
  <c r="V1188" i="1"/>
  <c r="S1188" i="1"/>
  <c r="Q1188" i="1"/>
  <c r="X1188" i="1" s="1"/>
  <c r="T1188" i="1"/>
  <c r="R1188" i="1"/>
  <c r="X1266" i="1"/>
  <c r="X34" i="1"/>
  <c r="X66" i="1"/>
  <c r="X125" i="1"/>
  <c r="V164" i="1"/>
  <c r="U164" i="1"/>
  <c r="D166" i="1"/>
  <c r="W164" i="1"/>
  <c r="T164" i="1"/>
  <c r="S164" i="1"/>
  <c r="O164" i="1"/>
  <c r="P164" i="1" s="1"/>
  <c r="R164" i="1" s="1"/>
  <c r="X164" i="1" s="1"/>
  <c r="O175" i="1"/>
  <c r="P175" i="1" s="1"/>
  <c r="Q175" i="1" s="1"/>
  <c r="X175" i="1" s="1"/>
  <c r="V175" i="1"/>
  <c r="U175" i="1"/>
  <c r="T175" i="1"/>
  <c r="R175" i="1"/>
  <c r="T200" i="1"/>
  <c r="P254" i="1"/>
  <c r="R254" i="1" s="1"/>
  <c r="X254" i="1" s="1"/>
  <c r="S265" i="1"/>
  <c r="W265" i="1"/>
  <c r="U265" i="1"/>
  <c r="R265" i="1"/>
  <c r="T265" i="1"/>
  <c r="X303" i="1"/>
  <c r="X321" i="1"/>
  <c r="X325" i="1"/>
  <c r="X343" i="1"/>
  <c r="X359" i="1"/>
  <c r="X379" i="1"/>
  <c r="U380" i="1"/>
  <c r="X411" i="1"/>
  <c r="X414" i="1"/>
  <c r="X441" i="1"/>
  <c r="X528" i="1"/>
  <c r="X569" i="1"/>
  <c r="Q590" i="1"/>
  <c r="W590" i="1"/>
  <c r="U590" i="1"/>
  <c r="S590" i="1"/>
  <c r="R590" i="1"/>
  <c r="T590" i="1"/>
  <c r="X717" i="1"/>
  <c r="X788" i="1"/>
  <c r="X796" i="1"/>
  <c r="Y794" i="1" s="1"/>
  <c r="X920" i="1"/>
  <c r="X924" i="1"/>
  <c r="X958" i="1"/>
  <c r="S1196" i="1"/>
  <c r="Q1196" i="1"/>
  <c r="D1198" i="1"/>
  <c r="R1196" i="1"/>
  <c r="U1196" i="1"/>
  <c r="V1196" i="1"/>
  <c r="T1196" i="1"/>
  <c r="O1196" i="1"/>
  <c r="P1196" i="1" s="1"/>
  <c r="W1196" i="1"/>
  <c r="X1265" i="1"/>
  <c r="X1273" i="1"/>
  <c r="X69" i="1"/>
  <c r="X70" i="1"/>
  <c r="D81" i="1"/>
  <c r="X107" i="1"/>
  <c r="X110" i="1"/>
  <c r="X116" i="1"/>
  <c r="R144" i="1"/>
  <c r="Q144" i="1"/>
  <c r="O144" i="1"/>
  <c r="P144" i="1" s="1"/>
  <c r="S144" i="1" s="1"/>
  <c r="X148" i="1"/>
  <c r="U200" i="1"/>
  <c r="X213" i="1"/>
  <c r="X217" i="1"/>
  <c r="X280" i="1"/>
  <c r="X299" i="1"/>
  <c r="X302" i="1"/>
  <c r="X352" i="1"/>
  <c r="V380" i="1"/>
  <c r="Q435" i="1"/>
  <c r="W435" i="1"/>
  <c r="V435" i="1"/>
  <c r="U435" i="1"/>
  <c r="T435" i="1"/>
  <c r="R435" i="1"/>
  <c r="X461" i="1"/>
  <c r="Y458" i="1" s="1"/>
  <c r="X475" i="1"/>
  <c r="X483" i="1"/>
  <c r="X551" i="1"/>
  <c r="X652" i="1"/>
  <c r="V656" i="1"/>
  <c r="U656" i="1"/>
  <c r="S656" i="1"/>
  <c r="O656" i="1"/>
  <c r="P656" i="1" s="1"/>
  <c r="R656" i="1" s="1"/>
  <c r="X729" i="1"/>
  <c r="X826" i="1"/>
  <c r="X967" i="1"/>
  <c r="T1096" i="1"/>
  <c r="S1096" i="1"/>
  <c r="Q1096" i="1"/>
  <c r="U1096" i="1"/>
  <c r="R1096" i="1"/>
  <c r="W1096" i="1"/>
  <c r="X1178" i="1"/>
  <c r="F1255" i="1"/>
  <c r="P1255" i="1" s="1"/>
  <c r="P1250" i="1"/>
  <c r="U1250" i="1" s="1"/>
  <c r="V13" i="1"/>
  <c r="V14" i="1"/>
  <c r="T55" i="1"/>
  <c r="O105" i="1"/>
  <c r="P105" i="1" s="1"/>
  <c r="U105" i="1" s="1"/>
  <c r="X105" i="1" s="1"/>
  <c r="Y104" i="1" s="1"/>
  <c r="O108" i="1"/>
  <c r="P108" i="1" s="1"/>
  <c r="U108" i="1" s="1"/>
  <c r="X108" i="1" s="1"/>
  <c r="W91" i="1"/>
  <c r="X122" i="1"/>
  <c r="X128" i="1"/>
  <c r="V132" i="1"/>
  <c r="U132" i="1"/>
  <c r="V142" i="1"/>
  <c r="U186" i="1"/>
  <c r="D188" i="1"/>
  <c r="V198" i="1"/>
  <c r="X242" i="1"/>
  <c r="S257" i="1"/>
  <c r="R257" i="1"/>
  <c r="T257" i="1"/>
  <c r="O257" i="1"/>
  <c r="P257" i="1" s="1"/>
  <c r="P258" i="1"/>
  <c r="V258" i="1" s="1"/>
  <c r="O328" i="1"/>
  <c r="P328" i="1" s="1"/>
  <c r="D330" i="1"/>
  <c r="V328" i="1"/>
  <c r="S328" i="1"/>
  <c r="X345" i="1"/>
  <c r="P409" i="1"/>
  <c r="V409" i="1" s="1"/>
  <c r="V423" i="1"/>
  <c r="X439" i="1"/>
  <c r="X451" i="1"/>
  <c r="X482" i="1"/>
  <c r="V505" i="1"/>
  <c r="U505" i="1"/>
  <c r="O505" i="1"/>
  <c r="P505" i="1" s="1"/>
  <c r="R505" i="1" s="1"/>
  <c r="X543" i="1"/>
  <c r="X596" i="1"/>
  <c r="R608" i="1"/>
  <c r="W608" i="1"/>
  <c r="S608" i="1"/>
  <c r="O608" i="1"/>
  <c r="P608" i="1" s="1"/>
  <c r="X649" i="1"/>
  <c r="X670" i="1"/>
  <c r="X687" i="1"/>
  <c r="X710" i="1"/>
  <c r="X743" i="1"/>
  <c r="X756" i="1"/>
  <c r="X847" i="1"/>
  <c r="P894" i="1"/>
  <c r="R894" i="1" s="1"/>
  <c r="X894" i="1" s="1"/>
  <c r="X911" i="1"/>
  <c r="X918" i="1"/>
  <c r="T921" i="1"/>
  <c r="O921" i="1"/>
  <c r="P921" i="1" s="1"/>
  <c r="R921" i="1" s="1"/>
  <c r="V921" i="1"/>
  <c r="Q921" i="1"/>
  <c r="T931" i="1"/>
  <c r="R931" i="1"/>
  <c r="O931" i="1"/>
  <c r="P931" i="1" s="1"/>
  <c r="S931" i="1" s="1"/>
  <c r="W931" i="1"/>
  <c r="Q931" i="1"/>
  <c r="W964" i="1"/>
  <c r="V964" i="1"/>
  <c r="X1028" i="1"/>
  <c r="Q1030" i="1"/>
  <c r="T1030" i="1"/>
  <c r="O1030" i="1"/>
  <c r="P1030" i="1" s="1"/>
  <c r="S1030" i="1" s="1"/>
  <c r="U1030" i="1"/>
  <c r="R1030" i="1"/>
  <c r="X1044" i="1"/>
  <c r="O1049" i="1"/>
  <c r="P1049" i="1" s="1"/>
  <c r="S1049" i="1" s="1"/>
  <c r="W1049" i="1"/>
  <c r="Q1049" i="1"/>
  <c r="R1049" i="1"/>
  <c r="X1064" i="1"/>
  <c r="P1067" i="1"/>
  <c r="V1067" i="1" s="1"/>
  <c r="X1067" i="1" s="1"/>
  <c r="O1312" i="1"/>
  <c r="P1312" i="1" s="1"/>
  <c r="Q1312" i="1" s="1"/>
  <c r="X1312" i="1" s="1"/>
  <c r="D1314" i="1"/>
  <c r="W1312" i="1"/>
  <c r="U1312" i="1"/>
  <c r="V1312" i="1"/>
  <c r="T1312" i="1"/>
  <c r="S1312" i="1"/>
  <c r="R1312" i="1"/>
  <c r="X341" i="1"/>
  <c r="X350" i="1"/>
  <c r="S354" i="1"/>
  <c r="R354" i="1"/>
  <c r="Q354" i="1"/>
  <c r="X367" i="1"/>
  <c r="T417" i="1"/>
  <c r="Q417" i="1"/>
  <c r="X421" i="1"/>
  <c r="X426" i="1"/>
  <c r="P496" i="1"/>
  <c r="V496" i="1" s="1"/>
  <c r="S515" i="1"/>
  <c r="V515" i="1"/>
  <c r="U515" i="1"/>
  <c r="X540" i="1"/>
  <c r="S553" i="1"/>
  <c r="Q553" i="1"/>
  <c r="W565" i="1"/>
  <c r="Q565" i="1"/>
  <c r="U565" i="1"/>
  <c r="R565" i="1"/>
  <c r="P602" i="1"/>
  <c r="V602" i="1" s="1"/>
  <c r="X614" i="1"/>
  <c r="O654" i="1"/>
  <c r="P654" i="1" s="1"/>
  <c r="R654" i="1" s="1"/>
  <c r="S654" i="1"/>
  <c r="U654" i="1"/>
  <c r="T654" i="1"/>
  <c r="P663" i="1"/>
  <c r="R663" i="1" s="1"/>
  <c r="X663" i="1" s="1"/>
  <c r="D681" i="1"/>
  <c r="W679" i="1"/>
  <c r="V679" i="1"/>
  <c r="U679" i="1"/>
  <c r="Q679" i="1"/>
  <c r="X692" i="1"/>
  <c r="X711" i="1"/>
  <c r="V725" i="1"/>
  <c r="Q725" i="1"/>
  <c r="O725" i="1"/>
  <c r="P725" i="1" s="1"/>
  <c r="R725" i="1" s="1"/>
  <c r="Q759" i="1"/>
  <c r="W759" i="1"/>
  <c r="U759" i="1"/>
  <c r="R759" i="1"/>
  <c r="X793" i="1"/>
  <c r="X801" i="1"/>
  <c r="P827" i="1"/>
  <c r="R827" i="1" s="1"/>
  <c r="X827" i="1" s="1"/>
  <c r="X840" i="1"/>
  <c r="Y839" i="1" s="1"/>
  <c r="X928" i="1"/>
  <c r="X938" i="1"/>
  <c r="Y996" i="1"/>
  <c r="T1021" i="1"/>
  <c r="U1021" i="1"/>
  <c r="O1021" i="1"/>
  <c r="P1021" i="1" s="1"/>
  <c r="R1021" i="1" s="1"/>
  <c r="W1021" i="1"/>
  <c r="S1021" i="1"/>
  <c r="Q1021" i="1"/>
  <c r="X1037" i="1"/>
  <c r="U1061" i="1"/>
  <c r="W1061" i="1"/>
  <c r="X1126" i="1"/>
  <c r="Y1124" i="1" s="1"/>
  <c r="X1177" i="1"/>
  <c r="Y1284" i="1"/>
  <c r="X1430" i="1"/>
  <c r="U13" i="1"/>
  <c r="U14" i="1"/>
  <c r="X14" i="1" s="1"/>
  <c r="P28" i="1"/>
  <c r="R28" i="1" s="1"/>
  <c r="X28" i="1" s="1"/>
  <c r="X87" i="1"/>
  <c r="V91" i="1"/>
  <c r="V103" i="1"/>
  <c r="U103" i="1"/>
  <c r="X114" i="1"/>
  <c r="P222" i="1"/>
  <c r="S222" i="1" s="1"/>
  <c r="X222" i="1" s="1"/>
  <c r="V275" i="1"/>
  <c r="U275" i="1"/>
  <c r="R275" i="1"/>
  <c r="O275" i="1"/>
  <c r="P275" i="1" s="1"/>
  <c r="X324" i="1"/>
  <c r="R340" i="1"/>
  <c r="P363" i="1"/>
  <c r="V363" i="1" s="1"/>
  <c r="V381" i="1"/>
  <c r="S381" i="1"/>
  <c r="V391" i="1"/>
  <c r="T391" i="1"/>
  <c r="S391" i="1"/>
  <c r="U423" i="1"/>
  <c r="X423" i="1" s="1"/>
  <c r="Q456" i="1"/>
  <c r="T456" i="1"/>
  <c r="S456" i="1"/>
  <c r="P457" i="1"/>
  <c r="V457" i="1" s="1"/>
  <c r="X474" i="1"/>
  <c r="X501" i="1"/>
  <c r="Q531" i="1"/>
  <c r="O531" i="1"/>
  <c r="P531" i="1" s="1"/>
  <c r="R531" i="1" s="1"/>
  <c r="W531" i="1"/>
  <c r="X750" i="1"/>
  <c r="X800" i="1"/>
  <c r="P814" i="1"/>
  <c r="V814" i="1" s="1"/>
  <c r="X837" i="1"/>
  <c r="P855" i="1"/>
  <c r="S855" i="1" s="1"/>
  <c r="X912" i="1"/>
  <c r="X968" i="1"/>
  <c r="S988" i="1"/>
  <c r="U988" i="1"/>
  <c r="R988" i="1"/>
  <c r="Q988" i="1"/>
  <c r="W988" i="1"/>
  <c r="X990" i="1"/>
  <c r="Y989" i="1" s="1"/>
  <c r="U994" i="1"/>
  <c r="V994" i="1"/>
  <c r="R994" i="1"/>
  <c r="Q994" i="1"/>
  <c r="O994" i="1"/>
  <c r="P994" i="1" s="1"/>
  <c r="S994" i="1" s="1"/>
  <c r="X1111" i="1"/>
  <c r="P1114" i="1"/>
  <c r="R1114" i="1" s="1"/>
  <c r="X1114" i="1" s="1"/>
  <c r="X1183" i="1"/>
  <c r="Q1332" i="1"/>
  <c r="V1332" i="1"/>
  <c r="W1332" i="1"/>
  <c r="O1332" i="1"/>
  <c r="P1332" i="1" s="1"/>
  <c r="S1332" i="1" s="1"/>
  <c r="R1332" i="1"/>
  <c r="W13" i="1"/>
  <c r="X59" i="1"/>
  <c r="X86" i="1"/>
  <c r="W90" i="1"/>
  <c r="W102" i="1"/>
  <c r="V102" i="1"/>
  <c r="X113" i="1"/>
  <c r="Q119" i="1"/>
  <c r="W119" i="1"/>
  <c r="V130" i="1"/>
  <c r="X130" i="1" s="1"/>
  <c r="X158" i="1"/>
  <c r="Q174" i="1"/>
  <c r="V186" i="1"/>
  <c r="U226" i="1"/>
  <c r="S226" i="1"/>
  <c r="P237" i="1"/>
  <c r="V237" i="1" s="1"/>
  <c r="X253" i="1"/>
  <c r="X290" i="1"/>
  <c r="T340" i="1"/>
  <c r="V362" i="1"/>
  <c r="Q362" i="1"/>
  <c r="T362" i="1"/>
  <c r="X366" i="1"/>
  <c r="P369" i="1"/>
  <c r="R369" i="1" s="1"/>
  <c r="X369" i="1" s="1"/>
  <c r="X376" i="1"/>
  <c r="U399" i="1"/>
  <c r="T399" i="1"/>
  <c r="V399" i="1"/>
  <c r="X413" i="1"/>
  <c r="P417" i="1"/>
  <c r="V417" i="1" s="1"/>
  <c r="U448" i="1"/>
  <c r="Q448" i="1"/>
  <c r="T448" i="1"/>
  <c r="O448" i="1"/>
  <c r="P448" i="1" s="1"/>
  <c r="R448" i="1" s="1"/>
  <c r="O456" i="1"/>
  <c r="P456" i="1" s="1"/>
  <c r="R456" i="1" s="1"/>
  <c r="X478" i="1"/>
  <c r="W480" i="1"/>
  <c r="X480" i="1" s="1"/>
  <c r="P486" i="1"/>
  <c r="S486" i="1" s="1"/>
  <c r="X486" i="1" s="1"/>
  <c r="O515" i="1"/>
  <c r="P515" i="1" s="1"/>
  <c r="R515" i="1" s="1"/>
  <c r="P522" i="1"/>
  <c r="R522" i="1" s="1"/>
  <c r="X522" i="1" s="1"/>
  <c r="T552" i="1"/>
  <c r="R552" i="1"/>
  <c r="Q552" i="1"/>
  <c r="O553" i="1"/>
  <c r="P553" i="1" s="1"/>
  <c r="R553" i="1" s="1"/>
  <c r="P565" i="1"/>
  <c r="V565" i="1" s="1"/>
  <c r="X578" i="1"/>
  <c r="X613" i="1"/>
  <c r="Y610" i="1" s="1"/>
  <c r="Q621" i="1"/>
  <c r="S621" i="1"/>
  <c r="W621" i="1"/>
  <c r="T621" i="1"/>
  <c r="Q654" i="1"/>
  <c r="X695" i="1"/>
  <c r="P701" i="1"/>
  <c r="Q701" i="1" s="1"/>
  <c r="X701" i="1" s="1"/>
  <c r="Y698" i="1" s="1"/>
  <c r="X714" i="1"/>
  <c r="T725" i="1"/>
  <c r="Q745" i="1"/>
  <c r="T745" i="1"/>
  <c r="S745" i="1"/>
  <c r="W745" i="1"/>
  <c r="P759" i="1"/>
  <c r="V759" i="1" s="1"/>
  <c r="X767" i="1"/>
  <c r="D838" i="1"/>
  <c r="W836" i="1"/>
  <c r="V836" i="1"/>
  <c r="S836" i="1"/>
  <c r="X860" i="1"/>
  <c r="X934" i="1"/>
  <c r="X937" i="1"/>
  <c r="P954" i="1"/>
  <c r="S954" i="1" s="1"/>
  <c r="X954" i="1" s="1"/>
  <c r="P988" i="1"/>
  <c r="V988" i="1" s="1"/>
  <c r="T994" i="1"/>
  <c r="P1018" i="1"/>
  <c r="V1018" i="1" s="1"/>
  <c r="X1018" i="1" s="1"/>
  <c r="F1023" i="1"/>
  <c r="V1021" i="1"/>
  <c r="X1072" i="1"/>
  <c r="U1158" i="1"/>
  <c r="T1158" i="1"/>
  <c r="R1158" i="1"/>
  <c r="Q1158" i="1"/>
  <c r="W1158" i="1"/>
  <c r="S1158" i="1"/>
  <c r="X1260" i="1"/>
  <c r="T1332" i="1"/>
  <c r="R1428" i="1"/>
  <c r="W1428" i="1"/>
  <c r="S1428" i="1"/>
  <c r="O1428" i="1"/>
  <c r="P1428" i="1" s="1"/>
  <c r="Q1428" i="1" s="1"/>
  <c r="V1428" i="1"/>
  <c r="U1428" i="1"/>
  <c r="T1428" i="1"/>
  <c r="U1532" i="1"/>
  <c r="T1532" i="1"/>
  <c r="R1532" i="1"/>
  <c r="W1532" i="1"/>
  <c r="S1532" i="1"/>
  <c r="Q1532" i="1"/>
  <c r="V1532" i="1"/>
  <c r="P119" i="1"/>
  <c r="R119" i="1" s="1"/>
  <c r="P132" i="1"/>
  <c r="R132" i="1" s="1"/>
  <c r="X150" i="1"/>
  <c r="S167" i="1"/>
  <c r="R167" i="1"/>
  <c r="W167" i="1"/>
  <c r="X183" i="1"/>
  <c r="P201" i="1"/>
  <c r="V201" i="1" s="1"/>
  <c r="X201" i="1" s="1"/>
  <c r="X206" i="1"/>
  <c r="X221" i="1"/>
  <c r="S235" i="1"/>
  <c r="R235" i="1"/>
  <c r="U235" i="1"/>
  <c r="P248" i="1"/>
  <c r="V248" i="1" s="1"/>
  <c r="T256" i="1"/>
  <c r="S256" i="1"/>
  <c r="Q256" i="1"/>
  <c r="R317" i="1"/>
  <c r="Q317" i="1"/>
  <c r="S319" i="1"/>
  <c r="V340" i="1"/>
  <c r="S348" i="1"/>
  <c r="U348" i="1"/>
  <c r="T348" i="1"/>
  <c r="U354" i="1"/>
  <c r="P362" i="1"/>
  <c r="R362" i="1" s="1"/>
  <c r="X384" i="1"/>
  <c r="Y382" i="1" s="1"/>
  <c r="X395" i="1"/>
  <c r="U416" i="1"/>
  <c r="Q416" i="1"/>
  <c r="W416" i="1"/>
  <c r="S416" i="1"/>
  <c r="S417" i="1"/>
  <c r="P464" i="1"/>
  <c r="V464" i="1" s="1"/>
  <c r="D506" i="1"/>
  <c r="W504" i="1"/>
  <c r="V504" i="1"/>
  <c r="Q504" i="1"/>
  <c r="Q515" i="1"/>
  <c r="P530" i="1"/>
  <c r="R530" i="1" s="1"/>
  <c r="X530" i="1" s="1"/>
  <c r="X535" i="1"/>
  <c r="U553" i="1"/>
  <c r="Q555" i="1"/>
  <c r="S555" i="1"/>
  <c r="R555" i="1"/>
  <c r="W555" i="1"/>
  <c r="T555" i="1"/>
  <c r="T565" i="1"/>
  <c r="W591" i="1"/>
  <c r="Q591" i="1"/>
  <c r="D601" i="1"/>
  <c r="W599" i="1"/>
  <c r="T599" i="1"/>
  <c r="W616" i="1"/>
  <c r="U616" i="1"/>
  <c r="V616" i="1"/>
  <c r="R616" i="1"/>
  <c r="X648" i="1"/>
  <c r="X653" i="1"/>
  <c r="V654" i="1"/>
  <c r="T679" i="1"/>
  <c r="W690" i="1"/>
  <c r="V690" i="1"/>
  <c r="U690" i="1"/>
  <c r="R690" i="1"/>
  <c r="X722" i="1"/>
  <c r="W725" i="1"/>
  <c r="X728" i="1"/>
  <c r="P730" i="1"/>
  <c r="R730" i="1" s="1"/>
  <c r="X730" i="1" s="1"/>
  <c r="X737" i="1"/>
  <c r="X741" i="1"/>
  <c r="Y740" i="1" s="1"/>
  <c r="T759" i="1"/>
  <c r="X773" i="1"/>
  <c r="W781" i="1"/>
  <c r="O781" i="1"/>
  <c r="P781" i="1" s="1"/>
  <c r="R781" i="1" s="1"/>
  <c r="T781" i="1"/>
  <c r="S781" i="1"/>
  <c r="X789" i="1"/>
  <c r="S791" i="1"/>
  <c r="O791" i="1"/>
  <c r="P791" i="1" s="1"/>
  <c r="R791" i="1" s="1"/>
  <c r="W791" i="1"/>
  <c r="T791" i="1"/>
  <c r="P836" i="1"/>
  <c r="R836" i="1" s="1"/>
  <c r="T905" i="1"/>
  <c r="S905" i="1"/>
  <c r="O905" i="1"/>
  <c r="P905" i="1" s="1"/>
  <c r="R905" i="1" s="1"/>
  <c r="V905" i="1"/>
  <c r="U905" i="1"/>
  <c r="X1043" i="1"/>
  <c r="R1061" i="1"/>
  <c r="X1063" i="1"/>
  <c r="X1110" i="1"/>
  <c r="P1140" i="1"/>
  <c r="S1140" i="1" s="1"/>
  <c r="X1160" i="1"/>
  <c r="X1248" i="1"/>
  <c r="X1317" i="1"/>
  <c r="U56" i="1"/>
  <c r="Q56" i="1"/>
  <c r="P64" i="1"/>
  <c r="V64" i="1" s="1"/>
  <c r="X64" i="1" s="1"/>
  <c r="X71" i="1"/>
  <c r="R72" i="1"/>
  <c r="Q103" i="1"/>
  <c r="P118" i="1"/>
  <c r="R118" i="1" s="1"/>
  <c r="X118" i="1" s="1"/>
  <c r="Q132" i="1"/>
  <c r="T174" i="1"/>
  <c r="P226" i="1"/>
  <c r="V226" i="1" s="1"/>
  <c r="X248" i="1"/>
  <c r="Q257" i="1"/>
  <c r="X261" i="1"/>
  <c r="S275" i="1"/>
  <c r="T319" i="1"/>
  <c r="R328" i="1"/>
  <c r="W340" i="1"/>
  <c r="V354" i="1"/>
  <c r="Q371" i="1"/>
  <c r="S371" i="1"/>
  <c r="R371" i="1"/>
  <c r="W371" i="1"/>
  <c r="T371" i="1"/>
  <c r="X375" i="1"/>
  <c r="R381" i="1"/>
  <c r="Q391" i="1"/>
  <c r="P399" i="1"/>
  <c r="R399" i="1" s="1"/>
  <c r="U417" i="1"/>
  <c r="X419" i="1"/>
  <c r="U456" i="1"/>
  <c r="X467" i="1"/>
  <c r="X490" i="1"/>
  <c r="X494" i="1"/>
  <c r="X499" i="1"/>
  <c r="Q505" i="1"/>
  <c r="W507" i="1"/>
  <c r="V507" i="1"/>
  <c r="U507" i="1"/>
  <c r="S507" i="1"/>
  <c r="Q517" i="1"/>
  <c r="V517" i="1"/>
  <c r="U517" i="1"/>
  <c r="R517" i="1"/>
  <c r="V526" i="1"/>
  <c r="S526" i="1"/>
  <c r="R526" i="1"/>
  <c r="X526" i="1" s="1"/>
  <c r="T526" i="1"/>
  <c r="T531" i="1"/>
  <c r="V553" i="1"/>
  <c r="T574" i="1"/>
  <c r="R574" i="1"/>
  <c r="Q574" i="1"/>
  <c r="S574" i="1"/>
  <c r="Q608" i="1"/>
  <c r="W654" i="1"/>
  <c r="X669" i="1"/>
  <c r="Y668" i="1" s="1"/>
  <c r="R680" i="1"/>
  <c r="W680" i="1"/>
  <c r="U680" i="1"/>
  <c r="X686" i="1"/>
  <c r="X733" i="1"/>
  <c r="X849" i="1"/>
  <c r="S856" i="1"/>
  <c r="U856" i="1"/>
  <c r="W856" i="1"/>
  <c r="V856" i="1"/>
  <c r="T856" i="1"/>
  <c r="X866" i="1"/>
  <c r="Y865" i="1" s="1"/>
  <c r="X874" i="1"/>
  <c r="X877" i="1"/>
  <c r="D907" i="1"/>
  <c r="U921" i="1"/>
  <c r="D923" i="1"/>
  <c r="V931" i="1"/>
  <c r="Q964" i="1"/>
  <c r="X1008" i="1"/>
  <c r="W1030" i="1"/>
  <c r="S1061" i="1"/>
  <c r="X1069" i="1"/>
  <c r="X1121" i="1"/>
  <c r="P1155" i="1"/>
  <c r="T1155" i="1" s="1"/>
  <c r="F1158" i="1"/>
  <c r="P1158" i="1" s="1"/>
  <c r="V1158" i="1" s="1"/>
  <c r="W1206" i="1"/>
  <c r="S1206" i="1"/>
  <c r="U1206" i="1"/>
  <c r="O1206" i="1"/>
  <c r="P1206" i="1" s="1"/>
  <c r="Q1206" i="1" s="1"/>
  <c r="T1206" i="1"/>
  <c r="R1206" i="1"/>
  <c r="V1206" i="1"/>
  <c r="R1227" i="1"/>
  <c r="O1227" i="1"/>
  <c r="P1227" i="1" s="1"/>
  <c r="Q1227" i="1" s="1"/>
  <c r="X1227" i="1" s="1"/>
  <c r="W1227" i="1"/>
  <c r="T1227" i="1"/>
  <c r="U1227" i="1"/>
  <c r="V1227" i="1"/>
  <c r="S1227" i="1"/>
  <c r="P1275" i="1"/>
  <c r="X1294" i="1"/>
  <c r="P1364" i="1"/>
  <c r="X1489" i="1"/>
  <c r="V55" i="1"/>
  <c r="Q55" i="1"/>
  <c r="X55" i="1" s="1"/>
  <c r="S72" i="1"/>
  <c r="R103" i="1"/>
  <c r="T142" i="1"/>
  <c r="S142" i="1"/>
  <c r="W142" i="1"/>
  <c r="X149" i="1"/>
  <c r="U174" i="1"/>
  <c r="T198" i="1"/>
  <c r="S198" i="1"/>
  <c r="X205" i="1"/>
  <c r="O256" i="1"/>
  <c r="P256" i="1" s="1"/>
  <c r="R256" i="1" s="1"/>
  <c r="U257" i="1"/>
  <c r="X268" i="1"/>
  <c r="T275" i="1"/>
  <c r="T277" i="1"/>
  <c r="S277" i="1"/>
  <c r="V277" i="1"/>
  <c r="Q277" i="1"/>
  <c r="X284" i="1"/>
  <c r="O317" i="1"/>
  <c r="P317" i="1" s="1"/>
  <c r="S317" i="1" s="1"/>
  <c r="U319" i="1"/>
  <c r="T328" i="1"/>
  <c r="W354" i="1"/>
  <c r="T381" i="1"/>
  <c r="R391" i="1"/>
  <c r="S398" i="1"/>
  <c r="U398" i="1"/>
  <c r="T398" i="1"/>
  <c r="Q398" i="1"/>
  <c r="U401" i="1"/>
  <c r="T401" i="1"/>
  <c r="W401" i="1"/>
  <c r="O416" i="1"/>
  <c r="P416" i="1" s="1"/>
  <c r="R416" i="1" s="1"/>
  <c r="W417" i="1"/>
  <c r="X428" i="1"/>
  <c r="X438" i="1"/>
  <c r="V456" i="1"/>
  <c r="S472" i="1"/>
  <c r="W472" i="1"/>
  <c r="T472" i="1"/>
  <c r="O504" i="1"/>
  <c r="P504" i="1" s="1"/>
  <c r="R504" i="1" s="1"/>
  <c r="S505" i="1"/>
  <c r="T515" i="1"/>
  <c r="U531" i="1"/>
  <c r="W553" i="1"/>
  <c r="X559" i="1"/>
  <c r="O599" i="1"/>
  <c r="P599" i="1" s="1"/>
  <c r="R599" i="1" s="1"/>
  <c r="T608" i="1"/>
  <c r="P673" i="1"/>
  <c r="V673" i="1" s="1"/>
  <c r="X721" i="1"/>
  <c r="X776" i="1"/>
  <c r="Q781" i="1"/>
  <c r="X803" i="1"/>
  <c r="T844" i="1"/>
  <c r="U844" i="1"/>
  <c r="Q844" i="1"/>
  <c r="S844" i="1"/>
  <c r="O844" i="1"/>
  <c r="P844" i="1" s="1"/>
  <c r="R844" i="1" s="1"/>
  <c r="X859" i="1"/>
  <c r="Q905" i="1"/>
  <c r="W921" i="1"/>
  <c r="X943" i="1"/>
  <c r="R964" i="1"/>
  <c r="X974" i="1"/>
  <c r="X1007" i="1"/>
  <c r="T1061" i="1"/>
  <c r="X1083" i="1"/>
  <c r="X1127" i="1"/>
  <c r="U1142" i="1"/>
  <c r="R1142" i="1"/>
  <c r="V1142" i="1"/>
  <c r="O1142" i="1"/>
  <c r="P1142" i="1" s="1"/>
  <c r="S1142" i="1" s="1"/>
  <c r="Q1142" i="1"/>
  <c r="W1142" i="1"/>
  <c r="T1142" i="1"/>
  <c r="O731" i="1"/>
  <c r="P731" i="1" s="1"/>
  <c r="R731" i="1" s="1"/>
  <c r="W731" i="1"/>
  <c r="V731" i="1"/>
  <c r="R758" i="1"/>
  <c r="W758" i="1"/>
  <c r="U758" i="1"/>
  <c r="T758" i="1"/>
  <c r="Q770" i="1"/>
  <c r="O770" i="1"/>
  <c r="P770" i="1" s="1"/>
  <c r="R770" i="1" s="1"/>
  <c r="X786" i="1"/>
  <c r="X828" i="1"/>
  <c r="P835" i="1"/>
  <c r="R835" i="1" s="1"/>
  <c r="X835" i="1" s="1"/>
  <c r="P881" i="1"/>
  <c r="X887" i="1"/>
  <c r="S900" i="1"/>
  <c r="V900" i="1"/>
  <c r="O900" i="1"/>
  <c r="P900" i="1" s="1"/>
  <c r="W900" i="1"/>
  <c r="U900" i="1"/>
  <c r="U956" i="1"/>
  <c r="T956" i="1"/>
  <c r="S956" i="1"/>
  <c r="W956" i="1"/>
  <c r="V956" i="1"/>
  <c r="R956" i="1"/>
  <c r="X961" i="1"/>
  <c r="U1020" i="1"/>
  <c r="T1020" i="1"/>
  <c r="O1020" i="1"/>
  <c r="P1020" i="1" s="1"/>
  <c r="R1020" i="1" s="1"/>
  <c r="S1020" i="1"/>
  <c r="D1022" i="1"/>
  <c r="Q1020" i="1"/>
  <c r="P1031" i="1"/>
  <c r="V1031" i="1" s="1"/>
  <c r="X1035" i="1"/>
  <c r="P1058" i="1"/>
  <c r="X1092" i="1"/>
  <c r="P1267" i="1"/>
  <c r="S1267" i="1" s="1"/>
  <c r="X1267" i="1" s="1"/>
  <c r="X169" i="1"/>
  <c r="S199" i="1"/>
  <c r="R199" i="1"/>
  <c r="W211" i="1"/>
  <c r="X211" i="1" s="1"/>
  <c r="W237" i="1"/>
  <c r="O245" i="1"/>
  <c r="P245" i="1" s="1"/>
  <c r="S245" i="1" s="1"/>
  <c r="X245" i="1" s="1"/>
  <c r="D247" i="1"/>
  <c r="U255" i="1"/>
  <c r="T255" i="1"/>
  <c r="X462" i="1"/>
  <c r="X468" i="1"/>
  <c r="X488" i="1"/>
  <c r="X579" i="1"/>
  <c r="V583" i="1"/>
  <c r="W636" i="1"/>
  <c r="S636" i="1"/>
  <c r="T636" i="1"/>
  <c r="R636" i="1"/>
  <c r="Q646" i="1"/>
  <c r="S646" i="1"/>
  <c r="S655" i="1"/>
  <c r="V655" i="1"/>
  <c r="U655" i="1"/>
  <c r="P667" i="1"/>
  <c r="V667" i="1" s="1"/>
  <c r="X689" i="1"/>
  <c r="Q697" i="1"/>
  <c r="U697" i="1"/>
  <c r="R697" i="1"/>
  <c r="X704" i="1"/>
  <c r="X736" i="1"/>
  <c r="X763" i="1"/>
  <c r="X785" i="1"/>
  <c r="T790" i="1"/>
  <c r="O790" i="1"/>
  <c r="P790" i="1" s="1"/>
  <c r="R790" i="1" s="1"/>
  <c r="V790" i="1"/>
  <c r="U790" i="1"/>
  <c r="X810" i="1"/>
  <c r="X814" i="1"/>
  <c r="P863" i="1"/>
  <c r="S863" i="1" s="1"/>
  <c r="X863" i="1" s="1"/>
  <c r="U890" i="1"/>
  <c r="S890" i="1"/>
  <c r="R890" i="1"/>
  <c r="Q890" i="1"/>
  <c r="X919" i="1"/>
  <c r="X978" i="1"/>
  <c r="P1081" i="1"/>
  <c r="V1081" i="1" s="1"/>
  <c r="X1081" i="1" s="1"/>
  <c r="X1131" i="1"/>
  <c r="V1187" i="1"/>
  <c r="O1187" i="1"/>
  <c r="P1187" i="1" s="1"/>
  <c r="R1187" i="1" s="1"/>
  <c r="X1187" i="1" s="1"/>
  <c r="W1187" i="1"/>
  <c r="T1187" i="1"/>
  <c r="S1187" i="1"/>
  <c r="X1195" i="1"/>
  <c r="F1262" i="1"/>
  <c r="P1259" i="1"/>
  <c r="U1259" i="1" s="1"/>
  <c r="X1278" i="1"/>
  <c r="T1304" i="1"/>
  <c r="U1304" i="1"/>
  <c r="S1304" i="1"/>
  <c r="O1304" i="1"/>
  <c r="P1304" i="1" s="1"/>
  <c r="Q1304" i="1" s="1"/>
  <c r="W1304" i="1"/>
  <c r="V1304" i="1"/>
  <c r="D1306" i="1"/>
  <c r="R1304" i="1"/>
  <c r="X1434" i="1"/>
  <c r="X1440" i="1"/>
  <c r="X1487" i="1"/>
  <c r="Y1486" i="1" s="1"/>
  <c r="X1513" i="1"/>
  <c r="X224" i="1"/>
  <c r="X262" i="1"/>
  <c r="X279" i="1"/>
  <c r="V309" i="1"/>
  <c r="U309" i="1"/>
  <c r="S316" i="1"/>
  <c r="R316" i="1"/>
  <c r="P338" i="1"/>
  <c r="Q338" i="1" s="1"/>
  <c r="X338" i="1" s="1"/>
  <c r="T347" i="1"/>
  <c r="U347" i="1"/>
  <c r="S347" i="1"/>
  <c r="R373" i="1"/>
  <c r="Q373" i="1"/>
  <c r="X373" i="1" s="1"/>
  <c r="X485" i="1"/>
  <c r="Q495" i="1"/>
  <c r="X495" i="1" s="1"/>
  <c r="W495" i="1"/>
  <c r="V545" i="1"/>
  <c r="U545" i="1"/>
  <c r="X557" i="1"/>
  <c r="P563" i="1"/>
  <c r="R563" i="1" s="1"/>
  <c r="X563" i="1" s="1"/>
  <c r="X568" i="1"/>
  <c r="W600" i="1"/>
  <c r="V600" i="1"/>
  <c r="X607" i="1"/>
  <c r="X650" i="1"/>
  <c r="X660" i="1"/>
  <c r="P682" i="1"/>
  <c r="V682" i="1" s="1"/>
  <c r="X682" i="1" s="1"/>
  <c r="P697" i="1"/>
  <c r="V697" i="1" s="1"/>
  <c r="X726" i="1"/>
  <c r="Q731" i="1"/>
  <c r="X747" i="1"/>
  <c r="X753" i="1"/>
  <c r="S770" i="1"/>
  <c r="X774" i="1"/>
  <c r="O792" i="1"/>
  <c r="P792" i="1" s="1"/>
  <c r="R792" i="1" s="1"/>
  <c r="T812" i="1"/>
  <c r="Q812" i="1"/>
  <c r="R820" i="1"/>
  <c r="X820" i="1" s="1"/>
  <c r="W820" i="1"/>
  <c r="V820" i="1"/>
  <c r="U820" i="1"/>
  <c r="R900" i="1"/>
  <c r="W914" i="1"/>
  <c r="R914" i="1"/>
  <c r="S914" i="1"/>
  <c r="V914" i="1"/>
  <c r="U914" i="1"/>
  <c r="Q956" i="1"/>
  <c r="S980" i="1"/>
  <c r="W980" i="1"/>
  <c r="Q980" i="1"/>
  <c r="R980" i="1"/>
  <c r="V980" i="1"/>
  <c r="U980" i="1"/>
  <c r="T980" i="1"/>
  <c r="O1000" i="1"/>
  <c r="P1000" i="1" s="1"/>
  <c r="Q1000" i="1" s="1"/>
  <c r="U1000" i="1"/>
  <c r="T1000" i="1"/>
  <c r="R1000" i="1"/>
  <c r="V1011" i="1"/>
  <c r="R1011" i="1"/>
  <c r="X1011" i="1" s="1"/>
  <c r="S1011" i="1"/>
  <c r="U1011" i="1"/>
  <c r="T1011" i="1"/>
  <c r="X1015" i="1"/>
  <c r="W1020" i="1"/>
  <c r="X1027" i="1"/>
  <c r="V1048" i="1"/>
  <c r="U1048" i="1"/>
  <c r="S1048" i="1"/>
  <c r="T1048" i="1"/>
  <c r="R1048" i="1"/>
  <c r="Q1048" i="1"/>
  <c r="X1071" i="1"/>
  <c r="U1187" i="1"/>
  <c r="X1247" i="1"/>
  <c r="W1254" i="1"/>
  <c r="U1254" i="1"/>
  <c r="R1254" i="1"/>
  <c r="T1254" i="1"/>
  <c r="V1254" i="1"/>
  <c r="O1254" i="1"/>
  <c r="P1254" i="1" s="1"/>
  <c r="S1254" i="1" s="1"/>
  <c r="Q1254" i="1"/>
  <c r="X1322" i="1"/>
  <c r="X1441" i="1"/>
  <c r="X1457" i="1"/>
  <c r="T1502" i="1"/>
  <c r="U1502" i="1"/>
  <c r="V1502" i="1"/>
  <c r="O1502" i="1"/>
  <c r="P1502" i="1" s="1"/>
  <c r="S1502" i="1" s="1"/>
  <c r="Q1502" i="1"/>
  <c r="R1502" i="1"/>
  <c r="W1502" i="1"/>
  <c r="X1543" i="1"/>
  <c r="X1573" i="1"/>
  <c r="O1591" i="1"/>
  <c r="P1591" i="1" s="1"/>
  <c r="R1591" i="1" s="1"/>
  <c r="W1591" i="1"/>
  <c r="T1591" i="1"/>
  <c r="S1591" i="1"/>
  <c r="Q1591" i="1"/>
  <c r="V1591" i="1"/>
  <c r="U1591" i="1"/>
  <c r="X757" i="1"/>
  <c r="Y754" i="1" s="1"/>
  <c r="Q758" i="1"/>
  <c r="X758" i="1" s="1"/>
  <c r="T770" i="1"/>
  <c r="X804" i="1"/>
  <c r="X848" i="1"/>
  <c r="X861" i="1"/>
  <c r="X892" i="1"/>
  <c r="T900" i="1"/>
  <c r="T939" i="1"/>
  <c r="O939" i="1"/>
  <c r="P939" i="1" s="1"/>
  <c r="Q939" i="1"/>
  <c r="U939" i="1"/>
  <c r="R939" i="1"/>
  <c r="V939" i="1"/>
  <c r="S939" i="1"/>
  <c r="X944" i="1"/>
  <c r="U948" i="1"/>
  <c r="T948" i="1"/>
  <c r="Q948" i="1"/>
  <c r="W948" i="1"/>
  <c r="X951" i="1"/>
  <c r="X977" i="1"/>
  <c r="X1009" i="1"/>
  <c r="W1023" i="1"/>
  <c r="S1023" i="1"/>
  <c r="U1023" i="1"/>
  <c r="Q1023" i="1"/>
  <c r="X1098" i="1"/>
  <c r="X1130" i="1"/>
  <c r="X1156" i="1"/>
  <c r="X1184" i="1"/>
  <c r="X1310" i="1"/>
  <c r="X1407" i="1"/>
  <c r="Y1405" i="1" s="1"/>
  <c r="X1454" i="1"/>
  <c r="W864" i="1"/>
  <c r="O864" i="1"/>
  <c r="P864" i="1" s="1"/>
  <c r="S864" i="1" s="1"/>
  <c r="T880" i="1"/>
  <c r="D882" i="1"/>
  <c r="Q889" i="1"/>
  <c r="O889" i="1"/>
  <c r="P889" i="1" s="1"/>
  <c r="R889" i="1" s="1"/>
  <c r="V889" i="1"/>
  <c r="U889" i="1"/>
  <c r="X902" i="1"/>
  <c r="Y901" i="1" s="1"/>
  <c r="X932" i="1"/>
  <c r="V955" i="1"/>
  <c r="Q955" i="1"/>
  <c r="S955" i="1"/>
  <c r="W955" i="1"/>
  <c r="U955" i="1"/>
  <c r="X966" i="1"/>
  <c r="X1004" i="1"/>
  <c r="P1038" i="1"/>
  <c r="S1038" i="1" s="1"/>
  <c r="X1038" i="1" s="1"/>
  <c r="X1099" i="1"/>
  <c r="W1107" i="1"/>
  <c r="R1107" i="1"/>
  <c r="Q1107" i="1"/>
  <c r="V1107" i="1"/>
  <c r="U1107" i="1"/>
  <c r="T1107" i="1"/>
  <c r="X1204" i="1"/>
  <c r="X1274" i="1"/>
  <c r="X1387" i="1"/>
  <c r="X1447" i="1"/>
  <c r="X1569" i="1"/>
  <c r="Y1567" i="1" s="1"/>
  <c r="X1617" i="1"/>
  <c r="Y1615" i="1" s="1"/>
  <c r="V1620" i="1"/>
  <c r="U1620" i="1"/>
  <c r="W1620" i="1"/>
  <c r="R1620" i="1"/>
  <c r="T1620" i="1"/>
  <c r="Q1620" i="1"/>
  <c r="S1620" i="1"/>
  <c r="X333" i="1"/>
  <c r="X406" i="1"/>
  <c r="Y402" i="1" s="1"/>
  <c r="P422" i="1"/>
  <c r="S422" i="1" s="1"/>
  <c r="X422" i="1" s="1"/>
  <c r="V429" i="1"/>
  <c r="X429" i="1" s="1"/>
  <c r="X521" i="1"/>
  <c r="D539" i="1"/>
  <c r="X623" i="1"/>
  <c r="X635" i="1"/>
  <c r="X713" i="1"/>
  <c r="W738" i="1"/>
  <c r="U738" i="1"/>
  <c r="T738" i="1"/>
  <c r="X777" i="1"/>
  <c r="U843" i="1"/>
  <c r="S843" i="1"/>
  <c r="D845" i="1"/>
  <c r="W843" i="1"/>
  <c r="X853" i="1"/>
  <c r="Y851" i="1" s="1"/>
  <c r="S906" i="1"/>
  <c r="U906" i="1"/>
  <c r="R906" i="1"/>
  <c r="Q906" i="1"/>
  <c r="X935" i="1"/>
  <c r="Y933" i="1" s="1"/>
  <c r="P946" i="1"/>
  <c r="S946" i="1" s="1"/>
  <c r="X946" i="1" s="1"/>
  <c r="X950" i="1"/>
  <c r="X1017" i="1"/>
  <c r="X1042" i="1"/>
  <c r="P1057" i="1"/>
  <c r="S1057" i="1" s="1"/>
  <c r="X1057" i="1" s="1"/>
  <c r="X1073" i="1"/>
  <c r="X1082" i="1"/>
  <c r="V1086" i="1"/>
  <c r="W1086" i="1"/>
  <c r="Q1086" i="1"/>
  <c r="U1086" i="1"/>
  <c r="R1167" i="1"/>
  <c r="W1167" i="1"/>
  <c r="Q1167" i="1"/>
  <c r="V1167" i="1"/>
  <c r="O1167" i="1"/>
  <c r="P1167" i="1" s="1"/>
  <c r="S1167" i="1" s="1"/>
  <c r="X1226" i="1"/>
  <c r="X1281" i="1"/>
  <c r="T1390" i="1"/>
  <c r="W1390" i="1"/>
  <c r="Q1390" i="1"/>
  <c r="O1390" i="1"/>
  <c r="P1390" i="1" s="1"/>
  <c r="S1390" i="1" s="1"/>
  <c r="V1390" i="1"/>
  <c r="U1390" i="1"/>
  <c r="X1408" i="1"/>
  <c r="P1528" i="1"/>
  <c r="R1528" i="1" s="1"/>
  <c r="X1528" i="1" s="1"/>
  <c r="U1538" i="1"/>
  <c r="T1538" i="1"/>
  <c r="R1538" i="1"/>
  <c r="W1538" i="1"/>
  <c r="Q1538" i="1"/>
  <c r="V1538" i="1"/>
  <c r="X464" i="1"/>
  <c r="S644" i="1"/>
  <c r="R644" i="1"/>
  <c r="X644" i="1" s="1"/>
  <c r="X705" i="1"/>
  <c r="X749" i="1"/>
  <c r="V765" i="1"/>
  <c r="S765" i="1"/>
  <c r="R765" i="1"/>
  <c r="X765" i="1" s="1"/>
  <c r="V782" i="1"/>
  <c r="X782" i="1" s="1"/>
  <c r="O811" i="1"/>
  <c r="P811" i="1" s="1"/>
  <c r="R811" i="1" s="1"/>
  <c r="X811" i="1" s="1"/>
  <c r="T811" i="1"/>
  <c r="D813" i="1"/>
  <c r="W811" i="1"/>
  <c r="Q864" i="1"/>
  <c r="O880" i="1"/>
  <c r="P880" i="1" s="1"/>
  <c r="R880" i="1" s="1"/>
  <c r="X884" i="1"/>
  <c r="X926" i="1"/>
  <c r="Y925" i="1" s="1"/>
  <c r="X1033" i="1"/>
  <c r="S1093" i="1"/>
  <c r="R1093" i="1"/>
  <c r="D1095" i="1"/>
  <c r="W1093" i="1"/>
  <c r="V1093" i="1"/>
  <c r="Q1093" i="1"/>
  <c r="U1115" i="1"/>
  <c r="D1117" i="1"/>
  <c r="S1115" i="1"/>
  <c r="T1115" i="1"/>
  <c r="O1115" i="1"/>
  <c r="P1115" i="1" s="1"/>
  <c r="R1115" i="1" s="1"/>
  <c r="Q1115" i="1"/>
  <c r="X1172" i="1"/>
  <c r="X1192" i="1"/>
  <c r="X1292" i="1"/>
  <c r="X1344" i="1"/>
  <c r="X1384" i="1"/>
  <c r="X1508" i="1"/>
  <c r="X1516" i="1"/>
  <c r="S707" i="1"/>
  <c r="X707" i="1" s="1"/>
  <c r="X816" i="1"/>
  <c r="R850" i="1"/>
  <c r="X850" i="1" s="1"/>
  <c r="R857" i="1"/>
  <c r="U857" i="1"/>
  <c r="O857" i="1"/>
  <c r="P857" i="1" s="1"/>
  <c r="S857" i="1" s="1"/>
  <c r="S881" i="1"/>
  <c r="R881" i="1"/>
  <c r="X942" i="1"/>
  <c r="O947" i="1"/>
  <c r="P947" i="1" s="1"/>
  <c r="S947" i="1" s="1"/>
  <c r="V947" i="1"/>
  <c r="P948" i="1"/>
  <c r="V948" i="1" s="1"/>
  <c r="X969" i="1"/>
  <c r="T995" i="1"/>
  <c r="S995" i="1"/>
  <c r="X995" i="1" s="1"/>
  <c r="W995" i="1"/>
  <c r="X1034" i="1"/>
  <c r="T1039" i="1"/>
  <c r="X1039" i="1" s="1"/>
  <c r="U1039" i="1"/>
  <c r="Q1059" i="1"/>
  <c r="T1059" i="1"/>
  <c r="S1059" i="1"/>
  <c r="R1059" i="1"/>
  <c r="Q1077" i="1"/>
  <c r="X1077" i="1" s="1"/>
  <c r="T1077" i="1"/>
  <c r="W1077" i="1"/>
  <c r="P1085" i="1"/>
  <c r="Q1085" i="1" s="1"/>
  <c r="D1106" i="1"/>
  <c r="S1104" i="1"/>
  <c r="Q1104" i="1"/>
  <c r="T1104" i="1"/>
  <c r="W1104" i="1"/>
  <c r="V1104" i="1"/>
  <c r="P1118" i="1"/>
  <c r="V1118" i="1" s="1"/>
  <c r="P1169" i="1"/>
  <c r="V1169" i="1" s="1"/>
  <c r="X1202" i="1"/>
  <c r="Q1228" i="1"/>
  <c r="W1228" i="1"/>
  <c r="U1228" i="1"/>
  <c r="R1228" i="1"/>
  <c r="S1228" i="1"/>
  <c r="Q1242" i="1"/>
  <c r="U1242" i="1"/>
  <c r="T1242" i="1"/>
  <c r="R1242" i="1"/>
  <c r="V1242" i="1"/>
  <c r="D1244" i="1"/>
  <c r="X1246" i="1"/>
  <c r="P1324" i="1"/>
  <c r="V1324" i="1" s="1"/>
  <c r="X1349" i="1"/>
  <c r="Y1348" i="1" s="1"/>
  <c r="P1361" i="1"/>
  <c r="S1361" i="1" s="1"/>
  <c r="X1361" i="1" s="1"/>
  <c r="X1371" i="1"/>
  <c r="X1385" i="1"/>
  <c r="X1458" i="1"/>
  <c r="X1470" i="1"/>
  <c r="Y1468" i="1" s="1"/>
  <c r="X1482" i="1"/>
  <c r="V1585" i="1"/>
  <c r="U1585" i="1"/>
  <c r="W1585" i="1"/>
  <c r="S1585" i="1"/>
  <c r="O1585" i="1"/>
  <c r="P1585" i="1" s="1"/>
  <c r="Q1585" i="1" s="1"/>
  <c r="R1585" i="1"/>
  <c r="T806" i="1"/>
  <c r="X806" i="1" s="1"/>
  <c r="W806" i="1"/>
  <c r="T979" i="1"/>
  <c r="W979" i="1"/>
  <c r="Q979" i="1"/>
  <c r="X1080" i="1"/>
  <c r="X1135" i="1"/>
  <c r="X1139" i="1"/>
  <c r="U1208" i="1"/>
  <c r="S1208" i="1"/>
  <c r="X1239" i="1"/>
  <c r="Y1238" i="1" s="1"/>
  <c r="X1249" i="1"/>
  <c r="F1269" i="1"/>
  <c r="P1269" i="1" s="1"/>
  <c r="V1269" i="1" s="1"/>
  <c r="X1318" i="1"/>
  <c r="X1473" i="1"/>
  <c r="X1478" i="1"/>
  <c r="X1498" i="1"/>
  <c r="X1515" i="1"/>
  <c r="W1566" i="1"/>
  <c r="V1566" i="1"/>
  <c r="U1566" i="1"/>
  <c r="R1566" i="1"/>
  <c r="X1566" i="1" s="1"/>
  <c r="T1566" i="1"/>
  <c r="S1566" i="1"/>
  <c r="P1084" i="1"/>
  <c r="Q1084" i="1" s="1"/>
  <c r="X1084" i="1" s="1"/>
  <c r="X1100" i="1"/>
  <c r="T1143" i="1"/>
  <c r="R1143" i="1"/>
  <c r="Q1143" i="1"/>
  <c r="V1143" i="1"/>
  <c r="U1143" i="1"/>
  <c r="X1155" i="1"/>
  <c r="U1175" i="1"/>
  <c r="R1175" i="1"/>
  <c r="X1175" i="1" s="1"/>
  <c r="V1175" i="1"/>
  <c r="W1205" i="1"/>
  <c r="V1205" i="1"/>
  <c r="O1205" i="1"/>
  <c r="P1205" i="1" s="1"/>
  <c r="Q1205" i="1" s="1"/>
  <c r="U1205" i="1"/>
  <c r="U1243" i="1"/>
  <c r="V1243" i="1"/>
  <c r="T1243" i="1"/>
  <c r="O1243" i="1"/>
  <c r="P1243" i="1" s="1"/>
  <c r="O1295" i="1"/>
  <c r="P1295" i="1" s="1"/>
  <c r="R1295" i="1" s="1"/>
  <c r="D1297" i="1"/>
  <c r="V1295" i="1"/>
  <c r="Q1295" i="1"/>
  <c r="X1309" i="1"/>
  <c r="V1333" i="1"/>
  <c r="U1333" i="1"/>
  <c r="Q1333" i="1"/>
  <c r="T1333" i="1"/>
  <c r="S1333" i="1"/>
  <c r="P1346" i="1"/>
  <c r="R1346" i="1" s="1"/>
  <c r="X1422" i="1"/>
  <c r="X1436" i="1"/>
  <c r="Q1530" i="1"/>
  <c r="T1530" i="1"/>
  <c r="O1530" i="1"/>
  <c r="P1530" i="1" s="1"/>
  <c r="R1530" i="1" s="1"/>
  <c r="S1530" i="1"/>
  <c r="V1530" i="1"/>
  <c r="W1530" i="1"/>
  <c r="T1363" i="1"/>
  <c r="V1363" i="1"/>
  <c r="O1363" i="1"/>
  <c r="P1363" i="1" s="1"/>
  <c r="S1363" i="1" s="1"/>
  <c r="W1363" i="1"/>
  <c r="U1363" i="1"/>
  <c r="R1363" i="1"/>
  <c r="R1365" i="1"/>
  <c r="U1365" i="1"/>
  <c r="T1365" i="1"/>
  <c r="X1380" i="1"/>
  <c r="X1481" i="1"/>
  <c r="X1505" i="1"/>
  <c r="Y1504" i="1" s="1"/>
  <c r="X1054" i="1"/>
  <c r="U1066" i="1"/>
  <c r="R1066" i="1"/>
  <c r="O1066" i="1"/>
  <c r="P1066" i="1" s="1"/>
  <c r="S1066" i="1" s="1"/>
  <c r="F1096" i="1"/>
  <c r="P1096" i="1" s="1"/>
  <c r="V1096" i="1" s="1"/>
  <c r="P1090" i="1"/>
  <c r="V1090" i="1" s="1"/>
  <c r="X1090" i="1" s="1"/>
  <c r="F1150" i="1"/>
  <c r="P1150" i="1" s="1"/>
  <c r="V1150" i="1" s="1"/>
  <c r="P1148" i="1"/>
  <c r="U1148" i="1" s="1"/>
  <c r="X1148" i="1" s="1"/>
  <c r="V1157" i="1"/>
  <c r="T1157" i="1"/>
  <c r="O1157" i="1"/>
  <c r="P1157" i="1" s="1"/>
  <c r="Q1157" i="1" s="1"/>
  <c r="S1157" i="1"/>
  <c r="P1165" i="1"/>
  <c r="S1165" i="1" s="1"/>
  <c r="X1165" i="1" s="1"/>
  <c r="O1185" i="1"/>
  <c r="P1185" i="1" s="1"/>
  <c r="R1185" i="1" s="1"/>
  <c r="X1185" i="1" s="1"/>
  <c r="V1185" i="1"/>
  <c r="W1185" i="1"/>
  <c r="S1205" i="1"/>
  <c r="X1217" i="1"/>
  <c r="X1231" i="1"/>
  <c r="Y1229" i="1" s="1"/>
  <c r="V1237" i="1"/>
  <c r="W1237" i="1"/>
  <c r="T1237" i="1"/>
  <c r="X1237" i="1" s="1"/>
  <c r="Q1243" i="1"/>
  <c r="T1295" i="1"/>
  <c r="Y1342" i="1"/>
  <c r="X1345" i="1"/>
  <c r="X1350" i="1"/>
  <c r="Q1363" i="1"/>
  <c r="X1500" i="1"/>
  <c r="U1530" i="1"/>
  <c r="Q1611" i="1"/>
  <c r="U1611" i="1"/>
  <c r="S1611" i="1"/>
  <c r="W1611" i="1"/>
  <c r="D1613" i="1"/>
  <c r="O1611" i="1"/>
  <c r="P1611" i="1" s="1"/>
  <c r="R1611" i="1" s="1"/>
  <c r="T1611" i="1"/>
  <c r="V1611" i="1"/>
  <c r="T855" i="1"/>
  <c r="X855" i="1" s="1"/>
  <c r="U855" i="1"/>
  <c r="P890" i="1"/>
  <c r="V890" i="1" s="1"/>
  <c r="X910" i="1"/>
  <c r="Y908" i="1" s="1"/>
  <c r="U971" i="1"/>
  <c r="X971" i="1" s="1"/>
  <c r="W971" i="1"/>
  <c r="O987" i="1"/>
  <c r="P987" i="1" s="1"/>
  <c r="S987" i="1" s="1"/>
  <c r="R987" i="1"/>
  <c r="X1019" i="1"/>
  <c r="P1023" i="1"/>
  <c r="V1023" i="1" s="1"/>
  <c r="F1050" i="1"/>
  <c r="P1050" i="1" s="1"/>
  <c r="V1050" i="1" s="1"/>
  <c r="T1050" i="1"/>
  <c r="U1050" i="1"/>
  <c r="R1058" i="1"/>
  <c r="D1060" i="1"/>
  <c r="S1058" i="1"/>
  <c r="U1058" i="1"/>
  <c r="X1070" i="1"/>
  <c r="X1140" i="1"/>
  <c r="S1143" i="1"/>
  <c r="T1205" i="1"/>
  <c r="X1224" i="1"/>
  <c r="R1243" i="1"/>
  <c r="V1255" i="1"/>
  <c r="U1255" i="1"/>
  <c r="S1255" i="1"/>
  <c r="Q1255" i="1"/>
  <c r="X1255" i="1" s="1"/>
  <c r="X1272" i="1"/>
  <c r="X1290" i="1"/>
  <c r="U1295" i="1"/>
  <c r="X1298" i="1"/>
  <c r="Y1308" i="1"/>
  <c r="P1311" i="1"/>
  <c r="Q1311" i="1" s="1"/>
  <c r="X1311" i="1" s="1"/>
  <c r="W1313" i="1"/>
  <c r="Q1313" i="1"/>
  <c r="S1313" i="1"/>
  <c r="V1313" i="1"/>
  <c r="U1315" i="1"/>
  <c r="Q1315" i="1"/>
  <c r="S1315" i="1"/>
  <c r="W1315" i="1"/>
  <c r="V1315" i="1"/>
  <c r="X1319" i="1"/>
  <c r="Y1316" i="1" s="1"/>
  <c r="X1328" i="1"/>
  <c r="R1333" i="1"/>
  <c r="Q1365" i="1"/>
  <c r="X1389" i="1"/>
  <c r="X1402" i="1"/>
  <c r="W1418" i="1"/>
  <c r="U1418" i="1"/>
  <c r="T1418" i="1"/>
  <c r="X1536" i="1"/>
  <c r="X1584" i="1"/>
  <c r="W1606" i="1"/>
  <c r="V1606" i="1"/>
  <c r="R1606" i="1"/>
  <c r="S1606" i="1"/>
  <c r="T1606" i="1"/>
  <c r="Q1606" i="1"/>
  <c r="X1608" i="1"/>
  <c r="X1103" i="1"/>
  <c r="X1120" i="1"/>
  <c r="X1215" i="1"/>
  <c r="X1253" i="1"/>
  <c r="T1262" i="1"/>
  <c r="U1262" i="1"/>
  <c r="Q1275" i="1"/>
  <c r="T1275" i="1"/>
  <c r="U1275" i="1"/>
  <c r="R1275" i="1"/>
  <c r="T1356" i="1"/>
  <c r="U1356" i="1"/>
  <c r="W1356" i="1"/>
  <c r="Q1356" i="1"/>
  <c r="Y1382" i="1"/>
  <c r="X1425" i="1"/>
  <c r="X1456" i="1"/>
  <c r="Y1455" i="1" s="1"/>
  <c r="X1463" i="1"/>
  <c r="X1540" i="1"/>
  <c r="Y1539" i="1" s="1"/>
  <c r="P1556" i="1"/>
  <c r="R1556" i="1" s="1"/>
  <c r="X1571" i="1"/>
  <c r="P1625" i="1"/>
  <c r="R1625" i="1" s="1"/>
  <c r="X1625" i="1" s="1"/>
  <c r="X897" i="1"/>
  <c r="Y896" i="1" s="1"/>
  <c r="P986" i="1"/>
  <c r="S986" i="1" s="1"/>
  <c r="X986" i="1" s="1"/>
  <c r="X1052" i="1"/>
  <c r="W1105" i="1"/>
  <c r="R1105" i="1"/>
  <c r="S1105" i="1"/>
  <c r="P1132" i="1"/>
  <c r="S1132" i="1" s="1"/>
  <c r="X1132" i="1" s="1"/>
  <c r="Y1129" i="1" s="1"/>
  <c r="X1259" i="1"/>
  <c r="R1262" i="1"/>
  <c r="X1262" i="1" s="1"/>
  <c r="X1264" i="1"/>
  <c r="S1275" i="1"/>
  <c r="X1279" i="1"/>
  <c r="W1282" i="1"/>
  <c r="S1282" i="1"/>
  <c r="Q1282" i="1"/>
  <c r="X1335" i="1"/>
  <c r="Y1334" i="1" s="1"/>
  <c r="X1368" i="1"/>
  <c r="Y1366" i="1" s="1"/>
  <c r="X1372" i="1"/>
  <c r="X1399" i="1"/>
  <c r="P1404" i="1"/>
  <c r="R1404" i="1" s="1"/>
  <c r="X1404" i="1" s="1"/>
  <c r="Q1442" i="1"/>
  <c r="T1442" i="1"/>
  <c r="V1442" i="1"/>
  <c r="O1442" i="1"/>
  <c r="P1442" i="1" s="1"/>
  <c r="R1442" i="1" s="1"/>
  <c r="D1444" i="1"/>
  <c r="W1442" i="1"/>
  <c r="P1465" i="1"/>
  <c r="S1465" i="1" s="1"/>
  <c r="X1465" i="1" s="1"/>
  <c r="X1472" i="1"/>
  <c r="T1475" i="1"/>
  <c r="S1475" i="1"/>
  <c r="W1475" i="1"/>
  <c r="U1475" i="1"/>
  <c r="V1475" i="1"/>
  <c r="X1535" i="1"/>
  <c r="Y1533" i="1" s="1"/>
  <c r="V1557" i="1"/>
  <c r="U1557" i="1"/>
  <c r="O1557" i="1"/>
  <c r="P1557" i="1" s="1"/>
  <c r="R1557" i="1" s="1"/>
  <c r="W1557" i="1"/>
  <c r="Q1557" i="1"/>
  <c r="S1598" i="1"/>
  <c r="R1598" i="1"/>
  <c r="T1598" i="1"/>
  <c r="Q1598" i="1"/>
  <c r="V1598" i="1"/>
  <c r="U1598" i="1"/>
  <c r="W1598" i="1"/>
  <c r="P1605" i="1"/>
  <c r="R1605" i="1" s="1"/>
  <c r="X1605" i="1" s="1"/>
  <c r="W1085" i="1"/>
  <c r="U1085" i="1"/>
  <c r="X1101" i="1"/>
  <c r="X1113" i="1"/>
  <c r="X1153" i="1"/>
  <c r="X1194" i="1"/>
  <c r="Q1261" i="1"/>
  <c r="T1261" i="1"/>
  <c r="U1261" i="1"/>
  <c r="V1261" i="1"/>
  <c r="O1261" i="1"/>
  <c r="P1261" i="1" s="1"/>
  <c r="S1261" i="1" s="1"/>
  <c r="S1262" i="1"/>
  <c r="V1275" i="1"/>
  <c r="X1327" i="1"/>
  <c r="X1339" i="1"/>
  <c r="X1351" i="1"/>
  <c r="O1354" i="1"/>
  <c r="P1354" i="1" s="1"/>
  <c r="R1354" i="1" s="1"/>
  <c r="U1354" i="1"/>
  <c r="S1354" i="1"/>
  <c r="T1354" i="1"/>
  <c r="R1356" i="1"/>
  <c r="X1395" i="1"/>
  <c r="X1448" i="1"/>
  <c r="X1452" i="1"/>
  <c r="X1506" i="1"/>
  <c r="U1519" i="1"/>
  <c r="T1519" i="1"/>
  <c r="V1519" i="1"/>
  <c r="R1519" i="1"/>
  <c r="S1519" i="1"/>
  <c r="O1519" i="1"/>
  <c r="P1519" i="1" s="1"/>
  <c r="Q1519" i="1" s="1"/>
  <c r="V1537" i="1"/>
  <c r="U1537" i="1"/>
  <c r="Q1537" i="1"/>
  <c r="T1537" i="1"/>
  <c r="R1537" i="1"/>
  <c r="O1537" i="1"/>
  <c r="P1537" i="1" s="1"/>
  <c r="S1537" i="1" s="1"/>
  <c r="X1570" i="1"/>
  <c r="W1592" i="1"/>
  <c r="R1592" i="1"/>
  <c r="T1592" i="1"/>
  <c r="S1592" i="1"/>
  <c r="X1420" i="1"/>
  <c r="Y1419" i="1" s="1"/>
  <c r="W1467" i="1"/>
  <c r="T1467" i="1"/>
  <c r="R1467" i="1"/>
  <c r="V1467" i="1"/>
  <c r="X1490" i="1"/>
  <c r="X1512" i="1"/>
  <c r="X1522" i="1"/>
  <c r="Y1521" i="1" s="1"/>
  <c r="X1523" i="1"/>
  <c r="Y1581" i="1"/>
  <c r="X1595" i="1"/>
  <c r="Y1593" i="1" s="1"/>
  <c r="W1517" i="1"/>
  <c r="V1517" i="1"/>
  <c r="R1517" i="1"/>
  <c r="T1517" i="1"/>
  <c r="Q1517" i="1"/>
  <c r="S1517" i="1"/>
  <c r="W1574" i="1"/>
  <c r="V1574" i="1"/>
  <c r="S1574" i="1"/>
  <c r="U1574" i="1"/>
  <c r="X1609" i="1"/>
  <c r="Y1607" i="1" s="1"/>
  <c r="Q1324" i="1"/>
  <c r="R1324" i="1"/>
  <c r="S1324" i="1"/>
  <c r="T1347" i="1"/>
  <c r="V1347" i="1"/>
  <c r="S1347" i="1"/>
  <c r="Y1374" i="1"/>
  <c r="X1378" i="1"/>
  <c r="X1393" i="1"/>
  <c r="X1426" i="1"/>
  <c r="P1443" i="1"/>
  <c r="R1443" i="1" s="1"/>
  <c r="X1443" i="1" s="1"/>
  <c r="Q1467" i="1"/>
  <c r="X1467" i="1" s="1"/>
  <c r="U1484" i="1"/>
  <c r="W1484" i="1"/>
  <c r="R1484" i="1"/>
  <c r="S1484" i="1"/>
  <c r="P1492" i="1"/>
  <c r="S1492" i="1" s="1"/>
  <c r="X1492" i="1" s="1"/>
  <c r="X1514" i="1"/>
  <c r="Q1531" i="1"/>
  <c r="U1531" i="1"/>
  <c r="S1531" i="1"/>
  <c r="W1531" i="1"/>
  <c r="O1531" i="1"/>
  <c r="P1531" i="1" s="1"/>
  <c r="R1531" i="1" s="1"/>
  <c r="T1531" i="1"/>
  <c r="X1562" i="1"/>
  <c r="X1602" i="1"/>
  <c r="X1619" i="1"/>
  <c r="X1628" i="1"/>
  <c r="U1346" i="1"/>
  <c r="V1346" i="1"/>
  <c r="Q1346" i="1"/>
  <c r="T1346" i="1"/>
  <c r="Q1347" i="1"/>
  <c r="P1353" i="1"/>
  <c r="R1353" i="1" s="1"/>
  <c r="X1353" i="1" s="1"/>
  <c r="P1362" i="1"/>
  <c r="S1362" i="1" s="1"/>
  <c r="W1410" i="1"/>
  <c r="R1410" i="1"/>
  <c r="V1410" i="1"/>
  <c r="O1410" i="1"/>
  <c r="P1410" i="1" s="1"/>
  <c r="Q1410" i="1" s="1"/>
  <c r="X1479" i="1"/>
  <c r="T1484" i="1"/>
  <c r="V1518" i="1"/>
  <c r="U1518" i="1"/>
  <c r="S1518" i="1"/>
  <c r="W1518" i="1"/>
  <c r="O1518" i="1"/>
  <c r="P1518" i="1" s="1"/>
  <c r="Q1518" i="1" s="1"/>
  <c r="X1518" i="1" s="1"/>
  <c r="R1518" i="1"/>
  <c r="X1561" i="1"/>
  <c r="Y1559" i="1" s="1"/>
  <c r="P1564" i="1"/>
  <c r="S1564" i="1" s="1"/>
  <c r="X1564" i="1" s="1"/>
  <c r="Q1574" i="1"/>
  <c r="X1574" i="1" s="1"/>
  <c r="X1589" i="1"/>
  <c r="Y1587" i="1" s="1"/>
  <c r="W1614" i="1"/>
  <c r="S1614" i="1"/>
  <c r="V1614" i="1"/>
  <c r="R1614" i="1"/>
  <c r="P1122" i="1"/>
  <c r="Q1122" i="1" s="1"/>
  <c r="X1122" i="1" s="1"/>
  <c r="R1128" i="1"/>
  <c r="W1128" i="1"/>
  <c r="V1141" i="1"/>
  <c r="R1141" i="1"/>
  <c r="X1141" i="1" s="1"/>
  <c r="X1146" i="1"/>
  <c r="W1166" i="1"/>
  <c r="Q1166" i="1"/>
  <c r="X1182" i="1"/>
  <c r="W1186" i="1"/>
  <c r="O1186" i="1"/>
  <c r="P1186" i="1" s="1"/>
  <c r="V1186" i="1"/>
  <c r="P1199" i="1"/>
  <c r="V1199" i="1" s="1"/>
  <c r="P1219" i="1"/>
  <c r="S1219" i="1" s="1"/>
  <c r="X1219" i="1" s="1"/>
  <c r="P1276" i="1"/>
  <c r="V1276" i="1" s="1"/>
  <c r="X1291" i="1"/>
  <c r="Q1307" i="1"/>
  <c r="U1307" i="1"/>
  <c r="P1352" i="1"/>
  <c r="R1352" i="1" s="1"/>
  <c r="X1352" i="1" s="1"/>
  <c r="Y1392" i="1"/>
  <c r="X1414" i="1"/>
  <c r="Y1413" i="1" s="1"/>
  <c r="X1438" i="1"/>
  <c r="Y1437" i="1" s="1"/>
  <c r="S1548" i="1"/>
  <c r="U1548" i="1"/>
  <c r="X1552" i="1"/>
  <c r="Q1565" i="1"/>
  <c r="W1565" i="1"/>
  <c r="U1565" i="1"/>
  <c r="S1565" i="1"/>
  <c r="V1565" i="1"/>
  <c r="X1572" i="1"/>
  <c r="T1597" i="1"/>
  <c r="S1597" i="1"/>
  <c r="Q1597" i="1"/>
  <c r="O1597" i="1"/>
  <c r="P1597" i="1" s="1"/>
  <c r="R1597" i="1" s="1"/>
  <c r="W1597" i="1"/>
  <c r="X982" i="1"/>
  <c r="X1006" i="1"/>
  <c r="R1031" i="1"/>
  <c r="Q1031" i="1"/>
  <c r="X1031" i="1" s="1"/>
  <c r="S1076" i="1"/>
  <c r="X1076" i="1" s="1"/>
  <c r="Y1068" i="1" s="1"/>
  <c r="R1094" i="1"/>
  <c r="X1094" i="1" s="1"/>
  <c r="Q1128" i="1"/>
  <c r="S1141" i="1"/>
  <c r="S1144" i="1"/>
  <c r="R1144" i="1"/>
  <c r="T1166" i="1"/>
  <c r="W1169" i="1"/>
  <c r="R1169" i="1"/>
  <c r="V1174" i="1"/>
  <c r="R1174" i="1"/>
  <c r="X1174" i="1" s="1"/>
  <c r="R1186" i="1"/>
  <c r="X1186" i="1" s="1"/>
  <c r="P1208" i="1"/>
  <c r="V1208" i="1" s="1"/>
  <c r="P1212" i="1"/>
  <c r="Q1212" i="1" s="1"/>
  <c r="X1212" i="1" s="1"/>
  <c r="Y1209" i="1" s="1"/>
  <c r="R1269" i="1"/>
  <c r="S1269" i="1"/>
  <c r="S1305" i="1"/>
  <c r="U1305" i="1"/>
  <c r="V1305" i="1"/>
  <c r="R1307" i="1"/>
  <c r="Y1338" i="1"/>
  <c r="U1412" i="1"/>
  <c r="R1412" i="1"/>
  <c r="S1412" i="1"/>
  <c r="V1435" i="1"/>
  <c r="O1435" i="1"/>
  <c r="P1435" i="1" s="1"/>
  <c r="R1435" i="1" s="1"/>
  <c r="S1435" i="1"/>
  <c r="T1510" i="1"/>
  <c r="R1510" i="1"/>
  <c r="V1510" i="1"/>
  <c r="R1548" i="1"/>
  <c r="X1548" i="1" s="1"/>
  <c r="T1565" i="1"/>
  <c r="V1597" i="1"/>
  <c r="Q1626" i="1"/>
  <c r="V1626" i="1"/>
  <c r="T1626" i="1"/>
  <c r="P1262" i="1"/>
  <c r="V1262" i="1" s="1"/>
  <c r="S1364" i="1"/>
  <c r="V1364" i="1"/>
  <c r="V1411" i="1"/>
  <c r="R1411" i="1"/>
  <c r="O1417" i="1"/>
  <c r="P1417" i="1" s="1"/>
  <c r="S1417" i="1" s="1"/>
  <c r="X1417" i="1" s="1"/>
  <c r="W1417" i="1"/>
  <c r="P1418" i="1"/>
  <c r="V1418" i="1" s="1"/>
  <c r="X1462" i="1"/>
  <c r="Y1460" i="1" s="1"/>
  <c r="U1466" i="1"/>
  <c r="O1466" i="1"/>
  <c r="P1466" i="1" s="1"/>
  <c r="S1466" i="1" s="1"/>
  <c r="R1466" i="1"/>
  <c r="S1476" i="1"/>
  <c r="T1476" i="1"/>
  <c r="Q1476" i="1"/>
  <c r="X1491" i="1"/>
  <c r="X1496" i="1"/>
  <c r="Y1495" i="1" s="1"/>
  <c r="O1509" i="1"/>
  <c r="P1509" i="1" s="1"/>
  <c r="R1509" i="1" s="1"/>
  <c r="U1509" i="1"/>
  <c r="T1509" i="1"/>
  <c r="T1520" i="1"/>
  <c r="S1520" i="1"/>
  <c r="W1520" i="1"/>
  <c r="V1520" i="1"/>
  <c r="W1555" i="1"/>
  <c r="R1555" i="1"/>
  <c r="Q1579" i="1"/>
  <c r="S1579" i="1"/>
  <c r="T1579" i="1"/>
  <c r="X1600" i="1"/>
  <c r="Q1612" i="1"/>
  <c r="V1612" i="1"/>
  <c r="W1612" i="1"/>
  <c r="O1612" i="1"/>
  <c r="P1612" i="1" s="1"/>
  <c r="R1612" i="1" s="1"/>
  <c r="X1624" i="1"/>
  <c r="P1632" i="1"/>
  <c r="V1632" i="1" s="1"/>
  <c r="P1179" i="1"/>
  <c r="Q1179" i="1" s="1"/>
  <c r="X1179" i="1" s="1"/>
  <c r="Q1197" i="1"/>
  <c r="X1197" i="1" s="1"/>
  <c r="P1220" i="1"/>
  <c r="S1220" i="1" s="1"/>
  <c r="X1220" i="1" s="1"/>
  <c r="W1236" i="1"/>
  <c r="V1236" i="1"/>
  <c r="X1250" i="1"/>
  <c r="V1283" i="1"/>
  <c r="X1283" i="1" s="1"/>
  <c r="Y1357" i="1"/>
  <c r="U1362" i="1"/>
  <c r="V1362" i="1"/>
  <c r="R1364" i="1"/>
  <c r="X1364" i="1" s="1"/>
  <c r="X1381" i="1"/>
  <c r="Q1411" i="1"/>
  <c r="V1445" i="1"/>
  <c r="X1445" i="1" s="1"/>
  <c r="R1476" i="1"/>
  <c r="X1499" i="1"/>
  <c r="S1503" i="1"/>
  <c r="X1503" i="1" s="1"/>
  <c r="U1503" i="1"/>
  <c r="W1503" i="1"/>
  <c r="V1509" i="1"/>
  <c r="Q1520" i="1"/>
  <c r="Q1546" i="1"/>
  <c r="O1546" i="1"/>
  <c r="P1546" i="1" s="1"/>
  <c r="R1546" i="1" s="1"/>
  <c r="T1546" i="1"/>
  <c r="X1550" i="1"/>
  <c r="Y1549" i="1" s="1"/>
  <c r="X1554" i="1"/>
  <c r="T1555" i="1"/>
  <c r="P1558" i="1"/>
  <c r="V1558" i="1" s="1"/>
  <c r="U1579" i="1"/>
  <c r="U1612" i="1"/>
  <c r="X1622" i="1"/>
  <c r="X1630" i="1"/>
  <c r="U1558" i="1"/>
  <c r="T1558" i="1"/>
  <c r="S1558" i="1"/>
  <c r="V1400" i="1"/>
  <c r="X1400" i="1" s="1"/>
  <c r="P1416" i="1"/>
  <c r="S1416" i="1" s="1"/>
  <c r="X1416" i="1" s="1"/>
  <c r="X1424" i="1"/>
  <c r="Y1423" i="1" s="1"/>
  <c r="X1431" i="1"/>
  <c r="T1485" i="1"/>
  <c r="W1485" i="1"/>
  <c r="R1558" i="1"/>
  <c r="W1494" i="1"/>
  <c r="T1494" i="1"/>
  <c r="X1525" i="1"/>
  <c r="S1529" i="1"/>
  <c r="R1529" i="1"/>
  <c r="Q1529" i="1"/>
  <c r="R1545" i="1"/>
  <c r="Q1545" i="1"/>
  <c r="X1545" i="1" s="1"/>
  <c r="D1547" i="1"/>
  <c r="W1556" i="1"/>
  <c r="V1556" i="1"/>
  <c r="Q1556" i="1"/>
  <c r="X1601" i="1"/>
  <c r="U1586" i="1"/>
  <c r="T1586" i="1"/>
  <c r="X1604" i="1"/>
  <c r="U225" i="1" l="1"/>
  <c r="T225" i="1"/>
  <c r="Q225" i="1"/>
  <c r="X843" i="1"/>
  <c r="X790" i="1"/>
  <c r="X472" i="1"/>
  <c r="X680" i="1"/>
  <c r="X552" i="1"/>
  <c r="X988" i="1"/>
  <c r="Y915" i="1"/>
  <c r="X265" i="1"/>
  <c r="W1168" i="1"/>
  <c r="X665" i="1"/>
  <c r="X189" i="1"/>
  <c r="Q525" i="1"/>
  <c r="X22" i="1"/>
  <c r="T176" i="1"/>
  <c r="X1252" i="1"/>
  <c r="X386" i="1"/>
  <c r="X1485" i="1"/>
  <c r="X1509" i="1"/>
  <c r="X1169" i="1"/>
  <c r="X1276" i="1"/>
  <c r="X1362" i="1"/>
  <c r="X1592" i="1"/>
  <c r="X1354" i="1"/>
  <c r="X1585" i="1"/>
  <c r="X347" i="1"/>
  <c r="X655" i="1"/>
  <c r="X673" i="1"/>
  <c r="O225" i="1"/>
  <c r="P225" i="1" s="1"/>
  <c r="S225" i="1" s="1"/>
  <c r="X591" i="1"/>
  <c r="X1428" i="1"/>
  <c r="Q1168" i="1"/>
  <c r="X210" i="1"/>
  <c r="O525" i="1"/>
  <c r="P525" i="1" s="1"/>
  <c r="R525" i="1" s="1"/>
  <c r="U176" i="1"/>
  <c r="V864" i="1"/>
  <c r="U864" i="1"/>
  <c r="T864" i="1"/>
  <c r="R864" i="1"/>
  <c r="X864" i="1" s="1"/>
  <c r="X1208" i="1"/>
  <c r="Y332" i="1"/>
  <c r="X1000" i="1"/>
  <c r="X914" i="1"/>
  <c r="X905" i="1"/>
  <c r="Y436" i="1"/>
  <c r="R225" i="1"/>
  <c r="T525" i="1"/>
  <c r="V1049" i="1"/>
  <c r="T1049" i="1"/>
  <c r="X1475" i="1"/>
  <c r="X1199" i="1"/>
  <c r="X1347" i="1"/>
  <c r="X1105" i="1"/>
  <c r="Y883" i="1"/>
  <c r="Y1024" i="1"/>
  <c r="X646" i="1"/>
  <c r="X599" i="1"/>
  <c r="Y465" i="1"/>
  <c r="V225" i="1"/>
  <c r="X235" i="1"/>
  <c r="X656" i="1"/>
  <c r="X1207" i="1"/>
  <c r="U525" i="1"/>
  <c r="W792" i="1"/>
  <c r="V792" i="1"/>
  <c r="U792" i="1"/>
  <c r="T792" i="1"/>
  <c r="X792" i="1" s="1"/>
  <c r="Y783" i="1" s="1"/>
  <c r="S792" i="1"/>
  <c r="Q792" i="1"/>
  <c r="X829" i="1"/>
  <c r="Y823" i="1" s="1"/>
  <c r="S725" i="1"/>
  <c r="X725" i="1" s="1"/>
  <c r="Y716" i="1" s="1"/>
  <c r="U725" i="1"/>
  <c r="Y1151" i="1"/>
  <c r="Y1200" i="1"/>
  <c r="X900" i="1"/>
  <c r="W225" i="1"/>
  <c r="X836" i="1"/>
  <c r="X1532" i="1"/>
  <c r="S525" i="1"/>
  <c r="X525" i="1" s="1"/>
  <c r="U1355" i="1"/>
  <c r="V1355" i="1"/>
  <c r="T1355" i="1"/>
  <c r="Q1355" i="1"/>
  <c r="S1355" i="1"/>
  <c r="R1355" i="1"/>
  <c r="X1355" i="1" s="1"/>
  <c r="O1355" i="1"/>
  <c r="P1355" i="1" s="1"/>
  <c r="W1355" i="1"/>
  <c r="X1234" i="1"/>
  <c r="X708" i="1"/>
  <c r="Y1288" i="1"/>
  <c r="Y1245" i="1"/>
  <c r="X880" i="1"/>
  <c r="X1411" i="1"/>
  <c r="X1510" i="1"/>
  <c r="X1305" i="1"/>
  <c r="Y1325" i="1"/>
  <c r="Y1119" i="1"/>
  <c r="X1058" i="1"/>
  <c r="X947" i="1"/>
  <c r="X316" i="1"/>
  <c r="X198" i="1"/>
  <c r="Y190" i="1" s="1"/>
  <c r="Y418" i="1"/>
  <c r="X348" i="1"/>
  <c r="X237" i="1"/>
  <c r="X90" i="1"/>
  <c r="X91" i="1"/>
  <c r="U1049" i="1"/>
  <c r="X287" i="1"/>
  <c r="X573" i="1"/>
  <c r="W525" i="1"/>
  <c r="X514" i="1"/>
  <c r="Y875" i="1"/>
  <c r="Y1599" i="1"/>
  <c r="X1144" i="1"/>
  <c r="X1418" i="1"/>
  <c r="X1118" i="1"/>
  <c r="X1632" i="1"/>
  <c r="X1066" i="1"/>
  <c r="X545" i="1"/>
  <c r="X964" i="1"/>
  <c r="X856" i="1"/>
  <c r="X132" i="1"/>
  <c r="X616" i="1"/>
  <c r="X226" i="1"/>
  <c r="X1409" i="1"/>
  <c r="X1116" i="1"/>
  <c r="X1555" i="1"/>
  <c r="Y1213" i="1"/>
  <c r="X1586" i="1"/>
  <c r="X1520" i="1"/>
  <c r="X1466" i="1"/>
  <c r="X1128" i="1"/>
  <c r="Y1401" i="1"/>
  <c r="X1050" i="1"/>
  <c r="X979" i="1"/>
  <c r="X980" i="1"/>
  <c r="X309" i="1"/>
  <c r="X199" i="1"/>
  <c r="X401" i="1"/>
  <c r="X1206" i="1"/>
  <c r="X507" i="1"/>
  <c r="X791" i="1"/>
  <c r="X319" i="1"/>
  <c r="X621" i="1"/>
  <c r="T1168" i="1"/>
  <c r="X329" i="1"/>
  <c r="X48" i="1"/>
  <c r="R176" i="1"/>
  <c r="X176" i="1" s="1"/>
  <c r="X798" i="1"/>
  <c r="X1494" i="1"/>
  <c r="X1435" i="1"/>
  <c r="Y1477" i="1"/>
  <c r="Y622" i="1"/>
  <c r="Y891" i="1"/>
  <c r="X583" i="1"/>
  <c r="U1168" i="1"/>
  <c r="Y1450" i="1"/>
  <c r="X131" i="1"/>
  <c r="V176" i="1"/>
  <c r="U1236" i="1"/>
  <c r="T1236" i="1"/>
  <c r="S1236" i="1"/>
  <c r="X1236" i="1" s="1"/>
  <c r="R1236" i="1"/>
  <c r="O1236" i="1"/>
  <c r="P1236" i="1" s="1"/>
  <c r="Q1236" i="1" s="1"/>
  <c r="X585" i="1"/>
  <c r="X1410" i="1"/>
  <c r="X1484" i="1"/>
  <c r="X1365" i="1"/>
  <c r="Y1222" i="1"/>
  <c r="X1538" i="1"/>
  <c r="X1304" i="1"/>
  <c r="X398" i="1"/>
  <c r="X1061" i="1"/>
  <c r="X13" i="1"/>
  <c r="X1196" i="1"/>
  <c r="O1168" i="1"/>
  <c r="P1168" i="1" s="1"/>
  <c r="S1168" i="1" s="1"/>
  <c r="Y702" i="1"/>
  <c r="Y683" i="1"/>
  <c r="W176" i="1"/>
  <c r="W257" i="1"/>
  <c r="V257" i="1"/>
  <c r="S340" i="1"/>
  <c r="U340" i="1"/>
  <c r="O340" i="1"/>
  <c r="P340" i="1" s="1"/>
  <c r="Q340" i="1" s="1"/>
  <c r="X1556" i="1"/>
  <c r="X1519" i="1"/>
  <c r="X1157" i="1"/>
  <c r="X1205" i="1"/>
  <c r="Y1370" i="1"/>
  <c r="X667" i="1"/>
  <c r="X142" i="1"/>
  <c r="X690" i="1"/>
  <c r="X167" i="1"/>
  <c r="X255" i="1"/>
  <c r="X582" i="1"/>
  <c r="X1123" i="1"/>
  <c r="V781" i="1"/>
  <c r="X781" i="1" s="1"/>
  <c r="Y772" i="1" s="1"/>
  <c r="U781" i="1"/>
  <c r="V144" i="1"/>
  <c r="W144" i="1"/>
  <c r="U144" i="1"/>
  <c r="T144" i="1"/>
  <c r="Y1256" i="1"/>
  <c r="Y238" i="1"/>
  <c r="Y1012" i="1"/>
  <c r="Y1180" i="1"/>
  <c r="Y259" i="1"/>
  <c r="Y41" i="1"/>
  <c r="Y83" i="1"/>
  <c r="Y518" i="1"/>
  <c r="Y134" i="1"/>
  <c r="Y1145" i="1"/>
  <c r="X987" i="1"/>
  <c r="Y1170" i="1"/>
  <c r="Y527" i="1"/>
  <c r="O1547" i="1"/>
  <c r="P1547" i="1" s="1"/>
  <c r="R1547" i="1" s="1"/>
  <c r="S1547" i="1"/>
  <c r="W1547" i="1"/>
  <c r="T1547" i="1"/>
  <c r="Q1547" i="1"/>
  <c r="V1547" i="1"/>
  <c r="U1547" i="1"/>
  <c r="X1531" i="1"/>
  <c r="X1261" i="1"/>
  <c r="X1598" i="1"/>
  <c r="Q1060" i="1"/>
  <c r="U1060" i="1"/>
  <c r="W1060" i="1"/>
  <c r="V1060" i="1"/>
  <c r="T1060" i="1"/>
  <c r="R1060" i="1"/>
  <c r="O1060" i="1"/>
  <c r="P1060" i="1" s="1"/>
  <c r="S1060" i="1" s="1"/>
  <c r="Q1095" i="1"/>
  <c r="U1095" i="1"/>
  <c r="T1095" i="1"/>
  <c r="O1095" i="1"/>
  <c r="P1095" i="1" s="1"/>
  <c r="R1095" i="1"/>
  <c r="V1095" i="1"/>
  <c r="S1095" i="1"/>
  <c r="W1095" i="1"/>
  <c r="S845" i="1"/>
  <c r="V845" i="1"/>
  <c r="W845" i="1"/>
  <c r="U845" i="1"/>
  <c r="T845" i="1"/>
  <c r="Q845" i="1"/>
  <c r="O845" i="1"/>
  <c r="P845" i="1" s="1"/>
  <c r="R845" i="1" s="1"/>
  <c r="X277" i="1"/>
  <c r="X56" i="1"/>
  <c r="Y49" i="1" s="1"/>
  <c r="V506" i="1"/>
  <c r="U506" i="1"/>
  <c r="T506" i="1"/>
  <c r="Q506" i="1"/>
  <c r="W506" i="1"/>
  <c r="O506" i="1"/>
  <c r="P506" i="1" s="1"/>
  <c r="R506" i="1" s="1"/>
  <c r="S506" i="1"/>
  <c r="Q1198" i="1"/>
  <c r="R1198" i="1"/>
  <c r="U1198" i="1"/>
  <c r="V1198" i="1"/>
  <c r="T1198" i="1"/>
  <c r="O1198" i="1"/>
  <c r="P1198" i="1" s="1"/>
  <c r="S1198" i="1" s="1"/>
  <c r="W1198" i="1"/>
  <c r="X120" i="1"/>
  <c r="Q564" i="1"/>
  <c r="S564" i="1"/>
  <c r="O564" i="1"/>
  <c r="P564" i="1" s="1"/>
  <c r="R564" i="1" s="1"/>
  <c r="U564" i="1"/>
  <c r="T564" i="1"/>
  <c r="W564" i="1"/>
  <c r="V564" i="1"/>
  <c r="X32" i="1"/>
  <c r="X771" i="1"/>
  <c r="X111" i="1"/>
  <c r="X479" i="1"/>
  <c r="V11" i="1"/>
  <c r="X1307" i="1"/>
  <c r="X1517" i="1"/>
  <c r="Y1511" i="1" s="1"/>
  <c r="X1442" i="1"/>
  <c r="X1606" i="1"/>
  <c r="O1297" i="1"/>
  <c r="P1297" i="1" s="1"/>
  <c r="R1297" i="1" s="1"/>
  <c r="V1297" i="1"/>
  <c r="T1297" i="1"/>
  <c r="U1297" i="1"/>
  <c r="S1297" i="1"/>
  <c r="Q1297" i="1"/>
  <c r="W1297" i="1"/>
  <c r="S813" i="1"/>
  <c r="T813" i="1"/>
  <c r="U813" i="1"/>
  <c r="Q813" i="1"/>
  <c r="O813" i="1"/>
  <c r="P813" i="1" s="1"/>
  <c r="R813" i="1" s="1"/>
  <c r="W813" i="1"/>
  <c r="V813" i="1"/>
  <c r="X1167" i="1"/>
  <c r="X636" i="1"/>
  <c r="Y632" i="1" s="1"/>
  <c r="Q247" i="1"/>
  <c r="O247" i="1"/>
  <c r="P247" i="1" s="1"/>
  <c r="W247" i="1"/>
  <c r="V247" i="1"/>
  <c r="R247" i="1"/>
  <c r="U247" i="1"/>
  <c r="T247" i="1"/>
  <c r="S247" i="1"/>
  <c r="X1332" i="1"/>
  <c r="Y799" i="1"/>
  <c r="X1021" i="1"/>
  <c r="X354" i="1"/>
  <c r="X1049" i="1"/>
  <c r="W81" i="1"/>
  <c r="V81" i="1"/>
  <c r="T81" i="1"/>
  <c r="Q81" i="1"/>
  <c r="S81" i="1"/>
  <c r="O81" i="1"/>
  <c r="P81" i="1" s="1"/>
  <c r="U81" i="1"/>
  <c r="X1221" i="1"/>
  <c r="X143" i="1"/>
  <c r="X21" i="1"/>
  <c r="X449" i="1"/>
  <c r="Y123" i="1"/>
  <c r="X1268" i="1"/>
  <c r="Y1263" i="1" s="1"/>
  <c r="U276" i="1"/>
  <c r="T276" i="1"/>
  <c r="W276" i="1"/>
  <c r="R276" i="1"/>
  <c r="O276" i="1"/>
  <c r="P276" i="1" s="1"/>
  <c r="S276" i="1" s="1"/>
  <c r="Q276" i="1"/>
  <c r="V276" i="1"/>
  <c r="X31" i="1"/>
  <c r="X643" i="1"/>
  <c r="X1579" i="1"/>
  <c r="X1313" i="1"/>
  <c r="X1242" i="1"/>
  <c r="X1115" i="1"/>
  <c r="X1390" i="1"/>
  <c r="Y858" i="1"/>
  <c r="X608" i="1"/>
  <c r="Y603" i="1" s="1"/>
  <c r="Y489" i="1"/>
  <c r="Y481" i="1"/>
  <c r="X380" i="1"/>
  <c r="X200" i="1"/>
  <c r="X764" i="1"/>
  <c r="Y760" i="1" s="1"/>
  <c r="O584" i="1"/>
  <c r="P584" i="1" s="1"/>
  <c r="Q584" i="1" s="1"/>
  <c r="V584" i="1"/>
  <c r="U584" i="1"/>
  <c r="T584" i="1"/>
  <c r="R584" i="1"/>
  <c r="S584" i="1"/>
  <c r="W584" i="1"/>
  <c r="X602" i="1"/>
  <c r="X631" i="1"/>
  <c r="X1529" i="1"/>
  <c r="X1565" i="1"/>
  <c r="Y1627" i="1"/>
  <c r="X1275" i="1"/>
  <c r="Y1270" i="1" s="1"/>
  <c r="Y949" i="1"/>
  <c r="Y1446" i="1"/>
  <c r="X371" i="1"/>
  <c r="X456" i="1"/>
  <c r="Y450" i="1" s="1"/>
  <c r="X275" i="1"/>
  <c r="X931" i="1"/>
  <c r="Y957" i="1"/>
  <c r="Y342" i="1"/>
  <c r="T166" i="1"/>
  <c r="S166" i="1"/>
  <c r="V166" i="1"/>
  <c r="W166" i="1"/>
  <c r="U166" i="1"/>
  <c r="Q166" i="1"/>
  <c r="O166" i="1"/>
  <c r="P166" i="1" s="1"/>
  <c r="R166" i="1" s="1"/>
  <c r="X1168" i="1"/>
  <c r="Y832" i="1"/>
  <c r="S666" i="1"/>
  <c r="W666" i="1"/>
  <c r="V666" i="1"/>
  <c r="U666" i="1"/>
  <c r="Q666" i="1"/>
  <c r="O666" i="1"/>
  <c r="P666" i="1" s="1"/>
  <c r="R666" i="1" s="1"/>
  <c r="T666" i="1"/>
  <c r="R236" i="1"/>
  <c r="Q236" i="1"/>
  <c r="V236" i="1"/>
  <c r="O236" i="1"/>
  <c r="P236" i="1" s="1"/>
  <c r="S236" i="1" s="1"/>
  <c r="T236" i="1"/>
  <c r="W236" i="1"/>
  <c r="U236" i="1"/>
  <c r="X63" i="1"/>
  <c r="Y57" i="1" s="1"/>
  <c r="X532" i="1"/>
  <c r="X29" i="1"/>
  <c r="X1476" i="1"/>
  <c r="Y981" i="1"/>
  <c r="X1557" i="1"/>
  <c r="X1059" i="1"/>
  <c r="X1048" i="1"/>
  <c r="Y1040" i="1" s="1"/>
  <c r="X731" i="1"/>
  <c r="Y727" i="1" s="1"/>
  <c r="X574" i="1"/>
  <c r="X555" i="1"/>
  <c r="X317" i="1"/>
  <c r="X745" i="1"/>
  <c r="X399" i="1"/>
  <c r="Y1429" i="1"/>
  <c r="X679" i="1"/>
  <c r="Y349" i="1"/>
  <c r="V1314" i="1"/>
  <c r="R1314" i="1"/>
  <c r="W1314" i="1"/>
  <c r="T1314" i="1"/>
  <c r="O1314" i="1"/>
  <c r="P1314" i="1" s="1"/>
  <c r="Q1314" i="1" s="1"/>
  <c r="U1314" i="1"/>
  <c r="S1314" i="1"/>
  <c r="X435" i="1"/>
  <c r="X895" i="1"/>
  <c r="X471" i="1"/>
  <c r="X457" i="1"/>
  <c r="X297" i="1"/>
  <c r="Y202" i="1"/>
  <c r="X234" i="1"/>
  <c r="X318" i="1"/>
  <c r="X1546" i="1"/>
  <c r="X1537" i="1"/>
  <c r="X1363" i="1"/>
  <c r="X1333" i="1"/>
  <c r="Y941" i="1"/>
  <c r="X738" i="1"/>
  <c r="Y732" i="1" s="1"/>
  <c r="X889" i="1"/>
  <c r="X939" i="1"/>
  <c r="X1254" i="1"/>
  <c r="X697" i="1"/>
  <c r="X844" i="1"/>
  <c r="W923" i="1"/>
  <c r="O923" i="1"/>
  <c r="P923" i="1" s="1"/>
  <c r="R923" i="1" s="1"/>
  <c r="U923" i="1"/>
  <c r="T923" i="1"/>
  <c r="S923" i="1"/>
  <c r="V923" i="1"/>
  <c r="Q923" i="1"/>
  <c r="X517" i="1"/>
  <c r="X416" i="1"/>
  <c r="Y410" i="1" s="1"/>
  <c r="Y424" i="1"/>
  <c r="Y846" i="1"/>
  <c r="X1096" i="1"/>
  <c r="X590" i="1"/>
  <c r="Y586" i="1" s="1"/>
  <c r="X165" i="1"/>
  <c r="X308" i="1"/>
  <c r="Y300" i="1" s="1"/>
  <c r="X133" i="1"/>
  <c r="X47" i="1"/>
  <c r="X187" i="1"/>
  <c r="X30" i="1"/>
  <c r="Y23" i="1" s="1"/>
  <c r="X80" i="1"/>
  <c r="X1324" i="1"/>
  <c r="X1143" i="1"/>
  <c r="X1104" i="1"/>
  <c r="X1086" i="1"/>
  <c r="X906" i="1"/>
  <c r="X1620" i="1"/>
  <c r="Y965" i="1"/>
  <c r="S882" i="1"/>
  <c r="O882" i="1"/>
  <c r="P882" i="1" s="1"/>
  <c r="R882" i="1" s="1"/>
  <c r="W882" i="1"/>
  <c r="V882" i="1"/>
  <c r="U882" i="1"/>
  <c r="T882" i="1"/>
  <c r="Q882" i="1"/>
  <c r="X956" i="1"/>
  <c r="R1306" i="1"/>
  <c r="U1306" i="1"/>
  <c r="W1306" i="1"/>
  <c r="O1306" i="1"/>
  <c r="P1306" i="1" s="1"/>
  <c r="Q1306" i="1" s="1"/>
  <c r="S1306" i="1"/>
  <c r="V1306" i="1"/>
  <c r="T1306" i="1"/>
  <c r="X1020" i="1"/>
  <c r="X328" i="1"/>
  <c r="X340" i="1"/>
  <c r="X144" i="1"/>
  <c r="X1323" i="1"/>
  <c r="X1010" i="1"/>
  <c r="Y1001" i="1" s="1"/>
  <c r="Y214" i="1"/>
  <c r="X296" i="1"/>
  <c r="V516" i="1"/>
  <c r="U516" i="1"/>
  <c r="O516" i="1"/>
  <c r="P516" i="1" s="1"/>
  <c r="R516" i="1" s="1"/>
  <c r="T516" i="1"/>
  <c r="Q516" i="1"/>
  <c r="S516" i="1"/>
  <c r="W516" i="1"/>
  <c r="X121" i="1"/>
  <c r="R645" i="1"/>
  <c r="S645" i="1"/>
  <c r="W645" i="1"/>
  <c r="V645" i="1"/>
  <c r="U645" i="1"/>
  <c r="Q645" i="1"/>
  <c r="O645" i="1"/>
  <c r="P645" i="1" s="1"/>
  <c r="T645" i="1"/>
  <c r="X1269" i="1"/>
  <c r="X1597" i="1"/>
  <c r="X1614" i="1"/>
  <c r="X1282" i="1"/>
  <c r="Y1277" i="1" s="1"/>
  <c r="O1613" i="1"/>
  <c r="P1613" i="1" s="1"/>
  <c r="R1613" i="1" s="1"/>
  <c r="W1613" i="1"/>
  <c r="T1613" i="1"/>
  <c r="U1613" i="1"/>
  <c r="V1613" i="1"/>
  <c r="S1613" i="1"/>
  <c r="Q1613" i="1"/>
  <c r="X1228" i="1"/>
  <c r="X881" i="1"/>
  <c r="S1117" i="1"/>
  <c r="T1117" i="1"/>
  <c r="W1117" i="1"/>
  <c r="V1117" i="1"/>
  <c r="U1117" i="1"/>
  <c r="O1117" i="1"/>
  <c r="P1117" i="1" s="1"/>
  <c r="R1117" i="1" s="1"/>
  <c r="Q1117" i="1"/>
  <c r="Y1032" i="1"/>
  <c r="X1502" i="1"/>
  <c r="X812" i="1"/>
  <c r="X770" i="1"/>
  <c r="Y766" i="1" s="1"/>
  <c r="V907" i="1"/>
  <c r="U907" i="1"/>
  <c r="T907" i="1"/>
  <c r="S907" i="1"/>
  <c r="Q907" i="1"/>
  <c r="O907" i="1"/>
  <c r="P907" i="1" s="1"/>
  <c r="R907" i="1" s="1"/>
  <c r="W907" i="1"/>
  <c r="X256" i="1"/>
  <c r="X448" i="1"/>
  <c r="Y442" i="1" s="1"/>
  <c r="X174" i="1"/>
  <c r="Y168" i="1" s="1"/>
  <c r="X531" i="1"/>
  <c r="Y1176" i="1"/>
  <c r="X565" i="1"/>
  <c r="X286" i="1"/>
  <c r="Y278" i="1" s="1"/>
  <c r="S372" i="1"/>
  <c r="V372" i="1"/>
  <c r="T372" i="1"/>
  <c r="Q372" i="1"/>
  <c r="O372" i="1"/>
  <c r="P372" i="1" s="1"/>
  <c r="R372" i="1" s="1"/>
  <c r="W372" i="1"/>
  <c r="U372" i="1"/>
  <c r="X82" i="1"/>
  <c r="X258" i="1"/>
  <c r="Q821" i="1"/>
  <c r="T821" i="1"/>
  <c r="S821" i="1"/>
  <c r="O821" i="1"/>
  <c r="P821" i="1" s="1"/>
  <c r="R821" i="1" s="1"/>
  <c r="W821" i="1"/>
  <c r="U821" i="1"/>
  <c r="V821" i="1"/>
  <c r="X39" i="1"/>
  <c r="Y33" i="1" s="1"/>
  <c r="X274" i="1"/>
  <c r="X1150" i="1"/>
  <c r="Y1621" i="1"/>
  <c r="O1444" i="1"/>
  <c r="P1444" i="1" s="1"/>
  <c r="V1444" i="1"/>
  <c r="S1444" i="1"/>
  <c r="T1444" i="1"/>
  <c r="W1444" i="1"/>
  <c r="U1444" i="1"/>
  <c r="R1444" i="1"/>
  <c r="Q1444" i="1"/>
  <c r="X1356" i="1"/>
  <c r="W1106" i="1"/>
  <c r="U1106" i="1"/>
  <c r="O1106" i="1"/>
  <c r="P1106" i="1" s="1"/>
  <c r="R1106" i="1" s="1"/>
  <c r="Q1106" i="1"/>
  <c r="V1106" i="1"/>
  <c r="S1106" i="1"/>
  <c r="T1106" i="1"/>
  <c r="X1591" i="1"/>
  <c r="X890" i="1"/>
  <c r="S1022" i="1"/>
  <c r="U1022" i="1"/>
  <c r="O1022" i="1"/>
  <c r="P1022" i="1" s="1"/>
  <c r="R1022" i="1" s="1"/>
  <c r="Q1022" i="1"/>
  <c r="W1022" i="1"/>
  <c r="V1022" i="1"/>
  <c r="T1022" i="1"/>
  <c r="Y973" i="1"/>
  <c r="X391" i="1"/>
  <c r="X103" i="1"/>
  <c r="W601" i="1"/>
  <c r="V601" i="1"/>
  <c r="T601" i="1"/>
  <c r="S601" i="1"/>
  <c r="O601" i="1"/>
  <c r="P601" i="1" s="1"/>
  <c r="R601" i="1" s="1"/>
  <c r="U601" i="1"/>
  <c r="Q601" i="1"/>
  <c r="X515" i="1"/>
  <c r="Y157" i="1"/>
  <c r="X994" i="1"/>
  <c r="Q681" i="1"/>
  <c r="S681" i="1"/>
  <c r="R681" i="1"/>
  <c r="V681" i="1"/>
  <c r="U681" i="1"/>
  <c r="T681" i="1"/>
  <c r="W681" i="1"/>
  <c r="O681" i="1"/>
  <c r="P681" i="1" s="1"/>
  <c r="X417" i="1"/>
  <c r="V188" i="1"/>
  <c r="U188" i="1"/>
  <c r="R188" i="1"/>
  <c r="Q188" i="1"/>
  <c r="O188" i="1"/>
  <c r="P188" i="1" s="1"/>
  <c r="S188" i="1"/>
  <c r="W188" i="1"/>
  <c r="T188" i="1"/>
  <c r="Y65" i="1"/>
  <c r="X153" i="1"/>
  <c r="Y146" i="1" s="1"/>
  <c r="Y617" i="1"/>
  <c r="X40" i="1"/>
  <c r="X940" i="1"/>
  <c r="X600" i="1"/>
  <c r="Y508" i="1"/>
  <c r="X102" i="1"/>
  <c r="Y94" i="1" s="1"/>
  <c r="X400" i="1"/>
  <c r="Y392" i="1" s="1"/>
  <c r="X626" i="1"/>
  <c r="X1558" i="1"/>
  <c r="X1530" i="1"/>
  <c r="O1244" i="1"/>
  <c r="P1244" i="1" s="1"/>
  <c r="R1244" i="1" s="1"/>
  <c r="U1244" i="1"/>
  <c r="W1244" i="1"/>
  <c r="V1244" i="1"/>
  <c r="T1244" i="1"/>
  <c r="Q1244" i="1"/>
  <c r="S1244" i="1"/>
  <c r="X1085" i="1"/>
  <c r="Y1078" i="1" s="1"/>
  <c r="X1093" i="1"/>
  <c r="X1023" i="1"/>
  <c r="X948" i="1"/>
  <c r="X381" i="1"/>
  <c r="X72" i="1"/>
  <c r="X504" i="1"/>
  <c r="Q838" i="1"/>
  <c r="O838" i="1"/>
  <c r="P838" i="1" s="1"/>
  <c r="R838" i="1" s="1"/>
  <c r="V838" i="1"/>
  <c r="U838" i="1"/>
  <c r="W838" i="1"/>
  <c r="S838" i="1"/>
  <c r="T838" i="1"/>
  <c r="X654" i="1"/>
  <c r="Y647" i="1" s="1"/>
  <c r="X362" i="1"/>
  <c r="Y356" i="1" s="1"/>
  <c r="X759" i="1"/>
  <c r="X553" i="1"/>
  <c r="X921" i="1"/>
  <c r="Y709" i="1"/>
  <c r="W155" i="1"/>
  <c r="U155" i="1"/>
  <c r="T155" i="1"/>
  <c r="R155" i="1"/>
  <c r="Q155" i="1"/>
  <c r="O155" i="1"/>
  <c r="P155" i="1" s="1"/>
  <c r="S155" i="1" s="1"/>
  <c r="V155" i="1"/>
  <c r="X79" i="1"/>
  <c r="X752" i="1"/>
  <c r="Y746" i="1" s="1"/>
  <c r="V298" i="1"/>
  <c r="S298" i="1"/>
  <c r="U298" i="1"/>
  <c r="T298" i="1"/>
  <c r="W298" i="1"/>
  <c r="O298" i="1"/>
  <c r="P298" i="1" s="1"/>
  <c r="R298" i="1" s="1"/>
  <c r="Q298" i="1"/>
  <c r="Y541" i="1"/>
  <c r="X246" i="1"/>
  <c r="X92" i="1"/>
  <c r="X1612" i="1"/>
  <c r="X1166" i="1"/>
  <c r="X1315" i="1"/>
  <c r="X1295" i="1"/>
  <c r="X955" i="1"/>
  <c r="X1142" i="1"/>
  <c r="Y1134" i="1" s="1"/>
  <c r="Y374" i="1"/>
  <c r="X257" i="1"/>
  <c r="Y249" i="1" s="1"/>
  <c r="X1158" i="1"/>
  <c r="Y473" i="1"/>
  <c r="X1030" i="1"/>
  <c r="U330" i="1"/>
  <c r="W330" i="1"/>
  <c r="V330" i="1"/>
  <c r="S330" i="1"/>
  <c r="O330" i="1"/>
  <c r="P330" i="1" s="1"/>
  <c r="R330" i="1" s="1"/>
  <c r="Q330" i="1"/>
  <c r="T330" i="1"/>
  <c r="V212" i="1"/>
  <c r="O212" i="1"/>
  <c r="P212" i="1" s="1"/>
  <c r="S212" i="1" s="1"/>
  <c r="W212" i="1"/>
  <c r="T212" i="1"/>
  <c r="U212" i="1"/>
  <c r="Q212" i="1"/>
  <c r="R212" i="1"/>
  <c r="X739" i="1"/>
  <c r="X355" i="1"/>
  <c r="X496" i="1"/>
  <c r="X562" i="1"/>
  <c r="X664" i="1"/>
  <c r="X363" i="1"/>
  <c r="X554" i="1"/>
  <c r="Y547" i="1" s="1"/>
  <c r="X696" i="1"/>
  <c r="Y691" i="1" s="1"/>
  <c r="X819" i="1"/>
  <c r="X1626" i="1"/>
  <c r="X1412" i="1"/>
  <c r="X1346" i="1"/>
  <c r="X1611" i="1"/>
  <c r="X1243" i="1"/>
  <c r="X857" i="1"/>
  <c r="T539" i="1"/>
  <c r="W539" i="1"/>
  <c r="V539" i="1"/>
  <c r="S539" i="1"/>
  <c r="R539" i="1"/>
  <c r="U539" i="1"/>
  <c r="O539" i="1"/>
  <c r="P539" i="1" s="1"/>
  <c r="Q539" i="1" s="1"/>
  <c r="X1107" i="1"/>
  <c r="X505" i="1"/>
  <c r="Y1062" i="1"/>
  <c r="X119" i="1"/>
  <c r="Y112" i="1" s="1"/>
  <c r="X576" i="1"/>
  <c r="S575" i="1"/>
  <c r="Q575" i="1"/>
  <c r="V575" i="1"/>
  <c r="U575" i="1"/>
  <c r="T575" i="1"/>
  <c r="O575" i="1"/>
  <c r="P575" i="1" s="1"/>
  <c r="R575" i="1" s="1"/>
  <c r="W575" i="1"/>
  <c r="X370" i="1"/>
  <c r="Y178" i="1"/>
  <c r="Y15" i="1" l="1"/>
  <c r="Y310" i="1"/>
  <c r="X584" i="1"/>
  <c r="Y577" i="1" s="1"/>
  <c r="Y1159" i="1"/>
  <c r="X539" i="1"/>
  <c r="Y533" i="1" s="1"/>
  <c r="X1306" i="1"/>
  <c r="X1314" i="1"/>
  <c r="Q4" i="1"/>
  <c r="U4" i="1"/>
  <c r="P4" i="1"/>
  <c r="X882" i="1"/>
  <c r="W4" i="1"/>
  <c r="X225" i="1"/>
  <c r="S4" i="1"/>
  <c r="Y566" i="1"/>
  <c r="X1244" i="1"/>
  <c r="X1444" i="1"/>
  <c r="X188" i="1"/>
  <c r="X681" i="1"/>
  <c r="X1547" i="1"/>
  <c r="X212" i="1"/>
  <c r="X516" i="1"/>
  <c r="X813" i="1"/>
  <c r="Y807" i="1" s="1"/>
  <c r="X838" i="1"/>
  <c r="X372" i="1"/>
  <c r="Y364" i="1" s="1"/>
  <c r="X1613" i="1"/>
  <c r="X81" i="1"/>
  <c r="Y73" i="1" s="1"/>
  <c r="X575" i="1"/>
  <c r="X236" i="1"/>
  <c r="Y227" i="1" s="1"/>
  <c r="T4" i="1"/>
  <c r="X601" i="1"/>
  <c r="Y592" i="1" s="1"/>
  <c r="X645" i="1"/>
  <c r="Y637" i="1" s="1"/>
  <c r="X1198" i="1"/>
  <c r="Y1189" i="1" s="1"/>
  <c r="X1060" i="1"/>
  <c r="Y1051" i="1" s="1"/>
  <c r="X1106" i="1"/>
  <c r="Y1097" i="1" s="1"/>
  <c r="X907" i="1"/>
  <c r="X1117" i="1"/>
  <c r="Y1108" i="1" s="1"/>
  <c r="X923" i="1"/>
  <c r="Y674" i="1"/>
  <c r="X506" i="1"/>
  <c r="Y497" i="1" s="1"/>
  <c r="X298" i="1"/>
  <c r="Y288" i="1" s="1"/>
  <c r="X155" i="1"/>
  <c r="X821" i="1"/>
  <c r="Y815" i="1" s="1"/>
  <c r="X166" i="1"/>
  <c r="R81" i="1"/>
  <c r="R4" i="1" s="1"/>
  <c r="X1022" i="1"/>
  <c r="X247" i="1"/>
  <c r="X11" i="1"/>
  <c r="V4" i="1"/>
  <c r="X564" i="1"/>
  <c r="Y556" i="1" s="1"/>
  <c r="X845" i="1"/>
  <c r="X330" i="1"/>
  <c r="Y320" i="1" s="1"/>
  <c r="O4" i="1"/>
  <c r="X666" i="1"/>
  <c r="Y658" i="1" s="1"/>
  <c r="X1297" i="1"/>
  <c r="X1095" i="1"/>
  <c r="Y1087" i="1" s="1"/>
  <c r="X276" i="1"/>
  <c r="Y267" i="1" s="1"/>
  <c r="X4" i="1" l="1"/>
  <c r="Y4" i="1" s="1"/>
  <c r="Y7" i="1"/>
</calcChain>
</file>

<file path=xl/sharedStrings.xml><?xml version="1.0" encoding="utf-8"?>
<sst xmlns="http://schemas.openxmlformats.org/spreadsheetml/2006/main" count="3276" uniqueCount="240">
  <si>
    <t>Total - INIZIO- Podium floor -09 floor</t>
  </si>
  <si>
    <t>INIZIO- Podium floor - 09 floor</t>
  </si>
  <si>
    <t>PF</t>
  </si>
  <si>
    <t>B5</t>
  </si>
  <si>
    <t>Top bars</t>
  </si>
  <si>
    <t>Top bars-extra</t>
  </si>
  <si>
    <t xml:space="preserve">Bottom bars </t>
  </si>
  <si>
    <t>Bottom bars -extra</t>
  </si>
  <si>
    <t xml:space="preserve">Stirupps </t>
  </si>
  <si>
    <t>C - Hook</t>
  </si>
  <si>
    <t xml:space="preserve">Spacer bars </t>
  </si>
  <si>
    <t>B6</t>
  </si>
  <si>
    <t>B7 &amp; B8</t>
  </si>
  <si>
    <t>Stirupps - Main ends</t>
  </si>
  <si>
    <t>Stirupps - Main center</t>
  </si>
  <si>
    <t>Stirupps - Secondary ends</t>
  </si>
  <si>
    <t>Stirupps - Secondary center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</si>
  <si>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</si>
  <si>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</si>
  <si>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</si>
  <si>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</si>
  <si>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</si>
  <si>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</si>
  <si>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</si>
  <si>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</si>
  <si>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</si>
  <si>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</si>
  <si>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</si>
  <si>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</si>
  <si>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</si>
  <si>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</si>
  <si>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</si>
  <si>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</si>
  <si>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</si>
  <si>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</si>
  <si>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</si>
  <si>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 &amp; 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</si>
  <si>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</si>
  <si>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</si>
  <si>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</si>
  <si>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</si>
  <si>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</si>
  <si>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</si>
  <si>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</si>
  <si>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</si>
  <si>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</si>
  <si>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</si>
  <si>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B41</t>
  </si>
  <si>
    <t>B43</t>
  </si>
  <si>
    <t>B42</t>
  </si>
  <si>
    <t>B44</t>
  </si>
  <si>
    <t>B45</t>
  </si>
  <si>
    <t>B46</t>
  </si>
  <si>
    <t>B47</t>
  </si>
  <si>
    <t>B48</t>
  </si>
  <si>
    <t>B49</t>
  </si>
  <si>
    <t>B50</t>
  </si>
  <si>
    <t xml:space="preserve">B51 </t>
  </si>
  <si>
    <t>B52</t>
  </si>
  <si>
    <t>B51A</t>
  </si>
  <si>
    <t>B52A</t>
  </si>
  <si>
    <t>B53</t>
  </si>
  <si>
    <t>B54</t>
  </si>
  <si>
    <t>B59</t>
  </si>
  <si>
    <t>B60</t>
  </si>
  <si>
    <t>B61</t>
  </si>
  <si>
    <t>B62</t>
  </si>
  <si>
    <t>B55</t>
  </si>
  <si>
    <t>B56</t>
  </si>
  <si>
    <t>B57</t>
  </si>
  <si>
    <t>B58</t>
  </si>
  <si>
    <t>B68</t>
  </si>
  <si>
    <t>B63</t>
  </si>
  <si>
    <t>B64</t>
  </si>
  <si>
    <t>B65</t>
  </si>
  <si>
    <t>Top bars - extra</t>
  </si>
  <si>
    <t>B66</t>
  </si>
  <si>
    <t>B69</t>
  </si>
  <si>
    <t>B70</t>
  </si>
  <si>
    <t>B70A</t>
  </si>
  <si>
    <t>B71</t>
  </si>
  <si>
    <t>B72</t>
  </si>
  <si>
    <t>B73</t>
  </si>
  <si>
    <t>B80</t>
  </si>
  <si>
    <t>B81</t>
  </si>
  <si>
    <t>B82</t>
  </si>
  <si>
    <t>B74</t>
  </si>
  <si>
    <t>Top bars -extra</t>
  </si>
  <si>
    <t>Bottom bars - extra</t>
  </si>
  <si>
    <t>B75</t>
  </si>
  <si>
    <t>B76</t>
  </si>
  <si>
    <t>B77</t>
  </si>
  <si>
    <t>B78</t>
  </si>
  <si>
    <t>B79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</si>
  <si>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</si>
  <si>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</si>
  <si>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</si>
  <si>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</si>
  <si>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</si>
  <si>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</si>
  <si>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</si>
  <si>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</si>
  <si>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</si>
  <si>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</si>
  <si>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</si>
  <si>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</si>
  <si>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</si>
  <si>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</si>
  <si>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B129</t>
  </si>
  <si>
    <t>B97</t>
  </si>
  <si>
    <t>B98</t>
  </si>
  <si>
    <t>B119</t>
  </si>
  <si>
    <t>B120</t>
  </si>
  <si>
    <t>B99</t>
  </si>
  <si>
    <t>B100</t>
  </si>
  <si>
    <t>B101</t>
  </si>
  <si>
    <t>B102</t>
  </si>
  <si>
    <t>B103</t>
  </si>
  <si>
    <t>B128</t>
  </si>
  <si>
    <t>B130</t>
  </si>
  <si>
    <t>RB104</t>
  </si>
  <si>
    <t>RB105</t>
  </si>
  <si>
    <t>RB106</t>
  </si>
  <si>
    <t>RB107</t>
  </si>
  <si>
    <t>RB108</t>
  </si>
  <si>
    <t>RB109</t>
  </si>
  <si>
    <t>RB110</t>
  </si>
  <si>
    <t>RB111</t>
  </si>
  <si>
    <t>RB112</t>
  </si>
  <si>
    <t>RB113</t>
  </si>
  <si>
    <t>RB114</t>
  </si>
  <si>
    <t>RB115</t>
  </si>
  <si>
    <t>RB116</t>
  </si>
  <si>
    <t>B117</t>
  </si>
  <si>
    <t>B118</t>
  </si>
  <si>
    <t>B121</t>
  </si>
  <si>
    <t>B122</t>
  </si>
  <si>
    <t>B123</t>
  </si>
  <si>
    <t>B139</t>
  </si>
  <si>
    <t>Bottom bars</t>
  </si>
  <si>
    <t>B124</t>
  </si>
  <si>
    <t>B126</t>
  </si>
  <si>
    <t>B127</t>
  </si>
  <si>
    <t>B137</t>
  </si>
  <si>
    <t>B140</t>
  </si>
  <si>
    <t>B133</t>
  </si>
  <si>
    <t>B135</t>
  </si>
  <si>
    <t>B136</t>
  </si>
  <si>
    <t>B141</t>
  </si>
  <si>
    <t>B142</t>
  </si>
  <si>
    <t>B145</t>
  </si>
  <si>
    <t>B138</t>
  </si>
  <si>
    <t>B143</t>
  </si>
  <si>
    <t>B144</t>
  </si>
  <si>
    <t>B146</t>
  </si>
  <si>
    <t>B147</t>
  </si>
  <si>
    <t>B150</t>
  </si>
  <si>
    <t>B148</t>
  </si>
  <si>
    <t>B151</t>
  </si>
  <si>
    <t>B152</t>
  </si>
  <si>
    <t>B153</t>
  </si>
  <si>
    <t>B154</t>
  </si>
  <si>
    <t>B159</t>
  </si>
  <si>
    <t>B161</t>
  </si>
  <si>
    <t>B156</t>
  </si>
  <si>
    <t>B157</t>
  </si>
  <si>
    <t>B158</t>
  </si>
  <si>
    <t>B165</t>
  </si>
  <si>
    <t>B158A</t>
  </si>
  <si>
    <t>B168A</t>
  </si>
  <si>
    <t>B163</t>
  </si>
  <si>
    <t>B164</t>
  </si>
  <si>
    <t>B166</t>
  </si>
  <si>
    <t>B168</t>
  </si>
  <si>
    <t>B169</t>
  </si>
  <si>
    <t>B170</t>
  </si>
  <si>
    <t>B173</t>
  </si>
  <si>
    <t>B174</t>
  </si>
  <si>
    <t>B175</t>
  </si>
  <si>
    <t>B172</t>
  </si>
  <si>
    <t>B176</t>
  </si>
  <si>
    <t>B177</t>
  </si>
  <si>
    <t>B178</t>
  </si>
  <si>
    <t>B179</t>
  </si>
  <si>
    <t>B180</t>
  </si>
  <si>
    <t>B181</t>
  </si>
  <si>
    <t>B182</t>
  </si>
  <si>
    <t>B185</t>
  </si>
  <si>
    <t>B186</t>
  </si>
  <si>
    <t>B187</t>
  </si>
  <si>
    <t>B188</t>
  </si>
  <si>
    <t>B189</t>
  </si>
  <si>
    <t>B191</t>
  </si>
  <si>
    <t>B162</t>
  </si>
  <si>
    <t>B162A</t>
  </si>
  <si>
    <t>B83A</t>
  </si>
  <si>
    <t>B192</t>
  </si>
  <si>
    <t>B193</t>
  </si>
  <si>
    <t>B194</t>
  </si>
  <si>
    <t>B195</t>
  </si>
  <si>
    <t>B196</t>
  </si>
  <si>
    <t>B197</t>
  </si>
  <si>
    <t>B1</t>
  </si>
  <si>
    <t>B2</t>
  </si>
  <si>
    <t>B3</t>
  </si>
  <si>
    <t>B4</t>
  </si>
  <si>
    <t>B4A</t>
  </si>
  <si>
    <t>B88A</t>
  </si>
  <si>
    <t>B92A</t>
  </si>
  <si>
    <t>B96A</t>
  </si>
  <si>
    <t>B97A</t>
  </si>
  <si>
    <t>B98A</t>
  </si>
  <si>
    <t>B99A</t>
  </si>
  <si>
    <t>B100A</t>
  </si>
  <si>
    <t>B101A</t>
  </si>
  <si>
    <t>B134</t>
  </si>
  <si>
    <t>B149</t>
  </si>
  <si>
    <t>B160</t>
  </si>
  <si>
    <t>INIZIO</t>
  </si>
  <si>
    <t>SI no</t>
  </si>
  <si>
    <t>Description</t>
  </si>
  <si>
    <t>No./Dia.</t>
  </si>
  <si>
    <t>L/ Spcng (m)</t>
  </si>
  <si>
    <t>B(m)/ No.</t>
  </si>
  <si>
    <t>D/Dvlp L (m)</t>
  </si>
  <si>
    <t>D (m)</t>
  </si>
  <si>
    <t>Quantity</t>
  </si>
  <si>
    <t>Shuttering (m²)</t>
  </si>
  <si>
    <t>Shuttering Size wise Splitup</t>
  </si>
  <si>
    <t>Cutting Length</t>
  </si>
  <si>
    <t>Total Length</t>
  </si>
  <si>
    <t>Steel in KG</t>
  </si>
  <si>
    <t>Kg/Cum</t>
  </si>
  <si>
    <t>Reinf.</t>
  </si>
  <si>
    <t>Conc/Shtr</t>
  </si>
  <si>
    <t>Concrete (m³)</t>
  </si>
  <si>
    <t>L = 0.3</t>
  </si>
  <si>
    <t>0.3 &lt; L &lt;= 0.75</t>
  </si>
  <si>
    <t>0.75 &lt; L &lt;= 1.2</t>
  </si>
  <si>
    <t>L &gt;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</si>
</sst>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color rgb="FF0070C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2">
    <xf numFmtId="0" fontId="0" fillId="0" borderId="0" xfId="0"/>
    <xf numFmtId="164" fontId="2" fillId="0" borderId="0" xfId="1" applyFont="1" applyFill="1"/>
    <xf numFmtId="1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4" fontId="5" fillId="0" borderId="0" xfId="1" applyFont="1" applyFill="1" applyBorder="1" applyAlignment="1">
      <alignment horizontal="center" vertical="center" wrapText="1"/>
    </xf>
    <xf numFmtId="164" fontId="5" fillId="0" borderId="0" xfId="1" applyFont="1" applyFill="1" applyBorder="1" applyAlignment="1">
      <alignment horizontal="center" vertical="center"/>
    </xf>
    <xf numFmtId="164" fontId="1" fillId="0" borderId="0" xfId="1" applyFont="1" applyFill="1"/>
    <xf numFmtId="164" fontId="3" fillId="0" borderId="0" xfId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164" fontId="1" fillId="0" borderId="0" xfId="1" applyFont="1" applyAlignment="1">
      <alignment horizontal="center" vertical="center" wrapText="1"/>
    </xf>
    <xf numFmtId="164" fontId="1" fillId="0" borderId="0" xfId="1" applyFont="1"/>
    <xf numFmtId="164" fontId="1" fillId="3" borderId="0" xfId="1" applyFont="1" applyFill="1" applyAlignment="1">
      <alignment horizontal="center" vertical="center"/>
    </xf>
    <xf numFmtId="164" fontId="6" fillId="0" borderId="0" xfId="1" applyFont="1" applyAlignment="1">
      <alignment horizontal="center" vertical="center" wrapText="1"/>
    </xf>
    <xf numFmtId="164" fontId="1" fillId="0" borderId="0" xfId="1" applyFont="1" applyAlignment="1">
      <alignment horizontal="left" vertical="center"/>
    </xf>
    <xf numFmtId="164" fontId="1" fillId="0" borderId="0" xfId="1" applyFont="1" applyAlignment="1">
      <alignment vertical="center"/>
    </xf>
    <xf numFmtId="164" fontId="1" fillId="4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 wrapText="1"/>
    </xf>
    <xf numFmtId="2" fontId="3" fillId="5" borderId="0" xfId="0" applyNumberFormat="1" applyFont="1" applyFill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1" fontId="3" fillId="6" borderId="3" xfId="0" applyNumberFormat="1" applyFont="1" applyFill="1" applyBorder="1" applyAlignment="1">
      <alignment horizontal="center" vertical="center" wrapText="1"/>
    </xf>
    <xf numFmtId="1" fontId="3" fillId="6" borderId="4" xfId="0" applyNumberFormat="1" applyFont="1" applyFill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1" fontId="3" fillId="6" borderId="5" xfId="0" applyNumberFormat="1" applyFont="1" applyFill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6" borderId="6" xfId="0" applyNumberFormat="1" applyFont="1" applyFill="1" applyBorder="1" applyAlignment="1">
      <alignment horizontal="center" vertical="center" wrapText="1"/>
    </xf>
    <xf numFmtId="164" fontId="5" fillId="6" borderId="5" xfId="1" applyFont="1" applyFill="1" applyBorder="1" applyAlignment="1">
      <alignment horizontal="center" vertical="center"/>
    </xf>
    <xf numFmtId="164" fontId="5" fillId="6" borderId="5" xfId="1" applyFont="1" applyFill="1" applyBorder="1" applyAlignment="1">
      <alignment horizontal="center" vertical="center" wrapText="1"/>
    </xf>
    <xf numFmtId="164" fontId="5" fillId="6" borderId="7" xfId="1" applyFont="1" applyFill="1" applyBorder="1" applyAlignment="1">
      <alignment horizontal="center" vertical="center"/>
    </xf>
    <xf numFmtId="1" fontId="3" fillId="6" borderId="8" xfId="0" applyNumberFormat="1" applyFont="1" applyFill="1" applyBorder="1" applyAlignment="1">
      <alignment horizontal="center" vertical="center" wrapText="1"/>
    </xf>
    <xf numFmtId="2" fontId="3" fillId="6" borderId="9" xfId="0" applyNumberFormat="1" applyFont="1" applyFill="1" applyBorder="1" applyAlignment="1">
      <alignment horizontal="center" vertical="center" wrapText="1"/>
    </xf>
    <xf numFmtId="1" fontId="3" fillId="6" borderId="9" xfId="0" applyNumberFormat="1" applyFont="1" applyFill="1" applyBorder="1" applyAlignment="1">
      <alignment horizontal="center" vertical="center" wrapText="1"/>
    </xf>
    <xf numFmtId="2" fontId="3" fillId="6" borderId="10" xfId="0" applyNumberFormat="1" applyFont="1" applyFill="1" applyBorder="1" applyAlignment="1">
      <alignment horizontal="center" vertical="center" wrapText="1"/>
    </xf>
    <xf numFmtId="164" fontId="5" fillId="6" borderId="9" xfId="1" applyFont="1" applyFill="1" applyBorder="1" applyAlignment="1">
      <alignment horizontal="center" vertical="center" wrapText="1"/>
    </xf>
    <xf numFmtId="164" fontId="5" fillId="6" borderId="11" xfId="1" applyFont="1" applyFill="1" applyBorder="1" applyAlignment="1">
      <alignment horizontal="center" vertical="center"/>
    </xf>
    <xf numFmtId="1" fontId="3" fillId="6" borderId="13" xfId="0" applyNumberFormat="1" applyFont="1" applyFill="1" applyBorder="1" applyAlignment="1">
      <alignment horizontal="center" vertical="center" wrapText="1"/>
    </xf>
    <xf numFmtId="2" fontId="3" fillId="6" borderId="14" xfId="0" applyNumberFormat="1" applyFont="1" applyFill="1" applyBorder="1" applyAlignment="1">
      <alignment horizontal="center" vertical="center" wrapText="1"/>
    </xf>
    <xf numFmtId="164" fontId="5" fillId="6" borderId="14" xfId="1" applyFont="1" applyFill="1" applyBorder="1" applyAlignment="1">
      <alignment horizontal="center" vertical="center" wrapText="1"/>
    </xf>
    <xf numFmtId="164" fontId="3" fillId="0" borderId="12" xfId="1" applyFont="1" applyFill="1" applyBorder="1" applyAlignment="1">
      <alignment horizontal="center" vertical="center" wrapText="1"/>
    </xf>
    <xf numFmtId="164" fontId="3" fillId="0" borderId="12" xfId="1" applyFont="1" applyFill="1" applyBorder="1" applyAlignment="1">
      <alignment horizontal="center" vertical="center" wrapText="1"/>
    </xf>
    <xf numFmtId="164" fontId="1" fillId="0" borderId="12" xfId="1" applyFont="1" applyBorder="1" applyAlignment="1">
      <alignment horizontal="center" vertical="center"/>
    </xf>
    <xf numFmtId="164" fontId="1" fillId="0" borderId="12" xfId="1" applyFont="1" applyBorder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hared%20folder\Prelaunch%20Estimates\HAL%20Property\00.Estimate\02.Finish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bhaindia-my.sharepoint.com/personal/hemanth_s_sobha_com1/Documents/Desktop/Beam%20-%20GFC-%20Inizio.xlsx" TargetMode="External"/><Relationship Id="rId1" Type="http://schemas.openxmlformats.org/officeDocument/2006/relationships/externalLinkPath" Target="https://sobhaindia-my.sharepoint.com/personal/hemanth_s_sobha_com1/Documents/Desktop/Beam%20-%20GFC-%20Iniz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DW Basement"/>
      <sheetName val="HF Blk 1"/>
      <sheetName val="DW - Block 01,02"/>
      <sheetName val="Plas Blk 01,02"/>
      <sheetName val="Waterproofing"/>
      <sheetName val="HF Blk 4 "/>
      <sheetName val="BW Blk 04"/>
      <sheetName val="BW Blk 3,5"/>
      <sheetName val="Plas - Blk 03,05"/>
      <sheetName val="Plas - Blk 04"/>
      <sheetName val="DW - Block 03,04,05"/>
      <sheetName val="HF Blk 03,05"/>
      <sheetName val="BW Blk 1"/>
      <sheetName val="Basement Fin"/>
      <sheetName val="DW_Basement"/>
      <sheetName val="HF_Blk_1"/>
      <sheetName val="DW_-_Block_01,02"/>
      <sheetName val="Plas_Blk_01,02"/>
      <sheetName val="HF_Blk_4_"/>
      <sheetName val="BW_Blk_04"/>
      <sheetName val="BW_Blk_3,5"/>
      <sheetName val="Plas_-_Blk_03,05"/>
      <sheetName val="Plas_-_Blk_04"/>
      <sheetName val="DW_-_Block_03,04,05"/>
      <sheetName val="HF_Blk_03,05"/>
      <sheetName val="BW_Blk_1"/>
      <sheetName val="Basement_Fin"/>
      <sheetName val="Break up Sheet"/>
      <sheetName val="Sheet1"/>
      <sheetName val="RA-markate"/>
      <sheetName val="SPT vs PHI"/>
      <sheetName val="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am "/>
      <sheetName val="Sheet1"/>
    </sheetNames>
    <sheetDataSet>
      <sheetData sheetId="0">
        <row r="11">
          <cell r="D11">
            <v>0.03</v>
          </cell>
        </row>
        <row r="15">
          <cell r="D15">
            <v>25</v>
          </cell>
          <cell r="E15">
            <v>1</v>
          </cell>
          <cell r="F15">
            <v>0.06</v>
          </cell>
        </row>
        <row r="20">
          <cell r="C20">
            <v>8</v>
          </cell>
          <cell r="D20">
            <v>0.5</v>
          </cell>
          <cell r="E20">
            <v>0.32500000000000001</v>
          </cell>
          <cell r="F20">
            <v>0.42499999999999999</v>
          </cell>
          <cell r="G20">
            <v>0.35</v>
          </cell>
          <cell r="H20">
            <v>0.36499999999999999</v>
          </cell>
        </row>
        <row r="21">
          <cell r="C21">
            <v>10</v>
          </cell>
          <cell r="D21">
            <v>0.625</v>
          </cell>
          <cell r="E21">
            <v>0.4</v>
          </cell>
          <cell r="F21">
            <v>0.55000000000000004</v>
          </cell>
          <cell r="G21">
            <v>0.45</v>
          </cell>
          <cell r="H21">
            <v>0.45500000000000002</v>
          </cell>
        </row>
        <row r="22">
          <cell r="C22">
            <v>12</v>
          </cell>
          <cell r="D22">
            <v>0.75</v>
          </cell>
          <cell r="E22">
            <v>0.47499999999999998</v>
          </cell>
          <cell r="F22">
            <v>0.65</v>
          </cell>
          <cell r="G22">
            <v>0.52500000000000002</v>
          </cell>
          <cell r="H22">
            <v>0.54500000000000004</v>
          </cell>
        </row>
        <row r="23">
          <cell r="C23">
            <v>16</v>
          </cell>
          <cell r="D23">
            <v>1</v>
          </cell>
          <cell r="E23">
            <v>0.625</v>
          </cell>
          <cell r="F23">
            <v>0.85</v>
          </cell>
          <cell r="G23">
            <v>0.7</v>
          </cell>
          <cell r="H23">
            <v>0.72499999999999998</v>
          </cell>
        </row>
        <row r="24">
          <cell r="C24">
            <v>20</v>
          </cell>
          <cell r="D24">
            <v>1.25</v>
          </cell>
          <cell r="E24">
            <v>0.8</v>
          </cell>
          <cell r="F24">
            <v>1.05</v>
          </cell>
          <cell r="G24">
            <v>0.875</v>
          </cell>
          <cell r="H24">
            <v>0.91</v>
          </cell>
        </row>
        <row r="25">
          <cell r="C25">
            <v>25</v>
          </cell>
          <cell r="D25">
            <v>1.55</v>
          </cell>
          <cell r="E25">
            <v>1</v>
          </cell>
          <cell r="F25">
            <v>1.35</v>
          </cell>
          <cell r="G25">
            <v>1.1000000000000001</v>
          </cell>
          <cell r="H25">
            <v>1.135</v>
          </cell>
        </row>
        <row r="26">
          <cell r="C26">
            <v>32</v>
          </cell>
          <cell r="D26">
            <v>2</v>
          </cell>
          <cell r="E26">
            <v>1.25</v>
          </cell>
          <cell r="F26">
            <v>1.7</v>
          </cell>
          <cell r="G26">
            <v>1.4</v>
          </cell>
          <cell r="H26">
            <v>1.45</v>
          </cell>
        </row>
        <row r="44">
          <cell r="Q44">
            <v>8</v>
          </cell>
          <cell r="R44">
            <v>10</v>
          </cell>
          <cell r="S44">
            <v>12</v>
          </cell>
          <cell r="T44">
            <v>16</v>
          </cell>
          <cell r="U44">
            <v>20</v>
          </cell>
          <cell r="V44">
            <v>25</v>
          </cell>
          <cell r="W44">
            <v>32</v>
          </cell>
        </row>
        <row r="45">
          <cell r="Q45">
            <v>0.39474285714285717</v>
          </cell>
          <cell r="R45">
            <v>0.61678571428571427</v>
          </cell>
          <cell r="S45">
            <v>0.88817142857142872</v>
          </cell>
          <cell r="T45">
            <v>1.5789714285714287</v>
          </cell>
          <cell r="U45">
            <v>2.4671428571428571</v>
          </cell>
          <cell r="V45">
            <v>3.8549107142857149</v>
          </cell>
          <cell r="W45">
            <v>6.3158857142857148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4F5A-3051-499A-9EBC-324184CDCCBB}">
  <dimension ref="A1:AF1632"/>
  <sheetViews>
    <sheetView tabSelected="1" workbookViewId="0">
      <selection activeCell="N9" sqref="N9"/>
    </sheetView>
  </sheetViews>
  <sheetFormatPr defaultRowHeight="14.4" x14ac:dyDescent="0.3"/>
  <cols>
    <col min="3" max="3" width="28.44140625" customWidth="1"/>
    <col min="10" max="10" width="12.33203125" customWidth="1"/>
    <col min="14" max="14" width="14.5546875" customWidth="1"/>
    <col min="15" max="15" width="13.44140625" customWidth="1"/>
    <col min="16" max="16" width="15.109375" customWidth="1"/>
  </cols>
  <sheetData>
    <row r="1" spans="1:32" s="1" customFormat="1" ht="27" customHeight="1" thickBot="1" x14ac:dyDescent="0.3">
      <c r="A1" s="17" t="s">
        <v>218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  <c r="Q1" s="10"/>
      <c r="R1" s="10"/>
      <c r="S1" s="10"/>
      <c r="T1" s="10"/>
      <c r="U1" s="10"/>
      <c r="V1" s="10"/>
      <c r="W1" s="10"/>
      <c r="X1" s="10"/>
      <c r="Y1" s="10"/>
    </row>
    <row r="2" spans="1:32" s="6" customFormat="1" ht="20.100000000000001" customHeight="1" x14ac:dyDescent="0.25">
      <c r="A2" s="20" t="s">
        <v>219</v>
      </c>
      <c r="B2" s="21"/>
      <c r="C2" s="22" t="s">
        <v>220</v>
      </c>
      <c r="D2" s="23" t="s">
        <v>221</v>
      </c>
      <c r="E2" s="22" t="s">
        <v>222</v>
      </c>
      <c r="F2" s="22" t="s">
        <v>223</v>
      </c>
      <c r="G2" s="24" t="s">
        <v>224</v>
      </c>
      <c r="H2" s="24" t="s">
        <v>225</v>
      </c>
      <c r="I2" s="24" t="s">
        <v>226</v>
      </c>
      <c r="J2" s="25" t="s">
        <v>227</v>
      </c>
      <c r="K2" s="22" t="s">
        <v>228</v>
      </c>
      <c r="L2" s="22"/>
      <c r="M2" s="22"/>
      <c r="N2" s="22"/>
      <c r="O2" s="25" t="s">
        <v>229</v>
      </c>
      <c r="P2" s="22" t="s">
        <v>230</v>
      </c>
      <c r="Q2" s="26">
        <v>8</v>
      </c>
      <c r="R2" s="26">
        <v>10</v>
      </c>
      <c r="S2" s="26">
        <v>12</v>
      </c>
      <c r="T2" s="26">
        <v>16</v>
      </c>
      <c r="U2" s="26">
        <v>20</v>
      </c>
      <c r="V2" s="26">
        <v>25</v>
      </c>
      <c r="W2" s="26">
        <v>32</v>
      </c>
      <c r="X2" s="27" t="s">
        <v>231</v>
      </c>
      <c r="Y2" s="28" t="s">
        <v>232</v>
      </c>
    </row>
    <row r="3" spans="1:32" s="10" customFormat="1" ht="20.100000000000001" customHeight="1" thickBot="1" x14ac:dyDescent="0.3">
      <c r="A3" s="29"/>
      <c r="B3" s="35"/>
      <c r="C3" s="30"/>
      <c r="D3" s="31"/>
      <c r="E3" s="30"/>
      <c r="F3" s="30"/>
      <c r="G3" s="36" t="s">
        <v>233</v>
      </c>
      <c r="H3" s="36" t="s">
        <v>234</v>
      </c>
      <c r="I3" s="36" t="s">
        <v>235</v>
      </c>
      <c r="J3" s="32"/>
      <c r="K3" s="36" t="s">
        <v>236</v>
      </c>
      <c r="L3" s="36" t="s">
        <v>237</v>
      </c>
      <c r="M3" s="36" t="s">
        <v>238</v>
      </c>
      <c r="N3" s="36" t="s">
        <v>239</v>
      </c>
      <c r="O3" s="32"/>
      <c r="P3" s="30"/>
      <c r="Q3" s="37">
        <f t="shared" ref="Q3:W3" si="0">22/7/4/1000/1000*7850*Q2*Q2</f>
        <v>0.39474285714285717</v>
      </c>
      <c r="R3" s="37">
        <f t="shared" si="0"/>
        <v>0.61678571428571427</v>
      </c>
      <c r="S3" s="37">
        <f t="shared" si="0"/>
        <v>0.88817142857142872</v>
      </c>
      <c r="T3" s="37">
        <f t="shared" si="0"/>
        <v>1.5789714285714287</v>
      </c>
      <c r="U3" s="37">
        <f t="shared" si="0"/>
        <v>2.4671428571428571</v>
      </c>
      <c r="V3" s="37">
        <f t="shared" si="0"/>
        <v>3.8549107142857149</v>
      </c>
      <c r="W3" s="37">
        <f t="shared" si="0"/>
        <v>6.3158857142857148</v>
      </c>
      <c r="X3" s="33"/>
      <c r="Y3" s="34"/>
      <c r="Z3" s="8"/>
      <c r="AA3" s="8"/>
      <c r="AB3" s="8"/>
      <c r="AC3" s="8"/>
      <c r="AD3" s="8"/>
      <c r="AE3" s="8"/>
    </row>
    <row r="4" spans="1:32" s="41" customFormat="1" ht="21" customHeight="1" x14ac:dyDescent="0.25">
      <c r="A4" s="38"/>
      <c r="B4" s="38"/>
      <c r="C4" s="39" t="s">
        <v>0</v>
      </c>
      <c r="D4" s="39"/>
      <c r="E4" s="39"/>
      <c r="F4" s="39"/>
      <c r="G4" s="39"/>
      <c r="H4" s="38"/>
      <c r="I4" s="38">
        <f t="shared" ref="I4:P4" si="1">SUM(I5:I1632)</f>
        <v>249.08251250000001</v>
      </c>
      <c r="J4" s="38">
        <f t="shared" si="1"/>
        <v>1268.2239499999987</v>
      </c>
      <c r="K4" s="38">
        <f t="shared" si="1"/>
        <v>0</v>
      </c>
      <c r="L4" s="38">
        <f t="shared" si="1"/>
        <v>0</v>
      </c>
      <c r="M4" s="38">
        <f t="shared" si="1"/>
        <v>21.786800000000003</v>
      </c>
      <c r="N4" s="38">
        <f t="shared" si="1"/>
        <v>1246.4371499999986</v>
      </c>
      <c r="O4" s="38">
        <f t="shared" si="1"/>
        <v>4633.1419999999998</v>
      </c>
      <c r="P4" s="38">
        <f t="shared" si="1"/>
        <v>42229.62249999999</v>
      </c>
      <c r="Q4" s="38">
        <f t="shared" ref="Q4:X4" si="2">SUM(Q5:Q1632)/1000</f>
        <v>1.5610507607619042</v>
      </c>
      <c r="R4" s="38">
        <f t="shared" si="2"/>
        <v>9.375228590357148</v>
      </c>
      <c r="S4" s="38">
        <f t="shared" si="2"/>
        <v>9.1717527348857271</v>
      </c>
      <c r="T4" s="38">
        <f t="shared" si="2"/>
        <v>2.8718963931428578</v>
      </c>
      <c r="U4" s="38">
        <f t="shared" si="2"/>
        <v>12.026043448571434</v>
      </c>
      <c r="V4" s="38">
        <f t="shared" si="2"/>
        <v>22.638391064732133</v>
      </c>
      <c r="W4" s="38">
        <f t="shared" si="2"/>
        <v>1.1519670272</v>
      </c>
      <c r="X4" s="38">
        <f t="shared" si="2"/>
        <v>58.796330019651286</v>
      </c>
      <c r="Y4" s="38">
        <f>X4*1000/I4</f>
        <v>236.05161771303108</v>
      </c>
      <c r="Z4" s="40"/>
      <c r="AA4" s="40"/>
      <c r="AB4" s="40"/>
      <c r="AC4" s="40"/>
      <c r="AD4" s="40"/>
      <c r="AE4" s="40"/>
      <c r="AF4" s="40"/>
    </row>
    <row r="5" spans="1:32" s="10" customFormat="1" ht="20.100000000000001" customHeight="1" x14ac:dyDescent="0.25">
      <c r="A5" s="2"/>
      <c r="B5" s="2"/>
      <c r="C5" s="3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5"/>
      <c r="Z5" s="8"/>
      <c r="AA5" s="8"/>
      <c r="AB5" s="8"/>
      <c r="AC5" s="8"/>
      <c r="AD5" s="8"/>
      <c r="AE5" s="8"/>
    </row>
    <row r="6" spans="1:32" s="10" customFormat="1" ht="20.100000000000001" customHeight="1" x14ac:dyDescent="0.25">
      <c r="A6" s="7"/>
      <c r="B6" s="7"/>
      <c r="C6" s="16" t="s">
        <v>1</v>
      </c>
      <c r="D6" s="16"/>
      <c r="E6" s="16"/>
      <c r="F6" s="16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/>
      <c r="W6" s="9"/>
      <c r="X6" s="8"/>
      <c r="Y6" s="8"/>
      <c r="Z6" s="8"/>
      <c r="AA6" s="8"/>
      <c r="AB6" s="8"/>
      <c r="AC6" s="8"/>
      <c r="AD6" s="8"/>
      <c r="AE6" s="8"/>
    </row>
    <row r="7" spans="1:32" s="10" customFormat="1" ht="20.100000000000001" customHeight="1" x14ac:dyDescent="0.25">
      <c r="A7" s="8">
        <v>1</v>
      </c>
      <c r="B7" s="8" t="s">
        <v>2</v>
      </c>
      <c r="C7" s="11" t="s">
        <v>3</v>
      </c>
      <c r="D7" s="11">
        <v>1</v>
      </c>
      <c r="E7" s="11">
        <v>1.2729999999999999</v>
      </c>
      <c r="F7" s="11">
        <v>0.35</v>
      </c>
      <c r="G7" s="11">
        <v>1.1000000000000001</v>
      </c>
      <c r="H7" s="8">
        <f>G7-0.2</f>
        <v>0.90000000000000013</v>
      </c>
      <c r="I7" s="8">
        <f>E7*F7*G7*D7</f>
        <v>0.49010499999999996</v>
      </c>
      <c r="J7" s="8">
        <f>(2*(E7)*H7*D7)+(E7*F7)</f>
        <v>2.7369500000000002</v>
      </c>
      <c r="K7" s="12">
        <f>IF(E7=0.3,J7,0)</f>
        <v>0</v>
      </c>
      <c r="L7" s="12">
        <f>IF(AND(E7&gt;0.3,E7&lt;=0.75),J7,0)</f>
        <v>0</v>
      </c>
      <c r="M7" s="12">
        <f>IF(AND(E7&gt;0.75,E7&lt;=1.2),J7,0)</f>
        <v>0</v>
      </c>
      <c r="N7" s="12">
        <f>IF(E7&gt;1.2,J7,0)</f>
        <v>2.7369500000000002</v>
      </c>
      <c r="O7" s="8"/>
      <c r="P7" s="8"/>
      <c r="Q7" s="8"/>
      <c r="R7" s="8"/>
      <c r="S7" s="8"/>
      <c r="T7" s="8"/>
      <c r="U7" s="8"/>
      <c r="V7" s="8"/>
      <c r="W7" s="8"/>
      <c r="X7" s="8"/>
      <c r="Y7" s="8">
        <f>SUM(X8:X14)/I7</f>
        <v>349.61570811356751</v>
      </c>
      <c r="Z7" s="8"/>
      <c r="AA7" s="8"/>
      <c r="AB7" s="8"/>
      <c r="AC7" s="8"/>
      <c r="AD7" s="8"/>
      <c r="AE7" s="8"/>
    </row>
    <row r="8" spans="1:32" s="10" customFormat="1" ht="20.100000000000001" customHeight="1" x14ac:dyDescent="0.25">
      <c r="A8" s="7"/>
      <c r="B8" s="8" t="s">
        <v>2</v>
      </c>
      <c r="C8" s="13" t="s">
        <v>4</v>
      </c>
      <c r="D8" s="8">
        <v>25</v>
      </c>
      <c r="E8" s="8"/>
      <c r="F8" s="8">
        <v>3</v>
      </c>
      <c r="G8" s="9">
        <f>VLOOKUP(D8,'[2]Beam '!$C$20:$H$26,3,0)</f>
        <v>1</v>
      </c>
      <c r="H8" s="9"/>
      <c r="I8" s="8"/>
      <c r="J8" s="8"/>
      <c r="K8" s="8"/>
      <c r="L8" s="8"/>
      <c r="M8" s="8"/>
      <c r="N8" s="8"/>
      <c r="O8" s="8">
        <f>(E7+1*(G8+(12*D8/1000))+1*(2/2))*D7</f>
        <v>3.573</v>
      </c>
      <c r="P8" s="8">
        <f t="shared" ref="P8:P14" si="3">O8*F8</f>
        <v>10.718999999999999</v>
      </c>
      <c r="Q8" s="8">
        <f>IF($D8='[2]Beam '!Q$44,$P8*'[2]Beam '!Q$45,0)</f>
        <v>0</v>
      </c>
      <c r="R8" s="8">
        <f>IF($D8='[2]Beam '!R$44,$P8*'[2]Beam '!R$45,0)</f>
        <v>0</v>
      </c>
      <c r="S8" s="8">
        <f>IF($D8='[2]Beam '!S$44,$P8*'[2]Beam '!S$45,0)</f>
        <v>0</v>
      </c>
      <c r="T8" s="8">
        <f>IF($D8='[2]Beam '!T$44,$P8*'[2]Beam '!T$45,0)</f>
        <v>0</v>
      </c>
      <c r="U8" s="8">
        <f>IF($D8='[2]Beam '!U$44,$P8*'[2]Beam '!U$45,0)</f>
        <v>0</v>
      </c>
      <c r="V8" s="8">
        <f>IF($D8='[2]Beam '!V$44,$P8*'[2]Beam '!V$45,0)</f>
        <v>41.320787946428574</v>
      </c>
      <c r="W8" s="8">
        <f>IF($D8='[2]Beam '!W$44,$P8*'[2]Beam '!W$45,0)</f>
        <v>0</v>
      </c>
      <c r="X8" s="8">
        <f t="shared" ref="X8:X14" si="4">SUM(Q8:W8)</f>
        <v>41.320787946428574</v>
      </c>
      <c r="Y8" s="8"/>
      <c r="Z8" s="8"/>
      <c r="AA8" s="8"/>
      <c r="AB8" s="8"/>
      <c r="AC8" s="8"/>
      <c r="AD8" s="8"/>
      <c r="AE8" s="8"/>
    </row>
    <row r="9" spans="1:32" s="10" customFormat="1" ht="20.100000000000001" customHeight="1" x14ac:dyDescent="0.25">
      <c r="A9" s="7"/>
      <c r="B9" s="8" t="s">
        <v>2</v>
      </c>
      <c r="C9" s="13" t="s">
        <v>5</v>
      </c>
      <c r="D9" s="8">
        <v>25</v>
      </c>
      <c r="E9" s="8"/>
      <c r="F9" s="8">
        <v>3</v>
      </c>
      <c r="G9" s="9">
        <f>VLOOKUP(D9,'[2]Beam '!$C$20:$H$26,3,0)</f>
        <v>1</v>
      </c>
      <c r="H9" s="9"/>
      <c r="I9" s="8"/>
      <c r="J9" s="8"/>
      <c r="K9" s="8"/>
      <c r="L9" s="8"/>
      <c r="M9" s="8"/>
      <c r="N9" s="8"/>
      <c r="O9" s="8">
        <f>(E7+1*(G9+(12*D9/1000))+1*(2/2))*D7</f>
        <v>3.573</v>
      </c>
      <c r="P9" s="8">
        <f t="shared" si="3"/>
        <v>10.718999999999999</v>
      </c>
      <c r="Q9" s="8">
        <f>IF($D9='[2]Beam '!Q$44,$P9*'[2]Beam '!Q$45,0)</f>
        <v>0</v>
      </c>
      <c r="R9" s="8">
        <f>IF($D9='[2]Beam '!R$44,$P9*'[2]Beam '!R$45,0)</f>
        <v>0</v>
      </c>
      <c r="S9" s="8">
        <f>IF($D9='[2]Beam '!S$44,$P9*'[2]Beam '!S$45,0)</f>
        <v>0</v>
      </c>
      <c r="T9" s="8">
        <f>IF($D9='[2]Beam '!T$44,$P9*'[2]Beam '!T$45,0)</f>
        <v>0</v>
      </c>
      <c r="U9" s="8">
        <f>IF($D9='[2]Beam '!U$44,$P9*'[2]Beam '!U$45,0)</f>
        <v>0</v>
      </c>
      <c r="V9" s="8">
        <f>IF($D9='[2]Beam '!V$44,$P9*'[2]Beam '!V$45,0)</f>
        <v>41.320787946428574</v>
      </c>
      <c r="W9" s="8">
        <f>IF($D9='[2]Beam '!W$44,$P9*'[2]Beam '!W$45,0)</f>
        <v>0</v>
      </c>
      <c r="X9" s="8">
        <f t="shared" si="4"/>
        <v>41.320787946428574</v>
      </c>
      <c r="Y9" s="8"/>
      <c r="Z9" s="8"/>
      <c r="AA9" s="8"/>
      <c r="AB9" s="8"/>
      <c r="AC9" s="8"/>
      <c r="AD9" s="8"/>
      <c r="AE9" s="8"/>
    </row>
    <row r="10" spans="1:32" s="14" customFormat="1" ht="20.100000000000001" customHeight="1" x14ac:dyDescent="0.3">
      <c r="A10" s="7"/>
      <c r="B10" s="8" t="s">
        <v>2</v>
      </c>
      <c r="C10" s="13" t="s">
        <v>6</v>
      </c>
      <c r="D10" s="8">
        <v>20</v>
      </c>
      <c r="E10" s="8"/>
      <c r="F10" s="8">
        <v>3</v>
      </c>
      <c r="G10" s="9">
        <f>VLOOKUP(D10,'[2]Beam '!$C$20:$H$26,3,0)</f>
        <v>0.8</v>
      </c>
      <c r="H10" s="8"/>
      <c r="I10" s="8"/>
      <c r="J10" s="8"/>
      <c r="K10" s="8"/>
      <c r="L10" s="8"/>
      <c r="M10" s="8"/>
      <c r="N10" s="8"/>
      <c r="O10" s="8">
        <f>(E7+1*(G10+(12*D10/1000))+1*(2/2))*D7</f>
        <v>3.3129999999999997</v>
      </c>
      <c r="P10" s="8">
        <f t="shared" si="3"/>
        <v>9.9390000000000001</v>
      </c>
      <c r="Q10" s="8">
        <f>IF($D10='[2]Beam '!Q$44,$P10*'[2]Beam '!Q$45,0)</f>
        <v>0</v>
      </c>
      <c r="R10" s="8">
        <f>IF($D10='[2]Beam '!R$44,$P10*'[2]Beam '!R$45,0)</f>
        <v>0</v>
      </c>
      <c r="S10" s="8">
        <f>IF($D10='[2]Beam '!S$44,$P10*'[2]Beam '!S$45,0)</f>
        <v>0</v>
      </c>
      <c r="T10" s="8">
        <f>IF($D10='[2]Beam '!T$44,$P10*'[2]Beam '!T$45,0)</f>
        <v>0</v>
      </c>
      <c r="U10" s="8">
        <f>IF($D10='[2]Beam '!U$44,$P10*'[2]Beam '!U$45,0)</f>
        <v>24.520932857142856</v>
      </c>
      <c r="V10" s="8">
        <f>IF($D10='[2]Beam '!V$44,$P10*'[2]Beam '!V$45,0)</f>
        <v>0</v>
      </c>
      <c r="W10" s="8">
        <f>IF($D10='[2]Beam '!W$44,$P10*'[2]Beam '!W$45,0)</f>
        <v>0</v>
      </c>
      <c r="X10" s="8">
        <f t="shared" si="4"/>
        <v>24.520932857142856</v>
      </c>
      <c r="Y10" s="8"/>
    </row>
    <row r="11" spans="1:32" s="10" customFormat="1" ht="20.100000000000001" customHeight="1" x14ac:dyDescent="0.25">
      <c r="A11" s="7"/>
      <c r="B11" s="8" t="s">
        <v>2</v>
      </c>
      <c r="C11" s="13" t="s">
        <v>7</v>
      </c>
      <c r="D11" s="8">
        <v>25</v>
      </c>
      <c r="E11" s="8"/>
      <c r="F11" s="8">
        <v>3</v>
      </c>
      <c r="G11" s="9">
        <f>VLOOKUP(D11,'[2]Beam '!$C$20:$H$26,3,0)</f>
        <v>1</v>
      </c>
      <c r="H11" s="8"/>
      <c r="I11" s="8"/>
      <c r="J11" s="8"/>
      <c r="K11" s="8"/>
      <c r="L11" s="8"/>
      <c r="M11" s="8"/>
      <c r="N11" s="8"/>
      <c r="O11" s="8">
        <f>(E7+1*(G11+(12*D11/1000))+1*(2/2))*D7</f>
        <v>3.573</v>
      </c>
      <c r="P11" s="8">
        <f t="shared" si="3"/>
        <v>10.718999999999999</v>
      </c>
      <c r="Q11" s="8">
        <f>IF($D11='[2]Beam '!Q$44,$P11*'[2]Beam '!Q$45,0)</f>
        <v>0</v>
      </c>
      <c r="R11" s="8">
        <f>IF($D11='[2]Beam '!R$44,$P11*'[2]Beam '!R$45,0)</f>
        <v>0</v>
      </c>
      <c r="S11" s="8">
        <f>IF($D11='[2]Beam '!S$44,$P11*'[2]Beam '!S$45,0)</f>
        <v>0</v>
      </c>
      <c r="T11" s="8">
        <f>IF($D11='[2]Beam '!T$44,$P11*'[2]Beam '!T$45,0)</f>
        <v>0</v>
      </c>
      <c r="U11" s="8">
        <f>IF($D11='[2]Beam '!U$44,$P11*'[2]Beam '!U$45,0)</f>
        <v>0</v>
      </c>
      <c r="V11" s="8">
        <f>IF($D11='[2]Beam '!V$44,$P11*'[2]Beam '!V$45,0)</f>
        <v>41.320787946428574</v>
      </c>
      <c r="W11" s="8">
        <f>IF($D11='[2]Beam '!W$44,$P11*'[2]Beam '!W$45,0)</f>
        <v>0</v>
      </c>
      <c r="X11" s="8">
        <f t="shared" si="4"/>
        <v>41.320787946428574</v>
      </c>
      <c r="Y11" s="8"/>
      <c r="Z11" s="8"/>
      <c r="AA11" s="8"/>
      <c r="AB11" s="8"/>
      <c r="AC11" s="8"/>
      <c r="AD11" s="8"/>
      <c r="AE11" s="8"/>
    </row>
    <row r="12" spans="1:32" s="10" customFormat="1" ht="21" customHeight="1" x14ac:dyDescent="0.25">
      <c r="A12" s="7"/>
      <c r="B12" s="8" t="s">
        <v>2</v>
      </c>
      <c r="C12" s="13" t="s">
        <v>8</v>
      </c>
      <c r="D12" s="8">
        <v>8</v>
      </c>
      <c r="E12" s="8">
        <v>0.1</v>
      </c>
      <c r="F12" s="8">
        <f>ROUNDUP(E7/E12,0)</f>
        <v>13</v>
      </c>
      <c r="H12" s="8"/>
      <c r="I12" s="8"/>
      <c r="J12" s="8"/>
      <c r="K12" s="8"/>
      <c r="L12" s="8"/>
      <c r="M12" s="8"/>
      <c r="N12" s="8"/>
      <c r="O12" s="8">
        <f>(2*((G7-(2*'[2]Beam '!$D$11))+(F7-(2*'[2]Beam '!$D$11)))+(2*10*D12/1000))*D7</f>
        <v>2.8200000000000003</v>
      </c>
      <c r="P12" s="8">
        <f t="shared" si="3"/>
        <v>36.660000000000004</v>
      </c>
      <c r="Q12" s="8">
        <f>IF($D12='[2]Beam '!Q$44,$P12*'[2]Beam '!Q$45,0)</f>
        <v>14.471273142857145</v>
      </c>
      <c r="R12" s="8">
        <f>IF($D12='[2]Beam '!R$44,$P12*'[2]Beam '!R$45,0)</f>
        <v>0</v>
      </c>
      <c r="S12" s="8">
        <f>IF($D12='[2]Beam '!S$44,$P12*'[2]Beam '!S$45,0)</f>
        <v>0</v>
      </c>
      <c r="T12" s="8">
        <f>IF($D12='[2]Beam '!T$44,$P12*'[2]Beam '!T$45,0)</f>
        <v>0</v>
      </c>
      <c r="U12" s="8">
        <f>IF($D12='[2]Beam '!U$44,$P12*'[2]Beam '!U$45,0)</f>
        <v>0</v>
      </c>
      <c r="V12" s="8">
        <f>IF($D12='[2]Beam '!V$44,$P12*'[2]Beam '!V$45,0)</f>
        <v>0</v>
      </c>
      <c r="W12" s="8">
        <f>IF($D12='[2]Beam '!W$44,$P12*'[2]Beam '!W$45,0)</f>
        <v>0</v>
      </c>
      <c r="X12" s="8">
        <f t="shared" si="4"/>
        <v>14.471273142857145</v>
      </c>
      <c r="Y12" s="8"/>
      <c r="Z12" s="8"/>
      <c r="AA12" s="8"/>
      <c r="AB12" s="8"/>
      <c r="AC12" s="8"/>
      <c r="AD12" s="8"/>
      <c r="AE12" s="8"/>
      <c r="AF12" s="8"/>
    </row>
    <row r="13" spans="1:32" s="10" customFormat="1" ht="20.100000000000001" customHeight="1" x14ac:dyDescent="0.25">
      <c r="A13" s="14"/>
      <c r="B13" s="8" t="s">
        <v>2</v>
      </c>
      <c r="C13" s="13" t="s">
        <v>9</v>
      </c>
      <c r="D13" s="8">
        <f>+D12</f>
        <v>8</v>
      </c>
      <c r="E13" s="14">
        <f>+E12</f>
        <v>0.1</v>
      </c>
      <c r="F13" s="8">
        <f>ROUNDUP(E7/E13,0)</f>
        <v>13</v>
      </c>
      <c r="H13" s="14"/>
      <c r="I13" s="14"/>
      <c r="J13" s="14"/>
      <c r="K13" s="14"/>
      <c r="L13" s="14"/>
      <c r="M13" s="14"/>
      <c r="N13" s="14"/>
      <c r="O13" s="8">
        <f>((((G7-(2*'[2]Beam '!$D$11))+(2*10*D13/1000))*D7))*1</f>
        <v>1.2</v>
      </c>
      <c r="P13" s="8">
        <f t="shared" si="3"/>
        <v>15.6</v>
      </c>
      <c r="Q13" s="8">
        <f>IF($D13='[2]Beam '!Q$44,$P13*'[2]Beam '!Q$45,0)</f>
        <v>6.1579885714285716</v>
      </c>
      <c r="R13" s="8">
        <f>IF($D13='[2]Beam '!R$44,$P13*'[2]Beam '!R$45,0)</f>
        <v>0</v>
      </c>
      <c r="S13" s="8">
        <f>IF($D13='[2]Beam '!S$44,$P13*'[2]Beam '!S$45,0)</f>
        <v>0</v>
      </c>
      <c r="T13" s="8">
        <f>IF($D13='[2]Beam '!T$44,$P13*'[2]Beam '!T$45,0)</f>
        <v>0</v>
      </c>
      <c r="U13" s="8">
        <f>IF($D13='[2]Beam '!U$44,$P13*'[2]Beam '!U$45,0)</f>
        <v>0</v>
      </c>
      <c r="V13" s="8">
        <f>IF($D13='[2]Beam '!V$44,$P13*'[2]Beam '!V$45,0)</f>
        <v>0</v>
      </c>
      <c r="W13" s="8">
        <f>IF($D13='[2]Beam '!W$44,$P13*'[2]Beam '!W$45,0)</f>
        <v>0</v>
      </c>
      <c r="X13" s="8">
        <f t="shared" si="4"/>
        <v>6.1579885714285716</v>
      </c>
      <c r="Y13" s="14"/>
      <c r="Z13" s="8"/>
      <c r="AA13" s="8"/>
      <c r="AB13" s="8"/>
      <c r="AC13" s="8"/>
      <c r="AD13" s="8"/>
      <c r="AE13" s="8"/>
    </row>
    <row r="14" spans="1:32" s="10" customFormat="1" ht="20.100000000000001" customHeight="1" x14ac:dyDescent="0.25">
      <c r="A14" s="7"/>
      <c r="B14" s="8" t="s">
        <v>2</v>
      </c>
      <c r="C14" s="13" t="s">
        <v>10</v>
      </c>
      <c r="D14" s="8">
        <f>+'[2]Beam '!$D$15</f>
        <v>25</v>
      </c>
      <c r="E14" s="8">
        <f>+'[2]Beam '!$E$15</f>
        <v>1</v>
      </c>
      <c r="F14" s="8">
        <f>ROUNDUP((E7)/E14,0)</f>
        <v>2</v>
      </c>
      <c r="G14" s="9"/>
      <c r="H14" s="9"/>
      <c r="I14" s="8"/>
      <c r="J14" s="8"/>
      <c r="K14" s="8"/>
      <c r="L14" s="8"/>
      <c r="M14" s="8"/>
      <c r="N14" s="8"/>
      <c r="O14" s="8">
        <f>F7-'[2]Beam '!$F$15</f>
        <v>0.28999999999999998</v>
      </c>
      <c r="P14" s="8">
        <f t="shared" si="3"/>
        <v>0.57999999999999996</v>
      </c>
      <c r="Q14" s="8">
        <f>IF($D14='[2]Beam '!Q$44,$P14*'[2]Beam '!Q$45,0)</f>
        <v>0</v>
      </c>
      <c r="R14" s="8">
        <f>IF($D14='[2]Beam '!R$44,$P14*'[2]Beam '!R$45,0)</f>
        <v>0</v>
      </c>
      <c r="S14" s="8">
        <f>IF($D14='[2]Beam '!S$44,$P14*'[2]Beam '!S$45,0)</f>
        <v>0</v>
      </c>
      <c r="T14" s="8">
        <f>IF($D14='[2]Beam '!T$44,$P14*'[2]Beam '!T$45,0)</f>
        <v>0</v>
      </c>
      <c r="U14" s="8">
        <f>IF($D14='[2]Beam '!U$44,$P14*'[2]Beam '!U$45,0)</f>
        <v>0</v>
      </c>
      <c r="V14" s="8">
        <f>IF($D14='[2]Beam '!V$44,$P14*'[2]Beam '!V$45,0)</f>
        <v>2.2358482142857143</v>
      </c>
      <c r="W14" s="8">
        <f>IF($D14='[2]Beam '!W$44,$P14*'[2]Beam '!W$45,0)</f>
        <v>0</v>
      </c>
      <c r="X14" s="8">
        <f t="shared" si="4"/>
        <v>2.2358482142857143</v>
      </c>
      <c r="Y14" s="8"/>
      <c r="Z14" s="8"/>
      <c r="AA14" s="8"/>
      <c r="AB14" s="8"/>
      <c r="AC14" s="8"/>
      <c r="AD14" s="8"/>
      <c r="AE14" s="8"/>
    </row>
    <row r="15" spans="1:32" s="10" customFormat="1" ht="20.100000000000001" customHeight="1" x14ac:dyDescent="0.25">
      <c r="A15" s="8">
        <f>+A7+1</f>
        <v>2</v>
      </c>
      <c r="B15" s="8" t="s">
        <v>2</v>
      </c>
      <c r="C15" s="11" t="s">
        <v>11</v>
      </c>
      <c r="D15" s="11">
        <v>1</v>
      </c>
      <c r="E15" s="11">
        <v>1.97</v>
      </c>
      <c r="F15" s="11">
        <v>0.35</v>
      </c>
      <c r="G15" s="11">
        <v>1.1000000000000001</v>
      </c>
      <c r="H15" s="8">
        <f>G15-0.2</f>
        <v>0.90000000000000013</v>
      </c>
      <c r="I15" s="8">
        <f>E15*F15*G15*D15</f>
        <v>0.75845000000000007</v>
      </c>
      <c r="J15" s="8">
        <f>(2*(E15)*H15*D15)+(E15*F15)</f>
        <v>4.2355</v>
      </c>
      <c r="K15" s="12">
        <f>IF(E15=0.3,J15,0)</f>
        <v>0</v>
      </c>
      <c r="L15" s="12">
        <f>IF(AND(E15&gt;0.3,E15&lt;=0.75),J15,0)</f>
        <v>0</v>
      </c>
      <c r="M15" s="12">
        <f>IF(AND(E15&gt;0.75,E15&lt;=1.2),J15,0)</f>
        <v>0</v>
      </c>
      <c r="N15" s="12">
        <f>IF(E15&gt;1.2,J15,0)</f>
        <v>4.2355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>
        <f>SUM(X16:X22)/I15</f>
        <v>289.97548689526576</v>
      </c>
      <c r="Z15" s="8"/>
      <c r="AA15" s="8"/>
      <c r="AB15" s="8"/>
      <c r="AC15" s="8"/>
      <c r="AD15" s="8"/>
      <c r="AE15" s="8"/>
    </row>
    <row r="16" spans="1:32" s="10" customFormat="1" ht="20.100000000000001" customHeight="1" x14ac:dyDescent="0.25">
      <c r="A16" s="7"/>
      <c r="B16" s="8" t="s">
        <v>2</v>
      </c>
      <c r="C16" s="13" t="s">
        <v>4</v>
      </c>
      <c r="D16" s="8">
        <v>25</v>
      </c>
      <c r="E16" s="8"/>
      <c r="F16" s="8">
        <v>3</v>
      </c>
      <c r="G16" s="9">
        <f>VLOOKUP(D16,'[2]Beam '!$C$20:$H$26,3,0)</f>
        <v>1</v>
      </c>
      <c r="H16" s="9"/>
      <c r="I16" s="8"/>
      <c r="J16" s="8"/>
      <c r="K16" s="8"/>
      <c r="L16" s="8"/>
      <c r="M16" s="8"/>
      <c r="N16" s="8"/>
      <c r="O16" s="8">
        <f>(E15+2*(2/2))*D15</f>
        <v>3.9699999999999998</v>
      </c>
      <c r="P16" s="8">
        <f t="shared" ref="P16:P22" si="5">O16*F16</f>
        <v>11.91</v>
      </c>
      <c r="Q16" s="8">
        <f>IF($D16='[2]Beam '!Q$44,$P16*'[2]Beam '!Q$45,0)</f>
        <v>0</v>
      </c>
      <c r="R16" s="8">
        <f>IF($D16='[2]Beam '!R$44,$P16*'[2]Beam '!R$45,0)</f>
        <v>0</v>
      </c>
      <c r="S16" s="8">
        <f>IF($D16='[2]Beam '!S$44,$P16*'[2]Beam '!S$45,0)</f>
        <v>0</v>
      </c>
      <c r="T16" s="8">
        <f>IF($D16='[2]Beam '!T$44,$P16*'[2]Beam '!T$45,0)</f>
        <v>0</v>
      </c>
      <c r="U16" s="8">
        <f>IF($D16='[2]Beam '!U$44,$P16*'[2]Beam '!U$45,0)</f>
        <v>0</v>
      </c>
      <c r="V16" s="8">
        <f>IF($D16='[2]Beam '!V$44,$P16*'[2]Beam '!V$45,0)</f>
        <v>45.911986607142865</v>
      </c>
      <c r="W16" s="8">
        <f>IF($D16='[2]Beam '!W$44,$P16*'[2]Beam '!W$45,0)</f>
        <v>0</v>
      </c>
      <c r="X16" s="8">
        <f t="shared" ref="X16:X22" si="6">SUM(Q16:W16)</f>
        <v>45.911986607142865</v>
      </c>
      <c r="Y16" s="8"/>
      <c r="Z16" s="8"/>
      <c r="AA16" s="8"/>
      <c r="AB16" s="8"/>
      <c r="AC16" s="8"/>
      <c r="AD16" s="8"/>
      <c r="AE16" s="8"/>
    </row>
    <row r="17" spans="1:32" s="10" customFormat="1" ht="20.100000000000001" customHeight="1" x14ac:dyDescent="0.25">
      <c r="A17" s="7"/>
      <c r="B17" s="8" t="s">
        <v>2</v>
      </c>
      <c r="C17" s="13" t="s">
        <v>5</v>
      </c>
      <c r="D17" s="8">
        <v>25</v>
      </c>
      <c r="E17" s="8"/>
      <c r="F17" s="8">
        <v>3</v>
      </c>
      <c r="G17" s="9">
        <f>VLOOKUP(D17,'[2]Beam '!$C$20:$H$26,3,0)</f>
        <v>1</v>
      </c>
      <c r="H17" s="9"/>
      <c r="I17" s="8"/>
      <c r="J17" s="8"/>
      <c r="K17" s="8"/>
      <c r="L17" s="8"/>
      <c r="M17" s="8"/>
      <c r="N17" s="8"/>
      <c r="O17" s="8">
        <f>(E15+1*(2/2))+G17*D15</f>
        <v>3.9699999999999998</v>
      </c>
      <c r="P17" s="8">
        <f t="shared" si="5"/>
        <v>11.91</v>
      </c>
      <c r="Q17" s="8">
        <f>IF($D17='[2]Beam '!Q$44,$P17*'[2]Beam '!Q$45,0)</f>
        <v>0</v>
      </c>
      <c r="R17" s="8">
        <f>IF($D17='[2]Beam '!R$44,$P17*'[2]Beam '!R$45,0)</f>
        <v>0</v>
      </c>
      <c r="S17" s="8">
        <f>IF($D17='[2]Beam '!S$44,$P17*'[2]Beam '!S$45,0)</f>
        <v>0</v>
      </c>
      <c r="T17" s="8">
        <f>IF($D17='[2]Beam '!T$44,$P17*'[2]Beam '!T$45,0)</f>
        <v>0</v>
      </c>
      <c r="U17" s="8">
        <f>IF($D17='[2]Beam '!U$44,$P17*'[2]Beam '!U$45,0)</f>
        <v>0</v>
      </c>
      <c r="V17" s="8">
        <f>IF($D17='[2]Beam '!V$44,$P17*'[2]Beam '!V$45,0)</f>
        <v>45.911986607142865</v>
      </c>
      <c r="W17" s="8">
        <f>IF($D17='[2]Beam '!W$44,$P17*'[2]Beam '!W$45,0)</f>
        <v>0</v>
      </c>
      <c r="X17" s="8">
        <f t="shared" si="6"/>
        <v>45.911986607142865</v>
      </c>
      <c r="Y17" s="8"/>
      <c r="Z17" s="8"/>
      <c r="AA17" s="8"/>
      <c r="AB17" s="8"/>
      <c r="AC17" s="8"/>
      <c r="AD17" s="8"/>
      <c r="AE17" s="8"/>
    </row>
    <row r="18" spans="1:32" s="14" customFormat="1" ht="20.100000000000001" customHeight="1" x14ac:dyDescent="0.3">
      <c r="A18" s="7"/>
      <c r="B18" s="8" t="s">
        <v>2</v>
      </c>
      <c r="C18" s="13" t="s">
        <v>6</v>
      </c>
      <c r="D18" s="8">
        <v>20</v>
      </c>
      <c r="E18" s="8"/>
      <c r="F18" s="8">
        <v>3</v>
      </c>
      <c r="G18" s="9">
        <f>VLOOKUP(D18,'[2]Beam '!$C$20:$H$26,3,0)</f>
        <v>0.8</v>
      </c>
      <c r="H18" s="8"/>
      <c r="I18" s="8"/>
      <c r="J18" s="8"/>
      <c r="K18" s="8"/>
      <c r="L18" s="8"/>
      <c r="M18" s="8"/>
      <c r="N18" s="8"/>
      <c r="O18" s="8">
        <f>(E15+2*(2/2))*D15</f>
        <v>3.9699999999999998</v>
      </c>
      <c r="P18" s="8">
        <f t="shared" si="5"/>
        <v>11.91</v>
      </c>
      <c r="Q18" s="8">
        <f>IF($D18='[2]Beam '!Q$44,$P18*'[2]Beam '!Q$45,0)</f>
        <v>0</v>
      </c>
      <c r="R18" s="8">
        <f>IF($D18='[2]Beam '!R$44,$P18*'[2]Beam '!R$45,0)</f>
        <v>0</v>
      </c>
      <c r="S18" s="8">
        <f>IF($D18='[2]Beam '!S$44,$P18*'[2]Beam '!S$45,0)</f>
        <v>0</v>
      </c>
      <c r="T18" s="8">
        <f>IF($D18='[2]Beam '!T$44,$P18*'[2]Beam '!T$45,0)</f>
        <v>0</v>
      </c>
      <c r="U18" s="8">
        <f>IF($D18='[2]Beam '!U$44,$P18*'[2]Beam '!U$45,0)</f>
        <v>29.383671428571429</v>
      </c>
      <c r="V18" s="8">
        <f>IF($D18='[2]Beam '!V$44,$P18*'[2]Beam '!V$45,0)</f>
        <v>0</v>
      </c>
      <c r="W18" s="8">
        <f>IF($D18='[2]Beam '!W$44,$P18*'[2]Beam '!W$45,0)</f>
        <v>0</v>
      </c>
      <c r="X18" s="8">
        <f t="shared" si="6"/>
        <v>29.383671428571429</v>
      </c>
      <c r="Y18" s="8"/>
    </row>
    <row r="19" spans="1:32" s="10" customFormat="1" ht="20.100000000000001" customHeight="1" x14ac:dyDescent="0.25">
      <c r="A19" s="7"/>
      <c r="B19" s="8" t="s">
        <v>2</v>
      </c>
      <c r="C19" s="13" t="s">
        <v>7</v>
      </c>
      <c r="D19" s="8">
        <v>25</v>
      </c>
      <c r="E19" s="8"/>
      <c r="F19" s="8">
        <v>3</v>
      </c>
      <c r="G19" s="9">
        <f>VLOOKUP(D19,'[2]Beam '!$C$20:$H$26,3,0)</f>
        <v>1</v>
      </c>
      <c r="H19" s="8"/>
      <c r="I19" s="8"/>
      <c r="J19" s="8"/>
      <c r="K19" s="8"/>
      <c r="L19" s="8"/>
      <c r="M19" s="8"/>
      <c r="N19" s="8"/>
      <c r="O19" s="8">
        <f>(E15+1*(2/2))+G19*D15</f>
        <v>3.9699999999999998</v>
      </c>
      <c r="P19" s="8">
        <f t="shared" si="5"/>
        <v>11.91</v>
      </c>
      <c r="Q19" s="8">
        <f>IF($D19='[2]Beam '!Q$44,$P19*'[2]Beam '!Q$45,0)</f>
        <v>0</v>
      </c>
      <c r="R19" s="8">
        <f>IF($D19='[2]Beam '!R$44,$P19*'[2]Beam '!R$45,0)</f>
        <v>0</v>
      </c>
      <c r="S19" s="8">
        <f>IF($D19='[2]Beam '!S$44,$P19*'[2]Beam '!S$45,0)</f>
        <v>0</v>
      </c>
      <c r="T19" s="8">
        <f>IF($D19='[2]Beam '!T$44,$P19*'[2]Beam '!T$45,0)</f>
        <v>0</v>
      </c>
      <c r="U19" s="8">
        <f>IF($D19='[2]Beam '!U$44,$P19*'[2]Beam '!U$45,0)</f>
        <v>0</v>
      </c>
      <c r="V19" s="8">
        <f>IF($D19='[2]Beam '!V$44,$P19*'[2]Beam '!V$45,0)</f>
        <v>45.911986607142865</v>
      </c>
      <c r="W19" s="8">
        <f>IF($D19='[2]Beam '!W$44,$P19*'[2]Beam '!W$45,0)</f>
        <v>0</v>
      </c>
      <c r="X19" s="8">
        <f t="shared" si="6"/>
        <v>45.911986607142865</v>
      </c>
      <c r="Y19" s="8"/>
      <c r="Z19" s="8"/>
      <c r="AA19" s="8"/>
      <c r="AB19" s="8"/>
      <c r="AC19" s="8"/>
      <c r="AD19" s="8"/>
      <c r="AE19" s="8"/>
    </row>
    <row r="20" spans="1:32" s="10" customFormat="1" ht="21" customHeight="1" x14ac:dyDescent="0.25">
      <c r="A20" s="7"/>
      <c r="B20" s="8" t="s">
        <v>2</v>
      </c>
      <c r="C20" s="13" t="s">
        <v>8</v>
      </c>
      <c r="D20" s="8">
        <v>10</v>
      </c>
      <c r="E20" s="8">
        <v>0.1</v>
      </c>
      <c r="F20" s="8">
        <f>ROUNDUP(E15/E20,0)</f>
        <v>20</v>
      </c>
      <c r="H20" s="8"/>
      <c r="I20" s="8"/>
      <c r="J20" s="8"/>
      <c r="K20" s="8"/>
      <c r="L20" s="8"/>
      <c r="M20" s="8"/>
      <c r="N20" s="8"/>
      <c r="O20" s="8">
        <f>(2*((G15-(2*'[2]Beam '!$D$11))+(F15-(2*'[2]Beam '!$D$11)))+(2*10*D20/1000))*D15</f>
        <v>2.8600000000000003</v>
      </c>
      <c r="P20" s="8">
        <f t="shared" si="5"/>
        <v>57.2</v>
      </c>
      <c r="Q20" s="8">
        <f>IF($D20='[2]Beam '!Q$44,$P20*'[2]Beam '!Q$45,0)</f>
        <v>0</v>
      </c>
      <c r="R20" s="8">
        <f>IF($D20='[2]Beam '!R$44,$P20*'[2]Beam '!R$45,0)</f>
        <v>35.280142857142856</v>
      </c>
      <c r="S20" s="8">
        <f>IF($D20='[2]Beam '!S$44,$P20*'[2]Beam '!S$45,0)</f>
        <v>0</v>
      </c>
      <c r="T20" s="8">
        <f>IF($D20='[2]Beam '!T$44,$P20*'[2]Beam '!T$45,0)</f>
        <v>0</v>
      </c>
      <c r="U20" s="8">
        <f>IF($D20='[2]Beam '!U$44,$P20*'[2]Beam '!U$45,0)</f>
        <v>0</v>
      </c>
      <c r="V20" s="8">
        <f>IF($D20='[2]Beam '!V$44,$P20*'[2]Beam '!V$45,0)</f>
        <v>0</v>
      </c>
      <c r="W20" s="8">
        <f>IF($D20='[2]Beam '!W$44,$P20*'[2]Beam '!W$45,0)</f>
        <v>0</v>
      </c>
      <c r="X20" s="8">
        <f t="shared" si="6"/>
        <v>35.280142857142856</v>
      </c>
      <c r="Y20" s="8"/>
      <c r="Z20" s="8"/>
      <c r="AA20" s="8"/>
      <c r="AB20" s="8"/>
      <c r="AC20" s="8"/>
      <c r="AD20" s="8"/>
      <c r="AE20" s="8"/>
      <c r="AF20" s="8"/>
    </row>
    <row r="21" spans="1:32" s="10" customFormat="1" ht="20.100000000000001" customHeight="1" x14ac:dyDescent="0.25">
      <c r="A21" s="14"/>
      <c r="B21" s="8" t="s">
        <v>2</v>
      </c>
      <c r="C21" s="13" t="s">
        <v>9</v>
      </c>
      <c r="D21" s="8">
        <f>+D20</f>
        <v>10</v>
      </c>
      <c r="E21" s="14">
        <f>+E20</f>
        <v>0.1</v>
      </c>
      <c r="F21" s="8">
        <f>ROUNDUP(E15/E21,0)</f>
        <v>20</v>
      </c>
      <c r="H21" s="14"/>
      <c r="I21" s="14"/>
      <c r="J21" s="14"/>
      <c r="K21" s="14"/>
      <c r="L21" s="14"/>
      <c r="M21" s="14"/>
      <c r="N21" s="14"/>
      <c r="O21" s="8">
        <f>((((G15-(2*'[2]Beam '!$D$11))+(2*10*D21/1000))*D15))*1</f>
        <v>1.24</v>
      </c>
      <c r="P21" s="8">
        <f t="shared" si="5"/>
        <v>24.8</v>
      </c>
      <c r="Q21" s="8">
        <f>IF($D21='[2]Beam '!Q$44,$P21*'[2]Beam '!Q$45,0)</f>
        <v>0</v>
      </c>
      <c r="R21" s="8">
        <f>IF($D21='[2]Beam '!R$44,$P21*'[2]Beam '!R$45,0)</f>
        <v>15.296285714285714</v>
      </c>
      <c r="S21" s="8">
        <f>IF($D21='[2]Beam '!S$44,$P21*'[2]Beam '!S$45,0)</f>
        <v>0</v>
      </c>
      <c r="T21" s="8">
        <f>IF($D21='[2]Beam '!T$44,$P21*'[2]Beam '!T$45,0)</f>
        <v>0</v>
      </c>
      <c r="U21" s="8">
        <f>IF($D21='[2]Beam '!U$44,$P21*'[2]Beam '!U$45,0)</f>
        <v>0</v>
      </c>
      <c r="V21" s="8">
        <f>IF($D21='[2]Beam '!V$44,$P21*'[2]Beam '!V$45,0)</f>
        <v>0</v>
      </c>
      <c r="W21" s="8">
        <f>IF($D21='[2]Beam '!W$44,$P21*'[2]Beam '!W$45,0)</f>
        <v>0</v>
      </c>
      <c r="X21" s="8">
        <f t="shared" si="6"/>
        <v>15.296285714285714</v>
      </c>
      <c r="Y21" s="14"/>
      <c r="Z21" s="8"/>
      <c r="AA21" s="8"/>
      <c r="AB21" s="8"/>
      <c r="AC21" s="8"/>
      <c r="AD21" s="8"/>
      <c r="AE21" s="8"/>
    </row>
    <row r="22" spans="1:32" s="10" customFormat="1" ht="20.100000000000001" customHeight="1" x14ac:dyDescent="0.25">
      <c r="A22" s="7"/>
      <c r="B22" s="8" t="s">
        <v>2</v>
      </c>
      <c r="C22" s="13" t="s">
        <v>10</v>
      </c>
      <c r="D22" s="8">
        <f>+'[2]Beam '!$D$15</f>
        <v>25</v>
      </c>
      <c r="E22" s="8">
        <f>+'[2]Beam '!$E$15</f>
        <v>1</v>
      </c>
      <c r="F22" s="8">
        <f>ROUNDUP((E15)/E22,0)</f>
        <v>2</v>
      </c>
      <c r="G22" s="9"/>
      <c r="H22" s="9"/>
      <c r="I22" s="8"/>
      <c r="J22" s="8"/>
      <c r="K22" s="8"/>
      <c r="L22" s="8"/>
      <c r="M22" s="8"/>
      <c r="N22" s="8"/>
      <c r="O22" s="8">
        <f>F15-'[2]Beam '!$F$15</f>
        <v>0.28999999999999998</v>
      </c>
      <c r="P22" s="8">
        <f t="shared" si="5"/>
        <v>0.57999999999999996</v>
      </c>
      <c r="Q22" s="8">
        <f>IF($D22='[2]Beam '!Q$44,$P22*'[2]Beam '!Q$45,0)</f>
        <v>0</v>
      </c>
      <c r="R22" s="8">
        <f>IF($D22='[2]Beam '!R$44,$P22*'[2]Beam '!R$45,0)</f>
        <v>0</v>
      </c>
      <c r="S22" s="8">
        <f>IF($D22='[2]Beam '!S$44,$P22*'[2]Beam '!S$45,0)</f>
        <v>0</v>
      </c>
      <c r="T22" s="8">
        <f>IF($D22='[2]Beam '!T$44,$P22*'[2]Beam '!T$45,0)</f>
        <v>0</v>
      </c>
      <c r="U22" s="8">
        <f>IF($D22='[2]Beam '!U$44,$P22*'[2]Beam '!U$45,0)</f>
        <v>0</v>
      </c>
      <c r="V22" s="8">
        <f>IF($D22='[2]Beam '!V$44,$P22*'[2]Beam '!V$45,0)</f>
        <v>2.2358482142857143</v>
      </c>
      <c r="W22" s="8">
        <f>IF($D22='[2]Beam '!W$44,$P22*'[2]Beam '!W$45,0)</f>
        <v>0</v>
      </c>
      <c r="X22" s="8">
        <f t="shared" si="6"/>
        <v>2.2358482142857143</v>
      </c>
      <c r="Y22" s="8"/>
      <c r="Z22" s="8"/>
      <c r="AA22" s="8"/>
      <c r="AB22" s="8"/>
      <c r="AC22" s="8"/>
      <c r="AD22" s="8"/>
      <c r="AE22" s="8"/>
    </row>
    <row r="23" spans="1:32" s="10" customFormat="1" ht="20.100000000000001" customHeight="1" x14ac:dyDescent="0.25">
      <c r="A23" s="8">
        <f>+A$15+1</f>
        <v>3</v>
      </c>
      <c r="B23" s="8" t="s">
        <v>2</v>
      </c>
      <c r="C23" s="11" t="s">
        <v>12</v>
      </c>
      <c r="D23" s="11">
        <v>1</v>
      </c>
      <c r="E23" s="11">
        <v>12.746</v>
      </c>
      <c r="F23" s="11">
        <v>0.35</v>
      </c>
      <c r="G23" s="11">
        <v>1.1000000000000001</v>
      </c>
      <c r="H23" s="8">
        <f>G23-0.2</f>
        <v>0.90000000000000013</v>
      </c>
      <c r="I23" s="8">
        <f>E23*F23*G23*D23</f>
        <v>4.9072100000000001</v>
      </c>
      <c r="J23" s="8">
        <f>(2*(E23)*H23*D23)+(E23*F23)</f>
        <v>27.403900000000007</v>
      </c>
      <c r="K23" s="12">
        <f>IF(E23=0.3,J23,0)</f>
        <v>0</v>
      </c>
      <c r="L23" s="12">
        <f>IF(AND(E23&gt;0.3,E23&lt;=0.75),J23,0)</f>
        <v>0</v>
      </c>
      <c r="M23" s="12">
        <f>IF(AND(E23&gt;0.75,E23&lt;=1.2),J23,0)</f>
        <v>0</v>
      </c>
      <c r="N23" s="12">
        <f>IF(E23&gt;1.2,J23,0)</f>
        <v>27.403900000000007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>
        <f>SUM(X24:X32)/I23</f>
        <v>181.18073287097675</v>
      </c>
      <c r="Z23" s="8"/>
      <c r="AA23" s="8"/>
      <c r="AB23" s="8"/>
      <c r="AC23" s="8"/>
      <c r="AD23" s="8"/>
      <c r="AE23" s="8"/>
    </row>
    <row r="24" spans="1:32" s="10" customFormat="1" ht="20.100000000000001" customHeight="1" x14ac:dyDescent="0.25">
      <c r="A24" s="7"/>
      <c r="B24" s="8" t="s">
        <v>2</v>
      </c>
      <c r="C24" s="13" t="s">
        <v>4</v>
      </c>
      <c r="D24" s="8">
        <v>25</v>
      </c>
      <c r="E24" s="8"/>
      <c r="F24" s="8">
        <v>3</v>
      </c>
      <c r="G24" s="9">
        <f>VLOOKUP(D24,'[2]Beam '!$C$20:$H$26,3,0)</f>
        <v>1</v>
      </c>
      <c r="H24" s="9"/>
      <c r="I24" s="8"/>
      <c r="J24" s="8"/>
      <c r="K24" s="8"/>
      <c r="L24" s="8"/>
      <c r="M24" s="8"/>
      <c r="N24" s="8"/>
      <c r="O24" s="8">
        <f>(E23+1*(2/2))+1*(2.781/2)*D23</f>
        <v>15.1365</v>
      </c>
      <c r="P24" s="8">
        <f t="shared" ref="P24:P32" si="7">O24*F24</f>
        <v>45.409500000000001</v>
      </c>
      <c r="Q24" s="8">
        <f>IF($D24='[2]Beam '!Q$44,$P24*'[2]Beam '!Q$45,0)</f>
        <v>0</v>
      </c>
      <c r="R24" s="8">
        <f>IF($D24='[2]Beam '!R$44,$P24*'[2]Beam '!R$45,0)</f>
        <v>0</v>
      </c>
      <c r="S24" s="8">
        <f>IF($D24='[2]Beam '!S$44,$P24*'[2]Beam '!S$45,0)</f>
        <v>0</v>
      </c>
      <c r="T24" s="8">
        <f>IF($D24='[2]Beam '!T$44,$P24*'[2]Beam '!T$45,0)</f>
        <v>0</v>
      </c>
      <c r="U24" s="8">
        <f>IF($D24='[2]Beam '!U$44,$P24*'[2]Beam '!U$45,0)</f>
        <v>0</v>
      </c>
      <c r="V24" s="8">
        <f>IF($D24='[2]Beam '!V$44,$P24*'[2]Beam '!V$45,0)</f>
        <v>175.04956808035718</v>
      </c>
      <c r="W24" s="8">
        <f>IF($D24='[2]Beam '!W$44,$P24*'[2]Beam '!W$45,0)</f>
        <v>0</v>
      </c>
      <c r="X24" s="8">
        <f t="shared" ref="X24:X32" si="8">SUM(Q24:W24)</f>
        <v>175.04956808035718</v>
      </c>
      <c r="Y24" s="8"/>
      <c r="Z24" s="8"/>
      <c r="AA24" s="8"/>
      <c r="AB24" s="8"/>
      <c r="AC24" s="8"/>
      <c r="AD24" s="8"/>
      <c r="AE24" s="8"/>
    </row>
    <row r="25" spans="1:32" s="10" customFormat="1" ht="20.100000000000001" customHeight="1" x14ac:dyDescent="0.25">
      <c r="A25" s="7"/>
      <c r="B25" s="8" t="s">
        <v>2</v>
      </c>
      <c r="C25" s="13" t="s">
        <v>5</v>
      </c>
      <c r="D25" s="8">
        <v>25</v>
      </c>
      <c r="E25" s="8"/>
      <c r="F25" s="8">
        <v>3</v>
      </c>
      <c r="G25" s="9">
        <f>VLOOKUP(D25,'[2]Beam '!$C$20:$H$26,3,0)</f>
        <v>1</v>
      </c>
      <c r="H25" s="9"/>
      <c r="I25" s="8"/>
      <c r="J25" s="8"/>
      <c r="K25" s="8"/>
      <c r="L25" s="8"/>
      <c r="M25" s="8"/>
      <c r="N25" s="8"/>
      <c r="O25" s="8">
        <f>(3.9+1*(G25*D23))</f>
        <v>4.9000000000000004</v>
      </c>
      <c r="P25" s="8">
        <f t="shared" si="7"/>
        <v>14.700000000000001</v>
      </c>
      <c r="Q25" s="8">
        <f>IF($D25='[2]Beam '!Q$44,$P25*'[2]Beam '!Q$45,0)</f>
        <v>0</v>
      </c>
      <c r="R25" s="8">
        <f>IF($D25='[2]Beam '!R$44,$P25*'[2]Beam '!R$45,0)</f>
        <v>0</v>
      </c>
      <c r="S25" s="8">
        <f>IF($D25='[2]Beam '!S$44,$P25*'[2]Beam '!S$45,0)</f>
        <v>0</v>
      </c>
      <c r="T25" s="8">
        <f>IF($D25='[2]Beam '!T$44,$P25*'[2]Beam '!T$45,0)</f>
        <v>0</v>
      </c>
      <c r="U25" s="8">
        <f>IF($D25='[2]Beam '!U$44,$P25*'[2]Beam '!U$45,0)</f>
        <v>0</v>
      </c>
      <c r="V25" s="8">
        <f>IF($D25='[2]Beam '!V$44,$P25*'[2]Beam '!V$45,0)</f>
        <v>56.667187500000011</v>
      </c>
      <c r="W25" s="8">
        <f>IF($D25='[2]Beam '!W$44,$P25*'[2]Beam '!W$45,0)</f>
        <v>0</v>
      </c>
      <c r="X25" s="8">
        <f t="shared" si="8"/>
        <v>56.667187500000011</v>
      </c>
      <c r="Y25" s="8"/>
      <c r="Z25" s="8"/>
      <c r="AA25" s="8"/>
      <c r="AB25" s="8"/>
      <c r="AC25" s="8"/>
      <c r="AD25" s="8"/>
      <c r="AE25" s="8"/>
    </row>
    <row r="26" spans="1:32" s="14" customFormat="1" ht="20.100000000000001" customHeight="1" x14ac:dyDescent="0.3">
      <c r="A26" s="7"/>
      <c r="B26" s="8" t="s">
        <v>2</v>
      </c>
      <c r="C26" s="13" t="s">
        <v>6</v>
      </c>
      <c r="D26" s="8">
        <v>20</v>
      </c>
      <c r="E26" s="8"/>
      <c r="F26" s="8">
        <v>3</v>
      </c>
      <c r="G26" s="9">
        <f>VLOOKUP(D26,'[2]Beam '!$C$20:$H$26,3,0)</f>
        <v>0.8</v>
      </c>
      <c r="H26" s="8"/>
      <c r="I26" s="8"/>
      <c r="J26" s="8"/>
      <c r="K26" s="8"/>
      <c r="L26" s="8"/>
      <c r="M26" s="8"/>
      <c r="N26" s="8"/>
      <c r="O26" s="8">
        <f>(E23+1*(2/2))+1*(2.781/2)*D23</f>
        <v>15.1365</v>
      </c>
      <c r="P26" s="8">
        <f t="shared" si="7"/>
        <v>45.409500000000001</v>
      </c>
      <c r="Q26" s="8">
        <f>IF($D26='[2]Beam '!Q$44,$P26*'[2]Beam '!Q$45,0)</f>
        <v>0</v>
      </c>
      <c r="R26" s="8">
        <f>IF($D26='[2]Beam '!R$44,$P26*'[2]Beam '!R$45,0)</f>
        <v>0</v>
      </c>
      <c r="S26" s="8">
        <f>IF($D26='[2]Beam '!S$44,$P26*'[2]Beam '!S$45,0)</f>
        <v>0</v>
      </c>
      <c r="T26" s="8">
        <f>IF($D26='[2]Beam '!T$44,$P26*'[2]Beam '!T$45,0)</f>
        <v>0</v>
      </c>
      <c r="U26" s="8">
        <f>IF($D26='[2]Beam '!U$44,$P26*'[2]Beam '!U$45,0)</f>
        <v>112.03172357142857</v>
      </c>
      <c r="V26" s="8">
        <f>IF($D26='[2]Beam '!V$44,$P26*'[2]Beam '!V$45,0)</f>
        <v>0</v>
      </c>
      <c r="W26" s="8">
        <f>IF($D26='[2]Beam '!W$44,$P26*'[2]Beam '!W$45,0)</f>
        <v>0</v>
      </c>
      <c r="X26" s="8">
        <f t="shared" si="8"/>
        <v>112.03172357142857</v>
      </c>
      <c r="Y26" s="8"/>
    </row>
    <row r="27" spans="1:32" s="14" customFormat="1" ht="20.100000000000001" customHeight="1" x14ac:dyDescent="0.3">
      <c r="A27" s="7"/>
      <c r="B27" s="8" t="s">
        <v>2</v>
      </c>
      <c r="C27" s="13" t="s">
        <v>7</v>
      </c>
      <c r="D27" s="8">
        <v>25</v>
      </c>
      <c r="E27" s="8"/>
      <c r="F27" s="8">
        <v>3</v>
      </c>
      <c r="G27" s="9">
        <f>VLOOKUP(D27,'[2]Beam '!$C$20:$H$26,3,0)</f>
        <v>1</v>
      </c>
      <c r="H27" s="8"/>
      <c r="I27" s="8"/>
      <c r="J27" s="8"/>
      <c r="K27" s="8"/>
      <c r="L27" s="8"/>
      <c r="M27" s="8"/>
      <c r="N27" s="8"/>
      <c r="O27" s="8">
        <f>+E23+0.6+0.6</f>
        <v>13.946</v>
      </c>
      <c r="P27" s="8">
        <f t="shared" si="7"/>
        <v>41.838000000000001</v>
      </c>
      <c r="Q27" s="8">
        <f>IF($D27='[2]Beam '!Q$44,$P27*'[2]Beam '!Q$45,0)</f>
        <v>0</v>
      </c>
      <c r="R27" s="8">
        <f>IF($D27='[2]Beam '!R$44,$P27*'[2]Beam '!R$45,0)</f>
        <v>0</v>
      </c>
      <c r="S27" s="8">
        <f>IF($D27='[2]Beam '!S$44,$P27*'[2]Beam '!S$45,0)</f>
        <v>0</v>
      </c>
      <c r="T27" s="8">
        <f>IF($D27='[2]Beam '!T$44,$P27*'[2]Beam '!T$45,0)</f>
        <v>0</v>
      </c>
      <c r="U27" s="8">
        <f>IF($D27='[2]Beam '!U$44,$P27*'[2]Beam '!U$45,0)</f>
        <v>0</v>
      </c>
      <c r="V27" s="8">
        <f>IF($D27='[2]Beam '!V$44,$P27*'[2]Beam '!V$45,0)</f>
        <v>161.28175446428574</v>
      </c>
      <c r="W27" s="8">
        <f>IF($D27='[2]Beam '!W$44,$P27*'[2]Beam '!W$45,0)</f>
        <v>0</v>
      </c>
      <c r="X27" s="8">
        <f t="shared" si="8"/>
        <v>161.28175446428574</v>
      </c>
      <c r="Y27" s="8"/>
    </row>
    <row r="28" spans="1:32" s="14" customFormat="1" ht="20.100000000000001" customHeight="1" x14ac:dyDescent="0.25">
      <c r="A28" s="7"/>
      <c r="B28" s="8" t="s">
        <v>2</v>
      </c>
      <c r="C28" s="13" t="s">
        <v>13</v>
      </c>
      <c r="D28" s="8">
        <v>10</v>
      </c>
      <c r="E28" s="8">
        <v>0.1</v>
      </c>
      <c r="F28" s="8">
        <f>ROUND(IF(E23/3&gt;(2*G23),(E23/3)/E28,(2*G23)/E28),0)*2+1</f>
        <v>85</v>
      </c>
      <c r="G28" s="10"/>
      <c r="H28" s="8"/>
      <c r="I28" s="8"/>
      <c r="J28" s="8"/>
      <c r="K28" s="8"/>
      <c r="L28" s="8"/>
      <c r="M28" s="8"/>
      <c r="N28" s="8"/>
      <c r="O28" s="8">
        <f>(2*((G23-(2*'[2]Beam '!$D$11))+(F23-(2*'[2]Beam '!$D$11)))+(2*10*D28/1000))*D23</f>
        <v>2.8600000000000003</v>
      </c>
      <c r="P28" s="8">
        <f t="shared" si="7"/>
        <v>243.10000000000002</v>
      </c>
      <c r="Q28" s="8">
        <f>IF($D28='[2]Beam '!Q$44,$P28*'[2]Beam '!Q$45,0)</f>
        <v>0</v>
      </c>
      <c r="R28" s="8">
        <f>IF($D28='[2]Beam '!R$44,$P28*'[2]Beam '!R$45,0)</f>
        <v>149.94060714285715</v>
      </c>
      <c r="S28" s="8">
        <f>IF($D28='[2]Beam '!S$44,$P28*'[2]Beam '!S$45,0)</f>
        <v>0</v>
      </c>
      <c r="T28" s="8">
        <f>IF($D28='[2]Beam '!T$44,$P28*'[2]Beam '!T$45,0)</f>
        <v>0</v>
      </c>
      <c r="U28" s="8">
        <f>IF($D28='[2]Beam '!U$44,$P28*'[2]Beam '!U$45,0)</f>
        <v>0</v>
      </c>
      <c r="V28" s="8">
        <f>IF($D28='[2]Beam '!V$44,$P28*'[2]Beam '!V$45,0)</f>
        <v>0</v>
      </c>
      <c r="W28" s="8">
        <f>IF($D28='[2]Beam '!W$44,$P28*'[2]Beam '!W$45,0)</f>
        <v>0</v>
      </c>
      <c r="X28" s="8">
        <f t="shared" si="8"/>
        <v>149.94060714285715</v>
      </c>
      <c r="Y28" s="8"/>
    </row>
    <row r="29" spans="1:32" s="10" customFormat="1" ht="20.100000000000001" customHeight="1" x14ac:dyDescent="0.25">
      <c r="A29" s="14"/>
      <c r="B29" s="8" t="s">
        <v>2</v>
      </c>
      <c r="C29" s="13" t="s">
        <v>14</v>
      </c>
      <c r="D29" s="14">
        <f>D28</f>
        <v>10</v>
      </c>
      <c r="E29" s="14">
        <v>0.17499999999999999</v>
      </c>
      <c r="F29" s="14">
        <f>ROUND((E23-(IF(E23/3&gt;2*G23,E23/3*2,G23*2*2)))/E29,0)</f>
        <v>24</v>
      </c>
      <c r="H29" s="14"/>
      <c r="I29" s="14"/>
      <c r="J29" s="14"/>
      <c r="K29" s="14"/>
      <c r="L29" s="14"/>
      <c r="M29" s="14"/>
      <c r="N29" s="14"/>
      <c r="O29" s="8">
        <f>(2*((G23-(2*'[2]Beam '!$D$11))+(F23-(2*'[2]Beam '!$D$11)))+(2*10*D29/1000))*D23</f>
        <v>2.8600000000000003</v>
      </c>
      <c r="P29" s="8">
        <f t="shared" si="7"/>
        <v>68.640000000000015</v>
      </c>
      <c r="Q29" s="8">
        <f>IF($D29='[2]Beam '!Q$44,$P29*'[2]Beam '!Q$45,0)</f>
        <v>0</v>
      </c>
      <c r="R29" s="8">
        <f>IF($D29='[2]Beam '!R$44,$P29*'[2]Beam '!R$45,0)</f>
        <v>42.33617142857144</v>
      </c>
      <c r="S29" s="8">
        <f>IF($D29='[2]Beam '!S$44,$P29*'[2]Beam '!S$45,0)</f>
        <v>0</v>
      </c>
      <c r="T29" s="8">
        <f>IF($D29='[2]Beam '!T$44,$P29*'[2]Beam '!T$45,0)</f>
        <v>0</v>
      </c>
      <c r="U29" s="8">
        <f>IF($D29='[2]Beam '!U$44,$P29*'[2]Beam '!U$45,0)</f>
        <v>0</v>
      </c>
      <c r="V29" s="8">
        <f>IF($D29='[2]Beam '!V$44,$P29*'[2]Beam '!V$45,0)</f>
        <v>0</v>
      </c>
      <c r="W29" s="8">
        <f>IF($D29='[2]Beam '!W$44,$P29*'[2]Beam '!W$45,0)</f>
        <v>0</v>
      </c>
      <c r="X29" s="8">
        <f t="shared" si="8"/>
        <v>42.33617142857144</v>
      </c>
      <c r="Y29" s="14"/>
      <c r="Z29" s="8"/>
      <c r="AA29" s="8"/>
      <c r="AB29" s="8"/>
      <c r="AC29" s="8"/>
      <c r="AD29" s="8"/>
      <c r="AE29" s="8"/>
    </row>
    <row r="30" spans="1:32" s="10" customFormat="1" ht="21" customHeight="1" x14ac:dyDescent="0.25">
      <c r="A30" s="14"/>
      <c r="B30" s="8" t="s">
        <v>2</v>
      </c>
      <c r="C30" s="13" t="s">
        <v>15</v>
      </c>
      <c r="D30" s="14">
        <f>D28</f>
        <v>10</v>
      </c>
      <c r="E30" s="14">
        <f>+E28</f>
        <v>0.1</v>
      </c>
      <c r="F30" s="8">
        <f>ROUND(IF(E23/3&gt;(2*G23),(E23/3)/E30,(2*G23)/E30),0)*2+1</f>
        <v>85</v>
      </c>
      <c r="H30" s="14"/>
      <c r="I30" s="14"/>
      <c r="J30" s="14"/>
      <c r="K30" s="14"/>
      <c r="L30" s="14"/>
      <c r="M30" s="14"/>
      <c r="N30" s="14"/>
      <c r="O30" s="8">
        <f>(2*(((F23-'[2]Beam '!$D$11*2)/(F24-1))+(G23-'[2]Beam '!$D$11*2))+(2*10*D30/1000))*D23</f>
        <v>2.5700000000000003</v>
      </c>
      <c r="P30" s="8">
        <f t="shared" si="7"/>
        <v>218.45000000000002</v>
      </c>
      <c r="Q30" s="8">
        <f>IF($D30='[2]Beam '!Q$44,$P30*'[2]Beam '!Q$45,0)</f>
        <v>0</v>
      </c>
      <c r="R30" s="8">
        <f>IF($D30='[2]Beam '!R$44,$P30*'[2]Beam '!R$45,0)</f>
        <v>134.7368392857143</v>
      </c>
      <c r="S30" s="8">
        <f>IF($D30='[2]Beam '!S$44,$P30*'[2]Beam '!S$45,0)</f>
        <v>0</v>
      </c>
      <c r="T30" s="8">
        <f>IF($D30='[2]Beam '!T$44,$P30*'[2]Beam '!T$45,0)</f>
        <v>0</v>
      </c>
      <c r="U30" s="8">
        <f>IF($D30='[2]Beam '!U$44,$P30*'[2]Beam '!U$45,0)</f>
        <v>0</v>
      </c>
      <c r="V30" s="8">
        <f>IF($D30='[2]Beam '!V$44,$P30*'[2]Beam '!V$45,0)</f>
        <v>0</v>
      </c>
      <c r="W30" s="8">
        <f>IF($D30='[2]Beam '!W$44,$P30*'[2]Beam '!W$45,0)</f>
        <v>0</v>
      </c>
      <c r="X30" s="8">
        <f t="shared" si="8"/>
        <v>134.7368392857143</v>
      </c>
      <c r="Y30" s="14"/>
      <c r="Z30" s="8"/>
      <c r="AA30" s="8"/>
      <c r="AB30" s="8"/>
      <c r="AC30" s="8"/>
      <c r="AD30" s="8"/>
      <c r="AE30" s="8"/>
      <c r="AF30" s="8"/>
    </row>
    <row r="31" spans="1:32" s="10" customFormat="1" ht="20.100000000000001" customHeight="1" x14ac:dyDescent="0.25">
      <c r="A31" s="14"/>
      <c r="B31" s="8" t="s">
        <v>2</v>
      </c>
      <c r="C31" s="13" t="s">
        <v>16</v>
      </c>
      <c r="D31" s="14">
        <f>D29</f>
        <v>10</v>
      </c>
      <c r="E31" s="14">
        <f>+E29</f>
        <v>0.17499999999999999</v>
      </c>
      <c r="F31" s="14">
        <f>ROUND((E23-(IF(E23/3&gt;2*G23,E23/3*2,G23*2*2)))/E31,0)</f>
        <v>24</v>
      </c>
      <c r="H31" s="14"/>
      <c r="I31" s="14"/>
      <c r="J31" s="14"/>
      <c r="K31" s="14"/>
      <c r="L31" s="14"/>
      <c r="M31" s="14"/>
      <c r="N31" s="14"/>
      <c r="O31" s="8">
        <f>(2*(((F23-'[2]Beam '!$D$11*2)/(F24-1))+(G23-'[2]Beam '!$D$11*2))+(2*10*D31/1000))*D23</f>
        <v>2.5700000000000003</v>
      </c>
      <c r="P31" s="8">
        <f t="shared" si="7"/>
        <v>61.680000000000007</v>
      </c>
      <c r="Q31" s="8">
        <f>IF($D31='[2]Beam '!Q$44,$P31*'[2]Beam '!Q$45,0)</f>
        <v>0</v>
      </c>
      <c r="R31" s="8">
        <f>IF($D31='[2]Beam '!R$44,$P31*'[2]Beam '!R$45,0)</f>
        <v>38.043342857142861</v>
      </c>
      <c r="S31" s="8">
        <f>IF($D31='[2]Beam '!S$44,$P31*'[2]Beam '!S$45,0)</f>
        <v>0</v>
      </c>
      <c r="T31" s="8">
        <f>IF($D31='[2]Beam '!T$44,$P31*'[2]Beam '!T$45,0)</f>
        <v>0</v>
      </c>
      <c r="U31" s="8">
        <f>IF($D31='[2]Beam '!U$44,$P31*'[2]Beam '!U$45,0)</f>
        <v>0</v>
      </c>
      <c r="V31" s="8">
        <f>IF($D31='[2]Beam '!V$44,$P31*'[2]Beam '!V$45,0)</f>
        <v>0</v>
      </c>
      <c r="W31" s="8">
        <f>IF($D31='[2]Beam '!W$44,$P31*'[2]Beam '!W$45,0)</f>
        <v>0</v>
      </c>
      <c r="X31" s="8">
        <f t="shared" si="8"/>
        <v>38.043342857142861</v>
      </c>
      <c r="Y31" s="14"/>
      <c r="Z31" s="8"/>
      <c r="AA31" s="8"/>
      <c r="AB31" s="8"/>
      <c r="AC31" s="8"/>
      <c r="AD31" s="8"/>
      <c r="AE31" s="8"/>
    </row>
    <row r="32" spans="1:32" s="10" customFormat="1" ht="20.100000000000001" customHeight="1" x14ac:dyDescent="0.25">
      <c r="A32" s="7"/>
      <c r="B32" s="8" t="s">
        <v>2</v>
      </c>
      <c r="C32" s="13" t="s">
        <v>10</v>
      </c>
      <c r="D32" s="8">
        <f>+'[2]Beam '!$D$15</f>
        <v>25</v>
      </c>
      <c r="E32" s="8">
        <f>+'[2]Beam '!$E$15</f>
        <v>1</v>
      </c>
      <c r="F32" s="8">
        <f>ROUNDUP((3.9+E23)/E32,0)</f>
        <v>17</v>
      </c>
      <c r="G32" s="9"/>
      <c r="H32" s="9"/>
      <c r="I32" s="8"/>
      <c r="J32" s="8"/>
      <c r="K32" s="8"/>
      <c r="L32" s="8"/>
      <c r="M32" s="8"/>
      <c r="N32" s="8"/>
      <c r="O32" s="8">
        <f>F23-'[2]Beam '!$F$15</f>
        <v>0.28999999999999998</v>
      </c>
      <c r="P32" s="8">
        <f t="shared" si="7"/>
        <v>4.93</v>
      </c>
      <c r="Q32" s="8">
        <f>IF($D32='[2]Beam '!Q$44,$P32*'[2]Beam '!Q$45,0)</f>
        <v>0</v>
      </c>
      <c r="R32" s="8">
        <f>IF($D32='[2]Beam '!R$44,$P32*'[2]Beam '!R$45,0)</f>
        <v>0</v>
      </c>
      <c r="S32" s="8">
        <f>IF($D32='[2]Beam '!S$44,$P32*'[2]Beam '!S$45,0)</f>
        <v>0</v>
      </c>
      <c r="T32" s="8">
        <f>IF($D32='[2]Beam '!T$44,$P32*'[2]Beam '!T$45,0)</f>
        <v>0</v>
      </c>
      <c r="U32" s="8">
        <f>IF($D32='[2]Beam '!U$44,$P32*'[2]Beam '!U$45,0)</f>
        <v>0</v>
      </c>
      <c r="V32" s="8">
        <f>IF($D32='[2]Beam '!V$44,$P32*'[2]Beam '!V$45,0)</f>
        <v>19.004709821428573</v>
      </c>
      <c r="W32" s="8">
        <f>IF($D32='[2]Beam '!W$44,$P32*'[2]Beam '!W$45,0)</f>
        <v>0</v>
      </c>
      <c r="X32" s="8">
        <f t="shared" si="8"/>
        <v>19.004709821428573</v>
      </c>
      <c r="Y32" s="8"/>
      <c r="Z32" s="8"/>
      <c r="AA32" s="8"/>
      <c r="AB32" s="8"/>
      <c r="AC32" s="8"/>
      <c r="AD32" s="8"/>
      <c r="AE32" s="8"/>
    </row>
    <row r="33" spans="1:32" s="10" customFormat="1" ht="20.100000000000001" customHeight="1" x14ac:dyDescent="0.25">
      <c r="A33" s="8">
        <f>+A23+1</f>
        <v>4</v>
      </c>
      <c r="B33" s="8" t="s">
        <v>2</v>
      </c>
      <c r="C33" s="11" t="s">
        <v>17</v>
      </c>
      <c r="D33" s="11">
        <v>1</v>
      </c>
      <c r="E33" s="11">
        <v>2.044</v>
      </c>
      <c r="F33" s="11">
        <v>0.35</v>
      </c>
      <c r="G33" s="11">
        <v>1.1000000000000001</v>
      </c>
      <c r="H33" s="8">
        <f>G33-0.2</f>
        <v>0.90000000000000013</v>
      </c>
      <c r="I33" s="8">
        <f>E33*F33*G33*D33</f>
        <v>0.78693999999999997</v>
      </c>
      <c r="J33" s="8">
        <f>(2*(E33)*H33*D33)+(E33*F33)</f>
        <v>4.3946000000000005</v>
      </c>
      <c r="K33" s="12">
        <f>IF(E33=0.3,J33,0)</f>
        <v>0</v>
      </c>
      <c r="L33" s="12">
        <f>IF(AND(E33&gt;0.3,E33&lt;=0.75),J33,0)</f>
        <v>0</v>
      </c>
      <c r="M33" s="12">
        <f>IF(AND(E33&gt;0.75,E33&lt;=1.2),J33,0)</f>
        <v>0</v>
      </c>
      <c r="N33" s="12">
        <f>IF(E33&gt;1.2,J33,0)</f>
        <v>4.3946000000000005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>
        <f>SUM(X34:X40)/I33</f>
        <v>246.24666457825793</v>
      </c>
      <c r="Z33" s="8"/>
      <c r="AA33" s="8"/>
      <c r="AB33" s="8"/>
      <c r="AC33" s="8"/>
      <c r="AD33" s="8"/>
      <c r="AE33" s="8"/>
    </row>
    <row r="34" spans="1:32" s="10" customFormat="1" ht="20.100000000000001" customHeight="1" x14ac:dyDescent="0.25">
      <c r="A34" s="7"/>
      <c r="B34" s="8" t="s">
        <v>2</v>
      </c>
      <c r="C34" s="13" t="s">
        <v>4</v>
      </c>
      <c r="D34" s="8">
        <v>25</v>
      </c>
      <c r="E34" s="8"/>
      <c r="F34" s="8">
        <v>3</v>
      </c>
      <c r="G34" s="9">
        <f>VLOOKUP(D34,'[2]Beam '!$C$20:$H$26,3,0)</f>
        <v>1</v>
      </c>
      <c r="H34" s="9"/>
      <c r="I34" s="8"/>
      <c r="J34" s="8"/>
      <c r="K34" s="8"/>
      <c r="L34" s="8"/>
      <c r="M34" s="8"/>
      <c r="N34" s="8"/>
      <c r="O34" s="8">
        <f>(E33+1*(2/2))+1*(2.781/2)*D33</f>
        <v>4.4344999999999999</v>
      </c>
      <c r="P34" s="8">
        <f t="shared" ref="P34:P40" si="9">O34*F34</f>
        <v>13.3035</v>
      </c>
      <c r="Q34" s="8">
        <f>IF($D34='[2]Beam '!Q$44,$P34*'[2]Beam '!Q$45,0)</f>
        <v>0</v>
      </c>
      <c r="R34" s="8">
        <f>IF($D34='[2]Beam '!R$44,$P34*'[2]Beam '!R$45,0)</f>
        <v>0</v>
      </c>
      <c r="S34" s="8">
        <f>IF($D34='[2]Beam '!S$44,$P34*'[2]Beam '!S$45,0)</f>
        <v>0</v>
      </c>
      <c r="T34" s="8">
        <f>IF($D34='[2]Beam '!T$44,$P34*'[2]Beam '!T$45,0)</f>
        <v>0</v>
      </c>
      <c r="U34" s="8">
        <f>IF($D34='[2]Beam '!U$44,$P34*'[2]Beam '!U$45,0)</f>
        <v>0</v>
      </c>
      <c r="V34" s="8">
        <f>IF($D34='[2]Beam '!V$44,$P34*'[2]Beam '!V$45,0)</f>
        <v>51.283804687500009</v>
      </c>
      <c r="W34" s="8">
        <f>IF($D34='[2]Beam '!W$44,$P34*'[2]Beam '!W$45,0)</f>
        <v>0</v>
      </c>
      <c r="X34" s="8">
        <f t="shared" ref="X34:X40" si="10">SUM(Q34:W34)</f>
        <v>51.283804687500009</v>
      </c>
      <c r="Y34" s="8"/>
      <c r="Z34" s="8"/>
      <c r="AA34" s="8"/>
      <c r="AB34" s="8"/>
      <c r="AC34" s="8"/>
      <c r="AD34" s="8"/>
      <c r="AE34" s="8"/>
    </row>
    <row r="35" spans="1:32" s="10" customFormat="1" ht="20.100000000000001" customHeight="1" x14ac:dyDescent="0.25">
      <c r="A35" s="7"/>
      <c r="B35" s="8" t="s">
        <v>2</v>
      </c>
      <c r="C35" s="13" t="s">
        <v>5</v>
      </c>
      <c r="D35" s="8">
        <v>20</v>
      </c>
      <c r="E35" s="8"/>
      <c r="F35" s="8">
        <v>3</v>
      </c>
      <c r="G35" s="9">
        <f>VLOOKUP(D35,'[2]Beam '!$C$20:$H$26,3,0)</f>
        <v>0.8</v>
      </c>
      <c r="H35" s="9"/>
      <c r="I35" s="8"/>
      <c r="J35" s="8"/>
      <c r="K35" s="8"/>
      <c r="L35" s="8"/>
      <c r="M35" s="8"/>
      <c r="N35" s="8"/>
      <c r="O35" s="8">
        <f>(E33)+2*(G35)*D33</f>
        <v>3.6440000000000001</v>
      </c>
      <c r="P35" s="8">
        <f t="shared" si="9"/>
        <v>10.932</v>
      </c>
      <c r="Q35" s="8">
        <f>IF($D35='[2]Beam '!Q$44,$P35*'[2]Beam '!Q$45,0)</f>
        <v>0</v>
      </c>
      <c r="R35" s="8">
        <f>IF($D35='[2]Beam '!R$44,$P35*'[2]Beam '!R$45,0)</f>
        <v>0</v>
      </c>
      <c r="S35" s="8">
        <f>IF($D35='[2]Beam '!S$44,$P35*'[2]Beam '!S$45,0)</f>
        <v>0</v>
      </c>
      <c r="T35" s="8">
        <f>IF($D35='[2]Beam '!T$44,$P35*'[2]Beam '!T$45,0)</f>
        <v>0</v>
      </c>
      <c r="U35" s="8">
        <f>IF($D35='[2]Beam '!U$44,$P35*'[2]Beam '!U$45,0)</f>
        <v>26.970805714285714</v>
      </c>
      <c r="V35" s="8">
        <f>IF($D35='[2]Beam '!V$44,$P35*'[2]Beam '!V$45,0)</f>
        <v>0</v>
      </c>
      <c r="W35" s="8">
        <f>IF($D35='[2]Beam '!W$44,$P35*'[2]Beam '!W$45,0)</f>
        <v>0</v>
      </c>
      <c r="X35" s="8">
        <f t="shared" si="10"/>
        <v>26.970805714285714</v>
      </c>
      <c r="Y35" s="8"/>
      <c r="Z35" s="8"/>
      <c r="AA35" s="8"/>
      <c r="AB35" s="8"/>
      <c r="AC35" s="8"/>
      <c r="AD35" s="8"/>
      <c r="AE35" s="8"/>
    </row>
    <row r="36" spans="1:32" s="14" customFormat="1" ht="20.100000000000001" customHeight="1" x14ac:dyDescent="0.3">
      <c r="A36" s="7"/>
      <c r="B36" s="8" t="s">
        <v>2</v>
      </c>
      <c r="C36" s="13" t="s">
        <v>6</v>
      </c>
      <c r="D36" s="8">
        <v>20</v>
      </c>
      <c r="E36" s="8"/>
      <c r="F36" s="8">
        <v>3</v>
      </c>
      <c r="G36" s="9">
        <f>VLOOKUP(D36,'[2]Beam '!$C$20:$H$26,3,0)</f>
        <v>0.8</v>
      </c>
      <c r="H36" s="8"/>
      <c r="I36" s="8"/>
      <c r="J36" s="8"/>
      <c r="K36" s="8"/>
      <c r="L36" s="8"/>
      <c r="M36" s="8"/>
      <c r="N36" s="8"/>
      <c r="O36" s="8">
        <f>(E33+1*(2/2))+1*(2.781/2)*D33</f>
        <v>4.4344999999999999</v>
      </c>
      <c r="P36" s="8">
        <f t="shared" si="9"/>
        <v>13.3035</v>
      </c>
      <c r="Q36" s="8">
        <f>IF($D36='[2]Beam '!Q$44,$P36*'[2]Beam '!Q$45,0)</f>
        <v>0</v>
      </c>
      <c r="R36" s="8">
        <f>IF($D36='[2]Beam '!R$44,$P36*'[2]Beam '!R$45,0)</f>
        <v>0</v>
      </c>
      <c r="S36" s="8">
        <f>IF($D36='[2]Beam '!S$44,$P36*'[2]Beam '!S$45,0)</f>
        <v>0</v>
      </c>
      <c r="T36" s="8">
        <f>IF($D36='[2]Beam '!T$44,$P36*'[2]Beam '!T$45,0)</f>
        <v>0</v>
      </c>
      <c r="U36" s="8">
        <f>IF($D36='[2]Beam '!U$44,$P36*'[2]Beam '!U$45,0)</f>
        <v>32.821635000000001</v>
      </c>
      <c r="V36" s="8">
        <f>IF($D36='[2]Beam '!V$44,$P36*'[2]Beam '!V$45,0)</f>
        <v>0</v>
      </c>
      <c r="W36" s="8">
        <f>IF($D36='[2]Beam '!W$44,$P36*'[2]Beam '!W$45,0)</f>
        <v>0</v>
      </c>
      <c r="X36" s="8">
        <f t="shared" si="10"/>
        <v>32.821635000000001</v>
      </c>
      <c r="Y36" s="8"/>
    </row>
    <row r="37" spans="1:32" s="10" customFormat="1" ht="20.100000000000001" customHeight="1" x14ac:dyDescent="0.25">
      <c r="A37" s="7"/>
      <c r="B37" s="8" t="s">
        <v>2</v>
      </c>
      <c r="C37" s="13" t="s">
        <v>7</v>
      </c>
      <c r="D37" s="8">
        <v>20</v>
      </c>
      <c r="E37" s="8"/>
      <c r="F37" s="8">
        <v>3</v>
      </c>
      <c r="G37" s="9">
        <f>VLOOKUP(D37,'[2]Beam '!$C$20:$H$26,3,0)</f>
        <v>0.8</v>
      </c>
      <c r="H37" s="8"/>
      <c r="I37" s="8"/>
      <c r="J37" s="8"/>
      <c r="K37" s="8"/>
      <c r="L37" s="8"/>
      <c r="M37" s="8"/>
      <c r="N37" s="8"/>
      <c r="O37" s="8">
        <f>+E33+0.6+0.6</f>
        <v>3.2440000000000002</v>
      </c>
      <c r="P37" s="8">
        <f t="shared" si="9"/>
        <v>9.7320000000000011</v>
      </c>
      <c r="Q37" s="8">
        <f>IF($D37='[2]Beam '!Q$44,$P37*'[2]Beam '!Q$45,0)</f>
        <v>0</v>
      </c>
      <c r="R37" s="8">
        <f>IF($D37='[2]Beam '!R$44,$P37*'[2]Beam '!R$45,0)</f>
        <v>0</v>
      </c>
      <c r="S37" s="8">
        <f>IF($D37='[2]Beam '!S$44,$P37*'[2]Beam '!S$45,0)</f>
        <v>0</v>
      </c>
      <c r="T37" s="8">
        <f>IF($D37='[2]Beam '!T$44,$P37*'[2]Beam '!T$45,0)</f>
        <v>0</v>
      </c>
      <c r="U37" s="8">
        <f>IF($D37='[2]Beam '!U$44,$P37*'[2]Beam '!U$45,0)</f>
        <v>24.010234285714287</v>
      </c>
      <c r="V37" s="8">
        <f>IF($D37='[2]Beam '!V$44,$P37*'[2]Beam '!V$45,0)</f>
        <v>0</v>
      </c>
      <c r="W37" s="8">
        <f>IF($D37='[2]Beam '!W$44,$P37*'[2]Beam '!W$45,0)</f>
        <v>0</v>
      </c>
      <c r="X37" s="8">
        <f t="shared" si="10"/>
        <v>24.010234285714287</v>
      </c>
      <c r="Y37" s="8"/>
      <c r="Z37" s="8"/>
      <c r="AA37" s="8"/>
      <c r="AB37" s="8"/>
      <c r="AC37" s="8"/>
      <c r="AD37" s="8"/>
      <c r="AE37" s="8"/>
    </row>
    <row r="38" spans="1:32" s="10" customFormat="1" ht="21" customHeight="1" x14ac:dyDescent="0.25">
      <c r="A38" s="7"/>
      <c r="B38" s="8" t="s">
        <v>2</v>
      </c>
      <c r="C38" s="13" t="s">
        <v>8</v>
      </c>
      <c r="D38" s="8">
        <v>10</v>
      </c>
      <c r="E38" s="8">
        <v>0.1</v>
      </c>
      <c r="F38" s="8">
        <f>ROUNDUP(E33/E38,0)</f>
        <v>21</v>
      </c>
      <c r="H38" s="8"/>
      <c r="I38" s="8"/>
      <c r="J38" s="8"/>
      <c r="K38" s="8"/>
      <c r="L38" s="8"/>
      <c r="M38" s="8"/>
      <c r="N38" s="8"/>
      <c r="O38" s="8">
        <f>(2*((G33-(2*'[2]Beam '!$D$11))+(F33-(2*'[2]Beam '!$D$11)))+(2*10*D38/1000))*D33</f>
        <v>2.8600000000000003</v>
      </c>
      <c r="P38" s="8">
        <f t="shared" si="9"/>
        <v>60.060000000000009</v>
      </c>
      <c r="Q38" s="8">
        <f>IF($D38='[2]Beam '!Q$44,$P38*'[2]Beam '!Q$45,0)</f>
        <v>0</v>
      </c>
      <c r="R38" s="8">
        <f>IF($D38='[2]Beam '!R$44,$P38*'[2]Beam '!R$45,0)</f>
        <v>37.044150000000002</v>
      </c>
      <c r="S38" s="8">
        <f>IF($D38='[2]Beam '!S$44,$P38*'[2]Beam '!S$45,0)</f>
        <v>0</v>
      </c>
      <c r="T38" s="8">
        <f>IF($D38='[2]Beam '!T$44,$P38*'[2]Beam '!T$45,0)</f>
        <v>0</v>
      </c>
      <c r="U38" s="8">
        <f>IF($D38='[2]Beam '!U$44,$P38*'[2]Beam '!U$45,0)</f>
        <v>0</v>
      </c>
      <c r="V38" s="8">
        <f>IF($D38='[2]Beam '!V$44,$P38*'[2]Beam '!V$45,0)</f>
        <v>0</v>
      </c>
      <c r="W38" s="8">
        <f>IF($D38='[2]Beam '!W$44,$P38*'[2]Beam '!W$45,0)</f>
        <v>0</v>
      </c>
      <c r="X38" s="8">
        <f t="shared" si="10"/>
        <v>37.044150000000002</v>
      </c>
      <c r="Y38" s="8"/>
      <c r="Z38" s="8"/>
      <c r="AA38" s="8"/>
      <c r="AB38" s="8"/>
      <c r="AC38" s="8"/>
      <c r="AD38" s="8"/>
      <c r="AE38" s="8"/>
      <c r="AF38" s="8"/>
    </row>
    <row r="39" spans="1:32" s="10" customFormat="1" ht="20.100000000000001" customHeight="1" x14ac:dyDescent="0.25">
      <c r="A39" s="14"/>
      <c r="B39" s="8" t="s">
        <v>2</v>
      </c>
      <c r="C39" s="13" t="s">
        <v>9</v>
      </c>
      <c r="D39" s="8">
        <f>+D38</f>
        <v>10</v>
      </c>
      <c r="E39" s="14">
        <f>+E38</f>
        <v>0.1</v>
      </c>
      <c r="F39" s="8">
        <f>ROUNDUP(E33/E39,0)</f>
        <v>21</v>
      </c>
      <c r="H39" s="14"/>
      <c r="I39" s="14"/>
      <c r="J39" s="14"/>
      <c r="K39" s="14"/>
      <c r="L39" s="14"/>
      <c r="M39" s="14"/>
      <c r="N39" s="14"/>
      <c r="O39" s="8">
        <f>((((G33-(2*'[2]Beam '!$D$11))+(2*10*D39/1000))*D33))*1</f>
        <v>1.24</v>
      </c>
      <c r="P39" s="8">
        <f t="shared" si="9"/>
        <v>26.04</v>
      </c>
      <c r="Q39" s="8">
        <f>IF($D39='[2]Beam '!Q$44,$P39*'[2]Beam '!Q$45,0)</f>
        <v>0</v>
      </c>
      <c r="R39" s="8">
        <f>IF($D39='[2]Beam '!R$44,$P39*'[2]Beam '!R$45,0)</f>
        <v>16.0611</v>
      </c>
      <c r="S39" s="8">
        <f>IF($D39='[2]Beam '!S$44,$P39*'[2]Beam '!S$45,0)</f>
        <v>0</v>
      </c>
      <c r="T39" s="8">
        <f>IF($D39='[2]Beam '!T$44,$P39*'[2]Beam '!T$45,0)</f>
        <v>0</v>
      </c>
      <c r="U39" s="8">
        <f>IF($D39='[2]Beam '!U$44,$P39*'[2]Beam '!U$45,0)</f>
        <v>0</v>
      </c>
      <c r="V39" s="8">
        <f>IF($D39='[2]Beam '!V$44,$P39*'[2]Beam '!V$45,0)</f>
        <v>0</v>
      </c>
      <c r="W39" s="8">
        <f>IF($D39='[2]Beam '!W$44,$P39*'[2]Beam '!W$45,0)</f>
        <v>0</v>
      </c>
      <c r="X39" s="8">
        <f t="shared" si="10"/>
        <v>16.0611</v>
      </c>
      <c r="Y39" s="14"/>
      <c r="Z39" s="8"/>
      <c r="AA39" s="8"/>
      <c r="AB39" s="8"/>
      <c r="AC39" s="8"/>
      <c r="AD39" s="8"/>
      <c r="AE39" s="8"/>
    </row>
    <row r="40" spans="1:32" s="10" customFormat="1" ht="20.100000000000001" customHeight="1" x14ac:dyDescent="0.25">
      <c r="A40" s="7"/>
      <c r="B40" s="8" t="s">
        <v>2</v>
      </c>
      <c r="C40" s="13" t="s">
        <v>10</v>
      </c>
      <c r="D40" s="8">
        <f>+'[2]Beam '!$D$15</f>
        <v>25</v>
      </c>
      <c r="E40" s="8">
        <f>+'[2]Beam '!$E$15</f>
        <v>1</v>
      </c>
      <c r="F40" s="8">
        <f>ROUNDUP((E33+E33)/E40,0)</f>
        <v>5</v>
      </c>
      <c r="G40" s="9"/>
      <c r="H40" s="9"/>
      <c r="I40" s="8"/>
      <c r="J40" s="8"/>
      <c r="K40" s="8"/>
      <c r="L40" s="8"/>
      <c r="M40" s="8"/>
      <c r="N40" s="8"/>
      <c r="O40" s="8">
        <f>F33-'[2]Beam '!$F$15</f>
        <v>0.28999999999999998</v>
      </c>
      <c r="P40" s="8">
        <f t="shared" si="9"/>
        <v>1.45</v>
      </c>
      <c r="Q40" s="8">
        <f>IF($D40='[2]Beam '!Q$44,$P40*'[2]Beam '!Q$45,0)</f>
        <v>0</v>
      </c>
      <c r="R40" s="8">
        <f>IF($D40='[2]Beam '!R$44,$P40*'[2]Beam '!R$45,0)</f>
        <v>0</v>
      </c>
      <c r="S40" s="8">
        <f>IF($D40='[2]Beam '!S$44,$P40*'[2]Beam '!S$45,0)</f>
        <v>0</v>
      </c>
      <c r="T40" s="8">
        <f>IF($D40='[2]Beam '!T$44,$P40*'[2]Beam '!T$45,0)</f>
        <v>0</v>
      </c>
      <c r="U40" s="8">
        <f>IF($D40='[2]Beam '!U$44,$P40*'[2]Beam '!U$45,0)</f>
        <v>0</v>
      </c>
      <c r="V40" s="8">
        <f>IF($D40='[2]Beam '!V$44,$P40*'[2]Beam '!V$45,0)</f>
        <v>5.5896205357142863</v>
      </c>
      <c r="W40" s="8">
        <f>IF($D40='[2]Beam '!W$44,$P40*'[2]Beam '!W$45,0)</f>
        <v>0</v>
      </c>
      <c r="X40" s="8">
        <f t="shared" si="10"/>
        <v>5.5896205357142863</v>
      </c>
      <c r="Y40" s="8"/>
      <c r="Z40" s="8"/>
      <c r="AA40" s="8"/>
      <c r="AB40" s="8"/>
      <c r="AC40" s="8"/>
      <c r="AD40" s="8"/>
      <c r="AE40" s="8"/>
    </row>
    <row r="41" spans="1:32" s="10" customFormat="1" ht="20.100000000000001" customHeight="1" x14ac:dyDescent="0.25">
      <c r="A41" s="8">
        <v>1</v>
      </c>
      <c r="B41" s="8" t="s">
        <v>2</v>
      </c>
      <c r="C41" s="11" t="s">
        <v>18</v>
      </c>
      <c r="D41" s="11">
        <v>1</v>
      </c>
      <c r="E41" s="11">
        <v>1.7230000000000001</v>
      </c>
      <c r="F41" s="11">
        <v>0.35</v>
      </c>
      <c r="G41" s="11">
        <v>1.1000000000000001</v>
      </c>
      <c r="H41" s="8">
        <f>G41-0.2</f>
        <v>0.90000000000000013</v>
      </c>
      <c r="I41" s="8">
        <f>E41*F41*G41*D41</f>
        <v>0.66335500000000003</v>
      </c>
      <c r="J41" s="8">
        <f>(2*(E41)*H41*D41)+(E41*F41)</f>
        <v>3.7044500000000009</v>
      </c>
      <c r="K41" s="12">
        <f>IF(E41=0.3,J41,0)</f>
        <v>0</v>
      </c>
      <c r="L41" s="12">
        <f>IF(AND(E41&gt;0.3,E41&lt;=0.75),J41,0)</f>
        <v>0</v>
      </c>
      <c r="M41" s="12">
        <f>IF(AND(E41&gt;0.75,E41&lt;=1.2),J41,0)</f>
        <v>0</v>
      </c>
      <c r="N41" s="12">
        <f>IF(E41&gt;1.2,J41,0)</f>
        <v>3.7044500000000009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>
        <f>SUM(X42:X48)/I41</f>
        <v>251.49553608442798</v>
      </c>
      <c r="Z41" s="8"/>
      <c r="AA41" s="8"/>
      <c r="AB41" s="8"/>
      <c r="AC41" s="8"/>
      <c r="AD41" s="8"/>
      <c r="AE41" s="8"/>
    </row>
    <row r="42" spans="1:32" s="10" customFormat="1" ht="20.100000000000001" customHeight="1" x14ac:dyDescent="0.25">
      <c r="A42" s="7"/>
      <c r="B42" s="8" t="s">
        <v>2</v>
      </c>
      <c r="C42" s="13" t="s">
        <v>4</v>
      </c>
      <c r="D42" s="8">
        <v>25</v>
      </c>
      <c r="E42" s="8"/>
      <c r="F42" s="8">
        <v>3</v>
      </c>
      <c r="G42" s="9">
        <f>VLOOKUP(D42,'[2]Beam '!$C$20:$H$26,3,0)</f>
        <v>1</v>
      </c>
      <c r="H42" s="9"/>
      <c r="I42" s="8"/>
      <c r="J42" s="8"/>
      <c r="K42" s="8"/>
      <c r="L42" s="8"/>
      <c r="M42" s="8"/>
      <c r="N42" s="8"/>
      <c r="O42" s="8">
        <f>(E41+2*(2/2))*D41</f>
        <v>3.7229999999999999</v>
      </c>
      <c r="P42" s="8">
        <f t="shared" ref="P42:P48" si="11">O42*F42</f>
        <v>11.169</v>
      </c>
      <c r="Q42" s="8">
        <f>IF($D42='[2]Beam '!Q$44,$P42*'[2]Beam '!Q$45,0)</f>
        <v>0</v>
      </c>
      <c r="R42" s="8">
        <f>IF($D42='[2]Beam '!R$44,$P42*'[2]Beam '!R$45,0)</f>
        <v>0</v>
      </c>
      <c r="S42" s="8">
        <f>IF($D42='[2]Beam '!S$44,$P42*'[2]Beam '!S$45,0)</f>
        <v>0</v>
      </c>
      <c r="T42" s="8">
        <f>IF($D42='[2]Beam '!T$44,$P42*'[2]Beam '!T$45,0)</f>
        <v>0</v>
      </c>
      <c r="U42" s="8">
        <f>IF($D42='[2]Beam '!U$44,$P42*'[2]Beam '!U$45,0)</f>
        <v>0</v>
      </c>
      <c r="V42" s="8">
        <f>IF($D42='[2]Beam '!V$44,$P42*'[2]Beam '!V$45,0)</f>
        <v>43.055497767857148</v>
      </c>
      <c r="W42" s="8">
        <f>IF($D42='[2]Beam '!W$44,$P42*'[2]Beam '!W$45,0)</f>
        <v>0</v>
      </c>
      <c r="X42" s="8">
        <f t="shared" ref="X42:X48" si="12">SUM(Q42:W42)</f>
        <v>43.055497767857148</v>
      </c>
      <c r="Y42" s="8"/>
      <c r="Z42" s="8"/>
      <c r="AA42" s="8"/>
      <c r="AB42" s="8"/>
      <c r="AC42" s="8"/>
      <c r="AD42" s="8"/>
      <c r="AE42" s="8"/>
    </row>
    <row r="43" spans="1:32" s="10" customFormat="1" ht="20.100000000000001" customHeight="1" x14ac:dyDescent="0.25">
      <c r="A43" s="7"/>
      <c r="B43" s="8" t="s">
        <v>2</v>
      </c>
      <c r="C43" s="13" t="s">
        <v>5</v>
      </c>
      <c r="D43" s="8">
        <v>20</v>
      </c>
      <c r="E43" s="8"/>
      <c r="F43" s="8">
        <v>3</v>
      </c>
      <c r="G43" s="9">
        <f>VLOOKUP(D43,'[2]Beam '!$C$20:$H$26,3,0)</f>
        <v>0.8</v>
      </c>
      <c r="H43" s="9"/>
      <c r="I43" s="8"/>
      <c r="J43" s="8"/>
      <c r="K43" s="8"/>
      <c r="L43" s="8"/>
      <c r="M43" s="8"/>
      <c r="N43" s="8"/>
      <c r="O43" s="8">
        <f>(E41)+2*(G43)*D41</f>
        <v>3.3230000000000004</v>
      </c>
      <c r="P43" s="8">
        <f t="shared" si="11"/>
        <v>9.9690000000000012</v>
      </c>
      <c r="Q43" s="8">
        <f>IF($D43='[2]Beam '!Q$44,$P43*'[2]Beam '!Q$45,0)</f>
        <v>0</v>
      </c>
      <c r="R43" s="8">
        <f>IF($D43='[2]Beam '!R$44,$P43*'[2]Beam '!R$45,0)</f>
        <v>0</v>
      </c>
      <c r="S43" s="8">
        <f>IF($D43='[2]Beam '!S$44,$P43*'[2]Beam '!S$45,0)</f>
        <v>0</v>
      </c>
      <c r="T43" s="8">
        <f>IF($D43='[2]Beam '!T$44,$P43*'[2]Beam '!T$45,0)</f>
        <v>0</v>
      </c>
      <c r="U43" s="8">
        <f>IF($D43='[2]Beam '!U$44,$P43*'[2]Beam '!U$45,0)</f>
        <v>24.594947142857144</v>
      </c>
      <c r="V43" s="8">
        <f>IF($D43='[2]Beam '!V$44,$P43*'[2]Beam '!V$45,0)</f>
        <v>0</v>
      </c>
      <c r="W43" s="8">
        <f>IF($D43='[2]Beam '!W$44,$P43*'[2]Beam '!W$45,0)</f>
        <v>0</v>
      </c>
      <c r="X43" s="8">
        <f t="shared" si="12"/>
        <v>24.594947142857144</v>
      </c>
      <c r="Y43" s="8"/>
      <c r="Z43" s="8"/>
      <c r="AA43" s="8"/>
      <c r="AB43" s="8"/>
      <c r="AC43" s="8"/>
      <c r="AD43" s="8"/>
      <c r="AE43" s="8"/>
    </row>
    <row r="44" spans="1:32" s="14" customFormat="1" ht="20.100000000000001" customHeight="1" x14ac:dyDescent="0.3">
      <c r="A44" s="7"/>
      <c r="B44" s="8" t="s">
        <v>2</v>
      </c>
      <c r="C44" s="13" t="s">
        <v>6</v>
      </c>
      <c r="D44" s="8">
        <v>20</v>
      </c>
      <c r="E44" s="8"/>
      <c r="F44" s="8">
        <v>3</v>
      </c>
      <c r="G44" s="9">
        <f>VLOOKUP(D44,'[2]Beam '!$C$20:$H$26,3,0)</f>
        <v>0.8</v>
      </c>
      <c r="H44" s="8"/>
      <c r="I44" s="8"/>
      <c r="J44" s="8"/>
      <c r="K44" s="8"/>
      <c r="L44" s="8"/>
      <c r="M44" s="8"/>
      <c r="N44" s="8"/>
      <c r="O44" s="8">
        <f>(E41+2*(2/2))*D41</f>
        <v>3.7229999999999999</v>
      </c>
      <c r="P44" s="8">
        <f t="shared" si="11"/>
        <v>11.169</v>
      </c>
      <c r="Q44" s="8">
        <f>IF($D44='[2]Beam '!Q$44,$P44*'[2]Beam '!Q$45,0)</f>
        <v>0</v>
      </c>
      <c r="R44" s="8">
        <f>IF($D44='[2]Beam '!R$44,$P44*'[2]Beam '!R$45,0)</f>
        <v>0</v>
      </c>
      <c r="S44" s="8">
        <f>IF($D44='[2]Beam '!S$44,$P44*'[2]Beam '!S$45,0)</f>
        <v>0</v>
      </c>
      <c r="T44" s="8">
        <f>IF($D44='[2]Beam '!T$44,$P44*'[2]Beam '!T$45,0)</f>
        <v>0</v>
      </c>
      <c r="U44" s="8">
        <f>IF($D44='[2]Beam '!U$44,$P44*'[2]Beam '!U$45,0)</f>
        <v>27.555518571428571</v>
      </c>
      <c r="V44" s="8">
        <f>IF($D44='[2]Beam '!V$44,$P44*'[2]Beam '!V$45,0)</f>
        <v>0</v>
      </c>
      <c r="W44" s="8">
        <f>IF($D44='[2]Beam '!W$44,$P44*'[2]Beam '!W$45,0)</f>
        <v>0</v>
      </c>
      <c r="X44" s="8">
        <f t="shared" si="12"/>
        <v>27.555518571428571</v>
      </c>
      <c r="Y44" s="8"/>
    </row>
    <row r="45" spans="1:32" s="10" customFormat="1" ht="20.100000000000001" customHeight="1" x14ac:dyDescent="0.25">
      <c r="A45" s="7"/>
      <c r="B45" s="8" t="s">
        <v>2</v>
      </c>
      <c r="C45" s="13" t="s">
        <v>7</v>
      </c>
      <c r="D45" s="8">
        <v>20</v>
      </c>
      <c r="E45" s="8"/>
      <c r="F45" s="8">
        <v>3</v>
      </c>
      <c r="G45" s="9">
        <f>VLOOKUP(D45,'[2]Beam '!$C$20:$H$26,3,0)</f>
        <v>0.8</v>
      </c>
      <c r="H45" s="8"/>
      <c r="I45" s="8"/>
      <c r="J45" s="8"/>
      <c r="K45" s="8"/>
      <c r="L45" s="8"/>
      <c r="M45" s="8"/>
      <c r="N45" s="8"/>
      <c r="O45" s="8">
        <f>+E41+0.6+0.6</f>
        <v>2.923</v>
      </c>
      <c r="P45" s="8">
        <f t="shared" si="11"/>
        <v>8.7690000000000001</v>
      </c>
      <c r="Q45" s="8">
        <f>IF($D45='[2]Beam '!Q$44,$P45*'[2]Beam '!Q$45,0)</f>
        <v>0</v>
      </c>
      <c r="R45" s="8">
        <f>IF($D45='[2]Beam '!R$44,$P45*'[2]Beam '!R$45,0)</f>
        <v>0</v>
      </c>
      <c r="S45" s="8">
        <f>IF($D45='[2]Beam '!S$44,$P45*'[2]Beam '!S$45,0)</f>
        <v>0</v>
      </c>
      <c r="T45" s="8">
        <f>IF($D45='[2]Beam '!T$44,$P45*'[2]Beam '!T$45,0)</f>
        <v>0</v>
      </c>
      <c r="U45" s="8">
        <f>IF($D45='[2]Beam '!U$44,$P45*'[2]Beam '!U$45,0)</f>
        <v>21.634375714285714</v>
      </c>
      <c r="V45" s="8">
        <f>IF($D45='[2]Beam '!V$44,$P45*'[2]Beam '!V$45,0)</f>
        <v>0</v>
      </c>
      <c r="W45" s="8">
        <f>IF($D45='[2]Beam '!W$44,$P45*'[2]Beam '!W$45,0)</f>
        <v>0</v>
      </c>
      <c r="X45" s="8">
        <f t="shared" si="12"/>
        <v>21.634375714285714</v>
      </c>
      <c r="Y45" s="8"/>
      <c r="Z45" s="8"/>
      <c r="AA45" s="8"/>
      <c r="AB45" s="8"/>
      <c r="AC45" s="8"/>
      <c r="AD45" s="8"/>
      <c r="AE45" s="8"/>
    </row>
    <row r="46" spans="1:32" s="10" customFormat="1" ht="21" customHeight="1" x14ac:dyDescent="0.25">
      <c r="A46" s="7"/>
      <c r="B46" s="8" t="s">
        <v>2</v>
      </c>
      <c r="C46" s="13" t="s">
        <v>8</v>
      </c>
      <c r="D46" s="8">
        <v>10</v>
      </c>
      <c r="E46" s="8">
        <v>0.1</v>
      </c>
      <c r="F46" s="8">
        <f>ROUNDUP(E41/E46,0)</f>
        <v>18</v>
      </c>
      <c r="H46" s="8"/>
      <c r="I46" s="8"/>
      <c r="J46" s="8"/>
      <c r="K46" s="8"/>
      <c r="L46" s="8"/>
      <c r="M46" s="8"/>
      <c r="N46" s="8"/>
      <c r="O46" s="8">
        <f>(2*((G41-(2*'[2]Beam '!$D$11))+(F41-(2*'[2]Beam '!$D$11)))+(2*10*D46/1000))*D41</f>
        <v>2.8600000000000003</v>
      </c>
      <c r="P46" s="8">
        <f t="shared" si="11"/>
        <v>51.480000000000004</v>
      </c>
      <c r="Q46" s="8">
        <f>IF($D46='[2]Beam '!Q$44,$P46*'[2]Beam '!Q$45,0)</f>
        <v>0</v>
      </c>
      <c r="R46" s="8">
        <f>IF($D46='[2]Beam '!R$44,$P46*'[2]Beam '!R$45,0)</f>
        <v>31.752128571428575</v>
      </c>
      <c r="S46" s="8">
        <f>IF($D46='[2]Beam '!S$44,$P46*'[2]Beam '!S$45,0)</f>
        <v>0</v>
      </c>
      <c r="T46" s="8">
        <f>IF($D46='[2]Beam '!T$44,$P46*'[2]Beam '!T$45,0)</f>
        <v>0</v>
      </c>
      <c r="U46" s="8">
        <f>IF($D46='[2]Beam '!U$44,$P46*'[2]Beam '!U$45,0)</f>
        <v>0</v>
      </c>
      <c r="V46" s="8">
        <f>IF($D46='[2]Beam '!V$44,$P46*'[2]Beam '!V$45,0)</f>
        <v>0</v>
      </c>
      <c r="W46" s="8">
        <f>IF($D46='[2]Beam '!W$44,$P46*'[2]Beam '!W$45,0)</f>
        <v>0</v>
      </c>
      <c r="X46" s="8">
        <f t="shared" si="12"/>
        <v>31.752128571428575</v>
      </c>
      <c r="Y46" s="8"/>
      <c r="Z46" s="8"/>
      <c r="AA46" s="8"/>
      <c r="AB46" s="8"/>
      <c r="AC46" s="8"/>
      <c r="AD46" s="8"/>
      <c r="AE46" s="8"/>
      <c r="AF46" s="8"/>
    </row>
    <row r="47" spans="1:32" s="10" customFormat="1" ht="20.100000000000001" customHeight="1" x14ac:dyDescent="0.25">
      <c r="A47" s="14"/>
      <c r="B47" s="8" t="s">
        <v>2</v>
      </c>
      <c r="C47" s="13" t="s">
        <v>9</v>
      </c>
      <c r="D47" s="8">
        <f>+D46</f>
        <v>10</v>
      </c>
      <c r="E47" s="14">
        <f>+E46</f>
        <v>0.1</v>
      </c>
      <c r="F47" s="8">
        <f>ROUNDUP(E41/E47,0)</f>
        <v>18</v>
      </c>
      <c r="H47" s="14"/>
      <c r="I47" s="14"/>
      <c r="J47" s="14"/>
      <c r="K47" s="14"/>
      <c r="L47" s="14"/>
      <c r="M47" s="14"/>
      <c r="N47" s="14"/>
      <c r="O47" s="8">
        <f>((((G41-(2*'[2]Beam '!$D$11))+(2*10*D47/1000))*D41))*1</f>
        <v>1.24</v>
      </c>
      <c r="P47" s="8">
        <f t="shared" si="11"/>
        <v>22.32</v>
      </c>
      <c r="Q47" s="8">
        <f>IF($D47='[2]Beam '!Q$44,$P47*'[2]Beam '!Q$45,0)</f>
        <v>0</v>
      </c>
      <c r="R47" s="8">
        <f>IF($D47='[2]Beam '!R$44,$P47*'[2]Beam '!R$45,0)</f>
        <v>13.766657142857143</v>
      </c>
      <c r="S47" s="8">
        <f>IF($D47='[2]Beam '!S$44,$P47*'[2]Beam '!S$45,0)</f>
        <v>0</v>
      </c>
      <c r="T47" s="8">
        <f>IF($D47='[2]Beam '!T$44,$P47*'[2]Beam '!T$45,0)</f>
        <v>0</v>
      </c>
      <c r="U47" s="8">
        <f>IF($D47='[2]Beam '!U$44,$P47*'[2]Beam '!U$45,0)</f>
        <v>0</v>
      </c>
      <c r="V47" s="8">
        <f>IF($D47='[2]Beam '!V$44,$P47*'[2]Beam '!V$45,0)</f>
        <v>0</v>
      </c>
      <c r="W47" s="8">
        <f>IF($D47='[2]Beam '!W$44,$P47*'[2]Beam '!W$45,0)</f>
        <v>0</v>
      </c>
      <c r="X47" s="8">
        <f t="shared" si="12"/>
        <v>13.766657142857143</v>
      </c>
      <c r="Y47" s="14"/>
      <c r="Z47" s="8"/>
      <c r="AA47" s="8"/>
      <c r="AB47" s="8"/>
      <c r="AC47" s="8"/>
      <c r="AD47" s="8"/>
      <c r="AE47" s="8"/>
    </row>
    <row r="48" spans="1:32" s="10" customFormat="1" ht="20.100000000000001" customHeight="1" x14ac:dyDescent="0.25">
      <c r="A48" s="7"/>
      <c r="B48" s="8" t="s">
        <v>2</v>
      </c>
      <c r="C48" s="13" t="s">
        <v>10</v>
      </c>
      <c r="D48" s="8">
        <f>+'[2]Beam '!$D$15</f>
        <v>25</v>
      </c>
      <c r="E48" s="8">
        <f>+'[2]Beam '!$E$15</f>
        <v>1</v>
      </c>
      <c r="F48" s="8">
        <f>ROUNDUP((E41+E41)/E48,0)</f>
        <v>4</v>
      </c>
      <c r="G48" s="9"/>
      <c r="H48" s="9"/>
      <c r="I48" s="8"/>
      <c r="J48" s="8"/>
      <c r="K48" s="8"/>
      <c r="L48" s="8"/>
      <c r="M48" s="8"/>
      <c r="N48" s="8"/>
      <c r="O48" s="8">
        <f>F41-'[2]Beam '!$F$15</f>
        <v>0.28999999999999998</v>
      </c>
      <c r="P48" s="8">
        <f t="shared" si="11"/>
        <v>1.1599999999999999</v>
      </c>
      <c r="Q48" s="8">
        <f>IF($D48='[2]Beam '!Q$44,$P48*'[2]Beam '!Q$45,0)</f>
        <v>0</v>
      </c>
      <c r="R48" s="8">
        <f>IF($D48='[2]Beam '!R$44,$P48*'[2]Beam '!R$45,0)</f>
        <v>0</v>
      </c>
      <c r="S48" s="8">
        <f>IF($D48='[2]Beam '!S$44,$P48*'[2]Beam '!S$45,0)</f>
        <v>0</v>
      </c>
      <c r="T48" s="8">
        <f>IF($D48='[2]Beam '!T$44,$P48*'[2]Beam '!T$45,0)</f>
        <v>0</v>
      </c>
      <c r="U48" s="8">
        <f>IF($D48='[2]Beam '!U$44,$P48*'[2]Beam '!U$45,0)</f>
        <v>0</v>
      </c>
      <c r="V48" s="8">
        <f>IF($D48='[2]Beam '!V$44,$P48*'[2]Beam '!V$45,0)</f>
        <v>4.4716964285714287</v>
      </c>
      <c r="W48" s="8">
        <f>IF($D48='[2]Beam '!W$44,$P48*'[2]Beam '!W$45,0)</f>
        <v>0</v>
      </c>
      <c r="X48" s="8">
        <f t="shared" si="12"/>
        <v>4.4716964285714287</v>
      </c>
      <c r="Y48" s="8"/>
      <c r="Z48" s="8"/>
      <c r="AA48" s="8"/>
      <c r="AB48" s="8"/>
      <c r="AC48" s="8"/>
      <c r="AD48" s="8"/>
      <c r="AE48" s="8"/>
    </row>
    <row r="49" spans="1:32" s="10" customFormat="1" ht="20.100000000000001" customHeight="1" x14ac:dyDescent="0.25">
      <c r="A49" s="8">
        <v>1</v>
      </c>
      <c r="B49" s="8" t="s">
        <v>2</v>
      </c>
      <c r="C49" s="11" t="s">
        <v>19</v>
      </c>
      <c r="D49" s="11">
        <v>1</v>
      </c>
      <c r="E49" s="11">
        <v>3</v>
      </c>
      <c r="F49" s="11">
        <v>0.35</v>
      </c>
      <c r="G49" s="11">
        <v>1.1000000000000001</v>
      </c>
      <c r="H49" s="8">
        <f>G49-0.2</f>
        <v>0.90000000000000013</v>
      </c>
      <c r="I49" s="8">
        <f>E49*F49*G49*D49</f>
        <v>1.1549999999999998</v>
      </c>
      <c r="J49" s="8">
        <f>(2*(E49)*H49*D49)+(E49*F49)</f>
        <v>6.45</v>
      </c>
      <c r="K49" s="12">
        <f>IF(E49=0.3,J49,0)</f>
        <v>0</v>
      </c>
      <c r="L49" s="12">
        <f>IF(AND(E49&gt;0.3,E49&lt;=0.75),J49,0)</f>
        <v>0</v>
      </c>
      <c r="M49" s="12">
        <f>IF(AND(E49&gt;0.75,E49&lt;=1.2),J49,0)</f>
        <v>0</v>
      </c>
      <c r="N49" s="12">
        <f>IF(E49&gt;1.2,J49,0)</f>
        <v>6.45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>
        <f>SUM(X50:X56)/I49</f>
        <v>213.83239795918371</v>
      </c>
      <c r="Z49" s="8"/>
      <c r="AA49" s="8"/>
      <c r="AB49" s="8"/>
      <c r="AC49" s="8"/>
      <c r="AD49" s="8"/>
      <c r="AE49" s="8"/>
    </row>
    <row r="50" spans="1:32" s="10" customFormat="1" ht="20.100000000000001" customHeight="1" x14ac:dyDescent="0.25">
      <c r="A50" s="7"/>
      <c r="B50" s="8" t="s">
        <v>2</v>
      </c>
      <c r="C50" s="13" t="s">
        <v>4</v>
      </c>
      <c r="D50" s="8">
        <v>25</v>
      </c>
      <c r="E50" s="8"/>
      <c r="F50" s="8">
        <v>3</v>
      </c>
      <c r="G50" s="9">
        <f>VLOOKUP(D50,'[2]Beam '!$C$20:$H$26,3,0)</f>
        <v>1</v>
      </c>
      <c r="H50" s="9"/>
      <c r="I50" s="8"/>
      <c r="J50" s="8"/>
      <c r="K50" s="8"/>
      <c r="L50" s="8"/>
      <c r="M50" s="8"/>
      <c r="N50" s="8"/>
      <c r="O50" s="8">
        <f>(E49+2*(2/2))*D49</f>
        <v>5</v>
      </c>
      <c r="P50" s="8">
        <f t="shared" ref="P50:P56" si="13">O50*F50</f>
        <v>15</v>
      </c>
      <c r="Q50" s="8">
        <f>IF($D50='[2]Beam '!Q$44,$P50*'[2]Beam '!Q$45,0)</f>
        <v>0</v>
      </c>
      <c r="R50" s="8">
        <f>IF($D50='[2]Beam '!R$44,$P50*'[2]Beam '!R$45,0)</f>
        <v>0</v>
      </c>
      <c r="S50" s="8">
        <f>IF($D50='[2]Beam '!S$44,$P50*'[2]Beam '!S$45,0)</f>
        <v>0</v>
      </c>
      <c r="T50" s="8">
        <f>IF($D50='[2]Beam '!T$44,$P50*'[2]Beam '!T$45,0)</f>
        <v>0</v>
      </c>
      <c r="U50" s="8">
        <f>IF($D50='[2]Beam '!U$44,$P50*'[2]Beam '!U$45,0)</f>
        <v>0</v>
      </c>
      <c r="V50" s="8">
        <f>IF($D50='[2]Beam '!V$44,$P50*'[2]Beam '!V$45,0)</f>
        <v>57.823660714285722</v>
      </c>
      <c r="W50" s="8">
        <f>IF($D50='[2]Beam '!W$44,$P50*'[2]Beam '!W$45,0)</f>
        <v>0</v>
      </c>
      <c r="X50" s="8">
        <f t="shared" ref="X50:X56" si="14">SUM(Q50:W50)</f>
        <v>57.823660714285722</v>
      </c>
      <c r="Y50" s="8"/>
      <c r="Z50" s="8"/>
      <c r="AA50" s="8"/>
      <c r="AB50" s="8"/>
      <c r="AC50" s="8"/>
      <c r="AD50" s="8"/>
      <c r="AE50" s="8"/>
    </row>
    <row r="51" spans="1:32" s="10" customFormat="1" ht="20.100000000000001" customHeight="1" x14ac:dyDescent="0.25">
      <c r="A51" s="7"/>
      <c r="B51" s="8" t="s">
        <v>2</v>
      </c>
      <c r="C51" s="13" t="s">
        <v>5</v>
      </c>
      <c r="D51" s="8">
        <v>20</v>
      </c>
      <c r="E51" s="8"/>
      <c r="F51" s="8">
        <v>3</v>
      </c>
      <c r="G51" s="9">
        <f>VLOOKUP(D51,'[2]Beam '!$C$20:$H$26,3,0)</f>
        <v>0.8</v>
      </c>
      <c r="H51" s="9"/>
      <c r="I51" s="8"/>
      <c r="J51" s="8"/>
      <c r="K51" s="8"/>
      <c r="L51" s="8"/>
      <c r="M51" s="8"/>
      <c r="N51" s="8"/>
      <c r="O51" s="8">
        <f>(E49)+1*(G51)+1*(2/2)*D49</f>
        <v>4.8</v>
      </c>
      <c r="P51" s="8">
        <f t="shared" si="13"/>
        <v>14.399999999999999</v>
      </c>
      <c r="Q51" s="8">
        <f>IF($D51='[2]Beam '!Q$44,$P51*'[2]Beam '!Q$45,0)</f>
        <v>0</v>
      </c>
      <c r="R51" s="8">
        <f>IF($D51='[2]Beam '!R$44,$P51*'[2]Beam '!R$45,0)</f>
        <v>0</v>
      </c>
      <c r="S51" s="8">
        <f>IF($D51='[2]Beam '!S$44,$P51*'[2]Beam '!S$45,0)</f>
        <v>0</v>
      </c>
      <c r="T51" s="8">
        <f>IF($D51='[2]Beam '!T$44,$P51*'[2]Beam '!T$45,0)</f>
        <v>0</v>
      </c>
      <c r="U51" s="8">
        <f>IF($D51='[2]Beam '!U$44,$P51*'[2]Beam '!U$45,0)</f>
        <v>35.526857142857139</v>
      </c>
      <c r="V51" s="8">
        <f>IF($D51='[2]Beam '!V$44,$P51*'[2]Beam '!V$45,0)</f>
        <v>0</v>
      </c>
      <c r="W51" s="8">
        <f>IF($D51='[2]Beam '!W$44,$P51*'[2]Beam '!W$45,0)</f>
        <v>0</v>
      </c>
      <c r="X51" s="8">
        <f t="shared" si="14"/>
        <v>35.526857142857139</v>
      </c>
      <c r="Y51" s="8"/>
      <c r="Z51" s="8"/>
      <c r="AA51" s="8"/>
      <c r="AB51" s="8"/>
      <c r="AC51" s="8"/>
      <c r="AD51" s="8"/>
      <c r="AE51" s="8"/>
    </row>
    <row r="52" spans="1:32" s="14" customFormat="1" ht="20.100000000000001" customHeight="1" x14ac:dyDescent="0.3">
      <c r="A52" s="7"/>
      <c r="B52" s="8" t="s">
        <v>2</v>
      </c>
      <c r="C52" s="13" t="s">
        <v>6</v>
      </c>
      <c r="D52" s="8">
        <v>20</v>
      </c>
      <c r="E52" s="8"/>
      <c r="F52" s="8">
        <v>3</v>
      </c>
      <c r="G52" s="9">
        <f>VLOOKUP(D52,'[2]Beam '!$C$20:$H$26,3,0)</f>
        <v>0.8</v>
      </c>
      <c r="H52" s="8"/>
      <c r="I52" s="8"/>
      <c r="J52" s="8"/>
      <c r="K52" s="8"/>
      <c r="L52" s="8"/>
      <c r="M52" s="8"/>
      <c r="N52" s="8"/>
      <c r="O52" s="8">
        <f>(E49+2*(2/2))*D49</f>
        <v>5</v>
      </c>
      <c r="P52" s="8">
        <f t="shared" si="13"/>
        <v>15</v>
      </c>
      <c r="Q52" s="8">
        <f>IF($D52='[2]Beam '!Q$44,$P52*'[2]Beam '!Q$45,0)</f>
        <v>0</v>
      </c>
      <c r="R52" s="8">
        <f>IF($D52='[2]Beam '!R$44,$P52*'[2]Beam '!R$45,0)</f>
        <v>0</v>
      </c>
      <c r="S52" s="8">
        <f>IF($D52='[2]Beam '!S$44,$P52*'[2]Beam '!S$45,0)</f>
        <v>0</v>
      </c>
      <c r="T52" s="8">
        <f>IF($D52='[2]Beam '!T$44,$P52*'[2]Beam '!T$45,0)</f>
        <v>0</v>
      </c>
      <c r="U52" s="8">
        <f>IF($D52='[2]Beam '!U$44,$P52*'[2]Beam '!U$45,0)</f>
        <v>37.007142857142853</v>
      </c>
      <c r="V52" s="8">
        <f>IF($D52='[2]Beam '!V$44,$P52*'[2]Beam '!V$45,0)</f>
        <v>0</v>
      </c>
      <c r="W52" s="8">
        <f>IF($D52='[2]Beam '!W$44,$P52*'[2]Beam '!W$45,0)</f>
        <v>0</v>
      </c>
      <c r="X52" s="8">
        <f t="shared" si="14"/>
        <v>37.007142857142853</v>
      </c>
      <c r="Y52" s="8"/>
    </row>
    <row r="53" spans="1:32" s="10" customFormat="1" ht="20.100000000000001" customHeight="1" x14ac:dyDescent="0.25">
      <c r="A53" s="7"/>
      <c r="B53" s="8" t="s">
        <v>2</v>
      </c>
      <c r="C53" s="13" t="s">
        <v>7</v>
      </c>
      <c r="D53" s="8">
        <v>20</v>
      </c>
      <c r="E53" s="8"/>
      <c r="F53" s="8">
        <v>3</v>
      </c>
      <c r="G53" s="9">
        <f>VLOOKUP(D53,'[2]Beam '!$C$20:$H$26,3,0)</f>
        <v>0.8</v>
      </c>
      <c r="H53" s="8"/>
      <c r="I53" s="8"/>
      <c r="J53" s="8"/>
      <c r="K53" s="8"/>
      <c r="L53" s="8"/>
      <c r="M53" s="8"/>
      <c r="N53" s="8"/>
      <c r="O53" s="8">
        <f>(E49+1*(2/2))+0.6*D49</f>
        <v>4.5999999999999996</v>
      </c>
      <c r="P53" s="8">
        <f t="shared" si="13"/>
        <v>13.799999999999999</v>
      </c>
      <c r="Q53" s="8">
        <f>IF($D53='[2]Beam '!Q$44,$P53*'[2]Beam '!Q$45,0)</f>
        <v>0</v>
      </c>
      <c r="R53" s="8">
        <f>IF($D53='[2]Beam '!R$44,$P53*'[2]Beam '!R$45,0)</f>
        <v>0</v>
      </c>
      <c r="S53" s="8">
        <f>IF($D53='[2]Beam '!S$44,$P53*'[2]Beam '!S$45,0)</f>
        <v>0</v>
      </c>
      <c r="T53" s="8">
        <f>IF($D53='[2]Beam '!T$44,$P53*'[2]Beam '!T$45,0)</f>
        <v>0</v>
      </c>
      <c r="U53" s="8">
        <f>IF($D53='[2]Beam '!U$44,$P53*'[2]Beam '!U$45,0)</f>
        <v>34.046571428571426</v>
      </c>
      <c r="V53" s="8">
        <f>IF($D53='[2]Beam '!V$44,$P53*'[2]Beam '!V$45,0)</f>
        <v>0</v>
      </c>
      <c r="W53" s="8">
        <f>IF($D53='[2]Beam '!W$44,$P53*'[2]Beam '!W$45,0)</f>
        <v>0</v>
      </c>
      <c r="X53" s="8">
        <f t="shared" si="14"/>
        <v>34.046571428571426</v>
      </c>
      <c r="Y53" s="8"/>
      <c r="Z53" s="8"/>
      <c r="AA53" s="8"/>
      <c r="AB53" s="8"/>
      <c r="AC53" s="8"/>
      <c r="AD53" s="8"/>
      <c r="AE53" s="8"/>
    </row>
    <row r="54" spans="1:32" s="10" customFormat="1" ht="21" customHeight="1" x14ac:dyDescent="0.25">
      <c r="A54" s="7"/>
      <c r="B54" s="8" t="s">
        <v>2</v>
      </c>
      <c r="C54" s="13" t="s">
        <v>8</v>
      </c>
      <c r="D54" s="8">
        <v>10</v>
      </c>
      <c r="E54" s="8">
        <v>0.1</v>
      </c>
      <c r="F54" s="8">
        <f>ROUNDUP(E49/E54,0)</f>
        <v>30</v>
      </c>
      <c r="H54" s="8"/>
      <c r="I54" s="8"/>
      <c r="J54" s="8"/>
      <c r="K54" s="8"/>
      <c r="L54" s="8"/>
      <c r="M54" s="8"/>
      <c r="N54" s="8"/>
      <c r="O54" s="8">
        <f>(2*((G49-(2*'[2]Beam '!$D$11))+(F49-(2*'[2]Beam '!$D$11)))+(2*10*D54/1000))*D49</f>
        <v>2.8600000000000003</v>
      </c>
      <c r="P54" s="8">
        <f t="shared" si="13"/>
        <v>85.800000000000011</v>
      </c>
      <c r="Q54" s="8">
        <f>IF($D54='[2]Beam '!Q$44,$P54*'[2]Beam '!Q$45,0)</f>
        <v>0</v>
      </c>
      <c r="R54" s="8">
        <f>IF($D54='[2]Beam '!R$44,$P54*'[2]Beam '!R$45,0)</f>
        <v>52.920214285714295</v>
      </c>
      <c r="S54" s="8">
        <f>IF($D54='[2]Beam '!S$44,$P54*'[2]Beam '!S$45,0)</f>
        <v>0</v>
      </c>
      <c r="T54" s="8">
        <f>IF($D54='[2]Beam '!T$44,$P54*'[2]Beam '!T$45,0)</f>
        <v>0</v>
      </c>
      <c r="U54" s="8">
        <f>IF($D54='[2]Beam '!U$44,$P54*'[2]Beam '!U$45,0)</f>
        <v>0</v>
      </c>
      <c r="V54" s="8">
        <f>IF($D54='[2]Beam '!V$44,$P54*'[2]Beam '!V$45,0)</f>
        <v>0</v>
      </c>
      <c r="W54" s="8">
        <f>IF($D54='[2]Beam '!W$44,$P54*'[2]Beam '!W$45,0)</f>
        <v>0</v>
      </c>
      <c r="X54" s="8">
        <f t="shared" si="14"/>
        <v>52.920214285714295</v>
      </c>
      <c r="Y54" s="8"/>
      <c r="Z54" s="8"/>
      <c r="AA54" s="8"/>
      <c r="AB54" s="8"/>
      <c r="AC54" s="8"/>
      <c r="AD54" s="8"/>
      <c r="AE54" s="8"/>
      <c r="AF54" s="8"/>
    </row>
    <row r="55" spans="1:32" s="10" customFormat="1" ht="20.100000000000001" customHeight="1" x14ac:dyDescent="0.25">
      <c r="A55" s="14"/>
      <c r="B55" s="8" t="s">
        <v>2</v>
      </c>
      <c r="C55" s="13" t="s">
        <v>9</v>
      </c>
      <c r="D55" s="8">
        <f>+D54</f>
        <v>10</v>
      </c>
      <c r="E55" s="14">
        <f>+E54</f>
        <v>0.1</v>
      </c>
      <c r="F55" s="8">
        <f>ROUNDUP(E49/E55,0)</f>
        <v>30</v>
      </c>
      <c r="H55" s="14"/>
      <c r="I55" s="14"/>
      <c r="J55" s="14"/>
      <c r="K55" s="14"/>
      <c r="L55" s="14"/>
      <c r="M55" s="14"/>
      <c r="N55" s="14"/>
      <c r="O55" s="8">
        <f>((((G49-(2*'[2]Beam '!$D$11))+(2*10*D55/1000))*D49))*1</f>
        <v>1.24</v>
      </c>
      <c r="P55" s="8">
        <f t="shared" si="13"/>
        <v>37.200000000000003</v>
      </c>
      <c r="Q55" s="8">
        <f>IF($D55='[2]Beam '!Q$44,$P55*'[2]Beam '!Q$45,0)</f>
        <v>0</v>
      </c>
      <c r="R55" s="8">
        <f>IF($D55='[2]Beam '!R$44,$P55*'[2]Beam '!R$45,0)</f>
        <v>22.944428571428574</v>
      </c>
      <c r="S55" s="8">
        <f>IF($D55='[2]Beam '!S$44,$P55*'[2]Beam '!S$45,0)</f>
        <v>0</v>
      </c>
      <c r="T55" s="8">
        <f>IF($D55='[2]Beam '!T$44,$P55*'[2]Beam '!T$45,0)</f>
        <v>0</v>
      </c>
      <c r="U55" s="8">
        <f>IF($D55='[2]Beam '!U$44,$P55*'[2]Beam '!U$45,0)</f>
        <v>0</v>
      </c>
      <c r="V55" s="8">
        <f>IF($D55='[2]Beam '!V$44,$P55*'[2]Beam '!V$45,0)</f>
        <v>0</v>
      </c>
      <c r="W55" s="8">
        <f>IF($D55='[2]Beam '!W$44,$P55*'[2]Beam '!W$45,0)</f>
        <v>0</v>
      </c>
      <c r="X55" s="8">
        <f t="shared" si="14"/>
        <v>22.944428571428574</v>
      </c>
      <c r="Y55" s="14"/>
      <c r="Z55" s="8"/>
      <c r="AA55" s="8"/>
      <c r="AB55" s="8"/>
      <c r="AC55" s="8"/>
      <c r="AD55" s="8"/>
      <c r="AE55" s="8"/>
    </row>
    <row r="56" spans="1:32" s="10" customFormat="1" ht="20.100000000000001" customHeight="1" x14ac:dyDescent="0.25">
      <c r="A56" s="7"/>
      <c r="B56" s="8" t="s">
        <v>2</v>
      </c>
      <c r="C56" s="13" t="s">
        <v>10</v>
      </c>
      <c r="D56" s="8">
        <f>+'[2]Beam '!$D$15</f>
        <v>25</v>
      </c>
      <c r="E56" s="8">
        <f>+'[2]Beam '!$E$15</f>
        <v>1</v>
      </c>
      <c r="F56" s="8">
        <f>ROUNDUP((E49+E49)/E56,0)</f>
        <v>6</v>
      </c>
      <c r="G56" s="9"/>
      <c r="H56" s="9"/>
      <c r="I56" s="8"/>
      <c r="J56" s="8"/>
      <c r="K56" s="8"/>
      <c r="L56" s="8"/>
      <c r="M56" s="8"/>
      <c r="N56" s="8"/>
      <c r="O56" s="8">
        <f>F49-'[2]Beam '!$F$15</f>
        <v>0.28999999999999998</v>
      </c>
      <c r="P56" s="8">
        <f t="shared" si="13"/>
        <v>1.7399999999999998</v>
      </c>
      <c r="Q56" s="8">
        <f>IF($D56='[2]Beam '!Q$44,$P56*'[2]Beam '!Q$45,0)</f>
        <v>0</v>
      </c>
      <c r="R56" s="8">
        <f>IF($D56='[2]Beam '!R$44,$P56*'[2]Beam '!R$45,0)</f>
        <v>0</v>
      </c>
      <c r="S56" s="8">
        <f>IF($D56='[2]Beam '!S$44,$P56*'[2]Beam '!S$45,0)</f>
        <v>0</v>
      </c>
      <c r="T56" s="8">
        <f>IF($D56='[2]Beam '!T$44,$P56*'[2]Beam '!T$45,0)</f>
        <v>0</v>
      </c>
      <c r="U56" s="8">
        <f>IF($D56='[2]Beam '!U$44,$P56*'[2]Beam '!U$45,0)</f>
        <v>0</v>
      </c>
      <c r="V56" s="8">
        <f>IF($D56='[2]Beam '!V$44,$P56*'[2]Beam '!V$45,0)</f>
        <v>6.707544642857143</v>
      </c>
      <c r="W56" s="8">
        <f>IF($D56='[2]Beam '!W$44,$P56*'[2]Beam '!W$45,0)</f>
        <v>0</v>
      </c>
      <c r="X56" s="8">
        <f t="shared" si="14"/>
        <v>6.707544642857143</v>
      </c>
      <c r="Y56" s="8"/>
      <c r="Z56" s="8"/>
      <c r="AA56" s="8"/>
      <c r="AB56" s="8"/>
      <c r="AC56" s="8"/>
      <c r="AD56" s="8"/>
      <c r="AE56" s="8"/>
    </row>
    <row r="57" spans="1:32" s="10" customFormat="1" ht="20.100000000000001" customHeight="1" x14ac:dyDescent="0.25">
      <c r="A57" s="8">
        <v>1</v>
      </c>
      <c r="B57" s="8" t="s">
        <v>2</v>
      </c>
      <c r="C57" s="11" t="s">
        <v>20</v>
      </c>
      <c r="D57" s="11">
        <v>1</v>
      </c>
      <c r="E57" s="11">
        <v>3</v>
      </c>
      <c r="F57" s="11">
        <v>0.35</v>
      </c>
      <c r="G57" s="11">
        <v>1.1000000000000001</v>
      </c>
      <c r="H57" s="8">
        <f>G57-0.2</f>
        <v>0.90000000000000013</v>
      </c>
      <c r="I57" s="8">
        <f>E57*F57*G57*D57</f>
        <v>1.1549999999999998</v>
      </c>
      <c r="J57" s="8">
        <f>(2*(E57)*H57*D57)+(E57*F57)</f>
        <v>6.45</v>
      </c>
      <c r="K57" s="12">
        <f>IF(E57=0.3,J57,0)</f>
        <v>0</v>
      </c>
      <c r="L57" s="12">
        <f>IF(AND(E57&gt;0.3,E57&lt;=0.75),J57,0)</f>
        <v>0</v>
      </c>
      <c r="M57" s="12">
        <f>IF(AND(E57&gt;0.75,E57&lt;=1.2),J57,0)</f>
        <v>0</v>
      </c>
      <c r="N57" s="12">
        <f>IF(E57&gt;1.2,J57,0)</f>
        <v>6.45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>
        <f>SUM(X58:X64)/I57</f>
        <v>217.67729591836735</v>
      </c>
      <c r="Z57" s="8"/>
      <c r="AA57" s="8"/>
      <c r="AB57" s="8"/>
      <c r="AC57" s="8"/>
      <c r="AD57" s="8"/>
      <c r="AE57" s="8"/>
    </row>
    <row r="58" spans="1:32" s="10" customFormat="1" ht="20.100000000000001" customHeight="1" x14ac:dyDescent="0.25">
      <c r="A58" s="7"/>
      <c r="B58" s="8" t="s">
        <v>2</v>
      </c>
      <c r="C58" s="13" t="s">
        <v>4</v>
      </c>
      <c r="D58" s="8">
        <v>25</v>
      </c>
      <c r="E58" s="8"/>
      <c r="F58" s="8">
        <v>3</v>
      </c>
      <c r="G58" s="9">
        <f>VLOOKUP(D58,'[2]Beam '!$C$20:$H$26,3,0)</f>
        <v>1</v>
      </c>
      <c r="H58" s="9"/>
      <c r="I58" s="8"/>
      <c r="J58" s="8"/>
      <c r="K58" s="8"/>
      <c r="L58" s="8"/>
      <c r="M58" s="8"/>
      <c r="N58" s="8"/>
      <c r="O58" s="8">
        <f>(E57+2*(2/2))*D57</f>
        <v>5</v>
      </c>
      <c r="P58" s="8">
        <f t="shared" ref="P58:P64" si="15">O58*F58</f>
        <v>15</v>
      </c>
      <c r="Q58" s="8">
        <f>IF($D58='[2]Beam '!Q$44,$P58*'[2]Beam '!Q$45,0)</f>
        <v>0</v>
      </c>
      <c r="R58" s="8">
        <f>IF($D58='[2]Beam '!R$44,$P58*'[2]Beam '!R$45,0)</f>
        <v>0</v>
      </c>
      <c r="S58" s="8">
        <f>IF($D58='[2]Beam '!S$44,$P58*'[2]Beam '!S$45,0)</f>
        <v>0</v>
      </c>
      <c r="T58" s="8">
        <f>IF($D58='[2]Beam '!T$44,$P58*'[2]Beam '!T$45,0)</f>
        <v>0</v>
      </c>
      <c r="U58" s="8">
        <f>IF($D58='[2]Beam '!U$44,$P58*'[2]Beam '!U$45,0)</f>
        <v>0</v>
      </c>
      <c r="V58" s="8">
        <f>IF($D58='[2]Beam '!V$44,$P58*'[2]Beam '!V$45,0)</f>
        <v>57.823660714285722</v>
      </c>
      <c r="W58" s="8">
        <f>IF($D58='[2]Beam '!W$44,$P58*'[2]Beam '!W$45,0)</f>
        <v>0</v>
      </c>
      <c r="X58" s="8">
        <f t="shared" ref="X58:X64" si="16">SUM(Q58:W58)</f>
        <v>57.823660714285722</v>
      </c>
      <c r="Y58" s="8"/>
      <c r="Z58" s="8"/>
      <c r="AA58" s="8"/>
      <c r="AB58" s="8"/>
      <c r="AC58" s="8"/>
      <c r="AD58" s="8"/>
      <c r="AE58" s="8"/>
    </row>
    <row r="59" spans="1:32" s="10" customFormat="1" ht="20.100000000000001" customHeight="1" x14ac:dyDescent="0.25">
      <c r="A59" s="7"/>
      <c r="B59" s="8" t="s">
        <v>2</v>
      </c>
      <c r="C59" s="13" t="s">
        <v>5</v>
      </c>
      <c r="D59" s="8">
        <v>20</v>
      </c>
      <c r="E59" s="8"/>
      <c r="F59" s="8">
        <v>3</v>
      </c>
      <c r="G59" s="9">
        <f>VLOOKUP(D59,'[2]Beam '!$C$20:$H$26,3,0)</f>
        <v>0.8</v>
      </c>
      <c r="H59" s="9"/>
      <c r="I59" s="8"/>
      <c r="J59" s="8"/>
      <c r="K59" s="8"/>
      <c r="L59" s="8"/>
      <c r="M59" s="8"/>
      <c r="N59" s="8"/>
      <c r="O59" s="8">
        <f>(E57+2*(2/2)*D57)</f>
        <v>5</v>
      </c>
      <c r="P59" s="8">
        <f t="shared" si="15"/>
        <v>15</v>
      </c>
      <c r="Q59" s="8">
        <f>IF($D59='[2]Beam '!Q$44,$P59*'[2]Beam '!Q$45,0)</f>
        <v>0</v>
      </c>
      <c r="R59" s="8">
        <f>IF($D59='[2]Beam '!R$44,$P59*'[2]Beam '!R$45,0)</f>
        <v>0</v>
      </c>
      <c r="S59" s="8">
        <f>IF($D59='[2]Beam '!S$44,$P59*'[2]Beam '!S$45,0)</f>
        <v>0</v>
      </c>
      <c r="T59" s="8">
        <f>IF($D59='[2]Beam '!T$44,$P59*'[2]Beam '!T$45,0)</f>
        <v>0</v>
      </c>
      <c r="U59" s="8">
        <f>IF($D59='[2]Beam '!U$44,$P59*'[2]Beam '!U$45,0)</f>
        <v>37.007142857142853</v>
      </c>
      <c r="V59" s="8">
        <f>IF($D59='[2]Beam '!V$44,$P59*'[2]Beam '!V$45,0)</f>
        <v>0</v>
      </c>
      <c r="W59" s="8">
        <f>IF($D59='[2]Beam '!W$44,$P59*'[2]Beam '!W$45,0)</f>
        <v>0</v>
      </c>
      <c r="X59" s="8">
        <f t="shared" si="16"/>
        <v>37.007142857142853</v>
      </c>
      <c r="Y59" s="8"/>
      <c r="Z59" s="8"/>
      <c r="AA59" s="8"/>
      <c r="AB59" s="8"/>
      <c r="AC59" s="8"/>
      <c r="AD59" s="8"/>
      <c r="AE59" s="8"/>
    </row>
    <row r="60" spans="1:32" s="14" customFormat="1" ht="20.100000000000001" customHeight="1" x14ac:dyDescent="0.3">
      <c r="A60" s="7"/>
      <c r="B60" s="8" t="s">
        <v>2</v>
      </c>
      <c r="C60" s="13" t="s">
        <v>6</v>
      </c>
      <c r="D60" s="8">
        <v>20</v>
      </c>
      <c r="E60" s="8"/>
      <c r="F60" s="8">
        <v>3</v>
      </c>
      <c r="G60" s="9">
        <f>VLOOKUP(D60,'[2]Beam '!$C$20:$H$26,3,0)</f>
        <v>0.8</v>
      </c>
      <c r="H60" s="8"/>
      <c r="I60" s="8"/>
      <c r="J60" s="8"/>
      <c r="K60" s="8"/>
      <c r="L60" s="8"/>
      <c r="M60" s="8"/>
      <c r="N60" s="8"/>
      <c r="O60" s="8">
        <f>(E57+2*(2/2))*D57</f>
        <v>5</v>
      </c>
      <c r="P60" s="8">
        <f t="shared" si="15"/>
        <v>15</v>
      </c>
      <c r="Q60" s="8">
        <f>IF($D60='[2]Beam '!Q$44,$P60*'[2]Beam '!Q$45,0)</f>
        <v>0</v>
      </c>
      <c r="R60" s="8">
        <f>IF($D60='[2]Beam '!R$44,$P60*'[2]Beam '!R$45,0)</f>
        <v>0</v>
      </c>
      <c r="S60" s="8">
        <f>IF($D60='[2]Beam '!S$44,$P60*'[2]Beam '!S$45,0)</f>
        <v>0</v>
      </c>
      <c r="T60" s="8">
        <f>IF($D60='[2]Beam '!T$44,$P60*'[2]Beam '!T$45,0)</f>
        <v>0</v>
      </c>
      <c r="U60" s="8">
        <f>IF($D60='[2]Beam '!U$44,$P60*'[2]Beam '!U$45,0)</f>
        <v>37.007142857142853</v>
      </c>
      <c r="V60" s="8">
        <f>IF($D60='[2]Beam '!V$44,$P60*'[2]Beam '!V$45,0)</f>
        <v>0</v>
      </c>
      <c r="W60" s="8">
        <f>IF($D60='[2]Beam '!W$44,$P60*'[2]Beam '!W$45,0)</f>
        <v>0</v>
      </c>
      <c r="X60" s="8">
        <f t="shared" si="16"/>
        <v>37.007142857142853</v>
      </c>
      <c r="Y60" s="8"/>
    </row>
    <row r="61" spans="1:32" s="10" customFormat="1" ht="20.100000000000001" customHeight="1" x14ac:dyDescent="0.25">
      <c r="A61" s="7"/>
      <c r="B61" s="8" t="s">
        <v>2</v>
      </c>
      <c r="C61" s="13" t="s">
        <v>7</v>
      </c>
      <c r="D61" s="8">
        <v>20</v>
      </c>
      <c r="E61" s="8"/>
      <c r="F61" s="8">
        <v>3</v>
      </c>
      <c r="G61" s="9">
        <f>VLOOKUP(D61,'[2]Beam '!$C$20:$H$26,3,0)</f>
        <v>0.8</v>
      </c>
      <c r="H61" s="8"/>
      <c r="I61" s="8"/>
      <c r="J61" s="8"/>
      <c r="K61" s="8"/>
      <c r="L61" s="8"/>
      <c r="M61" s="8"/>
      <c r="N61" s="8"/>
      <c r="O61" s="8">
        <f>(E57+2*(2/2))*D57</f>
        <v>5</v>
      </c>
      <c r="P61" s="8">
        <f t="shared" si="15"/>
        <v>15</v>
      </c>
      <c r="Q61" s="8">
        <f>IF($D61='[2]Beam '!Q$44,$P61*'[2]Beam '!Q$45,0)</f>
        <v>0</v>
      </c>
      <c r="R61" s="8">
        <f>IF($D61='[2]Beam '!R$44,$P61*'[2]Beam '!R$45,0)</f>
        <v>0</v>
      </c>
      <c r="S61" s="8">
        <f>IF($D61='[2]Beam '!S$44,$P61*'[2]Beam '!S$45,0)</f>
        <v>0</v>
      </c>
      <c r="T61" s="8">
        <f>IF($D61='[2]Beam '!T$44,$P61*'[2]Beam '!T$45,0)</f>
        <v>0</v>
      </c>
      <c r="U61" s="8">
        <f>IF($D61='[2]Beam '!U$44,$P61*'[2]Beam '!U$45,0)</f>
        <v>37.007142857142853</v>
      </c>
      <c r="V61" s="8">
        <f>IF($D61='[2]Beam '!V$44,$P61*'[2]Beam '!V$45,0)</f>
        <v>0</v>
      </c>
      <c r="W61" s="8">
        <f>IF($D61='[2]Beam '!W$44,$P61*'[2]Beam '!W$45,0)</f>
        <v>0</v>
      </c>
      <c r="X61" s="8">
        <f t="shared" si="16"/>
        <v>37.007142857142853</v>
      </c>
      <c r="Y61" s="8"/>
      <c r="Z61" s="8"/>
      <c r="AA61" s="8"/>
      <c r="AB61" s="8"/>
      <c r="AC61" s="8"/>
      <c r="AD61" s="8"/>
      <c r="AE61" s="8"/>
    </row>
    <row r="62" spans="1:32" s="10" customFormat="1" ht="21" customHeight="1" x14ac:dyDescent="0.25">
      <c r="A62" s="7"/>
      <c r="B62" s="8" t="s">
        <v>2</v>
      </c>
      <c r="C62" s="13" t="s">
        <v>8</v>
      </c>
      <c r="D62" s="8">
        <v>10</v>
      </c>
      <c r="E62" s="8">
        <v>0.1</v>
      </c>
      <c r="F62" s="8">
        <f>ROUNDUP(E57/E62,0)</f>
        <v>30</v>
      </c>
      <c r="H62" s="8"/>
      <c r="I62" s="8"/>
      <c r="J62" s="8"/>
      <c r="K62" s="8"/>
      <c r="L62" s="8"/>
      <c r="M62" s="8"/>
      <c r="N62" s="8"/>
      <c r="O62" s="8">
        <f>(2*((G57-(2*'[2]Beam '!$D$11))+(F57-(2*'[2]Beam '!$D$11)))+(2*10*D62/1000))*D57</f>
        <v>2.8600000000000003</v>
      </c>
      <c r="P62" s="8">
        <f t="shared" si="15"/>
        <v>85.800000000000011</v>
      </c>
      <c r="Q62" s="8">
        <f>IF($D62='[2]Beam '!Q$44,$P62*'[2]Beam '!Q$45,0)</f>
        <v>0</v>
      </c>
      <c r="R62" s="8">
        <f>IF($D62='[2]Beam '!R$44,$P62*'[2]Beam '!R$45,0)</f>
        <v>52.920214285714295</v>
      </c>
      <c r="S62" s="8">
        <f>IF($D62='[2]Beam '!S$44,$P62*'[2]Beam '!S$45,0)</f>
        <v>0</v>
      </c>
      <c r="T62" s="8">
        <f>IF($D62='[2]Beam '!T$44,$P62*'[2]Beam '!T$45,0)</f>
        <v>0</v>
      </c>
      <c r="U62" s="8">
        <f>IF($D62='[2]Beam '!U$44,$P62*'[2]Beam '!U$45,0)</f>
        <v>0</v>
      </c>
      <c r="V62" s="8">
        <f>IF($D62='[2]Beam '!V$44,$P62*'[2]Beam '!V$45,0)</f>
        <v>0</v>
      </c>
      <c r="W62" s="8">
        <f>IF($D62='[2]Beam '!W$44,$P62*'[2]Beam '!W$45,0)</f>
        <v>0</v>
      </c>
      <c r="X62" s="8">
        <f t="shared" si="16"/>
        <v>52.920214285714295</v>
      </c>
      <c r="Y62" s="8"/>
      <c r="Z62" s="8"/>
      <c r="AA62" s="8"/>
      <c r="AB62" s="8"/>
      <c r="AC62" s="8"/>
      <c r="AD62" s="8"/>
      <c r="AE62" s="8"/>
      <c r="AF62" s="8"/>
    </row>
    <row r="63" spans="1:32" s="10" customFormat="1" ht="20.100000000000001" customHeight="1" x14ac:dyDescent="0.25">
      <c r="A63" s="14"/>
      <c r="B63" s="8" t="s">
        <v>2</v>
      </c>
      <c r="C63" s="13" t="s">
        <v>9</v>
      </c>
      <c r="D63" s="8">
        <f>+D62</f>
        <v>10</v>
      </c>
      <c r="E63" s="14">
        <f>+E62</f>
        <v>0.1</v>
      </c>
      <c r="F63" s="8">
        <f>ROUNDUP(E57/E63,0)</f>
        <v>30</v>
      </c>
      <c r="H63" s="14"/>
      <c r="I63" s="14"/>
      <c r="J63" s="14"/>
      <c r="K63" s="14"/>
      <c r="L63" s="14"/>
      <c r="M63" s="14"/>
      <c r="N63" s="14"/>
      <c r="O63" s="8">
        <f>((((G57-(2*'[2]Beam '!$D$11))+(2*10*D63/1000))*D57))*1</f>
        <v>1.24</v>
      </c>
      <c r="P63" s="8">
        <f t="shared" si="15"/>
        <v>37.200000000000003</v>
      </c>
      <c r="Q63" s="8">
        <f>IF($D63='[2]Beam '!Q$44,$P63*'[2]Beam '!Q$45,0)</f>
        <v>0</v>
      </c>
      <c r="R63" s="8">
        <f>IF($D63='[2]Beam '!R$44,$P63*'[2]Beam '!R$45,0)</f>
        <v>22.944428571428574</v>
      </c>
      <c r="S63" s="8">
        <f>IF($D63='[2]Beam '!S$44,$P63*'[2]Beam '!S$45,0)</f>
        <v>0</v>
      </c>
      <c r="T63" s="8">
        <f>IF($D63='[2]Beam '!T$44,$P63*'[2]Beam '!T$45,0)</f>
        <v>0</v>
      </c>
      <c r="U63" s="8">
        <f>IF($D63='[2]Beam '!U$44,$P63*'[2]Beam '!U$45,0)</f>
        <v>0</v>
      </c>
      <c r="V63" s="8">
        <f>IF($D63='[2]Beam '!V$44,$P63*'[2]Beam '!V$45,0)</f>
        <v>0</v>
      </c>
      <c r="W63" s="8">
        <f>IF($D63='[2]Beam '!W$44,$P63*'[2]Beam '!W$45,0)</f>
        <v>0</v>
      </c>
      <c r="X63" s="8">
        <f t="shared" si="16"/>
        <v>22.944428571428574</v>
      </c>
      <c r="Y63" s="14"/>
      <c r="Z63" s="8"/>
      <c r="AA63" s="8"/>
      <c r="AB63" s="8"/>
      <c r="AC63" s="8"/>
      <c r="AD63" s="8"/>
      <c r="AE63" s="8"/>
    </row>
    <row r="64" spans="1:32" s="10" customFormat="1" ht="20.100000000000001" customHeight="1" x14ac:dyDescent="0.25">
      <c r="A64" s="7"/>
      <c r="B64" s="8" t="s">
        <v>2</v>
      </c>
      <c r="C64" s="13" t="s">
        <v>10</v>
      </c>
      <c r="D64" s="8">
        <f>+'[2]Beam '!$D$15</f>
        <v>25</v>
      </c>
      <c r="E64" s="8">
        <f>+'[2]Beam '!$E$15</f>
        <v>1</v>
      </c>
      <c r="F64" s="8">
        <f>ROUNDUP((E57+E57)/E64,0)</f>
        <v>6</v>
      </c>
      <c r="G64" s="9"/>
      <c r="H64" s="9"/>
      <c r="I64" s="8"/>
      <c r="J64" s="8"/>
      <c r="K64" s="8"/>
      <c r="L64" s="8"/>
      <c r="M64" s="8"/>
      <c r="N64" s="8"/>
      <c r="O64" s="8">
        <f>F57-'[2]Beam '!$F$15</f>
        <v>0.28999999999999998</v>
      </c>
      <c r="P64" s="8">
        <f t="shared" si="15"/>
        <v>1.7399999999999998</v>
      </c>
      <c r="Q64" s="8">
        <f>IF($D64='[2]Beam '!Q$44,$P64*'[2]Beam '!Q$45,0)</f>
        <v>0</v>
      </c>
      <c r="R64" s="8">
        <f>IF($D64='[2]Beam '!R$44,$P64*'[2]Beam '!R$45,0)</f>
        <v>0</v>
      </c>
      <c r="S64" s="8">
        <f>IF($D64='[2]Beam '!S$44,$P64*'[2]Beam '!S$45,0)</f>
        <v>0</v>
      </c>
      <c r="T64" s="8">
        <f>IF($D64='[2]Beam '!T$44,$P64*'[2]Beam '!T$45,0)</f>
        <v>0</v>
      </c>
      <c r="U64" s="8">
        <f>IF($D64='[2]Beam '!U$44,$P64*'[2]Beam '!U$45,0)</f>
        <v>0</v>
      </c>
      <c r="V64" s="8">
        <f>IF($D64='[2]Beam '!V$44,$P64*'[2]Beam '!V$45,0)</f>
        <v>6.707544642857143</v>
      </c>
      <c r="W64" s="8">
        <f>IF($D64='[2]Beam '!W$44,$P64*'[2]Beam '!W$45,0)</f>
        <v>0</v>
      </c>
      <c r="X64" s="8">
        <f t="shared" si="16"/>
        <v>6.707544642857143</v>
      </c>
      <c r="Y64" s="8"/>
      <c r="Z64" s="8"/>
      <c r="AA64" s="8"/>
      <c r="AB64" s="8"/>
      <c r="AC64" s="8"/>
      <c r="AD64" s="8"/>
      <c r="AE64" s="8"/>
    </row>
    <row r="65" spans="1:32" s="10" customFormat="1" ht="20.100000000000001" customHeight="1" x14ac:dyDescent="0.25">
      <c r="A65" s="8">
        <v>1</v>
      </c>
      <c r="B65" s="8" t="s">
        <v>2</v>
      </c>
      <c r="C65" s="11" t="s">
        <v>21</v>
      </c>
      <c r="D65" s="11">
        <v>1</v>
      </c>
      <c r="E65" s="11">
        <v>2.25</v>
      </c>
      <c r="F65" s="11">
        <v>0.35</v>
      </c>
      <c r="G65" s="11">
        <v>1.1000000000000001</v>
      </c>
      <c r="H65" s="8">
        <f>G65-0.2</f>
        <v>0.90000000000000013</v>
      </c>
      <c r="I65" s="8">
        <f>E65*F65*G65*D65</f>
        <v>0.86625000000000008</v>
      </c>
      <c r="J65" s="8">
        <f>(2*(E65)*H65*D65)+(E65*F65)</f>
        <v>4.8375000000000004</v>
      </c>
      <c r="K65" s="12">
        <f>IF(E65=0.3,J65,0)</f>
        <v>0</v>
      </c>
      <c r="L65" s="12">
        <f>IF(AND(E65&gt;0.3,E65&lt;=0.75),J65,0)</f>
        <v>0</v>
      </c>
      <c r="M65" s="12">
        <f>IF(AND(E65&gt;0.75,E65&lt;=1.2),J65,0)</f>
        <v>0</v>
      </c>
      <c r="N65" s="12">
        <f>IF(E65&gt;1.2,J65,0)</f>
        <v>4.8375000000000004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>
        <f>SUM(X66:X71)/I65</f>
        <v>261.76214829931973</v>
      </c>
      <c r="Z65" s="8"/>
      <c r="AA65" s="8"/>
      <c r="AB65" s="8"/>
      <c r="AC65" s="8"/>
      <c r="AD65" s="8"/>
      <c r="AE65" s="8"/>
    </row>
    <row r="66" spans="1:32" s="10" customFormat="1" ht="20.100000000000001" customHeight="1" x14ac:dyDescent="0.25">
      <c r="A66" s="7"/>
      <c r="B66" s="8" t="s">
        <v>2</v>
      </c>
      <c r="C66" s="13" t="s">
        <v>4</v>
      </c>
      <c r="D66" s="8">
        <v>25</v>
      </c>
      <c r="E66" s="8"/>
      <c r="F66" s="8">
        <v>3</v>
      </c>
      <c r="G66" s="9">
        <f>VLOOKUP(D66,'[2]Beam '!$C$20:$H$26,3,0)</f>
        <v>1</v>
      </c>
      <c r="H66" s="9"/>
      <c r="I66" s="8"/>
      <c r="J66" s="8"/>
      <c r="K66" s="8"/>
      <c r="L66" s="8"/>
      <c r="M66" s="8"/>
      <c r="N66" s="8"/>
      <c r="O66" s="8">
        <f>(E65+1*(G66+(12*D66/1000)+1*(2/2))*D65)</f>
        <v>4.55</v>
      </c>
      <c r="P66" s="8">
        <f t="shared" ref="P66:P72" si="17">O66*F66</f>
        <v>13.649999999999999</v>
      </c>
      <c r="Q66" s="8">
        <f>IF($D66='[2]Beam '!Q$44,$P66*'[2]Beam '!Q$45,0)</f>
        <v>0</v>
      </c>
      <c r="R66" s="8">
        <f>IF($D66='[2]Beam '!R$44,$P66*'[2]Beam '!R$45,0)</f>
        <v>0</v>
      </c>
      <c r="S66" s="8">
        <f>IF($D66='[2]Beam '!S$44,$P66*'[2]Beam '!S$45,0)</f>
        <v>0</v>
      </c>
      <c r="T66" s="8">
        <f>IF($D66='[2]Beam '!T$44,$P66*'[2]Beam '!T$45,0)</f>
        <v>0</v>
      </c>
      <c r="U66" s="8">
        <f>IF($D66='[2]Beam '!U$44,$P66*'[2]Beam '!U$45,0)</f>
        <v>0</v>
      </c>
      <c r="V66" s="8">
        <f>IF($D66='[2]Beam '!V$44,$P66*'[2]Beam '!V$45,0)</f>
        <v>52.619531250000001</v>
      </c>
      <c r="W66" s="8">
        <f>IF($D66='[2]Beam '!W$44,$P66*'[2]Beam '!W$45,0)</f>
        <v>0</v>
      </c>
      <c r="X66" s="8">
        <f t="shared" ref="X66:X72" si="18">SUM(Q66:W66)</f>
        <v>52.619531250000001</v>
      </c>
      <c r="Y66" s="8"/>
      <c r="Z66" s="8"/>
      <c r="AA66" s="8"/>
      <c r="AB66" s="8"/>
      <c r="AC66" s="8"/>
      <c r="AD66" s="8"/>
      <c r="AE66" s="8"/>
    </row>
    <row r="67" spans="1:32" s="10" customFormat="1" ht="20.100000000000001" customHeight="1" x14ac:dyDescent="0.25">
      <c r="A67" s="7"/>
      <c r="B67" s="8" t="s">
        <v>2</v>
      </c>
      <c r="C67" s="13" t="s">
        <v>5</v>
      </c>
      <c r="D67" s="8">
        <v>20</v>
      </c>
      <c r="E67" s="8"/>
      <c r="F67" s="8">
        <v>3</v>
      </c>
      <c r="G67" s="9">
        <f>VLOOKUP(D67,'[2]Beam '!$C$20:$H$26,3,0)</f>
        <v>0.8</v>
      </c>
      <c r="H67" s="9"/>
      <c r="I67" s="8"/>
      <c r="J67" s="8"/>
      <c r="K67" s="8"/>
      <c r="L67" s="8"/>
      <c r="M67" s="8"/>
      <c r="N67" s="8"/>
      <c r="O67" s="8">
        <f>(E65)+1*(G67)+1*(2/2)*D65</f>
        <v>4.05</v>
      </c>
      <c r="P67" s="8">
        <f t="shared" si="17"/>
        <v>12.149999999999999</v>
      </c>
      <c r="Q67" s="8">
        <f>IF($D67='[2]Beam '!Q$44,$P67*'[2]Beam '!Q$45,0)</f>
        <v>0</v>
      </c>
      <c r="R67" s="8">
        <f>IF($D67='[2]Beam '!R$44,$P67*'[2]Beam '!R$45,0)</f>
        <v>0</v>
      </c>
      <c r="S67" s="8">
        <f>IF($D67='[2]Beam '!S$44,$P67*'[2]Beam '!S$45,0)</f>
        <v>0</v>
      </c>
      <c r="T67" s="8">
        <f>IF($D67='[2]Beam '!T$44,$P67*'[2]Beam '!T$45,0)</f>
        <v>0</v>
      </c>
      <c r="U67" s="8">
        <f>IF($D67='[2]Beam '!U$44,$P67*'[2]Beam '!U$45,0)</f>
        <v>29.97578571428571</v>
      </c>
      <c r="V67" s="8">
        <f>IF($D67='[2]Beam '!V$44,$P67*'[2]Beam '!V$45,0)</f>
        <v>0</v>
      </c>
      <c r="W67" s="8">
        <f>IF($D67='[2]Beam '!W$44,$P67*'[2]Beam '!W$45,0)</f>
        <v>0</v>
      </c>
      <c r="X67" s="8">
        <f t="shared" si="18"/>
        <v>29.97578571428571</v>
      </c>
      <c r="Y67" s="8"/>
      <c r="Z67" s="8"/>
      <c r="AA67" s="8"/>
      <c r="AB67" s="8"/>
      <c r="AC67" s="8"/>
      <c r="AD67" s="8"/>
      <c r="AE67" s="8"/>
    </row>
    <row r="68" spans="1:32" s="14" customFormat="1" ht="20.100000000000001" customHeight="1" x14ac:dyDescent="0.3">
      <c r="A68" s="7"/>
      <c r="B68" s="8" t="s">
        <v>2</v>
      </c>
      <c r="C68" s="13" t="s">
        <v>6</v>
      </c>
      <c r="D68" s="8">
        <v>20</v>
      </c>
      <c r="E68" s="8"/>
      <c r="F68" s="8">
        <v>3</v>
      </c>
      <c r="G68" s="9">
        <f>VLOOKUP(D68,'[2]Beam '!$C$20:$H$26,3,0)</f>
        <v>0.8</v>
      </c>
      <c r="H68" s="8"/>
      <c r="I68" s="8"/>
      <c r="J68" s="8"/>
      <c r="K68" s="8"/>
      <c r="L68" s="8"/>
      <c r="M68" s="8"/>
      <c r="N68" s="8"/>
      <c r="O68" s="8">
        <f>(E65+1*(G68+(12*D68/1000)+1*(2/2))*D65)</f>
        <v>4.29</v>
      </c>
      <c r="P68" s="8">
        <f t="shared" si="17"/>
        <v>12.870000000000001</v>
      </c>
      <c r="Q68" s="8">
        <f>IF($D68='[2]Beam '!Q$44,$P68*'[2]Beam '!Q$45,0)</f>
        <v>0</v>
      </c>
      <c r="R68" s="8">
        <f>IF($D68='[2]Beam '!R$44,$P68*'[2]Beam '!R$45,0)</f>
        <v>0</v>
      </c>
      <c r="S68" s="8">
        <f>IF($D68='[2]Beam '!S$44,$P68*'[2]Beam '!S$45,0)</f>
        <v>0</v>
      </c>
      <c r="T68" s="8">
        <f>IF($D68='[2]Beam '!T$44,$P68*'[2]Beam '!T$45,0)</f>
        <v>0</v>
      </c>
      <c r="U68" s="8">
        <f>IF($D68='[2]Beam '!U$44,$P68*'[2]Beam '!U$45,0)</f>
        <v>31.752128571428575</v>
      </c>
      <c r="V68" s="8">
        <f>IF($D68='[2]Beam '!V$44,$P68*'[2]Beam '!V$45,0)</f>
        <v>0</v>
      </c>
      <c r="W68" s="8">
        <f>IF($D68='[2]Beam '!W$44,$P68*'[2]Beam '!W$45,0)</f>
        <v>0</v>
      </c>
      <c r="X68" s="8">
        <f t="shared" si="18"/>
        <v>31.752128571428575</v>
      </c>
      <c r="Y68" s="8"/>
    </row>
    <row r="69" spans="1:32" s="10" customFormat="1" ht="20.100000000000001" customHeight="1" x14ac:dyDescent="0.25">
      <c r="A69" s="7"/>
      <c r="B69" s="8" t="s">
        <v>2</v>
      </c>
      <c r="C69" s="13" t="s">
        <v>7</v>
      </c>
      <c r="D69" s="8">
        <v>20</v>
      </c>
      <c r="E69" s="8"/>
      <c r="F69" s="8">
        <v>3</v>
      </c>
      <c r="G69" s="9">
        <f>VLOOKUP(D69,'[2]Beam '!$C$20:$H$26,3,0)</f>
        <v>0.8</v>
      </c>
      <c r="H69" s="8"/>
      <c r="I69" s="8"/>
      <c r="J69" s="8"/>
      <c r="K69" s="8"/>
      <c r="L69" s="8"/>
      <c r="M69" s="8"/>
      <c r="N69" s="8"/>
      <c r="O69" s="8">
        <f>(E65)+1*(G69)+0.6*D65</f>
        <v>3.65</v>
      </c>
      <c r="P69" s="8">
        <f t="shared" si="17"/>
        <v>10.95</v>
      </c>
      <c r="Q69" s="8">
        <f>IF($D69='[2]Beam '!Q$44,$P69*'[2]Beam '!Q$45,0)</f>
        <v>0</v>
      </c>
      <c r="R69" s="8">
        <f>IF($D69='[2]Beam '!R$44,$P69*'[2]Beam '!R$45,0)</f>
        <v>0</v>
      </c>
      <c r="S69" s="8">
        <f>IF($D69='[2]Beam '!S$44,$P69*'[2]Beam '!S$45,0)</f>
        <v>0</v>
      </c>
      <c r="T69" s="8">
        <f>IF($D69='[2]Beam '!T$44,$P69*'[2]Beam '!T$45,0)</f>
        <v>0</v>
      </c>
      <c r="U69" s="8">
        <f>IF($D69='[2]Beam '!U$44,$P69*'[2]Beam '!U$45,0)</f>
        <v>27.015214285714283</v>
      </c>
      <c r="V69" s="8">
        <f>IF($D69='[2]Beam '!V$44,$P69*'[2]Beam '!V$45,0)</f>
        <v>0</v>
      </c>
      <c r="W69" s="8">
        <f>IF($D69='[2]Beam '!W$44,$P69*'[2]Beam '!W$45,0)</f>
        <v>0</v>
      </c>
      <c r="X69" s="8">
        <f t="shared" si="18"/>
        <v>27.015214285714283</v>
      </c>
      <c r="Y69" s="8"/>
      <c r="Z69" s="8"/>
      <c r="AA69" s="8"/>
      <c r="AB69" s="8"/>
      <c r="AC69" s="8"/>
      <c r="AD69" s="8"/>
      <c r="AE69" s="8"/>
    </row>
    <row r="70" spans="1:32" s="10" customFormat="1" ht="21" customHeight="1" x14ac:dyDescent="0.25">
      <c r="A70" s="7"/>
      <c r="B70" s="8" t="s">
        <v>2</v>
      </c>
      <c r="C70" s="13" t="s">
        <v>8</v>
      </c>
      <c r="D70" s="8">
        <v>12</v>
      </c>
      <c r="E70" s="8">
        <v>0.1</v>
      </c>
      <c r="F70" s="8">
        <f>ROUNDUP(E65/E70,0)</f>
        <v>23</v>
      </c>
      <c r="H70" s="8"/>
      <c r="I70" s="8"/>
      <c r="J70" s="8"/>
      <c r="K70" s="8"/>
      <c r="L70" s="8"/>
      <c r="M70" s="8"/>
      <c r="N70" s="8"/>
      <c r="O70" s="8">
        <f>(2*((G65-(2*'[2]Beam '!$D$11))+(F65-(2*'[2]Beam '!$D$11)))+(2*10*D70/1000))*D65</f>
        <v>2.9000000000000004</v>
      </c>
      <c r="P70" s="8">
        <f t="shared" si="17"/>
        <v>66.7</v>
      </c>
      <c r="Q70" s="8">
        <f>IF($D70='[2]Beam '!Q$44,$P70*'[2]Beam '!Q$45,0)</f>
        <v>0</v>
      </c>
      <c r="R70" s="8">
        <f>IF($D70='[2]Beam '!R$44,$P70*'[2]Beam '!R$45,0)</f>
        <v>0</v>
      </c>
      <c r="S70" s="8">
        <f>IF($D70='[2]Beam '!S$44,$P70*'[2]Beam '!S$45,0)</f>
        <v>59.241034285714299</v>
      </c>
      <c r="T70" s="8">
        <f>IF($D70='[2]Beam '!T$44,$P70*'[2]Beam '!T$45,0)</f>
        <v>0</v>
      </c>
      <c r="U70" s="8">
        <f>IF($D70='[2]Beam '!U$44,$P70*'[2]Beam '!U$45,0)</f>
        <v>0</v>
      </c>
      <c r="V70" s="8">
        <f>IF($D70='[2]Beam '!V$44,$P70*'[2]Beam '!V$45,0)</f>
        <v>0</v>
      </c>
      <c r="W70" s="8">
        <f>IF($D70='[2]Beam '!W$44,$P70*'[2]Beam '!W$45,0)</f>
        <v>0</v>
      </c>
      <c r="X70" s="8">
        <f t="shared" si="18"/>
        <v>59.241034285714299</v>
      </c>
      <c r="Y70" s="8"/>
      <c r="Z70" s="8"/>
      <c r="AA70" s="8"/>
      <c r="AB70" s="8"/>
      <c r="AC70" s="8"/>
      <c r="AD70" s="8"/>
      <c r="AE70" s="8"/>
      <c r="AF70" s="8"/>
    </row>
    <row r="71" spans="1:32" s="10" customFormat="1" ht="20.100000000000001" customHeight="1" x14ac:dyDescent="0.25">
      <c r="A71" s="14"/>
      <c r="B71" s="8" t="s">
        <v>2</v>
      </c>
      <c r="C71" s="13" t="s">
        <v>9</v>
      </c>
      <c r="D71" s="8">
        <f>+D70</f>
        <v>12</v>
      </c>
      <c r="E71" s="14">
        <f>+E70</f>
        <v>0.1</v>
      </c>
      <c r="F71" s="8">
        <f>ROUNDUP(E65/E71,0)</f>
        <v>23</v>
      </c>
      <c r="H71" s="14"/>
      <c r="I71" s="14"/>
      <c r="J71" s="14"/>
      <c r="K71" s="14"/>
      <c r="L71" s="14"/>
      <c r="M71" s="14"/>
      <c r="N71" s="14"/>
      <c r="O71" s="8">
        <f>((((G65-(2*'[2]Beam '!$D$11))+(2*10*D71/1000))*D65))*1</f>
        <v>1.28</v>
      </c>
      <c r="P71" s="8">
        <f t="shared" si="17"/>
        <v>29.44</v>
      </c>
      <c r="Q71" s="8">
        <f>IF($D71='[2]Beam '!Q$44,$P71*'[2]Beam '!Q$45,0)</f>
        <v>0</v>
      </c>
      <c r="R71" s="8">
        <f>IF($D71='[2]Beam '!R$44,$P71*'[2]Beam '!R$45,0)</f>
        <v>0</v>
      </c>
      <c r="S71" s="8">
        <f>IF($D71='[2]Beam '!S$44,$P71*'[2]Beam '!S$45,0)</f>
        <v>26.147766857142862</v>
      </c>
      <c r="T71" s="8">
        <f>IF($D71='[2]Beam '!T$44,$P71*'[2]Beam '!T$45,0)</f>
        <v>0</v>
      </c>
      <c r="U71" s="8">
        <f>IF($D71='[2]Beam '!U$44,$P71*'[2]Beam '!U$45,0)</f>
        <v>0</v>
      </c>
      <c r="V71" s="8">
        <f>IF($D71='[2]Beam '!V$44,$P71*'[2]Beam '!V$45,0)</f>
        <v>0</v>
      </c>
      <c r="W71" s="8">
        <f>IF($D71='[2]Beam '!W$44,$P71*'[2]Beam '!W$45,0)</f>
        <v>0</v>
      </c>
      <c r="X71" s="8">
        <f t="shared" si="18"/>
        <v>26.147766857142862</v>
      </c>
      <c r="Y71" s="14"/>
      <c r="Z71" s="8"/>
      <c r="AA71" s="8"/>
      <c r="AB71" s="8"/>
      <c r="AC71" s="8"/>
      <c r="AD71" s="8"/>
      <c r="AE71" s="8"/>
    </row>
    <row r="72" spans="1:32" s="10" customFormat="1" ht="20.100000000000001" customHeight="1" x14ac:dyDescent="0.25">
      <c r="A72" s="7"/>
      <c r="B72" s="8" t="s">
        <v>2</v>
      </c>
      <c r="C72" s="13" t="s">
        <v>10</v>
      </c>
      <c r="D72" s="8">
        <f>+'[2]Beam '!$D$15</f>
        <v>25</v>
      </c>
      <c r="E72" s="8">
        <f>+'[2]Beam '!$E$15</f>
        <v>1</v>
      </c>
      <c r="F72" s="8">
        <f>ROUNDUP((E65+E65)/E72,0)</f>
        <v>5</v>
      </c>
      <c r="G72" s="9"/>
      <c r="H72" s="9"/>
      <c r="I72" s="8"/>
      <c r="J72" s="8"/>
      <c r="K72" s="8"/>
      <c r="L72" s="8"/>
      <c r="M72" s="8"/>
      <c r="N72" s="8"/>
      <c r="O72" s="8">
        <f>F65-'[2]Beam '!$F$15</f>
        <v>0.28999999999999998</v>
      </c>
      <c r="P72" s="8">
        <f t="shared" si="17"/>
        <v>1.45</v>
      </c>
      <c r="Q72" s="8">
        <f>IF($D72='[2]Beam '!Q$44,$P72*'[2]Beam '!Q$45,0)</f>
        <v>0</v>
      </c>
      <c r="R72" s="8">
        <f>IF($D72='[2]Beam '!R$44,$P72*'[2]Beam '!R$45,0)</f>
        <v>0</v>
      </c>
      <c r="S72" s="8">
        <f>IF($D72='[2]Beam '!S$44,$P72*'[2]Beam '!S$45,0)</f>
        <v>0</v>
      </c>
      <c r="T72" s="8">
        <f>IF($D72='[2]Beam '!T$44,$P72*'[2]Beam '!T$45,0)</f>
        <v>0</v>
      </c>
      <c r="U72" s="8">
        <f>IF($D72='[2]Beam '!U$44,$P72*'[2]Beam '!U$45,0)</f>
        <v>0</v>
      </c>
      <c r="V72" s="8">
        <f>IF($D72='[2]Beam '!V$44,$P72*'[2]Beam '!V$45,0)</f>
        <v>5.5896205357142863</v>
      </c>
      <c r="W72" s="8">
        <f>IF($D72='[2]Beam '!W$44,$P72*'[2]Beam '!W$45,0)</f>
        <v>0</v>
      </c>
      <c r="X72" s="8">
        <f t="shared" si="18"/>
        <v>5.5896205357142863</v>
      </c>
      <c r="Y72" s="8"/>
      <c r="Z72" s="8"/>
      <c r="AA72" s="8"/>
      <c r="AB72" s="8"/>
      <c r="AC72" s="8"/>
      <c r="AD72" s="8"/>
      <c r="AE72" s="8"/>
    </row>
    <row r="73" spans="1:32" s="10" customFormat="1" ht="20.100000000000001" customHeight="1" x14ac:dyDescent="0.25">
      <c r="A73" s="8">
        <v>1</v>
      </c>
      <c r="B73" s="8" t="s">
        <v>2</v>
      </c>
      <c r="C73" s="11" t="s">
        <v>22</v>
      </c>
      <c r="D73" s="11">
        <v>1</v>
      </c>
      <c r="E73" s="11">
        <v>5.4</v>
      </c>
      <c r="F73" s="11">
        <v>0.45</v>
      </c>
      <c r="G73" s="11">
        <v>0.6</v>
      </c>
      <c r="H73" s="8">
        <f>G73-0.2</f>
        <v>0.39999999999999997</v>
      </c>
      <c r="I73" s="8">
        <f>E73*F73*G73*D73</f>
        <v>1.458</v>
      </c>
      <c r="J73" s="8">
        <f>(2*(E73)*H73*D73)+(E73*F73)</f>
        <v>6.75</v>
      </c>
      <c r="K73" s="12">
        <f>IF(E73=0.3,J73,0)</f>
        <v>0</v>
      </c>
      <c r="L73" s="12">
        <f>IF(AND(E73&gt;0.3,E73&lt;=0.75),J73,0)</f>
        <v>0</v>
      </c>
      <c r="M73" s="12">
        <f>IF(AND(E73&gt;0.75,E73&lt;=1.2),J73,0)</f>
        <v>0</v>
      </c>
      <c r="N73" s="12">
        <f>IF(E73&gt;1.2,J73,0)</f>
        <v>6.75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>
        <f>SUM(X74:X81)/I73</f>
        <v>163.21926748971197</v>
      </c>
      <c r="Z73" s="8"/>
      <c r="AA73" s="8"/>
      <c r="AB73" s="8"/>
      <c r="AC73" s="8"/>
      <c r="AD73" s="8"/>
      <c r="AE73" s="8"/>
    </row>
    <row r="74" spans="1:32" s="10" customFormat="1" ht="20.100000000000001" customHeight="1" x14ac:dyDescent="0.25">
      <c r="A74" s="7"/>
      <c r="B74" s="8" t="s">
        <v>2</v>
      </c>
      <c r="C74" s="13" t="s">
        <v>4</v>
      </c>
      <c r="D74" s="8">
        <v>20</v>
      </c>
      <c r="E74" s="8"/>
      <c r="F74" s="8">
        <v>4</v>
      </c>
      <c r="G74" s="9">
        <f>VLOOKUP(D74,'[2]Beam '!$C$20:$H$26,3,0)</f>
        <v>0.8</v>
      </c>
      <c r="H74" s="9"/>
      <c r="I74" s="8"/>
      <c r="J74" s="8"/>
      <c r="K74" s="8"/>
      <c r="L74" s="8"/>
      <c r="M74" s="8"/>
      <c r="N74" s="8"/>
      <c r="O74" s="8">
        <f>(E73+1*(G74+(12*D74/1000)+1*(1.5/2))*D73)</f>
        <v>7.19</v>
      </c>
      <c r="P74" s="8">
        <f t="shared" ref="P74:P82" si="19">O74*F74</f>
        <v>28.76</v>
      </c>
      <c r="Q74" s="8">
        <f>IF($D74='[2]Beam '!Q$44,$P74*'[2]Beam '!Q$45,0)</f>
        <v>0</v>
      </c>
      <c r="R74" s="8">
        <f>IF($D74='[2]Beam '!R$44,$P74*'[2]Beam '!R$45,0)</f>
        <v>0</v>
      </c>
      <c r="S74" s="8">
        <f>IF($D74='[2]Beam '!S$44,$P74*'[2]Beam '!S$45,0)</f>
        <v>0</v>
      </c>
      <c r="T74" s="8">
        <f>IF($D74='[2]Beam '!T$44,$P74*'[2]Beam '!T$45,0)</f>
        <v>0</v>
      </c>
      <c r="U74" s="8">
        <f>IF($D74='[2]Beam '!U$44,$P74*'[2]Beam '!U$45,0)</f>
        <v>70.955028571428571</v>
      </c>
      <c r="V74" s="8">
        <f>IF($D74='[2]Beam '!V$44,$P74*'[2]Beam '!V$45,0)</f>
        <v>0</v>
      </c>
      <c r="W74" s="8">
        <f>IF($D74='[2]Beam '!W$44,$P74*'[2]Beam '!W$45,0)</f>
        <v>0</v>
      </c>
      <c r="X74" s="8">
        <f t="shared" ref="X74:X82" si="20">SUM(Q74:W74)</f>
        <v>70.955028571428571</v>
      </c>
      <c r="Y74" s="8"/>
      <c r="Z74" s="8"/>
      <c r="AA74" s="8"/>
      <c r="AB74" s="8"/>
      <c r="AC74" s="8"/>
      <c r="AD74" s="8"/>
      <c r="AE74" s="8"/>
    </row>
    <row r="75" spans="1:32" s="10" customFormat="1" ht="20.100000000000001" customHeight="1" x14ac:dyDescent="0.25">
      <c r="A75" s="7"/>
      <c r="B75" s="8" t="s">
        <v>2</v>
      </c>
      <c r="C75" s="13" t="s">
        <v>5</v>
      </c>
      <c r="D75" s="8">
        <v>16</v>
      </c>
      <c r="E75" s="8"/>
      <c r="F75" s="8">
        <v>2</v>
      </c>
      <c r="G75" s="9">
        <f>VLOOKUP(D75,'[2]Beam '!$C$20:$H$26,3,0)</f>
        <v>0.625</v>
      </c>
      <c r="H75" s="9"/>
      <c r="I75" s="8"/>
      <c r="J75" s="8"/>
      <c r="K75" s="8"/>
      <c r="L75" s="8"/>
      <c r="M75" s="8"/>
      <c r="N75" s="8"/>
      <c r="O75" s="8">
        <f>(1.35+1*(1.5/2))*D73</f>
        <v>2.1</v>
      </c>
      <c r="P75" s="8">
        <f t="shared" si="19"/>
        <v>4.2</v>
      </c>
      <c r="Q75" s="8">
        <f>IF($D75='[2]Beam '!Q$44,$P75*'[2]Beam '!Q$45,0)</f>
        <v>0</v>
      </c>
      <c r="R75" s="8">
        <f>IF($D75='[2]Beam '!R$44,$P75*'[2]Beam '!R$45,0)</f>
        <v>0</v>
      </c>
      <c r="S75" s="8">
        <f>IF($D75='[2]Beam '!S$44,$P75*'[2]Beam '!S$45,0)</f>
        <v>0</v>
      </c>
      <c r="T75" s="8">
        <f>IF($D75='[2]Beam '!T$44,$P75*'[2]Beam '!T$45,0)</f>
        <v>6.6316800000000011</v>
      </c>
      <c r="U75" s="8">
        <f>IF($D75='[2]Beam '!U$44,$P75*'[2]Beam '!U$45,0)</f>
        <v>0</v>
      </c>
      <c r="V75" s="8">
        <f>IF($D75='[2]Beam '!V$44,$P75*'[2]Beam '!V$45,0)</f>
        <v>0</v>
      </c>
      <c r="W75" s="8">
        <f>IF($D75='[2]Beam '!W$44,$P75*'[2]Beam '!W$45,0)</f>
        <v>0</v>
      </c>
      <c r="X75" s="8">
        <f t="shared" si="20"/>
        <v>6.6316800000000011</v>
      </c>
      <c r="Y75" s="8"/>
      <c r="Z75" s="8"/>
      <c r="AA75" s="8"/>
      <c r="AB75" s="8"/>
      <c r="AC75" s="8"/>
      <c r="AD75" s="8"/>
      <c r="AE75" s="8"/>
    </row>
    <row r="76" spans="1:32" s="14" customFormat="1" ht="20.100000000000001" customHeight="1" x14ac:dyDescent="0.3">
      <c r="A76" s="7"/>
      <c r="B76" s="8" t="s">
        <v>2</v>
      </c>
      <c r="C76" s="13" t="s">
        <v>6</v>
      </c>
      <c r="D76" s="8">
        <v>16</v>
      </c>
      <c r="E76" s="8"/>
      <c r="F76" s="8">
        <v>4</v>
      </c>
      <c r="G76" s="9">
        <f>VLOOKUP(D76,'[2]Beam '!$C$20:$H$26,3,0)</f>
        <v>0.625</v>
      </c>
      <c r="H76" s="8"/>
      <c r="I76" s="8"/>
      <c r="J76" s="8"/>
      <c r="K76" s="8"/>
      <c r="L76" s="8"/>
      <c r="M76" s="8"/>
      <c r="N76" s="8"/>
      <c r="O76" s="8">
        <f>(E73+1*(G76+(12*D76/1000)+1*(1.5/2))*D73)</f>
        <v>6.9670000000000005</v>
      </c>
      <c r="P76" s="8">
        <f t="shared" si="19"/>
        <v>27.868000000000002</v>
      </c>
      <c r="Q76" s="8">
        <f>IF($D76='[2]Beam '!Q$44,$P76*'[2]Beam '!Q$45,0)</f>
        <v>0</v>
      </c>
      <c r="R76" s="8">
        <f>IF($D76='[2]Beam '!R$44,$P76*'[2]Beam '!R$45,0)</f>
        <v>0</v>
      </c>
      <c r="S76" s="8">
        <f>IF($D76='[2]Beam '!S$44,$P76*'[2]Beam '!S$45,0)</f>
        <v>0</v>
      </c>
      <c r="T76" s="8">
        <f>IF($D76='[2]Beam '!T$44,$P76*'[2]Beam '!T$45,0)</f>
        <v>44.002775771428581</v>
      </c>
      <c r="U76" s="8">
        <f>IF($D76='[2]Beam '!U$44,$P76*'[2]Beam '!U$45,0)</f>
        <v>0</v>
      </c>
      <c r="V76" s="8">
        <f>IF($D76='[2]Beam '!V$44,$P76*'[2]Beam '!V$45,0)</f>
        <v>0</v>
      </c>
      <c r="W76" s="8">
        <f>IF($D76='[2]Beam '!W$44,$P76*'[2]Beam '!W$45,0)</f>
        <v>0</v>
      </c>
      <c r="X76" s="8">
        <f t="shared" si="20"/>
        <v>44.002775771428581</v>
      </c>
      <c r="Y76" s="8"/>
    </row>
    <row r="77" spans="1:32" s="14" customFormat="1" ht="20.100000000000001" customHeight="1" x14ac:dyDescent="0.3">
      <c r="A77" s="7"/>
      <c r="B77" s="8" t="s">
        <v>2</v>
      </c>
      <c r="C77" s="13" t="s">
        <v>7</v>
      </c>
      <c r="D77" s="8">
        <v>12</v>
      </c>
      <c r="E77" s="8"/>
      <c r="F77" s="8">
        <v>2</v>
      </c>
      <c r="G77" s="9">
        <f>VLOOKUP(D77,'[2]Beam '!$C$20:$H$26,3,0)</f>
        <v>0.47499999999999998</v>
      </c>
      <c r="H77" s="8"/>
      <c r="I77" s="8"/>
      <c r="J77" s="8"/>
      <c r="K77" s="8"/>
      <c r="L77" s="8"/>
      <c r="M77" s="8"/>
      <c r="N77" s="8"/>
      <c r="O77" s="8">
        <f>(E73+1*(G77+(12*D77/1000)+1*(1.5/2))*D73)</f>
        <v>6.7690000000000001</v>
      </c>
      <c r="P77" s="8">
        <f t="shared" si="19"/>
        <v>13.538</v>
      </c>
      <c r="Q77" s="8">
        <f>IF($D77='[2]Beam '!Q$44,$P77*'[2]Beam '!Q$45,0)</f>
        <v>0</v>
      </c>
      <c r="R77" s="8">
        <f>IF($D77='[2]Beam '!R$44,$P77*'[2]Beam '!R$45,0)</f>
        <v>0</v>
      </c>
      <c r="S77" s="8">
        <f>IF($D77='[2]Beam '!S$44,$P77*'[2]Beam '!S$45,0)</f>
        <v>12.024064800000001</v>
      </c>
      <c r="T77" s="8">
        <f>IF($D77='[2]Beam '!T$44,$P77*'[2]Beam '!T$45,0)</f>
        <v>0</v>
      </c>
      <c r="U77" s="8">
        <f>IF($D77='[2]Beam '!U$44,$P77*'[2]Beam '!U$45,0)</f>
        <v>0</v>
      </c>
      <c r="V77" s="8">
        <f>IF($D77='[2]Beam '!V$44,$P77*'[2]Beam '!V$45,0)</f>
        <v>0</v>
      </c>
      <c r="W77" s="8">
        <f>IF($D77='[2]Beam '!W$44,$P77*'[2]Beam '!W$45,0)</f>
        <v>0</v>
      </c>
      <c r="X77" s="8">
        <f t="shared" si="20"/>
        <v>12.024064800000001</v>
      </c>
      <c r="Y77" s="8"/>
    </row>
    <row r="78" spans="1:32" s="14" customFormat="1" ht="20.100000000000001" customHeight="1" x14ac:dyDescent="0.25">
      <c r="A78" s="7"/>
      <c r="B78" s="8" t="s">
        <v>2</v>
      </c>
      <c r="C78" s="13" t="s">
        <v>13</v>
      </c>
      <c r="D78" s="8">
        <v>10</v>
      </c>
      <c r="E78" s="8">
        <v>0.1</v>
      </c>
      <c r="F78" s="8">
        <f>ROUND(IF(E73/3&gt;(2*G73),(E73/3)/E78,(2*G73)/E78),0)*2+1</f>
        <v>37</v>
      </c>
      <c r="G78" s="10"/>
      <c r="H78" s="8"/>
      <c r="I78" s="8"/>
      <c r="J78" s="8"/>
      <c r="K78" s="8"/>
      <c r="L78" s="8"/>
      <c r="M78" s="8"/>
      <c r="N78" s="8"/>
      <c r="O78" s="8">
        <f>(2*((G73-(2*'[2]Beam '!$D$11))+(F73-(2*'[2]Beam '!$D$11)))+(2*10*D78/1000))*D73</f>
        <v>2.06</v>
      </c>
      <c r="P78" s="8">
        <f t="shared" si="19"/>
        <v>76.22</v>
      </c>
      <c r="Q78" s="8">
        <f>IF($D78='[2]Beam '!Q$44,$P78*'[2]Beam '!Q$45,0)</f>
        <v>0</v>
      </c>
      <c r="R78" s="8">
        <f>IF($D78='[2]Beam '!R$44,$P78*'[2]Beam '!R$45,0)</f>
        <v>47.011407142857138</v>
      </c>
      <c r="S78" s="8">
        <f>IF($D78='[2]Beam '!S$44,$P78*'[2]Beam '!S$45,0)</f>
        <v>0</v>
      </c>
      <c r="T78" s="8">
        <f>IF($D78='[2]Beam '!T$44,$P78*'[2]Beam '!T$45,0)</f>
        <v>0</v>
      </c>
      <c r="U78" s="8">
        <f>IF($D78='[2]Beam '!U$44,$P78*'[2]Beam '!U$45,0)</f>
        <v>0</v>
      </c>
      <c r="V78" s="8">
        <f>IF($D78='[2]Beam '!V$44,$P78*'[2]Beam '!V$45,0)</f>
        <v>0</v>
      </c>
      <c r="W78" s="8">
        <f>IF($D78='[2]Beam '!W$44,$P78*'[2]Beam '!W$45,0)</f>
        <v>0</v>
      </c>
      <c r="X78" s="8">
        <f t="shared" si="20"/>
        <v>47.011407142857138</v>
      </c>
      <c r="Y78" s="8"/>
    </row>
    <row r="79" spans="1:32" s="10" customFormat="1" ht="20.100000000000001" customHeight="1" x14ac:dyDescent="0.25">
      <c r="A79" s="14"/>
      <c r="B79" s="8" t="s">
        <v>2</v>
      </c>
      <c r="C79" s="13" t="s">
        <v>14</v>
      </c>
      <c r="D79" s="14">
        <f>D78</f>
        <v>10</v>
      </c>
      <c r="E79" s="14">
        <v>0.17499999999999999</v>
      </c>
      <c r="F79" s="14">
        <f>ROUND((E73-(IF(E73/3&gt;2*G73,E73/3*2,G73*2*2)))/E79,0)</f>
        <v>10</v>
      </c>
      <c r="H79" s="14"/>
      <c r="I79" s="14"/>
      <c r="J79" s="14"/>
      <c r="K79" s="14"/>
      <c r="L79" s="14"/>
      <c r="M79" s="14"/>
      <c r="N79" s="14"/>
      <c r="O79" s="8">
        <f>(2*((G73-(2*'[2]Beam '!$D$11))+(F73-(2*'[2]Beam '!$D$11)))+(2*10*D79/1000))*D73</f>
        <v>2.06</v>
      </c>
      <c r="P79" s="8">
        <f t="shared" si="19"/>
        <v>20.6</v>
      </c>
      <c r="Q79" s="8">
        <f>IF($D79='[2]Beam '!Q$44,$P79*'[2]Beam '!Q$45,0)</f>
        <v>0</v>
      </c>
      <c r="R79" s="8">
        <f>IF($D79='[2]Beam '!R$44,$P79*'[2]Beam '!R$45,0)</f>
        <v>12.705785714285716</v>
      </c>
      <c r="S79" s="8">
        <f>IF($D79='[2]Beam '!S$44,$P79*'[2]Beam '!S$45,0)</f>
        <v>0</v>
      </c>
      <c r="T79" s="8">
        <f>IF($D79='[2]Beam '!T$44,$P79*'[2]Beam '!T$45,0)</f>
        <v>0</v>
      </c>
      <c r="U79" s="8">
        <f>IF($D79='[2]Beam '!U$44,$P79*'[2]Beam '!U$45,0)</f>
        <v>0</v>
      </c>
      <c r="V79" s="8">
        <f>IF($D79='[2]Beam '!V$44,$P79*'[2]Beam '!V$45,0)</f>
        <v>0</v>
      </c>
      <c r="W79" s="8">
        <f>IF($D79='[2]Beam '!W$44,$P79*'[2]Beam '!W$45,0)</f>
        <v>0</v>
      </c>
      <c r="X79" s="8">
        <f t="shared" si="20"/>
        <v>12.705785714285716</v>
      </c>
      <c r="Y79" s="14"/>
      <c r="Z79" s="8"/>
      <c r="AA79" s="8"/>
      <c r="AB79" s="8"/>
      <c r="AC79" s="8"/>
      <c r="AD79" s="8"/>
      <c r="AE79" s="8"/>
    </row>
    <row r="80" spans="1:32" s="10" customFormat="1" ht="21" customHeight="1" x14ac:dyDescent="0.25">
      <c r="A80" s="14"/>
      <c r="B80" s="8" t="s">
        <v>2</v>
      </c>
      <c r="C80" s="13" t="s">
        <v>15</v>
      </c>
      <c r="D80" s="14">
        <f>D78</f>
        <v>10</v>
      </c>
      <c r="E80" s="14">
        <f>+E78</f>
        <v>0.1</v>
      </c>
      <c r="F80" s="8">
        <f>ROUND(IF(E73/3&gt;(2*G73),(E73/3)/E80,(2*G73)/E80),0)*2+1</f>
        <v>37</v>
      </c>
      <c r="H80" s="14"/>
      <c r="I80" s="14"/>
      <c r="J80" s="14"/>
      <c r="K80" s="14"/>
      <c r="L80" s="14"/>
      <c r="M80" s="14"/>
      <c r="N80" s="14"/>
      <c r="O80" s="8">
        <f>(2*(((F73-'[2]Beam '!$D$11*2)/(F74-1))+(G73-'[2]Beam '!$D$11*2))+(2*10*D80/1000))*D73</f>
        <v>1.54</v>
      </c>
      <c r="P80" s="8">
        <f t="shared" si="19"/>
        <v>56.980000000000004</v>
      </c>
      <c r="Q80" s="8">
        <f>IF($D80='[2]Beam '!Q$44,$P80*'[2]Beam '!Q$45,0)</f>
        <v>0</v>
      </c>
      <c r="R80" s="8">
        <f>IF($D80='[2]Beam '!R$44,$P80*'[2]Beam '!R$45,0)</f>
        <v>35.144449999999999</v>
      </c>
      <c r="S80" s="8">
        <f>IF($D80='[2]Beam '!S$44,$P80*'[2]Beam '!S$45,0)</f>
        <v>0</v>
      </c>
      <c r="T80" s="8">
        <f>IF($D80='[2]Beam '!T$44,$P80*'[2]Beam '!T$45,0)</f>
        <v>0</v>
      </c>
      <c r="U80" s="8">
        <f>IF($D80='[2]Beam '!U$44,$P80*'[2]Beam '!U$45,0)</f>
        <v>0</v>
      </c>
      <c r="V80" s="8">
        <f>IF($D80='[2]Beam '!V$44,$P80*'[2]Beam '!V$45,0)</f>
        <v>0</v>
      </c>
      <c r="W80" s="8">
        <f>IF($D80='[2]Beam '!W$44,$P80*'[2]Beam '!W$45,0)</f>
        <v>0</v>
      </c>
      <c r="X80" s="8">
        <f t="shared" si="20"/>
        <v>35.144449999999999</v>
      </c>
      <c r="Y80" s="14"/>
      <c r="Z80" s="8"/>
      <c r="AA80" s="8"/>
      <c r="AB80" s="8"/>
      <c r="AC80" s="8"/>
      <c r="AD80" s="8"/>
      <c r="AE80" s="8"/>
      <c r="AF80" s="8"/>
    </row>
    <row r="81" spans="1:32" s="10" customFormat="1" ht="20.100000000000001" customHeight="1" x14ac:dyDescent="0.25">
      <c r="A81" s="14"/>
      <c r="B81" s="8" t="s">
        <v>2</v>
      </c>
      <c r="C81" s="13" t="s">
        <v>16</v>
      </c>
      <c r="D81" s="14">
        <f>D79</f>
        <v>10</v>
      </c>
      <c r="E81" s="14">
        <f>+E79</f>
        <v>0.17499999999999999</v>
      </c>
      <c r="F81" s="14">
        <f>ROUND((E73-(IF(E73/3&gt;2*G73,E73/3*2,G73*2*2)))/E81,0)</f>
        <v>10</v>
      </c>
      <c r="H81" s="14"/>
      <c r="I81" s="14"/>
      <c r="J81" s="14"/>
      <c r="K81" s="14"/>
      <c r="L81" s="14"/>
      <c r="M81" s="14"/>
      <c r="N81" s="14"/>
      <c r="O81" s="8">
        <f>(2*(((F73-'[2]Beam '!$D$11*2)/(F74-1))+(G73-'[2]Beam '!$D$11*2))+(2*10*D81/1000))*D73</f>
        <v>1.54</v>
      </c>
      <c r="P81" s="8">
        <f t="shared" si="19"/>
        <v>15.4</v>
      </c>
      <c r="Q81" s="8">
        <f>IF($D81='[2]Beam '!Q$44,$P81*'[2]Beam '!Q$45,0)</f>
        <v>0</v>
      </c>
      <c r="R81" s="8">
        <f>IF($D81='[2]Beam '!R$44,$P81*'[2]Beam '!R$45,0)</f>
        <v>9.4984999999999999</v>
      </c>
      <c r="S81" s="8">
        <f>IF($D81='[2]Beam '!S$44,$P81*'[2]Beam '!S$45,0)</f>
        <v>0</v>
      </c>
      <c r="T81" s="8">
        <f>IF($D81='[2]Beam '!T$44,$P81*'[2]Beam '!T$45,0)</f>
        <v>0</v>
      </c>
      <c r="U81" s="8">
        <f>IF($D81='[2]Beam '!U$44,$P81*'[2]Beam '!U$45,0)</f>
        <v>0</v>
      </c>
      <c r="V81" s="8">
        <f>IF($D81='[2]Beam '!V$44,$P81*'[2]Beam '!V$45,0)</f>
        <v>0</v>
      </c>
      <c r="W81" s="8">
        <f>IF($D81='[2]Beam '!W$44,$P81*'[2]Beam '!W$45,0)</f>
        <v>0</v>
      </c>
      <c r="X81" s="8">
        <f t="shared" si="20"/>
        <v>9.4984999999999999</v>
      </c>
      <c r="Y81" s="14"/>
      <c r="Z81" s="8"/>
      <c r="AA81" s="8"/>
      <c r="AB81" s="8"/>
      <c r="AC81" s="8"/>
      <c r="AD81" s="8"/>
      <c r="AE81" s="8"/>
    </row>
    <row r="82" spans="1:32" s="10" customFormat="1" ht="20.100000000000001" customHeight="1" x14ac:dyDescent="0.25">
      <c r="A82" s="7"/>
      <c r="B82" s="8" t="s">
        <v>2</v>
      </c>
      <c r="C82" s="13" t="s">
        <v>10</v>
      </c>
      <c r="D82" s="8">
        <f>+'[2]Beam '!$D$15</f>
        <v>25</v>
      </c>
      <c r="E82" s="8">
        <f>+'[2]Beam '!$E$15</f>
        <v>1</v>
      </c>
      <c r="F82" s="8">
        <f>ROUNDUP((1.35+E73)/E82,0)</f>
        <v>7</v>
      </c>
      <c r="G82" s="9"/>
      <c r="H82" s="9"/>
      <c r="I82" s="8"/>
      <c r="J82" s="8"/>
      <c r="K82" s="8"/>
      <c r="L82" s="8"/>
      <c r="M82" s="8"/>
      <c r="N82" s="8"/>
      <c r="O82" s="8">
        <f>F73-'[2]Beam '!$F$15</f>
        <v>0.39</v>
      </c>
      <c r="P82" s="8">
        <f t="shared" si="19"/>
        <v>2.73</v>
      </c>
      <c r="Q82" s="8">
        <f>IF($D82='[2]Beam '!Q$44,$P82*'[2]Beam '!Q$45,0)</f>
        <v>0</v>
      </c>
      <c r="R82" s="8">
        <f>IF($D82='[2]Beam '!R$44,$P82*'[2]Beam '!R$45,0)</f>
        <v>0</v>
      </c>
      <c r="S82" s="8">
        <f>IF($D82='[2]Beam '!S$44,$P82*'[2]Beam '!S$45,0)</f>
        <v>0</v>
      </c>
      <c r="T82" s="8">
        <f>IF($D82='[2]Beam '!T$44,$P82*'[2]Beam '!T$45,0)</f>
        <v>0</v>
      </c>
      <c r="U82" s="8">
        <f>IF($D82='[2]Beam '!U$44,$P82*'[2]Beam '!U$45,0)</f>
        <v>0</v>
      </c>
      <c r="V82" s="8">
        <f>IF($D82='[2]Beam '!V$44,$P82*'[2]Beam '!V$45,0)</f>
        <v>10.523906250000001</v>
      </c>
      <c r="W82" s="8">
        <f>IF($D82='[2]Beam '!W$44,$P82*'[2]Beam '!W$45,0)</f>
        <v>0</v>
      </c>
      <c r="X82" s="8">
        <f t="shared" si="20"/>
        <v>10.523906250000001</v>
      </c>
      <c r="Y82" s="8"/>
      <c r="Z82" s="8"/>
      <c r="AA82" s="8"/>
      <c r="AB82" s="8"/>
      <c r="AC82" s="8"/>
      <c r="AD82" s="8"/>
      <c r="AE82" s="8"/>
    </row>
    <row r="83" spans="1:32" s="10" customFormat="1" ht="20.100000000000001" customHeight="1" x14ac:dyDescent="0.25">
      <c r="A83" s="8">
        <v>1</v>
      </c>
      <c r="B83" s="8" t="s">
        <v>2</v>
      </c>
      <c r="C83" s="11" t="s">
        <v>23</v>
      </c>
      <c r="D83" s="11">
        <v>1</v>
      </c>
      <c r="E83" s="11">
        <v>6</v>
      </c>
      <c r="F83" s="11">
        <v>0.45</v>
      </c>
      <c r="G83" s="11">
        <v>0.6</v>
      </c>
      <c r="H83" s="8">
        <f>G83-0.2</f>
        <v>0.39999999999999997</v>
      </c>
      <c r="I83" s="8">
        <f>E83*F83*G83*D83</f>
        <v>1.62</v>
      </c>
      <c r="J83" s="8">
        <f>(2*(E83)*H83*D83)+(E83*F83)</f>
        <v>7.5</v>
      </c>
      <c r="K83" s="12">
        <f>IF(E83=0.3,J83,0)</f>
        <v>0</v>
      </c>
      <c r="L83" s="12">
        <f>IF(AND(E83&gt;0.3,E83&lt;=0.75),J83,0)</f>
        <v>0</v>
      </c>
      <c r="M83" s="12">
        <f>IF(AND(E83&gt;0.75,E83&lt;=1.2),J83,0)</f>
        <v>0</v>
      </c>
      <c r="N83" s="12">
        <f>IF(E83&gt;1.2,J83,0)</f>
        <v>7.5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>
        <f>SUM(X84:X92)/I83</f>
        <v>167.66215520282188</v>
      </c>
      <c r="Z83" s="8"/>
      <c r="AA83" s="8"/>
      <c r="AB83" s="8"/>
      <c r="AC83" s="8"/>
      <c r="AD83" s="8"/>
      <c r="AE83" s="8"/>
    </row>
    <row r="84" spans="1:32" s="10" customFormat="1" ht="20.100000000000001" customHeight="1" x14ac:dyDescent="0.25">
      <c r="A84" s="7"/>
      <c r="B84" s="8" t="s">
        <v>2</v>
      </c>
      <c r="C84" s="13" t="s">
        <v>4</v>
      </c>
      <c r="D84" s="8">
        <v>20</v>
      </c>
      <c r="E84" s="8"/>
      <c r="F84" s="8">
        <v>4</v>
      </c>
      <c r="G84" s="9">
        <f>VLOOKUP(D84,'[2]Beam '!$C$20:$H$26,3,0)</f>
        <v>0.8</v>
      </c>
      <c r="H84" s="9"/>
      <c r="I84" s="8"/>
      <c r="J84" s="8"/>
      <c r="K84" s="8"/>
      <c r="L84" s="8"/>
      <c r="M84" s="8"/>
      <c r="N84" s="8"/>
      <c r="O84" s="8">
        <f>(E83+2*(1.5/2))*D83</f>
        <v>7.5</v>
      </c>
      <c r="P84" s="8">
        <f t="shared" ref="P84:P93" si="21">O84*F84</f>
        <v>30</v>
      </c>
      <c r="Q84" s="8">
        <f>IF($D84='[2]Beam '!Q$44,$P84*'[2]Beam '!Q$45,0)</f>
        <v>0</v>
      </c>
      <c r="R84" s="8">
        <f>IF($D84='[2]Beam '!R$44,$P84*'[2]Beam '!R$45,0)</f>
        <v>0</v>
      </c>
      <c r="S84" s="8">
        <f>IF($D84='[2]Beam '!S$44,$P84*'[2]Beam '!S$45,0)</f>
        <v>0</v>
      </c>
      <c r="T84" s="8">
        <f>IF($D84='[2]Beam '!T$44,$P84*'[2]Beam '!T$45,0)</f>
        <v>0</v>
      </c>
      <c r="U84" s="8">
        <f>IF($D84='[2]Beam '!U$44,$P84*'[2]Beam '!U$45,0)</f>
        <v>74.014285714285705</v>
      </c>
      <c r="V84" s="8">
        <f>IF($D84='[2]Beam '!V$44,$P84*'[2]Beam '!V$45,0)</f>
        <v>0</v>
      </c>
      <c r="W84" s="8">
        <f>IF($D84='[2]Beam '!W$44,$P84*'[2]Beam '!W$45,0)</f>
        <v>0</v>
      </c>
      <c r="X84" s="8">
        <f t="shared" ref="X84:X93" si="22">SUM(Q84:W84)</f>
        <v>74.014285714285705</v>
      </c>
      <c r="Y84" s="8"/>
      <c r="Z84" s="8"/>
      <c r="AA84" s="8"/>
      <c r="AB84" s="8"/>
      <c r="AC84" s="8"/>
      <c r="AD84" s="8"/>
      <c r="AE84" s="8"/>
    </row>
    <row r="85" spans="1:32" s="10" customFormat="1" ht="20.100000000000001" customHeight="1" x14ac:dyDescent="0.25">
      <c r="A85" s="7"/>
      <c r="B85" s="8" t="s">
        <v>2</v>
      </c>
      <c r="C85" s="13" t="s">
        <v>5</v>
      </c>
      <c r="D85" s="8">
        <v>16</v>
      </c>
      <c r="E85" s="8"/>
      <c r="F85" s="8">
        <v>2</v>
      </c>
      <c r="G85" s="9">
        <f>VLOOKUP(D85,'[2]Beam '!$C$20:$H$26,3,0)</f>
        <v>0.625</v>
      </c>
      <c r="H85" s="9"/>
      <c r="I85" s="8"/>
      <c r="J85" s="8"/>
      <c r="K85" s="8"/>
      <c r="L85" s="8"/>
      <c r="M85" s="8"/>
      <c r="N85" s="8"/>
      <c r="O85" s="8">
        <f>(1.9+1*(1.5/2))*D83</f>
        <v>2.65</v>
      </c>
      <c r="P85" s="8">
        <f t="shared" si="21"/>
        <v>5.3</v>
      </c>
      <c r="Q85" s="8">
        <f>IF($D85='[2]Beam '!Q$44,$P85*'[2]Beam '!Q$45,0)</f>
        <v>0</v>
      </c>
      <c r="R85" s="8">
        <f>IF($D85='[2]Beam '!R$44,$P85*'[2]Beam '!R$45,0)</f>
        <v>0</v>
      </c>
      <c r="S85" s="8">
        <f>IF($D85='[2]Beam '!S$44,$P85*'[2]Beam '!S$45,0)</f>
        <v>0</v>
      </c>
      <c r="T85" s="8">
        <f>IF($D85='[2]Beam '!T$44,$P85*'[2]Beam '!T$45,0)</f>
        <v>8.3685485714285726</v>
      </c>
      <c r="U85" s="8">
        <f>IF($D85='[2]Beam '!U$44,$P85*'[2]Beam '!U$45,0)</f>
        <v>0</v>
      </c>
      <c r="V85" s="8">
        <f>IF($D85='[2]Beam '!V$44,$P85*'[2]Beam '!V$45,0)</f>
        <v>0</v>
      </c>
      <c r="W85" s="8">
        <f>IF($D85='[2]Beam '!W$44,$P85*'[2]Beam '!W$45,0)</f>
        <v>0</v>
      </c>
      <c r="X85" s="8">
        <f t="shared" si="22"/>
        <v>8.3685485714285726</v>
      </c>
      <c r="Y85" s="8"/>
      <c r="Z85" s="8"/>
      <c r="AA85" s="8"/>
      <c r="AB85" s="8"/>
      <c r="AC85" s="8"/>
      <c r="AD85" s="8"/>
      <c r="AE85" s="8"/>
    </row>
    <row r="86" spans="1:32" s="10" customFormat="1" ht="20.100000000000001" customHeight="1" x14ac:dyDescent="0.25">
      <c r="A86" s="7"/>
      <c r="B86" s="8" t="s">
        <v>2</v>
      </c>
      <c r="C86" s="13" t="s">
        <v>5</v>
      </c>
      <c r="D86" s="8">
        <v>20</v>
      </c>
      <c r="E86" s="8"/>
      <c r="F86" s="8">
        <v>2</v>
      </c>
      <c r="G86" s="9">
        <f>VLOOKUP(D86,'[2]Beam '!$C$20:$H$26,3,0)</f>
        <v>0.8</v>
      </c>
      <c r="H86" s="9"/>
      <c r="I86" s="8"/>
      <c r="J86" s="8"/>
      <c r="K86" s="8"/>
      <c r="L86" s="8"/>
      <c r="M86" s="8"/>
      <c r="N86" s="8"/>
      <c r="O86" s="8">
        <f>(1.9+1*(1.5/2))*D83</f>
        <v>2.65</v>
      </c>
      <c r="P86" s="8">
        <f t="shared" si="21"/>
        <v>5.3</v>
      </c>
      <c r="Q86" s="8">
        <f>IF($D86='[2]Beam '!Q$44,$P86*'[2]Beam '!Q$45,0)</f>
        <v>0</v>
      </c>
      <c r="R86" s="8">
        <f>IF($D86='[2]Beam '!R$44,$P86*'[2]Beam '!R$45,0)</f>
        <v>0</v>
      </c>
      <c r="S86" s="8">
        <f>IF($D86='[2]Beam '!S$44,$P86*'[2]Beam '!S$45,0)</f>
        <v>0</v>
      </c>
      <c r="T86" s="8">
        <f>IF($D86='[2]Beam '!T$44,$P86*'[2]Beam '!T$45,0)</f>
        <v>0</v>
      </c>
      <c r="U86" s="8">
        <f>IF($D86='[2]Beam '!U$44,$P86*'[2]Beam '!U$45,0)</f>
        <v>13.075857142857142</v>
      </c>
      <c r="V86" s="8">
        <f>IF($D86='[2]Beam '!V$44,$P86*'[2]Beam '!V$45,0)</f>
        <v>0</v>
      </c>
      <c r="W86" s="8">
        <f>IF($D86='[2]Beam '!W$44,$P86*'[2]Beam '!W$45,0)</f>
        <v>0</v>
      </c>
      <c r="X86" s="8">
        <f t="shared" si="22"/>
        <v>13.075857142857142</v>
      </c>
      <c r="Y86" s="8"/>
      <c r="Z86" s="8"/>
      <c r="AA86" s="8"/>
      <c r="AB86" s="8"/>
      <c r="AC86" s="8"/>
      <c r="AD86" s="8"/>
      <c r="AE86" s="8"/>
    </row>
    <row r="87" spans="1:32" s="14" customFormat="1" ht="20.100000000000001" customHeight="1" x14ac:dyDescent="0.3">
      <c r="A87" s="7"/>
      <c r="B87" s="8" t="s">
        <v>2</v>
      </c>
      <c r="C87" s="13" t="s">
        <v>6</v>
      </c>
      <c r="D87" s="8">
        <v>16</v>
      </c>
      <c r="E87" s="8"/>
      <c r="F87" s="8">
        <v>4</v>
      </c>
      <c r="G87" s="9">
        <f>VLOOKUP(D87,'[2]Beam '!$C$20:$H$26,3,0)</f>
        <v>0.625</v>
      </c>
      <c r="H87" s="8"/>
      <c r="I87" s="8"/>
      <c r="J87" s="8"/>
      <c r="K87" s="8"/>
      <c r="L87" s="8"/>
      <c r="M87" s="8"/>
      <c r="N87" s="8"/>
      <c r="O87" s="8">
        <f>(E83+2*(1.5/2))*D83</f>
        <v>7.5</v>
      </c>
      <c r="P87" s="8">
        <f t="shared" si="21"/>
        <v>30</v>
      </c>
      <c r="Q87" s="8">
        <f>IF($D87='[2]Beam '!Q$44,$P87*'[2]Beam '!Q$45,0)</f>
        <v>0</v>
      </c>
      <c r="R87" s="8">
        <f>IF($D87='[2]Beam '!R$44,$P87*'[2]Beam '!R$45,0)</f>
        <v>0</v>
      </c>
      <c r="S87" s="8">
        <f>IF($D87='[2]Beam '!S$44,$P87*'[2]Beam '!S$45,0)</f>
        <v>0</v>
      </c>
      <c r="T87" s="8">
        <f>IF($D87='[2]Beam '!T$44,$P87*'[2]Beam '!T$45,0)</f>
        <v>47.369142857142862</v>
      </c>
      <c r="U87" s="8">
        <f>IF($D87='[2]Beam '!U$44,$P87*'[2]Beam '!U$45,0)</f>
        <v>0</v>
      </c>
      <c r="V87" s="8">
        <f>IF($D87='[2]Beam '!V$44,$P87*'[2]Beam '!V$45,0)</f>
        <v>0</v>
      </c>
      <c r="W87" s="8">
        <f>IF($D87='[2]Beam '!W$44,$P87*'[2]Beam '!W$45,0)</f>
        <v>0</v>
      </c>
      <c r="X87" s="8">
        <f t="shared" si="22"/>
        <v>47.369142857142862</v>
      </c>
      <c r="Y87" s="8"/>
    </row>
    <row r="88" spans="1:32" s="14" customFormat="1" ht="20.100000000000001" customHeight="1" x14ac:dyDescent="0.3">
      <c r="A88" s="7"/>
      <c r="B88" s="8" t="s">
        <v>2</v>
      </c>
      <c r="C88" s="13" t="s">
        <v>7</v>
      </c>
      <c r="D88" s="8">
        <v>12</v>
      </c>
      <c r="E88" s="8"/>
      <c r="F88" s="8">
        <v>2</v>
      </c>
      <c r="G88" s="9">
        <f>VLOOKUP(D88,'[2]Beam '!$C$20:$H$26,3,0)</f>
        <v>0.47499999999999998</v>
      </c>
      <c r="H88" s="8"/>
      <c r="I88" s="8"/>
      <c r="J88" s="8"/>
      <c r="K88" s="8"/>
      <c r="L88" s="8"/>
      <c r="M88" s="8"/>
      <c r="N88" s="8"/>
      <c r="O88" s="8">
        <f>(E83+2*(1.5/2))*D83</f>
        <v>7.5</v>
      </c>
      <c r="P88" s="8">
        <f t="shared" si="21"/>
        <v>15</v>
      </c>
      <c r="Q88" s="8">
        <f>IF($D88='[2]Beam '!Q$44,$P88*'[2]Beam '!Q$45,0)</f>
        <v>0</v>
      </c>
      <c r="R88" s="8">
        <f>IF($D88='[2]Beam '!R$44,$P88*'[2]Beam '!R$45,0)</f>
        <v>0</v>
      </c>
      <c r="S88" s="8">
        <f>IF($D88='[2]Beam '!S$44,$P88*'[2]Beam '!S$45,0)</f>
        <v>13.322571428571431</v>
      </c>
      <c r="T88" s="8">
        <f>IF($D88='[2]Beam '!T$44,$P88*'[2]Beam '!T$45,0)</f>
        <v>0</v>
      </c>
      <c r="U88" s="8">
        <f>IF($D88='[2]Beam '!U$44,$P88*'[2]Beam '!U$45,0)</f>
        <v>0</v>
      </c>
      <c r="V88" s="8">
        <f>IF($D88='[2]Beam '!V$44,$P88*'[2]Beam '!V$45,0)</f>
        <v>0</v>
      </c>
      <c r="W88" s="8">
        <f>IF($D88='[2]Beam '!W$44,$P88*'[2]Beam '!W$45,0)</f>
        <v>0</v>
      </c>
      <c r="X88" s="8">
        <f t="shared" si="22"/>
        <v>13.322571428571431</v>
      </c>
      <c r="Y88" s="8"/>
    </row>
    <row r="89" spans="1:32" s="14" customFormat="1" ht="20.100000000000001" customHeight="1" x14ac:dyDescent="0.25">
      <c r="A89" s="7"/>
      <c r="B89" s="8" t="s">
        <v>2</v>
      </c>
      <c r="C89" s="13" t="s">
        <v>13</v>
      </c>
      <c r="D89" s="8">
        <v>10</v>
      </c>
      <c r="E89" s="8">
        <v>0.1</v>
      </c>
      <c r="F89" s="8">
        <f>ROUND(IF(E83/3&gt;(2*G83),(E83/3)/E89,(2*G83)/E89),0)*2+1</f>
        <v>41</v>
      </c>
      <c r="G89" s="10"/>
      <c r="H89" s="8"/>
      <c r="I89" s="8"/>
      <c r="J89" s="8"/>
      <c r="K89" s="8"/>
      <c r="L89" s="8"/>
      <c r="M89" s="8"/>
      <c r="N89" s="8"/>
      <c r="O89" s="8">
        <f>(2*((G83-(2*'[2]Beam '!$D$11))+(F83-(2*'[2]Beam '!$D$11)))+(2*10*D89/1000))*D83</f>
        <v>2.06</v>
      </c>
      <c r="P89" s="8">
        <f t="shared" si="21"/>
        <v>84.460000000000008</v>
      </c>
      <c r="Q89" s="8">
        <f>IF($D89='[2]Beam '!Q$44,$P89*'[2]Beam '!Q$45,0)</f>
        <v>0</v>
      </c>
      <c r="R89" s="8">
        <f>IF($D89='[2]Beam '!R$44,$P89*'[2]Beam '!R$45,0)</f>
        <v>52.093721428571435</v>
      </c>
      <c r="S89" s="8">
        <f>IF($D89='[2]Beam '!S$44,$P89*'[2]Beam '!S$45,0)</f>
        <v>0</v>
      </c>
      <c r="T89" s="8">
        <f>IF($D89='[2]Beam '!T$44,$P89*'[2]Beam '!T$45,0)</f>
        <v>0</v>
      </c>
      <c r="U89" s="8">
        <f>IF($D89='[2]Beam '!U$44,$P89*'[2]Beam '!U$45,0)</f>
        <v>0</v>
      </c>
      <c r="V89" s="8">
        <f>IF($D89='[2]Beam '!V$44,$P89*'[2]Beam '!V$45,0)</f>
        <v>0</v>
      </c>
      <c r="W89" s="8">
        <f>IF($D89='[2]Beam '!W$44,$P89*'[2]Beam '!W$45,0)</f>
        <v>0</v>
      </c>
      <c r="X89" s="8">
        <f t="shared" si="22"/>
        <v>52.093721428571435</v>
      </c>
      <c r="Y89" s="8"/>
    </row>
    <row r="90" spans="1:32" s="10" customFormat="1" ht="20.100000000000001" customHeight="1" x14ac:dyDescent="0.25">
      <c r="A90" s="14"/>
      <c r="B90" s="8" t="s">
        <v>2</v>
      </c>
      <c r="C90" s="13" t="s">
        <v>14</v>
      </c>
      <c r="D90" s="14">
        <f>D89</f>
        <v>10</v>
      </c>
      <c r="E90" s="14">
        <v>0.17499999999999999</v>
      </c>
      <c r="F90" s="14">
        <f>ROUND((E83-(IF(E83/3&gt;2*G83,E83/3*2,G83*2*2)))/E90,0)</f>
        <v>11</v>
      </c>
      <c r="H90" s="14"/>
      <c r="I90" s="14"/>
      <c r="J90" s="14"/>
      <c r="K90" s="14"/>
      <c r="L90" s="14"/>
      <c r="M90" s="14"/>
      <c r="N90" s="14"/>
      <c r="O90" s="8">
        <f>(2*((G83-(2*'[2]Beam '!$D$11))+(F83-(2*'[2]Beam '!$D$11)))+(2*10*D90/1000))*D83</f>
        <v>2.06</v>
      </c>
      <c r="P90" s="8">
        <f t="shared" si="21"/>
        <v>22.66</v>
      </c>
      <c r="Q90" s="8">
        <f>IF($D90='[2]Beam '!Q$44,$P90*'[2]Beam '!Q$45,0)</f>
        <v>0</v>
      </c>
      <c r="R90" s="8">
        <f>IF($D90='[2]Beam '!R$44,$P90*'[2]Beam '!R$45,0)</f>
        <v>13.976364285714286</v>
      </c>
      <c r="S90" s="8">
        <f>IF($D90='[2]Beam '!S$44,$P90*'[2]Beam '!S$45,0)</f>
        <v>0</v>
      </c>
      <c r="T90" s="8">
        <f>IF($D90='[2]Beam '!T$44,$P90*'[2]Beam '!T$45,0)</f>
        <v>0</v>
      </c>
      <c r="U90" s="8">
        <f>IF($D90='[2]Beam '!U$44,$P90*'[2]Beam '!U$45,0)</f>
        <v>0</v>
      </c>
      <c r="V90" s="8">
        <f>IF($D90='[2]Beam '!V$44,$P90*'[2]Beam '!V$45,0)</f>
        <v>0</v>
      </c>
      <c r="W90" s="8">
        <f>IF($D90='[2]Beam '!W$44,$P90*'[2]Beam '!W$45,0)</f>
        <v>0</v>
      </c>
      <c r="X90" s="8">
        <f t="shared" si="22"/>
        <v>13.976364285714286</v>
      </c>
      <c r="Y90" s="14"/>
      <c r="Z90" s="8"/>
      <c r="AA90" s="8"/>
      <c r="AB90" s="8"/>
      <c r="AC90" s="8"/>
      <c r="AD90" s="8"/>
      <c r="AE90" s="8"/>
    </row>
    <row r="91" spans="1:32" s="10" customFormat="1" ht="21" customHeight="1" x14ac:dyDescent="0.25">
      <c r="A91" s="14"/>
      <c r="B91" s="8" t="s">
        <v>2</v>
      </c>
      <c r="C91" s="13" t="s">
        <v>15</v>
      </c>
      <c r="D91" s="14">
        <f>D89</f>
        <v>10</v>
      </c>
      <c r="E91" s="14">
        <f>+E89</f>
        <v>0.1</v>
      </c>
      <c r="F91" s="8">
        <f>ROUND(IF(E83/3&gt;(2*G83),(E83/3)/E91,(2*G83)/E91),0)*2+1</f>
        <v>41</v>
      </c>
      <c r="H91" s="14"/>
      <c r="I91" s="14"/>
      <c r="J91" s="14"/>
      <c r="K91" s="14"/>
      <c r="L91" s="14"/>
      <c r="M91" s="14"/>
      <c r="N91" s="14"/>
      <c r="O91" s="8">
        <f>(2*(((F83-'[2]Beam '!$D$11*2)/(F84-1))+(G83-'[2]Beam '!$D$11*2))+(2*10*D91/1000))*D83</f>
        <v>1.54</v>
      </c>
      <c r="P91" s="8">
        <f t="shared" si="21"/>
        <v>63.14</v>
      </c>
      <c r="Q91" s="8">
        <f>IF($D91='[2]Beam '!Q$44,$P91*'[2]Beam '!Q$45,0)</f>
        <v>0</v>
      </c>
      <c r="R91" s="8">
        <f>IF($D91='[2]Beam '!R$44,$P91*'[2]Beam '!R$45,0)</f>
        <v>38.943849999999998</v>
      </c>
      <c r="S91" s="8">
        <f>IF($D91='[2]Beam '!S$44,$P91*'[2]Beam '!S$45,0)</f>
        <v>0</v>
      </c>
      <c r="T91" s="8">
        <f>IF($D91='[2]Beam '!T$44,$P91*'[2]Beam '!T$45,0)</f>
        <v>0</v>
      </c>
      <c r="U91" s="8">
        <f>IF($D91='[2]Beam '!U$44,$P91*'[2]Beam '!U$45,0)</f>
        <v>0</v>
      </c>
      <c r="V91" s="8">
        <f>IF($D91='[2]Beam '!V$44,$P91*'[2]Beam '!V$45,0)</f>
        <v>0</v>
      </c>
      <c r="W91" s="8">
        <f>IF($D91='[2]Beam '!W$44,$P91*'[2]Beam '!W$45,0)</f>
        <v>0</v>
      </c>
      <c r="X91" s="8">
        <f t="shared" si="22"/>
        <v>38.943849999999998</v>
      </c>
      <c r="Y91" s="14"/>
      <c r="Z91" s="8"/>
      <c r="AA91" s="8"/>
      <c r="AB91" s="8"/>
      <c r="AC91" s="8"/>
      <c r="AD91" s="8"/>
      <c r="AE91" s="8"/>
      <c r="AF91" s="8"/>
    </row>
    <row r="92" spans="1:32" s="10" customFormat="1" ht="20.100000000000001" customHeight="1" x14ac:dyDescent="0.25">
      <c r="A92" s="14"/>
      <c r="B92" s="8" t="s">
        <v>2</v>
      </c>
      <c r="C92" s="13" t="s">
        <v>16</v>
      </c>
      <c r="D92" s="14">
        <f>D90</f>
        <v>10</v>
      </c>
      <c r="E92" s="14">
        <f>+E90</f>
        <v>0.17499999999999999</v>
      </c>
      <c r="F92" s="14">
        <f>ROUND((E83-(IF(E83/3&gt;2*G83,E83/3*2,G83*2*2)))/E92,0)</f>
        <v>11</v>
      </c>
      <c r="H92" s="14"/>
      <c r="I92" s="14"/>
      <c r="J92" s="14"/>
      <c r="K92" s="14"/>
      <c r="L92" s="14"/>
      <c r="M92" s="14"/>
      <c r="N92" s="14"/>
      <c r="O92" s="8">
        <f>(2*(((F83-'[2]Beam '!$D$11*2)/(F84-1))+(G83-'[2]Beam '!$D$11*2))+(2*10*D92/1000))*D83</f>
        <v>1.54</v>
      </c>
      <c r="P92" s="8">
        <f t="shared" si="21"/>
        <v>16.940000000000001</v>
      </c>
      <c r="Q92" s="8">
        <f>IF($D92='[2]Beam '!Q$44,$P92*'[2]Beam '!Q$45,0)</f>
        <v>0</v>
      </c>
      <c r="R92" s="8">
        <f>IF($D92='[2]Beam '!R$44,$P92*'[2]Beam '!R$45,0)</f>
        <v>10.448350000000001</v>
      </c>
      <c r="S92" s="8">
        <f>IF($D92='[2]Beam '!S$44,$P92*'[2]Beam '!S$45,0)</f>
        <v>0</v>
      </c>
      <c r="T92" s="8">
        <f>IF($D92='[2]Beam '!T$44,$P92*'[2]Beam '!T$45,0)</f>
        <v>0</v>
      </c>
      <c r="U92" s="8">
        <f>IF($D92='[2]Beam '!U$44,$P92*'[2]Beam '!U$45,0)</f>
        <v>0</v>
      </c>
      <c r="V92" s="8">
        <f>IF($D92='[2]Beam '!V$44,$P92*'[2]Beam '!V$45,0)</f>
        <v>0</v>
      </c>
      <c r="W92" s="8">
        <f>IF($D92='[2]Beam '!W$44,$P92*'[2]Beam '!W$45,0)</f>
        <v>0</v>
      </c>
      <c r="X92" s="8">
        <f t="shared" si="22"/>
        <v>10.448350000000001</v>
      </c>
      <c r="Y92" s="14"/>
      <c r="Z92" s="8"/>
      <c r="AA92" s="8"/>
      <c r="AB92" s="8"/>
      <c r="AC92" s="8"/>
      <c r="AD92" s="8"/>
      <c r="AE92" s="8"/>
    </row>
    <row r="93" spans="1:32" s="10" customFormat="1" ht="20.100000000000001" customHeight="1" x14ac:dyDescent="0.25">
      <c r="A93" s="7"/>
      <c r="B93" s="8" t="s">
        <v>2</v>
      </c>
      <c r="C93" s="13" t="s">
        <v>10</v>
      </c>
      <c r="D93" s="8">
        <f>+'[2]Beam '!$D$15</f>
        <v>25</v>
      </c>
      <c r="E93" s="8">
        <f>+'[2]Beam '!$E$15</f>
        <v>1</v>
      </c>
      <c r="F93" s="8">
        <f>ROUNDUP((3.8+E83)/E93,0)</f>
        <v>10</v>
      </c>
      <c r="G93" s="9"/>
      <c r="H93" s="9"/>
      <c r="I93" s="8"/>
      <c r="J93" s="8"/>
      <c r="K93" s="8"/>
      <c r="L93" s="8"/>
      <c r="M93" s="8"/>
      <c r="N93" s="8"/>
      <c r="O93" s="8">
        <f>F83-'[2]Beam '!$F$15</f>
        <v>0.39</v>
      </c>
      <c r="P93" s="8">
        <f t="shared" si="21"/>
        <v>3.9000000000000004</v>
      </c>
      <c r="Q93" s="8">
        <f>IF($D93='[2]Beam '!Q$44,$P93*'[2]Beam '!Q$45,0)</f>
        <v>0</v>
      </c>
      <c r="R93" s="8">
        <f>IF($D93='[2]Beam '!R$44,$P93*'[2]Beam '!R$45,0)</f>
        <v>0</v>
      </c>
      <c r="S93" s="8">
        <f>IF($D93='[2]Beam '!S$44,$P93*'[2]Beam '!S$45,0)</f>
        <v>0</v>
      </c>
      <c r="T93" s="8">
        <f>IF($D93='[2]Beam '!T$44,$P93*'[2]Beam '!T$45,0)</f>
        <v>0</v>
      </c>
      <c r="U93" s="8">
        <f>IF($D93='[2]Beam '!U$44,$P93*'[2]Beam '!U$45,0)</f>
        <v>0</v>
      </c>
      <c r="V93" s="8">
        <f>IF($D93='[2]Beam '!V$44,$P93*'[2]Beam '!V$45,0)</f>
        <v>15.03415178571429</v>
      </c>
      <c r="W93" s="8">
        <f>IF($D93='[2]Beam '!W$44,$P93*'[2]Beam '!W$45,0)</f>
        <v>0</v>
      </c>
      <c r="X93" s="8">
        <f t="shared" si="22"/>
        <v>15.03415178571429</v>
      </c>
      <c r="Y93" s="8"/>
      <c r="Z93" s="8"/>
      <c r="AA93" s="8"/>
      <c r="AB93" s="8"/>
      <c r="AC93" s="8"/>
      <c r="AD93" s="8"/>
      <c r="AE93" s="8"/>
    </row>
    <row r="94" spans="1:32" s="10" customFormat="1" ht="20.100000000000001" customHeight="1" x14ac:dyDescent="0.25">
      <c r="A94" s="8">
        <v>1</v>
      </c>
      <c r="B94" s="8" t="s">
        <v>2</v>
      </c>
      <c r="C94" s="11" t="s">
        <v>24</v>
      </c>
      <c r="D94" s="11">
        <v>1</v>
      </c>
      <c r="E94" s="11">
        <v>5.4</v>
      </c>
      <c r="F94" s="11">
        <v>0.45</v>
      </c>
      <c r="G94" s="11">
        <v>0.6</v>
      </c>
      <c r="H94" s="8">
        <f>G94-0.2</f>
        <v>0.39999999999999997</v>
      </c>
      <c r="I94" s="8">
        <f>E94*F94*G94*D94</f>
        <v>1.458</v>
      </c>
      <c r="J94" s="8">
        <f>(2*(E94)*H94*D94)+(E94*F94)</f>
        <v>6.75</v>
      </c>
      <c r="K94" s="12">
        <f>IF(E94=0.3,J94,0)</f>
        <v>0</v>
      </c>
      <c r="L94" s="12">
        <f>IF(AND(E94&gt;0.3,E94&lt;=0.75),J94,0)</f>
        <v>0</v>
      </c>
      <c r="M94" s="12">
        <f>IF(AND(E94&gt;0.75,E94&lt;=1.2),J94,0)</f>
        <v>0</v>
      </c>
      <c r="N94" s="12">
        <f>IF(E94&gt;1.2,J94,0)</f>
        <v>6.75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>
        <f>SUM(X95:X102)/I94</f>
        <v>224.89013967274158</v>
      </c>
      <c r="Z94" s="8"/>
      <c r="AA94" s="8"/>
      <c r="AB94" s="8"/>
      <c r="AC94" s="8"/>
      <c r="AD94" s="8"/>
      <c r="AE94" s="8"/>
    </row>
    <row r="95" spans="1:32" s="10" customFormat="1" ht="20.100000000000001" customHeight="1" x14ac:dyDescent="0.25">
      <c r="A95" s="7"/>
      <c r="B95" s="8" t="s">
        <v>2</v>
      </c>
      <c r="C95" s="13" t="s">
        <v>4</v>
      </c>
      <c r="D95" s="8">
        <v>20</v>
      </c>
      <c r="E95" s="8"/>
      <c r="F95" s="8">
        <v>4</v>
      </c>
      <c r="G95" s="9">
        <f>VLOOKUP(D95,'[2]Beam '!$C$20:$H$26,3,0)</f>
        <v>0.8</v>
      </c>
      <c r="H95" s="9"/>
      <c r="I95" s="8"/>
      <c r="J95" s="8"/>
      <c r="K95" s="8"/>
      <c r="L95" s="8"/>
      <c r="M95" s="8"/>
      <c r="N95" s="8"/>
      <c r="O95" s="8">
        <f>(E94+1*(1.5/2))+1*G74*D94</f>
        <v>6.95</v>
      </c>
      <c r="P95" s="8">
        <f t="shared" ref="P95:P103" si="23">O95*F95</f>
        <v>27.8</v>
      </c>
      <c r="Q95" s="8">
        <f>IF($D95='[2]Beam '!Q$44,$P95*'[2]Beam '!Q$45,0)</f>
        <v>0</v>
      </c>
      <c r="R95" s="8">
        <f>IF($D95='[2]Beam '!R$44,$P95*'[2]Beam '!R$45,0)</f>
        <v>0</v>
      </c>
      <c r="S95" s="8">
        <f>IF($D95='[2]Beam '!S$44,$P95*'[2]Beam '!S$45,0)</f>
        <v>0</v>
      </c>
      <c r="T95" s="8">
        <f>IF($D95='[2]Beam '!T$44,$P95*'[2]Beam '!T$45,0)</f>
        <v>0</v>
      </c>
      <c r="U95" s="8">
        <f>IF($D95='[2]Beam '!U$44,$P95*'[2]Beam '!U$45,0)</f>
        <v>68.586571428571432</v>
      </c>
      <c r="V95" s="8">
        <f>IF($D95='[2]Beam '!V$44,$P95*'[2]Beam '!V$45,0)</f>
        <v>0</v>
      </c>
      <c r="W95" s="8">
        <f>IF($D95='[2]Beam '!W$44,$P95*'[2]Beam '!W$45,0)</f>
        <v>0</v>
      </c>
      <c r="X95" s="8">
        <f t="shared" ref="X95:X103" si="24">SUM(Q95:W95)</f>
        <v>68.586571428571432</v>
      </c>
      <c r="Y95" s="8"/>
      <c r="Z95" s="8"/>
      <c r="AA95" s="8"/>
      <c r="AB95" s="8"/>
      <c r="AC95" s="8"/>
      <c r="AD95" s="8"/>
      <c r="AE95" s="8"/>
    </row>
    <row r="96" spans="1:32" s="10" customFormat="1" ht="20.100000000000001" customHeight="1" x14ac:dyDescent="0.25">
      <c r="A96" s="7"/>
      <c r="B96" s="8" t="s">
        <v>2</v>
      </c>
      <c r="C96" s="13" t="s">
        <v>5</v>
      </c>
      <c r="D96" s="8">
        <v>20</v>
      </c>
      <c r="E96" s="8"/>
      <c r="F96" s="8">
        <v>2</v>
      </c>
      <c r="G96" s="9">
        <f>VLOOKUP(D96,'[2]Beam '!$C$20:$H$26,3,0)</f>
        <v>0.8</v>
      </c>
      <c r="H96" s="9"/>
      <c r="I96" s="8"/>
      <c r="J96" s="8"/>
      <c r="K96" s="8"/>
      <c r="L96" s="8"/>
      <c r="M96" s="8"/>
      <c r="N96" s="8"/>
      <c r="O96" s="8">
        <f>(0.6+1*(1.5/2))*D94</f>
        <v>1.35</v>
      </c>
      <c r="P96" s="8">
        <f t="shared" si="23"/>
        <v>2.7</v>
      </c>
      <c r="Q96" s="8">
        <f>IF($D96='[2]Beam '!Q$44,$P96*'[2]Beam '!Q$45,0)</f>
        <v>0</v>
      </c>
      <c r="R96" s="8">
        <f>IF($D96='[2]Beam '!R$44,$P96*'[2]Beam '!R$45,0)</f>
        <v>0</v>
      </c>
      <c r="S96" s="8">
        <f>IF($D96='[2]Beam '!S$44,$P96*'[2]Beam '!S$45,0)</f>
        <v>0</v>
      </c>
      <c r="T96" s="8">
        <f>IF($D96='[2]Beam '!T$44,$P96*'[2]Beam '!T$45,0)</f>
        <v>0</v>
      </c>
      <c r="U96" s="8">
        <f>IF($D96='[2]Beam '!U$44,$P96*'[2]Beam '!U$45,0)</f>
        <v>6.6612857142857145</v>
      </c>
      <c r="V96" s="8">
        <f>IF($D96='[2]Beam '!V$44,$P96*'[2]Beam '!V$45,0)</f>
        <v>0</v>
      </c>
      <c r="W96" s="8">
        <f>IF($D96='[2]Beam '!W$44,$P96*'[2]Beam '!W$45,0)</f>
        <v>0</v>
      </c>
      <c r="X96" s="8">
        <f t="shared" si="24"/>
        <v>6.6612857142857145</v>
      </c>
      <c r="Y96" s="8"/>
      <c r="Z96" s="8"/>
      <c r="AA96" s="8"/>
      <c r="AB96" s="8"/>
      <c r="AC96" s="8"/>
      <c r="AD96" s="8"/>
      <c r="AE96" s="8"/>
    </row>
    <row r="97" spans="1:32" s="10" customFormat="1" ht="20.100000000000001" customHeight="1" x14ac:dyDescent="0.25">
      <c r="A97" s="7"/>
      <c r="B97" s="8" t="s">
        <v>2</v>
      </c>
      <c r="C97" s="13" t="s">
        <v>5</v>
      </c>
      <c r="D97" s="8">
        <v>25</v>
      </c>
      <c r="E97" s="8"/>
      <c r="F97" s="8">
        <v>4</v>
      </c>
      <c r="G97" s="9">
        <f>VLOOKUP(D97,'[2]Beam '!$C$20:$H$26,3,0)</f>
        <v>1</v>
      </c>
      <c r="H97" s="9"/>
      <c r="I97" s="8"/>
      <c r="J97" s="8"/>
      <c r="K97" s="8"/>
      <c r="L97" s="8"/>
      <c r="M97" s="8"/>
      <c r="N97" s="8"/>
      <c r="O97" s="8">
        <f>(0.6+1*G76*D94)</f>
        <v>1.2250000000000001</v>
      </c>
      <c r="P97" s="8">
        <f t="shared" si="23"/>
        <v>4.9000000000000004</v>
      </c>
      <c r="Q97" s="8">
        <f>IF($D97='[2]Beam '!Q$44,$P97*'[2]Beam '!Q$45,0)</f>
        <v>0</v>
      </c>
      <c r="R97" s="8">
        <f>IF($D97='[2]Beam '!R$44,$P97*'[2]Beam '!R$45,0)</f>
        <v>0</v>
      </c>
      <c r="S97" s="8">
        <f>IF($D97='[2]Beam '!S$44,$P97*'[2]Beam '!S$45,0)</f>
        <v>0</v>
      </c>
      <c r="T97" s="8">
        <f>IF($D97='[2]Beam '!T$44,$P97*'[2]Beam '!T$45,0)</f>
        <v>0</v>
      </c>
      <c r="U97" s="8">
        <f>IF($D97='[2]Beam '!U$44,$P97*'[2]Beam '!U$45,0)</f>
        <v>0</v>
      </c>
      <c r="V97" s="8">
        <f>IF($D97='[2]Beam '!V$44,$P97*'[2]Beam '!V$45,0)</f>
        <v>18.889062500000005</v>
      </c>
      <c r="W97" s="8">
        <f>IF($D97='[2]Beam '!W$44,$P97*'[2]Beam '!W$45,0)</f>
        <v>0</v>
      </c>
      <c r="X97" s="8">
        <f t="shared" si="24"/>
        <v>18.889062500000005</v>
      </c>
      <c r="Y97" s="8"/>
      <c r="Z97" s="8"/>
      <c r="AA97" s="8"/>
      <c r="AB97" s="8"/>
      <c r="AC97" s="8"/>
      <c r="AD97" s="8"/>
      <c r="AE97" s="8"/>
    </row>
    <row r="98" spans="1:32" s="10" customFormat="1" ht="20.100000000000001" customHeight="1" x14ac:dyDescent="0.25">
      <c r="A98" s="7"/>
      <c r="B98" s="8" t="s">
        <v>2</v>
      </c>
      <c r="C98" s="13" t="s">
        <v>5</v>
      </c>
      <c r="D98" s="8">
        <v>16</v>
      </c>
      <c r="E98" s="8"/>
      <c r="F98" s="8">
        <v>2</v>
      </c>
      <c r="G98" s="9">
        <f>VLOOKUP(D98,'[2]Beam '!$C$20:$H$26,3,0)</f>
        <v>0.625</v>
      </c>
      <c r="H98" s="9"/>
      <c r="I98" s="8"/>
      <c r="J98" s="8"/>
      <c r="K98" s="8"/>
      <c r="L98" s="8"/>
      <c r="M98" s="8"/>
      <c r="N98" s="8"/>
      <c r="O98" s="8">
        <f>(0.6+1*G77*D94)</f>
        <v>1.075</v>
      </c>
      <c r="P98" s="8">
        <f t="shared" si="23"/>
        <v>2.15</v>
      </c>
      <c r="Q98" s="8">
        <f>IF($D98='[2]Beam '!Q$44,$P98*'[2]Beam '!Q$45,0)</f>
        <v>0</v>
      </c>
      <c r="R98" s="8">
        <f>IF($D98='[2]Beam '!R$44,$P98*'[2]Beam '!R$45,0)</f>
        <v>0</v>
      </c>
      <c r="S98" s="8">
        <f>IF($D98='[2]Beam '!S$44,$P98*'[2]Beam '!S$45,0)</f>
        <v>0</v>
      </c>
      <c r="T98" s="8">
        <f>IF($D98='[2]Beam '!T$44,$P98*'[2]Beam '!T$45,0)</f>
        <v>3.3947885714285717</v>
      </c>
      <c r="U98" s="8">
        <f>IF($D98='[2]Beam '!U$44,$P98*'[2]Beam '!U$45,0)</f>
        <v>0</v>
      </c>
      <c r="V98" s="8">
        <f>IF($D98='[2]Beam '!V$44,$P98*'[2]Beam '!V$45,0)</f>
        <v>0</v>
      </c>
      <c r="W98" s="8">
        <f>IF($D98='[2]Beam '!W$44,$P98*'[2]Beam '!W$45,0)</f>
        <v>0</v>
      </c>
      <c r="X98" s="8">
        <f t="shared" si="24"/>
        <v>3.3947885714285717</v>
      </c>
      <c r="Y98" s="8"/>
      <c r="Z98" s="8"/>
      <c r="AA98" s="8"/>
      <c r="AB98" s="8"/>
      <c r="AC98" s="8"/>
      <c r="AD98" s="8"/>
      <c r="AE98" s="8"/>
    </row>
    <row r="99" spans="1:32" s="14" customFormat="1" ht="20.100000000000001" customHeight="1" x14ac:dyDescent="0.3">
      <c r="A99" s="7"/>
      <c r="B99" s="8" t="s">
        <v>2</v>
      </c>
      <c r="C99" s="13" t="s">
        <v>6</v>
      </c>
      <c r="D99" s="8">
        <v>16</v>
      </c>
      <c r="E99" s="8"/>
      <c r="F99" s="8">
        <v>4</v>
      </c>
      <c r="G99" s="9">
        <f>VLOOKUP(D99,'[2]Beam '!$C$20:$H$26,3,0)</f>
        <v>0.625</v>
      </c>
      <c r="H99" s="8"/>
      <c r="I99" s="8"/>
      <c r="J99" s="8"/>
      <c r="K99" s="8"/>
      <c r="L99" s="8"/>
      <c r="M99" s="8"/>
      <c r="N99" s="8"/>
      <c r="O99" s="8">
        <f>(E94+1*(1.5/2))+1*G74*D94</f>
        <v>6.95</v>
      </c>
      <c r="P99" s="8">
        <f t="shared" si="23"/>
        <v>27.8</v>
      </c>
      <c r="Q99" s="8">
        <f>IF($D99='[2]Beam '!Q$44,$P99*'[2]Beam '!Q$45,0)</f>
        <v>0</v>
      </c>
      <c r="R99" s="8">
        <f>IF($D99='[2]Beam '!R$44,$P99*'[2]Beam '!R$45,0)</f>
        <v>0</v>
      </c>
      <c r="S99" s="8">
        <f>IF($D99='[2]Beam '!S$44,$P99*'[2]Beam '!S$45,0)</f>
        <v>0</v>
      </c>
      <c r="T99" s="8">
        <f>IF($D99='[2]Beam '!T$44,$P99*'[2]Beam '!T$45,0)</f>
        <v>43.895405714285715</v>
      </c>
      <c r="U99" s="8">
        <f>IF($D99='[2]Beam '!U$44,$P99*'[2]Beam '!U$45,0)</f>
        <v>0</v>
      </c>
      <c r="V99" s="8">
        <f>IF($D99='[2]Beam '!V$44,$P99*'[2]Beam '!V$45,0)</f>
        <v>0</v>
      </c>
      <c r="W99" s="8">
        <f>IF($D99='[2]Beam '!W$44,$P99*'[2]Beam '!W$45,0)</f>
        <v>0</v>
      </c>
      <c r="X99" s="8">
        <f t="shared" si="24"/>
        <v>43.895405714285715</v>
      </c>
      <c r="Y99" s="8"/>
    </row>
    <row r="100" spans="1:32" s="10" customFormat="1" ht="20.100000000000001" customHeight="1" x14ac:dyDescent="0.25">
      <c r="A100" s="7"/>
      <c r="B100" s="8" t="s">
        <v>2</v>
      </c>
      <c r="C100" s="13" t="s">
        <v>7</v>
      </c>
      <c r="D100" s="8">
        <v>12</v>
      </c>
      <c r="E100" s="8"/>
      <c r="F100" s="8">
        <v>2</v>
      </c>
      <c r="G100" s="9">
        <f>VLOOKUP(D100,'[2]Beam '!$C$20:$H$26,3,0)</f>
        <v>0.47499999999999998</v>
      </c>
      <c r="H100" s="8"/>
      <c r="I100" s="8"/>
      <c r="J100" s="8"/>
      <c r="K100" s="8"/>
      <c r="L100" s="8"/>
      <c r="M100" s="8"/>
      <c r="N100" s="8"/>
      <c r="O100" s="8">
        <f>(E94+1*(1.5/2))+1*'[2]Beam '!G122*D94</f>
        <v>6.15</v>
      </c>
      <c r="P100" s="8">
        <f t="shared" si="23"/>
        <v>12.3</v>
      </c>
      <c r="Q100" s="8">
        <f>IF($D100='[2]Beam '!Q$44,$P100*'[2]Beam '!Q$45,0)</f>
        <v>0</v>
      </c>
      <c r="R100" s="8">
        <f>IF($D100='[2]Beam '!R$44,$P100*'[2]Beam '!R$45,0)</f>
        <v>0</v>
      </c>
      <c r="S100" s="8">
        <f>IF($D100='[2]Beam '!S$44,$P100*'[2]Beam '!S$45,0)</f>
        <v>10.924508571428573</v>
      </c>
      <c r="T100" s="8">
        <f>IF($D100='[2]Beam '!T$44,$P100*'[2]Beam '!T$45,0)</f>
        <v>0</v>
      </c>
      <c r="U100" s="8">
        <f>IF($D100='[2]Beam '!U$44,$P100*'[2]Beam '!U$45,0)</f>
        <v>0</v>
      </c>
      <c r="V100" s="8">
        <f>IF($D100='[2]Beam '!V$44,$P100*'[2]Beam '!V$45,0)</f>
        <v>0</v>
      </c>
      <c r="W100" s="8">
        <f>IF($D100='[2]Beam '!W$44,$P100*'[2]Beam '!W$45,0)</f>
        <v>0</v>
      </c>
      <c r="X100" s="8">
        <f t="shared" si="24"/>
        <v>10.924508571428573</v>
      </c>
      <c r="Y100" s="8"/>
      <c r="Z100" s="8"/>
      <c r="AA100" s="8"/>
      <c r="AB100" s="8"/>
      <c r="AC100" s="8"/>
      <c r="AD100" s="8"/>
      <c r="AE100" s="8"/>
    </row>
    <row r="101" spans="1:32" s="10" customFormat="1" ht="21" customHeight="1" x14ac:dyDescent="0.25">
      <c r="A101" s="7"/>
      <c r="B101" s="8" t="s">
        <v>2</v>
      </c>
      <c r="C101" s="13" t="s">
        <v>8</v>
      </c>
      <c r="D101" s="8">
        <v>12</v>
      </c>
      <c r="E101" s="8">
        <v>0.1</v>
      </c>
      <c r="F101" s="8">
        <f>ROUNDUP(E94/E101,0)</f>
        <v>54</v>
      </c>
      <c r="H101" s="8"/>
      <c r="I101" s="8"/>
      <c r="J101" s="8"/>
      <c r="K101" s="8"/>
      <c r="L101" s="8"/>
      <c r="M101" s="8"/>
      <c r="N101" s="8"/>
      <c r="O101" s="8">
        <f>(2*((G94-(2*'[2]Beam '!$D$11))+(F94-(2*'[2]Beam '!$D$11)))+(2*10*D101/1000))*D94</f>
        <v>2.1</v>
      </c>
      <c r="P101" s="8">
        <f t="shared" si="23"/>
        <v>113.4</v>
      </c>
      <c r="Q101" s="8">
        <f>IF($D101='[2]Beam '!Q$44,$P101*'[2]Beam '!Q$45,0)</f>
        <v>0</v>
      </c>
      <c r="R101" s="8">
        <f>IF($D101='[2]Beam '!R$44,$P101*'[2]Beam '!R$45,0)</f>
        <v>0</v>
      </c>
      <c r="S101" s="8">
        <f>IF($D101='[2]Beam '!S$44,$P101*'[2]Beam '!S$45,0)</f>
        <v>100.71864000000002</v>
      </c>
      <c r="T101" s="8">
        <f>IF($D101='[2]Beam '!T$44,$P101*'[2]Beam '!T$45,0)</f>
        <v>0</v>
      </c>
      <c r="U101" s="8">
        <f>IF($D101='[2]Beam '!U$44,$P101*'[2]Beam '!U$45,0)</f>
        <v>0</v>
      </c>
      <c r="V101" s="8">
        <f>IF($D101='[2]Beam '!V$44,$P101*'[2]Beam '!V$45,0)</f>
        <v>0</v>
      </c>
      <c r="W101" s="8">
        <f>IF($D101='[2]Beam '!W$44,$P101*'[2]Beam '!W$45,0)</f>
        <v>0</v>
      </c>
      <c r="X101" s="8">
        <f t="shared" si="24"/>
        <v>100.71864000000002</v>
      </c>
      <c r="Y101" s="8"/>
      <c r="Z101" s="8"/>
      <c r="AA101" s="8"/>
      <c r="AB101" s="8"/>
      <c r="AC101" s="8"/>
      <c r="AD101" s="8"/>
      <c r="AE101" s="8"/>
      <c r="AF101" s="8"/>
    </row>
    <row r="102" spans="1:32" s="10" customFormat="1" ht="20.100000000000001" customHeight="1" x14ac:dyDescent="0.25">
      <c r="A102" s="14"/>
      <c r="B102" s="8" t="s">
        <v>2</v>
      </c>
      <c r="C102" s="13" t="s">
        <v>9</v>
      </c>
      <c r="D102" s="8">
        <f>+D101</f>
        <v>12</v>
      </c>
      <c r="E102" s="14">
        <f>+E101</f>
        <v>0.1</v>
      </c>
      <c r="F102" s="8">
        <f>ROUNDUP(E94/E102,0)</f>
        <v>54</v>
      </c>
      <c r="H102" s="14"/>
      <c r="I102" s="14"/>
      <c r="J102" s="14"/>
      <c r="K102" s="14"/>
      <c r="L102" s="14"/>
      <c r="M102" s="14"/>
      <c r="N102" s="14"/>
      <c r="O102" s="8">
        <f>((((G94-(2*'[2]Beam '!$D$11))+(2*10*D102/1000))*D94))*2</f>
        <v>1.56</v>
      </c>
      <c r="P102" s="8">
        <f t="shared" si="23"/>
        <v>84.240000000000009</v>
      </c>
      <c r="Q102" s="8">
        <f>IF($D102='[2]Beam '!Q$44,$P102*'[2]Beam '!Q$45,0)</f>
        <v>0</v>
      </c>
      <c r="R102" s="8">
        <f>IF($D102='[2]Beam '!R$44,$P102*'[2]Beam '!R$45,0)</f>
        <v>0</v>
      </c>
      <c r="S102" s="8">
        <f>IF($D102='[2]Beam '!S$44,$P102*'[2]Beam '!S$45,0)</f>
        <v>74.819561142857168</v>
      </c>
      <c r="T102" s="8">
        <f>IF($D102='[2]Beam '!T$44,$P102*'[2]Beam '!T$45,0)</f>
        <v>0</v>
      </c>
      <c r="U102" s="8">
        <f>IF($D102='[2]Beam '!U$44,$P102*'[2]Beam '!U$45,0)</f>
        <v>0</v>
      </c>
      <c r="V102" s="8">
        <f>IF($D102='[2]Beam '!V$44,$P102*'[2]Beam '!V$45,0)</f>
        <v>0</v>
      </c>
      <c r="W102" s="8">
        <f>IF($D102='[2]Beam '!W$44,$P102*'[2]Beam '!W$45,0)</f>
        <v>0</v>
      </c>
      <c r="X102" s="8">
        <f t="shared" si="24"/>
        <v>74.819561142857168</v>
      </c>
      <c r="Y102" s="14"/>
      <c r="Z102" s="8"/>
      <c r="AA102" s="8"/>
      <c r="AB102" s="8"/>
      <c r="AC102" s="8"/>
      <c r="AD102" s="8"/>
      <c r="AE102" s="8"/>
    </row>
    <row r="103" spans="1:32" s="10" customFormat="1" ht="20.100000000000001" customHeight="1" x14ac:dyDescent="0.25">
      <c r="A103" s="7"/>
      <c r="B103" s="8" t="s">
        <v>2</v>
      </c>
      <c r="C103" s="13" t="s">
        <v>10</v>
      </c>
      <c r="D103" s="8">
        <f>+'[2]Beam '!$D$15</f>
        <v>25</v>
      </c>
      <c r="E103" s="8">
        <f>+'[2]Beam '!$E$15</f>
        <v>1</v>
      </c>
      <c r="F103" s="8">
        <f>ROUNDUP((E94+E94)/E103,0)</f>
        <v>11</v>
      </c>
      <c r="G103" s="9"/>
      <c r="H103" s="9"/>
      <c r="I103" s="8"/>
      <c r="J103" s="8"/>
      <c r="K103" s="8"/>
      <c r="L103" s="8"/>
      <c r="M103" s="8"/>
      <c r="N103" s="8"/>
      <c r="O103" s="8">
        <f>F94-'[2]Beam '!$F$15</f>
        <v>0.39</v>
      </c>
      <c r="P103" s="8">
        <f t="shared" si="23"/>
        <v>4.29</v>
      </c>
      <c r="Q103" s="8">
        <f>IF($D103='[2]Beam '!Q$44,$P103*'[2]Beam '!Q$45,0)</f>
        <v>0</v>
      </c>
      <c r="R103" s="8">
        <f>IF($D103='[2]Beam '!R$44,$P103*'[2]Beam '!R$45,0)</f>
        <v>0</v>
      </c>
      <c r="S103" s="8">
        <f>IF($D103='[2]Beam '!S$44,$P103*'[2]Beam '!S$45,0)</f>
        <v>0</v>
      </c>
      <c r="T103" s="8">
        <f>IF($D103='[2]Beam '!T$44,$P103*'[2]Beam '!T$45,0)</f>
        <v>0</v>
      </c>
      <c r="U103" s="8">
        <f>IF($D103='[2]Beam '!U$44,$P103*'[2]Beam '!U$45,0)</f>
        <v>0</v>
      </c>
      <c r="V103" s="8">
        <f>IF($D103='[2]Beam '!V$44,$P103*'[2]Beam '!V$45,0)</f>
        <v>16.537566964285716</v>
      </c>
      <c r="W103" s="8">
        <f>IF($D103='[2]Beam '!W$44,$P103*'[2]Beam '!W$45,0)</f>
        <v>0</v>
      </c>
      <c r="X103" s="8">
        <f t="shared" si="24"/>
        <v>16.537566964285716</v>
      </c>
      <c r="Y103" s="8"/>
      <c r="Z103" s="8"/>
      <c r="AA103" s="8"/>
      <c r="AB103" s="8"/>
      <c r="AC103" s="8"/>
      <c r="AD103" s="8"/>
      <c r="AE103" s="8"/>
    </row>
    <row r="104" spans="1:32" s="10" customFormat="1" ht="20.100000000000001" customHeight="1" x14ac:dyDescent="0.25">
      <c r="A104" s="8">
        <v>1</v>
      </c>
      <c r="B104" s="8" t="s">
        <v>2</v>
      </c>
      <c r="C104" s="11" t="s">
        <v>25</v>
      </c>
      <c r="D104" s="11">
        <v>1</v>
      </c>
      <c r="E104" s="11">
        <v>1.01</v>
      </c>
      <c r="F104" s="11">
        <v>0.2</v>
      </c>
      <c r="G104" s="11">
        <v>0.6</v>
      </c>
      <c r="H104" s="8">
        <f>G104-0.2</f>
        <v>0.39999999999999997</v>
      </c>
      <c r="I104" s="8">
        <f>E104*F104*G104*D104</f>
        <v>0.1212</v>
      </c>
      <c r="J104" s="8">
        <f>(2*(E104)*H104*D104)+(E104*F104)</f>
        <v>1.01</v>
      </c>
      <c r="K104" s="12">
        <f>IF(E104=0.3,J104,0)</f>
        <v>0</v>
      </c>
      <c r="L104" s="12">
        <f>IF(AND(E104&gt;0.3,E104&lt;=0.75),J104,0)</f>
        <v>0</v>
      </c>
      <c r="M104" s="12">
        <f>IF(AND(E104&gt;0.75,E104&lt;=1.2),J104,0)</f>
        <v>1.01</v>
      </c>
      <c r="N104" s="12">
        <f>IF(E104&gt;1.2,J104,0)</f>
        <v>0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>
        <f>SUM(X105:X110)/I104</f>
        <v>478.20332802923156</v>
      </c>
      <c r="Z104" s="8"/>
      <c r="AA104" s="8"/>
      <c r="AB104" s="8"/>
      <c r="AC104" s="8"/>
      <c r="AD104" s="8"/>
      <c r="AE104" s="8"/>
    </row>
    <row r="105" spans="1:32" s="10" customFormat="1" ht="20.100000000000001" customHeight="1" x14ac:dyDescent="0.25">
      <c r="A105" s="7"/>
      <c r="B105" s="8" t="s">
        <v>2</v>
      </c>
      <c r="C105" s="13" t="s">
        <v>4</v>
      </c>
      <c r="D105" s="8">
        <v>20</v>
      </c>
      <c r="E105" s="8"/>
      <c r="F105" s="8">
        <v>2</v>
      </c>
      <c r="G105" s="9">
        <f>VLOOKUP(D105,'[2]Beam '!$C$20:$H$26,3,0)</f>
        <v>0.8</v>
      </c>
      <c r="H105" s="9"/>
      <c r="I105" s="8"/>
      <c r="J105" s="8"/>
      <c r="K105" s="8"/>
      <c r="L105" s="8"/>
      <c r="M105" s="8"/>
      <c r="N105" s="8"/>
      <c r="O105" s="8">
        <f>(E104+1*(0.3/2))+1*G84*D104</f>
        <v>1.96</v>
      </c>
      <c r="P105" s="8">
        <f t="shared" ref="P105:P111" si="25">O105*F105</f>
        <v>3.92</v>
      </c>
      <c r="Q105" s="8">
        <f>IF($D105='[2]Beam '!Q$44,$P105*'[2]Beam '!Q$45,0)</f>
        <v>0</v>
      </c>
      <c r="R105" s="8">
        <f>IF($D105='[2]Beam '!R$44,$P105*'[2]Beam '!R$45,0)</f>
        <v>0</v>
      </c>
      <c r="S105" s="8">
        <f>IF($D105='[2]Beam '!S$44,$P105*'[2]Beam '!S$45,0)</f>
        <v>0</v>
      </c>
      <c r="T105" s="8">
        <f>IF($D105='[2]Beam '!T$44,$P105*'[2]Beam '!T$45,0)</f>
        <v>0</v>
      </c>
      <c r="U105" s="8">
        <f>IF($D105='[2]Beam '!U$44,$P105*'[2]Beam '!U$45,0)</f>
        <v>9.6711999999999989</v>
      </c>
      <c r="V105" s="8">
        <f>IF($D105='[2]Beam '!V$44,$P105*'[2]Beam '!V$45,0)</f>
        <v>0</v>
      </c>
      <c r="W105" s="8">
        <f>IF($D105='[2]Beam '!W$44,$P105*'[2]Beam '!W$45,0)</f>
        <v>0</v>
      </c>
      <c r="X105" s="8">
        <f t="shared" ref="X105:X111" si="26">SUM(Q105:W105)</f>
        <v>9.6711999999999989</v>
      </c>
      <c r="Y105" s="8"/>
      <c r="Z105" s="8"/>
      <c r="AA105" s="8"/>
      <c r="AB105" s="8"/>
      <c r="AC105" s="8"/>
      <c r="AD105" s="8"/>
      <c r="AE105" s="8"/>
    </row>
    <row r="106" spans="1:32" s="10" customFormat="1" ht="20.100000000000001" customHeight="1" x14ac:dyDescent="0.25">
      <c r="A106" s="7"/>
      <c r="B106" s="8" t="s">
        <v>2</v>
      </c>
      <c r="C106" s="13" t="s">
        <v>5</v>
      </c>
      <c r="D106" s="8">
        <v>25</v>
      </c>
      <c r="E106" s="8"/>
      <c r="F106" s="8">
        <v>4</v>
      </c>
      <c r="G106" s="9">
        <f>VLOOKUP(D106,'[2]Beam '!$C$20:$H$26,3,0)</f>
        <v>1</v>
      </c>
      <c r="H106" s="9"/>
      <c r="I106" s="8"/>
      <c r="J106" s="8"/>
      <c r="K106" s="8"/>
      <c r="L106" s="8"/>
      <c r="M106" s="8"/>
      <c r="N106" s="8"/>
      <c r="O106" s="8">
        <f>(0.6+1*(0.3/2))*D104</f>
        <v>0.75</v>
      </c>
      <c r="P106" s="8">
        <f t="shared" si="25"/>
        <v>3</v>
      </c>
      <c r="Q106" s="8">
        <f>IF($D106='[2]Beam '!Q$44,$P106*'[2]Beam '!Q$45,0)</f>
        <v>0</v>
      </c>
      <c r="R106" s="8">
        <f>IF($D106='[2]Beam '!R$44,$P106*'[2]Beam '!R$45,0)</f>
        <v>0</v>
      </c>
      <c r="S106" s="8">
        <f>IF($D106='[2]Beam '!S$44,$P106*'[2]Beam '!S$45,0)</f>
        <v>0</v>
      </c>
      <c r="T106" s="8">
        <f>IF($D106='[2]Beam '!T$44,$P106*'[2]Beam '!T$45,0)</f>
        <v>0</v>
      </c>
      <c r="U106" s="8">
        <f>IF($D106='[2]Beam '!U$44,$P106*'[2]Beam '!U$45,0)</f>
        <v>0</v>
      </c>
      <c r="V106" s="8">
        <f>IF($D106='[2]Beam '!V$44,$P106*'[2]Beam '!V$45,0)</f>
        <v>11.564732142857144</v>
      </c>
      <c r="W106" s="8">
        <f>IF($D106='[2]Beam '!W$44,$P106*'[2]Beam '!W$45,0)</f>
        <v>0</v>
      </c>
      <c r="X106" s="8">
        <f t="shared" si="26"/>
        <v>11.564732142857144</v>
      </c>
      <c r="Y106" s="8"/>
      <c r="Z106" s="8"/>
      <c r="AA106" s="8"/>
      <c r="AB106" s="8"/>
      <c r="AC106" s="8"/>
      <c r="AD106" s="8"/>
      <c r="AE106" s="8"/>
    </row>
    <row r="107" spans="1:32" s="10" customFormat="1" ht="20.100000000000001" customHeight="1" x14ac:dyDescent="0.25">
      <c r="A107" s="7"/>
      <c r="B107" s="8" t="s">
        <v>2</v>
      </c>
      <c r="C107" s="13" t="s">
        <v>5</v>
      </c>
      <c r="D107" s="8">
        <v>25</v>
      </c>
      <c r="E107" s="8"/>
      <c r="F107" s="8">
        <v>2</v>
      </c>
      <c r="G107" s="9">
        <f>VLOOKUP(D107,'[2]Beam '!$C$20:$H$26,3,0)</f>
        <v>1</v>
      </c>
      <c r="H107" s="9"/>
      <c r="I107" s="8"/>
      <c r="J107" s="8"/>
      <c r="K107" s="8"/>
      <c r="L107" s="8"/>
      <c r="M107" s="8"/>
      <c r="N107" s="8"/>
      <c r="O107" s="8">
        <f>(0.6+1*(0.3/2))*D104</f>
        <v>0.75</v>
      </c>
      <c r="P107" s="8">
        <f t="shared" si="25"/>
        <v>1.5</v>
      </c>
      <c r="Q107" s="8">
        <f>IF($D107='[2]Beam '!Q$44,$P107*'[2]Beam '!Q$45,0)</f>
        <v>0</v>
      </c>
      <c r="R107" s="8">
        <f>IF($D107='[2]Beam '!R$44,$P107*'[2]Beam '!R$45,0)</f>
        <v>0</v>
      </c>
      <c r="S107" s="8">
        <f>IF($D107='[2]Beam '!S$44,$P107*'[2]Beam '!S$45,0)</f>
        <v>0</v>
      </c>
      <c r="T107" s="8">
        <f>IF($D107='[2]Beam '!T$44,$P107*'[2]Beam '!T$45,0)</f>
        <v>0</v>
      </c>
      <c r="U107" s="8">
        <f>IF($D107='[2]Beam '!U$44,$P107*'[2]Beam '!U$45,0)</f>
        <v>0</v>
      </c>
      <c r="V107" s="8">
        <f>IF($D107='[2]Beam '!V$44,$P107*'[2]Beam '!V$45,0)</f>
        <v>5.7823660714285721</v>
      </c>
      <c r="W107" s="8">
        <f>IF($D107='[2]Beam '!W$44,$P107*'[2]Beam '!W$45,0)</f>
        <v>0</v>
      </c>
      <c r="X107" s="8">
        <f t="shared" si="26"/>
        <v>5.7823660714285721</v>
      </c>
      <c r="Y107" s="8"/>
      <c r="Z107" s="8"/>
      <c r="AA107" s="8"/>
      <c r="AB107" s="8"/>
      <c r="AC107" s="8"/>
      <c r="AD107" s="8"/>
      <c r="AE107" s="8"/>
    </row>
    <row r="108" spans="1:32" s="10" customFormat="1" ht="20.100000000000001" customHeight="1" x14ac:dyDescent="0.25">
      <c r="A108" s="7"/>
      <c r="B108" s="8" t="s">
        <v>2</v>
      </c>
      <c r="C108" s="13" t="s">
        <v>6</v>
      </c>
      <c r="D108" s="8">
        <v>20</v>
      </c>
      <c r="E108" s="8"/>
      <c r="F108" s="8">
        <v>2</v>
      </c>
      <c r="G108" s="9">
        <f>VLOOKUP(D108,'[2]Beam '!$C$20:$H$26,3,0)</f>
        <v>0.8</v>
      </c>
      <c r="H108" s="8"/>
      <c r="I108" s="8"/>
      <c r="J108" s="8"/>
      <c r="K108" s="8"/>
      <c r="L108" s="8"/>
      <c r="M108" s="8"/>
      <c r="N108" s="8"/>
      <c r="O108" s="8">
        <f>(E104+1*(0.3/2))+1*G84*D104</f>
        <v>1.96</v>
      </c>
      <c r="P108" s="8">
        <f t="shared" si="25"/>
        <v>3.92</v>
      </c>
      <c r="Q108" s="8">
        <f>IF($D108='[2]Beam '!Q$44,$P108*'[2]Beam '!Q$45,0)</f>
        <v>0</v>
      </c>
      <c r="R108" s="8">
        <f>IF($D108='[2]Beam '!R$44,$P108*'[2]Beam '!R$45,0)</f>
        <v>0</v>
      </c>
      <c r="S108" s="8">
        <f>IF($D108='[2]Beam '!S$44,$P108*'[2]Beam '!S$45,0)</f>
        <v>0</v>
      </c>
      <c r="T108" s="8">
        <f>IF($D108='[2]Beam '!T$44,$P108*'[2]Beam '!T$45,0)</f>
        <v>0</v>
      </c>
      <c r="U108" s="8">
        <f>IF($D108='[2]Beam '!U$44,$P108*'[2]Beam '!U$45,0)</f>
        <v>9.6711999999999989</v>
      </c>
      <c r="V108" s="8">
        <f>IF($D108='[2]Beam '!V$44,$P108*'[2]Beam '!V$45,0)</f>
        <v>0</v>
      </c>
      <c r="W108" s="8">
        <f>IF($D108='[2]Beam '!W$44,$P108*'[2]Beam '!W$45,0)</f>
        <v>0</v>
      </c>
      <c r="X108" s="8">
        <f t="shared" si="26"/>
        <v>9.6711999999999989</v>
      </c>
      <c r="Y108" s="8"/>
      <c r="Z108" s="8"/>
      <c r="AA108" s="8"/>
      <c r="AB108" s="8"/>
      <c r="AC108" s="8"/>
      <c r="AD108" s="8"/>
      <c r="AE108" s="8"/>
    </row>
    <row r="109" spans="1:32" s="10" customFormat="1" ht="21" customHeight="1" x14ac:dyDescent="0.25">
      <c r="A109" s="7"/>
      <c r="B109" s="8" t="s">
        <v>2</v>
      </c>
      <c r="C109" s="13" t="s">
        <v>7</v>
      </c>
      <c r="D109" s="8">
        <v>16</v>
      </c>
      <c r="E109" s="8"/>
      <c r="F109" s="8">
        <v>2</v>
      </c>
      <c r="G109" s="9">
        <f>VLOOKUP(D109,'[2]Beam '!$C$20:$H$26,3,0)</f>
        <v>0.625</v>
      </c>
      <c r="H109" s="8"/>
      <c r="I109" s="8"/>
      <c r="J109" s="8"/>
      <c r="K109" s="8"/>
      <c r="L109" s="8"/>
      <c r="M109" s="8"/>
      <c r="N109" s="8"/>
      <c r="O109" s="8">
        <f>(E104+1*(0.3/2))+1*G85*D104</f>
        <v>1.7849999999999999</v>
      </c>
      <c r="P109" s="8">
        <f t="shared" si="25"/>
        <v>3.57</v>
      </c>
      <c r="Q109" s="8">
        <f>IF($D109='[2]Beam '!Q$44,$P109*'[2]Beam '!Q$45,0)</f>
        <v>0</v>
      </c>
      <c r="R109" s="8">
        <f>IF($D109='[2]Beam '!R$44,$P109*'[2]Beam '!R$45,0)</f>
        <v>0</v>
      </c>
      <c r="S109" s="8">
        <f>IF($D109='[2]Beam '!S$44,$P109*'[2]Beam '!S$45,0)</f>
        <v>0</v>
      </c>
      <c r="T109" s="8">
        <f>IF($D109='[2]Beam '!T$44,$P109*'[2]Beam '!T$45,0)</f>
        <v>5.6369280000000002</v>
      </c>
      <c r="U109" s="8">
        <f>IF($D109='[2]Beam '!U$44,$P109*'[2]Beam '!U$45,0)</f>
        <v>0</v>
      </c>
      <c r="V109" s="8">
        <f>IF($D109='[2]Beam '!V$44,$P109*'[2]Beam '!V$45,0)</f>
        <v>0</v>
      </c>
      <c r="W109" s="8">
        <f>IF($D109='[2]Beam '!W$44,$P109*'[2]Beam '!W$45,0)</f>
        <v>0</v>
      </c>
      <c r="X109" s="8">
        <f t="shared" si="26"/>
        <v>5.6369280000000002</v>
      </c>
      <c r="Y109" s="8"/>
      <c r="Z109" s="8"/>
      <c r="AA109" s="8"/>
      <c r="AB109" s="8"/>
      <c r="AC109" s="8"/>
      <c r="AD109" s="8"/>
      <c r="AE109" s="8"/>
      <c r="AF109" s="8"/>
    </row>
    <row r="110" spans="1:32" s="10" customFormat="1" ht="20.100000000000001" customHeight="1" x14ac:dyDescent="0.25">
      <c r="A110" s="7"/>
      <c r="B110" s="8" t="s">
        <v>2</v>
      </c>
      <c r="C110" s="13" t="s">
        <v>8</v>
      </c>
      <c r="D110" s="8">
        <v>12</v>
      </c>
      <c r="E110" s="8">
        <v>0.1</v>
      </c>
      <c r="F110" s="8">
        <f>ROUNDUP(E104/E110,0)</f>
        <v>11</v>
      </c>
      <c r="H110" s="8"/>
      <c r="I110" s="8"/>
      <c r="J110" s="8"/>
      <c r="K110" s="8"/>
      <c r="L110" s="8"/>
      <c r="M110" s="8"/>
      <c r="N110" s="8"/>
      <c r="O110" s="8">
        <f>(2*((G104-(2*'[2]Beam '!$D$11))+(F104-(2*'[2]Beam '!$D$11)))+(2*10*D110/1000))*D104</f>
        <v>1.6</v>
      </c>
      <c r="P110" s="8">
        <f t="shared" si="25"/>
        <v>17.600000000000001</v>
      </c>
      <c r="Q110" s="8">
        <f>IF($D110='[2]Beam '!Q$44,$P110*'[2]Beam '!Q$45,0)</f>
        <v>0</v>
      </c>
      <c r="R110" s="8">
        <f>IF($D110='[2]Beam '!R$44,$P110*'[2]Beam '!R$45,0)</f>
        <v>0</v>
      </c>
      <c r="S110" s="8">
        <f>IF($D110='[2]Beam '!S$44,$P110*'[2]Beam '!S$45,0)</f>
        <v>15.631817142857146</v>
      </c>
      <c r="T110" s="8">
        <f>IF($D110='[2]Beam '!T$44,$P110*'[2]Beam '!T$45,0)</f>
        <v>0</v>
      </c>
      <c r="U110" s="8">
        <f>IF($D110='[2]Beam '!U$44,$P110*'[2]Beam '!U$45,0)</f>
        <v>0</v>
      </c>
      <c r="V110" s="8">
        <f>IF($D110='[2]Beam '!V$44,$P110*'[2]Beam '!V$45,0)</f>
        <v>0</v>
      </c>
      <c r="W110" s="8">
        <f>IF($D110='[2]Beam '!W$44,$P110*'[2]Beam '!W$45,0)</f>
        <v>0</v>
      </c>
      <c r="X110" s="8">
        <f t="shared" si="26"/>
        <v>15.631817142857146</v>
      </c>
      <c r="Y110" s="8"/>
      <c r="Z110" s="8"/>
      <c r="AA110" s="8"/>
      <c r="AB110" s="8"/>
      <c r="AC110" s="8"/>
      <c r="AD110" s="8"/>
      <c r="AE110" s="8"/>
    </row>
    <row r="111" spans="1:32" s="10" customFormat="1" ht="20.100000000000001" customHeight="1" x14ac:dyDescent="0.25">
      <c r="A111" s="7"/>
      <c r="B111" s="8" t="s">
        <v>2</v>
      </c>
      <c r="C111" s="13" t="s">
        <v>10</v>
      </c>
      <c r="D111" s="8">
        <f>+'[2]Beam '!$D$15</f>
        <v>25</v>
      </c>
      <c r="E111" s="8">
        <f>+'[2]Beam '!$E$15</f>
        <v>1</v>
      </c>
      <c r="F111" s="8">
        <f>ROUNDUP((E104+E104)/E111,0)</f>
        <v>3</v>
      </c>
      <c r="G111" s="9"/>
      <c r="H111" s="9"/>
      <c r="I111" s="8"/>
      <c r="J111" s="8"/>
      <c r="K111" s="8"/>
      <c r="L111" s="8"/>
      <c r="M111" s="8"/>
      <c r="N111" s="8"/>
      <c r="O111" s="8">
        <f>F104-'[2]Beam '!$F$15</f>
        <v>0.14000000000000001</v>
      </c>
      <c r="P111" s="8">
        <f t="shared" si="25"/>
        <v>0.42000000000000004</v>
      </c>
      <c r="Q111" s="8">
        <f>IF($D111='[2]Beam '!Q$44,$P111*'[2]Beam '!Q$45,0)</f>
        <v>0</v>
      </c>
      <c r="R111" s="8">
        <f>IF($D111='[2]Beam '!R$44,$P111*'[2]Beam '!R$45,0)</f>
        <v>0</v>
      </c>
      <c r="S111" s="8">
        <f>IF($D111='[2]Beam '!S$44,$P111*'[2]Beam '!S$45,0)</f>
        <v>0</v>
      </c>
      <c r="T111" s="8">
        <f>IF($D111='[2]Beam '!T$44,$P111*'[2]Beam '!T$45,0)</f>
        <v>0</v>
      </c>
      <c r="U111" s="8">
        <f>IF($D111='[2]Beam '!U$44,$P111*'[2]Beam '!U$45,0)</f>
        <v>0</v>
      </c>
      <c r="V111" s="8">
        <f>IF($D111='[2]Beam '!V$44,$P111*'[2]Beam '!V$45,0)</f>
        <v>1.6190625000000003</v>
      </c>
      <c r="W111" s="8">
        <f>IF($D111='[2]Beam '!W$44,$P111*'[2]Beam '!W$45,0)</f>
        <v>0</v>
      </c>
      <c r="X111" s="8">
        <f t="shared" si="26"/>
        <v>1.6190625000000003</v>
      </c>
      <c r="Y111" s="8"/>
      <c r="Z111" s="8"/>
      <c r="AA111" s="8"/>
      <c r="AB111" s="8"/>
      <c r="AC111" s="8"/>
      <c r="AD111" s="8"/>
      <c r="AE111" s="8"/>
    </row>
    <row r="112" spans="1:32" s="10" customFormat="1" ht="20.100000000000001" customHeight="1" x14ac:dyDescent="0.25">
      <c r="A112" s="8">
        <v>1</v>
      </c>
      <c r="B112" s="8" t="s">
        <v>2</v>
      </c>
      <c r="C112" s="11" t="s">
        <v>26</v>
      </c>
      <c r="D112" s="11">
        <v>1</v>
      </c>
      <c r="E112" s="11">
        <v>4.5679999999999996</v>
      </c>
      <c r="F112" s="11">
        <v>0.45</v>
      </c>
      <c r="G112" s="11">
        <v>0.6</v>
      </c>
      <c r="H112" s="8">
        <f>G112-0.2</f>
        <v>0.39999999999999997</v>
      </c>
      <c r="I112" s="8">
        <f>E112*F112*G112*D112</f>
        <v>1.23336</v>
      </c>
      <c r="J112" s="8">
        <f>(2*(E112)*H112*D112)+(E112*F112)</f>
        <v>5.7099999999999991</v>
      </c>
      <c r="K112" s="12">
        <f>IF(E112=0.3,J112,0)</f>
        <v>0</v>
      </c>
      <c r="L112" s="12">
        <f>IF(AND(E112&gt;0.3,E112&lt;=0.75),J112,0)</f>
        <v>0</v>
      </c>
      <c r="M112" s="12">
        <f>IF(AND(E112&gt;0.75,E112&lt;=1.2),J112,0)</f>
        <v>0</v>
      </c>
      <c r="N112" s="12">
        <f>IF(E112&gt;1.2,J112,0)</f>
        <v>5.7099999999999991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>
        <f>SUM(X113:X119)/I112</f>
        <v>178.40673810913742</v>
      </c>
      <c r="Z112" s="8"/>
      <c r="AA112" s="8"/>
      <c r="AB112" s="8"/>
      <c r="AC112" s="8"/>
      <c r="AD112" s="8"/>
      <c r="AE112" s="8"/>
    </row>
    <row r="113" spans="1:32" s="10" customFormat="1" ht="20.100000000000001" customHeight="1" x14ac:dyDescent="0.25">
      <c r="A113" s="7"/>
      <c r="B113" s="8" t="s">
        <v>2</v>
      </c>
      <c r="C113" s="13" t="s">
        <v>4</v>
      </c>
      <c r="D113" s="8">
        <v>20</v>
      </c>
      <c r="E113" s="8"/>
      <c r="F113" s="8">
        <v>4</v>
      </c>
      <c r="G113" s="9">
        <f>VLOOKUP(D113,'[2]Beam '!$C$20:$H$26,3,0)</f>
        <v>0.8</v>
      </c>
      <c r="H113" s="9"/>
      <c r="I113" s="8"/>
      <c r="J113" s="8"/>
      <c r="K113" s="8"/>
      <c r="L113" s="8"/>
      <c r="M113" s="8"/>
      <c r="N113" s="8"/>
      <c r="O113" s="8">
        <f>(E112+1*(G113+(12*D113/1000))+1*(0.3/2))*D112</f>
        <v>5.758</v>
      </c>
      <c r="P113" s="8">
        <f t="shared" ref="P113:P122" si="27">O113*F113</f>
        <v>23.032</v>
      </c>
      <c r="Q113" s="8">
        <f>IF($D113='[2]Beam '!Q$44,$P113*'[2]Beam '!Q$45,0)</f>
        <v>0</v>
      </c>
      <c r="R113" s="8">
        <f>IF($D113='[2]Beam '!R$44,$P113*'[2]Beam '!R$45,0)</f>
        <v>0</v>
      </c>
      <c r="S113" s="8">
        <f>IF($D113='[2]Beam '!S$44,$P113*'[2]Beam '!S$45,0)</f>
        <v>0</v>
      </c>
      <c r="T113" s="8">
        <f>IF($D113='[2]Beam '!T$44,$P113*'[2]Beam '!T$45,0)</f>
        <v>0</v>
      </c>
      <c r="U113" s="8">
        <f>IF($D113='[2]Beam '!U$44,$P113*'[2]Beam '!U$45,0)</f>
        <v>56.823234285714285</v>
      </c>
      <c r="V113" s="8">
        <f>IF($D113='[2]Beam '!V$44,$P113*'[2]Beam '!V$45,0)</f>
        <v>0</v>
      </c>
      <c r="W113" s="8">
        <f>IF($D113='[2]Beam '!W$44,$P113*'[2]Beam '!W$45,0)</f>
        <v>0</v>
      </c>
      <c r="X113" s="8">
        <f t="shared" ref="X113:X122" si="28">SUM(Q113:W113)</f>
        <v>56.823234285714285</v>
      </c>
      <c r="Y113" s="8"/>
      <c r="Z113" s="8"/>
      <c r="AA113" s="8"/>
      <c r="AB113" s="8"/>
      <c r="AC113" s="8"/>
      <c r="AD113" s="8"/>
      <c r="AE113" s="8"/>
    </row>
    <row r="114" spans="1:32" s="10" customFormat="1" ht="20.100000000000001" customHeight="1" x14ac:dyDescent="0.25">
      <c r="A114" s="7"/>
      <c r="B114" s="8" t="s">
        <v>2</v>
      </c>
      <c r="C114" s="13" t="s">
        <v>5</v>
      </c>
      <c r="D114" s="8">
        <v>25</v>
      </c>
      <c r="E114" s="8"/>
      <c r="F114" s="8">
        <v>4</v>
      </c>
      <c r="G114" s="9">
        <f>VLOOKUP(D114,'[2]Beam '!$C$20:$H$26,3,0)</f>
        <v>1</v>
      </c>
      <c r="H114" s="9"/>
      <c r="I114" s="8"/>
      <c r="J114" s="8"/>
      <c r="K114" s="8"/>
      <c r="L114" s="8"/>
      <c r="M114" s="8"/>
      <c r="N114" s="8"/>
      <c r="O114" s="8">
        <f>(1.25+1*(0.3/2))*D112</f>
        <v>1.4</v>
      </c>
      <c r="P114" s="8">
        <f t="shared" si="27"/>
        <v>5.6</v>
      </c>
      <c r="Q114" s="8">
        <f>IF($D114='[2]Beam '!Q$44,$P114*'[2]Beam '!Q$45,0)</f>
        <v>0</v>
      </c>
      <c r="R114" s="8">
        <f>IF($D114='[2]Beam '!R$44,$P114*'[2]Beam '!R$45,0)</f>
        <v>0</v>
      </c>
      <c r="S114" s="8">
        <f>IF($D114='[2]Beam '!S$44,$P114*'[2]Beam '!S$45,0)</f>
        <v>0</v>
      </c>
      <c r="T114" s="8">
        <f>IF($D114='[2]Beam '!T$44,$P114*'[2]Beam '!T$45,0)</f>
        <v>0</v>
      </c>
      <c r="U114" s="8">
        <f>IF($D114='[2]Beam '!U$44,$P114*'[2]Beam '!U$45,0)</f>
        <v>0</v>
      </c>
      <c r="V114" s="8">
        <f>IF($D114='[2]Beam '!V$44,$P114*'[2]Beam '!V$45,0)</f>
        <v>21.587500000000002</v>
      </c>
      <c r="W114" s="8">
        <f>IF($D114='[2]Beam '!W$44,$P114*'[2]Beam '!W$45,0)</f>
        <v>0</v>
      </c>
      <c r="X114" s="8">
        <f t="shared" si="28"/>
        <v>21.587500000000002</v>
      </c>
      <c r="Y114" s="8"/>
      <c r="Z114" s="8"/>
      <c r="AA114" s="8"/>
      <c r="AB114" s="8"/>
      <c r="AC114" s="8"/>
      <c r="AD114" s="8"/>
      <c r="AE114" s="8"/>
    </row>
    <row r="115" spans="1:32" s="10" customFormat="1" ht="20.100000000000001" customHeight="1" x14ac:dyDescent="0.25">
      <c r="A115" s="7"/>
      <c r="B115" s="8" t="s">
        <v>2</v>
      </c>
      <c r="C115" s="13" t="s">
        <v>5</v>
      </c>
      <c r="D115" s="8">
        <v>25</v>
      </c>
      <c r="E115" s="8"/>
      <c r="F115" s="8">
        <v>2</v>
      </c>
      <c r="G115" s="9">
        <f>VLOOKUP(D115,'[2]Beam '!$C$20:$H$26,3,0)</f>
        <v>1</v>
      </c>
      <c r="H115" s="9"/>
      <c r="I115" s="8"/>
      <c r="J115" s="8"/>
      <c r="K115" s="8"/>
      <c r="L115" s="8"/>
      <c r="M115" s="8"/>
      <c r="N115" s="8"/>
      <c r="O115" s="8">
        <f>(1.25+1*(0.3/2))*D112</f>
        <v>1.4</v>
      </c>
      <c r="P115" s="8">
        <f t="shared" si="27"/>
        <v>2.8</v>
      </c>
      <c r="Q115" s="8">
        <f>IF($D115='[2]Beam '!Q$44,$P115*'[2]Beam '!Q$45,0)</f>
        <v>0</v>
      </c>
      <c r="R115" s="8">
        <f>IF($D115='[2]Beam '!R$44,$P115*'[2]Beam '!R$45,0)</f>
        <v>0</v>
      </c>
      <c r="S115" s="8">
        <f>IF($D115='[2]Beam '!S$44,$P115*'[2]Beam '!S$45,0)</f>
        <v>0</v>
      </c>
      <c r="T115" s="8">
        <f>IF($D115='[2]Beam '!T$44,$P115*'[2]Beam '!T$45,0)</f>
        <v>0</v>
      </c>
      <c r="U115" s="8">
        <f>IF($D115='[2]Beam '!U$44,$P115*'[2]Beam '!U$45,0)</f>
        <v>0</v>
      </c>
      <c r="V115" s="8">
        <f>IF($D115='[2]Beam '!V$44,$P115*'[2]Beam '!V$45,0)</f>
        <v>10.793750000000001</v>
      </c>
      <c r="W115" s="8">
        <f>IF($D115='[2]Beam '!W$44,$P115*'[2]Beam '!W$45,0)</f>
        <v>0</v>
      </c>
      <c r="X115" s="8">
        <f t="shared" si="28"/>
        <v>10.793750000000001</v>
      </c>
      <c r="Y115" s="8"/>
      <c r="Z115" s="8"/>
      <c r="AA115" s="8"/>
      <c r="AB115" s="8"/>
      <c r="AC115" s="8"/>
      <c r="AD115" s="8"/>
      <c r="AE115" s="8"/>
    </row>
    <row r="116" spans="1:32" s="14" customFormat="1" ht="20.100000000000001" customHeight="1" x14ac:dyDescent="0.3">
      <c r="A116" s="7"/>
      <c r="B116" s="8" t="s">
        <v>2</v>
      </c>
      <c r="C116" s="13" t="s">
        <v>6</v>
      </c>
      <c r="D116" s="8">
        <v>20</v>
      </c>
      <c r="E116" s="8"/>
      <c r="F116" s="8">
        <v>4</v>
      </c>
      <c r="G116" s="9">
        <f>VLOOKUP(D116,'[2]Beam '!$C$20:$H$26,3,0)</f>
        <v>0.8</v>
      </c>
      <c r="H116" s="8"/>
      <c r="I116" s="8"/>
      <c r="J116" s="8"/>
      <c r="K116" s="8"/>
      <c r="L116" s="8"/>
      <c r="M116" s="8"/>
      <c r="N116" s="8"/>
      <c r="O116" s="8">
        <f>(E112+1*(G116+(12*D116/1000))+1*(0.3/2))*D112</f>
        <v>5.758</v>
      </c>
      <c r="P116" s="8">
        <f t="shared" si="27"/>
        <v>23.032</v>
      </c>
      <c r="Q116" s="8">
        <f>IF($D116='[2]Beam '!Q$44,$P116*'[2]Beam '!Q$45,0)</f>
        <v>0</v>
      </c>
      <c r="R116" s="8">
        <f>IF($D116='[2]Beam '!R$44,$P116*'[2]Beam '!R$45,0)</f>
        <v>0</v>
      </c>
      <c r="S116" s="8">
        <f>IF($D116='[2]Beam '!S$44,$P116*'[2]Beam '!S$45,0)</f>
        <v>0</v>
      </c>
      <c r="T116" s="8">
        <f>IF($D116='[2]Beam '!T$44,$P116*'[2]Beam '!T$45,0)</f>
        <v>0</v>
      </c>
      <c r="U116" s="8">
        <f>IF($D116='[2]Beam '!U$44,$P116*'[2]Beam '!U$45,0)</f>
        <v>56.823234285714285</v>
      </c>
      <c r="V116" s="8">
        <f>IF($D116='[2]Beam '!V$44,$P116*'[2]Beam '!V$45,0)</f>
        <v>0</v>
      </c>
      <c r="W116" s="8">
        <f>IF($D116='[2]Beam '!W$44,$P116*'[2]Beam '!W$45,0)</f>
        <v>0</v>
      </c>
      <c r="X116" s="8">
        <f t="shared" si="28"/>
        <v>56.823234285714285</v>
      </c>
      <c r="Y116" s="8"/>
    </row>
    <row r="117" spans="1:32" s="14" customFormat="1" ht="20.100000000000001" customHeight="1" x14ac:dyDescent="0.3">
      <c r="A117" s="7"/>
      <c r="B117" s="8" t="s">
        <v>2</v>
      </c>
      <c r="C117" s="13" t="s">
        <v>7</v>
      </c>
      <c r="D117" s="8">
        <v>16</v>
      </c>
      <c r="E117" s="8"/>
      <c r="F117" s="8">
        <v>4</v>
      </c>
      <c r="G117" s="9">
        <f>VLOOKUP(D117,'[2]Beam '!$C$20:$H$26,3,0)</f>
        <v>0.625</v>
      </c>
      <c r="H117" s="8"/>
      <c r="I117" s="8"/>
      <c r="J117" s="8"/>
      <c r="K117" s="8"/>
      <c r="L117" s="8"/>
      <c r="M117" s="8"/>
      <c r="N117" s="8"/>
      <c r="O117" s="8">
        <f>+E112-0.75-0.75</f>
        <v>3.0679999999999996</v>
      </c>
      <c r="P117" s="8">
        <f t="shared" si="27"/>
        <v>12.271999999999998</v>
      </c>
      <c r="Q117" s="8">
        <f>IF($D117='[2]Beam '!Q$44,$P117*'[2]Beam '!Q$45,0)</f>
        <v>0</v>
      </c>
      <c r="R117" s="8">
        <f>IF($D117='[2]Beam '!R$44,$P117*'[2]Beam '!R$45,0)</f>
        <v>0</v>
      </c>
      <c r="S117" s="8">
        <f>IF($D117='[2]Beam '!S$44,$P117*'[2]Beam '!S$45,0)</f>
        <v>0</v>
      </c>
      <c r="T117" s="8">
        <f>IF($D117='[2]Beam '!T$44,$P117*'[2]Beam '!T$45,0)</f>
        <v>19.377137371428571</v>
      </c>
      <c r="U117" s="8">
        <f>IF($D117='[2]Beam '!U$44,$P117*'[2]Beam '!U$45,0)</f>
        <v>0</v>
      </c>
      <c r="V117" s="8">
        <f>IF($D117='[2]Beam '!V$44,$P117*'[2]Beam '!V$45,0)</f>
        <v>0</v>
      </c>
      <c r="W117" s="8">
        <f>IF($D117='[2]Beam '!W$44,$P117*'[2]Beam '!W$45,0)</f>
        <v>0</v>
      </c>
      <c r="X117" s="8">
        <f t="shared" si="28"/>
        <v>19.377137371428571</v>
      </c>
      <c r="Y117" s="8"/>
    </row>
    <row r="118" spans="1:32" s="14" customFormat="1" ht="20.100000000000001" customHeight="1" x14ac:dyDescent="0.25">
      <c r="A118" s="7"/>
      <c r="B118" s="8" t="s">
        <v>2</v>
      </c>
      <c r="C118" s="13" t="s">
        <v>13</v>
      </c>
      <c r="D118" s="8">
        <v>10</v>
      </c>
      <c r="E118" s="8">
        <v>0.1</v>
      </c>
      <c r="F118" s="8">
        <f>ROUND(IF(E112/3&gt;(2*G112),(E112/3)/E118,(2*G112)/E118),0)*2+1</f>
        <v>31</v>
      </c>
      <c r="G118" s="10"/>
      <c r="H118" s="8"/>
      <c r="I118" s="8"/>
      <c r="J118" s="8"/>
      <c r="K118" s="8"/>
      <c r="L118" s="8"/>
      <c r="M118" s="8"/>
      <c r="N118" s="8"/>
      <c r="O118" s="8">
        <f>(2*((G112-(2*'[2]Beam '!$D$11))+(F112-(2*'[2]Beam '!$D$11)))+(2*10*D118/1000))*D112</f>
        <v>2.06</v>
      </c>
      <c r="P118" s="8">
        <f t="shared" si="27"/>
        <v>63.86</v>
      </c>
      <c r="Q118" s="8">
        <f>IF($D118='[2]Beam '!Q$44,$P118*'[2]Beam '!Q$45,0)</f>
        <v>0</v>
      </c>
      <c r="R118" s="8">
        <f>IF($D118='[2]Beam '!R$44,$P118*'[2]Beam '!R$45,0)</f>
        <v>39.38793571428571</v>
      </c>
      <c r="S118" s="8">
        <f>IF($D118='[2]Beam '!S$44,$P118*'[2]Beam '!S$45,0)</f>
        <v>0</v>
      </c>
      <c r="T118" s="8">
        <f>IF($D118='[2]Beam '!T$44,$P118*'[2]Beam '!T$45,0)</f>
        <v>0</v>
      </c>
      <c r="U118" s="8">
        <f>IF($D118='[2]Beam '!U$44,$P118*'[2]Beam '!U$45,0)</f>
        <v>0</v>
      </c>
      <c r="V118" s="8">
        <f>IF($D118='[2]Beam '!V$44,$P118*'[2]Beam '!V$45,0)</f>
        <v>0</v>
      </c>
      <c r="W118" s="8">
        <f>IF($D118='[2]Beam '!W$44,$P118*'[2]Beam '!W$45,0)</f>
        <v>0</v>
      </c>
      <c r="X118" s="8">
        <f t="shared" si="28"/>
        <v>39.38793571428571</v>
      </c>
      <c r="Y118" s="8"/>
    </row>
    <row r="119" spans="1:32" s="10" customFormat="1" ht="20.100000000000001" customHeight="1" x14ac:dyDescent="0.25">
      <c r="A119" s="14"/>
      <c r="B119" s="8" t="s">
        <v>2</v>
      </c>
      <c r="C119" s="13" t="s">
        <v>14</v>
      </c>
      <c r="D119" s="14">
        <f>D118</f>
        <v>10</v>
      </c>
      <c r="E119" s="14">
        <v>0.125</v>
      </c>
      <c r="F119" s="14">
        <f>ROUND((E112-(IF(E112/3&gt;2*G112,E112/3*2,G112*2*2)))/E119,0)</f>
        <v>12</v>
      </c>
      <c r="H119" s="14"/>
      <c r="I119" s="14"/>
      <c r="J119" s="14"/>
      <c r="K119" s="14"/>
      <c r="L119" s="14"/>
      <c r="M119" s="14"/>
      <c r="N119" s="14"/>
      <c r="O119" s="8">
        <f>(2*((G112-(2*'[2]Beam '!$D$11))+(F112-(2*'[2]Beam '!$D$11)))+(2*10*D119/1000))*D112</f>
        <v>2.06</v>
      </c>
      <c r="P119" s="8">
        <f t="shared" si="27"/>
        <v>24.72</v>
      </c>
      <c r="Q119" s="8">
        <f>IF($D119='[2]Beam '!Q$44,$P119*'[2]Beam '!Q$45,0)</f>
        <v>0</v>
      </c>
      <c r="R119" s="8">
        <f>IF($D119='[2]Beam '!R$44,$P119*'[2]Beam '!R$45,0)</f>
        <v>15.246942857142857</v>
      </c>
      <c r="S119" s="8">
        <f>IF($D119='[2]Beam '!S$44,$P119*'[2]Beam '!S$45,0)</f>
        <v>0</v>
      </c>
      <c r="T119" s="8">
        <f>IF($D119='[2]Beam '!T$44,$P119*'[2]Beam '!T$45,0)</f>
        <v>0</v>
      </c>
      <c r="U119" s="8">
        <f>IF($D119='[2]Beam '!U$44,$P119*'[2]Beam '!U$45,0)</f>
        <v>0</v>
      </c>
      <c r="V119" s="8">
        <f>IF($D119='[2]Beam '!V$44,$P119*'[2]Beam '!V$45,0)</f>
        <v>0</v>
      </c>
      <c r="W119" s="8">
        <f>IF($D119='[2]Beam '!W$44,$P119*'[2]Beam '!W$45,0)</f>
        <v>0</v>
      </c>
      <c r="X119" s="8">
        <f t="shared" si="28"/>
        <v>15.246942857142857</v>
      </c>
      <c r="Y119" s="14"/>
      <c r="Z119" s="8"/>
      <c r="AA119" s="8"/>
      <c r="AB119" s="8"/>
      <c r="AC119" s="8"/>
      <c r="AD119" s="8"/>
      <c r="AE119" s="8"/>
    </row>
    <row r="120" spans="1:32" s="10" customFormat="1" ht="21" customHeight="1" x14ac:dyDescent="0.25">
      <c r="A120" s="14"/>
      <c r="B120" s="8" t="s">
        <v>2</v>
      </c>
      <c r="C120" s="13" t="s">
        <v>15</v>
      </c>
      <c r="D120" s="14">
        <f>D118</f>
        <v>10</v>
      </c>
      <c r="E120" s="14">
        <f>+E118</f>
        <v>0.1</v>
      </c>
      <c r="F120" s="8">
        <f>ROUND(IF(E112/3&gt;(2*G112),(E112/3)/E120,(2*G112)/E120),0)*2+1</f>
        <v>31</v>
      </c>
      <c r="H120" s="14"/>
      <c r="I120" s="14"/>
      <c r="J120" s="14"/>
      <c r="K120" s="14"/>
      <c r="L120" s="14"/>
      <c r="M120" s="14"/>
      <c r="N120" s="14"/>
      <c r="O120" s="8">
        <f>(2*(((F112-'[2]Beam '!$D$11*2)/(F113-1))+(G112-'[2]Beam '!$D$11*2))+(2*10*D120/1000))*D112</f>
        <v>1.54</v>
      </c>
      <c r="P120" s="8">
        <f t="shared" si="27"/>
        <v>47.74</v>
      </c>
      <c r="Q120" s="8">
        <f>IF($D120='[2]Beam '!Q$44,$P120*'[2]Beam '!Q$45,0)</f>
        <v>0</v>
      </c>
      <c r="R120" s="8">
        <f>IF($D120='[2]Beam '!R$44,$P120*'[2]Beam '!R$45,0)</f>
        <v>29.445350000000001</v>
      </c>
      <c r="S120" s="8">
        <f>IF($D120='[2]Beam '!S$44,$P120*'[2]Beam '!S$45,0)</f>
        <v>0</v>
      </c>
      <c r="T120" s="8">
        <f>IF($D120='[2]Beam '!T$44,$P120*'[2]Beam '!T$45,0)</f>
        <v>0</v>
      </c>
      <c r="U120" s="8">
        <f>IF($D120='[2]Beam '!U$44,$P120*'[2]Beam '!U$45,0)</f>
        <v>0</v>
      </c>
      <c r="V120" s="8">
        <f>IF($D120='[2]Beam '!V$44,$P120*'[2]Beam '!V$45,0)</f>
        <v>0</v>
      </c>
      <c r="W120" s="8">
        <f>IF($D120='[2]Beam '!W$44,$P120*'[2]Beam '!W$45,0)</f>
        <v>0</v>
      </c>
      <c r="X120" s="8">
        <f t="shared" si="28"/>
        <v>29.445350000000001</v>
      </c>
      <c r="Y120" s="14"/>
      <c r="Z120" s="8"/>
      <c r="AA120" s="8"/>
      <c r="AB120" s="8"/>
      <c r="AC120" s="8"/>
      <c r="AD120" s="8"/>
      <c r="AE120" s="8"/>
      <c r="AF120" s="8"/>
    </row>
    <row r="121" spans="1:32" s="10" customFormat="1" ht="20.100000000000001" customHeight="1" x14ac:dyDescent="0.25">
      <c r="A121" s="14"/>
      <c r="B121" s="8" t="s">
        <v>2</v>
      </c>
      <c r="C121" s="13" t="s">
        <v>16</v>
      </c>
      <c r="D121" s="14">
        <f>D119</f>
        <v>10</v>
      </c>
      <c r="E121" s="14">
        <f>+E119</f>
        <v>0.125</v>
      </c>
      <c r="F121" s="14">
        <f>ROUND((E112-(IF(E112/3&gt;2*G112,E112/3*2,G112*2*2)))/E121,0)</f>
        <v>12</v>
      </c>
      <c r="H121" s="14"/>
      <c r="I121" s="14"/>
      <c r="J121" s="14"/>
      <c r="K121" s="14"/>
      <c r="L121" s="14"/>
      <c r="M121" s="14"/>
      <c r="N121" s="14"/>
      <c r="O121" s="8">
        <f>(2*(((F112-'[2]Beam '!$D$11*2)/(F113-1))+(G112-'[2]Beam '!$D$11*2))+(2*10*D121/1000))*D112</f>
        <v>1.54</v>
      </c>
      <c r="P121" s="8">
        <f t="shared" si="27"/>
        <v>18.48</v>
      </c>
      <c r="Q121" s="8">
        <f>IF($D121='[2]Beam '!Q$44,$P121*'[2]Beam '!Q$45,0)</f>
        <v>0</v>
      </c>
      <c r="R121" s="8">
        <f>IF($D121='[2]Beam '!R$44,$P121*'[2]Beam '!R$45,0)</f>
        <v>11.398199999999999</v>
      </c>
      <c r="S121" s="8">
        <f>IF($D121='[2]Beam '!S$44,$P121*'[2]Beam '!S$45,0)</f>
        <v>0</v>
      </c>
      <c r="T121" s="8">
        <f>IF($D121='[2]Beam '!T$44,$P121*'[2]Beam '!T$45,0)</f>
        <v>0</v>
      </c>
      <c r="U121" s="8">
        <f>IF($D121='[2]Beam '!U$44,$P121*'[2]Beam '!U$45,0)</f>
        <v>0</v>
      </c>
      <c r="V121" s="8">
        <f>IF($D121='[2]Beam '!V$44,$P121*'[2]Beam '!V$45,0)</f>
        <v>0</v>
      </c>
      <c r="W121" s="8">
        <f>IF($D121='[2]Beam '!W$44,$P121*'[2]Beam '!W$45,0)</f>
        <v>0</v>
      </c>
      <c r="X121" s="8">
        <f t="shared" si="28"/>
        <v>11.398199999999999</v>
      </c>
      <c r="Y121" s="14"/>
      <c r="Z121" s="8"/>
      <c r="AA121" s="8"/>
      <c r="AB121" s="8"/>
      <c r="AC121" s="8"/>
      <c r="AD121" s="8"/>
      <c r="AE121" s="8"/>
    </row>
    <row r="122" spans="1:32" s="10" customFormat="1" ht="20.100000000000001" customHeight="1" x14ac:dyDescent="0.25">
      <c r="A122" s="7"/>
      <c r="B122" s="8" t="s">
        <v>2</v>
      </c>
      <c r="C122" s="13" t="s">
        <v>10</v>
      </c>
      <c r="D122" s="8">
        <f>+'[2]Beam '!$D$15</f>
        <v>25</v>
      </c>
      <c r="E122" s="8">
        <f>+'[2]Beam '!$E$15</f>
        <v>1</v>
      </c>
      <c r="F122" s="8">
        <f>ROUNDUP((2.5+O117)/E122,0)</f>
        <v>6</v>
      </c>
      <c r="G122" s="9"/>
      <c r="H122" s="9"/>
      <c r="I122" s="8"/>
      <c r="J122" s="8"/>
      <c r="K122" s="8"/>
      <c r="L122" s="8"/>
      <c r="M122" s="8"/>
      <c r="N122" s="8"/>
      <c r="O122" s="8">
        <f>F112-'[2]Beam '!$F$15</f>
        <v>0.39</v>
      </c>
      <c r="P122" s="8">
        <f t="shared" si="27"/>
        <v>2.34</v>
      </c>
      <c r="Q122" s="8">
        <f>IF($D122='[2]Beam '!Q$44,$P122*'[2]Beam '!Q$45,0)</f>
        <v>0</v>
      </c>
      <c r="R122" s="8">
        <f>IF($D122='[2]Beam '!R$44,$P122*'[2]Beam '!R$45,0)</f>
        <v>0</v>
      </c>
      <c r="S122" s="8">
        <f>IF($D122='[2]Beam '!S$44,$P122*'[2]Beam '!S$45,0)</f>
        <v>0</v>
      </c>
      <c r="T122" s="8">
        <f>IF($D122='[2]Beam '!T$44,$P122*'[2]Beam '!T$45,0)</f>
        <v>0</v>
      </c>
      <c r="U122" s="8">
        <f>IF($D122='[2]Beam '!U$44,$P122*'[2]Beam '!U$45,0)</f>
        <v>0</v>
      </c>
      <c r="V122" s="8">
        <f>IF($D122='[2]Beam '!V$44,$P122*'[2]Beam '!V$45,0)</f>
        <v>9.0204910714285731</v>
      </c>
      <c r="W122" s="8">
        <f>IF($D122='[2]Beam '!W$44,$P122*'[2]Beam '!W$45,0)</f>
        <v>0</v>
      </c>
      <c r="X122" s="8">
        <f t="shared" si="28"/>
        <v>9.0204910714285731</v>
      </c>
      <c r="Y122" s="8"/>
      <c r="Z122" s="8"/>
      <c r="AA122" s="8"/>
      <c r="AB122" s="8"/>
      <c r="AC122" s="8"/>
      <c r="AD122" s="8"/>
      <c r="AE122" s="8"/>
    </row>
    <row r="123" spans="1:32" s="10" customFormat="1" ht="20.100000000000001" customHeight="1" x14ac:dyDescent="0.25">
      <c r="A123" s="8">
        <v>1</v>
      </c>
      <c r="B123" s="8" t="s">
        <v>2</v>
      </c>
      <c r="C123" s="11" t="s">
        <v>27</v>
      </c>
      <c r="D123" s="11">
        <v>1</v>
      </c>
      <c r="E123" s="11">
        <v>11.627000000000001</v>
      </c>
      <c r="F123" s="11">
        <v>0.75</v>
      </c>
      <c r="G123" s="11">
        <v>0.75</v>
      </c>
      <c r="H123" s="8">
        <f>G123-0.2</f>
        <v>0.55000000000000004</v>
      </c>
      <c r="I123" s="8">
        <f>E123*F123*G123*D123</f>
        <v>6.5401875</v>
      </c>
      <c r="J123" s="8">
        <f>(2*(E123)*H123*D123)+(E123*F123)</f>
        <v>21.509950000000003</v>
      </c>
      <c r="K123" s="12">
        <f>IF(E123=0.3,J123,0)</f>
        <v>0</v>
      </c>
      <c r="L123" s="12">
        <f>IF(AND(E123&gt;0.3,E123&lt;=0.75),J123,0)</f>
        <v>0</v>
      </c>
      <c r="M123" s="12">
        <f>IF(AND(E123&gt;0.75,E123&lt;=1.2),J123,0)</f>
        <v>0</v>
      </c>
      <c r="N123" s="12">
        <f>IF(E123&gt;1.2,J123,0)</f>
        <v>21.509950000000003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>
        <f>SUM(X124:X130)/I123</f>
        <v>160.29853013169947</v>
      </c>
      <c r="Z123" s="8"/>
      <c r="AA123" s="8"/>
      <c r="AB123" s="8"/>
      <c r="AC123" s="8"/>
      <c r="AD123" s="8"/>
      <c r="AE123" s="8"/>
    </row>
    <row r="124" spans="1:32" s="10" customFormat="1" ht="20.100000000000001" customHeight="1" x14ac:dyDescent="0.25">
      <c r="A124" s="7"/>
      <c r="B124" s="8" t="s">
        <v>2</v>
      </c>
      <c r="C124" s="13" t="s">
        <v>4</v>
      </c>
      <c r="D124" s="8">
        <v>20</v>
      </c>
      <c r="E124" s="8"/>
      <c r="F124" s="8">
        <v>7</v>
      </c>
      <c r="G124" s="9">
        <f>VLOOKUP(D124,'[2]Beam '!$C$20:$H$26,3,0)</f>
        <v>0.8</v>
      </c>
      <c r="H124" s="9"/>
      <c r="I124" s="8"/>
      <c r="J124" s="8"/>
      <c r="K124" s="8"/>
      <c r="L124" s="8"/>
      <c r="M124" s="8"/>
      <c r="N124" s="8"/>
      <c r="O124" s="8">
        <f>(E123+1*(G124+(12*D124/1000))+1*(0.3/2))*D123</f>
        <v>12.817000000000002</v>
      </c>
      <c r="P124" s="8">
        <f t="shared" ref="P124:P133" si="29">O124*F124</f>
        <v>89.719000000000008</v>
      </c>
      <c r="Q124" s="8">
        <f>IF($D124='[2]Beam '!Q$44,$P124*'[2]Beam '!Q$45,0)</f>
        <v>0</v>
      </c>
      <c r="R124" s="8">
        <f>IF($D124='[2]Beam '!R$44,$P124*'[2]Beam '!R$45,0)</f>
        <v>0</v>
      </c>
      <c r="S124" s="8">
        <f>IF($D124='[2]Beam '!S$44,$P124*'[2]Beam '!S$45,0)</f>
        <v>0</v>
      </c>
      <c r="T124" s="8">
        <f>IF($D124='[2]Beam '!T$44,$P124*'[2]Beam '!T$45,0)</f>
        <v>0</v>
      </c>
      <c r="U124" s="8">
        <f>IF($D124='[2]Beam '!U$44,$P124*'[2]Beam '!U$45,0)</f>
        <v>221.34959000000001</v>
      </c>
      <c r="V124" s="8">
        <f>IF($D124='[2]Beam '!V$44,$P124*'[2]Beam '!V$45,0)</f>
        <v>0</v>
      </c>
      <c r="W124" s="8">
        <f>IF($D124='[2]Beam '!W$44,$P124*'[2]Beam '!W$45,0)</f>
        <v>0</v>
      </c>
      <c r="X124" s="8">
        <f t="shared" ref="X124:X133" si="30">SUM(Q124:W124)</f>
        <v>221.34959000000001</v>
      </c>
      <c r="Y124" s="8"/>
      <c r="Z124" s="8"/>
      <c r="AA124" s="8"/>
      <c r="AB124" s="8"/>
      <c r="AC124" s="8"/>
      <c r="AD124" s="8"/>
      <c r="AE124" s="8"/>
    </row>
    <row r="125" spans="1:32" s="10" customFormat="1" ht="20.100000000000001" customHeight="1" x14ac:dyDescent="0.25">
      <c r="A125" s="7"/>
      <c r="B125" s="8" t="s">
        <v>2</v>
      </c>
      <c r="C125" s="13" t="s">
        <v>5</v>
      </c>
      <c r="D125" s="8">
        <v>25</v>
      </c>
      <c r="E125" s="8"/>
      <c r="F125" s="8">
        <v>4</v>
      </c>
      <c r="G125" s="9">
        <f>VLOOKUP(D125,'[2]Beam '!$C$20:$H$26,3,0)</f>
        <v>1</v>
      </c>
      <c r="H125" s="9"/>
      <c r="I125" s="8"/>
      <c r="J125" s="8"/>
      <c r="K125" s="8"/>
      <c r="L125" s="8"/>
      <c r="M125" s="8"/>
      <c r="N125" s="8"/>
      <c r="O125" s="8">
        <f>(3+1*(0.3/2))*D123</f>
        <v>3.15</v>
      </c>
      <c r="P125" s="8">
        <f t="shared" si="29"/>
        <v>12.6</v>
      </c>
      <c r="Q125" s="8">
        <f>IF($D125='[2]Beam '!Q$44,$P125*'[2]Beam '!Q$45,0)</f>
        <v>0</v>
      </c>
      <c r="R125" s="8">
        <f>IF($D125='[2]Beam '!R$44,$P125*'[2]Beam '!R$45,0)</f>
        <v>0</v>
      </c>
      <c r="S125" s="8">
        <f>IF($D125='[2]Beam '!S$44,$P125*'[2]Beam '!S$45,0)</f>
        <v>0</v>
      </c>
      <c r="T125" s="8">
        <f>IF($D125='[2]Beam '!T$44,$P125*'[2]Beam '!T$45,0)</f>
        <v>0</v>
      </c>
      <c r="U125" s="8">
        <f>IF($D125='[2]Beam '!U$44,$P125*'[2]Beam '!U$45,0)</f>
        <v>0</v>
      </c>
      <c r="V125" s="8">
        <f>IF($D125='[2]Beam '!V$44,$P125*'[2]Beam '!V$45,0)</f>
        <v>48.571875000000006</v>
      </c>
      <c r="W125" s="8">
        <f>IF($D125='[2]Beam '!W$44,$P125*'[2]Beam '!W$45,0)</f>
        <v>0</v>
      </c>
      <c r="X125" s="8">
        <f t="shared" si="30"/>
        <v>48.571875000000006</v>
      </c>
      <c r="Y125" s="8"/>
      <c r="Z125" s="8"/>
      <c r="AA125" s="8"/>
      <c r="AB125" s="8"/>
      <c r="AC125" s="8"/>
      <c r="AD125" s="8"/>
      <c r="AE125" s="8"/>
    </row>
    <row r="126" spans="1:32" s="10" customFormat="1" ht="20.100000000000001" customHeight="1" x14ac:dyDescent="0.25">
      <c r="A126" s="7"/>
      <c r="B126" s="8" t="s">
        <v>2</v>
      </c>
      <c r="C126" s="13" t="s">
        <v>5</v>
      </c>
      <c r="D126" s="8">
        <v>16</v>
      </c>
      <c r="E126" s="8"/>
      <c r="F126" s="8">
        <v>3</v>
      </c>
      <c r="G126" s="9">
        <f>VLOOKUP(D126,'[2]Beam '!$C$20:$H$26,3,0)</f>
        <v>0.625</v>
      </c>
      <c r="H126" s="9"/>
      <c r="I126" s="8"/>
      <c r="J126" s="8"/>
      <c r="K126" s="8"/>
      <c r="L126" s="8"/>
      <c r="M126" s="8"/>
      <c r="N126" s="8"/>
      <c r="O126" s="8">
        <f>(3+1*(0.3/2))*D123</f>
        <v>3.15</v>
      </c>
      <c r="P126" s="8">
        <f t="shared" si="29"/>
        <v>9.4499999999999993</v>
      </c>
      <c r="Q126" s="8">
        <f>IF($D126='[2]Beam '!Q$44,$P126*'[2]Beam '!Q$45,0)</f>
        <v>0</v>
      </c>
      <c r="R126" s="8">
        <f>IF($D126='[2]Beam '!R$44,$P126*'[2]Beam '!R$45,0)</f>
        <v>0</v>
      </c>
      <c r="S126" s="8">
        <f>IF($D126='[2]Beam '!S$44,$P126*'[2]Beam '!S$45,0)</f>
        <v>0</v>
      </c>
      <c r="T126" s="8">
        <f>IF($D126='[2]Beam '!T$44,$P126*'[2]Beam '!T$45,0)</f>
        <v>14.921279999999999</v>
      </c>
      <c r="U126" s="8">
        <f>IF($D126='[2]Beam '!U$44,$P126*'[2]Beam '!U$45,0)</f>
        <v>0</v>
      </c>
      <c r="V126" s="8">
        <f>IF($D126='[2]Beam '!V$44,$P126*'[2]Beam '!V$45,0)</f>
        <v>0</v>
      </c>
      <c r="W126" s="8">
        <f>IF($D126='[2]Beam '!W$44,$P126*'[2]Beam '!W$45,0)</f>
        <v>0</v>
      </c>
      <c r="X126" s="8">
        <f t="shared" si="30"/>
        <v>14.921279999999999</v>
      </c>
      <c r="Y126" s="8"/>
      <c r="Z126" s="8"/>
      <c r="AA126" s="8"/>
      <c r="AB126" s="8"/>
      <c r="AC126" s="8"/>
      <c r="AD126" s="8"/>
      <c r="AE126" s="8"/>
    </row>
    <row r="127" spans="1:32" s="14" customFormat="1" ht="20.100000000000001" customHeight="1" x14ac:dyDescent="0.3">
      <c r="A127" s="7"/>
      <c r="B127" s="8" t="s">
        <v>2</v>
      </c>
      <c r="C127" s="13" t="s">
        <v>6</v>
      </c>
      <c r="D127" s="8">
        <v>20</v>
      </c>
      <c r="E127" s="8"/>
      <c r="F127" s="8">
        <v>7</v>
      </c>
      <c r="G127" s="9">
        <f>VLOOKUP(D127,'[2]Beam '!$C$20:$H$26,3,0)</f>
        <v>0.8</v>
      </c>
      <c r="H127" s="8"/>
      <c r="I127" s="8"/>
      <c r="J127" s="8"/>
      <c r="K127" s="8"/>
      <c r="L127" s="8"/>
      <c r="M127" s="8"/>
      <c r="N127" s="8"/>
      <c r="O127" s="8">
        <f>(E123+2*(G127+(12*D127/1000))+1*(0.3/2))*D123</f>
        <v>13.857000000000001</v>
      </c>
      <c r="P127" s="8">
        <f t="shared" si="29"/>
        <v>96.999000000000009</v>
      </c>
      <c r="Q127" s="8">
        <f>IF($D127='[2]Beam '!Q$44,$P127*'[2]Beam '!Q$45,0)</f>
        <v>0</v>
      </c>
      <c r="R127" s="8">
        <f>IF($D127='[2]Beam '!R$44,$P127*'[2]Beam '!R$45,0)</f>
        <v>0</v>
      </c>
      <c r="S127" s="8">
        <f>IF($D127='[2]Beam '!S$44,$P127*'[2]Beam '!S$45,0)</f>
        <v>0</v>
      </c>
      <c r="T127" s="8">
        <f>IF($D127='[2]Beam '!T$44,$P127*'[2]Beam '!T$45,0)</f>
        <v>0</v>
      </c>
      <c r="U127" s="8">
        <f>IF($D127='[2]Beam '!U$44,$P127*'[2]Beam '!U$45,0)</f>
        <v>239.31039000000001</v>
      </c>
      <c r="V127" s="8">
        <f>IF($D127='[2]Beam '!V$44,$P127*'[2]Beam '!V$45,0)</f>
        <v>0</v>
      </c>
      <c r="W127" s="8">
        <f>IF($D127='[2]Beam '!W$44,$P127*'[2]Beam '!W$45,0)</f>
        <v>0</v>
      </c>
      <c r="X127" s="8">
        <f t="shared" si="30"/>
        <v>239.31039000000001</v>
      </c>
      <c r="Y127" s="8"/>
    </row>
    <row r="128" spans="1:32" s="14" customFormat="1" ht="20.100000000000001" customHeight="1" x14ac:dyDescent="0.3">
      <c r="A128" s="7"/>
      <c r="B128" s="8" t="s">
        <v>2</v>
      </c>
      <c r="C128" s="13" t="s">
        <v>7</v>
      </c>
      <c r="D128" s="8">
        <v>25</v>
      </c>
      <c r="E128" s="8"/>
      <c r="F128" s="8">
        <v>6</v>
      </c>
      <c r="G128" s="9">
        <f>VLOOKUP(D128,'[2]Beam '!$C$20:$H$26,3,0)</f>
        <v>1</v>
      </c>
      <c r="H128" s="8"/>
      <c r="I128" s="8"/>
      <c r="J128" s="8"/>
      <c r="K128" s="8"/>
      <c r="L128" s="8"/>
      <c r="M128" s="8"/>
      <c r="N128" s="8"/>
      <c r="O128" s="8">
        <f>(E123+2*(G128+(12*D128/1000))+1*(0.3/2))*D123</f>
        <v>14.377000000000001</v>
      </c>
      <c r="P128" s="8">
        <f t="shared" si="29"/>
        <v>86.262</v>
      </c>
      <c r="Q128" s="8">
        <f>IF($D128='[2]Beam '!Q$44,$P128*'[2]Beam '!Q$45,0)</f>
        <v>0</v>
      </c>
      <c r="R128" s="8">
        <f>IF($D128='[2]Beam '!R$44,$P128*'[2]Beam '!R$45,0)</f>
        <v>0</v>
      </c>
      <c r="S128" s="8">
        <f>IF($D128='[2]Beam '!S$44,$P128*'[2]Beam '!S$45,0)</f>
        <v>0</v>
      </c>
      <c r="T128" s="8">
        <f>IF($D128='[2]Beam '!T$44,$P128*'[2]Beam '!T$45,0)</f>
        <v>0</v>
      </c>
      <c r="U128" s="8">
        <f>IF($D128='[2]Beam '!U$44,$P128*'[2]Beam '!U$45,0)</f>
        <v>0</v>
      </c>
      <c r="V128" s="8">
        <f>IF($D128='[2]Beam '!V$44,$P128*'[2]Beam '!V$45,0)</f>
        <v>332.53230803571432</v>
      </c>
      <c r="W128" s="8">
        <f>IF($D128='[2]Beam '!W$44,$P128*'[2]Beam '!W$45,0)</f>
        <v>0</v>
      </c>
      <c r="X128" s="8">
        <f t="shared" si="30"/>
        <v>332.53230803571432</v>
      </c>
      <c r="Y128" s="8"/>
    </row>
    <row r="129" spans="1:32" s="14" customFormat="1" ht="20.100000000000001" customHeight="1" x14ac:dyDescent="0.25">
      <c r="A129" s="7"/>
      <c r="B129" s="8" t="s">
        <v>2</v>
      </c>
      <c r="C129" s="13" t="s">
        <v>13</v>
      </c>
      <c r="D129" s="8">
        <v>10</v>
      </c>
      <c r="E129" s="8">
        <v>0.1</v>
      </c>
      <c r="F129" s="8">
        <f>ROUND(IF(E123/3&gt;(2*G123),(E123/3)/E129,(2*G123)/E129),0)*2+1</f>
        <v>79</v>
      </c>
      <c r="G129" s="10"/>
      <c r="H129" s="8"/>
      <c r="I129" s="8"/>
      <c r="J129" s="8"/>
      <c r="K129" s="8"/>
      <c r="L129" s="8"/>
      <c r="M129" s="8"/>
      <c r="N129" s="8"/>
      <c r="O129" s="8">
        <f>(2*((G123-(2*'[2]Beam '!$D$11))+(F123-(2*'[2]Beam '!$D$11)))+(2*10*D129/1000))*D123</f>
        <v>2.96</v>
      </c>
      <c r="P129" s="8">
        <f t="shared" si="29"/>
        <v>233.84</v>
      </c>
      <c r="Q129" s="8">
        <f>IF($D129='[2]Beam '!Q$44,$P129*'[2]Beam '!Q$45,0)</f>
        <v>0</v>
      </c>
      <c r="R129" s="8">
        <f>IF($D129='[2]Beam '!R$44,$P129*'[2]Beam '!R$45,0)</f>
        <v>144.22917142857142</v>
      </c>
      <c r="S129" s="8">
        <f>IF($D129='[2]Beam '!S$44,$P129*'[2]Beam '!S$45,0)</f>
        <v>0</v>
      </c>
      <c r="T129" s="8">
        <f>IF($D129='[2]Beam '!T$44,$P129*'[2]Beam '!T$45,0)</f>
        <v>0</v>
      </c>
      <c r="U129" s="8">
        <f>IF($D129='[2]Beam '!U$44,$P129*'[2]Beam '!U$45,0)</f>
        <v>0</v>
      </c>
      <c r="V129" s="8">
        <f>IF($D129='[2]Beam '!V$44,$P129*'[2]Beam '!V$45,0)</f>
        <v>0</v>
      </c>
      <c r="W129" s="8">
        <f>IF($D129='[2]Beam '!W$44,$P129*'[2]Beam '!W$45,0)</f>
        <v>0</v>
      </c>
      <c r="X129" s="8">
        <f t="shared" si="30"/>
        <v>144.22917142857142</v>
      </c>
      <c r="Y129" s="8"/>
    </row>
    <row r="130" spans="1:32" s="10" customFormat="1" ht="20.100000000000001" customHeight="1" x14ac:dyDescent="0.25">
      <c r="A130" s="14"/>
      <c r="B130" s="8" t="s">
        <v>2</v>
      </c>
      <c r="C130" s="13" t="s">
        <v>14</v>
      </c>
      <c r="D130" s="14">
        <f>D129</f>
        <v>10</v>
      </c>
      <c r="E130" s="14">
        <v>0.15</v>
      </c>
      <c r="F130" s="14">
        <f>ROUND((E123-(IF(E123/3&gt;2*G123,E123/3*2,G123*2*2)))/E130,0)</f>
        <v>26</v>
      </c>
      <c r="H130" s="14"/>
      <c r="I130" s="14"/>
      <c r="J130" s="14"/>
      <c r="K130" s="14"/>
      <c r="L130" s="14"/>
      <c r="M130" s="14"/>
      <c r="N130" s="14"/>
      <c r="O130" s="8">
        <f>(2*((G123-(2*'[2]Beam '!$D$11))+(F123-(2*'[2]Beam '!$D$11)))+(2*10*D130/1000))*D123</f>
        <v>2.96</v>
      </c>
      <c r="P130" s="8">
        <f t="shared" si="29"/>
        <v>76.959999999999994</v>
      </c>
      <c r="Q130" s="8">
        <f>IF($D130='[2]Beam '!Q$44,$P130*'[2]Beam '!Q$45,0)</f>
        <v>0</v>
      </c>
      <c r="R130" s="8">
        <f>IF($D130='[2]Beam '!R$44,$P130*'[2]Beam '!R$45,0)</f>
        <v>47.467828571428569</v>
      </c>
      <c r="S130" s="8">
        <f>IF($D130='[2]Beam '!S$44,$P130*'[2]Beam '!S$45,0)</f>
        <v>0</v>
      </c>
      <c r="T130" s="8">
        <f>IF($D130='[2]Beam '!T$44,$P130*'[2]Beam '!T$45,0)</f>
        <v>0</v>
      </c>
      <c r="U130" s="8">
        <f>IF($D130='[2]Beam '!U$44,$P130*'[2]Beam '!U$45,0)</f>
        <v>0</v>
      </c>
      <c r="V130" s="8">
        <f>IF($D130='[2]Beam '!V$44,$P130*'[2]Beam '!V$45,0)</f>
        <v>0</v>
      </c>
      <c r="W130" s="8">
        <f>IF($D130='[2]Beam '!W$44,$P130*'[2]Beam '!W$45,0)</f>
        <v>0</v>
      </c>
      <c r="X130" s="8">
        <f t="shared" si="30"/>
        <v>47.467828571428569</v>
      </c>
      <c r="Y130" s="14"/>
      <c r="Z130" s="8"/>
      <c r="AA130" s="8"/>
      <c r="AB130" s="8"/>
      <c r="AC130" s="8"/>
      <c r="AD130" s="8"/>
      <c r="AE130" s="8"/>
    </row>
    <row r="131" spans="1:32" s="10" customFormat="1" ht="21" customHeight="1" x14ac:dyDescent="0.25">
      <c r="A131" s="14"/>
      <c r="B131" s="8" t="s">
        <v>2</v>
      </c>
      <c r="C131" s="13" t="s">
        <v>15</v>
      </c>
      <c r="D131" s="14">
        <f>D129</f>
        <v>10</v>
      </c>
      <c r="E131" s="14">
        <f>+E129</f>
        <v>0.1</v>
      </c>
      <c r="F131" s="8">
        <f>ROUND(IF(E123/3&gt;(2*G123),(E123/3)/E131,(2*G123)/E131),0)*2+1</f>
        <v>79</v>
      </c>
      <c r="H131" s="14"/>
      <c r="I131" s="14"/>
      <c r="J131" s="14"/>
      <c r="K131" s="14"/>
      <c r="L131" s="14"/>
      <c r="M131" s="14"/>
      <c r="N131" s="14"/>
      <c r="O131" s="8">
        <f>(2*(((F123-'[2]Beam '!$D$11*2)/(F124-1))+(G123-'[2]Beam '!$D$11*2))+(2*10*D131/1000))*D123</f>
        <v>1.8099999999999998</v>
      </c>
      <c r="P131" s="8">
        <f t="shared" si="29"/>
        <v>142.98999999999998</v>
      </c>
      <c r="Q131" s="8">
        <f>IF($D131='[2]Beam '!Q$44,$P131*'[2]Beam '!Q$45,0)</f>
        <v>0</v>
      </c>
      <c r="R131" s="8">
        <f>IF($D131='[2]Beam '!R$44,$P131*'[2]Beam '!R$45,0)</f>
        <v>88.194189285714273</v>
      </c>
      <c r="S131" s="8">
        <f>IF($D131='[2]Beam '!S$44,$P131*'[2]Beam '!S$45,0)</f>
        <v>0</v>
      </c>
      <c r="T131" s="8">
        <f>IF($D131='[2]Beam '!T$44,$P131*'[2]Beam '!T$45,0)</f>
        <v>0</v>
      </c>
      <c r="U131" s="8">
        <f>IF($D131='[2]Beam '!U$44,$P131*'[2]Beam '!U$45,0)</f>
        <v>0</v>
      </c>
      <c r="V131" s="8">
        <f>IF($D131='[2]Beam '!V$44,$P131*'[2]Beam '!V$45,0)</f>
        <v>0</v>
      </c>
      <c r="W131" s="8">
        <f>IF($D131='[2]Beam '!W$44,$P131*'[2]Beam '!W$45,0)</f>
        <v>0</v>
      </c>
      <c r="X131" s="8">
        <f t="shared" si="30"/>
        <v>88.194189285714273</v>
      </c>
      <c r="Y131" s="14"/>
      <c r="Z131" s="8"/>
      <c r="AA131" s="8"/>
      <c r="AB131" s="8"/>
      <c r="AC131" s="8"/>
      <c r="AD131" s="8"/>
      <c r="AE131" s="8"/>
      <c r="AF131" s="8"/>
    </row>
    <row r="132" spans="1:32" s="10" customFormat="1" ht="20.100000000000001" customHeight="1" x14ac:dyDescent="0.25">
      <c r="A132" s="14"/>
      <c r="B132" s="8" t="s">
        <v>2</v>
      </c>
      <c r="C132" s="13" t="s">
        <v>16</v>
      </c>
      <c r="D132" s="14">
        <f>D130</f>
        <v>10</v>
      </c>
      <c r="E132" s="14">
        <f>+E130</f>
        <v>0.15</v>
      </c>
      <c r="F132" s="14">
        <f>ROUND((E123-(IF(E123/3&gt;2*G123,E123/3*2,G123*2*2)))/E132,0)</f>
        <v>26</v>
      </c>
      <c r="H132" s="14"/>
      <c r="I132" s="14"/>
      <c r="J132" s="14"/>
      <c r="K132" s="14"/>
      <c r="L132" s="14"/>
      <c r="M132" s="14"/>
      <c r="N132" s="14"/>
      <c r="O132" s="8">
        <f>(2*(((F123-'[2]Beam '!$D$11*2)/(F124-1))+(G123-'[2]Beam '!$D$11*2))+(2*10*D132/1000))*D123</f>
        <v>1.8099999999999998</v>
      </c>
      <c r="P132" s="8">
        <f t="shared" si="29"/>
        <v>47.059999999999995</v>
      </c>
      <c r="Q132" s="8">
        <f>IF($D132='[2]Beam '!Q$44,$P132*'[2]Beam '!Q$45,0)</f>
        <v>0</v>
      </c>
      <c r="R132" s="8">
        <f>IF($D132='[2]Beam '!R$44,$P132*'[2]Beam '!R$45,0)</f>
        <v>29.025935714285712</v>
      </c>
      <c r="S132" s="8">
        <f>IF($D132='[2]Beam '!S$44,$P132*'[2]Beam '!S$45,0)</f>
        <v>0</v>
      </c>
      <c r="T132" s="8">
        <f>IF($D132='[2]Beam '!T$44,$P132*'[2]Beam '!T$45,0)</f>
        <v>0</v>
      </c>
      <c r="U132" s="8">
        <f>IF($D132='[2]Beam '!U$44,$P132*'[2]Beam '!U$45,0)</f>
        <v>0</v>
      </c>
      <c r="V132" s="8">
        <f>IF($D132='[2]Beam '!V$44,$P132*'[2]Beam '!V$45,0)</f>
        <v>0</v>
      </c>
      <c r="W132" s="8">
        <f>IF($D132='[2]Beam '!W$44,$P132*'[2]Beam '!W$45,0)</f>
        <v>0</v>
      </c>
      <c r="X132" s="8">
        <f t="shared" si="30"/>
        <v>29.025935714285712</v>
      </c>
      <c r="Y132" s="14"/>
      <c r="Z132" s="8"/>
      <c r="AA132" s="8"/>
      <c r="AB132" s="8"/>
      <c r="AC132" s="8"/>
      <c r="AD132" s="8"/>
      <c r="AE132" s="8"/>
    </row>
    <row r="133" spans="1:32" s="10" customFormat="1" ht="20.100000000000001" customHeight="1" x14ac:dyDescent="0.25">
      <c r="A133" s="7"/>
      <c r="B133" s="8" t="s">
        <v>2</v>
      </c>
      <c r="C133" s="13" t="s">
        <v>10</v>
      </c>
      <c r="D133" s="8">
        <f>+'[2]Beam '!$D$15</f>
        <v>25</v>
      </c>
      <c r="E133" s="8">
        <f>+'[2]Beam '!$E$15</f>
        <v>1</v>
      </c>
      <c r="F133" s="8">
        <f>ROUNDUP((3+E123)/E133,0)</f>
        <v>15</v>
      </c>
      <c r="G133" s="9"/>
      <c r="H133" s="9"/>
      <c r="I133" s="8"/>
      <c r="J133" s="8"/>
      <c r="K133" s="8"/>
      <c r="L133" s="8"/>
      <c r="M133" s="8"/>
      <c r="N133" s="8"/>
      <c r="O133" s="8">
        <f>F123-'[2]Beam '!$F$15</f>
        <v>0.69</v>
      </c>
      <c r="P133" s="8">
        <f t="shared" si="29"/>
        <v>10.35</v>
      </c>
      <c r="Q133" s="8">
        <f>IF($D133='[2]Beam '!Q$44,$P133*'[2]Beam '!Q$45,0)</f>
        <v>0</v>
      </c>
      <c r="R133" s="8">
        <f>IF($D133='[2]Beam '!R$44,$P133*'[2]Beam '!R$45,0)</f>
        <v>0</v>
      </c>
      <c r="S133" s="8">
        <f>IF($D133='[2]Beam '!S$44,$P133*'[2]Beam '!S$45,0)</f>
        <v>0</v>
      </c>
      <c r="T133" s="8">
        <f>IF($D133='[2]Beam '!T$44,$P133*'[2]Beam '!T$45,0)</f>
        <v>0</v>
      </c>
      <c r="U133" s="8">
        <f>IF($D133='[2]Beam '!U$44,$P133*'[2]Beam '!U$45,0)</f>
        <v>0</v>
      </c>
      <c r="V133" s="8">
        <f>IF($D133='[2]Beam '!V$44,$P133*'[2]Beam '!V$45,0)</f>
        <v>39.898325892857144</v>
      </c>
      <c r="W133" s="8">
        <f>IF($D133='[2]Beam '!W$44,$P133*'[2]Beam '!W$45,0)</f>
        <v>0</v>
      </c>
      <c r="X133" s="8">
        <f t="shared" si="30"/>
        <v>39.898325892857144</v>
      </c>
      <c r="Y133" s="8"/>
      <c r="Z133" s="8"/>
      <c r="AA133" s="8"/>
      <c r="AB133" s="8"/>
      <c r="AC133" s="8"/>
      <c r="AD133" s="8"/>
      <c r="AE133" s="8"/>
    </row>
    <row r="134" spans="1:32" s="10" customFormat="1" ht="20.100000000000001" customHeight="1" x14ac:dyDescent="0.25">
      <c r="A134" s="8">
        <v>1</v>
      </c>
      <c r="B134" s="8" t="s">
        <v>2</v>
      </c>
      <c r="C134" s="11" t="s">
        <v>28</v>
      </c>
      <c r="D134" s="11">
        <v>1</v>
      </c>
      <c r="E134" s="11">
        <v>7.35</v>
      </c>
      <c r="F134" s="11">
        <v>0.45</v>
      </c>
      <c r="G134" s="11">
        <v>0.6</v>
      </c>
      <c r="H134" s="8">
        <f>G134-0.2</f>
        <v>0.39999999999999997</v>
      </c>
      <c r="I134" s="8">
        <f>E134*F134*G134*D134</f>
        <v>1.9844999999999999</v>
      </c>
      <c r="J134" s="8">
        <f>(2*(E134)*H134*D134)+(E134*F134)</f>
        <v>9.1875</v>
      </c>
      <c r="K134" s="12">
        <f>IF(E134=0.3,J134,0)</f>
        <v>0</v>
      </c>
      <c r="L134" s="12">
        <f>IF(AND(E134&gt;0.3,E134&lt;=0.75),J134,0)</f>
        <v>0</v>
      </c>
      <c r="M134" s="12">
        <f>IF(AND(E134&gt;0.75,E134&lt;=1.2),J134,0)</f>
        <v>0</v>
      </c>
      <c r="N134" s="12">
        <f>IF(E134&gt;1.2,J134,0)</f>
        <v>9.1875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>
        <f>SUM(X135:X142)/I134</f>
        <v>228.88989030702231</v>
      </c>
      <c r="Z134" s="8"/>
      <c r="AA134" s="8"/>
      <c r="AB134" s="8"/>
      <c r="AC134" s="8"/>
      <c r="AD134" s="8"/>
      <c r="AE134" s="8"/>
    </row>
    <row r="135" spans="1:32" s="10" customFormat="1" ht="20.100000000000001" customHeight="1" x14ac:dyDescent="0.25">
      <c r="A135" s="7"/>
      <c r="B135" s="8" t="s">
        <v>2</v>
      </c>
      <c r="C135" s="13" t="s">
        <v>4</v>
      </c>
      <c r="D135" s="8">
        <v>20</v>
      </c>
      <c r="E135" s="8"/>
      <c r="F135" s="8">
        <v>4</v>
      </c>
      <c r="G135" s="9">
        <f>VLOOKUP(D135,'[2]Beam '!$C$20:$H$26,3,0)</f>
        <v>0.8</v>
      </c>
      <c r="H135" s="9"/>
      <c r="I135" s="8"/>
      <c r="J135" s="8"/>
      <c r="K135" s="8"/>
      <c r="L135" s="8"/>
      <c r="M135" s="8"/>
      <c r="N135" s="8"/>
      <c r="O135" s="8">
        <f>(E134+2*(0.3/2))*D134</f>
        <v>7.6499999999999995</v>
      </c>
      <c r="P135" s="8">
        <f t="shared" ref="P135:P145" si="31">O135*F135</f>
        <v>30.599999999999998</v>
      </c>
      <c r="Q135" s="8">
        <f>IF($D135='[2]Beam '!Q$44,$P135*'[2]Beam '!Q$45,0)</f>
        <v>0</v>
      </c>
      <c r="R135" s="8">
        <f>IF($D135='[2]Beam '!R$44,$P135*'[2]Beam '!R$45,0)</f>
        <v>0</v>
      </c>
      <c r="S135" s="8">
        <f>IF($D135='[2]Beam '!S$44,$P135*'[2]Beam '!S$45,0)</f>
        <v>0</v>
      </c>
      <c r="T135" s="8">
        <f>IF($D135='[2]Beam '!T$44,$P135*'[2]Beam '!T$45,0)</f>
        <v>0</v>
      </c>
      <c r="U135" s="8">
        <f>IF($D135='[2]Beam '!U$44,$P135*'[2]Beam '!U$45,0)</f>
        <v>75.494571428571419</v>
      </c>
      <c r="V135" s="8">
        <f>IF($D135='[2]Beam '!V$44,$P135*'[2]Beam '!V$45,0)</f>
        <v>0</v>
      </c>
      <c r="W135" s="8">
        <f>IF($D135='[2]Beam '!W$44,$P135*'[2]Beam '!W$45,0)</f>
        <v>0</v>
      </c>
      <c r="X135" s="8">
        <f t="shared" ref="X135:X145" si="32">SUM(Q135:W135)</f>
        <v>75.494571428571419</v>
      </c>
      <c r="Y135" s="8"/>
      <c r="Z135" s="8"/>
      <c r="AA135" s="8"/>
      <c r="AB135" s="8"/>
      <c r="AC135" s="8"/>
      <c r="AD135" s="8"/>
      <c r="AE135" s="8"/>
    </row>
    <row r="136" spans="1:32" s="10" customFormat="1" ht="20.100000000000001" customHeight="1" x14ac:dyDescent="0.25">
      <c r="A136" s="7"/>
      <c r="B136" s="8" t="s">
        <v>2</v>
      </c>
      <c r="C136" s="13" t="s">
        <v>5</v>
      </c>
      <c r="D136" s="8">
        <v>25</v>
      </c>
      <c r="E136" s="8"/>
      <c r="F136" s="8">
        <v>4</v>
      </c>
      <c r="G136" s="9">
        <f>VLOOKUP(D136,'[2]Beam '!$C$20:$H$26,3,0)</f>
        <v>1</v>
      </c>
      <c r="H136" s="9"/>
      <c r="I136" s="8"/>
      <c r="J136" s="8"/>
      <c r="K136" s="8"/>
      <c r="L136" s="8"/>
      <c r="M136" s="8"/>
      <c r="N136" s="8"/>
      <c r="O136" s="8">
        <f>(1.95+1*(0.3/2))*D134</f>
        <v>2.1</v>
      </c>
      <c r="P136" s="8">
        <f t="shared" si="31"/>
        <v>8.4</v>
      </c>
      <c r="Q136" s="8">
        <f>IF($D136='[2]Beam '!Q$44,$P136*'[2]Beam '!Q$45,0)</f>
        <v>0</v>
      </c>
      <c r="R136" s="8">
        <f>IF($D136='[2]Beam '!R$44,$P136*'[2]Beam '!R$45,0)</f>
        <v>0</v>
      </c>
      <c r="S136" s="8">
        <f>IF($D136='[2]Beam '!S$44,$P136*'[2]Beam '!S$45,0)</f>
        <v>0</v>
      </c>
      <c r="T136" s="8">
        <f>IF($D136='[2]Beam '!T$44,$P136*'[2]Beam '!T$45,0)</f>
        <v>0</v>
      </c>
      <c r="U136" s="8">
        <f>IF($D136='[2]Beam '!U$44,$P136*'[2]Beam '!U$45,0)</f>
        <v>0</v>
      </c>
      <c r="V136" s="8">
        <f>IF($D136='[2]Beam '!V$44,$P136*'[2]Beam '!V$45,0)</f>
        <v>32.381250000000009</v>
      </c>
      <c r="W136" s="8">
        <f>IF($D136='[2]Beam '!W$44,$P136*'[2]Beam '!W$45,0)</f>
        <v>0</v>
      </c>
      <c r="X136" s="8">
        <f t="shared" si="32"/>
        <v>32.381250000000009</v>
      </c>
      <c r="Y136" s="8"/>
      <c r="Z136" s="8"/>
      <c r="AA136" s="8"/>
      <c r="AB136" s="8"/>
      <c r="AC136" s="8"/>
      <c r="AD136" s="8"/>
      <c r="AE136" s="8"/>
    </row>
    <row r="137" spans="1:32" s="10" customFormat="1" ht="20.100000000000001" customHeight="1" x14ac:dyDescent="0.25">
      <c r="A137" s="7"/>
      <c r="B137" s="8" t="s">
        <v>2</v>
      </c>
      <c r="C137" s="13" t="s">
        <v>5</v>
      </c>
      <c r="D137" s="8">
        <v>25</v>
      </c>
      <c r="E137" s="8"/>
      <c r="F137" s="8">
        <v>4</v>
      </c>
      <c r="G137" s="9">
        <f>VLOOKUP(D137,'[2]Beam '!$C$20:$H$26,3,0)</f>
        <v>1</v>
      </c>
      <c r="H137" s="9"/>
      <c r="I137" s="8"/>
      <c r="J137" s="8"/>
      <c r="K137" s="8"/>
      <c r="L137" s="8"/>
      <c r="M137" s="8"/>
      <c r="N137" s="8"/>
      <c r="O137" s="8">
        <f>(1.95+1*(0.3/2))*D134</f>
        <v>2.1</v>
      </c>
      <c r="P137" s="8">
        <f t="shared" si="31"/>
        <v>8.4</v>
      </c>
      <c r="Q137" s="8">
        <f>IF($D137='[2]Beam '!Q$44,$P137*'[2]Beam '!Q$45,0)</f>
        <v>0</v>
      </c>
      <c r="R137" s="8">
        <f>IF($D137='[2]Beam '!R$44,$P137*'[2]Beam '!R$45,0)</f>
        <v>0</v>
      </c>
      <c r="S137" s="8">
        <f>IF($D137='[2]Beam '!S$44,$P137*'[2]Beam '!S$45,0)</f>
        <v>0</v>
      </c>
      <c r="T137" s="8">
        <f>IF($D137='[2]Beam '!T$44,$P137*'[2]Beam '!T$45,0)</f>
        <v>0</v>
      </c>
      <c r="U137" s="8">
        <f>IF($D137='[2]Beam '!U$44,$P137*'[2]Beam '!U$45,0)</f>
        <v>0</v>
      </c>
      <c r="V137" s="8">
        <f>IF($D137='[2]Beam '!V$44,$P137*'[2]Beam '!V$45,0)</f>
        <v>32.381250000000009</v>
      </c>
      <c r="W137" s="8">
        <f>IF($D137='[2]Beam '!W$44,$P137*'[2]Beam '!W$45,0)</f>
        <v>0</v>
      </c>
      <c r="X137" s="8">
        <f t="shared" si="32"/>
        <v>32.381250000000009</v>
      </c>
      <c r="Y137" s="8"/>
      <c r="Z137" s="8"/>
      <c r="AA137" s="8"/>
      <c r="AB137" s="8"/>
      <c r="AC137" s="8"/>
      <c r="AD137" s="8"/>
      <c r="AE137" s="8"/>
    </row>
    <row r="138" spans="1:32" s="10" customFormat="1" ht="20.100000000000001" customHeight="1" x14ac:dyDescent="0.25">
      <c r="A138" s="7"/>
      <c r="B138" s="8" t="s">
        <v>2</v>
      </c>
      <c r="C138" s="13" t="s">
        <v>5</v>
      </c>
      <c r="D138" s="8">
        <v>16</v>
      </c>
      <c r="E138" s="8"/>
      <c r="F138" s="8">
        <v>4</v>
      </c>
      <c r="G138" s="9">
        <f>VLOOKUP(D138,'[2]Beam '!$C$20:$H$26,3,0)</f>
        <v>0.625</v>
      </c>
      <c r="H138" s="9"/>
      <c r="I138" s="8"/>
      <c r="J138" s="8"/>
      <c r="K138" s="8"/>
      <c r="L138" s="8"/>
      <c r="M138" s="8"/>
      <c r="N138" s="8"/>
      <c r="O138" s="8">
        <f>(1.95+1*(G138+(12*D138/1000))*D134)</f>
        <v>2.7669999999999999</v>
      </c>
      <c r="P138" s="8">
        <f t="shared" si="31"/>
        <v>11.068</v>
      </c>
      <c r="Q138" s="8">
        <f>IF($D138='[2]Beam '!Q$44,$P138*'[2]Beam '!Q$45,0)</f>
        <v>0</v>
      </c>
      <c r="R138" s="8">
        <f>IF($D138='[2]Beam '!R$44,$P138*'[2]Beam '!R$45,0)</f>
        <v>0</v>
      </c>
      <c r="S138" s="8">
        <f>IF($D138='[2]Beam '!S$44,$P138*'[2]Beam '!S$45,0)</f>
        <v>0</v>
      </c>
      <c r="T138" s="8">
        <f>IF($D138='[2]Beam '!T$44,$P138*'[2]Beam '!T$45,0)</f>
        <v>17.476055771428573</v>
      </c>
      <c r="U138" s="8">
        <f>IF($D138='[2]Beam '!U$44,$P138*'[2]Beam '!U$45,0)</f>
        <v>0</v>
      </c>
      <c r="V138" s="8">
        <f>IF($D138='[2]Beam '!V$44,$P138*'[2]Beam '!V$45,0)</f>
        <v>0</v>
      </c>
      <c r="W138" s="8">
        <f>IF($D138='[2]Beam '!W$44,$P138*'[2]Beam '!W$45,0)</f>
        <v>0</v>
      </c>
      <c r="X138" s="8">
        <f t="shared" si="32"/>
        <v>17.476055771428573</v>
      </c>
      <c r="Y138" s="8"/>
      <c r="Z138" s="8"/>
      <c r="AA138" s="8"/>
      <c r="AB138" s="8"/>
      <c r="AC138" s="8"/>
      <c r="AD138" s="8"/>
      <c r="AE138" s="8"/>
    </row>
    <row r="139" spans="1:32" s="14" customFormat="1" ht="20.100000000000001" customHeight="1" x14ac:dyDescent="0.3">
      <c r="A139" s="7"/>
      <c r="B139" s="8" t="s">
        <v>2</v>
      </c>
      <c r="C139" s="13" t="s">
        <v>6</v>
      </c>
      <c r="D139" s="8">
        <v>20</v>
      </c>
      <c r="E139" s="8"/>
      <c r="F139" s="8">
        <v>4</v>
      </c>
      <c r="G139" s="9">
        <f>VLOOKUP(D139,'[2]Beam '!$C$20:$H$26,3,0)</f>
        <v>0.8</v>
      </c>
      <c r="H139" s="8"/>
      <c r="I139" s="8"/>
      <c r="J139" s="8"/>
      <c r="K139" s="8"/>
      <c r="L139" s="8"/>
      <c r="M139" s="8"/>
      <c r="N139" s="8"/>
      <c r="O139" s="8">
        <f>(E134+2*(G139+(12*D139/1000))+1*(0.3/2))+1*G139*D134</f>
        <v>10.38</v>
      </c>
      <c r="P139" s="8">
        <f t="shared" si="31"/>
        <v>41.52</v>
      </c>
      <c r="Q139" s="8">
        <f>IF($D139='[2]Beam '!Q$44,$P139*'[2]Beam '!Q$45,0)</f>
        <v>0</v>
      </c>
      <c r="R139" s="8">
        <f>IF($D139='[2]Beam '!R$44,$P139*'[2]Beam '!R$45,0)</f>
        <v>0</v>
      </c>
      <c r="S139" s="8">
        <f>IF($D139='[2]Beam '!S$44,$P139*'[2]Beam '!S$45,0)</f>
        <v>0</v>
      </c>
      <c r="T139" s="8">
        <f>IF($D139='[2]Beam '!T$44,$P139*'[2]Beam '!T$45,0)</f>
        <v>0</v>
      </c>
      <c r="U139" s="8">
        <f>IF($D139='[2]Beam '!U$44,$P139*'[2]Beam '!U$45,0)</f>
        <v>102.43577142857143</v>
      </c>
      <c r="V139" s="8">
        <f>IF($D139='[2]Beam '!V$44,$P139*'[2]Beam '!V$45,0)</f>
        <v>0</v>
      </c>
      <c r="W139" s="8">
        <f>IF($D139='[2]Beam '!W$44,$P139*'[2]Beam '!W$45,0)</f>
        <v>0</v>
      </c>
      <c r="X139" s="8">
        <f t="shared" si="32"/>
        <v>102.43577142857143</v>
      </c>
      <c r="Y139" s="8"/>
    </row>
    <row r="140" spans="1:32" s="14" customFormat="1" ht="20.100000000000001" customHeight="1" x14ac:dyDescent="0.3">
      <c r="A140" s="7"/>
      <c r="B140" s="8" t="s">
        <v>2</v>
      </c>
      <c r="C140" s="13" t="s">
        <v>7</v>
      </c>
      <c r="D140" s="8">
        <v>16</v>
      </c>
      <c r="E140" s="8"/>
      <c r="F140" s="8">
        <v>4</v>
      </c>
      <c r="G140" s="9">
        <f>VLOOKUP(D140,'[2]Beam '!$C$20:$H$26,3,0)</f>
        <v>0.625</v>
      </c>
      <c r="H140" s="8"/>
      <c r="I140" s="8"/>
      <c r="J140" s="8"/>
      <c r="K140" s="8"/>
      <c r="L140" s="8"/>
      <c r="M140" s="8"/>
      <c r="N140" s="8"/>
      <c r="O140" s="8">
        <f>(E134+2*(G140+(12*D140/1000))+1*(0.3/2))+1*G140*D134</f>
        <v>9.7590000000000003</v>
      </c>
      <c r="P140" s="8">
        <f t="shared" si="31"/>
        <v>39.036000000000001</v>
      </c>
      <c r="Q140" s="8">
        <f>IF($D140='[2]Beam '!Q$44,$P140*'[2]Beam '!Q$45,0)</f>
        <v>0</v>
      </c>
      <c r="R140" s="8">
        <f>IF($D140='[2]Beam '!R$44,$P140*'[2]Beam '!R$45,0)</f>
        <v>0</v>
      </c>
      <c r="S140" s="8">
        <f>IF($D140='[2]Beam '!S$44,$P140*'[2]Beam '!S$45,0)</f>
        <v>0</v>
      </c>
      <c r="T140" s="8">
        <f>IF($D140='[2]Beam '!T$44,$P140*'[2]Beam '!T$45,0)</f>
        <v>61.636728685714296</v>
      </c>
      <c r="U140" s="8">
        <f>IF($D140='[2]Beam '!U$44,$P140*'[2]Beam '!U$45,0)</f>
        <v>0</v>
      </c>
      <c r="V140" s="8">
        <f>IF($D140='[2]Beam '!V$44,$P140*'[2]Beam '!V$45,0)</f>
        <v>0</v>
      </c>
      <c r="W140" s="8">
        <f>IF($D140='[2]Beam '!W$44,$P140*'[2]Beam '!W$45,0)</f>
        <v>0</v>
      </c>
      <c r="X140" s="8">
        <f t="shared" si="32"/>
        <v>61.636728685714296</v>
      </c>
      <c r="Y140" s="8"/>
    </row>
    <row r="141" spans="1:32" s="14" customFormat="1" ht="20.100000000000001" customHeight="1" x14ac:dyDescent="0.25">
      <c r="A141" s="7"/>
      <c r="B141" s="8" t="s">
        <v>2</v>
      </c>
      <c r="C141" s="13" t="s">
        <v>13</v>
      </c>
      <c r="D141" s="8">
        <v>12</v>
      </c>
      <c r="E141" s="8">
        <v>0.1</v>
      </c>
      <c r="F141" s="8">
        <f>ROUND(IF(E134/3&gt;(2*G134),(E134/3)/E141,(2*G134)/E141),0)*2+1</f>
        <v>51</v>
      </c>
      <c r="G141" s="10"/>
      <c r="H141" s="8"/>
      <c r="I141" s="8"/>
      <c r="J141" s="8"/>
      <c r="K141" s="8"/>
      <c r="L141" s="8"/>
      <c r="M141" s="8"/>
      <c r="N141" s="8"/>
      <c r="O141" s="8">
        <f>(2*((G134-(2*'[2]Beam '!$D$11))+(F134-(2*'[2]Beam '!$D$11)))+(2*10*D141/1000))*D134</f>
        <v>2.1</v>
      </c>
      <c r="P141" s="8">
        <f t="shared" si="31"/>
        <v>107.10000000000001</v>
      </c>
      <c r="Q141" s="8">
        <f>IF($D141='[2]Beam '!Q$44,$P141*'[2]Beam '!Q$45,0)</f>
        <v>0</v>
      </c>
      <c r="R141" s="8">
        <f>IF($D141='[2]Beam '!R$44,$P141*'[2]Beam '!R$45,0)</f>
        <v>0</v>
      </c>
      <c r="S141" s="8">
        <f>IF($D141='[2]Beam '!S$44,$P141*'[2]Beam '!S$45,0)</f>
        <v>95.123160000000027</v>
      </c>
      <c r="T141" s="8">
        <f>IF($D141='[2]Beam '!T$44,$P141*'[2]Beam '!T$45,0)</f>
        <v>0</v>
      </c>
      <c r="U141" s="8">
        <f>IF($D141='[2]Beam '!U$44,$P141*'[2]Beam '!U$45,0)</f>
        <v>0</v>
      </c>
      <c r="V141" s="8">
        <f>IF($D141='[2]Beam '!V$44,$P141*'[2]Beam '!V$45,0)</f>
        <v>0</v>
      </c>
      <c r="W141" s="8">
        <f>IF($D141='[2]Beam '!W$44,$P141*'[2]Beam '!W$45,0)</f>
        <v>0</v>
      </c>
      <c r="X141" s="8">
        <f t="shared" si="32"/>
        <v>95.123160000000027</v>
      </c>
      <c r="Y141" s="8"/>
    </row>
    <row r="142" spans="1:32" s="10" customFormat="1" ht="20.100000000000001" customHeight="1" x14ac:dyDescent="0.25">
      <c r="A142" s="14"/>
      <c r="B142" s="8" t="s">
        <v>2</v>
      </c>
      <c r="C142" s="13" t="s">
        <v>14</v>
      </c>
      <c r="D142" s="14">
        <f>D141</f>
        <v>12</v>
      </c>
      <c r="E142" s="14">
        <v>0.125</v>
      </c>
      <c r="F142" s="14">
        <f>ROUND((E134-(IF(E134/3&gt;2*G134,E134/3*2,G134*2*2)))/E142,0)</f>
        <v>20</v>
      </c>
      <c r="H142" s="14"/>
      <c r="I142" s="14"/>
      <c r="J142" s="14"/>
      <c r="K142" s="14"/>
      <c r="L142" s="14"/>
      <c r="M142" s="14"/>
      <c r="N142" s="14"/>
      <c r="O142" s="8">
        <f>(2*((G134-(2*'[2]Beam '!$D$11))+(F134-(2*'[2]Beam '!$D$11)))+(2*10*D142/1000))*D134</f>
        <v>2.1</v>
      </c>
      <c r="P142" s="8">
        <f t="shared" si="31"/>
        <v>42</v>
      </c>
      <c r="Q142" s="8">
        <f>IF($D142='[2]Beam '!Q$44,$P142*'[2]Beam '!Q$45,0)</f>
        <v>0</v>
      </c>
      <c r="R142" s="8">
        <f>IF($D142='[2]Beam '!R$44,$P142*'[2]Beam '!R$45,0)</f>
        <v>0</v>
      </c>
      <c r="S142" s="8">
        <f>IF($D142='[2]Beam '!S$44,$P142*'[2]Beam '!S$45,0)</f>
        <v>37.303200000000004</v>
      </c>
      <c r="T142" s="8">
        <f>IF($D142='[2]Beam '!T$44,$P142*'[2]Beam '!T$45,0)</f>
        <v>0</v>
      </c>
      <c r="U142" s="8">
        <f>IF($D142='[2]Beam '!U$44,$P142*'[2]Beam '!U$45,0)</f>
        <v>0</v>
      </c>
      <c r="V142" s="8">
        <f>IF($D142='[2]Beam '!V$44,$P142*'[2]Beam '!V$45,0)</f>
        <v>0</v>
      </c>
      <c r="W142" s="8">
        <f>IF($D142='[2]Beam '!W$44,$P142*'[2]Beam '!W$45,0)</f>
        <v>0</v>
      </c>
      <c r="X142" s="8">
        <f t="shared" si="32"/>
        <v>37.303200000000004</v>
      </c>
      <c r="Y142" s="14"/>
      <c r="Z142" s="8"/>
      <c r="AA142" s="8"/>
      <c r="AB142" s="8"/>
      <c r="AC142" s="8"/>
      <c r="AD142" s="8"/>
      <c r="AE142" s="8"/>
    </row>
    <row r="143" spans="1:32" s="10" customFormat="1" ht="21" customHeight="1" x14ac:dyDescent="0.25">
      <c r="A143" s="14"/>
      <c r="B143" s="8" t="s">
        <v>2</v>
      </c>
      <c r="C143" s="13" t="s">
        <v>15</v>
      </c>
      <c r="D143" s="14">
        <f>D141</f>
        <v>12</v>
      </c>
      <c r="E143" s="14">
        <f>+E141</f>
        <v>0.1</v>
      </c>
      <c r="F143" s="8">
        <f>ROUND(IF(E134/3&gt;(2*G134),(E134/3)/E143,(2*G134)/E143),0)*2+1</f>
        <v>51</v>
      </c>
      <c r="H143" s="14"/>
      <c r="I143" s="14"/>
      <c r="J143" s="14"/>
      <c r="K143" s="14"/>
      <c r="L143" s="14"/>
      <c r="M143" s="14"/>
      <c r="N143" s="14"/>
      <c r="O143" s="8">
        <f>(2*(((F134-'[2]Beam '!$D$11*2)/(F135-1))+(G134-'[2]Beam '!$D$11*2))+(2*10*D143/1000))*D134</f>
        <v>1.58</v>
      </c>
      <c r="P143" s="8">
        <f t="shared" si="31"/>
        <v>80.58</v>
      </c>
      <c r="Q143" s="8">
        <f>IF($D143='[2]Beam '!Q$44,$P143*'[2]Beam '!Q$45,0)</f>
        <v>0</v>
      </c>
      <c r="R143" s="8">
        <f>IF($D143='[2]Beam '!R$44,$P143*'[2]Beam '!R$45,0)</f>
        <v>0</v>
      </c>
      <c r="S143" s="8">
        <f>IF($D143='[2]Beam '!S$44,$P143*'[2]Beam '!S$45,0)</f>
        <v>71.568853714285723</v>
      </c>
      <c r="T143" s="8">
        <f>IF($D143='[2]Beam '!T$44,$P143*'[2]Beam '!T$45,0)</f>
        <v>0</v>
      </c>
      <c r="U143" s="8">
        <f>IF($D143='[2]Beam '!U$44,$P143*'[2]Beam '!U$45,0)</f>
        <v>0</v>
      </c>
      <c r="V143" s="8">
        <f>IF($D143='[2]Beam '!V$44,$P143*'[2]Beam '!V$45,0)</f>
        <v>0</v>
      </c>
      <c r="W143" s="8">
        <f>IF($D143='[2]Beam '!W$44,$P143*'[2]Beam '!W$45,0)</f>
        <v>0</v>
      </c>
      <c r="X143" s="8">
        <f t="shared" si="32"/>
        <v>71.568853714285723</v>
      </c>
      <c r="Y143" s="14"/>
      <c r="Z143" s="8"/>
      <c r="AA143" s="8"/>
      <c r="AB143" s="8"/>
      <c r="AC143" s="8"/>
      <c r="AD143" s="8"/>
      <c r="AE143" s="8"/>
      <c r="AF143" s="8"/>
    </row>
    <row r="144" spans="1:32" s="10" customFormat="1" ht="20.100000000000001" customHeight="1" x14ac:dyDescent="0.25">
      <c r="A144" s="14"/>
      <c r="B144" s="8" t="s">
        <v>2</v>
      </c>
      <c r="C144" s="13" t="s">
        <v>16</v>
      </c>
      <c r="D144" s="14">
        <f>D142</f>
        <v>12</v>
      </c>
      <c r="E144" s="14">
        <f>+E142</f>
        <v>0.125</v>
      </c>
      <c r="F144" s="14">
        <f>ROUND((E134-(IF(E134/3&gt;2*G134,E134/3*2,G134*2*2)))/E144,0)</f>
        <v>20</v>
      </c>
      <c r="H144" s="14"/>
      <c r="I144" s="14"/>
      <c r="J144" s="14"/>
      <c r="K144" s="14"/>
      <c r="L144" s="14"/>
      <c r="M144" s="14"/>
      <c r="N144" s="14"/>
      <c r="O144" s="8">
        <f>(2*(((F134-'[2]Beam '!$D$11*2)/(F135-1))+(G134-'[2]Beam '!$D$11*2))+(2*10*D144/1000))*D134</f>
        <v>1.58</v>
      </c>
      <c r="P144" s="8">
        <f t="shared" si="31"/>
        <v>31.6</v>
      </c>
      <c r="Q144" s="8">
        <f>IF($D144='[2]Beam '!Q$44,$P144*'[2]Beam '!Q$45,0)</f>
        <v>0</v>
      </c>
      <c r="R144" s="8">
        <f>IF($D144='[2]Beam '!R$44,$P144*'[2]Beam '!R$45,0)</f>
        <v>0</v>
      </c>
      <c r="S144" s="8">
        <f>IF($D144='[2]Beam '!S$44,$P144*'[2]Beam '!S$45,0)</f>
        <v>28.066217142857148</v>
      </c>
      <c r="T144" s="8">
        <f>IF($D144='[2]Beam '!T$44,$P144*'[2]Beam '!T$45,0)</f>
        <v>0</v>
      </c>
      <c r="U144" s="8">
        <f>IF($D144='[2]Beam '!U$44,$P144*'[2]Beam '!U$45,0)</f>
        <v>0</v>
      </c>
      <c r="V144" s="8">
        <f>IF($D144='[2]Beam '!V$44,$P144*'[2]Beam '!V$45,0)</f>
        <v>0</v>
      </c>
      <c r="W144" s="8">
        <f>IF($D144='[2]Beam '!W$44,$P144*'[2]Beam '!W$45,0)</f>
        <v>0</v>
      </c>
      <c r="X144" s="8">
        <f t="shared" si="32"/>
        <v>28.066217142857148</v>
      </c>
      <c r="Y144" s="14"/>
      <c r="Z144" s="8"/>
      <c r="AA144" s="8"/>
      <c r="AB144" s="8"/>
      <c r="AC144" s="8"/>
      <c r="AD144" s="8"/>
      <c r="AE144" s="8"/>
    </row>
    <row r="145" spans="1:32" s="10" customFormat="1" ht="20.100000000000001" customHeight="1" x14ac:dyDescent="0.25">
      <c r="A145" s="7"/>
      <c r="B145" s="8" t="s">
        <v>2</v>
      </c>
      <c r="C145" s="13" t="s">
        <v>10</v>
      </c>
      <c r="D145" s="8">
        <f>+'[2]Beam '!$D$15</f>
        <v>25</v>
      </c>
      <c r="E145" s="8">
        <f>+'[2]Beam '!$E$15</f>
        <v>1</v>
      </c>
      <c r="F145" s="8">
        <f>ROUNDUP((3+E134)/E145,0)</f>
        <v>11</v>
      </c>
      <c r="G145" s="9"/>
      <c r="H145" s="9"/>
      <c r="I145" s="8"/>
      <c r="J145" s="8"/>
      <c r="K145" s="8"/>
      <c r="L145" s="8"/>
      <c r="M145" s="8"/>
      <c r="N145" s="8"/>
      <c r="O145" s="8">
        <f>F134-'[2]Beam '!$F$15</f>
        <v>0.39</v>
      </c>
      <c r="P145" s="8">
        <f t="shared" si="31"/>
        <v>4.29</v>
      </c>
      <c r="Q145" s="8">
        <f>IF($D145='[2]Beam '!Q$44,$P145*'[2]Beam '!Q$45,0)</f>
        <v>0</v>
      </c>
      <c r="R145" s="8">
        <f>IF($D145='[2]Beam '!R$44,$P145*'[2]Beam '!R$45,0)</f>
        <v>0</v>
      </c>
      <c r="S145" s="8">
        <f>IF($D145='[2]Beam '!S$44,$P145*'[2]Beam '!S$45,0)</f>
        <v>0</v>
      </c>
      <c r="T145" s="8">
        <f>IF($D145='[2]Beam '!T$44,$P145*'[2]Beam '!T$45,0)</f>
        <v>0</v>
      </c>
      <c r="U145" s="8">
        <f>IF($D145='[2]Beam '!U$44,$P145*'[2]Beam '!U$45,0)</f>
        <v>0</v>
      </c>
      <c r="V145" s="8">
        <f>IF($D145='[2]Beam '!V$44,$P145*'[2]Beam '!V$45,0)</f>
        <v>16.537566964285716</v>
      </c>
      <c r="W145" s="8">
        <f>IF($D145='[2]Beam '!W$44,$P145*'[2]Beam '!W$45,0)</f>
        <v>0</v>
      </c>
      <c r="X145" s="8">
        <f t="shared" si="32"/>
        <v>16.537566964285716</v>
      </c>
      <c r="Y145" s="8"/>
      <c r="Z145" s="8"/>
      <c r="AA145" s="8"/>
      <c r="AB145" s="8"/>
      <c r="AC145" s="8"/>
      <c r="AD145" s="8"/>
      <c r="AE145" s="8"/>
    </row>
    <row r="146" spans="1:32" s="10" customFormat="1" ht="20.100000000000001" customHeight="1" x14ac:dyDescent="0.25">
      <c r="A146" s="8">
        <v>1</v>
      </c>
      <c r="B146" s="8" t="s">
        <v>2</v>
      </c>
      <c r="C146" s="11" t="s">
        <v>29</v>
      </c>
      <c r="D146" s="11">
        <v>1</v>
      </c>
      <c r="E146" s="11">
        <v>8.8249999999999993</v>
      </c>
      <c r="F146" s="11">
        <v>0.6</v>
      </c>
      <c r="G146" s="11">
        <v>0.6</v>
      </c>
      <c r="H146" s="8">
        <f>G146-0.2</f>
        <v>0.39999999999999997</v>
      </c>
      <c r="I146" s="8">
        <f>E146*F146*G146*D146</f>
        <v>3.1769999999999992</v>
      </c>
      <c r="J146" s="8">
        <f>(2*(E146)*H146*D146)+(E146*F146)</f>
        <v>12.354999999999997</v>
      </c>
      <c r="K146" s="12">
        <f>IF(E146=0.3,J146,0)</f>
        <v>0</v>
      </c>
      <c r="L146" s="12">
        <f>IF(AND(E146&gt;0.3,E146&lt;=0.75),J146,0)</f>
        <v>0</v>
      </c>
      <c r="M146" s="12">
        <f>IF(AND(E146&gt;0.75,E146&lt;=1.2),J146,0)</f>
        <v>0</v>
      </c>
      <c r="N146" s="12">
        <f>IF(E146&gt;1.2,J146,0)</f>
        <v>12.354999999999997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>
        <f>SUM(X147:X153)/I146</f>
        <v>209.78013984441756</v>
      </c>
      <c r="Z146" s="8"/>
      <c r="AA146" s="8"/>
      <c r="AB146" s="8"/>
      <c r="AC146" s="8"/>
      <c r="AD146" s="8"/>
      <c r="AE146" s="8"/>
    </row>
    <row r="147" spans="1:32" s="10" customFormat="1" ht="20.100000000000001" customHeight="1" x14ac:dyDescent="0.25">
      <c r="A147" s="7"/>
      <c r="B147" s="8" t="s">
        <v>2</v>
      </c>
      <c r="C147" s="13" t="s">
        <v>4</v>
      </c>
      <c r="D147" s="8">
        <v>20</v>
      </c>
      <c r="E147" s="8"/>
      <c r="F147" s="8">
        <v>6</v>
      </c>
      <c r="G147" s="9">
        <f>VLOOKUP(D147,'[2]Beam '!$C$20:$H$26,3,0)</f>
        <v>0.8</v>
      </c>
      <c r="H147" s="9"/>
      <c r="I147" s="8"/>
      <c r="J147" s="8"/>
      <c r="K147" s="8"/>
      <c r="L147" s="8"/>
      <c r="M147" s="8"/>
      <c r="N147" s="8"/>
      <c r="O147" s="8">
        <f>(E146+2*(0.3/2))*D146</f>
        <v>9.125</v>
      </c>
      <c r="P147" s="8">
        <f t="shared" ref="P147:P156" si="33">O147*F147</f>
        <v>54.75</v>
      </c>
      <c r="Q147" s="8">
        <f>IF($D147='[2]Beam '!Q$44,$P147*'[2]Beam '!Q$45,0)</f>
        <v>0</v>
      </c>
      <c r="R147" s="8">
        <f>IF($D147='[2]Beam '!R$44,$P147*'[2]Beam '!R$45,0)</f>
        <v>0</v>
      </c>
      <c r="S147" s="8">
        <f>IF($D147='[2]Beam '!S$44,$P147*'[2]Beam '!S$45,0)</f>
        <v>0</v>
      </c>
      <c r="T147" s="8">
        <f>IF($D147='[2]Beam '!T$44,$P147*'[2]Beam '!T$45,0)</f>
        <v>0</v>
      </c>
      <c r="U147" s="8">
        <f>IF($D147='[2]Beam '!U$44,$P147*'[2]Beam '!U$45,0)</f>
        <v>135.07607142857142</v>
      </c>
      <c r="V147" s="8">
        <f>IF($D147='[2]Beam '!V$44,$P147*'[2]Beam '!V$45,0)</f>
        <v>0</v>
      </c>
      <c r="W147" s="8">
        <f>IF($D147='[2]Beam '!W$44,$P147*'[2]Beam '!W$45,0)</f>
        <v>0</v>
      </c>
      <c r="X147" s="8">
        <f t="shared" ref="X147:X156" si="34">SUM(Q147:W147)</f>
        <v>135.07607142857142</v>
      </c>
      <c r="Y147" s="8"/>
      <c r="Z147" s="8"/>
      <c r="AA147" s="8"/>
      <c r="AB147" s="8"/>
      <c r="AC147" s="8"/>
      <c r="AD147" s="8"/>
      <c r="AE147" s="8"/>
    </row>
    <row r="148" spans="1:32" s="10" customFormat="1" ht="20.100000000000001" customHeight="1" x14ac:dyDescent="0.25">
      <c r="A148" s="7"/>
      <c r="B148" s="8" t="s">
        <v>2</v>
      </c>
      <c r="C148" s="13" t="s">
        <v>5</v>
      </c>
      <c r="D148" s="8">
        <v>25</v>
      </c>
      <c r="E148" s="8"/>
      <c r="F148" s="8">
        <v>4</v>
      </c>
      <c r="G148" s="9">
        <f>VLOOKUP(D148,'[2]Beam '!$C$20:$H$26,3,0)</f>
        <v>1</v>
      </c>
      <c r="H148" s="9"/>
      <c r="I148" s="8"/>
      <c r="J148" s="8"/>
      <c r="K148" s="8"/>
      <c r="L148" s="8"/>
      <c r="M148" s="8"/>
      <c r="N148" s="8"/>
      <c r="O148" s="8">
        <f>(2.3+1*(0.3/2))*D146</f>
        <v>2.4499999999999997</v>
      </c>
      <c r="P148" s="8">
        <f t="shared" si="33"/>
        <v>9.7999999999999989</v>
      </c>
      <c r="Q148" s="8">
        <f>IF($D148='[2]Beam '!Q$44,$P148*'[2]Beam '!Q$45,0)</f>
        <v>0</v>
      </c>
      <c r="R148" s="8">
        <f>IF($D148='[2]Beam '!R$44,$P148*'[2]Beam '!R$45,0)</f>
        <v>0</v>
      </c>
      <c r="S148" s="8">
        <f>IF($D148='[2]Beam '!S$44,$P148*'[2]Beam '!S$45,0)</f>
        <v>0</v>
      </c>
      <c r="T148" s="8">
        <f>IF($D148='[2]Beam '!T$44,$P148*'[2]Beam '!T$45,0)</f>
        <v>0</v>
      </c>
      <c r="U148" s="8">
        <f>IF($D148='[2]Beam '!U$44,$P148*'[2]Beam '!U$45,0)</f>
        <v>0</v>
      </c>
      <c r="V148" s="8">
        <f>IF($D148='[2]Beam '!V$44,$P148*'[2]Beam '!V$45,0)</f>
        <v>37.778125000000003</v>
      </c>
      <c r="W148" s="8">
        <f>IF($D148='[2]Beam '!W$44,$P148*'[2]Beam '!W$45,0)</f>
        <v>0</v>
      </c>
      <c r="X148" s="8">
        <f t="shared" si="34"/>
        <v>37.778125000000003</v>
      </c>
      <c r="Y148" s="8"/>
      <c r="Z148" s="8"/>
      <c r="AA148" s="8"/>
      <c r="AB148" s="8"/>
      <c r="AC148" s="8"/>
      <c r="AD148" s="8"/>
      <c r="AE148" s="8"/>
    </row>
    <row r="149" spans="1:32" s="10" customFormat="1" ht="20.100000000000001" customHeight="1" x14ac:dyDescent="0.25">
      <c r="A149" s="7"/>
      <c r="B149" s="8" t="s">
        <v>2</v>
      </c>
      <c r="C149" s="13" t="s">
        <v>5</v>
      </c>
      <c r="D149" s="8">
        <v>25</v>
      </c>
      <c r="E149" s="8"/>
      <c r="F149" s="8">
        <v>4</v>
      </c>
      <c r="G149" s="9">
        <f>VLOOKUP(D149,'[2]Beam '!$C$20:$H$26,3,0)</f>
        <v>1</v>
      </c>
      <c r="H149" s="9"/>
      <c r="I149" s="8"/>
      <c r="J149" s="8"/>
      <c r="K149" s="8"/>
      <c r="L149" s="8"/>
      <c r="M149" s="8"/>
      <c r="N149" s="8"/>
      <c r="O149" s="8">
        <f>(2.3+1*(0.3/2))*D146</f>
        <v>2.4499999999999997</v>
      </c>
      <c r="P149" s="8">
        <f t="shared" si="33"/>
        <v>9.7999999999999989</v>
      </c>
      <c r="Q149" s="8">
        <f>IF($D149='[2]Beam '!Q$44,$P149*'[2]Beam '!Q$45,0)</f>
        <v>0</v>
      </c>
      <c r="R149" s="8">
        <f>IF($D149='[2]Beam '!R$44,$P149*'[2]Beam '!R$45,0)</f>
        <v>0</v>
      </c>
      <c r="S149" s="8">
        <f>IF($D149='[2]Beam '!S$44,$P149*'[2]Beam '!S$45,0)</f>
        <v>0</v>
      </c>
      <c r="T149" s="8">
        <f>IF($D149='[2]Beam '!T$44,$P149*'[2]Beam '!T$45,0)</f>
        <v>0</v>
      </c>
      <c r="U149" s="8">
        <f>IF($D149='[2]Beam '!U$44,$P149*'[2]Beam '!U$45,0)</f>
        <v>0</v>
      </c>
      <c r="V149" s="8">
        <f>IF($D149='[2]Beam '!V$44,$P149*'[2]Beam '!V$45,0)</f>
        <v>37.778125000000003</v>
      </c>
      <c r="W149" s="8">
        <f>IF($D149='[2]Beam '!W$44,$P149*'[2]Beam '!W$45,0)</f>
        <v>0</v>
      </c>
      <c r="X149" s="8">
        <f t="shared" si="34"/>
        <v>37.778125000000003</v>
      </c>
      <c r="Y149" s="8"/>
      <c r="Z149" s="8"/>
      <c r="AA149" s="8"/>
      <c r="AB149" s="8"/>
      <c r="AC149" s="8"/>
      <c r="AD149" s="8"/>
      <c r="AE149" s="8"/>
    </row>
    <row r="150" spans="1:32" s="14" customFormat="1" ht="20.100000000000001" customHeight="1" x14ac:dyDescent="0.3">
      <c r="A150" s="7"/>
      <c r="B150" s="8" t="s">
        <v>2</v>
      </c>
      <c r="C150" s="13" t="s">
        <v>6</v>
      </c>
      <c r="D150" s="8">
        <v>20</v>
      </c>
      <c r="E150" s="8"/>
      <c r="F150" s="8">
        <v>6</v>
      </c>
      <c r="G150" s="9">
        <f>VLOOKUP(D150,'[2]Beam '!$C$20:$H$26,3,0)</f>
        <v>0.8</v>
      </c>
      <c r="H150" s="8"/>
      <c r="I150" s="8"/>
      <c r="J150" s="8"/>
      <c r="K150" s="8"/>
      <c r="L150" s="8"/>
      <c r="M150" s="8"/>
      <c r="N150" s="8"/>
      <c r="O150" s="8">
        <f>(E146+2*(0.3/2))+1*G150*D146</f>
        <v>9.9250000000000007</v>
      </c>
      <c r="P150" s="8">
        <f t="shared" si="33"/>
        <v>59.550000000000004</v>
      </c>
      <c r="Q150" s="8">
        <f>IF($D150='[2]Beam '!Q$44,$P150*'[2]Beam '!Q$45,0)</f>
        <v>0</v>
      </c>
      <c r="R150" s="8">
        <f>IF($D150='[2]Beam '!R$44,$P150*'[2]Beam '!R$45,0)</f>
        <v>0</v>
      </c>
      <c r="S150" s="8">
        <f>IF($D150='[2]Beam '!S$44,$P150*'[2]Beam '!S$45,0)</f>
        <v>0</v>
      </c>
      <c r="T150" s="8">
        <f>IF($D150='[2]Beam '!T$44,$P150*'[2]Beam '!T$45,0)</f>
        <v>0</v>
      </c>
      <c r="U150" s="8">
        <f>IF($D150='[2]Beam '!U$44,$P150*'[2]Beam '!U$45,0)</f>
        <v>146.91835714285716</v>
      </c>
      <c r="V150" s="8">
        <f>IF($D150='[2]Beam '!V$44,$P150*'[2]Beam '!V$45,0)</f>
        <v>0</v>
      </c>
      <c r="W150" s="8">
        <f>IF($D150='[2]Beam '!W$44,$P150*'[2]Beam '!W$45,0)</f>
        <v>0</v>
      </c>
      <c r="X150" s="8">
        <f t="shared" si="34"/>
        <v>146.91835714285716</v>
      </c>
      <c r="Y150" s="8"/>
    </row>
    <row r="151" spans="1:32" s="14" customFormat="1" ht="20.100000000000001" customHeight="1" x14ac:dyDescent="0.3">
      <c r="A151" s="7"/>
      <c r="B151" s="8" t="s">
        <v>2</v>
      </c>
      <c r="C151" s="13" t="s">
        <v>7</v>
      </c>
      <c r="D151" s="8">
        <v>20</v>
      </c>
      <c r="E151" s="8"/>
      <c r="F151" s="8">
        <v>6</v>
      </c>
      <c r="G151" s="9">
        <f>VLOOKUP(D151,'[2]Beam '!$C$20:$H$26,3,0)</f>
        <v>0.8</v>
      </c>
      <c r="H151" s="8"/>
      <c r="I151" s="8"/>
      <c r="J151" s="8"/>
      <c r="K151" s="8"/>
      <c r="L151" s="8"/>
      <c r="M151" s="8"/>
      <c r="N151" s="8"/>
      <c r="O151" s="8">
        <f>(E146+2*(0.3/2))+1*G151*D146</f>
        <v>9.9250000000000007</v>
      </c>
      <c r="P151" s="8">
        <f t="shared" si="33"/>
        <v>59.550000000000004</v>
      </c>
      <c r="Q151" s="8">
        <f>IF($D151='[2]Beam '!Q$44,$P151*'[2]Beam '!Q$45,0)</f>
        <v>0</v>
      </c>
      <c r="R151" s="8">
        <f>IF($D151='[2]Beam '!R$44,$P151*'[2]Beam '!R$45,0)</f>
        <v>0</v>
      </c>
      <c r="S151" s="8">
        <f>IF($D151='[2]Beam '!S$44,$P151*'[2]Beam '!S$45,0)</f>
        <v>0</v>
      </c>
      <c r="T151" s="8">
        <f>IF($D151='[2]Beam '!T$44,$P151*'[2]Beam '!T$45,0)</f>
        <v>0</v>
      </c>
      <c r="U151" s="8">
        <f>IF($D151='[2]Beam '!U$44,$P151*'[2]Beam '!U$45,0)</f>
        <v>146.91835714285716</v>
      </c>
      <c r="V151" s="8">
        <f>IF($D151='[2]Beam '!V$44,$P151*'[2]Beam '!V$45,0)</f>
        <v>0</v>
      </c>
      <c r="W151" s="8">
        <f>IF($D151='[2]Beam '!W$44,$P151*'[2]Beam '!W$45,0)</f>
        <v>0</v>
      </c>
      <c r="X151" s="8">
        <f t="shared" si="34"/>
        <v>146.91835714285716</v>
      </c>
      <c r="Y151" s="8"/>
    </row>
    <row r="152" spans="1:32" s="14" customFormat="1" ht="20.100000000000001" customHeight="1" x14ac:dyDescent="0.25">
      <c r="A152" s="7"/>
      <c r="B152" s="8" t="s">
        <v>2</v>
      </c>
      <c r="C152" s="13" t="s">
        <v>13</v>
      </c>
      <c r="D152" s="8">
        <v>12</v>
      </c>
      <c r="E152" s="8">
        <v>0.1</v>
      </c>
      <c r="F152" s="8">
        <f>ROUND(IF(E146/3&gt;(2*G146),(E146/3)/E152,(2*G146)/E152),0)*2+1</f>
        <v>59</v>
      </c>
      <c r="G152" s="10"/>
      <c r="H152" s="8"/>
      <c r="I152" s="8"/>
      <c r="J152" s="8"/>
      <c r="K152" s="8"/>
      <c r="L152" s="8"/>
      <c r="M152" s="8"/>
      <c r="N152" s="8"/>
      <c r="O152" s="8">
        <f>(2*((G146-(2*'[2]Beam '!$D$11))+(F146-(2*'[2]Beam '!$D$11)))+(2*10*D152/1000))*D146</f>
        <v>2.4000000000000004</v>
      </c>
      <c r="P152" s="8">
        <f t="shared" si="33"/>
        <v>141.60000000000002</v>
      </c>
      <c r="Q152" s="8">
        <f>IF($D152='[2]Beam '!Q$44,$P152*'[2]Beam '!Q$45,0)</f>
        <v>0</v>
      </c>
      <c r="R152" s="8">
        <f>IF($D152='[2]Beam '!R$44,$P152*'[2]Beam '!R$45,0)</f>
        <v>0</v>
      </c>
      <c r="S152" s="8">
        <f>IF($D152='[2]Beam '!S$44,$P152*'[2]Beam '!S$45,0)</f>
        <v>125.76507428571433</v>
      </c>
      <c r="T152" s="8">
        <f>IF($D152='[2]Beam '!T$44,$P152*'[2]Beam '!T$45,0)</f>
        <v>0</v>
      </c>
      <c r="U152" s="8">
        <f>IF($D152='[2]Beam '!U$44,$P152*'[2]Beam '!U$45,0)</f>
        <v>0</v>
      </c>
      <c r="V152" s="8">
        <f>IF($D152='[2]Beam '!V$44,$P152*'[2]Beam '!V$45,0)</f>
        <v>0</v>
      </c>
      <c r="W152" s="8">
        <f>IF($D152='[2]Beam '!W$44,$P152*'[2]Beam '!W$45,0)</f>
        <v>0</v>
      </c>
      <c r="X152" s="8">
        <f t="shared" si="34"/>
        <v>125.76507428571433</v>
      </c>
      <c r="Y152" s="8"/>
    </row>
    <row r="153" spans="1:32" s="10" customFormat="1" ht="20.100000000000001" customHeight="1" x14ac:dyDescent="0.25">
      <c r="A153" s="14"/>
      <c r="B153" s="8" t="s">
        <v>2</v>
      </c>
      <c r="C153" s="13" t="s">
        <v>14</v>
      </c>
      <c r="D153" s="14">
        <f>D152</f>
        <v>12</v>
      </c>
      <c r="E153" s="14">
        <v>0.17499999999999999</v>
      </c>
      <c r="F153" s="14">
        <f>ROUND((E146-(IF(E146/3&gt;2*G146,E146/3*2,G146*2*2)))/E153,0)</f>
        <v>17</v>
      </c>
      <c r="H153" s="14"/>
      <c r="I153" s="14"/>
      <c r="J153" s="14"/>
      <c r="K153" s="14"/>
      <c r="L153" s="14"/>
      <c r="M153" s="14"/>
      <c r="N153" s="14"/>
      <c r="O153" s="8">
        <f>(2*((G146-(2*'[2]Beam '!$D$11))+(F146-(2*'[2]Beam '!$D$11)))+(2*10*D153/1000))*D146</f>
        <v>2.4000000000000004</v>
      </c>
      <c r="P153" s="8">
        <f t="shared" si="33"/>
        <v>40.800000000000004</v>
      </c>
      <c r="Q153" s="8">
        <f>IF($D153='[2]Beam '!Q$44,$P153*'[2]Beam '!Q$45,0)</f>
        <v>0</v>
      </c>
      <c r="R153" s="8">
        <f>IF($D153='[2]Beam '!R$44,$P153*'[2]Beam '!R$45,0)</f>
        <v>0</v>
      </c>
      <c r="S153" s="8">
        <f>IF($D153='[2]Beam '!S$44,$P153*'[2]Beam '!S$45,0)</f>
        <v>36.237394285714295</v>
      </c>
      <c r="T153" s="8">
        <f>IF($D153='[2]Beam '!T$44,$P153*'[2]Beam '!T$45,0)</f>
        <v>0</v>
      </c>
      <c r="U153" s="8">
        <f>IF($D153='[2]Beam '!U$44,$P153*'[2]Beam '!U$45,0)</f>
        <v>0</v>
      </c>
      <c r="V153" s="8">
        <f>IF($D153='[2]Beam '!V$44,$P153*'[2]Beam '!V$45,0)</f>
        <v>0</v>
      </c>
      <c r="W153" s="8">
        <f>IF($D153='[2]Beam '!W$44,$P153*'[2]Beam '!W$45,0)</f>
        <v>0</v>
      </c>
      <c r="X153" s="8">
        <f t="shared" si="34"/>
        <v>36.237394285714295</v>
      </c>
      <c r="Y153" s="14"/>
      <c r="Z153" s="8"/>
      <c r="AA153" s="8"/>
      <c r="AB153" s="8"/>
      <c r="AC153" s="8"/>
      <c r="AD153" s="8"/>
      <c r="AE153" s="8"/>
    </row>
    <row r="154" spans="1:32" s="10" customFormat="1" ht="21" customHeight="1" x14ac:dyDescent="0.25">
      <c r="A154" s="14"/>
      <c r="B154" s="8" t="s">
        <v>2</v>
      </c>
      <c r="C154" s="13" t="s">
        <v>15</v>
      </c>
      <c r="D154" s="14">
        <f>D152</f>
        <v>12</v>
      </c>
      <c r="E154" s="14">
        <f>+E152</f>
        <v>0.1</v>
      </c>
      <c r="F154" s="8">
        <f>ROUND(IF(E146/3&gt;(2*G146),(E146/3)/E154,(2*G146)/E154),0)*2+1</f>
        <v>59</v>
      </c>
      <c r="H154" s="14"/>
      <c r="I154" s="14"/>
      <c r="J154" s="14"/>
      <c r="K154" s="14"/>
      <c r="L154" s="14"/>
      <c r="M154" s="14"/>
      <c r="N154" s="14"/>
      <c r="O154" s="8">
        <f>(2*(((F146-'[2]Beam '!$D$11*2)/(F147-1))+(G146-'[2]Beam '!$D$11*2))+(2*10*D154/1000))*D146</f>
        <v>1.536</v>
      </c>
      <c r="P154" s="8">
        <f t="shared" si="33"/>
        <v>90.623999999999995</v>
      </c>
      <c r="Q154" s="8">
        <f>IF($D154='[2]Beam '!Q$44,$P154*'[2]Beam '!Q$45,0)</f>
        <v>0</v>
      </c>
      <c r="R154" s="8">
        <f>IF($D154='[2]Beam '!R$44,$P154*'[2]Beam '!R$45,0)</f>
        <v>0</v>
      </c>
      <c r="S154" s="8">
        <f>IF($D154='[2]Beam '!S$44,$P154*'[2]Beam '!S$45,0)</f>
        <v>80.489647542857156</v>
      </c>
      <c r="T154" s="8">
        <f>IF($D154='[2]Beam '!T$44,$P154*'[2]Beam '!T$45,0)</f>
        <v>0</v>
      </c>
      <c r="U154" s="8">
        <f>IF($D154='[2]Beam '!U$44,$P154*'[2]Beam '!U$45,0)</f>
        <v>0</v>
      </c>
      <c r="V154" s="8">
        <f>IF($D154='[2]Beam '!V$44,$P154*'[2]Beam '!V$45,0)</f>
        <v>0</v>
      </c>
      <c r="W154" s="8">
        <f>IF($D154='[2]Beam '!W$44,$P154*'[2]Beam '!W$45,0)</f>
        <v>0</v>
      </c>
      <c r="X154" s="8">
        <f t="shared" si="34"/>
        <v>80.489647542857156</v>
      </c>
      <c r="Y154" s="14"/>
      <c r="Z154" s="8"/>
      <c r="AA154" s="8"/>
      <c r="AB154" s="8"/>
      <c r="AC154" s="8"/>
      <c r="AD154" s="8"/>
      <c r="AE154" s="8"/>
      <c r="AF154" s="8"/>
    </row>
    <row r="155" spans="1:32" s="10" customFormat="1" ht="20.100000000000001" customHeight="1" x14ac:dyDescent="0.25">
      <c r="A155" s="14"/>
      <c r="B155" s="8" t="s">
        <v>2</v>
      </c>
      <c r="C155" s="13" t="s">
        <v>16</v>
      </c>
      <c r="D155" s="14">
        <f>D153</f>
        <v>12</v>
      </c>
      <c r="E155" s="14">
        <f>+E153</f>
        <v>0.17499999999999999</v>
      </c>
      <c r="F155" s="14">
        <f>ROUND((E146-(IF(E146/3&gt;2*G146,E146/3*2,G146*2*2)))/E155,0)</f>
        <v>17</v>
      </c>
      <c r="H155" s="14"/>
      <c r="I155" s="14"/>
      <c r="J155" s="14"/>
      <c r="K155" s="14"/>
      <c r="L155" s="14"/>
      <c r="M155" s="14"/>
      <c r="N155" s="14"/>
      <c r="O155" s="8">
        <f>(2*(((F146-'[2]Beam '!$D$11*2)/(F147-1))+(G146-'[2]Beam '!$D$11*2))+(2*10*D155/1000))*D146</f>
        <v>1.536</v>
      </c>
      <c r="P155" s="8">
        <f t="shared" si="33"/>
        <v>26.112000000000002</v>
      </c>
      <c r="Q155" s="8">
        <f>IF($D155='[2]Beam '!Q$44,$P155*'[2]Beam '!Q$45,0)</f>
        <v>0</v>
      </c>
      <c r="R155" s="8">
        <f>IF($D155='[2]Beam '!R$44,$P155*'[2]Beam '!R$45,0)</f>
        <v>0</v>
      </c>
      <c r="S155" s="8">
        <f>IF($D155='[2]Beam '!S$44,$P155*'[2]Beam '!S$45,0)</f>
        <v>23.19193234285715</v>
      </c>
      <c r="T155" s="8">
        <f>IF($D155='[2]Beam '!T$44,$P155*'[2]Beam '!T$45,0)</f>
        <v>0</v>
      </c>
      <c r="U155" s="8">
        <f>IF($D155='[2]Beam '!U$44,$P155*'[2]Beam '!U$45,0)</f>
        <v>0</v>
      </c>
      <c r="V155" s="8">
        <f>IF($D155='[2]Beam '!V$44,$P155*'[2]Beam '!V$45,0)</f>
        <v>0</v>
      </c>
      <c r="W155" s="8">
        <f>IF($D155='[2]Beam '!W$44,$P155*'[2]Beam '!W$45,0)</f>
        <v>0</v>
      </c>
      <c r="X155" s="8">
        <f t="shared" si="34"/>
        <v>23.19193234285715</v>
      </c>
      <c r="Y155" s="14"/>
      <c r="Z155" s="8"/>
      <c r="AA155" s="8"/>
      <c r="AB155" s="8"/>
      <c r="AC155" s="8"/>
      <c r="AD155" s="8"/>
      <c r="AE155" s="8"/>
    </row>
    <row r="156" spans="1:32" s="10" customFormat="1" ht="20.100000000000001" customHeight="1" x14ac:dyDescent="0.25">
      <c r="A156" s="7"/>
      <c r="B156" s="8" t="s">
        <v>2</v>
      </c>
      <c r="C156" s="13" t="s">
        <v>10</v>
      </c>
      <c r="D156" s="8">
        <f>+'[2]Beam '!$D$15</f>
        <v>25</v>
      </c>
      <c r="E156" s="8">
        <f>+'[2]Beam '!$E$15</f>
        <v>1</v>
      </c>
      <c r="F156" s="8">
        <f>ROUNDUP((4.6+E146)/E156,0)</f>
        <v>14</v>
      </c>
      <c r="G156" s="9"/>
      <c r="H156" s="9"/>
      <c r="I156" s="8"/>
      <c r="J156" s="8"/>
      <c r="K156" s="8"/>
      <c r="L156" s="8"/>
      <c r="M156" s="8"/>
      <c r="N156" s="8"/>
      <c r="O156" s="8">
        <f>F146-'[2]Beam '!$F$15</f>
        <v>0.54</v>
      </c>
      <c r="P156" s="8">
        <f t="shared" si="33"/>
        <v>7.5600000000000005</v>
      </c>
      <c r="Q156" s="8">
        <f>IF($D156='[2]Beam '!Q$44,$P156*'[2]Beam '!Q$45,0)</f>
        <v>0</v>
      </c>
      <c r="R156" s="8">
        <f>IF($D156='[2]Beam '!R$44,$P156*'[2]Beam '!R$45,0)</f>
        <v>0</v>
      </c>
      <c r="S156" s="8">
        <f>IF($D156='[2]Beam '!S$44,$P156*'[2]Beam '!S$45,0)</f>
        <v>0</v>
      </c>
      <c r="T156" s="8">
        <f>IF($D156='[2]Beam '!T$44,$P156*'[2]Beam '!T$45,0)</f>
        <v>0</v>
      </c>
      <c r="U156" s="8">
        <f>IF($D156='[2]Beam '!U$44,$P156*'[2]Beam '!U$45,0)</f>
        <v>0</v>
      </c>
      <c r="V156" s="8">
        <f>IF($D156='[2]Beam '!V$44,$P156*'[2]Beam '!V$45,0)</f>
        <v>29.143125000000005</v>
      </c>
      <c r="W156" s="8">
        <f>IF($D156='[2]Beam '!W$44,$P156*'[2]Beam '!W$45,0)</f>
        <v>0</v>
      </c>
      <c r="X156" s="8">
        <f t="shared" si="34"/>
        <v>29.143125000000005</v>
      </c>
      <c r="Y156" s="8"/>
      <c r="Z156" s="8"/>
      <c r="AA156" s="8"/>
      <c r="AB156" s="8"/>
      <c r="AC156" s="8"/>
      <c r="AD156" s="8"/>
      <c r="AE156" s="8"/>
    </row>
    <row r="157" spans="1:32" s="10" customFormat="1" ht="20.100000000000001" customHeight="1" x14ac:dyDescent="0.25">
      <c r="A157" s="8">
        <v>1</v>
      </c>
      <c r="B157" s="8" t="s">
        <v>2</v>
      </c>
      <c r="C157" s="11" t="s">
        <v>30</v>
      </c>
      <c r="D157" s="11">
        <v>1</v>
      </c>
      <c r="E157" s="11">
        <v>7.35</v>
      </c>
      <c r="F157" s="11">
        <v>0.45</v>
      </c>
      <c r="G157" s="11">
        <v>0.6</v>
      </c>
      <c r="H157" s="8">
        <f>G157-0.2</f>
        <v>0.39999999999999997</v>
      </c>
      <c r="I157" s="8">
        <f>E157*F157*G157*D157</f>
        <v>1.9844999999999999</v>
      </c>
      <c r="J157" s="8">
        <f>(2*(E157)*H157*D157)+(E157*F157)</f>
        <v>9.1875</v>
      </c>
      <c r="K157" s="12">
        <f>IF(E157=0.3,J157,0)</f>
        <v>0</v>
      </c>
      <c r="L157" s="12">
        <f>IF(AND(E157&gt;0.3,E157&lt;=0.75),J157,0)</f>
        <v>0</v>
      </c>
      <c r="M157" s="12">
        <f>IF(AND(E157&gt;0.75,E157&lt;=1.2),J157,0)</f>
        <v>0</v>
      </c>
      <c r="N157" s="12">
        <f>IF(E157&gt;1.2,J157,0)</f>
        <v>9.1875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>
        <f>SUM(X158:X164)/I157</f>
        <v>167.15467840046071</v>
      </c>
      <c r="Z157" s="8"/>
      <c r="AA157" s="8"/>
      <c r="AB157" s="8"/>
      <c r="AC157" s="8"/>
      <c r="AD157" s="8"/>
      <c r="AE157" s="8"/>
    </row>
    <row r="158" spans="1:32" s="10" customFormat="1" ht="20.100000000000001" customHeight="1" x14ac:dyDescent="0.25">
      <c r="A158" s="7"/>
      <c r="B158" s="8" t="s">
        <v>2</v>
      </c>
      <c r="C158" s="13" t="s">
        <v>4</v>
      </c>
      <c r="D158" s="8">
        <v>20</v>
      </c>
      <c r="E158" s="8"/>
      <c r="F158" s="8">
        <v>4</v>
      </c>
      <c r="G158" s="9">
        <f>VLOOKUP(D158,'[2]Beam '!$C$20:$H$26,3,0)</f>
        <v>0.8</v>
      </c>
      <c r="H158" s="9"/>
      <c r="I158" s="8"/>
      <c r="J158" s="8"/>
      <c r="K158" s="8"/>
      <c r="L158" s="8"/>
      <c r="M158" s="8"/>
      <c r="N158" s="8"/>
      <c r="O158" s="8">
        <f>(E157+2*(0.3/2))*D157</f>
        <v>7.6499999999999995</v>
      </c>
      <c r="P158" s="8">
        <f t="shared" ref="P158:P167" si="35">O158*F158</f>
        <v>30.599999999999998</v>
      </c>
      <c r="Q158" s="8">
        <f>IF($D158='[2]Beam '!Q$44,$P158*'[2]Beam '!Q$45,0)</f>
        <v>0</v>
      </c>
      <c r="R158" s="8">
        <f>IF($D158='[2]Beam '!R$44,$P158*'[2]Beam '!R$45,0)</f>
        <v>0</v>
      </c>
      <c r="S158" s="8">
        <f>IF($D158='[2]Beam '!S$44,$P158*'[2]Beam '!S$45,0)</f>
        <v>0</v>
      </c>
      <c r="T158" s="8">
        <f>IF($D158='[2]Beam '!T$44,$P158*'[2]Beam '!T$45,0)</f>
        <v>0</v>
      </c>
      <c r="U158" s="8">
        <f>IF($D158='[2]Beam '!U$44,$P158*'[2]Beam '!U$45,0)</f>
        <v>75.494571428571419</v>
      </c>
      <c r="V158" s="8">
        <f>IF($D158='[2]Beam '!V$44,$P158*'[2]Beam '!V$45,0)</f>
        <v>0</v>
      </c>
      <c r="W158" s="8">
        <f>IF($D158='[2]Beam '!W$44,$P158*'[2]Beam '!W$45,0)</f>
        <v>0</v>
      </c>
      <c r="X158" s="8">
        <f t="shared" ref="X158:X167" si="36">SUM(Q158:W158)</f>
        <v>75.494571428571419</v>
      </c>
      <c r="Y158" s="8"/>
      <c r="Z158" s="8"/>
      <c r="AA158" s="8"/>
      <c r="AB158" s="8"/>
      <c r="AC158" s="8"/>
      <c r="AD158" s="8"/>
      <c r="AE158" s="8"/>
    </row>
    <row r="159" spans="1:32" s="10" customFormat="1" ht="20.100000000000001" customHeight="1" x14ac:dyDescent="0.25">
      <c r="A159" s="7"/>
      <c r="B159" s="8" t="s">
        <v>2</v>
      </c>
      <c r="C159" s="13" t="s">
        <v>5</v>
      </c>
      <c r="D159" s="8">
        <v>25</v>
      </c>
      <c r="E159" s="8"/>
      <c r="F159" s="8">
        <v>4</v>
      </c>
      <c r="G159" s="9">
        <f>VLOOKUP(D159,'[2]Beam '!$C$20:$H$26,3,0)</f>
        <v>1</v>
      </c>
      <c r="H159" s="9"/>
      <c r="I159" s="8"/>
      <c r="J159" s="8"/>
      <c r="K159" s="8"/>
      <c r="L159" s="8"/>
      <c r="M159" s="8"/>
      <c r="N159" s="8"/>
      <c r="O159" s="8">
        <f>(2+1*(0.3/2))*D157</f>
        <v>2.15</v>
      </c>
      <c r="P159" s="8">
        <f t="shared" si="35"/>
        <v>8.6</v>
      </c>
      <c r="Q159" s="8">
        <f>IF($D159='[2]Beam '!Q$44,$P159*'[2]Beam '!Q$45,0)</f>
        <v>0</v>
      </c>
      <c r="R159" s="8">
        <f>IF($D159='[2]Beam '!R$44,$P159*'[2]Beam '!R$45,0)</f>
        <v>0</v>
      </c>
      <c r="S159" s="8">
        <f>IF($D159='[2]Beam '!S$44,$P159*'[2]Beam '!S$45,0)</f>
        <v>0</v>
      </c>
      <c r="T159" s="8">
        <f>IF($D159='[2]Beam '!T$44,$P159*'[2]Beam '!T$45,0)</f>
        <v>0</v>
      </c>
      <c r="U159" s="8">
        <f>IF($D159='[2]Beam '!U$44,$P159*'[2]Beam '!U$45,0)</f>
        <v>0</v>
      </c>
      <c r="V159" s="8">
        <f>IF($D159='[2]Beam '!V$44,$P159*'[2]Beam '!V$45,0)</f>
        <v>33.152232142857144</v>
      </c>
      <c r="W159" s="8">
        <f>IF($D159='[2]Beam '!W$44,$P159*'[2]Beam '!W$45,0)</f>
        <v>0</v>
      </c>
      <c r="X159" s="8">
        <f t="shared" si="36"/>
        <v>33.152232142857144</v>
      </c>
      <c r="Y159" s="8"/>
      <c r="Z159" s="8"/>
      <c r="AA159" s="8"/>
      <c r="AB159" s="8"/>
      <c r="AC159" s="8"/>
      <c r="AD159" s="8"/>
      <c r="AE159" s="8"/>
    </row>
    <row r="160" spans="1:32" s="10" customFormat="1" ht="20.100000000000001" customHeight="1" x14ac:dyDescent="0.25">
      <c r="A160" s="7"/>
      <c r="B160" s="8" t="s">
        <v>2</v>
      </c>
      <c r="C160" s="13" t="s">
        <v>5</v>
      </c>
      <c r="D160" s="8">
        <v>16</v>
      </c>
      <c r="E160" s="8"/>
      <c r="F160" s="8">
        <v>2</v>
      </c>
      <c r="G160" s="9">
        <f>VLOOKUP(D160,'[2]Beam '!$C$20:$H$26,3,0)</f>
        <v>0.625</v>
      </c>
      <c r="H160" s="9"/>
      <c r="I160" s="8"/>
      <c r="J160" s="8"/>
      <c r="K160" s="8"/>
      <c r="L160" s="8"/>
      <c r="M160" s="8"/>
      <c r="N160" s="8"/>
      <c r="O160" s="8">
        <f>(2+1*(0.3/2))*D157</f>
        <v>2.15</v>
      </c>
      <c r="P160" s="8">
        <f t="shared" si="35"/>
        <v>4.3</v>
      </c>
      <c r="Q160" s="8">
        <f>IF($D160='[2]Beam '!Q$44,$P160*'[2]Beam '!Q$45,0)</f>
        <v>0</v>
      </c>
      <c r="R160" s="8">
        <f>IF($D160='[2]Beam '!R$44,$P160*'[2]Beam '!R$45,0)</f>
        <v>0</v>
      </c>
      <c r="S160" s="8">
        <f>IF($D160='[2]Beam '!S$44,$P160*'[2]Beam '!S$45,0)</f>
        <v>0</v>
      </c>
      <c r="T160" s="8">
        <f>IF($D160='[2]Beam '!T$44,$P160*'[2]Beam '!T$45,0)</f>
        <v>6.7895771428571434</v>
      </c>
      <c r="U160" s="8">
        <f>IF($D160='[2]Beam '!U$44,$P160*'[2]Beam '!U$45,0)</f>
        <v>0</v>
      </c>
      <c r="V160" s="8">
        <f>IF($D160='[2]Beam '!V$44,$P160*'[2]Beam '!V$45,0)</f>
        <v>0</v>
      </c>
      <c r="W160" s="8">
        <f>IF($D160='[2]Beam '!W$44,$P160*'[2]Beam '!W$45,0)</f>
        <v>0</v>
      </c>
      <c r="X160" s="8">
        <f t="shared" si="36"/>
        <v>6.7895771428571434</v>
      </c>
      <c r="Y160" s="8"/>
      <c r="Z160" s="8"/>
      <c r="AA160" s="8"/>
      <c r="AB160" s="8"/>
      <c r="AC160" s="8"/>
      <c r="AD160" s="8"/>
      <c r="AE160" s="8"/>
    </row>
    <row r="161" spans="1:32" s="14" customFormat="1" ht="20.100000000000001" customHeight="1" x14ac:dyDescent="0.3">
      <c r="A161" s="7"/>
      <c r="B161" s="8" t="s">
        <v>2</v>
      </c>
      <c r="C161" s="13" t="s">
        <v>6</v>
      </c>
      <c r="D161" s="8">
        <v>20</v>
      </c>
      <c r="E161" s="8"/>
      <c r="F161" s="8">
        <v>4</v>
      </c>
      <c r="G161" s="9">
        <f>VLOOKUP(D161,'[2]Beam '!$C$20:$H$26,3,0)</f>
        <v>0.8</v>
      </c>
      <c r="H161" s="8"/>
      <c r="I161" s="8"/>
      <c r="J161" s="8"/>
      <c r="K161" s="8"/>
      <c r="L161" s="8"/>
      <c r="M161" s="8"/>
      <c r="N161" s="8"/>
      <c r="O161" s="8">
        <f>(E157+2*(0.3/2))+1*G161*D157</f>
        <v>8.4499999999999993</v>
      </c>
      <c r="P161" s="8">
        <f t="shared" si="35"/>
        <v>33.799999999999997</v>
      </c>
      <c r="Q161" s="8">
        <f>IF($D161='[2]Beam '!Q$44,$P161*'[2]Beam '!Q$45,0)</f>
        <v>0</v>
      </c>
      <c r="R161" s="8">
        <f>IF($D161='[2]Beam '!R$44,$P161*'[2]Beam '!R$45,0)</f>
        <v>0</v>
      </c>
      <c r="S161" s="8">
        <f>IF($D161='[2]Beam '!S$44,$P161*'[2]Beam '!S$45,0)</f>
        <v>0</v>
      </c>
      <c r="T161" s="8">
        <f>IF($D161='[2]Beam '!T$44,$P161*'[2]Beam '!T$45,0)</f>
        <v>0</v>
      </c>
      <c r="U161" s="8">
        <f>IF($D161='[2]Beam '!U$44,$P161*'[2]Beam '!U$45,0)</f>
        <v>83.389428571428567</v>
      </c>
      <c r="V161" s="8">
        <f>IF($D161='[2]Beam '!V$44,$P161*'[2]Beam '!V$45,0)</f>
        <v>0</v>
      </c>
      <c r="W161" s="8">
        <f>IF($D161='[2]Beam '!W$44,$P161*'[2]Beam '!W$45,0)</f>
        <v>0</v>
      </c>
      <c r="X161" s="8">
        <f t="shared" si="36"/>
        <v>83.389428571428567</v>
      </c>
      <c r="Y161" s="8"/>
    </row>
    <row r="162" spans="1:32" s="14" customFormat="1" ht="20.100000000000001" customHeight="1" x14ac:dyDescent="0.3">
      <c r="A162" s="7"/>
      <c r="B162" s="8" t="s">
        <v>2</v>
      </c>
      <c r="C162" s="13" t="s">
        <v>7</v>
      </c>
      <c r="D162" s="8">
        <v>20</v>
      </c>
      <c r="E162" s="8"/>
      <c r="F162" s="8">
        <v>2</v>
      </c>
      <c r="G162" s="9">
        <f>VLOOKUP(D162,'[2]Beam '!$C$20:$H$26,3,0)</f>
        <v>0.8</v>
      </c>
      <c r="H162" s="8"/>
      <c r="I162" s="8"/>
      <c r="J162" s="8"/>
      <c r="K162" s="8"/>
      <c r="L162" s="8"/>
      <c r="M162" s="8"/>
      <c r="N162" s="8"/>
      <c r="O162" s="8">
        <f>(E157+2*(0.3/2))+D157</f>
        <v>8.6499999999999986</v>
      </c>
      <c r="P162" s="8">
        <f t="shared" si="35"/>
        <v>17.299999999999997</v>
      </c>
      <c r="Q162" s="8">
        <f>IF($D162='[2]Beam '!Q$44,$P162*'[2]Beam '!Q$45,0)</f>
        <v>0</v>
      </c>
      <c r="R162" s="8">
        <f>IF($D162='[2]Beam '!R$44,$P162*'[2]Beam '!R$45,0)</f>
        <v>0</v>
      </c>
      <c r="S162" s="8">
        <f>IF($D162='[2]Beam '!S$44,$P162*'[2]Beam '!S$45,0)</f>
        <v>0</v>
      </c>
      <c r="T162" s="8">
        <f>IF($D162='[2]Beam '!T$44,$P162*'[2]Beam '!T$45,0)</f>
        <v>0</v>
      </c>
      <c r="U162" s="8">
        <f>IF($D162='[2]Beam '!U$44,$P162*'[2]Beam '!U$45,0)</f>
        <v>42.681571428571424</v>
      </c>
      <c r="V162" s="8">
        <f>IF($D162='[2]Beam '!V$44,$P162*'[2]Beam '!V$45,0)</f>
        <v>0</v>
      </c>
      <c r="W162" s="8">
        <f>IF($D162='[2]Beam '!W$44,$P162*'[2]Beam '!W$45,0)</f>
        <v>0</v>
      </c>
      <c r="X162" s="8">
        <f t="shared" si="36"/>
        <v>42.681571428571424</v>
      </c>
      <c r="Y162" s="8"/>
    </row>
    <row r="163" spans="1:32" s="14" customFormat="1" ht="20.100000000000001" customHeight="1" x14ac:dyDescent="0.25">
      <c r="A163" s="7"/>
      <c r="B163" s="8" t="s">
        <v>2</v>
      </c>
      <c r="C163" s="13" t="s">
        <v>13</v>
      </c>
      <c r="D163" s="8">
        <v>10</v>
      </c>
      <c r="E163" s="8">
        <v>0.1</v>
      </c>
      <c r="F163" s="8">
        <f>ROUND(IF(E157/3&gt;(2*G157),(E157/3)/E163,(2*G157)/E163),0)*2+1</f>
        <v>51</v>
      </c>
      <c r="G163" s="10"/>
      <c r="H163" s="8"/>
      <c r="I163" s="8"/>
      <c r="J163" s="8"/>
      <c r="K163" s="8"/>
      <c r="L163" s="8"/>
      <c r="M163" s="8"/>
      <c r="N163" s="8"/>
      <c r="O163" s="8">
        <f>(2*((G157-(2*'[2]Beam '!$D$11))+(F157-(2*'[2]Beam '!$D$11)))+(2*10*D163/1000))*D157</f>
        <v>2.06</v>
      </c>
      <c r="P163" s="8">
        <f t="shared" si="35"/>
        <v>105.06</v>
      </c>
      <c r="Q163" s="8">
        <f>IF($D163='[2]Beam '!Q$44,$P163*'[2]Beam '!Q$45,0)</f>
        <v>0</v>
      </c>
      <c r="R163" s="8">
        <f>IF($D163='[2]Beam '!R$44,$P163*'[2]Beam '!R$45,0)</f>
        <v>64.799507142857138</v>
      </c>
      <c r="S163" s="8">
        <f>IF($D163='[2]Beam '!S$44,$P163*'[2]Beam '!S$45,0)</f>
        <v>0</v>
      </c>
      <c r="T163" s="8">
        <f>IF($D163='[2]Beam '!T$44,$P163*'[2]Beam '!T$45,0)</f>
        <v>0</v>
      </c>
      <c r="U163" s="8">
        <f>IF($D163='[2]Beam '!U$44,$P163*'[2]Beam '!U$45,0)</f>
        <v>0</v>
      </c>
      <c r="V163" s="8">
        <f>IF($D163='[2]Beam '!V$44,$P163*'[2]Beam '!V$45,0)</f>
        <v>0</v>
      </c>
      <c r="W163" s="8">
        <f>IF($D163='[2]Beam '!W$44,$P163*'[2]Beam '!W$45,0)</f>
        <v>0</v>
      </c>
      <c r="X163" s="8">
        <f t="shared" si="36"/>
        <v>64.799507142857138</v>
      </c>
      <c r="Y163" s="8"/>
    </row>
    <row r="164" spans="1:32" s="10" customFormat="1" ht="20.100000000000001" customHeight="1" x14ac:dyDescent="0.25">
      <c r="A164" s="14"/>
      <c r="B164" s="8" t="s">
        <v>2</v>
      </c>
      <c r="C164" s="13" t="s">
        <v>14</v>
      </c>
      <c r="D164" s="14">
        <f>D163</f>
        <v>10</v>
      </c>
      <c r="E164" s="14">
        <v>0.125</v>
      </c>
      <c r="F164" s="14">
        <f>ROUND((E157-(IF(E157/3&gt;2*G157,E157/3*2,G157*2*2)))/E164,0)</f>
        <v>20</v>
      </c>
      <c r="H164" s="14"/>
      <c r="I164" s="14"/>
      <c r="J164" s="14"/>
      <c r="K164" s="14"/>
      <c r="L164" s="14"/>
      <c r="M164" s="14"/>
      <c r="N164" s="14"/>
      <c r="O164" s="8">
        <f>(2*((G157-(2*'[2]Beam '!$D$11))+(F157-(2*'[2]Beam '!$D$11)))+(2*10*D164/1000))*D157</f>
        <v>2.06</v>
      </c>
      <c r="P164" s="8">
        <f t="shared" si="35"/>
        <v>41.2</v>
      </c>
      <c r="Q164" s="8">
        <f>IF($D164='[2]Beam '!Q$44,$P164*'[2]Beam '!Q$45,0)</f>
        <v>0</v>
      </c>
      <c r="R164" s="8">
        <f>IF($D164='[2]Beam '!R$44,$P164*'[2]Beam '!R$45,0)</f>
        <v>25.411571428571431</v>
      </c>
      <c r="S164" s="8">
        <f>IF($D164='[2]Beam '!S$44,$P164*'[2]Beam '!S$45,0)</f>
        <v>0</v>
      </c>
      <c r="T164" s="8">
        <f>IF($D164='[2]Beam '!T$44,$P164*'[2]Beam '!T$45,0)</f>
        <v>0</v>
      </c>
      <c r="U164" s="8">
        <f>IF($D164='[2]Beam '!U$44,$P164*'[2]Beam '!U$45,0)</f>
        <v>0</v>
      </c>
      <c r="V164" s="8">
        <f>IF($D164='[2]Beam '!V$44,$P164*'[2]Beam '!V$45,0)</f>
        <v>0</v>
      </c>
      <c r="W164" s="8">
        <f>IF($D164='[2]Beam '!W$44,$P164*'[2]Beam '!W$45,0)</f>
        <v>0</v>
      </c>
      <c r="X164" s="8">
        <f t="shared" si="36"/>
        <v>25.411571428571431</v>
      </c>
      <c r="Y164" s="14"/>
      <c r="Z164" s="8"/>
      <c r="AA164" s="8"/>
      <c r="AB164" s="8"/>
      <c r="AC164" s="8"/>
      <c r="AD164" s="8"/>
      <c r="AE164" s="8"/>
    </row>
    <row r="165" spans="1:32" s="10" customFormat="1" ht="21" customHeight="1" x14ac:dyDescent="0.25">
      <c r="A165" s="14"/>
      <c r="B165" s="8" t="s">
        <v>2</v>
      </c>
      <c r="C165" s="13" t="s">
        <v>15</v>
      </c>
      <c r="D165" s="14">
        <f>D163</f>
        <v>10</v>
      </c>
      <c r="E165" s="14">
        <f>+E163</f>
        <v>0.1</v>
      </c>
      <c r="F165" s="8">
        <f>ROUND(IF(E157/3&gt;(2*G157),(E157/3)/E165,(2*G157)/E165),0)*2+1</f>
        <v>51</v>
      </c>
      <c r="H165" s="14"/>
      <c r="I165" s="14"/>
      <c r="J165" s="14"/>
      <c r="K165" s="14"/>
      <c r="L165" s="14"/>
      <c r="M165" s="14"/>
      <c r="N165" s="14"/>
      <c r="O165" s="8">
        <f>(2*(((F157-'[2]Beam '!$D$11*2)/(F158-1))+(G157-'[2]Beam '!$D$11*2))+(2*10*D165/1000))*D157</f>
        <v>1.54</v>
      </c>
      <c r="P165" s="8">
        <f t="shared" si="35"/>
        <v>78.540000000000006</v>
      </c>
      <c r="Q165" s="8">
        <f>IF($D165='[2]Beam '!Q$44,$P165*'[2]Beam '!Q$45,0)</f>
        <v>0</v>
      </c>
      <c r="R165" s="8">
        <f>IF($D165='[2]Beam '!R$44,$P165*'[2]Beam '!R$45,0)</f>
        <v>48.442350000000005</v>
      </c>
      <c r="S165" s="8">
        <f>IF($D165='[2]Beam '!S$44,$P165*'[2]Beam '!S$45,0)</f>
        <v>0</v>
      </c>
      <c r="T165" s="8">
        <f>IF($D165='[2]Beam '!T$44,$P165*'[2]Beam '!T$45,0)</f>
        <v>0</v>
      </c>
      <c r="U165" s="8">
        <f>IF($D165='[2]Beam '!U$44,$P165*'[2]Beam '!U$45,0)</f>
        <v>0</v>
      </c>
      <c r="V165" s="8">
        <f>IF($D165='[2]Beam '!V$44,$P165*'[2]Beam '!V$45,0)</f>
        <v>0</v>
      </c>
      <c r="W165" s="8">
        <f>IF($D165='[2]Beam '!W$44,$P165*'[2]Beam '!W$45,0)</f>
        <v>0</v>
      </c>
      <c r="X165" s="8">
        <f t="shared" si="36"/>
        <v>48.442350000000005</v>
      </c>
      <c r="Y165" s="14"/>
      <c r="Z165" s="8"/>
      <c r="AA165" s="8"/>
      <c r="AB165" s="8"/>
      <c r="AC165" s="8"/>
      <c r="AD165" s="8"/>
      <c r="AE165" s="8"/>
      <c r="AF165" s="8"/>
    </row>
    <row r="166" spans="1:32" s="10" customFormat="1" ht="20.100000000000001" customHeight="1" x14ac:dyDescent="0.25">
      <c r="A166" s="14"/>
      <c r="B166" s="8" t="s">
        <v>2</v>
      </c>
      <c r="C166" s="13" t="s">
        <v>16</v>
      </c>
      <c r="D166" s="14">
        <f>D164</f>
        <v>10</v>
      </c>
      <c r="E166" s="14">
        <f>+E164</f>
        <v>0.125</v>
      </c>
      <c r="F166" s="14">
        <f>ROUND((E157-(IF(E157/3&gt;2*G157,E157/3*2,G157*2*2)))/E166,0)</f>
        <v>20</v>
      </c>
      <c r="H166" s="14"/>
      <c r="I166" s="14"/>
      <c r="J166" s="14"/>
      <c r="K166" s="14"/>
      <c r="L166" s="14"/>
      <c r="M166" s="14"/>
      <c r="N166" s="14"/>
      <c r="O166" s="8">
        <f>(2*(((F157-'[2]Beam '!$D$11*2)/(F158-1))+(G157-'[2]Beam '!$D$11*2))+(2*10*D166/1000))*D157</f>
        <v>1.54</v>
      </c>
      <c r="P166" s="8">
        <f t="shared" si="35"/>
        <v>30.8</v>
      </c>
      <c r="Q166" s="8">
        <f>IF($D166='[2]Beam '!Q$44,$P166*'[2]Beam '!Q$45,0)</f>
        <v>0</v>
      </c>
      <c r="R166" s="8">
        <f>IF($D166='[2]Beam '!R$44,$P166*'[2]Beam '!R$45,0)</f>
        <v>18.997</v>
      </c>
      <c r="S166" s="8">
        <f>IF($D166='[2]Beam '!S$44,$P166*'[2]Beam '!S$45,0)</f>
        <v>0</v>
      </c>
      <c r="T166" s="8">
        <f>IF($D166='[2]Beam '!T$44,$P166*'[2]Beam '!T$45,0)</f>
        <v>0</v>
      </c>
      <c r="U166" s="8">
        <f>IF($D166='[2]Beam '!U$44,$P166*'[2]Beam '!U$45,0)</f>
        <v>0</v>
      </c>
      <c r="V166" s="8">
        <f>IF($D166='[2]Beam '!V$44,$P166*'[2]Beam '!V$45,0)</f>
        <v>0</v>
      </c>
      <c r="W166" s="8">
        <f>IF($D166='[2]Beam '!W$44,$P166*'[2]Beam '!W$45,0)</f>
        <v>0</v>
      </c>
      <c r="X166" s="8">
        <f t="shared" si="36"/>
        <v>18.997</v>
      </c>
      <c r="Y166" s="14"/>
      <c r="Z166" s="8"/>
      <c r="AA166" s="8"/>
      <c r="AB166" s="8"/>
      <c r="AC166" s="8"/>
      <c r="AD166" s="8"/>
      <c r="AE166" s="8"/>
    </row>
    <row r="167" spans="1:32" s="10" customFormat="1" ht="20.100000000000001" customHeight="1" x14ac:dyDescent="0.25">
      <c r="A167" s="7"/>
      <c r="B167" s="8" t="s">
        <v>2</v>
      </c>
      <c r="C167" s="13" t="s">
        <v>10</v>
      </c>
      <c r="D167" s="8">
        <f>+'[2]Beam '!$D$15</f>
        <v>25</v>
      </c>
      <c r="E167" s="8">
        <f>+'[2]Beam '!$E$15</f>
        <v>1</v>
      </c>
      <c r="F167" s="8">
        <f>ROUNDUP((4+E157)/E167,0)</f>
        <v>12</v>
      </c>
      <c r="G167" s="9"/>
      <c r="H167" s="9"/>
      <c r="I167" s="8"/>
      <c r="J167" s="8"/>
      <c r="K167" s="8"/>
      <c r="L167" s="8"/>
      <c r="M167" s="8"/>
      <c r="N167" s="8"/>
      <c r="O167" s="8">
        <f>F157-'[2]Beam '!$F$15</f>
        <v>0.39</v>
      </c>
      <c r="P167" s="8">
        <f t="shared" si="35"/>
        <v>4.68</v>
      </c>
      <c r="Q167" s="8">
        <f>IF($D167='[2]Beam '!Q$44,$P167*'[2]Beam '!Q$45,0)</f>
        <v>0</v>
      </c>
      <c r="R167" s="8">
        <f>IF($D167='[2]Beam '!R$44,$P167*'[2]Beam '!R$45,0)</f>
        <v>0</v>
      </c>
      <c r="S167" s="8">
        <f>IF($D167='[2]Beam '!S$44,$P167*'[2]Beam '!S$45,0)</f>
        <v>0</v>
      </c>
      <c r="T167" s="8">
        <f>IF($D167='[2]Beam '!T$44,$P167*'[2]Beam '!T$45,0)</f>
        <v>0</v>
      </c>
      <c r="U167" s="8">
        <f>IF($D167='[2]Beam '!U$44,$P167*'[2]Beam '!U$45,0)</f>
        <v>0</v>
      </c>
      <c r="V167" s="8">
        <f>IF($D167='[2]Beam '!V$44,$P167*'[2]Beam '!V$45,0)</f>
        <v>18.040982142857146</v>
      </c>
      <c r="W167" s="8">
        <f>IF($D167='[2]Beam '!W$44,$P167*'[2]Beam '!W$45,0)</f>
        <v>0</v>
      </c>
      <c r="X167" s="8">
        <f t="shared" si="36"/>
        <v>18.040982142857146</v>
      </c>
      <c r="Y167" s="8"/>
      <c r="Z167" s="8"/>
      <c r="AA167" s="8"/>
      <c r="AB167" s="8"/>
      <c r="AC167" s="8"/>
      <c r="AD167" s="8"/>
      <c r="AE167" s="8"/>
    </row>
    <row r="168" spans="1:32" s="10" customFormat="1" ht="20.100000000000001" customHeight="1" x14ac:dyDescent="0.25">
      <c r="A168" s="8">
        <v>1</v>
      </c>
      <c r="B168" s="8" t="s">
        <v>2</v>
      </c>
      <c r="C168" s="11" t="s">
        <v>31</v>
      </c>
      <c r="D168" s="11">
        <v>1</v>
      </c>
      <c r="E168" s="11">
        <v>4.1520000000000001</v>
      </c>
      <c r="F168" s="11">
        <v>0.45</v>
      </c>
      <c r="G168" s="11">
        <v>0.6</v>
      </c>
      <c r="H168" s="8">
        <f>G168-0.2</f>
        <v>0.39999999999999997</v>
      </c>
      <c r="I168" s="8">
        <f>E168*F168*G168*D168</f>
        <v>1.12104</v>
      </c>
      <c r="J168" s="8">
        <f>(2*(E168)*H168*D168)+(E168*F168)</f>
        <v>5.1899999999999995</v>
      </c>
      <c r="K168" s="12">
        <f>IF(E168=0.3,J168,0)</f>
        <v>0</v>
      </c>
      <c r="L168" s="12">
        <f>IF(AND(E168&gt;0.3,E168&lt;=0.75),J168,0)</f>
        <v>0</v>
      </c>
      <c r="M168" s="12">
        <f>IF(AND(E168&gt;0.75,E168&lt;=1.2),J168,0)</f>
        <v>0</v>
      </c>
      <c r="N168" s="12">
        <f>IF(E168&gt;1.2,J168,0)</f>
        <v>5.1899999999999995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>
        <f>SUM(X169:X174)/I168</f>
        <v>131.70630781621148</v>
      </c>
      <c r="Z168" s="8"/>
      <c r="AA168" s="8"/>
      <c r="AB168" s="8"/>
      <c r="AC168" s="8"/>
      <c r="AD168" s="8"/>
      <c r="AE168" s="8"/>
    </row>
    <row r="169" spans="1:32" s="10" customFormat="1" ht="20.100000000000001" customHeight="1" x14ac:dyDescent="0.25">
      <c r="A169" s="7"/>
      <c r="B169" s="8" t="s">
        <v>2</v>
      </c>
      <c r="C169" s="13" t="s">
        <v>4</v>
      </c>
      <c r="D169" s="8">
        <v>20</v>
      </c>
      <c r="E169" s="8"/>
      <c r="F169" s="8">
        <v>4</v>
      </c>
      <c r="G169" s="9">
        <f>VLOOKUP(D169,'[2]Beam '!$C$20:$H$26,3,0)</f>
        <v>0.8</v>
      </c>
      <c r="H169" s="9"/>
      <c r="I169" s="8"/>
      <c r="J169" s="8"/>
      <c r="K169" s="8"/>
      <c r="L169" s="8"/>
      <c r="M169" s="8"/>
      <c r="N169" s="8"/>
      <c r="O169" s="8">
        <f>(E168+1*(G169+(12*D169/1000))+1*(0.3/2))*D168</f>
        <v>5.3420000000000005</v>
      </c>
      <c r="P169" s="8">
        <f t="shared" ref="P169:P177" si="37">O169*F169</f>
        <v>21.368000000000002</v>
      </c>
      <c r="Q169" s="8">
        <f>IF($D169='[2]Beam '!Q$44,$P169*'[2]Beam '!Q$45,0)</f>
        <v>0</v>
      </c>
      <c r="R169" s="8">
        <f>IF($D169='[2]Beam '!R$44,$P169*'[2]Beam '!R$45,0)</f>
        <v>0</v>
      </c>
      <c r="S169" s="8">
        <f>IF($D169='[2]Beam '!S$44,$P169*'[2]Beam '!S$45,0)</f>
        <v>0</v>
      </c>
      <c r="T169" s="8">
        <f>IF($D169='[2]Beam '!T$44,$P169*'[2]Beam '!T$45,0)</f>
        <v>0</v>
      </c>
      <c r="U169" s="8">
        <f>IF($D169='[2]Beam '!U$44,$P169*'[2]Beam '!U$45,0)</f>
        <v>52.717908571428573</v>
      </c>
      <c r="V169" s="8">
        <f>IF($D169='[2]Beam '!V$44,$P169*'[2]Beam '!V$45,0)</f>
        <v>0</v>
      </c>
      <c r="W169" s="8">
        <f>IF($D169='[2]Beam '!W$44,$P169*'[2]Beam '!W$45,0)</f>
        <v>0</v>
      </c>
      <c r="X169" s="8">
        <f t="shared" ref="X169:X177" si="38">SUM(Q169:W169)</f>
        <v>52.717908571428573</v>
      </c>
      <c r="Y169" s="8"/>
      <c r="Z169" s="8"/>
      <c r="AA169" s="8"/>
      <c r="AB169" s="8"/>
      <c r="AC169" s="8"/>
      <c r="AD169" s="8"/>
      <c r="AE169" s="8"/>
    </row>
    <row r="170" spans="1:32" s="10" customFormat="1" ht="20.100000000000001" customHeight="1" x14ac:dyDescent="0.25">
      <c r="A170" s="7"/>
      <c r="B170" s="8" t="s">
        <v>2</v>
      </c>
      <c r="C170" s="13" t="s">
        <v>5</v>
      </c>
      <c r="D170" s="8">
        <v>16</v>
      </c>
      <c r="E170" s="8"/>
      <c r="F170" s="8">
        <v>2</v>
      </c>
      <c r="G170" s="9">
        <f>VLOOKUP(D170,'[2]Beam '!$C$20:$H$26,3,0)</f>
        <v>0.625</v>
      </c>
      <c r="H170" s="9"/>
      <c r="I170" s="8"/>
      <c r="J170" s="8"/>
      <c r="K170" s="8"/>
      <c r="L170" s="8"/>
      <c r="M170" s="8"/>
      <c r="N170" s="8"/>
      <c r="O170" s="8">
        <f>(1.15+1*(G170+(12*D170/1000))*D168)</f>
        <v>1.9669999999999999</v>
      </c>
      <c r="P170" s="8">
        <f t="shared" si="37"/>
        <v>3.9339999999999997</v>
      </c>
      <c r="Q170" s="8">
        <f>IF($D170='[2]Beam '!Q$44,$P170*'[2]Beam '!Q$45,0)</f>
        <v>0</v>
      </c>
      <c r="R170" s="8">
        <f>IF($D170='[2]Beam '!R$44,$P170*'[2]Beam '!R$45,0)</f>
        <v>0</v>
      </c>
      <c r="S170" s="8">
        <f>IF($D170='[2]Beam '!S$44,$P170*'[2]Beam '!S$45,0)</f>
        <v>0</v>
      </c>
      <c r="T170" s="8">
        <f>IF($D170='[2]Beam '!T$44,$P170*'[2]Beam '!T$45,0)</f>
        <v>6.2116736000000001</v>
      </c>
      <c r="U170" s="8">
        <f>IF($D170='[2]Beam '!U$44,$P170*'[2]Beam '!U$45,0)</f>
        <v>0</v>
      </c>
      <c r="V170" s="8">
        <f>IF($D170='[2]Beam '!V$44,$P170*'[2]Beam '!V$45,0)</f>
        <v>0</v>
      </c>
      <c r="W170" s="8">
        <f>IF($D170='[2]Beam '!W$44,$P170*'[2]Beam '!W$45,0)</f>
        <v>0</v>
      </c>
      <c r="X170" s="8">
        <f t="shared" si="38"/>
        <v>6.2116736000000001</v>
      </c>
      <c r="Y170" s="8"/>
      <c r="Z170" s="8"/>
      <c r="AA170" s="8"/>
      <c r="AB170" s="8"/>
      <c r="AC170" s="8"/>
      <c r="AD170" s="8"/>
      <c r="AE170" s="8"/>
    </row>
    <row r="171" spans="1:32" s="14" customFormat="1" ht="20.100000000000001" customHeight="1" x14ac:dyDescent="0.3">
      <c r="A171" s="7"/>
      <c r="B171" s="8" t="s">
        <v>2</v>
      </c>
      <c r="C171" s="13" t="s">
        <v>5</v>
      </c>
      <c r="D171" s="8">
        <v>16</v>
      </c>
      <c r="E171" s="8"/>
      <c r="F171" s="8">
        <v>2</v>
      </c>
      <c r="G171" s="9">
        <f>VLOOKUP(D171,'[2]Beam '!$C$20:$H$26,3,0)</f>
        <v>0.625</v>
      </c>
      <c r="H171" s="9"/>
      <c r="I171" s="8"/>
      <c r="J171" s="8"/>
      <c r="K171" s="8"/>
      <c r="L171" s="8"/>
      <c r="M171" s="8"/>
      <c r="N171" s="8"/>
      <c r="O171" s="8">
        <f>1.15+1*(0.3/2)</f>
        <v>1.2999999999999998</v>
      </c>
      <c r="P171" s="8">
        <f t="shared" si="37"/>
        <v>2.5999999999999996</v>
      </c>
      <c r="Q171" s="8">
        <f>IF($D171='[2]Beam '!Q$44,$P171*'[2]Beam '!Q$45,0)</f>
        <v>0</v>
      </c>
      <c r="R171" s="8">
        <f>IF($D171='[2]Beam '!R$44,$P171*'[2]Beam '!R$45,0)</f>
        <v>0</v>
      </c>
      <c r="S171" s="8">
        <f>IF($D171='[2]Beam '!S$44,$P171*'[2]Beam '!S$45,0)</f>
        <v>0</v>
      </c>
      <c r="T171" s="8">
        <f>IF($D171='[2]Beam '!T$44,$P171*'[2]Beam '!T$45,0)</f>
        <v>4.1053257142857138</v>
      </c>
      <c r="U171" s="8">
        <f>IF($D171='[2]Beam '!U$44,$P171*'[2]Beam '!U$45,0)</f>
        <v>0</v>
      </c>
      <c r="V171" s="8">
        <f>IF($D171='[2]Beam '!V$44,$P171*'[2]Beam '!V$45,0)</f>
        <v>0</v>
      </c>
      <c r="W171" s="8">
        <f>IF($D171='[2]Beam '!W$44,$P171*'[2]Beam '!W$45,0)</f>
        <v>0</v>
      </c>
      <c r="X171" s="8">
        <f t="shared" si="38"/>
        <v>4.1053257142857138</v>
      </c>
      <c r="Y171" s="8"/>
    </row>
    <row r="172" spans="1:32" s="14" customFormat="1" ht="20.100000000000001" customHeight="1" x14ac:dyDescent="0.3">
      <c r="A172" s="7"/>
      <c r="B172" s="8" t="s">
        <v>2</v>
      </c>
      <c r="C172" s="13" t="s">
        <v>6</v>
      </c>
      <c r="D172" s="8">
        <v>20</v>
      </c>
      <c r="E172" s="8"/>
      <c r="F172" s="8">
        <v>4</v>
      </c>
      <c r="G172" s="9">
        <f>VLOOKUP(D172,'[2]Beam '!$C$20:$H$26,3,0)</f>
        <v>0.8</v>
      </c>
      <c r="H172" s="8"/>
      <c r="I172" s="8"/>
      <c r="J172" s="8"/>
      <c r="K172" s="8"/>
      <c r="L172" s="8"/>
      <c r="M172" s="8"/>
      <c r="N172" s="8"/>
      <c r="O172" s="8">
        <f>(E168+1*(G172+(12*D172/1000))+1*(0.3/2))*D168</f>
        <v>5.3420000000000005</v>
      </c>
      <c r="P172" s="8">
        <f t="shared" si="37"/>
        <v>21.368000000000002</v>
      </c>
      <c r="Q172" s="8">
        <f>IF($D172='[2]Beam '!Q$44,$P172*'[2]Beam '!Q$45,0)</f>
        <v>0</v>
      </c>
      <c r="R172" s="8">
        <f>IF($D172='[2]Beam '!R$44,$P172*'[2]Beam '!R$45,0)</f>
        <v>0</v>
      </c>
      <c r="S172" s="8">
        <f>IF($D172='[2]Beam '!S$44,$P172*'[2]Beam '!S$45,0)</f>
        <v>0</v>
      </c>
      <c r="T172" s="8">
        <f>IF($D172='[2]Beam '!T$44,$P172*'[2]Beam '!T$45,0)</f>
        <v>0</v>
      </c>
      <c r="U172" s="8">
        <f>IF($D172='[2]Beam '!U$44,$P172*'[2]Beam '!U$45,0)</f>
        <v>52.717908571428573</v>
      </c>
      <c r="V172" s="8">
        <f>IF($D172='[2]Beam '!V$44,$P172*'[2]Beam '!V$45,0)</f>
        <v>0</v>
      </c>
      <c r="W172" s="8">
        <f>IF($D172='[2]Beam '!W$44,$P172*'[2]Beam '!W$45,0)</f>
        <v>0</v>
      </c>
      <c r="X172" s="8">
        <f t="shared" si="38"/>
        <v>52.717908571428573</v>
      </c>
      <c r="Y172" s="8"/>
    </row>
    <row r="173" spans="1:32" s="14" customFormat="1" ht="20.100000000000001" customHeight="1" x14ac:dyDescent="0.25">
      <c r="A173" s="7"/>
      <c r="B173" s="8" t="s">
        <v>2</v>
      </c>
      <c r="C173" s="13" t="s">
        <v>13</v>
      </c>
      <c r="D173" s="8">
        <v>8</v>
      </c>
      <c r="E173" s="8">
        <v>0.1</v>
      </c>
      <c r="F173" s="8">
        <f>ROUND(IF(E168/3&gt;(2*G168),(E168/3)/E173,(2*G168)/E173),0)*2+1</f>
        <v>29</v>
      </c>
      <c r="G173" s="10"/>
      <c r="H173" s="8"/>
      <c r="I173" s="8"/>
      <c r="J173" s="8"/>
      <c r="K173" s="8"/>
      <c r="L173" s="8"/>
      <c r="M173" s="8"/>
      <c r="N173" s="8"/>
      <c r="O173" s="8">
        <f>(2*((G168-(2*'[2]Beam '!$D$11))+(F168-(2*'[2]Beam '!$D$11)))+(2*10*D173/1000))*D168</f>
        <v>2.02</v>
      </c>
      <c r="P173" s="8">
        <f t="shared" si="37"/>
        <v>58.58</v>
      </c>
      <c r="Q173" s="8">
        <f>IF($D173='[2]Beam '!Q$44,$P173*'[2]Beam '!Q$45,0)</f>
        <v>23.124036571428572</v>
      </c>
      <c r="R173" s="8">
        <f>IF($D173='[2]Beam '!R$44,$P173*'[2]Beam '!R$45,0)</f>
        <v>0</v>
      </c>
      <c r="S173" s="8">
        <f>IF($D173='[2]Beam '!S$44,$P173*'[2]Beam '!S$45,0)</f>
        <v>0</v>
      </c>
      <c r="T173" s="8">
        <f>IF($D173='[2]Beam '!T$44,$P173*'[2]Beam '!T$45,0)</f>
        <v>0</v>
      </c>
      <c r="U173" s="8">
        <f>IF($D173='[2]Beam '!U$44,$P173*'[2]Beam '!U$45,0)</f>
        <v>0</v>
      </c>
      <c r="V173" s="8">
        <f>IF($D173='[2]Beam '!V$44,$P173*'[2]Beam '!V$45,0)</f>
        <v>0</v>
      </c>
      <c r="W173" s="8">
        <f>IF($D173='[2]Beam '!W$44,$P173*'[2]Beam '!W$45,0)</f>
        <v>0</v>
      </c>
      <c r="X173" s="8">
        <f t="shared" si="38"/>
        <v>23.124036571428572</v>
      </c>
      <c r="Y173" s="8"/>
    </row>
    <row r="174" spans="1:32" s="10" customFormat="1" ht="20.100000000000001" customHeight="1" x14ac:dyDescent="0.25">
      <c r="A174" s="14"/>
      <c r="B174" s="8" t="s">
        <v>2</v>
      </c>
      <c r="C174" s="13" t="s">
        <v>14</v>
      </c>
      <c r="D174" s="14">
        <f>D173</f>
        <v>8</v>
      </c>
      <c r="E174" s="14">
        <v>0.125</v>
      </c>
      <c r="F174" s="14">
        <f>ROUND((E168-(IF(E168/3&gt;2*G168,E168/3*2,G168*2*2)))/E174,0)</f>
        <v>11</v>
      </c>
      <c r="H174" s="14"/>
      <c r="I174" s="14"/>
      <c r="J174" s="14"/>
      <c r="K174" s="14"/>
      <c r="L174" s="14"/>
      <c r="M174" s="14"/>
      <c r="N174" s="14"/>
      <c r="O174" s="8">
        <f>(2*((G168-(2*'[2]Beam '!$D$11))+(F168-(2*'[2]Beam '!$D$11)))+(2*10*D174/1000))*D168</f>
        <v>2.02</v>
      </c>
      <c r="P174" s="8">
        <f t="shared" si="37"/>
        <v>22.22</v>
      </c>
      <c r="Q174" s="8">
        <f>IF($D174='[2]Beam '!Q$44,$P174*'[2]Beam '!Q$45,0)</f>
        <v>8.7711862857142862</v>
      </c>
      <c r="R174" s="8">
        <f>IF($D174='[2]Beam '!R$44,$P174*'[2]Beam '!R$45,0)</f>
        <v>0</v>
      </c>
      <c r="S174" s="8">
        <f>IF($D174='[2]Beam '!S$44,$P174*'[2]Beam '!S$45,0)</f>
        <v>0</v>
      </c>
      <c r="T174" s="8">
        <f>IF($D174='[2]Beam '!T$44,$P174*'[2]Beam '!T$45,0)</f>
        <v>0</v>
      </c>
      <c r="U174" s="8">
        <f>IF($D174='[2]Beam '!U$44,$P174*'[2]Beam '!U$45,0)</f>
        <v>0</v>
      </c>
      <c r="V174" s="8">
        <f>IF($D174='[2]Beam '!V$44,$P174*'[2]Beam '!V$45,0)</f>
        <v>0</v>
      </c>
      <c r="W174" s="8">
        <f>IF($D174='[2]Beam '!W$44,$P174*'[2]Beam '!W$45,0)</f>
        <v>0</v>
      </c>
      <c r="X174" s="8">
        <f t="shared" si="38"/>
        <v>8.7711862857142862</v>
      </c>
      <c r="Y174" s="14"/>
      <c r="Z174" s="8"/>
      <c r="AA174" s="8"/>
      <c r="AB174" s="8"/>
      <c r="AC174" s="8"/>
      <c r="AD174" s="8"/>
      <c r="AE174" s="8"/>
    </row>
    <row r="175" spans="1:32" s="10" customFormat="1" ht="21" customHeight="1" x14ac:dyDescent="0.25">
      <c r="A175" s="14"/>
      <c r="B175" s="8" t="s">
        <v>2</v>
      </c>
      <c r="C175" s="13" t="s">
        <v>15</v>
      </c>
      <c r="D175" s="14">
        <f>D173</f>
        <v>8</v>
      </c>
      <c r="E175" s="14">
        <f>+E173</f>
        <v>0.1</v>
      </c>
      <c r="F175" s="8">
        <f>ROUND(IF(E168/3&gt;(2*G168),(E168/3)/E175,(2*G168)/E175),0)*2+1</f>
        <v>29</v>
      </c>
      <c r="H175" s="14"/>
      <c r="I175" s="14"/>
      <c r="J175" s="14"/>
      <c r="K175" s="14"/>
      <c r="L175" s="14"/>
      <c r="M175" s="14"/>
      <c r="N175" s="14"/>
      <c r="O175" s="8">
        <f>(2*(((F168-'[2]Beam '!$D$11*2)/(F169-1))+(G168-'[2]Beam '!$D$11*2))+(2*10*D175/1000))*D168</f>
        <v>1.5</v>
      </c>
      <c r="P175" s="8">
        <f t="shared" si="37"/>
        <v>43.5</v>
      </c>
      <c r="Q175" s="8">
        <f>IF($D175='[2]Beam '!Q$44,$P175*'[2]Beam '!Q$45,0)</f>
        <v>17.171314285714288</v>
      </c>
      <c r="R175" s="8">
        <f>IF($D175='[2]Beam '!R$44,$P175*'[2]Beam '!R$45,0)</f>
        <v>0</v>
      </c>
      <c r="S175" s="8">
        <f>IF($D175='[2]Beam '!S$44,$P175*'[2]Beam '!S$45,0)</f>
        <v>0</v>
      </c>
      <c r="T175" s="8">
        <f>IF($D175='[2]Beam '!T$44,$P175*'[2]Beam '!T$45,0)</f>
        <v>0</v>
      </c>
      <c r="U175" s="8">
        <f>IF($D175='[2]Beam '!U$44,$P175*'[2]Beam '!U$45,0)</f>
        <v>0</v>
      </c>
      <c r="V175" s="8">
        <f>IF($D175='[2]Beam '!V$44,$P175*'[2]Beam '!V$45,0)</f>
        <v>0</v>
      </c>
      <c r="W175" s="8">
        <f>IF($D175='[2]Beam '!W$44,$P175*'[2]Beam '!W$45,0)</f>
        <v>0</v>
      </c>
      <c r="X175" s="8">
        <f t="shared" si="38"/>
        <v>17.171314285714288</v>
      </c>
      <c r="Y175" s="14"/>
      <c r="Z175" s="8"/>
      <c r="AA175" s="8"/>
      <c r="AB175" s="8"/>
      <c r="AC175" s="8"/>
      <c r="AD175" s="8"/>
      <c r="AE175" s="8"/>
      <c r="AF175" s="8"/>
    </row>
    <row r="176" spans="1:32" s="10" customFormat="1" ht="20.100000000000001" customHeight="1" x14ac:dyDescent="0.25">
      <c r="A176" s="14"/>
      <c r="B176" s="8" t="s">
        <v>2</v>
      </c>
      <c r="C176" s="13" t="s">
        <v>16</v>
      </c>
      <c r="D176" s="14">
        <f>D174</f>
        <v>8</v>
      </c>
      <c r="E176" s="14">
        <f>+E174</f>
        <v>0.125</v>
      </c>
      <c r="F176" s="14">
        <f>ROUND((E168-(IF(E168/3&gt;2*G168,E168/3*2,G168*2*2)))/E176,0)</f>
        <v>11</v>
      </c>
      <c r="H176" s="14"/>
      <c r="I176" s="14"/>
      <c r="J176" s="14"/>
      <c r="K176" s="14"/>
      <c r="L176" s="14"/>
      <c r="M176" s="14"/>
      <c r="N176" s="14"/>
      <c r="O176" s="8">
        <f>(2*(((F168-'[2]Beam '!$D$11*2)/(F169-1))+(G168-'[2]Beam '!$D$11*2))+(2*10*D176/1000))*D168</f>
        <v>1.5</v>
      </c>
      <c r="P176" s="8">
        <f t="shared" si="37"/>
        <v>16.5</v>
      </c>
      <c r="Q176" s="8">
        <f>IF($D176='[2]Beam '!Q$44,$P176*'[2]Beam '!Q$45,0)</f>
        <v>6.5132571428571433</v>
      </c>
      <c r="R176" s="8">
        <f>IF($D176='[2]Beam '!R$44,$P176*'[2]Beam '!R$45,0)</f>
        <v>0</v>
      </c>
      <c r="S176" s="8">
        <f>IF($D176='[2]Beam '!S$44,$P176*'[2]Beam '!S$45,0)</f>
        <v>0</v>
      </c>
      <c r="T176" s="8">
        <f>IF($D176='[2]Beam '!T$44,$P176*'[2]Beam '!T$45,0)</f>
        <v>0</v>
      </c>
      <c r="U176" s="8">
        <f>IF($D176='[2]Beam '!U$44,$P176*'[2]Beam '!U$45,0)</f>
        <v>0</v>
      </c>
      <c r="V176" s="8">
        <f>IF($D176='[2]Beam '!V$44,$P176*'[2]Beam '!V$45,0)</f>
        <v>0</v>
      </c>
      <c r="W176" s="8">
        <f>IF($D176='[2]Beam '!W$44,$P176*'[2]Beam '!W$45,0)</f>
        <v>0</v>
      </c>
      <c r="X176" s="8">
        <f t="shared" si="38"/>
        <v>6.5132571428571433</v>
      </c>
      <c r="Y176" s="14"/>
      <c r="Z176" s="8"/>
      <c r="AA176" s="8"/>
      <c r="AB176" s="8"/>
      <c r="AC176" s="8"/>
      <c r="AD176" s="8"/>
      <c r="AE176" s="8"/>
    </row>
    <row r="177" spans="1:32" s="10" customFormat="1" ht="20.100000000000001" customHeight="1" x14ac:dyDescent="0.25">
      <c r="A177" s="7"/>
      <c r="B177" s="8" t="s">
        <v>2</v>
      </c>
      <c r="C177" s="13" t="s">
        <v>10</v>
      </c>
      <c r="D177" s="8">
        <f>+'[2]Beam '!$D$15</f>
        <v>25</v>
      </c>
      <c r="E177" s="8">
        <f>+'[2]Beam '!$E$15</f>
        <v>1</v>
      </c>
      <c r="F177" s="8">
        <f>ROUNDUP((1.15+1.15)/E177,0)</f>
        <v>3</v>
      </c>
      <c r="G177" s="9"/>
      <c r="H177" s="9"/>
      <c r="I177" s="8"/>
      <c r="J177" s="8"/>
      <c r="K177" s="8"/>
      <c r="L177" s="8"/>
      <c r="M177" s="8"/>
      <c r="N177" s="8"/>
      <c r="O177" s="8">
        <f>F168-'[2]Beam '!$F$15</f>
        <v>0.39</v>
      </c>
      <c r="P177" s="8">
        <f t="shared" si="37"/>
        <v>1.17</v>
      </c>
      <c r="Q177" s="8">
        <f>IF($D177='[2]Beam '!Q$44,$P177*'[2]Beam '!Q$45,0)</f>
        <v>0</v>
      </c>
      <c r="R177" s="8">
        <f>IF($D177='[2]Beam '!R$44,$P177*'[2]Beam '!R$45,0)</f>
        <v>0</v>
      </c>
      <c r="S177" s="8">
        <f>IF($D177='[2]Beam '!S$44,$P177*'[2]Beam '!S$45,0)</f>
        <v>0</v>
      </c>
      <c r="T177" s="8">
        <f>IF($D177='[2]Beam '!T$44,$P177*'[2]Beam '!T$45,0)</f>
        <v>0</v>
      </c>
      <c r="U177" s="8">
        <f>IF($D177='[2]Beam '!U$44,$P177*'[2]Beam '!U$45,0)</f>
        <v>0</v>
      </c>
      <c r="V177" s="8">
        <f>IF($D177='[2]Beam '!V$44,$P177*'[2]Beam '!V$45,0)</f>
        <v>4.5102455357142865</v>
      </c>
      <c r="W177" s="8">
        <f>IF($D177='[2]Beam '!W$44,$P177*'[2]Beam '!W$45,0)</f>
        <v>0</v>
      </c>
      <c r="X177" s="8">
        <f t="shared" si="38"/>
        <v>4.5102455357142865</v>
      </c>
      <c r="Y177" s="8"/>
      <c r="Z177" s="8"/>
      <c r="AA177" s="8"/>
      <c r="AB177" s="8"/>
      <c r="AC177" s="8"/>
      <c r="AD177" s="8"/>
      <c r="AE177" s="8"/>
    </row>
    <row r="178" spans="1:32" s="10" customFormat="1" ht="20.100000000000001" customHeight="1" x14ac:dyDescent="0.25">
      <c r="A178" s="8">
        <v>1</v>
      </c>
      <c r="B178" s="8" t="s">
        <v>2</v>
      </c>
      <c r="C178" s="11" t="s">
        <v>32</v>
      </c>
      <c r="D178" s="11">
        <v>1</v>
      </c>
      <c r="E178" s="11">
        <v>11.4</v>
      </c>
      <c r="F178" s="11">
        <v>0.75</v>
      </c>
      <c r="G178" s="11">
        <v>0.75</v>
      </c>
      <c r="H178" s="8">
        <f>G178-0.2</f>
        <v>0.55000000000000004</v>
      </c>
      <c r="I178" s="8">
        <f>E178*F178*G178*D178</f>
        <v>6.4125000000000005</v>
      </c>
      <c r="J178" s="8">
        <f>(2*(E178)*H178*D178)+(E178*F178)</f>
        <v>21.090000000000003</v>
      </c>
      <c r="K178" s="12">
        <f>IF(E178=0.3,J178,0)</f>
        <v>0</v>
      </c>
      <c r="L178" s="12">
        <f>IF(AND(E178&gt;0.3,E178&lt;=0.75),J178,0)</f>
        <v>0</v>
      </c>
      <c r="M178" s="12">
        <f>IF(AND(E178&gt;0.75,E178&lt;=1.2),J178,0)</f>
        <v>0</v>
      </c>
      <c r="N178" s="12">
        <f>IF(E178&gt;1.2,J178,0)</f>
        <v>21.090000000000003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>
        <f>SUM(X179:X186)/I178</f>
        <v>202.11839417989418</v>
      </c>
      <c r="Z178" s="8"/>
      <c r="AA178" s="8"/>
      <c r="AB178" s="8"/>
      <c r="AC178" s="8"/>
      <c r="AD178" s="8"/>
      <c r="AE178" s="8"/>
    </row>
    <row r="179" spans="1:32" s="10" customFormat="1" ht="20.100000000000001" customHeight="1" x14ac:dyDescent="0.25">
      <c r="A179" s="7"/>
      <c r="B179" s="8" t="s">
        <v>2</v>
      </c>
      <c r="C179" s="13" t="s">
        <v>4</v>
      </c>
      <c r="D179" s="8">
        <v>20</v>
      </c>
      <c r="E179" s="8"/>
      <c r="F179" s="8">
        <v>7</v>
      </c>
      <c r="G179" s="9">
        <f>VLOOKUP(D179,'[2]Beam '!$C$20:$H$26,3,0)</f>
        <v>0.8</v>
      </c>
      <c r="H179" s="9"/>
      <c r="I179" s="8"/>
      <c r="J179" s="8"/>
      <c r="K179" s="8"/>
      <c r="L179" s="8"/>
      <c r="M179" s="8"/>
      <c r="N179" s="8"/>
      <c r="O179" s="8">
        <f>(E178+1*(G179+(12*D179/1000))+1*(0.3/2)*D178)</f>
        <v>12.590000000000002</v>
      </c>
      <c r="P179" s="8">
        <f t="shared" ref="P179:P189" si="39">O179*F179</f>
        <v>88.13000000000001</v>
      </c>
      <c r="Q179" s="8">
        <f>IF($D179='[2]Beam '!Q$44,$P179*'[2]Beam '!Q$45,0)</f>
        <v>0</v>
      </c>
      <c r="R179" s="8">
        <f>IF($D179='[2]Beam '!R$44,$P179*'[2]Beam '!R$45,0)</f>
        <v>0</v>
      </c>
      <c r="S179" s="8">
        <f>IF($D179='[2]Beam '!S$44,$P179*'[2]Beam '!S$45,0)</f>
        <v>0</v>
      </c>
      <c r="T179" s="8">
        <f>IF($D179='[2]Beam '!T$44,$P179*'[2]Beam '!T$45,0)</f>
        <v>0</v>
      </c>
      <c r="U179" s="8">
        <f>IF($D179='[2]Beam '!U$44,$P179*'[2]Beam '!U$45,0)</f>
        <v>217.42930000000001</v>
      </c>
      <c r="V179" s="8">
        <f>IF($D179='[2]Beam '!V$44,$P179*'[2]Beam '!V$45,0)</f>
        <v>0</v>
      </c>
      <c r="W179" s="8">
        <f>IF($D179='[2]Beam '!W$44,$P179*'[2]Beam '!W$45,0)</f>
        <v>0</v>
      </c>
      <c r="X179" s="8">
        <f t="shared" ref="X179:X189" si="40">SUM(Q179:W179)</f>
        <v>217.42930000000001</v>
      </c>
      <c r="Y179" s="8"/>
      <c r="Z179" s="8"/>
      <c r="AA179" s="8"/>
      <c r="AB179" s="8"/>
      <c r="AC179" s="8"/>
      <c r="AD179" s="8"/>
      <c r="AE179" s="8"/>
    </row>
    <row r="180" spans="1:32" s="10" customFormat="1" ht="20.100000000000001" customHeight="1" x14ac:dyDescent="0.25">
      <c r="A180" s="7"/>
      <c r="B180" s="8" t="s">
        <v>2</v>
      </c>
      <c r="C180" s="13" t="s">
        <v>5</v>
      </c>
      <c r="D180" s="8">
        <v>20</v>
      </c>
      <c r="E180" s="8"/>
      <c r="F180" s="8">
        <v>3</v>
      </c>
      <c r="G180" s="9">
        <f>VLOOKUP(D180,'[2]Beam '!$C$20:$H$26,3,0)</f>
        <v>0.8</v>
      </c>
      <c r="H180" s="9"/>
      <c r="I180" s="8"/>
      <c r="J180" s="8"/>
      <c r="K180" s="8"/>
      <c r="L180" s="8"/>
      <c r="M180" s="8"/>
      <c r="N180" s="8"/>
      <c r="O180" s="8">
        <f>(2.95+1*(G180+(12*D180/1000))*D178)</f>
        <v>3.99</v>
      </c>
      <c r="P180" s="8">
        <f t="shared" si="39"/>
        <v>11.97</v>
      </c>
      <c r="Q180" s="8">
        <f>IF($D180='[2]Beam '!Q$44,$P180*'[2]Beam '!Q$45,0)</f>
        <v>0</v>
      </c>
      <c r="R180" s="8">
        <f>IF($D180='[2]Beam '!R$44,$P180*'[2]Beam '!R$45,0)</f>
        <v>0</v>
      </c>
      <c r="S180" s="8">
        <f>IF($D180='[2]Beam '!S$44,$P180*'[2]Beam '!S$45,0)</f>
        <v>0</v>
      </c>
      <c r="T180" s="8">
        <f>IF($D180='[2]Beam '!T$44,$P180*'[2]Beam '!T$45,0)</f>
        <v>0</v>
      </c>
      <c r="U180" s="8">
        <f>IF($D180='[2]Beam '!U$44,$P180*'[2]Beam '!U$45,0)</f>
        <v>29.531700000000001</v>
      </c>
      <c r="V180" s="8">
        <f>IF($D180='[2]Beam '!V$44,$P180*'[2]Beam '!V$45,0)</f>
        <v>0</v>
      </c>
      <c r="W180" s="8">
        <f>IF($D180='[2]Beam '!W$44,$P180*'[2]Beam '!W$45,0)</f>
        <v>0</v>
      </c>
      <c r="X180" s="8">
        <f t="shared" si="40"/>
        <v>29.531700000000001</v>
      </c>
      <c r="Y180" s="8"/>
      <c r="Z180" s="8"/>
      <c r="AA180" s="8"/>
      <c r="AB180" s="8"/>
      <c r="AC180" s="8"/>
      <c r="AD180" s="8"/>
      <c r="AE180" s="8"/>
    </row>
    <row r="181" spans="1:32" s="10" customFormat="1" ht="20.100000000000001" customHeight="1" x14ac:dyDescent="0.25">
      <c r="A181" s="7"/>
      <c r="B181" s="8" t="s">
        <v>2</v>
      </c>
      <c r="C181" s="13" t="s">
        <v>5</v>
      </c>
      <c r="D181" s="8">
        <v>25</v>
      </c>
      <c r="E181" s="8"/>
      <c r="F181" s="8">
        <v>4</v>
      </c>
      <c r="G181" s="9">
        <f>VLOOKUP(D181,'[2]Beam '!$C$20:$H$26,3,0)</f>
        <v>1</v>
      </c>
      <c r="H181" s="9"/>
      <c r="I181" s="8"/>
      <c r="J181" s="8"/>
      <c r="K181" s="8"/>
      <c r="L181" s="8"/>
      <c r="M181" s="8"/>
      <c r="N181" s="8"/>
      <c r="O181" s="8">
        <f>(2.95+1*(0.3/2)*D178)</f>
        <v>3.1</v>
      </c>
      <c r="P181" s="8">
        <f t="shared" si="39"/>
        <v>12.4</v>
      </c>
      <c r="Q181" s="8">
        <f>IF($D181='[2]Beam '!Q$44,$P181*'[2]Beam '!Q$45,0)</f>
        <v>0</v>
      </c>
      <c r="R181" s="8">
        <f>IF($D181='[2]Beam '!R$44,$P181*'[2]Beam '!R$45,0)</f>
        <v>0</v>
      </c>
      <c r="S181" s="8">
        <f>IF($D181='[2]Beam '!S$44,$P181*'[2]Beam '!S$45,0)</f>
        <v>0</v>
      </c>
      <c r="T181" s="8">
        <f>IF($D181='[2]Beam '!T$44,$P181*'[2]Beam '!T$45,0)</f>
        <v>0</v>
      </c>
      <c r="U181" s="8">
        <f>IF($D181='[2]Beam '!U$44,$P181*'[2]Beam '!U$45,0)</f>
        <v>0</v>
      </c>
      <c r="V181" s="8">
        <f>IF($D181='[2]Beam '!V$44,$P181*'[2]Beam '!V$45,0)</f>
        <v>47.800892857142863</v>
      </c>
      <c r="W181" s="8">
        <f>IF($D181='[2]Beam '!W$44,$P181*'[2]Beam '!W$45,0)</f>
        <v>0</v>
      </c>
      <c r="X181" s="8">
        <f t="shared" si="40"/>
        <v>47.800892857142863</v>
      </c>
      <c r="Y181" s="8"/>
      <c r="Z181" s="8"/>
      <c r="AA181" s="8"/>
      <c r="AB181" s="8"/>
      <c r="AC181" s="8"/>
      <c r="AD181" s="8"/>
      <c r="AE181" s="8"/>
    </row>
    <row r="182" spans="1:32" s="10" customFormat="1" ht="20.100000000000001" customHeight="1" x14ac:dyDescent="0.25">
      <c r="A182" s="7"/>
      <c r="B182" s="8" t="s">
        <v>2</v>
      </c>
      <c r="C182" s="13" t="s">
        <v>5</v>
      </c>
      <c r="D182" s="8">
        <v>25</v>
      </c>
      <c r="E182" s="8"/>
      <c r="F182" s="8">
        <v>4</v>
      </c>
      <c r="G182" s="9">
        <f>VLOOKUP(D182,'[2]Beam '!$C$20:$H$26,3,0)</f>
        <v>1</v>
      </c>
      <c r="H182" s="9"/>
      <c r="I182" s="8"/>
      <c r="J182" s="8"/>
      <c r="K182" s="8"/>
      <c r="L182" s="8"/>
      <c r="M182" s="8"/>
      <c r="N182" s="8"/>
      <c r="O182" s="8">
        <f>(1.75+1*(0.3/2)*D178)</f>
        <v>1.9</v>
      </c>
      <c r="P182" s="8">
        <f t="shared" si="39"/>
        <v>7.6</v>
      </c>
      <c r="Q182" s="8">
        <f>IF($D182='[2]Beam '!Q$44,$P182*'[2]Beam '!Q$45,0)</f>
        <v>0</v>
      </c>
      <c r="R182" s="8">
        <f>IF($D182='[2]Beam '!R$44,$P182*'[2]Beam '!R$45,0)</f>
        <v>0</v>
      </c>
      <c r="S182" s="8">
        <f>IF($D182='[2]Beam '!S$44,$P182*'[2]Beam '!S$45,0)</f>
        <v>0</v>
      </c>
      <c r="T182" s="8">
        <f>IF($D182='[2]Beam '!T$44,$P182*'[2]Beam '!T$45,0)</f>
        <v>0</v>
      </c>
      <c r="U182" s="8">
        <f>IF($D182='[2]Beam '!U$44,$P182*'[2]Beam '!U$45,0)</f>
        <v>0</v>
      </c>
      <c r="V182" s="8">
        <f>IF($D182='[2]Beam '!V$44,$P182*'[2]Beam '!V$45,0)</f>
        <v>29.297321428571433</v>
      </c>
      <c r="W182" s="8">
        <f>IF($D182='[2]Beam '!W$44,$P182*'[2]Beam '!W$45,0)</f>
        <v>0</v>
      </c>
      <c r="X182" s="8">
        <f t="shared" si="40"/>
        <v>29.297321428571433</v>
      </c>
      <c r="Y182" s="8"/>
      <c r="Z182" s="8"/>
      <c r="AA182" s="8"/>
      <c r="AB182" s="8"/>
      <c r="AC182" s="8"/>
      <c r="AD182" s="8"/>
      <c r="AE182" s="8"/>
    </row>
    <row r="183" spans="1:32" s="14" customFormat="1" ht="20.100000000000001" customHeight="1" x14ac:dyDescent="0.3">
      <c r="A183" s="7"/>
      <c r="B183" s="8" t="s">
        <v>2</v>
      </c>
      <c r="C183" s="13" t="s">
        <v>6</v>
      </c>
      <c r="D183" s="8">
        <v>25</v>
      </c>
      <c r="E183" s="8"/>
      <c r="F183" s="8">
        <v>7</v>
      </c>
      <c r="G183" s="9">
        <f>VLOOKUP(D183,'[2]Beam '!$C$20:$H$26,3,0)</f>
        <v>1</v>
      </c>
      <c r="H183" s="8"/>
      <c r="I183" s="8"/>
      <c r="J183" s="8"/>
      <c r="K183" s="8"/>
      <c r="L183" s="8"/>
      <c r="M183" s="8"/>
      <c r="N183" s="8"/>
      <c r="O183" s="8">
        <f>(E178+2*(G183+(12*D183/1000))*D178)</f>
        <v>14</v>
      </c>
      <c r="P183" s="8">
        <f t="shared" si="39"/>
        <v>98</v>
      </c>
      <c r="Q183" s="8">
        <f>IF($D183='[2]Beam '!Q$44,$P183*'[2]Beam '!Q$45,0)</f>
        <v>0</v>
      </c>
      <c r="R183" s="8">
        <f>IF($D183='[2]Beam '!R$44,$P183*'[2]Beam '!R$45,0)</f>
        <v>0</v>
      </c>
      <c r="S183" s="8">
        <f>IF($D183='[2]Beam '!S$44,$P183*'[2]Beam '!S$45,0)</f>
        <v>0</v>
      </c>
      <c r="T183" s="8">
        <f>IF($D183='[2]Beam '!T$44,$P183*'[2]Beam '!T$45,0)</f>
        <v>0</v>
      </c>
      <c r="U183" s="8">
        <f>IF($D183='[2]Beam '!U$44,$P183*'[2]Beam '!U$45,0)</f>
        <v>0</v>
      </c>
      <c r="V183" s="8">
        <f>IF($D183='[2]Beam '!V$44,$P183*'[2]Beam '!V$45,0)</f>
        <v>377.78125000000006</v>
      </c>
      <c r="W183" s="8">
        <f>IF($D183='[2]Beam '!W$44,$P183*'[2]Beam '!W$45,0)</f>
        <v>0</v>
      </c>
      <c r="X183" s="8">
        <f t="shared" si="40"/>
        <v>377.78125000000006</v>
      </c>
      <c r="Y183" s="8"/>
    </row>
    <row r="184" spans="1:32" s="14" customFormat="1" ht="20.100000000000001" customHeight="1" x14ac:dyDescent="0.3">
      <c r="A184" s="7"/>
      <c r="B184" s="8" t="s">
        <v>2</v>
      </c>
      <c r="C184" s="13" t="s">
        <v>7</v>
      </c>
      <c r="D184" s="8">
        <v>25</v>
      </c>
      <c r="E184" s="8"/>
      <c r="F184" s="8">
        <v>7</v>
      </c>
      <c r="G184" s="9">
        <f>VLOOKUP(D184,'[2]Beam '!$C$20:$H$26,3,0)</f>
        <v>1</v>
      </c>
      <c r="H184" s="8"/>
      <c r="I184" s="8"/>
      <c r="J184" s="8"/>
      <c r="K184" s="8"/>
      <c r="L184" s="8"/>
      <c r="M184" s="8"/>
      <c r="N184" s="8"/>
      <c r="O184" s="8">
        <f>(E178-1.75+2*G184+(12*D184/1000))*D178</f>
        <v>11.950000000000001</v>
      </c>
      <c r="P184" s="8">
        <f t="shared" si="39"/>
        <v>83.65</v>
      </c>
      <c r="Q184" s="8">
        <f>IF($D184='[2]Beam '!Q$44,$P184*'[2]Beam '!Q$45,0)</f>
        <v>0</v>
      </c>
      <c r="R184" s="8">
        <f>IF($D184='[2]Beam '!R$44,$P184*'[2]Beam '!R$45,0)</f>
        <v>0</v>
      </c>
      <c r="S184" s="8">
        <f>IF($D184='[2]Beam '!S$44,$P184*'[2]Beam '!S$45,0)</f>
        <v>0</v>
      </c>
      <c r="T184" s="8">
        <f>IF($D184='[2]Beam '!T$44,$P184*'[2]Beam '!T$45,0)</f>
        <v>0</v>
      </c>
      <c r="U184" s="8">
        <f>IF($D184='[2]Beam '!U$44,$P184*'[2]Beam '!U$45,0)</f>
        <v>0</v>
      </c>
      <c r="V184" s="8">
        <f>IF($D184='[2]Beam '!V$44,$P184*'[2]Beam '!V$45,0)</f>
        <v>322.46328125000008</v>
      </c>
      <c r="W184" s="8">
        <f>IF($D184='[2]Beam '!W$44,$P184*'[2]Beam '!W$45,0)</f>
        <v>0</v>
      </c>
      <c r="X184" s="8">
        <f t="shared" si="40"/>
        <v>322.46328125000008</v>
      </c>
      <c r="Y184" s="8"/>
    </row>
    <row r="185" spans="1:32" s="14" customFormat="1" ht="20.100000000000001" customHeight="1" x14ac:dyDescent="0.25">
      <c r="A185" s="7"/>
      <c r="B185" s="8" t="s">
        <v>2</v>
      </c>
      <c r="C185" s="13" t="s">
        <v>13</v>
      </c>
      <c r="D185" s="8">
        <v>12</v>
      </c>
      <c r="E185" s="8">
        <v>0.1</v>
      </c>
      <c r="F185" s="8">
        <f>ROUND(IF(E178/3&gt;(2*G178),(E178/3)/E185,(2*G178)/E185),0)*2+1</f>
        <v>77</v>
      </c>
      <c r="G185" s="10"/>
      <c r="H185" s="8"/>
      <c r="I185" s="8"/>
      <c r="J185" s="8"/>
      <c r="K185" s="8"/>
      <c r="L185" s="8"/>
      <c r="M185" s="8"/>
      <c r="N185" s="8"/>
      <c r="O185" s="8">
        <f>(2*((G178-(2*'[2]Beam '!$D$11))+(F178-(2*'[2]Beam '!$D$11)))+(2*10*D185/1000))*D178</f>
        <v>3</v>
      </c>
      <c r="P185" s="8">
        <f t="shared" si="39"/>
        <v>231</v>
      </c>
      <c r="Q185" s="8">
        <f>IF($D185='[2]Beam '!Q$44,$P185*'[2]Beam '!Q$45,0)</f>
        <v>0</v>
      </c>
      <c r="R185" s="8">
        <f>IF($D185='[2]Beam '!R$44,$P185*'[2]Beam '!R$45,0)</f>
        <v>0</v>
      </c>
      <c r="S185" s="8">
        <f>IF($D185='[2]Beam '!S$44,$P185*'[2]Beam '!S$45,0)</f>
        <v>205.16760000000002</v>
      </c>
      <c r="T185" s="8">
        <f>IF($D185='[2]Beam '!T$44,$P185*'[2]Beam '!T$45,0)</f>
        <v>0</v>
      </c>
      <c r="U185" s="8">
        <f>IF($D185='[2]Beam '!U$44,$P185*'[2]Beam '!U$45,0)</f>
        <v>0</v>
      </c>
      <c r="V185" s="8">
        <f>IF($D185='[2]Beam '!V$44,$P185*'[2]Beam '!V$45,0)</f>
        <v>0</v>
      </c>
      <c r="W185" s="8">
        <f>IF($D185='[2]Beam '!W$44,$P185*'[2]Beam '!W$45,0)</f>
        <v>0</v>
      </c>
      <c r="X185" s="8">
        <f t="shared" si="40"/>
        <v>205.16760000000002</v>
      </c>
      <c r="Y185" s="8"/>
    </row>
    <row r="186" spans="1:32" s="10" customFormat="1" ht="20.100000000000001" customHeight="1" x14ac:dyDescent="0.25">
      <c r="A186" s="14"/>
      <c r="B186" s="8" t="s">
        <v>2</v>
      </c>
      <c r="C186" s="13" t="s">
        <v>14</v>
      </c>
      <c r="D186" s="14">
        <f>D185</f>
        <v>12</v>
      </c>
      <c r="E186" s="14">
        <v>0.15</v>
      </c>
      <c r="F186" s="14">
        <f>ROUND((E178-(IF(E178/3&gt;2*G178,E178/3*2,G178*2*2)))/E186,0)</f>
        <v>25</v>
      </c>
      <c r="H186" s="14"/>
      <c r="I186" s="14"/>
      <c r="J186" s="14"/>
      <c r="K186" s="14"/>
      <c r="L186" s="14"/>
      <c r="M186" s="14"/>
      <c r="N186" s="14"/>
      <c r="O186" s="8">
        <f>(2*((G178-(2*'[2]Beam '!$D$11))+(F178-(2*'[2]Beam '!$D$11)))+(2*10*D186/1000))*D178</f>
        <v>3</v>
      </c>
      <c r="P186" s="8">
        <f t="shared" si="39"/>
        <v>75</v>
      </c>
      <c r="Q186" s="8">
        <f>IF($D186='[2]Beam '!Q$44,$P186*'[2]Beam '!Q$45,0)</f>
        <v>0</v>
      </c>
      <c r="R186" s="8">
        <f>IF($D186='[2]Beam '!R$44,$P186*'[2]Beam '!R$45,0)</f>
        <v>0</v>
      </c>
      <c r="S186" s="8">
        <f>IF($D186='[2]Beam '!S$44,$P186*'[2]Beam '!S$45,0)</f>
        <v>66.612857142857152</v>
      </c>
      <c r="T186" s="8">
        <f>IF($D186='[2]Beam '!T$44,$P186*'[2]Beam '!T$45,0)</f>
        <v>0</v>
      </c>
      <c r="U186" s="8">
        <f>IF($D186='[2]Beam '!U$44,$P186*'[2]Beam '!U$45,0)</f>
        <v>0</v>
      </c>
      <c r="V186" s="8">
        <f>IF($D186='[2]Beam '!V$44,$P186*'[2]Beam '!V$45,0)</f>
        <v>0</v>
      </c>
      <c r="W186" s="8">
        <f>IF($D186='[2]Beam '!W$44,$P186*'[2]Beam '!W$45,0)</f>
        <v>0</v>
      </c>
      <c r="X186" s="8">
        <f t="shared" si="40"/>
        <v>66.612857142857152</v>
      </c>
      <c r="Y186" s="14"/>
      <c r="Z186" s="8"/>
      <c r="AA186" s="8"/>
      <c r="AB186" s="8"/>
      <c r="AC186" s="8"/>
      <c r="AD186" s="8"/>
      <c r="AE186" s="8"/>
    </row>
    <row r="187" spans="1:32" s="10" customFormat="1" ht="21" customHeight="1" x14ac:dyDescent="0.25">
      <c r="A187" s="14"/>
      <c r="B187" s="8" t="s">
        <v>2</v>
      </c>
      <c r="C187" s="13" t="s">
        <v>15</v>
      </c>
      <c r="D187" s="14">
        <f>D185</f>
        <v>12</v>
      </c>
      <c r="E187" s="14">
        <f>+E185</f>
        <v>0.1</v>
      </c>
      <c r="F187" s="8">
        <f>ROUND(IF(E178/3&gt;(2*G178),(E178/3)/E187,(2*G178)/E187),0)*2+1</f>
        <v>77</v>
      </c>
      <c r="H187" s="14"/>
      <c r="I187" s="14"/>
      <c r="J187" s="14"/>
      <c r="K187" s="14"/>
      <c r="L187" s="14"/>
      <c r="M187" s="14"/>
      <c r="N187" s="14"/>
      <c r="O187" s="8">
        <f>(2*(((F178-'[2]Beam '!$D$11*2)/(F179-1))+(G178-'[2]Beam '!$D$11*2))+(2*10*D187/1000))*D178</f>
        <v>1.8499999999999999</v>
      </c>
      <c r="P187" s="8">
        <f t="shared" si="39"/>
        <v>142.44999999999999</v>
      </c>
      <c r="Q187" s="8">
        <f>IF($D187='[2]Beam '!Q$44,$P187*'[2]Beam '!Q$45,0)</f>
        <v>0</v>
      </c>
      <c r="R187" s="8">
        <f>IF($D187='[2]Beam '!R$44,$P187*'[2]Beam '!R$45,0)</f>
        <v>0</v>
      </c>
      <c r="S187" s="8">
        <f>IF($D187='[2]Beam '!S$44,$P187*'[2]Beam '!S$45,0)</f>
        <v>126.52002000000002</v>
      </c>
      <c r="T187" s="8">
        <f>IF($D187='[2]Beam '!T$44,$P187*'[2]Beam '!T$45,0)</f>
        <v>0</v>
      </c>
      <c r="U187" s="8">
        <f>IF($D187='[2]Beam '!U$44,$P187*'[2]Beam '!U$45,0)</f>
        <v>0</v>
      </c>
      <c r="V187" s="8">
        <f>IF($D187='[2]Beam '!V$44,$P187*'[2]Beam '!V$45,0)</f>
        <v>0</v>
      </c>
      <c r="W187" s="8">
        <f>IF($D187='[2]Beam '!W$44,$P187*'[2]Beam '!W$45,0)</f>
        <v>0</v>
      </c>
      <c r="X187" s="8">
        <f t="shared" si="40"/>
        <v>126.52002000000002</v>
      </c>
      <c r="Y187" s="14"/>
      <c r="Z187" s="8"/>
      <c r="AA187" s="8"/>
      <c r="AB187" s="8"/>
      <c r="AC187" s="8"/>
      <c r="AD187" s="8"/>
      <c r="AE187" s="8"/>
      <c r="AF187" s="8"/>
    </row>
    <row r="188" spans="1:32" s="10" customFormat="1" ht="20.100000000000001" customHeight="1" x14ac:dyDescent="0.25">
      <c r="A188" s="14"/>
      <c r="B188" s="8" t="s">
        <v>2</v>
      </c>
      <c r="C188" s="13" t="s">
        <v>16</v>
      </c>
      <c r="D188" s="14">
        <f>D186</f>
        <v>12</v>
      </c>
      <c r="E188" s="14">
        <f>+E186</f>
        <v>0.15</v>
      </c>
      <c r="F188" s="14">
        <f>ROUND((E178-(IF(E178/3&gt;2*G178,E178/3*2,G178*2*2)))/E188,0)</f>
        <v>25</v>
      </c>
      <c r="H188" s="14"/>
      <c r="I188" s="14"/>
      <c r="J188" s="14"/>
      <c r="K188" s="14"/>
      <c r="L188" s="14"/>
      <c r="M188" s="14"/>
      <c r="N188" s="14"/>
      <c r="O188" s="8">
        <f>(2*(((F178-'[2]Beam '!$D$11*2)/(F179-1))+(G178-'[2]Beam '!$D$11*2))+(2*10*D188/1000))*D178</f>
        <v>1.8499999999999999</v>
      </c>
      <c r="P188" s="8">
        <f t="shared" si="39"/>
        <v>46.25</v>
      </c>
      <c r="Q188" s="8">
        <f>IF($D188='[2]Beam '!Q$44,$P188*'[2]Beam '!Q$45,0)</f>
        <v>0</v>
      </c>
      <c r="R188" s="8">
        <f>IF($D188='[2]Beam '!R$44,$P188*'[2]Beam '!R$45,0)</f>
        <v>0</v>
      </c>
      <c r="S188" s="8">
        <f>IF($D188='[2]Beam '!S$44,$P188*'[2]Beam '!S$45,0)</f>
        <v>41.077928571428579</v>
      </c>
      <c r="T188" s="8">
        <f>IF($D188='[2]Beam '!T$44,$P188*'[2]Beam '!T$45,0)</f>
        <v>0</v>
      </c>
      <c r="U188" s="8">
        <f>IF($D188='[2]Beam '!U$44,$P188*'[2]Beam '!U$45,0)</f>
        <v>0</v>
      </c>
      <c r="V188" s="8">
        <f>IF($D188='[2]Beam '!V$44,$P188*'[2]Beam '!V$45,0)</f>
        <v>0</v>
      </c>
      <c r="W188" s="8">
        <f>IF($D188='[2]Beam '!W$44,$P188*'[2]Beam '!W$45,0)</f>
        <v>0</v>
      </c>
      <c r="X188" s="8">
        <f t="shared" si="40"/>
        <v>41.077928571428579</v>
      </c>
      <c r="Y188" s="14"/>
      <c r="Z188" s="8"/>
      <c r="AA188" s="8"/>
      <c r="AB188" s="8"/>
      <c r="AC188" s="8"/>
      <c r="AD188" s="8"/>
      <c r="AE188" s="8"/>
    </row>
    <row r="189" spans="1:32" s="10" customFormat="1" ht="20.100000000000001" customHeight="1" x14ac:dyDescent="0.25">
      <c r="A189" s="7"/>
      <c r="B189" s="8" t="s">
        <v>2</v>
      </c>
      <c r="C189" s="13" t="s">
        <v>10</v>
      </c>
      <c r="D189" s="8">
        <f>+'[2]Beam '!$D$15</f>
        <v>25</v>
      </c>
      <c r="E189" s="8">
        <f>+'[2]Beam '!$E$15</f>
        <v>1</v>
      </c>
      <c r="F189" s="8">
        <f>ROUNDUP((2.95+2.95+O184)/E189,0)</f>
        <v>18</v>
      </c>
      <c r="G189" s="9"/>
      <c r="H189" s="9"/>
      <c r="I189" s="8"/>
      <c r="J189" s="8"/>
      <c r="K189" s="8"/>
      <c r="L189" s="8"/>
      <c r="M189" s="8"/>
      <c r="N189" s="8"/>
      <c r="O189" s="8">
        <f>F178-'[2]Beam '!$F$15</f>
        <v>0.69</v>
      </c>
      <c r="P189" s="8">
        <f t="shared" si="39"/>
        <v>12.419999999999998</v>
      </c>
      <c r="Q189" s="8">
        <f>IF($D189='[2]Beam '!Q$44,$P189*'[2]Beam '!Q$45,0)</f>
        <v>0</v>
      </c>
      <c r="R189" s="8">
        <f>IF($D189='[2]Beam '!R$44,$P189*'[2]Beam '!R$45,0)</f>
        <v>0</v>
      </c>
      <c r="S189" s="8">
        <f>IF($D189='[2]Beam '!S$44,$P189*'[2]Beam '!S$45,0)</f>
        <v>0</v>
      </c>
      <c r="T189" s="8">
        <f>IF($D189='[2]Beam '!T$44,$P189*'[2]Beam '!T$45,0)</f>
        <v>0</v>
      </c>
      <c r="U189" s="8">
        <f>IF($D189='[2]Beam '!U$44,$P189*'[2]Beam '!U$45,0)</f>
        <v>0</v>
      </c>
      <c r="V189" s="8">
        <f>IF($D189='[2]Beam '!V$44,$P189*'[2]Beam '!V$45,0)</f>
        <v>47.877991071428575</v>
      </c>
      <c r="W189" s="8">
        <f>IF($D189='[2]Beam '!W$44,$P189*'[2]Beam '!W$45,0)</f>
        <v>0</v>
      </c>
      <c r="X189" s="8">
        <f t="shared" si="40"/>
        <v>47.877991071428575</v>
      </c>
      <c r="Y189" s="8"/>
      <c r="Z189" s="8"/>
      <c r="AA189" s="8"/>
      <c r="AB189" s="8"/>
      <c r="AC189" s="8"/>
      <c r="AD189" s="8"/>
      <c r="AE189" s="8"/>
    </row>
    <row r="190" spans="1:32" s="10" customFormat="1" ht="20.100000000000001" customHeight="1" x14ac:dyDescent="0.25">
      <c r="A190" s="8">
        <v>1</v>
      </c>
      <c r="B190" s="8" t="s">
        <v>2</v>
      </c>
      <c r="C190" s="11" t="s">
        <v>33</v>
      </c>
      <c r="D190" s="11">
        <v>1</v>
      </c>
      <c r="E190" s="11">
        <v>7.35</v>
      </c>
      <c r="F190" s="11">
        <v>0.45</v>
      </c>
      <c r="G190" s="11">
        <v>0.6</v>
      </c>
      <c r="H190" s="8">
        <f>G190-0.2</f>
        <v>0.39999999999999997</v>
      </c>
      <c r="I190" s="8">
        <f>E190*F190*G190*D190</f>
        <v>1.9844999999999999</v>
      </c>
      <c r="J190" s="8">
        <f>(2*(E190)*H190*D190)+(E190*F190)</f>
        <v>9.1875</v>
      </c>
      <c r="K190" s="12">
        <f>IF(E190=0.3,J190,0)</f>
        <v>0</v>
      </c>
      <c r="L190" s="12">
        <f>IF(AND(E190&gt;0.3,E190&lt;=0.75),J190,0)</f>
        <v>0</v>
      </c>
      <c r="M190" s="12">
        <f>IF(AND(E190&gt;0.75,E190&lt;=1.2),J190,0)</f>
        <v>0</v>
      </c>
      <c r="N190" s="12">
        <f>IF(E190&gt;1.2,J190,0)</f>
        <v>9.1875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>
        <f>SUM(X191:X198)/I190</f>
        <v>238.79133210956343</v>
      </c>
      <c r="Z190" s="8"/>
      <c r="AA190" s="8"/>
      <c r="AB190" s="8"/>
      <c r="AC190" s="8"/>
      <c r="AD190" s="8"/>
      <c r="AE190" s="8"/>
    </row>
    <row r="191" spans="1:32" s="10" customFormat="1" ht="20.100000000000001" customHeight="1" x14ac:dyDescent="0.25">
      <c r="A191" s="7"/>
      <c r="B191" s="8" t="s">
        <v>2</v>
      </c>
      <c r="C191" s="13" t="s">
        <v>4</v>
      </c>
      <c r="D191" s="8">
        <v>25</v>
      </c>
      <c r="E191" s="8"/>
      <c r="F191" s="8">
        <v>4</v>
      </c>
      <c r="G191" s="9">
        <f>VLOOKUP(D191,'[2]Beam '!$C$20:$H$26,3,0)</f>
        <v>1</v>
      </c>
      <c r="H191" s="9"/>
      <c r="I191" s="8"/>
      <c r="J191" s="8"/>
      <c r="K191" s="8"/>
      <c r="L191" s="8"/>
      <c r="M191" s="8"/>
      <c r="N191" s="8"/>
      <c r="O191" s="8">
        <f>(E190+2*(0.3/2)*D190)</f>
        <v>7.6499999999999995</v>
      </c>
      <c r="P191" s="8">
        <f t="shared" ref="P191:P201" si="41">O191*F191</f>
        <v>30.599999999999998</v>
      </c>
      <c r="Q191" s="8">
        <f>IF($D191='[2]Beam '!Q$44,$P191*'[2]Beam '!Q$45,0)</f>
        <v>0</v>
      </c>
      <c r="R191" s="8">
        <f>IF($D191='[2]Beam '!R$44,$P191*'[2]Beam '!R$45,0)</f>
        <v>0</v>
      </c>
      <c r="S191" s="8">
        <f>IF($D191='[2]Beam '!S$44,$P191*'[2]Beam '!S$45,0)</f>
        <v>0</v>
      </c>
      <c r="T191" s="8">
        <f>IF($D191='[2]Beam '!T$44,$P191*'[2]Beam '!T$45,0)</f>
        <v>0</v>
      </c>
      <c r="U191" s="8">
        <f>IF($D191='[2]Beam '!U$44,$P191*'[2]Beam '!U$45,0)</f>
        <v>0</v>
      </c>
      <c r="V191" s="8">
        <f>IF($D191='[2]Beam '!V$44,$P191*'[2]Beam '!V$45,0)</f>
        <v>117.96026785714287</v>
      </c>
      <c r="W191" s="8">
        <f>IF($D191='[2]Beam '!W$44,$P191*'[2]Beam '!W$45,0)</f>
        <v>0</v>
      </c>
      <c r="X191" s="8">
        <f t="shared" ref="X191:X201" si="42">SUM(Q191:W191)</f>
        <v>117.96026785714287</v>
      </c>
      <c r="Y191" s="8"/>
      <c r="Z191" s="8"/>
      <c r="AA191" s="8"/>
      <c r="AB191" s="8"/>
      <c r="AC191" s="8"/>
      <c r="AD191" s="8"/>
      <c r="AE191" s="8"/>
    </row>
    <row r="192" spans="1:32" s="10" customFormat="1" ht="20.100000000000001" customHeight="1" x14ac:dyDescent="0.25">
      <c r="A192" s="7"/>
      <c r="B192" s="8" t="s">
        <v>2</v>
      </c>
      <c r="C192" s="13" t="s">
        <v>5</v>
      </c>
      <c r="D192" s="8">
        <v>25</v>
      </c>
      <c r="E192" s="8"/>
      <c r="F192" s="8">
        <v>4</v>
      </c>
      <c r="G192" s="9">
        <f>VLOOKUP(D192,'[2]Beam '!$C$20:$H$26,3,0)</f>
        <v>1</v>
      </c>
      <c r="H192" s="9"/>
      <c r="I192" s="8"/>
      <c r="J192" s="8"/>
      <c r="K192" s="8"/>
      <c r="L192" s="8"/>
      <c r="M192" s="8"/>
      <c r="N192" s="8"/>
      <c r="O192" s="8">
        <f>(1.95+1*(0.3/2)*D190)</f>
        <v>2.1</v>
      </c>
      <c r="P192" s="8">
        <f t="shared" si="41"/>
        <v>8.4</v>
      </c>
      <c r="Q192" s="8">
        <f>IF($D192='[2]Beam '!Q$44,$P192*'[2]Beam '!Q$45,0)</f>
        <v>0</v>
      </c>
      <c r="R192" s="8">
        <f>IF($D192='[2]Beam '!R$44,$P192*'[2]Beam '!R$45,0)</f>
        <v>0</v>
      </c>
      <c r="S192" s="8">
        <f>IF($D192='[2]Beam '!S$44,$P192*'[2]Beam '!S$45,0)</f>
        <v>0</v>
      </c>
      <c r="T192" s="8">
        <f>IF($D192='[2]Beam '!T$44,$P192*'[2]Beam '!T$45,0)</f>
        <v>0</v>
      </c>
      <c r="U192" s="8">
        <f>IF($D192='[2]Beam '!U$44,$P192*'[2]Beam '!U$45,0)</f>
        <v>0</v>
      </c>
      <c r="V192" s="8">
        <f>IF($D192='[2]Beam '!V$44,$P192*'[2]Beam '!V$45,0)</f>
        <v>32.381250000000009</v>
      </c>
      <c r="W192" s="8">
        <f>IF($D192='[2]Beam '!W$44,$P192*'[2]Beam '!W$45,0)</f>
        <v>0</v>
      </c>
      <c r="X192" s="8">
        <f t="shared" si="42"/>
        <v>32.381250000000009</v>
      </c>
      <c r="Y192" s="8"/>
      <c r="Z192" s="8"/>
      <c r="AA192" s="8"/>
      <c r="AB192" s="8"/>
      <c r="AC192" s="8"/>
      <c r="AD192" s="8"/>
      <c r="AE192" s="8"/>
    </row>
    <row r="193" spans="1:32" s="10" customFormat="1" ht="20.100000000000001" customHeight="1" x14ac:dyDescent="0.25">
      <c r="A193" s="7"/>
      <c r="B193" s="8" t="s">
        <v>2</v>
      </c>
      <c r="C193" s="13" t="s">
        <v>5</v>
      </c>
      <c r="D193" s="8">
        <v>25</v>
      </c>
      <c r="E193" s="8"/>
      <c r="F193" s="8">
        <v>4</v>
      </c>
      <c r="G193" s="9">
        <f>VLOOKUP(D193,'[2]Beam '!$C$20:$H$26,3,0)</f>
        <v>1</v>
      </c>
      <c r="H193" s="9"/>
      <c r="I193" s="8"/>
      <c r="J193" s="8"/>
      <c r="K193" s="8"/>
      <c r="L193" s="8"/>
      <c r="M193" s="8"/>
      <c r="N193" s="8"/>
      <c r="O193" s="8">
        <f>(1.2+1*(0.3/2)*D190)</f>
        <v>1.3499999999999999</v>
      </c>
      <c r="P193" s="8">
        <f t="shared" si="41"/>
        <v>5.3999999999999995</v>
      </c>
      <c r="Q193" s="8">
        <f>IF($D193='[2]Beam '!Q$44,$P193*'[2]Beam '!Q$45,0)</f>
        <v>0</v>
      </c>
      <c r="R193" s="8">
        <f>IF($D193='[2]Beam '!R$44,$P193*'[2]Beam '!R$45,0)</f>
        <v>0</v>
      </c>
      <c r="S193" s="8">
        <f>IF($D193='[2]Beam '!S$44,$P193*'[2]Beam '!S$45,0)</f>
        <v>0</v>
      </c>
      <c r="T193" s="8">
        <f>IF($D193='[2]Beam '!T$44,$P193*'[2]Beam '!T$45,0)</f>
        <v>0</v>
      </c>
      <c r="U193" s="8">
        <f>IF($D193='[2]Beam '!U$44,$P193*'[2]Beam '!U$45,0)</f>
        <v>0</v>
      </c>
      <c r="V193" s="8">
        <f>IF($D193='[2]Beam '!V$44,$P193*'[2]Beam '!V$45,0)</f>
        <v>20.816517857142859</v>
      </c>
      <c r="W193" s="8">
        <f>IF($D193='[2]Beam '!W$44,$P193*'[2]Beam '!W$45,0)</f>
        <v>0</v>
      </c>
      <c r="X193" s="8">
        <f t="shared" si="42"/>
        <v>20.816517857142859</v>
      </c>
      <c r="Y193" s="8"/>
      <c r="Z193" s="8"/>
      <c r="AA193" s="8"/>
      <c r="AB193" s="8"/>
      <c r="AC193" s="8"/>
      <c r="AD193" s="8"/>
      <c r="AE193" s="8"/>
    </row>
    <row r="194" spans="1:32" s="10" customFormat="1" ht="20.100000000000001" customHeight="1" x14ac:dyDescent="0.25">
      <c r="A194" s="7"/>
      <c r="B194" s="8" t="s">
        <v>2</v>
      </c>
      <c r="C194" s="13" t="s">
        <v>5</v>
      </c>
      <c r="D194" s="8">
        <v>25</v>
      </c>
      <c r="E194" s="8"/>
      <c r="F194" s="8">
        <v>4</v>
      </c>
      <c r="G194" s="9">
        <f>VLOOKUP(D194,'[2]Beam '!$C$20:$H$26,3,0)</f>
        <v>1</v>
      </c>
      <c r="H194" s="9"/>
      <c r="I194" s="8"/>
      <c r="J194" s="8"/>
      <c r="K194" s="8"/>
      <c r="L194" s="8"/>
      <c r="M194" s="8"/>
      <c r="N194" s="8"/>
      <c r="O194" s="8">
        <f>(1.95+1*(0.3/2)*D190)</f>
        <v>2.1</v>
      </c>
      <c r="P194" s="8">
        <f t="shared" si="41"/>
        <v>8.4</v>
      </c>
      <c r="Q194" s="8">
        <f>IF($D194='[2]Beam '!Q$44,$P194*'[2]Beam '!Q$45,0)</f>
        <v>0</v>
      </c>
      <c r="R194" s="8">
        <f>IF($D194='[2]Beam '!R$44,$P194*'[2]Beam '!R$45,0)</f>
        <v>0</v>
      </c>
      <c r="S194" s="8">
        <f>IF($D194='[2]Beam '!S$44,$P194*'[2]Beam '!S$45,0)</f>
        <v>0</v>
      </c>
      <c r="T194" s="8">
        <f>IF($D194='[2]Beam '!T$44,$P194*'[2]Beam '!T$45,0)</f>
        <v>0</v>
      </c>
      <c r="U194" s="8">
        <f>IF($D194='[2]Beam '!U$44,$P194*'[2]Beam '!U$45,0)</f>
        <v>0</v>
      </c>
      <c r="V194" s="8">
        <f>IF($D194='[2]Beam '!V$44,$P194*'[2]Beam '!V$45,0)</f>
        <v>32.381250000000009</v>
      </c>
      <c r="W194" s="8">
        <f>IF($D194='[2]Beam '!W$44,$P194*'[2]Beam '!W$45,0)</f>
        <v>0</v>
      </c>
      <c r="X194" s="8">
        <f t="shared" si="42"/>
        <v>32.381250000000009</v>
      </c>
      <c r="Y194" s="8"/>
      <c r="Z194" s="8"/>
      <c r="AA194" s="8"/>
      <c r="AB194" s="8"/>
      <c r="AC194" s="8"/>
      <c r="AD194" s="8"/>
      <c r="AE194" s="8"/>
    </row>
    <row r="195" spans="1:32" s="14" customFormat="1" ht="20.100000000000001" customHeight="1" x14ac:dyDescent="0.3">
      <c r="A195" s="7"/>
      <c r="B195" s="8" t="s">
        <v>2</v>
      </c>
      <c r="C195" s="13" t="s">
        <v>6</v>
      </c>
      <c r="D195" s="8">
        <v>25</v>
      </c>
      <c r="E195" s="8"/>
      <c r="F195" s="8">
        <v>4</v>
      </c>
      <c r="G195" s="9">
        <f>VLOOKUP(D195,'[2]Beam '!$C$20:$H$26,3,0)</f>
        <v>1</v>
      </c>
      <c r="H195" s="8"/>
      <c r="I195" s="8"/>
      <c r="J195" s="8"/>
      <c r="K195" s="8"/>
      <c r="L195" s="8"/>
      <c r="M195" s="8"/>
      <c r="N195" s="8"/>
      <c r="O195" s="8">
        <f>(E190+1*(G195+1*(0.3/2)))*D190</f>
        <v>8.5</v>
      </c>
      <c r="P195" s="8">
        <f t="shared" si="41"/>
        <v>34</v>
      </c>
      <c r="Q195" s="8">
        <f>IF($D195='[2]Beam '!Q$44,$P195*'[2]Beam '!Q$45,0)</f>
        <v>0</v>
      </c>
      <c r="R195" s="8">
        <f>IF($D195='[2]Beam '!R$44,$P195*'[2]Beam '!R$45,0)</f>
        <v>0</v>
      </c>
      <c r="S195" s="8">
        <f>IF($D195='[2]Beam '!S$44,$P195*'[2]Beam '!S$45,0)</f>
        <v>0</v>
      </c>
      <c r="T195" s="8">
        <f>IF($D195='[2]Beam '!T$44,$P195*'[2]Beam '!T$45,0)</f>
        <v>0</v>
      </c>
      <c r="U195" s="8">
        <f>IF($D195='[2]Beam '!U$44,$P195*'[2]Beam '!U$45,0)</f>
        <v>0</v>
      </c>
      <c r="V195" s="8">
        <f>IF($D195='[2]Beam '!V$44,$P195*'[2]Beam '!V$45,0)</f>
        <v>131.06696428571431</v>
      </c>
      <c r="W195" s="8">
        <f>IF($D195='[2]Beam '!W$44,$P195*'[2]Beam '!W$45,0)</f>
        <v>0</v>
      </c>
      <c r="X195" s="8">
        <f t="shared" si="42"/>
        <v>131.06696428571431</v>
      </c>
      <c r="Y195" s="8"/>
    </row>
    <row r="196" spans="1:32" s="14" customFormat="1" ht="20.100000000000001" customHeight="1" x14ac:dyDescent="0.3">
      <c r="A196" s="7"/>
      <c r="B196" s="8" t="s">
        <v>2</v>
      </c>
      <c r="C196" s="13" t="s">
        <v>7</v>
      </c>
      <c r="D196" s="8">
        <v>20</v>
      </c>
      <c r="E196" s="8"/>
      <c r="F196" s="8">
        <v>2</v>
      </c>
      <c r="G196" s="9">
        <f>VLOOKUP(D196,'[2]Beam '!$C$20:$H$26,3,0)</f>
        <v>0.8</v>
      </c>
      <c r="H196" s="8"/>
      <c r="I196" s="8"/>
      <c r="J196" s="8"/>
      <c r="K196" s="8"/>
      <c r="L196" s="8"/>
      <c r="M196" s="8"/>
      <c r="N196" s="8"/>
      <c r="O196" s="8">
        <f>(1.95+1*(0.3/2)*D190)+G196</f>
        <v>2.9000000000000004</v>
      </c>
      <c r="P196" s="8">
        <f t="shared" si="41"/>
        <v>5.8000000000000007</v>
      </c>
      <c r="Q196" s="8">
        <f>IF($D196='[2]Beam '!Q$44,$P196*'[2]Beam '!Q$45,0)</f>
        <v>0</v>
      </c>
      <c r="R196" s="8">
        <f>IF($D196='[2]Beam '!R$44,$P196*'[2]Beam '!R$45,0)</f>
        <v>0</v>
      </c>
      <c r="S196" s="8">
        <f>IF($D196='[2]Beam '!S$44,$P196*'[2]Beam '!S$45,0)</f>
        <v>0</v>
      </c>
      <c r="T196" s="8">
        <f>IF($D196='[2]Beam '!T$44,$P196*'[2]Beam '!T$45,0)</f>
        <v>0</v>
      </c>
      <c r="U196" s="8">
        <f>IF($D196='[2]Beam '!U$44,$P196*'[2]Beam '!U$45,0)</f>
        <v>14.309428571428572</v>
      </c>
      <c r="V196" s="8">
        <f>IF($D196='[2]Beam '!V$44,$P196*'[2]Beam '!V$45,0)</f>
        <v>0</v>
      </c>
      <c r="W196" s="8">
        <f>IF($D196='[2]Beam '!W$44,$P196*'[2]Beam '!W$45,0)</f>
        <v>0</v>
      </c>
      <c r="X196" s="8">
        <f t="shared" si="42"/>
        <v>14.309428571428572</v>
      </c>
      <c r="Y196" s="8"/>
    </row>
    <row r="197" spans="1:32" s="14" customFormat="1" ht="20.100000000000001" customHeight="1" x14ac:dyDescent="0.25">
      <c r="A197" s="7"/>
      <c r="B197" s="8" t="s">
        <v>2</v>
      </c>
      <c r="C197" s="13" t="s">
        <v>13</v>
      </c>
      <c r="D197" s="8">
        <v>12</v>
      </c>
      <c r="E197" s="8">
        <v>0.1</v>
      </c>
      <c r="F197" s="8">
        <f>ROUND(IF(E190/3&gt;(2*G190),(E190/3)/E197,(2*G190)/E197),0)*2+1</f>
        <v>51</v>
      </c>
      <c r="G197" s="10"/>
      <c r="H197" s="8"/>
      <c r="I197" s="8"/>
      <c r="J197" s="8"/>
      <c r="K197" s="8"/>
      <c r="L197" s="8"/>
      <c r="M197" s="8"/>
      <c r="N197" s="8"/>
      <c r="O197" s="8">
        <f>(2*((G190-(2*'[2]Beam '!$D$11))+(F190-(2*'[2]Beam '!$D$11)))+(2*10*D197/1000))*D190</f>
        <v>2.1</v>
      </c>
      <c r="P197" s="8">
        <f t="shared" si="41"/>
        <v>107.10000000000001</v>
      </c>
      <c r="Q197" s="8">
        <f>IF($D197='[2]Beam '!Q$44,$P197*'[2]Beam '!Q$45,0)</f>
        <v>0</v>
      </c>
      <c r="R197" s="8">
        <f>IF($D197='[2]Beam '!R$44,$P197*'[2]Beam '!R$45,0)</f>
        <v>0</v>
      </c>
      <c r="S197" s="8">
        <f>IF($D197='[2]Beam '!S$44,$P197*'[2]Beam '!S$45,0)</f>
        <v>95.123160000000027</v>
      </c>
      <c r="T197" s="8">
        <f>IF($D197='[2]Beam '!T$44,$P197*'[2]Beam '!T$45,0)</f>
        <v>0</v>
      </c>
      <c r="U197" s="8">
        <f>IF($D197='[2]Beam '!U$44,$P197*'[2]Beam '!U$45,0)</f>
        <v>0</v>
      </c>
      <c r="V197" s="8">
        <f>IF($D197='[2]Beam '!V$44,$P197*'[2]Beam '!V$45,0)</f>
        <v>0</v>
      </c>
      <c r="W197" s="8">
        <f>IF($D197='[2]Beam '!W$44,$P197*'[2]Beam '!W$45,0)</f>
        <v>0</v>
      </c>
      <c r="X197" s="8">
        <f t="shared" si="42"/>
        <v>95.123160000000027</v>
      </c>
      <c r="Y197" s="8"/>
    </row>
    <row r="198" spans="1:32" s="10" customFormat="1" ht="20.100000000000001" customHeight="1" x14ac:dyDescent="0.25">
      <c r="A198" s="14"/>
      <c r="B198" s="8" t="s">
        <v>2</v>
      </c>
      <c r="C198" s="13" t="s">
        <v>14</v>
      </c>
      <c r="D198" s="14">
        <f>D197</f>
        <v>12</v>
      </c>
      <c r="E198" s="14">
        <v>0.15</v>
      </c>
      <c r="F198" s="14">
        <f>ROUND((E190-(IF(E190/3&gt;2*G190,E190/3*2,G190*2*2)))/E198,0)</f>
        <v>16</v>
      </c>
      <c r="H198" s="14"/>
      <c r="I198" s="14"/>
      <c r="J198" s="14"/>
      <c r="K198" s="14"/>
      <c r="L198" s="14"/>
      <c r="M198" s="14"/>
      <c r="N198" s="14"/>
      <c r="O198" s="8">
        <f>(2*((G190-(2*'[2]Beam '!$D$11))+(F190-(2*'[2]Beam '!$D$11)))+(2*10*D198/1000))*D190</f>
        <v>2.1</v>
      </c>
      <c r="P198" s="8">
        <f t="shared" si="41"/>
        <v>33.6</v>
      </c>
      <c r="Q198" s="8">
        <f>IF($D198='[2]Beam '!Q$44,$P198*'[2]Beam '!Q$45,0)</f>
        <v>0</v>
      </c>
      <c r="R198" s="8">
        <f>IF($D198='[2]Beam '!R$44,$P198*'[2]Beam '!R$45,0)</f>
        <v>0</v>
      </c>
      <c r="S198" s="8">
        <f>IF($D198='[2]Beam '!S$44,$P198*'[2]Beam '!S$45,0)</f>
        <v>29.842560000000006</v>
      </c>
      <c r="T198" s="8">
        <f>IF($D198='[2]Beam '!T$44,$P198*'[2]Beam '!T$45,0)</f>
        <v>0</v>
      </c>
      <c r="U198" s="8">
        <f>IF($D198='[2]Beam '!U$44,$P198*'[2]Beam '!U$45,0)</f>
        <v>0</v>
      </c>
      <c r="V198" s="8">
        <f>IF($D198='[2]Beam '!V$44,$P198*'[2]Beam '!V$45,0)</f>
        <v>0</v>
      </c>
      <c r="W198" s="8">
        <f>IF($D198='[2]Beam '!W$44,$P198*'[2]Beam '!W$45,0)</f>
        <v>0</v>
      </c>
      <c r="X198" s="8">
        <f t="shared" si="42"/>
        <v>29.842560000000006</v>
      </c>
      <c r="Y198" s="14"/>
      <c r="Z198" s="8"/>
      <c r="AA198" s="8"/>
      <c r="AB198" s="8"/>
      <c r="AC198" s="8"/>
      <c r="AD198" s="8"/>
      <c r="AE198" s="8"/>
    </row>
    <row r="199" spans="1:32" s="10" customFormat="1" ht="21" customHeight="1" x14ac:dyDescent="0.25">
      <c r="A199" s="14"/>
      <c r="B199" s="8" t="s">
        <v>2</v>
      </c>
      <c r="C199" s="13" t="s">
        <v>15</v>
      </c>
      <c r="D199" s="14">
        <f>D197</f>
        <v>12</v>
      </c>
      <c r="E199" s="14">
        <f>+E197</f>
        <v>0.1</v>
      </c>
      <c r="F199" s="8">
        <f>ROUND(IF(E190/3&gt;(2*G190),(E190/3)/E199,(2*G190)/E199),0)*2+1</f>
        <v>51</v>
      </c>
      <c r="H199" s="14"/>
      <c r="I199" s="14"/>
      <c r="J199" s="14"/>
      <c r="K199" s="14"/>
      <c r="L199" s="14"/>
      <c r="M199" s="14"/>
      <c r="N199" s="14"/>
      <c r="O199" s="8">
        <f>(2*(((F190-'[2]Beam '!$D$11*2)/(F191-1))+(G190-'[2]Beam '!$D$11*2))+(2*10*D199/1000))*D190</f>
        <v>1.58</v>
      </c>
      <c r="P199" s="8">
        <f t="shared" si="41"/>
        <v>80.58</v>
      </c>
      <c r="Q199" s="8">
        <f>IF($D199='[2]Beam '!Q$44,$P199*'[2]Beam '!Q$45,0)</f>
        <v>0</v>
      </c>
      <c r="R199" s="8">
        <f>IF($D199='[2]Beam '!R$44,$P199*'[2]Beam '!R$45,0)</f>
        <v>0</v>
      </c>
      <c r="S199" s="8">
        <f>IF($D199='[2]Beam '!S$44,$P199*'[2]Beam '!S$45,0)</f>
        <v>71.568853714285723</v>
      </c>
      <c r="T199" s="8">
        <f>IF($D199='[2]Beam '!T$44,$P199*'[2]Beam '!T$45,0)</f>
        <v>0</v>
      </c>
      <c r="U199" s="8">
        <f>IF($D199='[2]Beam '!U$44,$P199*'[2]Beam '!U$45,0)</f>
        <v>0</v>
      </c>
      <c r="V199" s="8">
        <f>IF($D199='[2]Beam '!V$44,$P199*'[2]Beam '!V$45,0)</f>
        <v>0</v>
      </c>
      <c r="W199" s="8">
        <f>IF($D199='[2]Beam '!W$44,$P199*'[2]Beam '!W$45,0)</f>
        <v>0</v>
      </c>
      <c r="X199" s="8">
        <f t="shared" si="42"/>
        <v>71.568853714285723</v>
      </c>
      <c r="Y199" s="14"/>
      <c r="Z199" s="8"/>
      <c r="AA199" s="8"/>
      <c r="AB199" s="8"/>
      <c r="AC199" s="8"/>
      <c r="AD199" s="8"/>
      <c r="AE199" s="8"/>
      <c r="AF199" s="8"/>
    </row>
    <row r="200" spans="1:32" s="10" customFormat="1" ht="20.100000000000001" customHeight="1" x14ac:dyDescent="0.25">
      <c r="A200" s="14"/>
      <c r="B200" s="8" t="s">
        <v>2</v>
      </c>
      <c r="C200" s="13" t="s">
        <v>16</v>
      </c>
      <c r="D200" s="14">
        <f>D198</f>
        <v>12</v>
      </c>
      <c r="E200" s="14">
        <f>+E198</f>
        <v>0.15</v>
      </c>
      <c r="F200" s="14">
        <f>ROUND((E190-(IF(E190/3&gt;2*G190,E190/3*2,G190*2*2)))/E200,0)</f>
        <v>16</v>
      </c>
      <c r="H200" s="14"/>
      <c r="I200" s="14"/>
      <c r="J200" s="14"/>
      <c r="K200" s="14"/>
      <c r="L200" s="14"/>
      <c r="M200" s="14"/>
      <c r="N200" s="14"/>
      <c r="O200" s="8">
        <f>(2*(((F190-'[2]Beam '!$D$11*2)/(F191-1))+(G190-'[2]Beam '!$D$11*2))+(2*10*D200/1000))*D190</f>
        <v>1.58</v>
      </c>
      <c r="P200" s="8">
        <f t="shared" si="41"/>
        <v>25.28</v>
      </c>
      <c r="Q200" s="8">
        <f>IF($D200='[2]Beam '!Q$44,$P200*'[2]Beam '!Q$45,0)</f>
        <v>0</v>
      </c>
      <c r="R200" s="8">
        <f>IF($D200='[2]Beam '!R$44,$P200*'[2]Beam '!R$45,0)</f>
        <v>0</v>
      </c>
      <c r="S200" s="8">
        <f>IF($D200='[2]Beam '!S$44,$P200*'[2]Beam '!S$45,0)</f>
        <v>22.452973714285719</v>
      </c>
      <c r="T200" s="8">
        <f>IF($D200='[2]Beam '!T$44,$P200*'[2]Beam '!T$45,0)</f>
        <v>0</v>
      </c>
      <c r="U200" s="8">
        <f>IF($D200='[2]Beam '!U$44,$P200*'[2]Beam '!U$45,0)</f>
        <v>0</v>
      </c>
      <c r="V200" s="8">
        <f>IF($D200='[2]Beam '!V$44,$P200*'[2]Beam '!V$45,0)</f>
        <v>0</v>
      </c>
      <c r="W200" s="8">
        <f>IF($D200='[2]Beam '!W$44,$P200*'[2]Beam '!W$45,0)</f>
        <v>0</v>
      </c>
      <c r="X200" s="8">
        <f t="shared" si="42"/>
        <v>22.452973714285719</v>
      </c>
      <c r="Y200" s="14"/>
      <c r="Z200" s="8"/>
      <c r="AA200" s="8"/>
      <c r="AB200" s="8"/>
      <c r="AC200" s="8"/>
      <c r="AD200" s="8"/>
      <c r="AE200" s="8"/>
    </row>
    <row r="201" spans="1:32" s="10" customFormat="1" ht="20.100000000000001" customHeight="1" x14ac:dyDescent="0.25">
      <c r="A201" s="7"/>
      <c r="B201" s="8" t="s">
        <v>2</v>
      </c>
      <c r="C201" s="13" t="s">
        <v>10</v>
      </c>
      <c r="D201" s="8">
        <f>+'[2]Beam '!$D$15</f>
        <v>25</v>
      </c>
      <c r="E201" s="8">
        <f>+'[2]Beam '!$E$15</f>
        <v>1</v>
      </c>
      <c r="F201" s="8">
        <f>ROUNDUP((1.95+1.95+1.95)/E201,0)</f>
        <v>6</v>
      </c>
      <c r="G201" s="9"/>
      <c r="H201" s="9"/>
      <c r="I201" s="8"/>
      <c r="J201" s="8"/>
      <c r="K201" s="8"/>
      <c r="L201" s="8"/>
      <c r="M201" s="8"/>
      <c r="N201" s="8"/>
      <c r="O201" s="8">
        <f>F190-'[2]Beam '!$F$15</f>
        <v>0.39</v>
      </c>
      <c r="P201" s="8">
        <f t="shared" si="41"/>
        <v>2.34</v>
      </c>
      <c r="Q201" s="8">
        <f>IF($D201='[2]Beam '!Q$44,$P201*'[2]Beam '!Q$45,0)</f>
        <v>0</v>
      </c>
      <c r="R201" s="8">
        <f>IF($D201='[2]Beam '!R$44,$P201*'[2]Beam '!R$45,0)</f>
        <v>0</v>
      </c>
      <c r="S201" s="8">
        <f>IF($D201='[2]Beam '!S$44,$P201*'[2]Beam '!S$45,0)</f>
        <v>0</v>
      </c>
      <c r="T201" s="8">
        <f>IF($D201='[2]Beam '!T$44,$P201*'[2]Beam '!T$45,0)</f>
        <v>0</v>
      </c>
      <c r="U201" s="8">
        <f>IF($D201='[2]Beam '!U$44,$P201*'[2]Beam '!U$45,0)</f>
        <v>0</v>
      </c>
      <c r="V201" s="8">
        <f>IF($D201='[2]Beam '!V$44,$P201*'[2]Beam '!V$45,0)</f>
        <v>9.0204910714285731</v>
      </c>
      <c r="W201" s="8">
        <f>IF($D201='[2]Beam '!W$44,$P201*'[2]Beam '!W$45,0)</f>
        <v>0</v>
      </c>
      <c r="X201" s="8">
        <f t="shared" si="42"/>
        <v>9.0204910714285731</v>
      </c>
      <c r="Y201" s="8"/>
      <c r="Z201" s="8"/>
      <c r="AA201" s="8"/>
      <c r="AB201" s="8"/>
      <c r="AC201" s="8"/>
      <c r="AD201" s="8"/>
      <c r="AE201" s="8"/>
    </row>
    <row r="202" spans="1:32" s="10" customFormat="1" ht="20.100000000000001" customHeight="1" x14ac:dyDescent="0.25">
      <c r="A202" s="8">
        <v>1</v>
      </c>
      <c r="B202" s="8" t="s">
        <v>2</v>
      </c>
      <c r="C202" s="11" t="s">
        <v>34</v>
      </c>
      <c r="D202" s="11">
        <v>1</v>
      </c>
      <c r="E202" s="11">
        <v>8.75</v>
      </c>
      <c r="F202" s="11">
        <v>0.6</v>
      </c>
      <c r="G202" s="11">
        <v>0.6</v>
      </c>
      <c r="H202" s="8">
        <f>G202-0.2</f>
        <v>0.39999999999999997</v>
      </c>
      <c r="I202" s="8">
        <f>E202*F202*G202*D202</f>
        <v>3.15</v>
      </c>
      <c r="J202" s="8">
        <f>(2*(E202)*H202*D202)+(E202*F202)</f>
        <v>12.25</v>
      </c>
      <c r="K202" s="12">
        <f>IF(E202=0.3,J202,0)</f>
        <v>0</v>
      </c>
      <c r="L202" s="12">
        <f>IF(AND(E202&gt;0.3,E202&lt;=0.75),J202,0)</f>
        <v>0</v>
      </c>
      <c r="M202" s="12">
        <f>IF(AND(E202&gt;0.75,E202&lt;=1.2),J202,0)</f>
        <v>0</v>
      </c>
      <c r="N202" s="12">
        <f>IF(E202&gt;1.2,J202,0)</f>
        <v>12.25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>
        <f>SUM(X203:X210)/I202</f>
        <v>199.86167641723361</v>
      </c>
      <c r="Z202" s="8"/>
      <c r="AA202" s="8"/>
      <c r="AB202" s="8"/>
      <c r="AC202" s="8"/>
      <c r="AD202" s="8"/>
      <c r="AE202" s="8"/>
    </row>
    <row r="203" spans="1:32" s="10" customFormat="1" ht="20.100000000000001" customHeight="1" x14ac:dyDescent="0.25">
      <c r="A203" s="7"/>
      <c r="B203" s="8" t="s">
        <v>2</v>
      </c>
      <c r="C203" s="13" t="s">
        <v>4</v>
      </c>
      <c r="D203" s="8">
        <v>20</v>
      </c>
      <c r="E203" s="8"/>
      <c r="F203" s="8">
        <v>6</v>
      </c>
      <c r="G203" s="9">
        <f>VLOOKUP(D203,'[2]Beam '!$C$20:$H$26,3,0)</f>
        <v>0.8</v>
      </c>
      <c r="H203" s="9"/>
      <c r="I203" s="8"/>
      <c r="J203" s="8"/>
      <c r="K203" s="8"/>
      <c r="L203" s="8"/>
      <c r="M203" s="8"/>
      <c r="N203" s="8"/>
      <c r="O203" s="8">
        <f>(E202+2*(0.3/2)*D202)</f>
        <v>9.0500000000000007</v>
      </c>
      <c r="P203" s="8">
        <f t="shared" ref="P203:P213" si="43">O203*F203</f>
        <v>54.300000000000004</v>
      </c>
      <c r="Q203" s="8">
        <f>IF($D203='[2]Beam '!Q$44,$P203*'[2]Beam '!Q$45,0)</f>
        <v>0</v>
      </c>
      <c r="R203" s="8">
        <f>IF($D203='[2]Beam '!R$44,$P203*'[2]Beam '!R$45,0)</f>
        <v>0</v>
      </c>
      <c r="S203" s="8">
        <f>IF($D203='[2]Beam '!S$44,$P203*'[2]Beam '!S$45,0)</f>
        <v>0</v>
      </c>
      <c r="T203" s="8">
        <f>IF($D203='[2]Beam '!T$44,$P203*'[2]Beam '!T$45,0)</f>
        <v>0</v>
      </c>
      <c r="U203" s="8">
        <f>IF($D203='[2]Beam '!U$44,$P203*'[2]Beam '!U$45,0)</f>
        <v>133.96585714285715</v>
      </c>
      <c r="V203" s="8">
        <f>IF($D203='[2]Beam '!V$44,$P203*'[2]Beam '!V$45,0)</f>
        <v>0</v>
      </c>
      <c r="W203" s="8">
        <f>IF($D203='[2]Beam '!W$44,$P203*'[2]Beam '!W$45,0)</f>
        <v>0</v>
      </c>
      <c r="X203" s="8">
        <f t="shared" ref="X203:X213" si="44">SUM(Q203:W203)</f>
        <v>133.96585714285715</v>
      </c>
      <c r="Y203" s="8"/>
      <c r="Z203" s="8"/>
      <c r="AA203" s="8"/>
      <c r="AB203" s="8"/>
      <c r="AC203" s="8"/>
      <c r="AD203" s="8"/>
      <c r="AE203" s="8"/>
    </row>
    <row r="204" spans="1:32" s="10" customFormat="1" ht="20.100000000000001" customHeight="1" x14ac:dyDescent="0.25">
      <c r="A204" s="7"/>
      <c r="B204" s="8" t="s">
        <v>2</v>
      </c>
      <c r="C204" s="13" t="s">
        <v>5</v>
      </c>
      <c r="D204" s="8">
        <v>25</v>
      </c>
      <c r="E204" s="8"/>
      <c r="F204" s="8">
        <v>4</v>
      </c>
      <c r="G204" s="9">
        <f>VLOOKUP(D204,'[2]Beam '!$C$20:$H$26,3,0)</f>
        <v>1</v>
      </c>
      <c r="H204" s="9"/>
      <c r="I204" s="8"/>
      <c r="J204" s="8"/>
      <c r="K204" s="8"/>
      <c r="L204" s="8"/>
      <c r="M204" s="8"/>
      <c r="N204" s="8"/>
      <c r="O204" s="8">
        <f>(2.3+1*(0.3/2)*D202)</f>
        <v>2.4499999999999997</v>
      </c>
      <c r="P204" s="8">
        <f t="shared" si="43"/>
        <v>9.7999999999999989</v>
      </c>
      <c r="Q204" s="8">
        <f>IF($D204='[2]Beam '!Q$44,$P204*'[2]Beam '!Q$45,0)</f>
        <v>0</v>
      </c>
      <c r="R204" s="8">
        <f>IF($D204='[2]Beam '!R$44,$P204*'[2]Beam '!R$45,0)</f>
        <v>0</v>
      </c>
      <c r="S204" s="8">
        <f>IF($D204='[2]Beam '!S$44,$P204*'[2]Beam '!S$45,0)</f>
        <v>0</v>
      </c>
      <c r="T204" s="8">
        <f>IF($D204='[2]Beam '!T$44,$P204*'[2]Beam '!T$45,0)</f>
        <v>0</v>
      </c>
      <c r="U204" s="8">
        <f>IF($D204='[2]Beam '!U$44,$P204*'[2]Beam '!U$45,0)</f>
        <v>0</v>
      </c>
      <c r="V204" s="8">
        <f>IF($D204='[2]Beam '!V$44,$P204*'[2]Beam '!V$45,0)</f>
        <v>37.778125000000003</v>
      </c>
      <c r="W204" s="8">
        <f>IF($D204='[2]Beam '!W$44,$P204*'[2]Beam '!W$45,0)</f>
        <v>0</v>
      </c>
      <c r="X204" s="8">
        <f t="shared" si="44"/>
        <v>37.778125000000003</v>
      </c>
      <c r="Y204" s="8"/>
      <c r="Z204" s="8"/>
      <c r="AA204" s="8"/>
      <c r="AB204" s="8"/>
      <c r="AC204" s="8"/>
      <c r="AD204" s="8"/>
      <c r="AE204" s="8"/>
    </row>
    <row r="205" spans="1:32" s="10" customFormat="1" ht="20.100000000000001" customHeight="1" x14ac:dyDescent="0.25">
      <c r="A205" s="7"/>
      <c r="B205" s="8" t="s">
        <v>2</v>
      </c>
      <c r="C205" s="13" t="s">
        <v>5</v>
      </c>
      <c r="D205" s="8">
        <v>25</v>
      </c>
      <c r="E205" s="8"/>
      <c r="F205" s="8">
        <v>4</v>
      </c>
      <c r="G205" s="9">
        <f>VLOOKUP(D205,'[2]Beam '!$C$20:$H$26,3,0)</f>
        <v>1</v>
      </c>
      <c r="H205" s="9"/>
      <c r="I205" s="8"/>
      <c r="J205" s="8"/>
      <c r="K205" s="8"/>
      <c r="L205" s="8"/>
      <c r="M205" s="8"/>
      <c r="N205" s="8"/>
      <c r="O205" s="8">
        <f>(2.3+1*(0.3/2)*D202)</f>
        <v>2.4499999999999997</v>
      </c>
      <c r="P205" s="8">
        <f t="shared" si="43"/>
        <v>9.7999999999999989</v>
      </c>
      <c r="Q205" s="8">
        <f>IF($D205='[2]Beam '!Q$44,$P205*'[2]Beam '!Q$45,0)</f>
        <v>0</v>
      </c>
      <c r="R205" s="8">
        <f>IF($D205='[2]Beam '!R$44,$P205*'[2]Beam '!R$45,0)</f>
        <v>0</v>
      </c>
      <c r="S205" s="8">
        <f>IF($D205='[2]Beam '!S$44,$P205*'[2]Beam '!S$45,0)</f>
        <v>0</v>
      </c>
      <c r="T205" s="8">
        <f>IF($D205='[2]Beam '!T$44,$P205*'[2]Beam '!T$45,0)</f>
        <v>0</v>
      </c>
      <c r="U205" s="8">
        <f>IF($D205='[2]Beam '!U$44,$P205*'[2]Beam '!U$45,0)</f>
        <v>0</v>
      </c>
      <c r="V205" s="8">
        <f>IF($D205='[2]Beam '!V$44,$P205*'[2]Beam '!V$45,0)</f>
        <v>37.778125000000003</v>
      </c>
      <c r="W205" s="8">
        <f>IF($D205='[2]Beam '!W$44,$P205*'[2]Beam '!W$45,0)</f>
        <v>0</v>
      </c>
      <c r="X205" s="8">
        <f t="shared" si="44"/>
        <v>37.778125000000003</v>
      </c>
      <c r="Y205" s="8"/>
      <c r="Z205" s="8"/>
      <c r="AA205" s="8"/>
      <c r="AB205" s="8"/>
      <c r="AC205" s="8"/>
      <c r="AD205" s="8"/>
      <c r="AE205" s="8"/>
    </row>
    <row r="206" spans="1:32" s="10" customFormat="1" ht="20.100000000000001" customHeight="1" x14ac:dyDescent="0.25">
      <c r="A206" s="7"/>
      <c r="B206" s="8" t="s">
        <v>2</v>
      </c>
      <c r="C206" s="13" t="s">
        <v>6</v>
      </c>
      <c r="D206" s="8">
        <v>25</v>
      </c>
      <c r="E206" s="8"/>
      <c r="F206" s="8">
        <v>4</v>
      </c>
      <c r="G206" s="9">
        <f>VLOOKUP(D206,'[2]Beam '!$C$20:$H$26,3,0)</f>
        <v>1</v>
      </c>
      <c r="H206" s="8"/>
      <c r="I206" s="8"/>
      <c r="J206" s="8"/>
      <c r="K206" s="8"/>
      <c r="L206" s="8"/>
      <c r="M206" s="8"/>
      <c r="N206" s="8"/>
      <c r="O206" s="8">
        <f>(E202+2*(0.3/2))*D202</f>
        <v>9.0500000000000007</v>
      </c>
      <c r="P206" s="8">
        <f t="shared" si="43"/>
        <v>36.200000000000003</v>
      </c>
      <c r="Q206" s="8">
        <f>IF($D206='[2]Beam '!Q$44,$P206*'[2]Beam '!Q$45,0)</f>
        <v>0</v>
      </c>
      <c r="R206" s="8">
        <f>IF($D206='[2]Beam '!R$44,$P206*'[2]Beam '!R$45,0)</f>
        <v>0</v>
      </c>
      <c r="S206" s="8">
        <f>IF($D206='[2]Beam '!S$44,$P206*'[2]Beam '!S$45,0)</f>
        <v>0</v>
      </c>
      <c r="T206" s="8">
        <f>IF($D206='[2]Beam '!T$44,$P206*'[2]Beam '!T$45,0)</f>
        <v>0</v>
      </c>
      <c r="U206" s="8">
        <f>IF($D206='[2]Beam '!U$44,$P206*'[2]Beam '!U$45,0)</f>
        <v>0</v>
      </c>
      <c r="V206" s="8">
        <f>IF($D206='[2]Beam '!V$44,$P206*'[2]Beam '!V$45,0)</f>
        <v>139.5477678571429</v>
      </c>
      <c r="W206" s="8">
        <f>IF($D206='[2]Beam '!W$44,$P206*'[2]Beam '!W$45,0)</f>
        <v>0</v>
      </c>
      <c r="X206" s="8">
        <f t="shared" si="44"/>
        <v>139.5477678571429</v>
      </c>
      <c r="Y206" s="8"/>
      <c r="Z206" s="8"/>
      <c r="AA206" s="8"/>
      <c r="AB206" s="8"/>
      <c r="AC206" s="8"/>
      <c r="AD206" s="8"/>
      <c r="AE206" s="8"/>
    </row>
    <row r="207" spans="1:32" s="14" customFormat="1" ht="20.100000000000001" customHeight="1" x14ac:dyDescent="0.3">
      <c r="A207" s="7"/>
      <c r="B207" s="8" t="s">
        <v>2</v>
      </c>
      <c r="C207" s="13" t="s">
        <v>6</v>
      </c>
      <c r="D207" s="8">
        <v>20</v>
      </c>
      <c r="E207" s="8"/>
      <c r="F207" s="8">
        <v>2</v>
      </c>
      <c r="G207" s="9">
        <f>VLOOKUP(D207,'[2]Beam '!$C$20:$H$26,3,0)</f>
        <v>0.8</v>
      </c>
      <c r="H207" s="8"/>
      <c r="I207" s="8"/>
      <c r="J207" s="8"/>
      <c r="K207" s="8"/>
      <c r="L207" s="8"/>
      <c r="M207" s="8"/>
      <c r="N207" s="8"/>
      <c r="O207" s="8">
        <f>(E202+2*(0.3/2))*D202</f>
        <v>9.0500000000000007</v>
      </c>
      <c r="P207" s="8">
        <f t="shared" si="43"/>
        <v>18.100000000000001</v>
      </c>
      <c r="Q207" s="8">
        <f>IF($D207='[2]Beam '!Q$44,$P207*'[2]Beam '!Q$45,0)</f>
        <v>0</v>
      </c>
      <c r="R207" s="8">
        <f>IF($D207='[2]Beam '!R$44,$P207*'[2]Beam '!R$45,0)</f>
        <v>0</v>
      </c>
      <c r="S207" s="8">
        <f>IF($D207='[2]Beam '!S$44,$P207*'[2]Beam '!S$45,0)</f>
        <v>0</v>
      </c>
      <c r="T207" s="8">
        <f>IF($D207='[2]Beam '!T$44,$P207*'[2]Beam '!T$45,0)</f>
        <v>0</v>
      </c>
      <c r="U207" s="8">
        <f>IF($D207='[2]Beam '!U$44,$P207*'[2]Beam '!U$45,0)</f>
        <v>44.655285714285718</v>
      </c>
      <c r="V207" s="8">
        <f>IF($D207='[2]Beam '!V$44,$P207*'[2]Beam '!V$45,0)</f>
        <v>0</v>
      </c>
      <c r="W207" s="8">
        <f>IF($D207='[2]Beam '!W$44,$P207*'[2]Beam '!W$45,0)</f>
        <v>0</v>
      </c>
      <c r="X207" s="8">
        <f t="shared" si="44"/>
        <v>44.655285714285718</v>
      </c>
      <c r="Y207" s="8"/>
    </row>
    <row r="208" spans="1:32" s="14" customFormat="1" ht="20.100000000000001" customHeight="1" x14ac:dyDescent="0.3">
      <c r="A208" s="7"/>
      <c r="B208" s="8" t="s">
        <v>2</v>
      </c>
      <c r="C208" s="13" t="s">
        <v>7</v>
      </c>
      <c r="D208" s="8">
        <v>20</v>
      </c>
      <c r="E208" s="8"/>
      <c r="F208" s="8">
        <v>4</v>
      </c>
      <c r="G208" s="9">
        <f>VLOOKUP(D208,'[2]Beam '!$C$20:$H$26,3,0)</f>
        <v>0.8</v>
      </c>
      <c r="H208" s="8"/>
      <c r="I208" s="8"/>
      <c r="J208" s="8"/>
      <c r="K208" s="8"/>
      <c r="L208" s="8"/>
      <c r="M208" s="8"/>
      <c r="N208" s="8"/>
      <c r="O208" s="8">
        <f>(E202-1.35-1.35)+D202</f>
        <v>7.0500000000000007</v>
      </c>
      <c r="P208" s="8">
        <f t="shared" si="43"/>
        <v>28.200000000000003</v>
      </c>
      <c r="Q208" s="8">
        <f>IF($D208='[2]Beam '!Q$44,$P208*'[2]Beam '!Q$45,0)</f>
        <v>0</v>
      </c>
      <c r="R208" s="8">
        <f>IF($D208='[2]Beam '!R$44,$P208*'[2]Beam '!R$45,0)</f>
        <v>0</v>
      </c>
      <c r="S208" s="8">
        <f>IF($D208='[2]Beam '!S$44,$P208*'[2]Beam '!S$45,0)</f>
        <v>0</v>
      </c>
      <c r="T208" s="8">
        <f>IF($D208='[2]Beam '!T$44,$P208*'[2]Beam '!T$45,0)</f>
        <v>0</v>
      </c>
      <c r="U208" s="8">
        <f>IF($D208='[2]Beam '!U$44,$P208*'[2]Beam '!U$45,0)</f>
        <v>69.573428571428579</v>
      </c>
      <c r="V208" s="8">
        <f>IF($D208='[2]Beam '!V$44,$P208*'[2]Beam '!V$45,0)</f>
        <v>0</v>
      </c>
      <c r="W208" s="8">
        <f>IF($D208='[2]Beam '!W$44,$P208*'[2]Beam '!W$45,0)</f>
        <v>0</v>
      </c>
      <c r="X208" s="8">
        <f t="shared" si="44"/>
        <v>69.573428571428579</v>
      </c>
      <c r="Y208" s="8"/>
    </row>
    <row r="209" spans="1:32" s="14" customFormat="1" ht="20.100000000000001" customHeight="1" x14ac:dyDescent="0.25">
      <c r="A209" s="7"/>
      <c r="B209" s="8" t="s">
        <v>2</v>
      </c>
      <c r="C209" s="13" t="s">
        <v>13</v>
      </c>
      <c r="D209" s="8">
        <v>12</v>
      </c>
      <c r="E209" s="8">
        <v>0.1</v>
      </c>
      <c r="F209" s="8">
        <f>ROUND(IF(E202/3&gt;(2*G202),(E202/3)/E209,(2*G202)/E209),0)*2+1</f>
        <v>59</v>
      </c>
      <c r="G209" s="10"/>
      <c r="H209" s="8"/>
      <c r="I209" s="8"/>
      <c r="J209" s="8"/>
      <c r="K209" s="8"/>
      <c r="L209" s="8"/>
      <c r="M209" s="8"/>
      <c r="N209" s="8"/>
      <c r="O209" s="8">
        <f>(2*((G202-(2*'[2]Beam '!$D$11))+(F202-(2*'[2]Beam '!$D$11)))+(2*10*D209/1000))*D202</f>
        <v>2.4000000000000004</v>
      </c>
      <c r="P209" s="8">
        <f t="shared" si="43"/>
        <v>141.60000000000002</v>
      </c>
      <c r="Q209" s="8">
        <f>IF($D209='[2]Beam '!Q$44,$P209*'[2]Beam '!Q$45,0)</f>
        <v>0</v>
      </c>
      <c r="R209" s="8">
        <f>IF($D209='[2]Beam '!R$44,$P209*'[2]Beam '!R$45,0)</f>
        <v>0</v>
      </c>
      <c r="S209" s="8">
        <f>IF($D209='[2]Beam '!S$44,$P209*'[2]Beam '!S$45,0)</f>
        <v>125.76507428571433</v>
      </c>
      <c r="T209" s="8">
        <f>IF($D209='[2]Beam '!T$44,$P209*'[2]Beam '!T$45,0)</f>
        <v>0</v>
      </c>
      <c r="U209" s="8">
        <f>IF($D209='[2]Beam '!U$44,$P209*'[2]Beam '!U$45,0)</f>
        <v>0</v>
      </c>
      <c r="V209" s="8">
        <f>IF($D209='[2]Beam '!V$44,$P209*'[2]Beam '!V$45,0)</f>
        <v>0</v>
      </c>
      <c r="W209" s="8">
        <f>IF($D209='[2]Beam '!W$44,$P209*'[2]Beam '!W$45,0)</f>
        <v>0</v>
      </c>
      <c r="X209" s="8">
        <f t="shared" si="44"/>
        <v>125.76507428571433</v>
      </c>
      <c r="Y209" s="8"/>
    </row>
    <row r="210" spans="1:32" s="10" customFormat="1" ht="20.100000000000001" customHeight="1" x14ac:dyDescent="0.25">
      <c r="A210" s="14"/>
      <c r="B210" s="8" t="s">
        <v>2</v>
      </c>
      <c r="C210" s="13" t="s">
        <v>14</v>
      </c>
      <c r="D210" s="14">
        <f>D209</f>
        <v>12</v>
      </c>
      <c r="E210" s="14">
        <v>0.15</v>
      </c>
      <c r="F210" s="14">
        <f>ROUND((E202-(IF(E202/3&gt;2*G202,E202/3*2,G202*2*2)))/E210,0)</f>
        <v>19</v>
      </c>
      <c r="H210" s="14"/>
      <c r="I210" s="14"/>
      <c r="J210" s="14"/>
      <c r="K210" s="14"/>
      <c r="L210" s="14"/>
      <c r="M210" s="14"/>
      <c r="N210" s="14"/>
      <c r="O210" s="8">
        <f>(2*((G202-(2*'[2]Beam '!$D$11))+(F202-(2*'[2]Beam '!$D$11)))+(2*10*D210/1000))*D202</f>
        <v>2.4000000000000004</v>
      </c>
      <c r="P210" s="8">
        <f t="shared" si="43"/>
        <v>45.600000000000009</v>
      </c>
      <c r="Q210" s="8">
        <f>IF($D210='[2]Beam '!Q$44,$P210*'[2]Beam '!Q$45,0)</f>
        <v>0</v>
      </c>
      <c r="R210" s="8">
        <f>IF($D210='[2]Beam '!R$44,$P210*'[2]Beam '!R$45,0)</f>
        <v>0</v>
      </c>
      <c r="S210" s="8">
        <f>IF($D210='[2]Beam '!S$44,$P210*'[2]Beam '!S$45,0)</f>
        <v>40.500617142857159</v>
      </c>
      <c r="T210" s="8">
        <f>IF($D210='[2]Beam '!T$44,$P210*'[2]Beam '!T$45,0)</f>
        <v>0</v>
      </c>
      <c r="U210" s="8">
        <f>IF($D210='[2]Beam '!U$44,$P210*'[2]Beam '!U$45,0)</f>
        <v>0</v>
      </c>
      <c r="V210" s="8">
        <f>IF($D210='[2]Beam '!V$44,$P210*'[2]Beam '!V$45,0)</f>
        <v>0</v>
      </c>
      <c r="W210" s="8">
        <f>IF($D210='[2]Beam '!W$44,$P210*'[2]Beam '!W$45,0)</f>
        <v>0</v>
      </c>
      <c r="X210" s="8">
        <f t="shared" si="44"/>
        <v>40.500617142857159</v>
      </c>
      <c r="Y210" s="14"/>
      <c r="Z210" s="8"/>
      <c r="AA210" s="8"/>
      <c r="AB210" s="8"/>
      <c r="AC210" s="8"/>
      <c r="AD210" s="8"/>
      <c r="AE210" s="8"/>
    </row>
    <row r="211" spans="1:32" s="10" customFormat="1" ht="21" customHeight="1" x14ac:dyDescent="0.25">
      <c r="A211" s="14"/>
      <c r="B211" s="8" t="s">
        <v>2</v>
      </c>
      <c r="C211" s="13" t="s">
        <v>15</v>
      </c>
      <c r="D211" s="14">
        <f>D209</f>
        <v>12</v>
      </c>
      <c r="E211" s="14">
        <f>+E209</f>
        <v>0.1</v>
      </c>
      <c r="F211" s="8">
        <f>ROUND(IF(E202/3&gt;(2*G202),(E202/3)/E211,(2*G202)/E211),0)*2+1</f>
        <v>59</v>
      </c>
      <c r="H211" s="14"/>
      <c r="I211" s="14"/>
      <c r="J211" s="14"/>
      <c r="K211" s="14"/>
      <c r="L211" s="14"/>
      <c r="M211" s="14"/>
      <c r="N211" s="14"/>
      <c r="O211" s="8">
        <f>(2*(((F202-'[2]Beam '!$D$11*2)/(F203-1))+(G202-'[2]Beam '!$D$11*2))+(2*10*D211/1000))*D202</f>
        <v>1.536</v>
      </c>
      <c r="P211" s="8">
        <f t="shared" si="43"/>
        <v>90.623999999999995</v>
      </c>
      <c r="Q211" s="8">
        <f>IF($D211='[2]Beam '!Q$44,$P211*'[2]Beam '!Q$45,0)</f>
        <v>0</v>
      </c>
      <c r="R211" s="8">
        <f>IF($D211='[2]Beam '!R$44,$P211*'[2]Beam '!R$45,0)</f>
        <v>0</v>
      </c>
      <c r="S211" s="8">
        <f>IF($D211='[2]Beam '!S$44,$P211*'[2]Beam '!S$45,0)</f>
        <v>80.489647542857156</v>
      </c>
      <c r="T211" s="8">
        <f>IF($D211='[2]Beam '!T$44,$P211*'[2]Beam '!T$45,0)</f>
        <v>0</v>
      </c>
      <c r="U211" s="8">
        <f>IF($D211='[2]Beam '!U$44,$P211*'[2]Beam '!U$45,0)</f>
        <v>0</v>
      </c>
      <c r="V211" s="8">
        <f>IF($D211='[2]Beam '!V$44,$P211*'[2]Beam '!V$45,0)</f>
        <v>0</v>
      </c>
      <c r="W211" s="8">
        <f>IF($D211='[2]Beam '!W$44,$P211*'[2]Beam '!W$45,0)</f>
        <v>0</v>
      </c>
      <c r="X211" s="8">
        <f t="shared" si="44"/>
        <v>80.489647542857156</v>
      </c>
      <c r="Y211" s="14"/>
      <c r="Z211" s="8"/>
      <c r="AA211" s="8"/>
      <c r="AB211" s="8"/>
      <c r="AC211" s="8"/>
      <c r="AD211" s="8"/>
      <c r="AE211" s="8"/>
      <c r="AF211" s="8"/>
    </row>
    <row r="212" spans="1:32" s="10" customFormat="1" ht="20.100000000000001" customHeight="1" x14ac:dyDescent="0.25">
      <c r="A212" s="14"/>
      <c r="B212" s="8" t="s">
        <v>2</v>
      </c>
      <c r="C212" s="13" t="s">
        <v>16</v>
      </c>
      <c r="D212" s="14">
        <f>D210</f>
        <v>12</v>
      </c>
      <c r="E212" s="14">
        <f>+E210</f>
        <v>0.15</v>
      </c>
      <c r="F212" s="14">
        <f>ROUND((E202-(IF(E202/3&gt;2*G202,E202/3*2,G202*2*2)))/E212,0)</f>
        <v>19</v>
      </c>
      <c r="H212" s="14"/>
      <c r="I212" s="14"/>
      <c r="J212" s="14"/>
      <c r="K212" s="14"/>
      <c r="L212" s="14"/>
      <c r="M212" s="14"/>
      <c r="N212" s="14"/>
      <c r="O212" s="8">
        <f>(2*(((F202-'[2]Beam '!$D$11*2)/(F203-1))+(G202-'[2]Beam '!$D$11*2))+(2*10*D212/1000))*D202</f>
        <v>1.536</v>
      </c>
      <c r="P212" s="8">
        <f t="shared" si="43"/>
        <v>29.184000000000001</v>
      </c>
      <c r="Q212" s="8">
        <f>IF($D212='[2]Beam '!Q$44,$P212*'[2]Beam '!Q$45,0)</f>
        <v>0</v>
      </c>
      <c r="R212" s="8">
        <f>IF($D212='[2]Beam '!R$44,$P212*'[2]Beam '!R$45,0)</f>
        <v>0</v>
      </c>
      <c r="S212" s="8">
        <f>IF($D212='[2]Beam '!S$44,$P212*'[2]Beam '!S$45,0)</f>
        <v>25.920394971428578</v>
      </c>
      <c r="T212" s="8">
        <f>IF($D212='[2]Beam '!T$44,$P212*'[2]Beam '!T$45,0)</f>
        <v>0</v>
      </c>
      <c r="U212" s="8">
        <f>IF($D212='[2]Beam '!U$44,$P212*'[2]Beam '!U$45,0)</f>
        <v>0</v>
      </c>
      <c r="V212" s="8">
        <f>IF($D212='[2]Beam '!V$44,$P212*'[2]Beam '!V$45,0)</f>
        <v>0</v>
      </c>
      <c r="W212" s="8">
        <f>IF($D212='[2]Beam '!W$44,$P212*'[2]Beam '!W$45,0)</f>
        <v>0</v>
      </c>
      <c r="X212" s="8">
        <f t="shared" si="44"/>
        <v>25.920394971428578</v>
      </c>
      <c r="Y212" s="14"/>
      <c r="Z212" s="8"/>
      <c r="AA212" s="8"/>
      <c r="AB212" s="8"/>
      <c r="AC212" s="8"/>
      <c r="AD212" s="8"/>
      <c r="AE212" s="8"/>
    </row>
    <row r="213" spans="1:32" s="10" customFormat="1" ht="20.100000000000001" customHeight="1" x14ac:dyDescent="0.25">
      <c r="A213" s="7"/>
      <c r="B213" s="8" t="s">
        <v>2</v>
      </c>
      <c r="C213" s="13" t="s">
        <v>10</v>
      </c>
      <c r="D213" s="8">
        <f>+'[2]Beam '!$D$15</f>
        <v>25</v>
      </c>
      <c r="E213" s="8">
        <f>+'[2]Beam '!$E$15</f>
        <v>1</v>
      </c>
      <c r="F213" s="8">
        <f>ROUNDUP((2.3+2.3+O208)/E213,0)</f>
        <v>12</v>
      </c>
      <c r="G213" s="9"/>
      <c r="H213" s="9"/>
      <c r="I213" s="8"/>
      <c r="J213" s="8"/>
      <c r="K213" s="8"/>
      <c r="L213" s="8"/>
      <c r="M213" s="8"/>
      <c r="N213" s="8"/>
      <c r="O213" s="8">
        <f>F202-'[2]Beam '!$F$15</f>
        <v>0.54</v>
      </c>
      <c r="P213" s="8">
        <f t="shared" si="43"/>
        <v>6.48</v>
      </c>
      <c r="Q213" s="8">
        <f>IF($D213='[2]Beam '!Q$44,$P213*'[2]Beam '!Q$45,0)</f>
        <v>0</v>
      </c>
      <c r="R213" s="8">
        <f>IF($D213='[2]Beam '!R$44,$P213*'[2]Beam '!R$45,0)</f>
        <v>0</v>
      </c>
      <c r="S213" s="8">
        <f>IF($D213='[2]Beam '!S$44,$P213*'[2]Beam '!S$45,0)</f>
        <v>0</v>
      </c>
      <c r="T213" s="8">
        <f>IF($D213='[2]Beam '!T$44,$P213*'[2]Beam '!T$45,0)</f>
        <v>0</v>
      </c>
      <c r="U213" s="8">
        <f>IF($D213='[2]Beam '!U$44,$P213*'[2]Beam '!U$45,0)</f>
        <v>0</v>
      </c>
      <c r="V213" s="8">
        <f>IF($D213='[2]Beam '!V$44,$P213*'[2]Beam '!V$45,0)</f>
        <v>24.979821428571434</v>
      </c>
      <c r="W213" s="8">
        <f>IF($D213='[2]Beam '!W$44,$P213*'[2]Beam '!W$45,0)</f>
        <v>0</v>
      </c>
      <c r="X213" s="8">
        <f t="shared" si="44"/>
        <v>24.979821428571434</v>
      </c>
      <c r="Y213" s="8"/>
      <c r="Z213" s="8"/>
      <c r="AA213" s="8"/>
      <c r="AB213" s="8"/>
      <c r="AC213" s="8"/>
      <c r="AD213" s="8"/>
      <c r="AE213" s="8"/>
    </row>
    <row r="214" spans="1:32" s="10" customFormat="1" ht="20.100000000000001" customHeight="1" x14ac:dyDescent="0.25">
      <c r="A214" s="8">
        <v>1</v>
      </c>
      <c r="B214" s="8" t="s">
        <v>2</v>
      </c>
      <c r="C214" s="11" t="s">
        <v>35</v>
      </c>
      <c r="D214" s="11">
        <v>1</v>
      </c>
      <c r="E214" s="11">
        <v>7.35</v>
      </c>
      <c r="F214" s="11">
        <v>0.45</v>
      </c>
      <c r="G214" s="11">
        <v>0.6</v>
      </c>
      <c r="H214" s="8">
        <f>G214-0.2</f>
        <v>0.39999999999999997</v>
      </c>
      <c r="I214" s="8">
        <f>E214*F214*G214*D214</f>
        <v>1.9844999999999999</v>
      </c>
      <c r="J214" s="8">
        <f>(2*(E214)*H214*D214)+(E214*F214)</f>
        <v>9.1875</v>
      </c>
      <c r="K214" s="12">
        <f>IF(E214=0.3,J214,0)</f>
        <v>0</v>
      </c>
      <c r="L214" s="12">
        <f>IF(AND(E214&gt;0.3,E214&lt;=0.75),J214,0)</f>
        <v>0</v>
      </c>
      <c r="M214" s="12">
        <f>IF(AND(E214&gt;0.75,E214&lt;=1.2),J214,0)</f>
        <v>0</v>
      </c>
      <c r="N214" s="12">
        <f>IF(E214&gt;1.2,J214,0)</f>
        <v>9.1875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>
        <f>SUM(X215:X223)/I214</f>
        <v>309.03621639131842</v>
      </c>
      <c r="Z214" s="8"/>
      <c r="AA214" s="8"/>
      <c r="AB214" s="8"/>
      <c r="AC214" s="8"/>
      <c r="AD214" s="8"/>
      <c r="AE214" s="8"/>
    </row>
    <row r="215" spans="1:32" s="10" customFormat="1" ht="20.100000000000001" customHeight="1" x14ac:dyDescent="0.25">
      <c r="A215" s="7"/>
      <c r="B215" s="8" t="s">
        <v>2</v>
      </c>
      <c r="C215" s="13" t="s">
        <v>4</v>
      </c>
      <c r="D215" s="8">
        <v>25</v>
      </c>
      <c r="E215" s="8"/>
      <c r="F215" s="8">
        <v>4</v>
      </c>
      <c r="G215" s="9">
        <f>VLOOKUP(D215,'[2]Beam '!$C$20:$H$26,3,0)</f>
        <v>1</v>
      </c>
      <c r="H215" s="9"/>
      <c r="I215" s="8"/>
      <c r="J215" s="8"/>
      <c r="K215" s="8"/>
      <c r="L215" s="8"/>
      <c r="M215" s="8"/>
      <c r="N215" s="8"/>
      <c r="O215" s="8">
        <f>(E214+2*(0.3/2)*D214)</f>
        <v>7.6499999999999995</v>
      </c>
      <c r="P215" s="8">
        <f t="shared" ref="P215:P226" si="45">O215*F215</f>
        <v>30.599999999999998</v>
      </c>
      <c r="Q215" s="8">
        <f>IF($D215='[2]Beam '!Q$44,$P215*'[2]Beam '!Q$45,0)</f>
        <v>0</v>
      </c>
      <c r="R215" s="8">
        <f>IF($D215='[2]Beam '!R$44,$P215*'[2]Beam '!R$45,0)</f>
        <v>0</v>
      </c>
      <c r="S215" s="8">
        <f>IF($D215='[2]Beam '!S$44,$P215*'[2]Beam '!S$45,0)</f>
        <v>0</v>
      </c>
      <c r="T215" s="8">
        <f>IF($D215='[2]Beam '!T$44,$P215*'[2]Beam '!T$45,0)</f>
        <v>0</v>
      </c>
      <c r="U215" s="8">
        <f>IF($D215='[2]Beam '!U$44,$P215*'[2]Beam '!U$45,0)</f>
        <v>0</v>
      </c>
      <c r="V215" s="8">
        <f>IF($D215='[2]Beam '!V$44,$P215*'[2]Beam '!V$45,0)</f>
        <v>117.96026785714287</v>
      </c>
      <c r="W215" s="8">
        <f>IF($D215='[2]Beam '!W$44,$P215*'[2]Beam '!W$45,0)</f>
        <v>0</v>
      </c>
      <c r="X215" s="8">
        <f t="shared" ref="X215:X226" si="46">SUM(Q215:W215)</f>
        <v>117.96026785714287</v>
      </c>
      <c r="Y215" s="8"/>
      <c r="Z215" s="8"/>
      <c r="AA215" s="8"/>
      <c r="AB215" s="8"/>
      <c r="AC215" s="8"/>
      <c r="AD215" s="8"/>
      <c r="AE215" s="8"/>
    </row>
    <row r="216" spans="1:32" s="10" customFormat="1" ht="20.100000000000001" customHeight="1" x14ac:dyDescent="0.25">
      <c r="A216" s="7"/>
      <c r="B216" s="8" t="s">
        <v>2</v>
      </c>
      <c r="C216" s="13" t="s">
        <v>5</v>
      </c>
      <c r="D216" s="8">
        <v>25</v>
      </c>
      <c r="E216" s="8"/>
      <c r="F216" s="8">
        <v>4</v>
      </c>
      <c r="G216" s="9">
        <f>VLOOKUP(D216,'[2]Beam '!$C$20:$H$26,3,0)</f>
        <v>1</v>
      </c>
      <c r="H216" s="9"/>
      <c r="I216" s="8"/>
      <c r="J216" s="8"/>
      <c r="K216" s="8"/>
      <c r="L216" s="8"/>
      <c r="M216" s="8"/>
      <c r="N216" s="8"/>
      <c r="O216" s="8">
        <f>(1.95+1*(0.3/2)*D214)</f>
        <v>2.1</v>
      </c>
      <c r="P216" s="8">
        <f t="shared" si="45"/>
        <v>8.4</v>
      </c>
      <c r="Q216" s="8">
        <f>IF($D216='[2]Beam '!Q$44,$P216*'[2]Beam '!Q$45,0)</f>
        <v>0</v>
      </c>
      <c r="R216" s="8">
        <f>IF($D216='[2]Beam '!R$44,$P216*'[2]Beam '!R$45,0)</f>
        <v>0</v>
      </c>
      <c r="S216" s="8">
        <f>IF($D216='[2]Beam '!S$44,$P216*'[2]Beam '!S$45,0)</f>
        <v>0</v>
      </c>
      <c r="T216" s="8">
        <f>IF($D216='[2]Beam '!T$44,$P216*'[2]Beam '!T$45,0)</f>
        <v>0</v>
      </c>
      <c r="U216" s="8">
        <f>IF($D216='[2]Beam '!U$44,$P216*'[2]Beam '!U$45,0)</f>
        <v>0</v>
      </c>
      <c r="V216" s="8">
        <f>IF($D216='[2]Beam '!V$44,$P216*'[2]Beam '!V$45,0)</f>
        <v>32.381250000000009</v>
      </c>
      <c r="W216" s="8">
        <f>IF($D216='[2]Beam '!W$44,$P216*'[2]Beam '!W$45,0)</f>
        <v>0</v>
      </c>
      <c r="X216" s="8">
        <f t="shared" si="46"/>
        <v>32.381250000000009</v>
      </c>
      <c r="Y216" s="8"/>
      <c r="Z216" s="8"/>
      <c r="AA216" s="8"/>
      <c r="AB216" s="8"/>
      <c r="AC216" s="8"/>
      <c r="AD216" s="8"/>
      <c r="AE216" s="8"/>
    </row>
    <row r="217" spans="1:32" s="10" customFormat="1" ht="20.100000000000001" customHeight="1" x14ac:dyDescent="0.25">
      <c r="A217" s="7"/>
      <c r="B217" s="8" t="s">
        <v>2</v>
      </c>
      <c r="C217" s="13" t="s">
        <v>5</v>
      </c>
      <c r="D217" s="8">
        <v>32</v>
      </c>
      <c r="E217" s="8"/>
      <c r="F217" s="8">
        <v>4</v>
      </c>
      <c r="G217" s="9">
        <f>VLOOKUP(D217,'[2]Beam '!$C$20:$H$26,3,0)</f>
        <v>1.25</v>
      </c>
      <c r="H217" s="9"/>
      <c r="I217" s="8"/>
      <c r="J217" s="8"/>
      <c r="K217" s="8"/>
      <c r="L217" s="8"/>
      <c r="M217" s="8"/>
      <c r="N217" s="8"/>
      <c r="O217" s="8">
        <f>(1.95+1*(0.3/2)*D214)</f>
        <v>2.1</v>
      </c>
      <c r="P217" s="8">
        <f t="shared" si="45"/>
        <v>8.4</v>
      </c>
      <c r="Q217" s="8">
        <f>IF($D217='[2]Beam '!Q$44,$P217*'[2]Beam '!Q$45,0)</f>
        <v>0</v>
      </c>
      <c r="R217" s="8">
        <f>IF($D217='[2]Beam '!R$44,$P217*'[2]Beam '!R$45,0)</f>
        <v>0</v>
      </c>
      <c r="S217" s="8">
        <f>IF($D217='[2]Beam '!S$44,$P217*'[2]Beam '!S$45,0)</f>
        <v>0</v>
      </c>
      <c r="T217" s="8">
        <f>IF($D217='[2]Beam '!T$44,$P217*'[2]Beam '!T$45,0)</f>
        <v>0</v>
      </c>
      <c r="U217" s="8">
        <f>IF($D217='[2]Beam '!U$44,$P217*'[2]Beam '!U$45,0)</f>
        <v>0</v>
      </c>
      <c r="V217" s="8">
        <f>IF($D217='[2]Beam '!V$44,$P217*'[2]Beam '!V$45,0)</f>
        <v>0</v>
      </c>
      <c r="W217" s="8">
        <f>IF($D217='[2]Beam '!W$44,$P217*'[2]Beam '!W$45,0)</f>
        <v>53.053440000000009</v>
      </c>
      <c r="X217" s="8">
        <f t="shared" si="46"/>
        <v>53.053440000000009</v>
      </c>
      <c r="Y217" s="8"/>
      <c r="Z217" s="8"/>
      <c r="AA217" s="8"/>
      <c r="AB217" s="8"/>
      <c r="AC217" s="8"/>
      <c r="AD217" s="8"/>
      <c r="AE217" s="8"/>
    </row>
    <row r="218" spans="1:32" s="10" customFormat="1" ht="20.100000000000001" customHeight="1" x14ac:dyDescent="0.25">
      <c r="A218" s="7"/>
      <c r="B218" s="8" t="s">
        <v>2</v>
      </c>
      <c r="C218" s="13" t="s">
        <v>5</v>
      </c>
      <c r="D218" s="8">
        <v>25</v>
      </c>
      <c r="E218" s="8"/>
      <c r="F218" s="8">
        <v>4</v>
      </c>
      <c r="G218" s="9">
        <f>VLOOKUP(D218,'[2]Beam '!$C$20:$H$26,3,0)</f>
        <v>1</v>
      </c>
      <c r="H218" s="9"/>
      <c r="I218" s="8"/>
      <c r="J218" s="8"/>
      <c r="K218" s="8"/>
      <c r="L218" s="8"/>
      <c r="M218" s="8"/>
      <c r="N218" s="8"/>
      <c r="O218" s="8">
        <f>(1.2+1*(0.3/2)*D214)</f>
        <v>1.3499999999999999</v>
      </c>
      <c r="P218" s="8">
        <f t="shared" si="45"/>
        <v>5.3999999999999995</v>
      </c>
      <c r="Q218" s="8">
        <f>IF($D218='[2]Beam '!Q$44,$P218*'[2]Beam '!Q$45,0)</f>
        <v>0</v>
      </c>
      <c r="R218" s="8">
        <f>IF($D218='[2]Beam '!R$44,$P218*'[2]Beam '!R$45,0)</f>
        <v>0</v>
      </c>
      <c r="S218" s="8">
        <f>IF($D218='[2]Beam '!S$44,$P218*'[2]Beam '!S$45,0)</f>
        <v>0</v>
      </c>
      <c r="T218" s="8">
        <f>IF($D218='[2]Beam '!T$44,$P218*'[2]Beam '!T$45,0)</f>
        <v>0</v>
      </c>
      <c r="U218" s="8">
        <f>IF($D218='[2]Beam '!U$44,$P218*'[2]Beam '!U$45,0)</f>
        <v>0</v>
      </c>
      <c r="V218" s="8">
        <f>IF($D218='[2]Beam '!V$44,$P218*'[2]Beam '!V$45,0)</f>
        <v>20.816517857142859</v>
      </c>
      <c r="W218" s="8">
        <f>IF($D218='[2]Beam '!W$44,$P218*'[2]Beam '!W$45,0)</f>
        <v>0</v>
      </c>
      <c r="X218" s="8">
        <f t="shared" si="46"/>
        <v>20.816517857142859</v>
      </c>
      <c r="Y218" s="8"/>
      <c r="Z218" s="8"/>
      <c r="AA218" s="8"/>
      <c r="AB218" s="8"/>
      <c r="AC218" s="8"/>
      <c r="AD218" s="8"/>
      <c r="AE218" s="8"/>
    </row>
    <row r="219" spans="1:32" s="10" customFormat="1" ht="20.100000000000001" customHeight="1" x14ac:dyDescent="0.25">
      <c r="A219" s="7"/>
      <c r="B219" s="8" t="s">
        <v>2</v>
      </c>
      <c r="C219" s="13" t="s">
        <v>6</v>
      </c>
      <c r="D219" s="8">
        <v>25</v>
      </c>
      <c r="E219" s="8"/>
      <c r="F219" s="8">
        <v>4</v>
      </c>
      <c r="G219" s="9">
        <f>VLOOKUP(D219,'[2]Beam '!$C$20:$H$26,3,0)</f>
        <v>1</v>
      </c>
      <c r="H219" s="8"/>
      <c r="I219" s="8"/>
      <c r="J219" s="8"/>
      <c r="K219" s="8"/>
      <c r="L219" s="8"/>
      <c r="M219" s="8"/>
      <c r="N219" s="8"/>
      <c r="O219" s="8">
        <f>(E214+2*(0.3/2))*D214</f>
        <v>7.6499999999999995</v>
      </c>
      <c r="P219" s="8">
        <f t="shared" si="45"/>
        <v>30.599999999999998</v>
      </c>
      <c r="Q219" s="8">
        <f>IF($D219='[2]Beam '!Q$44,$P219*'[2]Beam '!Q$45,0)</f>
        <v>0</v>
      </c>
      <c r="R219" s="8">
        <f>IF($D219='[2]Beam '!R$44,$P219*'[2]Beam '!R$45,0)</f>
        <v>0</v>
      </c>
      <c r="S219" s="8">
        <f>IF($D219='[2]Beam '!S$44,$P219*'[2]Beam '!S$45,0)</f>
        <v>0</v>
      </c>
      <c r="T219" s="8">
        <f>IF($D219='[2]Beam '!T$44,$P219*'[2]Beam '!T$45,0)</f>
        <v>0</v>
      </c>
      <c r="U219" s="8">
        <f>IF($D219='[2]Beam '!U$44,$P219*'[2]Beam '!U$45,0)</f>
        <v>0</v>
      </c>
      <c r="V219" s="8">
        <f>IF($D219='[2]Beam '!V$44,$P219*'[2]Beam '!V$45,0)</f>
        <v>117.96026785714287</v>
      </c>
      <c r="W219" s="8">
        <f>IF($D219='[2]Beam '!W$44,$P219*'[2]Beam '!W$45,0)</f>
        <v>0</v>
      </c>
      <c r="X219" s="8">
        <f t="shared" si="46"/>
        <v>117.96026785714287</v>
      </c>
      <c r="Y219" s="8"/>
      <c r="Z219" s="8"/>
      <c r="AA219" s="8"/>
      <c r="AB219" s="8"/>
      <c r="AC219" s="8"/>
      <c r="AD219" s="8"/>
      <c r="AE219" s="8"/>
    </row>
    <row r="220" spans="1:32" s="14" customFormat="1" ht="20.100000000000001" customHeight="1" x14ac:dyDescent="0.3">
      <c r="A220" s="7"/>
      <c r="B220" s="8" t="s">
        <v>2</v>
      </c>
      <c r="C220" s="13" t="s">
        <v>6</v>
      </c>
      <c r="D220" s="8">
        <v>25</v>
      </c>
      <c r="E220" s="8"/>
      <c r="F220" s="8">
        <v>4</v>
      </c>
      <c r="G220" s="9">
        <f>VLOOKUP(D220,'[2]Beam '!$C$20:$H$26,3,0)</f>
        <v>1</v>
      </c>
      <c r="H220" s="8"/>
      <c r="I220" s="8"/>
      <c r="J220" s="8"/>
      <c r="K220" s="8"/>
      <c r="L220" s="8"/>
      <c r="M220" s="8"/>
      <c r="N220" s="8"/>
      <c r="O220" s="8">
        <f>(E214+2*(0.3/2))*D214</f>
        <v>7.6499999999999995</v>
      </c>
      <c r="P220" s="8">
        <f t="shared" si="45"/>
        <v>30.599999999999998</v>
      </c>
      <c r="Q220" s="8">
        <f>IF($D220='[2]Beam '!Q$44,$P220*'[2]Beam '!Q$45,0)</f>
        <v>0</v>
      </c>
      <c r="R220" s="8">
        <f>IF($D220='[2]Beam '!R$44,$P220*'[2]Beam '!R$45,0)</f>
        <v>0</v>
      </c>
      <c r="S220" s="8">
        <f>IF($D220='[2]Beam '!S$44,$P220*'[2]Beam '!S$45,0)</f>
        <v>0</v>
      </c>
      <c r="T220" s="8">
        <f>IF($D220='[2]Beam '!T$44,$P220*'[2]Beam '!T$45,0)</f>
        <v>0</v>
      </c>
      <c r="U220" s="8">
        <f>IF($D220='[2]Beam '!U$44,$P220*'[2]Beam '!U$45,0)</f>
        <v>0</v>
      </c>
      <c r="V220" s="8">
        <f>IF($D220='[2]Beam '!V$44,$P220*'[2]Beam '!V$45,0)</f>
        <v>117.96026785714287</v>
      </c>
      <c r="W220" s="8">
        <f>IF($D220='[2]Beam '!W$44,$P220*'[2]Beam '!W$45,0)</f>
        <v>0</v>
      </c>
      <c r="X220" s="8">
        <f t="shared" si="46"/>
        <v>117.96026785714287</v>
      </c>
      <c r="Y220" s="8"/>
    </row>
    <row r="221" spans="1:32" s="14" customFormat="1" ht="20.100000000000001" customHeight="1" x14ac:dyDescent="0.3">
      <c r="A221" s="7"/>
      <c r="B221" s="8" t="s">
        <v>2</v>
      </c>
      <c r="C221" s="13" t="s">
        <v>7</v>
      </c>
      <c r="D221" s="8">
        <v>20</v>
      </c>
      <c r="E221" s="8"/>
      <c r="F221" s="8">
        <v>4</v>
      </c>
      <c r="G221" s="9">
        <f>VLOOKUP(D221,'[2]Beam '!$C$20:$H$26,3,0)</f>
        <v>0.8</v>
      </c>
      <c r="H221" s="8"/>
      <c r="I221" s="8"/>
      <c r="J221" s="8"/>
      <c r="K221" s="8"/>
      <c r="L221" s="8"/>
      <c r="M221" s="8"/>
      <c r="N221" s="8"/>
      <c r="O221" s="8">
        <f>(1.95+1*(0.3/2)*D214)</f>
        <v>2.1</v>
      </c>
      <c r="P221" s="8">
        <f t="shared" si="45"/>
        <v>8.4</v>
      </c>
      <c r="Q221" s="8">
        <f>IF($D221='[2]Beam '!Q$44,$P221*'[2]Beam '!Q$45,0)</f>
        <v>0</v>
      </c>
      <c r="R221" s="8">
        <f>IF($D221='[2]Beam '!R$44,$P221*'[2]Beam '!R$45,0)</f>
        <v>0</v>
      </c>
      <c r="S221" s="8">
        <f>IF($D221='[2]Beam '!S$44,$P221*'[2]Beam '!S$45,0)</f>
        <v>0</v>
      </c>
      <c r="T221" s="8">
        <f>IF($D221='[2]Beam '!T$44,$P221*'[2]Beam '!T$45,0)</f>
        <v>0</v>
      </c>
      <c r="U221" s="8">
        <f>IF($D221='[2]Beam '!U$44,$P221*'[2]Beam '!U$45,0)</f>
        <v>20.724</v>
      </c>
      <c r="V221" s="8">
        <f>IF($D221='[2]Beam '!V$44,$P221*'[2]Beam '!V$45,0)</f>
        <v>0</v>
      </c>
      <c r="W221" s="8">
        <f>IF($D221='[2]Beam '!W$44,$P221*'[2]Beam '!W$45,0)</f>
        <v>0</v>
      </c>
      <c r="X221" s="8">
        <f t="shared" si="46"/>
        <v>20.724</v>
      </c>
      <c r="Y221" s="8"/>
    </row>
    <row r="222" spans="1:32" s="14" customFormat="1" ht="20.100000000000001" customHeight="1" x14ac:dyDescent="0.25">
      <c r="A222" s="7"/>
      <c r="B222" s="8" t="s">
        <v>2</v>
      </c>
      <c r="C222" s="13" t="s">
        <v>13</v>
      </c>
      <c r="D222" s="8">
        <v>12</v>
      </c>
      <c r="E222" s="8">
        <v>0.1</v>
      </c>
      <c r="F222" s="8">
        <f>ROUND(IF(E214/3&gt;(2*G214),(E214/3)/E222,(2*G214)/E222),0)*2+1</f>
        <v>51</v>
      </c>
      <c r="G222" s="10"/>
      <c r="H222" s="8"/>
      <c r="I222" s="8"/>
      <c r="J222" s="8"/>
      <c r="K222" s="8"/>
      <c r="L222" s="8"/>
      <c r="M222" s="8"/>
      <c r="N222" s="8"/>
      <c r="O222" s="8">
        <f>(2*((G214-(2*'[2]Beam '!$D$11))+(F214-(2*'[2]Beam '!$D$11)))+(2*10*D222/1000))*D214</f>
        <v>2.1</v>
      </c>
      <c r="P222" s="8">
        <f t="shared" si="45"/>
        <v>107.10000000000001</v>
      </c>
      <c r="Q222" s="8">
        <f>IF($D222='[2]Beam '!Q$44,$P222*'[2]Beam '!Q$45,0)</f>
        <v>0</v>
      </c>
      <c r="R222" s="8">
        <f>IF($D222='[2]Beam '!R$44,$P222*'[2]Beam '!R$45,0)</f>
        <v>0</v>
      </c>
      <c r="S222" s="8">
        <f>IF($D222='[2]Beam '!S$44,$P222*'[2]Beam '!S$45,0)</f>
        <v>95.123160000000027</v>
      </c>
      <c r="T222" s="8">
        <f>IF($D222='[2]Beam '!T$44,$P222*'[2]Beam '!T$45,0)</f>
        <v>0</v>
      </c>
      <c r="U222" s="8">
        <f>IF($D222='[2]Beam '!U$44,$P222*'[2]Beam '!U$45,0)</f>
        <v>0</v>
      </c>
      <c r="V222" s="8">
        <f>IF($D222='[2]Beam '!V$44,$P222*'[2]Beam '!V$45,0)</f>
        <v>0</v>
      </c>
      <c r="W222" s="8">
        <f>IF($D222='[2]Beam '!W$44,$P222*'[2]Beam '!W$45,0)</f>
        <v>0</v>
      </c>
      <c r="X222" s="8">
        <f t="shared" si="46"/>
        <v>95.123160000000027</v>
      </c>
      <c r="Y222" s="8"/>
    </row>
    <row r="223" spans="1:32" s="10" customFormat="1" ht="20.100000000000001" customHeight="1" x14ac:dyDescent="0.25">
      <c r="A223" s="14"/>
      <c r="B223" s="8" t="s">
        <v>2</v>
      </c>
      <c r="C223" s="13" t="s">
        <v>14</v>
      </c>
      <c r="D223" s="14">
        <f>D222</f>
        <v>12</v>
      </c>
      <c r="E223" s="14">
        <v>0.125</v>
      </c>
      <c r="F223" s="14">
        <f>ROUND((E214-(IF(E214/3&gt;2*G214,E214/3*2,G214*2*2)))/E223,0)</f>
        <v>20</v>
      </c>
      <c r="H223" s="14"/>
      <c r="I223" s="14"/>
      <c r="J223" s="14"/>
      <c r="K223" s="14"/>
      <c r="L223" s="14"/>
      <c r="M223" s="14"/>
      <c r="N223" s="14"/>
      <c r="O223" s="8">
        <f>(2*((G214-(2*'[2]Beam '!$D$11))+(F214-(2*'[2]Beam '!$D$11)))+(2*10*D223/1000))*D214</f>
        <v>2.1</v>
      </c>
      <c r="P223" s="8">
        <f t="shared" si="45"/>
        <v>42</v>
      </c>
      <c r="Q223" s="8">
        <f>IF($D223='[2]Beam '!Q$44,$P223*'[2]Beam '!Q$45,0)</f>
        <v>0</v>
      </c>
      <c r="R223" s="8">
        <f>IF($D223='[2]Beam '!R$44,$P223*'[2]Beam '!R$45,0)</f>
        <v>0</v>
      </c>
      <c r="S223" s="8">
        <f>IF($D223='[2]Beam '!S$44,$P223*'[2]Beam '!S$45,0)</f>
        <v>37.303200000000004</v>
      </c>
      <c r="T223" s="8">
        <f>IF($D223='[2]Beam '!T$44,$P223*'[2]Beam '!T$45,0)</f>
        <v>0</v>
      </c>
      <c r="U223" s="8">
        <f>IF($D223='[2]Beam '!U$44,$P223*'[2]Beam '!U$45,0)</f>
        <v>0</v>
      </c>
      <c r="V223" s="8">
        <f>IF($D223='[2]Beam '!V$44,$P223*'[2]Beam '!V$45,0)</f>
        <v>0</v>
      </c>
      <c r="W223" s="8">
        <f>IF($D223='[2]Beam '!W$44,$P223*'[2]Beam '!W$45,0)</f>
        <v>0</v>
      </c>
      <c r="X223" s="8">
        <f t="shared" si="46"/>
        <v>37.303200000000004</v>
      </c>
      <c r="Y223" s="14"/>
      <c r="Z223" s="8"/>
      <c r="AA223" s="8"/>
      <c r="AB223" s="8"/>
      <c r="AC223" s="8"/>
      <c r="AD223" s="8"/>
      <c r="AE223" s="8"/>
    </row>
    <row r="224" spans="1:32" s="10" customFormat="1" ht="21" customHeight="1" x14ac:dyDescent="0.25">
      <c r="A224" s="14"/>
      <c r="B224" s="8" t="s">
        <v>2</v>
      </c>
      <c r="C224" s="13" t="s">
        <v>15</v>
      </c>
      <c r="D224" s="14">
        <f>D222</f>
        <v>12</v>
      </c>
      <c r="E224" s="14">
        <f>+E222</f>
        <v>0.1</v>
      </c>
      <c r="F224" s="8">
        <f>ROUND(IF(E214/3&gt;(2*G214),(E214/3)/E224,(2*G214)/E224),0)*2+1</f>
        <v>51</v>
      </c>
      <c r="H224" s="14"/>
      <c r="I224" s="14"/>
      <c r="J224" s="14"/>
      <c r="K224" s="14"/>
      <c r="L224" s="14"/>
      <c r="M224" s="14"/>
      <c r="N224" s="14"/>
      <c r="O224" s="8">
        <f>(2*(((F214-'[2]Beam '!$D$11*2)/(F215-1))+(G214-'[2]Beam '!$D$11*2))+(2*10*D224/1000))*D214</f>
        <v>1.58</v>
      </c>
      <c r="P224" s="8">
        <f t="shared" si="45"/>
        <v>80.58</v>
      </c>
      <c r="Q224" s="8">
        <f>IF($D224='[2]Beam '!Q$44,$P224*'[2]Beam '!Q$45,0)</f>
        <v>0</v>
      </c>
      <c r="R224" s="8">
        <f>IF($D224='[2]Beam '!R$44,$P224*'[2]Beam '!R$45,0)</f>
        <v>0</v>
      </c>
      <c r="S224" s="8">
        <f>IF($D224='[2]Beam '!S$44,$P224*'[2]Beam '!S$45,0)</f>
        <v>71.568853714285723</v>
      </c>
      <c r="T224" s="8">
        <f>IF($D224='[2]Beam '!T$44,$P224*'[2]Beam '!T$45,0)</f>
        <v>0</v>
      </c>
      <c r="U224" s="8">
        <f>IF($D224='[2]Beam '!U$44,$P224*'[2]Beam '!U$45,0)</f>
        <v>0</v>
      </c>
      <c r="V224" s="8">
        <f>IF($D224='[2]Beam '!V$44,$P224*'[2]Beam '!V$45,0)</f>
        <v>0</v>
      </c>
      <c r="W224" s="8">
        <f>IF($D224='[2]Beam '!W$44,$P224*'[2]Beam '!W$45,0)</f>
        <v>0</v>
      </c>
      <c r="X224" s="8">
        <f t="shared" si="46"/>
        <v>71.568853714285723</v>
      </c>
      <c r="Y224" s="14"/>
      <c r="Z224" s="8"/>
      <c r="AA224" s="8"/>
      <c r="AB224" s="8"/>
      <c r="AC224" s="8"/>
      <c r="AD224" s="8"/>
      <c r="AE224" s="8"/>
      <c r="AF224" s="8"/>
    </row>
    <row r="225" spans="1:32" s="10" customFormat="1" ht="20.100000000000001" customHeight="1" x14ac:dyDescent="0.25">
      <c r="A225" s="14"/>
      <c r="B225" s="8" t="s">
        <v>2</v>
      </c>
      <c r="C225" s="13" t="s">
        <v>16</v>
      </c>
      <c r="D225" s="14">
        <f>D223</f>
        <v>12</v>
      </c>
      <c r="E225" s="14">
        <f>+E223</f>
        <v>0.125</v>
      </c>
      <c r="F225" s="14">
        <f>ROUND((E214-(IF(E214/3&gt;2*G214,E214/3*2,G214*2*2)))/E225,0)</f>
        <v>20</v>
      </c>
      <c r="H225" s="14"/>
      <c r="I225" s="14"/>
      <c r="J225" s="14"/>
      <c r="K225" s="14"/>
      <c r="L225" s="14"/>
      <c r="M225" s="14"/>
      <c r="N225" s="14"/>
      <c r="O225" s="8">
        <f>(2*(((F214-'[2]Beam '!$D$11*2)/(F215-1))+(G214-'[2]Beam '!$D$11*2))+(2*10*D225/1000))*D214</f>
        <v>1.58</v>
      </c>
      <c r="P225" s="8">
        <f t="shared" si="45"/>
        <v>31.6</v>
      </c>
      <c r="Q225" s="8">
        <f>IF($D225='[2]Beam '!Q$44,$P225*'[2]Beam '!Q$45,0)</f>
        <v>0</v>
      </c>
      <c r="R225" s="8">
        <f>IF($D225='[2]Beam '!R$44,$P225*'[2]Beam '!R$45,0)</f>
        <v>0</v>
      </c>
      <c r="S225" s="8">
        <f>IF($D225='[2]Beam '!S$44,$P225*'[2]Beam '!S$45,0)</f>
        <v>28.066217142857148</v>
      </c>
      <c r="T225" s="8">
        <f>IF($D225='[2]Beam '!T$44,$P225*'[2]Beam '!T$45,0)</f>
        <v>0</v>
      </c>
      <c r="U225" s="8">
        <f>IF($D225='[2]Beam '!U$44,$P225*'[2]Beam '!U$45,0)</f>
        <v>0</v>
      </c>
      <c r="V225" s="8">
        <f>IF($D225='[2]Beam '!V$44,$P225*'[2]Beam '!V$45,0)</f>
        <v>0</v>
      </c>
      <c r="W225" s="8">
        <f>IF($D225='[2]Beam '!W$44,$P225*'[2]Beam '!W$45,0)</f>
        <v>0</v>
      </c>
      <c r="X225" s="8">
        <f t="shared" si="46"/>
        <v>28.066217142857148</v>
      </c>
      <c r="Y225" s="14"/>
      <c r="Z225" s="8"/>
      <c r="AA225" s="8"/>
      <c r="AB225" s="8"/>
      <c r="AC225" s="8"/>
      <c r="AD225" s="8"/>
      <c r="AE225" s="8"/>
    </row>
    <row r="226" spans="1:32" s="10" customFormat="1" ht="20.100000000000001" customHeight="1" x14ac:dyDescent="0.25">
      <c r="A226" s="7"/>
      <c r="B226" s="8" t="s">
        <v>2</v>
      </c>
      <c r="C226" s="13" t="s">
        <v>10</v>
      </c>
      <c r="D226" s="8">
        <f>+'[2]Beam '!$D$15</f>
        <v>25</v>
      </c>
      <c r="E226" s="8">
        <f>+'[2]Beam '!$E$15</f>
        <v>1</v>
      </c>
      <c r="F226" s="8">
        <f>ROUNDUP((3.9+1.95)/E226,0)</f>
        <v>6</v>
      </c>
      <c r="G226" s="9"/>
      <c r="H226" s="9"/>
      <c r="I226" s="8"/>
      <c r="J226" s="8"/>
      <c r="K226" s="8"/>
      <c r="L226" s="8"/>
      <c r="M226" s="8"/>
      <c r="N226" s="8"/>
      <c r="O226" s="8">
        <f>F214-'[2]Beam '!$F$15</f>
        <v>0.39</v>
      </c>
      <c r="P226" s="8">
        <f t="shared" si="45"/>
        <v>2.34</v>
      </c>
      <c r="Q226" s="8">
        <f>IF($D226='[2]Beam '!Q$44,$P226*'[2]Beam '!Q$45,0)</f>
        <v>0</v>
      </c>
      <c r="R226" s="8">
        <f>IF($D226='[2]Beam '!R$44,$P226*'[2]Beam '!R$45,0)</f>
        <v>0</v>
      </c>
      <c r="S226" s="8">
        <f>IF($D226='[2]Beam '!S$44,$P226*'[2]Beam '!S$45,0)</f>
        <v>0</v>
      </c>
      <c r="T226" s="8">
        <f>IF($D226='[2]Beam '!T$44,$P226*'[2]Beam '!T$45,0)</f>
        <v>0</v>
      </c>
      <c r="U226" s="8">
        <f>IF($D226='[2]Beam '!U$44,$P226*'[2]Beam '!U$45,0)</f>
        <v>0</v>
      </c>
      <c r="V226" s="8">
        <f>IF($D226='[2]Beam '!V$44,$P226*'[2]Beam '!V$45,0)</f>
        <v>9.0204910714285731</v>
      </c>
      <c r="W226" s="8">
        <f>IF($D226='[2]Beam '!W$44,$P226*'[2]Beam '!W$45,0)</f>
        <v>0</v>
      </c>
      <c r="X226" s="8">
        <f t="shared" si="46"/>
        <v>9.0204910714285731</v>
      </c>
      <c r="Y226" s="8"/>
      <c r="Z226" s="8"/>
      <c r="AA226" s="8"/>
      <c r="AB226" s="8"/>
      <c r="AC226" s="8"/>
      <c r="AD226" s="8"/>
      <c r="AE226" s="8"/>
    </row>
    <row r="227" spans="1:32" s="10" customFormat="1" ht="20.100000000000001" customHeight="1" x14ac:dyDescent="0.25">
      <c r="A227" s="8">
        <v>1</v>
      </c>
      <c r="B227" s="8" t="s">
        <v>2</v>
      </c>
      <c r="C227" s="11" t="s">
        <v>36</v>
      </c>
      <c r="D227" s="11">
        <v>1</v>
      </c>
      <c r="E227" s="11">
        <v>13.496</v>
      </c>
      <c r="F227" s="11">
        <v>0.45</v>
      </c>
      <c r="G227" s="11">
        <v>0.6</v>
      </c>
      <c r="H227" s="8">
        <f>G227-0.2</f>
        <v>0.39999999999999997</v>
      </c>
      <c r="I227" s="8">
        <f>E227*F227*G227*D227</f>
        <v>3.6439199999999996</v>
      </c>
      <c r="J227" s="8">
        <f>(2*(E227)*H227*D227)+(E227*F227)</f>
        <v>16.869999999999997</v>
      </c>
      <c r="K227" s="12">
        <f>IF(E227=0.3,J227,0)</f>
        <v>0</v>
      </c>
      <c r="L227" s="12">
        <f>IF(AND(E227&gt;0.3,E227&lt;=0.75),J227,0)</f>
        <v>0</v>
      </c>
      <c r="M227" s="12">
        <f>IF(AND(E227&gt;0.75,E227&lt;=1.2),J227,0)</f>
        <v>0</v>
      </c>
      <c r="N227" s="12">
        <f>IF(E227&gt;1.2,J227,0)</f>
        <v>16.869999999999997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>
        <f>SUM(X228:X236)/I227</f>
        <v>333.09651364464651</v>
      </c>
      <c r="Z227" s="8"/>
      <c r="AA227" s="8"/>
      <c r="AB227" s="8"/>
      <c r="AC227" s="8"/>
      <c r="AD227" s="8"/>
      <c r="AE227" s="8"/>
    </row>
    <row r="228" spans="1:32" s="10" customFormat="1" ht="20.100000000000001" customHeight="1" x14ac:dyDescent="0.25">
      <c r="A228" s="7"/>
      <c r="B228" s="8" t="s">
        <v>2</v>
      </c>
      <c r="C228" s="13" t="s">
        <v>4</v>
      </c>
      <c r="D228" s="8">
        <v>25</v>
      </c>
      <c r="E228" s="8"/>
      <c r="F228" s="8">
        <v>4</v>
      </c>
      <c r="G228" s="9">
        <f>VLOOKUP(D228,'[2]Beam '!$C$20:$H$26,3,0)</f>
        <v>1</v>
      </c>
      <c r="H228" s="9"/>
      <c r="I228" s="8"/>
      <c r="J228" s="8"/>
      <c r="K228" s="8"/>
      <c r="L228" s="8"/>
      <c r="M228" s="8"/>
      <c r="N228" s="8"/>
      <c r="O228" s="8">
        <f>(E227+1*(G228+(12*D228/1000))+(0.3/2)*D227)</f>
        <v>14.946000000000002</v>
      </c>
      <c r="P228" s="8">
        <f t="shared" ref="P228:P237" si="47">O228*F228</f>
        <v>59.784000000000006</v>
      </c>
      <c r="Q228" s="8">
        <f>IF($D228='[2]Beam '!Q$44,$P228*'[2]Beam '!Q$45,0)</f>
        <v>0</v>
      </c>
      <c r="R228" s="8">
        <f>IF($D228='[2]Beam '!R$44,$P228*'[2]Beam '!R$45,0)</f>
        <v>0</v>
      </c>
      <c r="S228" s="8">
        <f>IF($D228='[2]Beam '!S$44,$P228*'[2]Beam '!S$45,0)</f>
        <v>0</v>
      </c>
      <c r="T228" s="8">
        <f>IF($D228='[2]Beam '!T$44,$P228*'[2]Beam '!T$45,0)</f>
        <v>0</v>
      </c>
      <c r="U228" s="8">
        <f>IF($D228='[2]Beam '!U$44,$P228*'[2]Beam '!U$45,0)</f>
        <v>0</v>
      </c>
      <c r="V228" s="8">
        <f>IF($D228='[2]Beam '!V$44,$P228*'[2]Beam '!V$45,0)</f>
        <v>230.46198214285721</v>
      </c>
      <c r="W228" s="8">
        <f>IF($D228='[2]Beam '!W$44,$P228*'[2]Beam '!W$45,0)</f>
        <v>0</v>
      </c>
      <c r="X228" s="8">
        <f t="shared" ref="X228:X237" si="48">SUM(Q228:W228)</f>
        <v>230.46198214285721</v>
      </c>
      <c r="Y228" s="8"/>
      <c r="Z228" s="8"/>
      <c r="AA228" s="8"/>
      <c r="AB228" s="8"/>
      <c r="AC228" s="8"/>
      <c r="AD228" s="8"/>
      <c r="AE228" s="8"/>
    </row>
    <row r="229" spans="1:32" s="10" customFormat="1" ht="20.100000000000001" customHeight="1" x14ac:dyDescent="0.25">
      <c r="A229" s="7"/>
      <c r="B229" s="8" t="s">
        <v>2</v>
      </c>
      <c r="C229" s="13" t="s">
        <v>5</v>
      </c>
      <c r="D229" s="8">
        <v>32</v>
      </c>
      <c r="E229" s="8"/>
      <c r="F229" s="8">
        <v>4</v>
      </c>
      <c r="G229" s="9">
        <f>VLOOKUP(D229,'[2]Beam '!$C$20:$H$26,3,0)</f>
        <v>1.25</v>
      </c>
      <c r="H229" s="9"/>
      <c r="I229" s="8"/>
      <c r="J229" s="8"/>
      <c r="K229" s="8"/>
      <c r="L229" s="8"/>
      <c r="M229" s="8"/>
      <c r="N229" s="8"/>
      <c r="O229" s="8">
        <f>(3.5+1*(0.3/2)*D227)</f>
        <v>3.65</v>
      </c>
      <c r="P229" s="8">
        <f t="shared" si="47"/>
        <v>14.6</v>
      </c>
      <c r="Q229" s="8">
        <f>IF($D229='[2]Beam '!Q$44,$P229*'[2]Beam '!Q$45,0)</f>
        <v>0</v>
      </c>
      <c r="R229" s="8">
        <f>IF($D229='[2]Beam '!R$44,$P229*'[2]Beam '!R$45,0)</f>
        <v>0</v>
      </c>
      <c r="S229" s="8">
        <f>IF($D229='[2]Beam '!S$44,$P229*'[2]Beam '!S$45,0)</f>
        <v>0</v>
      </c>
      <c r="T229" s="8">
        <f>IF($D229='[2]Beam '!T$44,$P229*'[2]Beam '!T$45,0)</f>
        <v>0</v>
      </c>
      <c r="U229" s="8">
        <f>IF($D229='[2]Beam '!U$44,$P229*'[2]Beam '!U$45,0)</f>
        <v>0</v>
      </c>
      <c r="V229" s="8">
        <f>IF($D229='[2]Beam '!V$44,$P229*'[2]Beam '!V$45,0)</f>
        <v>0</v>
      </c>
      <c r="W229" s="8">
        <f>IF($D229='[2]Beam '!W$44,$P229*'[2]Beam '!W$45,0)</f>
        <v>92.211931428571432</v>
      </c>
      <c r="X229" s="8">
        <f t="shared" si="48"/>
        <v>92.211931428571432</v>
      </c>
      <c r="Y229" s="8"/>
      <c r="Z229" s="8"/>
      <c r="AA229" s="8"/>
      <c r="AB229" s="8"/>
      <c r="AC229" s="8"/>
      <c r="AD229" s="8"/>
      <c r="AE229" s="8"/>
    </row>
    <row r="230" spans="1:32" s="10" customFormat="1" ht="20.100000000000001" customHeight="1" x14ac:dyDescent="0.25">
      <c r="A230" s="7"/>
      <c r="B230" s="8" t="s">
        <v>2</v>
      </c>
      <c r="C230" s="13" t="s">
        <v>5</v>
      </c>
      <c r="D230" s="8">
        <v>25</v>
      </c>
      <c r="E230" s="8"/>
      <c r="F230" s="8">
        <v>4</v>
      </c>
      <c r="G230" s="9">
        <f>VLOOKUP(D230,'[2]Beam '!$C$20:$H$26,3,0)</f>
        <v>1</v>
      </c>
      <c r="H230" s="9"/>
      <c r="I230" s="8"/>
      <c r="J230" s="8"/>
      <c r="K230" s="8"/>
      <c r="L230" s="8"/>
      <c r="M230" s="8"/>
      <c r="N230" s="8"/>
      <c r="O230" s="8">
        <f>(2.1+1*(0.3/2)*D227)</f>
        <v>2.25</v>
      </c>
      <c r="P230" s="8">
        <f t="shared" si="47"/>
        <v>9</v>
      </c>
      <c r="Q230" s="8">
        <f>IF($D230='[2]Beam '!Q$44,$P230*'[2]Beam '!Q$45,0)</f>
        <v>0</v>
      </c>
      <c r="R230" s="8">
        <f>IF($D230='[2]Beam '!R$44,$P230*'[2]Beam '!R$45,0)</f>
        <v>0</v>
      </c>
      <c r="S230" s="8">
        <f>IF($D230='[2]Beam '!S$44,$P230*'[2]Beam '!S$45,0)</f>
        <v>0</v>
      </c>
      <c r="T230" s="8">
        <f>IF($D230='[2]Beam '!T$44,$P230*'[2]Beam '!T$45,0)</f>
        <v>0</v>
      </c>
      <c r="U230" s="8">
        <f>IF($D230='[2]Beam '!U$44,$P230*'[2]Beam '!U$45,0)</f>
        <v>0</v>
      </c>
      <c r="V230" s="8">
        <f>IF($D230='[2]Beam '!V$44,$P230*'[2]Beam '!V$45,0)</f>
        <v>34.694196428571431</v>
      </c>
      <c r="W230" s="8">
        <f>IF($D230='[2]Beam '!W$44,$P230*'[2]Beam '!W$45,0)</f>
        <v>0</v>
      </c>
      <c r="X230" s="8">
        <f t="shared" si="48"/>
        <v>34.694196428571431</v>
      </c>
      <c r="Y230" s="8"/>
      <c r="Z230" s="8"/>
      <c r="AA230" s="8"/>
      <c r="AB230" s="8"/>
      <c r="AC230" s="8"/>
      <c r="AD230" s="8"/>
      <c r="AE230" s="8"/>
    </row>
    <row r="231" spans="1:32" s="14" customFormat="1" ht="20.100000000000001" customHeight="1" x14ac:dyDescent="0.3">
      <c r="A231" s="7"/>
      <c r="B231" s="8" t="s">
        <v>2</v>
      </c>
      <c r="C231" s="13" t="s">
        <v>6</v>
      </c>
      <c r="D231" s="8">
        <v>25</v>
      </c>
      <c r="E231" s="8"/>
      <c r="F231" s="8">
        <v>4</v>
      </c>
      <c r="G231" s="9">
        <f>VLOOKUP(D231,'[2]Beam '!$C$20:$H$26,3,0)</f>
        <v>1</v>
      </c>
      <c r="H231" s="8"/>
      <c r="I231" s="8"/>
      <c r="J231" s="8"/>
      <c r="K231" s="8"/>
      <c r="L231" s="8"/>
      <c r="M231" s="8"/>
      <c r="N231" s="8"/>
      <c r="O231" s="8">
        <f>(E227+1*(G231+(12*D231/1000))+1*(0.3/2)*D227)</f>
        <v>14.946000000000002</v>
      </c>
      <c r="P231" s="8">
        <f t="shared" si="47"/>
        <v>59.784000000000006</v>
      </c>
      <c r="Q231" s="8">
        <f>IF($D231='[2]Beam '!Q$44,$P231*'[2]Beam '!Q$45,0)</f>
        <v>0</v>
      </c>
      <c r="R231" s="8">
        <f>IF($D231='[2]Beam '!R$44,$P231*'[2]Beam '!R$45,0)</f>
        <v>0</v>
      </c>
      <c r="S231" s="8">
        <f>IF($D231='[2]Beam '!S$44,$P231*'[2]Beam '!S$45,0)</f>
        <v>0</v>
      </c>
      <c r="T231" s="8">
        <f>IF($D231='[2]Beam '!T$44,$P231*'[2]Beam '!T$45,0)</f>
        <v>0</v>
      </c>
      <c r="U231" s="8">
        <f>IF($D231='[2]Beam '!U$44,$P231*'[2]Beam '!U$45,0)</f>
        <v>0</v>
      </c>
      <c r="V231" s="8">
        <f>IF($D231='[2]Beam '!V$44,$P231*'[2]Beam '!V$45,0)</f>
        <v>230.46198214285721</v>
      </c>
      <c r="W231" s="8">
        <f>IF($D231='[2]Beam '!W$44,$P231*'[2]Beam '!W$45,0)</f>
        <v>0</v>
      </c>
      <c r="X231" s="8">
        <f t="shared" si="48"/>
        <v>230.46198214285721</v>
      </c>
      <c r="Y231" s="8"/>
    </row>
    <row r="232" spans="1:32" s="14" customFormat="1" ht="20.100000000000001" customHeight="1" x14ac:dyDescent="0.3">
      <c r="A232" s="7"/>
      <c r="B232" s="8" t="s">
        <v>2</v>
      </c>
      <c r="C232" s="13" t="s">
        <v>6</v>
      </c>
      <c r="D232" s="8">
        <v>25</v>
      </c>
      <c r="E232" s="8"/>
      <c r="F232" s="8">
        <v>4</v>
      </c>
      <c r="G232" s="9">
        <f>VLOOKUP(D232,'[2]Beam '!$C$20:$H$26,3,0)</f>
        <v>1</v>
      </c>
      <c r="H232" s="8"/>
      <c r="I232" s="8"/>
      <c r="J232" s="8"/>
      <c r="K232" s="8"/>
      <c r="L232" s="8"/>
      <c r="M232" s="8"/>
      <c r="N232" s="8"/>
      <c r="O232" s="8">
        <f>(E227+1*(G232+(12*D232/1000))+1*(0.3/2)*D227)</f>
        <v>14.946000000000002</v>
      </c>
      <c r="P232" s="8">
        <f t="shared" si="47"/>
        <v>59.784000000000006</v>
      </c>
      <c r="Q232" s="8">
        <f>IF($D232='[2]Beam '!Q$44,$P232*'[2]Beam '!Q$45,0)</f>
        <v>0</v>
      </c>
      <c r="R232" s="8">
        <f>IF($D232='[2]Beam '!R$44,$P232*'[2]Beam '!R$45,0)</f>
        <v>0</v>
      </c>
      <c r="S232" s="8">
        <f>IF($D232='[2]Beam '!S$44,$P232*'[2]Beam '!S$45,0)</f>
        <v>0</v>
      </c>
      <c r="T232" s="8">
        <f>IF($D232='[2]Beam '!T$44,$P232*'[2]Beam '!T$45,0)</f>
        <v>0</v>
      </c>
      <c r="U232" s="8">
        <f>IF($D232='[2]Beam '!U$44,$P232*'[2]Beam '!U$45,0)</f>
        <v>0</v>
      </c>
      <c r="V232" s="8">
        <f>IF($D232='[2]Beam '!V$44,$P232*'[2]Beam '!V$45,0)</f>
        <v>230.46198214285721</v>
      </c>
      <c r="W232" s="8">
        <f>IF($D232='[2]Beam '!W$44,$P232*'[2]Beam '!W$45,0)</f>
        <v>0</v>
      </c>
      <c r="X232" s="8">
        <f t="shared" si="48"/>
        <v>230.46198214285721</v>
      </c>
      <c r="Y232" s="8"/>
    </row>
    <row r="233" spans="1:32" s="14" customFormat="1" ht="20.100000000000001" customHeight="1" x14ac:dyDescent="0.25">
      <c r="A233" s="7"/>
      <c r="B233" s="8" t="s">
        <v>2</v>
      </c>
      <c r="C233" s="13" t="s">
        <v>13</v>
      </c>
      <c r="D233" s="8">
        <v>12</v>
      </c>
      <c r="E233" s="8">
        <v>0.1</v>
      </c>
      <c r="F233" s="8">
        <f>ROUND(IF(E227/3&gt;(2*G227),(E227/3)/E233,(2*G227)/E233),0)*2+1</f>
        <v>91</v>
      </c>
      <c r="G233" s="10"/>
      <c r="H233" s="8"/>
      <c r="I233" s="8"/>
      <c r="J233" s="8"/>
      <c r="K233" s="8"/>
      <c r="L233" s="8"/>
      <c r="M233" s="8"/>
      <c r="N233" s="8"/>
      <c r="O233" s="8">
        <f>(2*((G227-(2*'[2]Beam '!$D$11))+(F227-(2*'[2]Beam '!$D$11)))+(2*10*D233/1000))*D227</f>
        <v>2.1</v>
      </c>
      <c r="P233" s="8">
        <f t="shared" si="47"/>
        <v>191.1</v>
      </c>
      <c r="Q233" s="8">
        <f>IF($D233='[2]Beam '!Q$44,$P233*'[2]Beam '!Q$45,0)</f>
        <v>0</v>
      </c>
      <c r="R233" s="8">
        <f>IF($D233='[2]Beam '!R$44,$P233*'[2]Beam '!R$45,0)</f>
        <v>0</v>
      </c>
      <c r="S233" s="8">
        <f>IF($D233='[2]Beam '!S$44,$P233*'[2]Beam '!S$45,0)</f>
        <v>169.72956000000002</v>
      </c>
      <c r="T233" s="8">
        <f>IF($D233='[2]Beam '!T$44,$P233*'[2]Beam '!T$45,0)</f>
        <v>0</v>
      </c>
      <c r="U233" s="8">
        <f>IF($D233='[2]Beam '!U$44,$P233*'[2]Beam '!U$45,0)</f>
        <v>0</v>
      </c>
      <c r="V233" s="8">
        <f>IF($D233='[2]Beam '!V$44,$P233*'[2]Beam '!V$45,0)</f>
        <v>0</v>
      </c>
      <c r="W233" s="8">
        <f>IF($D233='[2]Beam '!W$44,$P233*'[2]Beam '!W$45,0)</f>
        <v>0</v>
      </c>
      <c r="X233" s="8">
        <f t="shared" si="48"/>
        <v>169.72956000000002</v>
      </c>
      <c r="Y233" s="8"/>
    </row>
    <row r="234" spans="1:32" s="10" customFormat="1" ht="20.100000000000001" customHeight="1" x14ac:dyDescent="0.25">
      <c r="A234" s="14"/>
      <c r="B234" s="8" t="s">
        <v>2</v>
      </c>
      <c r="C234" s="13" t="s">
        <v>14</v>
      </c>
      <c r="D234" s="14">
        <f>D233</f>
        <v>12</v>
      </c>
      <c r="E234" s="14">
        <v>0.15</v>
      </c>
      <c r="F234" s="14">
        <f>ROUND((E227-(IF(E227/3&gt;2*G227,E227/3*2,G227*2*2)))/E234,0)</f>
        <v>30</v>
      </c>
      <c r="H234" s="14"/>
      <c r="I234" s="14"/>
      <c r="J234" s="14"/>
      <c r="K234" s="14"/>
      <c r="L234" s="14"/>
      <c r="M234" s="14"/>
      <c r="N234" s="14"/>
      <c r="O234" s="8">
        <f>(2*((G227-(2*'[2]Beam '!$D$11))+(F227-(2*'[2]Beam '!$D$11)))+(2*10*D234/1000))*D227</f>
        <v>2.1</v>
      </c>
      <c r="P234" s="8">
        <f t="shared" si="47"/>
        <v>63</v>
      </c>
      <c r="Q234" s="8">
        <f>IF($D234='[2]Beam '!Q$44,$P234*'[2]Beam '!Q$45,0)</f>
        <v>0</v>
      </c>
      <c r="R234" s="8">
        <f>IF($D234='[2]Beam '!R$44,$P234*'[2]Beam '!R$45,0)</f>
        <v>0</v>
      </c>
      <c r="S234" s="8">
        <f>IF($D234='[2]Beam '!S$44,$P234*'[2]Beam '!S$45,0)</f>
        <v>55.954800000000013</v>
      </c>
      <c r="T234" s="8">
        <f>IF($D234='[2]Beam '!T$44,$P234*'[2]Beam '!T$45,0)</f>
        <v>0</v>
      </c>
      <c r="U234" s="8">
        <f>IF($D234='[2]Beam '!U$44,$P234*'[2]Beam '!U$45,0)</f>
        <v>0</v>
      </c>
      <c r="V234" s="8">
        <f>IF($D234='[2]Beam '!V$44,$P234*'[2]Beam '!V$45,0)</f>
        <v>0</v>
      </c>
      <c r="W234" s="8">
        <f>IF($D234='[2]Beam '!W$44,$P234*'[2]Beam '!W$45,0)</f>
        <v>0</v>
      </c>
      <c r="X234" s="8">
        <f t="shared" si="48"/>
        <v>55.954800000000013</v>
      </c>
      <c r="Y234" s="14"/>
      <c r="Z234" s="8"/>
      <c r="AA234" s="8"/>
      <c r="AB234" s="8"/>
      <c r="AC234" s="8"/>
      <c r="AD234" s="8"/>
      <c r="AE234" s="8"/>
    </row>
    <row r="235" spans="1:32" s="10" customFormat="1" ht="21" customHeight="1" x14ac:dyDescent="0.25">
      <c r="A235" s="14"/>
      <c r="B235" s="8" t="s">
        <v>2</v>
      </c>
      <c r="C235" s="13" t="s">
        <v>15</v>
      </c>
      <c r="D235" s="14">
        <f>D233</f>
        <v>12</v>
      </c>
      <c r="E235" s="14">
        <f>+E233</f>
        <v>0.1</v>
      </c>
      <c r="F235" s="8">
        <f>ROUND(IF(E227/3&gt;(2*G227),(E227/3)/E235,(2*G227)/E235),0)*2+1</f>
        <v>91</v>
      </c>
      <c r="H235" s="14"/>
      <c r="I235" s="14"/>
      <c r="J235" s="14"/>
      <c r="K235" s="14"/>
      <c r="L235" s="14"/>
      <c r="M235" s="14"/>
      <c r="N235" s="14"/>
      <c r="O235" s="8">
        <f>(2*(((F227-'[2]Beam '!$D$11*2)/(F228-1))+(G227-'[2]Beam '!$D$11*2))+(2*10*D235/1000))*D227</f>
        <v>1.58</v>
      </c>
      <c r="P235" s="8">
        <f t="shared" si="47"/>
        <v>143.78</v>
      </c>
      <c r="Q235" s="8">
        <f>IF($D235='[2]Beam '!Q$44,$P235*'[2]Beam '!Q$45,0)</f>
        <v>0</v>
      </c>
      <c r="R235" s="8">
        <f>IF($D235='[2]Beam '!R$44,$P235*'[2]Beam '!R$45,0)</f>
        <v>0</v>
      </c>
      <c r="S235" s="8">
        <f>IF($D235='[2]Beam '!S$44,$P235*'[2]Beam '!S$45,0)</f>
        <v>127.70128800000002</v>
      </c>
      <c r="T235" s="8">
        <f>IF($D235='[2]Beam '!T$44,$P235*'[2]Beam '!T$45,0)</f>
        <v>0</v>
      </c>
      <c r="U235" s="8">
        <f>IF($D235='[2]Beam '!U$44,$P235*'[2]Beam '!U$45,0)</f>
        <v>0</v>
      </c>
      <c r="V235" s="8">
        <f>IF($D235='[2]Beam '!V$44,$P235*'[2]Beam '!V$45,0)</f>
        <v>0</v>
      </c>
      <c r="W235" s="8">
        <f>IF($D235='[2]Beam '!W$44,$P235*'[2]Beam '!W$45,0)</f>
        <v>0</v>
      </c>
      <c r="X235" s="8">
        <f t="shared" si="48"/>
        <v>127.70128800000002</v>
      </c>
      <c r="Y235" s="14"/>
      <c r="Z235" s="8"/>
      <c r="AA235" s="8"/>
      <c r="AB235" s="8"/>
      <c r="AC235" s="8"/>
      <c r="AD235" s="8"/>
      <c r="AE235" s="8"/>
      <c r="AF235" s="8"/>
    </row>
    <row r="236" spans="1:32" s="10" customFormat="1" ht="20.100000000000001" customHeight="1" x14ac:dyDescent="0.25">
      <c r="A236" s="14"/>
      <c r="B236" s="8" t="s">
        <v>2</v>
      </c>
      <c r="C236" s="13" t="s">
        <v>16</v>
      </c>
      <c r="D236" s="14">
        <f>D234</f>
        <v>12</v>
      </c>
      <c r="E236" s="14">
        <f>+E234</f>
        <v>0.15</v>
      </c>
      <c r="F236" s="14">
        <f>ROUND((E227-(IF(E227/3&gt;2*G227,E227/3*2,G227*2*2)))/E236,0)</f>
        <v>30</v>
      </c>
      <c r="H236" s="14"/>
      <c r="I236" s="14"/>
      <c r="J236" s="14"/>
      <c r="K236" s="14"/>
      <c r="L236" s="14"/>
      <c r="M236" s="14"/>
      <c r="N236" s="14"/>
      <c r="O236" s="8">
        <f>(2*(((F227-'[2]Beam '!$D$11*2)/(F228-1))+(G227-'[2]Beam '!$D$11*2))+(2*10*D236/1000))*D227</f>
        <v>1.58</v>
      </c>
      <c r="P236" s="8">
        <f t="shared" si="47"/>
        <v>47.400000000000006</v>
      </c>
      <c r="Q236" s="8">
        <f>IF($D236='[2]Beam '!Q$44,$P236*'[2]Beam '!Q$45,0)</f>
        <v>0</v>
      </c>
      <c r="R236" s="8">
        <f>IF($D236='[2]Beam '!R$44,$P236*'[2]Beam '!R$45,0)</f>
        <v>0</v>
      </c>
      <c r="S236" s="8">
        <f>IF($D236='[2]Beam '!S$44,$P236*'[2]Beam '!S$45,0)</f>
        <v>42.099325714285726</v>
      </c>
      <c r="T236" s="8">
        <f>IF($D236='[2]Beam '!T$44,$P236*'[2]Beam '!T$45,0)</f>
        <v>0</v>
      </c>
      <c r="U236" s="8">
        <f>IF($D236='[2]Beam '!U$44,$P236*'[2]Beam '!U$45,0)</f>
        <v>0</v>
      </c>
      <c r="V236" s="8">
        <f>IF($D236='[2]Beam '!V$44,$P236*'[2]Beam '!V$45,0)</f>
        <v>0</v>
      </c>
      <c r="W236" s="8">
        <f>IF($D236='[2]Beam '!W$44,$P236*'[2]Beam '!W$45,0)</f>
        <v>0</v>
      </c>
      <c r="X236" s="8">
        <f t="shared" si="48"/>
        <v>42.099325714285726</v>
      </c>
      <c r="Y236" s="14"/>
      <c r="Z236" s="8"/>
      <c r="AA236" s="8"/>
      <c r="AB236" s="8"/>
      <c r="AC236" s="8"/>
      <c r="AD236" s="8"/>
      <c r="AE236" s="8"/>
    </row>
    <row r="237" spans="1:32" s="10" customFormat="1" ht="20.100000000000001" customHeight="1" x14ac:dyDescent="0.25">
      <c r="A237" s="7"/>
      <c r="B237" s="8" t="s">
        <v>2</v>
      </c>
      <c r="C237" s="13" t="s">
        <v>10</v>
      </c>
      <c r="D237" s="8">
        <f>+'[2]Beam '!$D$15</f>
        <v>25</v>
      </c>
      <c r="E237" s="8">
        <f>+'[2]Beam '!$E$15</f>
        <v>1</v>
      </c>
      <c r="F237" s="8">
        <f>ROUNDUP((3.5+E227)/E237,0)</f>
        <v>17</v>
      </c>
      <c r="G237" s="9"/>
      <c r="H237" s="9"/>
      <c r="I237" s="8"/>
      <c r="J237" s="8"/>
      <c r="K237" s="8"/>
      <c r="L237" s="8"/>
      <c r="M237" s="8"/>
      <c r="N237" s="8"/>
      <c r="O237" s="8">
        <f>F227-'[2]Beam '!$F$15</f>
        <v>0.39</v>
      </c>
      <c r="P237" s="8">
        <f t="shared" si="47"/>
        <v>6.63</v>
      </c>
      <c r="Q237" s="8">
        <f>IF($D237='[2]Beam '!Q$44,$P237*'[2]Beam '!Q$45,0)</f>
        <v>0</v>
      </c>
      <c r="R237" s="8">
        <f>IF($D237='[2]Beam '!R$44,$P237*'[2]Beam '!R$45,0)</f>
        <v>0</v>
      </c>
      <c r="S237" s="8">
        <f>IF($D237='[2]Beam '!S$44,$P237*'[2]Beam '!S$45,0)</f>
        <v>0</v>
      </c>
      <c r="T237" s="8">
        <f>IF($D237='[2]Beam '!T$44,$P237*'[2]Beam '!T$45,0)</f>
        <v>0</v>
      </c>
      <c r="U237" s="8">
        <f>IF($D237='[2]Beam '!U$44,$P237*'[2]Beam '!U$45,0)</f>
        <v>0</v>
      </c>
      <c r="V237" s="8">
        <f>IF($D237='[2]Beam '!V$44,$P237*'[2]Beam '!V$45,0)</f>
        <v>25.558058035714289</v>
      </c>
      <c r="W237" s="8">
        <f>IF($D237='[2]Beam '!W$44,$P237*'[2]Beam '!W$45,0)</f>
        <v>0</v>
      </c>
      <c r="X237" s="8">
        <f t="shared" si="48"/>
        <v>25.558058035714289</v>
      </c>
      <c r="Y237" s="8"/>
      <c r="Z237" s="8"/>
      <c r="AA237" s="8"/>
      <c r="AB237" s="8"/>
      <c r="AC237" s="8"/>
      <c r="AD237" s="8"/>
      <c r="AE237" s="8"/>
    </row>
    <row r="238" spans="1:32" s="10" customFormat="1" ht="20.100000000000001" customHeight="1" x14ac:dyDescent="0.25">
      <c r="A238" s="8">
        <v>1</v>
      </c>
      <c r="B238" s="8" t="s">
        <v>2</v>
      </c>
      <c r="C238" s="11" t="s">
        <v>37</v>
      </c>
      <c r="D238" s="11">
        <v>1</v>
      </c>
      <c r="E238" s="11">
        <v>6.7919999999999998</v>
      </c>
      <c r="F238" s="11">
        <v>0.45</v>
      </c>
      <c r="G238" s="11">
        <v>0.6</v>
      </c>
      <c r="H238" s="8">
        <f>G238-0.2</f>
        <v>0.39999999999999997</v>
      </c>
      <c r="I238" s="8">
        <f>E238*F238*G238*D238</f>
        <v>1.8338399999999999</v>
      </c>
      <c r="J238" s="8">
        <f>(2*(E238)*H238*D238)+(E238*F238)</f>
        <v>8.4899999999999984</v>
      </c>
      <c r="K238" s="12">
        <f>IF(E238=0.3,J238,0)</f>
        <v>0</v>
      </c>
      <c r="L238" s="12">
        <f>IF(AND(E238&gt;0.3,E238&lt;=0.75),J238,0)</f>
        <v>0</v>
      </c>
      <c r="M238" s="12">
        <f>IF(AND(E238&gt;0.75,E238&lt;=1.2),J238,0)</f>
        <v>0</v>
      </c>
      <c r="N238" s="12">
        <f>IF(E238&gt;1.2,J238,0)</f>
        <v>8.4899999999999984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>
        <f>SUM(X239:X245)/I238</f>
        <v>221.70103252503725</v>
      </c>
      <c r="Z238" s="8"/>
      <c r="AA238" s="8"/>
      <c r="AB238" s="8"/>
      <c r="AC238" s="8"/>
      <c r="AD238" s="8"/>
      <c r="AE238" s="8"/>
    </row>
    <row r="239" spans="1:32" s="10" customFormat="1" ht="20.100000000000001" customHeight="1" x14ac:dyDescent="0.25">
      <c r="A239" s="7"/>
      <c r="B239" s="8" t="s">
        <v>2</v>
      </c>
      <c r="C239" s="13" t="s">
        <v>4</v>
      </c>
      <c r="D239" s="8">
        <v>20</v>
      </c>
      <c r="E239" s="8"/>
      <c r="F239" s="8">
        <v>4</v>
      </c>
      <c r="G239" s="9">
        <f>VLOOKUP(D239,'[2]Beam '!$C$20:$H$26,3,0)</f>
        <v>0.8</v>
      </c>
      <c r="H239" s="9"/>
      <c r="I239" s="8"/>
      <c r="J239" s="8"/>
      <c r="K239" s="8"/>
      <c r="L239" s="8"/>
      <c r="M239" s="8"/>
      <c r="N239" s="8"/>
      <c r="O239" s="8">
        <f>(E238+1*(G239+(12*D239/1000))*1*(0.5/2)*D238)</f>
        <v>7.0519999999999996</v>
      </c>
      <c r="P239" s="8">
        <f t="shared" ref="P239:P248" si="49">O239*F239</f>
        <v>28.207999999999998</v>
      </c>
      <c r="Q239" s="8">
        <f>IF($D239='[2]Beam '!Q$44,$P239*'[2]Beam '!Q$45,0)</f>
        <v>0</v>
      </c>
      <c r="R239" s="8">
        <f>IF($D239='[2]Beam '!R$44,$P239*'[2]Beam '!R$45,0)</f>
        <v>0</v>
      </c>
      <c r="S239" s="8">
        <f>IF($D239='[2]Beam '!S$44,$P239*'[2]Beam '!S$45,0)</f>
        <v>0</v>
      </c>
      <c r="T239" s="8">
        <f>IF($D239='[2]Beam '!T$44,$P239*'[2]Beam '!T$45,0)</f>
        <v>0</v>
      </c>
      <c r="U239" s="8">
        <f>IF($D239='[2]Beam '!U$44,$P239*'[2]Beam '!U$45,0)</f>
        <v>69.593165714285703</v>
      </c>
      <c r="V239" s="8">
        <f>IF($D239='[2]Beam '!V$44,$P239*'[2]Beam '!V$45,0)</f>
        <v>0</v>
      </c>
      <c r="W239" s="8">
        <f>IF($D239='[2]Beam '!W$44,$P239*'[2]Beam '!W$45,0)</f>
        <v>0</v>
      </c>
      <c r="X239" s="8">
        <f t="shared" ref="X239:X248" si="50">SUM(Q239:W239)</f>
        <v>69.593165714285703</v>
      </c>
      <c r="Y239" s="8"/>
      <c r="Z239" s="8"/>
      <c r="AA239" s="8"/>
      <c r="AB239" s="8"/>
      <c r="AC239" s="8"/>
      <c r="AD239" s="8"/>
      <c r="AE239" s="8"/>
    </row>
    <row r="240" spans="1:32" s="10" customFormat="1" ht="20.100000000000001" customHeight="1" x14ac:dyDescent="0.25">
      <c r="A240" s="7"/>
      <c r="B240" s="8" t="s">
        <v>2</v>
      </c>
      <c r="C240" s="13" t="s">
        <v>5</v>
      </c>
      <c r="D240" s="8">
        <v>25</v>
      </c>
      <c r="E240" s="8"/>
      <c r="F240" s="8">
        <v>4</v>
      </c>
      <c r="G240" s="9">
        <f>VLOOKUP(D240,'[2]Beam '!$C$20:$H$26,3,0)</f>
        <v>1</v>
      </c>
      <c r="H240" s="9"/>
      <c r="I240" s="8"/>
      <c r="J240" s="8"/>
      <c r="K240" s="8"/>
      <c r="L240" s="8"/>
      <c r="M240" s="8"/>
      <c r="N240" s="8"/>
      <c r="O240" s="8">
        <f>(1.75+1*(G240+(12*D240/1000))*D238)</f>
        <v>3.05</v>
      </c>
      <c r="P240" s="8">
        <f t="shared" si="49"/>
        <v>12.2</v>
      </c>
      <c r="Q240" s="8">
        <f>IF($D240='[2]Beam '!Q$44,$P240*'[2]Beam '!Q$45,0)</f>
        <v>0</v>
      </c>
      <c r="R240" s="8">
        <f>IF($D240='[2]Beam '!R$44,$P240*'[2]Beam '!R$45,0)</f>
        <v>0</v>
      </c>
      <c r="S240" s="8">
        <f>IF($D240='[2]Beam '!S$44,$P240*'[2]Beam '!S$45,0)</f>
        <v>0</v>
      </c>
      <c r="T240" s="8">
        <f>IF($D240='[2]Beam '!T$44,$P240*'[2]Beam '!T$45,0)</f>
        <v>0</v>
      </c>
      <c r="U240" s="8">
        <f>IF($D240='[2]Beam '!U$44,$P240*'[2]Beam '!U$45,0)</f>
        <v>0</v>
      </c>
      <c r="V240" s="8">
        <f>IF($D240='[2]Beam '!V$44,$P240*'[2]Beam '!V$45,0)</f>
        <v>47.02991071428572</v>
      </c>
      <c r="W240" s="8">
        <f>IF($D240='[2]Beam '!W$44,$P240*'[2]Beam '!W$45,0)</f>
        <v>0</v>
      </c>
      <c r="X240" s="8">
        <f t="shared" si="50"/>
        <v>47.02991071428572</v>
      </c>
      <c r="Y240" s="8"/>
      <c r="Z240" s="8"/>
      <c r="AA240" s="8"/>
      <c r="AB240" s="8"/>
      <c r="AC240" s="8"/>
      <c r="AD240" s="8"/>
      <c r="AE240" s="8"/>
    </row>
    <row r="241" spans="1:32" s="10" customFormat="1" ht="20.100000000000001" customHeight="1" x14ac:dyDescent="0.25">
      <c r="A241" s="7"/>
      <c r="B241" s="8" t="s">
        <v>2</v>
      </c>
      <c r="C241" s="13" t="s">
        <v>5</v>
      </c>
      <c r="D241" s="8">
        <v>20</v>
      </c>
      <c r="E241" s="8"/>
      <c r="F241" s="8">
        <v>4</v>
      </c>
      <c r="G241" s="9">
        <f>VLOOKUP(D241,'[2]Beam '!$C$20:$H$26,3,0)</f>
        <v>0.8</v>
      </c>
      <c r="H241" s="9"/>
      <c r="I241" s="8"/>
      <c r="J241" s="8"/>
      <c r="K241" s="8"/>
      <c r="L241" s="8"/>
      <c r="M241" s="8"/>
      <c r="N241" s="8"/>
      <c r="O241" s="8">
        <f>(1.05+1*(G241+(12*D241/1000))*D238)</f>
        <v>2.09</v>
      </c>
      <c r="P241" s="8">
        <f t="shared" si="49"/>
        <v>8.36</v>
      </c>
      <c r="Q241" s="8">
        <f>IF($D241='[2]Beam '!Q$44,$P241*'[2]Beam '!Q$45,0)</f>
        <v>0</v>
      </c>
      <c r="R241" s="8">
        <f>IF($D241='[2]Beam '!R$44,$P241*'[2]Beam '!R$45,0)</f>
        <v>0</v>
      </c>
      <c r="S241" s="8">
        <f>IF($D241='[2]Beam '!S$44,$P241*'[2]Beam '!S$45,0)</f>
        <v>0</v>
      </c>
      <c r="T241" s="8">
        <f>IF($D241='[2]Beam '!T$44,$P241*'[2]Beam '!T$45,0)</f>
        <v>0</v>
      </c>
      <c r="U241" s="8">
        <f>IF($D241='[2]Beam '!U$44,$P241*'[2]Beam '!U$45,0)</f>
        <v>20.625314285714285</v>
      </c>
      <c r="V241" s="8">
        <f>IF($D241='[2]Beam '!V$44,$P241*'[2]Beam '!V$45,0)</f>
        <v>0</v>
      </c>
      <c r="W241" s="8">
        <f>IF($D241='[2]Beam '!W$44,$P241*'[2]Beam '!W$45,0)</f>
        <v>0</v>
      </c>
      <c r="X241" s="8">
        <f t="shared" si="50"/>
        <v>20.625314285714285</v>
      </c>
      <c r="Y241" s="8"/>
      <c r="Z241" s="8"/>
      <c r="AA241" s="8"/>
      <c r="AB241" s="8"/>
      <c r="AC241" s="8"/>
      <c r="AD241" s="8"/>
      <c r="AE241" s="8"/>
    </row>
    <row r="242" spans="1:32" s="14" customFormat="1" ht="20.100000000000001" customHeight="1" x14ac:dyDescent="0.3">
      <c r="A242" s="7"/>
      <c r="B242" s="8" t="s">
        <v>2</v>
      </c>
      <c r="C242" s="13" t="s">
        <v>6</v>
      </c>
      <c r="D242" s="8">
        <v>25</v>
      </c>
      <c r="E242" s="8"/>
      <c r="F242" s="8">
        <v>4</v>
      </c>
      <c r="G242" s="9">
        <f>VLOOKUP(D242,'[2]Beam '!$C$20:$H$26,3,0)</f>
        <v>1</v>
      </c>
      <c r="H242" s="8"/>
      <c r="I242" s="8"/>
      <c r="J242" s="8"/>
      <c r="K242" s="8"/>
      <c r="L242" s="8"/>
      <c r="M242" s="8"/>
      <c r="N242" s="8"/>
      <c r="O242" s="8">
        <f>(E238+1*(G242+(12*D242/1000))+1*(0.5/2)*D238)</f>
        <v>8.3420000000000005</v>
      </c>
      <c r="P242" s="8">
        <f t="shared" si="49"/>
        <v>33.368000000000002</v>
      </c>
      <c r="Q242" s="8">
        <f>IF($D242='[2]Beam '!Q$44,$P242*'[2]Beam '!Q$45,0)</f>
        <v>0</v>
      </c>
      <c r="R242" s="8">
        <f>IF($D242='[2]Beam '!R$44,$P242*'[2]Beam '!R$45,0)</f>
        <v>0</v>
      </c>
      <c r="S242" s="8">
        <f>IF($D242='[2]Beam '!S$44,$P242*'[2]Beam '!S$45,0)</f>
        <v>0</v>
      </c>
      <c r="T242" s="8">
        <f>IF($D242='[2]Beam '!T$44,$P242*'[2]Beam '!T$45,0)</f>
        <v>0</v>
      </c>
      <c r="U242" s="8">
        <f>IF($D242='[2]Beam '!U$44,$P242*'[2]Beam '!U$45,0)</f>
        <v>0</v>
      </c>
      <c r="V242" s="8">
        <f>IF($D242='[2]Beam '!V$44,$P242*'[2]Beam '!V$45,0)</f>
        <v>128.63066071428574</v>
      </c>
      <c r="W242" s="8">
        <f>IF($D242='[2]Beam '!W$44,$P242*'[2]Beam '!W$45,0)</f>
        <v>0</v>
      </c>
      <c r="X242" s="8">
        <f t="shared" si="50"/>
        <v>128.63066071428574</v>
      </c>
      <c r="Y242" s="8"/>
    </row>
    <row r="243" spans="1:32" s="14" customFormat="1" ht="20.100000000000001" customHeight="1" x14ac:dyDescent="0.3">
      <c r="A243" s="7"/>
      <c r="B243" s="8" t="s">
        <v>2</v>
      </c>
      <c r="C243" s="13" t="s">
        <v>7</v>
      </c>
      <c r="D243" s="8">
        <v>16</v>
      </c>
      <c r="E243" s="8"/>
      <c r="F243" s="8">
        <v>2</v>
      </c>
      <c r="G243" s="9">
        <f>VLOOKUP(D243,'[2]Beam '!$C$20:$H$26,3,0)</f>
        <v>0.625</v>
      </c>
      <c r="H243" s="8"/>
      <c r="I243" s="8"/>
      <c r="J243" s="8"/>
      <c r="K243" s="8"/>
      <c r="L243" s="8"/>
      <c r="M243" s="8"/>
      <c r="N243" s="8"/>
      <c r="O243" s="8">
        <f>(E238-1.75+1*(G243+(12*D243/1000))+2*(0.3/2)*D238)</f>
        <v>6.1589999999999998</v>
      </c>
      <c r="P243" s="8">
        <f t="shared" si="49"/>
        <v>12.318</v>
      </c>
      <c r="Q243" s="8">
        <f>IF($D243='[2]Beam '!Q$44,$P243*'[2]Beam '!Q$45,0)</f>
        <v>0</v>
      </c>
      <c r="R243" s="8">
        <f>IF($D243='[2]Beam '!R$44,$P243*'[2]Beam '!R$45,0)</f>
        <v>0</v>
      </c>
      <c r="S243" s="8">
        <f>IF($D243='[2]Beam '!S$44,$P243*'[2]Beam '!S$45,0)</f>
        <v>0</v>
      </c>
      <c r="T243" s="8">
        <f>IF($D243='[2]Beam '!T$44,$P243*'[2]Beam '!T$45,0)</f>
        <v>19.449770057142857</v>
      </c>
      <c r="U243" s="8">
        <f>IF($D243='[2]Beam '!U$44,$P243*'[2]Beam '!U$45,0)</f>
        <v>0</v>
      </c>
      <c r="V243" s="8">
        <f>IF($D243='[2]Beam '!V$44,$P243*'[2]Beam '!V$45,0)</f>
        <v>0</v>
      </c>
      <c r="W243" s="8">
        <f>IF($D243='[2]Beam '!W$44,$P243*'[2]Beam '!W$45,0)</f>
        <v>0</v>
      </c>
      <c r="X243" s="8">
        <f t="shared" si="50"/>
        <v>19.449770057142857</v>
      </c>
      <c r="Y243" s="8"/>
    </row>
    <row r="244" spans="1:32" s="14" customFormat="1" ht="20.100000000000001" customHeight="1" x14ac:dyDescent="0.25">
      <c r="A244" s="7"/>
      <c r="B244" s="8" t="s">
        <v>2</v>
      </c>
      <c r="C244" s="13" t="s">
        <v>13</v>
      </c>
      <c r="D244" s="8">
        <v>12</v>
      </c>
      <c r="E244" s="8">
        <v>0.1</v>
      </c>
      <c r="F244" s="8">
        <f>ROUND(IF(E238/3&gt;(2*G238),(E238/3)/E244,(2*G238)/E244),0)*2+1</f>
        <v>47</v>
      </c>
      <c r="G244" s="10"/>
      <c r="H244" s="8"/>
      <c r="I244" s="8"/>
      <c r="J244" s="8"/>
      <c r="K244" s="8"/>
      <c r="L244" s="8"/>
      <c r="M244" s="8"/>
      <c r="N244" s="8"/>
      <c r="O244" s="8">
        <f>(2*((G238-(2*'[2]Beam '!$D$11))+(F238-(2*'[2]Beam '!$D$11)))+(2*10*D244/1000))*D238</f>
        <v>2.1</v>
      </c>
      <c r="P244" s="8">
        <f t="shared" si="49"/>
        <v>98.7</v>
      </c>
      <c r="Q244" s="8">
        <f>IF($D244='[2]Beam '!Q$44,$P244*'[2]Beam '!Q$45,0)</f>
        <v>0</v>
      </c>
      <c r="R244" s="8">
        <f>IF($D244='[2]Beam '!R$44,$P244*'[2]Beam '!R$45,0)</f>
        <v>0</v>
      </c>
      <c r="S244" s="8">
        <f>IF($D244='[2]Beam '!S$44,$P244*'[2]Beam '!S$45,0)</f>
        <v>87.662520000000015</v>
      </c>
      <c r="T244" s="8">
        <f>IF($D244='[2]Beam '!T$44,$P244*'[2]Beam '!T$45,0)</f>
        <v>0</v>
      </c>
      <c r="U244" s="8">
        <f>IF($D244='[2]Beam '!U$44,$P244*'[2]Beam '!U$45,0)</f>
        <v>0</v>
      </c>
      <c r="V244" s="8">
        <f>IF($D244='[2]Beam '!V$44,$P244*'[2]Beam '!V$45,0)</f>
        <v>0</v>
      </c>
      <c r="W244" s="8">
        <f>IF($D244='[2]Beam '!W$44,$P244*'[2]Beam '!W$45,0)</f>
        <v>0</v>
      </c>
      <c r="X244" s="8">
        <f t="shared" si="50"/>
        <v>87.662520000000015</v>
      </c>
      <c r="Y244" s="8"/>
    </row>
    <row r="245" spans="1:32" s="10" customFormat="1" ht="20.100000000000001" customHeight="1" x14ac:dyDescent="0.25">
      <c r="A245" s="14"/>
      <c r="B245" s="8" t="s">
        <v>2</v>
      </c>
      <c r="C245" s="13" t="s">
        <v>14</v>
      </c>
      <c r="D245" s="14">
        <f>D244</f>
        <v>12</v>
      </c>
      <c r="E245" s="14">
        <v>0.125</v>
      </c>
      <c r="F245" s="14">
        <f>ROUND((E238-(IF(E238/3&gt;2*G238,E238/3*2,G238*2*2)))/E245,0)</f>
        <v>18</v>
      </c>
      <c r="H245" s="14"/>
      <c r="I245" s="14"/>
      <c r="J245" s="14"/>
      <c r="K245" s="14"/>
      <c r="L245" s="14"/>
      <c r="M245" s="14"/>
      <c r="N245" s="14"/>
      <c r="O245" s="8">
        <f>(2*((G238-(2*'[2]Beam '!$D$11))+(F238-(2*'[2]Beam '!$D$11)))+(2*10*D245/1000))*D238</f>
        <v>2.1</v>
      </c>
      <c r="P245" s="8">
        <f t="shared" si="49"/>
        <v>37.800000000000004</v>
      </c>
      <c r="Q245" s="8">
        <f>IF($D245='[2]Beam '!Q$44,$P245*'[2]Beam '!Q$45,0)</f>
        <v>0</v>
      </c>
      <c r="R245" s="8">
        <f>IF($D245='[2]Beam '!R$44,$P245*'[2]Beam '!R$45,0)</f>
        <v>0</v>
      </c>
      <c r="S245" s="8">
        <f>IF($D245='[2]Beam '!S$44,$P245*'[2]Beam '!S$45,0)</f>
        <v>33.572880000000012</v>
      </c>
      <c r="T245" s="8">
        <f>IF($D245='[2]Beam '!T$44,$P245*'[2]Beam '!T$45,0)</f>
        <v>0</v>
      </c>
      <c r="U245" s="8">
        <f>IF($D245='[2]Beam '!U$44,$P245*'[2]Beam '!U$45,0)</f>
        <v>0</v>
      </c>
      <c r="V245" s="8">
        <f>IF($D245='[2]Beam '!V$44,$P245*'[2]Beam '!V$45,0)</f>
        <v>0</v>
      </c>
      <c r="W245" s="8">
        <f>IF($D245='[2]Beam '!W$44,$P245*'[2]Beam '!W$45,0)</f>
        <v>0</v>
      </c>
      <c r="X245" s="8">
        <f t="shared" si="50"/>
        <v>33.572880000000012</v>
      </c>
      <c r="Y245" s="14"/>
      <c r="Z245" s="8"/>
      <c r="AA245" s="8"/>
      <c r="AB245" s="8"/>
      <c r="AC245" s="8"/>
      <c r="AD245" s="8"/>
      <c r="AE245" s="8"/>
    </row>
    <row r="246" spans="1:32" s="10" customFormat="1" ht="21" customHeight="1" x14ac:dyDescent="0.25">
      <c r="A246" s="14"/>
      <c r="B246" s="8" t="s">
        <v>2</v>
      </c>
      <c r="C246" s="13" t="s">
        <v>15</v>
      </c>
      <c r="D246" s="14">
        <f>D244</f>
        <v>12</v>
      </c>
      <c r="E246" s="14">
        <f>+E244</f>
        <v>0.1</v>
      </c>
      <c r="F246" s="8">
        <f>ROUND(IF(E238/3&gt;(2*G238),(E238/3)/E246,(2*G238)/E246),0)*2+1</f>
        <v>47</v>
      </c>
      <c r="H246" s="14"/>
      <c r="I246" s="14"/>
      <c r="J246" s="14"/>
      <c r="K246" s="14"/>
      <c r="L246" s="14"/>
      <c r="M246" s="14"/>
      <c r="N246" s="14"/>
      <c r="O246" s="8">
        <f>(2*(((F238-'[2]Beam '!$D$11*2)/(F239-1))+(G238-'[2]Beam '!$D$11*2))+(2*10*D246/1000))*D238</f>
        <v>1.58</v>
      </c>
      <c r="P246" s="8">
        <f t="shared" si="49"/>
        <v>74.260000000000005</v>
      </c>
      <c r="Q246" s="8">
        <f>IF($D246='[2]Beam '!Q$44,$P246*'[2]Beam '!Q$45,0)</f>
        <v>0</v>
      </c>
      <c r="R246" s="8">
        <f>IF($D246='[2]Beam '!R$44,$P246*'[2]Beam '!R$45,0)</f>
        <v>0</v>
      </c>
      <c r="S246" s="8">
        <f>IF($D246='[2]Beam '!S$44,$P246*'[2]Beam '!S$45,0)</f>
        <v>65.9556102857143</v>
      </c>
      <c r="T246" s="8">
        <f>IF($D246='[2]Beam '!T$44,$P246*'[2]Beam '!T$45,0)</f>
        <v>0</v>
      </c>
      <c r="U246" s="8">
        <f>IF($D246='[2]Beam '!U$44,$P246*'[2]Beam '!U$45,0)</f>
        <v>0</v>
      </c>
      <c r="V246" s="8">
        <f>IF($D246='[2]Beam '!V$44,$P246*'[2]Beam '!V$45,0)</f>
        <v>0</v>
      </c>
      <c r="W246" s="8">
        <f>IF($D246='[2]Beam '!W$44,$P246*'[2]Beam '!W$45,0)</f>
        <v>0</v>
      </c>
      <c r="X246" s="8">
        <f t="shared" si="50"/>
        <v>65.9556102857143</v>
      </c>
      <c r="Y246" s="14"/>
      <c r="Z246" s="8"/>
      <c r="AA246" s="8"/>
      <c r="AB246" s="8"/>
      <c r="AC246" s="8"/>
      <c r="AD246" s="8"/>
      <c r="AE246" s="8"/>
      <c r="AF246" s="8"/>
    </row>
    <row r="247" spans="1:32" s="10" customFormat="1" ht="20.100000000000001" customHeight="1" x14ac:dyDescent="0.25">
      <c r="A247" s="14"/>
      <c r="B247" s="8" t="s">
        <v>2</v>
      </c>
      <c r="C247" s="13" t="s">
        <v>16</v>
      </c>
      <c r="D247" s="14">
        <f>D245</f>
        <v>12</v>
      </c>
      <c r="E247" s="14">
        <f>+E245</f>
        <v>0.125</v>
      </c>
      <c r="F247" s="14">
        <f>ROUND((E238-(IF(E238/3&gt;2*G238,E238/3*2,G238*2*2)))/E247,0)</f>
        <v>18</v>
      </c>
      <c r="H247" s="14"/>
      <c r="I247" s="14"/>
      <c r="J247" s="14"/>
      <c r="K247" s="14"/>
      <c r="L247" s="14"/>
      <c r="M247" s="14"/>
      <c r="N247" s="14"/>
      <c r="O247" s="8">
        <f>(2*(((F238-'[2]Beam '!$D$11*2)/(F239-1))+(G238-'[2]Beam '!$D$11*2))+(2*10*D247/1000))*D238</f>
        <v>1.58</v>
      </c>
      <c r="P247" s="8">
        <f t="shared" si="49"/>
        <v>28.44</v>
      </c>
      <c r="Q247" s="8">
        <f>IF($D247='[2]Beam '!Q$44,$P247*'[2]Beam '!Q$45,0)</f>
        <v>0</v>
      </c>
      <c r="R247" s="8">
        <f>IF($D247='[2]Beam '!R$44,$P247*'[2]Beam '!R$45,0)</f>
        <v>0</v>
      </c>
      <c r="S247" s="8">
        <f>IF($D247='[2]Beam '!S$44,$P247*'[2]Beam '!S$45,0)</f>
        <v>25.259595428571433</v>
      </c>
      <c r="T247" s="8">
        <f>IF($D247='[2]Beam '!T$44,$P247*'[2]Beam '!T$45,0)</f>
        <v>0</v>
      </c>
      <c r="U247" s="8">
        <f>IF($D247='[2]Beam '!U$44,$P247*'[2]Beam '!U$45,0)</f>
        <v>0</v>
      </c>
      <c r="V247" s="8">
        <f>IF($D247='[2]Beam '!V$44,$P247*'[2]Beam '!V$45,0)</f>
        <v>0</v>
      </c>
      <c r="W247" s="8">
        <f>IF($D247='[2]Beam '!W$44,$P247*'[2]Beam '!W$45,0)</f>
        <v>0</v>
      </c>
      <c r="X247" s="8">
        <f t="shared" si="50"/>
        <v>25.259595428571433</v>
      </c>
      <c r="Y247" s="14"/>
      <c r="Z247" s="8"/>
      <c r="AA247" s="8"/>
      <c r="AB247" s="8"/>
      <c r="AC247" s="8"/>
      <c r="AD247" s="8"/>
      <c r="AE247" s="8"/>
    </row>
    <row r="248" spans="1:32" s="10" customFormat="1" ht="20.100000000000001" customHeight="1" x14ac:dyDescent="0.25">
      <c r="A248" s="7"/>
      <c r="B248" s="8" t="s">
        <v>2</v>
      </c>
      <c r="C248" s="13" t="s">
        <v>10</v>
      </c>
      <c r="D248" s="8">
        <f>+'[2]Beam '!$D$15</f>
        <v>25</v>
      </c>
      <c r="E248" s="8">
        <f>+'[2]Beam '!$E$15</f>
        <v>1</v>
      </c>
      <c r="F248" s="8">
        <f>ROUNDUP((1.75+O243)/E248,0)</f>
        <v>8</v>
      </c>
      <c r="G248" s="9"/>
      <c r="H248" s="9"/>
      <c r="I248" s="8"/>
      <c r="J248" s="8"/>
      <c r="K248" s="8"/>
      <c r="L248" s="8"/>
      <c r="M248" s="8"/>
      <c r="N248" s="8"/>
      <c r="O248" s="8">
        <f>F238-'[2]Beam '!$F$15</f>
        <v>0.39</v>
      </c>
      <c r="P248" s="8">
        <f t="shared" si="49"/>
        <v>3.12</v>
      </c>
      <c r="Q248" s="8">
        <f>IF($D248='[2]Beam '!Q$44,$P248*'[2]Beam '!Q$45,0)</f>
        <v>0</v>
      </c>
      <c r="R248" s="8">
        <f>IF($D248='[2]Beam '!R$44,$P248*'[2]Beam '!R$45,0)</f>
        <v>0</v>
      </c>
      <c r="S248" s="8">
        <f>IF($D248='[2]Beam '!S$44,$P248*'[2]Beam '!S$45,0)</f>
        <v>0</v>
      </c>
      <c r="T248" s="8">
        <f>IF($D248='[2]Beam '!T$44,$P248*'[2]Beam '!T$45,0)</f>
        <v>0</v>
      </c>
      <c r="U248" s="8">
        <f>IF($D248='[2]Beam '!U$44,$P248*'[2]Beam '!U$45,0)</f>
        <v>0</v>
      </c>
      <c r="V248" s="8">
        <f>IF($D248='[2]Beam '!V$44,$P248*'[2]Beam '!V$45,0)</f>
        <v>12.027321428571431</v>
      </c>
      <c r="W248" s="8">
        <f>IF($D248='[2]Beam '!W$44,$P248*'[2]Beam '!W$45,0)</f>
        <v>0</v>
      </c>
      <c r="X248" s="8">
        <f t="shared" si="50"/>
        <v>12.027321428571431</v>
      </c>
      <c r="Y248" s="8"/>
      <c r="Z248" s="8"/>
      <c r="AA248" s="8"/>
      <c r="AB248" s="8"/>
      <c r="AC248" s="8"/>
      <c r="AD248" s="8"/>
      <c r="AE248" s="8"/>
    </row>
    <row r="249" spans="1:32" s="10" customFormat="1" ht="20.100000000000001" customHeight="1" x14ac:dyDescent="0.25">
      <c r="A249" s="8">
        <v>1</v>
      </c>
      <c r="B249" s="8" t="s">
        <v>2</v>
      </c>
      <c r="C249" s="11" t="s">
        <v>38</v>
      </c>
      <c r="D249" s="11">
        <v>1</v>
      </c>
      <c r="E249" s="11">
        <v>4.8490000000000002</v>
      </c>
      <c r="F249" s="11">
        <v>0.45</v>
      </c>
      <c r="G249" s="11">
        <v>0.6</v>
      </c>
      <c r="H249" s="8">
        <f>G249-0.2</f>
        <v>0.39999999999999997</v>
      </c>
      <c r="I249" s="8">
        <f>E249*F249*G249*D249</f>
        <v>1.3092300000000001</v>
      </c>
      <c r="J249" s="8">
        <f>(2*(E249)*H249*D249)+(E249*F249)</f>
        <v>6.0612500000000002</v>
      </c>
      <c r="K249" s="12">
        <f>IF(E249=0.3,J249,0)</f>
        <v>0</v>
      </c>
      <c r="L249" s="12">
        <f>IF(AND(E249&gt;0.3,E249&lt;=0.75),J249,0)</f>
        <v>0</v>
      </c>
      <c r="M249" s="12">
        <f>IF(AND(E249&gt;0.75,E249&lt;=1.2),J249,0)</f>
        <v>0</v>
      </c>
      <c r="N249" s="12">
        <f>IF(E249&gt;1.2,J249,0)</f>
        <v>6.0612500000000002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>
        <f>SUM(X250:X257)/I249</f>
        <v>204.51923267875009</v>
      </c>
      <c r="Z249" s="8"/>
      <c r="AA249" s="8"/>
      <c r="AB249" s="8"/>
      <c r="AC249" s="8"/>
      <c r="AD249" s="8"/>
      <c r="AE249" s="8"/>
    </row>
    <row r="250" spans="1:32" s="10" customFormat="1" ht="20.100000000000001" customHeight="1" x14ac:dyDescent="0.25">
      <c r="A250" s="7"/>
      <c r="B250" s="8" t="s">
        <v>2</v>
      </c>
      <c r="C250" s="13" t="s">
        <v>4</v>
      </c>
      <c r="D250" s="8">
        <v>20</v>
      </c>
      <c r="E250" s="8"/>
      <c r="F250" s="8">
        <v>4</v>
      </c>
      <c r="G250" s="9">
        <f>VLOOKUP(D250,'[2]Beam '!$C$20:$H$26,3,0)</f>
        <v>0.8</v>
      </c>
      <c r="H250" s="9"/>
      <c r="I250" s="8"/>
      <c r="J250" s="8"/>
      <c r="K250" s="8"/>
      <c r="L250" s="8"/>
      <c r="M250" s="8"/>
      <c r="N250" s="8"/>
      <c r="O250" s="8">
        <f>(E249+1*(0.5/2)+1*(0.55/2)*D249)</f>
        <v>5.3740000000000006</v>
      </c>
      <c r="P250" s="8">
        <f t="shared" ref="P250:P258" si="51">O250*F250</f>
        <v>21.496000000000002</v>
      </c>
      <c r="Q250" s="8">
        <f>IF($D250='[2]Beam '!Q$44,$P250*'[2]Beam '!Q$45,0)</f>
        <v>0</v>
      </c>
      <c r="R250" s="8">
        <f>IF($D250='[2]Beam '!R$44,$P250*'[2]Beam '!R$45,0)</f>
        <v>0</v>
      </c>
      <c r="S250" s="8">
        <f>IF($D250='[2]Beam '!S$44,$P250*'[2]Beam '!S$45,0)</f>
        <v>0</v>
      </c>
      <c r="T250" s="8">
        <f>IF($D250='[2]Beam '!T$44,$P250*'[2]Beam '!T$45,0)</f>
        <v>0</v>
      </c>
      <c r="U250" s="8">
        <f>IF($D250='[2]Beam '!U$44,$P250*'[2]Beam '!U$45,0)</f>
        <v>53.033702857142863</v>
      </c>
      <c r="V250" s="8">
        <f>IF($D250='[2]Beam '!V$44,$P250*'[2]Beam '!V$45,0)</f>
        <v>0</v>
      </c>
      <c r="W250" s="8">
        <f>IF($D250='[2]Beam '!W$44,$P250*'[2]Beam '!W$45,0)</f>
        <v>0</v>
      </c>
      <c r="X250" s="8">
        <f t="shared" ref="X250:X258" si="52">SUM(Q250:W250)</f>
        <v>53.033702857142863</v>
      </c>
      <c r="Y250" s="8"/>
      <c r="Z250" s="8"/>
      <c r="AA250" s="8"/>
      <c r="AB250" s="8"/>
      <c r="AC250" s="8"/>
      <c r="AD250" s="8"/>
      <c r="AE250" s="8"/>
    </row>
    <row r="251" spans="1:32" s="10" customFormat="1" ht="20.100000000000001" customHeight="1" x14ac:dyDescent="0.25">
      <c r="A251" s="7"/>
      <c r="B251" s="8" t="s">
        <v>2</v>
      </c>
      <c r="C251" s="13" t="s">
        <v>5</v>
      </c>
      <c r="D251" s="8">
        <v>25</v>
      </c>
      <c r="E251" s="8"/>
      <c r="F251" s="8">
        <v>4</v>
      </c>
      <c r="G251" s="9">
        <f>VLOOKUP(D251,'[2]Beam '!$C$20:$H$26,3,0)</f>
        <v>1</v>
      </c>
      <c r="H251" s="9"/>
      <c r="I251" s="8"/>
      <c r="J251" s="8"/>
      <c r="K251" s="8"/>
      <c r="L251" s="8"/>
      <c r="M251" s="8"/>
      <c r="N251" s="8"/>
      <c r="O251" s="8">
        <f>(1.35+1*(0.5/2)*D249)</f>
        <v>1.6</v>
      </c>
      <c r="P251" s="8">
        <f t="shared" si="51"/>
        <v>6.4</v>
      </c>
      <c r="Q251" s="8">
        <f>IF($D251='[2]Beam '!Q$44,$P251*'[2]Beam '!Q$45,0)</f>
        <v>0</v>
      </c>
      <c r="R251" s="8">
        <f>IF($D251='[2]Beam '!R$44,$P251*'[2]Beam '!R$45,0)</f>
        <v>0</v>
      </c>
      <c r="S251" s="8">
        <f>IF($D251='[2]Beam '!S$44,$P251*'[2]Beam '!S$45,0)</f>
        <v>0</v>
      </c>
      <c r="T251" s="8">
        <f>IF($D251='[2]Beam '!T$44,$P251*'[2]Beam '!T$45,0)</f>
        <v>0</v>
      </c>
      <c r="U251" s="8">
        <f>IF($D251='[2]Beam '!U$44,$P251*'[2]Beam '!U$45,0)</f>
        <v>0</v>
      </c>
      <c r="V251" s="8">
        <f>IF($D251='[2]Beam '!V$44,$P251*'[2]Beam '!V$45,0)</f>
        <v>24.671428571428578</v>
      </c>
      <c r="W251" s="8">
        <f>IF($D251='[2]Beam '!W$44,$P251*'[2]Beam '!W$45,0)</f>
        <v>0</v>
      </c>
      <c r="X251" s="8">
        <f t="shared" si="52"/>
        <v>24.671428571428578</v>
      </c>
      <c r="Y251" s="8"/>
      <c r="Z251" s="8"/>
      <c r="AA251" s="8"/>
      <c r="AB251" s="8"/>
      <c r="AC251" s="8"/>
      <c r="AD251" s="8"/>
      <c r="AE251" s="8"/>
    </row>
    <row r="252" spans="1:32" s="14" customFormat="1" ht="20.100000000000001" customHeight="1" x14ac:dyDescent="0.3">
      <c r="A252" s="7"/>
      <c r="B252" s="8" t="s">
        <v>2</v>
      </c>
      <c r="C252" s="13" t="s">
        <v>5</v>
      </c>
      <c r="D252" s="8">
        <v>16</v>
      </c>
      <c r="E252" s="8"/>
      <c r="F252" s="8">
        <v>2</v>
      </c>
      <c r="G252" s="9">
        <f>VLOOKUP(D252,'[2]Beam '!$C$20:$H$26,3,0)</f>
        <v>0.625</v>
      </c>
      <c r="H252" s="9"/>
      <c r="I252" s="8"/>
      <c r="J252" s="8"/>
      <c r="K252" s="8"/>
      <c r="L252" s="8"/>
      <c r="M252" s="8"/>
      <c r="N252" s="8"/>
      <c r="O252" s="8">
        <f>(1.35+1*(0.5/2)*D249)</f>
        <v>1.6</v>
      </c>
      <c r="P252" s="8">
        <f t="shared" si="51"/>
        <v>3.2</v>
      </c>
      <c r="Q252" s="8">
        <f>IF($D252='[2]Beam '!Q$44,$P252*'[2]Beam '!Q$45,0)</f>
        <v>0</v>
      </c>
      <c r="R252" s="8">
        <f>IF($D252='[2]Beam '!R$44,$P252*'[2]Beam '!R$45,0)</f>
        <v>0</v>
      </c>
      <c r="S252" s="8">
        <f>IF($D252='[2]Beam '!S$44,$P252*'[2]Beam '!S$45,0)</f>
        <v>0</v>
      </c>
      <c r="T252" s="8">
        <f>IF($D252='[2]Beam '!T$44,$P252*'[2]Beam '!T$45,0)</f>
        <v>5.052708571428572</v>
      </c>
      <c r="U252" s="8">
        <f>IF($D252='[2]Beam '!U$44,$P252*'[2]Beam '!U$45,0)</f>
        <v>0</v>
      </c>
      <c r="V252" s="8">
        <f>IF($D252='[2]Beam '!V$44,$P252*'[2]Beam '!V$45,0)</f>
        <v>0</v>
      </c>
      <c r="W252" s="8">
        <f>IF($D252='[2]Beam '!W$44,$P252*'[2]Beam '!W$45,0)</f>
        <v>0</v>
      </c>
      <c r="X252" s="8">
        <f t="shared" si="52"/>
        <v>5.052708571428572</v>
      </c>
      <c r="Y252" s="8"/>
    </row>
    <row r="253" spans="1:32" s="14" customFormat="1" ht="20.100000000000001" customHeight="1" x14ac:dyDescent="0.3">
      <c r="A253" s="7"/>
      <c r="B253" s="8" t="s">
        <v>2</v>
      </c>
      <c r="C253" s="13" t="s">
        <v>6</v>
      </c>
      <c r="D253" s="8">
        <v>25</v>
      </c>
      <c r="E253" s="8"/>
      <c r="F253" s="8">
        <v>4</v>
      </c>
      <c r="G253" s="9">
        <f>VLOOKUP(D253,'[2]Beam '!$C$20:$H$26,3,0)</f>
        <v>1</v>
      </c>
      <c r="H253" s="8"/>
      <c r="I253" s="8"/>
      <c r="J253" s="8"/>
      <c r="K253" s="8"/>
      <c r="L253" s="8"/>
      <c r="M253" s="8"/>
      <c r="N253" s="8"/>
      <c r="O253" s="8">
        <f>(E249+1*(0.5/2)+1*(0.55/2)*D249)</f>
        <v>5.3740000000000006</v>
      </c>
      <c r="P253" s="8">
        <f t="shared" si="51"/>
        <v>21.496000000000002</v>
      </c>
      <c r="Q253" s="8">
        <f>IF($D253='[2]Beam '!Q$44,$P253*'[2]Beam '!Q$45,0)</f>
        <v>0</v>
      </c>
      <c r="R253" s="8">
        <f>IF($D253='[2]Beam '!R$44,$P253*'[2]Beam '!R$45,0)</f>
        <v>0</v>
      </c>
      <c r="S253" s="8">
        <f>IF($D253='[2]Beam '!S$44,$P253*'[2]Beam '!S$45,0)</f>
        <v>0</v>
      </c>
      <c r="T253" s="8">
        <f>IF($D253='[2]Beam '!T$44,$P253*'[2]Beam '!T$45,0)</f>
        <v>0</v>
      </c>
      <c r="U253" s="8">
        <f>IF($D253='[2]Beam '!U$44,$P253*'[2]Beam '!U$45,0)</f>
        <v>0</v>
      </c>
      <c r="V253" s="8">
        <f>IF($D253='[2]Beam '!V$44,$P253*'[2]Beam '!V$45,0)</f>
        <v>82.865160714285736</v>
      </c>
      <c r="W253" s="8">
        <f>IF($D253='[2]Beam '!W$44,$P253*'[2]Beam '!W$45,0)</f>
        <v>0</v>
      </c>
      <c r="X253" s="8">
        <f t="shared" si="52"/>
        <v>82.865160714285736</v>
      </c>
      <c r="Y253" s="8"/>
    </row>
    <row r="254" spans="1:32" s="14" customFormat="1" ht="20.100000000000001" customHeight="1" x14ac:dyDescent="0.25">
      <c r="A254" s="7"/>
      <c r="B254" s="8" t="s">
        <v>2</v>
      </c>
      <c r="C254" s="13" t="s">
        <v>13</v>
      </c>
      <c r="D254" s="8">
        <v>10</v>
      </c>
      <c r="E254" s="8">
        <v>0.1</v>
      </c>
      <c r="F254" s="8">
        <f>ROUND(IF(E249/3&gt;(2*G249),(E249/3)/E254,(2*G249)/E254),0)*2+1</f>
        <v>33</v>
      </c>
      <c r="G254" s="10"/>
      <c r="H254" s="8"/>
      <c r="I254" s="8"/>
      <c r="J254" s="8"/>
      <c r="K254" s="8"/>
      <c r="L254" s="8"/>
      <c r="M254" s="8"/>
      <c r="N254" s="8"/>
      <c r="O254" s="8">
        <f>(2*((G249-(2*'[2]Beam '!$D$11))+(F249-(2*'[2]Beam '!$D$11)))+(2*10*D254/1000))*D249</f>
        <v>2.06</v>
      </c>
      <c r="P254" s="8">
        <f t="shared" si="51"/>
        <v>67.98</v>
      </c>
      <c r="Q254" s="8">
        <f>IF($D254='[2]Beam '!Q$44,$P254*'[2]Beam '!Q$45,0)</f>
        <v>0</v>
      </c>
      <c r="R254" s="8">
        <f>IF($D254='[2]Beam '!R$44,$P254*'[2]Beam '!R$45,0)</f>
        <v>41.929092857142855</v>
      </c>
      <c r="S254" s="8">
        <f>IF($D254='[2]Beam '!S$44,$P254*'[2]Beam '!S$45,0)</f>
        <v>0</v>
      </c>
      <c r="T254" s="8">
        <f>IF($D254='[2]Beam '!T$44,$P254*'[2]Beam '!T$45,0)</f>
        <v>0</v>
      </c>
      <c r="U254" s="8">
        <f>IF($D254='[2]Beam '!U$44,$P254*'[2]Beam '!U$45,0)</f>
        <v>0</v>
      </c>
      <c r="V254" s="8">
        <f>IF($D254='[2]Beam '!V$44,$P254*'[2]Beam '!V$45,0)</f>
        <v>0</v>
      </c>
      <c r="W254" s="8">
        <f>IF($D254='[2]Beam '!W$44,$P254*'[2]Beam '!W$45,0)</f>
        <v>0</v>
      </c>
      <c r="X254" s="8">
        <f t="shared" si="52"/>
        <v>41.929092857142855</v>
      </c>
      <c r="Y254" s="8"/>
    </row>
    <row r="255" spans="1:32" s="10" customFormat="1" ht="20.100000000000001" customHeight="1" x14ac:dyDescent="0.25">
      <c r="A255" s="14"/>
      <c r="B255" s="8" t="s">
        <v>2</v>
      </c>
      <c r="C255" s="13" t="s">
        <v>14</v>
      </c>
      <c r="D255" s="14">
        <f>D254</f>
        <v>10</v>
      </c>
      <c r="E255" s="14">
        <v>0.125</v>
      </c>
      <c r="F255" s="14">
        <f>ROUND((E249-(IF(E249/3&gt;2*G249,E249/3*2,G249*2*2)))/E255,0)</f>
        <v>13</v>
      </c>
      <c r="H255" s="14"/>
      <c r="I255" s="14"/>
      <c r="J255" s="14"/>
      <c r="K255" s="14"/>
      <c r="L255" s="14"/>
      <c r="M255" s="14"/>
      <c r="N255" s="14"/>
      <c r="O255" s="8">
        <f>(2*((G249-(2*'[2]Beam '!$D$11))+(F249-(2*'[2]Beam '!$D$11)))+(2*10*D255/1000))*D249</f>
        <v>2.06</v>
      </c>
      <c r="P255" s="8">
        <f t="shared" si="51"/>
        <v>26.78</v>
      </c>
      <c r="Q255" s="8">
        <f>IF($D255='[2]Beam '!Q$44,$P255*'[2]Beam '!Q$45,0)</f>
        <v>0</v>
      </c>
      <c r="R255" s="8">
        <f>IF($D255='[2]Beam '!R$44,$P255*'[2]Beam '!R$45,0)</f>
        <v>16.517521428571428</v>
      </c>
      <c r="S255" s="8">
        <f>IF($D255='[2]Beam '!S$44,$P255*'[2]Beam '!S$45,0)</f>
        <v>0</v>
      </c>
      <c r="T255" s="8">
        <f>IF($D255='[2]Beam '!T$44,$P255*'[2]Beam '!T$45,0)</f>
        <v>0</v>
      </c>
      <c r="U255" s="8">
        <f>IF($D255='[2]Beam '!U$44,$P255*'[2]Beam '!U$45,0)</f>
        <v>0</v>
      </c>
      <c r="V255" s="8">
        <f>IF($D255='[2]Beam '!V$44,$P255*'[2]Beam '!V$45,0)</f>
        <v>0</v>
      </c>
      <c r="W255" s="8">
        <f>IF($D255='[2]Beam '!W$44,$P255*'[2]Beam '!W$45,0)</f>
        <v>0</v>
      </c>
      <c r="X255" s="8">
        <f t="shared" si="52"/>
        <v>16.517521428571428</v>
      </c>
      <c r="Y255" s="14"/>
      <c r="Z255" s="8"/>
      <c r="AA255" s="8"/>
      <c r="AB255" s="8"/>
      <c r="AC255" s="8"/>
      <c r="AD255" s="8"/>
      <c r="AE255" s="8"/>
    </row>
    <row r="256" spans="1:32" s="10" customFormat="1" ht="21" customHeight="1" x14ac:dyDescent="0.25">
      <c r="A256" s="14"/>
      <c r="B256" s="8" t="s">
        <v>2</v>
      </c>
      <c r="C256" s="13" t="s">
        <v>15</v>
      </c>
      <c r="D256" s="14">
        <f>D254</f>
        <v>10</v>
      </c>
      <c r="E256" s="14">
        <f>+E254</f>
        <v>0.1</v>
      </c>
      <c r="F256" s="8">
        <f>ROUND(IF(E249/3&gt;(2*G249),(E249/3)/E256,(2*G249)/E256),0)*2+1</f>
        <v>33</v>
      </c>
      <c r="H256" s="14"/>
      <c r="I256" s="14"/>
      <c r="J256" s="14"/>
      <c r="K256" s="14"/>
      <c r="L256" s="14"/>
      <c r="M256" s="14"/>
      <c r="N256" s="14"/>
      <c r="O256" s="8">
        <f>(2*(((F249-'[2]Beam '!$D$11*2)/(F250-1))+(G249-'[2]Beam '!$D$11*2))+(2*10*D256/1000))*D249</f>
        <v>1.54</v>
      </c>
      <c r="P256" s="8">
        <f t="shared" si="51"/>
        <v>50.82</v>
      </c>
      <c r="Q256" s="8">
        <f>IF($D256='[2]Beam '!Q$44,$P256*'[2]Beam '!Q$45,0)</f>
        <v>0</v>
      </c>
      <c r="R256" s="8">
        <f>IF($D256='[2]Beam '!R$44,$P256*'[2]Beam '!R$45,0)</f>
        <v>31.345050000000001</v>
      </c>
      <c r="S256" s="8">
        <f>IF($D256='[2]Beam '!S$44,$P256*'[2]Beam '!S$45,0)</f>
        <v>0</v>
      </c>
      <c r="T256" s="8">
        <f>IF($D256='[2]Beam '!T$44,$P256*'[2]Beam '!T$45,0)</f>
        <v>0</v>
      </c>
      <c r="U256" s="8">
        <f>IF($D256='[2]Beam '!U$44,$P256*'[2]Beam '!U$45,0)</f>
        <v>0</v>
      </c>
      <c r="V256" s="8">
        <f>IF($D256='[2]Beam '!V$44,$P256*'[2]Beam '!V$45,0)</f>
        <v>0</v>
      </c>
      <c r="W256" s="8">
        <f>IF($D256='[2]Beam '!W$44,$P256*'[2]Beam '!W$45,0)</f>
        <v>0</v>
      </c>
      <c r="X256" s="8">
        <f t="shared" si="52"/>
        <v>31.345050000000001</v>
      </c>
      <c r="Y256" s="14"/>
      <c r="Z256" s="8"/>
      <c r="AA256" s="8"/>
      <c r="AB256" s="8"/>
      <c r="AC256" s="8"/>
      <c r="AD256" s="8"/>
      <c r="AE256" s="8"/>
      <c r="AF256" s="8"/>
    </row>
    <row r="257" spans="1:32" s="10" customFormat="1" ht="20.100000000000001" customHeight="1" x14ac:dyDescent="0.25">
      <c r="A257" s="14"/>
      <c r="B257" s="8" t="s">
        <v>2</v>
      </c>
      <c r="C257" s="13" t="s">
        <v>16</v>
      </c>
      <c r="D257" s="14">
        <f>D255</f>
        <v>10</v>
      </c>
      <c r="E257" s="14">
        <f>+E255</f>
        <v>0.125</v>
      </c>
      <c r="F257" s="14">
        <f>ROUND((E249-(IF(E249/3&gt;2*G249,E249/3*2,G249*2*2)))/E257,0)</f>
        <v>13</v>
      </c>
      <c r="H257" s="14"/>
      <c r="I257" s="14"/>
      <c r="J257" s="14"/>
      <c r="K257" s="14"/>
      <c r="L257" s="14"/>
      <c r="M257" s="14"/>
      <c r="N257" s="14"/>
      <c r="O257" s="8">
        <f>(2*(((F249-'[2]Beam '!$D$11*2)/(F250-1))+(G249-'[2]Beam '!$D$11*2))+(2*10*D257/1000))*D249</f>
        <v>1.54</v>
      </c>
      <c r="P257" s="8">
        <f t="shared" si="51"/>
        <v>20.02</v>
      </c>
      <c r="Q257" s="8">
        <f>IF($D257='[2]Beam '!Q$44,$P257*'[2]Beam '!Q$45,0)</f>
        <v>0</v>
      </c>
      <c r="R257" s="8">
        <f>IF($D257='[2]Beam '!R$44,$P257*'[2]Beam '!R$45,0)</f>
        <v>12.348049999999999</v>
      </c>
      <c r="S257" s="8">
        <f>IF($D257='[2]Beam '!S$44,$P257*'[2]Beam '!S$45,0)</f>
        <v>0</v>
      </c>
      <c r="T257" s="8">
        <f>IF($D257='[2]Beam '!T$44,$P257*'[2]Beam '!T$45,0)</f>
        <v>0</v>
      </c>
      <c r="U257" s="8">
        <f>IF($D257='[2]Beam '!U$44,$P257*'[2]Beam '!U$45,0)</f>
        <v>0</v>
      </c>
      <c r="V257" s="8">
        <f>IF($D257='[2]Beam '!V$44,$P257*'[2]Beam '!V$45,0)</f>
        <v>0</v>
      </c>
      <c r="W257" s="8">
        <f>IF($D257='[2]Beam '!W$44,$P257*'[2]Beam '!W$45,0)</f>
        <v>0</v>
      </c>
      <c r="X257" s="8">
        <f t="shared" si="52"/>
        <v>12.348049999999999</v>
      </c>
      <c r="Y257" s="14"/>
      <c r="Z257" s="8"/>
      <c r="AA257" s="8"/>
      <c r="AB257" s="8"/>
      <c r="AC257" s="8"/>
      <c r="AD257" s="8"/>
      <c r="AE257" s="8"/>
    </row>
    <row r="258" spans="1:32" s="10" customFormat="1" ht="20.100000000000001" customHeight="1" x14ac:dyDescent="0.25">
      <c r="A258" s="7"/>
      <c r="B258" s="8" t="s">
        <v>2</v>
      </c>
      <c r="C258" s="13" t="s">
        <v>10</v>
      </c>
      <c r="D258" s="8">
        <f>+'[2]Beam '!$D$15</f>
        <v>25</v>
      </c>
      <c r="E258" s="8">
        <f>+'[2]Beam '!$E$15</f>
        <v>1</v>
      </c>
      <c r="F258" s="8">
        <f>ROUNDUP((3.5+E249)/E258,0)</f>
        <v>9</v>
      </c>
      <c r="G258" s="9"/>
      <c r="H258" s="9"/>
      <c r="I258" s="8"/>
      <c r="J258" s="8"/>
      <c r="K258" s="8"/>
      <c r="L258" s="8"/>
      <c r="M258" s="8"/>
      <c r="N258" s="8"/>
      <c r="O258" s="8">
        <f>F249-'[2]Beam '!$F$15</f>
        <v>0.39</v>
      </c>
      <c r="P258" s="8">
        <f t="shared" si="51"/>
        <v>3.5100000000000002</v>
      </c>
      <c r="Q258" s="8">
        <f>IF($D258='[2]Beam '!Q$44,$P258*'[2]Beam '!Q$45,0)</f>
        <v>0</v>
      </c>
      <c r="R258" s="8">
        <f>IF($D258='[2]Beam '!R$44,$P258*'[2]Beam '!R$45,0)</f>
        <v>0</v>
      </c>
      <c r="S258" s="8">
        <f>IF($D258='[2]Beam '!S$44,$P258*'[2]Beam '!S$45,0)</f>
        <v>0</v>
      </c>
      <c r="T258" s="8">
        <f>IF($D258='[2]Beam '!T$44,$P258*'[2]Beam '!T$45,0)</f>
        <v>0</v>
      </c>
      <c r="U258" s="8">
        <f>IF($D258='[2]Beam '!U$44,$P258*'[2]Beam '!U$45,0)</f>
        <v>0</v>
      </c>
      <c r="V258" s="8">
        <f>IF($D258='[2]Beam '!V$44,$P258*'[2]Beam '!V$45,0)</f>
        <v>13.53073660714286</v>
      </c>
      <c r="W258" s="8">
        <f>IF($D258='[2]Beam '!W$44,$P258*'[2]Beam '!W$45,0)</f>
        <v>0</v>
      </c>
      <c r="X258" s="8">
        <f t="shared" si="52"/>
        <v>13.53073660714286</v>
      </c>
      <c r="Y258" s="8"/>
      <c r="Z258" s="8"/>
      <c r="AA258" s="8"/>
      <c r="AB258" s="8"/>
      <c r="AC258" s="8"/>
      <c r="AD258" s="8"/>
      <c r="AE258" s="8"/>
    </row>
    <row r="259" spans="1:32" s="10" customFormat="1" ht="20.100000000000001" customHeight="1" x14ac:dyDescent="0.25">
      <c r="A259" s="8">
        <v>1</v>
      </c>
      <c r="B259" s="8" t="s">
        <v>2</v>
      </c>
      <c r="C259" s="11" t="s">
        <v>39</v>
      </c>
      <c r="D259" s="11">
        <v>1</v>
      </c>
      <c r="E259" s="11">
        <v>6.5490000000000004</v>
      </c>
      <c r="F259" s="11">
        <v>0.45</v>
      </c>
      <c r="G259" s="11">
        <v>0.6</v>
      </c>
      <c r="H259" s="8">
        <f>G259-0.2</f>
        <v>0.39999999999999997</v>
      </c>
      <c r="I259" s="8">
        <f>E259*F259*G259*D259</f>
        <v>1.7682300000000002</v>
      </c>
      <c r="J259" s="8">
        <f>(2*(E259)*H259*D259)+(E259*F259)</f>
        <v>8.1862500000000011</v>
      </c>
      <c r="K259" s="12">
        <f>IF(E259=0.3,J259,0)</f>
        <v>0</v>
      </c>
      <c r="L259" s="12">
        <f>IF(AND(E259&gt;0.3,E259&lt;=0.75),J259,0)</f>
        <v>0</v>
      </c>
      <c r="M259" s="12">
        <f>IF(AND(E259&gt;0.75,E259&lt;=1.2),J259,0)</f>
        <v>0</v>
      </c>
      <c r="N259" s="12">
        <f>IF(E259&gt;1.2,J259,0)</f>
        <v>8.1862500000000011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>
        <f>SUM(X260:X265)/I259</f>
        <v>204.46612290256357</v>
      </c>
      <c r="Z259" s="8"/>
      <c r="AA259" s="8"/>
      <c r="AB259" s="8"/>
      <c r="AC259" s="8"/>
      <c r="AD259" s="8"/>
      <c r="AE259" s="8"/>
    </row>
    <row r="260" spans="1:32" s="10" customFormat="1" ht="20.100000000000001" customHeight="1" x14ac:dyDescent="0.25">
      <c r="A260" s="7"/>
      <c r="B260" s="8" t="s">
        <v>2</v>
      </c>
      <c r="C260" s="13" t="s">
        <v>4</v>
      </c>
      <c r="D260" s="8">
        <v>20</v>
      </c>
      <c r="E260" s="8"/>
      <c r="F260" s="8">
        <v>4</v>
      </c>
      <c r="G260" s="9">
        <f>VLOOKUP(D260,'[2]Beam '!$C$20:$H$26,3,0)</f>
        <v>0.8</v>
      </c>
      <c r="H260" s="9"/>
      <c r="I260" s="8"/>
      <c r="J260" s="8"/>
      <c r="K260" s="8"/>
      <c r="L260" s="8"/>
      <c r="M260" s="8"/>
      <c r="N260" s="8"/>
      <c r="O260" s="8">
        <f>(E259+1*(0.5/2)+1*(0.55/2)*D259)</f>
        <v>7.0740000000000007</v>
      </c>
      <c r="P260" s="8">
        <f t="shared" ref="P260:P266" si="53">O260*F260</f>
        <v>28.296000000000003</v>
      </c>
      <c r="Q260" s="8">
        <f>IF($D260='[2]Beam '!Q$44,$P260*'[2]Beam '!Q$45,0)</f>
        <v>0</v>
      </c>
      <c r="R260" s="8">
        <f>IF($D260='[2]Beam '!R$44,$P260*'[2]Beam '!R$45,0)</f>
        <v>0</v>
      </c>
      <c r="S260" s="8">
        <f>IF($D260='[2]Beam '!S$44,$P260*'[2]Beam '!S$45,0)</f>
        <v>0</v>
      </c>
      <c r="T260" s="8">
        <f>IF($D260='[2]Beam '!T$44,$P260*'[2]Beam '!T$45,0)</f>
        <v>0</v>
      </c>
      <c r="U260" s="8">
        <f>IF($D260='[2]Beam '!U$44,$P260*'[2]Beam '!U$45,0)</f>
        <v>69.810274285714286</v>
      </c>
      <c r="V260" s="8">
        <f>IF($D260='[2]Beam '!V$44,$P260*'[2]Beam '!V$45,0)</f>
        <v>0</v>
      </c>
      <c r="W260" s="8">
        <f>IF($D260='[2]Beam '!W$44,$P260*'[2]Beam '!W$45,0)</f>
        <v>0</v>
      </c>
      <c r="X260" s="8">
        <f t="shared" ref="X260:X266" si="54">SUM(Q260:W260)</f>
        <v>69.810274285714286</v>
      </c>
      <c r="Y260" s="8"/>
      <c r="Z260" s="8"/>
      <c r="AA260" s="8"/>
      <c r="AB260" s="8"/>
      <c r="AC260" s="8"/>
      <c r="AD260" s="8"/>
      <c r="AE260" s="8"/>
    </row>
    <row r="261" spans="1:32" s="10" customFormat="1" ht="20.100000000000001" customHeight="1" x14ac:dyDescent="0.25">
      <c r="A261" s="7"/>
      <c r="B261" s="8" t="s">
        <v>2</v>
      </c>
      <c r="C261" s="13" t="s">
        <v>5</v>
      </c>
      <c r="D261" s="8">
        <v>25</v>
      </c>
      <c r="E261" s="8"/>
      <c r="F261" s="8">
        <v>4</v>
      </c>
      <c r="G261" s="9">
        <f>VLOOKUP(D261,'[2]Beam '!$C$20:$H$26,3,0)</f>
        <v>1</v>
      </c>
      <c r="H261" s="9"/>
      <c r="I261" s="8"/>
      <c r="J261" s="8"/>
      <c r="K261" s="8"/>
      <c r="L261" s="8"/>
      <c r="M261" s="8"/>
      <c r="N261" s="8"/>
      <c r="O261" s="8">
        <f>(1.8+1*(0.55/2)*D259)</f>
        <v>2.0750000000000002</v>
      </c>
      <c r="P261" s="8">
        <f t="shared" si="53"/>
        <v>8.3000000000000007</v>
      </c>
      <c r="Q261" s="8">
        <f>IF($D261='[2]Beam '!Q$44,$P261*'[2]Beam '!Q$45,0)</f>
        <v>0</v>
      </c>
      <c r="R261" s="8">
        <f>IF($D261='[2]Beam '!R$44,$P261*'[2]Beam '!R$45,0)</f>
        <v>0</v>
      </c>
      <c r="S261" s="8">
        <f>IF($D261='[2]Beam '!S$44,$P261*'[2]Beam '!S$45,0)</f>
        <v>0</v>
      </c>
      <c r="T261" s="8">
        <f>IF($D261='[2]Beam '!T$44,$P261*'[2]Beam '!T$45,0)</f>
        <v>0</v>
      </c>
      <c r="U261" s="8">
        <f>IF($D261='[2]Beam '!U$44,$P261*'[2]Beam '!U$45,0)</f>
        <v>0</v>
      </c>
      <c r="V261" s="8">
        <f>IF($D261='[2]Beam '!V$44,$P261*'[2]Beam '!V$45,0)</f>
        <v>31.995758928571437</v>
      </c>
      <c r="W261" s="8">
        <f>IF($D261='[2]Beam '!W$44,$P261*'[2]Beam '!W$45,0)</f>
        <v>0</v>
      </c>
      <c r="X261" s="8">
        <f t="shared" si="54"/>
        <v>31.995758928571437</v>
      </c>
      <c r="Y261" s="8"/>
      <c r="Z261" s="8"/>
      <c r="AA261" s="8"/>
      <c r="AB261" s="8"/>
      <c r="AC261" s="8"/>
      <c r="AD261" s="8"/>
      <c r="AE261" s="8"/>
    </row>
    <row r="262" spans="1:32" s="14" customFormat="1" ht="20.100000000000001" customHeight="1" x14ac:dyDescent="0.3">
      <c r="A262" s="7"/>
      <c r="B262" s="8" t="s">
        <v>2</v>
      </c>
      <c r="C262" s="13" t="s">
        <v>5</v>
      </c>
      <c r="D262" s="8">
        <v>16</v>
      </c>
      <c r="E262" s="8"/>
      <c r="F262" s="8">
        <v>2</v>
      </c>
      <c r="G262" s="9">
        <f>VLOOKUP(D262,'[2]Beam '!$C$20:$H$26,3,0)</f>
        <v>0.625</v>
      </c>
      <c r="H262" s="9"/>
      <c r="I262" s="8"/>
      <c r="J262" s="8"/>
      <c r="K262" s="8"/>
      <c r="L262" s="8"/>
      <c r="M262" s="8"/>
      <c r="N262" s="8"/>
      <c r="O262" s="8">
        <f>(1.8+1*(0.55/2)*D259)</f>
        <v>2.0750000000000002</v>
      </c>
      <c r="P262" s="8">
        <f t="shared" si="53"/>
        <v>4.1500000000000004</v>
      </c>
      <c r="Q262" s="8">
        <f>IF($D262='[2]Beam '!Q$44,$P262*'[2]Beam '!Q$45,0)</f>
        <v>0</v>
      </c>
      <c r="R262" s="8">
        <f>IF($D262='[2]Beam '!R$44,$P262*'[2]Beam '!R$45,0)</f>
        <v>0</v>
      </c>
      <c r="S262" s="8">
        <f>IF($D262='[2]Beam '!S$44,$P262*'[2]Beam '!S$45,0)</f>
        <v>0</v>
      </c>
      <c r="T262" s="8">
        <f>IF($D262='[2]Beam '!T$44,$P262*'[2]Beam '!T$45,0)</f>
        <v>6.5527314285714295</v>
      </c>
      <c r="U262" s="8">
        <f>IF($D262='[2]Beam '!U$44,$P262*'[2]Beam '!U$45,0)</f>
        <v>0</v>
      </c>
      <c r="V262" s="8">
        <f>IF($D262='[2]Beam '!V$44,$P262*'[2]Beam '!V$45,0)</f>
        <v>0</v>
      </c>
      <c r="W262" s="8">
        <f>IF($D262='[2]Beam '!W$44,$P262*'[2]Beam '!W$45,0)</f>
        <v>0</v>
      </c>
      <c r="X262" s="8">
        <f t="shared" si="54"/>
        <v>6.5527314285714295</v>
      </c>
      <c r="Y262" s="8"/>
    </row>
    <row r="263" spans="1:32" s="10" customFormat="1" ht="20.100000000000001" customHeight="1" x14ac:dyDescent="0.25">
      <c r="A263" s="7"/>
      <c r="B263" s="8" t="s">
        <v>2</v>
      </c>
      <c r="C263" s="13" t="s">
        <v>6</v>
      </c>
      <c r="D263" s="8">
        <v>25</v>
      </c>
      <c r="E263" s="8"/>
      <c r="F263" s="8">
        <v>4</v>
      </c>
      <c r="G263" s="9">
        <f>VLOOKUP(D263,'[2]Beam '!$C$20:$H$26,3,0)</f>
        <v>1</v>
      </c>
      <c r="H263" s="8"/>
      <c r="I263" s="8"/>
      <c r="J263" s="8"/>
      <c r="K263" s="8"/>
      <c r="L263" s="8"/>
      <c r="M263" s="8"/>
      <c r="N263" s="8"/>
      <c r="O263" s="8">
        <f>(E259+1*(0.5/2)+1*(0.55/2)*D259)</f>
        <v>7.0740000000000007</v>
      </c>
      <c r="P263" s="8">
        <f t="shared" si="53"/>
        <v>28.296000000000003</v>
      </c>
      <c r="Q263" s="8">
        <f>IF($D263='[2]Beam '!Q$44,$P263*'[2]Beam '!Q$45,0)</f>
        <v>0</v>
      </c>
      <c r="R263" s="8">
        <f>IF($D263='[2]Beam '!R$44,$P263*'[2]Beam '!R$45,0)</f>
        <v>0</v>
      </c>
      <c r="S263" s="8">
        <f>IF($D263='[2]Beam '!S$44,$P263*'[2]Beam '!S$45,0)</f>
        <v>0</v>
      </c>
      <c r="T263" s="8">
        <f>IF($D263='[2]Beam '!T$44,$P263*'[2]Beam '!T$45,0)</f>
        <v>0</v>
      </c>
      <c r="U263" s="8">
        <f>IF($D263='[2]Beam '!U$44,$P263*'[2]Beam '!U$45,0)</f>
        <v>0</v>
      </c>
      <c r="V263" s="8">
        <f>IF($D263='[2]Beam '!V$44,$P263*'[2]Beam '!V$45,0)</f>
        <v>109.0785535714286</v>
      </c>
      <c r="W263" s="8">
        <f>IF($D263='[2]Beam '!W$44,$P263*'[2]Beam '!W$45,0)</f>
        <v>0</v>
      </c>
      <c r="X263" s="8">
        <f t="shared" si="54"/>
        <v>109.0785535714286</v>
      </c>
      <c r="Y263" s="8"/>
      <c r="Z263" s="8"/>
      <c r="AA263" s="8"/>
      <c r="AB263" s="8"/>
      <c r="AC263" s="8"/>
      <c r="AD263" s="8"/>
      <c r="AE263" s="8"/>
    </row>
    <row r="264" spans="1:32" s="10" customFormat="1" ht="21" customHeight="1" x14ac:dyDescent="0.25">
      <c r="A264" s="7"/>
      <c r="B264" s="8" t="s">
        <v>2</v>
      </c>
      <c r="C264" s="13" t="s">
        <v>8</v>
      </c>
      <c r="D264" s="8">
        <v>10</v>
      </c>
      <c r="E264" s="8">
        <v>0.1</v>
      </c>
      <c r="F264" s="8">
        <f>ROUNDUP(E259/E264,0)</f>
        <v>66</v>
      </c>
      <c r="H264" s="8"/>
      <c r="I264" s="8"/>
      <c r="J264" s="8"/>
      <c r="K264" s="8"/>
      <c r="L264" s="8"/>
      <c r="M264" s="8"/>
      <c r="N264" s="8"/>
      <c r="O264" s="8">
        <f>(2*((G259-(2*'[2]Beam '!$D$11))+(F259-(2*'[2]Beam '!$D$11)))+(2*10*D264/1000))*D259</f>
        <v>2.06</v>
      </c>
      <c r="P264" s="8">
        <f t="shared" si="53"/>
        <v>135.96</v>
      </c>
      <c r="Q264" s="8">
        <f>IF($D264='[2]Beam '!Q$44,$P264*'[2]Beam '!Q$45,0)</f>
        <v>0</v>
      </c>
      <c r="R264" s="8">
        <f>IF($D264='[2]Beam '!R$44,$P264*'[2]Beam '!R$45,0)</f>
        <v>83.85818571428571</v>
      </c>
      <c r="S264" s="8">
        <f>IF($D264='[2]Beam '!S$44,$P264*'[2]Beam '!S$45,0)</f>
        <v>0</v>
      </c>
      <c r="T264" s="8">
        <f>IF($D264='[2]Beam '!T$44,$P264*'[2]Beam '!T$45,0)</f>
        <v>0</v>
      </c>
      <c r="U264" s="8">
        <f>IF($D264='[2]Beam '!U$44,$P264*'[2]Beam '!U$45,0)</f>
        <v>0</v>
      </c>
      <c r="V264" s="8">
        <f>IF($D264='[2]Beam '!V$44,$P264*'[2]Beam '!V$45,0)</f>
        <v>0</v>
      </c>
      <c r="W264" s="8">
        <f>IF($D264='[2]Beam '!W$44,$P264*'[2]Beam '!W$45,0)</f>
        <v>0</v>
      </c>
      <c r="X264" s="8">
        <f t="shared" si="54"/>
        <v>83.85818571428571</v>
      </c>
      <c r="Y264" s="8"/>
      <c r="Z264" s="8"/>
      <c r="AA264" s="8"/>
      <c r="AB264" s="8"/>
      <c r="AC264" s="8"/>
      <c r="AD264" s="8"/>
      <c r="AE264" s="8"/>
      <c r="AF264" s="8"/>
    </row>
    <row r="265" spans="1:32" s="10" customFormat="1" ht="20.100000000000001" customHeight="1" x14ac:dyDescent="0.25">
      <c r="A265" s="14"/>
      <c r="B265" s="8" t="s">
        <v>2</v>
      </c>
      <c r="C265" s="13" t="s">
        <v>9</v>
      </c>
      <c r="D265" s="8">
        <f>+D264</f>
        <v>10</v>
      </c>
      <c r="E265" s="14">
        <f>+E264</f>
        <v>0.1</v>
      </c>
      <c r="F265" s="8">
        <f>ROUNDUP(E259/E265,0)</f>
        <v>66</v>
      </c>
      <c r="H265" s="14"/>
      <c r="I265" s="14"/>
      <c r="J265" s="14"/>
      <c r="K265" s="14"/>
      <c r="L265" s="14"/>
      <c r="M265" s="14"/>
      <c r="N265" s="14"/>
      <c r="O265" s="8">
        <f>((((G259-(2*'[2]Beam '!$D$11))+(2*10*D265/1000))*D259))*2</f>
        <v>1.48</v>
      </c>
      <c r="P265" s="8">
        <f t="shared" si="53"/>
        <v>97.679999999999993</v>
      </c>
      <c r="Q265" s="8">
        <f>IF($D265='[2]Beam '!Q$44,$P265*'[2]Beam '!Q$45,0)</f>
        <v>0</v>
      </c>
      <c r="R265" s="8">
        <f>IF($D265='[2]Beam '!R$44,$P265*'[2]Beam '!R$45,0)</f>
        <v>60.247628571428564</v>
      </c>
      <c r="S265" s="8">
        <f>IF($D265='[2]Beam '!S$44,$P265*'[2]Beam '!S$45,0)</f>
        <v>0</v>
      </c>
      <c r="T265" s="8">
        <f>IF($D265='[2]Beam '!T$44,$P265*'[2]Beam '!T$45,0)</f>
        <v>0</v>
      </c>
      <c r="U265" s="8">
        <f>IF($D265='[2]Beam '!U$44,$P265*'[2]Beam '!U$45,0)</f>
        <v>0</v>
      </c>
      <c r="V265" s="8">
        <f>IF($D265='[2]Beam '!V$44,$P265*'[2]Beam '!V$45,0)</f>
        <v>0</v>
      </c>
      <c r="W265" s="8">
        <f>IF($D265='[2]Beam '!W$44,$P265*'[2]Beam '!W$45,0)</f>
        <v>0</v>
      </c>
      <c r="X265" s="8">
        <f t="shared" si="54"/>
        <v>60.247628571428564</v>
      </c>
      <c r="Y265" s="14"/>
      <c r="Z265" s="8"/>
      <c r="AA265" s="8"/>
      <c r="AB265" s="8"/>
      <c r="AC265" s="8"/>
      <c r="AD265" s="8"/>
      <c r="AE265" s="8"/>
    </row>
    <row r="266" spans="1:32" s="10" customFormat="1" ht="20.100000000000001" customHeight="1" x14ac:dyDescent="0.25">
      <c r="A266" s="7"/>
      <c r="B266" s="8" t="s">
        <v>2</v>
      </c>
      <c r="C266" s="13" t="s">
        <v>10</v>
      </c>
      <c r="D266" s="8">
        <f>+'[2]Beam '!$D$15</f>
        <v>25</v>
      </c>
      <c r="E266" s="8">
        <f>+'[2]Beam '!$E$15</f>
        <v>1</v>
      </c>
      <c r="F266" s="8">
        <f>ROUNDUP((1.8+1.8)/E266,0)</f>
        <v>4</v>
      </c>
      <c r="G266" s="9"/>
      <c r="H266" s="9"/>
      <c r="I266" s="8"/>
      <c r="J266" s="8"/>
      <c r="K266" s="8"/>
      <c r="L266" s="8"/>
      <c r="M266" s="8"/>
      <c r="N266" s="8"/>
      <c r="O266" s="8">
        <f>F259-'[2]Beam '!$F$15</f>
        <v>0.39</v>
      </c>
      <c r="P266" s="8">
        <f t="shared" si="53"/>
        <v>1.56</v>
      </c>
      <c r="Q266" s="8">
        <f>IF($D266='[2]Beam '!Q$44,$P266*'[2]Beam '!Q$45,0)</f>
        <v>0</v>
      </c>
      <c r="R266" s="8">
        <f>IF($D266='[2]Beam '!R$44,$P266*'[2]Beam '!R$45,0)</f>
        <v>0</v>
      </c>
      <c r="S266" s="8">
        <f>IF($D266='[2]Beam '!S$44,$P266*'[2]Beam '!S$45,0)</f>
        <v>0</v>
      </c>
      <c r="T266" s="8">
        <f>IF($D266='[2]Beam '!T$44,$P266*'[2]Beam '!T$45,0)</f>
        <v>0</v>
      </c>
      <c r="U266" s="8">
        <f>IF($D266='[2]Beam '!U$44,$P266*'[2]Beam '!U$45,0)</f>
        <v>0</v>
      </c>
      <c r="V266" s="8">
        <f>IF($D266='[2]Beam '!V$44,$P266*'[2]Beam '!V$45,0)</f>
        <v>6.0136607142857157</v>
      </c>
      <c r="W266" s="8">
        <f>IF($D266='[2]Beam '!W$44,$P266*'[2]Beam '!W$45,0)</f>
        <v>0</v>
      </c>
      <c r="X266" s="8">
        <f t="shared" si="54"/>
        <v>6.0136607142857157</v>
      </c>
      <c r="Y266" s="8"/>
      <c r="Z266" s="8"/>
      <c r="AA266" s="8"/>
      <c r="AB266" s="8"/>
      <c r="AC266" s="8"/>
      <c r="AD266" s="8"/>
      <c r="AE266" s="8"/>
    </row>
    <row r="267" spans="1:32" s="10" customFormat="1" ht="20.100000000000001" customHeight="1" x14ac:dyDescent="0.25">
      <c r="A267" s="8">
        <v>1</v>
      </c>
      <c r="B267" s="8" t="s">
        <v>2</v>
      </c>
      <c r="C267" s="11" t="s">
        <v>40</v>
      </c>
      <c r="D267" s="11">
        <v>1</v>
      </c>
      <c r="E267" s="11">
        <v>6.5490000000000004</v>
      </c>
      <c r="F267" s="11">
        <v>0.45</v>
      </c>
      <c r="G267" s="11">
        <v>0.6</v>
      </c>
      <c r="H267" s="8">
        <f>G267-0.2</f>
        <v>0.39999999999999997</v>
      </c>
      <c r="I267" s="8">
        <f>E267*F267*G267*D267</f>
        <v>1.7682300000000002</v>
      </c>
      <c r="J267" s="8">
        <f>(2*(E267)*H267*D267)+(E267*F267)</f>
        <v>8.1862500000000011</v>
      </c>
      <c r="K267" s="12">
        <f>IF(E267=0.3,J267,0)</f>
        <v>0</v>
      </c>
      <c r="L267" s="12">
        <f>IF(AND(E267&gt;0.3,E267&lt;=0.75),J267,0)</f>
        <v>0</v>
      </c>
      <c r="M267" s="12">
        <f>IF(AND(E267&gt;0.75,E267&lt;=1.2),J267,0)</f>
        <v>0</v>
      </c>
      <c r="N267" s="12">
        <f>IF(E267&gt;1.2,J267,0)</f>
        <v>8.1862500000000011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>
        <f>SUM(X268:X276)/I267</f>
        <v>244.27446207304962</v>
      </c>
      <c r="Z267" s="8"/>
      <c r="AA267" s="8"/>
      <c r="AB267" s="8"/>
      <c r="AC267" s="8"/>
      <c r="AD267" s="8"/>
      <c r="AE267" s="8"/>
    </row>
    <row r="268" spans="1:32" s="10" customFormat="1" ht="20.100000000000001" customHeight="1" x14ac:dyDescent="0.25">
      <c r="A268" s="7"/>
      <c r="B268" s="8" t="s">
        <v>2</v>
      </c>
      <c r="C268" s="13" t="s">
        <v>4</v>
      </c>
      <c r="D268" s="8">
        <v>20</v>
      </c>
      <c r="E268" s="8"/>
      <c r="F268" s="8">
        <v>4</v>
      </c>
      <c r="G268" s="9">
        <f>VLOOKUP(D268,'[2]Beam '!$C$20:$H$26,3,0)</f>
        <v>0.8</v>
      </c>
      <c r="H268" s="9"/>
      <c r="I268" s="8"/>
      <c r="J268" s="8"/>
      <c r="K268" s="8"/>
      <c r="L268" s="8"/>
      <c r="M268" s="8"/>
      <c r="N268" s="8"/>
      <c r="O268" s="8">
        <f>(E267+2*(0.5/2)*D267)</f>
        <v>7.0490000000000004</v>
      </c>
      <c r="P268" s="8">
        <f t="shared" ref="P268:P277" si="55">O268*F268</f>
        <v>28.196000000000002</v>
      </c>
      <c r="Q268" s="8">
        <f>IF($D268='[2]Beam '!Q$44,$P268*'[2]Beam '!Q$45,0)</f>
        <v>0</v>
      </c>
      <c r="R268" s="8">
        <f>IF($D268='[2]Beam '!R$44,$P268*'[2]Beam '!R$45,0)</f>
        <v>0</v>
      </c>
      <c r="S268" s="8">
        <f>IF($D268='[2]Beam '!S$44,$P268*'[2]Beam '!S$45,0)</f>
        <v>0</v>
      </c>
      <c r="T268" s="8">
        <f>IF($D268='[2]Beam '!T$44,$P268*'[2]Beam '!T$45,0)</f>
        <v>0</v>
      </c>
      <c r="U268" s="8">
        <f>IF($D268='[2]Beam '!U$44,$P268*'[2]Beam '!U$45,0)</f>
        <v>69.563559999999995</v>
      </c>
      <c r="V268" s="8">
        <f>IF($D268='[2]Beam '!V$44,$P268*'[2]Beam '!V$45,0)</f>
        <v>0</v>
      </c>
      <c r="W268" s="8">
        <f>IF($D268='[2]Beam '!W$44,$P268*'[2]Beam '!W$45,0)</f>
        <v>0</v>
      </c>
      <c r="X268" s="8">
        <f t="shared" ref="X268:X277" si="56">SUM(Q268:W268)</f>
        <v>69.563559999999995</v>
      </c>
      <c r="Y268" s="8"/>
      <c r="Z268" s="8"/>
      <c r="AA268" s="8"/>
      <c r="AB268" s="8"/>
      <c r="AC268" s="8"/>
      <c r="AD268" s="8"/>
      <c r="AE268" s="8"/>
    </row>
    <row r="269" spans="1:32" s="10" customFormat="1" ht="20.100000000000001" customHeight="1" x14ac:dyDescent="0.25">
      <c r="A269" s="7"/>
      <c r="B269" s="8" t="s">
        <v>2</v>
      </c>
      <c r="C269" s="13" t="s">
        <v>5</v>
      </c>
      <c r="D269" s="8">
        <v>16</v>
      </c>
      <c r="E269" s="8"/>
      <c r="F269" s="8">
        <v>4</v>
      </c>
      <c r="G269" s="9">
        <f>VLOOKUP(D269,'[2]Beam '!$C$20:$H$26,3,0)</f>
        <v>0.625</v>
      </c>
      <c r="H269" s="9"/>
      <c r="I269" s="8"/>
      <c r="J269" s="8"/>
      <c r="K269" s="8"/>
      <c r="L269" s="8"/>
      <c r="M269" s="8"/>
      <c r="N269" s="8"/>
      <c r="O269" s="8">
        <f>(1.8+1*(0.5/2)*D267)</f>
        <v>2.0499999999999998</v>
      </c>
      <c r="P269" s="8">
        <f t="shared" si="55"/>
        <v>8.1999999999999993</v>
      </c>
      <c r="Q269" s="8">
        <f>IF($D269='[2]Beam '!Q$44,$P269*'[2]Beam '!Q$45,0)</f>
        <v>0</v>
      </c>
      <c r="R269" s="8">
        <f>IF($D269='[2]Beam '!R$44,$P269*'[2]Beam '!R$45,0)</f>
        <v>0</v>
      </c>
      <c r="S269" s="8">
        <f>IF($D269='[2]Beam '!S$44,$P269*'[2]Beam '!S$45,0)</f>
        <v>0</v>
      </c>
      <c r="T269" s="8">
        <f>IF($D269='[2]Beam '!T$44,$P269*'[2]Beam '!T$45,0)</f>
        <v>12.947565714285714</v>
      </c>
      <c r="U269" s="8">
        <f>IF($D269='[2]Beam '!U$44,$P269*'[2]Beam '!U$45,0)</f>
        <v>0</v>
      </c>
      <c r="V269" s="8">
        <f>IF($D269='[2]Beam '!V$44,$P269*'[2]Beam '!V$45,0)</f>
        <v>0</v>
      </c>
      <c r="W269" s="8">
        <f>IF($D269='[2]Beam '!W$44,$P269*'[2]Beam '!W$45,0)</f>
        <v>0</v>
      </c>
      <c r="X269" s="8">
        <f t="shared" si="56"/>
        <v>12.947565714285714</v>
      </c>
      <c r="Y269" s="8"/>
      <c r="Z269" s="8"/>
      <c r="AA269" s="8"/>
      <c r="AB269" s="8"/>
      <c r="AC269" s="8"/>
      <c r="AD269" s="8"/>
      <c r="AE269" s="8"/>
    </row>
    <row r="270" spans="1:32" s="10" customFormat="1" ht="20.100000000000001" customHeight="1" x14ac:dyDescent="0.25">
      <c r="A270" s="7"/>
      <c r="B270" s="8" t="s">
        <v>2</v>
      </c>
      <c r="C270" s="13" t="s">
        <v>5</v>
      </c>
      <c r="D270" s="8">
        <v>25</v>
      </c>
      <c r="E270" s="8"/>
      <c r="F270" s="8">
        <v>4</v>
      </c>
      <c r="G270" s="9">
        <f>VLOOKUP(D270,'[2]Beam '!$C$20:$H$26,3,0)</f>
        <v>1</v>
      </c>
      <c r="H270" s="9"/>
      <c r="I270" s="8"/>
      <c r="J270" s="8"/>
      <c r="K270" s="8"/>
      <c r="L270" s="8"/>
      <c r="M270" s="8"/>
      <c r="N270" s="8"/>
      <c r="O270" s="8">
        <f>(1.8+1*(0.5/2)*D267)</f>
        <v>2.0499999999999998</v>
      </c>
      <c r="P270" s="8">
        <f t="shared" si="55"/>
        <v>8.1999999999999993</v>
      </c>
      <c r="Q270" s="8">
        <f>IF($D270='[2]Beam '!Q$44,$P270*'[2]Beam '!Q$45,0)</f>
        <v>0</v>
      </c>
      <c r="R270" s="8">
        <f>IF($D270='[2]Beam '!R$44,$P270*'[2]Beam '!R$45,0)</f>
        <v>0</v>
      </c>
      <c r="S270" s="8">
        <f>IF($D270='[2]Beam '!S$44,$P270*'[2]Beam '!S$45,0)</f>
        <v>0</v>
      </c>
      <c r="T270" s="8">
        <f>IF($D270='[2]Beam '!T$44,$P270*'[2]Beam '!T$45,0)</f>
        <v>0</v>
      </c>
      <c r="U270" s="8">
        <f>IF($D270='[2]Beam '!U$44,$P270*'[2]Beam '!U$45,0)</f>
        <v>0</v>
      </c>
      <c r="V270" s="8">
        <f>IF($D270='[2]Beam '!V$44,$P270*'[2]Beam '!V$45,0)</f>
        <v>31.610267857142858</v>
      </c>
      <c r="W270" s="8">
        <f>IF($D270='[2]Beam '!W$44,$P270*'[2]Beam '!W$45,0)</f>
        <v>0</v>
      </c>
      <c r="X270" s="8">
        <f t="shared" si="56"/>
        <v>31.610267857142858</v>
      </c>
      <c r="Y270" s="8"/>
      <c r="Z270" s="8"/>
      <c r="AA270" s="8"/>
      <c r="AB270" s="8"/>
      <c r="AC270" s="8"/>
      <c r="AD270" s="8"/>
      <c r="AE270" s="8"/>
    </row>
    <row r="271" spans="1:32" s="14" customFormat="1" ht="20.100000000000001" customHeight="1" x14ac:dyDescent="0.3">
      <c r="A271" s="7"/>
      <c r="B271" s="8" t="s">
        <v>2</v>
      </c>
      <c r="C271" s="13" t="s">
        <v>6</v>
      </c>
      <c r="D271" s="8">
        <v>25</v>
      </c>
      <c r="E271" s="8"/>
      <c r="F271" s="8">
        <v>4</v>
      </c>
      <c r="G271" s="9">
        <f>VLOOKUP(D271,'[2]Beam '!$C$20:$H$26,3,0)</f>
        <v>1</v>
      </c>
      <c r="H271" s="8"/>
      <c r="I271" s="8"/>
      <c r="J271" s="8"/>
      <c r="K271" s="8"/>
      <c r="L271" s="8"/>
      <c r="M271" s="8"/>
      <c r="N271" s="8"/>
      <c r="O271" s="8">
        <f>(E267+2*(0.5/2)*D267)</f>
        <v>7.0490000000000004</v>
      </c>
      <c r="P271" s="8">
        <f t="shared" si="55"/>
        <v>28.196000000000002</v>
      </c>
      <c r="Q271" s="8">
        <f>IF($D271='[2]Beam '!Q$44,$P271*'[2]Beam '!Q$45,0)</f>
        <v>0</v>
      </c>
      <c r="R271" s="8">
        <f>IF($D271='[2]Beam '!R$44,$P271*'[2]Beam '!R$45,0)</f>
        <v>0</v>
      </c>
      <c r="S271" s="8">
        <f>IF($D271='[2]Beam '!S$44,$P271*'[2]Beam '!S$45,0)</f>
        <v>0</v>
      </c>
      <c r="T271" s="8">
        <f>IF($D271='[2]Beam '!T$44,$P271*'[2]Beam '!T$45,0)</f>
        <v>0</v>
      </c>
      <c r="U271" s="8">
        <f>IF($D271='[2]Beam '!U$44,$P271*'[2]Beam '!U$45,0)</f>
        <v>0</v>
      </c>
      <c r="V271" s="8">
        <f>IF($D271='[2]Beam '!V$44,$P271*'[2]Beam '!V$45,0)</f>
        <v>108.69306250000002</v>
      </c>
      <c r="W271" s="8">
        <f>IF($D271='[2]Beam '!W$44,$P271*'[2]Beam '!W$45,0)</f>
        <v>0</v>
      </c>
      <c r="X271" s="8">
        <f t="shared" si="56"/>
        <v>108.69306250000002</v>
      </c>
      <c r="Y271" s="8"/>
    </row>
    <row r="272" spans="1:32" s="14" customFormat="1" ht="20.100000000000001" customHeight="1" x14ac:dyDescent="0.3">
      <c r="A272" s="7"/>
      <c r="B272" s="8" t="s">
        <v>2</v>
      </c>
      <c r="C272" s="13" t="s">
        <v>7</v>
      </c>
      <c r="D272" s="8">
        <v>16</v>
      </c>
      <c r="E272" s="8"/>
      <c r="F272" s="8">
        <v>2</v>
      </c>
      <c r="G272" s="9">
        <f>VLOOKUP(D272,'[2]Beam '!$C$20:$H$26,3,0)</f>
        <v>0.625</v>
      </c>
      <c r="H272" s="8"/>
      <c r="I272" s="8"/>
      <c r="J272" s="8"/>
      <c r="K272" s="8"/>
      <c r="L272" s="8"/>
      <c r="M272" s="8"/>
      <c r="N272" s="8"/>
      <c r="O272" s="8">
        <f>(1.8+1*(0.5/2)*D267)</f>
        <v>2.0499999999999998</v>
      </c>
      <c r="P272" s="8">
        <f t="shared" si="55"/>
        <v>4.0999999999999996</v>
      </c>
      <c r="Q272" s="8">
        <f>IF($D272='[2]Beam '!Q$44,$P272*'[2]Beam '!Q$45,0)</f>
        <v>0</v>
      </c>
      <c r="R272" s="8">
        <f>IF($D272='[2]Beam '!R$44,$P272*'[2]Beam '!R$45,0)</f>
        <v>0</v>
      </c>
      <c r="S272" s="8">
        <f>IF($D272='[2]Beam '!S$44,$P272*'[2]Beam '!S$45,0)</f>
        <v>0</v>
      </c>
      <c r="T272" s="8">
        <f>IF($D272='[2]Beam '!T$44,$P272*'[2]Beam '!T$45,0)</f>
        <v>6.4737828571428571</v>
      </c>
      <c r="U272" s="8">
        <f>IF($D272='[2]Beam '!U$44,$P272*'[2]Beam '!U$45,0)</f>
        <v>0</v>
      </c>
      <c r="V272" s="8">
        <f>IF($D272='[2]Beam '!V$44,$P272*'[2]Beam '!V$45,0)</f>
        <v>0</v>
      </c>
      <c r="W272" s="8">
        <f>IF($D272='[2]Beam '!W$44,$P272*'[2]Beam '!W$45,0)</f>
        <v>0</v>
      </c>
      <c r="X272" s="8">
        <f t="shared" si="56"/>
        <v>6.4737828571428571</v>
      </c>
      <c r="Y272" s="8"/>
    </row>
    <row r="273" spans="1:32" s="14" customFormat="1" ht="20.100000000000001" customHeight="1" x14ac:dyDescent="0.25">
      <c r="A273" s="7"/>
      <c r="B273" s="8" t="s">
        <v>2</v>
      </c>
      <c r="C273" s="13" t="s">
        <v>13</v>
      </c>
      <c r="D273" s="8">
        <v>12</v>
      </c>
      <c r="E273" s="8">
        <v>0.1</v>
      </c>
      <c r="F273" s="8">
        <f>ROUND(IF(E267/3&gt;(2*G267),(E267/3)/E273,(2*G267)/E273),0)*2+1</f>
        <v>45</v>
      </c>
      <c r="G273" s="10"/>
      <c r="H273" s="8"/>
      <c r="I273" s="8"/>
      <c r="J273" s="8"/>
      <c r="K273" s="8"/>
      <c r="L273" s="8"/>
      <c r="M273" s="8"/>
      <c r="N273" s="8"/>
      <c r="O273" s="8">
        <f>(2*((G267-(2*'[2]Beam '!$D$11))+(F267-(2*'[2]Beam '!$D$11)))+(2*10*D273/1000))*D267</f>
        <v>2.1</v>
      </c>
      <c r="P273" s="8">
        <f t="shared" si="55"/>
        <v>94.5</v>
      </c>
      <c r="Q273" s="8">
        <f>IF($D273='[2]Beam '!Q$44,$P273*'[2]Beam '!Q$45,0)</f>
        <v>0</v>
      </c>
      <c r="R273" s="8">
        <f>IF($D273='[2]Beam '!R$44,$P273*'[2]Beam '!R$45,0)</f>
        <v>0</v>
      </c>
      <c r="S273" s="8">
        <f>IF($D273='[2]Beam '!S$44,$P273*'[2]Beam '!S$45,0)</f>
        <v>83.932200000000009</v>
      </c>
      <c r="T273" s="8">
        <f>IF($D273='[2]Beam '!T$44,$P273*'[2]Beam '!T$45,0)</f>
        <v>0</v>
      </c>
      <c r="U273" s="8">
        <f>IF($D273='[2]Beam '!U$44,$P273*'[2]Beam '!U$45,0)</f>
        <v>0</v>
      </c>
      <c r="V273" s="8">
        <f>IF($D273='[2]Beam '!V$44,$P273*'[2]Beam '!V$45,0)</f>
        <v>0</v>
      </c>
      <c r="W273" s="8">
        <f>IF($D273='[2]Beam '!W$44,$P273*'[2]Beam '!W$45,0)</f>
        <v>0</v>
      </c>
      <c r="X273" s="8">
        <f t="shared" si="56"/>
        <v>83.932200000000009</v>
      </c>
      <c r="Y273" s="8"/>
    </row>
    <row r="274" spans="1:32" s="10" customFormat="1" ht="20.100000000000001" customHeight="1" x14ac:dyDescent="0.25">
      <c r="A274" s="14"/>
      <c r="B274" s="8" t="s">
        <v>2</v>
      </c>
      <c r="C274" s="13" t="s">
        <v>14</v>
      </c>
      <c r="D274" s="14">
        <f>D273</f>
        <v>12</v>
      </c>
      <c r="E274" s="14">
        <v>0.125</v>
      </c>
      <c r="F274" s="14">
        <f>ROUND((E267-(IF(E267/3&gt;2*G267,E267/3*2,G267*2*2)))/E274,0)</f>
        <v>17</v>
      </c>
      <c r="H274" s="14"/>
      <c r="I274" s="14"/>
      <c r="J274" s="14"/>
      <c r="K274" s="14"/>
      <c r="L274" s="14"/>
      <c r="M274" s="14"/>
      <c r="N274" s="14"/>
      <c r="O274" s="8">
        <f>(2*((G267-(2*'[2]Beam '!$D$11))+(F267-(2*'[2]Beam '!$D$11)))+(2*10*D274/1000))*D267</f>
        <v>2.1</v>
      </c>
      <c r="P274" s="8">
        <f t="shared" si="55"/>
        <v>35.700000000000003</v>
      </c>
      <c r="Q274" s="8">
        <f>IF($D274='[2]Beam '!Q$44,$P274*'[2]Beam '!Q$45,0)</f>
        <v>0</v>
      </c>
      <c r="R274" s="8">
        <f>IF($D274='[2]Beam '!R$44,$P274*'[2]Beam '!R$45,0)</f>
        <v>0</v>
      </c>
      <c r="S274" s="8">
        <f>IF($D274='[2]Beam '!S$44,$P274*'[2]Beam '!S$45,0)</f>
        <v>31.707720000000009</v>
      </c>
      <c r="T274" s="8">
        <f>IF($D274='[2]Beam '!T$44,$P274*'[2]Beam '!T$45,0)</f>
        <v>0</v>
      </c>
      <c r="U274" s="8">
        <f>IF($D274='[2]Beam '!U$44,$P274*'[2]Beam '!U$45,0)</f>
        <v>0</v>
      </c>
      <c r="V274" s="8">
        <f>IF($D274='[2]Beam '!V$44,$P274*'[2]Beam '!V$45,0)</f>
        <v>0</v>
      </c>
      <c r="W274" s="8">
        <f>IF($D274='[2]Beam '!W$44,$P274*'[2]Beam '!W$45,0)</f>
        <v>0</v>
      </c>
      <c r="X274" s="8">
        <f t="shared" si="56"/>
        <v>31.707720000000009</v>
      </c>
      <c r="Y274" s="14"/>
      <c r="Z274" s="8"/>
      <c r="AA274" s="8"/>
      <c r="AB274" s="8"/>
      <c r="AC274" s="8"/>
      <c r="AD274" s="8"/>
      <c r="AE274" s="8"/>
    </row>
    <row r="275" spans="1:32" s="10" customFormat="1" ht="21" customHeight="1" x14ac:dyDescent="0.25">
      <c r="A275" s="14"/>
      <c r="B275" s="8" t="s">
        <v>2</v>
      </c>
      <c r="C275" s="13" t="s">
        <v>15</v>
      </c>
      <c r="D275" s="14">
        <f>D273</f>
        <v>12</v>
      </c>
      <c r="E275" s="14">
        <f>+E273</f>
        <v>0.1</v>
      </c>
      <c r="F275" s="8">
        <f>ROUND(IF(E267/3&gt;(2*G267),(E267/3)/E275,(2*G267)/E275),0)*2+1</f>
        <v>45</v>
      </c>
      <c r="H275" s="14"/>
      <c r="I275" s="14"/>
      <c r="J275" s="14"/>
      <c r="K275" s="14"/>
      <c r="L275" s="14"/>
      <c r="M275" s="14"/>
      <c r="N275" s="14"/>
      <c r="O275" s="8">
        <f>(2*(((F267-'[2]Beam '!$D$11*2)/(F268-1))+(G267-'[2]Beam '!$D$11*2))+(2*10*D275/1000))*D267</f>
        <v>1.58</v>
      </c>
      <c r="P275" s="8">
        <f t="shared" si="55"/>
        <v>71.100000000000009</v>
      </c>
      <c r="Q275" s="8">
        <f>IF($D275='[2]Beam '!Q$44,$P275*'[2]Beam '!Q$45,0)</f>
        <v>0</v>
      </c>
      <c r="R275" s="8">
        <f>IF($D275='[2]Beam '!R$44,$P275*'[2]Beam '!R$45,0)</f>
        <v>0</v>
      </c>
      <c r="S275" s="8">
        <f>IF($D275='[2]Beam '!S$44,$P275*'[2]Beam '!S$45,0)</f>
        <v>63.148988571428589</v>
      </c>
      <c r="T275" s="8">
        <f>IF($D275='[2]Beam '!T$44,$P275*'[2]Beam '!T$45,0)</f>
        <v>0</v>
      </c>
      <c r="U275" s="8">
        <f>IF($D275='[2]Beam '!U$44,$P275*'[2]Beam '!U$45,0)</f>
        <v>0</v>
      </c>
      <c r="V275" s="8">
        <f>IF($D275='[2]Beam '!V$44,$P275*'[2]Beam '!V$45,0)</f>
        <v>0</v>
      </c>
      <c r="W275" s="8">
        <f>IF($D275='[2]Beam '!W$44,$P275*'[2]Beam '!W$45,0)</f>
        <v>0</v>
      </c>
      <c r="X275" s="8">
        <f t="shared" si="56"/>
        <v>63.148988571428589</v>
      </c>
      <c r="Y275" s="14"/>
      <c r="Z275" s="8"/>
      <c r="AA275" s="8"/>
      <c r="AB275" s="8"/>
      <c r="AC275" s="8"/>
      <c r="AD275" s="8"/>
      <c r="AE275" s="8"/>
      <c r="AF275" s="8"/>
    </row>
    <row r="276" spans="1:32" s="10" customFormat="1" ht="20.100000000000001" customHeight="1" x14ac:dyDescent="0.25">
      <c r="A276" s="14"/>
      <c r="B276" s="8" t="s">
        <v>2</v>
      </c>
      <c r="C276" s="13" t="s">
        <v>16</v>
      </c>
      <c r="D276" s="14">
        <f>D274</f>
        <v>12</v>
      </c>
      <c r="E276" s="14">
        <f>+E274</f>
        <v>0.125</v>
      </c>
      <c r="F276" s="14">
        <f>ROUND((E267-(IF(E267/3&gt;2*G267,E267/3*2,G267*2*2)))/E276,0)</f>
        <v>17</v>
      </c>
      <c r="H276" s="14"/>
      <c r="I276" s="14"/>
      <c r="J276" s="14"/>
      <c r="K276" s="14"/>
      <c r="L276" s="14"/>
      <c r="M276" s="14"/>
      <c r="N276" s="14"/>
      <c r="O276" s="8">
        <f>(2*(((F267-'[2]Beam '!$D$11*2)/(F268-1))+(G267-'[2]Beam '!$D$11*2))+(2*10*D276/1000))*D267</f>
        <v>1.58</v>
      </c>
      <c r="P276" s="8">
        <f t="shared" si="55"/>
        <v>26.86</v>
      </c>
      <c r="Q276" s="8">
        <f>IF($D276='[2]Beam '!Q$44,$P276*'[2]Beam '!Q$45,0)</f>
        <v>0</v>
      </c>
      <c r="R276" s="8">
        <f>IF($D276='[2]Beam '!R$44,$P276*'[2]Beam '!R$45,0)</f>
        <v>0</v>
      </c>
      <c r="S276" s="8">
        <f>IF($D276='[2]Beam '!S$44,$P276*'[2]Beam '!S$45,0)</f>
        <v>23.856284571428574</v>
      </c>
      <c r="T276" s="8">
        <f>IF($D276='[2]Beam '!T$44,$P276*'[2]Beam '!T$45,0)</f>
        <v>0</v>
      </c>
      <c r="U276" s="8">
        <f>IF($D276='[2]Beam '!U$44,$P276*'[2]Beam '!U$45,0)</f>
        <v>0</v>
      </c>
      <c r="V276" s="8">
        <f>IF($D276='[2]Beam '!V$44,$P276*'[2]Beam '!V$45,0)</f>
        <v>0</v>
      </c>
      <c r="W276" s="8">
        <f>IF($D276='[2]Beam '!W$44,$P276*'[2]Beam '!W$45,0)</f>
        <v>0</v>
      </c>
      <c r="X276" s="8">
        <f t="shared" si="56"/>
        <v>23.856284571428574</v>
      </c>
      <c r="Y276" s="14"/>
      <c r="Z276" s="8"/>
      <c r="AA276" s="8"/>
      <c r="AB276" s="8"/>
      <c r="AC276" s="8"/>
      <c r="AD276" s="8"/>
      <c r="AE276" s="8"/>
    </row>
    <row r="277" spans="1:32" s="10" customFormat="1" ht="20.100000000000001" customHeight="1" x14ac:dyDescent="0.25">
      <c r="A277" s="7"/>
      <c r="B277" s="8" t="s">
        <v>2</v>
      </c>
      <c r="C277" s="13" t="s">
        <v>10</v>
      </c>
      <c r="D277" s="8">
        <f>+'[2]Beam '!$D$15</f>
        <v>25</v>
      </c>
      <c r="E277" s="8">
        <f>+'[2]Beam '!$E$15</f>
        <v>1</v>
      </c>
      <c r="F277" s="8">
        <f>ROUNDUP((1.8+1.8)/E277,0)</f>
        <v>4</v>
      </c>
      <c r="G277" s="9"/>
      <c r="H277" s="9"/>
      <c r="I277" s="8"/>
      <c r="J277" s="8"/>
      <c r="K277" s="8"/>
      <c r="L277" s="8"/>
      <c r="M277" s="8"/>
      <c r="N277" s="8"/>
      <c r="O277" s="8">
        <f>F267-'[2]Beam '!$F$15</f>
        <v>0.39</v>
      </c>
      <c r="P277" s="8">
        <f t="shared" si="55"/>
        <v>1.56</v>
      </c>
      <c r="Q277" s="8">
        <f>IF($D277='[2]Beam '!Q$44,$P277*'[2]Beam '!Q$45,0)</f>
        <v>0</v>
      </c>
      <c r="R277" s="8">
        <f>IF($D277='[2]Beam '!R$44,$P277*'[2]Beam '!R$45,0)</f>
        <v>0</v>
      </c>
      <c r="S277" s="8">
        <f>IF($D277='[2]Beam '!S$44,$P277*'[2]Beam '!S$45,0)</f>
        <v>0</v>
      </c>
      <c r="T277" s="8">
        <f>IF($D277='[2]Beam '!T$44,$P277*'[2]Beam '!T$45,0)</f>
        <v>0</v>
      </c>
      <c r="U277" s="8">
        <f>IF($D277='[2]Beam '!U$44,$P277*'[2]Beam '!U$45,0)</f>
        <v>0</v>
      </c>
      <c r="V277" s="8">
        <f>IF($D277='[2]Beam '!V$44,$P277*'[2]Beam '!V$45,0)</f>
        <v>6.0136607142857157</v>
      </c>
      <c r="W277" s="8">
        <f>IF($D277='[2]Beam '!W$44,$P277*'[2]Beam '!W$45,0)</f>
        <v>0</v>
      </c>
      <c r="X277" s="8">
        <f t="shared" si="56"/>
        <v>6.0136607142857157</v>
      </c>
      <c r="Y277" s="8"/>
      <c r="Z277" s="8"/>
      <c r="AA277" s="8"/>
      <c r="AB277" s="8"/>
      <c r="AC277" s="8"/>
      <c r="AD277" s="8"/>
      <c r="AE277" s="8"/>
    </row>
    <row r="278" spans="1:32" s="10" customFormat="1" ht="20.100000000000001" customHeight="1" x14ac:dyDescent="0.25">
      <c r="A278" s="8">
        <v>1</v>
      </c>
      <c r="B278" s="8" t="s">
        <v>2</v>
      </c>
      <c r="C278" s="11" t="s">
        <v>41</v>
      </c>
      <c r="D278" s="11">
        <v>1</v>
      </c>
      <c r="E278" s="11">
        <v>3.05</v>
      </c>
      <c r="F278" s="11">
        <v>0.45</v>
      </c>
      <c r="G278" s="11">
        <v>0.6</v>
      </c>
      <c r="H278" s="8">
        <f>G278-0.2</f>
        <v>0.39999999999999997</v>
      </c>
      <c r="I278" s="8">
        <f>E278*F278*G278*D278</f>
        <v>0.82350000000000001</v>
      </c>
      <c r="J278" s="8">
        <f>(2*(E278)*H278*D278)+(E278*F278)</f>
        <v>3.8124999999999996</v>
      </c>
      <c r="K278" s="12">
        <f>IF(E278=0.3,J278,0)</f>
        <v>0</v>
      </c>
      <c r="L278" s="12">
        <f>IF(AND(E278&gt;0.3,E278&lt;=0.75),J278,0)</f>
        <v>0</v>
      </c>
      <c r="M278" s="12">
        <f>IF(AND(E278&gt;0.75,E278&lt;=1.2),J278,0)</f>
        <v>0</v>
      </c>
      <c r="N278" s="12">
        <f>IF(E278&gt;1.2,J278,0)</f>
        <v>3.8124999999999996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>
        <f>SUM(X279:X286)/I278</f>
        <v>286.1454301327089</v>
      </c>
      <c r="Z278" s="8"/>
      <c r="AA278" s="8"/>
      <c r="AB278" s="8"/>
      <c r="AC278" s="8"/>
      <c r="AD278" s="8"/>
      <c r="AE278" s="8"/>
    </row>
    <row r="279" spans="1:32" s="10" customFormat="1" ht="20.100000000000001" customHeight="1" x14ac:dyDescent="0.25">
      <c r="A279" s="7"/>
      <c r="B279" s="8" t="s">
        <v>2</v>
      </c>
      <c r="C279" s="13" t="s">
        <v>4</v>
      </c>
      <c r="D279" s="8">
        <v>20</v>
      </c>
      <c r="E279" s="8"/>
      <c r="F279" s="8">
        <v>4</v>
      </c>
      <c r="G279" s="9">
        <f>VLOOKUP(D279,'[2]Beam '!$C$20:$H$26,3,0)</f>
        <v>0.8</v>
      </c>
      <c r="H279" s="9"/>
      <c r="I279" s="8"/>
      <c r="J279" s="8"/>
      <c r="K279" s="8"/>
      <c r="L279" s="8"/>
      <c r="M279" s="8"/>
      <c r="N279" s="8"/>
      <c r="O279" s="8">
        <f>(E278+1*(0.5/2)+1*(0.4/2)*D278)</f>
        <v>3.5</v>
      </c>
      <c r="P279" s="8">
        <f t="shared" ref="P279:P287" si="57">O279*F279</f>
        <v>14</v>
      </c>
      <c r="Q279" s="8">
        <f>IF($D279='[2]Beam '!Q$44,$P279*'[2]Beam '!Q$45,0)</f>
        <v>0</v>
      </c>
      <c r="R279" s="8">
        <f>IF($D279='[2]Beam '!R$44,$P279*'[2]Beam '!R$45,0)</f>
        <v>0</v>
      </c>
      <c r="S279" s="8">
        <f>IF($D279='[2]Beam '!S$44,$P279*'[2]Beam '!S$45,0)</f>
        <v>0</v>
      </c>
      <c r="T279" s="8">
        <f>IF($D279='[2]Beam '!T$44,$P279*'[2]Beam '!T$45,0)</f>
        <v>0</v>
      </c>
      <c r="U279" s="8">
        <f>IF($D279='[2]Beam '!U$44,$P279*'[2]Beam '!U$45,0)</f>
        <v>34.54</v>
      </c>
      <c r="V279" s="8">
        <f>IF($D279='[2]Beam '!V$44,$P279*'[2]Beam '!V$45,0)</f>
        <v>0</v>
      </c>
      <c r="W279" s="8">
        <f>IF($D279='[2]Beam '!W$44,$P279*'[2]Beam '!W$45,0)</f>
        <v>0</v>
      </c>
      <c r="X279" s="8">
        <f t="shared" ref="X279:X287" si="58">SUM(Q279:W279)</f>
        <v>34.54</v>
      </c>
      <c r="Y279" s="8"/>
      <c r="Z279" s="8"/>
      <c r="AA279" s="8"/>
      <c r="AB279" s="8"/>
      <c r="AC279" s="8"/>
      <c r="AD279" s="8"/>
      <c r="AE279" s="8"/>
    </row>
    <row r="280" spans="1:32" s="10" customFormat="1" ht="20.100000000000001" customHeight="1" x14ac:dyDescent="0.25">
      <c r="A280" s="7"/>
      <c r="B280" s="8" t="s">
        <v>2</v>
      </c>
      <c r="C280" s="13" t="s">
        <v>5</v>
      </c>
      <c r="D280" s="8">
        <v>25</v>
      </c>
      <c r="E280" s="8"/>
      <c r="F280" s="8">
        <v>4</v>
      </c>
      <c r="G280" s="9">
        <f>VLOOKUP(D280,'[2]Beam '!$C$20:$H$26,3,0)</f>
        <v>1</v>
      </c>
      <c r="H280" s="9"/>
      <c r="I280" s="8"/>
      <c r="J280" s="8"/>
      <c r="K280" s="8"/>
      <c r="L280" s="8"/>
      <c r="M280" s="8"/>
      <c r="N280" s="8"/>
      <c r="O280" s="8">
        <f>(0.9+1*(0.5/2)*D278)</f>
        <v>1.1499999999999999</v>
      </c>
      <c r="P280" s="8">
        <f t="shared" si="57"/>
        <v>4.5999999999999996</v>
      </c>
      <c r="Q280" s="8">
        <f>IF($D280='[2]Beam '!Q$44,$P280*'[2]Beam '!Q$45,0)</f>
        <v>0</v>
      </c>
      <c r="R280" s="8">
        <f>IF($D280='[2]Beam '!R$44,$P280*'[2]Beam '!R$45,0)</f>
        <v>0</v>
      </c>
      <c r="S280" s="8">
        <f>IF($D280='[2]Beam '!S$44,$P280*'[2]Beam '!S$45,0)</f>
        <v>0</v>
      </c>
      <c r="T280" s="8">
        <f>IF($D280='[2]Beam '!T$44,$P280*'[2]Beam '!T$45,0)</f>
        <v>0</v>
      </c>
      <c r="U280" s="8">
        <f>IF($D280='[2]Beam '!U$44,$P280*'[2]Beam '!U$45,0)</f>
        <v>0</v>
      </c>
      <c r="V280" s="8">
        <f>IF($D280='[2]Beam '!V$44,$P280*'[2]Beam '!V$45,0)</f>
        <v>17.732589285714287</v>
      </c>
      <c r="W280" s="8">
        <f>IF($D280='[2]Beam '!W$44,$P280*'[2]Beam '!W$45,0)</f>
        <v>0</v>
      </c>
      <c r="X280" s="8">
        <f t="shared" si="58"/>
        <v>17.732589285714287</v>
      </c>
      <c r="Y280" s="8"/>
      <c r="Z280" s="8"/>
      <c r="AA280" s="8"/>
      <c r="AB280" s="8"/>
      <c r="AC280" s="8"/>
      <c r="AD280" s="8"/>
      <c r="AE280" s="8"/>
    </row>
    <row r="281" spans="1:32" s="10" customFormat="1" ht="20.100000000000001" customHeight="1" x14ac:dyDescent="0.25">
      <c r="A281" s="7"/>
      <c r="B281" s="8" t="s">
        <v>2</v>
      </c>
      <c r="C281" s="13" t="s">
        <v>5</v>
      </c>
      <c r="D281" s="8">
        <v>25</v>
      </c>
      <c r="E281" s="8"/>
      <c r="F281" s="8">
        <v>4</v>
      </c>
      <c r="G281" s="9">
        <f>VLOOKUP(D281,'[2]Beam '!$C$20:$H$26,3,0)</f>
        <v>1</v>
      </c>
      <c r="H281" s="9"/>
      <c r="I281" s="8"/>
      <c r="J281" s="8"/>
      <c r="K281" s="8"/>
      <c r="L281" s="8"/>
      <c r="M281" s="8"/>
      <c r="N281" s="8"/>
      <c r="O281" s="8">
        <f>(0.9+1*(0.5/2)*D278)</f>
        <v>1.1499999999999999</v>
      </c>
      <c r="P281" s="8">
        <f t="shared" si="57"/>
        <v>4.5999999999999996</v>
      </c>
      <c r="Q281" s="8">
        <f>IF($D281='[2]Beam '!Q$44,$P281*'[2]Beam '!Q$45,0)</f>
        <v>0</v>
      </c>
      <c r="R281" s="8">
        <f>IF($D281='[2]Beam '!R$44,$P281*'[2]Beam '!R$45,0)</f>
        <v>0</v>
      </c>
      <c r="S281" s="8">
        <f>IF($D281='[2]Beam '!S$44,$P281*'[2]Beam '!S$45,0)</f>
        <v>0</v>
      </c>
      <c r="T281" s="8">
        <f>IF($D281='[2]Beam '!T$44,$P281*'[2]Beam '!T$45,0)</f>
        <v>0</v>
      </c>
      <c r="U281" s="8">
        <f>IF($D281='[2]Beam '!U$44,$P281*'[2]Beam '!U$45,0)</f>
        <v>0</v>
      </c>
      <c r="V281" s="8">
        <f>IF($D281='[2]Beam '!V$44,$P281*'[2]Beam '!V$45,0)</f>
        <v>17.732589285714287</v>
      </c>
      <c r="W281" s="8">
        <f>IF($D281='[2]Beam '!W$44,$P281*'[2]Beam '!W$45,0)</f>
        <v>0</v>
      </c>
      <c r="X281" s="8">
        <f t="shared" si="58"/>
        <v>17.732589285714287</v>
      </c>
      <c r="Y281" s="8"/>
      <c r="Z281" s="8"/>
      <c r="AA281" s="8"/>
      <c r="AB281" s="8"/>
      <c r="AC281" s="8"/>
      <c r="AD281" s="8"/>
      <c r="AE281" s="8"/>
    </row>
    <row r="282" spans="1:32" s="10" customFormat="1" ht="20.100000000000001" customHeight="1" x14ac:dyDescent="0.25">
      <c r="A282" s="7"/>
      <c r="B282" s="8" t="s">
        <v>2</v>
      </c>
      <c r="C282" s="13" t="s">
        <v>5</v>
      </c>
      <c r="D282" s="8">
        <v>16</v>
      </c>
      <c r="E282" s="8"/>
      <c r="F282" s="8">
        <v>4</v>
      </c>
      <c r="G282" s="9">
        <f>VLOOKUP(D282,'[2]Beam '!$C$20:$H$26,3,0)</f>
        <v>0.625</v>
      </c>
      <c r="H282" s="9"/>
      <c r="I282" s="8"/>
      <c r="J282" s="8"/>
      <c r="K282" s="8"/>
      <c r="L282" s="8"/>
      <c r="M282" s="8"/>
      <c r="N282" s="8"/>
      <c r="O282" s="8">
        <f>(0.9+1*(0.5/2)*D278)</f>
        <v>1.1499999999999999</v>
      </c>
      <c r="P282" s="8">
        <f t="shared" si="57"/>
        <v>4.5999999999999996</v>
      </c>
      <c r="Q282" s="8">
        <f>IF($D282='[2]Beam '!Q$44,$P282*'[2]Beam '!Q$45,0)</f>
        <v>0</v>
      </c>
      <c r="R282" s="8">
        <f>IF($D282='[2]Beam '!R$44,$P282*'[2]Beam '!R$45,0)</f>
        <v>0</v>
      </c>
      <c r="S282" s="8">
        <f>IF($D282='[2]Beam '!S$44,$P282*'[2]Beam '!S$45,0)</f>
        <v>0</v>
      </c>
      <c r="T282" s="8">
        <f>IF($D282='[2]Beam '!T$44,$P282*'[2]Beam '!T$45,0)</f>
        <v>7.2632685714285712</v>
      </c>
      <c r="U282" s="8">
        <f>IF($D282='[2]Beam '!U$44,$P282*'[2]Beam '!U$45,0)</f>
        <v>0</v>
      </c>
      <c r="V282" s="8">
        <f>IF($D282='[2]Beam '!V$44,$P282*'[2]Beam '!V$45,0)</f>
        <v>0</v>
      </c>
      <c r="W282" s="8">
        <f>IF($D282='[2]Beam '!W$44,$P282*'[2]Beam '!W$45,0)</f>
        <v>0</v>
      </c>
      <c r="X282" s="8">
        <f t="shared" si="58"/>
        <v>7.2632685714285712</v>
      </c>
      <c r="Y282" s="8"/>
      <c r="Z282" s="8"/>
      <c r="AA282" s="8"/>
      <c r="AB282" s="8"/>
      <c r="AC282" s="8"/>
      <c r="AD282" s="8"/>
      <c r="AE282" s="8"/>
    </row>
    <row r="283" spans="1:32" s="14" customFormat="1" ht="20.100000000000001" customHeight="1" x14ac:dyDescent="0.3">
      <c r="A283" s="7"/>
      <c r="B283" s="8" t="s">
        <v>2</v>
      </c>
      <c r="C283" s="13" t="s">
        <v>6</v>
      </c>
      <c r="D283" s="8">
        <v>25</v>
      </c>
      <c r="E283" s="8"/>
      <c r="F283" s="8">
        <v>4</v>
      </c>
      <c r="G283" s="9">
        <f>VLOOKUP(D283,'[2]Beam '!$C$20:$H$26,3,0)</f>
        <v>1</v>
      </c>
      <c r="H283" s="8"/>
      <c r="I283" s="8"/>
      <c r="J283" s="8"/>
      <c r="K283" s="8"/>
      <c r="L283" s="8"/>
      <c r="M283" s="8"/>
      <c r="N283" s="8"/>
      <c r="O283" s="8">
        <f>(E278+1*(0.5/2)+1*(0.4/2)*D278)</f>
        <v>3.5</v>
      </c>
      <c r="P283" s="8">
        <f t="shared" si="57"/>
        <v>14</v>
      </c>
      <c r="Q283" s="8">
        <f>IF($D283='[2]Beam '!Q$44,$P283*'[2]Beam '!Q$45,0)</f>
        <v>0</v>
      </c>
      <c r="R283" s="8">
        <f>IF($D283='[2]Beam '!R$44,$P283*'[2]Beam '!R$45,0)</f>
        <v>0</v>
      </c>
      <c r="S283" s="8">
        <f>IF($D283='[2]Beam '!S$44,$P283*'[2]Beam '!S$45,0)</f>
        <v>0</v>
      </c>
      <c r="T283" s="8">
        <f>IF($D283='[2]Beam '!T$44,$P283*'[2]Beam '!T$45,0)</f>
        <v>0</v>
      </c>
      <c r="U283" s="8">
        <f>IF($D283='[2]Beam '!U$44,$P283*'[2]Beam '!U$45,0)</f>
        <v>0</v>
      </c>
      <c r="V283" s="8">
        <f>IF($D283='[2]Beam '!V$44,$P283*'[2]Beam '!V$45,0)</f>
        <v>53.968750000000007</v>
      </c>
      <c r="W283" s="8">
        <f>IF($D283='[2]Beam '!W$44,$P283*'[2]Beam '!W$45,0)</f>
        <v>0</v>
      </c>
      <c r="X283" s="8">
        <f t="shared" si="58"/>
        <v>53.968750000000007</v>
      </c>
      <c r="Y283" s="8"/>
    </row>
    <row r="284" spans="1:32" s="10" customFormat="1" ht="20.100000000000001" customHeight="1" x14ac:dyDescent="0.25">
      <c r="A284" s="7"/>
      <c r="B284" s="8" t="s">
        <v>2</v>
      </c>
      <c r="C284" s="13" t="s">
        <v>7</v>
      </c>
      <c r="D284" s="8">
        <v>16</v>
      </c>
      <c r="E284" s="8"/>
      <c r="F284" s="8">
        <v>2</v>
      </c>
      <c r="G284" s="9">
        <f>VLOOKUP(D284,'[2]Beam '!$C$20:$H$26,3,0)</f>
        <v>0.625</v>
      </c>
      <c r="H284" s="8"/>
      <c r="I284" s="8"/>
      <c r="J284" s="8"/>
      <c r="K284" s="8"/>
      <c r="L284" s="8"/>
      <c r="M284" s="8"/>
      <c r="N284" s="8"/>
      <c r="O284" s="8">
        <f>(0.9+1*(0.5/2)*D278)</f>
        <v>1.1499999999999999</v>
      </c>
      <c r="P284" s="8">
        <f t="shared" si="57"/>
        <v>2.2999999999999998</v>
      </c>
      <c r="Q284" s="8">
        <f>IF($D284='[2]Beam '!Q$44,$P284*'[2]Beam '!Q$45,0)</f>
        <v>0</v>
      </c>
      <c r="R284" s="8">
        <f>IF($D284='[2]Beam '!R$44,$P284*'[2]Beam '!R$45,0)</f>
        <v>0</v>
      </c>
      <c r="S284" s="8">
        <f>IF($D284='[2]Beam '!S$44,$P284*'[2]Beam '!S$45,0)</f>
        <v>0</v>
      </c>
      <c r="T284" s="8">
        <f>IF($D284='[2]Beam '!T$44,$P284*'[2]Beam '!T$45,0)</f>
        <v>3.6316342857142856</v>
      </c>
      <c r="U284" s="8">
        <f>IF($D284='[2]Beam '!U$44,$P284*'[2]Beam '!U$45,0)</f>
        <v>0</v>
      </c>
      <c r="V284" s="8">
        <f>IF($D284='[2]Beam '!V$44,$P284*'[2]Beam '!V$45,0)</f>
        <v>0</v>
      </c>
      <c r="W284" s="8">
        <f>IF($D284='[2]Beam '!W$44,$P284*'[2]Beam '!W$45,0)</f>
        <v>0</v>
      </c>
      <c r="X284" s="8">
        <f t="shared" si="58"/>
        <v>3.6316342857142856</v>
      </c>
      <c r="Y284" s="8"/>
      <c r="Z284" s="8"/>
      <c r="AA284" s="8"/>
      <c r="AB284" s="8"/>
      <c r="AC284" s="8"/>
      <c r="AD284" s="8"/>
      <c r="AE284" s="8"/>
    </row>
    <row r="285" spans="1:32" s="10" customFormat="1" ht="21" customHeight="1" x14ac:dyDescent="0.25">
      <c r="A285" s="7"/>
      <c r="B285" s="8" t="s">
        <v>2</v>
      </c>
      <c r="C285" s="13" t="s">
        <v>8</v>
      </c>
      <c r="D285" s="8">
        <v>12</v>
      </c>
      <c r="E285" s="8">
        <v>0.1</v>
      </c>
      <c r="F285" s="8">
        <f>ROUNDUP(E278/E285,0)</f>
        <v>31</v>
      </c>
      <c r="H285" s="8"/>
      <c r="I285" s="8"/>
      <c r="J285" s="8"/>
      <c r="K285" s="8"/>
      <c r="L285" s="8"/>
      <c r="M285" s="8"/>
      <c r="N285" s="8"/>
      <c r="O285" s="8">
        <f>(2*((G278-(2*'[2]Beam '!$D$11))+(F278-(2*'[2]Beam '!$D$11)))+(2*10*D285/1000))*D278</f>
        <v>2.1</v>
      </c>
      <c r="P285" s="8">
        <f t="shared" si="57"/>
        <v>65.100000000000009</v>
      </c>
      <c r="Q285" s="8">
        <f>IF($D285='[2]Beam '!Q$44,$P285*'[2]Beam '!Q$45,0)</f>
        <v>0</v>
      </c>
      <c r="R285" s="8">
        <f>IF($D285='[2]Beam '!R$44,$P285*'[2]Beam '!R$45,0)</f>
        <v>0</v>
      </c>
      <c r="S285" s="8">
        <f>IF($D285='[2]Beam '!S$44,$P285*'[2]Beam '!S$45,0)</f>
        <v>57.819960000000016</v>
      </c>
      <c r="T285" s="8">
        <f>IF($D285='[2]Beam '!T$44,$P285*'[2]Beam '!T$45,0)</f>
        <v>0</v>
      </c>
      <c r="U285" s="8">
        <f>IF($D285='[2]Beam '!U$44,$P285*'[2]Beam '!U$45,0)</f>
        <v>0</v>
      </c>
      <c r="V285" s="8">
        <f>IF($D285='[2]Beam '!V$44,$P285*'[2]Beam '!V$45,0)</f>
        <v>0</v>
      </c>
      <c r="W285" s="8">
        <f>IF($D285='[2]Beam '!W$44,$P285*'[2]Beam '!W$45,0)</f>
        <v>0</v>
      </c>
      <c r="X285" s="8">
        <f t="shared" si="58"/>
        <v>57.819960000000016</v>
      </c>
      <c r="Y285" s="8"/>
      <c r="Z285" s="8"/>
      <c r="AA285" s="8"/>
      <c r="AB285" s="8"/>
      <c r="AC285" s="8"/>
      <c r="AD285" s="8"/>
      <c r="AE285" s="8"/>
      <c r="AF285" s="8"/>
    </row>
    <row r="286" spans="1:32" s="10" customFormat="1" ht="20.100000000000001" customHeight="1" x14ac:dyDescent="0.25">
      <c r="A286" s="14"/>
      <c r="B286" s="8" t="s">
        <v>2</v>
      </c>
      <c r="C286" s="13" t="s">
        <v>9</v>
      </c>
      <c r="D286" s="8">
        <f>+D285</f>
        <v>12</v>
      </c>
      <c r="E286" s="14">
        <f>+E285</f>
        <v>0.1</v>
      </c>
      <c r="F286" s="8">
        <f>ROUNDUP(E278/E286,0)</f>
        <v>31</v>
      </c>
      <c r="H286" s="14"/>
      <c r="I286" s="14"/>
      <c r="J286" s="14"/>
      <c r="K286" s="14"/>
      <c r="L286" s="14"/>
      <c r="M286" s="14"/>
      <c r="N286" s="14"/>
      <c r="O286" s="8">
        <f>((((G278-(2*'[2]Beam '!$D$11))+(2*10*D286/1000))*D278))*2</f>
        <v>1.56</v>
      </c>
      <c r="P286" s="8">
        <f t="shared" si="57"/>
        <v>48.36</v>
      </c>
      <c r="Q286" s="8">
        <f>IF($D286='[2]Beam '!Q$44,$P286*'[2]Beam '!Q$45,0)</f>
        <v>0</v>
      </c>
      <c r="R286" s="8">
        <f>IF($D286='[2]Beam '!R$44,$P286*'[2]Beam '!R$45,0)</f>
        <v>0</v>
      </c>
      <c r="S286" s="8">
        <f>IF($D286='[2]Beam '!S$44,$P286*'[2]Beam '!S$45,0)</f>
        <v>42.951970285714296</v>
      </c>
      <c r="T286" s="8">
        <f>IF($D286='[2]Beam '!T$44,$P286*'[2]Beam '!T$45,0)</f>
        <v>0</v>
      </c>
      <c r="U286" s="8">
        <f>IF($D286='[2]Beam '!U$44,$P286*'[2]Beam '!U$45,0)</f>
        <v>0</v>
      </c>
      <c r="V286" s="8">
        <f>IF($D286='[2]Beam '!V$44,$P286*'[2]Beam '!V$45,0)</f>
        <v>0</v>
      </c>
      <c r="W286" s="8">
        <f>IF($D286='[2]Beam '!W$44,$P286*'[2]Beam '!W$45,0)</f>
        <v>0</v>
      </c>
      <c r="X286" s="8">
        <f t="shared" si="58"/>
        <v>42.951970285714296</v>
      </c>
      <c r="Y286" s="14"/>
      <c r="Z286" s="8"/>
      <c r="AA286" s="8"/>
      <c r="AB286" s="8"/>
      <c r="AC286" s="8"/>
      <c r="AD286" s="8"/>
      <c r="AE286" s="8"/>
    </row>
    <row r="287" spans="1:32" s="10" customFormat="1" ht="20.100000000000001" customHeight="1" x14ac:dyDescent="0.25">
      <c r="A287" s="7"/>
      <c r="B287" s="8" t="s">
        <v>2</v>
      </c>
      <c r="C287" s="13" t="s">
        <v>10</v>
      </c>
      <c r="D287" s="8">
        <f>+'[2]Beam '!$D$15</f>
        <v>25</v>
      </c>
      <c r="E287" s="8">
        <f>+'[2]Beam '!$E$15</f>
        <v>1</v>
      </c>
      <c r="F287" s="8">
        <f>ROUNDUP((1.8+1.8)/E287,0)</f>
        <v>4</v>
      </c>
      <c r="G287" s="9"/>
      <c r="H287" s="9"/>
      <c r="I287" s="8"/>
      <c r="J287" s="8"/>
      <c r="K287" s="8"/>
      <c r="L287" s="8"/>
      <c r="M287" s="8"/>
      <c r="N287" s="8"/>
      <c r="O287" s="8">
        <f>F278-'[2]Beam '!$F$15</f>
        <v>0.39</v>
      </c>
      <c r="P287" s="8">
        <f t="shared" si="57"/>
        <v>1.56</v>
      </c>
      <c r="Q287" s="8">
        <f>IF($D287='[2]Beam '!Q$44,$P287*'[2]Beam '!Q$45,0)</f>
        <v>0</v>
      </c>
      <c r="R287" s="8">
        <f>IF($D287='[2]Beam '!R$44,$P287*'[2]Beam '!R$45,0)</f>
        <v>0</v>
      </c>
      <c r="S287" s="8">
        <f>IF($D287='[2]Beam '!S$44,$P287*'[2]Beam '!S$45,0)</f>
        <v>0</v>
      </c>
      <c r="T287" s="8">
        <f>IF($D287='[2]Beam '!T$44,$P287*'[2]Beam '!T$45,0)</f>
        <v>0</v>
      </c>
      <c r="U287" s="8">
        <f>IF($D287='[2]Beam '!U$44,$P287*'[2]Beam '!U$45,0)</f>
        <v>0</v>
      </c>
      <c r="V287" s="8">
        <f>IF($D287='[2]Beam '!V$44,$P287*'[2]Beam '!V$45,0)</f>
        <v>6.0136607142857157</v>
      </c>
      <c r="W287" s="8">
        <f>IF($D287='[2]Beam '!W$44,$P287*'[2]Beam '!W$45,0)</f>
        <v>0</v>
      </c>
      <c r="X287" s="8">
        <f t="shared" si="58"/>
        <v>6.0136607142857157</v>
      </c>
      <c r="Y287" s="8"/>
      <c r="Z287" s="8"/>
      <c r="AA287" s="8"/>
      <c r="AB287" s="8"/>
      <c r="AC287" s="8"/>
      <c r="AD287" s="8"/>
      <c r="AE287" s="8"/>
    </row>
    <row r="288" spans="1:32" s="10" customFormat="1" ht="20.100000000000001" customHeight="1" x14ac:dyDescent="0.25">
      <c r="A288" s="8">
        <v>1</v>
      </c>
      <c r="B288" s="8" t="s">
        <v>2</v>
      </c>
      <c r="C288" s="11" t="s">
        <v>42</v>
      </c>
      <c r="D288" s="11">
        <v>1</v>
      </c>
      <c r="E288" s="11">
        <v>6.2</v>
      </c>
      <c r="F288" s="11">
        <v>0.45</v>
      </c>
      <c r="G288" s="11">
        <v>0.6</v>
      </c>
      <c r="H288" s="8">
        <f>G288-0.2</f>
        <v>0.39999999999999997</v>
      </c>
      <c r="I288" s="8">
        <f>E288*F288*G288*D288</f>
        <v>1.6739999999999999</v>
      </c>
      <c r="J288" s="8">
        <f>(2*(E288)*H288*D288)+(E288*F288)</f>
        <v>7.75</v>
      </c>
      <c r="K288" s="12">
        <f>IF(E288=0.3,J288,0)</f>
        <v>0</v>
      </c>
      <c r="L288" s="12">
        <f>IF(AND(E288&gt;0.3,E288&lt;=0.75),J288,0)</f>
        <v>0</v>
      </c>
      <c r="M288" s="12">
        <f>IF(AND(E288&gt;0.75,E288&lt;=1.2),J288,0)</f>
        <v>0</v>
      </c>
      <c r="N288" s="12">
        <f>IF(E288&gt;1.2,J288,0)</f>
        <v>7.75</v>
      </c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>
        <f>SUM(X289:X298)/I288</f>
        <v>221.06425328554363</v>
      </c>
      <c r="Z288" s="8"/>
      <c r="AA288" s="8"/>
      <c r="AB288" s="8"/>
      <c r="AC288" s="8"/>
      <c r="AD288" s="8"/>
      <c r="AE288" s="8"/>
    </row>
    <row r="289" spans="1:32" s="10" customFormat="1" ht="20.100000000000001" customHeight="1" x14ac:dyDescent="0.25">
      <c r="A289" s="7"/>
      <c r="B289" s="8" t="s">
        <v>2</v>
      </c>
      <c r="C289" s="13" t="s">
        <v>4</v>
      </c>
      <c r="D289" s="8">
        <v>20</v>
      </c>
      <c r="E289" s="8"/>
      <c r="F289" s="8">
        <v>4</v>
      </c>
      <c r="G289" s="9">
        <f>VLOOKUP(D289,'[2]Beam '!$C$20:$H$26,3,0)</f>
        <v>0.8</v>
      </c>
      <c r="H289" s="9"/>
      <c r="I289" s="8"/>
      <c r="J289" s="8"/>
      <c r="K289" s="8"/>
      <c r="L289" s="8"/>
      <c r="M289" s="8"/>
      <c r="N289" s="8"/>
      <c r="O289" s="8">
        <f>(E288+2*(0.4/2)*D288)</f>
        <v>6.6000000000000005</v>
      </c>
      <c r="P289" s="8">
        <f t="shared" ref="P289:P299" si="59">O289*F289</f>
        <v>26.400000000000002</v>
      </c>
      <c r="Q289" s="8">
        <f>IF($D289='[2]Beam '!Q$44,$P289*'[2]Beam '!Q$45,0)</f>
        <v>0</v>
      </c>
      <c r="R289" s="8">
        <f>IF($D289='[2]Beam '!R$44,$P289*'[2]Beam '!R$45,0)</f>
        <v>0</v>
      </c>
      <c r="S289" s="8">
        <f>IF($D289='[2]Beam '!S$44,$P289*'[2]Beam '!S$45,0)</f>
        <v>0</v>
      </c>
      <c r="T289" s="8">
        <f>IF($D289='[2]Beam '!T$44,$P289*'[2]Beam '!T$45,0)</f>
        <v>0</v>
      </c>
      <c r="U289" s="8">
        <f>IF($D289='[2]Beam '!U$44,$P289*'[2]Beam '!U$45,0)</f>
        <v>65.132571428571438</v>
      </c>
      <c r="V289" s="8">
        <f>IF($D289='[2]Beam '!V$44,$P289*'[2]Beam '!V$45,0)</f>
        <v>0</v>
      </c>
      <c r="W289" s="8">
        <f>IF($D289='[2]Beam '!W$44,$P289*'[2]Beam '!W$45,0)</f>
        <v>0</v>
      </c>
      <c r="X289" s="8">
        <f t="shared" ref="X289:X299" si="60">SUM(Q289:W289)</f>
        <v>65.132571428571438</v>
      </c>
      <c r="Y289" s="8"/>
      <c r="Z289" s="8"/>
      <c r="AA289" s="8"/>
      <c r="AB289" s="8"/>
      <c r="AC289" s="8"/>
      <c r="AD289" s="8"/>
      <c r="AE289" s="8"/>
    </row>
    <row r="290" spans="1:32" s="10" customFormat="1" ht="20.100000000000001" customHeight="1" x14ac:dyDescent="0.25">
      <c r="A290" s="7"/>
      <c r="B290" s="8" t="s">
        <v>2</v>
      </c>
      <c r="C290" s="13" t="s">
        <v>5</v>
      </c>
      <c r="D290" s="8">
        <v>25</v>
      </c>
      <c r="E290" s="8"/>
      <c r="F290" s="8">
        <v>4</v>
      </c>
      <c r="G290" s="9">
        <f>VLOOKUP(D290,'[2]Beam '!$C$20:$H$26,3,0)</f>
        <v>1</v>
      </c>
      <c r="H290" s="9"/>
      <c r="I290" s="8"/>
      <c r="J290" s="8"/>
      <c r="K290" s="8"/>
      <c r="L290" s="8"/>
      <c r="M290" s="8"/>
      <c r="N290" s="8"/>
      <c r="O290" s="8">
        <f>(1.7+1*(0.4/2)*D288)</f>
        <v>1.9</v>
      </c>
      <c r="P290" s="8">
        <f t="shared" si="59"/>
        <v>7.6</v>
      </c>
      <c r="Q290" s="8">
        <f>IF($D290='[2]Beam '!Q$44,$P290*'[2]Beam '!Q$45,0)</f>
        <v>0</v>
      </c>
      <c r="R290" s="8">
        <f>IF($D290='[2]Beam '!R$44,$P290*'[2]Beam '!R$45,0)</f>
        <v>0</v>
      </c>
      <c r="S290" s="8">
        <f>IF($D290='[2]Beam '!S$44,$P290*'[2]Beam '!S$45,0)</f>
        <v>0</v>
      </c>
      <c r="T290" s="8">
        <f>IF($D290='[2]Beam '!T$44,$P290*'[2]Beam '!T$45,0)</f>
        <v>0</v>
      </c>
      <c r="U290" s="8">
        <f>IF($D290='[2]Beam '!U$44,$P290*'[2]Beam '!U$45,0)</f>
        <v>0</v>
      </c>
      <c r="V290" s="8">
        <f>IF($D290='[2]Beam '!V$44,$P290*'[2]Beam '!V$45,0)</f>
        <v>29.297321428571433</v>
      </c>
      <c r="W290" s="8">
        <f>IF($D290='[2]Beam '!W$44,$P290*'[2]Beam '!W$45,0)</f>
        <v>0</v>
      </c>
      <c r="X290" s="8">
        <f t="shared" si="60"/>
        <v>29.297321428571433</v>
      </c>
      <c r="Y290" s="8"/>
      <c r="Z290" s="8"/>
      <c r="AA290" s="8"/>
      <c r="AB290" s="8"/>
      <c r="AC290" s="8"/>
      <c r="AD290" s="8"/>
      <c r="AE290" s="8"/>
    </row>
    <row r="291" spans="1:32" s="10" customFormat="1" ht="20.100000000000001" customHeight="1" x14ac:dyDescent="0.25">
      <c r="A291" s="7"/>
      <c r="B291" s="8" t="s">
        <v>2</v>
      </c>
      <c r="C291" s="13" t="s">
        <v>5</v>
      </c>
      <c r="D291" s="8">
        <v>25</v>
      </c>
      <c r="E291" s="8"/>
      <c r="F291" s="8">
        <v>4</v>
      </c>
      <c r="G291" s="9">
        <f>VLOOKUP(D291,'[2]Beam '!$C$20:$H$26,3,0)</f>
        <v>1</v>
      </c>
      <c r="H291" s="9"/>
      <c r="I291" s="8"/>
      <c r="J291" s="8"/>
      <c r="K291" s="8"/>
      <c r="L291" s="8"/>
      <c r="M291" s="8"/>
      <c r="N291" s="8"/>
      <c r="O291" s="8">
        <f>(1.7+1*(0.4/2)*D288)</f>
        <v>1.9</v>
      </c>
      <c r="P291" s="8">
        <f t="shared" si="59"/>
        <v>7.6</v>
      </c>
      <c r="Q291" s="8">
        <f>IF($D291='[2]Beam '!Q$44,$P291*'[2]Beam '!Q$45,0)</f>
        <v>0</v>
      </c>
      <c r="R291" s="8">
        <f>IF($D291='[2]Beam '!R$44,$P291*'[2]Beam '!R$45,0)</f>
        <v>0</v>
      </c>
      <c r="S291" s="8">
        <f>IF($D291='[2]Beam '!S$44,$P291*'[2]Beam '!S$45,0)</f>
        <v>0</v>
      </c>
      <c r="T291" s="8">
        <f>IF($D291='[2]Beam '!T$44,$P291*'[2]Beam '!T$45,0)</f>
        <v>0</v>
      </c>
      <c r="U291" s="8">
        <f>IF($D291='[2]Beam '!U$44,$P291*'[2]Beam '!U$45,0)</f>
        <v>0</v>
      </c>
      <c r="V291" s="8">
        <f>IF($D291='[2]Beam '!V$44,$P291*'[2]Beam '!V$45,0)</f>
        <v>29.297321428571433</v>
      </c>
      <c r="W291" s="8">
        <f>IF($D291='[2]Beam '!W$44,$P291*'[2]Beam '!W$45,0)</f>
        <v>0</v>
      </c>
      <c r="X291" s="8">
        <f t="shared" si="60"/>
        <v>29.297321428571433</v>
      </c>
      <c r="Y291" s="8"/>
      <c r="Z291" s="8"/>
      <c r="AA291" s="8"/>
      <c r="AB291" s="8"/>
      <c r="AC291" s="8"/>
      <c r="AD291" s="8"/>
      <c r="AE291" s="8"/>
    </row>
    <row r="292" spans="1:32" s="10" customFormat="1" ht="20.100000000000001" customHeight="1" x14ac:dyDescent="0.25">
      <c r="A292" s="7"/>
      <c r="B292" s="8" t="s">
        <v>2</v>
      </c>
      <c r="C292" s="13" t="s">
        <v>5</v>
      </c>
      <c r="D292" s="8">
        <v>16</v>
      </c>
      <c r="E292" s="8"/>
      <c r="F292" s="8">
        <v>4</v>
      </c>
      <c r="G292" s="9">
        <f>VLOOKUP(D292,'[2]Beam '!$C$20:$H$26,3,0)</f>
        <v>0.625</v>
      </c>
      <c r="H292" s="9"/>
      <c r="I292" s="8"/>
      <c r="J292" s="8"/>
      <c r="K292" s="8"/>
      <c r="L292" s="8"/>
      <c r="M292" s="8"/>
      <c r="N292" s="8"/>
      <c r="O292" s="8">
        <f>(1.7+1*(0.4/2)*D288)</f>
        <v>1.9</v>
      </c>
      <c r="P292" s="8">
        <f t="shared" si="59"/>
        <v>7.6</v>
      </c>
      <c r="Q292" s="8">
        <f>IF($D292='[2]Beam '!Q$44,$P292*'[2]Beam '!Q$45,0)</f>
        <v>0</v>
      </c>
      <c r="R292" s="8">
        <f>IF($D292='[2]Beam '!R$44,$P292*'[2]Beam '!R$45,0)</f>
        <v>0</v>
      </c>
      <c r="S292" s="8">
        <f>IF($D292='[2]Beam '!S$44,$P292*'[2]Beam '!S$45,0)</f>
        <v>0</v>
      </c>
      <c r="T292" s="8">
        <f>IF($D292='[2]Beam '!T$44,$P292*'[2]Beam '!T$45,0)</f>
        <v>12.000182857142857</v>
      </c>
      <c r="U292" s="8">
        <f>IF($D292='[2]Beam '!U$44,$P292*'[2]Beam '!U$45,0)</f>
        <v>0</v>
      </c>
      <c r="V292" s="8">
        <f>IF($D292='[2]Beam '!V$44,$P292*'[2]Beam '!V$45,0)</f>
        <v>0</v>
      </c>
      <c r="W292" s="8">
        <f>IF($D292='[2]Beam '!W$44,$P292*'[2]Beam '!W$45,0)</f>
        <v>0</v>
      </c>
      <c r="X292" s="8">
        <f t="shared" si="60"/>
        <v>12.000182857142857</v>
      </c>
      <c r="Y292" s="8"/>
      <c r="Z292" s="8"/>
      <c r="AA292" s="8"/>
      <c r="AB292" s="8"/>
      <c r="AC292" s="8"/>
      <c r="AD292" s="8"/>
      <c r="AE292" s="8"/>
    </row>
    <row r="293" spans="1:32" s="14" customFormat="1" ht="20.100000000000001" customHeight="1" x14ac:dyDescent="0.3">
      <c r="A293" s="7"/>
      <c r="B293" s="8" t="s">
        <v>2</v>
      </c>
      <c r="C293" s="13" t="s">
        <v>5</v>
      </c>
      <c r="D293" s="8">
        <v>16</v>
      </c>
      <c r="E293" s="8"/>
      <c r="F293" s="8">
        <v>2</v>
      </c>
      <c r="G293" s="9">
        <f>VLOOKUP(D293,'[2]Beam '!$C$20:$H$26,3,0)</f>
        <v>0.625</v>
      </c>
      <c r="H293" s="9"/>
      <c r="I293" s="8"/>
      <c r="J293" s="8"/>
      <c r="K293" s="8"/>
      <c r="L293" s="8"/>
      <c r="M293" s="8"/>
      <c r="N293" s="8"/>
      <c r="O293" s="8">
        <f>(1.7+1*(0.4/2)*D288)</f>
        <v>1.9</v>
      </c>
      <c r="P293" s="8">
        <f t="shared" si="59"/>
        <v>3.8</v>
      </c>
      <c r="Q293" s="8">
        <f>IF($D293='[2]Beam '!Q$44,$P293*'[2]Beam '!Q$45,0)</f>
        <v>0</v>
      </c>
      <c r="R293" s="8">
        <f>IF($D293='[2]Beam '!R$44,$P293*'[2]Beam '!R$45,0)</f>
        <v>0</v>
      </c>
      <c r="S293" s="8">
        <f>IF($D293='[2]Beam '!S$44,$P293*'[2]Beam '!S$45,0)</f>
        <v>0</v>
      </c>
      <c r="T293" s="8">
        <f>IF($D293='[2]Beam '!T$44,$P293*'[2]Beam '!T$45,0)</f>
        <v>6.0000914285714284</v>
      </c>
      <c r="U293" s="8">
        <f>IF($D293='[2]Beam '!U$44,$P293*'[2]Beam '!U$45,0)</f>
        <v>0</v>
      </c>
      <c r="V293" s="8">
        <f>IF($D293='[2]Beam '!V$44,$P293*'[2]Beam '!V$45,0)</f>
        <v>0</v>
      </c>
      <c r="W293" s="8">
        <f>IF($D293='[2]Beam '!W$44,$P293*'[2]Beam '!W$45,0)</f>
        <v>0</v>
      </c>
      <c r="X293" s="8">
        <f t="shared" si="60"/>
        <v>6.0000914285714284</v>
      </c>
      <c r="Y293" s="8"/>
    </row>
    <row r="294" spans="1:32" s="14" customFormat="1" ht="20.100000000000001" customHeight="1" x14ac:dyDescent="0.3">
      <c r="A294" s="7"/>
      <c r="B294" s="8" t="s">
        <v>2</v>
      </c>
      <c r="C294" s="13" t="s">
        <v>6</v>
      </c>
      <c r="D294" s="8">
        <v>25</v>
      </c>
      <c r="E294" s="8"/>
      <c r="F294" s="8">
        <v>4</v>
      </c>
      <c r="G294" s="9">
        <f>VLOOKUP(D294,'[2]Beam '!$C$20:$H$26,3,0)</f>
        <v>1</v>
      </c>
      <c r="H294" s="8"/>
      <c r="I294" s="8"/>
      <c r="J294" s="8"/>
      <c r="K294" s="8"/>
      <c r="L294" s="8"/>
      <c r="M294" s="8"/>
      <c r="N294" s="8"/>
      <c r="O294" s="8">
        <f>(E288+2*(0.4/2)*D288)</f>
        <v>6.6000000000000005</v>
      </c>
      <c r="P294" s="8">
        <f t="shared" si="59"/>
        <v>26.400000000000002</v>
      </c>
      <c r="Q294" s="8">
        <f>IF($D294='[2]Beam '!Q$44,$P294*'[2]Beam '!Q$45,0)</f>
        <v>0</v>
      </c>
      <c r="R294" s="8">
        <f>IF($D294='[2]Beam '!R$44,$P294*'[2]Beam '!R$45,0)</f>
        <v>0</v>
      </c>
      <c r="S294" s="8">
        <f>IF($D294='[2]Beam '!S$44,$P294*'[2]Beam '!S$45,0)</f>
        <v>0</v>
      </c>
      <c r="T294" s="8">
        <f>IF($D294='[2]Beam '!T$44,$P294*'[2]Beam '!T$45,0)</f>
        <v>0</v>
      </c>
      <c r="U294" s="8">
        <f>IF($D294='[2]Beam '!U$44,$P294*'[2]Beam '!U$45,0)</f>
        <v>0</v>
      </c>
      <c r="V294" s="8">
        <f>IF($D294='[2]Beam '!V$44,$P294*'[2]Beam '!V$45,0)</f>
        <v>101.76964285714288</v>
      </c>
      <c r="W294" s="8">
        <f>IF($D294='[2]Beam '!W$44,$P294*'[2]Beam '!W$45,0)</f>
        <v>0</v>
      </c>
      <c r="X294" s="8">
        <f t="shared" si="60"/>
        <v>101.76964285714288</v>
      </c>
      <c r="Y294" s="8"/>
    </row>
    <row r="295" spans="1:32" s="14" customFormat="1" ht="20.100000000000001" customHeight="1" x14ac:dyDescent="0.25">
      <c r="A295" s="7"/>
      <c r="B295" s="8" t="s">
        <v>2</v>
      </c>
      <c r="C295" s="13" t="s">
        <v>13</v>
      </c>
      <c r="D295" s="8">
        <v>10</v>
      </c>
      <c r="E295" s="8">
        <v>0.1</v>
      </c>
      <c r="F295" s="8">
        <f>ROUND(IF(E288/3&gt;(2*G288),(E288/3)/E295,(2*G288)/E295),0)*2+1</f>
        <v>43</v>
      </c>
      <c r="G295" s="10"/>
      <c r="H295" s="8"/>
      <c r="I295" s="8"/>
      <c r="J295" s="8"/>
      <c r="K295" s="8"/>
      <c r="L295" s="8"/>
      <c r="M295" s="8"/>
      <c r="N295" s="8"/>
      <c r="O295" s="8">
        <f>(2*((G288-(2*'[2]Beam '!$D$11))+(F288-(2*'[2]Beam '!$D$11)))+(2*10*D295/1000))*D288</f>
        <v>2.06</v>
      </c>
      <c r="P295" s="8">
        <f t="shared" si="59"/>
        <v>88.58</v>
      </c>
      <c r="Q295" s="8">
        <f>IF($D295='[2]Beam '!Q$44,$P295*'[2]Beam '!Q$45,0)</f>
        <v>0</v>
      </c>
      <c r="R295" s="8">
        <f>IF($D295='[2]Beam '!R$44,$P295*'[2]Beam '!R$45,0)</f>
        <v>54.634878571428573</v>
      </c>
      <c r="S295" s="8">
        <f>IF($D295='[2]Beam '!S$44,$P295*'[2]Beam '!S$45,0)</f>
        <v>0</v>
      </c>
      <c r="T295" s="8">
        <f>IF($D295='[2]Beam '!T$44,$P295*'[2]Beam '!T$45,0)</f>
        <v>0</v>
      </c>
      <c r="U295" s="8">
        <f>IF($D295='[2]Beam '!U$44,$P295*'[2]Beam '!U$45,0)</f>
        <v>0</v>
      </c>
      <c r="V295" s="8">
        <f>IF($D295='[2]Beam '!V$44,$P295*'[2]Beam '!V$45,0)</f>
        <v>0</v>
      </c>
      <c r="W295" s="8">
        <f>IF($D295='[2]Beam '!W$44,$P295*'[2]Beam '!W$45,0)</f>
        <v>0</v>
      </c>
      <c r="X295" s="8">
        <f t="shared" si="60"/>
        <v>54.634878571428573</v>
      </c>
      <c r="Y295" s="8"/>
    </row>
    <row r="296" spans="1:32" s="10" customFormat="1" ht="20.100000000000001" customHeight="1" x14ac:dyDescent="0.25">
      <c r="A296" s="14"/>
      <c r="B296" s="8" t="s">
        <v>2</v>
      </c>
      <c r="C296" s="13" t="s">
        <v>14</v>
      </c>
      <c r="D296" s="14">
        <f>D295</f>
        <v>10</v>
      </c>
      <c r="E296" s="14">
        <v>0.15</v>
      </c>
      <c r="F296" s="14">
        <f>ROUND((E288-(IF(E288/3&gt;2*G288,E288/3*2,G288*2*2)))/E296,0)</f>
        <v>14</v>
      </c>
      <c r="H296" s="14"/>
      <c r="I296" s="14"/>
      <c r="J296" s="14"/>
      <c r="K296" s="14"/>
      <c r="L296" s="14"/>
      <c r="M296" s="14"/>
      <c r="N296" s="14"/>
      <c r="O296" s="8">
        <f>(2*((G288-(2*'[2]Beam '!$D$11))+(F288-(2*'[2]Beam '!$D$11)))+(2*10*D296/1000))*D288</f>
        <v>2.06</v>
      </c>
      <c r="P296" s="8">
        <f t="shared" si="59"/>
        <v>28.84</v>
      </c>
      <c r="Q296" s="8">
        <f>IF($D296='[2]Beam '!Q$44,$P296*'[2]Beam '!Q$45,0)</f>
        <v>0</v>
      </c>
      <c r="R296" s="8">
        <f>IF($D296='[2]Beam '!R$44,$P296*'[2]Beam '!R$45,0)</f>
        <v>17.7881</v>
      </c>
      <c r="S296" s="8">
        <f>IF($D296='[2]Beam '!S$44,$P296*'[2]Beam '!S$45,0)</f>
        <v>0</v>
      </c>
      <c r="T296" s="8">
        <f>IF($D296='[2]Beam '!T$44,$P296*'[2]Beam '!T$45,0)</f>
        <v>0</v>
      </c>
      <c r="U296" s="8">
        <f>IF($D296='[2]Beam '!U$44,$P296*'[2]Beam '!U$45,0)</f>
        <v>0</v>
      </c>
      <c r="V296" s="8">
        <f>IF($D296='[2]Beam '!V$44,$P296*'[2]Beam '!V$45,0)</f>
        <v>0</v>
      </c>
      <c r="W296" s="8">
        <f>IF($D296='[2]Beam '!W$44,$P296*'[2]Beam '!W$45,0)</f>
        <v>0</v>
      </c>
      <c r="X296" s="8">
        <f t="shared" si="60"/>
        <v>17.7881</v>
      </c>
      <c r="Y296" s="14"/>
      <c r="Z296" s="8"/>
      <c r="AA296" s="8"/>
      <c r="AB296" s="8"/>
      <c r="AC296" s="8"/>
      <c r="AD296" s="8"/>
      <c r="AE296" s="8"/>
    </row>
    <row r="297" spans="1:32" s="10" customFormat="1" ht="21" customHeight="1" x14ac:dyDescent="0.25">
      <c r="A297" s="14"/>
      <c r="B297" s="8" t="s">
        <v>2</v>
      </c>
      <c r="C297" s="13" t="s">
        <v>15</v>
      </c>
      <c r="D297" s="14">
        <f>D295</f>
        <v>10</v>
      </c>
      <c r="E297" s="14">
        <f>+E295</f>
        <v>0.1</v>
      </c>
      <c r="F297" s="8">
        <f>ROUND(IF(E288/3&gt;(2*G288),(E288/3)/E297,(2*G288)/E297),0)*2+1</f>
        <v>43</v>
      </c>
      <c r="H297" s="14"/>
      <c r="I297" s="14"/>
      <c r="J297" s="14"/>
      <c r="K297" s="14"/>
      <c r="L297" s="14"/>
      <c r="M297" s="14"/>
      <c r="N297" s="14"/>
      <c r="O297" s="8">
        <f>(2*(((F288-'[2]Beam '!$D$11*2)/(F289-1))+(G288-'[2]Beam '!$D$11*2))+(2*10*D297/1000))*D288</f>
        <v>1.54</v>
      </c>
      <c r="P297" s="8">
        <f t="shared" si="59"/>
        <v>66.22</v>
      </c>
      <c r="Q297" s="8">
        <f>IF($D297='[2]Beam '!Q$44,$P297*'[2]Beam '!Q$45,0)</f>
        <v>0</v>
      </c>
      <c r="R297" s="8">
        <f>IF($D297='[2]Beam '!R$44,$P297*'[2]Beam '!R$45,0)</f>
        <v>40.84355</v>
      </c>
      <c r="S297" s="8">
        <f>IF($D297='[2]Beam '!S$44,$P297*'[2]Beam '!S$45,0)</f>
        <v>0</v>
      </c>
      <c r="T297" s="8">
        <f>IF($D297='[2]Beam '!T$44,$P297*'[2]Beam '!T$45,0)</f>
        <v>0</v>
      </c>
      <c r="U297" s="8">
        <f>IF($D297='[2]Beam '!U$44,$P297*'[2]Beam '!U$45,0)</f>
        <v>0</v>
      </c>
      <c r="V297" s="8">
        <f>IF($D297='[2]Beam '!V$44,$P297*'[2]Beam '!V$45,0)</f>
        <v>0</v>
      </c>
      <c r="W297" s="8">
        <f>IF($D297='[2]Beam '!W$44,$P297*'[2]Beam '!W$45,0)</f>
        <v>0</v>
      </c>
      <c r="X297" s="8">
        <f t="shared" si="60"/>
        <v>40.84355</v>
      </c>
      <c r="Y297" s="14"/>
      <c r="Z297" s="8"/>
      <c r="AA297" s="8"/>
      <c r="AB297" s="8"/>
      <c r="AC297" s="8"/>
      <c r="AD297" s="8"/>
      <c r="AE297" s="8"/>
      <c r="AF297" s="8"/>
    </row>
    <row r="298" spans="1:32" s="10" customFormat="1" ht="20.100000000000001" customHeight="1" x14ac:dyDescent="0.25">
      <c r="A298" s="14"/>
      <c r="B298" s="8" t="s">
        <v>2</v>
      </c>
      <c r="C298" s="13" t="s">
        <v>16</v>
      </c>
      <c r="D298" s="14">
        <f>D296</f>
        <v>10</v>
      </c>
      <c r="E298" s="14">
        <f>+E296</f>
        <v>0.15</v>
      </c>
      <c r="F298" s="14">
        <f>ROUND((E288-(IF(E288/3&gt;2*G288,E288/3*2,G288*2*2)))/E298,0)</f>
        <v>14</v>
      </c>
      <c r="H298" s="14"/>
      <c r="I298" s="14"/>
      <c r="J298" s="14"/>
      <c r="K298" s="14"/>
      <c r="L298" s="14"/>
      <c r="M298" s="14"/>
      <c r="N298" s="14"/>
      <c r="O298" s="8">
        <f>(2*(((F288-'[2]Beam '!$D$11*2)/(F289-1))+(G288-'[2]Beam '!$D$11*2))+(2*10*D298/1000))*D288</f>
        <v>1.54</v>
      </c>
      <c r="P298" s="8">
        <f t="shared" si="59"/>
        <v>21.560000000000002</v>
      </c>
      <c r="Q298" s="8">
        <f>IF($D298='[2]Beam '!Q$44,$P298*'[2]Beam '!Q$45,0)</f>
        <v>0</v>
      </c>
      <c r="R298" s="8">
        <f>IF($D298='[2]Beam '!R$44,$P298*'[2]Beam '!R$45,0)</f>
        <v>13.2979</v>
      </c>
      <c r="S298" s="8">
        <f>IF($D298='[2]Beam '!S$44,$P298*'[2]Beam '!S$45,0)</f>
        <v>0</v>
      </c>
      <c r="T298" s="8">
        <f>IF($D298='[2]Beam '!T$44,$P298*'[2]Beam '!T$45,0)</f>
        <v>0</v>
      </c>
      <c r="U298" s="8">
        <f>IF($D298='[2]Beam '!U$44,$P298*'[2]Beam '!U$45,0)</f>
        <v>0</v>
      </c>
      <c r="V298" s="8">
        <f>IF($D298='[2]Beam '!V$44,$P298*'[2]Beam '!V$45,0)</f>
        <v>0</v>
      </c>
      <c r="W298" s="8">
        <f>IF($D298='[2]Beam '!W$44,$P298*'[2]Beam '!W$45,0)</f>
        <v>0</v>
      </c>
      <c r="X298" s="8">
        <f t="shared" si="60"/>
        <v>13.2979</v>
      </c>
      <c r="Y298" s="14"/>
      <c r="Z298" s="8"/>
      <c r="AA298" s="8"/>
      <c r="AB298" s="8"/>
      <c r="AC298" s="8"/>
      <c r="AD298" s="8"/>
      <c r="AE298" s="8"/>
    </row>
    <row r="299" spans="1:32" s="10" customFormat="1" ht="20.100000000000001" customHeight="1" x14ac:dyDescent="0.25">
      <c r="A299" s="7"/>
      <c r="B299" s="8" t="s">
        <v>2</v>
      </c>
      <c r="C299" s="13" t="s">
        <v>10</v>
      </c>
      <c r="D299" s="8">
        <f>+'[2]Beam '!$D$15</f>
        <v>25</v>
      </c>
      <c r="E299" s="8">
        <f>+'[2]Beam '!$E$15</f>
        <v>1</v>
      </c>
      <c r="F299" s="8">
        <f>ROUNDUP((1.7+1.7)/E299,0)</f>
        <v>4</v>
      </c>
      <c r="G299" s="9"/>
      <c r="H299" s="9"/>
      <c r="I299" s="8"/>
      <c r="J299" s="8"/>
      <c r="K299" s="8"/>
      <c r="L299" s="8"/>
      <c r="M299" s="8"/>
      <c r="N299" s="8"/>
      <c r="O299" s="8">
        <f>F288-'[2]Beam '!$F$15</f>
        <v>0.39</v>
      </c>
      <c r="P299" s="8">
        <f t="shared" si="59"/>
        <v>1.56</v>
      </c>
      <c r="Q299" s="8">
        <f>IF($D299='[2]Beam '!Q$44,$P299*'[2]Beam '!Q$45,0)</f>
        <v>0</v>
      </c>
      <c r="R299" s="8">
        <f>IF($D299='[2]Beam '!R$44,$P299*'[2]Beam '!R$45,0)</f>
        <v>0</v>
      </c>
      <c r="S299" s="8">
        <f>IF($D299='[2]Beam '!S$44,$P299*'[2]Beam '!S$45,0)</f>
        <v>0</v>
      </c>
      <c r="T299" s="8">
        <f>IF($D299='[2]Beam '!T$44,$P299*'[2]Beam '!T$45,0)</f>
        <v>0</v>
      </c>
      <c r="U299" s="8">
        <f>IF($D299='[2]Beam '!U$44,$P299*'[2]Beam '!U$45,0)</f>
        <v>0</v>
      </c>
      <c r="V299" s="8">
        <f>IF($D299='[2]Beam '!V$44,$P299*'[2]Beam '!V$45,0)</f>
        <v>6.0136607142857157</v>
      </c>
      <c r="W299" s="8">
        <f>IF($D299='[2]Beam '!W$44,$P299*'[2]Beam '!W$45,0)</f>
        <v>0</v>
      </c>
      <c r="X299" s="8">
        <f t="shared" si="60"/>
        <v>6.0136607142857157</v>
      </c>
      <c r="Y299" s="8"/>
      <c r="Z299" s="8"/>
      <c r="AA299" s="8"/>
      <c r="AB299" s="8"/>
      <c r="AC299" s="8"/>
      <c r="AD299" s="8"/>
      <c r="AE299" s="8"/>
    </row>
    <row r="300" spans="1:32" s="10" customFormat="1" ht="20.100000000000001" customHeight="1" x14ac:dyDescent="0.25">
      <c r="A300" s="8">
        <v>1</v>
      </c>
      <c r="B300" s="8" t="s">
        <v>2</v>
      </c>
      <c r="C300" s="11" t="s">
        <v>43</v>
      </c>
      <c r="D300" s="11">
        <v>1</v>
      </c>
      <c r="E300" s="11">
        <v>3.05</v>
      </c>
      <c r="F300" s="11">
        <v>0.45</v>
      </c>
      <c r="G300" s="11">
        <v>0.6</v>
      </c>
      <c r="H300" s="8">
        <f>G300-0.2</f>
        <v>0.39999999999999997</v>
      </c>
      <c r="I300" s="8">
        <f>E300*F300*G300*D300</f>
        <v>0.82350000000000001</v>
      </c>
      <c r="J300" s="8">
        <f>(2*(E300)*H300*D300)+(E300*F300)</f>
        <v>3.8124999999999996</v>
      </c>
      <c r="K300" s="12">
        <f>IF(E300=0.3,J300,0)</f>
        <v>0</v>
      </c>
      <c r="L300" s="12">
        <f>IF(AND(E300&gt;0.3,E300&lt;=0.75),J300,0)</f>
        <v>0</v>
      </c>
      <c r="M300" s="12">
        <f>IF(AND(E300&gt;0.75,E300&lt;=1.2),J300,0)</f>
        <v>0</v>
      </c>
      <c r="N300" s="12">
        <f>IF(E300&gt;1.2,J300,0)</f>
        <v>3.8124999999999996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>
        <f>SUM(X301:X308)/I300</f>
        <v>295.1571674906757</v>
      </c>
      <c r="Z300" s="8"/>
      <c r="AA300" s="8"/>
      <c r="AB300" s="8"/>
      <c r="AC300" s="8"/>
      <c r="AD300" s="8"/>
      <c r="AE300" s="8"/>
    </row>
    <row r="301" spans="1:32" s="10" customFormat="1" ht="20.100000000000001" customHeight="1" x14ac:dyDescent="0.25">
      <c r="A301" s="7"/>
      <c r="B301" s="8" t="s">
        <v>2</v>
      </c>
      <c r="C301" s="13" t="s">
        <v>4</v>
      </c>
      <c r="D301" s="8">
        <v>20</v>
      </c>
      <c r="E301" s="8"/>
      <c r="F301" s="8">
        <v>4</v>
      </c>
      <c r="G301" s="9">
        <f>VLOOKUP(D301,'[2]Beam '!$C$20:$H$26,3,0)</f>
        <v>0.8</v>
      </c>
      <c r="H301" s="9"/>
      <c r="I301" s="8"/>
      <c r="J301" s="8"/>
      <c r="K301" s="8"/>
      <c r="L301" s="8"/>
      <c r="M301" s="8"/>
      <c r="N301" s="8"/>
      <c r="O301" s="8">
        <f>(E300+1*(0.5/2)+1*(0.4/2)*D300)</f>
        <v>3.5</v>
      </c>
      <c r="P301" s="8">
        <f t="shared" ref="P301:P309" si="61">O301*F301</f>
        <v>14</v>
      </c>
      <c r="Q301" s="8">
        <f>IF($D301='[2]Beam '!Q$44,$P301*'[2]Beam '!Q$45,0)</f>
        <v>0</v>
      </c>
      <c r="R301" s="8">
        <f>IF($D301='[2]Beam '!R$44,$P301*'[2]Beam '!R$45,0)</f>
        <v>0</v>
      </c>
      <c r="S301" s="8">
        <f>IF($D301='[2]Beam '!S$44,$P301*'[2]Beam '!S$45,0)</f>
        <v>0</v>
      </c>
      <c r="T301" s="8">
        <f>IF($D301='[2]Beam '!T$44,$P301*'[2]Beam '!T$45,0)</f>
        <v>0</v>
      </c>
      <c r="U301" s="8">
        <f>IF($D301='[2]Beam '!U$44,$P301*'[2]Beam '!U$45,0)</f>
        <v>34.54</v>
      </c>
      <c r="V301" s="8">
        <f>IF($D301='[2]Beam '!V$44,$P301*'[2]Beam '!V$45,0)</f>
        <v>0</v>
      </c>
      <c r="W301" s="8">
        <f>IF($D301='[2]Beam '!W$44,$P301*'[2]Beam '!W$45,0)</f>
        <v>0</v>
      </c>
      <c r="X301" s="8">
        <f t="shared" ref="X301:X309" si="62">SUM(Q301:W301)</f>
        <v>34.54</v>
      </c>
      <c r="Y301" s="8"/>
      <c r="Z301" s="8"/>
      <c r="AA301" s="8"/>
      <c r="AB301" s="8"/>
      <c r="AC301" s="8"/>
      <c r="AD301" s="8"/>
      <c r="AE301" s="8"/>
    </row>
    <row r="302" spans="1:32" s="10" customFormat="1" ht="20.100000000000001" customHeight="1" x14ac:dyDescent="0.25">
      <c r="A302" s="7"/>
      <c r="B302" s="8" t="s">
        <v>2</v>
      </c>
      <c r="C302" s="13" t="s">
        <v>5</v>
      </c>
      <c r="D302" s="8">
        <v>25</v>
      </c>
      <c r="E302" s="8"/>
      <c r="F302" s="8">
        <v>4</v>
      </c>
      <c r="G302" s="9">
        <f>VLOOKUP(D302,'[2]Beam '!$C$20:$H$26,3,0)</f>
        <v>1</v>
      </c>
      <c r="H302" s="9"/>
      <c r="I302" s="8"/>
      <c r="J302" s="8"/>
      <c r="K302" s="8"/>
      <c r="L302" s="8"/>
      <c r="M302" s="8"/>
      <c r="N302" s="8"/>
      <c r="O302" s="8">
        <f>(0.9+1*(0.5/2)*D300)</f>
        <v>1.1499999999999999</v>
      </c>
      <c r="P302" s="8">
        <f t="shared" si="61"/>
        <v>4.5999999999999996</v>
      </c>
      <c r="Q302" s="8">
        <f>IF($D302='[2]Beam '!Q$44,$P302*'[2]Beam '!Q$45,0)</f>
        <v>0</v>
      </c>
      <c r="R302" s="8">
        <f>IF($D302='[2]Beam '!R$44,$P302*'[2]Beam '!R$45,0)</f>
        <v>0</v>
      </c>
      <c r="S302" s="8">
        <f>IF($D302='[2]Beam '!S$44,$P302*'[2]Beam '!S$45,0)</f>
        <v>0</v>
      </c>
      <c r="T302" s="8">
        <f>IF($D302='[2]Beam '!T$44,$P302*'[2]Beam '!T$45,0)</f>
        <v>0</v>
      </c>
      <c r="U302" s="8">
        <f>IF($D302='[2]Beam '!U$44,$P302*'[2]Beam '!U$45,0)</f>
        <v>0</v>
      </c>
      <c r="V302" s="8">
        <f>IF($D302='[2]Beam '!V$44,$P302*'[2]Beam '!V$45,0)</f>
        <v>17.732589285714287</v>
      </c>
      <c r="W302" s="8">
        <f>IF($D302='[2]Beam '!W$44,$P302*'[2]Beam '!W$45,0)</f>
        <v>0</v>
      </c>
      <c r="X302" s="8">
        <f t="shared" si="62"/>
        <v>17.732589285714287</v>
      </c>
      <c r="Y302" s="8"/>
      <c r="Z302" s="8"/>
      <c r="AA302" s="8"/>
      <c r="AB302" s="8"/>
      <c r="AC302" s="8"/>
      <c r="AD302" s="8"/>
      <c r="AE302" s="8"/>
    </row>
    <row r="303" spans="1:32" s="10" customFormat="1" ht="20.100000000000001" customHeight="1" x14ac:dyDescent="0.25">
      <c r="A303" s="7"/>
      <c r="B303" s="8" t="s">
        <v>2</v>
      </c>
      <c r="C303" s="13" t="s">
        <v>5</v>
      </c>
      <c r="D303" s="8">
        <v>25</v>
      </c>
      <c r="E303" s="8"/>
      <c r="F303" s="8">
        <v>4</v>
      </c>
      <c r="G303" s="9">
        <f>VLOOKUP(D303,'[2]Beam '!$C$20:$H$26,3,0)</f>
        <v>1</v>
      </c>
      <c r="H303" s="9"/>
      <c r="I303" s="8"/>
      <c r="J303" s="8"/>
      <c r="K303" s="8"/>
      <c r="L303" s="8"/>
      <c r="M303" s="8"/>
      <c r="N303" s="8"/>
      <c r="O303" s="8">
        <f>(0.9+1*(0.5/2)*D300)</f>
        <v>1.1499999999999999</v>
      </c>
      <c r="P303" s="8">
        <f t="shared" si="61"/>
        <v>4.5999999999999996</v>
      </c>
      <c r="Q303" s="8">
        <f>IF($D303='[2]Beam '!Q$44,$P303*'[2]Beam '!Q$45,0)</f>
        <v>0</v>
      </c>
      <c r="R303" s="8">
        <f>IF($D303='[2]Beam '!R$44,$P303*'[2]Beam '!R$45,0)</f>
        <v>0</v>
      </c>
      <c r="S303" s="8">
        <f>IF($D303='[2]Beam '!S$44,$P303*'[2]Beam '!S$45,0)</f>
        <v>0</v>
      </c>
      <c r="T303" s="8">
        <f>IF($D303='[2]Beam '!T$44,$P303*'[2]Beam '!T$45,0)</f>
        <v>0</v>
      </c>
      <c r="U303" s="8">
        <f>IF($D303='[2]Beam '!U$44,$P303*'[2]Beam '!U$45,0)</f>
        <v>0</v>
      </c>
      <c r="V303" s="8">
        <f>IF($D303='[2]Beam '!V$44,$P303*'[2]Beam '!V$45,0)</f>
        <v>17.732589285714287</v>
      </c>
      <c r="W303" s="8">
        <f>IF($D303='[2]Beam '!W$44,$P303*'[2]Beam '!W$45,0)</f>
        <v>0</v>
      </c>
      <c r="X303" s="8">
        <f t="shared" si="62"/>
        <v>17.732589285714287</v>
      </c>
      <c r="Y303" s="8"/>
      <c r="Z303" s="8"/>
      <c r="AA303" s="8"/>
      <c r="AB303" s="8"/>
      <c r="AC303" s="8"/>
      <c r="AD303" s="8"/>
      <c r="AE303" s="8"/>
    </row>
    <row r="304" spans="1:32" s="10" customFormat="1" ht="20.100000000000001" customHeight="1" x14ac:dyDescent="0.25">
      <c r="A304" s="7"/>
      <c r="B304" s="8" t="s">
        <v>2</v>
      </c>
      <c r="C304" s="13" t="s">
        <v>5</v>
      </c>
      <c r="D304" s="8">
        <v>16</v>
      </c>
      <c r="E304" s="8"/>
      <c r="F304" s="8">
        <v>4</v>
      </c>
      <c r="G304" s="9">
        <f>VLOOKUP(D304,'[2]Beam '!$C$20:$H$26,3,0)</f>
        <v>0.625</v>
      </c>
      <c r="H304" s="9"/>
      <c r="I304" s="8"/>
      <c r="J304" s="8"/>
      <c r="K304" s="8"/>
      <c r="L304" s="8"/>
      <c r="M304" s="8"/>
      <c r="N304" s="8"/>
      <c r="O304" s="8">
        <f>(0.9+1*(0.5/2)*D300)</f>
        <v>1.1499999999999999</v>
      </c>
      <c r="P304" s="8">
        <f t="shared" si="61"/>
        <v>4.5999999999999996</v>
      </c>
      <c r="Q304" s="8">
        <f>IF($D304='[2]Beam '!Q$44,$P304*'[2]Beam '!Q$45,0)</f>
        <v>0</v>
      </c>
      <c r="R304" s="8">
        <f>IF($D304='[2]Beam '!R$44,$P304*'[2]Beam '!R$45,0)</f>
        <v>0</v>
      </c>
      <c r="S304" s="8">
        <f>IF($D304='[2]Beam '!S$44,$P304*'[2]Beam '!S$45,0)</f>
        <v>0</v>
      </c>
      <c r="T304" s="8">
        <f>IF($D304='[2]Beam '!T$44,$P304*'[2]Beam '!T$45,0)</f>
        <v>7.2632685714285712</v>
      </c>
      <c r="U304" s="8">
        <f>IF($D304='[2]Beam '!U$44,$P304*'[2]Beam '!U$45,0)</f>
        <v>0</v>
      </c>
      <c r="V304" s="8">
        <f>IF($D304='[2]Beam '!V$44,$P304*'[2]Beam '!V$45,0)</f>
        <v>0</v>
      </c>
      <c r="W304" s="8">
        <f>IF($D304='[2]Beam '!W$44,$P304*'[2]Beam '!W$45,0)</f>
        <v>0</v>
      </c>
      <c r="X304" s="8">
        <f t="shared" si="62"/>
        <v>7.2632685714285712</v>
      </c>
      <c r="Y304" s="8"/>
      <c r="Z304" s="8"/>
      <c r="AA304" s="8"/>
      <c r="AB304" s="8"/>
      <c r="AC304" s="8"/>
      <c r="AD304" s="8"/>
      <c r="AE304" s="8"/>
    </row>
    <row r="305" spans="1:32" s="14" customFormat="1" ht="20.100000000000001" customHeight="1" x14ac:dyDescent="0.3">
      <c r="A305" s="7"/>
      <c r="B305" s="8" t="s">
        <v>2</v>
      </c>
      <c r="C305" s="13" t="s">
        <v>6</v>
      </c>
      <c r="D305" s="8">
        <v>25</v>
      </c>
      <c r="E305" s="8"/>
      <c r="F305" s="8">
        <v>4</v>
      </c>
      <c r="G305" s="9">
        <f>VLOOKUP(D305,'[2]Beam '!$C$20:$H$26,3,0)</f>
        <v>1</v>
      </c>
      <c r="H305" s="8"/>
      <c r="I305" s="8"/>
      <c r="J305" s="8"/>
      <c r="K305" s="8"/>
      <c r="L305" s="8"/>
      <c r="M305" s="8"/>
      <c r="N305" s="8"/>
      <c r="O305" s="8">
        <f>(E300+1*(0.5/2)+1*(0.4/2)*D300)</f>
        <v>3.5</v>
      </c>
      <c r="P305" s="8">
        <f t="shared" si="61"/>
        <v>14</v>
      </c>
      <c r="Q305" s="8">
        <f>IF($D305='[2]Beam '!Q$44,$P305*'[2]Beam '!Q$45,0)</f>
        <v>0</v>
      </c>
      <c r="R305" s="8">
        <f>IF($D305='[2]Beam '!R$44,$P305*'[2]Beam '!R$45,0)</f>
        <v>0</v>
      </c>
      <c r="S305" s="8">
        <f>IF($D305='[2]Beam '!S$44,$P305*'[2]Beam '!S$45,0)</f>
        <v>0</v>
      </c>
      <c r="T305" s="8">
        <f>IF($D305='[2]Beam '!T$44,$P305*'[2]Beam '!T$45,0)</f>
        <v>0</v>
      </c>
      <c r="U305" s="8">
        <f>IF($D305='[2]Beam '!U$44,$P305*'[2]Beam '!U$45,0)</f>
        <v>0</v>
      </c>
      <c r="V305" s="8">
        <f>IF($D305='[2]Beam '!V$44,$P305*'[2]Beam '!V$45,0)</f>
        <v>53.968750000000007</v>
      </c>
      <c r="W305" s="8">
        <f>IF($D305='[2]Beam '!W$44,$P305*'[2]Beam '!W$45,0)</f>
        <v>0</v>
      </c>
      <c r="X305" s="8">
        <f t="shared" si="62"/>
        <v>53.968750000000007</v>
      </c>
      <c r="Y305" s="8"/>
    </row>
    <row r="306" spans="1:32" s="10" customFormat="1" ht="20.100000000000001" customHeight="1" x14ac:dyDescent="0.25">
      <c r="A306" s="7"/>
      <c r="B306" s="8" t="s">
        <v>2</v>
      </c>
      <c r="C306" s="13" t="s">
        <v>7</v>
      </c>
      <c r="D306" s="8">
        <v>16</v>
      </c>
      <c r="E306" s="8"/>
      <c r="F306" s="8">
        <v>2</v>
      </c>
      <c r="G306" s="9">
        <f>VLOOKUP(D306,'[2]Beam '!$C$20:$H$26,3,0)</f>
        <v>0.625</v>
      </c>
      <c r="H306" s="8"/>
      <c r="I306" s="8"/>
      <c r="J306" s="8"/>
      <c r="K306" s="8"/>
      <c r="L306" s="8"/>
      <c r="M306" s="8"/>
      <c r="N306" s="8"/>
      <c r="O306" s="8">
        <f>(E300+1*(0.5/2)+1*(0.4/2)*D300)</f>
        <v>3.5</v>
      </c>
      <c r="P306" s="8">
        <f t="shared" si="61"/>
        <v>7</v>
      </c>
      <c r="Q306" s="8">
        <f>IF($D306='[2]Beam '!Q$44,$P306*'[2]Beam '!Q$45,0)</f>
        <v>0</v>
      </c>
      <c r="R306" s="8">
        <f>IF($D306='[2]Beam '!R$44,$P306*'[2]Beam '!R$45,0)</f>
        <v>0</v>
      </c>
      <c r="S306" s="8">
        <f>IF($D306='[2]Beam '!S$44,$P306*'[2]Beam '!S$45,0)</f>
        <v>0</v>
      </c>
      <c r="T306" s="8">
        <f>IF($D306='[2]Beam '!T$44,$P306*'[2]Beam '!T$45,0)</f>
        <v>11.052800000000001</v>
      </c>
      <c r="U306" s="8">
        <f>IF($D306='[2]Beam '!U$44,$P306*'[2]Beam '!U$45,0)</f>
        <v>0</v>
      </c>
      <c r="V306" s="8">
        <f>IF($D306='[2]Beam '!V$44,$P306*'[2]Beam '!V$45,0)</f>
        <v>0</v>
      </c>
      <c r="W306" s="8">
        <f>IF($D306='[2]Beam '!W$44,$P306*'[2]Beam '!W$45,0)</f>
        <v>0</v>
      </c>
      <c r="X306" s="8">
        <f t="shared" si="62"/>
        <v>11.052800000000001</v>
      </c>
      <c r="Y306" s="8"/>
      <c r="Z306" s="8"/>
      <c r="AA306" s="8"/>
      <c r="AB306" s="8"/>
      <c r="AC306" s="8"/>
      <c r="AD306" s="8"/>
      <c r="AE306" s="8"/>
    </row>
    <row r="307" spans="1:32" s="10" customFormat="1" ht="21" customHeight="1" x14ac:dyDescent="0.25">
      <c r="A307" s="7"/>
      <c r="B307" s="8" t="s">
        <v>2</v>
      </c>
      <c r="C307" s="13" t="s">
        <v>8</v>
      </c>
      <c r="D307" s="8">
        <v>12</v>
      </c>
      <c r="E307" s="8">
        <v>0.1</v>
      </c>
      <c r="F307" s="8">
        <f>ROUNDUP(E300/E307,0)</f>
        <v>31</v>
      </c>
      <c r="H307" s="8"/>
      <c r="I307" s="8"/>
      <c r="J307" s="8"/>
      <c r="K307" s="8"/>
      <c r="L307" s="8"/>
      <c r="M307" s="8"/>
      <c r="N307" s="8"/>
      <c r="O307" s="8">
        <f>(2*((G300-(2*'[2]Beam '!$D$11))+(F300-(2*'[2]Beam '!$D$11)))+(2*10*D307/1000))*D300</f>
        <v>2.1</v>
      </c>
      <c r="P307" s="8">
        <f t="shared" si="61"/>
        <v>65.100000000000009</v>
      </c>
      <c r="Q307" s="8">
        <f>IF($D307='[2]Beam '!Q$44,$P307*'[2]Beam '!Q$45,0)</f>
        <v>0</v>
      </c>
      <c r="R307" s="8">
        <f>IF($D307='[2]Beam '!R$44,$P307*'[2]Beam '!R$45,0)</f>
        <v>0</v>
      </c>
      <c r="S307" s="8">
        <f>IF($D307='[2]Beam '!S$44,$P307*'[2]Beam '!S$45,0)</f>
        <v>57.819960000000016</v>
      </c>
      <c r="T307" s="8">
        <f>IF($D307='[2]Beam '!T$44,$P307*'[2]Beam '!T$45,0)</f>
        <v>0</v>
      </c>
      <c r="U307" s="8">
        <f>IF($D307='[2]Beam '!U$44,$P307*'[2]Beam '!U$45,0)</f>
        <v>0</v>
      </c>
      <c r="V307" s="8">
        <f>IF($D307='[2]Beam '!V$44,$P307*'[2]Beam '!V$45,0)</f>
        <v>0</v>
      </c>
      <c r="W307" s="8">
        <f>IF($D307='[2]Beam '!W$44,$P307*'[2]Beam '!W$45,0)</f>
        <v>0</v>
      </c>
      <c r="X307" s="8">
        <f t="shared" si="62"/>
        <v>57.819960000000016</v>
      </c>
      <c r="Y307" s="8"/>
      <c r="Z307" s="8"/>
      <c r="AA307" s="8"/>
      <c r="AB307" s="8"/>
      <c r="AC307" s="8"/>
      <c r="AD307" s="8"/>
      <c r="AE307" s="8"/>
      <c r="AF307" s="8"/>
    </row>
    <row r="308" spans="1:32" s="10" customFormat="1" ht="20.100000000000001" customHeight="1" x14ac:dyDescent="0.25">
      <c r="A308" s="14"/>
      <c r="B308" s="8" t="s">
        <v>2</v>
      </c>
      <c r="C308" s="13" t="s">
        <v>9</v>
      </c>
      <c r="D308" s="8">
        <f>+D307</f>
        <v>12</v>
      </c>
      <c r="E308" s="14">
        <f>+E307</f>
        <v>0.1</v>
      </c>
      <c r="F308" s="8">
        <f>ROUNDUP(E300/E308,0)</f>
        <v>31</v>
      </c>
      <c r="H308" s="14"/>
      <c r="I308" s="14"/>
      <c r="J308" s="14"/>
      <c r="K308" s="14"/>
      <c r="L308" s="14"/>
      <c r="M308" s="14"/>
      <c r="N308" s="14"/>
      <c r="O308" s="8">
        <f>((((G300-(2*'[2]Beam '!$D$11))+(2*10*D308/1000))*D300))*2</f>
        <v>1.56</v>
      </c>
      <c r="P308" s="8">
        <f t="shared" si="61"/>
        <v>48.36</v>
      </c>
      <c r="Q308" s="8">
        <f>IF($D308='[2]Beam '!Q$44,$P308*'[2]Beam '!Q$45,0)</f>
        <v>0</v>
      </c>
      <c r="R308" s="8">
        <f>IF($D308='[2]Beam '!R$44,$P308*'[2]Beam '!R$45,0)</f>
        <v>0</v>
      </c>
      <c r="S308" s="8">
        <f>IF($D308='[2]Beam '!S$44,$P308*'[2]Beam '!S$45,0)</f>
        <v>42.951970285714296</v>
      </c>
      <c r="T308" s="8">
        <f>IF($D308='[2]Beam '!T$44,$P308*'[2]Beam '!T$45,0)</f>
        <v>0</v>
      </c>
      <c r="U308" s="8">
        <f>IF($D308='[2]Beam '!U$44,$P308*'[2]Beam '!U$45,0)</f>
        <v>0</v>
      </c>
      <c r="V308" s="8">
        <f>IF($D308='[2]Beam '!V$44,$P308*'[2]Beam '!V$45,0)</f>
        <v>0</v>
      </c>
      <c r="W308" s="8">
        <f>IF($D308='[2]Beam '!W$44,$P308*'[2]Beam '!W$45,0)</f>
        <v>0</v>
      </c>
      <c r="X308" s="8">
        <f t="shared" si="62"/>
        <v>42.951970285714296</v>
      </c>
      <c r="Y308" s="14"/>
      <c r="Z308" s="8"/>
      <c r="AA308" s="8"/>
      <c r="AB308" s="8"/>
      <c r="AC308" s="8"/>
      <c r="AD308" s="8"/>
      <c r="AE308" s="8"/>
    </row>
    <row r="309" spans="1:32" s="10" customFormat="1" ht="20.100000000000001" customHeight="1" x14ac:dyDescent="0.25">
      <c r="A309" s="7"/>
      <c r="B309" s="8" t="s">
        <v>2</v>
      </c>
      <c r="C309" s="13" t="s">
        <v>10</v>
      </c>
      <c r="D309" s="8">
        <f>+'[2]Beam '!$D$15</f>
        <v>25</v>
      </c>
      <c r="E309" s="8">
        <f>+'[2]Beam '!$E$15</f>
        <v>1</v>
      </c>
      <c r="F309" s="8">
        <f>ROUNDUP((0.9+0.9)/E309,0)</f>
        <v>2</v>
      </c>
      <c r="G309" s="9"/>
      <c r="H309" s="9"/>
      <c r="I309" s="8"/>
      <c r="J309" s="8"/>
      <c r="K309" s="8"/>
      <c r="L309" s="8"/>
      <c r="M309" s="8"/>
      <c r="N309" s="8"/>
      <c r="O309" s="8">
        <f>F300-'[2]Beam '!$F$15</f>
        <v>0.39</v>
      </c>
      <c r="P309" s="8">
        <f t="shared" si="61"/>
        <v>0.78</v>
      </c>
      <c r="Q309" s="8">
        <f>IF($D309='[2]Beam '!Q$44,$P309*'[2]Beam '!Q$45,0)</f>
        <v>0</v>
      </c>
      <c r="R309" s="8">
        <f>IF($D309='[2]Beam '!R$44,$P309*'[2]Beam '!R$45,0)</f>
        <v>0</v>
      </c>
      <c r="S309" s="8">
        <f>IF($D309='[2]Beam '!S$44,$P309*'[2]Beam '!S$45,0)</f>
        <v>0</v>
      </c>
      <c r="T309" s="8">
        <f>IF($D309='[2]Beam '!T$44,$P309*'[2]Beam '!T$45,0)</f>
        <v>0</v>
      </c>
      <c r="U309" s="8">
        <f>IF($D309='[2]Beam '!U$44,$P309*'[2]Beam '!U$45,0)</f>
        <v>0</v>
      </c>
      <c r="V309" s="8">
        <f>IF($D309='[2]Beam '!V$44,$P309*'[2]Beam '!V$45,0)</f>
        <v>3.0068303571428578</v>
      </c>
      <c r="W309" s="8">
        <f>IF($D309='[2]Beam '!W$44,$P309*'[2]Beam '!W$45,0)</f>
        <v>0</v>
      </c>
      <c r="X309" s="8">
        <f t="shared" si="62"/>
        <v>3.0068303571428578</v>
      </c>
      <c r="Y309" s="8"/>
      <c r="Z309" s="8"/>
      <c r="AA309" s="8"/>
      <c r="AB309" s="8"/>
      <c r="AC309" s="8"/>
      <c r="AD309" s="8"/>
      <c r="AE309" s="8"/>
    </row>
    <row r="310" spans="1:32" s="10" customFormat="1" ht="20.100000000000001" customHeight="1" x14ac:dyDescent="0.25">
      <c r="A310" s="8">
        <v>1</v>
      </c>
      <c r="B310" s="8" t="s">
        <v>2</v>
      </c>
      <c r="C310" s="11" t="s">
        <v>44</v>
      </c>
      <c r="D310" s="11">
        <v>1</v>
      </c>
      <c r="E310" s="11">
        <v>6.55</v>
      </c>
      <c r="F310" s="11">
        <v>0.45</v>
      </c>
      <c r="G310" s="11">
        <v>0.6</v>
      </c>
      <c r="H310" s="8">
        <f>G310-0.2</f>
        <v>0.39999999999999997</v>
      </c>
      <c r="I310" s="8">
        <f>E310*F310*G310*D310</f>
        <v>1.7684999999999997</v>
      </c>
      <c r="J310" s="8">
        <f>(2*(E310)*H310*D310)+(E310*F310)</f>
        <v>8.1875</v>
      </c>
      <c r="K310" s="12">
        <f>IF(E310=0.3,J310,0)</f>
        <v>0</v>
      </c>
      <c r="L310" s="12">
        <f>IF(AND(E310&gt;0.3,E310&lt;=0.75),J310,0)</f>
        <v>0</v>
      </c>
      <c r="M310" s="12">
        <f>IF(AND(E310&gt;0.75,E310&lt;=1.2),J310,0)</f>
        <v>0</v>
      </c>
      <c r="N310" s="12">
        <f>IF(E310&gt;1.2,J310,0)</f>
        <v>8.1875</v>
      </c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>
        <f>SUM(X311:X318)/I310</f>
        <v>241.01272345409751</v>
      </c>
      <c r="Z310" s="8"/>
      <c r="AA310" s="8"/>
      <c r="AB310" s="8"/>
      <c r="AC310" s="8"/>
      <c r="AD310" s="8"/>
      <c r="AE310" s="8"/>
    </row>
    <row r="311" spans="1:32" s="10" customFormat="1" ht="20.100000000000001" customHeight="1" x14ac:dyDescent="0.25">
      <c r="A311" s="7"/>
      <c r="B311" s="8" t="s">
        <v>2</v>
      </c>
      <c r="C311" s="13" t="s">
        <v>4</v>
      </c>
      <c r="D311" s="8">
        <v>20</v>
      </c>
      <c r="E311" s="8"/>
      <c r="F311" s="8">
        <v>4</v>
      </c>
      <c r="G311" s="9">
        <f>VLOOKUP(D311,'[2]Beam '!$C$20:$H$26,3,0)</f>
        <v>0.8</v>
      </c>
      <c r="H311" s="9"/>
      <c r="I311" s="8"/>
      <c r="J311" s="8"/>
      <c r="K311" s="8"/>
      <c r="L311" s="8"/>
      <c r="M311" s="8"/>
      <c r="N311" s="8"/>
      <c r="O311" s="8">
        <f>(E310+2*(0.5/2)*D310)</f>
        <v>7.05</v>
      </c>
      <c r="P311" s="8">
        <f t="shared" ref="P311:P319" si="63">O311*F311</f>
        <v>28.2</v>
      </c>
      <c r="Q311" s="8">
        <f>IF($D311='[2]Beam '!Q$44,$P311*'[2]Beam '!Q$45,0)</f>
        <v>0</v>
      </c>
      <c r="R311" s="8">
        <f>IF($D311='[2]Beam '!R$44,$P311*'[2]Beam '!R$45,0)</f>
        <v>0</v>
      </c>
      <c r="S311" s="8">
        <f>IF($D311='[2]Beam '!S$44,$P311*'[2]Beam '!S$45,0)</f>
        <v>0</v>
      </c>
      <c r="T311" s="8">
        <f>IF($D311='[2]Beam '!T$44,$P311*'[2]Beam '!T$45,0)</f>
        <v>0</v>
      </c>
      <c r="U311" s="8">
        <f>IF($D311='[2]Beam '!U$44,$P311*'[2]Beam '!U$45,0)</f>
        <v>69.573428571428565</v>
      </c>
      <c r="V311" s="8">
        <f>IF($D311='[2]Beam '!V$44,$P311*'[2]Beam '!V$45,0)</f>
        <v>0</v>
      </c>
      <c r="W311" s="8">
        <f>IF($D311='[2]Beam '!W$44,$P311*'[2]Beam '!W$45,0)</f>
        <v>0</v>
      </c>
      <c r="X311" s="8">
        <f t="shared" ref="X311:X319" si="64">SUM(Q311:W311)</f>
        <v>69.573428571428565</v>
      </c>
      <c r="Y311" s="8"/>
      <c r="Z311" s="8"/>
      <c r="AA311" s="8"/>
      <c r="AB311" s="8"/>
      <c r="AC311" s="8"/>
      <c r="AD311" s="8"/>
      <c r="AE311" s="8"/>
    </row>
    <row r="312" spans="1:32" s="10" customFormat="1" ht="20.100000000000001" customHeight="1" x14ac:dyDescent="0.25">
      <c r="A312" s="7"/>
      <c r="B312" s="8" t="s">
        <v>2</v>
      </c>
      <c r="C312" s="13" t="s">
        <v>5</v>
      </c>
      <c r="D312" s="8">
        <v>25</v>
      </c>
      <c r="E312" s="8"/>
      <c r="F312" s="8">
        <v>4</v>
      </c>
      <c r="G312" s="9">
        <f>VLOOKUP(D312,'[2]Beam '!$C$20:$H$26,3,0)</f>
        <v>1</v>
      </c>
      <c r="H312" s="9"/>
      <c r="I312" s="8"/>
      <c r="J312" s="8"/>
      <c r="K312" s="8"/>
      <c r="L312" s="8"/>
      <c r="M312" s="8"/>
      <c r="N312" s="8"/>
      <c r="O312" s="8">
        <f>(1.8+1*(0.5/2)*D310)</f>
        <v>2.0499999999999998</v>
      </c>
      <c r="P312" s="8">
        <f t="shared" si="63"/>
        <v>8.1999999999999993</v>
      </c>
      <c r="Q312" s="8">
        <f>IF($D312='[2]Beam '!Q$44,$P312*'[2]Beam '!Q$45,0)</f>
        <v>0</v>
      </c>
      <c r="R312" s="8">
        <f>IF($D312='[2]Beam '!R$44,$P312*'[2]Beam '!R$45,0)</f>
        <v>0</v>
      </c>
      <c r="S312" s="8">
        <f>IF($D312='[2]Beam '!S$44,$P312*'[2]Beam '!S$45,0)</f>
        <v>0</v>
      </c>
      <c r="T312" s="8">
        <f>IF($D312='[2]Beam '!T$44,$P312*'[2]Beam '!T$45,0)</f>
        <v>0</v>
      </c>
      <c r="U312" s="8">
        <f>IF($D312='[2]Beam '!U$44,$P312*'[2]Beam '!U$45,0)</f>
        <v>0</v>
      </c>
      <c r="V312" s="8">
        <f>IF($D312='[2]Beam '!V$44,$P312*'[2]Beam '!V$45,0)</f>
        <v>31.610267857142858</v>
      </c>
      <c r="W312" s="8">
        <f>IF($D312='[2]Beam '!W$44,$P312*'[2]Beam '!W$45,0)</f>
        <v>0</v>
      </c>
      <c r="X312" s="8">
        <f t="shared" si="64"/>
        <v>31.610267857142858</v>
      </c>
      <c r="Y312" s="8"/>
      <c r="Z312" s="8"/>
      <c r="AA312" s="8"/>
      <c r="AB312" s="8"/>
      <c r="AC312" s="8"/>
      <c r="AD312" s="8"/>
      <c r="AE312" s="8"/>
    </row>
    <row r="313" spans="1:32" s="14" customFormat="1" ht="20.100000000000001" customHeight="1" x14ac:dyDescent="0.3">
      <c r="A313" s="7"/>
      <c r="B313" s="8" t="s">
        <v>2</v>
      </c>
      <c r="C313" s="13" t="s">
        <v>5</v>
      </c>
      <c r="D313" s="8">
        <v>20</v>
      </c>
      <c r="E313" s="8"/>
      <c r="F313" s="8">
        <v>4</v>
      </c>
      <c r="G313" s="9">
        <f>VLOOKUP(D313,'[2]Beam '!$C$20:$H$26,3,0)</f>
        <v>0.8</v>
      </c>
      <c r="H313" s="9"/>
      <c r="I313" s="8"/>
      <c r="J313" s="8"/>
      <c r="K313" s="8"/>
      <c r="L313" s="8"/>
      <c r="M313" s="8"/>
      <c r="N313" s="8"/>
      <c r="O313" s="8">
        <f>(1.8+1*(0.5/2)*D310)</f>
        <v>2.0499999999999998</v>
      </c>
      <c r="P313" s="8">
        <f t="shared" si="63"/>
        <v>8.1999999999999993</v>
      </c>
      <c r="Q313" s="8">
        <f>IF($D313='[2]Beam '!Q$44,$P313*'[2]Beam '!Q$45,0)</f>
        <v>0</v>
      </c>
      <c r="R313" s="8">
        <f>IF($D313='[2]Beam '!R$44,$P313*'[2]Beam '!R$45,0)</f>
        <v>0</v>
      </c>
      <c r="S313" s="8">
        <f>IF($D313='[2]Beam '!S$44,$P313*'[2]Beam '!S$45,0)</f>
        <v>0</v>
      </c>
      <c r="T313" s="8">
        <f>IF($D313='[2]Beam '!T$44,$P313*'[2]Beam '!T$45,0)</f>
        <v>0</v>
      </c>
      <c r="U313" s="8">
        <f>IF($D313='[2]Beam '!U$44,$P313*'[2]Beam '!U$45,0)</f>
        <v>20.230571428571427</v>
      </c>
      <c r="V313" s="8">
        <f>IF($D313='[2]Beam '!V$44,$P313*'[2]Beam '!V$45,0)</f>
        <v>0</v>
      </c>
      <c r="W313" s="8">
        <f>IF($D313='[2]Beam '!W$44,$P313*'[2]Beam '!W$45,0)</f>
        <v>0</v>
      </c>
      <c r="X313" s="8">
        <f t="shared" si="64"/>
        <v>20.230571428571427</v>
      </c>
      <c r="Y313" s="8"/>
    </row>
    <row r="314" spans="1:32" s="14" customFormat="1" ht="20.100000000000001" customHeight="1" x14ac:dyDescent="0.3">
      <c r="A314" s="7"/>
      <c r="B314" s="8" t="s">
        <v>2</v>
      </c>
      <c r="C314" s="13" t="s">
        <v>6</v>
      </c>
      <c r="D314" s="8">
        <v>25</v>
      </c>
      <c r="E314" s="8"/>
      <c r="F314" s="8">
        <v>4</v>
      </c>
      <c r="G314" s="9">
        <f>VLOOKUP(D314,'[2]Beam '!$C$20:$H$26,3,0)</f>
        <v>1</v>
      </c>
      <c r="H314" s="8"/>
      <c r="I314" s="8"/>
      <c r="J314" s="8"/>
      <c r="K314" s="8"/>
      <c r="L314" s="8"/>
      <c r="M314" s="8"/>
      <c r="N314" s="8"/>
      <c r="O314" s="8">
        <f>(E310+2*(0.5/2)*D310)</f>
        <v>7.05</v>
      </c>
      <c r="P314" s="8">
        <f t="shared" si="63"/>
        <v>28.2</v>
      </c>
      <c r="Q314" s="8">
        <f>IF($D314='[2]Beam '!Q$44,$P314*'[2]Beam '!Q$45,0)</f>
        <v>0</v>
      </c>
      <c r="R314" s="8">
        <f>IF($D314='[2]Beam '!R$44,$P314*'[2]Beam '!R$45,0)</f>
        <v>0</v>
      </c>
      <c r="S314" s="8">
        <f>IF($D314='[2]Beam '!S$44,$P314*'[2]Beam '!S$45,0)</f>
        <v>0</v>
      </c>
      <c r="T314" s="8">
        <f>IF($D314='[2]Beam '!T$44,$P314*'[2]Beam '!T$45,0)</f>
        <v>0</v>
      </c>
      <c r="U314" s="8">
        <f>IF($D314='[2]Beam '!U$44,$P314*'[2]Beam '!U$45,0)</f>
        <v>0</v>
      </c>
      <c r="V314" s="8">
        <f>IF($D314='[2]Beam '!V$44,$P314*'[2]Beam '!V$45,0)</f>
        <v>108.70848214285715</v>
      </c>
      <c r="W314" s="8">
        <f>IF($D314='[2]Beam '!W$44,$P314*'[2]Beam '!W$45,0)</f>
        <v>0</v>
      </c>
      <c r="X314" s="8">
        <f t="shared" si="64"/>
        <v>108.70848214285715</v>
      </c>
      <c r="Y314" s="8"/>
    </row>
    <row r="315" spans="1:32" s="14" customFormat="1" ht="20.100000000000001" customHeight="1" x14ac:dyDescent="0.25">
      <c r="A315" s="7"/>
      <c r="B315" s="8" t="s">
        <v>2</v>
      </c>
      <c r="C315" s="13" t="s">
        <v>13</v>
      </c>
      <c r="D315" s="8">
        <v>12</v>
      </c>
      <c r="E315" s="8">
        <v>0.1</v>
      </c>
      <c r="F315" s="8">
        <f>ROUND(IF(E310/3&gt;(2*G310),(E310/3)/E315,(2*G310)/E315),0)*2+1</f>
        <v>45</v>
      </c>
      <c r="G315" s="10"/>
      <c r="H315" s="8"/>
      <c r="I315" s="8"/>
      <c r="J315" s="8"/>
      <c r="K315" s="8"/>
      <c r="L315" s="8"/>
      <c r="M315" s="8"/>
      <c r="N315" s="8"/>
      <c r="O315" s="8">
        <f>(2*((G310-(2*'[2]Beam '!$D$11))+(F310-(2*'[2]Beam '!$D$11)))+(2*10*D315/1000))*D310</f>
        <v>2.1</v>
      </c>
      <c r="P315" s="8">
        <f t="shared" si="63"/>
        <v>94.5</v>
      </c>
      <c r="Q315" s="8">
        <f>IF($D315='[2]Beam '!Q$44,$P315*'[2]Beam '!Q$45,0)</f>
        <v>0</v>
      </c>
      <c r="R315" s="8">
        <f>IF($D315='[2]Beam '!R$44,$P315*'[2]Beam '!R$45,0)</f>
        <v>0</v>
      </c>
      <c r="S315" s="8">
        <f>IF($D315='[2]Beam '!S$44,$P315*'[2]Beam '!S$45,0)</f>
        <v>83.932200000000009</v>
      </c>
      <c r="T315" s="8">
        <f>IF($D315='[2]Beam '!T$44,$P315*'[2]Beam '!T$45,0)</f>
        <v>0</v>
      </c>
      <c r="U315" s="8">
        <f>IF($D315='[2]Beam '!U$44,$P315*'[2]Beam '!U$45,0)</f>
        <v>0</v>
      </c>
      <c r="V315" s="8">
        <f>IF($D315='[2]Beam '!V$44,$P315*'[2]Beam '!V$45,0)</f>
        <v>0</v>
      </c>
      <c r="W315" s="8">
        <f>IF($D315='[2]Beam '!W$44,$P315*'[2]Beam '!W$45,0)</f>
        <v>0</v>
      </c>
      <c r="X315" s="8">
        <f t="shared" si="64"/>
        <v>83.932200000000009</v>
      </c>
      <c r="Y315" s="8"/>
    </row>
    <row r="316" spans="1:32" s="10" customFormat="1" ht="20.100000000000001" customHeight="1" x14ac:dyDescent="0.25">
      <c r="A316" s="14"/>
      <c r="B316" s="8" t="s">
        <v>2</v>
      </c>
      <c r="C316" s="13" t="s">
        <v>14</v>
      </c>
      <c r="D316" s="14">
        <f>D315</f>
        <v>12</v>
      </c>
      <c r="E316" s="14">
        <v>0.15</v>
      </c>
      <c r="F316" s="14">
        <f>ROUND((E310-(IF(E310/3&gt;2*G310,E310/3*2,G310*2*2)))/E316,0)</f>
        <v>15</v>
      </c>
      <c r="H316" s="14"/>
      <c r="I316" s="14"/>
      <c r="J316" s="14"/>
      <c r="K316" s="14"/>
      <c r="L316" s="14"/>
      <c r="M316" s="14"/>
      <c r="N316" s="14"/>
      <c r="O316" s="8">
        <f>(2*((G310-(2*'[2]Beam '!$D$11))+(F310-(2*'[2]Beam '!$D$11)))+(2*10*D316/1000))*D310</f>
        <v>2.1</v>
      </c>
      <c r="P316" s="8">
        <f t="shared" si="63"/>
        <v>31.5</v>
      </c>
      <c r="Q316" s="8">
        <f>IF($D316='[2]Beam '!Q$44,$P316*'[2]Beam '!Q$45,0)</f>
        <v>0</v>
      </c>
      <c r="R316" s="8">
        <f>IF($D316='[2]Beam '!R$44,$P316*'[2]Beam '!R$45,0)</f>
        <v>0</v>
      </c>
      <c r="S316" s="8">
        <f>IF($D316='[2]Beam '!S$44,$P316*'[2]Beam '!S$45,0)</f>
        <v>27.977400000000006</v>
      </c>
      <c r="T316" s="8">
        <f>IF($D316='[2]Beam '!T$44,$P316*'[2]Beam '!T$45,0)</f>
        <v>0</v>
      </c>
      <c r="U316" s="8">
        <f>IF($D316='[2]Beam '!U$44,$P316*'[2]Beam '!U$45,0)</f>
        <v>0</v>
      </c>
      <c r="V316" s="8">
        <f>IF($D316='[2]Beam '!V$44,$P316*'[2]Beam '!V$45,0)</f>
        <v>0</v>
      </c>
      <c r="W316" s="8">
        <f>IF($D316='[2]Beam '!W$44,$P316*'[2]Beam '!W$45,0)</f>
        <v>0</v>
      </c>
      <c r="X316" s="8">
        <f t="shared" si="64"/>
        <v>27.977400000000006</v>
      </c>
      <c r="Y316" s="14"/>
      <c r="Z316" s="8"/>
      <c r="AA316" s="8"/>
      <c r="AB316" s="8"/>
      <c r="AC316" s="8"/>
      <c r="AD316" s="8"/>
      <c r="AE316" s="8"/>
    </row>
    <row r="317" spans="1:32" s="10" customFormat="1" ht="21" customHeight="1" x14ac:dyDescent="0.25">
      <c r="A317" s="14"/>
      <c r="B317" s="8" t="s">
        <v>2</v>
      </c>
      <c r="C317" s="13" t="s">
        <v>15</v>
      </c>
      <c r="D317" s="14">
        <f>D315</f>
        <v>12</v>
      </c>
      <c r="E317" s="14">
        <f>+E315</f>
        <v>0.1</v>
      </c>
      <c r="F317" s="8">
        <f>ROUND(IF(E310/3&gt;(2*G310),(E310/3)/E317,(2*G310)/E317),0)*2+1</f>
        <v>45</v>
      </c>
      <c r="H317" s="14"/>
      <c r="I317" s="14"/>
      <c r="J317" s="14"/>
      <c r="K317" s="14"/>
      <c r="L317" s="14"/>
      <c r="M317" s="14"/>
      <c r="N317" s="14"/>
      <c r="O317" s="8">
        <f>(2*(((F310-'[2]Beam '!$D$11*2)/(F311-1))+(G310-'[2]Beam '!$D$11*2))+(2*10*D317/1000))*D310</f>
        <v>1.58</v>
      </c>
      <c r="P317" s="8">
        <f t="shared" si="63"/>
        <v>71.100000000000009</v>
      </c>
      <c r="Q317" s="8">
        <f>IF($D317='[2]Beam '!Q$44,$P317*'[2]Beam '!Q$45,0)</f>
        <v>0</v>
      </c>
      <c r="R317" s="8">
        <f>IF($D317='[2]Beam '!R$44,$P317*'[2]Beam '!R$45,0)</f>
        <v>0</v>
      </c>
      <c r="S317" s="8">
        <f>IF($D317='[2]Beam '!S$44,$P317*'[2]Beam '!S$45,0)</f>
        <v>63.148988571428589</v>
      </c>
      <c r="T317" s="8">
        <f>IF($D317='[2]Beam '!T$44,$P317*'[2]Beam '!T$45,0)</f>
        <v>0</v>
      </c>
      <c r="U317" s="8">
        <f>IF($D317='[2]Beam '!U$44,$P317*'[2]Beam '!U$45,0)</f>
        <v>0</v>
      </c>
      <c r="V317" s="8">
        <f>IF($D317='[2]Beam '!V$44,$P317*'[2]Beam '!V$45,0)</f>
        <v>0</v>
      </c>
      <c r="W317" s="8">
        <f>IF($D317='[2]Beam '!W$44,$P317*'[2]Beam '!W$45,0)</f>
        <v>0</v>
      </c>
      <c r="X317" s="8">
        <f t="shared" si="64"/>
        <v>63.148988571428589</v>
      </c>
      <c r="Y317" s="14"/>
      <c r="Z317" s="8"/>
      <c r="AA317" s="8"/>
      <c r="AB317" s="8"/>
      <c r="AC317" s="8"/>
      <c r="AD317" s="8"/>
      <c r="AE317" s="8"/>
      <c r="AF317" s="8"/>
    </row>
    <row r="318" spans="1:32" s="10" customFormat="1" ht="20.100000000000001" customHeight="1" x14ac:dyDescent="0.25">
      <c r="A318" s="14"/>
      <c r="B318" s="8" t="s">
        <v>2</v>
      </c>
      <c r="C318" s="13" t="s">
        <v>16</v>
      </c>
      <c r="D318" s="14">
        <f>D316</f>
        <v>12</v>
      </c>
      <c r="E318" s="14">
        <f>+E316</f>
        <v>0.15</v>
      </c>
      <c r="F318" s="14">
        <f>ROUND((E310-(IF(E310/3&gt;2*G310,E310/3*2,G310*2*2)))/E318,0)</f>
        <v>15</v>
      </c>
      <c r="H318" s="14"/>
      <c r="I318" s="14"/>
      <c r="J318" s="14"/>
      <c r="K318" s="14"/>
      <c r="L318" s="14"/>
      <c r="M318" s="14"/>
      <c r="N318" s="14"/>
      <c r="O318" s="8">
        <f>(2*(((F310-'[2]Beam '!$D$11*2)/(F311-1))+(G310-'[2]Beam '!$D$11*2))+(2*10*D318/1000))*D310</f>
        <v>1.58</v>
      </c>
      <c r="P318" s="8">
        <f t="shared" si="63"/>
        <v>23.700000000000003</v>
      </c>
      <c r="Q318" s="8">
        <f>IF($D318='[2]Beam '!Q$44,$P318*'[2]Beam '!Q$45,0)</f>
        <v>0</v>
      </c>
      <c r="R318" s="8">
        <f>IF($D318='[2]Beam '!R$44,$P318*'[2]Beam '!R$45,0)</f>
        <v>0</v>
      </c>
      <c r="S318" s="8">
        <f>IF($D318='[2]Beam '!S$44,$P318*'[2]Beam '!S$45,0)</f>
        <v>21.049662857142863</v>
      </c>
      <c r="T318" s="8">
        <f>IF($D318='[2]Beam '!T$44,$P318*'[2]Beam '!T$45,0)</f>
        <v>0</v>
      </c>
      <c r="U318" s="8">
        <f>IF($D318='[2]Beam '!U$44,$P318*'[2]Beam '!U$45,0)</f>
        <v>0</v>
      </c>
      <c r="V318" s="8">
        <f>IF($D318='[2]Beam '!V$44,$P318*'[2]Beam '!V$45,0)</f>
        <v>0</v>
      </c>
      <c r="W318" s="8">
        <f>IF($D318='[2]Beam '!W$44,$P318*'[2]Beam '!W$45,0)</f>
        <v>0</v>
      </c>
      <c r="X318" s="8">
        <f t="shared" si="64"/>
        <v>21.049662857142863</v>
      </c>
      <c r="Y318" s="14"/>
      <c r="Z318" s="8"/>
      <c r="AA318" s="8"/>
      <c r="AB318" s="8"/>
      <c r="AC318" s="8"/>
      <c r="AD318" s="8"/>
      <c r="AE318" s="8"/>
    </row>
    <row r="319" spans="1:32" s="10" customFormat="1" ht="20.100000000000001" customHeight="1" x14ac:dyDescent="0.25">
      <c r="A319" s="7"/>
      <c r="B319" s="8" t="s">
        <v>2</v>
      </c>
      <c r="C319" s="13" t="s">
        <v>10</v>
      </c>
      <c r="D319" s="8">
        <f>+'[2]Beam '!$D$15</f>
        <v>25</v>
      </c>
      <c r="E319" s="8">
        <f>+'[2]Beam '!$E$15</f>
        <v>1</v>
      </c>
      <c r="F319" s="8">
        <f>ROUNDUP((0.9+0.9)/E319,0)</f>
        <v>2</v>
      </c>
      <c r="G319" s="9"/>
      <c r="H319" s="9"/>
      <c r="I319" s="8"/>
      <c r="J319" s="8"/>
      <c r="K319" s="8"/>
      <c r="L319" s="8"/>
      <c r="M319" s="8"/>
      <c r="N319" s="8"/>
      <c r="O319" s="8">
        <f>F310-'[2]Beam '!$F$15</f>
        <v>0.39</v>
      </c>
      <c r="P319" s="8">
        <f t="shared" si="63"/>
        <v>0.78</v>
      </c>
      <c r="Q319" s="8">
        <f>IF($D319='[2]Beam '!Q$44,$P319*'[2]Beam '!Q$45,0)</f>
        <v>0</v>
      </c>
      <c r="R319" s="8">
        <f>IF($D319='[2]Beam '!R$44,$P319*'[2]Beam '!R$45,0)</f>
        <v>0</v>
      </c>
      <c r="S319" s="8">
        <f>IF($D319='[2]Beam '!S$44,$P319*'[2]Beam '!S$45,0)</f>
        <v>0</v>
      </c>
      <c r="T319" s="8">
        <f>IF($D319='[2]Beam '!T$44,$P319*'[2]Beam '!T$45,0)</f>
        <v>0</v>
      </c>
      <c r="U319" s="8">
        <f>IF($D319='[2]Beam '!U$44,$P319*'[2]Beam '!U$45,0)</f>
        <v>0</v>
      </c>
      <c r="V319" s="8">
        <f>IF($D319='[2]Beam '!V$44,$P319*'[2]Beam '!V$45,0)</f>
        <v>3.0068303571428578</v>
      </c>
      <c r="W319" s="8">
        <f>IF($D319='[2]Beam '!W$44,$P319*'[2]Beam '!W$45,0)</f>
        <v>0</v>
      </c>
      <c r="X319" s="8">
        <f t="shared" si="64"/>
        <v>3.0068303571428578</v>
      </c>
      <c r="Y319" s="8"/>
      <c r="Z319" s="8"/>
      <c r="AA319" s="8"/>
      <c r="AB319" s="8"/>
      <c r="AC319" s="8"/>
      <c r="AD319" s="8"/>
      <c r="AE319" s="8"/>
    </row>
    <row r="320" spans="1:32" s="10" customFormat="1" ht="20.100000000000001" customHeight="1" x14ac:dyDescent="0.25">
      <c r="A320" s="8">
        <v>1</v>
      </c>
      <c r="B320" s="8" t="s">
        <v>2</v>
      </c>
      <c r="C320" s="11" t="s">
        <v>45</v>
      </c>
      <c r="D320" s="11">
        <v>1</v>
      </c>
      <c r="E320" s="11">
        <v>6.55</v>
      </c>
      <c r="F320" s="11">
        <v>0.45</v>
      </c>
      <c r="G320" s="11">
        <v>0.6</v>
      </c>
      <c r="H320" s="8">
        <f>G320-0.2</f>
        <v>0.39999999999999997</v>
      </c>
      <c r="I320" s="8">
        <f>E320*F320*G320*D320</f>
        <v>1.7684999999999997</v>
      </c>
      <c r="J320" s="8">
        <f>(2*(E320)*H320*D320)+(E320*F320)</f>
        <v>8.1875</v>
      </c>
      <c r="K320" s="12">
        <f>IF(E320=0.3,J320,0)</f>
        <v>0</v>
      </c>
      <c r="L320" s="12">
        <f>IF(AND(E320&gt;0.3,E320&lt;=0.75),J320,0)</f>
        <v>0</v>
      </c>
      <c r="M320" s="12">
        <f>IF(AND(E320&gt;0.75,E320&lt;=1.2),J320,0)</f>
        <v>0</v>
      </c>
      <c r="N320" s="12">
        <f>IF(E320&gt;1.2,J320,0)</f>
        <v>8.1875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>
        <f>SUM(X321:X330)/I320</f>
        <v>221.62678399773822</v>
      </c>
      <c r="Z320" s="8"/>
      <c r="AA320" s="8"/>
      <c r="AB320" s="8"/>
      <c r="AC320" s="8"/>
      <c r="AD320" s="8"/>
      <c r="AE320" s="8"/>
    </row>
    <row r="321" spans="1:32" s="10" customFormat="1" ht="20.100000000000001" customHeight="1" x14ac:dyDescent="0.25">
      <c r="A321" s="7"/>
      <c r="B321" s="8" t="s">
        <v>2</v>
      </c>
      <c r="C321" s="13" t="s">
        <v>4</v>
      </c>
      <c r="D321" s="8">
        <v>20</v>
      </c>
      <c r="E321" s="8"/>
      <c r="F321" s="8">
        <v>4</v>
      </c>
      <c r="G321" s="9">
        <f>VLOOKUP(D321,'[2]Beam '!$C$20:$H$26,3,0)</f>
        <v>0.8</v>
      </c>
      <c r="H321" s="9"/>
      <c r="I321" s="8"/>
      <c r="J321" s="8"/>
      <c r="K321" s="8"/>
      <c r="L321" s="8"/>
      <c r="M321" s="8"/>
      <c r="N321" s="8"/>
      <c r="O321" s="8">
        <f>(E320+1*(0.5/2)+1*(0.55/2)*D320)</f>
        <v>7.0750000000000002</v>
      </c>
      <c r="P321" s="8">
        <f t="shared" ref="P321:P331" si="65">O321*F321</f>
        <v>28.3</v>
      </c>
      <c r="Q321" s="8">
        <f>IF($D321='[2]Beam '!Q$44,$P321*'[2]Beam '!Q$45,0)</f>
        <v>0</v>
      </c>
      <c r="R321" s="8">
        <f>IF($D321='[2]Beam '!R$44,$P321*'[2]Beam '!R$45,0)</f>
        <v>0</v>
      </c>
      <c r="S321" s="8">
        <f>IF($D321='[2]Beam '!S$44,$P321*'[2]Beam '!S$45,0)</f>
        <v>0</v>
      </c>
      <c r="T321" s="8">
        <f>IF($D321='[2]Beam '!T$44,$P321*'[2]Beam '!T$45,0)</f>
        <v>0</v>
      </c>
      <c r="U321" s="8">
        <f>IF($D321='[2]Beam '!U$44,$P321*'[2]Beam '!U$45,0)</f>
        <v>69.820142857142855</v>
      </c>
      <c r="V321" s="8">
        <f>IF($D321='[2]Beam '!V$44,$P321*'[2]Beam '!V$45,0)</f>
        <v>0</v>
      </c>
      <c r="W321" s="8">
        <f>IF($D321='[2]Beam '!W$44,$P321*'[2]Beam '!W$45,0)</f>
        <v>0</v>
      </c>
      <c r="X321" s="8">
        <f t="shared" ref="X321:X331" si="66">SUM(Q321:W321)</f>
        <v>69.820142857142855</v>
      </c>
      <c r="Y321" s="8"/>
      <c r="Z321" s="8"/>
      <c r="AA321" s="8"/>
      <c r="AB321" s="8"/>
      <c r="AC321" s="8"/>
      <c r="AD321" s="8"/>
      <c r="AE321" s="8"/>
    </row>
    <row r="322" spans="1:32" s="10" customFormat="1" ht="20.100000000000001" customHeight="1" x14ac:dyDescent="0.25">
      <c r="A322" s="7"/>
      <c r="B322" s="8" t="s">
        <v>2</v>
      </c>
      <c r="C322" s="13" t="s">
        <v>5</v>
      </c>
      <c r="D322" s="8">
        <v>20</v>
      </c>
      <c r="E322" s="8"/>
      <c r="F322" s="8">
        <v>4</v>
      </c>
      <c r="G322" s="9">
        <f>VLOOKUP(D322,'[2]Beam '!$C$20:$H$26,3,0)</f>
        <v>0.8</v>
      </c>
      <c r="H322" s="9"/>
      <c r="I322" s="8"/>
      <c r="J322" s="8"/>
      <c r="K322" s="8"/>
      <c r="L322" s="8"/>
      <c r="M322" s="8"/>
      <c r="N322" s="8"/>
      <c r="O322" s="8">
        <f>(1.8+1*(0.5/2)*D320)</f>
        <v>2.0499999999999998</v>
      </c>
      <c r="P322" s="8">
        <f t="shared" si="65"/>
        <v>8.1999999999999993</v>
      </c>
      <c r="Q322" s="8">
        <f>IF($D322='[2]Beam '!Q$44,$P322*'[2]Beam '!Q$45,0)</f>
        <v>0</v>
      </c>
      <c r="R322" s="8">
        <f>IF($D322='[2]Beam '!R$44,$P322*'[2]Beam '!R$45,0)</f>
        <v>0</v>
      </c>
      <c r="S322" s="8">
        <f>IF($D322='[2]Beam '!S$44,$P322*'[2]Beam '!S$45,0)</f>
        <v>0</v>
      </c>
      <c r="T322" s="8">
        <f>IF($D322='[2]Beam '!T$44,$P322*'[2]Beam '!T$45,0)</f>
        <v>0</v>
      </c>
      <c r="U322" s="8">
        <f>IF($D322='[2]Beam '!U$44,$P322*'[2]Beam '!U$45,0)</f>
        <v>20.230571428571427</v>
      </c>
      <c r="V322" s="8">
        <f>IF($D322='[2]Beam '!V$44,$P322*'[2]Beam '!V$45,0)</f>
        <v>0</v>
      </c>
      <c r="W322" s="8">
        <f>IF($D322='[2]Beam '!W$44,$P322*'[2]Beam '!W$45,0)</f>
        <v>0</v>
      </c>
      <c r="X322" s="8">
        <f t="shared" si="66"/>
        <v>20.230571428571427</v>
      </c>
      <c r="Y322" s="8"/>
      <c r="Z322" s="8"/>
      <c r="AA322" s="8"/>
      <c r="AB322" s="8"/>
      <c r="AC322" s="8"/>
      <c r="AD322" s="8"/>
      <c r="AE322" s="8"/>
    </row>
    <row r="323" spans="1:32" s="10" customFormat="1" ht="20.100000000000001" customHeight="1" x14ac:dyDescent="0.25">
      <c r="A323" s="7"/>
      <c r="B323" s="8" t="s">
        <v>2</v>
      </c>
      <c r="C323" s="13" t="s">
        <v>5</v>
      </c>
      <c r="D323" s="8">
        <v>20</v>
      </c>
      <c r="E323" s="8"/>
      <c r="F323" s="8">
        <v>4</v>
      </c>
      <c r="G323" s="9">
        <f>VLOOKUP(D323,'[2]Beam '!$C$20:$H$26,3,0)</f>
        <v>0.8</v>
      </c>
      <c r="H323" s="9"/>
      <c r="I323" s="8"/>
      <c r="J323" s="8"/>
      <c r="K323" s="8"/>
      <c r="L323" s="8"/>
      <c r="M323" s="8"/>
      <c r="N323" s="8"/>
      <c r="O323" s="8">
        <f>(1.8+1*(0.55/2)*D320)</f>
        <v>2.0750000000000002</v>
      </c>
      <c r="P323" s="8">
        <f t="shared" si="65"/>
        <v>8.3000000000000007</v>
      </c>
      <c r="Q323" s="8">
        <f>IF($D323='[2]Beam '!Q$44,$P323*'[2]Beam '!Q$45,0)</f>
        <v>0</v>
      </c>
      <c r="R323" s="8">
        <f>IF($D323='[2]Beam '!R$44,$P323*'[2]Beam '!R$45,0)</f>
        <v>0</v>
      </c>
      <c r="S323" s="8">
        <f>IF($D323='[2]Beam '!S$44,$P323*'[2]Beam '!S$45,0)</f>
        <v>0</v>
      </c>
      <c r="T323" s="8">
        <f>IF($D323='[2]Beam '!T$44,$P323*'[2]Beam '!T$45,0)</f>
        <v>0</v>
      </c>
      <c r="U323" s="8">
        <f>IF($D323='[2]Beam '!U$44,$P323*'[2]Beam '!U$45,0)</f>
        <v>20.477285714285717</v>
      </c>
      <c r="V323" s="8">
        <f>IF($D323='[2]Beam '!V$44,$P323*'[2]Beam '!V$45,0)</f>
        <v>0</v>
      </c>
      <c r="W323" s="8">
        <f>IF($D323='[2]Beam '!W$44,$P323*'[2]Beam '!W$45,0)</f>
        <v>0</v>
      </c>
      <c r="X323" s="8">
        <f t="shared" si="66"/>
        <v>20.477285714285717</v>
      </c>
      <c r="Y323" s="8"/>
      <c r="Z323" s="8"/>
      <c r="AA323" s="8"/>
      <c r="AB323" s="8"/>
      <c r="AC323" s="8"/>
      <c r="AD323" s="8"/>
      <c r="AE323" s="8"/>
    </row>
    <row r="324" spans="1:32" s="10" customFormat="1" ht="20.100000000000001" customHeight="1" x14ac:dyDescent="0.25">
      <c r="A324" s="7"/>
      <c r="B324" s="8" t="s">
        <v>2</v>
      </c>
      <c r="C324" s="13" t="s">
        <v>5</v>
      </c>
      <c r="D324" s="8">
        <v>16</v>
      </c>
      <c r="E324" s="8"/>
      <c r="F324" s="8">
        <v>2</v>
      </c>
      <c r="G324" s="9">
        <f>VLOOKUP(D324,'[2]Beam '!$C$20:$H$26,3,0)</f>
        <v>0.625</v>
      </c>
      <c r="H324" s="9"/>
      <c r="I324" s="8"/>
      <c r="J324" s="8"/>
      <c r="K324" s="8"/>
      <c r="L324" s="8"/>
      <c r="M324" s="8"/>
      <c r="N324" s="8"/>
      <c r="O324" s="8">
        <f>(1.8+1*(0.55/2)*D320)</f>
        <v>2.0750000000000002</v>
      </c>
      <c r="P324" s="8">
        <f t="shared" si="65"/>
        <v>4.1500000000000004</v>
      </c>
      <c r="Q324" s="8">
        <f>IF($D324='[2]Beam '!Q$44,$P324*'[2]Beam '!Q$45,0)</f>
        <v>0</v>
      </c>
      <c r="R324" s="8">
        <f>IF($D324='[2]Beam '!R$44,$P324*'[2]Beam '!R$45,0)</f>
        <v>0</v>
      </c>
      <c r="S324" s="8">
        <f>IF($D324='[2]Beam '!S$44,$P324*'[2]Beam '!S$45,0)</f>
        <v>0</v>
      </c>
      <c r="T324" s="8">
        <f>IF($D324='[2]Beam '!T$44,$P324*'[2]Beam '!T$45,0)</f>
        <v>6.5527314285714295</v>
      </c>
      <c r="U324" s="8">
        <f>IF($D324='[2]Beam '!U$44,$P324*'[2]Beam '!U$45,0)</f>
        <v>0</v>
      </c>
      <c r="V324" s="8">
        <f>IF($D324='[2]Beam '!V$44,$P324*'[2]Beam '!V$45,0)</f>
        <v>0</v>
      </c>
      <c r="W324" s="8">
        <f>IF($D324='[2]Beam '!W$44,$P324*'[2]Beam '!W$45,0)</f>
        <v>0</v>
      </c>
      <c r="X324" s="8">
        <f t="shared" si="66"/>
        <v>6.5527314285714295</v>
      </c>
      <c r="Y324" s="8"/>
      <c r="Z324" s="8"/>
      <c r="AA324" s="8"/>
      <c r="AB324" s="8"/>
      <c r="AC324" s="8"/>
      <c r="AD324" s="8"/>
      <c r="AE324" s="8"/>
    </row>
    <row r="325" spans="1:32" s="14" customFormat="1" ht="20.100000000000001" customHeight="1" x14ac:dyDescent="0.3">
      <c r="A325" s="7"/>
      <c r="B325" s="8" t="s">
        <v>2</v>
      </c>
      <c r="C325" s="13" t="s">
        <v>6</v>
      </c>
      <c r="D325" s="8">
        <v>25</v>
      </c>
      <c r="E325" s="8"/>
      <c r="F325" s="8">
        <v>4</v>
      </c>
      <c r="G325" s="9">
        <f>VLOOKUP(D325,'[2]Beam '!$C$20:$H$26,3,0)</f>
        <v>1</v>
      </c>
      <c r="H325" s="8"/>
      <c r="I325" s="8"/>
      <c r="J325" s="8"/>
      <c r="K325" s="8"/>
      <c r="L325" s="8"/>
      <c r="M325" s="8"/>
      <c r="N325" s="8"/>
      <c r="O325" s="8">
        <f>(E320+1*(0.5/2)+1*(0.55/2)*D320)</f>
        <v>7.0750000000000002</v>
      </c>
      <c r="P325" s="8">
        <f t="shared" si="65"/>
        <v>28.3</v>
      </c>
      <c r="Q325" s="8">
        <f>IF($D325='[2]Beam '!Q$44,$P325*'[2]Beam '!Q$45,0)</f>
        <v>0</v>
      </c>
      <c r="R325" s="8">
        <f>IF($D325='[2]Beam '!R$44,$P325*'[2]Beam '!R$45,0)</f>
        <v>0</v>
      </c>
      <c r="S325" s="8">
        <f>IF($D325='[2]Beam '!S$44,$P325*'[2]Beam '!S$45,0)</f>
        <v>0</v>
      </c>
      <c r="T325" s="8">
        <f>IF($D325='[2]Beam '!T$44,$P325*'[2]Beam '!T$45,0)</f>
        <v>0</v>
      </c>
      <c r="U325" s="8">
        <f>IF($D325='[2]Beam '!U$44,$P325*'[2]Beam '!U$45,0)</f>
        <v>0</v>
      </c>
      <c r="V325" s="8">
        <f>IF($D325='[2]Beam '!V$44,$P325*'[2]Beam '!V$45,0)</f>
        <v>109.09397321428574</v>
      </c>
      <c r="W325" s="8">
        <f>IF($D325='[2]Beam '!W$44,$P325*'[2]Beam '!W$45,0)</f>
        <v>0</v>
      </c>
      <c r="X325" s="8">
        <f t="shared" si="66"/>
        <v>109.09397321428574</v>
      </c>
      <c r="Y325" s="8"/>
    </row>
    <row r="326" spans="1:32" s="14" customFormat="1" ht="20.100000000000001" customHeight="1" x14ac:dyDescent="0.3">
      <c r="A326" s="7"/>
      <c r="B326" s="8" t="s">
        <v>2</v>
      </c>
      <c r="C326" s="13" t="s">
        <v>7</v>
      </c>
      <c r="D326" s="8">
        <v>16</v>
      </c>
      <c r="E326" s="8"/>
      <c r="F326" s="8">
        <v>4</v>
      </c>
      <c r="G326" s="9">
        <f>VLOOKUP(D326,'[2]Beam '!$C$20:$H$26,3,0)</f>
        <v>0.625</v>
      </c>
      <c r="H326" s="8"/>
      <c r="I326" s="8"/>
      <c r="J326" s="8"/>
      <c r="K326" s="8"/>
      <c r="L326" s="8"/>
      <c r="M326" s="8"/>
      <c r="N326" s="8"/>
      <c r="O326" s="8">
        <f>(E320-1.05-1.05*D320)</f>
        <v>4.45</v>
      </c>
      <c r="P326" s="8">
        <f t="shared" si="65"/>
        <v>17.8</v>
      </c>
      <c r="Q326" s="8">
        <f>IF($D326='[2]Beam '!Q$44,$P326*'[2]Beam '!Q$45,0)</f>
        <v>0</v>
      </c>
      <c r="R326" s="8">
        <f>IF($D326='[2]Beam '!R$44,$P326*'[2]Beam '!R$45,0)</f>
        <v>0</v>
      </c>
      <c r="S326" s="8">
        <f>IF($D326='[2]Beam '!S$44,$P326*'[2]Beam '!S$45,0)</f>
        <v>0</v>
      </c>
      <c r="T326" s="8">
        <f>IF($D326='[2]Beam '!T$44,$P326*'[2]Beam '!T$45,0)</f>
        <v>28.105691428571433</v>
      </c>
      <c r="U326" s="8">
        <f>IF($D326='[2]Beam '!U$44,$P326*'[2]Beam '!U$45,0)</f>
        <v>0</v>
      </c>
      <c r="V326" s="8">
        <f>IF($D326='[2]Beam '!V$44,$P326*'[2]Beam '!V$45,0)</f>
        <v>0</v>
      </c>
      <c r="W326" s="8">
        <f>IF($D326='[2]Beam '!W$44,$P326*'[2]Beam '!W$45,0)</f>
        <v>0</v>
      </c>
      <c r="X326" s="8">
        <f t="shared" si="66"/>
        <v>28.105691428571433</v>
      </c>
      <c r="Y326" s="8"/>
    </row>
    <row r="327" spans="1:32" s="14" customFormat="1" ht="20.100000000000001" customHeight="1" x14ac:dyDescent="0.25">
      <c r="A327" s="7"/>
      <c r="B327" s="8" t="s">
        <v>2</v>
      </c>
      <c r="C327" s="13" t="s">
        <v>13</v>
      </c>
      <c r="D327" s="8">
        <v>10</v>
      </c>
      <c r="E327" s="8">
        <v>0.1</v>
      </c>
      <c r="F327" s="8">
        <f>ROUND(IF(E320/3&gt;(2*G320),(E320/3)/E327,(2*G320)/E327),0)*2+1</f>
        <v>45</v>
      </c>
      <c r="G327" s="10"/>
      <c r="H327" s="8"/>
      <c r="I327" s="8"/>
      <c r="J327" s="8"/>
      <c r="K327" s="8"/>
      <c r="L327" s="8"/>
      <c r="M327" s="8"/>
      <c r="N327" s="8"/>
      <c r="O327" s="8">
        <f>(2*((G320-(2*'[2]Beam '!$D$11))+(F320-(2*'[2]Beam '!$D$11)))+(2*10*D327/1000))*D320</f>
        <v>2.06</v>
      </c>
      <c r="P327" s="8">
        <f t="shared" si="65"/>
        <v>92.7</v>
      </c>
      <c r="Q327" s="8">
        <f>IF($D327='[2]Beam '!Q$44,$P327*'[2]Beam '!Q$45,0)</f>
        <v>0</v>
      </c>
      <c r="R327" s="8">
        <f>IF($D327='[2]Beam '!R$44,$P327*'[2]Beam '!R$45,0)</f>
        <v>57.176035714285717</v>
      </c>
      <c r="S327" s="8">
        <f>IF($D327='[2]Beam '!S$44,$P327*'[2]Beam '!S$45,0)</f>
        <v>0</v>
      </c>
      <c r="T327" s="8">
        <f>IF($D327='[2]Beam '!T$44,$P327*'[2]Beam '!T$45,0)</f>
        <v>0</v>
      </c>
      <c r="U327" s="8">
        <f>IF($D327='[2]Beam '!U$44,$P327*'[2]Beam '!U$45,0)</f>
        <v>0</v>
      </c>
      <c r="V327" s="8">
        <f>IF($D327='[2]Beam '!V$44,$P327*'[2]Beam '!V$45,0)</f>
        <v>0</v>
      </c>
      <c r="W327" s="8">
        <f>IF($D327='[2]Beam '!W$44,$P327*'[2]Beam '!W$45,0)</f>
        <v>0</v>
      </c>
      <c r="X327" s="8">
        <f t="shared" si="66"/>
        <v>57.176035714285717</v>
      </c>
      <c r="Y327" s="8"/>
    </row>
    <row r="328" spans="1:32" s="10" customFormat="1" ht="20.100000000000001" customHeight="1" x14ac:dyDescent="0.25">
      <c r="A328" s="14"/>
      <c r="B328" s="8" t="s">
        <v>2</v>
      </c>
      <c r="C328" s="13" t="s">
        <v>14</v>
      </c>
      <c r="D328" s="14">
        <f>D327</f>
        <v>10</v>
      </c>
      <c r="E328" s="14">
        <v>0.125</v>
      </c>
      <c r="F328" s="14">
        <f>ROUND((E320-(IF(E320/3&gt;2*G320,E320/3*2,G320*2*2)))/E328,0)</f>
        <v>17</v>
      </c>
      <c r="H328" s="14"/>
      <c r="I328" s="14"/>
      <c r="J328" s="14"/>
      <c r="K328" s="14"/>
      <c r="L328" s="14"/>
      <c r="M328" s="14"/>
      <c r="N328" s="14"/>
      <c r="O328" s="8">
        <f>(2*((G320-(2*'[2]Beam '!$D$11))+(F320-(2*'[2]Beam '!$D$11)))+(2*10*D328/1000))*D320</f>
        <v>2.06</v>
      </c>
      <c r="P328" s="8">
        <f t="shared" si="65"/>
        <v>35.020000000000003</v>
      </c>
      <c r="Q328" s="8">
        <f>IF($D328='[2]Beam '!Q$44,$P328*'[2]Beam '!Q$45,0)</f>
        <v>0</v>
      </c>
      <c r="R328" s="8">
        <f>IF($D328='[2]Beam '!R$44,$P328*'[2]Beam '!R$45,0)</f>
        <v>21.599835714285717</v>
      </c>
      <c r="S328" s="8">
        <f>IF($D328='[2]Beam '!S$44,$P328*'[2]Beam '!S$45,0)</f>
        <v>0</v>
      </c>
      <c r="T328" s="8">
        <f>IF($D328='[2]Beam '!T$44,$P328*'[2]Beam '!T$45,0)</f>
        <v>0</v>
      </c>
      <c r="U328" s="8">
        <f>IF($D328='[2]Beam '!U$44,$P328*'[2]Beam '!U$45,0)</f>
        <v>0</v>
      </c>
      <c r="V328" s="8">
        <f>IF($D328='[2]Beam '!V$44,$P328*'[2]Beam '!V$45,0)</f>
        <v>0</v>
      </c>
      <c r="W328" s="8">
        <f>IF($D328='[2]Beam '!W$44,$P328*'[2]Beam '!W$45,0)</f>
        <v>0</v>
      </c>
      <c r="X328" s="8">
        <f t="shared" si="66"/>
        <v>21.599835714285717</v>
      </c>
      <c r="Y328" s="14"/>
      <c r="Z328" s="8"/>
      <c r="AA328" s="8"/>
      <c r="AB328" s="8"/>
      <c r="AC328" s="8"/>
      <c r="AD328" s="8"/>
      <c r="AE328" s="8"/>
    </row>
    <row r="329" spans="1:32" s="10" customFormat="1" ht="21" customHeight="1" x14ac:dyDescent="0.25">
      <c r="A329" s="14"/>
      <c r="B329" s="8" t="s">
        <v>2</v>
      </c>
      <c r="C329" s="13" t="s">
        <v>15</v>
      </c>
      <c r="D329" s="14">
        <f>D327</f>
        <v>10</v>
      </c>
      <c r="E329" s="14">
        <f>+E327</f>
        <v>0.1</v>
      </c>
      <c r="F329" s="8">
        <f>ROUND(IF(E320/3&gt;(2*G320),(E320/3)/E329,(2*G320)/E329),0)*2+1</f>
        <v>45</v>
      </c>
      <c r="H329" s="14"/>
      <c r="I329" s="14"/>
      <c r="J329" s="14"/>
      <c r="K329" s="14"/>
      <c r="L329" s="14"/>
      <c r="M329" s="14"/>
      <c r="N329" s="14"/>
      <c r="O329" s="8">
        <f>(2*(((F320-'[2]Beam '!$D$11*2)/(F321-1))+(G320-'[2]Beam '!$D$11*2))+(2*10*D329/1000))*D320</f>
        <v>1.54</v>
      </c>
      <c r="P329" s="8">
        <f t="shared" si="65"/>
        <v>69.3</v>
      </c>
      <c r="Q329" s="8">
        <f>IF($D329='[2]Beam '!Q$44,$P329*'[2]Beam '!Q$45,0)</f>
        <v>0</v>
      </c>
      <c r="R329" s="8">
        <f>IF($D329='[2]Beam '!R$44,$P329*'[2]Beam '!R$45,0)</f>
        <v>42.743249999999996</v>
      </c>
      <c r="S329" s="8">
        <f>IF($D329='[2]Beam '!S$44,$P329*'[2]Beam '!S$45,0)</f>
        <v>0</v>
      </c>
      <c r="T329" s="8">
        <f>IF($D329='[2]Beam '!T$44,$P329*'[2]Beam '!T$45,0)</f>
        <v>0</v>
      </c>
      <c r="U329" s="8">
        <f>IF($D329='[2]Beam '!U$44,$P329*'[2]Beam '!U$45,0)</f>
        <v>0</v>
      </c>
      <c r="V329" s="8">
        <f>IF($D329='[2]Beam '!V$44,$P329*'[2]Beam '!V$45,0)</f>
        <v>0</v>
      </c>
      <c r="W329" s="8">
        <f>IF($D329='[2]Beam '!W$44,$P329*'[2]Beam '!W$45,0)</f>
        <v>0</v>
      </c>
      <c r="X329" s="8">
        <f t="shared" si="66"/>
        <v>42.743249999999996</v>
      </c>
      <c r="Y329" s="14"/>
      <c r="Z329" s="8"/>
      <c r="AA329" s="8"/>
      <c r="AB329" s="8"/>
      <c r="AC329" s="8"/>
      <c r="AD329" s="8"/>
      <c r="AE329" s="8"/>
      <c r="AF329" s="8"/>
    </row>
    <row r="330" spans="1:32" s="10" customFormat="1" ht="20.100000000000001" customHeight="1" x14ac:dyDescent="0.25">
      <c r="A330" s="14"/>
      <c r="B330" s="8" t="s">
        <v>2</v>
      </c>
      <c r="C330" s="13" t="s">
        <v>16</v>
      </c>
      <c r="D330" s="14">
        <f>D328</f>
        <v>10</v>
      </c>
      <c r="E330" s="14">
        <f>+E328</f>
        <v>0.125</v>
      </c>
      <c r="F330" s="14">
        <f>ROUND((E320-(IF(E320/3&gt;2*G320,E320/3*2,G320*2*2)))/E330,0)</f>
        <v>17</v>
      </c>
      <c r="H330" s="14"/>
      <c r="I330" s="14"/>
      <c r="J330" s="14"/>
      <c r="K330" s="14"/>
      <c r="L330" s="14"/>
      <c r="M330" s="14"/>
      <c r="N330" s="14"/>
      <c r="O330" s="8">
        <f>(2*(((F320-'[2]Beam '!$D$11*2)/(F321-1))+(G320-'[2]Beam '!$D$11*2))+(2*10*D330/1000))*D320</f>
        <v>1.54</v>
      </c>
      <c r="P330" s="8">
        <f t="shared" si="65"/>
        <v>26.18</v>
      </c>
      <c r="Q330" s="8">
        <f>IF($D330='[2]Beam '!Q$44,$P330*'[2]Beam '!Q$45,0)</f>
        <v>0</v>
      </c>
      <c r="R330" s="8">
        <f>IF($D330='[2]Beam '!R$44,$P330*'[2]Beam '!R$45,0)</f>
        <v>16.147449999999999</v>
      </c>
      <c r="S330" s="8">
        <f>IF($D330='[2]Beam '!S$44,$P330*'[2]Beam '!S$45,0)</f>
        <v>0</v>
      </c>
      <c r="T330" s="8">
        <f>IF($D330='[2]Beam '!T$44,$P330*'[2]Beam '!T$45,0)</f>
        <v>0</v>
      </c>
      <c r="U330" s="8">
        <f>IF($D330='[2]Beam '!U$44,$P330*'[2]Beam '!U$45,0)</f>
        <v>0</v>
      </c>
      <c r="V330" s="8">
        <f>IF($D330='[2]Beam '!V$44,$P330*'[2]Beam '!V$45,0)</f>
        <v>0</v>
      </c>
      <c r="W330" s="8">
        <f>IF($D330='[2]Beam '!W$44,$P330*'[2]Beam '!W$45,0)</f>
        <v>0</v>
      </c>
      <c r="X330" s="8">
        <f t="shared" si="66"/>
        <v>16.147449999999999</v>
      </c>
      <c r="Y330" s="14"/>
      <c r="Z330" s="8"/>
      <c r="AA330" s="8"/>
      <c r="AB330" s="8"/>
      <c r="AC330" s="8"/>
      <c r="AD330" s="8"/>
      <c r="AE330" s="8"/>
    </row>
    <row r="331" spans="1:32" s="10" customFormat="1" ht="20.100000000000001" customHeight="1" x14ac:dyDescent="0.25">
      <c r="A331" s="7"/>
      <c r="B331" s="8" t="s">
        <v>2</v>
      </c>
      <c r="C331" s="13" t="s">
        <v>10</v>
      </c>
      <c r="D331" s="8">
        <f>+'[2]Beam '!$D$15</f>
        <v>25</v>
      </c>
      <c r="E331" s="8">
        <f>+'[2]Beam '!$E$15</f>
        <v>1</v>
      </c>
      <c r="F331" s="8">
        <f>ROUNDUP((3.6+O326)/E331,0)</f>
        <v>9</v>
      </c>
      <c r="G331" s="9"/>
      <c r="H331" s="9"/>
      <c r="I331" s="8"/>
      <c r="J331" s="8"/>
      <c r="K331" s="8"/>
      <c r="L331" s="8"/>
      <c r="M331" s="8"/>
      <c r="N331" s="8"/>
      <c r="O331" s="8">
        <f>F320-'[2]Beam '!$F$15</f>
        <v>0.39</v>
      </c>
      <c r="P331" s="8">
        <f t="shared" si="65"/>
        <v>3.5100000000000002</v>
      </c>
      <c r="Q331" s="8">
        <f>IF($D331='[2]Beam '!Q$44,$P331*'[2]Beam '!Q$45,0)</f>
        <v>0</v>
      </c>
      <c r="R331" s="8">
        <f>IF($D331='[2]Beam '!R$44,$P331*'[2]Beam '!R$45,0)</f>
        <v>0</v>
      </c>
      <c r="S331" s="8">
        <f>IF($D331='[2]Beam '!S$44,$P331*'[2]Beam '!S$45,0)</f>
        <v>0</v>
      </c>
      <c r="T331" s="8">
        <f>IF($D331='[2]Beam '!T$44,$P331*'[2]Beam '!T$45,0)</f>
        <v>0</v>
      </c>
      <c r="U331" s="8">
        <f>IF($D331='[2]Beam '!U$44,$P331*'[2]Beam '!U$45,0)</f>
        <v>0</v>
      </c>
      <c r="V331" s="8">
        <f>IF($D331='[2]Beam '!V$44,$P331*'[2]Beam '!V$45,0)</f>
        <v>13.53073660714286</v>
      </c>
      <c r="W331" s="8">
        <f>IF($D331='[2]Beam '!W$44,$P331*'[2]Beam '!W$45,0)</f>
        <v>0</v>
      </c>
      <c r="X331" s="8">
        <f t="shared" si="66"/>
        <v>13.53073660714286</v>
      </c>
      <c r="Y331" s="8"/>
      <c r="Z331" s="8"/>
      <c r="AA331" s="8"/>
      <c r="AB331" s="8"/>
      <c r="AC331" s="8"/>
      <c r="AD331" s="8"/>
      <c r="AE331" s="8"/>
    </row>
    <row r="332" spans="1:32" s="10" customFormat="1" ht="20.100000000000001" customHeight="1" x14ac:dyDescent="0.25">
      <c r="A332" s="8">
        <v>1</v>
      </c>
      <c r="B332" s="8" t="s">
        <v>2</v>
      </c>
      <c r="C332" s="11" t="s">
        <v>46</v>
      </c>
      <c r="D332" s="11">
        <v>1</v>
      </c>
      <c r="E332" s="11">
        <v>4.8499999999999996</v>
      </c>
      <c r="F332" s="11">
        <v>0.45</v>
      </c>
      <c r="G332" s="11">
        <v>0.6</v>
      </c>
      <c r="H332" s="8">
        <f>G332-0.2</f>
        <v>0.39999999999999997</v>
      </c>
      <c r="I332" s="8">
        <f>E332*F332*G332*D332</f>
        <v>1.3095000000000001</v>
      </c>
      <c r="J332" s="8">
        <f>(2*(E332)*H332*D332)+(E332*F332)</f>
        <v>6.0625</v>
      </c>
      <c r="K332" s="12">
        <f>IF(E332=0.3,J332,0)</f>
        <v>0</v>
      </c>
      <c r="L332" s="12">
        <f>IF(AND(E332&gt;0.3,E332&lt;=0.75),J332,0)</f>
        <v>0</v>
      </c>
      <c r="M332" s="12">
        <f>IF(AND(E332&gt;0.75,E332&lt;=1.2),J332,0)</f>
        <v>0</v>
      </c>
      <c r="N332" s="12">
        <f>IF(E332&gt;1.2,J332,0)</f>
        <v>6.0625</v>
      </c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>
        <f>SUM(X333:X338)/I332</f>
        <v>168.94078645066273</v>
      </c>
      <c r="Z332" s="8"/>
      <c r="AA332" s="8"/>
      <c r="AB332" s="8"/>
      <c r="AC332" s="8"/>
      <c r="AD332" s="8"/>
      <c r="AE332" s="8"/>
    </row>
    <row r="333" spans="1:32" s="10" customFormat="1" ht="20.100000000000001" customHeight="1" x14ac:dyDescent="0.25">
      <c r="A333" s="7"/>
      <c r="B333" s="8" t="s">
        <v>2</v>
      </c>
      <c r="C333" s="13" t="s">
        <v>4</v>
      </c>
      <c r="D333" s="8">
        <v>20</v>
      </c>
      <c r="E333" s="8"/>
      <c r="F333" s="8">
        <v>4</v>
      </c>
      <c r="G333" s="9">
        <f>VLOOKUP(D333,'[2]Beam '!$C$20:$H$26,3,0)</f>
        <v>0.8</v>
      </c>
      <c r="H333" s="9"/>
      <c r="I333" s="8"/>
      <c r="J333" s="8"/>
      <c r="K333" s="8"/>
      <c r="L333" s="8"/>
      <c r="M333" s="8"/>
      <c r="N333" s="8"/>
      <c r="O333" s="8">
        <f>(E332+1*(G333+(12*D333/1000))+1*(0.55/2)*D332)</f>
        <v>6.165</v>
      </c>
      <c r="P333" s="8">
        <f t="shared" ref="P333:P341" si="67">O333*F333</f>
        <v>24.66</v>
      </c>
      <c r="Q333" s="8">
        <f>IF($D333='[2]Beam '!Q$44,$P333*'[2]Beam '!Q$45,0)</f>
        <v>0</v>
      </c>
      <c r="R333" s="8">
        <f>IF($D333='[2]Beam '!R$44,$P333*'[2]Beam '!R$45,0)</f>
        <v>0</v>
      </c>
      <c r="S333" s="8">
        <f>IF($D333='[2]Beam '!S$44,$P333*'[2]Beam '!S$45,0)</f>
        <v>0</v>
      </c>
      <c r="T333" s="8">
        <f>IF($D333='[2]Beam '!T$44,$P333*'[2]Beam '!T$45,0)</f>
        <v>0</v>
      </c>
      <c r="U333" s="8">
        <f>IF($D333='[2]Beam '!U$44,$P333*'[2]Beam '!U$45,0)</f>
        <v>60.839742857142859</v>
      </c>
      <c r="V333" s="8">
        <f>IF($D333='[2]Beam '!V$44,$P333*'[2]Beam '!V$45,0)</f>
        <v>0</v>
      </c>
      <c r="W333" s="8">
        <f>IF($D333='[2]Beam '!W$44,$P333*'[2]Beam '!W$45,0)</f>
        <v>0</v>
      </c>
      <c r="X333" s="8">
        <f t="shared" ref="X333:X341" si="68">SUM(Q333:W333)</f>
        <v>60.839742857142859</v>
      </c>
      <c r="Y333" s="8"/>
      <c r="Z333" s="8"/>
      <c r="AA333" s="8"/>
      <c r="AB333" s="8"/>
      <c r="AC333" s="8"/>
      <c r="AD333" s="8"/>
      <c r="AE333" s="8"/>
    </row>
    <row r="334" spans="1:32" s="10" customFormat="1" ht="20.100000000000001" customHeight="1" x14ac:dyDescent="0.25">
      <c r="A334" s="7"/>
      <c r="B334" s="8" t="s">
        <v>2</v>
      </c>
      <c r="C334" s="13" t="s">
        <v>5</v>
      </c>
      <c r="D334" s="8">
        <v>20</v>
      </c>
      <c r="E334" s="8"/>
      <c r="F334" s="8">
        <v>4</v>
      </c>
      <c r="G334" s="9">
        <f>VLOOKUP(D334,'[2]Beam '!$C$20:$H$26,3,0)</f>
        <v>0.8</v>
      </c>
      <c r="H334" s="9"/>
      <c r="I334" s="8"/>
      <c r="J334" s="8"/>
      <c r="K334" s="8"/>
      <c r="L334" s="8"/>
      <c r="M334" s="8"/>
      <c r="N334" s="8"/>
      <c r="O334" s="8">
        <f>(1.35+1*(0.55/2)*D332)</f>
        <v>1.625</v>
      </c>
      <c r="P334" s="8">
        <f t="shared" si="67"/>
        <v>6.5</v>
      </c>
      <c r="Q334" s="8">
        <f>IF($D334='[2]Beam '!Q$44,$P334*'[2]Beam '!Q$45,0)</f>
        <v>0</v>
      </c>
      <c r="R334" s="8">
        <f>IF($D334='[2]Beam '!R$44,$P334*'[2]Beam '!R$45,0)</f>
        <v>0</v>
      </c>
      <c r="S334" s="8">
        <f>IF($D334='[2]Beam '!S$44,$P334*'[2]Beam '!S$45,0)</f>
        <v>0</v>
      </c>
      <c r="T334" s="8">
        <f>IF($D334='[2]Beam '!T$44,$P334*'[2]Beam '!T$45,0)</f>
        <v>0</v>
      </c>
      <c r="U334" s="8">
        <f>IF($D334='[2]Beam '!U$44,$P334*'[2]Beam '!U$45,0)</f>
        <v>16.036428571428573</v>
      </c>
      <c r="V334" s="8">
        <f>IF($D334='[2]Beam '!V$44,$P334*'[2]Beam '!V$45,0)</f>
        <v>0</v>
      </c>
      <c r="W334" s="8">
        <f>IF($D334='[2]Beam '!W$44,$P334*'[2]Beam '!W$45,0)</f>
        <v>0</v>
      </c>
      <c r="X334" s="8">
        <f t="shared" si="68"/>
        <v>16.036428571428573</v>
      </c>
      <c r="Y334" s="8"/>
      <c r="Z334" s="8"/>
      <c r="AA334" s="8"/>
      <c r="AB334" s="8"/>
      <c r="AC334" s="8"/>
      <c r="AD334" s="8"/>
      <c r="AE334" s="8"/>
    </row>
    <row r="335" spans="1:32" s="14" customFormat="1" ht="20.100000000000001" customHeight="1" x14ac:dyDescent="0.3">
      <c r="A335" s="7"/>
      <c r="B335" s="8" t="s">
        <v>2</v>
      </c>
      <c r="C335" s="13" t="s">
        <v>5</v>
      </c>
      <c r="D335" s="8">
        <v>16</v>
      </c>
      <c r="E335" s="8"/>
      <c r="F335" s="8">
        <v>2</v>
      </c>
      <c r="G335" s="9">
        <f>VLOOKUP(D335,'[2]Beam '!$C$20:$H$26,3,0)</f>
        <v>0.625</v>
      </c>
      <c r="H335" s="9"/>
      <c r="I335" s="8"/>
      <c r="J335" s="8"/>
      <c r="K335" s="8"/>
      <c r="L335" s="8"/>
      <c r="M335" s="8"/>
      <c r="N335" s="8"/>
      <c r="O335" s="8">
        <f>(1.35+1*(0.55/2)*D332)</f>
        <v>1.625</v>
      </c>
      <c r="P335" s="8">
        <f t="shared" si="67"/>
        <v>3.25</v>
      </c>
      <c r="Q335" s="8">
        <f>IF($D335='[2]Beam '!Q$44,$P335*'[2]Beam '!Q$45,0)</f>
        <v>0</v>
      </c>
      <c r="R335" s="8">
        <f>IF($D335='[2]Beam '!R$44,$P335*'[2]Beam '!R$45,0)</f>
        <v>0</v>
      </c>
      <c r="S335" s="8">
        <f>IF($D335='[2]Beam '!S$44,$P335*'[2]Beam '!S$45,0)</f>
        <v>0</v>
      </c>
      <c r="T335" s="8">
        <f>IF($D335='[2]Beam '!T$44,$P335*'[2]Beam '!T$45,0)</f>
        <v>5.1316571428571436</v>
      </c>
      <c r="U335" s="8">
        <f>IF($D335='[2]Beam '!U$44,$P335*'[2]Beam '!U$45,0)</f>
        <v>0</v>
      </c>
      <c r="V335" s="8">
        <f>IF($D335='[2]Beam '!V$44,$P335*'[2]Beam '!V$45,0)</f>
        <v>0</v>
      </c>
      <c r="W335" s="8">
        <f>IF($D335='[2]Beam '!W$44,$P335*'[2]Beam '!W$45,0)</f>
        <v>0</v>
      </c>
      <c r="X335" s="8">
        <f t="shared" si="68"/>
        <v>5.1316571428571436</v>
      </c>
      <c r="Y335" s="8"/>
    </row>
    <row r="336" spans="1:32" s="14" customFormat="1" ht="20.100000000000001" customHeight="1" x14ac:dyDescent="0.3">
      <c r="A336" s="7"/>
      <c r="B336" s="8" t="s">
        <v>2</v>
      </c>
      <c r="C336" s="13" t="s">
        <v>6</v>
      </c>
      <c r="D336" s="8">
        <v>25</v>
      </c>
      <c r="E336" s="8"/>
      <c r="F336" s="8">
        <v>4</v>
      </c>
      <c r="G336" s="9">
        <f>VLOOKUP(D336,'[2]Beam '!$C$20:$H$26,3,0)</f>
        <v>1</v>
      </c>
      <c r="H336" s="8"/>
      <c r="I336" s="8"/>
      <c r="J336" s="8"/>
      <c r="K336" s="8"/>
      <c r="L336" s="8"/>
      <c r="M336" s="8"/>
      <c r="N336" s="8"/>
      <c r="O336" s="8">
        <f>(E332+1*(G336+(12*D336/1000))+2*(0.5/2)*D332)</f>
        <v>6.6499999999999995</v>
      </c>
      <c r="P336" s="8">
        <f t="shared" si="67"/>
        <v>26.599999999999998</v>
      </c>
      <c r="Q336" s="8">
        <f>IF($D336='[2]Beam '!Q$44,$P336*'[2]Beam '!Q$45,0)</f>
        <v>0</v>
      </c>
      <c r="R336" s="8">
        <f>IF($D336='[2]Beam '!R$44,$P336*'[2]Beam '!R$45,0)</f>
        <v>0</v>
      </c>
      <c r="S336" s="8">
        <f>IF($D336='[2]Beam '!S$44,$P336*'[2]Beam '!S$45,0)</f>
        <v>0</v>
      </c>
      <c r="T336" s="8">
        <f>IF($D336='[2]Beam '!T$44,$P336*'[2]Beam '!T$45,0)</f>
        <v>0</v>
      </c>
      <c r="U336" s="8">
        <f>IF($D336='[2]Beam '!U$44,$P336*'[2]Beam '!U$45,0)</f>
        <v>0</v>
      </c>
      <c r="V336" s="8">
        <f>IF($D336='[2]Beam '!V$44,$P336*'[2]Beam '!V$45,0)</f>
        <v>102.54062500000001</v>
      </c>
      <c r="W336" s="8">
        <f>IF($D336='[2]Beam '!W$44,$P336*'[2]Beam '!W$45,0)</f>
        <v>0</v>
      </c>
      <c r="X336" s="8">
        <f t="shared" si="68"/>
        <v>102.54062500000001</v>
      </c>
      <c r="Y336" s="8"/>
    </row>
    <row r="337" spans="1:32" s="14" customFormat="1" ht="20.100000000000001" customHeight="1" x14ac:dyDescent="0.25">
      <c r="A337" s="7"/>
      <c r="B337" s="8" t="s">
        <v>2</v>
      </c>
      <c r="C337" s="13" t="s">
        <v>13</v>
      </c>
      <c r="D337" s="8">
        <v>8</v>
      </c>
      <c r="E337" s="8">
        <v>0.1</v>
      </c>
      <c r="F337" s="8">
        <f>ROUND(IF(E332/3&gt;(2*G332),(E332/3)/E337,(2*G332)/E337),0)*2+1</f>
        <v>33</v>
      </c>
      <c r="G337" s="10"/>
      <c r="H337" s="8"/>
      <c r="I337" s="8"/>
      <c r="J337" s="8"/>
      <c r="K337" s="8"/>
      <c r="L337" s="8"/>
      <c r="M337" s="8"/>
      <c r="N337" s="8"/>
      <c r="O337" s="8">
        <f>(2*((G332-(2*'[2]Beam '!$D$11))+(F332-(2*'[2]Beam '!$D$11)))+(2*10*D337/1000))*D332</f>
        <v>2.02</v>
      </c>
      <c r="P337" s="8">
        <f t="shared" si="67"/>
        <v>66.66</v>
      </c>
      <c r="Q337" s="8">
        <f>IF($D337='[2]Beam '!Q$44,$P337*'[2]Beam '!Q$45,0)</f>
        <v>26.313558857142858</v>
      </c>
      <c r="R337" s="8">
        <f>IF($D337='[2]Beam '!R$44,$P337*'[2]Beam '!R$45,0)</f>
        <v>0</v>
      </c>
      <c r="S337" s="8">
        <f>IF($D337='[2]Beam '!S$44,$P337*'[2]Beam '!S$45,0)</f>
        <v>0</v>
      </c>
      <c r="T337" s="8">
        <f>IF($D337='[2]Beam '!T$44,$P337*'[2]Beam '!T$45,0)</f>
        <v>0</v>
      </c>
      <c r="U337" s="8">
        <f>IF($D337='[2]Beam '!U$44,$P337*'[2]Beam '!U$45,0)</f>
        <v>0</v>
      </c>
      <c r="V337" s="8">
        <f>IF($D337='[2]Beam '!V$44,$P337*'[2]Beam '!V$45,0)</f>
        <v>0</v>
      </c>
      <c r="W337" s="8">
        <f>IF($D337='[2]Beam '!W$44,$P337*'[2]Beam '!W$45,0)</f>
        <v>0</v>
      </c>
      <c r="X337" s="8">
        <f t="shared" si="68"/>
        <v>26.313558857142858</v>
      </c>
      <c r="Y337" s="8"/>
    </row>
    <row r="338" spans="1:32" s="10" customFormat="1" ht="20.100000000000001" customHeight="1" x14ac:dyDescent="0.25">
      <c r="A338" s="14"/>
      <c r="B338" s="8" t="s">
        <v>2</v>
      </c>
      <c r="C338" s="13" t="s">
        <v>14</v>
      </c>
      <c r="D338" s="14">
        <f>D337</f>
        <v>8</v>
      </c>
      <c r="E338" s="14">
        <v>0.125</v>
      </c>
      <c r="F338" s="14">
        <f>ROUND((E332-(IF(E332/3&gt;2*G332,E332/3*2,G332*2*2)))/E338,0)</f>
        <v>13</v>
      </c>
      <c r="H338" s="14"/>
      <c r="I338" s="14"/>
      <c r="J338" s="14"/>
      <c r="K338" s="14"/>
      <c r="L338" s="14"/>
      <c r="M338" s="14"/>
      <c r="N338" s="14"/>
      <c r="O338" s="8">
        <f>(2*((G332-(2*'[2]Beam '!$D$11))+(F332-(2*'[2]Beam '!$D$11)))+(2*10*D338/1000))*D332</f>
        <v>2.02</v>
      </c>
      <c r="P338" s="8">
        <f t="shared" si="67"/>
        <v>26.26</v>
      </c>
      <c r="Q338" s="8">
        <f>IF($D338='[2]Beam '!Q$44,$P338*'[2]Beam '!Q$45,0)</f>
        <v>10.365947428571429</v>
      </c>
      <c r="R338" s="8">
        <f>IF($D338='[2]Beam '!R$44,$P338*'[2]Beam '!R$45,0)</f>
        <v>0</v>
      </c>
      <c r="S338" s="8">
        <f>IF($D338='[2]Beam '!S$44,$P338*'[2]Beam '!S$45,0)</f>
        <v>0</v>
      </c>
      <c r="T338" s="8">
        <f>IF($D338='[2]Beam '!T$44,$P338*'[2]Beam '!T$45,0)</f>
        <v>0</v>
      </c>
      <c r="U338" s="8">
        <f>IF($D338='[2]Beam '!U$44,$P338*'[2]Beam '!U$45,0)</f>
        <v>0</v>
      </c>
      <c r="V338" s="8">
        <f>IF($D338='[2]Beam '!V$44,$P338*'[2]Beam '!V$45,0)</f>
        <v>0</v>
      </c>
      <c r="W338" s="8">
        <f>IF($D338='[2]Beam '!W$44,$P338*'[2]Beam '!W$45,0)</f>
        <v>0</v>
      </c>
      <c r="X338" s="8">
        <f t="shared" si="68"/>
        <v>10.365947428571429</v>
      </c>
      <c r="Y338" s="14"/>
      <c r="Z338" s="8"/>
      <c r="AA338" s="8"/>
      <c r="AB338" s="8"/>
      <c r="AC338" s="8"/>
      <c r="AD338" s="8"/>
      <c r="AE338" s="8"/>
    </row>
    <row r="339" spans="1:32" s="10" customFormat="1" ht="21" customHeight="1" x14ac:dyDescent="0.25">
      <c r="A339" s="14"/>
      <c r="B339" s="8" t="s">
        <v>2</v>
      </c>
      <c r="C339" s="13" t="s">
        <v>15</v>
      </c>
      <c r="D339" s="14">
        <f>D337</f>
        <v>8</v>
      </c>
      <c r="E339" s="14">
        <f>+E337</f>
        <v>0.1</v>
      </c>
      <c r="F339" s="8">
        <f>ROUND(IF(E332/3&gt;(2*G332),(E332/3)/E339,(2*G332)/E339),0)*2+1</f>
        <v>33</v>
      </c>
      <c r="H339" s="14"/>
      <c r="I339" s="14"/>
      <c r="J339" s="14"/>
      <c r="K339" s="14"/>
      <c r="L339" s="14"/>
      <c r="M339" s="14"/>
      <c r="N339" s="14"/>
      <c r="O339" s="8">
        <f>(2*(((F332-'[2]Beam '!$D$11*2)/(F333-1))+(G332-'[2]Beam '!$D$11*2))+(2*10*D339/1000))*D332</f>
        <v>1.5</v>
      </c>
      <c r="P339" s="8">
        <f t="shared" si="67"/>
        <v>49.5</v>
      </c>
      <c r="Q339" s="8">
        <f>IF($D339='[2]Beam '!Q$44,$P339*'[2]Beam '!Q$45,0)</f>
        <v>19.539771428571431</v>
      </c>
      <c r="R339" s="8">
        <f>IF($D339='[2]Beam '!R$44,$P339*'[2]Beam '!R$45,0)</f>
        <v>0</v>
      </c>
      <c r="S339" s="8">
        <f>IF($D339='[2]Beam '!S$44,$P339*'[2]Beam '!S$45,0)</f>
        <v>0</v>
      </c>
      <c r="T339" s="8">
        <f>IF($D339='[2]Beam '!T$44,$P339*'[2]Beam '!T$45,0)</f>
        <v>0</v>
      </c>
      <c r="U339" s="8">
        <f>IF($D339='[2]Beam '!U$44,$P339*'[2]Beam '!U$45,0)</f>
        <v>0</v>
      </c>
      <c r="V339" s="8">
        <f>IF($D339='[2]Beam '!V$44,$P339*'[2]Beam '!V$45,0)</f>
        <v>0</v>
      </c>
      <c r="W339" s="8">
        <f>IF($D339='[2]Beam '!W$44,$P339*'[2]Beam '!W$45,0)</f>
        <v>0</v>
      </c>
      <c r="X339" s="8">
        <f t="shared" si="68"/>
        <v>19.539771428571431</v>
      </c>
      <c r="Y339" s="14"/>
      <c r="Z339" s="8"/>
      <c r="AA339" s="8"/>
      <c r="AB339" s="8"/>
      <c r="AC339" s="8"/>
      <c r="AD339" s="8"/>
      <c r="AE339" s="8"/>
      <c r="AF339" s="8"/>
    </row>
    <row r="340" spans="1:32" s="10" customFormat="1" ht="20.100000000000001" customHeight="1" x14ac:dyDescent="0.25">
      <c r="A340" s="14"/>
      <c r="B340" s="8" t="s">
        <v>2</v>
      </c>
      <c r="C340" s="13" t="s">
        <v>16</v>
      </c>
      <c r="D340" s="14">
        <f>D338</f>
        <v>8</v>
      </c>
      <c r="E340" s="14">
        <f>+E338</f>
        <v>0.125</v>
      </c>
      <c r="F340" s="14">
        <f>ROUND((E332-(IF(E332/3&gt;2*G332,E332/3*2,G332*2*2)))/E340,0)</f>
        <v>13</v>
      </c>
      <c r="H340" s="14"/>
      <c r="I340" s="14"/>
      <c r="J340" s="14"/>
      <c r="K340" s="14"/>
      <c r="L340" s="14"/>
      <c r="M340" s="14"/>
      <c r="N340" s="14"/>
      <c r="O340" s="8">
        <f>(2*(((F332-'[2]Beam '!$D$11*2)/(F333-1))+(G332-'[2]Beam '!$D$11*2))+(2*10*D340/1000))*D332</f>
        <v>1.5</v>
      </c>
      <c r="P340" s="8">
        <f t="shared" si="67"/>
        <v>19.5</v>
      </c>
      <c r="Q340" s="8">
        <f>IF($D340='[2]Beam '!Q$44,$P340*'[2]Beam '!Q$45,0)</f>
        <v>7.6974857142857145</v>
      </c>
      <c r="R340" s="8">
        <f>IF($D340='[2]Beam '!R$44,$P340*'[2]Beam '!R$45,0)</f>
        <v>0</v>
      </c>
      <c r="S340" s="8">
        <f>IF($D340='[2]Beam '!S$44,$P340*'[2]Beam '!S$45,0)</f>
        <v>0</v>
      </c>
      <c r="T340" s="8">
        <f>IF($D340='[2]Beam '!T$44,$P340*'[2]Beam '!T$45,0)</f>
        <v>0</v>
      </c>
      <c r="U340" s="8">
        <f>IF($D340='[2]Beam '!U$44,$P340*'[2]Beam '!U$45,0)</f>
        <v>0</v>
      </c>
      <c r="V340" s="8">
        <f>IF($D340='[2]Beam '!V$44,$P340*'[2]Beam '!V$45,0)</f>
        <v>0</v>
      </c>
      <c r="W340" s="8">
        <f>IF($D340='[2]Beam '!W$44,$P340*'[2]Beam '!W$45,0)</f>
        <v>0</v>
      </c>
      <c r="X340" s="8">
        <f t="shared" si="68"/>
        <v>7.6974857142857145</v>
      </c>
      <c r="Y340" s="14"/>
      <c r="Z340" s="8"/>
      <c r="AA340" s="8"/>
      <c r="AB340" s="8"/>
      <c r="AC340" s="8"/>
      <c r="AD340" s="8"/>
      <c r="AE340" s="8"/>
    </row>
    <row r="341" spans="1:32" s="10" customFormat="1" ht="20.100000000000001" customHeight="1" x14ac:dyDescent="0.25">
      <c r="A341" s="7"/>
      <c r="B341" s="8" t="s">
        <v>2</v>
      </c>
      <c r="C341" s="13" t="s">
        <v>10</v>
      </c>
      <c r="D341" s="8">
        <f>+'[2]Beam '!$D$15</f>
        <v>25</v>
      </c>
      <c r="E341" s="8">
        <f>+'[2]Beam '!$E$15</f>
        <v>1</v>
      </c>
      <c r="F341" s="8">
        <f>ROUNDUP((1.35)/E341,0)</f>
        <v>2</v>
      </c>
      <c r="G341" s="9"/>
      <c r="H341" s="9"/>
      <c r="I341" s="8"/>
      <c r="J341" s="8"/>
      <c r="K341" s="8"/>
      <c r="L341" s="8"/>
      <c r="M341" s="8"/>
      <c r="N341" s="8"/>
      <c r="O341" s="8">
        <f>F332-'[2]Beam '!$F$15</f>
        <v>0.39</v>
      </c>
      <c r="P341" s="8">
        <f t="shared" si="67"/>
        <v>0.78</v>
      </c>
      <c r="Q341" s="8">
        <f>IF($D341='[2]Beam '!Q$44,$P341*'[2]Beam '!Q$45,0)</f>
        <v>0</v>
      </c>
      <c r="R341" s="8">
        <f>IF($D341='[2]Beam '!R$44,$P341*'[2]Beam '!R$45,0)</f>
        <v>0</v>
      </c>
      <c r="S341" s="8">
        <f>IF($D341='[2]Beam '!S$44,$P341*'[2]Beam '!S$45,0)</f>
        <v>0</v>
      </c>
      <c r="T341" s="8">
        <f>IF($D341='[2]Beam '!T$44,$P341*'[2]Beam '!T$45,0)</f>
        <v>0</v>
      </c>
      <c r="U341" s="8">
        <f>IF($D341='[2]Beam '!U$44,$P341*'[2]Beam '!U$45,0)</f>
        <v>0</v>
      </c>
      <c r="V341" s="8">
        <f>IF($D341='[2]Beam '!V$44,$P341*'[2]Beam '!V$45,0)</f>
        <v>3.0068303571428578</v>
      </c>
      <c r="W341" s="8">
        <f>IF($D341='[2]Beam '!W$44,$P341*'[2]Beam '!W$45,0)</f>
        <v>0</v>
      </c>
      <c r="X341" s="8">
        <f t="shared" si="68"/>
        <v>3.0068303571428578</v>
      </c>
      <c r="Y341" s="8"/>
      <c r="Z341" s="8"/>
      <c r="AA341" s="8"/>
      <c r="AB341" s="8"/>
      <c r="AC341" s="8"/>
      <c r="AD341" s="8"/>
      <c r="AE341" s="8"/>
    </row>
    <row r="342" spans="1:32" s="10" customFormat="1" ht="20.100000000000001" customHeight="1" x14ac:dyDescent="0.25">
      <c r="A342" s="8">
        <v>1</v>
      </c>
      <c r="B342" s="8" t="s">
        <v>2</v>
      </c>
      <c r="C342" s="11" t="s">
        <v>47</v>
      </c>
      <c r="D342" s="11">
        <v>1</v>
      </c>
      <c r="E342" s="11">
        <v>1.5</v>
      </c>
      <c r="F342" s="11">
        <v>0.4</v>
      </c>
      <c r="G342" s="11">
        <v>1.1000000000000001</v>
      </c>
      <c r="H342" s="8">
        <f>G342-0.2</f>
        <v>0.90000000000000013</v>
      </c>
      <c r="I342" s="8">
        <f>E342*F342*G342*D342</f>
        <v>0.66000000000000014</v>
      </c>
      <c r="J342" s="8">
        <f>(2*(E342)*H342*D342)+(E342*F342)</f>
        <v>3.3000000000000003</v>
      </c>
      <c r="K342" s="12">
        <f>IF(E342=0.3,J342,0)</f>
        <v>0</v>
      </c>
      <c r="L342" s="12">
        <f>IF(AND(E342&gt;0.3,E342&lt;=0.75),J342,0)</f>
        <v>0</v>
      </c>
      <c r="M342" s="12">
        <f>IF(AND(E342&gt;0.75,E342&lt;=1.2),J342,0)</f>
        <v>0</v>
      </c>
      <c r="N342" s="12">
        <f>IF(E342&gt;1.2,J342,0)</f>
        <v>3.3000000000000003</v>
      </c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>
        <f>SUM(X343:X347)/I342</f>
        <v>318.80539619047613</v>
      </c>
      <c r="Z342" s="8"/>
      <c r="AA342" s="8"/>
      <c r="AB342" s="8"/>
      <c r="AC342" s="8"/>
      <c r="AD342" s="8"/>
      <c r="AE342" s="8"/>
    </row>
    <row r="343" spans="1:32" s="10" customFormat="1" ht="20.100000000000001" customHeight="1" x14ac:dyDescent="0.25">
      <c r="A343" s="7"/>
      <c r="B343" s="8" t="s">
        <v>2</v>
      </c>
      <c r="C343" s="13" t="s">
        <v>4</v>
      </c>
      <c r="D343" s="8">
        <v>25</v>
      </c>
      <c r="E343" s="8"/>
      <c r="F343" s="8">
        <v>4</v>
      </c>
      <c r="G343" s="9">
        <f>VLOOKUP(D343,'[2]Beam '!$C$20:$H$26,3,0)</f>
        <v>1</v>
      </c>
      <c r="H343" s="9"/>
      <c r="I343" s="8"/>
      <c r="J343" s="8"/>
      <c r="K343" s="8"/>
      <c r="L343" s="8"/>
      <c r="M343" s="8"/>
      <c r="N343" s="8"/>
      <c r="O343" s="8">
        <f>(E342+2*(G343+(12*D343/1000))*D342)</f>
        <v>4.0999999999999996</v>
      </c>
      <c r="P343" s="8">
        <f t="shared" ref="P343:P348" si="69">O343*F343</f>
        <v>16.399999999999999</v>
      </c>
      <c r="Q343" s="8">
        <f>IF($D343='[2]Beam '!Q$44,$P343*'[2]Beam '!Q$45,0)</f>
        <v>0</v>
      </c>
      <c r="R343" s="8">
        <f>IF($D343='[2]Beam '!R$44,$P343*'[2]Beam '!R$45,0)</f>
        <v>0</v>
      </c>
      <c r="S343" s="8">
        <f>IF($D343='[2]Beam '!S$44,$P343*'[2]Beam '!S$45,0)</f>
        <v>0</v>
      </c>
      <c r="T343" s="8">
        <f>IF($D343='[2]Beam '!T$44,$P343*'[2]Beam '!T$45,0)</f>
        <v>0</v>
      </c>
      <c r="U343" s="8">
        <f>IF($D343='[2]Beam '!U$44,$P343*'[2]Beam '!U$45,0)</f>
        <v>0</v>
      </c>
      <c r="V343" s="8">
        <f>IF($D343='[2]Beam '!V$44,$P343*'[2]Beam '!V$45,0)</f>
        <v>63.220535714285717</v>
      </c>
      <c r="W343" s="8">
        <f>IF($D343='[2]Beam '!W$44,$P343*'[2]Beam '!W$45,0)</f>
        <v>0</v>
      </c>
      <c r="X343" s="8">
        <f t="shared" ref="X343:X348" si="70">SUM(Q343:W343)</f>
        <v>63.220535714285717</v>
      </c>
      <c r="Y343" s="8"/>
      <c r="Z343" s="8"/>
      <c r="AA343" s="8"/>
      <c r="AB343" s="8"/>
      <c r="AC343" s="8"/>
      <c r="AD343" s="8"/>
      <c r="AE343" s="8"/>
    </row>
    <row r="344" spans="1:32" s="14" customFormat="1" ht="20.100000000000001" customHeight="1" x14ac:dyDescent="0.3">
      <c r="A344" s="7"/>
      <c r="B344" s="8" t="s">
        <v>2</v>
      </c>
      <c r="C344" s="13" t="s">
        <v>5</v>
      </c>
      <c r="D344" s="8">
        <v>16</v>
      </c>
      <c r="E344" s="8"/>
      <c r="F344" s="8">
        <v>2</v>
      </c>
      <c r="G344" s="9">
        <f>VLOOKUP(D344,'[2]Beam '!$C$20:$H$26,3,0)</f>
        <v>0.625</v>
      </c>
      <c r="H344" s="9"/>
      <c r="I344" s="8"/>
      <c r="J344" s="8"/>
      <c r="K344" s="8"/>
      <c r="L344" s="8"/>
      <c r="M344" s="8"/>
      <c r="N344" s="8"/>
      <c r="O344" s="8">
        <f>(E342+2*(G344+(12*D344/1000))*D342)</f>
        <v>3.1339999999999999</v>
      </c>
      <c r="P344" s="8">
        <f t="shared" si="69"/>
        <v>6.2679999999999998</v>
      </c>
      <c r="Q344" s="8">
        <f>IF($D344='[2]Beam '!Q$44,$P344*'[2]Beam '!Q$45,0)</f>
        <v>0</v>
      </c>
      <c r="R344" s="8">
        <f>IF($D344='[2]Beam '!R$44,$P344*'[2]Beam '!R$45,0)</f>
        <v>0</v>
      </c>
      <c r="S344" s="8">
        <f>IF($D344='[2]Beam '!S$44,$P344*'[2]Beam '!S$45,0)</f>
        <v>0</v>
      </c>
      <c r="T344" s="8">
        <f>IF($D344='[2]Beam '!T$44,$P344*'[2]Beam '!T$45,0)</f>
        <v>9.8969929142857147</v>
      </c>
      <c r="U344" s="8">
        <f>IF($D344='[2]Beam '!U$44,$P344*'[2]Beam '!U$45,0)</f>
        <v>0</v>
      </c>
      <c r="V344" s="8">
        <f>IF($D344='[2]Beam '!V$44,$P344*'[2]Beam '!V$45,0)</f>
        <v>0</v>
      </c>
      <c r="W344" s="8">
        <f>IF($D344='[2]Beam '!W$44,$P344*'[2]Beam '!W$45,0)</f>
        <v>0</v>
      </c>
      <c r="X344" s="8">
        <f t="shared" si="70"/>
        <v>9.8969929142857147</v>
      </c>
      <c r="Y344" s="8"/>
    </row>
    <row r="345" spans="1:32" s="10" customFormat="1" ht="20.100000000000001" customHeight="1" x14ac:dyDescent="0.25">
      <c r="A345" s="7"/>
      <c r="B345" s="8" t="s">
        <v>2</v>
      </c>
      <c r="C345" s="13" t="s">
        <v>6</v>
      </c>
      <c r="D345" s="8">
        <v>25</v>
      </c>
      <c r="E345" s="8"/>
      <c r="F345" s="8">
        <v>4</v>
      </c>
      <c r="G345" s="9">
        <f>VLOOKUP(D345,'[2]Beam '!$C$20:$H$26,3,0)</f>
        <v>1</v>
      </c>
      <c r="H345" s="8"/>
      <c r="I345" s="8"/>
      <c r="J345" s="8"/>
      <c r="K345" s="8"/>
      <c r="L345" s="8"/>
      <c r="M345" s="8"/>
      <c r="N345" s="8"/>
      <c r="O345" s="8">
        <f>(E342+2*(G345+(12*D345/1000))*D342)</f>
        <v>4.0999999999999996</v>
      </c>
      <c r="P345" s="8">
        <f t="shared" si="69"/>
        <v>16.399999999999999</v>
      </c>
      <c r="Q345" s="8">
        <f>IF($D345='[2]Beam '!Q$44,$P345*'[2]Beam '!Q$45,0)</f>
        <v>0</v>
      </c>
      <c r="R345" s="8">
        <f>IF($D345='[2]Beam '!R$44,$P345*'[2]Beam '!R$45,0)</f>
        <v>0</v>
      </c>
      <c r="S345" s="8">
        <f>IF($D345='[2]Beam '!S$44,$P345*'[2]Beam '!S$45,0)</f>
        <v>0</v>
      </c>
      <c r="T345" s="8">
        <f>IF($D345='[2]Beam '!T$44,$P345*'[2]Beam '!T$45,0)</f>
        <v>0</v>
      </c>
      <c r="U345" s="8">
        <f>IF($D345='[2]Beam '!U$44,$P345*'[2]Beam '!U$45,0)</f>
        <v>0</v>
      </c>
      <c r="V345" s="8">
        <f>IF($D345='[2]Beam '!V$44,$P345*'[2]Beam '!V$45,0)</f>
        <v>63.220535714285717</v>
      </c>
      <c r="W345" s="8">
        <f>IF($D345='[2]Beam '!W$44,$P345*'[2]Beam '!W$45,0)</f>
        <v>0</v>
      </c>
      <c r="X345" s="8">
        <f t="shared" si="70"/>
        <v>63.220535714285717</v>
      </c>
      <c r="Y345" s="8"/>
      <c r="Z345" s="8"/>
      <c r="AA345" s="8"/>
      <c r="AB345" s="8"/>
      <c r="AC345" s="8"/>
      <c r="AD345" s="8"/>
      <c r="AE345" s="8"/>
    </row>
    <row r="346" spans="1:32" s="10" customFormat="1" ht="21" customHeight="1" x14ac:dyDescent="0.25">
      <c r="A346" s="7"/>
      <c r="B346" s="8" t="s">
        <v>2</v>
      </c>
      <c r="C346" s="13" t="s">
        <v>8</v>
      </c>
      <c r="D346" s="8">
        <v>12</v>
      </c>
      <c r="E346" s="8">
        <v>0.1</v>
      </c>
      <c r="F346" s="8">
        <f>ROUNDUP(E342/E346,0)</f>
        <v>15</v>
      </c>
      <c r="H346" s="8"/>
      <c r="I346" s="8"/>
      <c r="J346" s="8"/>
      <c r="K346" s="8"/>
      <c r="L346" s="8"/>
      <c r="M346" s="8"/>
      <c r="N346" s="8"/>
      <c r="O346" s="8">
        <f>(2*((G342-(2*'[2]Beam '!$D$11))+(F342-(2*'[2]Beam '!$D$11)))+(2*10*D346/1000))*D342</f>
        <v>3</v>
      </c>
      <c r="P346" s="8">
        <f t="shared" si="69"/>
        <v>45</v>
      </c>
      <c r="Q346" s="8">
        <f>IF($D346='[2]Beam '!Q$44,$P346*'[2]Beam '!Q$45,0)</f>
        <v>0</v>
      </c>
      <c r="R346" s="8">
        <f>IF($D346='[2]Beam '!R$44,$P346*'[2]Beam '!R$45,0)</f>
        <v>0</v>
      </c>
      <c r="S346" s="8">
        <f>IF($D346='[2]Beam '!S$44,$P346*'[2]Beam '!S$45,0)</f>
        <v>39.967714285714294</v>
      </c>
      <c r="T346" s="8">
        <f>IF($D346='[2]Beam '!T$44,$P346*'[2]Beam '!T$45,0)</f>
        <v>0</v>
      </c>
      <c r="U346" s="8">
        <f>IF($D346='[2]Beam '!U$44,$P346*'[2]Beam '!U$45,0)</f>
        <v>0</v>
      </c>
      <c r="V346" s="8">
        <f>IF($D346='[2]Beam '!V$44,$P346*'[2]Beam '!V$45,0)</f>
        <v>0</v>
      </c>
      <c r="W346" s="8">
        <f>IF($D346='[2]Beam '!W$44,$P346*'[2]Beam '!W$45,0)</f>
        <v>0</v>
      </c>
      <c r="X346" s="8">
        <f t="shared" si="70"/>
        <v>39.967714285714294</v>
      </c>
      <c r="Y346" s="8"/>
      <c r="Z346" s="8"/>
      <c r="AA346" s="8"/>
      <c r="AB346" s="8"/>
      <c r="AC346" s="8"/>
      <c r="AD346" s="8"/>
      <c r="AE346" s="8"/>
      <c r="AF346" s="8"/>
    </row>
    <row r="347" spans="1:32" s="10" customFormat="1" ht="20.100000000000001" customHeight="1" x14ac:dyDescent="0.25">
      <c r="A347" s="14"/>
      <c r="B347" s="8" t="s">
        <v>2</v>
      </c>
      <c r="C347" s="13" t="s">
        <v>9</v>
      </c>
      <c r="D347" s="8">
        <f>+D346</f>
        <v>12</v>
      </c>
      <c r="E347" s="14">
        <f>+E346</f>
        <v>0.1</v>
      </c>
      <c r="F347" s="8">
        <f>ROUNDUP(E342/E347,0)</f>
        <v>15</v>
      </c>
      <c r="H347" s="14"/>
      <c r="I347" s="14"/>
      <c r="J347" s="14"/>
      <c r="K347" s="14"/>
      <c r="L347" s="14"/>
      <c r="M347" s="14"/>
      <c r="N347" s="14"/>
      <c r="O347" s="8">
        <f>((((G342-(2*'[2]Beam '!$D$11))+(2*10*D347/1000))*D342))*2</f>
        <v>2.56</v>
      </c>
      <c r="P347" s="8">
        <f t="shared" si="69"/>
        <v>38.4</v>
      </c>
      <c r="Q347" s="8">
        <f>IF($D347='[2]Beam '!Q$44,$P347*'[2]Beam '!Q$45,0)</f>
        <v>0</v>
      </c>
      <c r="R347" s="8">
        <f>IF($D347='[2]Beam '!R$44,$P347*'[2]Beam '!R$45,0)</f>
        <v>0</v>
      </c>
      <c r="S347" s="8">
        <f>IF($D347='[2]Beam '!S$44,$P347*'[2]Beam '!S$45,0)</f>
        <v>34.105782857142863</v>
      </c>
      <c r="T347" s="8">
        <f>IF($D347='[2]Beam '!T$44,$P347*'[2]Beam '!T$45,0)</f>
        <v>0</v>
      </c>
      <c r="U347" s="8">
        <f>IF($D347='[2]Beam '!U$44,$P347*'[2]Beam '!U$45,0)</f>
        <v>0</v>
      </c>
      <c r="V347" s="8">
        <f>IF($D347='[2]Beam '!V$44,$P347*'[2]Beam '!V$45,0)</f>
        <v>0</v>
      </c>
      <c r="W347" s="8">
        <f>IF($D347='[2]Beam '!W$44,$P347*'[2]Beam '!W$45,0)</f>
        <v>0</v>
      </c>
      <c r="X347" s="8">
        <f t="shared" si="70"/>
        <v>34.105782857142863</v>
      </c>
      <c r="Y347" s="14"/>
      <c r="Z347" s="8"/>
      <c r="AA347" s="8"/>
      <c r="AB347" s="8"/>
      <c r="AC347" s="8"/>
      <c r="AD347" s="8"/>
      <c r="AE347" s="8"/>
    </row>
    <row r="348" spans="1:32" s="10" customFormat="1" ht="20.100000000000001" customHeight="1" x14ac:dyDescent="0.25">
      <c r="A348" s="7"/>
      <c r="B348" s="8" t="s">
        <v>2</v>
      </c>
      <c r="C348" s="13" t="s">
        <v>10</v>
      </c>
      <c r="D348" s="8">
        <f>+'[2]Beam '!$D$15</f>
        <v>25</v>
      </c>
      <c r="E348" s="8">
        <f>+'[2]Beam '!$E$15</f>
        <v>1</v>
      </c>
      <c r="F348" s="8">
        <f>ROUNDUP((E342)/E348,0)</f>
        <v>2</v>
      </c>
      <c r="G348" s="9"/>
      <c r="H348" s="9"/>
      <c r="I348" s="8"/>
      <c r="J348" s="8"/>
      <c r="K348" s="8"/>
      <c r="L348" s="8"/>
      <c r="M348" s="8"/>
      <c r="N348" s="8"/>
      <c r="O348" s="8">
        <f>F342-'[2]Beam '!$F$15</f>
        <v>0.34</v>
      </c>
      <c r="P348" s="8">
        <f t="shared" si="69"/>
        <v>0.68</v>
      </c>
      <c r="Q348" s="8">
        <f>IF($D348='[2]Beam '!Q$44,$P348*'[2]Beam '!Q$45,0)</f>
        <v>0</v>
      </c>
      <c r="R348" s="8">
        <f>IF($D348='[2]Beam '!R$44,$P348*'[2]Beam '!R$45,0)</f>
        <v>0</v>
      </c>
      <c r="S348" s="8">
        <f>IF($D348='[2]Beam '!S$44,$P348*'[2]Beam '!S$45,0)</f>
        <v>0</v>
      </c>
      <c r="T348" s="8">
        <f>IF($D348='[2]Beam '!T$44,$P348*'[2]Beam '!T$45,0)</f>
        <v>0</v>
      </c>
      <c r="U348" s="8">
        <f>IF($D348='[2]Beam '!U$44,$P348*'[2]Beam '!U$45,0)</f>
        <v>0</v>
      </c>
      <c r="V348" s="8">
        <f>IF($D348='[2]Beam '!V$44,$P348*'[2]Beam '!V$45,0)</f>
        <v>2.6213392857142863</v>
      </c>
      <c r="W348" s="8">
        <f>IF($D348='[2]Beam '!W$44,$P348*'[2]Beam '!W$45,0)</f>
        <v>0</v>
      </c>
      <c r="X348" s="8">
        <f t="shared" si="70"/>
        <v>2.6213392857142863</v>
      </c>
      <c r="Y348" s="8"/>
      <c r="Z348" s="8"/>
      <c r="AA348" s="8"/>
      <c r="AB348" s="8"/>
      <c r="AC348" s="8"/>
      <c r="AD348" s="8"/>
      <c r="AE348" s="8"/>
    </row>
    <row r="349" spans="1:32" s="10" customFormat="1" ht="20.100000000000001" customHeight="1" x14ac:dyDescent="0.25">
      <c r="A349" s="8">
        <v>1</v>
      </c>
      <c r="B349" s="8" t="s">
        <v>2</v>
      </c>
      <c r="C349" s="11" t="s">
        <v>48</v>
      </c>
      <c r="D349" s="11">
        <v>1</v>
      </c>
      <c r="E349" s="11">
        <v>1.5</v>
      </c>
      <c r="F349" s="11">
        <v>0.45</v>
      </c>
      <c r="G349" s="11">
        <v>1.1000000000000001</v>
      </c>
      <c r="H349" s="8">
        <f>G349-0.2</f>
        <v>0.90000000000000013</v>
      </c>
      <c r="I349" s="8">
        <f>E349*F349*G349*D349</f>
        <v>0.74250000000000016</v>
      </c>
      <c r="J349" s="8">
        <f>(2*(E349)*H349*D349)+(E349*F349)</f>
        <v>3.375</v>
      </c>
      <c r="K349" s="12">
        <f>IF(E349=0.3,J349,0)</f>
        <v>0</v>
      </c>
      <c r="L349" s="12">
        <f>IF(AND(E349&gt;0.3,E349&lt;=0.75),J349,0)</f>
        <v>0</v>
      </c>
      <c r="M349" s="12">
        <f>IF(AND(E349&gt;0.75,E349&lt;=1.2),J349,0)</f>
        <v>0</v>
      </c>
      <c r="N349" s="12">
        <f>IF(E349&gt;1.2,J349,0)</f>
        <v>3.375</v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>
        <f>SUM(X350:X354)/I349</f>
        <v>285.17686010582003</v>
      </c>
      <c r="Z349" s="8"/>
      <c r="AA349" s="8"/>
      <c r="AB349" s="8"/>
      <c r="AC349" s="8"/>
      <c r="AD349" s="8"/>
      <c r="AE349" s="8"/>
    </row>
    <row r="350" spans="1:32" s="10" customFormat="1" ht="20.100000000000001" customHeight="1" x14ac:dyDescent="0.25">
      <c r="A350" s="7"/>
      <c r="B350" s="8" t="s">
        <v>2</v>
      </c>
      <c r="C350" s="13" t="s">
        <v>4</v>
      </c>
      <c r="D350" s="8">
        <v>25</v>
      </c>
      <c r="E350" s="8"/>
      <c r="F350" s="8">
        <v>4</v>
      </c>
      <c r="G350" s="9">
        <f>VLOOKUP(D350,'[2]Beam '!$C$20:$H$26,3,0)</f>
        <v>1</v>
      </c>
      <c r="H350" s="9"/>
      <c r="I350" s="8"/>
      <c r="J350" s="8"/>
      <c r="K350" s="8"/>
      <c r="L350" s="8"/>
      <c r="M350" s="8"/>
      <c r="N350" s="8"/>
      <c r="O350" s="8">
        <f>(E349+2*(G350+(12*D350/1000))*D349)</f>
        <v>4.0999999999999996</v>
      </c>
      <c r="P350" s="8">
        <f t="shared" ref="P350:P355" si="71">O350*F350</f>
        <v>16.399999999999999</v>
      </c>
      <c r="Q350" s="8">
        <f>IF($D350='[2]Beam '!Q$44,$P350*'[2]Beam '!Q$45,0)</f>
        <v>0</v>
      </c>
      <c r="R350" s="8">
        <f>IF($D350='[2]Beam '!R$44,$P350*'[2]Beam '!R$45,0)</f>
        <v>0</v>
      </c>
      <c r="S350" s="8">
        <f>IF($D350='[2]Beam '!S$44,$P350*'[2]Beam '!S$45,0)</f>
        <v>0</v>
      </c>
      <c r="T350" s="8">
        <f>IF($D350='[2]Beam '!T$44,$P350*'[2]Beam '!T$45,0)</f>
        <v>0</v>
      </c>
      <c r="U350" s="8">
        <f>IF($D350='[2]Beam '!U$44,$P350*'[2]Beam '!U$45,0)</f>
        <v>0</v>
      </c>
      <c r="V350" s="8">
        <f>IF($D350='[2]Beam '!V$44,$P350*'[2]Beam '!V$45,0)</f>
        <v>63.220535714285717</v>
      </c>
      <c r="W350" s="8">
        <f>IF($D350='[2]Beam '!W$44,$P350*'[2]Beam '!W$45,0)</f>
        <v>0</v>
      </c>
      <c r="X350" s="8">
        <f t="shared" ref="X350:X355" si="72">SUM(Q350:W350)</f>
        <v>63.220535714285717</v>
      </c>
      <c r="Y350" s="8"/>
      <c r="Z350" s="8"/>
      <c r="AA350" s="8"/>
      <c r="AB350" s="8"/>
      <c r="AC350" s="8"/>
      <c r="AD350" s="8"/>
      <c r="AE350" s="8"/>
    </row>
    <row r="351" spans="1:32" s="14" customFormat="1" ht="20.100000000000001" customHeight="1" x14ac:dyDescent="0.3">
      <c r="A351" s="7"/>
      <c r="B351" s="8" t="s">
        <v>2</v>
      </c>
      <c r="C351" s="13" t="s">
        <v>5</v>
      </c>
      <c r="D351" s="8">
        <v>16</v>
      </c>
      <c r="E351" s="8"/>
      <c r="F351" s="8">
        <v>2</v>
      </c>
      <c r="G351" s="9">
        <f>VLOOKUP(D351,'[2]Beam '!$C$20:$H$26,3,0)</f>
        <v>0.625</v>
      </c>
      <c r="H351" s="9"/>
      <c r="I351" s="8"/>
      <c r="J351" s="8"/>
      <c r="K351" s="8"/>
      <c r="L351" s="8"/>
      <c r="M351" s="8"/>
      <c r="N351" s="8"/>
      <c r="O351" s="8">
        <f>(E349+2*(G351+(12*D351/1000))*D349)</f>
        <v>3.1339999999999999</v>
      </c>
      <c r="P351" s="8">
        <f t="shared" si="71"/>
        <v>6.2679999999999998</v>
      </c>
      <c r="Q351" s="8">
        <f>IF($D351='[2]Beam '!Q$44,$P351*'[2]Beam '!Q$45,0)</f>
        <v>0</v>
      </c>
      <c r="R351" s="8">
        <f>IF($D351='[2]Beam '!R$44,$P351*'[2]Beam '!R$45,0)</f>
        <v>0</v>
      </c>
      <c r="S351" s="8">
        <f>IF($D351='[2]Beam '!S$44,$P351*'[2]Beam '!S$45,0)</f>
        <v>0</v>
      </c>
      <c r="T351" s="8">
        <f>IF($D351='[2]Beam '!T$44,$P351*'[2]Beam '!T$45,0)</f>
        <v>9.8969929142857147</v>
      </c>
      <c r="U351" s="8">
        <f>IF($D351='[2]Beam '!U$44,$P351*'[2]Beam '!U$45,0)</f>
        <v>0</v>
      </c>
      <c r="V351" s="8">
        <f>IF($D351='[2]Beam '!V$44,$P351*'[2]Beam '!V$45,0)</f>
        <v>0</v>
      </c>
      <c r="W351" s="8">
        <f>IF($D351='[2]Beam '!W$44,$P351*'[2]Beam '!W$45,0)</f>
        <v>0</v>
      </c>
      <c r="X351" s="8">
        <f t="shared" si="72"/>
        <v>9.8969929142857147</v>
      </c>
      <c r="Y351" s="8"/>
    </row>
    <row r="352" spans="1:32" s="10" customFormat="1" ht="20.100000000000001" customHeight="1" x14ac:dyDescent="0.25">
      <c r="A352" s="7"/>
      <c r="B352" s="8" t="s">
        <v>2</v>
      </c>
      <c r="C352" s="13" t="s">
        <v>6</v>
      </c>
      <c r="D352" s="8">
        <v>25</v>
      </c>
      <c r="E352" s="8"/>
      <c r="F352" s="8">
        <v>4</v>
      </c>
      <c r="G352" s="9">
        <f>VLOOKUP(D352,'[2]Beam '!$C$20:$H$26,3,0)</f>
        <v>1</v>
      </c>
      <c r="H352" s="8"/>
      <c r="I352" s="8"/>
      <c r="J352" s="8"/>
      <c r="K352" s="8"/>
      <c r="L352" s="8"/>
      <c r="M352" s="8"/>
      <c r="N352" s="8"/>
      <c r="O352" s="8">
        <f>(E349+2*(G352+(12*D352/1000))*D349)</f>
        <v>4.0999999999999996</v>
      </c>
      <c r="P352" s="8">
        <f t="shared" si="71"/>
        <v>16.399999999999999</v>
      </c>
      <c r="Q352" s="8">
        <f>IF($D352='[2]Beam '!Q$44,$P352*'[2]Beam '!Q$45,0)</f>
        <v>0</v>
      </c>
      <c r="R352" s="8">
        <f>IF($D352='[2]Beam '!R$44,$P352*'[2]Beam '!R$45,0)</f>
        <v>0</v>
      </c>
      <c r="S352" s="8">
        <f>IF($D352='[2]Beam '!S$44,$P352*'[2]Beam '!S$45,0)</f>
        <v>0</v>
      </c>
      <c r="T352" s="8">
        <f>IF($D352='[2]Beam '!T$44,$P352*'[2]Beam '!T$45,0)</f>
        <v>0</v>
      </c>
      <c r="U352" s="8">
        <f>IF($D352='[2]Beam '!U$44,$P352*'[2]Beam '!U$45,0)</f>
        <v>0</v>
      </c>
      <c r="V352" s="8">
        <f>IF($D352='[2]Beam '!V$44,$P352*'[2]Beam '!V$45,0)</f>
        <v>63.220535714285717</v>
      </c>
      <c r="W352" s="8">
        <f>IF($D352='[2]Beam '!W$44,$P352*'[2]Beam '!W$45,0)</f>
        <v>0</v>
      </c>
      <c r="X352" s="8">
        <f t="shared" si="72"/>
        <v>63.220535714285717</v>
      </c>
      <c r="Y352" s="8"/>
      <c r="Z352" s="8"/>
      <c r="AA352" s="8"/>
      <c r="AB352" s="8"/>
      <c r="AC352" s="8"/>
      <c r="AD352" s="8"/>
      <c r="AE352" s="8"/>
    </row>
    <row r="353" spans="1:32" s="10" customFormat="1" ht="21" customHeight="1" x14ac:dyDescent="0.25">
      <c r="A353" s="7"/>
      <c r="B353" s="8" t="s">
        <v>2</v>
      </c>
      <c r="C353" s="13" t="s">
        <v>8</v>
      </c>
      <c r="D353" s="8">
        <v>12</v>
      </c>
      <c r="E353" s="8">
        <v>0.1</v>
      </c>
      <c r="F353" s="8">
        <f>ROUNDUP(E349/E353,0)</f>
        <v>15</v>
      </c>
      <c r="H353" s="8"/>
      <c r="I353" s="8"/>
      <c r="J353" s="8"/>
      <c r="K353" s="8"/>
      <c r="L353" s="8"/>
      <c r="M353" s="8"/>
      <c r="N353" s="8"/>
      <c r="O353" s="8">
        <f>(2*((G349-(2*'[2]Beam '!$D$11))+(F349-(2*'[2]Beam '!$D$11)))+(2*10*D353/1000))*D349</f>
        <v>3.1000000000000005</v>
      </c>
      <c r="P353" s="8">
        <f t="shared" si="71"/>
        <v>46.500000000000007</v>
      </c>
      <c r="Q353" s="8">
        <f>IF($D353='[2]Beam '!Q$44,$P353*'[2]Beam '!Q$45,0)</f>
        <v>0</v>
      </c>
      <c r="R353" s="8">
        <f>IF($D353='[2]Beam '!R$44,$P353*'[2]Beam '!R$45,0)</f>
        <v>0</v>
      </c>
      <c r="S353" s="8">
        <f>IF($D353='[2]Beam '!S$44,$P353*'[2]Beam '!S$45,0)</f>
        <v>41.299971428571439</v>
      </c>
      <c r="T353" s="8">
        <f>IF($D353='[2]Beam '!T$44,$P353*'[2]Beam '!T$45,0)</f>
        <v>0</v>
      </c>
      <c r="U353" s="8">
        <f>IF($D353='[2]Beam '!U$44,$P353*'[2]Beam '!U$45,0)</f>
        <v>0</v>
      </c>
      <c r="V353" s="8">
        <f>IF($D353='[2]Beam '!V$44,$P353*'[2]Beam '!V$45,0)</f>
        <v>0</v>
      </c>
      <c r="W353" s="8">
        <f>IF($D353='[2]Beam '!W$44,$P353*'[2]Beam '!W$45,0)</f>
        <v>0</v>
      </c>
      <c r="X353" s="8">
        <f t="shared" si="72"/>
        <v>41.299971428571439</v>
      </c>
      <c r="Y353" s="8"/>
      <c r="Z353" s="8"/>
      <c r="AA353" s="8"/>
      <c r="AB353" s="8"/>
      <c r="AC353" s="8"/>
      <c r="AD353" s="8"/>
      <c r="AE353" s="8"/>
      <c r="AF353" s="8"/>
    </row>
    <row r="354" spans="1:32" s="10" customFormat="1" ht="20.100000000000001" customHeight="1" x14ac:dyDescent="0.25">
      <c r="A354" s="14"/>
      <c r="B354" s="8" t="s">
        <v>2</v>
      </c>
      <c r="C354" s="13" t="s">
        <v>9</v>
      </c>
      <c r="D354" s="8">
        <f>+D353</f>
        <v>12</v>
      </c>
      <c r="E354" s="14">
        <f>+E353</f>
        <v>0.1</v>
      </c>
      <c r="F354" s="8">
        <f>ROUNDUP(E349/E354,0)</f>
        <v>15</v>
      </c>
      <c r="H354" s="14"/>
      <c r="I354" s="14"/>
      <c r="J354" s="14"/>
      <c r="K354" s="14"/>
      <c r="L354" s="14"/>
      <c r="M354" s="14"/>
      <c r="N354" s="14"/>
      <c r="O354" s="8">
        <f>((((G349-(2*'[2]Beam '!$D$11))+(2*10*D354/1000))*D349))*2</f>
        <v>2.56</v>
      </c>
      <c r="P354" s="8">
        <f t="shared" si="71"/>
        <v>38.4</v>
      </c>
      <c r="Q354" s="8">
        <f>IF($D354='[2]Beam '!Q$44,$P354*'[2]Beam '!Q$45,0)</f>
        <v>0</v>
      </c>
      <c r="R354" s="8">
        <f>IF($D354='[2]Beam '!R$44,$P354*'[2]Beam '!R$45,0)</f>
        <v>0</v>
      </c>
      <c r="S354" s="8">
        <f>IF($D354='[2]Beam '!S$44,$P354*'[2]Beam '!S$45,0)</f>
        <v>34.105782857142863</v>
      </c>
      <c r="T354" s="8">
        <f>IF($D354='[2]Beam '!T$44,$P354*'[2]Beam '!T$45,0)</f>
        <v>0</v>
      </c>
      <c r="U354" s="8">
        <f>IF($D354='[2]Beam '!U$44,$P354*'[2]Beam '!U$45,0)</f>
        <v>0</v>
      </c>
      <c r="V354" s="8">
        <f>IF($D354='[2]Beam '!V$44,$P354*'[2]Beam '!V$45,0)</f>
        <v>0</v>
      </c>
      <c r="W354" s="8">
        <f>IF($D354='[2]Beam '!W$44,$P354*'[2]Beam '!W$45,0)</f>
        <v>0</v>
      </c>
      <c r="X354" s="8">
        <f t="shared" si="72"/>
        <v>34.105782857142863</v>
      </c>
      <c r="Y354" s="14"/>
      <c r="Z354" s="8"/>
      <c r="AA354" s="8"/>
      <c r="AB354" s="8"/>
      <c r="AC354" s="8"/>
      <c r="AD354" s="8"/>
      <c r="AE354" s="8"/>
    </row>
    <row r="355" spans="1:32" s="10" customFormat="1" ht="19.5" customHeight="1" x14ac:dyDescent="0.25">
      <c r="A355" s="7"/>
      <c r="B355" s="8" t="s">
        <v>2</v>
      </c>
      <c r="C355" s="13" t="s">
        <v>10</v>
      </c>
      <c r="D355" s="8">
        <f>+'[2]Beam '!$D$15</f>
        <v>25</v>
      </c>
      <c r="E355" s="8">
        <f>+'[2]Beam '!$E$15</f>
        <v>1</v>
      </c>
      <c r="F355" s="8">
        <f>ROUNDUP((E349)/E355,0)</f>
        <v>2</v>
      </c>
      <c r="G355" s="9"/>
      <c r="H355" s="9"/>
      <c r="I355" s="8"/>
      <c r="J355" s="8"/>
      <c r="K355" s="8"/>
      <c r="L355" s="8"/>
      <c r="M355" s="8"/>
      <c r="N355" s="8"/>
      <c r="O355" s="8">
        <f>F349-'[2]Beam '!$F$15</f>
        <v>0.39</v>
      </c>
      <c r="P355" s="8">
        <f t="shared" si="71"/>
        <v>0.78</v>
      </c>
      <c r="Q355" s="8">
        <f>IF($D355='[2]Beam '!Q$44,$P355*'[2]Beam '!Q$45,0)</f>
        <v>0</v>
      </c>
      <c r="R355" s="8">
        <f>IF($D355='[2]Beam '!R$44,$P355*'[2]Beam '!R$45,0)</f>
        <v>0</v>
      </c>
      <c r="S355" s="8">
        <f>IF($D355='[2]Beam '!S$44,$P355*'[2]Beam '!S$45,0)</f>
        <v>0</v>
      </c>
      <c r="T355" s="8">
        <f>IF($D355='[2]Beam '!T$44,$P355*'[2]Beam '!T$45,0)</f>
        <v>0</v>
      </c>
      <c r="U355" s="8">
        <f>IF($D355='[2]Beam '!U$44,$P355*'[2]Beam '!U$45,0)</f>
        <v>0</v>
      </c>
      <c r="V355" s="8">
        <f>IF($D355='[2]Beam '!V$44,$P355*'[2]Beam '!V$45,0)</f>
        <v>3.0068303571428578</v>
      </c>
      <c r="W355" s="8">
        <f>IF($D355='[2]Beam '!W$44,$P355*'[2]Beam '!W$45,0)</f>
        <v>0</v>
      </c>
      <c r="X355" s="8">
        <f t="shared" si="72"/>
        <v>3.0068303571428578</v>
      </c>
      <c r="Y355" s="8"/>
      <c r="Z355" s="8"/>
      <c r="AA355" s="8"/>
      <c r="AB355" s="8"/>
      <c r="AC355" s="8"/>
      <c r="AD355" s="8"/>
      <c r="AE355" s="8"/>
    </row>
    <row r="356" spans="1:32" s="10" customFormat="1" ht="19.5" customHeight="1" x14ac:dyDescent="0.25">
      <c r="A356" s="8">
        <v>1</v>
      </c>
      <c r="B356" s="8" t="s">
        <v>2</v>
      </c>
      <c r="C356" s="11" t="s">
        <v>49</v>
      </c>
      <c r="D356" s="11">
        <v>1</v>
      </c>
      <c r="E356" s="11">
        <v>6.2</v>
      </c>
      <c r="F356" s="11">
        <v>0.45</v>
      </c>
      <c r="G356" s="11">
        <v>0.5</v>
      </c>
      <c r="H356" s="8">
        <f>G356-0.2</f>
        <v>0.3</v>
      </c>
      <c r="I356" s="8">
        <f>E356*F356*G356*D356</f>
        <v>1.395</v>
      </c>
      <c r="J356" s="8">
        <f>(2*(E356)*H356*D356)+(E356*F356)</f>
        <v>6.51</v>
      </c>
      <c r="K356" s="12">
        <f>IF(E356=0.3,J356,0)</f>
        <v>0</v>
      </c>
      <c r="L356" s="12">
        <f>IF(AND(E356&gt;0.3,E356&lt;=0.75),J356,0)</f>
        <v>0</v>
      </c>
      <c r="M356" s="12">
        <f>IF(AND(E356&gt;0.75,E356&lt;=1.2),J356,0)</f>
        <v>0</v>
      </c>
      <c r="N356" s="12">
        <f>IF(E356&gt;1.2,J356,0)</f>
        <v>6.51</v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>
        <f>SUM(X357:X362)/I356</f>
        <v>177.66173378392219</v>
      </c>
      <c r="Z356" s="8"/>
      <c r="AA356" s="8"/>
      <c r="AB356" s="8"/>
      <c r="AC356" s="8"/>
      <c r="AD356" s="8"/>
      <c r="AE356" s="8"/>
    </row>
    <row r="357" spans="1:32" s="10" customFormat="1" ht="20.100000000000001" customHeight="1" x14ac:dyDescent="0.25">
      <c r="A357" s="7"/>
      <c r="B357" s="8" t="s">
        <v>2</v>
      </c>
      <c r="C357" s="13" t="s">
        <v>4</v>
      </c>
      <c r="D357" s="8">
        <v>20</v>
      </c>
      <c r="E357" s="8"/>
      <c r="F357" s="8">
        <v>4</v>
      </c>
      <c r="G357" s="9">
        <f>VLOOKUP(D357,'[2]Beam '!$C$20:$H$26,3,0)</f>
        <v>0.8</v>
      </c>
      <c r="H357" s="9"/>
      <c r="I357" s="8"/>
      <c r="J357" s="8"/>
      <c r="K357" s="8"/>
      <c r="L357" s="8"/>
      <c r="M357" s="8"/>
      <c r="N357" s="8"/>
      <c r="O357" s="8">
        <f>(E356+2*(G357+(12*D357/1000))*D356)</f>
        <v>8.2800000000000011</v>
      </c>
      <c r="P357" s="8">
        <f t="shared" ref="P357:P363" si="73">O357*F357</f>
        <v>33.120000000000005</v>
      </c>
      <c r="Q357" s="8">
        <f>IF($D357='[2]Beam '!Q$44,$P357*'[2]Beam '!Q$45,0)</f>
        <v>0</v>
      </c>
      <c r="R357" s="8">
        <f>IF($D357='[2]Beam '!R$44,$P357*'[2]Beam '!R$45,0)</f>
        <v>0</v>
      </c>
      <c r="S357" s="8">
        <f>IF($D357='[2]Beam '!S$44,$P357*'[2]Beam '!S$45,0)</f>
        <v>0</v>
      </c>
      <c r="T357" s="8">
        <f>IF($D357='[2]Beam '!T$44,$P357*'[2]Beam '!T$45,0)</f>
        <v>0</v>
      </c>
      <c r="U357" s="8">
        <f>IF($D357='[2]Beam '!U$44,$P357*'[2]Beam '!U$45,0)</f>
        <v>81.711771428571438</v>
      </c>
      <c r="V357" s="8">
        <f>IF($D357='[2]Beam '!V$44,$P357*'[2]Beam '!V$45,0)</f>
        <v>0</v>
      </c>
      <c r="W357" s="8">
        <f>IF($D357='[2]Beam '!W$44,$P357*'[2]Beam '!W$45,0)</f>
        <v>0</v>
      </c>
      <c r="X357" s="8">
        <f t="shared" ref="X357:X363" si="74">SUM(Q357:W357)</f>
        <v>81.711771428571438</v>
      </c>
      <c r="Y357" s="8"/>
      <c r="Z357" s="8"/>
      <c r="AA357" s="8"/>
      <c r="AB357" s="8"/>
      <c r="AC357" s="8"/>
      <c r="AD357" s="8"/>
      <c r="AE357" s="8"/>
    </row>
    <row r="358" spans="1:32" s="10" customFormat="1" ht="20.100000000000001" customHeight="1" x14ac:dyDescent="0.25">
      <c r="A358" s="7"/>
      <c r="B358" s="8" t="s">
        <v>2</v>
      </c>
      <c r="C358" s="13" t="s">
        <v>5</v>
      </c>
      <c r="D358" s="8">
        <v>16</v>
      </c>
      <c r="E358" s="8"/>
      <c r="F358" s="8">
        <v>2</v>
      </c>
      <c r="G358" s="9">
        <f>VLOOKUP(D358,'[2]Beam '!$C$20:$H$26,3,0)</f>
        <v>0.625</v>
      </c>
      <c r="H358" s="9"/>
      <c r="I358" s="8"/>
      <c r="J358" s="8"/>
      <c r="K358" s="8"/>
      <c r="L358" s="8"/>
      <c r="M358" s="8"/>
      <c r="N358" s="8"/>
      <c r="O358" s="8">
        <f>(1.65+1*(G358+(12*D358/1000))*D356)</f>
        <v>2.4669999999999996</v>
      </c>
      <c r="P358" s="8">
        <f t="shared" si="73"/>
        <v>4.9339999999999993</v>
      </c>
      <c r="Q358" s="8">
        <f>IF($D358='[2]Beam '!Q$44,$P358*'[2]Beam '!Q$45,0)</f>
        <v>0</v>
      </c>
      <c r="R358" s="8">
        <f>IF($D358='[2]Beam '!R$44,$P358*'[2]Beam '!R$45,0)</f>
        <v>0</v>
      </c>
      <c r="S358" s="8">
        <f>IF($D358='[2]Beam '!S$44,$P358*'[2]Beam '!S$45,0)</f>
        <v>0</v>
      </c>
      <c r="T358" s="8">
        <f>IF($D358='[2]Beam '!T$44,$P358*'[2]Beam '!T$45,0)</f>
        <v>7.7906450285714284</v>
      </c>
      <c r="U358" s="8">
        <f>IF($D358='[2]Beam '!U$44,$P358*'[2]Beam '!U$45,0)</f>
        <v>0</v>
      </c>
      <c r="V358" s="8">
        <f>IF($D358='[2]Beam '!V$44,$P358*'[2]Beam '!V$45,0)</f>
        <v>0</v>
      </c>
      <c r="W358" s="8">
        <f>IF($D358='[2]Beam '!W$44,$P358*'[2]Beam '!W$45,0)</f>
        <v>0</v>
      </c>
      <c r="X358" s="8">
        <f t="shared" si="74"/>
        <v>7.7906450285714284</v>
      </c>
      <c r="Y358" s="8"/>
      <c r="Z358" s="8"/>
      <c r="AA358" s="8"/>
      <c r="AB358" s="8"/>
      <c r="AC358" s="8"/>
      <c r="AD358" s="8"/>
      <c r="AE358" s="8"/>
    </row>
    <row r="359" spans="1:32" s="14" customFormat="1" ht="20.100000000000001" customHeight="1" x14ac:dyDescent="0.3">
      <c r="A359" s="7"/>
      <c r="B359" s="8" t="s">
        <v>2</v>
      </c>
      <c r="C359" s="13" t="s">
        <v>5</v>
      </c>
      <c r="D359" s="8">
        <v>16</v>
      </c>
      <c r="E359" s="8"/>
      <c r="F359" s="8">
        <v>2</v>
      </c>
      <c r="G359" s="9">
        <f>VLOOKUP(D359,'[2]Beam '!$C$20:$H$26,3,0)</f>
        <v>0.625</v>
      </c>
      <c r="H359" s="9"/>
      <c r="I359" s="8"/>
      <c r="J359" s="8"/>
      <c r="K359" s="8"/>
      <c r="L359" s="8"/>
      <c r="M359" s="8"/>
      <c r="N359" s="8"/>
      <c r="O359" s="8">
        <f>(1.65+1*(G359+(12*D359/1000))*D356)</f>
        <v>2.4669999999999996</v>
      </c>
      <c r="P359" s="8">
        <f t="shared" si="73"/>
        <v>4.9339999999999993</v>
      </c>
      <c r="Q359" s="8">
        <f>IF($D359='[2]Beam '!Q$44,$P359*'[2]Beam '!Q$45,0)</f>
        <v>0</v>
      </c>
      <c r="R359" s="8">
        <f>IF($D359='[2]Beam '!R$44,$P359*'[2]Beam '!R$45,0)</f>
        <v>0</v>
      </c>
      <c r="S359" s="8">
        <f>IF($D359='[2]Beam '!S$44,$P359*'[2]Beam '!S$45,0)</f>
        <v>0</v>
      </c>
      <c r="T359" s="8">
        <f>IF($D359='[2]Beam '!T$44,$P359*'[2]Beam '!T$45,0)</f>
        <v>7.7906450285714284</v>
      </c>
      <c r="U359" s="8">
        <f>IF($D359='[2]Beam '!U$44,$P359*'[2]Beam '!U$45,0)</f>
        <v>0</v>
      </c>
      <c r="V359" s="8">
        <f>IF($D359='[2]Beam '!V$44,$P359*'[2]Beam '!V$45,0)</f>
        <v>0</v>
      </c>
      <c r="W359" s="8">
        <f>IF($D359='[2]Beam '!W$44,$P359*'[2]Beam '!W$45,0)</f>
        <v>0</v>
      </c>
      <c r="X359" s="8">
        <f t="shared" si="74"/>
        <v>7.7906450285714284</v>
      </c>
      <c r="Y359" s="8"/>
    </row>
    <row r="360" spans="1:32" s="10" customFormat="1" ht="20.100000000000001" customHeight="1" x14ac:dyDescent="0.25">
      <c r="A360" s="7"/>
      <c r="B360" s="8" t="s">
        <v>2</v>
      </c>
      <c r="C360" s="13" t="s">
        <v>6</v>
      </c>
      <c r="D360" s="8">
        <v>20</v>
      </c>
      <c r="E360" s="8"/>
      <c r="F360" s="8">
        <v>4</v>
      </c>
      <c r="G360" s="9">
        <f>VLOOKUP(D360,'[2]Beam '!$C$20:$H$26,3,0)</f>
        <v>0.8</v>
      </c>
      <c r="H360" s="8"/>
      <c r="I360" s="8"/>
      <c r="J360" s="8"/>
      <c r="K360" s="8"/>
      <c r="L360" s="8"/>
      <c r="M360" s="8"/>
      <c r="N360" s="8"/>
      <c r="O360" s="8">
        <f>(E356+2*(G360+(12*D360/1000))*D356)</f>
        <v>8.2800000000000011</v>
      </c>
      <c r="P360" s="8">
        <f t="shared" si="73"/>
        <v>33.120000000000005</v>
      </c>
      <c r="Q360" s="8">
        <f>IF($D360='[2]Beam '!Q$44,$P360*'[2]Beam '!Q$45,0)</f>
        <v>0</v>
      </c>
      <c r="R360" s="8">
        <f>IF($D360='[2]Beam '!R$44,$P360*'[2]Beam '!R$45,0)</f>
        <v>0</v>
      </c>
      <c r="S360" s="8">
        <f>IF($D360='[2]Beam '!S$44,$P360*'[2]Beam '!S$45,0)</f>
        <v>0</v>
      </c>
      <c r="T360" s="8">
        <f>IF($D360='[2]Beam '!T$44,$P360*'[2]Beam '!T$45,0)</f>
        <v>0</v>
      </c>
      <c r="U360" s="8">
        <f>IF($D360='[2]Beam '!U$44,$P360*'[2]Beam '!U$45,0)</f>
        <v>81.711771428571438</v>
      </c>
      <c r="V360" s="8">
        <f>IF($D360='[2]Beam '!V$44,$P360*'[2]Beam '!V$45,0)</f>
        <v>0</v>
      </c>
      <c r="W360" s="8">
        <f>IF($D360='[2]Beam '!W$44,$P360*'[2]Beam '!W$45,0)</f>
        <v>0</v>
      </c>
      <c r="X360" s="8">
        <f t="shared" si="74"/>
        <v>81.711771428571438</v>
      </c>
      <c r="Y360" s="8"/>
      <c r="Z360" s="8"/>
      <c r="AA360" s="8"/>
      <c r="AB360" s="8"/>
      <c r="AC360" s="8"/>
      <c r="AD360" s="8"/>
      <c r="AE360" s="8"/>
    </row>
    <row r="361" spans="1:32" s="10" customFormat="1" ht="21" customHeight="1" x14ac:dyDescent="0.25">
      <c r="A361" s="7"/>
      <c r="B361" s="8" t="s">
        <v>2</v>
      </c>
      <c r="C361" s="13" t="s">
        <v>8</v>
      </c>
      <c r="D361" s="8">
        <v>10</v>
      </c>
      <c r="E361" s="8">
        <v>0.1</v>
      </c>
      <c r="F361" s="8">
        <f>ROUND(IF(E356/3&gt;(2*G356),(E356/3)/E361,(2*G356)/E361),0)*2+1</f>
        <v>43</v>
      </c>
      <c r="H361" s="8"/>
      <c r="I361" s="8"/>
      <c r="J361" s="8"/>
      <c r="K361" s="8"/>
      <c r="L361" s="8"/>
      <c r="M361" s="8"/>
      <c r="N361" s="8"/>
      <c r="O361" s="8">
        <f>(2*((G356-(2*'[2]Beam '!$D$11))+(F356-(2*'[2]Beam '!$D$11)))+(2*10*D361/1000))*D356</f>
        <v>1.86</v>
      </c>
      <c r="P361" s="8">
        <f t="shared" si="73"/>
        <v>79.98</v>
      </c>
      <c r="Q361" s="8">
        <f>IF($D361='[2]Beam '!Q$44,$P361*'[2]Beam '!Q$45,0)</f>
        <v>0</v>
      </c>
      <c r="R361" s="8">
        <f>IF($D361='[2]Beam '!R$44,$P361*'[2]Beam '!R$45,0)</f>
        <v>49.33052142857143</v>
      </c>
      <c r="S361" s="8">
        <f>IF($D361='[2]Beam '!S$44,$P361*'[2]Beam '!S$45,0)</f>
        <v>0</v>
      </c>
      <c r="T361" s="8">
        <f>IF($D361='[2]Beam '!T$44,$P361*'[2]Beam '!T$45,0)</f>
        <v>0</v>
      </c>
      <c r="U361" s="8">
        <f>IF($D361='[2]Beam '!U$44,$P361*'[2]Beam '!U$45,0)</f>
        <v>0</v>
      </c>
      <c r="V361" s="8">
        <f>IF($D361='[2]Beam '!V$44,$P361*'[2]Beam '!V$45,0)</f>
        <v>0</v>
      </c>
      <c r="W361" s="8">
        <f>IF($D361='[2]Beam '!W$44,$P361*'[2]Beam '!W$45,0)</f>
        <v>0</v>
      </c>
      <c r="X361" s="8">
        <f t="shared" si="74"/>
        <v>49.33052142857143</v>
      </c>
      <c r="Y361" s="8"/>
      <c r="Z361" s="8"/>
      <c r="AA361" s="8"/>
      <c r="AB361" s="8"/>
      <c r="AC361" s="8"/>
      <c r="AD361" s="8"/>
      <c r="AE361" s="8"/>
      <c r="AF361" s="8"/>
    </row>
    <row r="362" spans="1:32" s="10" customFormat="1" ht="20.100000000000001" customHeight="1" x14ac:dyDescent="0.25">
      <c r="A362" s="14"/>
      <c r="B362" s="8" t="s">
        <v>2</v>
      </c>
      <c r="C362" s="13" t="s">
        <v>8</v>
      </c>
      <c r="D362" s="14">
        <f>D361</f>
        <v>10</v>
      </c>
      <c r="E362" s="14">
        <v>0.125</v>
      </c>
      <c r="F362" s="14">
        <f>ROUND((E356-(IF(E356/3&gt;2*G356,E356/3*2,G356*2*2)))/E362,0)</f>
        <v>17</v>
      </c>
      <c r="H362" s="14"/>
      <c r="I362" s="14"/>
      <c r="J362" s="14"/>
      <c r="K362" s="14"/>
      <c r="L362" s="14"/>
      <c r="M362" s="14"/>
      <c r="N362" s="14"/>
      <c r="O362" s="8">
        <f>(2*((G356-(2*'[2]Beam '!$D$11))+(F356-(2*'[2]Beam '!$D$11)))+(2*10*D362/1000))*D356</f>
        <v>1.86</v>
      </c>
      <c r="P362" s="8">
        <f t="shared" si="73"/>
        <v>31.62</v>
      </c>
      <c r="Q362" s="8">
        <f>IF($D362='[2]Beam '!Q$44,$P362*'[2]Beam '!Q$45,0)</f>
        <v>0</v>
      </c>
      <c r="R362" s="8">
        <f>IF($D362='[2]Beam '!R$44,$P362*'[2]Beam '!R$45,0)</f>
        <v>19.502764285714285</v>
      </c>
      <c r="S362" s="8">
        <f>IF($D362='[2]Beam '!S$44,$P362*'[2]Beam '!S$45,0)</f>
        <v>0</v>
      </c>
      <c r="T362" s="8">
        <f>IF($D362='[2]Beam '!T$44,$P362*'[2]Beam '!T$45,0)</f>
        <v>0</v>
      </c>
      <c r="U362" s="8">
        <f>IF($D362='[2]Beam '!U$44,$P362*'[2]Beam '!U$45,0)</f>
        <v>0</v>
      </c>
      <c r="V362" s="8">
        <f>IF($D362='[2]Beam '!V$44,$P362*'[2]Beam '!V$45,0)</f>
        <v>0</v>
      </c>
      <c r="W362" s="8">
        <f>IF($D362='[2]Beam '!W$44,$P362*'[2]Beam '!W$45,0)</f>
        <v>0</v>
      </c>
      <c r="X362" s="8">
        <f t="shared" si="74"/>
        <v>19.502764285714285</v>
      </c>
      <c r="Y362" s="14"/>
      <c r="Z362" s="8"/>
      <c r="AA362" s="8"/>
      <c r="AB362" s="8"/>
      <c r="AC362" s="8"/>
      <c r="AD362" s="8"/>
      <c r="AE362" s="8"/>
    </row>
    <row r="363" spans="1:32" s="10" customFormat="1" ht="19.5" customHeight="1" x14ac:dyDescent="0.25">
      <c r="A363" s="7"/>
      <c r="B363" s="8" t="s">
        <v>2</v>
      </c>
      <c r="C363" s="13" t="s">
        <v>10</v>
      </c>
      <c r="D363" s="8">
        <f>+'[2]Beam '!$D$15</f>
        <v>25</v>
      </c>
      <c r="E363" s="8">
        <f>+'[2]Beam '!$E$15</f>
        <v>1</v>
      </c>
      <c r="F363" s="8">
        <f>ROUNDUP((1.65+1.65)/E363,0)</f>
        <v>4</v>
      </c>
      <c r="G363" s="9"/>
      <c r="H363" s="9"/>
      <c r="I363" s="8"/>
      <c r="J363" s="8"/>
      <c r="K363" s="8"/>
      <c r="L363" s="8"/>
      <c r="M363" s="8"/>
      <c r="N363" s="8"/>
      <c r="O363" s="8">
        <f>F356-'[2]Beam '!$F$15</f>
        <v>0.39</v>
      </c>
      <c r="P363" s="8">
        <f t="shared" si="73"/>
        <v>1.56</v>
      </c>
      <c r="Q363" s="8">
        <f>IF($D363='[2]Beam '!Q$44,$P363*'[2]Beam '!Q$45,0)</f>
        <v>0</v>
      </c>
      <c r="R363" s="8">
        <f>IF($D363='[2]Beam '!R$44,$P363*'[2]Beam '!R$45,0)</f>
        <v>0</v>
      </c>
      <c r="S363" s="8">
        <f>IF($D363='[2]Beam '!S$44,$P363*'[2]Beam '!S$45,0)</f>
        <v>0</v>
      </c>
      <c r="T363" s="8">
        <f>IF($D363='[2]Beam '!T$44,$P363*'[2]Beam '!T$45,0)</f>
        <v>0</v>
      </c>
      <c r="U363" s="8">
        <f>IF($D363='[2]Beam '!U$44,$P363*'[2]Beam '!U$45,0)</f>
        <v>0</v>
      </c>
      <c r="V363" s="8">
        <f>IF($D363='[2]Beam '!V$44,$P363*'[2]Beam '!V$45,0)</f>
        <v>6.0136607142857157</v>
      </c>
      <c r="W363" s="8">
        <f>IF($D363='[2]Beam '!W$44,$P363*'[2]Beam '!W$45,0)</f>
        <v>0</v>
      </c>
      <c r="X363" s="8">
        <f t="shared" si="74"/>
        <v>6.0136607142857157</v>
      </c>
      <c r="Y363" s="8"/>
      <c r="Z363" s="8"/>
      <c r="AA363" s="8"/>
      <c r="AB363" s="8"/>
      <c r="AC363" s="8"/>
      <c r="AD363" s="8"/>
      <c r="AE363" s="8"/>
    </row>
    <row r="364" spans="1:32" s="10" customFormat="1" ht="19.5" customHeight="1" x14ac:dyDescent="0.25">
      <c r="A364" s="8">
        <v>1</v>
      </c>
      <c r="B364" s="8" t="s">
        <v>2</v>
      </c>
      <c r="C364" s="11" t="s">
        <v>50</v>
      </c>
      <c r="D364" s="11">
        <v>1</v>
      </c>
      <c r="E364" s="11">
        <v>6.2320000000000002</v>
      </c>
      <c r="F364" s="11">
        <v>0.45</v>
      </c>
      <c r="G364" s="11">
        <v>0.5</v>
      </c>
      <c r="H364" s="8">
        <f>G364-0.2</f>
        <v>0.3</v>
      </c>
      <c r="I364" s="8">
        <f>E364*F364*G364*D364</f>
        <v>1.4022000000000001</v>
      </c>
      <c r="J364" s="8">
        <f>(2*(E364)*H364*D364)+(E364*F364)</f>
        <v>6.5435999999999996</v>
      </c>
      <c r="K364" s="12">
        <f>IF(E364=0.3,J364,0)</f>
        <v>0</v>
      </c>
      <c r="L364" s="12">
        <f>IF(AND(E364&gt;0.3,E364&lt;=0.75),J364,0)</f>
        <v>0</v>
      </c>
      <c r="M364" s="12">
        <f>IF(AND(E364&gt;0.75,E364&lt;=1.2),J364,0)</f>
        <v>0</v>
      </c>
      <c r="N364" s="12">
        <f>IF(E364&gt;1.2,J364,0)</f>
        <v>6.5435999999999996</v>
      </c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>
        <f>SUM(X365:X372)/I364</f>
        <v>292.35167797542641</v>
      </c>
      <c r="Z364" s="8"/>
      <c r="AA364" s="8"/>
      <c r="AB364" s="8"/>
      <c r="AC364" s="8"/>
      <c r="AD364" s="8"/>
      <c r="AE364" s="8"/>
    </row>
    <row r="365" spans="1:32" s="10" customFormat="1" ht="20.100000000000001" customHeight="1" x14ac:dyDescent="0.25">
      <c r="A365" s="7"/>
      <c r="B365" s="8" t="s">
        <v>2</v>
      </c>
      <c r="C365" s="13" t="s">
        <v>4</v>
      </c>
      <c r="D365" s="8">
        <v>20</v>
      </c>
      <c r="E365" s="8"/>
      <c r="F365" s="8">
        <v>4</v>
      </c>
      <c r="G365" s="9">
        <f>VLOOKUP(D365,'[2]Beam '!$C$20:$H$26,3,0)</f>
        <v>0.8</v>
      </c>
      <c r="H365" s="9"/>
      <c r="I365" s="8"/>
      <c r="J365" s="8"/>
      <c r="K365" s="8"/>
      <c r="L365" s="8"/>
      <c r="M365" s="8"/>
      <c r="N365" s="8"/>
      <c r="O365" s="8">
        <f>(E364+2*(G365+(12*D365/1000))*D364)</f>
        <v>8.3120000000000012</v>
      </c>
      <c r="P365" s="8">
        <f t="shared" ref="P365:P373" si="75">O365*F365</f>
        <v>33.248000000000005</v>
      </c>
      <c r="Q365" s="8">
        <f>IF($D365='[2]Beam '!Q$44,$P365*'[2]Beam '!Q$45,0)</f>
        <v>0</v>
      </c>
      <c r="R365" s="8">
        <f>IF($D365='[2]Beam '!R$44,$P365*'[2]Beam '!R$45,0)</f>
        <v>0</v>
      </c>
      <c r="S365" s="8">
        <f>IF($D365='[2]Beam '!S$44,$P365*'[2]Beam '!S$45,0)</f>
        <v>0</v>
      </c>
      <c r="T365" s="8">
        <f>IF($D365='[2]Beam '!T$44,$P365*'[2]Beam '!T$45,0)</f>
        <v>0</v>
      </c>
      <c r="U365" s="8">
        <f>IF($D365='[2]Beam '!U$44,$P365*'[2]Beam '!U$45,0)</f>
        <v>82.027565714285728</v>
      </c>
      <c r="V365" s="8">
        <f>IF($D365='[2]Beam '!V$44,$P365*'[2]Beam '!V$45,0)</f>
        <v>0</v>
      </c>
      <c r="W365" s="8">
        <f>IF($D365='[2]Beam '!W$44,$P365*'[2]Beam '!W$45,0)</f>
        <v>0</v>
      </c>
      <c r="X365" s="8">
        <f t="shared" ref="X365:X373" si="76">SUM(Q365:W365)</f>
        <v>82.027565714285728</v>
      </c>
      <c r="Y365" s="8"/>
      <c r="Z365" s="8"/>
      <c r="AA365" s="8"/>
      <c r="AB365" s="8"/>
      <c r="AC365" s="8"/>
      <c r="AD365" s="8"/>
      <c r="AE365" s="8"/>
    </row>
    <row r="366" spans="1:32" s="10" customFormat="1" ht="20.100000000000001" customHeight="1" x14ac:dyDescent="0.25">
      <c r="A366" s="7"/>
      <c r="B366" s="8" t="s">
        <v>2</v>
      </c>
      <c r="C366" s="13" t="s">
        <v>5</v>
      </c>
      <c r="D366" s="8">
        <v>25</v>
      </c>
      <c r="E366" s="8"/>
      <c r="F366" s="8">
        <v>4</v>
      </c>
      <c r="G366" s="9">
        <f>VLOOKUP(D366,'[2]Beam '!$C$20:$H$26,3,0)</f>
        <v>1</v>
      </c>
      <c r="H366" s="9"/>
      <c r="I366" s="8"/>
      <c r="J366" s="8"/>
      <c r="K366" s="8"/>
      <c r="L366" s="8"/>
      <c r="M366" s="8"/>
      <c r="N366" s="8"/>
      <c r="O366" s="8">
        <f>(1.7+1*(G366+(12*D366/1000))*D364)</f>
        <v>3</v>
      </c>
      <c r="P366" s="8">
        <f t="shared" si="75"/>
        <v>12</v>
      </c>
      <c r="Q366" s="8">
        <f>IF($D366='[2]Beam '!Q$44,$P366*'[2]Beam '!Q$45,0)</f>
        <v>0</v>
      </c>
      <c r="R366" s="8">
        <f>IF($D366='[2]Beam '!R$44,$P366*'[2]Beam '!R$45,0)</f>
        <v>0</v>
      </c>
      <c r="S366" s="8">
        <f>IF($D366='[2]Beam '!S$44,$P366*'[2]Beam '!S$45,0)</f>
        <v>0</v>
      </c>
      <c r="T366" s="8">
        <f>IF($D366='[2]Beam '!T$44,$P366*'[2]Beam '!T$45,0)</f>
        <v>0</v>
      </c>
      <c r="U366" s="8">
        <f>IF($D366='[2]Beam '!U$44,$P366*'[2]Beam '!U$45,0)</f>
        <v>0</v>
      </c>
      <c r="V366" s="8">
        <f>IF($D366='[2]Beam '!V$44,$P366*'[2]Beam '!V$45,0)</f>
        <v>46.258928571428577</v>
      </c>
      <c r="W366" s="8">
        <f>IF($D366='[2]Beam '!W$44,$P366*'[2]Beam '!W$45,0)</f>
        <v>0</v>
      </c>
      <c r="X366" s="8">
        <f t="shared" si="76"/>
        <v>46.258928571428577</v>
      </c>
      <c r="Y366" s="8"/>
      <c r="Z366" s="8"/>
      <c r="AA366" s="8"/>
      <c r="AB366" s="8"/>
      <c r="AC366" s="8"/>
      <c r="AD366" s="8"/>
      <c r="AE366" s="8"/>
    </row>
    <row r="367" spans="1:32" s="14" customFormat="1" ht="20.100000000000001" customHeight="1" x14ac:dyDescent="0.3">
      <c r="A367" s="7"/>
      <c r="B367" s="8" t="s">
        <v>2</v>
      </c>
      <c r="C367" s="13" t="s">
        <v>5</v>
      </c>
      <c r="D367" s="8">
        <v>20</v>
      </c>
      <c r="E367" s="8"/>
      <c r="F367" s="8">
        <v>4</v>
      </c>
      <c r="G367" s="9">
        <f>VLOOKUP(D367,'[2]Beam '!$C$20:$H$26,3,0)</f>
        <v>0.8</v>
      </c>
      <c r="H367" s="9"/>
      <c r="I367" s="8"/>
      <c r="J367" s="8"/>
      <c r="K367" s="8"/>
      <c r="L367" s="8"/>
      <c r="M367" s="8"/>
      <c r="N367" s="8"/>
      <c r="O367" s="8">
        <f>(1.7+1*(G367+(12*D367/1000))*D364)</f>
        <v>2.74</v>
      </c>
      <c r="P367" s="8">
        <f t="shared" si="75"/>
        <v>10.96</v>
      </c>
      <c r="Q367" s="8">
        <f>IF($D367='[2]Beam '!Q$44,$P367*'[2]Beam '!Q$45,0)</f>
        <v>0</v>
      </c>
      <c r="R367" s="8">
        <f>IF($D367='[2]Beam '!R$44,$P367*'[2]Beam '!R$45,0)</f>
        <v>0</v>
      </c>
      <c r="S367" s="8">
        <f>IF($D367='[2]Beam '!S$44,$P367*'[2]Beam '!S$45,0)</f>
        <v>0</v>
      </c>
      <c r="T367" s="8">
        <f>IF($D367='[2]Beam '!T$44,$P367*'[2]Beam '!T$45,0)</f>
        <v>0</v>
      </c>
      <c r="U367" s="8">
        <f>IF($D367='[2]Beam '!U$44,$P367*'[2]Beam '!U$45,0)</f>
        <v>27.039885714285717</v>
      </c>
      <c r="V367" s="8">
        <f>IF($D367='[2]Beam '!V$44,$P367*'[2]Beam '!V$45,0)</f>
        <v>0</v>
      </c>
      <c r="W367" s="8">
        <f>IF($D367='[2]Beam '!W$44,$P367*'[2]Beam '!W$45,0)</f>
        <v>0</v>
      </c>
      <c r="X367" s="8">
        <f t="shared" si="76"/>
        <v>27.039885714285717</v>
      </c>
      <c r="Y367" s="8"/>
    </row>
    <row r="368" spans="1:32" s="14" customFormat="1" ht="20.100000000000001" customHeight="1" x14ac:dyDescent="0.3">
      <c r="A368" s="7"/>
      <c r="B368" s="8" t="s">
        <v>2</v>
      </c>
      <c r="C368" s="13" t="s">
        <v>6</v>
      </c>
      <c r="D368" s="8">
        <v>25</v>
      </c>
      <c r="E368" s="8"/>
      <c r="F368" s="8">
        <v>4</v>
      </c>
      <c r="G368" s="9">
        <f>VLOOKUP(D368,'[2]Beam '!$C$20:$H$26,3,0)</f>
        <v>1</v>
      </c>
      <c r="H368" s="8"/>
      <c r="I368" s="8"/>
      <c r="J368" s="8"/>
      <c r="K368" s="8"/>
      <c r="L368" s="8"/>
      <c r="M368" s="8"/>
      <c r="N368" s="8"/>
      <c r="O368" s="8">
        <f>(E364+2*(G368+(12*D368/1000))*D364)</f>
        <v>8.8320000000000007</v>
      </c>
      <c r="P368" s="8">
        <f t="shared" si="75"/>
        <v>35.328000000000003</v>
      </c>
      <c r="Q368" s="8">
        <f>IF($D368='[2]Beam '!Q$44,$P368*'[2]Beam '!Q$45,0)</f>
        <v>0</v>
      </c>
      <c r="R368" s="8">
        <f>IF($D368='[2]Beam '!R$44,$P368*'[2]Beam '!R$45,0)</f>
        <v>0</v>
      </c>
      <c r="S368" s="8">
        <f>IF($D368='[2]Beam '!S$44,$P368*'[2]Beam '!S$45,0)</f>
        <v>0</v>
      </c>
      <c r="T368" s="8">
        <f>IF($D368='[2]Beam '!T$44,$P368*'[2]Beam '!T$45,0)</f>
        <v>0</v>
      </c>
      <c r="U368" s="8">
        <f>IF($D368='[2]Beam '!U$44,$P368*'[2]Beam '!U$45,0)</f>
        <v>0</v>
      </c>
      <c r="V368" s="8">
        <f>IF($D368='[2]Beam '!V$44,$P368*'[2]Beam '!V$45,0)</f>
        <v>136.18628571428576</v>
      </c>
      <c r="W368" s="8">
        <f>IF($D368='[2]Beam '!W$44,$P368*'[2]Beam '!W$45,0)</f>
        <v>0</v>
      </c>
      <c r="X368" s="8">
        <f t="shared" si="76"/>
        <v>136.18628571428576</v>
      </c>
      <c r="Y368" s="8"/>
    </row>
    <row r="369" spans="1:32" s="14" customFormat="1" ht="20.100000000000001" customHeight="1" x14ac:dyDescent="0.25">
      <c r="A369" s="7"/>
      <c r="B369" s="8" t="s">
        <v>2</v>
      </c>
      <c r="C369" s="13" t="s">
        <v>13</v>
      </c>
      <c r="D369" s="8">
        <v>10</v>
      </c>
      <c r="E369" s="8">
        <v>0.1</v>
      </c>
      <c r="F369" s="8">
        <f>ROUND(IF(E364/3&gt;(2*G364),(E364/3)/E369,(2*G364)/E369),0)*2+1</f>
        <v>43</v>
      </c>
      <c r="G369" s="10"/>
      <c r="H369" s="8"/>
      <c r="I369" s="8"/>
      <c r="J369" s="8"/>
      <c r="K369" s="8"/>
      <c r="L369" s="8"/>
      <c r="M369" s="8"/>
      <c r="N369" s="8"/>
      <c r="O369" s="8">
        <f>(2*((G364-(2*'[2]Beam '!$D$11))+(F364-(2*'[2]Beam '!$D$11)))+(2*10*D369/1000))*D364</f>
        <v>1.86</v>
      </c>
      <c r="P369" s="8">
        <f t="shared" si="75"/>
        <v>79.98</v>
      </c>
      <c r="Q369" s="8">
        <f>IF($D369='[2]Beam '!Q$44,$P369*'[2]Beam '!Q$45,0)</f>
        <v>0</v>
      </c>
      <c r="R369" s="8">
        <f>IF($D369='[2]Beam '!R$44,$P369*'[2]Beam '!R$45,0)</f>
        <v>49.33052142857143</v>
      </c>
      <c r="S369" s="8">
        <f>IF($D369='[2]Beam '!S$44,$P369*'[2]Beam '!S$45,0)</f>
        <v>0</v>
      </c>
      <c r="T369" s="8">
        <f>IF($D369='[2]Beam '!T$44,$P369*'[2]Beam '!T$45,0)</f>
        <v>0</v>
      </c>
      <c r="U369" s="8">
        <f>IF($D369='[2]Beam '!U$44,$P369*'[2]Beam '!U$45,0)</f>
        <v>0</v>
      </c>
      <c r="V369" s="8">
        <f>IF($D369='[2]Beam '!V$44,$P369*'[2]Beam '!V$45,0)</f>
        <v>0</v>
      </c>
      <c r="W369" s="8">
        <f>IF($D369='[2]Beam '!W$44,$P369*'[2]Beam '!W$45,0)</f>
        <v>0</v>
      </c>
      <c r="X369" s="8">
        <f t="shared" si="76"/>
        <v>49.33052142857143</v>
      </c>
      <c r="Y369" s="8"/>
    </row>
    <row r="370" spans="1:32" s="10" customFormat="1" ht="20.100000000000001" customHeight="1" x14ac:dyDescent="0.25">
      <c r="A370" s="14"/>
      <c r="B370" s="8" t="s">
        <v>2</v>
      </c>
      <c r="C370" s="13" t="s">
        <v>14</v>
      </c>
      <c r="D370" s="14">
        <f>D369</f>
        <v>10</v>
      </c>
      <c r="E370" s="14">
        <v>0.125</v>
      </c>
      <c r="F370" s="14">
        <f>ROUND((E364-(IF(E364/3&gt;2*G364,E364/3*2,G364*2*2)))/E370,0)</f>
        <v>17</v>
      </c>
      <c r="H370" s="14"/>
      <c r="I370" s="14"/>
      <c r="J370" s="14"/>
      <c r="K370" s="14"/>
      <c r="L370" s="14"/>
      <c r="M370" s="14"/>
      <c r="N370" s="14"/>
      <c r="O370" s="8">
        <f>(2*((G364-(2*'[2]Beam '!$D$11))+(F364-(2*'[2]Beam '!$D$11)))+(2*10*D370/1000))*D364</f>
        <v>1.86</v>
      </c>
      <c r="P370" s="8">
        <f t="shared" si="75"/>
        <v>31.62</v>
      </c>
      <c r="Q370" s="8">
        <f>IF($D370='[2]Beam '!Q$44,$P370*'[2]Beam '!Q$45,0)</f>
        <v>0</v>
      </c>
      <c r="R370" s="8">
        <f>IF($D370='[2]Beam '!R$44,$P370*'[2]Beam '!R$45,0)</f>
        <v>19.502764285714285</v>
      </c>
      <c r="S370" s="8">
        <f>IF($D370='[2]Beam '!S$44,$P370*'[2]Beam '!S$45,0)</f>
        <v>0</v>
      </c>
      <c r="T370" s="8">
        <f>IF($D370='[2]Beam '!T$44,$P370*'[2]Beam '!T$45,0)</f>
        <v>0</v>
      </c>
      <c r="U370" s="8">
        <f>IF($D370='[2]Beam '!U$44,$P370*'[2]Beam '!U$45,0)</f>
        <v>0</v>
      </c>
      <c r="V370" s="8">
        <f>IF($D370='[2]Beam '!V$44,$P370*'[2]Beam '!V$45,0)</f>
        <v>0</v>
      </c>
      <c r="W370" s="8">
        <f>IF($D370='[2]Beam '!W$44,$P370*'[2]Beam '!W$45,0)</f>
        <v>0</v>
      </c>
      <c r="X370" s="8">
        <f t="shared" si="76"/>
        <v>19.502764285714285</v>
      </c>
      <c r="Y370" s="14"/>
      <c r="Z370" s="8"/>
      <c r="AA370" s="8"/>
      <c r="AB370" s="8"/>
      <c r="AC370" s="8"/>
      <c r="AD370" s="8"/>
      <c r="AE370" s="8"/>
    </row>
    <row r="371" spans="1:32" s="10" customFormat="1" ht="21" customHeight="1" x14ac:dyDescent="0.25">
      <c r="A371" s="14"/>
      <c r="B371" s="8" t="s">
        <v>2</v>
      </c>
      <c r="C371" s="13" t="s">
        <v>15</v>
      </c>
      <c r="D371" s="14">
        <f>D369</f>
        <v>10</v>
      </c>
      <c r="E371" s="14">
        <f>+E369</f>
        <v>0.1</v>
      </c>
      <c r="F371" s="8">
        <f>ROUND(IF(E364/3&gt;(2*G364),(E364/3)/E371,(2*G364)/E371),0)*2+1</f>
        <v>43</v>
      </c>
      <c r="H371" s="14"/>
      <c r="I371" s="14"/>
      <c r="J371" s="14"/>
      <c r="K371" s="14"/>
      <c r="L371" s="14"/>
      <c r="M371" s="14"/>
      <c r="N371" s="14"/>
      <c r="O371" s="8">
        <f>(2*(((F364-'[2]Beam '!$D$11*2)/(F365-1))+(G364-'[2]Beam '!$D$11*2))+(2*10*D371/1000))*D364</f>
        <v>1.34</v>
      </c>
      <c r="P371" s="8">
        <f t="shared" si="75"/>
        <v>57.620000000000005</v>
      </c>
      <c r="Q371" s="8">
        <f>IF($D371='[2]Beam '!Q$44,$P371*'[2]Beam '!Q$45,0)</f>
        <v>0</v>
      </c>
      <c r="R371" s="8">
        <f>IF($D371='[2]Beam '!R$44,$P371*'[2]Beam '!R$45,0)</f>
        <v>35.539192857142858</v>
      </c>
      <c r="S371" s="8">
        <f>IF($D371='[2]Beam '!S$44,$P371*'[2]Beam '!S$45,0)</f>
        <v>0</v>
      </c>
      <c r="T371" s="8">
        <f>IF($D371='[2]Beam '!T$44,$P371*'[2]Beam '!T$45,0)</f>
        <v>0</v>
      </c>
      <c r="U371" s="8">
        <f>IF($D371='[2]Beam '!U$44,$P371*'[2]Beam '!U$45,0)</f>
        <v>0</v>
      </c>
      <c r="V371" s="8">
        <f>IF($D371='[2]Beam '!V$44,$P371*'[2]Beam '!V$45,0)</f>
        <v>0</v>
      </c>
      <c r="W371" s="8">
        <f>IF($D371='[2]Beam '!W$44,$P371*'[2]Beam '!W$45,0)</f>
        <v>0</v>
      </c>
      <c r="X371" s="8">
        <f t="shared" si="76"/>
        <v>35.539192857142858</v>
      </c>
      <c r="Y371" s="14"/>
      <c r="Z371" s="8"/>
      <c r="AA371" s="8"/>
      <c r="AB371" s="8"/>
      <c r="AC371" s="8"/>
      <c r="AD371" s="8"/>
      <c r="AE371" s="8"/>
      <c r="AF371" s="8"/>
    </row>
    <row r="372" spans="1:32" s="10" customFormat="1" ht="20.100000000000001" customHeight="1" x14ac:dyDescent="0.25">
      <c r="A372" s="14"/>
      <c r="B372" s="8" t="s">
        <v>2</v>
      </c>
      <c r="C372" s="13" t="s">
        <v>16</v>
      </c>
      <c r="D372" s="14">
        <f>D370</f>
        <v>10</v>
      </c>
      <c r="E372" s="14">
        <f>+E370</f>
        <v>0.125</v>
      </c>
      <c r="F372" s="14">
        <f>ROUND((E364-(IF(E364/3&gt;2*G364,E364/3*2,G364*2*2)))/E372,0)</f>
        <v>17</v>
      </c>
      <c r="H372" s="14"/>
      <c r="I372" s="14"/>
      <c r="J372" s="14"/>
      <c r="K372" s="14"/>
      <c r="L372" s="14"/>
      <c r="M372" s="14"/>
      <c r="N372" s="14"/>
      <c r="O372" s="8">
        <f>(2*(((F364-'[2]Beam '!$D$11*2)/(F365-1))+(G364-'[2]Beam '!$D$11*2))+(2*10*D372/1000))*D364</f>
        <v>1.34</v>
      </c>
      <c r="P372" s="8">
        <f t="shared" si="75"/>
        <v>22.78</v>
      </c>
      <c r="Q372" s="8">
        <f>IF($D372='[2]Beam '!Q$44,$P372*'[2]Beam '!Q$45,0)</f>
        <v>0</v>
      </c>
      <c r="R372" s="8">
        <f>IF($D372='[2]Beam '!R$44,$P372*'[2]Beam '!R$45,0)</f>
        <v>14.050378571428572</v>
      </c>
      <c r="S372" s="8">
        <f>IF($D372='[2]Beam '!S$44,$P372*'[2]Beam '!S$45,0)</f>
        <v>0</v>
      </c>
      <c r="T372" s="8">
        <f>IF($D372='[2]Beam '!T$44,$P372*'[2]Beam '!T$45,0)</f>
        <v>0</v>
      </c>
      <c r="U372" s="8">
        <f>IF($D372='[2]Beam '!U$44,$P372*'[2]Beam '!U$45,0)</f>
        <v>0</v>
      </c>
      <c r="V372" s="8">
        <f>IF($D372='[2]Beam '!V$44,$P372*'[2]Beam '!V$45,0)</f>
        <v>0</v>
      </c>
      <c r="W372" s="8">
        <f>IF($D372='[2]Beam '!W$44,$P372*'[2]Beam '!W$45,0)</f>
        <v>0</v>
      </c>
      <c r="X372" s="8">
        <f t="shared" si="76"/>
        <v>14.050378571428572</v>
      </c>
      <c r="Y372" s="14"/>
      <c r="Z372" s="8"/>
      <c r="AA372" s="8"/>
      <c r="AB372" s="8"/>
      <c r="AC372" s="8"/>
      <c r="AD372" s="8"/>
      <c r="AE372" s="8"/>
    </row>
    <row r="373" spans="1:32" s="10" customFormat="1" ht="19.5" customHeight="1" x14ac:dyDescent="0.25">
      <c r="A373" s="7"/>
      <c r="B373" s="8" t="s">
        <v>2</v>
      </c>
      <c r="C373" s="13" t="s">
        <v>10</v>
      </c>
      <c r="D373" s="8">
        <f>+'[2]Beam '!$D$15</f>
        <v>25</v>
      </c>
      <c r="E373" s="8">
        <f>+'[2]Beam '!$E$15</f>
        <v>1</v>
      </c>
      <c r="F373" s="8">
        <f>ROUNDUP((1.7+1.7)/E373,0)</f>
        <v>4</v>
      </c>
      <c r="G373" s="9"/>
      <c r="H373" s="9"/>
      <c r="I373" s="8"/>
      <c r="J373" s="8"/>
      <c r="K373" s="8"/>
      <c r="L373" s="8"/>
      <c r="M373" s="8"/>
      <c r="N373" s="8"/>
      <c r="O373" s="8">
        <f>F364-'[2]Beam '!$F$15</f>
        <v>0.39</v>
      </c>
      <c r="P373" s="8">
        <f t="shared" si="75"/>
        <v>1.56</v>
      </c>
      <c r="Q373" s="8">
        <f>IF($D373='[2]Beam '!Q$44,$P373*'[2]Beam '!Q$45,0)</f>
        <v>0</v>
      </c>
      <c r="R373" s="8">
        <f>IF($D373='[2]Beam '!R$44,$P373*'[2]Beam '!R$45,0)</f>
        <v>0</v>
      </c>
      <c r="S373" s="8">
        <f>IF($D373='[2]Beam '!S$44,$P373*'[2]Beam '!S$45,0)</f>
        <v>0</v>
      </c>
      <c r="T373" s="8">
        <f>IF($D373='[2]Beam '!T$44,$P373*'[2]Beam '!T$45,0)</f>
        <v>0</v>
      </c>
      <c r="U373" s="8">
        <f>IF($D373='[2]Beam '!U$44,$P373*'[2]Beam '!U$45,0)</f>
        <v>0</v>
      </c>
      <c r="V373" s="8">
        <f>IF($D373='[2]Beam '!V$44,$P373*'[2]Beam '!V$45,0)</f>
        <v>6.0136607142857157</v>
      </c>
      <c r="W373" s="8">
        <f>IF($D373='[2]Beam '!W$44,$P373*'[2]Beam '!W$45,0)</f>
        <v>0</v>
      </c>
      <c r="X373" s="8">
        <f t="shared" si="76"/>
        <v>6.0136607142857157</v>
      </c>
      <c r="Y373" s="8"/>
      <c r="Z373" s="8"/>
      <c r="AA373" s="8"/>
      <c r="AB373" s="8"/>
      <c r="AC373" s="8"/>
      <c r="AD373" s="8"/>
      <c r="AE373" s="8"/>
    </row>
    <row r="374" spans="1:32" s="10" customFormat="1" ht="20.100000000000001" customHeight="1" x14ac:dyDescent="0.25">
      <c r="A374" s="8">
        <v>1</v>
      </c>
      <c r="B374" s="8" t="s">
        <v>2</v>
      </c>
      <c r="C374" s="11" t="s">
        <v>51</v>
      </c>
      <c r="D374" s="11">
        <v>1</v>
      </c>
      <c r="E374" s="11">
        <v>2.8</v>
      </c>
      <c r="F374" s="11">
        <v>0.3</v>
      </c>
      <c r="G374" s="11">
        <v>1.1000000000000001</v>
      </c>
      <c r="H374" s="8">
        <f>G374-0.2</f>
        <v>0.90000000000000013</v>
      </c>
      <c r="I374" s="8">
        <f>E374*F374*G374*D374</f>
        <v>0.92400000000000004</v>
      </c>
      <c r="J374" s="8">
        <f>(2*(E374)*H374*D374)+(E374*F374)</f>
        <v>5.88</v>
      </c>
      <c r="K374" s="12">
        <f>IF(E374=0.3,J374,0)</f>
        <v>0</v>
      </c>
      <c r="L374" s="12">
        <f>IF(AND(E374&gt;0.3,E374&lt;=0.75),J374,0)</f>
        <v>0</v>
      </c>
      <c r="M374" s="12">
        <f>IF(AND(E374&gt;0.75,E374&lt;=1.2),J374,0)</f>
        <v>0</v>
      </c>
      <c r="N374" s="12">
        <f>IF(E374&gt;1.2,J374,0)</f>
        <v>5.88</v>
      </c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>
        <f>SUM(X375:X380)/I374</f>
        <v>206.42573605442175</v>
      </c>
      <c r="Z374" s="8"/>
      <c r="AA374" s="8"/>
      <c r="AB374" s="8"/>
      <c r="AC374" s="8"/>
      <c r="AD374" s="8"/>
      <c r="AE374" s="8"/>
    </row>
    <row r="375" spans="1:32" s="10" customFormat="1" ht="20.100000000000001" customHeight="1" x14ac:dyDescent="0.25">
      <c r="A375" s="7"/>
      <c r="B375" s="8" t="s">
        <v>2</v>
      </c>
      <c r="C375" s="13" t="s">
        <v>4</v>
      </c>
      <c r="D375" s="8">
        <v>20</v>
      </c>
      <c r="E375" s="8"/>
      <c r="F375" s="8">
        <v>3</v>
      </c>
      <c r="G375" s="9">
        <f>VLOOKUP(D375,'[2]Beam '!$C$20:$H$26,3,0)</f>
        <v>0.8</v>
      </c>
      <c r="H375" s="9"/>
      <c r="I375" s="8"/>
      <c r="J375" s="8"/>
      <c r="K375" s="8"/>
      <c r="L375" s="8"/>
      <c r="M375" s="8"/>
      <c r="N375" s="8"/>
      <c r="O375" s="8">
        <f>(E374+2*(G375+(12*D375/1000))*D374)</f>
        <v>4.88</v>
      </c>
      <c r="P375" s="8">
        <f t="shared" ref="P375:P381" si="77">O375*F375</f>
        <v>14.64</v>
      </c>
      <c r="Q375" s="8">
        <f>IF($D375='[2]Beam '!Q$44,$P375*'[2]Beam '!Q$45,0)</f>
        <v>0</v>
      </c>
      <c r="R375" s="8">
        <f>IF($D375='[2]Beam '!R$44,$P375*'[2]Beam '!R$45,0)</f>
        <v>0</v>
      </c>
      <c r="S375" s="8">
        <f>IF($D375='[2]Beam '!S$44,$P375*'[2]Beam '!S$45,0)</f>
        <v>0</v>
      </c>
      <c r="T375" s="8">
        <f>IF($D375='[2]Beam '!T$44,$P375*'[2]Beam '!T$45,0)</f>
        <v>0</v>
      </c>
      <c r="U375" s="8">
        <f>IF($D375='[2]Beam '!U$44,$P375*'[2]Beam '!U$45,0)</f>
        <v>36.118971428571427</v>
      </c>
      <c r="V375" s="8">
        <f>IF($D375='[2]Beam '!V$44,$P375*'[2]Beam '!V$45,0)</f>
        <v>0</v>
      </c>
      <c r="W375" s="8">
        <f>IF($D375='[2]Beam '!W$44,$P375*'[2]Beam '!W$45,0)</f>
        <v>0</v>
      </c>
      <c r="X375" s="8">
        <f t="shared" ref="X375:X381" si="78">SUM(Q375:W375)</f>
        <v>36.118971428571427</v>
      </c>
      <c r="Y375" s="8"/>
      <c r="Z375" s="8"/>
      <c r="AA375" s="8"/>
      <c r="AB375" s="8"/>
      <c r="AC375" s="8"/>
      <c r="AD375" s="8"/>
      <c r="AE375" s="8"/>
    </row>
    <row r="376" spans="1:32" s="10" customFormat="1" ht="20.100000000000001" customHeight="1" x14ac:dyDescent="0.25">
      <c r="A376" s="7"/>
      <c r="B376" s="8" t="s">
        <v>2</v>
      </c>
      <c r="C376" s="13" t="s">
        <v>5</v>
      </c>
      <c r="D376" s="8">
        <v>16</v>
      </c>
      <c r="E376" s="8"/>
      <c r="F376" s="8">
        <v>2</v>
      </c>
      <c r="G376" s="9">
        <f>VLOOKUP(D376,'[2]Beam '!$C$20:$H$26,3,0)</f>
        <v>0.625</v>
      </c>
      <c r="H376" s="9"/>
      <c r="I376" s="8"/>
      <c r="J376" s="8"/>
      <c r="K376" s="8"/>
      <c r="L376" s="8"/>
      <c r="M376" s="8"/>
      <c r="N376" s="8"/>
      <c r="O376" s="8">
        <f>(E374+2*(G376+(12*D376/1000))*D374)</f>
        <v>4.4339999999999993</v>
      </c>
      <c r="P376" s="8">
        <f t="shared" si="77"/>
        <v>8.8679999999999986</v>
      </c>
      <c r="Q376" s="8">
        <f>IF($D376='[2]Beam '!Q$44,$P376*'[2]Beam '!Q$45,0)</f>
        <v>0</v>
      </c>
      <c r="R376" s="8">
        <f>IF($D376='[2]Beam '!R$44,$P376*'[2]Beam '!R$45,0)</f>
        <v>0</v>
      </c>
      <c r="S376" s="8">
        <f>IF($D376='[2]Beam '!S$44,$P376*'[2]Beam '!S$45,0)</f>
        <v>0</v>
      </c>
      <c r="T376" s="8">
        <f>IF($D376='[2]Beam '!T$44,$P376*'[2]Beam '!T$45,0)</f>
        <v>14.002318628571427</v>
      </c>
      <c r="U376" s="8">
        <f>IF($D376='[2]Beam '!U$44,$P376*'[2]Beam '!U$45,0)</f>
        <v>0</v>
      </c>
      <c r="V376" s="8">
        <f>IF($D376='[2]Beam '!V$44,$P376*'[2]Beam '!V$45,0)</f>
        <v>0</v>
      </c>
      <c r="W376" s="8">
        <f>IF($D376='[2]Beam '!W$44,$P376*'[2]Beam '!W$45,0)</f>
        <v>0</v>
      </c>
      <c r="X376" s="8">
        <f t="shared" si="78"/>
        <v>14.002318628571427</v>
      </c>
      <c r="Y376" s="8"/>
      <c r="Z376" s="8"/>
      <c r="AA376" s="8"/>
      <c r="AB376" s="8"/>
      <c r="AC376" s="8"/>
      <c r="AD376" s="8"/>
      <c r="AE376" s="8"/>
    </row>
    <row r="377" spans="1:32" s="14" customFormat="1" ht="20.100000000000001" customHeight="1" x14ac:dyDescent="0.3">
      <c r="A377" s="7"/>
      <c r="B377" s="8" t="s">
        <v>2</v>
      </c>
      <c r="C377" s="13" t="s">
        <v>6</v>
      </c>
      <c r="D377" s="8">
        <v>20</v>
      </c>
      <c r="E377" s="8"/>
      <c r="F377" s="8">
        <v>3</v>
      </c>
      <c r="G377" s="9">
        <f>VLOOKUP(D377,'[2]Beam '!$C$20:$H$26,3,0)</f>
        <v>0.8</v>
      </c>
      <c r="H377" s="8"/>
      <c r="I377" s="8"/>
      <c r="J377" s="8"/>
      <c r="K377" s="8"/>
      <c r="L377" s="8"/>
      <c r="M377" s="8"/>
      <c r="N377" s="8"/>
      <c r="O377" s="8">
        <f>(E374+2*(G377+(12*D377/1000))*D374)</f>
        <v>4.88</v>
      </c>
      <c r="P377" s="8">
        <f t="shared" si="77"/>
        <v>14.64</v>
      </c>
      <c r="Q377" s="8">
        <f>IF($D377='[2]Beam '!Q$44,$P377*'[2]Beam '!Q$45,0)</f>
        <v>0</v>
      </c>
      <c r="R377" s="8">
        <f>IF($D377='[2]Beam '!R$44,$P377*'[2]Beam '!R$45,0)</f>
        <v>0</v>
      </c>
      <c r="S377" s="8">
        <f>IF($D377='[2]Beam '!S$44,$P377*'[2]Beam '!S$45,0)</f>
        <v>0</v>
      </c>
      <c r="T377" s="8">
        <f>IF($D377='[2]Beam '!T$44,$P377*'[2]Beam '!T$45,0)</f>
        <v>0</v>
      </c>
      <c r="U377" s="8">
        <f>IF($D377='[2]Beam '!U$44,$P377*'[2]Beam '!U$45,0)</f>
        <v>36.118971428571427</v>
      </c>
      <c r="V377" s="8">
        <f>IF($D377='[2]Beam '!V$44,$P377*'[2]Beam '!V$45,0)</f>
        <v>0</v>
      </c>
      <c r="W377" s="8">
        <f>IF($D377='[2]Beam '!W$44,$P377*'[2]Beam '!W$45,0)</f>
        <v>0</v>
      </c>
      <c r="X377" s="8">
        <f t="shared" si="78"/>
        <v>36.118971428571427</v>
      </c>
      <c r="Y377" s="8"/>
    </row>
    <row r="378" spans="1:32" s="10" customFormat="1" ht="20.100000000000001" customHeight="1" x14ac:dyDescent="0.25">
      <c r="A378" s="7"/>
      <c r="B378" s="8" t="s">
        <v>2</v>
      </c>
      <c r="C378" s="13" t="s">
        <v>7</v>
      </c>
      <c r="D378" s="8">
        <v>16</v>
      </c>
      <c r="E378" s="8"/>
      <c r="F378" s="8">
        <v>2</v>
      </c>
      <c r="G378" s="9">
        <f>VLOOKUP(D378,'[2]Beam '!$C$20:$H$26,3,0)</f>
        <v>0.625</v>
      </c>
      <c r="H378" s="8"/>
      <c r="I378" s="8"/>
      <c r="J378" s="8"/>
      <c r="K378" s="8"/>
      <c r="L378" s="8"/>
      <c r="M378" s="8"/>
      <c r="N378" s="8"/>
      <c r="O378" s="8">
        <f>(E374+2*(G378+(12*D378/1000))*D374)</f>
        <v>4.4339999999999993</v>
      </c>
      <c r="P378" s="8">
        <f t="shared" si="77"/>
        <v>8.8679999999999986</v>
      </c>
      <c r="Q378" s="8">
        <f>IF($D378='[2]Beam '!Q$44,$P378*'[2]Beam '!Q$45,0)</f>
        <v>0</v>
      </c>
      <c r="R378" s="8">
        <f>IF($D378='[2]Beam '!R$44,$P378*'[2]Beam '!R$45,0)</f>
        <v>0</v>
      </c>
      <c r="S378" s="8">
        <f>IF($D378='[2]Beam '!S$44,$P378*'[2]Beam '!S$45,0)</f>
        <v>0</v>
      </c>
      <c r="T378" s="8">
        <f>IF($D378='[2]Beam '!T$44,$P378*'[2]Beam '!T$45,0)</f>
        <v>14.002318628571427</v>
      </c>
      <c r="U378" s="8">
        <f>IF($D378='[2]Beam '!U$44,$P378*'[2]Beam '!U$45,0)</f>
        <v>0</v>
      </c>
      <c r="V378" s="8">
        <f>IF($D378='[2]Beam '!V$44,$P378*'[2]Beam '!V$45,0)</f>
        <v>0</v>
      </c>
      <c r="W378" s="8">
        <f>IF($D378='[2]Beam '!W$44,$P378*'[2]Beam '!W$45,0)</f>
        <v>0</v>
      </c>
      <c r="X378" s="8">
        <f t="shared" si="78"/>
        <v>14.002318628571427</v>
      </c>
      <c r="Y378" s="8"/>
      <c r="Z378" s="8"/>
      <c r="AA378" s="8"/>
      <c r="AB378" s="8"/>
      <c r="AC378" s="8"/>
      <c r="AD378" s="8"/>
      <c r="AE378" s="8"/>
    </row>
    <row r="379" spans="1:32" s="10" customFormat="1" ht="21" customHeight="1" x14ac:dyDescent="0.25">
      <c r="A379" s="7"/>
      <c r="B379" s="8" t="s">
        <v>2</v>
      </c>
      <c r="C379" s="13" t="s">
        <v>8</v>
      </c>
      <c r="D379" s="8">
        <v>10</v>
      </c>
      <c r="E379" s="8">
        <v>0.1</v>
      </c>
      <c r="F379" s="8">
        <f>ROUNDUP(E374/E379,0)</f>
        <v>28</v>
      </c>
      <c r="H379" s="8"/>
      <c r="I379" s="8"/>
      <c r="J379" s="8"/>
      <c r="K379" s="8"/>
      <c r="L379" s="8"/>
      <c r="M379" s="8"/>
      <c r="N379" s="8"/>
      <c r="O379" s="8">
        <f>(2*((G374-(2*'[2]Beam '!$D$11))+(F374-(2*'[2]Beam '!$D$11)))+(2*10*D379/1000))*D374</f>
        <v>2.7600000000000002</v>
      </c>
      <c r="P379" s="8">
        <f t="shared" si="77"/>
        <v>77.28</v>
      </c>
      <c r="Q379" s="8">
        <f>IF($D379='[2]Beam '!Q$44,$P379*'[2]Beam '!Q$45,0)</f>
        <v>0</v>
      </c>
      <c r="R379" s="8">
        <f>IF($D379='[2]Beam '!R$44,$P379*'[2]Beam '!R$45,0)</f>
        <v>47.665199999999999</v>
      </c>
      <c r="S379" s="8">
        <f>IF($D379='[2]Beam '!S$44,$P379*'[2]Beam '!S$45,0)</f>
        <v>0</v>
      </c>
      <c r="T379" s="8">
        <f>IF($D379='[2]Beam '!T$44,$P379*'[2]Beam '!T$45,0)</f>
        <v>0</v>
      </c>
      <c r="U379" s="8">
        <f>IF($D379='[2]Beam '!U$44,$P379*'[2]Beam '!U$45,0)</f>
        <v>0</v>
      </c>
      <c r="V379" s="8">
        <f>IF($D379='[2]Beam '!V$44,$P379*'[2]Beam '!V$45,0)</f>
        <v>0</v>
      </c>
      <c r="W379" s="8">
        <f>IF($D379='[2]Beam '!W$44,$P379*'[2]Beam '!W$45,0)</f>
        <v>0</v>
      </c>
      <c r="X379" s="8">
        <f t="shared" si="78"/>
        <v>47.665199999999999</v>
      </c>
      <c r="Y379" s="8"/>
      <c r="Z379" s="8"/>
      <c r="AA379" s="8"/>
      <c r="AB379" s="8"/>
      <c r="AC379" s="8"/>
      <c r="AD379" s="8"/>
      <c r="AE379" s="8"/>
      <c r="AF379" s="8"/>
    </row>
    <row r="380" spans="1:32" s="10" customFormat="1" ht="20.100000000000001" customHeight="1" x14ac:dyDescent="0.25">
      <c r="A380" s="14"/>
      <c r="B380" s="8" t="s">
        <v>2</v>
      </c>
      <c r="C380" s="13" t="s">
        <v>9</v>
      </c>
      <c r="D380" s="8">
        <f>+D379</f>
        <v>10</v>
      </c>
      <c r="E380" s="14">
        <f>+E379</f>
        <v>0.1</v>
      </c>
      <c r="F380" s="8">
        <f>ROUNDUP(E374/E380,0)</f>
        <v>28</v>
      </c>
      <c r="H380" s="14"/>
      <c r="I380" s="14"/>
      <c r="J380" s="14"/>
      <c r="K380" s="14"/>
      <c r="L380" s="14"/>
      <c r="M380" s="14"/>
      <c r="N380" s="14"/>
      <c r="O380" s="8">
        <f>((((G374-(2*'[2]Beam '!$D$11))+(2*10*D380/1000))*D374))*2</f>
        <v>2.48</v>
      </c>
      <c r="P380" s="8">
        <f t="shared" si="77"/>
        <v>69.44</v>
      </c>
      <c r="Q380" s="8">
        <f>IF($D380='[2]Beam '!Q$44,$P380*'[2]Beam '!Q$45,0)</f>
        <v>0</v>
      </c>
      <c r="R380" s="8">
        <f>IF($D380='[2]Beam '!R$44,$P380*'[2]Beam '!R$45,0)</f>
        <v>42.829599999999999</v>
      </c>
      <c r="S380" s="8">
        <f>IF($D380='[2]Beam '!S$44,$P380*'[2]Beam '!S$45,0)</f>
        <v>0</v>
      </c>
      <c r="T380" s="8">
        <f>IF($D380='[2]Beam '!T$44,$P380*'[2]Beam '!T$45,0)</f>
        <v>0</v>
      </c>
      <c r="U380" s="8">
        <f>IF($D380='[2]Beam '!U$44,$P380*'[2]Beam '!U$45,0)</f>
        <v>0</v>
      </c>
      <c r="V380" s="8">
        <f>IF($D380='[2]Beam '!V$44,$P380*'[2]Beam '!V$45,0)</f>
        <v>0</v>
      </c>
      <c r="W380" s="8">
        <f>IF($D380='[2]Beam '!W$44,$P380*'[2]Beam '!W$45,0)</f>
        <v>0</v>
      </c>
      <c r="X380" s="8">
        <f t="shared" si="78"/>
        <v>42.829599999999999</v>
      </c>
      <c r="Y380" s="14"/>
      <c r="Z380" s="8"/>
      <c r="AA380" s="8"/>
      <c r="AB380" s="8"/>
      <c r="AC380" s="8"/>
      <c r="AD380" s="8"/>
      <c r="AE380" s="8"/>
    </row>
    <row r="381" spans="1:32" s="10" customFormat="1" ht="20.100000000000001" customHeight="1" x14ac:dyDescent="0.25">
      <c r="A381" s="7"/>
      <c r="B381" s="8" t="s">
        <v>2</v>
      </c>
      <c r="C381" s="13" t="s">
        <v>10</v>
      </c>
      <c r="D381" s="8">
        <f>+'[2]Beam '!$D$15</f>
        <v>25</v>
      </c>
      <c r="E381" s="8">
        <f>+'[2]Beam '!$E$15</f>
        <v>1</v>
      </c>
      <c r="F381" s="8">
        <f>ROUNDUP((E374)/E381,0)</f>
        <v>3</v>
      </c>
      <c r="G381" s="9"/>
      <c r="H381" s="9"/>
      <c r="I381" s="8"/>
      <c r="J381" s="8"/>
      <c r="K381" s="8"/>
      <c r="L381" s="8"/>
      <c r="M381" s="8"/>
      <c r="N381" s="8"/>
      <c r="O381" s="8">
        <f>F374-'[2]Beam '!$F$15</f>
        <v>0.24</v>
      </c>
      <c r="P381" s="8">
        <f t="shared" si="77"/>
        <v>0.72</v>
      </c>
      <c r="Q381" s="8">
        <f>IF($D381='[2]Beam '!Q$44,$P381*'[2]Beam '!Q$45,0)</f>
        <v>0</v>
      </c>
      <c r="R381" s="8">
        <f>IF($D381='[2]Beam '!R$44,$P381*'[2]Beam '!R$45,0)</f>
        <v>0</v>
      </c>
      <c r="S381" s="8">
        <f>IF($D381='[2]Beam '!S$44,$P381*'[2]Beam '!S$45,0)</f>
        <v>0</v>
      </c>
      <c r="T381" s="8">
        <f>IF($D381='[2]Beam '!T$44,$P381*'[2]Beam '!T$45,0)</f>
        <v>0</v>
      </c>
      <c r="U381" s="8">
        <f>IF($D381='[2]Beam '!U$44,$P381*'[2]Beam '!U$45,0)</f>
        <v>0</v>
      </c>
      <c r="V381" s="8">
        <f>IF($D381='[2]Beam '!V$44,$P381*'[2]Beam '!V$45,0)</f>
        <v>2.7755357142857147</v>
      </c>
      <c r="W381" s="8">
        <f>IF($D381='[2]Beam '!W$44,$P381*'[2]Beam '!W$45,0)</f>
        <v>0</v>
      </c>
      <c r="X381" s="8">
        <f t="shared" si="78"/>
        <v>2.7755357142857147</v>
      </c>
      <c r="Y381" s="8"/>
      <c r="Z381" s="8"/>
      <c r="AA381" s="8"/>
      <c r="AB381" s="8"/>
      <c r="AC381" s="8"/>
      <c r="AD381" s="8"/>
      <c r="AE381" s="8"/>
    </row>
    <row r="382" spans="1:32" s="10" customFormat="1" ht="20.100000000000001" customHeight="1" x14ac:dyDescent="0.25">
      <c r="A382" s="8">
        <v>1</v>
      </c>
      <c r="B382" s="8" t="s">
        <v>2</v>
      </c>
      <c r="C382" s="11" t="s">
        <v>52</v>
      </c>
      <c r="D382" s="11">
        <v>1</v>
      </c>
      <c r="E382" s="11">
        <v>1.5</v>
      </c>
      <c r="F382" s="11">
        <v>0.4</v>
      </c>
      <c r="G382" s="11">
        <v>0.5</v>
      </c>
      <c r="H382" s="8">
        <f>G382-0.2</f>
        <v>0.3</v>
      </c>
      <c r="I382" s="8">
        <f>E382*F382*G382*D382</f>
        <v>0.30000000000000004</v>
      </c>
      <c r="J382" s="8">
        <f>(2*(E382)*H382*D382)+(E382*F382)</f>
        <v>1.5</v>
      </c>
      <c r="K382" s="12">
        <f>IF(E382=0.3,J382,0)</f>
        <v>0</v>
      </c>
      <c r="L382" s="12">
        <f>IF(AND(E382&gt;0.3,E382&lt;=0.75),J382,0)</f>
        <v>0</v>
      </c>
      <c r="M382" s="12">
        <f>IF(AND(E382&gt;0.75,E382&lt;=1.2),J382,0)</f>
        <v>0</v>
      </c>
      <c r="N382" s="12">
        <f>IF(E382&gt;1.2,J382,0)</f>
        <v>1.5</v>
      </c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>
        <f>SUM(X383:X385)/I382</f>
        <v>178.15271466666664</v>
      </c>
      <c r="Z382" s="8"/>
      <c r="AA382" s="8"/>
      <c r="AB382" s="8"/>
      <c r="AC382" s="8"/>
      <c r="AD382" s="8"/>
      <c r="AE382" s="8"/>
    </row>
    <row r="383" spans="1:32" s="10" customFormat="1" ht="20.100000000000001" customHeight="1" x14ac:dyDescent="0.25">
      <c r="A383" s="7"/>
      <c r="B383" s="8" t="s">
        <v>2</v>
      </c>
      <c r="C383" s="13" t="s">
        <v>4</v>
      </c>
      <c r="D383" s="8">
        <v>16</v>
      </c>
      <c r="E383" s="8"/>
      <c r="F383" s="8">
        <v>4</v>
      </c>
      <c r="G383" s="9">
        <f>VLOOKUP(D383,'[2]Beam '!$C$20:$H$26,3,0)</f>
        <v>0.625</v>
      </c>
      <c r="H383" s="9"/>
      <c r="I383" s="8"/>
      <c r="J383" s="8"/>
      <c r="K383" s="8"/>
      <c r="L383" s="8"/>
      <c r="M383" s="8"/>
      <c r="N383" s="8"/>
      <c r="O383" s="8">
        <f>(E382+1*(G383+(12*D383/1000))+G383*D382)</f>
        <v>2.9420000000000002</v>
      </c>
      <c r="P383" s="8">
        <f>O383*F383</f>
        <v>11.768000000000001</v>
      </c>
      <c r="Q383" s="8">
        <f>IF($D383='[2]Beam '!Q$44,$P383*'[2]Beam '!Q$45,0)</f>
        <v>0</v>
      </c>
      <c r="R383" s="8">
        <f>IF($D383='[2]Beam '!R$44,$P383*'[2]Beam '!R$45,0)</f>
        <v>0</v>
      </c>
      <c r="S383" s="8">
        <f>IF($D383='[2]Beam '!S$44,$P383*'[2]Beam '!S$45,0)</f>
        <v>0</v>
      </c>
      <c r="T383" s="8">
        <f>IF($D383='[2]Beam '!T$44,$P383*'[2]Beam '!T$45,0)</f>
        <v>18.581335771428574</v>
      </c>
      <c r="U383" s="8">
        <f>IF($D383='[2]Beam '!U$44,$P383*'[2]Beam '!U$45,0)</f>
        <v>0</v>
      </c>
      <c r="V383" s="8">
        <f>IF($D383='[2]Beam '!V$44,$P383*'[2]Beam '!V$45,0)</f>
        <v>0</v>
      </c>
      <c r="W383" s="8">
        <f>IF($D383='[2]Beam '!W$44,$P383*'[2]Beam '!W$45,0)</f>
        <v>0</v>
      </c>
      <c r="X383" s="8">
        <f>SUM(Q383:W383)</f>
        <v>18.581335771428574</v>
      </c>
      <c r="Y383" s="8"/>
      <c r="Z383" s="8"/>
      <c r="AA383" s="8"/>
      <c r="AB383" s="8"/>
      <c r="AC383" s="8"/>
      <c r="AD383" s="8"/>
      <c r="AE383" s="8"/>
    </row>
    <row r="384" spans="1:32" s="10" customFormat="1" ht="21" customHeight="1" x14ac:dyDescent="0.25">
      <c r="A384" s="7"/>
      <c r="B384" s="8" t="s">
        <v>2</v>
      </c>
      <c r="C384" s="13" t="s">
        <v>6</v>
      </c>
      <c r="D384" s="8">
        <v>16</v>
      </c>
      <c r="E384" s="8"/>
      <c r="F384" s="8">
        <v>4</v>
      </c>
      <c r="G384" s="9">
        <f>VLOOKUP(D384,'[2]Beam '!$C$20:$H$26,3,0)</f>
        <v>0.625</v>
      </c>
      <c r="H384" s="8"/>
      <c r="I384" s="8"/>
      <c r="J384" s="8"/>
      <c r="K384" s="8"/>
      <c r="L384" s="8"/>
      <c r="M384" s="8"/>
      <c r="N384" s="8"/>
      <c r="O384" s="8">
        <f>(E382+1*(G384+(12*D384/1000))+G384*D382)</f>
        <v>2.9420000000000002</v>
      </c>
      <c r="P384" s="8">
        <f>O384*F384</f>
        <v>11.768000000000001</v>
      </c>
      <c r="Q384" s="8">
        <f>IF($D384='[2]Beam '!Q$44,$P384*'[2]Beam '!Q$45,0)</f>
        <v>0</v>
      </c>
      <c r="R384" s="8">
        <f>IF($D384='[2]Beam '!R$44,$P384*'[2]Beam '!R$45,0)</f>
        <v>0</v>
      </c>
      <c r="S384" s="8">
        <f>IF($D384='[2]Beam '!S$44,$P384*'[2]Beam '!S$45,0)</f>
        <v>0</v>
      </c>
      <c r="T384" s="8">
        <f>IF($D384='[2]Beam '!T$44,$P384*'[2]Beam '!T$45,0)</f>
        <v>18.581335771428574</v>
      </c>
      <c r="U384" s="8">
        <f>IF($D384='[2]Beam '!U$44,$P384*'[2]Beam '!U$45,0)</f>
        <v>0</v>
      </c>
      <c r="V384" s="8">
        <f>IF($D384='[2]Beam '!V$44,$P384*'[2]Beam '!V$45,0)</f>
        <v>0</v>
      </c>
      <c r="W384" s="8">
        <f>IF($D384='[2]Beam '!W$44,$P384*'[2]Beam '!W$45,0)</f>
        <v>0</v>
      </c>
      <c r="X384" s="8">
        <f>SUM(Q384:W384)</f>
        <v>18.581335771428574</v>
      </c>
      <c r="Y384" s="8"/>
      <c r="Z384" s="8"/>
      <c r="AA384" s="8"/>
      <c r="AB384" s="8"/>
      <c r="AC384" s="8"/>
      <c r="AD384" s="8"/>
      <c r="AE384" s="8"/>
      <c r="AF384" s="8"/>
    </row>
    <row r="385" spans="1:32" s="10" customFormat="1" ht="20.100000000000001" customHeight="1" x14ac:dyDescent="0.25">
      <c r="A385" s="7"/>
      <c r="B385" s="8" t="s">
        <v>2</v>
      </c>
      <c r="C385" s="13" t="s">
        <v>8</v>
      </c>
      <c r="D385" s="8">
        <v>10</v>
      </c>
      <c r="E385" s="8">
        <v>0.1</v>
      </c>
      <c r="F385" s="8">
        <f>ROUNDUP(E382/E385,0)</f>
        <v>15</v>
      </c>
      <c r="H385" s="8"/>
      <c r="I385" s="8"/>
      <c r="J385" s="8"/>
      <c r="K385" s="8"/>
      <c r="L385" s="8"/>
      <c r="M385" s="8"/>
      <c r="N385" s="8"/>
      <c r="O385" s="8">
        <f>(2*((G382-(2*'[2]Beam '!$D$11))+(F382-(2*'[2]Beam '!$D$11)))+(2*10*D385/1000))*D382</f>
        <v>1.76</v>
      </c>
      <c r="P385" s="8">
        <f>O385*F385</f>
        <v>26.4</v>
      </c>
      <c r="Q385" s="8">
        <f>IF($D385='[2]Beam '!Q$44,$P385*'[2]Beam '!Q$45,0)</f>
        <v>0</v>
      </c>
      <c r="R385" s="8">
        <f>IF($D385='[2]Beam '!R$44,$P385*'[2]Beam '!R$45,0)</f>
        <v>16.283142857142856</v>
      </c>
      <c r="S385" s="8">
        <f>IF($D385='[2]Beam '!S$44,$P385*'[2]Beam '!S$45,0)</f>
        <v>0</v>
      </c>
      <c r="T385" s="8">
        <f>IF($D385='[2]Beam '!T$44,$P385*'[2]Beam '!T$45,0)</f>
        <v>0</v>
      </c>
      <c r="U385" s="8">
        <f>IF($D385='[2]Beam '!U$44,$P385*'[2]Beam '!U$45,0)</f>
        <v>0</v>
      </c>
      <c r="V385" s="8">
        <f>IF($D385='[2]Beam '!V$44,$P385*'[2]Beam '!V$45,0)</f>
        <v>0</v>
      </c>
      <c r="W385" s="8">
        <f>IF($D385='[2]Beam '!W$44,$P385*'[2]Beam '!W$45,0)</f>
        <v>0</v>
      </c>
      <c r="X385" s="8">
        <f>SUM(Q385:W385)</f>
        <v>16.283142857142856</v>
      </c>
      <c r="Y385" s="8"/>
      <c r="Z385" s="8"/>
      <c r="AA385" s="8"/>
      <c r="AB385" s="8"/>
      <c r="AC385" s="8"/>
      <c r="AD385" s="8"/>
      <c r="AE385" s="8"/>
    </row>
    <row r="386" spans="1:32" s="10" customFormat="1" ht="20.100000000000001" customHeight="1" x14ac:dyDescent="0.25">
      <c r="A386" s="7"/>
      <c r="B386" s="8" t="s">
        <v>2</v>
      </c>
      <c r="C386" s="13" t="s">
        <v>10</v>
      </c>
      <c r="D386" s="8">
        <f>+'[2]Beam '!$D$15</f>
        <v>25</v>
      </c>
      <c r="E386" s="8">
        <f>+'[2]Beam '!$E$15</f>
        <v>1</v>
      </c>
      <c r="F386" s="8">
        <f>ROUNDUP((E382)/E386,0)</f>
        <v>2</v>
      </c>
      <c r="G386" s="9"/>
      <c r="H386" s="9"/>
      <c r="I386" s="8"/>
      <c r="J386" s="8"/>
      <c r="K386" s="8"/>
      <c r="L386" s="8"/>
      <c r="M386" s="8"/>
      <c r="N386" s="8"/>
      <c r="O386" s="8">
        <f>F382-'[2]Beam '!$F$15</f>
        <v>0.34</v>
      </c>
      <c r="P386" s="8">
        <f>O386*F386</f>
        <v>0.68</v>
      </c>
      <c r="Q386" s="8">
        <f>IF($D386='[2]Beam '!Q$44,$P386*'[2]Beam '!Q$45,0)</f>
        <v>0</v>
      </c>
      <c r="R386" s="8">
        <f>IF($D386='[2]Beam '!R$44,$P386*'[2]Beam '!R$45,0)</f>
        <v>0</v>
      </c>
      <c r="S386" s="8">
        <f>IF($D386='[2]Beam '!S$44,$P386*'[2]Beam '!S$45,0)</f>
        <v>0</v>
      </c>
      <c r="T386" s="8">
        <f>IF($D386='[2]Beam '!T$44,$P386*'[2]Beam '!T$45,0)</f>
        <v>0</v>
      </c>
      <c r="U386" s="8">
        <f>IF($D386='[2]Beam '!U$44,$P386*'[2]Beam '!U$45,0)</f>
        <v>0</v>
      </c>
      <c r="V386" s="8">
        <f>IF($D386='[2]Beam '!V$44,$P386*'[2]Beam '!V$45,0)</f>
        <v>2.6213392857142863</v>
      </c>
      <c r="W386" s="8">
        <f>IF($D386='[2]Beam '!W$44,$P386*'[2]Beam '!W$45,0)</f>
        <v>0</v>
      </c>
      <c r="X386" s="8">
        <f>SUM(Q386:W386)</f>
        <v>2.6213392857142863</v>
      </c>
      <c r="Y386" s="8"/>
      <c r="Z386" s="8"/>
      <c r="AA386" s="8"/>
      <c r="AB386" s="8"/>
      <c r="AC386" s="8"/>
      <c r="AD386" s="8"/>
      <c r="AE386" s="8"/>
    </row>
    <row r="387" spans="1:32" s="10" customFormat="1" ht="20.100000000000001" customHeight="1" x14ac:dyDescent="0.25">
      <c r="A387" s="8">
        <v>1</v>
      </c>
      <c r="B387" s="8" t="s">
        <v>2</v>
      </c>
      <c r="C387" s="11" t="s">
        <v>53</v>
      </c>
      <c r="D387" s="11">
        <v>1</v>
      </c>
      <c r="E387" s="11">
        <v>1.5</v>
      </c>
      <c r="F387" s="11">
        <v>0.4</v>
      </c>
      <c r="G387" s="11">
        <v>0.5</v>
      </c>
      <c r="H387" s="8">
        <f>G387-0.2</f>
        <v>0.3</v>
      </c>
      <c r="I387" s="8">
        <f>E387*F387*G387*D387</f>
        <v>0.30000000000000004</v>
      </c>
      <c r="J387" s="8">
        <f>(2*(E387)*H387*D387)+(E387*F387)</f>
        <v>1.5</v>
      </c>
      <c r="K387" s="12">
        <f>IF(E387=0.3,J387,0)</f>
        <v>0</v>
      </c>
      <c r="L387" s="12">
        <f>IF(AND(E387&gt;0.3,E387&lt;=0.75),J387,0)</f>
        <v>0</v>
      </c>
      <c r="M387" s="12">
        <f>IF(AND(E387&gt;0.75,E387&lt;=1.2),J387,0)</f>
        <v>0</v>
      </c>
      <c r="N387" s="12">
        <f>IF(E387&gt;1.2,J387,0)</f>
        <v>1.5</v>
      </c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>
        <f>SUM(X388:X390)/I387</f>
        <v>178.15271466666664</v>
      </c>
      <c r="Z387" s="8"/>
      <c r="AA387" s="8"/>
      <c r="AB387" s="8"/>
      <c r="AC387" s="8"/>
      <c r="AD387" s="8"/>
      <c r="AE387" s="8"/>
    </row>
    <row r="388" spans="1:32" s="10" customFormat="1" ht="20.100000000000001" customHeight="1" x14ac:dyDescent="0.25">
      <c r="A388" s="7"/>
      <c r="B388" s="8" t="s">
        <v>2</v>
      </c>
      <c r="C388" s="13" t="s">
        <v>4</v>
      </c>
      <c r="D388" s="8">
        <v>16</v>
      </c>
      <c r="E388" s="8"/>
      <c r="F388" s="8">
        <v>4</v>
      </c>
      <c r="G388" s="9">
        <f>VLOOKUP(D388,'[2]Beam '!$C$20:$H$26,3,0)</f>
        <v>0.625</v>
      </c>
      <c r="H388" s="9"/>
      <c r="I388" s="8"/>
      <c r="J388" s="8"/>
      <c r="K388" s="8"/>
      <c r="L388" s="8"/>
      <c r="M388" s="8"/>
      <c r="N388" s="8"/>
      <c r="O388" s="8">
        <f>(E387+1*(G388+(12*D388/1000))+G388*D387)</f>
        <v>2.9420000000000002</v>
      </c>
      <c r="P388" s="8">
        <f>O388*F388</f>
        <v>11.768000000000001</v>
      </c>
      <c r="Q388" s="8">
        <f>IF($D388='[2]Beam '!Q$44,$P388*'[2]Beam '!Q$45,0)</f>
        <v>0</v>
      </c>
      <c r="R388" s="8">
        <f>IF($D388='[2]Beam '!R$44,$P388*'[2]Beam '!R$45,0)</f>
        <v>0</v>
      </c>
      <c r="S388" s="8">
        <f>IF($D388='[2]Beam '!S$44,$P388*'[2]Beam '!S$45,0)</f>
        <v>0</v>
      </c>
      <c r="T388" s="8">
        <f>IF($D388='[2]Beam '!T$44,$P388*'[2]Beam '!T$45,0)</f>
        <v>18.581335771428574</v>
      </c>
      <c r="U388" s="8">
        <f>IF($D388='[2]Beam '!U$44,$P388*'[2]Beam '!U$45,0)</f>
        <v>0</v>
      </c>
      <c r="V388" s="8">
        <f>IF($D388='[2]Beam '!V$44,$P388*'[2]Beam '!V$45,0)</f>
        <v>0</v>
      </c>
      <c r="W388" s="8">
        <f>IF($D388='[2]Beam '!W$44,$P388*'[2]Beam '!W$45,0)</f>
        <v>0</v>
      </c>
      <c r="X388" s="8">
        <f>SUM(Q388:W388)</f>
        <v>18.581335771428574</v>
      </c>
      <c r="Y388" s="8"/>
      <c r="Z388" s="8"/>
      <c r="AA388" s="8"/>
      <c r="AB388" s="8"/>
      <c r="AC388" s="8"/>
      <c r="AD388" s="8"/>
      <c r="AE388" s="8"/>
    </row>
    <row r="389" spans="1:32" s="10" customFormat="1" ht="21" customHeight="1" x14ac:dyDescent="0.25">
      <c r="A389" s="7"/>
      <c r="B389" s="8" t="s">
        <v>2</v>
      </c>
      <c r="C389" s="13" t="s">
        <v>6</v>
      </c>
      <c r="D389" s="8">
        <v>16</v>
      </c>
      <c r="E389" s="8"/>
      <c r="F389" s="8">
        <v>4</v>
      </c>
      <c r="G389" s="9">
        <f>VLOOKUP(D389,'[2]Beam '!$C$20:$H$26,3,0)</f>
        <v>0.625</v>
      </c>
      <c r="H389" s="8"/>
      <c r="I389" s="8"/>
      <c r="J389" s="8"/>
      <c r="K389" s="8"/>
      <c r="L389" s="8"/>
      <c r="M389" s="8"/>
      <c r="N389" s="8"/>
      <c r="O389" s="8">
        <f>(E387+1*(G389+(12*D389/1000))+G389*D387)</f>
        <v>2.9420000000000002</v>
      </c>
      <c r="P389" s="8">
        <f>O389*F389</f>
        <v>11.768000000000001</v>
      </c>
      <c r="Q389" s="8">
        <f>IF($D389='[2]Beam '!Q$44,$P389*'[2]Beam '!Q$45,0)</f>
        <v>0</v>
      </c>
      <c r="R389" s="8">
        <f>IF($D389='[2]Beam '!R$44,$P389*'[2]Beam '!R$45,0)</f>
        <v>0</v>
      </c>
      <c r="S389" s="8">
        <f>IF($D389='[2]Beam '!S$44,$P389*'[2]Beam '!S$45,0)</f>
        <v>0</v>
      </c>
      <c r="T389" s="8">
        <f>IF($D389='[2]Beam '!T$44,$P389*'[2]Beam '!T$45,0)</f>
        <v>18.581335771428574</v>
      </c>
      <c r="U389" s="8">
        <f>IF($D389='[2]Beam '!U$44,$P389*'[2]Beam '!U$45,0)</f>
        <v>0</v>
      </c>
      <c r="V389" s="8">
        <f>IF($D389='[2]Beam '!V$44,$P389*'[2]Beam '!V$45,0)</f>
        <v>0</v>
      </c>
      <c r="W389" s="8">
        <f>IF($D389='[2]Beam '!W$44,$P389*'[2]Beam '!W$45,0)</f>
        <v>0</v>
      </c>
      <c r="X389" s="8">
        <f>SUM(Q389:W389)</f>
        <v>18.581335771428574</v>
      </c>
      <c r="Y389" s="8"/>
      <c r="Z389" s="8"/>
      <c r="AA389" s="8"/>
      <c r="AB389" s="8"/>
      <c r="AC389" s="8"/>
      <c r="AD389" s="8"/>
      <c r="AE389" s="8"/>
      <c r="AF389" s="8"/>
    </row>
    <row r="390" spans="1:32" s="10" customFormat="1" ht="20.100000000000001" customHeight="1" x14ac:dyDescent="0.25">
      <c r="A390" s="7"/>
      <c r="B390" s="8" t="s">
        <v>2</v>
      </c>
      <c r="C390" s="13" t="s">
        <v>8</v>
      </c>
      <c r="D390" s="8">
        <v>10</v>
      </c>
      <c r="E390" s="8">
        <v>0.1</v>
      </c>
      <c r="F390" s="8">
        <f>ROUNDUP(E387/E390,0)</f>
        <v>15</v>
      </c>
      <c r="H390" s="8"/>
      <c r="I390" s="8"/>
      <c r="J390" s="8"/>
      <c r="K390" s="8"/>
      <c r="L390" s="8"/>
      <c r="M390" s="8"/>
      <c r="N390" s="8"/>
      <c r="O390" s="8">
        <f>(2*((G387-(2*'[2]Beam '!$D$11))+(F387-(2*'[2]Beam '!$D$11)))+(2*10*D390/1000))*D387</f>
        <v>1.76</v>
      </c>
      <c r="P390" s="8">
        <f>O390*F390</f>
        <v>26.4</v>
      </c>
      <c r="Q390" s="8">
        <f>IF($D390='[2]Beam '!Q$44,$P390*'[2]Beam '!Q$45,0)</f>
        <v>0</v>
      </c>
      <c r="R390" s="8">
        <f>IF($D390='[2]Beam '!R$44,$P390*'[2]Beam '!R$45,0)</f>
        <v>16.283142857142856</v>
      </c>
      <c r="S390" s="8">
        <f>IF($D390='[2]Beam '!S$44,$P390*'[2]Beam '!S$45,0)</f>
        <v>0</v>
      </c>
      <c r="T390" s="8">
        <f>IF($D390='[2]Beam '!T$44,$P390*'[2]Beam '!T$45,0)</f>
        <v>0</v>
      </c>
      <c r="U390" s="8">
        <f>IF($D390='[2]Beam '!U$44,$P390*'[2]Beam '!U$45,0)</f>
        <v>0</v>
      </c>
      <c r="V390" s="8">
        <f>IF($D390='[2]Beam '!V$44,$P390*'[2]Beam '!V$45,0)</f>
        <v>0</v>
      </c>
      <c r="W390" s="8">
        <f>IF($D390='[2]Beam '!W$44,$P390*'[2]Beam '!W$45,0)</f>
        <v>0</v>
      </c>
      <c r="X390" s="8">
        <f>SUM(Q390:W390)</f>
        <v>16.283142857142856</v>
      </c>
      <c r="Y390" s="8"/>
      <c r="Z390" s="8"/>
      <c r="AA390" s="8"/>
      <c r="AB390" s="8"/>
      <c r="AC390" s="8"/>
      <c r="AD390" s="8"/>
      <c r="AE390" s="8"/>
    </row>
    <row r="391" spans="1:32" s="10" customFormat="1" ht="19.5" customHeight="1" x14ac:dyDescent="0.25">
      <c r="A391" s="7"/>
      <c r="B391" s="8" t="s">
        <v>2</v>
      </c>
      <c r="C391" s="13" t="s">
        <v>10</v>
      </c>
      <c r="D391" s="8">
        <f>+'[2]Beam '!$D$15</f>
        <v>25</v>
      </c>
      <c r="E391" s="8">
        <f>+'[2]Beam '!$E$15</f>
        <v>1</v>
      </c>
      <c r="F391" s="8">
        <f>ROUNDUP((E387)/E391,0)</f>
        <v>2</v>
      </c>
      <c r="G391" s="9"/>
      <c r="H391" s="9"/>
      <c r="I391" s="8"/>
      <c r="J391" s="8"/>
      <c r="K391" s="8"/>
      <c r="L391" s="8"/>
      <c r="M391" s="8"/>
      <c r="N391" s="8"/>
      <c r="O391" s="8">
        <f>F387-'[2]Beam '!$F$15</f>
        <v>0.34</v>
      </c>
      <c r="P391" s="8">
        <f>O391*F391</f>
        <v>0.68</v>
      </c>
      <c r="Q391" s="8">
        <f>IF($D391='[2]Beam '!Q$44,$P391*'[2]Beam '!Q$45,0)</f>
        <v>0</v>
      </c>
      <c r="R391" s="8">
        <f>IF($D391='[2]Beam '!R$44,$P391*'[2]Beam '!R$45,0)</f>
        <v>0</v>
      </c>
      <c r="S391" s="8">
        <f>IF($D391='[2]Beam '!S$44,$P391*'[2]Beam '!S$45,0)</f>
        <v>0</v>
      </c>
      <c r="T391" s="8">
        <f>IF($D391='[2]Beam '!T$44,$P391*'[2]Beam '!T$45,0)</f>
        <v>0</v>
      </c>
      <c r="U391" s="8">
        <f>IF($D391='[2]Beam '!U$44,$P391*'[2]Beam '!U$45,0)</f>
        <v>0</v>
      </c>
      <c r="V391" s="8">
        <f>IF($D391='[2]Beam '!V$44,$P391*'[2]Beam '!V$45,0)</f>
        <v>2.6213392857142863</v>
      </c>
      <c r="W391" s="8">
        <f>IF($D391='[2]Beam '!W$44,$P391*'[2]Beam '!W$45,0)</f>
        <v>0</v>
      </c>
      <c r="X391" s="8">
        <f>SUM(Q391:W391)</f>
        <v>2.6213392857142863</v>
      </c>
      <c r="Y391" s="8"/>
      <c r="Z391" s="8"/>
      <c r="AA391" s="8"/>
      <c r="AB391" s="8"/>
      <c r="AC391" s="8"/>
      <c r="AD391" s="8"/>
      <c r="AE391" s="8"/>
    </row>
    <row r="392" spans="1:32" s="10" customFormat="1" ht="20.100000000000001" customHeight="1" x14ac:dyDescent="0.25">
      <c r="A392" s="8">
        <v>1</v>
      </c>
      <c r="B392" s="8" t="s">
        <v>2</v>
      </c>
      <c r="C392" s="11" t="s">
        <v>54</v>
      </c>
      <c r="D392" s="11">
        <v>1</v>
      </c>
      <c r="E392" s="11">
        <v>2.8</v>
      </c>
      <c r="F392" s="11">
        <v>0.3</v>
      </c>
      <c r="G392" s="11">
        <v>1.1000000000000001</v>
      </c>
      <c r="H392" s="8">
        <f>G392-0.2</f>
        <v>0.90000000000000013</v>
      </c>
      <c r="I392" s="8">
        <f>E392*F392*G392*D392</f>
        <v>0.92400000000000004</v>
      </c>
      <c r="J392" s="8">
        <f>(2*(E392)*H392*D392)+(E392*F392)</f>
        <v>5.88</v>
      </c>
      <c r="K392" s="12">
        <f>IF(E392=0.3,J392,0)</f>
        <v>0</v>
      </c>
      <c r="L392" s="12">
        <f>IF(AND(E392&gt;0.3,E392&lt;=0.75),J392,0)</f>
        <v>0</v>
      </c>
      <c r="M392" s="12">
        <f>IF(AND(E392&gt;0.75,E392&lt;=1.2),J392,0)</f>
        <v>0</v>
      </c>
      <c r="N392" s="12">
        <f>IF(E392&gt;1.2,J392,0)</f>
        <v>5.88</v>
      </c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>
        <f>SUM(X393:X400)/I392</f>
        <v>210.69784489795919</v>
      </c>
      <c r="Z392" s="8"/>
      <c r="AA392" s="8"/>
      <c r="AB392" s="8"/>
      <c r="AC392" s="8"/>
      <c r="AD392" s="8"/>
      <c r="AE392" s="8"/>
    </row>
    <row r="393" spans="1:32" s="10" customFormat="1" ht="20.100000000000001" customHeight="1" x14ac:dyDescent="0.25">
      <c r="A393" s="7"/>
      <c r="B393" s="8" t="s">
        <v>2</v>
      </c>
      <c r="C393" s="13" t="s">
        <v>4</v>
      </c>
      <c r="D393" s="8">
        <v>20</v>
      </c>
      <c r="E393" s="8"/>
      <c r="F393" s="8">
        <v>3</v>
      </c>
      <c r="G393" s="9">
        <f>VLOOKUP(D393,'[2]Beam '!$C$20:$H$26,3,0)</f>
        <v>0.8</v>
      </c>
      <c r="H393" s="9"/>
      <c r="I393" s="8"/>
      <c r="J393" s="8"/>
      <c r="K393" s="8"/>
      <c r="L393" s="8"/>
      <c r="M393" s="8"/>
      <c r="N393" s="8"/>
      <c r="O393" s="8">
        <f>(E392+2*(G393+(12*D393/1000))*D392)</f>
        <v>4.88</v>
      </c>
      <c r="P393" s="8">
        <f t="shared" ref="P393:P401" si="79">O393*F393</f>
        <v>14.64</v>
      </c>
      <c r="Q393" s="8">
        <f>IF($D393='[2]Beam '!Q$44,$P393*'[2]Beam '!Q$45,0)</f>
        <v>0</v>
      </c>
      <c r="R393" s="8">
        <f>IF($D393='[2]Beam '!R$44,$P393*'[2]Beam '!R$45,0)</f>
        <v>0</v>
      </c>
      <c r="S393" s="8">
        <f>IF($D393='[2]Beam '!S$44,$P393*'[2]Beam '!S$45,0)</f>
        <v>0</v>
      </c>
      <c r="T393" s="8">
        <f>IF($D393='[2]Beam '!T$44,$P393*'[2]Beam '!T$45,0)</f>
        <v>0</v>
      </c>
      <c r="U393" s="8">
        <f>IF($D393='[2]Beam '!U$44,$P393*'[2]Beam '!U$45,0)</f>
        <v>36.118971428571427</v>
      </c>
      <c r="V393" s="8">
        <f>IF($D393='[2]Beam '!V$44,$P393*'[2]Beam '!V$45,0)</f>
        <v>0</v>
      </c>
      <c r="W393" s="8">
        <f>IF($D393='[2]Beam '!W$44,$P393*'[2]Beam '!W$45,0)</f>
        <v>0</v>
      </c>
      <c r="X393" s="8">
        <f t="shared" ref="X393:X401" si="80">SUM(Q393:W393)</f>
        <v>36.118971428571427</v>
      </c>
      <c r="Y393" s="8"/>
      <c r="Z393" s="8"/>
      <c r="AA393" s="8"/>
      <c r="AB393" s="8"/>
      <c r="AC393" s="8"/>
      <c r="AD393" s="8"/>
      <c r="AE393" s="8"/>
    </row>
    <row r="394" spans="1:32" s="10" customFormat="1" ht="20.100000000000001" customHeight="1" x14ac:dyDescent="0.25">
      <c r="A394" s="7"/>
      <c r="B394" s="8" t="s">
        <v>2</v>
      </c>
      <c r="C394" s="13" t="s">
        <v>5</v>
      </c>
      <c r="D394" s="8">
        <v>16</v>
      </c>
      <c r="E394" s="8"/>
      <c r="F394" s="8">
        <v>2</v>
      </c>
      <c r="G394" s="9">
        <f>VLOOKUP(D394,'[2]Beam '!$C$20:$H$26,3,0)</f>
        <v>0.625</v>
      </c>
      <c r="H394" s="9"/>
      <c r="I394" s="8"/>
      <c r="J394" s="8"/>
      <c r="K394" s="8"/>
      <c r="L394" s="8"/>
      <c r="M394" s="8"/>
      <c r="N394" s="8"/>
      <c r="O394" s="8">
        <f>(E392+2*(G394+(12*D394/1000))*D392)</f>
        <v>4.4339999999999993</v>
      </c>
      <c r="P394" s="8">
        <f t="shared" si="79"/>
        <v>8.8679999999999986</v>
      </c>
      <c r="Q394" s="8">
        <f>IF($D394='[2]Beam '!Q$44,$P394*'[2]Beam '!Q$45,0)</f>
        <v>0</v>
      </c>
      <c r="R394" s="8">
        <f>IF($D394='[2]Beam '!R$44,$P394*'[2]Beam '!R$45,0)</f>
        <v>0</v>
      </c>
      <c r="S394" s="8">
        <f>IF($D394='[2]Beam '!S$44,$P394*'[2]Beam '!S$45,0)</f>
        <v>0</v>
      </c>
      <c r="T394" s="8">
        <f>IF($D394='[2]Beam '!T$44,$P394*'[2]Beam '!T$45,0)</f>
        <v>14.002318628571427</v>
      </c>
      <c r="U394" s="8">
        <f>IF($D394='[2]Beam '!U$44,$P394*'[2]Beam '!U$45,0)</f>
        <v>0</v>
      </c>
      <c r="V394" s="8">
        <f>IF($D394='[2]Beam '!V$44,$P394*'[2]Beam '!V$45,0)</f>
        <v>0</v>
      </c>
      <c r="W394" s="8">
        <f>IF($D394='[2]Beam '!W$44,$P394*'[2]Beam '!W$45,0)</f>
        <v>0</v>
      </c>
      <c r="X394" s="8">
        <f t="shared" si="80"/>
        <v>14.002318628571427</v>
      </c>
      <c r="Y394" s="8"/>
      <c r="Z394" s="8"/>
      <c r="AA394" s="8"/>
      <c r="AB394" s="8"/>
      <c r="AC394" s="8"/>
      <c r="AD394" s="8"/>
      <c r="AE394" s="8"/>
    </row>
    <row r="395" spans="1:32" s="14" customFormat="1" ht="20.100000000000001" customHeight="1" x14ac:dyDescent="0.3">
      <c r="A395" s="7"/>
      <c r="B395" s="8" t="s">
        <v>2</v>
      </c>
      <c r="C395" s="13" t="s">
        <v>6</v>
      </c>
      <c r="D395" s="8">
        <v>20</v>
      </c>
      <c r="E395" s="8"/>
      <c r="F395" s="8">
        <v>3</v>
      </c>
      <c r="G395" s="9">
        <f>VLOOKUP(D395,'[2]Beam '!$C$20:$H$26,3,0)</f>
        <v>0.8</v>
      </c>
      <c r="H395" s="8"/>
      <c r="I395" s="8"/>
      <c r="J395" s="8"/>
      <c r="K395" s="8"/>
      <c r="L395" s="8"/>
      <c r="M395" s="8"/>
      <c r="N395" s="8"/>
      <c r="O395" s="8">
        <f>(E392+2*(G395+(12*D395/1000))*D392)</f>
        <v>4.88</v>
      </c>
      <c r="P395" s="8">
        <f t="shared" si="79"/>
        <v>14.64</v>
      </c>
      <c r="Q395" s="8">
        <f>IF($D395='[2]Beam '!Q$44,$P395*'[2]Beam '!Q$45,0)</f>
        <v>0</v>
      </c>
      <c r="R395" s="8">
        <f>IF($D395='[2]Beam '!R$44,$P395*'[2]Beam '!R$45,0)</f>
        <v>0</v>
      </c>
      <c r="S395" s="8">
        <f>IF($D395='[2]Beam '!S$44,$P395*'[2]Beam '!S$45,0)</f>
        <v>0</v>
      </c>
      <c r="T395" s="8">
        <f>IF($D395='[2]Beam '!T$44,$P395*'[2]Beam '!T$45,0)</f>
        <v>0</v>
      </c>
      <c r="U395" s="8">
        <f>IF($D395='[2]Beam '!U$44,$P395*'[2]Beam '!U$45,0)</f>
        <v>36.118971428571427</v>
      </c>
      <c r="V395" s="8">
        <f>IF($D395='[2]Beam '!V$44,$P395*'[2]Beam '!V$45,0)</f>
        <v>0</v>
      </c>
      <c r="W395" s="8">
        <f>IF($D395='[2]Beam '!W$44,$P395*'[2]Beam '!W$45,0)</f>
        <v>0</v>
      </c>
      <c r="X395" s="8">
        <f t="shared" si="80"/>
        <v>36.118971428571427</v>
      </c>
      <c r="Y395" s="8"/>
    </row>
    <row r="396" spans="1:32" s="14" customFormat="1" ht="20.100000000000001" customHeight="1" x14ac:dyDescent="0.3">
      <c r="A396" s="7"/>
      <c r="B396" s="8" t="s">
        <v>2</v>
      </c>
      <c r="C396" s="13" t="s">
        <v>7</v>
      </c>
      <c r="D396" s="8">
        <v>16</v>
      </c>
      <c r="E396" s="8"/>
      <c r="F396" s="8">
        <v>2</v>
      </c>
      <c r="G396" s="9">
        <f>VLOOKUP(D396,'[2]Beam '!$C$20:$H$26,3,0)</f>
        <v>0.625</v>
      </c>
      <c r="H396" s="8"/>
      <c r="I396" s="8"/>
      <c r="J396" s="8"/>
      <c r="K396" s="8"/>
      <c r="L396" s="8"/>
      <c r="M396" s="8"/>
      <c r="N396" s="8"/>
      <c r="O396" s="8">
        <f>(E392+2*(G396+(12*D396/1000))*D392)</f>
        <v>4.4339999999999993</v>
      </c>
      <c r="P396" s="8">
        <f t="shared" si="79"/>
        <v>8.8679999999999986</v>
      </c>
      <c r="Q396" s="8">
        <f>IF($D396='[2]Beam '!Q$44,$P396*'[2]Beam '!Q$45,0)</f>
        <v>0</v>
      </c>
      <c r="R396" s="8">
        <f>IF($D396='[2]Beam '!R$44,$P396*'[2]Beam '!R$45,0)</f>
        <v>0</v>
      </c>
      <c r="S396" s="8">
        <f>IF($D396='[2]Beam '!S$44,$P396*'[2]Beam '!S$45,0)</f>
        <v>0</v>
      </c>
      <c r="T396" s="8">
        <f>IF($D396='[2]Beam '!T$44,$P396*'[2]Beam '!T$45,0)</f>
        <v>14.002318628571427</v>
      </c>
      <c r="U396" s="8">
        <f>IF($D396='[2]Beam '!U$44,$P396*'[2]Beam '!U$45,0)</f>
        <v>0</v>
      </c>
      <c r="V396" s="8">
        <f>IF($D396='[2]Beam '!V$44,$P396*'[2]Beam '!V$45,0)</f>
        <v>0</v>
      </c>
      <c r="W396" s="8">
        <f>IF($D396='[2]Beam '!W$44,$P396*'[2]Beam '!W$45,0)</f>
        <v>0</v>
      </c>
      <c r="X396" s="8">
        <f t="shared" si="80"/>
        <v>14.002318628571427</v>
      </c>
      <c r="Y396" s="8"/>
    </row>
    <row r="397" spans="1:32" s="14" customFormat="1" ht="20.100000000000001" customHeight="1" x14ac:dyDescent="0.25">
      <c r="A397" s="7"/>
      <c r="B397" s="8" t="s">
        <v>2</v>
      </c>
      <c r="C397" s="13" t="s">
        <v>13</v>
      </c>
      <c r="D397" s="8">
        <v>10</v>
      </c>
      <c r="E397" s="8">
        <v>0.1</v>
      </c>
      <c r="F397" s="8">
        <f>ROUNDUP((E392/3*2)/E397,0)+1</f>
        <v>20</v>
      </c>
      <c r="G397" s="10"/>
      <c r="H397" s="8"/>
      <c r="I397" s="8"/>
      <c r="J397" s="8"/>
      <c r="K397" s="8"/>
      <c r="L397" s="8"/>
      <c r="M397" s="8"/>
      <c r="N397" s="8"/>
      <c r="O397" s="8">
        <f>(2*((G392-(2*'[2]Beam '!$D$11))+(F392-(2*'[2]Beam '!$D$11)))+(2*10*D397/1000))*D392</f>
        <v>2.7600000000000002</v>
      </c>
      <c r="P397" s="8">
        <f t="shared" si="79"/>
        <v>55.2</v>
      </c>
      <c r="Q397" s="8">
        <f>IF($D397='[2]Beam '!Q$44,$P397*'[2]Beam '!Q$45,0)</f>
        <v>0</v>
      </c>
      <c r="R397" s="8">
        <f>IF($D397='[2]Beam '!R$44,$P397*'[2]Beam '!R$45,0)</f>
        <v>34.046571428571433</v>
      </c>
      <c r="S397" s="8">
        <f>IF($D397='[2]Beam '!S$44,$P397*'[2]Beam '!S$45,0)</f>
        <v>0</v>
      </c>
      <c r="T397" s="8">
        <f>IF($D397='[2]Beam '!T$44,$P397*'[2]Beam '!T$45,0)</f>
        <v>0</v>
      </c>
      <c r="U397" s="8">
        <f>IF($D397='[2]Beam '!U$44,$P397*'[2]Beam '!U$45,0)</f>
        <v>0</v>
      </c>
      <c r="V397" s="8">
        <f>IF($D397='[2]Beam '!V$44,$P397*'[2]Beam '!V$45,0)</f>
        <v>0</v>
      </c>
      <c r="W397" s="8">
        <f>IF($D397='[2]Beam '!W$44,$P397*'[2]Beam '!W$45,0)</f>
        <v>0</v>
      </c>
      <c r="X397" s="8">
        <f t="shared" si="80"/>
        <v>34.046571428571433</v>
      </c>
      <c r="Y397" s="8"/>
    </row>
    <row r="398" spans="1:32" s="10" customFormat="1" ht="20.100000000000001" customHeight="1" x14ac:dyDescent="0.25">
      <c r="A398" s="14"/>
      <c r="B398" s="8" t="s">
        <v>2</v>
      </c>
      <c r="C398" s="13" t="s">
        <v>14</v>
      </c>
      <c r="D398" s="14">
        <f>D397</f>
        <v>10</v>
      </c>
      <c r="E398" s="14">
        <v>0.125</v>
      </c>
      <c r="F398" s="8">
        <f>ROUNDUP((E392/3)/E398,0)+1</f>
        <v>9</v>
      </c>
      <c r="H398" s="14"/>
      <c r="I398" s="14"/>
      <c r="J398" s="14"/>
      <c r="K398" s="14"/>
      <c r="L398" s="14"/>
      <c r="M398" s="14"/>
      <c r="N398" s="14"/>
      <c r="O398" s="8">
        <f>(2*((G392-(2*'[2]Beam '!$D$11))+(F392-(2*'[2]Beam '!$D$11)))+(2*10*D398/1000))*D392</f>
        <v>2.7600000000000002</v>
      </c>
      <c r="P398" s="8">
        <f t="shared" si="79"/>
        <v>24.840000000000003</v>
      </c>
      <c r="Q398" s="8">
        <f>IF($D398='[2]Beam '!Q$44,$P398*'[2]Beam '!Q$45,0)</f>
        <v>0</v>
      </c>
      <c r="R398" s="8">
        <f>IF($D398='[2]Beam '!R$44,$P398*'[2]Beam '!R$45,0)</f>
        <v>15.320957142857145</v>
      </c>
      <c r="S398" s="8">
        <f>IF($D398='[2]Beam '!S$44,$P398*'[2]Beam '!S$45,0)</f>
        <v>0</v>
      </c>
      <c r="T398" s="8">
        <f>IF($D398='[2]Beam '!T$44,$P398*'[2]Beam '!T$45,0)</f>
        <v>0</v>
      </c>
      <c r="U398" s="8">
        <f>IF($D398='[2]Beam '!U$44,$P398*'[2]Beam '!U$45,0)</f>
        <v>0</v>
      </c>
      <c r="V398" s="8">
        <f>IF($D398='[2]Beam '!V$44,$P398*'[2]Beam '!V$45,0)</f>
        <v>0</v>
      </c>
      <c r="W398" s="8">
        <f>IF($D398='[2]Beam '!W$44,$P398*'[2]Beam '!W$45,0)</f>
        <v>0</v>
      </c>
      <c r="X398" s="8">
        <f t="shared" si="80"/>
        <v>15.320957142857145</v>
      </c>
      <c r="Y398" s="14"/>
      <c r="Z398" s="8"/>
      <c r="AA398" s="8"/>
      <c r="AB398" s="8"/>
      <c r="AC398" s="8"/>
      <c r="AD398" s="8"/>
      <c r="AE398" s="8"/>
    </row>
    <row r="399" spans="1:32" s="10" customFormat="1" ht="21" customHeight="1" x14ac:dyDescent="0.25">
      <c r="A399" s="14"/>
      <c r="B399" s="8" t="s">
        <v>2</v>
      </c>
      <c r="C399" s="13" t="s">
        <v>15</v>
      </c>
      <c r="D399" s="14">
        <f>D397</f>
        <v>10</v>
      </c>
      <c r="E399" s="14">
        <f>+E397</f>
        <v>0.1</v>
      </c>
      <c r="F399" s="8">
        <f>ROUNDUP((E392/3*2)/E399,0)+1</f>
        <v>20</v>
      </c>
      <c r="H399" s="14"/>
      <c r="I399" s="14"/>
      <c r="J399" s="14"/>
      <c r="K399" s="14"/>
      <c r="L399" s="14"/>
      <c r="M399" s="14"/>
      <c r="N399" s="14"/>
      <c r="O399" s="8">
        <f>(2*(((F392-'[2]Beam '!$D$11*2)/(F393-1))+(G392-'[2]Beam '!$D$11*2))+(2*10*D399/1000))*D392</f>
        <v>2.5200000000000005</v>
      </c>
      <c r="P399" s="8">
        <f t="shared" si="79"/>
        <v>50.400000000000006</v>
      </c>
      <c r="Q399" s="8">
        <f>IF($D399='[2]Beam '!Q$44,$P399*'[2]Beam '!Q$45,0)</f>
        <v>0</v>
      </c>
      <c r="R399" s="8">
        <f>IF($D399='[2]Beam '!R$44,$P399*'[2]Beam '!R$45,0)</f>
        <v>31.086000000000002</v>
      </c>
      <c r="S399" s="8">
        <f>IF($D399='[2]Beam '!S$44,$P399*'[2]Beam '!S$45,0)</f>
        <v>0</v>
      </c>
      <c r="T399" s="8">
        <f>IF($D399='[2]Beam '!T$44,$P399*'[2]Beam '!T$45,0)</f>
        <v>0</v>
      </c>
      <c r="U399" s="8">
        <f>IF($D399='[2]Beam '!U$44,$P399*'[2]Beam '!U$45,0)</f>
        <v>0</v>
      </c>
      <c r="V399" s="8">
        <f>IF($D399='[2]Beam '!V$44,$P399*'[2]Beam '!V$45,0)</f>
        <v>0</v>
      </c>
      <c r="W399" s="8">
        <f>IF($D399='[2]Beam '!W$44,$P399*'[2]Beam '!W$45,0)</f>
        <v>0</v>
      </c>
      <c r="X399" s="8">
        <f t="shared" si="80"/>
        <v>31.086000000000002</v>
      </c>
      <c r="Y399" s="14"/>
      <c r="Z399" s="8"/>
      <c r="AA399" s="8"/>
      <c r="AB399" s="8"/>
      <c r="AC399" s="8"/>
      <c r="AD399" s="8"/>
      <c r="AE399" s="8"/>
      <c r="AF399" s="8"/>
    </row>
    <row r="400" spans="1:32" s="10" customFormat="1" ht="20.100000000000001" customHeight="1" x14ac:dyDescent="0.25">
      <c r="A400" s="14"/>
      <c r="B400" s="8" t="s">
        <v>2</v>
      </c>
      <c r="C400" s="13" t="s">
        <v>16</v>
      </c>
      <c r="D400" s="14">
        <f>D398</f>
        <v>10</v>
      </c>
      <c r="E400" s="14">
        <f>+E398</f>
        <v>0.125</v>
      </c>
      <c r="F400" s="8">
        <f>ROUNDUP((E392/3)/E400,0)+1</f>
        <v>9</v>
      </c>
      <c r="H400" s="14"/>
      <c r="I400" s="14"/>
      <c r="J400" s="14"/>
      <c r="K400" s="14"/>
      <c r="L400" s="14"/>
      <c r="M400" s="14"/>
      <c r="N400" s="14"/>
      <c r="O400" s="8">
        <f>(2*(((F392-'[2]Beam '!$D$11*2)/(F393-1))+(G392-'[2]Beam '!$D$11*2))+(2*10*D400/1000))*D392</f>
        <v>2.5200000000000005</v>
      </c>
      <c r="P400" s="8">
        <f t="shared" si="79"/>
        <v>22.680000000000003</v>
      </c>
      <c r="Q400" s="8">
        <f>IF($D400='[2]Beam '!Q$44,$P400*'[2]Beam '!Q$45,0)</f>
        <v>0</v>
      </c>
      <c r="R400" s="8">
        <f>IF($D400='[2]Beam '!R$44,$P400*'[2]Beam '!R$45,0)</f>
        <v>13.988700000000001</v>
      </c>
      <c r="S400" s="8">
        <f>IF($D400='[2]Beam '!S$44,$P400*'[2]Beam '!S$45,0)</f>
        <v>0</v>
      </c>
      <c r="T400" s="8">
        <f>IF($D400='[2]Beam '!T$44,$P400*'[2]Beam '!T$45,0)</f>
        <v>0</v>
      </c>
      <c r="U400" s="8">
        <f>IF($D400='[2]Beam '!U$44,$P400*'[2]Beam '!U$45,0)</f>
        <v>0</v>
      </c>
      <c r="V400" s="8">
        <f>IF($D400='[2]Beam '!V$44,$P400*'[2]Beam '!V$45,0)</f>
        <v>0</v>
      </c>
      <c r="W400" s="8">
        <f>IF($D400='[2]Beam '!W$44,$P400*'[2]Beam '!W$45,0)</f>
        <v>0</v>
      </c>
      <c r="X400" s="8">
        <f t="shared" si="80"/>
        <v>13.988700000000001</v>
      </c>
      <c r="Y400" s="14"/>
      <c r="Z400" s="8"/>
      <c r="AA400" s="8"/>
      <c r="AB400" s="8"/>
      <c r="AC400" s="8"/>
      <c r="AD400" s="8"/>
      <c r="AE400" s="8"/>
    </row>
    <row r="401" spans="1:32" s="10" customFormat="1" ht="19.5" customHeight="1" x14ac:dyDescent="0.25">
      <c r="A401" s="7"/>
      <c r="B401" s="8" t="s">
        <v>2</v>
      </c>
      <c r="C401" s="13" t="s">
        <v>10</v>
      </c>
      <c r="D401" s="8">
        <f>+'[2]Beam '!$D$15</f>
        <v>25</v>
      </c>
      <c r="E401" s="8">
        <f>+'[2]Beam '!$E$15</f>
        <v>1</v>
      </c>
      <c r="F401" s="8">
        <f>ROUNDUP((E392)/E401,0)</f>
        <v>3</v>
      </c>
      <c r="G401" s="9"/>
      <c r="H401" s="9"/>
      <c r="I401" s="8"/>
      <c r="J401" s="8"/>
      <c r="K401" s="8"/>
      <c r="L401" s="8"/>
      <c r="M401" s="8"/>
      <c r="N401" s="8"/>
      <c r="O401" s="8">
        <f>F392-'[2]Beam '!$F$15</f>
        <v>0.24</v>
      </c>
      <c r="P401" s="8">
        <f t="shared" si="79"/>
        <v>0.72</v>
      </c>
      <c r="Q401" s="8">
        <f>IF($D401='[2]Beam '!Q$44,$P401*'[2]Beam '!Q$45,0)</f>
        <v>0</v>
      </c>
      <c r="R401" s="8">
        <f>IF($D401='[2]Beam '!R$44,$P401*'[2]Beam '!R$45,0)</f>
        <v>0</v>
      </c>
      <c r="S401" s="8">
        <f>IF($D401='[2]Beam '!S$44,$P401*'[2]Beam '!S$45,0)</f>
        <v>0</v>
      </c>
      <c r="T401" s="8">
        <f>IF($D401='[2]Beam '!T$44,$P401*'[2]Beam '!T$45,0)</f>
        <v>0</v>
      </c>
      <c r="U401" s="8">
        <f>IF($D401='[2]Beam '!U$44,$P401*'[2]Beam '!U$45,0)</f>
        <v>0</v>
      </c>
      <c r="V401" s="8">
        <f>IF($D401='[2]Beam '!V$44,$P401*'[2]Beam '!V$45,0)</f>
        <v>2.7755357142857147</v>
      </c>
      <c r="W401" s="8">
        <f>IF($D401='[2]Beam '!W$44,$P401*'[2]Beam '!W$45,0)</f>
        <v>0</v>
      </c>
      <c r="X401" s="8">
        <f t="shared" si="80"/>
        <v>2.7755357142857147</v>
      </c>
      <c r="Y401" s="8"/>
      <c r="Z401" s="8"/>
      <c r="AA401" s="8"/>
      <c r="AB401" s="8"/>
      <c r="AC401" s="8"/>
      <c r="AD401" s="8"/>
      <c r="AE401" s="8"/>
    </row>
    <row r="402" spans="1:32" s="10" customFormat="1" ht="20.100000000000001" customHeight="1" x14ac:dyDescent="0.25">
      <c r="A402" s="8">
        <v>1</v>
      </c>
      <c r="B402" s="8" t="s">
        <v>2</v>
      </c>
      <c r="C402" s="11" t="s">
        <v>55</v>
      </c>
      <c r="D402" s="11">
        <v>1</v>
      </c>
      <c r="E402" s="11">
        <v>2.8</v>
      </c>
      <c r="F402" s="11">
        <v>0.2</v>
      </c>
      <c r="G402" s="11">
        <v>1.1000000000000001</v>
      </c>
      <c r="H402" s="8">
        <f>G402-0.2</f>
        <v>0.90000000000000013</v>
      </c>
      <c r="I402" s="8">
        <f>E402*F402*G402*D402</f>
        <v>0.61599999999999999</v>
      </c>
      <c r="J402" s="8">
        <f>(2*(E402)*H402*D402)+(E402*F402)</f>
        <v>5.6</v>
      </c>
      <c r="K402" s="12">
        <f>IF(E402=0.3,J402,0)</f>
        <v>0</v>
      </c>
      <c r="L402" s="12">
        <f>IF(AND(E402&gt;0.3,E402&lt;=0.75),J402,0)</f>
        <v>0</v>
      </c>
      <c r="M402" s="12">
        <f>IF(AND(E402&gt;0.75,E402&lt;=1.2),J402,0)</f>
        <v>0</v>
      </c>
      <c r="N402" s="12">
        <f>IF(E402&gt;1.2,J402,0)</f>
        <v>5.6</v>
      </c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>
        <f>SUM(X403:X408)/I402</f>
        <v>175.80283265306124</v>
      </c>
      <c r="Z402" s="8"/>
      <c r="AA402" s="8"/>
      <c r="AB402" s="8"/>
      <c r="AC402" s="8"/>
      <c r="AD402" s="8"/>
      <c r="AE402" s="8"/>
    </row>
    <row r="403" spans="1:32" s="10" customFormat="1" ht="20.100000000000001" customHeight="1" x14ac:dyDescent="0.25">
      <c r="A403" s="7"/>
      <c r="B403" s="8" t="s">
        <v>2</v>
      </c>
      <c r="C403" s="13" t="s">
        <v>4</v>
      </c>
      <c r="D403" s="8">
        <v>20</v>
      </c>
      <c r="E403" s="8"/>
      <c r="F403" s="8">
        <v>2</v>
      </c>
      <c r="G403" s="9">
        <f>VLOOKUP(D403,'[2]Beam '!$C$20:$H$26,3,0)</f>
        <v>0.8</v>
      </c>
      <c r="H403" s="9"/>
      <c r="I403" s="8"/>
      <c r="J403" s="8"/>
      <c r="K403" s="8"/>
      <c r="L403" s="8"/>
      <c r="M403" s="8"/>
      <c r="N403" s="8"/>
      <c r="O403" s="8">
        <f>(E402+2*(G403+(12*D403/1000))*D402)</f>
        <v>4.88</v>
      </c>
      <c r="P403" s="8">
        <f t="shared" ref="P403:P409" si="81">O403*F403</f>
        <v>9.76</v>
      </c>
      <c r="Q403" s="8">
        <f>IF($D403='[2]Beam '!Q$44,$P403*'[2]Beam '!Q$45,0)</f>
        <v>0</v>
      </c>
      <c r="R403" s="8">
        <f>IF($D403='[2]Beam '!R$44,$P403*'[2]Beam '!R$45,0)</f>
        <v>0</v>
      </c>
      <c r="S403" s="8">
        <f>IF($D403='[2]Beam '!S$44,$P403*'[2]Beam '!S$45,0)</f>
        <v>0</v>
      </c>
      <c r="T403" s="8">
        <f>IF($D403='[2]Beam '!T$44,$P403*'[2]Beam '!T$45,0)</f>
        <v>0</v>
      </c>
      <c r="U403" s="8">
        <f>IF($D403='[2]Beam '!U$44,$P403*'[2]Beam '!U$45,0)</f>
        <v>24.079314285714286</v>
      </c>
      <c r="V403" s="8">
        <f>IF($D403='[2]Beam '!V$44,$P403*'[2]Beam '!V$45,0)</f>
        <v>0</v>
      </c>
      <c r="W403" s="8">
        <f>IF($D403='[2]Beam '!W$44,$P403*'[2]Beam '!W$45,0)</f>
        <v>0</v>
      </c>
      <c r="X403" s="8">
        <f t="shared" ref="X403:X409" si="82">SUM(Q403:W403)</f>
        <v>24.079314285714286</v>
      </c>
      <c r="Y403" s="8"/>
      <c r="Z403" s="8"/>
      <c r="AA403" s="8"/>
      <c r="AB403" s="8"/>
      <c r="AC403" s="8"/>
      <c r="AD403" s="8"/>
      <c r="AE403" s="8"/>
    </row>
    <row r="404" spans="1:32" s="10" customFormat="1" ht="20.100000000000001" customHeight="1" x14ac:dyDescent="0.25">
      <c r="A404" s="7"/>
      <c r="B404" s="8" t="s">
        <v>2</v>
      </c>
      <c r="C404" s="13" t="s">
        <v>5</v>
      </c>
      <c r="D404" s="8">
        <v>12</v>
      </c>
      <c r="E404" s="8"/>
      <c r="F404" s="8">
        <v>2</v>
      </c>
      <c r="G404" s="9">
        <f>VLOOKUP(D404,'[2]Beam '!$C$20:$H$26,3,0)</f>
        <v>0.47499999999999998</v>
      </c>
      <c r="H404" s="9"/>
      <c r="I404" s="8"/>
      <c r="J404" s="8"/>
      <c r="K404" s="8"/>
      <c r="L404" s="8"/>
      <c r="M404" s="8"/>
      <c r="N404" s="8"/>
      <c r="O404" s="8">
        <f>(E402+2*(G404+(12*D404/1000))*D402)</f>
        <v>4.0380000000000003</v>
      </c>
      <c r="P404" s="8">
        <f t="shared" si="81"/>
        <v>8.0760000000000005</v>
      </c>
      <c r="Q404" s="8">
        <f>IF($D404='[2]Beam '!Q$44,$P404*'[2]Beam '!Q$45,0)</f>
        <v>0</v>
      </c>
      <c r="R404" s="8">
        <f>IF($D404='[2]Beam '!R$44,$P404*'[2]Beam '!R$45,0)</f>
        <v>0</v>
      </c>
      <c r="S404" s="8">
        <f>IF($D404='[2]Beam '!S$44,$P404*'[2]Beam '!S$45,0)</f>
        <v>7.1728724571428586</v>
      </c>
      <c r="T404" s="8">
        <f>IF($D404='[2]Beam '!T$44,$P404*'[2]Beam '!T$45,0)</f>
        <v>0</v>
      </c>
      <c r="U404" s="8">
        <f>IF($D404='[2]Beam '!U$44,$P404*'[2]Beam '!U$45,0)</f>
        <v>0</v>
      </c>
      <c r="V404" s="8">
        <f>IF($D404='[2]Beam '!V$44,$P404*'[2]Beam '!V$45,0)</f>
        <v>0</v>
      </c>
      <c r="W404" s="8">
        <f>IF($D404='[2]Beam '!W$44,$P404*'[2]Beam '!W$45,0)</f>
        <v>0</v>
      </c>
      <c r="X404" s="8">
        <f t="shared" si="82"/>
        <v>7.1728724571428586</v>
      </c>
      <c r="Y404" s="8"/>
      <c r="Z404" s="8"/>
      <c r="AA404" s="8"/>
      <c r="AB404" s="8"/>
      <c r="AC404" s="8"/>
      <c r="AD404" s="8"/>
      <c r="AE404" s="8"/>
    </row>
    <row r="405" spans="1:32" s="14" customFormat="1" ht="20.100000000000001" customHeight="1" x14ac:dyDescent="0.3">
      <c r="A405" s="7"/>
      <c r="B405" s="8" t="s">
        <v>2</v>
      </c>
      <c r="C405" s="13" t="s">
        <v>6</v>
      </c>
      <c r="D405" s="8">
        <v>20</v>
      </c>
      <c r="E405" s="8"/>
      <c r="F405" s="8">
        <v>2</v>
      </c>
      <c r="G405" s="9">
        <f>VLOOKUP(D405,'[2]Beam '!$C$20:$H$26,3,0)</f>
        <v>0.8</v>
      </c>
      <c r="H405" s="8"/>
      <c r="I405" s="8"/>
      <c r="J405" s="8"/>
      <c r="K405" s="8"/>
      <c r="L405" s="8"/>
      <c r="M405" s="8"/>
      <c r="N405" s="8"/>
      <c r="O405" s="8">
        <f>(E402+2*(G405+(12*D405/1000))*D402)</f>
        <v>4.88</v>
      </c>
      <c r="P405" s="8">
        <f t="shared" si="81"/>
        <v>9.76</v>
      </c>
      <c r="Q405" s="8">
        <f>IF($D405='[2]Beam '!Q$44,$P405*'[2]Beam '!Q$45,0)</f>
        <v>0</v>
      </c>
      <c r="R405" s="8">
        <f>IF($D405='[2]Beam '!R$44,$P405*'[2]Beam '!R$45,0)</f>
        <v>0</v>
      </c>
      <c r="S405" s="8">
        <f>IF($D405='[2]Beam '!S$44,$P405*'[2]Beam '!S$45,0)</f>
        <v>0</v>
      </c>
      <c r="T405" s="8">
        <f>IF($D405='[2]Beam '!T$44,$P405*'[2]Beam '!T$45,0)</f>
        <v>0</v>
      </c>
      <c r="U405" s="8">
        <f>IF($D405='[2]Beam '!U$44,$P405*'[2]Beam '!U$45,0)</f>
        <v>24.079314285714286</v>
      </c>
      <c r="V405" s="8">
        <f>IF($D405='[2]Beam '!V$44,$P405*'[2]Beam '!V$45,0)</f>
        <v>0</v>
      </c>
      <c r="W405" s="8">
        <f>IF($D405='[2]Beam '!W$44,$P405*'[2]Beam '!W$45,0)</f>
        <v>0</v>
      </c>
      <c r="X405" s="8">
        <f t="shared" si="82"/>
        <v>24.079314285714286</v>
      </c>
      <c r="Y405" s="8"/>
    </row>
    <row r="406" spans="1:32" s="10" customFormat="1" ht="20.100000000000001" customHeight="1" x14ac:dyDescent="0.25">
      <c r="A406" s="7"/>
      <c r="B406" s="8" t="s">
        <v>2</v>
      </c>
      <c r="C406" s="13" t="s">
        <v>7</v>
      </c>
      <c r="D406" s="8">
        <v>12</v>
      </c>
      <c r="E406" s="8"/>
      <c r="F406" s="8">
        <v>2</v>
      </c>
      <c r="G406" s="9">
        <f>VLOOKUP(D406,'[2]Beam '!$C$20:$H$26,3,0)</f>
        <v>0.47499999999999998</v>
      </c>
      <c r="H406" s="8"/>
      <c r="I406" s="8"/>
      <c r="J406" s="8"/>
      <c r="K406" s="8"/>
      <c r="L406" s="8"/>
      <c r="M406" s="8"/>
      <c r="N406" s="8"/>
      <c r="O406" s="8">
        <f>(E402+2*(G406+(12*D406/1000))*D402)</f>
        <v>4.0380000000000003</v>
      </c>
      <c r="P406" s="8">
        <f t="shared" si="81"/>
        <v>8.0760000000000005</v>
      </c>
      <c r="Q406" s="8">
        <f>IF($D406='[2]Beam '!Q$44,$P406*'[2]Beam '!Q$45,0)</f>
        <v>0</v>
      </c>
      <c r="R406" s="8">
        <f>IF($D406='[2]Beam '!R$44,$P406*'[2]Beam '!R$45,0)</f>
        <v>0</v>
      </c>
      <c r="S406" s="8">
        <f>IF($D406='[2]Beam '!S$44,$P406*'[2]Beam '!S$45,0)</f>
        <v>7.1728724571428586</v>
      </c>
      <c r="T406" s="8">
        <f>IF($D406='[2]Beam '!T$44,$P406*'[2]Beam '!T$45,0)</f>
        <v>0</v>
      </c>
      <c r="U406" s="8">
        <f>IF($D406='[2]Beam '!U$44,$P406*'[2]Beam '!U$45,0)</f>
        <v>0</v>
      </c>
      <c r="V406" s="8">
        <f>IF($D406='[2]Beam '!V$44,$P406*'[2]Beam '!V$45,0)</f>
        <v>0</v>
      </c>
      <c r="W406" s="8">
        <f>IF($D406='[2]Beam '!W$44,$P406*'[2]Beam '!W$45,0)</f>
        <v>0</v>
      </c>
      <c r="X406" s="8">
        <f t="shared" si="82"/>
        <v>7.1728724571428586</v>
      </c>
      <c r="Y406" s="8"/>
      <c r="Z406" s="8"/>
      <c r="AA406" s="8"/>
      <c r="AB406" s="8"/>
      <c r="AC406" s="8"/>
      <c r="AD406" s="8"/>
      <c r="AE406" s="8"/>
    </row>
    <row r="407" spans="1:32" s="10" customFormat="1" ht="21" customHeight="1" x14ac:dyDescent="0.25">
      <c r="A407" s="7"/>
      <c r="B407" s="8" t="s">
        <v>2</v>
      </c>
      <c r="C407" s="13" t="s">
        <v>8</v>
      </c>
      <c r="D407" s="8">
        <v>10</v>
      </c>
      <c r="E407" s="8">
        <v>0.1</v>
      </c>
      <c r="F407" s="8">
        <f>ROUNDUP((E402/3*2)/E407,0)+1</f>
        <v>20</v>
      </c>
      <c r="H407" s="8"/>
      <c r="I407" s="8"/>
      <c r="J407" s="8"/>
      <c r="K407" s="8"/>
      <c r="L407" s="8"/>
      <c r="M407" s="8"/>
      <c r="N407" s="8"/>
      <c r="O407" s="8">
        <f>(2*((G402-(2*'[2]Beam '!$D$11))+(F402-(2*'[2]Beam '!$D$11)))+(2*10*D407/1000))*D402</f>
        <v>2.5600000000000005</v>
      </c>
      <c r="P407" s="8">
        <f t="shared" si="81"/>
        <v>51.20000000000001</v>
      </c>
      <c r="Q407" s="8">
        <f>IF($D407='[2]Beam '!Q$44,$P407*'[2]Beam '!Q$45,0)</f>
        <v>0</v>
      </c>
      <c r="R407" s="8">
        <f>IF($D407='[2]Beam '!R$44,$P407*'[2]Beam '!R$45,0)</f>
        <v>31.579428571428576</v>
      </c>
      <c r="S407" s="8">
        <f>IF($D407='[2]Beam '!S$44,$P407*'[2]Beam '!S$45,0)</f>
        <v>0</v>
      </c>
      <c r="T407" s="8">
        <f>IF($D407='[2]Beam '!T$44,$P407*'[2]Beam '!T$45,0)</f>
        <v>0</v>
      </c>
      <c r="U407" s="8">
        <f>IF($D407='[2]Beam '!U$44,$P407*'[2]Beam '!U$45,0)</f>
        <v>0</v>
      </c>
      <c r="V407" s="8">
        <f>IF($D407='[2]Beam '!V$44,$P407*'[2]Beam '!V$45,0)</f>
        <v>0</v>
      </c>
      <c r="W407" s="8">
        <f>IF($D407='[2]Beam '!W$44,$P407*'[2]Beam '!W$45,0)</f>
        <v>0</v>
      </c>
      <c r="X407" s="8">
        <f t="shared" si="82"/>
        <v>31.579428571428576</v>
      </c>
      <c r="Y407" s="8"/>
      <c r="Z407" s="8"/>
      <c r="AA407" s="8"/>
      <c r="AB407" s="8"/>
      <c r="AC407" s="8"/>
      <c r="AD407" s="8"/>
      <c r="AE407" s="8"/>
      <c r="AF407" s="8"/>
    </row>
    <row r="408" spans="1:32" s="10" customFormat="1" ht="20.100000000000001" customHeight="1" x14ac:dyDescent="0.25">
      <c r="A408" s="14"/>
      <c r="B408" s="8" t="s">
        <v>2</v>
      </c>
      <c r="C408" s="13" t="s">
        <v>8</v>
      </c>
      <c r="D408" s="14">
        <f>D407</f>
        <v>10</v>
      </c>
      <c r="E408" s="14">
        <v>0.125</v>
      </c>
      <c r="F408" s="8">
        <f>ROUNDUP((E402/3)/E408,0)+1</f>
        <v>9</v>
      </c>
      <c r="H408" s="14"/>
      <c r="I408" s="14"/>
      <c r="J408" s="14"/>
      <c r="K408" s="14"/>
      <c r="L408" s="14"/>
      <c r="M408" s="14"/>
      <c r="N408" s="14"/>
      <c r="O408" s="8">
        <f>(2*((G402-(2*'[2]Beam '!$D$11))+(F402-(2*'[2]Beam '!$D$11)))+(2*10*D408/1000))*D402</f>
        <v>2.5600000000000005</v>
      </c>
      <c r="P408" s="8">
        <f t="shared" si="81"/>
        <v>23.040000000000006</v>
      </c>
      <c r="Q408" s="8">
        <f>IF($D408='[2]Beam '!Q$44,$P408*'[2]Beam '!Q$45,0)</f>
        <v>0</v>
      </c>
      <c r="R408" s="8">
        <f>IF($D408='[2]Beam '!R$44,$P408*'[2]Beam '!R$45,0)</f>
        <v>14.210742857142861</v>
      </c>
      <c r="S408" s="8">
        <f>IF($D408='[2]Beam '!S$44,$P408*'[2]Beam '!S$45,0)</f>
        <v>0</v>
      </c>
      <c r="T408" s="8">
        <f>IF($D408='[2]Beam '!T$44,$P408*'[2]Beam '!T$45,0)</f>
        <v>0</v>
      </c>
      <c r="U408" s="8">
        <f>IF($D408='[2]Beam '!U$44,$P408*'[2]Beam '!U$45,0)</f>
        <v>0</v>
      </c>
      <c r="V408" s="8">
        <f>IF($D408='[2]Beam '!V$44,$P408*'[2]Beam '!V$45,0)</f>
        <v>0</v>
      </c>
      <c r="W408" s="8">
        <f>IF($D408='[2]Beam '!W$44,$P408*'[2]Beam '!W$45,0)</f>
        <v>0</v>
      </c>
      <c r="X408" s="8">
        <f t="shared" si="82"/>
        <v>14.210742857142861</v>
      </c>
      <c r="Y408" s="14"/>
      <c r="Z408" s="8"/>
      <c r="AA408" s="8"/>
      <c r="AB408" s="8"/>
      <c r="AC408" s="8"/>
      <c r="AD408" s="8"/>
      <c r="AE408" s="8"/>
    </row>
    <row r="409" spans="1:32" s="10" customFormat="1" ht="19.5" customHeight="1" x14ac:dyDescent="0.25">
      <c r="A409" s="7"/>
      <c r="B409" s="8" t="s">
        <v>2</v>
      </c>
      <c r="C409" s="13" t="s">
        <v>10</v>
      </c>
      <c r="D409" s="8">
        <f>+'[2]Beam '!$D$15</f>
        <v>25</v>
      </c>
      <c r="E409" s="8">
        <f>+'[2]Beam '!$E$15</f>
        <v>1</v>
      </c>
      <c r="F409" s="8">
        <f>ROUNDUP((E402)/E409,0)</f>
        <v>3</v>
      </c>
      <c r="G409" s="9"/>
      <c r="H409" s="9"/>
      <c r="I409" s="8"/>
      <c r="J409" s="8"/>
      <c r="K409" s="8"/>
      <c r="L409" s="8"/>
      <c r="M409" s="8"/>
      <c r="N409" s="8"/>
      <c r="O409" s="8">
        <f>F402-'[2]Beam '!$F$15</f>
        <v>0.14000000000000001</v>
      </c>
      <c r="P409" s="8">
        <f t="shared" si="81"/>
        <v>0.42000000000000004</v>
      </c>
      <c r="Q409" s="8">
        <f>IF($D409='[2]Beam '!Q$44,$P409*'[2]Beam '!Q$45,0)</f>
        <v>0</v>
      </c>
      <c r="R409" s="8">
        <f>IF($D409='[2]Beam '!R$44,$P409*'[2]Beam '!R$45,0)</f>
        <v>0</v>
      </c>
      <c r="S409" s="8">
        <f>IF($D409='[2]Beam '!S$44,$P409*'[2]Beam '!S$45,0)</f>
        <v>0</v>
      </c>
      <c r="T409" s="8">
        <f>IF($D409='[2]Beam '!T$44,$P409*'[2]Beam '!T$45,0)</f>
        <v>0</v>
      </c>
      <c r="U409" s="8">
        <f>IF($D409='[2]Beam '!U$44,$P409*'[2]Beam '!U$45,0)</f>
        <v>0</v>
      </c>
      <c r="V409" s="8">
        <f>IF($D409='[2]Beam '!V$44,$P409*'[2]Beam '!V$45,0)</f>
        <v>1.6190625000000003</v>
      </c>
      <c r="W409" s="8">
        <f>IF($D409='[2]Beam '!W$44,$P409*'[2]Beam '!W$45,0)</f>
        <v>0</v>
      </c>
      <c r="X409" s="8">
        <f t="shared" si="82"/>
        <v>1.6190625000000003</v>
      </c>
      <c r="Y409" s="8"/>
      <c r="Z409" s="8"/>
      <c r="AA409" s="8"/>
      <c r="AB409" s="8"/>
      <c r="AC409" s="8"/>
      <c r="AD409" s="8"/>
      <c r="AE409" s="8"/>
    </row>
    <row r="410" spans="1:32" s="10" customFormat="1" ht="20.100000000000001" customHeight="1" x14ac:dyDescent="0.25">
      <c r="A410" s="8">
        <v>1</v>
      </c>
      <c r="B410" s="8" t="s">
        <v>2</v>
      </c>
      <c r="C410" s="11" t="s">
        <v>56</v>
      </c>
      <c r="D410" s="11">
        <v>1</v>
      </c>
      <c r="E410" s="11">
        <v>2.8</v>
      </c>
      <c r="F410" s="11">
        <v>0.2</v>
      </c>
      <c r="G410" s="11">
        <v>1.1000000000000001</v>
      </c>
      <c r="H410" s="8">
        <f>G410-0.2</f>
        <v>0.90000000000000013</v>
      </c>
      <c r="I410" s="8">
        <f>E410*F410*G410*D410</f>
        <v>0.61599999999999999</v>
      </c>
      <c r="J410" s="8">
        <f>(2*(E410)*H410*D410)+(E410*F410)</f>
        <v>5.6</v>
      </c>
      <c r="K410" s="12">
        <f>IF(E410=0.3,J410,0)</f>
        <v>0</v>
      </c>
      <c r="L410" s="12">
        <f>IF(AND(E410&gt;0.3,E410&lt;=0.75),J410,0)</f>
        <v>0</v>
      </c>
      <c r="M410" s="12">
        <f>IF(AND(E410&gt;0.75,E410&lt;=1.2),J410,0)</f>
        <v>0</v>
      </c>
      <c r="N410" s="12">
        <f>IF(E410&gt;1.2,J410,0)</f>
        <v>5.6</v>
      </c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>
        <f>SUM(X411:X416)/I410</f>
        <v>175.80283265306124</v>
      </c>
      <c r="Z410" s="8"/>
      <c r="AA410" s="8"/>
      <c r="AB410" s="8"/>
      <c r="AC410" s="8"/>
      <c r="AD410" s="8"/>
      <c r="AE410" s="8"/>
    </row>
    <row r="411" spans="1:32" s="10" customFormat="1" ht="20.100000000000001" customHeight="1" x14ac:dyDescent="0.25">
      <c r="A411" s="7"/>
      <c r="B411" s="8" t="s">
        <v>2</v>
      </c>
      <c r="C411" s="13" t="s">
        <v>4</v>
      </c>
      <c r="D411" s="8">
        <v>20</v>
      </c>
      <c r="E411" s="8"/>
      <c r="F411" s="8">
        <v>2</v>
      </c>
      <c r="G411" s="9">
        <f>VLOOKUP(D411,'[2]Beam '!$C$20:$H$26,3,0)</f>
        <v>0.8</v>
      </c>
      <c r="H411" s="9"/>
      <c r="I411" s="8"/>
      <c r="J411" s="8"/>
      <c r="K411" s="8"/>
      <c r="L411" s="8"/>
      <c r="M411" s="8"/>
      <c r="N411" s="8"/>
      <c r="O411" s="8">
        <f>(E410+2*(G411+(12*D411/1000))*D410)</f>
        <v>4.88</v>
      </c>
      <c r="P411" s="8">
        <f t="shared" ref="P411:P417" si="83">O411*F411</f>
        <v>9.76</v>
      </c>
      <c r="Q411" s="8">
        <f>IF($D411='[2]Beam '!Q$44,$P411*'[2]Beam '!Q$45,0)</f>
        <v>0</v>
      </c>
      <c r="R411" s="8">
        <f>IF($D411='[2]Beam '!R$44,$P411*'[2]Beam '!R$45,0)</f>
        <v>0</v>
      </c>
      <c r="S411" s="8">
        <f>IF($D411='[2]Beam '!S$44,$P411*'[2]Beam '!S$45,0)</f>
        <v>0</v>
      </c>
      <c r="T411" s="8">
        <f>IF($D411='[2]Beam '!T$44,$P411*'[2]Beam '!T$45,0)</f>
        <v>0</v>
      </c>
      <c r="U411" s="8">
        <f>IF($D411='[2]Beam '!U$44,$P411*'[2]Beam '!U$45,0)</f>
        <v>24.079314285714286</v>
      </c>
      <c r="V411" s="8">
        <f>IF($D411='[2]Beam '!V$44,$P411*'[2]Beam '!V$45,0)</f>
        <v>0</v>
      </c>
      <c r="W411" s="8">
        <f>IF($D411='[2]Beam '!W$44,$P411*'[2]Beam '!W$45,0)</f>
        <v>0</v>
      </c>
      <c r="X411" s="8">
        <f t="shared" ref="X411:X417" si="84">SUM(Q411:W411)</f>
        <v>24.079314285714286</v>
      </c>
      <c r="Y411" s="8"/>
      <c r="Z411" s="8"/>
      <c r="AA411" s="8"/>
      <c r="AB411" s="8"/>
      <c r="AC411" s="8"/>
      <c r="AD411" s="8"/>
      <c r="AE411" s="8"/>
    </row>
    <row r="412" spans="1:32" s="10" customFormat="1" ht="20.100000000000001" customHeight="1" x14ac:dyDescent="0.25">
      <c r="A412" s="7"/>
      <c r="B412" s="8" t="s">
        <v>2</v>
      </c>
      <c r="C412" s="13" t="s">
        <v>5</v>
      </c>
      <c r="D412" s="8">
        <v>12</v>
      </c>
      <c r="E412" s="8"/>
      <c r="F412" s="8">
        <v>2</v>
      </c>
      <c r="G412" s="9">
        <f>VLOOKUP(D412,'[2]Beam '!$C$20:$H$26,3,0)</f>
        <v>0.47499999999999998</v>
      </c>
      <c r="H412" s="9"/>
      <c r="I412" s="8"/>
      <c r="J412" s="8"/>
      <c r="K412" s="8"/>
      <c r="L412" s="8"/>
      <c r="M412" s="8"/>
      <c r="N412" s="8"/>
      <c r="O412" s="8">
        <f>(E410+2*(G412+(12*D412/1000))*D410)</f>
        <v>4.0380000000000003</v>
      </c>
      <c r="P412" s="8">
        <f t="shared" si="83"/>
        <v>8.0760000000000005</v>
      </c>
      <c r="Q412" s="8">
        <f>IF($D412='[2]Beam '!Q$44,$P412*'[2]Beam '!Q$45,0)</f>
        <v>0</v>
      </c>
      <c r="R412" s="8">
        <f>IF($D412='[2]Beam '!R$44,$P412*'[2]Beam '!R$45,0)</f>
        <v>0</v>
      </c>
      <c r="S412" s="8">
        <f>IF($D412='[2]Beam '!S$44,$P412*'[2]Beam '!S$45,0)</f>
        <v>7.1728724571428586</v>
      </c>
      <c r="T412" s="8">
        <f>IF($D412='[2]Beam '!T$44,$P412*'[2]Beam '!T$45,0)</f>
        <v>0</v>
      </c>
      <c r="U412" s="8">
        <f>IF($D412='[2]Beam '!U$44,$P412*'[2]Beam '!U$45,0)</f>
        <v>0</v>
      </c>
      <c r="V412" s="8">
        <f>IF($D412='[2]Beam '!V$44,$P412*'[2]Beam '!V$45,0)</f>
        <v>0</v>
      </c>
      <c r="W412" s="8">
        <f>IF($D412='[2]Beam '!W$44,$P412*'[2]Beam '!W$45,0)</f>
        <v>0</v>
      </c>
      <c r="X412" s="8">
        <f t="shared" si="84"/>
        <v>7.1728724571428586</v>
      </c>
      <c r="Y412" s="8"/>
      <c r="Z412" s="8"/>
      <c r="AA412" s="8"/>
      <c r="AB412" s="8"/>
      <c r="AC412" s="8"/>
      <c r="AD412" s="8"/>
      <c r="AE412" s="8"/>
    </row>
    <row r="413" spans="1:32" s="14" customFormat="1" ht="20.100000000000001" customHeight="1" x14ac:dyDescent="0.3">
      <c r="A413" s="7"/>
      <c r="B413" s="8" t="s">
        <v>2</v>
      </c>
      <c r="C413" s="13" t="s">
        <v>6</v>
      </c>
      <c r="D413" s="8">
        <v>20</v>
      </c>
      <c r="E413" s="8"/>
      <c r="F413" s="8">
        <v>2</v>
      </c>
      <c r="G413" s="9">
        <f>VLOOKUP(D413,'[2]Beam '!$C$20:$H$26,3,0)</f>
        <v>0.8</v>
      </c>
      <c r="H413" s="8"/>
      <c r="I413" s="8"/>
      <c r="J413" s="8"/>
      <c r="K413" s="8"/>
      <c r="L413" s="8"/>
      <c r="M413" s="8"/>
      <c r="N413" s="8"/>
      <c r="O413" s="8">
        <f>(E410+2*(G413+(12*D413/1000))*D410)</f>
        <v>4.88</v>
      </c>
      <c r="P413" s="8">
        <f t="shared" si="83"/>
        <v>9.76</v>
      </c>
      <c r="Q413" s="8">
        <f>IF($D413='[2]Beam '!Q$44,$P413*'[2]Beam '!Q$45,0)</f>
        <v>0</v>
      </c>
      <c r="R413" s="8">
        <f>IF($D413='[2]Beam '!R$44,$P413*'[2]Beam '!R$45,0)</f>
        <v>0</v>
      </c>
      <c r="S413" s="8">
        <f>IF($D413='[2]Beam '!S$44,$P413*'[2]Beam '!S$45,0)</f>
        <v>0</v>
      </c>
      <c r="T413" s="8">
        <f>IF($D413='[2]Beam '!T$44,$P413*'[2]Beam '!T$45,0)</f>
        <v>0</v>
      </c>
      <c r="U413" s="8">
        <f>IF($D413='[2]Beam '!U$44,$P413*'[2]Beam '!U$45,0)</f>
        <v>24.079314285714286</v>
      </c>
      <c r="V413" s="8">
        <f>IF($D413='[2]Beam '!V$44,$P413*'[2]Beam '!V$45,0)</f>
        <v>0</v>
      </c>
      <c r="W413" s="8">
        <f>IF($D413='[2]Beam '!W$44,$P413*'[2]Beam '!W$45,0)</f>
        <v>0</v>
      </c>
      <c r="X413" s="8">
        <f t="shared" si="84"/>
        <v>24.079314285714286</v>
      </c>
      <c r="Y413" s="8"/>
    </row>
    <row r="414" spans="1:32" s="10" customFormat="1" ht="20.100000000000001" customHeight="1" x14ac:dyDescent="0.25">
      <c r="A414" s="7"/>
      <c r="B414" s="8" t="s">
        <v>2</v>
      </c>
      <c r="C414" s="13" t="s">
        <v>7</v>
      </c>
      <c r="D414" s="8">
        <v>12</v>
      </c>
      <c r="E414" s="8"/>
      <c r="F414" s="8">
        <v>2</v>
      </c>
      <c r="G414" s="9">
        <f>VLOOKUP(D414,'[2]Beam '!$C$20:$H$26,3,0)</f>
        <v>0.47499999999999998</v>
      </c>
      <c r="H414" s="8"/>
      <c r="I414" s="8"/>
      <c r="J414" s="8"/>
      <c r="K414" s="8"/>
      <c r="L414" s="8"/>
      <c r="M414" s="8"/>
      <c r="N414" s="8"/>
      <c r="O414" s="8">
        <f>(E410+2*(G414+(12*D414/1000))*D410)</f>
        <v>4.0380000000000003</v>
      </c>
      <c r="P414" s="8">
        <f t="shared" si="83"/>
        <v>8.0760000000000005</v>
      </c>
      <c r="Q414" s="8">
        <f>IF($D414='[2]Beam '!Q$44,$P414*'[2]Beam '!Q$45,0)</f>
        <v>0</v>
      </c>
      <c r="R414" s="8">
        <f>IF($D414='[2]Beam '!R$44,$P414*'[2]Beam '!R$45,0)</f>
        <v>0</v>
      </c>
      <c r="S414" s="8">
        <f>IF($D414='[2]Beam '!S$44,$P414*'[2]Beam '!S$45,0)</f>
        <v>7.1728724571428586</v>
      </c>
      <c r="T414" s="8">
        <f>IF($D414='[2]Beam '!T$44,$P414*'[2]Beam '!T$45,0)</f>
        <v>0</v>
      </c>
      <c r="U414" s="8">
        <f>IF($D414='[2]Beam '!U$44,$P414*'[2]Beam '!U$45,0)</f>
        <v>0</v>
      </c>
      <c r="V414" s="8">
        <f>IF($D414='[2]Beam '!V$44,$P414*'[2]Beam '!V$45,0)</f>
        <v>0</v>
      </c>
      <c r="W414" s="8">
        <f>IF($D414='[2]Beam '!W$44,$P414*'[2]Beam '!W$45,0)</f>
        <v>0</v>
      </c>
      <c r="X414" s="8">
        <f t="shared" si="84"/>
        <v>7.1728724571428586</v>
      </c>
      <c r="Y414" s="8"/>
      <c r="Z414" s="8"/>
      <c r="AA414" s="8"/>
      <c r="AB414" s="8"/>
      <c r="AC414" s="8"/>
      <c r="AD414" s="8"/>
      <c r="AE414" s="8"/>
    </row>
    <row r="415" spans="1:32" s="10" customFormat="1" ht="21" customHeight="1" x14ac:dyDescent="0.25">
      <c r="A415" s="7"/>
      <c r="B415" s="8" t="s">
        <v>2</v>
      </c>
      <c r="C415" s="13" t="s">
        <v>8</v>
      </c>
      <c r="D415" s="8">
        <v>10</v>
      </c>
      <c r="E415" s="8">
        <v>0.1</v>
      </c>
      <c r="F415" s="8">
        <f>ROUNDUP((E410/3*2)/E415,0)+1</f>
        <v>20</v>
      </c>
      <c r="H415" s="8"/>
      <c r="I415" s="8"/>
      <c r="J415" s="8"/>
      <c r="K415" s="8"/>
      <c r="L415" s="8"/>
      <c r="M415" s="8"/>
      <c r="N415" s="8"/>
      <c r="O415" s="8">
        <f>(2*((G410-(2*'[2]Beam '!$D$11))+(F410-(2*'[2]Beam '!$D$11)))+(2*10*D415/1000))*D410</f>
        <v>2.5600000000000005</v>
      </c>
      <c r="P415" s="8">
        <f t="shared" si="83"/>
        <v>51.20000000000001</v>
      </c>
      <c r="Q415" s="8">
        <f>IF($D415='[2]Beam '!Q$44,$P415*'[2]Beam '!Q$45,0)</f>
        <v>0</v>
      </c>
      <c r="R415" s="8">
        <f>IF($D415='[2]Beam '!R$44,$P415*'[2]Beam '!R$45,0)</f>
        <v>31.579428571428576</v>
      </c>
      <c r="S415" s="8">
        <f>IF($D415='[2]Beam '!S$44,$P415*'[2]Beam '!S$45,0)</f>
        <v>0</v>
      </c>
      <c r="T415" s="8">
        <f>IF($D415='[2]Beam '!T$44,$P415*'[2]Beam '!T$45,0)</f>
        <v>0</v>
      </c>
      <c r="U415" s="8">
        <f>IF($D415='[2]Beam '!U$44,$P415*'[2]Beam '!U$45,0)</f>
        <v>0</v>
      </c>
      <c r="V415" s="8">
        <f>IF($D415='[2]Beam '!V$44,$P415*'[2]Beam '!V$45,0)</f>
        <v>0</v>
      </c>
      <c r="W415" s="8">
        <f>IF($D415='[2]Beam '!W$44,$P415*'[2]Beam '!W$45,0)</f>
        <v>0</v>
      </c>
      <c r="X415" s="8">
        <f t="shared" si="84"/>
        <v>31.579428571428576</v>
      </c>
      <c r="Y415" s="8"/>
      <c r="Z415" s="8"/>
      <c r="AA415" s="8"/>
      <c r="AB415" s="8"/>
      <c r="AC415" s="8"/>
      <c r="AD415" s="8"/>
      <c r="AE415" s="8"/>
      <c r="AF415" s="8"/>
    </row>
    <row r="416" spans="1:32" s="10" customFormat="1" ht="20.100000000000001" customHeight="1" x14ac:dyDescent="0.25">
      <c r="A416" s="14"/>
      <c r="B416" s="8" t="s">
        <v>2</v>
      </c>
      <c r="C416" s="13" t="s">
        <v>8</v>
      </c>
      <c r="D416" s="14">
        <f>D415</f>
        <v>10</v>
      </c>
      <c r="E416" s="14">
        <v>0.125</v>
      </c>
      <c r="F416" s="8">
        <f>ROUNDUP((E410/3)/E416,0)+1</f>
        <v>9</v>
      </c>
      <c r="H416" s="14"/>
      <c r="I416" s="14"/>
      <c r="J416" s="14"/>
      <c r="K416" s="14"/>
      <c r="L416" s="14"/>
      <c r="M416" s="14"/>
      <c r="N416" s="14"/>
      <c r="O416" s="8">
        <f>(2*((G410-(2*'[2]Beam '!$D$11))+(F410-(2*'[2]Beam '!$D$11)))+(2*10*D416/1000))*D410</f>
        <v>2.5600000000000005</v>
      </c>
      <c r="P416" s="8">
        <f t="shared" si="83"/>
        <v>23.040000000000006</v>
      </c>
      <c r="Q416" s="8">
        <f>IF($D416='[2]Beam '!Q$44,$P416*'[2]Beam '!Q$45,0)</f>
        <v>0</v>
      </c>
      <c r="R416" s="8">
        <f>IF($D416='[2]Beam '!R$44,$P416*'[2]Beam '!R$45,0)</f>
        <v>14.210742857142861</v>
      </c>
      <c r="S416" s="8">
        <f>IF($D416='[2]Beam '!S$44,$P416*'[2]Beam '!S$45,0)</f>
        <v>0</v>
      </c>
      <c r="T416" s="8">
        <f>IF($D416='[2]Beam '!T$44,$P416*'[2]Beam '!T$45,0)</f>
        <v>0</v>
      </c>
      <c r="U416" s="8">
        <f>IF($D416='[2]Beam '!U$44,$P416*'[2]Beam '!U$45,0)</f>
        <v>0</v>
      </c>
      <c r="V416" s="8">
        <f>IF($D416='[2]Beam '!V$44,$P416*'[2]Beam '!V$45,0)</f>
        <v>0</v>
      </c>
      <c r="W416" s="8">
        <f>IF($D416='[2]Beam '!W$44,$P416*'[2]Beam '!W$45,0)</f>
        <v>0</v>
      </c>
      <c r="X416" s="8">
        <f t="shared" si="84"/>
        <v>14.210742857142861</v>
      </c>
      <c r="Y416" s="14"/>
      <c r="Z416" s="8"/>
      <c r="AA416" s="8"/>
      <c r="AB416" s="8"/>
      <c r="AC416" s="8"/>
      <c r="AD416" s="8"/>
      <c r="AE416" s="8"/>
    </row>
    <row r="417" spans="1:32" s="10" customFormat="1" ht="20.100000000000001" customHeight="1" x14ac:dyDescent="0.25">
      <c r="A417" s="7"/>
      <c r="B417" s="8" t="s">
        <v>2</v>
      </c>
      <c r="C417" s="13" t="s">
        <v>10</v>
      </c>
      <c r="D417" s="8">
        <f>+'[2]Beam '!$D$15</f>
        <v>25</v>
      </c>
      <c r="E417" s="8">
        <f>+'[2]Beam '!$E$15</f>
        <v>1</v>
      </c>
      <c r="F417" s="8">
        <f>ROUNDUP((E410)/E417,0)</f>
        <v>3</v>
      </c>
      <c r="G417" s="9"/>
      <c r="H417" s="9"/>
      <c r="I417" s="8"/>
      <c r="J417" s="8"/>
      <c r="K417" s="8"/>
      <c r="L417" s="8"/>
      <c r="M417" s="8"/>
      <c r="N417" s="8"/>
      <c r="O417" s="8">
        <f>F410-'[2]Beam '!$F$15</f>
        <v>0.14000000000000001</v>
      </c>
      <c r="P417" s="8">
        <f t="shared" si="83"/>
        <v>0.42000000000000004</v>
      </c>
      <c r="Q417" s="8">
        <f>IF($D417='[2]Beam '!Q$44,$P417*'[2]Beam '!Q$45,0)</f>
        <v>0</v>
      </c>
      <c r="R417" s="8">
        <f>IF($D417='[2]Beam '!R$44,$P417*'[2]Beam '!R$45,0)</f>
        <v>0</v>
      </c>
      <c r="S417" s="8">
        <f>IF($D417='[2]Beam '!S$44,$P417*'[2]Beam '!S$45,0)</f>
        <v>0</v>
      </c>
      <c r="T417" s="8">
        <f>IF($D417='[2]Beam '!T$44,$P417*'[2]Beam '!T$45,0)</f>
        <v>0</v>
      </c>
      <c r="U417" s="8">
        <f>IF($D417='[2]Beam '!U$44,$P417*'[2]Beam '!U$45,0)</f>
        <v>0</v>
      </c>
      <c r="V417" s="8">
        <f>IF($D417='[2]Beam '!V$44,$P417*'[2]Beam '!V$45,0)</f>
        <v>1.6190625000000003</v>
      </c>
      <c r="W417" s="8">
        <f>IF($D417='[2]Beam '!W$44,$P417*'[2]Beam '!W$45,0)</f>
        <v>0</v>
      </c>
      <c r="X417" s="8">
        <f t="shared" si="84"/>
        <v>1.6190625000000003</v>
      </c>
      <c r="Y417" s="8"/>
      <c r="Z417" s="8"/>
      <c r="AA417" s="8"/>
      <c r="AB417" s="8"/>
      <c r="AC417" s="8"/>
      <c r="AD417" s="8"/>
      <c r="AE417" s="8"/>
    </row>
    <row r="418" spans="1:32" s="10" customFormat="1" ht="20.100000000000001" customHeight="1" x14ac:dyDescent="0.25">
      <c r="A418" s="8">
        <v>1</v>
      </c>
      <c r="B418" s="8" t="s">
        <v>2</v>
      </c>
      <c r="C418" s="11" t="s">
        <v>57</v>
      </c>
      <c r="D418" s="11">
        <v>1</v>
      </c>
      <c r="E418" s="11">
        <v>1.73</v>
      </c>
      <c r="F418" s="11">
        <v>0.2</v>
      </c>
      <c r="G418" s="11">
        <v>1.1000000000000001</v>
      </c>
      <c r="H418" s="8">
        <f>G418-0.2</f>
        <v>0.90000000000000013</v>
      </c>
      <c r="I418" s="8">
        <f>E418*F418*G418*D418</f>
        <v>0.38060000000000005</v>
      </c>
      <c r="J418" s="8">
        <f>(2*(E418)*H418*D418)+(E418*F418)</f>
        <v>3.4600000000000004</v>
      </c>
      <c r="K418" s="12">
        <f>IF(E418=0.3,J418,0)</f>
        <v>0</v>
      </c>
      <c r="L418" s="12">
        <f>IF(AND(E418&gt;0.3,E418&lt;=0.75),J418,0)</f>
        <v>0</v>
      </c>
      <c r="M418" s="12">
        <f>IF(AND(E418&gt;0.75,E418&lt;=1.2),J418,0)</f>
        <v>0</v>
      </c>
      <c r="N418" s="12">
        <f>IF(E418&gt;1.2,J418,0)</f>
        <v>3.4600000000000004</v>
      </c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>
        <f>SUM(X419:X422)/I418</f>
        <v>225.67239636663916</v>
      </c>
      <c r="Z418" s="8"/>
      <c r="AA418" s="8"/>
      <c r="AB418" s="8"/>
      <c r="AC418" s="8"/>
      <c r="AD418" s="8"/>
      <c r="AE418" s="8"/>
    </row>
    <row r="419" spans="1:32" s="10" customFormat="1" ht="20.100000000000001" customHeight="1" x14ac:dyDescent="0.25">
      <c r="A419" s="7"/>
      <c r="B419" s="8" t="s">
        <v>2</v>
      </c>
      <c r="C419" s="13" t="s">
        <v>4</v>
      </c>
      <c r="D419" s="8">
        <v>20</v>
      </c>
      <c r="E419" s="8"/>
      <c r="F419" s="8">
        <v>2</v>
      </c>
      <c r="G419" s="9">
        <f>VLOOKUP(D419,'[2]Beam '!$C$20:$H$26,3,0)</f>
        <v>0.8</v>
      </c>
      <c r="H419" s="9"/>
      <c r="I419" s="8"/>
      <c r="J419" s="8"/>
      <c r="K419" s="8"/>
      <c r="L419" s="8"/>
      <c r="M419" s="8"/>
      <c r="N419" s="8"/>
      <c r="O419" s="8">
        <f>(E418+1*(G419+(12*D419/1000))+1*(0.5/2)*D418)</f>
        <v>3.02</v>
      </c>
      <c r="P419" s="8">
        <f>O419*F419</f>
        <v>6.04</v>
      </c>
      <c r="Q419" s="8">
        <f>IF($D419='[2]Beam '!Q$44,$P419*'[2]Beam '!Q$45,0)</f>
        <v>0</v>
      </c>
      <c r="R419" s="8">
        <f>IF($D419='[2]Beam '!R$44,$P419*'[2]Beam '!R$45,0)</f>
        <v>0</v>
      </c>
      <c r="S419" s="8">
        <f>IF($D419='[2]Beam '!S$44,$P419*'[2]Beam '!S$45,0)</f>
        <v>0</v>
      </c>
      <c r="T419" s="8">
        <f>IF($D419='[2]Beam '!T$44,$P419*'[2]Beam '!T$45,0)</f>
        <v>0</v>
      </c>
      <c r="U419" s="8">
        <f>IF($D419='[2]Beam '!U$44,$P419*'[2]Beam '!U$45,0)</f>
        <v>14.901542857142857</v>
      </c>
      <c r="V419" s="8">
        <f>IF($D419='[2]Beam '!V$44,$P419*'[2]Beam '!V$45,0)</f>
        <v>0</v>
      </c>
      <c r="W419" s="8">
        <f>IF($D419='[2]Beam '!W$44,$P419*'[2]Beam '!W$45,0)</f>
        <v>0</v>
      </c>
      <c r="X419" s="8">
        <f>SUM(Q419:W419)</f>
        <v>14.901542857142857</v>
      </c>
      <c r="Y419" s="8"/>
      <c r="Z419" s="8"/>
      <c r="AA419" s="8"/>
      <c r="AB419" s="8"/>
      <c r="AC419" s="8"/>
      <c r="AD419" s="8"/>
      <c r="AE419" s="8"/>
    </row>
    <row r="420" spans="1:32" s="10" customFormat="1" ht="20.100000000000001" customHeight="1" x14ac:dyDescent="0.25">
      <c r="A420" s="7"/>
      <c r="B420" s="8" t="s">
        <v>2</v>
      </c>
      <c r="C420" s="13" t="s">
        <v>6</v>
      </c>
      <c r="D420" s="8">
        <v>20</v>
      </c>
      <c r="E420" s="8"/>
      <c r="F420" s="8">
        <v>2</v>
      </c>
      <c r="G420" s="9">
        <f>VLOOKUP(D420,'[2]Beam '!$C$20:$H$26,3,0)</f>
        <v>0.8</v>
      </c>
      <c r="H420" s="8"/>
      <c r="I420" s="8"/>
      <c r="J420" s="8"/>
      <c r="K420" s="8"/>
      <c r="L420" s="8"/>
      <c r="M420" s="8"/>
      <c r="N420" s="8"/>
      <c r="O420" s="8">
        <f>(E418+2*(G420+(12*D420/1000))*D418)</f>
        <v>3.81</v>
      </c>
      <c r="P420" s="8">
        <f>O420*F420</f>
        <v>7.62</v>
      </c>
      <c r="Q420" s="8">
        <f>IF($D420='[2]Beam '!Q$44,$P420*'[2]Beam '!Q$45,0)</f>
        <v>0</v>
      </c>
      <c r="R420" s="8">
        <f>IF($D420='[2]Beam '!R$44,$P420*'[2]Beam '!R$45,0)</f>
        <v>0</v>
      </c>
      <c r="S420" s="8">
        <f>IF($D420='[2]Beam '!S$44,$P420*'[2]Beam '!S$45,0)</f>
        <v>0</v>
      </c>
      <c r="T420" s="8">
        <f>IF($D420='[2]Beam '!T$44,$P420*'[2]Beam '!T$45,0)</f>
        <v>0</v>
      </c>
      <c r="U420" s="8">
        <f>IF($D420='[2]Beam '!U$44,$P420*'[2]Beam '!U$45,0)</f>
        <v>18.79962857142857</v>
      </c>
      <c r="V420" s="8">
        <f>IF($D420='[2]Beam '!V$44,$P420*'[2]Beam '!V$45,0)</f>
        <v>0</v>
      </c>
      <c r="W420" s="8">
        <f>IF($D420='[2]Beam '!W$44,$P420*'[2]Beam '!W$45,0)</f>
        <v>0</v>
      </c>
      <c r="X420" s="8">
        <f>SUM(Q420:W420)</f>
        <v>18.79962857142857</v>
      </c>
      <c r="Y420" s="8"/>
      <c r="Z420" s="8"/>
      <c r="AA420" s="8"/>
      <c r="AB420" s="8"/>
      <c r="AC420" s="8"/>
      <c r="AD420" s="8"/>
      <c r="AE420" s="8"/>
    </row>
    <row r="421" spans="1:32" s="10" customFormat="1" ht="21" customHeight="1" x14ac:dyDescent="0.25">
      <c r="A421" s="7"/>
      <c r="B421" s="8" t="s">
        <v>2</v>
      </c>
      <c r="C421" s="13" t="s">
        <v>7</v>
      </c>
      <c r="D421" s="8">
        <v>16</v>
      </c>
      <c r="E421" s="8"/>
      <c r="F421" s="8">
        <v>2</v>
      </c>
      <c r="G421" s="9">
        <f>VLOOKUP(D421,'[2]Beam '!$C$20:$H$26,3,0)</f>
        <v>0.625</v>
      </c>
      <c r="H421" s="8"/>
      <c r="I421" s="8"/>
      <c r="J421" s="8"/>
      <c r="K421" s="8"/>
      <c r="L421" s="8"/>
      <c r="M421" s="8"/>
      <c r="N421" s="8"/>
      <c r="O421" s="8">
        <f>(E418+2*(G421+(12*D421/1000))*D418)</f>
        <v>3.3639999999999999</v>
      </c>
      <c r="P421" s="8">
        <f>O421*F421</f>
        <v>6.7279999999999998</v>
      </c>
      <c r="Q421" s="8">
        <f>IF($D421='[2]Beam '!Q$44,$P421*'[2]Beam '!Q$45,0)</f>
        <v>0</v>
      </c>
      <c r="R421" s="8">
        <f>IF($D421='[2]Beam '!R$44,$P421*'[2]Beam '!R$45,0)</f>
        <v>0</v>
      </c>
      <c r="S421" s="8">
        <f>IF($D421='[2]Beam '!S$44,$P421*'[2]Beam '!S$45,0)</f>
        <v>0</v>
      </c>
      <c r="T421" s="8">
        <f>IF($D421='[2]Beam '!T$44,$P421*'[2]Beam '!T$45,0)</f>
        <v>10.623319771428571</v>
      </c>
      <c r="U421" s="8">
        <f>IF($D421='[2]Beam '!U$44,$P421*'[2]Beam '!U$45,0)</f>
        <v>0</v>
      </c>
      <c r="V421" s="8">
        <f>IF($D421='[2]Beam '!V$44,$P421*'[2]Beam '!V$45,0)</f>
        <v>0</v>
      </c>
      <c r="W421" s="8">
        <f>IF($D421='[2]Beam '!W$44,$P421*'[2]Beam '!W$45,0)</f>
        <v>0</v>
      </c>
      <c r="X421" s="8">
        <f>SUM(Q421:W421)</f>
        <v>10.623319771428571</v>
      </c>
      <c r="Y421" s="8"/>
      <c r="Z421" s="8"/>
      <c r="AA421" s="8"/>
      <c r="AB421" s="8"/>
      <c r="AC421" s="8"/>
      <c r="AD421" s="8"/>
      <c r="AE421" s="8"/>
      <c r="AF421" s="8"/>
    </row>
    <row r="422" spans="1:32" s="10" customFormat="1" ht="20.100000000000001" customHeight="1" x14ac:dyDescent="0.25">
      <c r="A422" s="7"/>
      <c r="B422" s="8" t="s">
        <v>2</v>
      </c>
      <c r="C422" s="13" t="s">
        <v>8</v>
      </c>
      <c r="D422" s="8">
        <v>12</v>
      </c>
      <c r="E422" s="8">
        <v>0.1</v>
      </c>
      <c r="F422" s="8">
        <f>ROUNDUP(E418/E422,0)</f>
        <v>18</v>
      </c>
      <c r="H422" s="8"/>
      <c r="I422" s="8"/>
      <c r="J422" s="8"/>
      <c r="K422" s="8"/>
      <c r="L422" s="8"/>
      <c r="M422" s="8"/>
      <c r="N422" s="8"/>
      <c r="O422" s="8">
        <f>(2*((G418-(2*'[2]Beam '!$D$11))+(F418-(2*'[2]Beam '!$D$11)))+(2*10*D422/1000))*D418</f>
        <v>2.6000000000000005</v>
      </c>
      <c r="P422" s="8">
        <f>O422*F422</f>
        <v>46.800000000000011</v>
      </c>
      <c r="Q422" s="8">
        <f>IF($D422='[2]Beam '!Q$44,$P422*'[2]Beam '!Q$45,0)</f>
        <v>0</v>
      </c>
      <c r="R422" s="8">
        <f>IF($D422='[2]Beam '!R$44,$P422*'[2]Beam '!R$45,0)</f>
        <v>0</v>
      </c>
      <c r="S422" s="8">
        <f>IF($D422='[2]Beam '!S$44,$P422*'[2]Beam '!S$45,0)</f>
        <v>41.566422857142875</v>
      </c>
      <c r="T422" s="8">
        <f>IF($D422='[2]Beam '!T$44,$P422*'[2]Beam '!T$45,0)</f>
        <v>0</v>
      </c>
      <c r="U422" s="8">
        <f>IF($D422='[2]Beam '!U$44,$P422*'[2]Beam '!U$45,0)</f>
        <v>0</v>
      </c>
      <c r="V422" s="8">
        <f>IF($D422='[2]Beam '!V$44,$P422*'[2]Beam '!V$45,0)</f>
        <v>0</v>
      </c>
      <c r="W422" s="8">
        <f>IF($D422='[2]Beam '!W$44,$P422*'[2]Beam '!W$45,0)</f>
        <v>0</v>
      </c>
      <c r="X422" s="8">
        <f>SUM(Q422:W422)</f>
        <v>41.566422857142875</v>
      </c>
      <c r="Y422" s="8"/>
      <c r="Z422" s="8"/>
      <c r="AA422" s="8"/>
      <c r="AB422" s="8"/>
      <c r="AC422" s="8"/>
      <c r="AD422" s="8"/>
      <c r="AE422" s="8"/>
    </row>
    <row r="423" spans="1:32" s="10" customFormat="1" ht="20.100000000000001" customHeight="1" x14ac:dyDescent="0.25">
      <c r="A423" s="7"/>
      <c r="B423" s="8" t="s">
        <v>2</v>
      </c>
      <c r="C423" s="13" t="s">
        <v>10</v>
      </c>
      <c r="D423" s="8">
        <f>+'[2]Beam '!$D$15</f>
        <v>25</v>
      </c>
      <c r="E423" s="8">
        <f>+'[2]Beam '!$E$15</f>
        <v>1</v>
      </c>
      <c r="F423" s="8">
        <f>ROUNDUP((E418)/E423,0)</f>
        <v>2</v>
      </c>
      <c r="G423" s="9"/>
      <c r="H423" s="9"/>
      <c r="I423" s="8"/>
      <c r="J423" s="8"/>
      <c r="K423" s="8"/>
      <c r="L423" s="8"/>
      <c r="M423" s="8"/>
      <c r="N423" s="8"/>
      <c r="O423" s="8">
        <f>F418-'[2]Beam '!$F$15</f>
        <v>0.14000000000000001</v>
      </c>
      <c r="P423" s="8">
        <f>O423*F423</f>
        <v>0.28000000000000003</v>
      </c>
      <c r="Q423" s="8">
        <f>IF($D423='[2]Beam '!Q$44,$P423*'[2]Beam '!Q$45,0)</f>
        <v>0</v>
      </c>
      <c r="R423" s="8">
        <f>IF($D423='[2]Beam '!R$44,$P423*'[2]Beam '!R$45,0)</f>
        <v>0</v>
      </c>
      <c r="S423" s="8">
        <f>IF($D423='[2]Beam '!S$44,$P423*'[2]Beam '!S$45,0)</f>
        <v>0</v>
      </c>
      <c r="T423" s="8">
        <f>IF($D423='[2]Beam '!T$44,$P423*'[2]Beam '!T$45,0)</f>
        <v>0</v>
      </c>
      <c r="U423" s="8">
        <f>IF($D423='[2]Beam '!U$44,$P423*'[2]Beam '!U$45,0)</f>
        <v>0</v>
      </c>
      <c r="V423" s="8">
        <f>IF($D423='[2]Beam '!V$44,$P423*'[2]Beam '!V$45,0)</f>
        <v>1.0793750000000002</v>
      </c>
      <c r="W423" s="8">
        <f>IF($D423='[2]Beam '!W$44,$P423*'[2]Beam '!W$45,0)</f>
        <v>0</v>
      </c>
      <c r="X423" s="8">
        <f>SUM(Q423:W423)</f>
        <v>1.0793750000000002</v>
      </c>
      <c r="Y423" s="8"/>
      <c r="Z423" s="8"/>
      <c r="AA423" s="8"/>
      <c r="AB423" s="8"/>
      <c r="AC423" s="8"/>
      <c r="AD423" s="8"/>
      <c r="AE423" s="8"/>
    </row>
    <row r="424" spans="1:32" s="10" customFormat="1" ht="20.100000000000001" customHeight="1" x14ac:dyDescent="0.25">
      <c r="A424" s="8">
        <v>1</v>
      </c>
      <c r="B424" s="8" t="s">
        <v>2</v>
      </c>
      <c r="C424" s="11" t="s">
        <v>58</v>
      </c>
      <c r="D424" s="11">
        <v>1</v>
      </c>
      <c r="E424" s="11">
        <v>1.73</v>
      </c>
      <c r="F424" s="11">
        <v>0.2</v>
      </c>
      <c r="G424" s="11">
        <v>1.1000000000000001</v>
      </c>
      <c r="H424" s="8">
        <f>G424-0.2</f>
        <v>0.90000000000000013</v>
      </c>
      <c r="I424" s="8">
        <f>E424*F424*G424*D424</f>
        <v>0.38060000000000005</v>
      </c>
      <c r="J424" s="8">
        <f>(2*(E424)*H424*D424)+(E424*F424)</f>
        <v>3.4600000000000004</v>
      </c>
      <c r="K424" s="12">
        <f>IF(E424=0.3,J424,0)</f>
        <v>0</v>
      </c>
      <c r="L424" s="12">
        <f>IF(AND(E424&gt;0.3,E424&lt;=0.75),J424,0)</f>
        <v>0</v>
      </c>
      <c r="M424" s="12">
        <f>IF(AND(E424&gt;0.75,E424&lt;=1.2),J424,0)</f>
        <v>0</v>
      </c>
      <c r="N424" s="12">
        <f>IF(E424&gt;1.2,J424,0)</f>
        <v>3.4600000000000004</v>
      </c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>
        <f>SUM(X425:X428)/I424</f>
        <v>225.67239636663916</v>
      </c>
      <c r="Z424" s="8"/>
      <c r="AA424" s="8"/>
      <c r="AB424" s="8"/>
      <c r="AC424" s="8"/>
      <c r="AD424" s="8"/>
      <c r="AE424" s="8"/>
    </row>
    <row r="425" spans="1:32" s="10" customFormat="1" ht="20.100000000000001" customHeight="1" x14ac:dyDescent="0.25">
      <c r="A425" s="7"/>
      <c r="B425" s="8" t="s">
        <v>2</v>
      </c>
      <c r="C425" s="13" t="s">
        <v>4</v>
      </c>
      <c r="D425" s="8">
        <v>20</v>
      </c>
      <c r="E425" s="8"/>
      <c r="F425" s="8">
        <v>2</v>
      </c>
      <c r="G425" s="9">
        <f>VLOOKUP(D425,'[2]Beam '!$C$20:$H$26,3,0)</f>
        <v>0.8</v>
      </c>
      <c r="H425" s="9"/>
      <c r="I425" s="8"/>
      <c r="J425" s="8"/>
      <c r="K425" s="8"/>
      <c r="L425" s="8"/>
      <c r="M425" s="8"/>
      <c r="N425" s="8"/>
      <c r="O425" s="8">
        <f>(E424+1*(G425+(12*D425/1000))+1*(0.5/2)*D424)</f>
        <v>3.02</v>
      </c>
      <c r="P425" s="8">
        <f>O425*F425</f>
        <v>6.04</v>
      </c>
      <c r="Q425" s="8">
        <f>IF($D425='[2]Beam '!Q$44,$P425*'[2]Beam '!Q$45,0)</f>
        <v>0</v>
      </c>
      <c r="R425" s="8">
        <f>IF($D425='[2]Beam '!R$44,$P425*'[2]Beam '!R$45,0)</f>
        <v>0</v>
      </c>
      <c r="S425" s="8">
        <f>IF($D425='[2]Beam '!S$44,$P425*'[2]Beam '!S$45,0)</f>
        <v>0</v>
      </c>
      <c r="T425" s="8">
        <f>IF($D425='[2]Beam '!T$44,$P425*'[2]Beam '!T$45,0)</f>
        <v>0</v>
      </c>
      <c r="U425" s="8">
        <f>IF($D425='[2]Beam '!U$44,$P425*'[2]Beam '!U$45,0)</f>
        <v>14.901542857142857</v>
      </c>
      <c r="V425" s="8">
        <f>IF($D425='[2]Beam '!V$44,$P425*'[2]Beam '!V$45,0)</f>
        <v>0</v>
      </c>
      <c r="W425" s="8">
        <f>IF($D425='[2]Beam '!W$44,$P425*'[2]Beam '!W$45,0)</f>
        <v>0</v>
      </c>
      <c r="X425" s="8">
        <f>SUM(Q425:W425)</f>
        <v>14.901542857142857</v>
      </c>
      <c r="Y425" s="8"/>
      <c r="Z425" s="8"/>
      <c r="AA425" s="8"/>
      <c r="AB425" s="8"/>
      <c r="AC425" s="8"/>
      <c r="AD425" s="8"/>
      <c r="AE425" s="8"/>
    </row>
    <row r="426" spans="1:32" s="10" customFormat="1" ht="20.100000000000001" customHeight="1" x14ac:dyDescent="0.25">
      <c r="A426" s="7"/>
      <c r="B426" s="8" t="s">
        <v>2</v>
      </c>
      <c r="C426" s="13" t="s">
        <v>6</v>
      </c>
      <c r="D426" s="8">
        <v>20</v>
      </c>
      <c r="E426" s="8"/>
      <c r="F426" s="8">
        <v>2</v>
      </c>
      <c r="G426" s="9">
        <f>VLOOKUP(D426,'[2]Beam '!$C$20:$H$26,3,0)</f>
        <v>0.8</v>
      </c>
      <c r="H426" s="8"/>
      <c r="I426" s="8"/>
      <c r="J426" s="8"/>
      <c r="K426" s="8"/>
      <c r="L426" s="8"/>
      <c r="M426" s="8"/>
      <c r="N426" s="8"/>
      <c r="O426" s="8">
        <f>(E424+2*(G426+(12*D426/1000))*D424)</f>
        <v>3.81</v>
      </c>
      <c r="P426" s="8">
        <f>O426*F426</f>
        <v>7.62</v>
      </c>
      <c r="Q426" s="8">
        <f>IF($D426='[2]Beam '!Q$44,$P426*'[2]Beam '!Q$45,0)</f>
        <v>0</v>
      </c>
      <c r="R426" s="8">
        <f>IF($D426='[2]Beam '!R$44,$P426*'[2]Beam '!R$45,0)</f>
        <v>0</v>
      </c>
      <c r="S426" s="8">
        <f>IF($D426='[2]Beam '!S$44,$P426*'[2]Beam '!S$45,0)</f>
        <v>0</v>
      </c>
      <c r="T426" s="8">
        <f>IF($D426='[2]Beam '!T$44,$P426*'[2]Beam '!T$45,0)</f>
        <v>0</v>
      </c>
      <c r="U426" s="8">
        <f>IF($D426='[2]Beam '!U$44,$P426*'[2]Beam '!U$45,0)</f>
        <v>18.79962857142857</v>
      </c>
      <c r="V426" s="8">
        <f>IF($D426='[2]Beam '!V$44,$P426*'[2]Beam '!V$45,0)</f>
        <v>0</v>
      </c>
      <c r="W426" s="8">
        <f>IF($D426='[2]Beam '!W$44,$P426*'[2]Beam '!W$45,0)</f>
        <v>0</v>
      </c>
      <c r="X426" s="8">
        <f>SUM(Q426:W426)</f>
        <v>18.79962857142857</v>
      </c>
      <c r="Y426" s="8"/>
      <c r="Z426" s="8"/>
      <c r="AA426" s="8"/>
      <c r="AB426" s="8"/>
      <c r="AC426" s="8"/>
      <c r="AD426" s="8"/>
      <c r="AE426" s="8"/>
    </row>
    <row r="427" spans="1:32" s="10" customFormat="1" ht="21" customHeight="1" x14ac:dyDescent="0.25">
      <c r="A427" s="7"/>
      <c r="B427" s="8" t="s">
        <v>2</v>
      </c>
      <c r="C427" s="13" t="s">
        <v>7</v>
      </c>
      <c r="D427" s="8">
        <v>16</v>
      </c>
      <c r="E427" s="8"/>
      <c r="F427" s="8">
        <v>2</v>
      </c>
      <c r="G427" s="9">
        <f>VLOOKUP(D427,'[2]Beam '!$C$20:$H$26,3,0)</f>
        <v>0.625</v>
      </c>
      <c r="H427" s="8"/>
      <c r="I427" s="8"/>
      <c r="J427" s="8"/>
      <c r="K427" s="8"/>
      <c r="L427" s="8"/>
      <c r="M427" s="8"/>
      <c r="N427" s="8"/>
      <c r="O427" s="8">
        <f>(E424+2*(G427+(12*D427/1000))*D424)</f>
        <v>3.3639999999999999</v>
      </c>
      <c r="P427" s="8">
        <f>O427*F427</f>
        <v>6.7279999999999998</v>
      </c>
      <c r="Q427" s="8">
        <f>IF($D427='[2]Beam '!Q$44,$P427*'[2]Beam '!Q$45,0)</f>
        <v>0</v>
      </c>
      <c r="R427" s="8">
        <f>IF($D427='[2]Beam '!R$44,$P427*'[2]Beam '!R$45,0)</f>
        <v>0</v>
      </c>
      <c r="S427" s="8">
        <f>IF($D427='[2]Beam '!S$44,$P427*'[2]Beam '!S$45,0)</f>
        <v>0</v>
      </c>
      <c r="T427" s="8">
        <f>IF($D427='[2]Beam '!T$44,$P427*'[2]Beam '!T$45,0)</f>
        <v>10.623319771428571</v>
      </c>
      <c r="U427" s="8">
        <f>IF($D427='[2]Beam '!U$44,$P427*'[2]Beam '!U$45,0)</f>
        <v>0</v>
      </c>
      <c r="V427" s="8">
        <f>IF($D427='[2]Beam '!V$44,$P427*'[2]Beam '!V$45,0)</f>
        <v>0</v>
      </c>
      <c r="W427" s="8">
        <f>IF($D427='[2]Beam '!W$44,$P427*'[2]Beam '!W$45,0)</f>
        <v>0</v>
      </c>
      <c r="X427" s="8">
        <f>SUM(Q427:W427)</f>
        <v>10.623319771428571</v>
      </c>
      <c r="Y427" s="8"/>
      <c r="Z427" s="8"/>
      <c r="AA427" s="8"/>
      <c r="AB427" s="8"/>
      <c r="AC427" s="8"/>
      <c r="AD427" s="8"/>
      <c r="AE427" s="8"/>
      <c r="AF427" s="8"/>
    </row>
    <row r="428" spans="1:32" s="10" customFormat="1" ht="20.100000000000001" customHeight="1" x14ac:dyDescent="0.25">
      <c r="A428" s="7"/>
      <c r="B428" s="8" t="s">
        <v>2</v>
      </c>
      <c r="C428" s="13" t="s">
        <v>8</v>
      </c>
      <c r="D428" s="8">
        <v>12</v>
      </c>
      <c r="E428" s="8">
        <v>0.1</v>
      </c>
      <c r="F428" s="8">
        <f>ROUNDUP(E424/E428,0)</f>
        <v>18</v>
      </c>
      <c r="H428" s="8"/>
      <c r="I428" s="8"/>
      <c r="J428" s="8"/>
      <c r="K428" s="8"/>
      <c r="L428" s="8"/>
      <c r="M428" s="8"/>
      <c r="N428" s="8"/>
      <c r="O428" s="8">
        <f>(2*((G424-(2*'[2]Beam '!$D$11))+(F424-(2*'[2]Beam '!$D$11)))+(2*10*D428/1000))*D424</f>
        <v>2.6000000000000005</v>
      </c>
      <c r="P428" s="8">
        <f>O428*F428</f>
        <v>46.800000000000011</v>
      </c>
      <c r="Q428" s="8">
        <f>IF($D428='[2]Beam '!Q$44,$P428*'[2]Beam '!Q$45,0)</f>
        <v>0</v>
      </c>
      <c r="R428" s="8">
        <f>IF($D428='[2]Beam '!R$44,$P428*'[2]Beam '!R$45,0)</f>
        <v>0</v>
      </c>
      <c r="S428" s="8">
        <f>IF($D428='[2]Beam '!S$44,$P428*'[2]Beam '!S$45,0)</f>
        <v>41.566422857142875</v>
      </c>
      <c r="T428" s="8">
        <f>IF($D428='[2]Beam '!T$44,$P428*'[2]Beam '!T$45,0)</f>
        <v>0</v>
      </c>
      <c r="U428" s="8">
        <f>IF($D428='[2]Beam '!U$44,$P428*'[2]Beam '!U$45,0)</f>
        <v>0</v>
      </c>
      <c r="V428" s="8">
        <f>IF($D428='[2]Beam '!V$44,$P428*'[2]Beam '!V$45,0)</f>
        <v>0</v>
      </c>
      <c r="W428" s="8">
        <f>IF($D428='[2]Beam '!W$44,$P428*'[2]Beam '!W$45,0)</f>
        <v>0</v>
      </c>
      <c r="X428" s="8">
        <f>SUM(Q428:W428)</f>
        <v>41.566422857142875</v>
      </c>
      <c r="Y428" s="8"/>
      <c r="Z428" s="8"/>
      <c r="AA428" s="8"/>
      <c r="AB428" s="8"/>
      <c r="AC428" s="8"/>
      <c r="AD428" s="8"/>
      <c r="AE428" s="8"/>
    </row>
    <row r="429" spans="1:32" s="10" customFormat="1" ht="20.100000000000001" customHeight="1" x14ac:dyDescent="0.25">
      <c r="A429" s="7"/>
      <c r="B429" s="8" t="s">
        <v>2</v>
      </c>
      <c r="C429" s="13" t="s">
        <v>10</v>
      </c>
      <c r="D429" s="8">
        <f>+'[2]Beam '!$D$15</f>
        <v>25</v>
      </c>
      <c r="E429" s="8">
        <f>+'[2]Beam '!$E$15</f>
        <v>1</v>
      </c>
      <c r="F429" s="8">
        <f>ROUNDUP((E424)/E429,0)</f>
        <v>2</v>
      </c>
      <c r="G429" s="9"/>
      <c r="H429" s="9"/>
      <c r="I429" s="8"/>
      <c r="J429" s="8"/>
      <c r="K429" s="8"/>
      <c r="L429" s="8"/>
      <c r="M429" s="8"/>
      <c r="N429" s="8"/>
      <c r="O429" s="8">
        <f>F424-'[2]Beam '!$F$15</f>
        <v>0.14000000000000001</v>
      </c>
      <c r="P429" s="8">
        <f>O429*F429</f>
        <v>0.28000000000000003</v>
      </c>
      <c r="Q429" s="8">
        <f>IF($D429='[2]Beam '!Q$44,$P429*'[2]Beam '!Q$45,0)</f>
        <v>0</v>
      </c>
      <c r="R429" s="8">
        <f>IF($D429='[2]Beam '!R$44,$P429*'[2]Beam '!R$45,0)</f>
        <v>0</v>
      </c>
      <c r="S429" s="8">
        <f>IF($D429='[2]Beam '!S$44,$P429*'[2]Beam '!S$45,0)</f>
        <v>0</v>
      </c>
      <c r="T429" s="8">
        <f>IF($D429='[2]Beam '!T$44,$P429*'[2]Beam '!T$45,0)</f>
        <v>0</v>
      </c>
      <c r="U429" s="8">
        <f>IF($D429='[2]Beam '!U$44,$P429*'[2]Beam '!U$45,0)</f>
        <v>0</v>
      </c>
      <c r="V429" s="8">
        <f>IF($D429='[2]Beam '!V$44,$P429*'[2]Beam '!V$45,0)</f>
        <v>1.0793750000000002</v>
      </c>
      <c r="W429" s="8">
        <f>IF($D429='[2]Beam '!W$44,$P429*'[2]Beam '!W$45,0)</f>
        <v>0</v>
      </c>
      <c r="X429" s="8">
        <f>SUM(Q429:W429)</f>
        <v>1.0793750000000002</v>
      </c>
      <c r="Y429" s="8"/>
      <c r="Z429" s="8"/>
      <c r="AA429" s="8"/>
      <c r="AB429" s="8"/>
      <c r="AC429" s="8"/>
      <c r="AD429" s="8"/>
      <c r="AE429" s="8"/>
    </row>
    <row r="430" spans="1:32" s="10" customFormat="1" ht="20.100000000000001" customHeight="1" x14ac:dyDescent="0.25">
      <c r="A430" s="8">
        <v>1</v>
      </c>
      <c r="B430" s="8" t="s">
        <v>2</v>
      </c>
      <c r="C430" s="11" t="s">
        <v>59</v>
      </c>
      <c r="D430" s="11">
        <v>1</v>
      </c>
      <c r="E430" s="11">
        <v>3.05</v>
      </c>
      <c r="F430" s="11">
        <v>0.2</v>
      </c>
      <c r="G430" s="11">
        <v>0.6</v>
      </c>
      <c r="H430" s="8">
        <f>G430-0.2</f>
        <v>0.39999999999999997</v>
      </c>
      <c r="I430" s="8">
        <f>E430*F430*G430*D430</f>
        <v>0.36599999999999999</v>
      </c>
      <c r="J430" s="8">
        <f>(2*(E430)*H430*D430)+(E430*F430)</f>
        <v>3.0499999999999994</v>
      </c>
      <c r="K430" s="12">
        <f>IF(E430=0.3,J430,0)</f>
        <v>0</v>
      </c>
      <c r="L430" s="12">
        <f>IF(AND(E430&gt;0.3,E430&lt;=0.75),J430,0)</f>
        <v>0</v>
      </c>
      <c r="M430" s="12">
        <f>IF(AND(E430&gt;0.75,E430&lt;=1.2),J430,0)</f>
        <v>0</v>
      </c>
      <c r="N430" s="12">
        <f>IF(E430&gt;1.2,J430,0)</f>
        <v>3.0499999999999994</v>
      </c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>
        <f>SUM(X431:X434)/I430</f>
        <v>178.97490148321623</v>
      </c>
      <c r="Z430" s="8"/>
      <c r="AA430" s="8"/>
      <c r="AB430" s="8"/>
      <c r="AC430" s="8"/>
      <c r="AD430" s="8"/>
      <c r="AE430" s="8"/>
    </row>
    <row r="431" spans="1:32" s="10" customFormat="1" ht="20.100000000000001" customHeight="1" x14ac:dyDescent="0.25">
      <c r="A431" s="7"/>
      <c r="B431" s="8" t="s">
        <v>2</v>
      </c>
      <c r="C431" s="13" t="s">
        <v>4</v>
      </c>
      <c r="D431" s="8">
        <v>20</v>
      </c>
      <c r="E431" s="8"/>
      <c r="F431" s="8">
        <v>2</v>
      </c>
      <c r="G431" s="9">
        <f>VLOOKUP(D431,'[2]Beam '!$C$20:$H$26,3,0)</f>
        <v>0.8</v>
      </c>
      <c r="H431" s="9"/>
      <c r="I431" s="8"/>
      <c r="J431" s="8"/>
      <c r="K431" s="8"/>
      <c r="L431" s="8"/>
      <c r="M431" s="8"/>
      <c r="N431" s="8"/>
      <c r="O431" s="8">
        <f>(E430+1*(G431+(12*D431/1000))+1*(0.5/2)*D430)</f>
        <v>4.34</v>
      </c>
      <c r="P431" s="8">
        <f>O431*F431</f>
        <v>8.68</v>
      </c>
      <c r="Q431" s="8">
        <f>IF($D431='[2]Beam '!Q$44,$P431*'[2]Beam '!Q$45,0)</f>
        <v>0</v>
      </c>
      <c r="R431" s="8">
        <f>IF($D431='[2]Beam '!R$44,$P431*'[2]Beam '!R$45,0)</f>
        <v>0</v>
      </c>
      <c r="S431" s="8">
        <f>IF($D431='[2]Beam '!S$44,$P431*'[2]Beam '!S$45,0)</f>
        <v>0</v>
      </c>
      <c r="T431" s="8">
        <f>IF($D431='[2]Beam '!T$44,$P431*'[2]Beam '!T$45,0)</f>
        <v>0</v>
      </c>
      <c r="U431" s="8">
        <f>IF($D431='[2]Beam '!U$44,$P431*'[2]Beam '!U$45,0)</f>
        <v>21.4148</v>
      </c>
      <c r="V431" s="8">
        <f>IF($D431='[2]Beam '!V$44,$P431*'[2]Beam '!V$45,0)</f>
        <v>0</v>
      </c>
      <c r="W431" s="8">
        <f>IF($D431='[2]Beam '!W$44,$P431*'[2]Beam '!W$45,0)</f>
        <v>0</v>
      </c>
      <c r="X431" s="8">
        <f>SUM(Q431:W431)</f>
        <v>21.4148</v>
      </c>
      <c r="Y431" s="8"/>
      <c r="Z431" s="8"/>
      <c r="AA431" s="8"/>
      <c r="AB431" s="8"/>
      <c r="AC431" s="8"/>
      <c r="AD431" s="8"/>
      <c r="AE431" s="8"/>
    </row>
    <row r="432" spans="1:32" s="10" customFormat="1" ht="20.100000000000001" customHeight="1" x14ac:dyDescent="0.25">
      <c r="A432" s="7"/>
      <c r="B432" s="8" t="s">
        <v>2</v>
      </c>
      <c r="C432" s="13" t="s">
        <v>6</v>
      </c>
      <c r="D432" s="8">
        <v>20</v>
      </c>
      <c r="E432" s="8"/>
      <c r="F432" s="8">
        <v>2</v>
      </c>
      <c r="G432" s="9">
        <f>VLOOKUP(D432,'[2]Beam '!$C$20:$H$26,3,0)</f>
        <v>0.8</v>
      </c>
      <c r="H432" s="8"/>
      <c r="I432" s="8"/>
      <c r="J432" s="8"/>
      <c r="K432" s="8"/>
      <c r="L432" s="8"/>
      <c r="M432" s="8"/>
      <c r="N432" s="8"/>
      <c r="O432" s="8">
        <f>(E430+1*(G432+(12*D432/1000))+G432*D430)</f>
        <v>4.8899999999999997</v>
      </c>
      <c r="P432" s="8">
        <f>O432*F432</f>
        <v>9.7799999999999994</v>
      </c>
      <c r="Q432" s="8">
        <f>IF($D432='[2]Beam '!Q$44,$P432*'[2]Beam '!Q$45,0)</f>
        <v>0</v>
      </c>
      <c r="R432" s="8">
        <f>IF($D432='[2]Beam '!R$44,$P432*'[2]Beam '!R$45,0)</f>
        <v>0</v>
      </c>
      <c r="S432" s="8">
        <f>IF($D432='[2]Beam '!S$44,$P432*'[2]Beam '!S$45,0)</f>
        <v>0</v>
      </c>
      <c r="T432" s="8">
        <f>IF($D432='[2]Beam '!T$44,$P432*'[2]Beam '!T$45,0)</f>
        <v>0</v>
      </c>
      <c r="U432" s="8">
        <f>IF($D432='[2]Beam '!U$44,$P432*'[2]Beam '!U$45,0)</f>
        <v>24.12865714285714</v>
      </c>
      <c r="V432" s="8">
        <f>IF($D432='[2]Beam '!V$44,$P432*'[2]Beam '!V$45,0)</f>
        <v>0</v>
      </c>
      <c r="W432" s="8">
        <f>IF($D432='[2]Beam '!W$44,$P432*'[2]Beam '!W$45,0)</f>
        <v>0</v>
      </c>
      <c r="X432" s="8">
        <f>SUM(Q432:W432)</f>
        <v>24.12865714285714</v>
      </c>
      <c r="Y432" s="8"/>
      <c r="Z432" s="8"/>
      <c r="AA432" s="8"/>
      <c r="AB432" s="8"/>
      <c r="AC432" s="8"/>
      <c r="AD432" s="8"/>
      <c r="AE432" s="8"/>
    </row>
    <row r="433" spans="1:32" s="10" customFormat="1" ht="21" customHeight="1" x14ac:dyDescent="0.25">
      <c r="A433" s="7"/>
      <c r="B433" s="8" t="s">
        <v>2</v>
      </c>
      <c r="C433" s="13" t="s">
        <v>7</v>
      </c>
      <c r="D433" s="8">
        <v>12</v>
      </c>
      <c r="E433" s="8"/>
      <c r="F433" s="8">
        <v>2</v>
      </c>
      <c r="G433" s="9">
        <f>VLOOKUP(D433,'[2]Beam '!$C$20:$H$26,3,0)</f>
        <v>0.47499999999999998</v>
      </c>
      <c r="H433" s="8"/>
      <c r="I433" s="8"/>
      <c r="J433" s="8"/>
      <c r="K433" s="8"/>
      <c r="L433" s="8"/>
      <c r="M433" s="8"/>
      <c r="N433" s="8"/>
      <c r="O433" s="8">
        <f>(E430+1*(G433+(12*D433/1000))+G433*D430)</f>
        <v>4.1439999999999992</v>
      </c>
      <c r="P433" s="8">
        <f>O433*F433</f>
        <v>8.2879999999999985</v>
      </c>
      <c r="Q433" s="8">
        <f>IF($D433='[2]Beam '!Q$44,$P433*'[2]Beam '!Q$45,0)</f>
        <v>0</v>
      </c>
      <c r="R433" s="8">
        <f>IF($D433='[2]Beam '!R$44,$P433*'[2]Beam '!R$45,0)</f>
        <v>0</v>
      </c>
      <c r="S433" s="8">
        <f>IF($D433='[2]Beam '!S$44,$P433*'[2]Beam '!S$45,0)</f>
        <v>7.3611648000000001</v>
      </c>
      <c r="T433" s="8">
        <f>IF($D433='[2]Beam '!T$44,$P433*'[2]Beam '!T$45,0)</f>
        <v>0</v>
      </c>
      <c r="U433" s="8">
        <f>IF($D433='[2]Beam '!U$44,$P433*'[2]Beam '!U$45,0)</f>
        <v>0</v>
      </c>
      <c r="V433" s="8">
        <f>IF($D433='[2]Beam '!V$44,$P433*'[2]Beam '!V$45,0)</f>
        <v>0</v>
      </c>
      <c r="W433" s="8">
        <f>IF($D433='[2]Beam '!W$44,$P433*'[2]Beam '!W$45,0)</f>
        <v>0</v>
      </c>
      <c r="X433" s="8">
        <f>SUM(Q433:W433)</f>
        <v>7.3611648000000001</v>
      </c>
      <c r="Y433" s="8"/>
      <c r="Z433" s="8"/>
      <c r="AA433" s="8"/>
      <c r="AB433" s="8"/>
      <c r="AC433" s="8"/>
      <c r="AD433" s="8"/>
      <c r="AE433" s="8"/>
      <c r="AF433" s="8"/>
    </row>
    <row r="434" spans="1:32" s="10" customFormat="1" ht="20.100000000000001" customHeight="1" x14ac:dyDescent="0.25">
      <c r="A434" s="7"/>
      <c r="B434" s="8" t="s">
        <v>2</v>
      </c>
      <c r="C434" s="13" t="s">
        <v>8</v>
      </c>
      <c r="D434" s="8">
        <v>8</v>
      </c>
      <c r="E434" s="8">
        <v>0.15</v>
      </c>
      <c r="F434" s="8">
        <f>ROUNDUP(E430/E434,0)</f>
        <v>21</v>
      </c>
      <c r="H434" s="8"/>
      <c r="I434" s="8"/>
      <c r="J434" s="8"/>
      <c r="K434" s="8"/>
      <c r="L434" s="8"/>
      <c r="M434" s="8"/>
      <c r="N434" s="8"/>
      <c r="O434" s="8">
        <f>(2*((G430-(2*'[2]Beam '!$D$11))+(F430-(2*'[2]Beam '!$D$11)))+(2*10*D434/1000))*D430</f>
        <v>1.52</v>
      </c>
      <c r="P434" s="8">
        <f>O434*F434</f>
        <v>31.92</v>
      </c>
      <c r="Q434" s="8">
        <f>IF($D434='[2]Beam '!Q$44,$P434*'[2]Beam '!Q$45,0)</f>
        <v>12.600192000000002</v>
      </c>
      <c r="R434" s="8">
        <f>IF($D434='[2]Beam '!R$44,$P434*'[2]Beam '!R$45,0)</f>
        <v>0</v>
      </c>
      <c r="S434" s="8">
        <f>IF($D434='[2]Beam '!S$44,$P434*'[2]Beam '!S$45,0)</f>
        <v>0</v>
      </c>
      <c r="T434" s="8">
        <f>IF($D434='[2]Beam '!T$44,$P434*'[2]Beam '!T$45,0)</f>
        <v>0</v>
      </c>
      <c r="U434" s="8">
        <f>IF($D434='[2]Beam '!U$44,$P434*'[2]Beam '!U$45,0)</f>
        <v>0</v>
      </c>
      <c r="V434" s="8">
        <f>IF($D434='[2]Beam '!V$44,$P434*'[2]Beam '!V$45,0)</f>
        <v>0</v>
      </c>
      <c r="W434" s="8">
        <f>IF($D434='[2]Beam '!W$44,$P434*'[2]Beam '!W$45,0)</f>
        <v>0</v>
      </c>
      <c r="X434" s="8">
        <f>SUM(Q434:W434)</f>
        <v>12.600192000000002</v>
      </c>
      <c r="Y434" s="8"/>
      <c r="Z434" s="8"/>
      <c r="AA434" s="8"/>
      <c r="AB434" s="8"/>
      <c r="AC434" s="8"/>
      <c r="AD434" s="8"/>
      <c r="AE434" s="8"/>
    </row>
    <row r="435" spans="1:32" s="10" customFormat="1" ht="20.100000000000001" customHeight="1" x14ac:dyDescent="0.25">
      <c r="A435" s="7"/>
      <c r="B435" s="8" t="s">
        <v>2</v>
      </c>
      <c r="C435" s="13" t="s">
        <v>10</v>
      </c>
      <c r="D435" s="8">
        <f>+'[2]Beam '!$D$15</f>
        <v>25</v>
      </c>
      <c r="E435" s="8">
        <f>+'[2]Beam '!$E$15</f>
        <v>1</v>
      </c>
      <c r="F435" s="8">
        <f>ROUNDUP((E430)/E435,0)</f>
        <v>4</v>
      </c>
      <c r="G435" s="9"/>
      <c r="H435" s="9"/>
      <c r="I435" s="8"/>
      <c r="J435" s="8"/>
      <c r="K435" s="8"/>
      <c r="L435" s="8"/>
      <c r="M435" s="8"/>
      <c r="N435" s="8"/>
      <c r="O435" s="8">
        <f>F430-'[2]Beam '!$F$15</f>
        <v>0.14000000000000001</v>
      </c>
      <c r="P435" s="8">
        <f>O435*F435</f>
        <v>0.56000000000000005</v>
      </c>
      <c r="Q435" s="8">
        <f>IF($D435='[2]Beam '!Q$44,$P435*'[2]Beam '!Q$45,0)</f>
        <v>0</v>
      </c>
      <c r="R435" s="8">
        <f>IF($D435='[2]Beam '!R$44,$P435*'[2]Beam '!R$45,0)</f>
        <v>0</v>
      </c>
      <c r="S435" s="8">
        <f>IF($D435='[2]Beam '!S$44,$P435*'[2]Beam '!S$45,0)</f>
        <v>0</v>
      </c>
      <c r="T435" s="8">
        <f>IF($D435='[2]Beam '!T$44,$P435*'[2]Beam '!T$45,0)</f>
        <v>0</v>
      </c>
      <c r="U435" s="8">
        <f>IF($D435='[2]Beam '!U$44,$P435*'[2]Beam '!U$45,0)</f>
        <v>0</v>
      </c>
      <c r="V435" s="8">
        <f>IF($D435='[2]Beam '!V$44,$P435*'[2]Beam '!V$45,0)</f>
        <v>2.1587500000000004</v>
      </c>
      <c r="W435" s="8">
        <f>IF($D435='[2]Beam '!W$44,$P435*'[2]Beam '!W$45,0)</f>
        <v>0</v>
      </c>
      <c r="X435" s="8">
        <f>SUM(Q435:W435)</f>
        <v>2.1587500000000004</v>
      </c>
      <c r="Y435" s="8"/>
      <c r="Z435" s="8"/>
      <c r="AA435" s="8"/>
      <c r="AB435" s="8"/>
      <c r="AC435" s="8"/>
      <c r="AD435" s="8"/>
      <c r="AE435" s="8"/>
    </row>
    <row r="436" spans="1:32" s="10" customFormat="1" ht="20.100000000000001" customHeight="1" x14ac:dyDescent="0.25">
      <c r="A436" s="8">
        <v>1</v>
      </c>
      <c r="B436" s="8" t="s">
        <v>2</v>
      </c>
      <c r="C436" s="11" t="s">
        <v>60</v>
      </c>
      <c r="D436" s="11">
        <v>1</v>
      </c>
      <c r="E436" s="11">
        <v>3.05</v>
      </c>
      <c r="F436" s="11">
        <v>0.2</v>
      </c>
      <c r="G436" s="11">
        <v>0.6</v>
      </c>
      <c r="H436" s="8">
        <f>G436-0.2</f>
        <v>0.39999999999999997</v>
      </c>
      <c r="I436" s="8">
        <f>E436*F436*G436*D436</f>
        <v>0.36599999999999999</v>
      </c>
      <c r="J436" s="8">
        <f>(2*(E436)*H436*D436)+(E436*F436)</f>
        <v>3.0499999999999994</v>
      </c>
      <c r="K436" s="12">
        <f>IF(E436=0.3,J436,0)</f>
        <v>0</v>
      </c>
      <c r="L436" s="12">
        <f>IF(AND(E436&gt;0.3,E436&lt;=0.75),J436,0)</f>
        <v>0</v>
      </c>
      <c r="M436" s="12">
        <f>IF(AND(E436&gt;0.75,E436&lt;=1.2),J436,0)</f>
        <v>0</v>
      </c>
      <c r="N436" s="12">
        <f>IF(E436&gt;1.2,J436,0)</f>
        <v>3.0499999999999994</v>
      </c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>
        <f>SUM(X437:X440)/I436</f>
        <v>178.97490148321623</v>
      </c>
      <c r="Z436" s="8"/>
      <c r="AA436" s="8"/>
      <c r="AB436" s="8"/>
      <c r="AC436" s="8"/>
      <c r="AD436" s="8"/>
      <c r="AE436" s="8"/>
    </row>
    <row r="437" spans="1:32" s="10" customFormat="1" ht="20.100000000000001" customHeight="1" x14ac:dyDescent="0.25">
      <c r="A437" s="7"/>
      <c r="B437" s="8" t="s">
        <v>2</v>
      </c>
      <c r="C437" s="13" t="s">
        <v>4</v>
      </c>
      <c r="D437" s="8">
        <v>20</v>
      </c>
      <c r="E437" s="8"/>
      <c r="F437" s="8">
        <v>2</v>
      </c>
      <c r="G437" s="9">
        <f>VLOOKUP(D437,'[2]Beam '!$C$20:$H$26,3,0)</f>
        <v>0.8</v>
      </c>
      <c r="H437" s="9"/>
      <c r="I437" s="8"/>
      <c r="J437" s="8"/>
      <c r="K437" s="8"/>
      <c r="L437" s="8"/>
      <c r="M437" s="8"/>
      <c r="N437" s="8"/>
      <c r="O437" s="8">
        <f>(E436+1*(G437+(12*D437/1000))+1*(0.5/2)*D436)</f>
        <v>4.34</v>
      </c>
      <c r="P437" s="8">
        <f>O437*F437</f>
        <v>8.68</v>
      </c>
      <c r="Q437" s="8">
        <f>IF($D437='[2]Beam '!Q$44,$P437*'[2]Beam '!Q$45,0)</f>
        <v>0</v>
      </c>
      <c r="R437" s="8">
        <f>IF($D437='[2]Beam '!R$44,$P437*'[2]Beam '!R$45,0)</f>
        <v>0</v>
      </c>
      <c r="S437" s="8">
        <f>IF($D437='[2]Beam '!S$44,$P437*'[2]Beam '!S$45,0)</f>
        <v>0</v>
      </c>
      <c r="T437" s="8">
        <f>IF($D437='[2]Beam '!T$44,$P437*'[2]Beam '!T$45,0)</f>
        <v>0</v>
      </c>
      <c r="U437" s="8">
        <f>IF($D437='[2]Beam '!U$44,$P437*'[2]Beam '!U$45,0)</f>
        <v>21.4148</v>
      </c>
      <c r="V437" s="8">
        <f>IF($D437='[2]Beam '!V$44,$P437*'[2]Beam '!V$45,0)</f>
        <v>0</v>
      </c>
      <c r="W437" s="8">
        <f>IF($D437='[2]Beam '!W$44,$P437*'[2]Beam '!W$45,0)</f>
        <v>0</v>
      </c>
      <c r="X437" s="8">
        <f>SUM(Q437:W437)</f>
        <v>21.4148</v>
      </c>
      <c r="Y437" s="8"/>
      <c r="Z437" s="8"/>
      <c r="AA437" s="8"/>
      <c r="AB437" s="8"/>
      <c r="AC437" s="8"/>
      <c r="AD437" s="8"/>
      <c r="AE437" s="8"/>
    </row>
    <row r="438" spans="1:32" s="10" customFormat="1" ht="20.100000000000001" customHeight="1" x14ac:dyDescent="0.25">
      <c r="A438" s="7"/>
      <c r="B438" s="8" t="s">
        <v>2</v>
      </c>
      <c r="C438" s="13" t="s">
        <v>6</v>
      </c>
      <c r="D438" s="8">
        <v>20</v>
      </c>
      <c r="E438" s="8"/>
      <c r="F438" s="8">
        <v>2</v>
      </c>
      <c r="G438" s="9">
        <f>VLOOKUP(D438,'[2]Beam '!$C$20:$H$26,3,0)</f>
        <v>0.8</v>
      </c>
      <c r="H438" s="8"/>
      <c r="I438" s="8"/>
      <c r="J438" s="8"/>
      <c r="K438" s="8"/>
      <c r="L438" s="8"/>
      <c r="M438" s="8"/>
      <c r="N438" s="8"/>
      <c r="O438" s="8">
        <f>(E436+1*(G438+(12*D438/1000))+G438*D436)</f>
        <v>4.8899999999999997</v>
      </c>
      <c r="P438" s="8">
        <f>O438*F438</f>
        <v>9.7799999999999994</v>
      </c>
      <c r="Q438" s="8">
        <f>IF($D438='[2]Beam '!Q$44,$P438*'[2]Beam '!Q$45,0)</f>
        <v>0</v>
      </c>
      <c r="R438" s="8">
        <f>IF($D438='[2]Beam '!R$44,$P438*'[2]Beam '!R$45,0)</f>
        <v>0</v>
      </c>
      <c r="S438" s="8">
        <f>IF($D438='[2]Beam '!S$44,$P438*'[2]Beam '!S$45,0)</f>
        <v>0</v>
      </c>
      <c r="T438" s="8">
        <f>IF($D438='[2]Beam '!T$44,$P438*'[2]Beam '!T$45,0)</f>
        <v>0</v>
      </c>
      <c r="U438" s="8">
        <f>IF($D438='[2]Beam '!U$44,$P438*'[2]Beam '!U$45,0)</f>
        <v>24.12865714285714</v>
      </c>
      <c r="V438" s="8">
        <f>IF($D438='[2]Beam '!V$44,$P438*'[2]Beam '!V$45,0)</f>
        <v>0</v>
      </c>
      <c r="W438" s="8">
        <f>IF($D438='[2]Beam '!W$44,$P438*'[2]Beam '!W$45,0)</f>
        <v>0</v>
      </c>
      <c r="X438" s="8">
        <f>SUM(Q438:W438)</f>
        <v>24.12865714285714</v>
      </c>
      <c r="Y438" s="8"/>
      <c r="Z438" s="8"/>
      <c r="AA438" s="8"/>
      <c r="AB438" s="8"/>
      <c r="AC438" s="8"/>
      <c r="AD438" s="8"/>
      <c r="AE438" s="8"/>
    </row>
    <row r="439" spans="1:32" s="10" customFormat="1" ht="21" customHeight="1" x14ac:dyDescent="0.25">
      <c r="A439" s="7"/>
      <c r="B439" s="8" t="s">
        <v>2</v>
      </c>
      <c r="C439" s="13" t="s">
        <v>7</v>
      </c>
      <c r="D439" s="8">
        <v>12</v>
      </c>
      <c r="E439" s="8"/>
      <c r="F439" s="8">
        <v>2</v>
      </c>
      <c r="G439" s="9">
        <f>VLOOKUP(D439,'[2]Beam '!$C$20:$H$26,3,0)</f>
        <v>0.47499999999999998</v>
      </c>
      <c r="H439" s="8"/>
      <c r="I439" s="8"/>
      <c r="J439" s="8"/>
      <c r="K439" s="8"/>
      <c r="L439" s="8"/>
      <c r="M439" s="8"/>
      <c r="N439" s="8"/>
      <c r="O439" s="8">
        <f>(E436+1*(G439+(12*D439/1000))+G439*D436)</f>
        <v>4.1439999999999992</v>
      </c>
      <c r="P439" s="8">
        <f>O439*F439</f>
        <v>8.2879999999999985</v>
      </c>
      <c r="Q439" s="8">
        <f>IF($D439='[2]Beam '!Q$44,$P439*'[2]Beam '!Q$45,0)</f>
        <v>0</v>
      </c>
      <c r="R439" s="8">
        <f>IF($D439='[2]Beam '!R$44,$P439*'[2]Beam '!R$45,0)</f>
        <v>0</v>
      </c>
      <c r="S439" s="8">
        <f>IF($D439='[2]Beam '!S$44,$P439*'[2]Beam '!S$45,0)</f>
        <v>7.3611648000000001</v>
      </c>
      <c r="T439" s="8">
        <f>IF($D439='[2]Beam '!T$44,$P439*'[2]Beam '!T$45,0)</f>
        <v>0</v>
      </c>
      <c r="U439" s="8">
        <f>IF($D439='[2]Beam '!U$44,$P439*'[2]Beam '!U$45,0)</f>
        <v>0</v>
      </c>
      <c r="V439" s="8">
        <f>IF($D439='[2]Beam '!V$44,$P439*'[2]Beam '!V$45,0)</f>
        <v>0</v>
      </c>
      <c r="W439" s="8">
        <f>IF($D439='[2]Beam '!W$44,$P439*'[2]Beam '!W$45,0)</f>
        <v>0</v>
      </c>
      <c r="X439" s="8">
        <f>SUM(Q439:W439)</f>
        <v>7.3611648000000001</v>
      </c>
      <c r="Y439" s="8"/>
      <c r="Z439" s="8"/>
      <c r="AA439" s="8"/>
      <c r="AB439" s="8"/>
      <c r="AC439" s="8"/>
      <c r="AD439" s="8"/>
      <c r="AE439" s="8"/>
      <c r="AF439" s="8"/>
    </row>
    <row r="440" spans="1:32" s="10" customFormat="1" ht="20.100000000000001" customHeight="1" x14ac:dyDescent="0.25">
      <c r="A440" s="7"/>
      <c r="B440" s="8" t="s">
        <v>2</v>
      </c>
      <c r="C440" s="13" t="s">
        <v>8</v>
      </c>
      <c r="D440" s="8">
        <v>8</v>
      </c>
      <c r="E440" s="8">
        <v>0.15</v>
      </c>
      <c r="F440" s="8">
        <f>ROUNDUP(E436/E440,0)</f>
        <v>21</v>
      </c>
      <c r="H440" s="8"/>
      <c r="I440" s="8"/>
      <c r="J440" s="8"/>
      <c r="K440" s="8"/>
      <c r="L440" s="8"/>
      <c r="M440" s="8"/>
      <c r="N440" s="8"/>
      <c r="O440" s="8">
        <f>(2*((G436-(2*'[2]Beam '!$D$11))+(F436-(2*'[2]Beam '!$D$11)))+(2*10*D440/1000))*D436</f>
        <v>1.52</v>
      </c>
      <c r="P440" s="8">
        <f>O440*F440</f>
        <v>31.92</v>
      </c>
      <c r="Q440" s="8">
        <f>IF($D440='[2]Beam '!Q$44,$P440*'[2]Beam '!Q$45,0)</f>
        <v>12.600192000000002</v>
      </c>
      <c r="R440" s="8">
        <f>IF($D440='[2]Beam '!R$44,$P440*'[2]Beam '!R$45,0)</f>
        <v>0</v>
      </c>
      <c r="S440" s="8">
        <f>IF($D440='[2]Beam '!S$44,$P440*'[2]Beam '!S$45,0)</f>
        <v>0</v>
      </c>
      <c r="T440" s="8">
        <f>IF($D440='[2]Beam '!T$44,$P440*'[2]Beam '!T$45,0)</f>
        <v>0</v>
      </c>
      <c r="U440" s="8">
        <f>IF($D440='[2]Beam '!U$44,$P440*'[2]Beam '!U$45,0)</f>
        <v>0</v>
      </c>
      <c r="V440" s="8">
        <f>IF($D440='[2]Beam '!V$44,$P440*'[2]Beam '!V$45,0)</f>
        <v>0</v>
      </c>
      <c r="W440" s="8">
        <f>IF($D440='[2]Beam '!W$44,$P440*'[2]Beam '!W$45,0)</f>
        <v>0</v>
      </c>
      <c r="X440" s="8">
        <f>SUM(Q440:W440)</f>
        <v>12.600192000000002</v>
      </c>
      <c r="Y440" s="8"/>
      <c r="Z440" s="8"/>
      <c r="AA440" s="8"/>
      <c r="AB440" s="8"/>
      <c r="AC440" s="8"/>
      <c r="AD440" s="8"/>
      <c r="AE440" s="8"/>
    </row>
    <row r="441" spans="1:32" s="10" customFormat="1" ht="19.5" customHeight="1" x14ac:dyDescent="0.25">
      <c r="A441" s="7"/>
      <c r="B441" s="8" t="s">
        <v>2</v>
      </c>
      <c r="C441" s="13" t="s">
        <v>10</v>
      </c>
      <c r="D441" s="8">
        <f>+'[2]Beam '!$D$15</f>
        <v>25</v>
      </c>
      <c r="E441" s="8">
        <f>+'[2]Beam '!$E$15</f>
        <v>1</v>
      </c>
      <c r="F441" s="8">
        <f>ROUNDUP((E436)/E441,0)</f>
        <v>4</v>
      </c>
      <c r="G441" s="9"/>
      <c r="H441" s="9"/>
      <c r="I441" s="8"/>
      <c r="J441" s="8"/>
      <c r="K441" s="8"/>
      <c r="L441" s="8"/>
      <c r="M441" s="8"/>
      <c r="N441" s="8"/>
      <c r="O441" s="8">
        <f>F436-'[2]Beam '!$F$15</f>
        <v>0.14000000000000001</v>
      </c>
      <c r="P441" s="8">
        <f>O441*F441</f>
        <v>0.56000000000000005</v>
      </c>
      <c r="Q441" s="8">
        <f>IF($D441='[2]Beam '!Q$44,$P441*'[2]Beam '!Q$45,0)</f>
        <v>0</v>
      </c>
      <c r="R441" s="8">
        <f>IF($D441='[2]Beam '!R$44,$P441*'[2]Beam '!R$45,0)</f>
        <v>0</v>
      </c>
      <c r="S441" s="8">
        <f>IF($D441='[2]Beam '!S$44,$P441*'[2]Beam '!S$45,0)</f>
        <v>0</v>
      </c>
      <c r="T441" s="8">
        <f>IF($D441='[2]Beam '!T$44,$P441*'[2]Beam '!T$45,0)</f>
        <v>0</v>
      </c>
      <c r="U441" s="8">
        <f>IF($D441='[2]Beam '!U$44,$P441*'[2]Beam '!U$45,0)</f>
        <v>0</v>
      </c>
      <c r="V441" s="8">
        <f>IF($D441='[2]Beam '!V$44,$P441*'[2]Beam '!V$45,0)</f>
        <v>2.1587500000000004</v>
      </c>
      <c r="W441" s="8">
        <f>IF($D441='[2]Beam '!W$44,$P441*'[2]Beam '!W$45,0)</f>
        <v>0</v>
      </c>
      <c r="X441" s="8">
        <f>SUM(Q441:W441)</f>
        <v>2.1587500000000004</v>
      </c>
      <c r="Y441" s="8"/>
      <c r="Z441" s="8"/>
      <c r="AA441" s="8"/>
      <c r="AB441" s="8"/>
      <c r="AC441" s="8"/>
      <c r="AD441" s="8"/>
      <c r="AE441" s="8"/>
    </row>
    <row r="442" spans="1:32" s="10" customFormat="1" ht="20.100000000000001" customHeight="1" x14ac:dyDescent="0.25">
      <c r="A442" s="8">
        <v>1</v>
      </c>
      <c r="B442" s="8" t="s">
        <v>2</v>
      </c>
      <c r="C442" s="11" t="s">
        <v>61</v>
      </c>
      <c r="D442" s="11">
        <v>1</v>
      </c>
      <c r="E442" s="11">
        <v>2.8</v>
      </c>
      <c r="F442" s="11">
        <v>0.2</v>
      </c>
      <c r="G442" s="11">
        <v>1.1000000000000001</v>
      </c>
      <c r="H442" s="8">
        <f>G442-0.2</f>
        <v>0.90000000000000013</v>
      </c>
      <c r="I442" s="8">
        <f>E442*F442*G442*D442</f>
        <v>0.61599999999999999</v>
      </c>
      <c r="J442" s="8">
        <f>(2*(E442)*H442*D442)+(E442*F442)</f>
        <v>5.6</v>
      </c>
      <c r="K442" s="12">
        <f>IF(E442=0.3,J442,0)</f>
        <v>0</v>
      </c>
      <c r="L442" s="12">
        <f>IF(AND(E442&gt;0.3,E442&lt;=0.75),J442,0)</f>
        <v>0</v>
      </c>
      <c r="M442" s="12">
        <f>IF(AND(E442&gt;0.75,E442&lt;=1.2),J442,0)</f>
        <v>0</v>
      </c>
      <c r="N442" s="12">
        <f>IF(E442&gt;1.2,J442,0)</f>
        <v>5.6</v>
      </c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>
        <f>SUM(X443:X448)/I442</f>
        <v>175.80283265306124</v>
      </c>
      <c r="Z442" s="8"/>
      <c r="AA442" s="8"/>
      <c r="AB442" s="8"/>
      <c r="AC442" s="8"/>
      <c r="AD442" s="8"/>
      <c r="AE442" s="8"/>
    </row>
    <row r="443" spans="1:32" s="10" customFormat="1" ht="20.100000000000001" customHeight="1" x14ac:dyDescent="0.25">
      <c r="A443" s="7"/>
      <c r="B443" s="8" t="s">
        <v>2</v>
      </c>
      <c r="C443" s="13" t="s">
        <v>4</v>
      </c>
      <c r="D443" s="8">
        <v>20</v>
      </c>
      <c r="E443" s="8"/>
      <c r="F443" s="8">
        <v>2</v>
      </c>
      <c r="G443" s="9">
        <f>VLOOKUP(D443,'[2]Beam '!$C$20:$H$26,3,0)</f>
        <v>0.8</v>
      </c>
      <c r="H443" s="9"/>
      <c r="I443" s="8"/>
      <c r="J443" s="8"/>
      <c r="K443" s="8"/>
      <c r="L443" s="8"/>
      <c r="M443" s="8"/>
      <c r="N443" s="8"/>
      <c r="O443" s="8">
        <f>(E442+2*(G443+(12*D443/1000))*D442)</f>
        <v>4.88</v>
      </c>
      <c r="P443" s="8">
        <f t="shared" ref="P443:P449" si="85">O443*F443</f>
        <v>9.76</v>
      </c>
      <c r="Q443" s="8">
        <f>IF($D443='[2]Beam '!Q$44,$P443*'[2]Beam '!Q$45,0)</f>
        <v>0</v>
      </c>
      <c r="R443" s="8">
        <f>IF($D443='[2]Beam '!R$44,$P443*'[2]Beam '!R$45,0)</f>
        <v>0</v>
      </c>
      <c r="S443" s="8">
        <f>IF($D443='[2]Beam '!S$44,$P443*'[2]Beam '!S$45,0)</f>
        <v>0</v>
      </c>
      <c r="T443" s="8">
        <f>IF($D443='[2]Beam '!T$44,$P443*'[2]Beam '!T$45,0)</f>
        <v>0</v>
      </c>
      <c r="U443" s="8">
        <f>IF($D443='[2]Beam '!U$44,$P443*'[2]Beam '!U$45,0)</f>
        <v>24.079314285714286</v>
      </c>
      <c r="V443" s="8">
        <f>IF($D443='[2]Beam '!V$44,$P443*'[2]Beam '!V$45,0)</f>
        <v>0</v>
      </c>
      <c r="W443" s="8">
        <f>IF($D443='[2]Beam '!W$44,$P443*'[2]Beam '!W$45,0)</f>
        <v>0</v>
      </c>
      <c r="X443" s="8">
        <f t="shared" ref="X443:X449" si="86">SUM(Q443:W443)</f>
        <v>24.079314285714286</v>
      </c>
      <c r="Y443" s="8"/>
      <c r="Z443" s="8"/>
      <c r="AA443" s="8"/>
      <c r="AB443" s="8"/>
      <c r="AC443" s="8"/>
      <c r="AD443" s="8"/>
      <c r="AE443" s="8"/>
    </row>
    <row r="444" spans="1:32" s="10" customFormat="1" ht="20.100000000000001" customHeight="1" x14ac:dyDescent="0.25">
      <c r="A444" s="7"/>
      <c r="B444" s="8" t="s">
        <v>2</v>
      </c>
      <c r="C444" s="13" t="s">
        <v>5</v>
      </c>
      <c r="D444" s="8">
        <v>12</v>
      </c>
      <c r="E444" s="8"/>
      <c r="F444" s="8">
        <v>2</v>
      </c>
      <c r="G444" s="9">
        <f>VLOOKUP(D444,'[2]Beam '!$C$20:$H$26,3,0)</f>
        <v>0.47499999999999998</v>
      </c>
      <c r="H444" s="9"/>
      <c r="I444" s="8"/>
      <c r="J444" s="8"/>
      <c r="K444" s="8"/>
      <c r="L444" s="8"/>
      <c r="M444" s="8"/>
      <c r="N444" s="8"/>
      <c r="O444" s="8">
        <f>(E442+2*(G444+(12*D444/1000))*D442)</f>
        <v>4.0380000000000003</v>
      </c>
      <c r="P444" s="8">
        <f t="shared" si="85"/>
        <v>8.0760000000000005</v>
      </c>
      <c r="Q444" s="8">
        <f>IF($D444='[2]Beam '!Q$44,$P444*'[2]Beam '!Q$45,0)</f>
        <v>0</v>
      </c>
      <c r="R444" s="8">
        <f>IF($D444='[2]Beam '!R$44,$P444*'[2]Beam '!R$45,0)</f>
        <v>0</v>
      </c>
      <c r="S444" s="8">
        <f>IF($D444='[2]Beam '!S$44,$P444*'[2]Beam '!S$45,0)</f>
        <v>7.1728724571428586</v>
      </c>
      <c r="T444" s="8">
        <f>IF($D444='[2]Beam '!T$44,$P444*'[2]Beam '!T$45,0)</f>
        <v>0</v>
      </c>
      <c r="U444" s="8">
        <f>IF($D444='[2]Beam '!U$44,$P444*'[2]Beam '!U$45,0)</f>
        <v>0</v>
      </c>
      <c r="V444" s="8">
        <f>IF($D444='[2]Beam '!V$44,$P444*'[2]Beam '!V$45,0)</f>
        <v>0</v>
      </c>
      <c r="W444" s="8">
        <f>IF($D444='[2]Beam '!W$44,$P444*'[2]Beam '!W$45,0)</f>
        <v>0</v>
      </c>
      <c r="X444" s="8">
        <f t="shared" si="86"/>
        <v>7.1728724571428586</v>
      </c>
      <c r="Y444" s="8"/>
      <c r="Z444" s="8"/>
      <c r="AA444" s="8"/>
      <c r="AB444" s="8"/>
      <c r="AC444" s="8"/>
      <c r="AD444" s="8"/>
      <c r="AE444" s="8"/>
    </row>
    <row r="445" spans="1:32" s="14" customFormat="1" ht="20.100000000000001" customHeight="1" x14ac:dyDescent="0.3">
      <c r="A445" s="7"/>
      <c r="B445" s="8" t="s">
        <v>2</v>
      </c>
      <c r="C445" s="13" t="s">
        <v>6</v>
      </c>
      <c r="D445" s="8">
        <v>20</v>
      </c>
      <c r="E445" s="8"/>
      <c r="F445" s="8">
        <v>2</v>
      </c>
      <c r="G445" s="9">
        <f>VLOOKUP(D445,'[2]Beam '!$C$20:$H$26,3,0)</f>
        <v>0.8</v>
      </c>
      <c r="H445" s="8"/>
      <c r="I445" s="8"/>
      <c r="J445" s="8"/>
      <c r="K445" s="8"/>
      <c r="L445" s="8"/>
      <c r="M445" s="8"/>
      <c r="N445" s="8"/>
      <c r="O445" s="8">
        <f>(E442+2*(G445+(12*D445/1000))*D442)</f>
        <v>4.88</v>
      </c>
      <c r="P445" s="8">
        <f t="shared" si="85"/>
        <v>9.76</v>
      </c>
      <c r="Q445" s="8">
        <f>IF($D445='[2]Beam '!Q$44,$P445*'[2]Beam '!Q$45,0)</f>
        <v>0</v>
      </c>
      <c r="R445" s="8">
        <f>IF($D445='[2]Beam '!R$44,$P445*'[2]Beam '!R$45,0)</f>
        <v>0</v>
      </c>
      <c r="S445" s="8">
        <f>IF($D445='[2]Beam '!S$44,$P445*'[2]Beam '!S$45,0)</f>
        <v>0</v>
      </c>
      <c r="T445" s="8">
        <f>IF($D445='[2]Beam '!T$44,$P445*'[2]Beam '!T$45,0)</f>
        <v>0</v>
      </c>
      <c r="U445" s="8">
        <f>IF($D445='[2]Beam '!U$44,$P445*'[2]Beam '!U$45,0)</f>
        <v>24.079314285714286</v>
      </c>
      <c r="V445" s="8">
        <f>IF($D445='[2]Beam '!V$44,$P445*'[2]Beam '!V$45,0)</f>
        <v>0</v>
      </c>
      <c r="W445" s="8">
        <f>IF($D445='[2]Beam '!W$44,$P445*'[2]Beam '!W$45,0)</f>
        <v>0</v>
      </c>
      <c r="X445" s="8">
        <f t="shared" si="86"/>
        <v>24.079314285714286</v>
      </c>
      <c r="Y445" s="8"/>
    </row>
    <row r="446" spans="1:32" s="10" customFormat="1" ht="20.100000000000001" customHeight="1" x14ac:dyDescent="0.25">
      <c r="A446" s="7"/>
      <c r="B446" s="8" t="s">
        <v>2</v>
      </c>
      <c r="C446" s="13" t="s">
        <v>7</v>
      </c>
      <c r="D446" s="8">
        <v>12</v>
      </c>
      <c r="E446" s="8"/>
      <c r="F446" s="8">
        <v>2</v>
      </c>
      <c r="G446" s="9">
        <f>VLOOKUP(D446,'[2]Beam '!$C$20:$H$26,3,0)</f>
        <v>0.47499999999999998</v>
      </c>
      <c r="H446" s="8"/>
      <c r="I446" s="8"/>
      <c r="J446" s="8"/>
      <c r="K446" s="8"/>
      <c r="L446" s="8"/>
      <c r="M446" s="8"/>
      <c r="N446" s="8"/>
      <c r="O446" s="8">
        <f>(E442+2*(G446+(12*D446/1000))*D442)</f>
        <v>4.0380000000000003</v>
      </c>
      <c r="P446" s="8">
        <f t="shared" si="85"/>
        <v>8.0760000000000005</v>
      </c>
      <c r="Q446" s="8">
        <f>IF($D446='[2]Beam '!Q$44,$P446*'[2]Beam '!Q$45,0)</f>
        <v>0</v>
      </c>
      <c r="R446" s="8">
        <f>IF($D446='[2]Beam '!R$44,$P446*'[2]Beam '!R$45,0)</f>
        <v>0</v>
      </c>
      <c r="S446" s="8">
        <f>IF($D446='[2]Beam '!S$44,$P446*'[2]Beam '!S$45,0)</f>
        <v>7.1728724571428586</v>
      </c>
      <c r="T446" s="8">
        <f>IF($D446='[2]Beam '!T$44,$P446*'[2]Beam '!T$45,0)</f>
        <v>0</v>
      </c>
      <c r="U446" s="8">
        <f>IF($D446='[2]Beam '!U$44,$P446*'[2]Beam '!U$45,0)</f>
        <v>0</v>
      </c>
      <c r="V446" s="8">
        <f>IF($D446='[2]Beam '!V$44,$P446*'[2]Beam '!V$45,0)</f>
        <v>0</v>
      </c>
      <c r="W446" s="8">
        <f>IF($D446='[2]Beam '!W$44,$P446*'[2]Beam '!W$45,0)</f>
        <v>0</v>
      </c>
      <c r="X446" s="8">
        <f t="shared" si="86"/>
        <v>7.1728724571428586</v>
      </c>
      <c r="Y446" s="8"/>
      <c r="Z446" s="8"/>
      <c r="AA446" s="8"/>
      <c r="AB446" s="8"/>
      <c r="AC446" s="8"/>
      <c r="AD446" s="8"/>
      <c r="AE446" s="8"/>
    </row>
    <row r="447" spans="1:32" s="10" customFormat="1" ht="21" customHeight="1" x14ac:dyDescent="0.25">
      <c r="A447" s="7"/>
      <c r="B447" s="8" t="s">
        <v>2</v>
      </c>
      <c r="C447" s="13" t="s">
        <v>8</v>
      </c>
      <c r="D447" s="8">
        <v>10</v>
      </c>
      <c r="E447" s="8">
        <v>0.1</v>
      </c>
      <c r="F447" s="8">
        <f>ROUNDUP((E442/3*2)/E447,0)+1</f>
        <v>20</v>
      </c>
      <c r="H447" s="8"/>
      <c r="I447" s="8"/>
      <c r="J447" s="8"/>
      <c r="K447" s="8"/>
      <c r="L447" s="8"/>
      <c r="M447" s="8"/>
      <c r="N447" s="8"/>
      <c r="O447" s="8">
        <f>(2*((G442-(2*'[2]Beam '!$D$11))+(F442-(2*'[2]Beam '!$D$11)))+(2*10*D447/1000))*D442</f>
        <v>2.5600000000000005</v>
      </c>
      <c r="P447" s="8">
        <f t="shared" si="85"/>
        <v>51.20000000000001</v>
      </c>
      <c r="Q447" s="8">
        <f>IF($D447='[2]Beam '!Q$44,$P447*'[2]Beam '!Q$45,0)</f>
        <v>0</v>
      </c>
      <c r="R447" s="8">
        <f>IF($D447='[2]Beam '!R$44,$P447*'[2]Beam '!R$45,0)</f>
        <v>31.579428571428576</v>
      </c>
      <c r="S447" s="8">
        <f>IF($D447='[2]Beam '!S$44,$P447*'[2]Beam '!S$45,0)</f>
        <v>0</v>
      </c>
      <c r="T447" s="8">
        <f>IF($D447='[2]Beam '!T$44,$P447*'[2]Beam '!T$45,0)</f>
        <v>0</v>
      </c>
      <c r="U447" s="8">
        <f>IF($D447='[2]Beam '!U$44,$P447*'[2]Beam '!U$45,0)</f>
        <v>0</v>
      </c>
      <c r="V447" s="8">
        <f>IF($D447='[2]Beam '!V$44,$P447*'[2]Beam '!V$45,0)</f>
        <v>0</v>
      </c>
      <c r="W447" s="8">
        <f>IF($D447='[2]Beam '!W$44,$P447*'[2]Beam '!W$45,0)</f>
        <v>0</v>
      </c>
      <c r="X447" s="8">
        <f t="shared" si="86"/>
        <v>31.579428571428576</v>
      </c>
      <c r="Y447" s="8"/>
      <c r="Z447" s="8"/>
      <c r="AA447" s="8"/>
      <c r="AB447" s="8"/>
      <c r="AC447" s="8"/>
      <c r="AD447" s="8"/>
      <c r="AE447" s="8"/>
      <c r="AF447" s="8"/>
    </row>
    <row r="448" spans="1:32" s="10" customFormat="1" ht="20.100000000000001" customHeight="1" x14ac:dyDescent="0.25">
      <c r="A448" s="14"/>
      <c r="B448" s="8" t="s">
        <v>2</v>
      </c>
      <c r="C448" s="13" t="s">
        <v>8</v>
      </c>
      <c r="D448" s="14">
        <f>D447</f>
        <v>10</v>
      </c>
      <c r="E448" s="14">
        <v>0.125</v>
      </c>
      <c r="F448" s="8">
        <f>ROUNDUP((E442/3)/E448,0)+1</f>
        <v>9</v>
      </c>
      <c r="H448" s="14"/>
      <c r="I448" s="14"/>
      <c r="J448" s="14"/>
      <c r="K448" s="14"/>
      <c r="L448" s="14"/>
      <c r="M448" s="14"/>
      <c r="N448" s="14"/>
      <c r="O448" s="8">
        <f>(2*((G442-(2*'[2]Beam '!$D$11))+(F442-(2*'[2]Beam '!$D$11)))+(2*10*D448/1000))*D442</f>
        <v>2.5600000000000005</v>
      </c>
      <c r="P448" s="8">
        <f t="shared" si="85"/>
        <v>23.040000000000006</v>
      </c>
      <c r="Q448" s="8">
        <f>IF($D448='[2]Beam '!Q$44,$P448*'[2]Beam '!Q$45,0)</f>
        <v>0</v>
      </c>
      <c r="R448" s="8">
        <f>IF($D448='[2]Beam '!R$44,$P448*'[2]Beam '!R$45,0)</f>
        <v>14.210742857142861</v>
      </c>
      <c r="S448" s="8">
        <f>IF($D448='[2]Beam '!S$44,$P448*'[2]Beam '!S$45,0)</f>
        <v>0</v>
      </c>
      <c r="T448" s="8">
        <f>IF($D448='[2]Beam '!T$44,$P448*'[2]Beam '!T$45,0)</f>
        <v>0</v>
      </c>
      <c r="U448" s="8">
        <f>IF($D448='[2]Beam '!U$44,$P448*'[2]Beam '!U$45,0)</f>
        <v>0</v>
      </c>
      <c r="V448" s="8">
        <f>IF($D448='[2]Beam '!V$44,$P448*'[2]Beam '!V$45,0)</f>
        <v>0</v>
      </c>
      <c r="W448" s="8">
        <f>IF($D448='[2]Beam '!W$44,$P448*'[2]Beam '!W$45,0)</f>
        <v>0</v>
      </c>
      <c r="X448" s="8">
        <f t="shared" si="86"/>
        <v>14.210742857142861</v>
      </c>
      <c r="Y448" s="14"/>
      <c r="Z448" s="8"/>
      <c r="AA448" s="8"/>
      <c r="AB448" s="8"/>
      <c r="AC448" s="8"/>
      <c r="AD448" s="8"/>
      <c r="AE448" s="8"/>
    </row>
    <row r="449" spans="1:32" s="10" customFormat="1" ht="19.5" customHeight="1" x14ac:dyDescent="0.25">
      <c r="A449" s="7"/>
      <c r="B449" s="8" t="s">
        <v>2</v>
      </c>
      <c r="C449" s="13" t="s">
        <v>10</v>
      </c>
      <c r="D449" s="8">
        <f>+'[2]Beam '!$D$15</f>
        <v>25</v>
      </c>
      <c r="E449" s="8">
        <f>+'[2]Beam '!$E$15</f>
        <v>1</v>
      </c>
      <c r="F449" s="8">
        <f>ROUNDUP((E442)/E449,0)</f>
        <v>3</v>
      </c>
      <c r="G449" s="9"/>
      <c r="H449" s="9"/>
      <c r="I449" s="8"/>
      <c r="J449" s="8"/>
      <c r="K449" s="8"/>
      <c r="L449" s="8"/>
      <c r="M449" s="8"/>
      <c r="N449" s="8"/>
      <c r="O449" s="8">
        <f>F442-'[2]Beam '!$F$15</f>
        <v>0.14000000000000001</v>
      </c>
      <c r="P449" s="8">
        <f t="shared" si="85"/>
        <v>0.42000000000000004</v>
      </c>
      <c r="Q449" s="8">
        <f>IF($D449='[2]Beam '!Q$44,$P449*'[2]Beam '!Q$45,0)</f>
        <v>0</v>
      </c>
      <c r="R449" s="8">
        <f>IF($D449='[2]Beam '!R$44,$P449*'[2]Beam '!R$45,0)</f>
        <v>0</v>
      </c>
      <c r="S449" s="8">
        <f>IF($D449='[2]Beam '!S$44,$P449*'[2]Beam '!S$45,0)</f>
        <v>0</v>
      </c>
      <c r="T449" s="8">
        <f>IF($D449='[2]Beam '!T$44,$P449*'[2]Beam '!T$45,0)</f>
        <v>0</v>
      </c>
      <c r="U449" s="8">
        <f>IF($D449='[2]Beam '!U$44,$P449*'[2]Beam '!U$45,0)</f>
        <v>0</v>
      </c>
      <c r="V449" s="8">
        <f>IF($D449='[2]Beam '!V$44,$P449*'[2]Beam '!V$45,0)</f>
        <v>1.6190625000000003</v>
      </c>
      <c r="W449" s="8">
        <f>IF($D449='[2]Beam '!W$44,$P449*'[2]Beam '!W$45,0)</f>
        <v>0</v>
      </c>
      <c r="X449" s="8">
        <f t="shared" si="86"/>
        <v>1.6190625000000003</v>
      </c>
      <c r="Y449" s="8"/>
      <c r="Z449" s="8"/>
      <c r="AA449" s="8"/>
      <c r="AB449" s="8"/>
      <c r="AC449" s="8"/>
      <c r="AD449" s="8"/>
      <c r="AE449" s="8"/>
    </row>
    <row r="450" spans="1:32" s="10" customFormat="1" ht="20.100000000000001" customHeight="1" x14ac:dyDescent="0.25">
      <c r="A450" s="8">
        <v>1</v>
      </c>
      <c r="B450" s="8" t="s">
        <v>2</v>
      </c>
      <c r="C450" s="11" t="s">
        <v>62</v>
      </c>
      <c r="D450" s="11">
        <v>1</v>
      </c>
      <c r="E450" s="11">
        <v>2.8</v>
      </c>
      <c r="F450" s="11">
        <v>0.2</v>
      </c>
      <c r="G450" s="11">
        <v>1.1000000000000001</v>
      </c>
      <c r="H450" s="8">
        <f>G450-0.2</f>
        <v>0.90000000000000013</v>
      </c>
      <c r="I450" s="8">
        <f>E450*F450*G450*D450</f>
        <v>0.61599999999999999</v>
      </c>
      <c r="J450" s="8">
        <f>(2*(E450)*H450*D450)+(E450*F450)</f>
        <v>5.6</v>
      </c>
      <c r="K450" s="12">
        <f>IF(E450=0.3,J450,0)</f>
        <v>0</v>
      </c>
      <c r="L450" s="12">
        <f>IF(AND(E450&gt;0.3,E450&lt;=0.75),J450,0)</f>
        <v>0</v>
      </c>
      <c r="M450" s="12">
        <f>IF(AND(E450&gt;0.75,E450&lt;=1.2),J450,0)</f>
        <v>0</v>
      </c>
      <c r="N450" s="12">
        <f>IF(E450&gt;1.2,J450,0)</f>
        <v>5.6</v>
      </c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>
        <f>SUM(X451:X456)/I450</f>
        <v>175.80283265306124</v>
      </c>
      <c r="Z450" s="8"/>
      <c r="AA450" s="8"/>
      <c r="AB450" s="8"/>
      <c r="AC450" s="8"/>
      <c r="AD450" s="8"/>
      <c r="AE450" s="8"/>
    </row>
    <row r="451" spans="1:32" s="10" customFormat="1" ht="20.100000000000001" customHeight="1" x14ac:dyDescent="0.25">
      <c r="A451" s="7"/>
      <c r="B451" s="8" t="s">
        <v>2</v>
      </c>
      <c r="C451" s="13" t="s">
        <v>4</v>
      </c>
      <c r="D451" s="8">
        <v>20</v>
      </c>
      <c r="E451" s="8"/>
      <c r="F451" s="8">
        <v>2</v>
      </c>
      <c r="G451" s="9">
        <f>VLOOKUP(D451,'[2]Beam '!$C$20:$H$26,3,0)</f>
        <v>0.8</v>
      </c>
      <c r="H451" s="9"/>
      <c r="I451" s="8"/>
      <c r="J451" s="8"/>
      <c r="K451" s="8"/>
      <c r="L451" s="8"/>
      <c r="M451" s="8"/>
      <c r="N451" s="8"/>
      <c r="O451" s="8">
        <f>(E450+2*(G451+(12*D451/1000))*D450)</f>
        <v>4.88</v>
      </c>
      <c r="P451" s="8">
        <f t="shared" ref="P451:P457" si="87">O451*F451</f>
        <v>9.76</v>
      </c>
      <c r="Q451" s="8">
        <f>IF($D451='[2]Beam '!Q$44,$P451*'[2]Beam '!Q$45,0)</f>
        <v>0</v>
      </c>
      <c r="R451" s="8">
        <f>IF($D451='[2]Beam '!R$44,$P451*'[2]Beam '!R$45,0)</f>
        <v>0</v>
      </c>
      <c r="S451" s="8">
        <f>IF($D451='[2]Beam '!S$44,$P451*'[2]Beam '!S$45,0)</f>
        <v>0</v>
      </c>
      <c r="T451" s="8">
        <f>IF($D451='[2]Beam '!T$44,$P451*'[2]Beam '!T$45,0)</f>
        <v>0</v>
      </c>
      <c r="U451" s="8">
        <f>IF($D451='[2]Beam '!U$44,$P451*'[2]Beam '!U$45,0)</f>
        <v>24.079314285714286</v>
      </c>
      <c r="V451" s="8">
        <f>IF($D451='[2]Beam '!V$44,$P451*'[2]Beam '!V$45,0)</f>
        <v>0</v>
      </c>
      <c r="W451" s="8">
        <f>IF($D451='[2]Beam '!W$44,$P451*'[2]Beam '!W$45,0)</f>
        <v>0</v>
      </c>
      <c r="X451" s="8">
        <f t="shared" ref="X451:X457" si="88">SUM(Q451:W451)</f>
        <v>24.079314285714286</v>
      </c>
      <c r="Y451" s="8"/>
      <c r="Z451" s="8"/>
      <c r="AA451" s="8"/>
      <c r="AB451" s="8"/>
      <c r="AC451" s="8"/>
      <c r="AD451" s="8"/>
      <c r="AE451" s="8"/>
    </row>
    <row r="452" spans="1:32" s="10" customFormat="1" ht="20.100000000000001" customHeight="1" x14ac:dyDescent="0.25">
      <c r="A452" s="7"/>
      <c r="B452" s="8" t="s">
        <v>2</v>
      </c>
      <c r="C452" s="13" t="s">
        <v>5</v>
      </c>
      <c r="D452" s="8">
        <v>12</v>
      </c>
      <c r="E452" s="8"/>
      <c r="F452" s="8">
        <v>2</v>
      </c>
      <c r="G452" s="9">
        <f>VLOOKUP(D452,'[2]Beam '!$C$20:$H$26,3,0)</f>
        <v>0.47499999999999998</v>
      </c>
      <c r="H452" s="9"/>
      <c r="I452" s="8"/>
      <c r="J452" s="8"/>
      <c r="K452" s="8"/>
      <c r="L452" s="8"/>
      <c r="M452" s="8"/>
      <c r="N452" s="8"/>
      <c r="O452" s="8">
        <f>(E450+2*(G452+(12*D452/1000))*D450)</f>
        <v>4.0380000000000003</v>
      </c>
      <c r="P452" s="8">
        <f t="shared" si="87"/>
        <v>8.0760000000000005</v>
      </c>
      <c r="Q452" s="8">
        <f>IF($D452='[2]Beam '!Q$44,$P452*'[2]Beam '!Q$45,0)</f>
        <v>0</v>
      </c>
      <c r="R452" s="8">
        <f>IF($D452='[2]Beam '!R$44,$P452*'[2]Beam '!R$45,0)</f>
        <v>0</v>
      </c>
      <c r="S452" s="8">
        <f>IF($D452='[2]Beam '!S$44,$P452*'[2]Beam '!S$45,0)</f>
        <v>7.1728724571428586</v>
      </c>
      <c r="T452" s="8">
        <f>IF($D452='[2]Beam '!T$44,$P452*'[2]Beam '!T$45,0)</f>
        <v>0</v>
      </c>
      <c r="U452" s="8">
        <f>IF($D452='[2]Beam '!U$44,$P452*'[2]Beam '!U$45,0)</f>
        <v>0</v>
      </c>
      <c r="V452" s="8">
        <f>IF($D452='[2]Beam '!V$44,$P452*'[2]Beam '!V$45,0)</f>
        <v>0</v>
      </c>
      <c r="W452" s="8">
        <f>IF($D452='[2]Beam '!W$44,$P452*'[2]Beam '!W$45,0)</f>
        <v>0</v>
      </c>
      <c r="X452" s="8">
        <f t="shared" si="88"/>
        <v>7.1728724571428586</v>
      </c>
      <c r="Y452" s="8"/>
      <c r="Z452" s="8"/>
      <c r="AA452" s="8"/>
      <c r="AB452" s="8"/>
      <c r="AC452" s="8"/>
      <c r="AD452" s="8"/>
      <c r="AE452" s="8"/>
    </row>
    <row r="453" spans="1:32" s="14" customFormat="1" ht="20.100000000000001" customHeight="1" x14ac:dyDescent="0.3">
      <c r="A453" s="7"/>
      <c r="B453" s="8" t="s">
        <v>2</v>
      </c>
      <c r="C453" s="13" t="s">
        <v>6</v>
      </c>
      <c r="D453" s="8">
        <v>20</v>
      </c>
      <c r="E453" s="8"/>
      <c r="F453" s="8">
        <v>2</v>
      </c>
      <c r="G453" s="9">
        <f>VLOOKUP(D453,'[2]Beam '!$C$20:$H$26,3,0)</f>
        <v>0.8</v>
      </c>
      <c r="H453" s="8"/>
      <c r="I453" s="8"/>
      <c r="J453" s="8"/>
      <c r="K453" s="8"/>
      <c r="L453" s="8"/>
      <c r="M453" s="8"/>
      <c r="N453" s="8"/>
      <c r="O453" s="8">
        <f>(E450+2*(G453+(12*D453/1000))*D450)</f>
        <v>4.88</v>
      </c>
      <c r="P453" s="8">
        <f t="shared" si="87"/>
        <v>9.76</v>
      </c>
      <c r="Q453" s="8">
        <f>IF($D453='[2]Beam '!Q$44,$P453*'[2]Beam '!Q$45,0)</f>
        <v>0</v>
      </c>
      <c r="R453" s="8">
        <f>IF($D453='[2]Beam '!R$44,$P453*'[2]Beam '!R$45,0)</f>
        <v>0</v>
      </c>
      <c r="S453" s="8">
        <f>IF($D453='[2]Beam '!S$44,$P453*'[2]Beam '!S$45,0)</f>
        <v>0</v>
      </c>
      <c r="T453" s="8">
        <f>IF($D453='[2]Beam '!T$44,$P453*'[2]Beam '!T$45,0)</f>
        <v>0</v>
      </c>
      <c r="U453" s="8">
        <f>IF($D453='[2]Beam '!U$44,$P453*'[2]Beam '!U$45,0)</f>
        <v>24.079314285714286</v>
      </c>
      <c r="V453" s="8">
        <f>IF($D453='[2]Beam '!V$44,$P453*'[2]Beam '!V$45,0)</f>
        <v>0</v>
      </c>
      <c r="W453" s="8">
        <f>IF($D453='[2]Beam '!W$44,$P453*'[2]Beam '!W$45,0)</f>
        <v>0</v>
      </c>
      <c r="X453" s="8">
        <f t="shared" si="88"/>
        <v>24.079314285714286</v>
      </c>
      <c r="Y453" s="8"/>
    </row>
    <row r="454" spans="1:32" s="10" customFormat="1" ht="20.100000000000001" customHeight="1" x14ac:dyDescent="0.25">
      <c r="A454" s="7"/>
      <c r="B454" s="8" t="s">
        <v>2</v>
      </c>
      <c r="C454" s="13" t="s">
        <v>7</v>
      </c>
      <c r="D454" s="8">
        <v>12</v>
      </c>
      <c r="E454" s="8"/>
      <c r="F454" s="8">
        <v>2</v>
      </c>
      <c r="G454" s="9">
        <f>VLOOKUP(D454,'[2]Beam '!$C$20:$H$26,3,0)</f>
        <v>0.47499999999999998</v>
      </c>
      <c r="H454" s="8"/>
      <c r="I454" s="8"/>
      <c r="J454" s="8"/>
      <c r="K454" s="8"/>
      <c r="L454" s="8"/>
      <c r="M454" s="8"/>
      <c r="N454" s="8"/>
      <c r="O454" s="8">
        <f>(E450+2*(G454+(12*D454/1000))*D450)</f>
        <v>4.0380000000000003</v>
      </c>
      <c r="P454" s="8">
        <f t="shared" si="87"/>
        <v>8.0760000000000005</v>
      </c>
      <c r="Q454" s="8">
        <f>IF($D454='[2]Beam '!Q$44,$P454*'[2]Beam '!Q$45,0)</f>
        <v>0</v>
      </c>
      <c r="R454" s="8">
        <f>IF($D454='[2]Beam '!R$44,$P454*'[2]Beam '!R$45,0)</f>
        <v>0</v>
      </c>
      <c r="S454" s="8">
        <f>IF($D454='[2]Beam '!S$44,$P454*'[2]Beam '!S$45,0)</f>
        <v>7.1728724571428586</v>
      </c>
      <c r="T454" s="8">
        <f>IF($D454='[2]Beam '!T$44,$P454*'[2]Beam '!T$45,0)</f>
        <v>0</v>
      </c>
      <c r="U454" s="8">
        <f>IF($D454='[2]Beam '!U$44,$P454*'[2]Beam '!U$45,0)</f>
        <v>0</v>
      </c>
      <c r="V454" s="8">
        <f>IF($D454='[2]Beam '!V$44,$P454*'[2]Beam '!V$45,0)</f>
        <v>0</v>
      </c>
      <c r="W454" s="8">
        <f>IF($D454='[2]Beam '!W$44,$P454*'[2]Beam '!W$45,0)</f>
        <v>0</v>
      </c>
      <c r="X454" s="8">
        <f t="shared" si="88"/>
        <v>7.1728724571428586</v>
      </c>
      <c r="Y454" s="8"/>
      <c r="Z454" s="8"/>
      <c r="AA454" s="8"/>
      <c r="AB454" s="8"/>
      <c r="AC454" s="8"/>
      <c r="AD454" s="8"/>
      <c r="AE454" s="8"/>
    </row>
    <row r="455" spans="1:32" s="10" customFormat="1" ht="21" customHeight="1" x14ac:dyDescent="0.25">
      <c r="A455" s="7"/>
      <c r="B455" s="8" t="s">
        <v>2</v>
      </c>
      <c r="C455" s="13" t="s">
        <v>8</v>
      </c>
      <c r="D455" s="8">
        <v>10</v>
      </c>
      <c r="E455" s="8">
        <v>0.1</v>
      </c>
      <c r="F455" s="8">
        <f>ROUNDUP((E450/3*2)/E455,0)+1</f>
        <v>20</v>
      </c>
      <c r="H455" s="8"/>
      <c r="I455" s="8"/>
      <c r="J455" s="8"/>
      <c r="K455" s="8"/>
      <c r="L455" s="8"/>
      <c r="M455" s="8"/>
      <c r="N455" s="8"/>
      <c r="O455" s="8">
        <f>(2*((G450-(2*'[2]Beam '!$D$11))+(F450-(2*'[2]Beam '!$D$11)))+(2*10*D455/1000))*D450</f>
        <v>2.5600000000000005</v>
      </c>
      <c r="P455" s="8">
        <f t="shared" si="87"/>
        <v>51.20000000000001</v>
      </c>
      <c r="Q455" s="8">
        <f>IF($D455='[2]Beam '!Q$44,$P455*'[2]Beam '!Q$45,0)</f>
        <v>0</v>
      </c>
      <c r="R455" s="8">
        <f>IF($D455='[2]Beam '!R$44,$P455*'[2]Beam '!R$45,0)</f>
        <v>31.579428571428576</v>
      </c>
      <c r="S455" s="8">
        <f>IF($D455='[2]Beam '!S$44,$P455*'[2]Beam '!S$45,0)</f>
        <v>0</v>
      </c>
      <c r="T455" s="8">
        <f>IF($D455='[2]Beam '!T$44,$P455*'[2]Beam '!T$45,0)</f>
        <v>0</v>
      </c>
      <c r="U455" s="8">
        <f>IF($D455='[2]Beam '!U$44,$P455*'[2]Beam '!U$45,0)</f>
        <v>0</v>
      </c>
      <c r="V455" s="8">
        <f>IF($D455='[2]Beam '!V$44,$P455*'[2]Beam '!V$45,0)</f>
        <v>0</v>
      </c>
      <c r="W455" s="8">
        <f>IF($D455='[2]Beam '!W$44,$P455*'[2]Beam '!W$45,0)</f>
        <v>0</v>
      </c>
      <c r="X455" s="8">
        <f t="shared" si="88"/>
        <v>31.579428571428576</v>
      </c>
      <c r="Y455" s="8"/>
      <c r="Z455" s="8"/>
      <c r="AA455" s="8"/>
      <c r="AB455" s="8"/>
      <c r="AC455" s="8"/>
      <c r="AD455" s="8"/>
      <c r="AE455" s="8"/>
      <c r="AF455" s="8"/>
    </row>
    <row r="456" spans="1:32" s="10" customFormat="1" ht="20.100000000000001" customHeight="1" x14ac:dyDescent="0.25">
      <c r="A456" s="14"/>
      <c r="B456" s="8" t="s">
        <v>2</v>
      </c>
      <c r="C456" s="13" t="s">
        <v>8</v>
      </c>
      <c r="D456" s="14">
        <f>D455</f>
        <v>10</v>
      </c>
      <c r="E456" s="14">
        <v>0.125</v>
      </c>
      <c r="F456" s="8">
        <f>ROUNDUP((E450/3)/E456,0)+1</f>
        <v>9</v>
      </c>
      <c r="H456" s="14"/>
      <c r="I456" s="14"/>
      <c r="J456" s="14"/>
      <c r="K456" s="14"/>
      <c r="L456" s="14"/>
      <c r="M456" s="14"/>
      <c r="N456" s="14"/>
      <c r="O456" s="8">
        <f>(2*((G450-(2*'[2]Beam '!$D$11))+(F450-(2*'[2]Beam '!$D$11)))+(2*10*D456/1000))*D450</f>
        <v>2.5600000000000005</v>
      </c>
      <c r="P456" s="8">
        <f t="shared" si="87"/>
        <v>23.040000000000006</v>
      </c>
      <c r="Q456" s="8">
        <f>IF($D456='[2]Beam '!Q$44,$P456*'[2]Beam '!Q$45,0)</f>
        <v>0</v>
      </c>
      <c r="R456" s="8">
        <f>IF($D456='[2]Beam '!R$44,$P456*'[2]Beam '!R$45,0)</f>
        <v>14.210742857142861</v>
      </c>
      <c r="S456" s="8">
        <f>IF($D456='[2]Beam '!S$44,$P456*'[2]Beam '!S$45,0)</f>
        <v>0</v>
      </c>
      <c r="T456" s="8">
        <f>IF($D456='[2]Beam '!T$44,$P456*'[2]Beam '!T$45,0)</f>
        <v>0</v>
      </c>
      <c r="U456" s="8">
        <f>IF($D456='[2]Beam '!U$44,$P456*'[2]Beam '!U$45,0)</f>
        <v>0</v>
      </c>
      <c r="V456" s="8">
        <f>IF($D456='[2]Beam '!V$44,$P456*'[2]Beam '!V$45,0)</f>
        <v>0</v>
      </c>
      <c r="W456" s="8">
        <f>IF($D456='[2]Beam '!W$44,$P456*'[2]Beam '!W$45,0)</f>
        <v>0</v>
      </c>
      <c r="X456" s="8">
        <f t="shared" si="88"/>
        <v>14.210742857142861</v>
      </c>
      <c r="Y456" s="14"/>
      <c r="Z456" s="8"/>
      <c r="AA456" s="8"/>
      <c r="AB456" s="8"/>
      <c r="AC456" s="8"/>
      <c r="AD456" s="8"/>
      <c r="AE456" s="8"/>
    </row>
    <row r="457" spans="1:32" s="10" customFormat="1" ht="19.5" customHeight="1" x14ac:dyDescent="0.25">
      <c r="A457" s="7"/>
      <c r="B457" s="8" t="s">
        <v>2</v>
      </c>
      <c r="C457" s="13" t="s">
        <v>10</v>
      </c>
      <c r="D457" s="8">
        <f>+'[2]Beam '!$D$15</f>
        <v>25</v>
      </c>
      <c r="E457" s="8">
        <f>+'[2]Beam '!$E$15</f>
        <v>1</v>
      </c>
      <c r="F457" s="8">
        <f>ROUNDUP((E450)/E457,0)</f>
        <v>3</v>
      </c>
      <c r="G457" s="9"/>
      <c r="H457" s="9"/>
      <c r="I457" s="8"/>
      <c r="J457" s="8"/>
      <c r="K457" s="8"/>
      <c r="L457" s="8"/>
      <c r="M457" s="8"/>
      <c r="N457" s="8"/>
      <c r="O457" s="8">
        <f>F450-'[2]Beam '!$F$15</f>
        <v>0.14000000000000001</v>
      </c>
      <c r="P457" s="8">
        <f t="shared" si="87"/>
        <v>0.42000000000000004</v>
      </c>
      <c r="Q457" s="8">
        <f>IF($D457='[2]Beam '!Q$44,$P457*'[2]Beam '!Q$45,0)</f>
        <v>0</v>
      </c>
      <c r="R457" s="8">
        <f>IF($D457='[2]Beam '!R$44,$P457*'[2]Beam '!R$45,0)</f>
        <v>0</v>
      </c>
      <c r="S457" s="8">
        <f>IF($D457='[2]Beam '!S$44,$P457*'[2]Beam '!S$45,0)</f>
        <v>0</v>
      </c>
      <c r="T457" s="8">
        <f>IF($D457='[2]Beam '!T$44,$P457*'[2]Beam '!T$45,0)</f>
        <v>0</v>
      </c>
      <c r="U457" s="8">
        <f>IF($D457='[2]Beam '!U$44,$P457*'[2]Beam '!U$45,0)</f>
        <v>0</v>
      </c>
      <c r="V457" s="8">
        <f>IF($D457='[2]Beam '!V$44,$P457*'[2]Beam '!V$45,0)</f>
        <v>1.6190625000000003</v>
      </c>
      <c r="W457" s="8">
        <f>IF($D457='[2]Beam '!W$44,$P457*'[2]Beam '!W$45,0)</f>
        <v>0</v>
      </c>
      <c r="X457" s="8">
        <f t="shared" si="88"/>
        <v>1.6190625000000003</v>
      </c>
      <c r="Y457" s="8"/>
      <c r="Z457" s="8"/>
      <c r="AA457" s="8"/>
      <c r="AB457" s="8"/>
      <c r="AC457" s="8"/>
      <c r="AD457" s="8"/>
      <c r="AE457" s="8"/>
    </row>
    <row r="458" spans="1:32" s="10" customFormat="1" ht="20.100000000000001" customHeight="1" x14ac:dyDescent="0.25">
      <c r="A458" s="8">
        <v>1</v>
      </c>
      <c r="B458" s="8" t="s">
        <v>2</v>
      </c>
      <c r="C458" s="11" t="s">
        <v>63</v>
      </c>
      <c r="D458" s="11">
        <v>1</v>
      </c>
      <c r="E458" s="11">
        <v>2.5</v>
      </c>
      <c r="F458" s="11">
        <v>0.3</v>
      </c>
      <c r="G458" s="11">
        <v>0.5</v>
      </c>
      <c r="H458" s="8">
        <f>G458-0.2</f>
        <v>0.3</v>
      </c>
      <c r="I458" s="8">
        <f>E458*F458*G458*D458</f>
        <v>0.375</v>
      </c>
      <c r="J458" s="8">
        <f>(2*(E458)*H458*D458)+(E458*F458)</f>
        <v>2.25</v>
      </c>
      <c r="K458" s="12">
        <f>IF(E458=0.3,J458,0)</f>
        <v>0</v>
      </c>
      <c r="L458" s="12">
        <f>IF(AND(E458&gt;0.3,E458&lt;=0.75),J458,0)</f>
        <v>0</v>
      </c>
      <c r="M458" s="12">
        <f>IF(AND(E458&gt;0.75,E458&lt;=1.2),J458,0)</f>
        <v>0</v>
      </c>
      <c r="N458" s="12">
        <f>IF(E458&gt;1.2,J458,0)</f>
        <v>2.25</v>
      </c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>
        <f>SUM(X459:X463)/I458</f>
        <v>614.12870011428572</v>
      </c>
      <c r="Z458" s="8"/>
      <c r="AA458" s="8"/>
      <c r="AB458" s="8"/>
      <c r="AC458" s="8"/>
      <c r="AD458" s="8"/>
      <c r="AE458" s="8"/>
    </row>
    <row r="459" spans="1:32" s="10" customFormat="1" ht="20.100000000000001" customHeight="1" x14ac:dyDescent="0.25">
      <c r="A459" s="7"/>
      <c r="B459" s="8" t="s">
        <v>2</v>
      </c>
      <c r="C459" s="13" t="s">
        <v>4</v>
      </c>
      <c r="D459" s="8">
        <v>25</v>
      </c>
      <c r="E459" s="8"/>
      <c r="F459" s="8">
        <v>3</v>
      </c>
      <c r="G459" s="9">
        <f>VLOOKUP(D459,'[2]Beam '!$C$20:$H$26,3,0)</f>
        <v>1</v>
      </c>
      <c r="H459" s="9"/>
      <c r="I459" s="8"/>
      <c r="J459" s="8"/>
      <c r="K459" s="8"/>
      <c r="L459" s="8"/>
      <c r="M459" s="8"/>
      <c r="N459" s="8"/>
      <c r="O459" s="8">
        <f>(E458+1*(G459+(12*D459/1000))+1*(0.4/2)*D458)</f>
        <v>4</v>
      </c>
      <c r="P459" s="8">
        <f t="shared" ref="P459:P464" si="89">O459*F459</f>
        <v>12</v>
      </c>
      <c r="Q459" s="8">
        <f>IF($D459='[2]Beam '!Q$44,$P459*'[2]Beam '!Q$45,0)</f>
        <v>0</v>
      </c>
      <c r="R459" s="8">
        <f>IF($D459='[2]Beam '!R$44,$P459*'[2]Beam '!R$45,0)</f>
        <v>0</v>
      </c>
      <c r="S459" s="8">
        <f>IF($D459='[2]Beam '!S$44,$P459*'[2]Beam '!S$45,0)</f>
        <v>0</v>
      </c>
      <c r="T459" s="8">
        <f>IF($D459='[2]Beam '!T$44,$P459*'[2]Beam '!T$45,0)</f>
        <v>0</v>
      </c>
      <c r="U459" s="8">
        <f>IF($D459='[2]Beam '!U$44,$P459*'[2]Beam '!U$45,0)</f>
        <v>0</v>
      </c>
      <c r="V459" s="8">
        <f>IF($D459='[2]Beam '!V$44,$P459*'[2]Beam '!V$45,0)</f>
        <v>46.258928571428577</v>
      </c>
      <c r="W459" s="8">
        <f>IF($D459='[2]Beam '!W$44,$P459*'[2]Beam '!W$45,0)</f>
        <v>0</v>
      </c>
      <c r="X459" s="8">
        <f t="shared" ref="X459:X464" si="90">SUM(Q459:W459)</f>
        <v>46.258928571428577</v>
      </c>
      <c r="Y459" s="8"/>
      <c r="Z459" s="8"/>
      <c r="AA459" s="8"/>
      <c r="AB459" s="8"/>
      <c r="AC459" s="8"/>
      <c r="AD459" s="8"/>
      <c r="AE459" s="8"/>
    </row>
    <row r="460" spans="1:32" s="10" customFormat="1" ht="20.100000000000001" customHeight="1" x14ac:dyDescent="0.25">
      <c r="A460" s="7"/>
      <c r="B460" s="8" t="s">
        <v>2</v>
      </c>
      <c r="C460" s="13" t="s">
        <v>5</v>
      </c>
      <c r="D460" s="8">
        <v>16</v>
      </c>
      <c r="E460" s="8"/>
      <c r="F460" s="8">
        <v>3</v>
      </c>
      <c r="G460" s="9">
        <f>VLOOKUP(D460,'[2]Beam '!$C$20:$H$26,3,0)</f>
        <v>0.625</v>
      </c>
      <c r="H460" s="9"/>
      <c r="I460" s="8"/>
      <c r="J460" s="8"/>
      <c r="K460" s="8"/>
      <c r="L460" s="8"/>
      <c r="M460" s="8"/>
      <c r="N460" s="8"/>
      <c r="O460" s="8">
        <f>(0.75+1*(G460+(12*D460/1000))*D458)</f>
        <v>1.5669999999999999</v>
      </c>
      <c r="P460" s="8">
        <f t="shared" si="89"/>
        <v>4.7009999999999996</v>
      </c>
      <c r="Q460" s="8">
        <f>IF($D460='[2]Beam '!Q$44,$P460*'[2]Beam '!Q$45,0)</f>
        <v>0</v>
      </c>
      <c r="R460" s="8">
        <f>IF($D460='[2]Beam '!R$44,$P460*'[2]Beam '!R$45,0)</f>
        <v>0</v>
      </c>
      <c r="S460" s="8">
        <f>IF($D460='[2]Beam '!S$44,$P460*'[2]Beam '!S$45,0)</f>
        <v>0</v>
      </c>
      <c r="T460" s="8">
        <f>IF($D460='[2]Beam '!T$44,$P460*'[2]Beam '!T$45,0)</f>
        <v>7.422744685714286</v>
      </c>
      <c r="U460" s="8">
        <f>IF($D460='[2]Beam '!U$44,$P460*'[2]Beam '!U$45,0)</f>
        <v>0</v>
      </c>
      <c r="V460" s="8">
        <f>IF($D460='[2]Beam '!V$44,$P460*'[2]Beam '!V$45,0)</f>
        <v>0</v>
      </c>
      <c r="W460" s="8">
        <f>IF($D460='[2]Beam '!W$44,$P460*'[2]Beam '!W$45,0)</f>
        <v>0</v>
      </c>
      <c r="X460" s="8">
        <f t="shared" si="90"/>
        <v>7.422744685714286</v>
      </c>
      <c r="Y460" s="8"/>
      <c r="Z460" s="8"/>
      <c r="AA460" s="8"/>
      <c r="AB460" s="8"/>
      <c r="AC460" s="8"/>
      <c r="AD460" s="8"/>
      <c r="AE460" s="8"/>
    </row>
    <row r="461" spans="1:32" s="10" customFormat="1" ht="20.100000000000001" customHeight="1" x14ac:dyDescent="0.25">
      <c r="A461" s="7"/>
      <c r="B461" s="8" t="s">
        <v>2</v>
      </c>
      <c r="C461" s="13" t="s">
        <v>6</v>
      </c>
      <c r="D461" s="8">
        <v>25</v>
      </c>
      <c r="E461" s="8"/>
      <c r="F461" s="8">
        <v>3</v>
      </c>
      <c r="G461" s="9">
        <f>VLOOKUP(D461,'[2]Beam '!$C$20:$H$26,3,0)</f>
        <v>1</v>
      </c>
      <c r="H461" s="8"/>
      <c r="I461" s="8"/>
      <c r="J461" s="8"/>
      <c r="K461" s="8"/>
      <c r="L461" s="8"/>
      <c r="M461" s="8"/>
      <c r="N461" s="8"/>
      <c r="O461" s="8">
        <f>(E458+2*(G461+(12*D461/1000))+G461*D458)</f>
        <v>6.1</v>
      </c>
      <c r="P461" s="8">
        <f t="shared" si="89"/>
        <v>18.299999999999997</v>
      </c>
      <c r="Q461" s="8">
        <f>IF($D461='[2]Beam '!Q$44,$P461*'[2]Beam '!Q$45,0)</f>
        <v>0</v>
      </c>
      <c r="R461" s="8">
        <f>IF($D461='[2]Beam '!R$44,$P461*'[2]Beam '!R$45,0)</f>
        <v>0</v>
      </c>
      <c r="S461" s="8">
        <f>IF($D461='[2]Beam '!S$44,$P461*'[2]Beam '!S$45,0)</f>
        <v>0</v>
      </c>
      <c r="T461" s="8">
        <f>IF($D461='[2]Beam '!T$44,$P461*'[2]Beam '!T$45,0)</f>
        <v>0</v>
      </c>
      <c r="U461" s="8">
        <f>IF($D461='[2]Beam '!U$44,$P461*'[2]Beam '!U$45,0)</f>
        <v>0</v>
      </c>
      <c r="V461" s="8">
        <f>IF($D461='[2]Beam '!V$44,$P461*'[2]Beam '!V$45,0)</f>
        <v>70.544866071428572</v>
      </c>
      <c r="W461" s="8">
        <f>IF($D461='[2]Beam '!W$44,$P461*'[2]Beam '!W$45,0)</f>
        <v>0</v>
      </c>
      <c r="X461" s="8">
        <f t="shared" si="90"/>
        <v>70.544866071428572</v>
      </c>
      <c r="Y461" s="8"/>
      <c r="Z461" s="8"/>
      <c r="AA461" s="8"/>
      <c r="AB461" s="8"/>
      <c r="AC461" s="8"/>
      <c r="AD461" s="8"/>
      <c r="AE461" s="8"/>
    </row>
    <row r="462" spans="1:32" s="10" customFormat="1" ht="21" customHeight="1" x14ac:dyDescent="0.25">
      <c r="A462" s="7"/>
      <c r="B462" s="8" t="s">
        <v>2</v>
      </c>
      <c r="C462" s="13" t="s">
        <v>7</v>
      </c>
      <c r="D462" s="8">
        <v>25</v>
      </c>
      <c r="E462" s="8"/>
      <c r="F462" s="8">
        <v>3</v>
      </c>
      <c r="G462" s="9">
        <f>VLOOKUP(D462,'[2]Beam '!$C$20:$H$26,3,0)</f>
        <v>1</v>
      </c>
      <c r="H462" s="8"/>
      <c r="I462" s="8"/>
      <c r="J462" s="8"/>
      <c r="K462" s="8"/>
      <c r="L462" s="8"/>
      <c r="M462" s="8"/>
      <c r="N462" s="8"/>
      <c r="O462" s="8">
        <f>(E458+2*(G462+(12*D462/1000))+G462*D458)</f>
        <v>6.1</v>
      </c>
      <c r="P462" s="8">
        <f t="shared" si="89"/>
        <v>18.299999999999997</v>
      </c>
      <c r="Q462" s="8">
        <f>IF($D462='[2]Beam '!Q$44,$P462*'[2]Beam '!Q$45,0)</f>
        <v>0</v>
      </c>
      <c r="R462" s="8">
        <f>IF($D462='[2]Beam '!R$44,$P462*'[2]Beam '!R$45,0)</f>
        <v>0</v>
      </c>
      <c r="S462" s="8">
        <f>IF($D462='[2]Beam '!S$44,$P462*'[2]Beam '!S$45,0)</f>
        <v>0</v>
      </c>
      <c r="T462" s="8">
        <f>IF($D462='[2]Beam '!T$44,$P462*'[2]Beam '!T$45,0)</f>
        <v>0</v>
      </c>
      <c r="U462" s="8">
        <f>IF($D462='[2]Beam '!U$44,$P462*'[2]Beam '!U$45,0)</f>
        <v>0</v>
      </c>
      <c r="V462" s="8">
        <f>IF($D462='[2]Beam '!V$44,$P462*'[2]Beam '!V$45,0)</f>
        <v>70.544866071428572</v>
      </c>
      <c r="W462" s="8">
        <f>IF($D462='[2]Beam '!W$44,$P462*'[2]Beam '!W$45,0)</f>
        <v>0</v>
      </c>
      <c r="X462" s="8">
        <f t="shared" si="90"/>
        <v>70.544866071428572</v>
      </c>
      <c r="Y462" s="8"/>
      <c r="Z462" s="8"/>
      <c r="AA462" s="8"/>
      <c r="AB462" s="8"/>
      <c r="AC462" s="8"/>
      <c r="AD462" s="8"/>
      <c r="AE462" s="8"/>
      <c r="AF462" s="8"/>
    </row>
    <row r="463" spans="1:32" s="10" customFormat="1" ht="20.100000000000001" customHeight="1" x14ac:dyDescent="0.25">
      <c r="A463" s="7"/>
      <c r="B463" s="8" t="s">
        <v>2</v>
      </c>
      <c r="C463" s="13" t="s">
        <v>8</v>
      </c>
      <c r="D463" s="8">
        <v>12</v>
      </c>
      <c r="E463" s="8">
        <v>0.1</v>
      </c>
      <c r="F463" s="8">
        <f>ROUNDUP(E458/E463,0)</f>
        <v>25</v>
      </c>
      <c r="H463" s="8"/>
      <c r="I463" s="8"/>
      <c r="J463" s="8"/>
      <c r="K463" s="8"/>
      <c r="L463" s="8"/>
      <c r="M463" s="8"/>
      <c r="N463" s="8"/>
      <c r="O463" s="8">
        <f>(2*((G458-(2*'[2]Beam '!$D$11))+(F458-(2*'[2]Beam '!$D$11)))+(2*10*D463/1000))*D458</f>
        <v>1.5999999999999999</v>
      </c>
      <c r="P463" s="8">
        <f t="shared" si="89"/>
        <v>40</v>
      </c>
      <c r="Q463" s="8">
        <f>IF($D463='[2]Beam '!Q$44,$P463*'[2]Beam '!Q$45,0)</f>
        <v>0</v>
      </c>
      <c r="R463" s="8">
        <f>IF($D463='[2]Beam '!R$44,$P463*'[2]Beam '!R$45,0)</f>
        <v>0</v>
      </c>
      <c r="S463" s="8">
        <f>IF($D463='[2]Beam '!S$44,$P463*'[2]Beam '!S$45,0)</f>
        <v>35.526857142857146</v>
      </c>
      <c r="T463" s="8">
        <f>IF($D463='[2]Beam '!T$44,$P463*'[2]Beam '!T$45,0)</f>
        <v>0</v>
      </c>
      <c r="U463" s="8">
        <f>IF($D463='[2]Beam '!U$44,$P463*'[2]Beam '!U$45,0)</f>
        <v>0</v>
      </c>
      <c r="V463" s="8">
        <f>IF($D463='[2]Beam '!V$44,$P463*'[2]Beam '!V$45,0)</f>
        <v>0</v>
      </c>
      <c r="W463" s="8">
        <f>IF($D463='[2]Beam '!W$44,$P463*'[2]Beam '!W$45,0)</f>
        <v>0</v>
      </c>
      <c r="X463" s="8">
        <f t="shared" si="90"/>
        <v>35.526857142857146</v>
      </c>
      <c r="Y463" s="8"/>
      <c r="Z463" s="8"/>
      <c r="AA463" s="8"/>
      <c r="AB463" s="8"/>
      <c r="AC463" s="8"/>
      <c r="AD463" s="8"/>
      <c r="AE463" s="8"/>
    </row>
    <row r="464" spans="1:32" s="10" customFormat="1" ht="19.5" customHeight="1" x14ac:dyDescent="0.25">
      <c r="A464" s="7"/>
      <c r="B464" s="8" t="s">
        <v>2</v>
      </c>
      <c r="C464" s="13" t="s">
        <v>10</v>
      </c>
      <c r="D464" s="8">
        <f>+'[2]Beam '!$D$15</f>
        <v>25</v>
      </c>
      <c r="E464" s="8">
        <f>+'[2]Beam '!$E$15</f>
        <v>1</v>
      </c>
      <c r="F464" s="8">
        <f>ROUNDUP((E458)/E464,0)</f>
        <v>3</v>
      </c>
      <c r="G464" s="9"/>
      <c r="H464" s="9"/>
      <c r="I464" s="8"/>
      <c r="J464" s="8"/>
      <c r="K464" s="8"/>
      <c r="L464" s="8"/>
      <c r="M464" s="8"/>
      <c r="N464" s="8"/>
      <c r="O464" s="8">
        <f>F458-'[2]Beam '!$F$15</f>
        <v>0.24</v>
      </c>
      <c r="P464" s="8">
        <f t="shared" si="89"/>
        <v>0.72</v>
      </c>
      <c r="Q464" s="8">
        <f>IF($D464='[2]Beam '!Q$44,$P464*'[2]Beam '!Q$45,0)</f>
        <v>0</v>
      </c>
      <c r="R464" s="8">
        <f>IF($D464='[2]Beam '!R$44,$P464*'[2]Beam '!R$45,0)</f>
        <v>0</v>
      </c>
      <c r="S464" s="8">
        <f>IF($D464='[2]Beam '!S$44,$P464*'[2]Beam '!S$45,0)</f>
        <v>0</v>
      </c>
      <c r="T464" s="8">
        <f>IF($D464='[2]Beam '!T$44,$P464*'[2]Beam '!T$45,0)</f>
        <v>0</v>
      </c>
      <c r="U464" s="8">
        <f>IF($D464='[2]Beam '!U$44,$P464*'[2]Beam '!U$45,0)</f>
        <v>0</v>
      </c>
      <c r="V464" s="8">
        <f>IF($D464='[2]Beam '!V$44,$P464*'[2]Beam '!V$45,0)</f>
        <v>2.7755357142857147</v>
      </c>
      <c r="W464" s="8">
        <f>IF($D464='[2]Beam '!W$44,$P464*'[2]Beam '!W$45,0)</f>
        <v>0</v>
      </c>
      <c r="X464" s="8">
        <f t="shared" si="90"/>
        <v>2.7755357142857147</v>
      </c>
      <c r="Y464" s="8"/>
      <c r="Z464" s="8"/>
      <c r="AA464" s="8"/>
      <c r="AB464" s="8"/>
      <c r="AC464" s="8"/>
      <c r="AD464" s="8"/>
      <c r="AE464" s="8"/>
    </row>
    <row r="465" spans="1:32" s="10" customFormat="1" ht="20.100000000000001" customHeight="1" x14ac:dyDescent="0.25">
      <c r="A465" s="8">
        <v>1</v>
      </c>
      <c r="B465" s="8" t="s">
        <v>2</v>
      </c>
      <c r="C465" s="11" t="s">
        <v>64</v>
      </c>
      <c r="D465" s="11">
        <v>1</v>
      </c>
      <c r="E465" s="11">
        <v>2.2799999999999998</v>
      </c>
      <c r="F465" s="11">
        <v>0.3</v>
      </c>
      <c r="G465" s="11">
        <v>0.6</v>
      </c>
      <c r="H465" s="8">
        <f>G465-0.2</f>
        <v>0.39999999999999997</v>
      </c>
      <c r="I465" s="8">
        <f>E465*F465*G465*D465</f>
        <v>0.41039999999999993</v>
      </c>
      <c r="J465" s="8">
        <f>(2*(E465)*H465*D465)+(E465*F465)</f>
        <v>2.5079999999999996</v>
      </c>
      <c r="K465" s="12">
        <f>IF(E465=0.3,J465,0)</f>
        <v>0</v>
      </c>
      <c r="L465" s="12">
        <f>IF(AND(E465&gt;0.3,E465&lt;=0.75),J465,0)</f>
        <v>0</v>
      </c>
      <c r="M465" s="12">
        <f>IF(AND(E465&gt;0.75,E465&lt;=1.2),J465,0)</f>
        <v>0</v>
      </c>
      <c r="N465" s="12">
        <f>IF(E465&gt;1.2,J465,0)</f>
        <v>2.5079999999999996</v>
      </c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>
        <f>SUM(X466:X470)/I465</f>
        <v>480.2046496449459</v>
      </c>
      <c r="Z465" s="8"/>
      <c r="AA465" s="8"/>
      <c r="AB465" s="8"/>
      <c r="AC465" s="8"/>
      <c r="AD465" s="8"/>
      <c r="AE465" s="8"/>
    </row>
    <row r="466" spans="1:32" s="10" customFormat="1" ht="20.100000000000001" customHeight="1" x14ac:dyDescent="0.25">
      <c r="A466" s="7"/>
      <c r="B466" s="8" t="s">
        <v>2</v>
      </c>
      <c r="C466" s="13" t="s">
        <v>4</v>
      </c>
      <c r="D466" s="8">
        <v>25</v>
      </c>
      <c r="E466" s="8"/>
      <c r="F466" s="8">
        <v>3</v>
      </c>
      <c r="G466" s="9">
        <f>VLOOKUP(D466,'[2]Beam '!$C$20:$H$26,3,0)</f>
        <v>1</v>
      </c>
      <c r="H466" s="9"/>
      <c r="I466" s="8"/>
      <c r="J466" s="8"/>
      <c r="K466" s="8"/>
      <c r="L466" s="8"/>
      <c r="M466" s="8"/>
      <c r="N466" s="8"/>
      <c r="O466" s="8">
        <f>(E465+1*(G466+(12*D466/1000))+1*(0.4/2)*D465)</f>
        <v>3.7800000000000002</v>
      </c>
      <c r="P466" s="8">
        <f t="shared" ref="P466:P472" si="91">O466*F466</f>
        <v>11.34</v>
      </c>
      <c r="Q466" s="8">
        <f>IF($D466='[2]Beam '!Q$44,$P466*'[2]Beam '!Q$45,0)</f>
        <v>0</v>
      </c>
      <c r="R466" s="8">
        <f>IF($D466='[2]Beam '!R$44,$P466*'[2]Beam '!R$45,0)</f>
        <v>0</v>
      </c>
      <c r="S466" s="8">
        <f>IF($D466='[2]Beam '!S$44,$P466*'[2]Beam '!S$45,0)</f>
        <v>0</v>
      </c>
      <c r="T466" s="8">
        <f>IF($D466='[2]Beam '!T$44,$P466*'[2]Beam '!T$45,0)</f>
        <v>0</v>
      </c>
      <c r="U466" s="8">
        <f>IF($D466='[2]Beam '!U$44,$P466*'[2]Beam '!U$45,0)</f>
        <v>0</v>
      </c>
      <c r="V466" s="8">
        <f>IF($D466='[2]Beam '!V$44,$P466*'[2]Beam '!V$45,0)</f>
        <v>43.714687500000004</v>
      </c>
      <c r="W466" s="8">
        <f>IF($D466='[2]Beam '!W$44,$P466*'[2]Beam '!W$45,0)</f>
        <v>0</v>
      </c>
      <c r="X466" s="8">
        <f t="shared" ref="X466:X472" si="92">SUM(Q466:W466)</f>
        <v>43.714687500000004</v>
      </c>
      <c r="Y466" s="8"/>
      <c r="Z466" s="8"/>
      <c r="AA466" s="8"/>
      <c r="AB466" s="8"/>
      <c r="AC466" s="8"/>
      <c r="AD466" s="8"/>
      <c r="AE466" s="8"/>
    </row>
    <row r="467" spans="1:32" s="10" customFormat="1" ht="20.100000000000001" customHeight="1" x14ac:dyDescent="0.25">
      <c r="A467" s="7"/>
      <c r="B467" s="8" t="s">
        <v>2</v>
      </c>
      <c r="C467" s="13" t="s">
        <v>5</v>
      </c>
      <c r="D467" s="8">
        <v>25</v>
      </c>
      <c r="E467" s="8"/>
      <c r="F467" s="8">
        <v>3</v>
      </c>
      <c r="G467" s="9">
        <f>VLOOKUP(D467,'[2]Beam '!$C$20:$H$26,3,0)</f>
        <v>1</v>
      </c>
      <c r="H467" s="9"/>
      <c r="I467" s="8"/>
      <c r="J467" s="8"/>
      <c r="K467" s="8"/>
      <c r="L467" s="8"/>
      <c r="M467" s="8"/>
      <c r="N467" s="8"/>
      <c r="O467" s="8">
        <f>(0.7+1*(G467+(12*D467/1000))*D465)</f>
        <v>2</v>
      </c>
      <c r="P467" s="8">
        <f t="shared" si="91"/>
        <v>6</v>
      </c>
      <c r="Q467" s="8">
        <f>IF($D467='[2]Beam '!Q$44,$P467*'[2]Beam '!Q$45,0)</f>
        <v>0</v>
      </c>
      <c r="R467" s="8">
        <f>IF($D467='[2]Beam '!R$44,$P467*'[2]Beam '!R$45,0)</f>
        <v>0</v>
      </c>
      <c r="S467" s="8">
        <f>IF($D467='[2]Beam '!S$44,$P467*'[2]Beam '!S$45,0)</f>
        <v>0</v>
      </c>
      <c r="T467" s="8">
        <f>IF($D467='[2]Beam '!T$44,$P467*'[2]Beam '!T$45,0)</f>
        <v>0</v>
      </c>
      <c r="U467" s="8">
        <f>IF($D467='[2]Beam '!U$44,$P467*'[2]Beam '!U$45,0)</f>
        <v>0</v>
      </c>
      <c r="V467" s="8">
        <f>IF($D467='[2]Beam '!V$44,$P467*'[2]Beam '!V$45,0)</f>
        <v>23.129464285714288</v>
      </c>
      <c r="W467" s="8">
        <f>IF($D467='[2]Beam '!W$44,$P467*'[2]Beam '!W$45,0)</f>
        <v>0</v>
      </c>
      <c r="X467" s="8">
        <f t="shared" si="92"/>
        <v>23.129464285714288</v>
      </c>
      <c r="Y467" s="8"/>
      <c r="Z467" s="8"/>
      <c r="AA467" s="8"/>
      <c r="AB467" s="8"/>
      <c r="AC467" s="8"/>
      <c r="AD467" s="8"/>
      <c r="AE467" s="8"/>
    </row>
    <row r="468" spans="1:32" s="14" customFormat="1" ht="20.100000000000001" customHeight="1" x14ac:dyDescent="0.3">
      <c r="A468" s="7"/>
      <c r="B468" s="8" t="s">
        <v>2</v>
      </c>
      <c r="C468" s="13" t="s">
        <v>6</v>
      </c>
      <c r="D468" s="8">
        <v>25</v>
      </c>
      <c r="E468" s="8"/>
      <c r="F468" s="8">
        <v>3</v>
      </c>
      <c r="G468" s="9">
        <f>VLOOKUP(D468,'[2]Beam '!$C$20:$H$26,3,0)</f>
        <v>1</v>
      </c>
      <c r="H468" s="8"/>
      <c r="I468" s="8"/>
      <c r="J468" s="8"/>
      <c r="K468" s="8"/>
      <c r="L468" s="8"/>
      <c r="M468" s="8"/>
      <c r="N468" s="8"/>
      <c r="O468" s="8">
        <f>(E465+2*(G468+(12*D468/1000))+G468*D465)</f>
        <v>5.88</v>
      </c>
      <c r="P468" s="8">
        <f t="shared" si="91"/>
        <v>17.64</v>
      </c>
      <c r="Q468" s="8">
        <f>IF($D468='[2]Beam '!Q$44,$P468*'[2]Beam '!Q$45,0)</f>
        <v>0</v>
      </c>
      <c r="R468" s="8">
        <f>IF($D468='[2]Beam '!R$44,$P468*'[2]Beam '!R$45,0)</f>
        <v>0</v>
      </c>
      <c r="S468" s="8">
        <f>IF($D468='[2]Beam '!S$44,$P468*'[2]Beam '!S$45,0)</f>
        <v>0</v>
      </c>
      <c r="T468" s="8">
        <f>IF($D468='[2]Beam '!T$44,$P468*'[2]Beam '!T$45,0)</f>
        <v>0</v>
      </c>
      <c r="U468" s="8">
        <f>IF($D468='[2]Beam '!U$44,$P468*'[2]Beam '!U$45,0)</f>
        <v>0</v>
      </c>
      <c r="V468" s="8">
        <f>IF($D468='[2]Beam '!V$44,$P468*'[2]Beam '!V$45,0)</f>
        <v>68.000625000000014</v>
      </c>
      <c r="W468" s="8">
        <f>IF($D468='[2]Beam '!W$44,$P468*'[2]Beam '!W$45,0)</f>
        <v>0</v>
      </c>
      <c r="X468" s="8">
        <f t="shared" si="92"/>
        <v>68.000625000000014</v>
      </c>
      <c r="Y468" s="8"/>
    </row>
    <row r="469" spans="1:32" s="10" customFormat="1" ht="20.100000000000001" customHeight="1" x14ac:dyDescent="0.25">
      <c r="A469" s="7"/>
      <c r="B469" s="8" t="s">
        <v>2</v>
      </c>
      <c r="C469" s="13" t="s">
        <v>7</v>
      </c>
      <c r="D469" s="8">
        <v>20</v>
      </c>
      <c r="E469" s="8"/>
      <c r="F469" s="8">
        <v>2</v>
      </c>
      <c r="G469" s="9">
        <f>VLOOKUP(D469,'[2]Beam '!$C$20:$H$26,3,0)</f>
        <v>0.8</v>
      </c>
      <c r="H469" s="8"/>
      <c r="I469" s="8"/>
      <c r="J469" s="8"/>
      <c r="K469" s="8"/>
      <c r="L469" s="8"/>
      <c r="M469" s="8"/>
      <c r="N469" s="8"/>
      <c r="O469" s="8">
        <f>(E465+2*(G469+(12*D469/1000))+G469*D465)</f>
        <v>5.1599999999999993</v>
      </c>
      <c r="P469" s="8">
        <f t="shared" si="91"/>
        <v>10.319999999999999</v>
      </c>
      <c r="Q469" s="8">
        <f>IF($D469='[2]Beam '!Q$44,$P469*'[2]Beam '!Q$45,0)</f>
        <v>0</v>
      </c>
      <c r="R469" s="8">
        <f>IF($D469='[2]Beam '!R$44,$P469*'[2]Beam '!R$45,0)</f>
        <v>0</v>
      </c>
      <c r="S469" s="8">
        <f>IF($D469='[2]Beam '!S$44,$P469*'[2]Beam '!S$45,0)</f>
        <v>0</v>
      </c>
      <c r="T469" s="8">
        <f>IF($D469='[2]Beam '!T$44,$P469*'[2]Beam '!T$45,0)</f>
        <v>0</v>
      </c>
      <c r="U469" s="8">
        <f>IF($D469='[2]Beam '!U$44,$P469*'[2]Beam '!U$45,0)</f>
        <v>25.460914285714281</v>
      </c>
      <c r="V469" s="8">
        <f>IF($D469='[2]Beam '!V$44,$P469*'[2]Beam '!V$45,0)</f>
        <v>0</v>
      </c>
      <c r="W469" s="8">
        <f>IF($D469='[2]Beam '!W$44,$P469*'[2]Beam '!W$45,0)</f>
        <v>0</v>
      </c>
      <c r="X469" s="8">
        <f t="shared" si="92"/>
        <v>25.460914285714281</v>
      </c>
      <c r="Y469" s="8"/>
      <c r="Z469" s="8"/>
      <c r="AA469" s="8"/>
      <c r="AB469" s="8"/>
      <c r="AC469" s="8"/>
      <c r="AD469" s="8"/>
      <c r="AE469" s="8"/>
    </row>
    <row r="470" spans="1:32" s="10" customFormat="1" ht="21" customHeight="1" x14ac:dyDescent="0.25">
      <c r="A470" s="7"/>
      <c r="B470" s="8" t="s">
        <v>2</v>
      </c>
      <c r="C470" s="13" t="s">
        <v>8</v>
      </c>
      <c r="D470" s="8">
        <v>12</v>
      </c>
      <c r="E470" s="8">
        <v>0.1</v>
      </c>
      <c r="F470" s="8">
        <f>ROUNDUP(E465/E470,0)</f>
        <v>23</v>
      </c>
      <c r="H470" s="8"/>
      <c r="I470" s="8"/>
      <c r="J470" s="8"/>
      <c r="K470" s="8"/>
      <c r="L470" s="8"/>
      <c r="M470" s="8"/>
      <c r="N470" s="8"/>
      <c r="O470" s="8">
        <f>(2*((G465-(2*'[2]Beam '!$D$11))+(F465-(2*'[2]Beam '!$D$11)))+(2*10*D470/1000))*D465</f>
        <v>1.8</v>
      </c>
      <c r="P470" s="8">
        <f t="shared" si="91"/>
        <v>41.4</v>
      </c>
      <c r="Q470" s="8">
        <f>IF($D470='[2]Beam '!Q$44,$P470*'[2]Beam '!Q$45,0)</f>
        <v>0</v>
      </c>
      <c r="R470" s="8">
        <f>IF($D470='[2]Beam '!R$44,$P470*'[2]Beam '!R$45,0)</f>
        <v>0</v>
      </c>
      <c r="S470" s="8">
        <f>IF($D470='[2]Beam '!S$44,$P470*'[2]Beam '!S$45,0)</f>
        <v>36.770297142857146</v>
      </c>
      <c r="T470" s="8">
        <f>IF($D470='[2]Beam '!T$44,$P470*'[2]Beam '!T$45,0)</f>
        <v>0</v>
      </c>
      <c r="U470" s="8">
        <f>IF($D470='[2]Beam '!U$44,$P470*'[2]Beam '!U$45,0)</f>
        <v>0</v>
      </c>
      <c r="V470" s="8">
        <f>IF($D470='[2]Beam '!V$44,$P470*'[2]Beam '!V$45,0)</f>
        <v>0</v>
      </c>
      <c r="W470" s="8">
        <f>IF($D470='[2]Beam '!W$44,$P470*'[2]Beam '!W$45,0)</f>
        <v>0</v>
      </c>
      <c r="X470" s="8">
        <f t="shared" si="92"/>
        <v>36.770297142857146</v>
      </c>
      <c r="Y470" s="8"/>
      <c r="Z470" s="8"/>
      <c r="AA470" s="8"/>
      <c r="AB470" s="8"/>
      <c r="AC470" s="8"/>
      <c r="AD470" s="8"/>
      <c r="AE470" s="8"/>
      <c r="AF470" s="8"/>
    </row>
    <row r="471" spans="1:32" s="10" customFormat="1" ht="20.100000000000001" customHeight="1" x14ac:dyDescent="0.25">
      <c r="A471" s="14"/>
      <c r="B471" s="8" t="s">
        <v>2</v>
      </c>
      <c r="C471" s="13" t="s">
        <v>9</v>
      </c>
      <c r="D471" s="8">
        <f>+D470</f>
        <v>12</v>
      </c>
      <c r="E471" s="14">
        <f>+E470</f>
        <v>0.1</v>
      </c>
      <c r="F471" s="8">
        <f>ROUNDUP(E465/E471,0)</f>
        <v>23</v>
      </c>
      <c r="H471" s="14"/>
      <c r="I471" s="14"/>
      <c r="J471" s="14"/>
      <c r="K471" s="14"/>
      <c r="L471" s="14"/>
      <c r="M471" s="14"/>
      <c r="N471" s="14"/>
      <c r="O471" s="8">
        <f>((((G465-(2*'[2]Beam '!$D$11))+(2*10*D471/1000))*D465))*1</f>
        <v>0.78</v>
      </c>
      <c r="P471" s="8">
        <f t="shared" si="91"/>
        <v>17.940000000000001</v>
      </c>
      <c r="Q471" s="8">
        <f>IF($D471='[2]Beam '!Q$44,$P471*'[2]Beam '!Q$45,0)</f>
        <v>0</v>
      </c>
      <c r="R471" s="8">
        <f>IF($D471='[2]Beam '!R$44,$P471*'[2]Beam '!R$45,0)</f>
        <v>0</v>
      </c>
      <c r="S471" s="8">
        <f>IF($D471='[2]Beam '!S$44,$P471*'[2]Beam '!S$45,0)</f>
        <v>15.933795428571432</v>
      </c>
      <c r="T471" s="8">
        <f>IF($D471='[2]Beam '!T$44,$P471*'[2]Beam '!T$45,0)</f>
        <v>0</v>
      </c>
      <c r="U471" s="8">
        <f>IF($D471='[2]Beam '!U$44,$P471*'[2]Beam '!U$45,0)</f>
        <v>0</v>
      </c>
      <c r="V471" s="8">
        <f>IF($D471='[2]Beam '!V$44,$P471*'[2]Beam '!V$45,0)</f>
        <v>0</v>
      </c>
      <c r="W471" s="8">
        <f>IF($D471='[2]Beam '!W$44,$P471*'[2]Beam '!W$45,0)</f>
        <v>0</v>
      </c>
      <c r="X471" s="8">
        <f t="shared" si="92"/>
        <v>15.933795428571432</v>
      </c>
      <c r="Y471" s="14"/>
      <c r="Z471" s="8"/>
      <c r="AA471" s="8"/>
      <c r="AB471" s="8"/>
      <c r="AC471" s="8"/>
      <c r="AD471" s="8"/>
      <c r="AE471" s="8"/>
    </row>
    <row r="472" spans="1:32" s="10" customFormat="1" ht="19.5" customHeight="1" x14ac:dyDescent="0.25">
      <c r="A472" s="7"/>
      <c r="B472" s="8" t="s">
        <v>2</v>
      </c>
      <c r="C472" s="13" t="s">
        <v>10</v>
      </c>
      <c r="D472" s="8">
        <f>+'[2]Beam '!$D$15</f>
        <v>25</v>
      </c>
      <c r="E472" s="8">
        <f>+'[2]Beam '!$E$15</f>
        <v>1</v>
      </c>
      <c r="F472" s="8">
        <f>ROUNDUP((E465)/E472,0)</f>
        <v>3</v>
      </c>
      <c r="G472" s="9"/>
      <c r="H472" s="9"/>
      <c r="I472" s="8"/>
      <c r="J472" s="8"/>
      <c r="K472" s="8"/>
      <c r="L472" s="8"/>
      <c r="M472" s="8"/>
      <c r="N472" s="8"/>
      <c r="O472" s="8">
        <f>F465-'[2]Beam '!$F$15</f>
        <v>0.24</v>
      </c>
      <c r="P472" s="8">
        <f t="shared" si="91"/>
        <v>0.72</v>
      </c>
      <c r="Q472" s="8">
        <f>IF($D472='[2]Beam '!Q$44,$P472*'[2]Beam '!Q$45,0)</f>
        <v>0</v>
      </c>
      <c r="R472" s="8">
        <f>IF($D472='[2]Beam '!R$44,$P472*'[2]Beam '!R$45,0)</f>
        <v>0</v>
      </c>
      <c r="S472" s="8">
        <f>IF($D472='[2]Beam '!S$44,$P472*'[2]Beam '!S$45,0)</f>
        <v>0</v>
      </c>
      <c r="T472" s="8">
        <f>IF($D472='[2]Beam '!T$44,$P472*'[2]Beam '!T$45,0)</f>
        <v>0</v>
      </c>
      <c r="U472" s="8">
        <f>IF($D472='[2]Beam '!U$44,$P472*'[2]Beam '!U$45,0)</f>
        <v>0</v>
      </c>
      <c r="V472" s="8">
        <f>IF($D472='[2]Beam '!V$44,$P472*'[2]Beam '!V$45,0)</f>
        <v>2.7755357142857147</v>
      </c>
      <c r="W472" s="8">
        <f>IF($D472='[2]Beam '!W$44,$P472*'[2]Beam '!W$45,0)</f>
        <v>0</v>
      </c>
      <c r="X472" s="8">
        <f t="shared" si="92"/>
        <v>2.7755357142857147</v>
      </c>
      <c r="Y472" s="8"/>
      <c r="Z472" s="8"/>
      <c r="AA472" s="8"/>
      <c r="AB472" s="8"/>
      <c r="AC472" s="8"/>
      <c r="AD472" s="8"/>
      <c r="AE472" s="8"/>
    </row>
    <row r="473" spans="1:32" s="10" customFormat="1" ht="20.100000000000001" customHeight="1" x14ac:dyDescent="0.25">
      <c r="A473" s="8">
        <v>1</v>
      </c>
      <c r="B473" s="8" t="s">
        <v>2</v>
      </c>
      <c r="C473" s="11" t="s">
        <v>65</v>
      </c>
      <c r="D473" s="11">
        <v>1</v>
      </c>
      <c r="E473" s="11">
        <v>2.2999999999999998</v>
      </c>
      <c r="F473" s="11">
        <v>0.3</v>
      </c>
      <c r="G473" s="11">
        <v>0.6</v>
      </c>
      <c r="H473" s="8">
        <f>G473-0.2</f>
        <v>0.39999999999999997</v>
      </c>
      <c r="I473" s="8">
        <f>E473*F473*G473*D473</f>
        <v>0.41399999999999998</v>
      </c>
      <c r="J473" s="8">
        <f>(2*(E473)*H473*D473)+(E473*F473)</f>
        <v>2.5299999999999994</v>
      </c>
      <c r="K473" s="12">
        <f>IF(E473=0.3,J473,0)</f>
        <v>0</v>
      </c>
      <c r="L473" s="12">
        <f>IF(AND(E473&gt;0.3,E473&lt;=0.75),J473,0)</f>
        <v>0</v>
      </c>
      <c r="M473" s="12">
        <f>IF(AND(E473&gt;0.75,E473&lt;=1.2),J473,0)</f>
        <v>0</v>
      </c>
      <c r="N473" s="12">
        <f>IF(E473&gt;1.2,J473,0)</f>
        <v>2.5299999999999994</v>
      </c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>
        <f>SUM(X474:X478)/I473</f>
        <v>477.38469375431339</v>
      </c>
      <c r="Z473" s="8"/>
      <c r="AA473" s="8"/>
      <c r="AB473" s="8"/>
      <c r="AC473" s="8"/>
      <c r="AD473" s="8"/>
      <c r="AE473" s="8"/>
    </row>
    <row r="474" spans="1:32" s="10" customFormat="1" ht="20.100000000000001" customHeight="1" x14ac:dyDescent="0.25">
      <c r="A474" s="7"/>
      <c r="B474" s="8" t="s">
        <v>2</v>
      </c>
      <c r="C474" s="13" t="s">
        <v>4</v>
      </c>
      <c r="D474" s="8">
        <v>25</v>
      </c>
      <c r="E474" s="8"/>
      <c r="F474" s="8">
        <v>3</v>
      </c>
      <c r="G474" s="9">
        <f>VLOOKUP(D474,'[2]Beam '!$C$20:$H$26,3,0)</f>
        <v>1</v>
      </c>
      <c r="H474" s="9"/>
      <c r="I474" s="8"/>
      <c r="J474" s="8"/>
      <c r="K474" s="8"/>
      <c r="L474" s="8"/>
      <c r="M474" s="8"/>
      <c r="N474" s="8"/>
      <c r="O474" s="8">
        <f>(E473+1*(G474+(12*D474/1000))+1*(0.4/2)*D473)</f>
        <v>3.8</v>
      </c>
      <c r="P474" s="8">
        <f t="shared" ref="P474:P480" si="93">O474*F474</f>
        <v>11.399999999999999</v>
      </c>
      <c r="Q474" s="8">
        <f>IF($D474='[2]Beam '!Q$44,$P474*'[2]Beam '!Q$45,0)</f>
        <v>0</v>
      </c>
      <c r="R474" s="8">
        <f>IF($D474='[2]Beam '!R$44,$P474*'[2]Beam '!R$45,0)</f>
        <v>0</v>
      </c>
      <c r="S474" s="8">
        <f>IF($D474='[2]Beam '!S$44,$P474*'[2]Beam '!S$45,0)</f>
        <v>0</v>
      </c>
      <c r="T474" s="8">
        <f>IF($D474='[2]Beam '!T$44,$P474*'[2]Beam '!T$45,0)</f>
        <v>0</v>
      </c>
      <c r="U474" s="8">
        <f>IF($D474='[2]Beam '!U$44,$P474*'[2]Beam '!U$45,0)</f>
        <v>0</v>
      </c>
      <c r="V474" s="8">
        <f>IF($D474='[2]Beam '!V$44,$P474*'[2]Beam '!V$45,0)</f>
        <v>43.945982142857147</v>
      </c>
      <c r="W474" s="8">
        <f>IF($D474='[2]Beam '!W$44,$P474*'[2]Beam '!W$45,0)</f>
        <v>0</v>
      </c>
      <c r="X474" s="8">
        <f t="shared" ref="X474:X480" si="94">SUM(Q474:W474)</f>
        <v>43.945982142857147</v>
      </c>
      <c r="Y474" s="8"/>
      <c r="Z474" s="8"/>
      <c r="AA474" s="8"/>
      <c r="AB474" s="8"/>
      <c r="AC474" s="8"/>
      <c r="AD474" s="8"/>
      <c r="AE474" s="8"/>
    </row>
    <row r="475" spans="1:32" s="10" customFormat="1" ht="20.100000000000001" customHeight="1" x14ac:dyDescent="0.25">
      <c r="A475" s="7"/>
      <c r="B475" s="8" t="s">
        <v>2</v>
      </c>
      <c r="C475" s="13" t="s">
        <v>5</v>
      </c>
      <c r="D475" s="8">
        <v>25</v>
      </c>
      <c r="E475" s="8"/>
      <c r="F475" s="8">
        <v>3</v>
      </c>
      <c r="G475" s="9">
        <f>VLOOKUP(D475,'[2]Beam '!$C$20:$H$26,3,0)</f>
        <v>1</v>
      </c>
      <c r="H475" s="9"/>
      <c r="I475" s="8"/>
      <c r="J475" s="8"/>
      <c r="K475" s="8"/>
      <c r="L475" s="8"/>
      <c r="M475" s="8"/>
      <c r="N475" s="8"/>
      <c r="O475" s="8">
        <f>(0.7+1*(G475+(12*D475/1000))*D473)</f>
        <v>2</v>
      </c>
      <c r="P475" s="8">
        <f t="shared" si="93"/>
        <v>6</v>
      </c>
      <c r="Q475" s="8">
        <f>IF($D475='[2]Beam '!Q$44,$P475*'[2]Beam '!Q$45,0)</f>
        <v>0</v>
      </c>
      <c r="R475" s="8">
        <f>IF($D475='[2]Beam '!R$44,$P475*'[2]Beam '!R$45,0)</f>
        <v>0</v>
      </c>
      <c r="S475" s="8">
        <f>IF($D475='[2]Beam '!S$44,$P475*'[2]Beam '!S$45,0)</f>
        <v>0</v>
      </c>
      <c r="T475" s="8">
        <f>IF($D475='[2]Beam '!T$44,$P475*'[2]Beam '!T$45,0)</f>
        <v>0</v>
      </c>
      <c r="U475" s="8">
        <f>IF($D475='[2]Beam '!U$44,$P475*'[2]Beam '!U$45,0)</f>
        <v>0</v>
      </c>
      <c r="V475" s="8">
        <f>IF($D475='[2]Beam '!V$44,$P475*'[2]Beam '!V$45,0)</f>
        <v>23.129464285714288</v>
      </c>
      <c r="W475" s="8">
        <f>IF($D475='[2]Beam '!W$44,$P475*'[2]Beam '!W$45,0)</f>
        <v>0</v>
      </c>
      <c r="X475" s="8">
        <f t="shared" si="94"/>
        <v>23.129464285714288</v>
      </c>
      <c r="Y475" s="8"/>
      <c r="Z475" s="8"/>
      <c r="AA475" s="8"/>
      <c r="AB475" s="8"/>
      <c r="AC475" s="8"/>
      <c r="AD475" s="8"/>
      <c r="AE475" s="8"/>
    </row>
    <row r="476" spans="1:32" s="14" customFormat="1" ht="20.100000000000001" customHeight="1" x14ac:dyDescent="0.3">
      <c r="A476" s="7"/>
      <c r="B476" s="8" t="s">
        <v>2</v>
      </c>
      <c r="C476" s="13" t="s">
        <v>6</v>
      </c>
      <c r="D476" s="8">
        <v>25</v>
      </c>
      <c r="E476" s="8"/>
      <c r="F476" s="8">
        <v>3</v>
      </c>
      <c r="G476" s="9">
        <f>VLOOKUP(D476,'[2]Beam '!$C$20:$H$26,3,0)</f>
        <v>1</v>
      </c>
      <c r="H476" s="8"/>
      <c r="I476" s="8"/>
      <c r="J476" s="8"/>
      <c r="K476" s="8"/>
      <c r="L476" s="8"/>
      <c r="M476" s="8"/>
      <c r="N476" s="8"/>
      <c r="O476" s="8">
        <f>(E473+2*(G476+(12*D476/1000))+G476*D473)</f>
        <v>5.9</v>
      </c>
      <c r="P476" s="8">
        <f t="shared" si="93"/>
        <v>17.700000000000003</v>
      </c>
      <c r="Q476" s="8">
        <f>IF($D476='[2]Beam '!Q$44,$P476*'[2]Beam '!Q$45,0)</f>
        <v>0</v>
      </c>
      <c r="R476" s="8">
        <f>IF($D476='[2]Beam '!R$44,$P476*'[2]Beam '!R$45,0)</f>
        <v>0</v>
      </c>
      <c r="S476" s="8">
        <f>IF($D476='[2]Beam '!S$44,$P476*'[2]Beam '!S$45,0)</f>
        <v>0</v>
      </c>
      <c r="T476" s="8">
        <f>IF($D476='[2]Beam '!T$44,$P476*'[2]Beam '!T$45,0)</f>
        <v>0</v>
      </c>
      <c r="U476" s="8">
        <f>IF($D476='[2]Beam '!U$44,$P476*'[2]Beam '!U$45,0)</f>
        <v>0</v>
      </c>
      <c r="V476" s="8">
        <f>IF($D476='[2]Beam '!V$44,$P476*'[2]Beam '!V$45,0)</f>
        <v>68.231919642857164</v>
      </c>
      <c r="W476" s="8">
        <f>IF($D476='[2]Beam '!W$44,$P476*'[2]Beam '!W$45,0)</f>
        <v>0</v>
      </c>
      <c r="X476" s="8">
        <f t="shared" si="94"/>
        <v>68.231919642857164</v>
      </c>
      <c r="Y476" s="8"/>
    </row>
    <row r="477" spans="1:32" s="10" customFormat="1" ht="20.100000000000001" customHeight="1" x14ac:dyDescent="0.25">
      <c r="A477" s="7"/>
      <c r="B477" s="8" t="s">
        <v>2</v>
      </c>
      <c r="C477" s="13" t="s">
        <v>7</v>
      </c>
      <c r="D477" s="8">
        <v>20</v>
      </c>
      <c r="E477" s="8"/>
      <c r="F477" s="8">
        <v>2</v>
      </c>
      <c r="G477" s="9">
        <f>VLOOKUP(D477,'[2]Beam '!$C$20:$H$26,3,0)</f>
        <v>0.8</v>
      </c>
      <c r="H477" s="8"/>
      <c r="I477" s="8"/>
      <c r="J477" s="8"/>
      <c r="K477" s="8"/>
      <c r="L477" s="8"/>
      <c r="M477" s="8"/>
      <c r="N477" s="8"/>
      <c r="O477" s="8">
        <f>(E473+2*(G477+(12*D477/1000))+G477*D473)</f>
        <v>5.18</v>
      </c>
      <c r="P477" s="8">
        <f t="shared" si="93"/>
        <v>10.36</v>
      </c>
      <c r="Q477" s="8">
        <f>IF($D477='[2]Beam '!Q$44,$P477*'[2]Beam '!Q$45,0)</f>
        <v>0</v>
      </c>
      <c r="R477" s="8">
        <f>IF($D477='[2]Beam '!R$44,$P477*'[2]Beam '!R$45,0)</f>
        <v>0</v>
      </c>
      <c r="S477" s="8">
        <f>IF($D477='[2]Beam '!S$44,$P477*'[2]Beam '!S$45,0)</f>
        <v>0</v>
      </c>
      <c r="T477" s="8">
        <f>IF($D477='[2]Beam '!T$44,$P477*'[2]Beam '!T$45,0)</f>
        <v>0</v>
      </c>
      <c r="U477" s="8">
        <f>IF($D477='[2]Beam '!U$44,$P477*'[2]Beam '!U$45,0)</f>
        <v>25.5596</v>
      </c>
      <c r="V477" s="8">
        <f>IF($D477='[2]Beam '!V$44,$P477*'[2]Beam '!V$45,0)</f>
        <v>0</v>
      </c>
      <c r="W477" s="8">
        <f>IF($D477='[2]Beam '!W$44,$P477*'[2]Beam '!W$45,0)</f>
        <v>0</v>
      </c>
      <c r="X477" s="8">
        <f t="shared" si="94"/>
        <v>25.5596</v>
      </c>
      <c r="Y477" s="8"/>
      <c r="Z477" s="8"/>
      <c r="AA477" s="8"/>
      <c r="AB477" s="8"/>
      <c r="AC477" s="8"/>
      <c r="AD477" s="8"/>
      <c r="AE477" s="8"/>
    </row>
    <row r="478" spans="1:32" s="10" customFormat="1" ht="21" customHeight="1" x14ac:dyDescent="0.25">
      <c r="A478" s="7"/>
      <c r="B478" s="8" t="s">
        <v>2</v>
      </c>
      <c r="C478" s="13" t="s">
        <v>8</v>
      </c>
      <c r="D478" s="8">
        <v>12</v>
      </c>
      <c r="E478" s="8">
        <v>0.1</v>
      </c>
      <c r="F478" s="8">
        <f>ROUNDUP(E473/E478,0)</f>
        <v>23</v>
      </c>
      <c r="H478" s="8"/>
      <c r="I478" s="8"/>
      <c r="J478" s="8"/>
      <c r="K478" s="8"/>
      <c r="L478" s="8"/>
      <c r="M478" s="8"/>
      <c r="N478" s="8"/>
      <c r="O478" s="8">
        <f>(2*((G473-(2*'[2]Beam '!$D$11))+(F473-(2*'[2]Beam '!$D$11)))+(2*10*D478/1000))*D473</f>
        <v>1.8</v>
      </c>
      <c r="P478" s="8">
        <f t="shared" si="93"/>
        <v>41.4</v>
      </c>
      <c r="Q478" s="8">
        <f>IF($D478='[2]Beam '!Q$44,$P478*'[2]Beam '!Q$45,0)</f>
        <v>0</v>
      </c>
      <c r="R478" s="8">
        <f>IF($D478='[2]Beam '!R$44,$P478*'[2]Beam '!R$45,0)</f>
        <v>0</v>
      </c>
      <c r="S478" s="8">
        <f>IF($D478='[2]Beam '!S$44,$P478*'[2]Beam '!S$45,0)</f>
        <v>36.770297142857146</v>
      </c>
      <c r="T478" s="8">
        <f>IF($D478='[2]Beam '!T$44,$P478*'[2]Beam '!T$45,0)</f>
        <v>0</v>
      </c>
      <c r="U478" s="8">
        <f>IF($D478='[2]Beam '!U$44,$P478*'[2]Beam '!U$45,0)</f>
        <v>0</v>
      </c>
      <c r="V478" s="8">
        <f>IF($D478='[2]Beam '!V$44,$P478*'[2]Beam '!V$45,0)</f>
        <v>0</v>
      </c>
      <c r="W478" s="8">
        <f>IF($D478='[2]Beam '!W$44,$P478*'[2]Beam '!W$45,0)</f>
        <v>0</v>
      </c>
      <c r="X478" s="8">
        <f t="shared" si="94"/>
        <v>36.770297142857146</v>
      </c>
      <c r="Y478" s="8"/>
      <c r="Z478" s="8"/>
      <c r="AA478" s="8"/>
      <c r="AB478" s="8"/>
      <c r="AC478" s="8"/>
      <c r="AD478" s="8"/>
      <c r="AE478" s="8"/>
      <c r="AF478" s="8"/>
    </row>
    <row r="479" spans="1:32" s="10" customFormat="1" ht="20.100000000000001" customHeight="1" x14ac:dyDescent="0.25">
      <c r="A479" s="14"/>
      <c r="B479" s="8" t="s">
        <v>2</v>
      </c>
      <c r="C479" s="13" t="s">
        <v>9</v>
      </c>
      <c r="D479" s="8">
        <f>+D478</f>
        <v>12</v>
      </c>
      <c r="E479" s="14">
        <f>+E478</f>
        <v>0.1</v>
      </c>
      <c r="F479" s="8">
        <f>ROUNDUP(E473/E479,0)</f>
        <v>23</v>
      </c>
      <c r="H479" s="14"/>
      <c r="I479" s="14"/>
      <c r="J479" s="14"/>
      <c r="K479" s="14"/>
      <c r="L479" s="14"/>
      <c r="M479" s="14"/>
      <c r="N479" s="14"/>
      <c r="O479" s="8">
        <f>((((G473-(2*'[2]Beam '!$D$11))+(2*10*D479/1000))*D473))*1</f>
        <v>0.78</v>
      </c>
      <c r="P479" s="8">
        <f t="shared" si="93"/>
        <v>17.940000000000001</v>
      </c>
      <c r="Q479" s="8">
        <f>IF($D479='[2]Beam '!Q$44,$P479*'[2]Beam '!Q$45,0)</f>
        <v>0</v>
      </c>
      <c r="R479" s="8">
        <f>IF($D479='[2]Beam '!R$44,$P479*'[2]Beam '!R$45,0)</f>
        <v>0</v>
      </c>
      <c r="S479" s="8">
        <f>IF($D479='[2]Beam '!S$44,$P479*'[2]Beam '!S$45,0)</f>
        <v>15.933795428571432</v>
      </c>
      <c r="T479" s="8">
        <f>IF($D479='[2]Beam '!T$44,$P479*'[2]Beam '!T$45,0)</f>
        <v>0</v>
      </c>
      <c r="U479" s="8">
        <f>IF($D479='[2]Beam '!U$44,$P479*'[2]Beam '!U$45,0)</f>
        <v>0</v>
      </c>
      <c r="V479" s="8">
        <f>IF($D479='[2]Beam '!V$44,$P479*'[2]Beam '!V$45,0)</f>
        <v>0</v>
      </c>
      <c r="W479" s="8">
        <f>IF($D479='[2]Beam '!W$44,$P479*'[2]Beam '!W$45,0)</f>
        <v>0</v>
      </c>
      <c r="X479" s="8">
        <f t="shared" si="94"/>
        <v>15.933795428571432</v>
      </c>
      <c r="Y479" s="14"/>
      <c r="Z479" s="8"/>
      <c r="AA479" s="8"/>
      <c r="AB479" s="8"/>
      <c r="AC479" s="8"/>
      <c r="AD479" s="8"/>
      <c r="AE479" s="8"/>
    </row>
    <row r="480" spans="1:32" s="10" customFormat="1" ht="19.5" customHeight="1" x14ac:dyDescent="0.25">
      <c r="A480" s="7"/>
      <c r="B480" s="8" t="s">
        <v>2</v>
      </c>
      <c r="C480" s="13" t="s">
        <v>10</v>
      </c>
      <c r="D480" s="8">
        <f>+'[2]Beam '!$D$15</f>
        <v>25</v>
      </c>
      <c r="E480" s="8">
        <f>+'[2]Beam '!$E$15</f>
        <v>1</v>
      </c>
      <c r="F480" s="8">
        <f>ROUNDUP((E473)/E480,0)</f>
        <v>3</v>
      </c>
      <c r="G480" s="9"/>
      <c r="H480" s="9"/>
      <c r="I480" s="8"/>
      <c r="J480" s="8"/>
      <c r="K480" s="8"/>
      <c r="L480" s="8"/>
      <c r="M480" s="8"/>
      <c r="N480" s="8"/>
      <c r="O480" s="8">
        <f>F473-'[2]Beam '!$F$15</f>
        <v>0.24</v>
      </c>
      <c r="P480" s="8">
        <f t="shared" si="93"/>
        <v>0.72</v>
      </c>
      <c r="Q480" s="8">
        <f>IF($D480='[2]Beam '!Q$44,$P480*'[2]Beam '!Q$45,0)</f>
        <v>0</v>
      </c>
      <c r="R480" s="8">
        <f>IF($D480='[2]Beam '!R$44,$P480*'[2]Beam '!R$45,0)</f>
        <v>0</v>
      </c>
      <c r="S480" s="8">
        <f>IF($D480='[2]Beam '!S$44,$P480*'[2]Beam '!S$45,0)</f>
        <v>0</v>
      </c>
      <c r="T480" s="8">
        <f>IF($D480='[2]Beam '!T$44,$P480*'[2]Beam '!T$45,0)</f>
        <v>0</v>
      </c>
      <c r="U480" s="8">
        <f>IF($D480='[2]Beam '!U$44,$P480*'[2]Beam '!U$45,0)</f>
        <v>0</v>
      </c>
      <c r="V480" s="8">
        <f>IF($D480='[2]Beam '!V$44,$P480*'[2]Beam '!V$45,0)</f>
        <v>2.7755357142857147</v>
      </c>
      <c r="W480" s="8">
        <f>IF($D480='[2]Beam '!W$44,$P480*'[2]Beam '!W$45,0)</f>
        <v>0</v>
      </c>
      <c r="X480" s="8">
        <f t="shared" si="94"/>
        <v>2.7755357142857147</v>
      </c>
      <c r="Y480" s="8"/>
      <c r="Z480" s="8"/>
      <c r="AA480" s="8"/>
      <c r="AB480" s="8"/>
      <c r="AC480" s="8"/>
      <c r="AD480" s="8"/>
      <c r="AE480" s="8"/>
    </row>
    <row r="481" spans="1:32" s="10" customFormat="1" ht="20.100000000000001" customHeight="1" x14ac:dyDescent="0.25">
      <c r="A481" s="8">
        <v>1</v>
      </c>
      <c r="B481" s="8" t="s">
        <v>2</v>
      </c>
      <c r="C481" s="11" t="s">
        <v>65</v>
      </c>
      <c r="D481" s="11">
        <v>1</v>
      </c>
      <c r="E481" s="11">
        <v>2.2999999999999998</v>
      </c>
      <c r="F481" s="11">
        <v>0.3</v>
      </c>
      <c r="G481" s="11">
        <v>0.6</v>
      </c>
      <c r="H481" s="8">
        <f>G481-0.2</f>
        <v>0.39999999999999997</v>
      </c>
      <c r="I481" s="8">
        <f>E481*F481*G481*D481</f>
        <v>0.41399999999999998</v>
      </c>
      <c r="J481" s="8">
        <f>(2*(E481)*H481*D481)+(E481*F481)</f>
        <v>2.5299999999999994</v>
      </c>
      <c r="K481" s="12">
        <f>IF(E481=0.3,J481,0)</f>
        <v>0</v>
      </c>
      <c r="L481" s="12">
        <f>IF(AND(E481&gt;0.3,E481&lt;=0.75),J481,0)</f>
        <v>0</v>
      </c>
      <c r="M481" s="12">
        <f>IF(AND(E481&gt;0.75,E481&lt;=1.2),J481,0)</f>
        <v>0</v>
      </c>
      <c r="N481" s="12">
        <f>IF(E481&gt;1.2,J481,0)</f>
        <v>2.5299999999999994</v>
      </c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>
        <f>SUM(X482:X486)/I481</f>
        <v>477.38469375431339</v>
      </c>
      <c r="Z481" s="8"/>
      <c r="AA481" s="8"/>
      <c r="AB481" s="8"/>
      <c r="AC481" s="8"/>
      <c r="AD481" s="8"/>
      <c r="AE481" s="8"/>
    </row>
    <row r="482" spans="1:32" s="10" customFormat="1" ht="20.100000000000001" customHeight="1" x14ac:dyDescent="0.25">
      <c r="A482" s="7"/>
      <c r="B482" s="8" t="s">
        <v>2</v>
      </c>
      <c r="C482" s="13" t="s">
        <v>4</v>
      </c>
      <c r="D482" s="8">
        <v>25</v>
      </c>
      <c r="E482" s="8"/>
      <c r="F482" s="8">
        <v>3</v>
      </c>
      <c r="G482" s="9">
        <f>VLOOKUP(D482,'[2]Beam '!$C$20:$H$26,3,0)</f>
        <v>1</v>
      </c>
      <c r="H482" s="9"/>
      <c r="I482" s="8"/>
      <c r="J482" s="8"/>
      <c r="K482" s="8"/>
      <c r="L482" s="8"/>
      <c r="M482" s="8"/>
      <c r="N482" s="8"/>
      <c r="O482" s="8">
        <f>(E481+1*(G482+(12*D482/1000))+1*(0.4/2)*D481)</f>
        <v>3.8</v>
      </c>
      <c r="P482" s="8">
        <f t="shared" ref="P482:P488" si="95">O482*F482</f>
        <v>11.399999999999999</v>
      </c>
      <c r="Q482" s="8">
        <f>IF($D482='[2]Beam '!Q$44,$P482*'[2]Beam '!Q$45,0)</f>
        <v>0</v>
      </c>
      <c r="R482" s="8">
        <f>IF($D482='[2]Beam '!R$44,$P482*'[2]Beam '!R$45,0)</f>
        <v>0</v>
      </c>
      <c r="S482" s="8">
        <f>IF($D482='[2]Beam '!S$44,$P482*'[2]Beam '!S$45,0)</f>
        <v>0</v>
      </c>
      <c r="T482" s="8">
        <f>IF($D482='[2]Beam '!T$44,$P482*'[2]Beam '!T$45,0)</f>
        <v>0</v>
      </c>
      <c r="U482" s="8">
        <f>IF($D482='[2]Beam '!U$44,$P482*'[2]Beam '!U$45,0)</f>
        <v>0</v>
      </c>
      <c r="V482" s="8">
        <f>IF($D482='[2]Beam '!V$44,$P482*'[2]Beam '!V$45,0)</f>
        <v>43.945982142857147</v>
      </c>
      <c r="W482" s="8">
        <f>IF($D482='[2]Beam '!W$44,$P482*'[2]Beam '!W$45,0)</f>
        <v>0</v>
      </c>
      <c r="X482" s="8">
        <f t="shared" ref="X482:X488" si="96">SUM(Q482:W482)</f>
        <v>43.945982142857147</v>
      </c>
      <c r="Y482" s="8"/>
      <c r="Z482" s="8"/>
      <c r="AA482" s="8"/>
      <c r="AB482" s="8"/>
      <c r="AC482" s="8"/>
      <c r="AD482" s="8"/>
      <c r="AE482" s="8"/>
    </row>
    <row r="483" spans="1:32" s="10" customFormat="1" ht="20.100000000000001" customHeight="1" x14ac:dyDescent="0.25">
      <c r="A483" s="7"/>
      <c r="B483" s="8" t="s">
        <v>2</v>
      </c>
      <c r="C483" s="13" t="s">
        <v>5</v>
      </c>
      <c r="D483" s="8">
        <v>25</v>
      </c>
      <c r="E483" s="8"/>
      <c r="F483" s="8">
        <v>3</v>
      </c>
      <c r="G483" s="9">
        <f>VLOOKUP(D483,'[2]Beam '!$C$20:$H$26,3,0)</f>
        <v>1</v>
      </c>
      <c r="H483" s="9"/>
      <c r="I483" s="8"/>
      <c r="J483" s="8"/>
      <c r="K483" s="8"/>
      <c r="L483" s="8"/>
      <c r="M483" s="8"/>
      <c r="N483" s="8"/>
      <c r="O483" s="8">
        <f>(0.7+1*(G483+(12*D483/1000))*D481)</f>
        <v>2</v>
      </c>
      <c r="P483" s="8">
        <f t="shared" si="95"/>
        <v>6</v>
      </c>
      <c r="Q483" s="8">
        <f>IF($D483='[2]Beam '!Q$44,$P483*'[2]Beam '!Q$45,0)</f>
        <v>0</v>
      </c>
      <c r="R483" s="8">
        <f>IF($D483='[2]Beam '!R$44,$P483*'[2]Beam '!R$45,0)</f>
        <v>0</v>
      </c>
      <c r="S483" s="8">
        <f>IF($D483='[2]Beam '!S$44,$P483*'[2]Beam '!S$45,0)</f>
        <v>0</v>
      </c>
      <c r="T483" s="8">
        <f>IF($D483='[2]Beam '!T$44,$P483*'[2]Beam '!T$45,0)</f>
        <v>0</v>
      </c>
      <c r="U483" s="8">
        <f>IF($D483='[2]Beam '!U$44,$P483*'[2]Beam '!U$45,0)</f>
        <v>0</v>
      </c>
      <c r="V483" s="8">
        <f>IF($D483='[2]Beam '!V$44,$P483*'[2]Beam '!V$45,0)</f>
        <v>23.129464285714288</v>
      </c>
      <c r="W483" s="8">
        <f>IF($D483='[2]Beam '!W$44,$P483*'[2]Beam '!W$45,0)</f>
        <v>0</v>
      </c>
      <c r="X483" s="8">
        <f t="shared" si="96"/>
        <v>23.129464285714288</v>
      </c>
      <c r="Y483" s="8"/>
      <c r="Z483" s="8"/>
      <c r="AA483" s="8"/>
      <c r="AB483" s="8"/>
      <c r="AC483" s="8"/>
      <c r="AD483" s="8"/>
      <c r="AE483" s="8"/>
    </row>
    <row r="484" spans="1:32" s="14" customFormat="1" ht="20.100000000000001" customHeight="1" x14ac:dyDescent="0.3">
      <c r="A484" s="7"/>
      <c r="B484" s="8" t="s">
        <v>2</v>
      </c>
      <c r="C484" s="13" t="s">
        <v>6</v>
      </c>
      <c r="D484" s="8">
        <v>25</v>
      </c>
      <c r="E484" s="8"/>
      <c r="F484" s="8">
        <v>3</v>
      </c>
      <c r="G484" s="9">
        <f>VLOOKUP(D484,'[2]Beam '!$C$20:$H$26,3,0)</f>
        <v>1</v>
      </c>
      <c r="H484" s="8"/>
      <c r="I484" s="8"/>
      <c r="J484" s="8"/>
      <c r="K484" s="8"/>
      <c r="L484" s="8"/>
      <c r="M484" s="8"/>
      <c r="N484" s="8"/>
      <c r="O484" s="8">
        <f>(E481+2*(G484+(12*D484/1000))+G484*D481)</f>
        <v>5.9</v>
      </c>
      <c r="P484" s="8">
        <f t="shared" si="95"/>
        <v>17.700000000000003</v>
      </c>
      <c r="Q484" s="8">
        <f>IF($D484='[2]Beam '!Q$44,$P484*'[2]Beam '!Q$45,0)</f>
        <v>0</v>
      </c>
      <c r="R484" s="8">
        <f>IF($D484='[2]Beam '!R$44,$P484*'[2]Beam '!R$45,0)</f>
        <v>0</v>
      </c>
      <c r="S484" s="8">
        <f>IF($D484='[2]Beam '!S$44,$P484*'[2]Beam '!S$45,0)</f>
        <v>0</v>
      </c>
      <c r="T484" s="8">
        <f>IF($D484='[2]Beam '!T$44,$P484*'[2]Beam '!T$45,0)</f>
        <v>0</v>
      </c>
      <c r="U484" s="8">
        <f>IF($D484='[2]Beam '!U$44,$P484*'[2]Beam '!U$45,0)</f>
        <v>0</v>
      </c>
      <c r="V484" s="8">
        <f>IF($D484='[2]Beam '!V$44,$P484*'[2]Beam '!V$45,0)</f>
        <v>68.231919642857164</v>
      </c>
      <c r="W484" s="8">
        <f>IF($D484='[2]Beam '!W$44,$P484*'[2]Beam '!W$45,0)</f>
        <v>0</v>
      </c>
      <c r="X484" s="8">
        <f t="shared" si="96"/>
        <v>68.231919642857164</v>
      </c>
      <c r="Y484" s="8"/>
    </row>
    <row r="485" spans="1:32" s="10" customFormat="1" ht="20.100000000000001" customHeight="1" x14ac:dyDescent="0.25">
      <c r="A485" s="7"/>
      <c r="B485" s="8" t="s">
        <v>2</v>
      </c>
      <c r="C485" s="13" t="s">
        <v>7</v>
      </c>
      <c r="D485" s="8">
        <v>20</v>
      </c>
      <c r="E485" s="8"/>
      <c r="F485" s="8">
        <v>2</v>
      </c>
      <c r="G485" s="9">
        <f>VLOOKUP(D485,'[2]Beam '!$C$20:$H$26,3,0)</f>
        <v>0.8</v>
      </c>
      <c r="H485" s="8"/>
      <c r="I485" s="8"/>
      <c r="J485" s="8"/>
      <c r="K485" s="8"/>
      <c r="L485" s="8"/>
      <c r="M485" s="8"/>
      <c r="N485" s="8"/>
      <c r="O485" s="8">
        <f>(E481+2*(G485+(12*D485/1000))+G485*D481)</f>
        <v>5.18</v>
      </c>
      <c r="P485" s="8">
        <f t="shared" si="95"/>
        <v>10.36</v>
      </c>
      <c r="Q485" s="8">
        <f>IF($D485='[2]Beam '!Q$44,$P485*'[2]Beam '!Q$45,0)</f>
        <v>0</v>
      </c>
      <c r="R485" s="8">
        <f>IF($D485='[2]Beam '!R$44,$P485*'[2]Beam '!R$45,0)</f>
        <v>0</v>
      </c>
      <c r="S485" s="8">
        <f>IF($D485='[2]Beam '!S$44,$P485*'[2]Beam '!S$45,0)</f>
        <v>0</v>
      </c>
      <c r="T485" s="8">
        <f>IF($D485='[2]Beam '!T$44,$P485*'[2]Beam '!T$45,0)</f>
        <v>0</v>
      </c>
      <c r="U485" s="8">
        <f>IF($D485='[2]Beam '!U$44,$P485*'[2]Beam '!U$45,0)</f>
        <v>25.5596</v>
      </c>
      <c r="V485" s="8">
        <f>IF($D485='[2]Beam '!V$44,$P485*'[2]Beam '!V$45,0)</f>
        <v>0</v>
      </c>
      <c r="W485" s="8">
        <f>IF($D485='[2]Beam '!W$44,$P485*'[2]Beam '!W$45,0)</f>
        <v>0</v>
      </c>
      <c r="X485" s="8">
        <f t="shared" si="96"/>
        <v>25.5596</v>
      </c>
      <c r="Y485" s="8"/>
      <c r="Z485" s="8"/>
      <c r="AA485" s="8"/>
      <c r="AB485" s="8"/>
      <c r="AC485" s="8"/>
      <c r="AD485" s="8"/>
      <c r="AE485" s="8"/>
    </row>
    <row r="486" spans="1:32" s="10" customFormat="1" ht="21" customHeight="1" x14ac:dyDescent="0.25">
      <c r="A486" s="7"/>
      <c r="B486" s="8" t="s">
        <v>2</v>
      </c>
      <c r="C486" s="13" t="s">
        <v>8</v>
      </c>
      <c r="D486" s="8">
        <v>12</v>
      </c>
      <c r="E486" s="8">
        <v>0.1</v>
      </c>
      <c r="F486" s="8">
        <f>ROUNDUP(E481/E486,0)</f>
        <v>23</v>
      </c>
      <c r="H486" s="8"/>
      <c r="I486" s="8"/>
      <c r="J486" s="8"/>
      <c r="K486" s="8"/>
      <c r="L486" s="8"/>
      <c r="M486" s="8"/>
      <c r="N486" s="8"/>
      <c r="O486" s="8">
        <f>(2*((G481-(2*'[2]Beam '!$D$11))+(F481-(2*'[2]Beam '!$D$11)))+(2*10*D486/1000))*D481</f>
        <v>1.8</v>
      </c>
      <c r="P486" s="8">
        <f t="shared" si="95"/>
        <v>41.4</v>
      </c>
      <c r="Q486" s="8">
        <f>IF($D486='[2]Beam '!Q$44,$P486*'[2]Beam '!Q$45,0)</f>
        <v>0</v>
      </c>
      <c r="R486" s="8">
        <f>IF($D486='[2]Beam '!R$44,$P486*'[2]Beam '!R$45,0)</f>
        <v>0</v>
      </c>
      <c r="S486" s="8">
        <f>IF($D486='[2]Beam '!S$44,$P486*'[2]Beam '!S$45,0)</f>
        <v>36.770297142857146</v>
      </c>
      <c r="T486" s="8">
        <f>IF($D486='[2]Beam '!T$44,$P486*'[2]Beam '!T$45,0)</f>
        <v>0</v>
      </c>
      <c r="U486" s="8">
        <f>IF($D486='[2]Beam '!U$44,$P486*'[2]Beam '!U$45,0)</f>
        <v>0</v>
      </c>
      <c r="V486" s="8">
        <f>IF($D486='[2]Beam '!V$44,$P486*'[2]Beam '!V$45,0)</f>
        <v>0</v>
      </c>
      <c r="W486" s="8">
        <f>IF($D486='[2]Beam '!W$44,$P486*'[2]Beam '!W$45,0)</f>
        <v>0</v>
      </c>
      <c r="X486" s="8">
        <f t="shared" si="96"/>
        <v>36.770297142857146</v>
      </c>
      <c r="Y486" s="8"/>
      <c r="Z486" s="8"/>
      <c r="AA486" s="8"/>
      <c r="AB486" s="8"/>
      <c r="AC486" s="8"/>
      <c r="AD486" s="8"/>
      <c r="AE486" s="8"/>
      <c r="AF486" s="8"/>
    </row>
    <row r="487" spans="1:32" s="10" customFormat="1" ht="20.100000000000001" customHeight="1" x14ac:dyDescent="0.25">
      <c r="A487" s="14"/>
      <c r="B487" s="8" t="s">
        <v>2</v>
      </c>
      <c r="C487" s="13" t="s">
        <v>9</v>
      </c>
      <c r="D487" s="8">
        <f>+D486</f>
        <v>12</v>
      </c>
      <c r="E487" s="14">
        <f>+E486</f>
        <v>0.1</v>
      </c>
      <c r="F487" s="8">
        <f>ROUNDUP(E481/E487,0)</f>
        <v>23</v>
      </c>
      <c r="H487" s="14"/>
      <c r="I487" s="14"/>
      <c r="J487" s="14"/>
      <c r="K487" s="14"/>
      <c r="L487" s="14"/>
      <c r="M487" s="14"/>
      <c r="N487" s="14"/>
      <c r="O487" s="8">
        <f>((((G481-(2*'[2]Beam '!$D$11))+(2*10*D487/1000))*D481))*1</f>
        <v>0.78</v>
      </c>
      <c r="P487" s="8">
        <f t="shared" si="95"/>
        <v>17.940000000000001</v>
      </c>
      <c r="Q487" s="8">
        <f>IF($D487='[2]Beam '!Q$44,$P487*'[2]Beam '!Q$45,0)</f>
        <v>0</v>
      </c>
      <c r="R487" s="8">
        <f>IF($D487='[2]Beam '!R$44,$P487*'[2]Beam '!R$45,0)</f>
        <v>0</v>
      </c>
      <c r="S487" s="8">
        <f>IF($D487='[2]Beam '!S$44,$P487*'[2]Beam '!S$45,0)</f>
        <v>15.933795428571432</v>
      </c>
      <c r="T487" s="8">
        <f>IF($D487='[2]Beam '!T$44,$P487*'[2]Beam '!T$45,0)</f>
        <v>0</v>
      </c>
      <c r="U487" s="8">
        <f>IF($D487='[2]Beam '!U$44,$P487*'[2]Beam '!U$45,0)</f>
        <v>0</v>
      </c>
      <c r="V487" s="8">
        <f>IF($D487='[2]Beam '!V$44,$P487*'[2]Beam '!V$45,0)</f>
        <v>0</v>
      </c>
      <c r="W487" s="8">
        <f>IF($D487='[2]Beam '!W$44,$P487*'[2]Beam '!W$45,0)</f>
        <v>0</v>
      </c>
      <c r="X487" s="8">
        <f t="shared" si="96"/>
        <v>15.933795428571432</v>
      </c>
      <c r="Y487" s="14"/>
      <c r="Z487" s="8"/>
      <c r="AA487" s="8"/>
      <c r="AB487" s="8"/>
      <c r="AC487" s="8"/>
      <c r="AD487" s="8"/>
      <c r="AE487" s="8"/>
    </row>
    <row r="488" spans="1:32" s="10" customFormat="1" ht="19.5" customHeight="1" x14ac:dyDescent="0.25">
      <c r="A488" s="7"/>
      <c r="B488" s="8" t="s">
        <v>2</v>
      </c>
      <c r="C488" s="13" t="s">
        <v>10</v>
      </c>
      <c r="D488" s="8">
        <f>+'[2]Beam '!$D$15</f>
        <v>25</v>
      </c>
      <c r="E488" s="8">
        <f>+'[2]Beam '!$E$15</f>
        <v>1</v>
      </c>
      <c r="F488" s="8">
        <f>ROUNDUP((E481)/E488,0)</f>
        <v>3</v>
      </c>
      <c r="G488" s="9"/>
      <c r="H488" s="9"/>
      <c r="I488" s="8"/>
      <c r="J488" s="8"/>
      <c r="K488" s="8"/>
      <c r="L488" s="8"/>
      <c r="M488" s="8"/>
      <c r="N488" s="8"/>
      <c r="O488" s="8">
        <f>F481-'[2]Beam '!$F$15</f>
        <v>0.24</v>
      </c>
      <c r="P488" s="8">
        <f t="shared" si="95"/>
        <v>0.72</v>
      </c>
      <c r="Q488" s="8">
        <f>IF($D488='[2]Beam '!Q$44,$P488*'[2]Beam '!Q$45,0)</f>
        <v>0</v>
      </c>
      <c r="R488" s="8">
        <f>IF($D488='[2]Beam '!R$44,$P488*'[2]Beam '!R$45,0)</f>
        <v>0</v>
      </c>
      <c r="S488" s="8">
        <f>IF($D488='[2]Beam '!S$44,$P488*'[2]Beam '!S$45,0)</f>
        <v>0</v>
      </c>
      <c r="T488" s="8">
        <f>IF($D488='[2]Beam '!T$44,$P488*'[2]Beam '!T$45,0)</f>
        <v>0</v>
      </c>
      <c r="U488" s="8">
        <f>IF($D488='[2]Beam '!U$44,$P488*'[2]Beam '!U$45,0)</f>
        <v>0</v>
      </c>
      <c r="V488" s="8">
        <f>IF($D488='[2]Beam '!V$44,$P488*'[2]Beam '!V$45,0)</f>
        <v>2.7755357142857147</v>
      </c>
      <c r="W488" s="8">
        <f>IF($D488='[2]Beam '!W$44,$P488*'[2]Beam '!W$45,0)</f>
        <v>0</v>
      </c>
      <c r="X488" s="8">
        <f t="shared" si="96"/>
        <v>2.7755357142857147</v>
      </c>
      <c r="Y488" s="8"/>
      <c r="Z488" s="8"/>
      <c r="AA488" s="8"/>
      <c r="AB488" s="8"/>
      <c r="AC488" s="8"/>
      <c r="AD488" s="8"/>
      <c r="AE488" s="8"/>
    </row>
    <row r="489" spans="1:32" s="10" customFormat="1" ht="20.100000000000001" customHeight="1" x14ac:dyDescent="0.25">
      <c r="A489" s="8">
        <v>1</v>
      </c>
      <c r="B489" s="8" t="s">
        <v>2</v>
      </c>
      <c r="C489" s="11" t="s">
        <v>66</v>
      </c>
      <c r="D489" s="11">
        <v>1</v>
      </c>
      <c r="E489" s="11">
        <v>2.5</v>
      </c>
      <c r="F489" s="11">
        <v>0.3</v>
      </c>
      <c r="G489" s="11">
        <v>0.6</v>
      </c>
      <c r="H489" s="8">
        <f>G489-0.2</f>
        <v>0.39999999999999997</v>
      </c>
      <c r="I489" s="8">
        <f>E489*F489*G489*D489</f>
        <v>0.44999999999999996</v>
      </c>
      <c r="J489" s="8">
        <f>(2*(E489)*H489*D489)+(E489*F489)</f>
        <v>2.75</v>
      </c>
      <c r="K489" s="12">
        <f>IF(E489=0.3,J489,0)</f>
        <v>0</v>
      </c>
      <c r="L489" s="12">
        <f>IF(AND(E489&gt;0.3,E489&lt;=0.75),J489,0)</f>
        <v>0</v>
      </c>
      <c r="M489" s="12">
        <f>IF(AND(E489&gt;0.75,E489&lt;=1.2),J489,0)</f>
        <v>0</v>
      </c>
      <c r="N489" s="12">
        <f>IF(E489&gt;1.2,J489,0)</f>
        <v>2.75</v>
      </c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>
        <f>SUM(X490:X494)/I489</f>
        <v>454.82403580952393</v>
      </c>
      <c r="Z489" s="8"/>
      <c r="AA489" s="8"/>
      <c r="AB489" s="8"/>
      <c r="AC489" s="8"/>
      <c r="AD489" s="8"/>
      <c r="AE489" s="8"/>
    </row>
    <row r="490" spans="1:32" s="10" customFormat="1" ht="20.100000000000001" customHeight="1" x14ac:dyDescent="0.25">
      <c r="A490" s="7"/>
      <c r="B490" s="8" t="s">
        <v>2</v>
      </c>
      <c r="C490" s="13" t="s">
        <v>4</v>
      </c>
      <c r="D490" s="8">
        <v>25</v>
      </c>
      <c r="E490" s="8"/>
      <c r="F490" s="8">
        <v>3</v>
      </c>
      <c r="G490" s="9">
        <f>VLOOKUP(D490,'[2]Beam '!$C$20:$H$26,3,0)</f>
        <v>1</v>
      </c>
      <c r="H490" s="9"/>
      <c r="I490" s="8"/>
      <c r="J490" s="8"/>
      <c r="K490" s="8"/>
      <c r="L490" s="8"/>
      <c r="M490" s="8"/>
      <c r="N490" s="8"/>
      <c r="O490" s="8">
        <f>(E489+1*(G490+(12*D490/1000))+1*(0.4/2)*D489)</f>
        <v>4</v>
      </c>
      <c r="P490" s="8">
        <f t="shared" ref="P490:P496" si="97">O490*F490</f>
        <v>12</v>
      </c>
      <c r="Q490" s="8">
        <f>IF($D490='[2]Beam '!Q$44,$P490*'[2]Beam '!Q$45,0)</f>
        <v>0</v>
      </c>
      <c r="R490" s="8">
        <f>IF($D490='[2]Beam '!R$44,$P490*'[2]Beam '!R$45,0)</f>
        <v>0</v>
      </c>
      <c r="S490" s="8">
        <f>IF($D490='[2]Beam '!S$44,$P490*'[2]Beam '!S$45,0)</f>
        <v>0</v>
      </c>
      <c r="T490" s="8">
        <f>IF($D490='[2]Beam '!T$44,$P490*'[2]Beam '!T$45,0)</f>
        <v>0</v>
      </c>
      <c r="U490" s="8">
        <f>IF($D490='[2]Beam '!U$44,$P490*'[2]Beam '!U$45,0)</f>
        <v>0</v>
      </c>
      <c r="V490" s="8">
        <f>IF($D490='[2]Beam '!V$44,$P490*'[2]Beam '!V$45,0)</f>
        <v>46.258928571428577</v>
      </c>
      <c r="W490" s="8">
        <f>IF($D490='[2]Beam '!W$44,$P490*'[2]Beam '!W$45,0)</f>
        <v>0</v>
      </c>
      <c r="X490" s="8">
        <f t="shared" ref="X490:X496" si="98">SUM(Q490:W490)</f>
        <v>46.258928571428577</v>
      </c>
      <c r="Y490" s="8"/>
      <c r="Z490" s="8"/>
      <c r="AA490" s="8"/>
      <c r="AB490" s="8"/>
      <c r="AC490" s="8"/>
      <c r="AD490" s="8"/>
      <c r="AE490" s="8"/>
    </row>
    <row r="491" spans="1:32" s="10" customFormat="1" ht="20.100000000000001" customHeight="1" x14ac:dyDescent="0.25">
      <c r="A491" s="7"/>
      <c r="B491" s="8" t="s">
        <v>2</v>
      </c>
      <c r="C491" s="13" t="s">
        <v>5</v>
      </c>
      <c r="D491" s="8">
        <v>16</v>
      </c>
      <c r="E491" s="8"/>
      <c r="F491" s="8">
        <v>3</v>
      </c>
      <c r="G491" s="9">
        <f>VLOOKUP(D491,'[2]Beam '!$C$20:$H$26,3,0)</f>
        <v>0.625</v>
      </c>
      <c r="H491" s="9"/>
      <c r="I491" s="8"/>
      <c r="J491" s="8"/>
      <c r="K491" s="8"/>
      <c r="L491" s="8"/>
      <c r="M491" s="8"/>
      <c r="N491" s="8"/>
      <c r="O491" s="8">
        <f>(0.75+1*(G491+(12*D491/1000))*D489)</f>
        <v>1.5669999999999999</v>
      </c>
      <c r="P491" s="8">
        <f t="shared" si="97"/>
        <v>4.7009999999999996</v>
      </c>
      <c r="Q491" s="8">
        <f>IF($D491='[2]Beam '!Q$44,$P491*'[2]Beam '!Q$45,0)</f>
        <v>0</v>
      </c>
      <c r="R491" s="8">
        <f>IF($D491='[2]Beam '!R$44,$P491*'[2]Beam '!R$45,0)</f>
        <v>0</v>
      </c>
      <c r="S491" s="8">
        <f>IF($D491='[2]Beam '!S$44,$P491*'[2]Beam '!S$45,0)</f>
        <v>0</v>
      </c>
      <c r="T491" s="8">
        <f>IF($D491='[2]Beam '!T$44,$P491*'[2]Beam '!T$45,0)</f>
        <v>7.422744685714286</v>
      </c>
      <c r="U491" s="8">
        <f>IF($D491='[2]Beam '!U$44,$P491*'[2]Beam '!U$45,0)</f>
        <v>0</v>
      </c>
      <c r="V491" s="8">
        <f>IF($D491='[2]Beam '!V$44,$P491*'[2]Beam '!V$45,0)</f>
        <v>0</v>
      </c>
      <c r="W491" s="8">
        <f>IF($D491='[2]Beam '!W$44,$P491*'[2]Beam '!W$45,0)</f>
        <v>0</v>
      </c>
      <c r="X491" s="8">
        <f t="shared" si="98"/>
        <v>7.422744685714286</v>
      </c>
      <c r="Y491" s="8"/>
      <c r="Z491" s="8"/>
      <c r="AA491" s="8"/>
      <c r="AB491" s="8"/>
      <c r="AC491" s="8"/>
      <c r="AD491" s="8"/>
      <c r="AE491" s="8"/>
    </row>
    <row r="492" spans="1:32" s="14" customFormat="1" ht="20.100000000000001" customHeight="1" x14ac:dyDescent="0.3">
      <c r="A492" s="7"/>
      <c r="B492" s="8" t="s">
        <v>2</v>
      </c>
      <c r="C492" s="13" t="s">
        <v>6</v>
      </c>
      <c r="D492" s="8">
        <v>25</v>
      </c>
      <c r="E492" s="8"/>
      <c r="F492" s="8">
        <v>3</v>
      </c>
      <c r="G492" s="9">
        <f>VLOOKUP(D492,'[2]Beam '!$C$20:$H$26,3,0)</f>
        <v>1</v>
      </c>
      <c r="H492" s="8"/>
      <c r="I492" s="8"/>
      <c r="J492" s="8"/>
      <c r="K492" s="8"/>
      <c r="L492" s="8"/>
      <c r="M492" s="8"/>
      <c r="N492" s="8"/>
      <c r="O492" s="8">
        <f>(E489+1*(G492+(12*D492/1000))+G492*D489)</f>
        <v>4.8</v>
      </c>
      <c r="P492" s="8">
        <f t="shared" si="97"/>
        <v>14.399999999999999</v>
      </c>
      <c r="Q492" s="8">
        <f>IF($D492='[2]Beam '!Q$44,$P492*'[2]Beam '!Q$45,0)</f>
        <v>0</v>
      </c>
      <c r="R492" s="8">
        <f>IF($D492='[2]Beam '!R$44,$P492*'[2]Beam '!R$45,0)</f>
        <v>0</v>
      </c>
      <c r="S492" s="8">
        <f>IF($D492='[2]Beam '!S$44,$P492*'[2]Beam '!S$45,0)</f>
        <v>0</v>
      </c>
      <c r="T492" s="8">
        <f>IF($D492='[2]Beam '!T$44,$P492*'[2]Beam '!T$45,0)</f>
        <v>0</v>
      </c>
      <c r="U492" s="8">
        <f>IF($D492='[2]Beam '!U$44,$P492*'[2]Beam '!U$45,0)</f>
        <v>0</v>
      </c>
      <c r="V492" s="8">
        <f>IF($D492='[2]Beam '!V$44,$P492*'[2]Beam '!V$45,0)</f>
        <v>55.510714285714286</v>
      </c>
      <c r="W492" s="8">
        <f>IF($D492='[2]Beam '!W$44,$P492*'[2]Beam '!W$45,0)</f>
        <v>0</v>
      </c>
      <c r="X492" s="8">
        <f t="shared" si="98"/>
        <v>55.510714285714286</v>
      </c>
      <c r="Y492" s="8"/>
    </row>
    <row r="493" spans="1:32" s="10" customFormat="1" ht="20.100000000000001" customHeight="1" x14ac:dyDescent="0.25">
      <c r="A493" s="7"/>
      <c r="B493" s="8" t="s">
        <v>2</v>
      </c>
      <c r="C493" s="13" t="s">
        <v>7</v>
      </c>
      <c r="D493" s="8">
        <v>25</v>
      </c>
      <c r="E493" s="8"/>
      <c r="F493" s="8">
        <v>3</v>
      </c>
      <c r="G493" s="9">
        <f>VLOOKUP(D493,'[2]Beam '!$C$20:$H$26,3,0)</f>
        <v>1</v>
      </c>
      <c r="H493" s="8"/>
      <c r="I493" s="8"/>
      <c r="J493" s="8"/>
      <c r="K493" s="8"/>
      <c r="L493" s="8"/>
      <c r="M493" s="8"/>
      <c r="N493" s="8"/>
      <c r="O493" s="8">
        <f>(E489+1*(G493+(12*D493/1000))+G493*D489)</f>
        <v>4.8</v>
      </c>
      <c r="P493" s="8">
        <f t="shared" si="97"/>
        <v>14.399999999999999</v>
      </c>
      <c r="Q493" s="8">
        <f>IF($D493='[2]Beam '!Q$44,$P493*'[2]Beam '!Q$45,0)</f>
        <v>0</v>
      </c>
      <c r="R493" s="8">
        <f>IF($D493='[2]Beam '!R$44,$P493*'[2]Beam '!R$45,0)</f>
        <v>0</v>
      </c>
      <c r="S493" s="8">
        <f>IF($D493='[2]Beam '!S$44,$P493*'[2]Beam '!S$45,0)</f>
        <v>0</v>
      </c>
      <c r="T493" s="8">
        <f>IF($D493='[2]Beam '!T$44,$P493*'[2]Beam '!T$45,0)</f>
        <v>0</v>
      </c>
      <c r="U493" s="8">
        <f>IF($D493='[2]Beam '!U$44,$P493*'[2]Beam '!U$45,0)</f>
        <v>0</v>
      </c>
      <c r="V493" s="8">
        <f>IF($D493='[2]Beam '!V$44,$P493*'[2]Beam '!V$45,0)</f>
        <v>55.510714285714286</v>
      </c>
      <c r="W493" s="8">
        <f>IF($D493='[2]Beam '!W$44,$P493*'[2]Beam '!W$45,0)</f>
        <v>0</v>
      </c>
      <c r="X493" s="8">
        <f t="shared" si="98"/>
        <v>55.510714285714286</v>
      </c>
      <c r="Y493" s="8"/>
      <c r="Z493" s="8"/>
      <c r="AA493" s="8"/>
      <c r="AB493" s="8"/>
      <c r="AC493" s="8"/>
      <c r="AD493" s="8"/>
      <c r="AE493" s="8"/>
    </row>
    <row r="494" spans="1:32" s="10" customFormat="1" ht="21" customHeight="1" x14ac:dyDescent="0.25">
      <c r="A494" s="7"/>
      <c r="B494" s="8" t="s">
        <v>2</v>
      </c>
      <c r="C494" s="13" t="s">
        <v>8</v>
      </c>
      <c r="D494" s="8">
        <v>12</v>
      </c>
      <c r="E494" s="8">
        <v>0.1</v>
      </c>
      <c r="F494" s="8">
        <f>ROUNDUP(E489/E494,0)</f>
        <v>25</v>
      </c>
      <c r="H494" s="8"/>
      <c r="I494" s="8"/>
      <c r="J494" s="8"/>
      <c r="K494" s="8"/>
      <c r="L494" s="8"/>
      <c r="M494" s="8"/>
      <c r="N494" s="8"/>
      <c r="O494" s="8">
        <f>(2*((G489-(2*'[2]Beam '!$D$11))+(F489-(2*'[2]Beam '!$D$11)))+(2*10*D494/1000))*D489</f>
        <v>1.8</v>
      </c>
      <c r="P494" s="8">
        <f t="shared" si="97"/>
        <v>45</v>
      </c>
      <c r="Q494" s="8">
        <f>IF($D494='[2]Beam '!Q$44,$P494*'[2]Beam '!Q$45,0)</f>
        <v>0</v>
      </c>
      <c r="R494" s="8">
        <f>IF($D494='[2]Beam '!R$44,$P494*'[2]Beam '!R$45,0)</f>
        <v>0</v>
      </c>
      <c r="S494" s="8">
        <f>IF($D494='[2]Beam '!S$44,$P494*'[2]Beam '!S$45,0)</f>
        <v>39.967714285714294</v>
      </c>
      <c r="T494" s="8">
        <f>IF($D494='[2]Beam '!T$44,$P494*'[2]Beam '!T$45,0)</f>
        <v>0</v>
      </c>
      <c r="U494" s="8">
        <f>IF($D494='[2]Beam '!U$44,$P494*'[2]Beam '!U$45,0)</f>
        <v>0</v>
      </c>
      <c r="V494" s="8">
        <f>IF($D494='[2]Beam '!V$44,$P494*'[2]Beam '!V$45,0)</f>
        <v>0</v>
      </c>
      <c r="W494" s="8">
        <f>IF($D494='[2]Beam '!W$44,$P494*'[2]Beam '!W$45,0)</f>
        <v>0</v>
      </c>
      <c r="X494" s="8">
        <f t="shared" si="98"/>
        <v>39.967714285714294</v>
      </c>
      <c r="Y494" s="8"/>
      <c r="Z494" s="8"/>
      <c r="AA494" s="8"/>
      <c r="AB494" s="8"/>
      <c r="AC494" s="8"/>
      <c r="AD494" s="8"/>
      <c r="AE494" s="8"/>
      <c r="AF494" s="8"/>
    </row>
    <row r="495" spans="1:32" s="10" customFormat="1" ht="20.100000000000001" customHeight="1" x14ac:dyDescent="0.25">
      <c r="A495" s="14"/>
      <c r="B495" s="8" t="s">
        <v>2</v>
      </c>
      <c r="C495" s="13" t="s">
        <v>9</v>
      </c>
      <c r="D495" s="8">
        <f>+D494</f>
        <v>12</v>
      </c>
      <c r="E495" s="14">
        <f>+E494</f>
        <v>0.1</v>
      </c>
      <c r="F495" s="8">
        <f>ROUNDUP(E489/E495,0)</f>
        <v>25</v>
      </c>
      <c r="H495" s="14"/>
      <c r="I495" s="14"/>
      <c r="J495" s="14"/>
      <c r="K495" s="14"/>
      <c r="L495" s="14"/>
      <c r="M495" s="14"/>
      <c r="N495" s="14"/>
      <c r="O495" s="8">
        <f>((((G489-(2*'[2]Beam '!$D$11))+(2*10*D495/1000))*D489))*1</f>
        <v>0.78</v>
      </c>
      <c r="P495" s="8">
        <f t="shared" si="97"/>
        <v>19.5</v>
      </c>
      <c r="Q495" s="8">
        <f>IF($D495='[2]Beam '!Q$44,$P495*'[2]Beam '!Q$45,0)</f>
        <v>0</v>
      </c>
      <c r="R495" s="8">
        <f>IF($D495='[2]Beam '!R$44,$P495*'[2]Beam '!R$45,0)</f>
        <v>0</v>
      </c>
      <c r="S495" s="8">
        <f>IF($D495='[2]Beam '!S$44,$P495*'[2]Beam '!S$45,0)</f>
        <v>17.31934285714286</v>
      </c>
      <c r="T495" s="8">
        <f>IF($D495='[2]Beam '!T$44,$P495*'[2]Beam '!T$45,0)</f>
        <v>0</v>
      </c>
      <c r="U495" s="8">
        <f>IF($D495='[2]Beam '!U$44,$P495*'[2]Beam '!U$45,0)</f>
        <v>0</v>
      </c>
      <c r="V495" s="8">
        <f>IF($D495='[2]Beam '!V$44,$P495*'[2]Beam '!V$45,0)</f>
        <v>0</v>
      </c>
      <c r="W495" s="8">
        <f>IF($D495='[2]Beam '!W$44,$P495*'[2]Beam '!W$45,0)</f>
        <v>0</v>
      </c>
      <c r="X495" s="8">
        <f t="shared" si="98"/>
        <v>17.31934285714286</v>
      </c>
      <c r="Y495" s="14"/>
      <c r="Z495" s="8"/>
      <c r="AA495" s="8"/>
      <c r="AB495" s="8"/>
      <c r="AC495" s="8"/>
      <c r="AD495" s="8"/>
      <c r="AE495" s="8"/>
    </row>
    <row r="496" spans="1:32" s="10" customFormat="1" ht="19.5" customHeight="1" x14ac:dyDescent="0.25">
      <c r="A496" s="7"/>
      <c r="B496" s="8" t="s">
        <v>2</v>
      </c>
      <c r="C496" s="13" t="s">
        <v>10</v>
      </c>
      <c r="D496" s="8">
        <f>+'[2]Beam '!$D$15</f>
        <v>25</v>
      </c>
      <c r="E496" s="8">
        <f>+'[2]Beam '!$E$15</f>
        <v>1</v>
      </c>
      <c r="F496" s="8">
        <f>ROUNDUP((E489)/E496,0)</f>
        <v>3</v>
      </c>
      <c r="G496" s="9"/>
      <c r="H496" s="9"/>
      <c r="I496" s="8"/>
      <c r="J496" s="8"/>
      <c r="K496" s="8"/>
      <c r="L496" s="8"/>
      <c r="M496" s="8"/>
      <c r="N496" s="8"/>
      <c r="O496" s="8">
        <f>F489-'[2]Beam '!$F$15</f>
        <v>0.24</v>
      </c>
      <c r="P496" s="8">
        <f t="shared" si="97"/>
        <v>0.72</v>
      </c>
      <c r="Q496" s="8">
        <f>IF($D496='[2]Beam '!Q$44,$P496*'[2]Beam '!Q$45,0)</f>
        <v>0</v>
      </c>
      <c r="R496" s="8">
        <f>IF($D496='[2]Beam '!R$44,$P496*'[2]Beam '!R$45,0)</f>
        <v>0</v>
      </c>
      <c r="S496" s="8">
        <f>IF($D496='[2]Beam '!S$44,$P496*'[2]Beam '!S$45,0)</f>
        <v>0</v>
      </c>
      <c r="T496" s="8">
        <f>IF($D496='[2]Beam '!T$44,$P496*'[2]Beam '!T$45,0)</f>
        <v>0</v>
      </c>
      <c r="U496" s="8">
        <f>IF($D496='[2]Beam '!U$44,$P496*'[2]Beam '!U$45,0)</f>
        <v>0</v>
      </c>
      <c r="V496" s="8">
        <f>IF($D496='[2]Beam '!V$44,$P496*'[2]Beam '!V$45,0)</f>
        <v>2.7755357142857147</v>
      </c>
      <c r="W496" s="8">
        <f>IF($D496='[2]Beam '!W$44,$P496*'[2]Beam '!W$45,0)</f>
        <v>0</v>
      </c>
      <c r="X496" s="8">
        <f t="shared" si="98"/>
        <v>2.7755357142857147</v>
      </c>
      <c r="Y496" s="8"/>
      <c r="Z496" s="8"/>
      <c r="AA496" s="8"/>
      <c r="AB496" s="8"/>
      <c r="AC496" s="8"/>
      <c r="AD496" s="8"/>
      <c r="AE496" s="8"/>
    </row>
    <row r="497" spans="1:32" s="10" customFormat="1" ht="19.5" customHeight="1" x14ac:dyDescent="0.25">
      <c r="A497" s="8">
        <v>1</v>
      </c>
      <c r="B497" s="8" t="s">
        <v>2</v>
      </c>
      <c r="C497" s="11" t="s">
        <v>67</v>
      </c>
      <c r="D497" s="11">
        <v>1</v>
      </c>
      <c r="E497" s="11">
        <v>4.899</v>
      </c>
      <c r="F497" s="11">
        <v>0.3</v>
      </c>
      <c r="G497" s="11">
        <v>1.1000000000000001</v>
      </c>
      <c r="H497" s="8">
        <f>G497-0.2</f>
        <v>0.90000000000000013</v>
      </c>
      <c r="I497" s="8">
        <f>E497*F497*G497*D497</f>
        <v>1.6166700000000001</v>
      </c>
      <c r="J497" s="8">
        <f>(2*(E497)*H497*D497)+(E497*F497)</f>
        <v>10.2879</v>
      </c>
      <c r="K497" s="12">
        <f>IF(E497=0.3,J497,0)</f>
        <v>0</v>
      </c>
      <c r="L497" s="12">
        <f>IF(AND(E497&gt;0.3,E497&lt;=0.75),J497,0)</f>
        <v>0</v>
      </c>
      <c r="M497" s="12">
        <f>IF(AND(E497&gt;0.75,E497&lt;=1.2),J497,0)</f>
        <v>0</v>
      </c>
      <c r="N497" s="12">
        <f>IF(E497&gt;1.2,J497,0)</f>
        <v>10.2879</v>
      </c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>
        <f>SUM(X498:X506)/I497</f>
        <v>196.71114238571528</v>
      </c>
      <c r="Z497" s="8"/>
      <c r="AA497" s="8"/>
      <c r="AB497" s="8"/>
      <c r="AC497" s="8"/>
      <c r="AD497" s="8"/>
      <c r="AE497" s="8"/>
    </row>
    <row r="498" spans="1:32" s="10" customFormat="1" ht="20.100000000000001" customHeight="1" x14ac:dyDescent="0.25">
      <c r="A498" s="7"/>
      <c r="B498" s="8" t="s">
        <v>2</v>
      </c>
      <c r="C498" s="13" t="s">
        <v>4</v>
      </c>
      <c r="D498" s="8">
        <v>25</v>
      </c>
      <c r="E498" s="8"/>
      <c r="F498" s="8">
        <v>3</v>
      </c>
      <c r="G498" s="9">
        <f>VLOOKUP(D498,'[2]Beam '!$C$20:$H$26,3,0)</f>
        <v>1</v>
      </c>
      <c r="H498" s="9"/>
      <c r="I498" s="8"/>
      <c r="J498" s="8"/>
      <c r="K498" s="8"/>
      <c r="L498" s="8"/>
      <c r="M498" s="8"/>
      <c r="N498" s="8"/>
      <c r="O498" s="8">
        <f>(E497+1*(G498+(12*D498/1000))+1*(0.5/2)*D497)</f>
        <v>6.4489999999999998</v>
      </c>
      <c r="P498" s="8">
        <f t="shared" ref="P498:P507" si="99">O498*F498</f>
        <v>19.347000000000001</v>
      </c>
      <c r="Q498" s="8">
        <f>IF($D498='[2]Beam '!Q$44,$P498*'[2]Beam '!Q$45,0)</f>
        <v>0</v>
      </c>
      <c r="R498" s="8">
        <f>IF($D498='[2]Beam '!R$44,$P498*'[2]Beam '!R$45,0)</f>
        <v>0</v>
      </c>
      <c r="S498" s="8">
        <f>IF($D498='[2]Beam '!S$44,$P498*'[2]Beam '!S$45,0)</f>
        <v>0</v>
      </c>
      <c r="T498" s="8">
        <f>IF($D498='[2]Beam '!T$44,$P498*'[2]Beam '!T$45,0)</f>
        <v>0</v>
      </c>
      <c r="U498" s="8">
        <f>IF($D498='[2]Beam '!U$44,$P498*'[2]Beam '!U$45,0)</f>
        <v>0</v>
      </c>
      <c r="V498" s="8">
        <f>IF($D498='[2]Beam '!V$44,$P498*'[2]Beam '!V$45,0)</f>
        <v>74.580957589285731</v>
      </c>
      <c r="W498" s="8">
        <f>IF($D498='[2]Beam '!W$44,$P498*'[2]Beam '!W$45,0)</f>
        <v>0</v>
      </c>
      <c r="X498" s="8">
        <f t="shared" ref="X498:X507" si="100">SUM(Q498:W498)</f>
        <v>74.580957589285731</v>
      </c>
      <c r="Y498" s="8"/>
      <c r="Z498" s="8"/>
      <c r="AA498" s="8"/>
      <c r="AB498" s="8"/>
      <c r="AC498" s="8"/>
      <c r="AD498" s="8"/>
      <c r="AE498" s="8"/>
    </row>
    <row r="499" spans="1:32" s="10" customFormat="1" ht="20.100000000000001" customHeight="1" x14ac:dyDescent="0.25">
      <c r="A499" s="7"/>
      <c r="B499" s="8" t="s">
        <v>2</v>
      </c>
      <c r="C499" s="13" t="s">
        <v>5</v>
      </c>
      <c r="D499" s="8">
        <v>16</v>
      </c>
      <c r="E499" s="8"/>
      <c r="F499" s="8">
        <v>2</v>
      </c>
      <c r="G499" s="9">
        <f>VLOOKUP(D499,'[2]Beam '!$C$20:$H$26,3,0)</f>
        <v>0.625</v>
      </c>
      <c r="H499" s="9"/>
      <c r="I499" s="8"/>
      <c r="J499" s="8"/>
      <c r="K499" s="8"/>
      <c r="L499" s="8"/>
      <c r="M499" s="8"/>
      <c r="N499" s="8"/>
      <c r="O499" s="8">
        <f>(1.4+1*(G499+(12*D499/1000))*D497)</f>
        <v>2.2169999999999996</v>
      </c>
      <c r="P499" s="8">
        <f t="shared" si="99"/>
        <v>4.4339999999999993</v>
      </c>
      <c r="Q499" s="8">
        <f>IF($D499='[2]Beam '!Q$44,$P499*'[2]Beam '!Q$45,0)</f>
        <v>0</v>
      </c>
      <c r="R499" s="8">
        <f>IF($D499='[2]Beam '!R$44,$P499*'[2]Beam '!R$45,0)</f>
        <v>0</v>
      </c>
      <c r="S499" s="8">
        <f>IF($D499='[2]Beam '!S$44,$P499*'[2]Beam '!S$45,0)</f>
        <v>0</v>
      </c>
      <c r="T499" s="8">
        <f>IF($D499='[2]Beam '!T$44,$P499*'[2]Beam '!T$45,0)</f>
        <v>7.0011593142857134</v>
      </c>
      <c r="U499" s="8">
        <f>IF($D499='[2]Beam '!U$44,$P499*'[2]Beam '!U$45,0)</f>
        <v>0</v>
      </c>
      <c r="V499" s="8">
        <f>IF($D499='[2]Beam '!V$44,$P499*'[2]Beam '!V$45,0)</f>
        <v>0</v>
      </c>
      <c r="W499" s="8">
        <f>IF($D499='[2]Beam '!W$44,$P499*'[2]Beam '!W$45,0)</f>
        <v>0</v>
      </c>
      <c r="X499" s="8">
        <f t="shared" si="100"/>
        <v>7.0011593142857134</v>
      </c>
      <c r="Y499" s="8"/>
      <c r="Z499" s="8"/>
      <c r="AA499" s="8"/>
      <c r="AB499" s="8"/>
      <c r="AC499" s="8"/>
      <c r="AD499" s="8"/>
      <c r="AE499" s="8"/>
    </row>
    <row r="500" spans="1:32" s="10" customFormat="1" ht="20.100000000000001" customHeight="1" x14ac:dyDescent="0.25">
      <c r="A500" s="7"/>
      <c r="B500" s="8" t="s">
        <v>2</v>
      </c>
      <c r="C500" s="13" t="s">
        <v>5</v>
      </c>
      <c r="D500" s="8">
        <v>20</v>
      </c>
      <c r="E500" s="8"/>
      <c r="F500" s="8">
        <v>3</v>
      </c>
      <c r="G500" s="9">
        <f>VLOOKUP(D500,'[2]Beam '!$C$20:$H$26,3,0)</f>
        <v>0.8</v>
      </c>
      <c r="H500" s="9"/>
      <c r="I500" s="8"/>
      <c r="J500" s="8"/>
      <c r="K500" s="8"/>
      <c r="L500" s="8"/>
      <c r="M500" s="8"/>
      <c r="N500" s="8"/>
      <c r="O500" s="8">
        <f>(1.4+1*(0.5/2)*D497)</f>
        <v>1.65</v>
      </c>
      <c r="P500" s="8">
        <f t="shared" si="99"/>
        <v>4.9499999999999993</v>
      </c>
      <c r="Q500" s="8">
        <f>IF($D500='[2]Beam '!Q$44,$P500*'[2]Beam '!Q$45,0)</f>
        <v>0</v>
      </c>
      <c r="R500" s="8">
        <f>IF($D500='[2]Beam '!R$44,$P500*'[2]Beam '!R$45,0)</f>
        <v>0</v>
      </c>
      <c r="S500" s="8">
        <f>IF($D500='[2]Beam '!S$44,$P500*'[2]Beam '!S$45,0)</f>
        <v>0</v>
      </c>
      <c r="T500" s="8">
        <f>IF($D500='[2]Beam '!T$44,$P500*'[2]Beam '!T$45,0)</f>
        <v>0</v>
      </c>
      <c r="U500" s="8">
        <f>IF($D500='[2]Beam '!U$44,$P500*'[2]Beam '!U$45,0)</f>
        <v>12.21235714285714</v>
      </c>
      <c r="V500" s="8">
        <f>IF($D500='[2]Beam '!V$44,$P500*'[2]Beam '!V$45,0)</f>
        <v>0</v>
      </c>
      <c r="W500" s="8">
        <f>IF($D500='[2]Beam '!W$44,$P500*'[2]Beam '!W$45,0)</f>
        <v>0</v>
      </c>
      <c r="X500" s="8">
        <f t="shared" si="100"/>
        <v>12.21235714285714</v>
      </c>
      <c r="Y500" s="8"/>
      <c r="Z500" s="8"/>
      <c r="AA500" s="8"/>
      <c r="AB500" s="8"/>
      <c r="AC500" s="8"/>
      <c r="AD500" s="8"/>
      <c r="AE500" s="8"/>
    </row>
    <row r="501" spans="1:32" s="14" customFormat="1" ht="20.100000000000001" customHeight="1" x14ac:dyDescent="0.3">
      <c r="A501" s="7"/>
      <c r="B501" s="8" t="s">
        <v>2</v>
      </c>
      <c r="C501" s="13" t="s">
        <v>6</v>
      </c>
      <c r="D501" s="8">
        <v>20</v>
      </c>
      <c r="E501" s="8"/>
      <c r="F501" s="8">
        <v>3</v>
      </c>
      <c r="G501" s="9">
        <f>VLOOKUP(D501,'[2]Beam '!$C$20:$H$26,3,0)</f>
        <v>0.8</v>
      </c>
      <c r="H501" s="8"/>
      <c r="I501" s="8"/>
      <c r="J501" s="8"/>
      <c r="K501" s="8"/>
      <c r="L501" s="8"/>
      <c r="M501" s="8"/>
      <c r="N501" s="8"/>
      <c r="O501" s="8">
        <f>(E497+1*(G501+(12*D501/1000))+1*(0.5/2)*D497)</f>
        <v>6.1890000000000001</v>
      </c>
      <c r="P501" s="8">
        <f t="shared" si="99"/>
        <v>18.567</v>
      </c>
      <c r="Q501" s="8">
        <f>IF($D501='[2]Beam '!Q$44,$P501*'[2]Beam '!Q$45,0)</f>
        <v>0</v>
      </c>
      <c r="R501" s="8">
        <f>IF($D501='[2]Beam '!R$44,$P501*'[2]Beam '!R$45,0)</f>
        <v>0</v>
      </c>
      <c r="S501" s="8">
        <f>IF($D501='[2]Beam '!S$44,$P501*'[2]Beam '!S$45,0)</f>
        <v>0</v>
      </c>
      <c r="T501" s="8">
        <f>IF($D501='[2]Beam '!T$44,$P501*'[2]Beam '!T$45,0)</f>
        <v>0</v>
      </c>
      <c r="U501" s="8">
        <f>IF($D501='[2]Beam '!U$44,$P501*'[2]Beam '!U$45,0)</f>
        <v>45.80744142857143</v>
      </c>
      <c r="V501" s="8">
        <f>IF($D501='[2]Beam '!V$44,$P501*'[2]Beam '!V$45,0)</f>
        <v>0</v>
      </c>
      <c r="W501" s="8">
        <f>IF($D501='[2]Beam '!W$44,$P501*'[2]Beam '!W$45,0)</f>
        <v>0</v>
      </c>
      <c r="X501" s="8">
        <f t="shared" si="100"/>
        <v>45.80744142857143</v>
      </c>
      <c r="Y501" s="8"/>
    </row>
    <row r="502" spans="1:32" s="14" customFormat="1" ht="20.100000000000001" customHeight="1" x14ac:dyDescent="0.3">
      <c r="A502" s="7"/>
      <c r="B502" s="8" t="s">
        <v>2</v>
      </c>
      <c r="C502" s="13" t="s">
        <v>7</v>
      </c>
      <c r="D502" s="8">
        <v>16</v>
      </c>
      <c r="E502" s="8"/>
      <c r="F502" s="8">
        <v>2</v>
      </c>
      <c r="G502" s="9">
        <f>VLOOKUP(D502,'[2]Beam '!$C$20:$H$26,3,0)</f>
        <v>0.625</v>
      </c>
      <c r="H502" s="8"/>
      <c r="I502" s="8"/>
      <c r="J502" s="8"/>
      <c r="K502" s="8"/>
      <c r="L502" s="8"/>
      <c r="M502" s="8"/>
      <c r="N502" s="8"/>
      <c r="O502" s="8">
        <f>(E497+1*(G502+(12*D502/1000))+1*(0.5/2)*D497)</f>
        <v>5.9660000000000002</v>
      </c>
      <c r="P502" s="8">
        <f t="shared" si="99"/>
        <v>11.932</v>
      </c>
      <c r="Q502" s="8">
        <f>IF($D502='[2]Beam '!Q$44,$P502*'[2]Beam '!Q$45,0)</f>
        <v>0</v>
      </c>
      <c r="R502" s="8">
        <f>IF($D502='[2]Beam '!R$44,$P502*'[2]Beam '!R$45,0)</f>
        <v>0</v>
      </c>
      <c r="S502" s="8">
        <f>IF($D502='[2]Beam '!S$44,$P502*'[2]Beam '!S$45,0)</f>
        <v>0</v>
      </c>
      <c r="T502" s="8">
        <f>IF($D502='[2]Beam '!T$44,$P502*'[2]Beam '!T$45,0)</f>
        <v>18.840287085714287</v>
      </c>
      <c r="U502" s="8">
        <f>IF($D502='[2]Beam '!U$44,$P502*'[2]Beam '!U$45,0)</f>
        <v>0</v>
      </c>
      <c r="V502" s="8">
        <f>IF($D502='[2]Beam '!V$44,$P502*'[2]Beam '!V$45,0)</f>
        <v>0</v>
      </c>
      <c r="W502" s="8">
        <f>IF($D502='[2]Beam '!W$44,$P502*'[2]Beam '!W$45,0)</f>
        <v>0</v>
      </c>
      <c r="X502" s="8">
        <f t="shared" si="100"/>
        <v>18.840287085714287</v>
      </c>
      <c r="Y502" s="8"/>
    </row>
    <row r="503" spans="1:32" s="14" customFormat="1" ht="20.100000000000001" customHeight="1" x14ac:dyDescent="0.25">
      <c r="A503" s="7"/>
      <c r="B503" s="8" t="s">
        <v>2</v>
      </c>
      <c r="C503" s="13" t="s">
        <v>13</v>
      </c>
      <c r="D503" s="8">
        <v>10</v>
      </c>
      <c r="E503" s="8">
        <v>0.1</v>
      </c>
      <c r="F503" s="8">
        <f>ROUND(IF(E497/3&gt;(2*G497),(E497/3)/E503,(2*G497)/E503),0)*2+1</f>
        <v>45</v>
      </c>
      <c r="G503" s="10"/>
      <c r="H503" s="8"/>
      <c r="I503" s="8"/>
      <c r="J503" s="8"/>
      <c r="K503" s="8"/>
      <c r="L503" s="8"/>
      <c r="M503" s="8"/>
      <c r="N503" s="8"/>
      <c r="O503" s="8">
        <f>(2*((G497-(2*'[2]Beam '!$D$11))+(F497-(2*'[2]Beam '!$D$11)))+(2*10*D503/1000))*D497</f>
        <v>2.7600000000000002</v>
      </c>
      <c r="P503" s="8">
        <f t="shared" si="99"/>
        <v>124.20000000000002</v>
      </c>
      <c r="Q503" s="8">
        <f>IF($D503='[2]Beam '!Q$44,$P503*'[2]Beam '!Q$45,0)</f>
        <v>0</v>
      </c>
      <c r="R503" s="8">
        <f>IF($D503='[2]Beam '!R$44,$P503*'[2]Beam '!R$45,0)</f>
        <v>76.604785714285725</v>
      </c>
      <c r="S503" s="8">
        <f>IF($D503='[2]Beam '!S$44,$P503*'[2]Beam '!S$45,0)</f>
        <v>0</v>
      </c>
      <c r="T503" s="8">
        <f>IF($D503='[2]Beam '!T$44,$P503*'[2]Beam '!T$45,0)</f>
        <v>0</v>
      </c>
      <c r="U503" s="8">
        <f>IF($D503='[2]Beam '!U$44,$P503*'[2]Beam '!U$45,0)</f>
        <v>0</v>
      </c>
      <c r="V503" s="8">
        <f>IF($D503='[2]Beam '!V$44,$P503*'[2]Beam '!V$45,0)</f>
        <v>0</v>
      </c>
      <c r="W503" s="8">
        <f>IF($D503='[2]Beam '!W$44,$P503*'[2]Beam '!W$45,0)</f>
        <v>0</v>
      </c>
      <c r="X503" s="8">
        <f t="shared" si="100"/>
        <v>76.604785714285725</v>
      </c>
      <c r="Y503" s="8"/>
    </row>
    <row r="504" spans="1:32" s="10" customFormat="1" ht="20.100000000000001" customHeight="1" x14ac:dyDescent="0.25">
      <c r="A504" s="14"/>
      <c r="B504" s="8" t="s">
        <v>2</v>
      </c>
      <c r="C504" s="13" t="s">
        <v>14</v>
      </c>
      <c r="D504" s="14">
        <f>D503</f>
        <v>10</v>
      </c>
      <c r="E504" s="14">
        <v>0.125</v>
      </c>
      <c r="F504" s="14">
        <f>ROUND((E497-(IF(E497/3&gt;2*G497,E497/3*2,G497*2*2)))/E504,0)</f>
        <v>4</v>
      </c>
      <c r="H504" s="14"/>
      <c r="I504" s="14"/>
      <c r="J504" s="14"/>
      <c r="K504" s="14"/>
      <c r="L504" s="14"/>
      <c r="M504" s="14"/>
      <c r="N504" s="14"/>
      <c r="O504" s="8">
        <f>(2*((G497-(2*'[2]Beam '!$D$11))+(F497-(2*'[2]Beam '!$D$11)))+(2*10*D504/1000))*D497</f>
        <v>2.7600000000000002</v>
      </c>
      <c r="P504" s="8">
        <f t="shared" si="99"/>
        <v>11.040000000000001</v>
      </c>
      <c r="Q504" s="8">
        <f>IF($D504='[2]Beam '!Q$44,$P504*'[2]Beam '!Q$45,0)</f>
        <v>0</v>
      </c>
      <c r="R504" s="8">
        <f>IF($D504='[2]Beam '!R$44,$P504*'[2]Beam '!R$45,0)</f>
        <v>6.8093142857142865</v>
      </c>
      <c r="S504" s="8">
        <f>IF($D504='[2]Beam '!S$44,$P504*'[2]Beam '!S$45,0)</f>
        <v>0</v>
      </c>
      <c r="T504" s="8">
        <f>IF($D504='[2]Beam '!T$44,$P504*'[2]Beam '!T$45,0)</f>
        <v>0</v>
      </c>
      <c r="U504" s="8">
        <f>IF($D504='[2]Beam '!U$44,$P504*'[2]Beam '!U$45,0)</f>
        <v>0</v>
      </c>
      <c r="V504" s="8">
        <f>IF($D504='[2]Beam '!V$44,$P504*'[2]Beam '!V$45,0)</f>
        <v>0</v>
      </c>
      <c r="W504" s="8">
        <f>IF($D504='[2]Beam '!W$44,$P504*'[2]Beam '!W$45,0)</f>
        <v>0</v>
      </c>
      <c r="X504" s="8">
        <f t="shared" si="100"/>
        <v>6.8093142857142865</v>
      </c>
      <c r="Y504" s="14"/>
      <c r="Z504" s="8"/>
      <c r="AA504" s="8"/>
      <c r="AB504" s="8"/>
      <c r="AC504" s="8"/>
      <c r="AD504" s="8"/>
      <c r="AE504" s="8"/>
    </row>
    <row r="505" spans="1:32" s="10" customFormat="1" ht="21" customHeight="1" x14ac:dyDescent="0.25">
      <c r="A505" s="14"/>
      <c r="B505" s="8" t="s">
        <v>2</v>
      </c>
      <c r="C505" s="13" t="s">
        <v>15</v>
      </c>
      <c r="D505" s="14">
        <f>D503</f>
        <v>10</v>
      </c>
      <c r="E505" s="14">
        <f>+E503</f>
        <v>0.1</v>
      </c>
      <c r="F505" s="8">
        <f>ROUND(IF(E497/3&gt;(2*G497),(E497/3)/E505,(2*G497)/E505),0)*2+1</f>
        <v>45</v>
      </c>
      <c r="H505" s="14"/>
      <c r="I505" s="14"/>
      <c r="J505" s="14"/>
      <c r="K505" s="14"/>
      <c r="L505" s="14"/>
      <c r="M505" s="14"/>
      <c r="N505" s="14"/>
      <c r="O505" s="8">
        <f>(2*(((F497-'[2]Beam '!$D$11*2)/(F498-1))+(G497-'[2]Beam '!$D$11*2))+(2*10*D505/1000))*D497</f>
        <v>2.5200000000000005</v>
      </c>
      <c r="P505" s="8">
        <f t="shared" si="99"/>
        <v>113.40000000000002</v>
      </c>
      <c r="Q505" s="8">
        <f>IF($D505='[2]Beam '!Q$44,$P505*'[2]Beam '!Q$45,0)</f>
        <v>0</v>
      </c>
      <c r="R505" s="8">
        <f>IF($D505='[2]Beam '!R$44,$P505*'[2]Beam '!R$45,0)</f>
        <v>69.943500000000014</v>
      </c>
      <c r="S505" s="8">
        <f>IF($D505='[2]Beam '!S$44,$P505*'[2]Beam '!S$45,0)</f>
        <v>0</v>
      </c>
      <c r="T505" s="8">
        <f>IF($D505='[2]Beam '!T$44,$P505*'[2]Beam '!T$45,0)</f>
        <v>0</v>
      </c>
      <c r="U505" s="8">
        <f>IF($D505='[2]Beam '!U$44,$P505*'[2]Beam '!U$45,0)</f>
        <v>0</v>
      </c>
      <c r="V505" s="8">
        <f>IF($D505='[2]Beam '!V$44,$P505*'[2]Beam '!V$45,0)</f>
        <v>0</v>
      </c>
      <c r="W505" s="8">
        <f>IF($D505='[2]Beam '!W$44,$P505*'[2]Beam '!W$45,0)</f>
        <v>0</v>
      </c>
      <c r="X505" s="8">
        <f t="shared" si="100"/>
        <v>69.943500000000014</v>
      </c>
      <c r="Y505" s="14"/>
      <c r="Z505" s="8"/>
      <c r="AA505" s="8"/>
      <c r="AB505" s="8"/>
      <c r="AC505" s="8"/>
      <c r="AD505" s="8"/>
      <c r="AE505" s="8"/>
      <c r="AF505" s="8"/>
    </row>
    <row r="506" spans="1:32" s="10" customFormat="1" ht="20.100000000000001" customHeight="1" x14ac:dyDescent="0.25">
      <c r="A506" s="14"/>
      <c r="B506" s="8" t="s">
        <v>2</v>
      </c>
      <c r="C506" s="13" t="s">
        <v>16</v>
      </c>
      <c r="D506" s="14">
        <f>D504</f>
        <v>10</v>
      </c>
      <c r="E506" s="14">
        <f>+E504</f>
        <v>0.125</v>
      </c>
      <c r="F506" s="14">
        <f>ROUND((E497-(IF(E497/3&gt;2*G497,E497/3*2,G497*2*2)))/E506,0)</f>
        <v>4</v>
      </c>
      <c r="H506" s="14"/>
      <c r="I506" s="14"/>
      <c r="J506" s="14"/>
      <c r="K506" s="14"/>
      <c r="L506" s="14"/>
      <c r="M506" s="14"/>
      <c r="N506" s="14"/>
      <c r="O506" s="8">
        <f>(2*(((F497-'[2]Beam '!$D$11*2)/(F498-1))+(G497-'[2]Beam '!$D$11*2))+(2*10*D506/1000))*D497</f>
        <v>2.5200000000000005</v>
      </c>
      <c r="P506" s="8">
        <f t="shared" si="99"/>
        <v>10.080000000000002</v>
      </c>
      <c r="Q506" s="8">
        <f>IF($D506='[2]Beam '!Q$44,$P506*'[2]Beam '!Q$45,0)</f>
        <v>0</v>
      </c>
      <c r="R506" s="8">
        <f>IF($D506='[2]Beam '!R$44,$P506*'[2]Beam '!R$45,0)</f>
        <v>6.2172000000000009</v>
      </c>
      <c r="S506" s="8">
        <f>IF($D506='[2]Beam '!S$44,$P506*'[2]Beam '!S$45,0)</f>
        <v>0</v>
      </c>
      <c r="T506" s="8">
        <f>IF($D506='[2]Beam '!T$44,$P506*'[2]Beam '!T$45,0)</f>
        <v>0</v>
      </c>
      <c r="U506" s="8">
        <f>IF($D506='[2]Beam '!U$44,$P506*'[2]Beam '!U$45,0)</f>
        <v>0</v>
      </c>
      <c r="V506" s="8">
        <f>IF($D506='[2]Beam '!V$44,$P506*'[2]Beam '!V$45,0)</f>
        <v>0</v>
      </c>
      <c r="W506" s="8">
        <f>IF($D506='[2]Beam '!W$44,$P506*'[2]Beam '!W$45,0)</f>
        <v>0</v>
      </c>
      <c r="X506" s="8">
        <f t="shared" si="100"/>
        <v>6.2172000000000009</v>
      </c>
      <c r="Y506" s="14"/>
      <c r="Z506" s="8"/>
      <c r="AA506" s="8"/>
      <c r="AB506" s="8"/>
      <c r="AC506" s="8"/>
      <c r="AD506" s="8"/>
      <c r="AE506" s="8"/>
    </row>
    <row r="507" spans="1:32" s="10" customFormat="1" ht="20.100000000000001" customHeight="1" x14ac:dyDescent="0.25">
      <c r="A507" s="7"/>
      <c r="B507" s="8" t="s">
        <v>2</v>
      </c>
      <c r="C507" s="13" t="s">
        <v>10</v>
      </c>
      <c r="D507" s="8">
        <f>+'[2]Beam '!$D$15</f>
        <v>25</v>
      </c>
      <c r="E507" s="8">
        <f>+'[2]Beam '!$E$15</f>
        <v>1</v>
      </c>
      <c r="F507" s="8">
        <f>ROUNDUP((2.8+E497)/E507,0)</f>
        <v>8</v>
      </c>
      <c r="G507" s="9"/>
      <c r="H507" s="9"/>
      <c r="I507" s="8"/>
      <c r="J507" s="8"/>
      <c r="K507" s="8"/>
      <c r="L507" s="8"/>
      <c r="M507" s="8"/>
      <c r="N507" s="8"/>
      <c r="O507" s="8">
        <f>F497-'[2]Beam '!$F$15</f>
        <v>0.24</v>
      </c>
      <c r="P507" s="8">
        <f t="shared" si="99"/>
        <v>1.92</v>
      </c>
      <c r="Q507" s="8">
        <f>IF($D507='[2]Beam '!Q$44,$P507*'[2]Beam '!Q$45,0)</f>
        <v>0</v>
      </c>
      <c r="R507" s="8">
        <f>IF($D507='[2]Beam '!R$44,$P507*'[2]Beam '!R$45,0)</f>
        <v>0</v>
      </c>
      <c r="S507" s="8">
        <f>IF($D507='[2]Beam '!S$44,$P507*'[2]Beam '!S$45,0)</f>
        <v>0</v>
      </c>
      <c r="T507" s="8">
        <f>IF($D507='[2]Beam '!T$44,$P507*'[2]Beam '!T$45,0)</f>
        <v>0</v>
      </c>
      <c r="U507" s="8">
        <f>IF($D507='[2]Beam '!U$44,$P507*'[2]Beam '!U$45,0)</f>
        <v>0</v>
      </c>
      <c r="V507" s="8">
        <f>IF($D507='[2]Beam '!V$44,$P507*'[2]Beam '!V$45,0)</f>
        <v>7.4014285714285721</v>
      </c>
      <c r="W507" s="8">
        <f>IF($D507='[2]Beam '!W$44,$P507*'[2]Beam '!W$45,0)</f>
        <v>0</v>
      </c>
      <c r="X507" s="8">
        <f t="shared" si="100"/>
        <v>7.4014285714285721</v>
      </c>
      <c r="Y507" s="8"/>
      <c r="Z507" s="8"/>
      <c r="AA507" s="8"/>
      <c r="AB507" s="8"/>
      <c r="AC507" s="8"/>
      <c r="AD507" s="8"/>
      <c r="AE507" s="8"/>
    </row>
    <row r="508" spans="1:32" s="10" customFormat="1" ht="20.100000000000001" customHeight="1" x14ac:dyDescent="0.25">
      <c r="A508" s="8">
        <v>1</v>
      </c>
      <c r="B508" s="8" t="s">
        <v>2</v>
      </c>
      <c r="C508" s="11" t="s">
        <v>68</v>
      </c>
      <c r="D508" s="11">
        <v>1</v>
      </c>
      <c r="E508" s="11">
        <v>6.55</v>
      </c>
      <c r="F508" s="11">
        <v>0.3</v>
      </c>
      <c r="G508" s="11">
        <v>1.1000000000000001</v>
      </c>
      <c r="H508" s="8">
        <f>G508-0.2</f>
        <v>0.90000000000000013</v>
      </c>
      <c r="I508" s="8">
        <f>E508*F508*G508*D508</f>
        <v>2.1615000000000002</v>
      </c>
      <c r="J508" s="8">
        <f>(2*(E508)*H508*D508)+(E508*F508)</f>
        <v>13.755000000000001</v>
      </c>
      <c r="K508" s="12">
        <f>IF(E508=0.3,J508,0)</f>
        <v>0</v>
      </c>
      <c r="L508" s="12">
        <f>IF(AND(E508&gt;0.3,E508&lt;=0.75),J508,0)</f>
        <v>0</v>
      </c>
      <c r="M508" s="12">
        <f>IF(AND(E508&gt;0.75,E508&lt;=1.2),J508,0)</f>
        <v>0</v>
      </c>
      <c r="N508" s="12">
        <f>IF(E508&gt;1.2,J508,0)</f>
        <v>13.755000000000001</v>
      </c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>
        <f>SUM(X509:X514)/I508</f>
        <v>131.44041712104689</v>
      </c>
      <c r="Z508" s="8"/>
      <c r="AA508" s="8"/>
      <c r="AB508" s="8"/>
      <c r="AC508" s="8"/>
      <c r="AD508" s="8"/>
      <c r="AE508" s="8"/>
    </row>
    <row r="509" spans="1:32" s="10" customFormat="1" ht="20.100000000000001" customHeight="1" x14ac:dyDescent="0.25">
      <c r="A509" s="7"/>
      <c r="B509" s="8" t="s">
        <v>2</v>
      </c>
      <c r="C509" s="13" t="s">
        <v>4</v>
      </c>
      <c r="D509" s="8">
        <v>25</v>
      </c>
      <c r="E509" s="8"/>
      <c r="F509" s="8">
        <v>3</v>
      </c>
      <c r="G509" s="9">
        <f>VLOOKUP(D509,'[2]Beam '!$C$20:$H$26,3,0)</f>
        <v>1</v>
      </c>
      <c r="H509" s="9"/>
      <c r="I509" s="8"/>
      <c r="J509" s="8"/>
      <c r="K509" s="8"/>
      <c r="L509" s="8"/>
      <c r="M509" s="8"/>
      <c r="N509" s="8"/>
      <c r="O509" s="8">
        <f>(E508+2*(0.5/2)*D508)</f>
        <v>7.05</v>
      </c>
      <c r="P509" s="8">
        <f t="shared" ref="P509:P517" si="101">O509*F509</f>
        <v>21.15</v>
      </c>
      <c r="Q509" s="8">
        <f>IF($D509='[2]Beam '!Q$44,$P509*'[2]Beam '!Q$45,0)</f>
        <v>0</v>
      </c>
      <c r="R509" s="8">
        <f>IF($D509='[2]Beam '!R$44,$P509*'[2]Beam '!R$45,0)</f>
        <v>0</v>
      </c>
      <c r="S509" s="8">
        <f>IF($D509='[2]Beam '!S$44,$P509*'[2]Beam '!S$45,0)</f>
        <v>0</v>
      </c>
      <c r="T509" s="8">
        <f>IF($D509='[2]Beam '!T$44,$P509*'[2]Beam '!T$45,0)</f>
        <v>0</v>
      </c>
      <c r="U509" s="8">
        <f>IF($D509='[2]Beam '!U$44,$P509*'[2]Beam '!U$45,0)</f>
        <v>0</v>
      </c>
      <c r="V509" s="8">
        <f>IF($D509='[2]Beam '!V$44,$P509*'[2]Beam '!V$45,0)</f>
        <v>81.53136160714287</v>
      </c>
      <c r="W509" s="8">
        <f>IF($D509='[2]Beam '!W$44,$P509*'[2]Beam '!W$45,0)</f>
        <v>0</v>
      </c>
      <c r="X509" s="8">
        <f t="shared" ref="X509:X517" si="102">SUM(Q509:W509)</f>
        <v>81.53136160714287</v>
      </c>
      <c r="Y509" s="8"/>
      <c r="Z509" s="8"/>
      <c r="AA509" s="8"/>
      <c r="AB509" s="8"/>
      <c r="AC509" s="8"/>
      <c r="AD509" s="8"/>
      <c r="AE509" s="8"/>
    </row>
    <row r="510" spans="1:32" s="10" customFormat="1" ht="20.100000000000001" customHeight="1" x14ac:dyDescent="0.25">
      <c r="A510" s="7"/>
      <c r="B510" s="8" t="s">
        <v>2</v>
      </c>
      <c r="C510" s="13" t="s">
        <v>5</v>
      </c>
      <c r="D510" s="8">
        <v>20</v>
      </c>
      <c r="E510" s="8"/>
      <c r="F510" s="8">
        <v>3</v>
      </c>
      <c r="G510" s="9">
        <f>VLOOKUP(D510,'[2]Beam '!$C$20:$H$26,3,0)</f>
        <v>0.8</v>
      </c>
      <c r="H510" s="9"/>
      <c r="I510" s="8"/>
      <c r="J510" s="8"/>
      <c r="K510" s="8"/>
      <c r="L510" s="8"/>
      <c r="M510" s="8"/>
      <c r="N510" s="8"/>
      <c r="O510" s="8">
        <f>(1.8+1*(0.5/2)*D508)</f>
        <v>2.0499999999999998</v>
      </c>
      <c r="P510" s="8">
        <f t="shared" si="101"/>
        <v>6.1499999999999995</v>
      </c>
      <c r="Q510" s="8">
        <f>IF($D510='[2]Beam '!Q$44,$P510*'[2]Beam '!Q$45,0)</f>
        <v>0</v>
      </c>
      <c r="R510" s="8">
        <f>IF($D510='[2]Beam '!R$44,$P510*'[2]Beam '!R$45,0)</f>
        <v>0</v>
      </c>
      <c r="S510" s="8">
        <f>IF($D510='[2]Beam '!S$44,$P510*'[2]Beam '!S$45,0)</f>
        <v>0</v>
      </c>
      <c r="T510" s="8">
        <f>IF($D510='[2]Beam '!T$44,$P510*'[2]Beam '!T$45,0)</f>
        <v>0</v>
      </c>
      <c r="U510" s="8">
        <f>IF($D510='[2]Beam '!U$44,$P510*'[2]Beam '!U$45,0)</f>
        <v>15.172928571428569</v>
      </c>
      <c r="V510" s="8">
        <f>IF($D510='[2]Beam '!V$44,$P510*'[2]Beam '!V$45,0)</f>
        <v>0</v>
      </c>
      <c r="W510" s="8">
        <f>IF($D510='[2]Beam '!W$44,$P510*'[2]Beam '!W$45,0)</f>
        <v>0</v>
      </c>
      <c r="X510" s="8">
        <f t="shared" si="102"/>
        <v>15.172928571428569</v>
      </c>
      <c r="Y510" s="8"/>
      <c r="Z510" s="8"/>
      <c r="AA510" s="8"/>
      <c r="AB510" s="8"/>
      <c r="AC510" s="8"/>
      <c r="AD510" s="8"/>
      <c r="AE510" s="8"/>
    </row>
    <row r="511" spans="1:32" s="14" customFormat="1" ht="20.100000000000001" customHeight="1" x14ac:dyDescent="0.3">
      <c r="A511" s="7"/>
      <c r="B511" s="8" t="s">
        <v>2</v>
      </c>
      <c r="C511" s="13" t="s">
        <v>6</v>
      </c>
      <c r="D511" s="8">
        <v>20</v>
      </c>
      <c r="E511" s="8"/>
      <c r="F511" s="8">
        <v>3</v>
      </c>
      <c r="G511" s="9">
        <f>VLOOKUP(D511,'[2]Beam '!$C$20:$H$26,3,0)</f>
        <v>0.8</v>
      </c>
      <c r="H511" s="8"/>
      <c r="I511" s="8"/>
      <c r="J511" s="8"/>
      <c r="K511" s="8"/>
      <c r="L511" s="8"/>
      <c r="M511" s="8"/>
      <c r="N511" s="8"/>
      <c r="O511" s="8">
        <f>(E508+2*(0.5/2)*D508)</f>
        <v>7.05</v>
      </c>
      <c r="P511" s="8">
        <f t="shared" si="101"/>
        <v>21.15</v>
      </c>
      <c r="Q511" s="8">
        <f>IF($D511='[2]Beam '!Q$44,$P511*'[2]Beam '!Q$45,0)</f>
        <v>0</v>
      </c>
      <c r="R511" s="8">
        <f>IF($D511='[2]Beam '!R$44,$P511*'[2]Beam '!R$45,0)</f>
        <v>0</v>
      </c>
      <c r="S511" s="8">
        <f>IF($D511='[2]Beam '!S$44,$P511*'[2]Beam '!S$45,0)</f>
        <v>0</v>
      </c>
      <c r="T511" s="8">
        <f>IF($D511='[2]Beam '!T$44,$P511*'[2]Beam '!T$45,0)</f>
        <v>0</v>
      </c>
      <c r="U511" s="8">
        <f>IF($D511='[2]Beam '!U$44,$P511*'[2]Beam '!U$45,0)</f>
        <v>52.180071428571424</v>
      </c>
      <c r="V511" s="8">
        <f>IF($D511='[2]Beam '!V$44,$P511*'[2]Beam '!V$45,0)</f>
        <v>0</v>
      </c>
      <c r="W511" s="8">
        <f>IF($D511='[2]Beam '!W$44,$P511*'[2]Beam '!W$45,0)</f>
        <v>0</v>
      </c>
      <c r="X511" s="8">
        <f t="shared" si="102"/>
        <v>52.180071428571424</v>
      </c>
      <c r="Y511" s="8"/>
    </row>
    <row r="512" spans="1:32" s="14" customFormat="1" ht="20.100000000000001" customHeight="1" x14ac:dyDescent="0.3">
      <c r="A512" s="7"/>
      <c r="B512" s="8" t="s">
        <v>2</v>
      </c>
      <c r="C512" s="13" t="s">
        <v>7</v>
      </c>
      <c r="D512" s="8">
        <v>20</v>
      </c>
      <c r="E512" s="8"/>
      <c r="F512" s="8">
        <v>2</v>
      </c>
      <c r="G512" s="9">
        <f>VLOOKUP(D512,'[2]Beam '!$C$20:$H$26,3,0)</f>
        <v>0.8</v>
      </c>
      <c r="H512" s="8"/>
      <c r="I512" s="8"/>
      <c r="J512" s="8"/>
      <c r="K512" s="8"/>
      <c r="L512" s="8"/>
      <c r="M512" s="8"/>
      <c r="N512" s="8"/>
      <c r="O512" s="8">
        <f>(E508+2*(0.5/2)*D508)</f>
        <v>7.05</v>
      </c>
      <c r="P512" s="8">
        <f t="shared" si="101"/>
        <v>14.1</v>
      </c>
      <c r="Q512" s="8">
        <f>IF($D512='[2]Beam '!Q$44,$P512*'[2]Beam '!Q$45,0)</f>
        <v>0</v>
      </c>
      <c r="R512" s="8">
        <f>IF($D512='[2]Beam '!R$44,$P512*'[2]Beam '!R$45,0)</f>
        <v>0</v>
      </c>
      <c r="S512" s="8">
        <f>IF($D512='[2]Beam '!S$44,$P512*'[2]Beam '!S$45,0)</f>
        <v>0</v>
      </c>
      <c r="T512" s="8">
        <f>IF($D512='[2]Beam '!T$44,$P512*'[2]Beam '!T$45,0)</f>
        <v>0</v>
      </c>
      <c r="U512" s="8">
        <f>IF($D512='[2]Beam '!U$44,$P512*'[2]Beam '!U$45,0)</f>
        <v>34.786714285714282</v>
      </c>
      <c r="V512" s="8">
        <f>IF($D512='[2]Beam '!V$44,$P512*'[2]Beam '!V$45,0)</f>
        <v>0</v>
      </c>
      <c r="W512" s="8">
        <f>IF($D512='[2]Beam '!W$44,$P512*'[2]Beam '!W$45,0)</f>
        <v>0</v>
      </c>
      <c r="X512" s="8">
        <f t="shared" si="102"/>
        <v>34.786714285714282</v>
      </c>
      <c r="Y512" s="8"/>
    </row>
    <row r="513" spans="1:32" s="14" customFormat="1" ht="20.100000000000001" customHeight="1" x14ac:dyDescent="0.25">
      <c r="A513" s="7"/>
      <c r="B513" s="8" t="s">
        <v>2</v>
      </c>
      <c r="C513" s="13" t="s">
        <v>13</v>
      </c>
      <c r="D513" s="8">
        <v>10</v>
      </c>
      <c r="E513" s="8">
        <v>0.1</v>
      </c>
      <c r="F513" s="8">
        <f>ROUND(IF(E508/3&gt;(2*G508),(E508/3)/E513,(2*G508)/E513),0)*2+1</f>
        <v>45</v>
      </c>
      <c r="G513" s="10"/>
      <c r="H513" s="8"/>
      <c r="I513" s="8"/>
      <c r="J513" s="8"/>
      <c r="K513" s="8"/>
      <c r="L513" s="8"/>
      <c r="M513" s="8"/>
      <c r="N513" s="8"/>
      <c r="O513" s="8">
        <f>(2*((G508-(2*'[2]Beam '!$D$11))+(F508-(2*'[2]Beam '!$D$11)))+(2*10*D513/1000))*D508</f>
        <v>2.7600000000000002</v>
      </c>
      <c r="P513" s="8">
        <f t="shared" si="101"/>
        <v>124.20000000000002</v>
      </c>
      <c r="Q513" s="8">
        <f>IF($D513='[2]Beam '!Q$44,$P513*'[2]Beam '!Q$45,0)</f>
        <v>0</v>
      </c>
      <c r="R513" s="8">
        <f>IF($D513='[2]Beam '!R$44,$P513*'[2]Beam '!R$45,0)</f>
        <v>76.604785714285725</v>
      </c>
      <c r="S513" s="8">
        <f>IF($D513='[2]Beam '!S$44,$P513*'[2]Beam '!S$45,0)</f>
        <v>0</v>
      </c>
      <c r="T513" s="8">
        <f>IF($D513='[2]Beam '!T$44,$P513*'[2]Beam '!T$45,0)</f>
        <v>0</v>
      </c>
      <c r="U513" s="8">
        <f>IF($D513='[2]Beam '!U$44,$P513*'[2]Beam '!U$45,0)</f>
        <v>0</v>
      </c>
      <c r="V513" s="8">
        <f>IF($D513='[2]Beam '!V$44,$P513*'[2]Beam '!V$45,0)</f>
        <v>0</v>
      </c>
      <c r="W513" s="8">
        <f>IF($D513='[2]Beam '!W$44,$P513*'[2]Beam '!W$45,0)</f>
        <v>0</v>
      </c>
      <c r="X513" s="8">
        <f t="shared" si="102"/>
        <v>76.604785714285725</v>
      </c>
      <c r="Y513" s="8"/>
    </row>
    <row r="514" spans="1:32" s="10" customFormat="1" ht="20.100000000000001" customHeight="1" x14ac:dyDescent="0.25">
      <c r="A514" s="14"/>
      <c r="B514" s="8" t="s">
        <v>2</v>
      </c>
      <c r="C514" s="13" t="s">
        <v>14</v>
      </c>
      <c r="D514" s="14">
        <f>D513</f>
        <v>10</v>
      </c>
      <c r="E514" s="14">
        <v>0.15</v>
      </c>
      <c r="F514" s="14">
        <f>ROUND((E508-(IF(E508/3&gt;2*G508,E508/3*2,G508*2*2)))/E514,0)</f>
        <v>14</v>
      </c>
      <c r="H514" s="14"/>
      <c r="I514" s="14"/>
      <c r="J514" s="14"/>
      <c r="K514" s="14"/>
      <c r="L514" s="14"/>
      <c r="M514" s="14"/>
      <c r="N514" s="14"/>
      <c r="O514" s="8">
        <f>(2*((G508-(2*'[2]Beam '!$D$11))+(F508-(2*'[2]Beam '!$D$11)))+(2*10*D514/1000))*D508</f>
        <v>2.7600000000000002</v>
      </c>
      <c r="P514" s="8">
        <f t="shared" si="101"/>
        <v>38.64</v>
      </c>
      <c r="Q514" s="8">
        <f>IF($D514='[2]Beam '!Q$44,$P514*'[2]Beam '!Q$45,0)</f>
        <v>0</v>
      </c>
      <c r="R514" s="8">
        <f>IF($D514='[2]Beam '!R$44,$P514*'[2]Beam '!R$45,0)</f>
        <v>23.832599999999999</v>
      </c>
      <c r="S514" s="8">
        <f>IF($D514='[2]Beam '!S$44,$P514*'[2]Beam '!S$45,0)</f>
        <v>0</v>
      </c>
      <c r="T514" s="8">
        <f>IF($D514='[2]Beam '!T$44,$P514*'[2]Beam '!T$45,0)</f>
        <v>0</v>
      </c>
      <c r="U514" s="8">
        <f>IF($D514='[2]Beam '!U$44,$P514*'[2]Beam '!U$45,0)</f>
        <v>0</v>
      </c>
      <c r="V514" s="8">
        <f>IF($D514='[2]Beam '!V$44,$P514*'[2]Beam '!V$45,0)</f>
        <v>0</v>
      </c>
      <c r="W514" s="8">
        <f>IF($D514='[2]Beam '!W$44,$P514*'[2]Beam '!W$45,0)</f>
        <v>0</v>
      </c>
      <c r="X514" s="8">
        <f t="shared" si="102"/>
        <v>23.832599999999999</v>
      </c>
      <c r="Y514" s="14"/>
      <c r="Z514" s="8"/>
      <c r="AA514" s="8"/>
      <c r="AB514" s="8"/>
      <c r="AC514" s="8"/>
      <c r="AD514" s="8"/>
      <c r="AE514" s="8"/>
    </row>
    <row r="515" spans="1:32" s="10" customFormat="1" ht="21" customHeight="1" x14ac:dyDescent="0.25">
      <c r="A515" s="14"/>
      <c r="B515" s="8" t="s">
        <v>2</v>
      </c>
      <c r="C515" s="13" t="s">
        <v>15</v>
      </c>
      <c r="D515" s="14">
        <f>D513</f>
        <v>10</v>
      </c>
      <c r="E515" s="14">
        <f>+E513</f>
        <v>0.1</v>
      </c>
      <c r="F515" s="8">
        <f>ROUND(IF(E508/3&gt;(2*G508),(E508/3)/E515,(2*G508)/E515),0)*2+1</f>
        <v>45</v>
      </c>
      <c r="H515" s="14"/>
      <c r="I515" s="14"/>
      <c r="J515" s="14"/>
      <c r="K515" s="14"/>
      <c r="L515" s="14"/>
      <c r="M515" s="14"/>
      <c r="N515" s="14"/>
      <c r="O515" s="8">
        <f>(2*(((F508-'[2]Beam '!$D$11*2)/(F509-1))+(G508-'[2]Beam '!$D$11*2))+(2*10*D515/1000))*D508</f>
        <v>2.5200000000000005</v>
      </c>
      <c r="P515" s="8">
        <f t="shared" si="101"/>
        <v>113.40000000000002</v>
      </c>
      <c r="Q515" s="8">
        <f>IF($D515='[2]Beam '!Q$44,$P515*'[2]Beam '!Q$45,0)</f>
        <v>0</v>
      </c>
      <c r="R515" s="8">
        <f>IF($D515='[2]Beam '!R$44,$P515*'[2]Beam '!R$45,0)</f>
        <v>69.943500000000014</v>
      </c>
      <c r="S515" s="8">
        <f>IF($D515='[2]Beam '!S$44,$P515*'[2]Beam '!S$45,0)</f>
        <v>0</v>
      </c>
      <c r="T515" s="8">
        <f>IF($D515='[2]Beam '!T$44,$P515*'[2]Beam '!T$45,0)</f>
        <v>0</v>
      </c>
      <c r="U515" s="8">
        <f>IF($D515='[2]Beam '!U$44,$P515*'[2]Beam '!U$45,0)</f>
        <v>0</v>
      </c>
      <c r="V515" s="8">
        <f>IF($D515='[2]Beam '!V$44,$P515*'[2]Beam '!V$45,0)</f>
        <v>0</v>
      </c>
      <c r="W515" s="8">
        <f>IF($D515='[2]Beam '!W$44,$P515*'[2]Beam '!W$45,0)</f>
        <v>0</v>
      </c>
      <c r="X515" s="8">
        <f t="shared" si="102"/>
        <v>69.943500000000014</v>
      </c>
      <c r="Y515" s="14"/>
      <c r="Z515" s="8"/>
      <c r="AA515" s="8"/>
      <c r="AB515" s="8"/>
      <c r="AC515" s="8"/>
      <c r="AD515" s="8"/>
      <c r="AE515" s="8"/>
      <c r="AF515" s="8"/>
    </row>
    <row r="516" spans="1:32" s="10" customFormat="1" ht="20.100000000000001" customHeight="1" x14ac:dyDescent="0.25">
      <c r="A516" s="14"/>
      <c r="B516" s="8" t="s">
        <v>2</v>
      </c>
      <c r="C516" s="13" t="s">
        <v>16</v>
      </c>
      <c r="D516" s="14">
        <f>D514</f>
        <v>10</v>
      </c>
      <c r="E516" s="14">
        <f>+E514</f>
        <v>0.15</v>
      </c>
      <c r="F516" s="14">
        <f>ROUND((E508-(IF(E508/3&gt;2*G508,E508/3*2,G508*2*2)))/E516,0)</f>
        <v>14</v>
      </c>
      <c r="H516" s="14"/>
      <c r="I516" s="14"/>
      <c r="J516" s="14"/>
      <c r="K516" s="14"/>
      <c r="L516" s="14"/>
      <c r="M516" s="14"/>
      <c r="N516" s="14"/>
      <c r="O516" s="8">
        <f>(2*(((F508-'[2]Beam '!$D$11*2)/(F509-1))+(G508-'[2]Beam '!$D$11*2))+(2*10*D516/1000))*D508</f>
        <v>2.5200000000000005</v>
      </c>
      <c r="P516" s="8">
        <f t="shared" si="101"/>
        <v>35.280000000000008</v>
      </c>
      <c r="Q516" s="8">
        <f>IF($D516='[2]Beam '!Q$44,$P516*'[2]Beam '!Q$45,0)</f>
        <v>0</v>
      </c>
      <c r="R516" s="8">
        <f>IF($D516='[2]Beam '!R$44,$P516*'[2]Beam '!R$45,0)</f>
        <v>21.760200000000005</v>
      </c>
      <c r="S516" s="8">
        <f>IF($D516='[2]Beam '!S$44,$P516*'[2]Beam '!S$45,0)</f>
        <v>0</v>
      </c>
      <c r="T516" s="8">
        <f>IF($D516='[2]Beam '!T$44,$P516*'[2]Beam '!T$45,0)</f>
        <v>0</v>
      </c>
      <c r="U516" s="8">
        <f>IF($D516='[2]Beam '!U$44,$P516*'[2]Beam '!U$45,0)</f>
        <v>0</v>
      </c>
      <c r="V516" s="8">
        <f>IF($D516='[2]Beam '!V$44,$P516*'[2]Beam '!V$45,0)</f>
        <v>0</v>
      </c>
      <c r="W516" s="8">
        <f>IF($D516='[2]Beam '!W$44,$P516*'[2]Beam '!W$45,0)</f>
        <v>0</v>
      </c>
      <c r="X516" s="8">
        <f t="shared" si="102"/>
        <v>21.760200000000005</v>
      </c>
      <c r="Y516" s="14"/>
      <c r="Z516" s="8"/>
      <c r="AA516" s="8"/>
      <c r="AB516" s="8"/>
      <c r="AC516" s="8"/>
      <c r="AD516" s="8"/>
      <c r="AE516" s="8"/>
    </row>
    <row r="517" spans="1:32" s="10" customFormat="1" ht="20.100000000000001" customHeight="1" x14ac:dyDescent="0.25">
      <c r="A517" s="7"/>
      <c r="B517" s="8" t="s">
        <v>2</v>
      </c>
      <c r="C517" s="13" t="s">
        <v>10</v>
      </c>
      <c r="D517" s="8">
        <f>+'[2]Beam '!$D$15</f>
        <v>25</v>
      </c>
      <c r="E517" s="8">
        <f>+'[2]Beam '!$E$15</f>
        <v>1</v>
      </c>
      <c r="F517" s="8">
        <f>ROUNDUP((1.8+E508)/E517,0)</f>
        <v>9</v>
      </c>
      <c r="G517" s="9"/>
      <c r="H517" s="9"/>
      <c r="I517" s="8"/>
      <c r="J517" s="8"/>
      <c r="K517" s="8"/>
      <c r="L517" s="8"/>
      <c r="M517" s="8"/>
      <c r="N517" s="8"/>
      <c r="O517" s="8">
        <f>F508-'[2]Beam '!$F$15</f>
        <v>0.24</v>
      </c>
      <c r="P517" s="8">
        <f t="shared" si="101"/>
        <v>2.16</v>
      </c>
      <c r="Q517" s="8">
        <f>IF($D517='[2]Beam '!Q$44,$P517*'[2]Beam '!Q$45,0)</f>
        <v>0</v>
      </c>
      <c r="R517" s="8">
        <f>IF($D517='[2]Beam '!R$44,$P517*'[2]Beam '!R$45,0)</f>
        <v>0</v>
      </c>
      <c r="S517" s="8">
        <f>IF($D517='[2]Beam '!S$44,$P517*'[2]Beam '!S$45,0)</f>
        <v>0</v>
      </c>
      <c r="T517" s="8">
        <f>IF($D517='[2]Beam '!T$44,$P517*'[2]Beam '!T$45,0)</f>
        <v>0</v>
      </c>
      <c r="U517" s="8">
        <f>IF($D517='[2]Beam '!U$44,$P517*'[2]Beam '!U$45,0)</f>
        <v>0</v>
      </c>
      <c r="V517" s="8">
        <f>IF($D517='[2]Beam '!V$44,$P517*'[2]Beam '!V$45,0)</f>
        <v>8.326607142857144</v>
      </c>
      <c r="W517" s="8">
        <f>IF($D517='[2]Beam '!W$44,$P517*'[2]Beam '!W$45,0)</f>
        <v>0</v>
      </c>
      <c r="X517" s="8">
        <f t="shared" si="102"/>
        <v>8.326607142857144</v>
      </c>
      <c r="Y517" s="8"/>
      <c r="Z517" s="8"/>
      <c r="AA517" s="8"/>
      <c r="AB517" s="8"/>
      <c r="AC517" s="8"/>
      <c r="AD517" s="8"/>
      <c r="AE517" s="8"/>
    </row>
    <row r="518" spans="1:32" s="10" customFormat="1" ht="20.100000000000001" customHeight="1" x14ac:dyDescent="0.25">
      <c r="A518" s="8">
        <v>1</v>
      </c>
      <c r="B518" s="8" t="s">
        <v>2</v>
      </c>
      <c r="C518" s="11" t="s">
        <v>69</v>
      </c>
      <c r="D518" s="11">
        <v>1</v>
      </c>
      <c r="E518" s="11">
        <v>2.8</v>
      </c>
      <c r="F518" s="11">
        <v>0.3</v>
      </c>
      <c r="G518" s="11">
        <v>1.1000000000000001</v>
      </c>
      <c r="H518" s="8">
        <f>G518-0.2</f>
        <v>0.90000000000000013</v>
      </c>
      <c r="I518" s="8">
        <f>E518*F518*G518*D518</f>
        <v>0.92400000000000004</v>
      </c>
      <c r="J518" s="8">
        <f>(2*(E518)*H518*D518)+(E518*F518)</f>
        <v>5.88</v>
      </c>
      <c r="K518" s="12">
        <f>IF(E518=0.3,J518,0)</f>
        <v>0</v>
      </c>
      <c r="L518" s="12">
        <f>IF(AND(E518&gt;0.3,E518&lt;=0.75),J518,0)</f>
        <v>0</v>
      </c>
      <c r="M518" s="12">
        <f>IF(AND(E518&gt;0.75,E518&lt;=1.2),J518,0)</f>
        <v>0</v>
      </c>
      <c r="N518" s="12">
        <f>IF(E518&gt;1.2,J518,0)</f>
        <v>5.88</v>
      </c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>
        <f>SUM(X519:X523)/I518</f>
        <v>93.398338775510211</v>
      </c>
      <c r="Z518" s="8"/>
      <c r="AA518" s="8"/>
      <c r="AB518" s="8"/>
      <c r="AC518" s="8"/>
      <c r="AD518" s="8"/>
      <c r="AE518" s="8"/>
    </row>
    <row r="519" spans="1:32" s="10" customFormat="1" ht="20.100000000000001" customHeight="1" x14ac:dyDescent="0.25">
      <c r="A519" s="7"/>
      <c r="B519" s="8" t="s">
        <v>2</v>
      </c>
      <c r="C519" s="13" t="s">
        <v>4</v>
      </c>
      <c r="D519" s="8">
        <v>25</v>
      </c>
      <c r="E519" s="8"/>
      <c r="F519" s="8">
        <v>3</v>
      </c>
      <c r="G519" s="9">
        <f>VLOOKUP(D519,'[2]Beam '!$C$20:$H$26,3,0)</f>
        <v>1</v>
      </c>
      <c r="H519" s="9"/>
      <c r="I519" s="8"/>
      <c r="J519" s="8"/>
      <c r="K519" s="8"/>
      <c r="L519" s="8"/>
      <c r="M519" s="8"/>
      <c r="N519" s="8"/>
      <c r="O519" s="8">
        <f>(E518+1*(0.5/2)+1*(0.3/2)*D518)</f>
        <v>3.1999999999999997</v>
      </c>
      <c r="P519" s="8">
        <f t="shared" ref="P519:P526" si="103">O519*F519</f>
        <v>9.6</v>
      </c>
      <c r="Q519" s="8">
        <f>IF($D519='[2]Beam '!Q$44,$P519*'[2]Beam '!Q$45,0)</f>
        <v>0</v>
      </c>
      <c r="R519" s="8">
        <f>IF($D519='[2]Beam '!R$44,$P519*'[2]Beam '!R$45,0)</f>
        <v>0</v>
      </c>
      <c r="S519" s="8">
        <f>IF($D519='[2]Beam '!S$44,$P519*'[2]Beam '!S$45,0)</f>
        <v>0</v>
      </c>
      <c r="T519" s="8">
        <f>IF($D519='[2]Beam '!T$44,$P519*'[2]Beam '!T$45,0)</f>
        <v>0</v>
      </c>
      <c r="U519" s="8">
        <f>IF($D519='[2]Beam '!U$44,$P519*'[2]Beam '!U$45,0)</f>
        <v>0</v>
      </c>
      <c r="V519" s="8">
        <f>IF($D519='[2]Beam '!V$44,$P519*'[2]Beam '!V$45,0)</f>
        <v>37.00714285714286</v>
      </c>
      <c r="W519" s="8">
        <f>IF($D519='[2]Beam '!W$44,$P519*'[2]Beam '!W$45,0)</f>
        <v>0</v>
      </c>
      <c r="X519" s="8">
        <f t="shared" ref="X519:X526" si="104">SUM(Q519:W519)</f>
        <v>37.00714285714286</v>
      </c>
      <c r="Y519" s="8"/>
      <c r="Z519" s="8"/>
      <c r="AA519" s="8"/>
      <c r="AB519" s="8"/>
      <c r="AC519" s="8"/>
      <c r="AD519" s="8"/>
      <c r="AE519" s="8"/>
    </row>
    <row r="520" spans="1:32" s="14" customFormat="1" ht="20.100000000000001" customHeight="1" x14ac:dyDescent="0.3">
      <c r="A520" s="7"/>
      <c r="B520" s="8" t="s">
        <v>2</v>
      </c>
      <c r="C520" s="13" t="s">
        <v>6</v>
      </c>
      <c r="D520" s="8">
        <v>20</v>
      </c>
      <c r="E520" s="8"/>
      <c r="F520" s="8">
        <v>3</v>
      </c>
      <c r="G520" s="9">
        <f>VLOOKUP(D520,'[2]Beam '!$C$20:$H$26,3,0)</f>
        <v>0.8</v>
      </c>
      <c r="H520" s="8"/>
      <c r="I520" s="8"/>
      <c r="J520" s="8"/>
      <c r="K520" s="8"/>
      <c r="L520" s="8"/>
      <c r="M520" s="8"/>
      <c r="N520" s="8"/>
      <c r="O520" s="8">
        <f>(E518+1*(G520+(12*D520/1000))+1*(0.5/2)*D518)</f>
        <v>4.09</v>
      </c>
      <c r="P520" s="8">
        <f t="shared" si="103"/>
        <v>12.27</v>
      </c>
      <c r="Q520" s="8">
        <f>IF($D520='[2]Beam '!Q$44,$P520*'[2]Beam '!Q$45,0)</f>
        <v>0</v>
      </c>
      <c r="R520" s="8">
        <f>IF($D520='[2]Beam '!R$44,$P520*'[2]Beam '!R$45,0)</f>
        <v>0</v>
      </c>
      <c r="S520" s="8">
        <f>IF($D520='[2]Beam '!S$44,$P520*'[2]Beam '!S$45,0)</f>
        <v>0</v>
      </c>
      <c r="T520" s="8">
        <f>IF($D520='[2]Beam '!T$44,$P520*'[2]Beam '!T$45,0)</f>
        <v>0</v>
      </c>
      <c r="U520" s="8">
        <f>IF($D520='[2]Beam '!U$44,$P520*'[2]Beam '!U$45,0)</f>
        <v>30.271842857142854</v>
      </c>
      <c r="V520" s="8">
        <f>IF($D520='[2]Beam '!V$44,$P520*'[2]Beam '!V$45,0)</f>
        <v>0</v>
      </c>
      <c r="W520" s="8">
        <f>IF($D520='[2]Beam '!W$44,$P520*'[2]Beam '!W$45,0)</f>
        <v>0</v>
      </c>
      <c r="X520" s="8">
        <f t="shared" si="104"/>
        <v>30.271842857142854</v>
      </c>
      <c r="Y520" s="8"/>
    </row>
    <row r="521" spans="1:32" s="14" customFormat="1" ht="20.100000000000001" customHeight="1" x14ac:dyDescent="0.3">
      <c r="A521" s="7"/>
      <c r="B521" s="8" t="s">
        <v>2</v>
      </c>
      <c r="C521" s="13" t="s">
        <v>7</v>
      </c>
      <c r="D521" s="8">
        <v>16</v>
      </c>
      <c r="E521" s="8"/>
      <c r="F521" s="8">
        <v>2</v>
      </c>
      <c r="G521" s="9">
        <f>VLOOKUP(D521,'[2]Beam '!$C$20:$H$26,3,0)</f>
        <v>0.625</v>
      </c>
      <c r="H521" s="8"/>
      <c r="I521" s="8"/>
      <c r="J521" s="8"/>
      <c r="K521" s="8"/>
      <c r="L521" s="8"/>
      <c r="M521" s="8"/>
      <c r="N521" s="8"/>
      <c r="O521" s="8">
        <f>(E518+1*(G521+(12*D521/1000))+1*(0.5/2)*D518)</f>
        <v>3.867</v>
      </c>
      <c r="P521" s="8">
        <f t="shared" si="103"/>
        <v>7.734</v>
      </c>
      <c r="Q521" s="8">
        <f>IF($D521='[2]Beam '!Q$44,$P521*'[2]Beam '!Q$45,0)</f>
        <v>0</v>
      </c>
      <c r="R521" s="8">
        <f>IF($D521='[2]Beam '!R$44,$P521*'[2]Beam '!R$45,0)</f>
        <v>0</v>
      </c>
      <c r="S521" s="8">
        <f>IF($D521='[2]Beam '!S$44,$P521*'[2]Beam '!S$45,0)</f>
        <v>0</v>
      </c>
      <c r="T521" s="8">
        <f>IF($D521='[2]Beam '!T$44,$P521*'[2]Beam '!T$45,0)</f>
        <v>12.211765028571429</v>
      </c>
      <c r="U521" s="8">
        <f>IF($D521='[2]Beam '!U$44,$P521*'[2]Beam '!U$45,0)</f>
        <v>0</v>
      </c>
      <c r="V521" s="8">
        <f>IF($D521='[2]Beam '!V$44,$P521*'[2]Beam '!V$45,0)</f>
        <v>0</v>
      </c>
      <c r="W521" s="8">
        <f>IF($D521='[2]Beam '!W$44,$P521*'[2]Beam '!W$45,0)</f>
        <v>0</v>
      </c>
      <c r="X521" s="8">
        <f t="shared" si="104"/>
        <v>12.211765028571429</v>
      </c>
      <c r="Y521" s="8"/>
    </row>
    <row r="522" spans="1:32" s="14" customFormat="1" ht="20.100000000000001" customHeight="1" x14ac:dyDescent="0.25">
      <c r="A522" s="7"/>
      <c r="B522" s="8" t="s">
        <v>2</v>
      </c>
      <c r="C522" s="13" t="s">
        <v>13</v>
      </c>
      <c r="D522" s="8">
        <v>10</v>
      </c>
      <c r="E522" s="8">
        <v>0.1</v>
      </c>
      <c r="F522" s="8">
        <f>ROUNDUP((E516/3*2)/E522,0)+1</f>
        <v>2</v>
      </c>
      <c r="G522" s="10"/>
      <c r="H522" s="8"/>
      <c r="I522" s="8"/>
      <c r="J522" s="8"/>
      <c r="K522" s="8"/>
      <c r="L522" s="8"/>
      <c r="M522" s="8"/>
      <c r="N522" s="8"/>
      <c r="O522" s="8">
        <f>(2*((G518-(2*'[2]Beam '!$D$11))+(F518-(2*'[2]Beam '!$D$11)))+(2*10*D522/1000))*D518</f>
        <v>2.7600000000000002</v>
      </c>
      <c r="P522" s="8">
        <f t="shared" si="103"/>
        <v>5.5200000000000005</v>
      </c>
      <c r="Q522" s="8">
        <f>IF($D522='[2]Beam '!Q$44,$P522*'[2]Beam '!Q$45,0)</f>
        <v>0</v>
      </c>
      <c r="R522" s="8">
        <f>IF($D522='[2]Beam '!R$44,$P522*'[2]Beam '!R$45,0)</f>
        <v>3.4046571428571433</v>
      </c>
      <c r="S522" s="8">
        <f>IF($D522='[2]Beam '!S$44,$P522*'[2]Beam '!S$45,0)</f>
        <v>0</v>
      </c>
      <c r="T522" s="8">
        <f>IF($D522='[2]Beam '!T$44,$P522*'[2]Beam '!T$45,0)</f>
        <v>0</v>
      </c>
      <c r="U522" s="8">
        <f>IF($D522='[2]Beam '!U$44,$P522*'[2]Beam '!U$45,0)</f>
        <v>0</v>
      </c>
      <c r="V522" s="8">
        <f>IF($D522='[2]Beam '!V$44,$P522*'[2]Beam '!V$45,0)</f>
        <v>0</v>
      </c>
      <c r="W522" s="8">
        <f>IF($D522='[2]Beam '!W$44,$P522*'[2]Beam '!W$45,0)</f>
        <v>0</v>
      </c>
      <c r="X522" s="8">
        <f t="shared" si="104"/>
        <v>3.4046571428571433</v>
      </c>
      <c r="Y522" s="8"/>
    </row>
    <row r="523" spans="1:32" s="10" customFormat="1" ht="20.100000000000001" customHeight="1" x14ac:dyDescent="0.25">
      <c r="A523" s="14"/>
      <c r="B523" s="8" t="s">
        <v>2</v>
      </c>
      <c r="C523" s="13" t="s">
        <v>14</v>
      </c>
      <c r="D523" s="14">
        <f>D522</f>
        <v>10</v>
      </c>
      <c r="E523" s="14">
        <v>0.125</v>
      </c>
      <c r="F523" s="8">
        <f>ROUNDUP((E516/3)/E523,0)+1</f>
        <v>2</v>
      </c>
      <c r="H523" s="14"/>
      <c r="I523" s="14"/>
      <c r="J523" s="14"/>
      <c r="K523" s="14"/>
      <c r="L523" s="14"/>
      <c r="M523" s="14"/>
      <c r="N523" s="14"/>
      <c r="O523" s="8">
        <f>(2*((G518-(2*'[2]Beam '!$D$11))+(F518-(2*'[2]Beam '!$D$11)))+(2*10*D523/1000))*D518</f>
        <v>2.7600000000000002</v>
      </c>
      <c r="P523" s="8">
        <f t="shared" si="103"/>
        <v>5.5200000000000005</v>
      </c>
      <c r="Q523" s="8">
        <f>IF($D523='[2]Beam '!Q$44,$P523*'[2]Beam '!Q$45,0)</f>
        <v>0</v>
      </c>
      <c r="R523" s="8">
        <f>IF($D523='[2]Beam '!R$44,$P523*'[2]Beam '!R$45,0)</f>
        <v>3.4046571428571433</v>
      </c>
      <c r="S523" s="8">
        <f>IF($D523='[2]Beam '!S$44,$P523*'[2]Beam '!S$45,0)</f>
        <v>0</v>
      </c>
      <c r="T523" s="8">
        <f>IF($D523='[2]Beam '!T$44,$P523*'[2]Beam '!T$45,0)</f>
        <v>0</v>
      </c>
      <c r="U523" s="8">
        <f>IF($D523='[2]Beam '!U$44,$P523*'[2]Beam '!U$45,0)</f>
        <v>0</v>
      </c>
      <c r="V523" s="8">
        <f>IF($D523='[2]Beam '!V$44,$P523*'[2]Beam '!V$45,0)</f>
        <v>0</v>
      </c>
      <c r="W523" s="8">
        <f>IF($D523='[2]Beam '!W$44,$P523*'[2]Beam '!W$45,0)</f>
        <v>0</v>
      </c>
      <c r="X523" s="8">
        <f t="shared" si="104"/>
        <v>3.4046571428571433</v>
      </c>
      <c r="Y523" s="14"/>
      <c r="Z523" s="8"/>
      <c r="AA523" s="8"/>
      <c r="AB523" s="8"/>
      <c r="AC523" s="8"/>
      <c r="AD523" s="8"/>
      <c r="AE523" s="8"/>
    </row>
    <row r="524" spans="1:32" s="10" customFormat="1" ht="21" customHeight="1" x14ac:dyDescent="0.25">
      <c r="A524" s="14"/>
      <c r="B524" s="8" t="s">
        <v>2</v>
      </c>
      <c r="C524" s="13" t="s">
        <v>15</v>
      </c>
      <c r="D524" s="14">
        <f>D522</f>
        <v>10</v>
      </c>
      <c r="E524" s="14">
        <f>+E522</f>
        <v>0.1</v>
      </c>
      <c r="F524" s="8">
        <f>ROUNDUP((E516/3*2)/E524,0)+1</f>
        <v>2</v>
      </c>
      <c r="H524" s="14"/>
      <c r="I524" s="14"/>
      <c r="J524" s="14"/>
      <c r="K524" s="14"/>
      <c r="L524" s="14"/>
      <c r="M524" s="14"/>
      <c r="N524" s="14"/>
      <c r="O524" s="8">
        <f>(2*(((F518-'[2]Beam '!$D$11*2)/(F519-1))+(G518-'[2]Beam '!$D$11*2))+(2*10*D524/1000))*D518</f>
        <v>2.5200000000000005</v>
      </c>
      <c r="P524" s="8">
        <f t="shared" si="103"/>
        <v>5.0400000000000009</v>
      </c>
      <c r="Q524" s="8">
        <f>IF($D524='[2]Beam '!Q$44,$P524*'[2]Beam '!Q$45,0)</f>
        <v>0</v>
      </c>
      <c r="R524" s="8">
        <f>IF($D524='[2]Beam '!R$44,$P524*'[2]Beam '!R$45,0)</f>
        <v>3.1086000000000005</v>
      </c>
      <c r="S524" s="8">
        <f>IF($D524='[2]Beam '!S$44,$P524*'[2]Beam '!S$45,0)</f>
        <v>0</v>
      </c>
      <c r="T524" s="8">
        <f>IF($D524='[2]Beam '!T$44,$P524*'[2]Beam '!T$45,0)</f>
        <v>0</v>
      </c>
      <c r="U524" s="8">
        <f>IF($D524='[2]Beam '!U$44,$P524*'[2]Beam '!U$45,0)</f>
        <v>0</v>
      </c>
      <c r="V524" s="8">
        <f>IF($D524='[2]Beam '!V$44,$P524*'[2]Beam '!V$45,0)</f>
        <v>0</v>
      </c>
      <c r="W524" s="8">
        <f>IF($D524='[2]Beam '!W$44,$P524*'[2]Beam '!W$45,0)</f>
        <v>0</v>
      </c>
      <c r="X524" s="8">
        <f t="shared" si="104"/>
        <v>3.1086000000000005</v>
      </c>
      <c r="Y524" s="14"/>
      <c r="Z524" s="8"/>
      <c r="AA524" s="8"/>
      <c r="AB524" s="8"/>
      <c r="AC524" s="8"/>
      <c r="AD524" s="8"/>
      <c r="AE524" s="8"/>
      <c r="AF524" s="8"/>
    </row>
    <row r="525" spans="1:32" s="10" customFormat="1" ht="20.100000000000001" customHeight="1" x14ac:dyDescent="0.25">
      <c r="A525" s="14"/>
      <c r="B525" s="8" t="s">
        <v>2</v>
      </c>
      <c r="C525" s="13" t="s">
        <v>16</v>
      </c>
      <c r="D525" s="14">
        <f>D523</f>
        <v>10</v>
      </c>
      <c r="E525" s="14">
        <f>+E523</f>
        <v>0.125</v>
      </c>
      <c r="F525" s="8">
        <f>ROUNDUP((E516/3)/E525,0)+1</f>
        <v>2</v>
      </c>
      <c r="H525" s="14"/>
      <c r="I525" s="14"/>
      <c r="J525" s="14"/>
      <c r="K525" s="14"/>
      <c r="L525" s="14"/>
      <c r="M525" s="14"/>
      <c r="N525" s="14"/>
      <c r="O525" s="8">
        <f>(2*(((F518-'[2]Beam '!$D$11*2)/(F519-1))+(G518-'[2]Beam '!$D$11*2))+(2*10*D525/1000))*D518</f>
        <v>2.5200000000000005</v>
      </c>
      <c r="P525" s="8">
        <f t="shared" si="103"/>
        <v>5.0400000000000009</v>
      </c>
      <c r="Q525" s="8">
        <f>IF($D525='[2]Beam '!Q$44,$P525*'[2]Beam '!Q$45,0)</f>
        <v>0</v>
      </c>
      <c r="R525" s="8">
        <f>IF($D525='[2]Beam '!R$44,$P525*'[2]Beam '!R$45,0)</f>
        <v>3.1086000000000005</v>
      </c>
      <c r="S525" s="8">
        <f>IF($D525='[2]Beam '!S$44,$P525*'[2]Beam '!S$45,0)</f>
        <v>0</v>
      </c>
      <c r="T525" s="8">
        <f>IF($D525='[2]Beam '!T$44,$P525*'[2]Beam '!T$45,0)</f>
        <v>0</v>
      </c>
      <c r="U525" s="8">
        <f>IF($D525='[2]Beam '!U$44,$P525*'[2]Beam '!U$45,0)</f>
        <v>0</v>
      </c>
      <c r="V525" s="8">
        <f>IF($D525='[2]Beam '!V$44,$P525*'[2]Beam '!V$45,0)</f>
        <v>0</v>
      </c>
      <c r="W525" s="8">
        <f>IF($D525='[2]Beam '!W$44,$P525*'[2]Beam '!W$45,0)</f>
        <v>0</v>
      </c>
      <c r="X525" s="8">
        <f t="shared" si="104"/>
        <v>3.1086000000000005</v>
      </c>
      <c r="Y525" s="14"/>
      <c r="Z525" s="8"/>
      <c r="AA525" s="8"/>
      <c r="AB525" s="8"/>
      <c r="AC525" s="8"/>
      <c r="AD525" s="8"/>
      <c r="AE525" s="8"/>
    </row>
    <row r="526" spans="1:32" s="10" customFormat="1" ht="20.100000000000001" customHeight="1" x14ac:dyDescent="0.25">
      <c r="A526" s="7"/>
      <c r="B526" s="8" t="s">
        <v>2</v>
      </c>
      <c r="C526" s="13" t="s">
        <v>10</v>
      </c>
      <c r="D526" s="8">
        <f>+'[2]Beam '!$D$15</f>
        <v>25</v>
      </c>
      <c r="E526" s="8">
        <f>+'[2]Beam '!$E$15</f>
        <v>1</v>
      </c>
      <c r="F526" s="8">
        <f>ROUNDUP((1.8+E518)/E526,0)</f>
        <v>5</v>
      </c>
      <c r="G526" s="9"/>
      <c r="H526" s="9"/>
      <c r="I526" s="8"/>
      <c r="J526" s="8"/>
      <c r="K526" s="8"/>
      <c r="L526" s="8"/>
      <c r="M526" s="8"/>
      <c r="N526" s="8"/>
      <c r="O526" s="8">
        <f>F518-'[2]Beam '!$F$15</f>
        <v>0.24</v>
      </c>
      <c r="P526" s="8">
        <f t="shared" si="103"/>
        <v>1.2</v>
      </c>
      <c r="Q526" s="8">
        <f>IF($D526='[2]Beam '!Q$44,$P526*'[2]Beam '!Q$45,0)</f>
        <v>0</v>
      </c>
      <c r="R526" s="8">
        <f>IF($D526='[2]Beam '!R$44,$P526*'[2]Beam '!R$45,0)</f>
        <v>0</v>
      </c>
      <c r="S526" s="8">
        <f>IF($D526='[2]Beam '!S$44,$P526*'[2]Beam '!S$45,0)</f>
        <v>0</v>
      </c>
      <c r="T526" s="8">
        <f>IF($D526='[2]Beam '!T$44,$P526*'[2]Beam '!T$45,0)</f>
        <v>0</v>
      </c>
      <c r="U526" s="8">
        <f>IF($D526='[2]Beam '!U$44,$P526*'[2]Beam '!U$45,0)</f>
        <v>0</v>
      </c>
      <c r="V526" s="8">
        <f>IF($D526='[2]Beam '!V$44,$P526*'[2]Beam '!V$45,0)</f>
        <v>4.6258928571428575</v>
      </c>
      <c r="W526" s="8">
        <f>IF($D526='[2]Beam '!W$44,$P526*'[2]Beam '!W$45,0)</f>
        <v>0</v>
      </c>
      <c r="X526" s="8">
        <f t="shared" si="104"/>
        <v>4.6258928571428575</v>
      </c>
      <c r="Y526" s="8"/>
      <c r="Z526" s="8"/>
      <c r="AA526" s="8"/>
      <c r="AB526" s="8"/>
      <c r="AC526" s="8"/>
      <c r="AD526" s="8"/>
      <c r="AE526" s="8"/>
    </row>
    <row r="527" spans="1:32" s="10" customFormat="1" ht="20.100000000000001" customHeight="1" x14ac:dyDescent="0.25">
      <c r="A527" s="8">
        <v>1</v>
      </c>
      <c r="B527" s="8" t="s">
        <v>2</v>
      </c>
      <c r="C527" s="11" t="s">
        <v>70</v>
      </c>
      <c r="D527" s="11">
        <v>1</v>
      </c>
      <c r="E527" s="11">
        <v>1.32</v>
      </c>
      <c r="F527" s="11">
        <v>0.3</v>
      </c>
      <c r="G527" s="11">
        <v>0.8</v>
      </c>
      <c r="H527" s="8">
        <f>G527-0.2</f>
        <v>0.60000000000000009</v>
      </c>
      <c r="I527" s="8">
        <f>E527*F527*G527*D527</f>
        <v>0.31680000000000003</v>
      </c>
      <c r="J527" s="8">
        <f>(2*(E527)*H527*D527)+(E527*F527)</f>
        <v>1.9800000000000004</v>
      </c>
      <c r="K527" s="12">
        <f>IF(E527=0.3,J527,0)</f>
        <v>0</v>
      </c>
      <c r="L527" s="12">
        <f>IF(AND(E527&gt;0.3,E527&lt;=0.75),J527,0)</f>
        <v>0</v>
      </c>
      <c r="M527" s="12">
        <f>IF(AND(E527&gt;0.75,E527&lt;=1.2),J527,0)</f>
        <v>0</v>
      </c>
      <c r="N527" s="12">
        <f>IF(E527&gt;1.2,J527,0)</f>
        <v>1.9800000000000004</v>
      </c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>
        <f>SUM(X528:X531)/I527</f>
        <v>244.2562934027778</v>
      </c>
      <c r="Z527" s="8"/>
      <c r="AA527" s="8"/>
      <c r="AB527" s="8"/>
      <c r="AC527" s="8"/>
      <c r="AD527" s="8"/>
      <c r="AE527" s="8"/>
    </row>
    <row r="528" spans="1:32" s="14" customFormat="1" ht="20.100000000000001" customHeight="1" x14ac:dyDescent="0.3">
      <c r="A528" s="7"/>
      <c r="B528" s="8" t="s">
        <v>2</v>
      </c>
      <c r="C528" s="13" t="s">
        <v>4</v>
      </c>
      <c r="D528" s="8">
        <v>25</v>
      </c>
      <c r="E528" s="8"/>
      <c r="F528" s="8">
        <v>3</v>
      </c>
      <c r="G528" s="9">
        <f>VLOOKUP(D528,'[2]Beam '!$C$20:$H$26,3,0)</f>
        <v>1</v>
      </c>
      <c r="H528" s="9"/>
      <c r="I528" s="8"/>
      <c r="J528" s="8"/>
      <c r="K528" s="8"/>
      <c r="L528" s="8"/>
      <c r="M528" s="8"/>
      <c r="N528" s="8"/>
      <c r="O528" s="8">
        <f>(E527+1*(G528+(12*D528/1000))+1*(0.3/2)*D527)</f>
        <v>2.77</v>
      </c>
      <c r="P528" s="8">
        <f>O528*F528</f>
        <v>8.31</v>
      </c>
      <c r="Q528" s="8">
        <f>IF($D528='[2]Beam '!Q$44,$P528*'[2]Beam '!Q$45,0)</f>
        <v>0</v>
      </c>
      <c r="R528" s="8">
        <f>IF($D528='[2]Beam '!R$44,$P528*'[2]Beam '!R$45,0)</f>
        <v>0</v>
      </c>
      <c r="S528" s="8">
        <f>IF($D528='[2]Beam '!S$44,$P528*'[2]Beam '!S$45,0)</f>
        <v>0</v>
      </c>
      <c r="T528" s="8">
        <f>IF($D528='[2]Beam '!T$44,$P528*'[2]Beam '!T$45,0)</f>
        <v>0</v>
      </c>
      <c r="U528" s="8">
        <f>IF($D528='[2]Beam '!U$44,$P528*'[2]Beam '!U$45,0)</f>
        <v>0</v>
      </c>
      <c r="V528" s="8">
        <f>IF($D528='[2]Beam '!V$44,$P528*'[2]Beam '!V$45,0)</f>
        <v>32.03430803571429</v>
      </c>
      <c r="W528" s="8">
        <f>IF($D528='[2]Beam '!W$44,$P528*'[2]Beam '!W$45,0)</f>
        <v>0</v>
      </c>
      <c r="X528" s="8">
        <f>SUM(Q528:W528)</f>
        <v>32.03430803571429</v>
      </c>
      <c r="Y528" s="8"/>
    </row>
    <row r="529" spans="1:32" s="10" customFormat="1" ht="20.100000000000001" customHeight="1" x14ac:dyDescent="0.25">
      <c r="A529" s="7"/>
      <c r="B529" s="8" t="s">
        <v>2</v>
      </c>
      <c r="C529" s="13" t="s">
        <v>6</v>
      </c>
      <c r="D529" s="8">
        <v>20</v>
      </c>
      <c r="E529" s="8"/>
      <c r="F529" s="8">
        <v>3</v>
      </c>
      <c r="G529" s="9">
        <f>VLOOKUP(D529,'[2]Beam '!$C$20:$H$26,3,0)</f>
        <v>0.8</v>
      </c>
      <c r="H529" s="8"/>
      <c r="I529" s="8"/>
      <c r="J529" s="8"/>
      <c r="K529" s="8"/>
      <c r="L529" s="8"/>
      <c r="M529" s="8"/>
      <c r="N529" s="8"/>
      <c r="O529" s="8">
        <f>(E527+1*(G529+(12*D529/1000))+1*(0.3/2)*D527)</f>
        <v>2.5100000000000002</v>
      </c>
      <c r="P529" s="8">
        <f>O529*F529</f>
        <v>7.5300000000000011</v>
      </c>
      <c r="Q529" s="8">
        <f>IF($D529='[2]Beam '!Q$44,$P529*'[2]Beam '!Q$45,0)</f>
        <v>0</v>
      </c>
      <c r="R529" s="8">
        <f>IF($D529='[2]Beam '!R$44,$P529*'[2]Beam '!R$45,0)</f>
        <v>0</v>
      </c>
      <c r="S529" s="8">
        <f>IF($D529='[2]Beam '!S$44,$P529*'[2]Beam '!S$45,0)</f>
        <v>0</v>
      </c>
      <c r="T529" s="8">
        <f>IF($D529='[2]Beam '!T$44,$P529*'[2]Beam '!T$45,0)</f>
        <v>0</v>
      </c>
      <c r="U529" s="8">
        <f>IF($D529='[2]Beam '!U$44,$P529*'[2]Beam '!U$45,0)</f>
        <v>18.577585714285718</v>
      </c>
      <c r="V529" s="8">
        <f>IF($D529='[2]Beam '!V$44,$P529*'[2]Beam '!V$45,0)</f>
        <v>0</v>
      </c>
      <c r="W529" s="8">
        <f>IF($D529='[2]Beam '!W$44,$P529*'[2]Beam '!W$45,0)</f>
        <v>0</v>
      </c>
      <c r="X529" s="8">
        <f>SUM(Q529:W529)</f>
        <v>18.577585714285718</v>
      </c>
      <c r="Y529" s="8"/>
      <c r="Z529" s="8"/>
      <c r="AA529" s="8"/>
      <c r="AB529" s="8"/>
      <c r="AC529" s="8"/>
      <c r="AD529" s="8"/>
      <c r="AE529" s="8"/>
    </row>
    <row r="530" spans="1:32" s="10" customFormat="1" ht="21" customHeight="1" x14ac:dyDescent="0.25">
      <c r="A530" s="7"/>
      <c r="B530" s="8" t="s">
        <v>2</v>
      </c>
      <c r="C530" s="13" t="s">
        <v>8</v>
      </c>
      <c r="D530" s="8">
        <v>10</v>
      </c>
      <c r="E530" s="8">
        <v>0.1</v>
      </c>
      <c r="F530" s="8">
        <f>ROUNDUP(E527/E530,0)</f>
        <v>14</v>
      </c>
      <c r="H530" s="8"/>
      <c r="I530" s="8"/>
      <c r="J530" s="8"/>
      <c r="K530" s="8"/>
      <c r="L530" s="8"/>
      <c r="M530" s="8"/>
      <c r="N530" s="8"/>
      <c r="O530" s="8">
        <f>(2*((G527-(2*'[2]Beam '!$D$11))+(F527-(2*'[2]Beam '!$D$11)))+(2*10*D530/1000))*D527</f>
        <v>2.16</v>
      </c>
      <c r="P530" s="8">
        <f>O530*F530</f>
        <v>30.240000000000002</v>
      </c>
      <c r="Q530" s="8">
        <f>IF($D530='[2]Beam '!Q$44,$P530*'[2]Beam '!Q$45,0)</f>
        <v>0</v>
      </c>
      <c r="R530" s="8">
        <f>IF($D530='[2]Beam '!R$44,$P530*'[2]Beam '!R$45,0)</f>
        <v>18.651600000000002</v>
      </c>
      <c r="S530" s="8">
        <f>IF($D530='[2]Beam '!S$44,$P530*'[2]Beam '!S$45,0)</f>
        <v>0</v>
      </c>
      <c r="T530" s="8">
        <f>IF($D530='[2]Beam '!T$44,$P530*'[2]Beam '!T$45,0)</f>
        <v>0</v>
      </c>
      <c r="U530" s="8">
        <f>IF($D530='[2]Beam '!U$44,$P530*'[2]Beam '!U$45,0)</f>
        <v>0</v>
      </c>
      <c r="V530" s="8">
        <f>IF($D530='[2]Beam '!V$44,$P530*'[2]Beam '!V$45,0)</f>
        <v>0</v>
      </c>
      <c r="W530" s="8">
        <f>IF($D530='[2]Beam '!W$44,$P530*'[2]Beam '!W$45,0)</f>
        <v>0</v>
      </c>
      <c r="X530" s="8">
        <f>SUM(Q530:W530)</f>
        <v>18.651600000000002</v>
      </c>
      <c r="Y530" s="8"/>
      <c r="Z530" s="8"/>
      <c r="AA530" s="8"/>
      <c r="AB530" s="8"/>
      <c r="AC530" s="8"/>
      <c r="AD530" s="8"/>
      <c r="AE530" s="8"/>
      <c r="AF530" s="8"/>
    </row>
    <row r="531" spans="1:32" s="10" customFormat="1" ht="20.100000000000001" customHeight="1" x14ac:dyDescent="0.25">
      <c r="A531" s="14"/>
      <c r="B531" s="8" t="s">
        <v>2</v>
      </c>
      <c r="C531" s="13" t="s">
        <v>9</v>
      </c>
      <c r="D531" s="8">
        <f>+D530</f>
        <v>10</v>
      </c>
      <c r="E531" s="14">
        <f>+E530</f>
        <v>0.1</v>
      </c>
      <c r="F531" s="8">
        <f>ROUNDUP(E527/E531,0)</f>
        <v>14</v>
      </c>
      <c r="H531" s="14"/>
      <c r="I531" s="14"/>
      <c r="J531" s="14"/>
      <c r="K531" s="14"/>
      <c r="L531" s="14"/>
      <c r="M531" s="14"/>
      <c r="N531" s="14"/>
      <c r="O531" s="8">
        <f>((((G527-(2*'[2]Beam '!$D$11))+(2*10*D531/1000))*D527))*1</f>
        <v>0.94</v>
      </c>
      <c r="P531" s="8">
        <f>O531*F531</f>
        <v>13.16</v>
      </c>
      <c r="Q531" s="8">
        <f>IF($D531='[2]Beam '!Q$44,$P531*'[2]Beam '!Q$45,0)</f>
        <v>0</v>
      </c>
      <c r="R531" s="8">
        <f>IF($D531='[2]Beam '!R$44,$P531*'[2]Beam '!R$45,0)</f>
        <v>8.1168999999999993</v>
      </c>
      <c r="S531" s="8">
        <f>IF($D531='[2]Beam '!S$44,$P531*'[2]Beam '!S$45,0)</f>
        <v>0</v>
      </c>
      <c r="T531" s="8">
        <f>IF($D531='[2]Beam '!T$44,$P531*'[2]Beam '!T$45,0)</f>
        <v>0</v>
      </c>
      <c r="U531" s="8">
        <f>IF($D531='[2]Beam '!U$44,$P531*'[2]Beam '!U$45,0)</f>
        <v>0</v>
      </c>
      <c r="V531" s="8">
        <f>IF($D531='[2]Beam '!V$44,$P531*'[2]Beam '!V$45,0)</f>
        <v>0</v>
      </c>
      <c r="W531" s="8">
        <f>IF($D531='[2]Beam '!W$44,$P531*'[2]Beam '!W$45,0)</f>
        <v>0</v>
      </c>
      <c r="X531" s="8">
        <f>SUM(Q531:W531)</f>
        <v>8.1168999999999993</v>
      </c>
      <c r="Y531" s="14"/>
      <c r="Z531" s="8"/>
      <c r="AA531" s="8"/>
      <c r="AB531" s="8"/>
      <c r="AC531" s="8"/>
      <c r="AD531" s="8"/>
      <c r="AE531" s="8"/>
    </row>
    <row r="532" spans="1:32" s="10" customFormat="1" ht="20.100000000000001" customHeight="1" x14ac:dyDescent="0.25">
      <c r="A532" s="7"/>
      <c r="B532" s="8" t="s">
        <v>2</v>
      </c>
      <c r="C532" s="13" t="s">
        <v>10</v>
      </c>
      <c r="D532" s="8">
        <f>+'[2]Beam '!$D$15</f>
        <v>25</v>
      </c>
      <c r="E532" s="8">
        <f>+'[2]Beam '!$E$15</f>
        <v>1</v>
      </c>
      <c r="F532" s="8">
        <f>ROUNDUP((E527)/E532,0)</f>
        <v>2</v>
      </c>
      <c r="G532" s="9"/>
      <c r="H532" s="9"/>
      <c r="I532" s="8"/>
      <c r="J532" s="8"/>
      <c r="K532" s="8"/>
      <c r="L532" s="8"/>
      <c r="M532" s="8"/>
      <c r="N532" s="8"/>
      <c r="O532" s="8">
        <f>F527-'[2]Beam '!$F$15</f>
        <v>0.24</v>
      </c>
      <c r="P532" s="8">
        <f>O532*F532</f>
        <v>0.48</v>
      </c>
      <c r="Q532" s="8">
        <f>IF($D532='[2]Beam '!Q$44,$P532*'[2]Beam '!Q$45,0)</f>
        <v>0</v>
      </c>
      <c r="R532" s="8">
        <f>IF($D532='[2]Beam '!R$44,$P532*'[2]Beam '!R$45,0)</f>
        <v>0</v>
      </c>
      <c r="S532" s="8">
        <f>IF($D532='[2]Beam '!S$44,$P532*'[2]Beam '!S$45,0)</f>
        <v>0</v>
      </c>
      <c r="T532" s="8">
        <f>IF($D532='[2]Beam '!T$44,$P532*'[2]Beam '!T$45,0)</f>
        <v>0</v>
      </c>
      <c r="U532" s="8">
        <f>IF($D532='[2]Beam '!U$44,$P532*'[2]Beam '!U$45,0)</f>
        <v>0</v>
      </c>
      <c r="V532" s="8">
        <f>IF($D532='[2]Beam '!V$44,$P532*'[2]Beam '!V$45,0)</f>
        <v>1.850357142857143</v>
      </c>
      <c r="W532" s="8">
        <f>IF($D532='[2]Beam '!W$44,$P532*'[2]Beam '!W$45,0)</f>
        <v>0</v>
      </c>
      <c r="X532" s="8">
        <f>SUM(Q532:W532)</f>
        <v>1.850357142857143</v>
      </c>
      <c r="Y532" s="8"/>
      <c r="Z532" s="8"/>
      <c r="AA532" s="8"/>
      <c r="AB532" s="8"/>
      <c r="AC532" s="8"/>
      <c r="AD532" s="8"/>
      <c r="AE532" s="8"/>
    </row>
    <row r="533" spans="1:32" s="10" customFormat="1" ht="20.100000000000001" customHeight="1" x14ac:dyDescent="0.25">
      <c r="A533" s="8">
        <v>1</v>
      </c>
      <c r="B533" s="8" t="s">
        <v>2</v>
      </c>
      <c r="C533" s="11" t="s">
        <v>71</v>
      </c>
      <c r="D533" s="11">
        <v>1</v>
      </c>
      <c r="E533" s="11">
        <v>2.5</v>
      </c>
      <c r="F533" s="11">
        <v>0.4</v>
      </c>
      <c r="G533" s="11">
        <v>0.5</v>
      </c>
      <c r="H533" s="8">
        <f>G533-0.2</f>
        <v>0.3</v>
      </c>
      <c r="I533" s="8">
        <f>E533*F533*G533*D533</f>
        <v>0.5</v>
      </c>
      <c r="J533" s="8">
        <f>(2*(E533)*H533*D533)+(E533*F533)</f>
        <v>2.5</v>
      </c>
      <c r="K533" s="12">
        <f>IF(E533=0.3,J533,0)</f>
        <v>0</v>
      </c>
      <c r="L533" s="12">
        <f>IF(AND(E533&gt;0.3,E533&lt;=0.75),J533,0)</f>
        <v>0</v>
      </c>
      <c r="M533" s="12">
        <f>IF(AND(E533&gt;0.75,E533&lt;=1.2),J533,0)</f>
        <v>0</v>
      </c>
      <c r="N533" s="12">
        <f>IF(E533&gt;1.2,J533,0)</f>
        <v>2.5</v>
      </c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>
        <f>SUM(X534:X539)/I533</f>
        <v>158.53715260952382</v>
      </c>
      <c r="Z533" s="8"/>
      <c r="AA533" s="8"/>
      <c r="AB533" s="8"/>
      <c r="AC533" s="8"/>
      <c r="AD533" s="8"/>
      <c r="AE533" s="8"/>
    </row>
    <row r="534" spans="1:32" s="14" customFormat="1" ht="20.100000000000001" customHeight="1" x14ac:dyDescent="0.3">
      <c r="A534" s="7"/>
      <c r="B534" s="8" t="s">
        <v>2</v>
      </c>
      <c r="C534" s="13" t="s">
        <v>4</v>
      </c>
      <c r="D534" s="8">
        <v>16</v>
      </c>
      <c r="E534" s="8"/>
      <c r="F534" s="8">
        <v>4</v>
      </c>
      <c r="G534" s="9">
        <f>VLOOKUP(D534,'[2]Beam '!$C$20:$H$26,3,0)</f>
        <v>0.625</v>
      </c>
      <c r="H534" s="9"/>
      <c r="I534" s="8"/>
      <c r="J534" s="8"/>
      <c r="K534" s="8"/>
      <c r="L534" s="8"/>
      <c r="M534" s="8"/>
      <c r="N534" s="8"/>
      <c r="O534" s="8">
        <f>(E533+1*(G534+(12*D534/1000))+G534*D533)</f>
        <v>3.9420000000000002</v>
      </c>
      <c r="P534" s="8">
        <f t="shared" ref="P534:P540" si="105">O534*F534</f>
        <v>15.768000000000001</v>
      </c>
      <c r="Q534" s="8">
        <f>IF($D534='[2]Beam '!Q$44,$P534*'[2]Beam '!Q$45,0)</f>
        <v>0</v>
      </c>
      <c r="R534" s="8">
        <f>IF($D534='[2]Beam '!R$44,$P534*'[2]Beam '!R$45,0)</f>
        <v>0</v>
      </c>
      <c r="S534" s="8">
        <f>IF($D534='[2]Beam '!S$44,$P534*'[2]Beam '!S$45,0)</f>
        <v>0</v>
      </c>
      <c r="T534" s="8">
        <f>IF($D534='[2]Beam '!T$44,$P534*'[2]Beam '!T$45,0)</f>
        <v>24.89722148571429</v>
      </c>
      <c r="U534" s="8">
        <f>IF($D534='[2]Beam '!U$44,$P534*'[2]Beam '!U$45,0)</f>
        <v>0</v>
      </c>
      <c r="V534" s="8">
        <f>IF($D534='[2]Beam '!V$44,$P534*'[2]Beam '!V$45,0)</f>
        <v>0</v>
      </c>
      <c r="W534" s="8">
        <f>IF($D534='[2]Beam '!W$44,$P534*'[2]Beam '!W$45,0)</f>
        <v>0</v>
      </c>
      <c r="X534" s="8">
        <f t="shared" ref="X534:X540" si="106">SUM(Q534:W534)</f>
        <v>24.89722148571429</v>
      </c>
      <c r="Y534" s="8"/>
    </row>
    <row r="535" spans="1:32" s="14" customFormat="1" ht="20.100000000000001" customHeight="1" x14ac:dyDescent="0.3">
      <c r="A535" s="7"/>
      <c r="B535" s="8" t="s">
        <v>2</v>
      </c>
      <c r="C535" s="13" t="s">
        <v>6</v>
      </c>
      <c r="D535" s="8">
        <v>16</v>
      </c>
      <c r="E535" s="8"/>
      <c r="F535" s="8">
        <v>4</v>
      </c>
      <c r="G535" s="9">
        <f>VLOOKUP(D535,'[2]Beam '!$C$20:$H$26,3,0)</f>
        <v>0.625</v>
      </c>
      <c r="H535" s="8"/>
      <c r="I535" s="8"/>
      <c r="J535" s="8"/>
      <c r="K535" s="8"/>
      <c r="L535" s="8"/>
      <c r="M535" s="8"/>
      <c r="N535" s="8"/>
      <c r="O535" s="8">
        <f>(E533+1*(G535+(12*D535/1000))+G535*D533)</f>
        <v>3.9420000000000002</v>
      </c>
      <c r="P535" s="8">
        <f t="shared" si="105"/>
        <v>15.768000000000001</v>
      </c>
      <c r="Q535" s="8">
        <f>IF($D535='[2]Beam '!Q$44,$P535*'[2]Beam '!Q$45,0)</f>
        <v>0</v>
      </c>
      <c r="R535" s="8">
        <f>IF($D535='[2]Beam '!R$44,$P535*'[2]Beam '!R$45,0)</f>
        <v>0</v>
      </c>
      <c r="S535" s="8">
        <f>IF($D535='[2]Beam '!S$44,$P535*'[2]Beam '!S$45,0)</f>
        <v>0</v>
      </c>
      <c r="T535" s="8">
        <f>IF($D535='[2]Beam '!T$44,$P535*'[2]Beam '!T$45,0)</f>
        <v>24.89722148571429</v>
      </c>
      <c r="U535" s="8">
        <f>IF($D535='[2]Beam '!U$44,$P535*'[2]Beam '!U$45,0)</f>
        <v>0</v>
      </c>
      <c r="V535" s="8">
        <f>IF($D535='[2]Beam '!V$44,$P535*'[2]Beam '!V$45,0)</f>
        <v>0</v>
      </c>
      <c r="W535" s="8">
        <f>IF($D535='[2]Beam '!W$44,$P535*'[2]Beam '!W$45,0)</f>
        <v>0</v>
      </c>
      <c r="X535" s="8">
        <f t="shared" si="106"/>
        <v>24.89722148571429</v>
      </c>
      <c r="Y535" s="8"/>
    </row>
    <row r="536" spans="1:32" s="14" customFormat="1" ht="20.100000000000001" customHeight="1" x14ac:dyDescent="0.25">
      <c r="A536" s="7"/>
      <c r="B536" s="8" t="s">
        <v>2</v>
      </c>
      <c r="C536" s="13" t="s">
        <v>13</v>
      </c>
      <c r="D536" s="8">
        <v>8</v>
      </c>
      <c r="E536" s="8">
        <v>0.1</v>
      </c>
      <c r="F536" s="8">
        <f>ROUND(IF(E533/3&gt;(2*G533),(E533/3)/E536,(2*G533)/E536),0)*2+1</f>
        <v>21</v>
      </c>
      <c r="G536" s="10"/>
      <c r="H536" s="8"/>
      <c r="I536" s="8"/>
      <c r="J536" s="8"/>
      <c r="K536" s="8"/>
      <c r="L536" s="8"/>
      <c r="M536" s="8"/>
      <c r="N536" s="8"/>
      <c r="O536" s="8">
        <f>(2*((G533-(2*'[2]Beam '!$D$11))+(F533-(2*'[2]Beam '!$D$11)))+(2*10*D536/1000))*D533</f>
        <v>1.72</v>
      </c>
      <c r="P536" s="8">
        <f t="shared" si="105"/>
        <v>36.119999999999997</v>
      </c>
      <c r="Q536" s="8">
        <f>IF($D536='[2]Beam '!Q$44,$P536*'[2]Beam '!Q$45,0)</f>
        <v>14.258112000000001</v>
      </c>
      <c r="R536" s="8">
        <f>IF($D536='[2]Beam '!R$44,$P536*'[2]Beam '!R$45,0)</f>
        <v>0</v>
      </c>
      <c r="S536" s="8">
        <f>IF($D536='[2]Beam '!S$44,$P536*'[2]Beam '!S$45,0)</f>
        <v>0</v>
      </c>
      <c r="T536" s="8">
        <f>IF($D536='[2]Beam '!T$44,$P536*'[2]Beam '!T$45,0)</f>
        <v>0</v>
      </c>
      <c r="U536" s="8">
        <f>IF($D536='[2]Beam '!U$44,$P536*'[2]Beam '!U$45,0)</f>
        <v>0</v>
      </c>
      <c r="V536" s="8">
        <f>IF($D536='[2]Beam '!V$44,$P536*'[2]Beam '!V$45,0)</f>
        <v>0</v>
      </c>
      <c r="W536" s="8">
        <f>IF($D536='[2]Beam '!W$44,$P536*'[2]Beam '!W$45,0)</f>
        <v>0</v>
      </c>
      <c r="X536" s="8">
        <f t="shared" si="106"/>
        <v>14.258112000000001</v>
      </c>
      <c r="Y536" s="8"/>
    </row>
    <row r="537" spans="1:32" s="10" customFormat="1" ht="20.100000000000001" customHeight="1" x14ac:dyDescent="0.25">
      <c r="A537" s="14"/>
      <c r="B537" s="8" t="s">
        <v>2</v>
      </c>
      <c r="C537" s="13" t="s">
        <v>14</v>
      </c>
      <c r="D537" s="14">
        <f>D536</f>
        <v>8</v>
      </c>
      <c r="E537" s="14">
        <v>0.125</v>
      </c>
      <c r="F537" s="14">
        <f>ROUND((E533-(IF(E533/3&gt;2*G533,E533/3*2,G533*2*2)))/E537,0)</f>
        <v>4</v>
      </c>
      <c r="H537" s="14"/>
      <c r="I537" s="14"/>
      <c r="J537" s="14"/>
      <c r="K537" s="14"/>
      <c r="L537" s="14"/>
      <c r="M537" s="14"/>
      <c r="N537" s="14"/>
      <c r="O537" s="8">
        <f>(2*((G533-(2*'[2]Beam '!$D$11))+(F533-(2*'[2]Beam '!$D$11)))+(2*10*D537/1000))*D533</f>
        <v>1.72</v>
      </c>
      <c r="P537" s="8">
        <f t="shared" si="105"/>
        <v>6.88</v>
      </c>
      <c r="Q537" s="8">
        <f>IF($D537='[2]Beam '!Q$44,$P537*'[2]Beam '!Q$45,0)</f>
        <v>2.7158308571428571</v>
      </c>
      <c r="R537" s="8">
        <f>IF($D537='[2]Beam '!R$44,$P537*'[2]Beam '!R$45,0)</f>
        <v>0</v>
      </c>
      <c r="S537" s="8">
        <f>IF($D537='[2]Beam '!S$44,$P537*'[2]Beam '!S$45,0)</f>
        <v>0</v>
      </c>
      <c r="T537" s="8">
        <f>IF($D537='[2]Beam '!T$44,$P537*'[2]Beam '!T$45,0)</f>
        <v>0</v>
      </c>
      <c r="U537" s="8">
        <f>IF($D537='[2]Beam '!U$44,$P537*'[2]Beam '!U$45,0)</f>
        <v>0</v>
      </c>
      <c r="V537" s="8">
        <f>IF($D537='[2]Beam '!V$44,$P537*'[2]Beam '!V$45,0)</f>
        <v>0</v>
      </c>
      <c r="W537" s="8">
        <f>IF($D537='[2]Beam '!W$44,$P537*'[2]Beam '!W$45,0)</f>
        <v>0</v>
      </c>
      <c r="X537" s="8">
        <f t="shared" si="106"/>
        <v>2.7158308571428571</v>
      </c>
      <c r="Y537" s="14"/>
      <c r="Z537" s="8"/>
      <c r="AA537" s="8"/>
      <c r="AB537" s="8"/>
      <c r="AC537" s="8"/>
      <c r="AD537" s="8"/>
      <c r="AE537" s="8"/>
    </row>
    <row r="538" spans="1:32" s="10" customFormat="1" ht="21" customHeight="1" x14ac:dyDescent="0.25">
      <c r="A538" s="14"/>
      <c r="B538" s="8" t="s">
        <v>2</v>
      </c>
      <c r="C538" s="13" t="s">
        <v>15</v>
      </c>
      <c r="D538" s="14">
        <f>D536</f>
        <v>8</v>
      </c>
      <c r="E538" s="14">
        <f>+E536</f>
        <v>0.1</v>
      </c>
      <c r="F538" s="8">
        <f>ROUND(IF(E533/3&gt;(2*G533),(E533/3)/E538,(2*G533)/E538),0)*2+1</f>
        <v>21</v>
      </c>
      <c r="H538" s="14"/>
      <c r="I538" s="14"/>
      <c r="J538" s="14"/>
      <c r="K538" s="14"/>
      <c r="L538" s="14"/>
      <c r="M538" s="14"/>
      <c r="N538" s="14"/>
      <c r="O538" s="8">
        <f>(2*(((F533-'[2]Beam '!$D$11*2)/(F534-1))+(G533-'[2]Beam '!$D$11*2))+(2*10*D538/1000))*D533</f>
        <v>1.2666666666666666</v>
      </c>
      <c r="P538" s="8">
        <f t="shared" si="105"/>
        <v>26.599999999999998</v>
      </c>
      <c r="Q538" s="8">
        <f>IF($D538='[2]Beam '!Q$44,$P538*'[2]Beam '!Q$45,0)</f>
        <v>10.500159999999999</v>
      </c>
      <c r="R538" s="8">
        <f>IF($D538='[2]Beam '!R$44,$P538*'[2]Beam '!R$45,0)</f>
        <v>0</v>
      </c>
      <c r="S538" s="8">
        <f>IF($D538='[2]Beam '!S$44,$P538*'[2]Beam '!S$45,0)</f>
        <v>0</v>
      </c>
      <c r="T538" s="8">
        <f>IF($D538='[2]Beam '!T$44,$P538*'[2]Beam '!T$45,0)</f>
        <v>0</v>
      </c>
      <c r="U538" s="8">
        <f>IF($D538='[2]Beam '!U$44,$P538*'[2]Beam '!U$45,0)</f>
        <v>0</v>
      </c>
      <c r="V538" s="8">
        <f>IF($D538='[2]Beam '!V$44,$P538*'[2]Beam '!V$45,0)</f>
        <v>0</v>
      </c>
      <c r="W538" s="8">
        <f>IF($D538='[2]Beam '!W$44,$P538*'[2]Beam '!W$45,0)</f>
        <v>0</v>
      </c>
      <c r="X538" s="8">
        <f t="shared" si="106"/>
        <v>10.500159999999999</v>
      </c>
      <c r="Y538" s="14"/>
      <c r="Z538" s="8"/>
      <c r="AA538" s="8"/>
      <c r="AB538" s="8"/>
      <c r="AC538" s="8"/>
      <c r="AD538" s="8"/>
      <c r="AE538" s="8"/>
      <c r="AF538" s="8"/>
    </row>
    <row r="539" spans="1:32" s="10" customFormat="1" ht="20.100000000000001" customHeight="1" x14ac:dyDescent="0.25">
      <c r="A539" s="14"/>
      <c r="B539" s="8" t="s">
        <v>2</v>
      </c>
      <c r="C539" s="13" t="s">
        <v>16</v>
      </c>
      <c r="D539" s="14">
        <f>D537</f>
        <v>8</v>
      </c>
      <c r="E539" s="14">
        <f>+E537</f>
        <v>0.125</v>
      </c>
      <c r="F539" s="14">
        <f>ROUND((E533-(IF(E533/3&gt;2*G533,E533/3*2,G533*2*2)))/E539,0)</f>
        <v>4</v>
      </c>
      <c r="H539" s="14"/>
      <c r="I539" s="14"/>
      <c r="J539" s="14"/>
      <c r="K539" s="14"/>
      <c r="L539" s="14"/>
      <c r="M539" s="14"/>
      <c r="N539" s="14"/>
      <c r="O539" s="8">
        <f>(2*(((F533-'[2]Beam '!$D$11*2)/(F534-1))+(G533-'[2]Beam '!$D$11*2))+(2*10*D539/1000))*D533</f>
        <v>1.2666666666666666</v>
      </c>
      <c r="P539" s="8">
        <f t="shared" si="105"/>
        <v>5.0666666666666664</v>
      </c>
      <c r="Q539" s="8">
        <f>IF($D539='[2]Beam '!Q$44,$P539*'[2]Beam '!Q$45,0)</f>
        <v>2.0000304761904761</v>
      </c>
      <c r="R539" s="8">
        <f>IF($D539='[2]Beam '!R$44,$P539*'[2]Beam '!R$45,0)</f>
        <v>0</v>
      </c>
      <c r="S539" s="8">
        <f>IF($D539='[2]Beam '!S$44,$P539*'[2]Beam '!S$45,0)</f>
        <v>0</v>
      </c>
      <c r="T539" s="8">
        <f>IF($D539='[2]Beam '!T$44,$P539*'[2]Beam '!T$45,0)</f>
        <v>0</v>
      </c>
      <c r="U539" s="8">
        <f>IF($D539='[2]Beam '!U$44,$P539*'[2]Beam '!U$45,0)</f>
        <v>0</v>
      </c>
      <c r="V539" s="8">
        <f>IF($D539='[2]Beam '!V$44,$P539*'[2]Beam '!V$45,0)</f>
        <v>0</v>
      </c>
      <c r="W539" s="8">
        <f>IF($D539='[2]Beam '!W$44,$P539*'[2]Beam '!W$45,0)</f>
        <v>0</v>
      </c>
      <c r="X539" s="8">
        <f t="shared" si="106"/>
        <v>2.0000304761904761</v>
      </c>
      <c r="Y539" s="14"/>
      <c r="Z539" s="8"/>
      <c r="AA539" s="8"/>
      <c r="AB539" s="8"/>
      <c r="AC539" s="8"/>
      <c r="AD539" s="8"/>
      <c r="AE539" s="8"/>
    </row>
    <row r="540" spans="1:32" s="10" customFormat="1" ht="20.100000000000001" customHeight="1" x14ac:dyDescent="0.25">
      <c r="A540" s="7"/>
      <c r="B540" s="8" t="s">
        <v>2</v>
      </c>
      <c r="C540" s="13" t="s">
        <v>10</v>
      </c>
      <c r="D540" s="8">
        <f>+'[2]Beam '!$D$15</f>
        <v>25</v>
      </c>
      <c r="E540" s="8">
        <f>+'[2]Beam '!$E$15</f>
        <v>1</v>
      </c>
      <c r="F540" s="8">
        <f>ROUNDUP((E533)/E540,0)</f>
        <v>3</v>
      </c>
      <c r="G540" s="9"/>
      <c r="H540" s="9"/>
      <c r="I540" s="8"/>
      <c r="J540" s="8"/>
      <c r="K540" s="8"/>
      <c r="L540" s="8"/>
      <c r="M540" s="8"/>
      <c r="N540" s="8"/>
      <c r="O540" s="8">
        <f>F533-'[2]Beam '!$F$15</f>
        <v>0.34</v>
      </c>
      <c r="P540" s="8">
        <f t="shared" si="105"/>
        <v>1.02</v>
      </c>
      <c r="Q540" s="8">
        <f>IF($D540='[2]Beam '!Q$44,$P540*'[2]Beam '!Q$45,0)</f>
        <v>0</v>
      </c>
      <c r="R540" s="8">
        <f>IF($D540='[2]Beam '!R$44,$P540*'[2]Beam '!R$45,0)</f>
        <v>0</v>
      </c>
      <c r="S540" s="8">
        <f>IF($D540='[2]Beam '!S$44,$P540*'[2]Beam '!S$45,0)</f>
        <v>0</v>
      </c>
      <c r="T540" s="8">
        <f>IF($D540='[2]Beam '!T$44,$P540*'[2]Beam '!T$45,0)</f>
        <v>0</v>
      </c>
      <c r="U540" s="8">
        <f>IF($D540='[2]Beam '!U$44,$P540*'[2]Beam '!U$45,0)</f>
        <v>0</v>
      </c>
      <c r="V540" s="8">
        <f>IF($D540='[2]Beam '!V$44,$P540*'[2]Beam '!V$45,0)</f>
        <v>3.9320089285714293</v>
      </c>
      <c r="W540" s="8">
        <f>IF($D540='[2]Beam '!W$44,$P540*'[2]Beam '!W$45,0)</f>
        <v>0</v>
      </c>
      <c r="X540" s="8">
        <f t="shared" si="106"/>
        <v>3.9320089285714293</v>
      </c>
      <c r="Y540" s="8"/>
      <c r="Z540" s="8"/>
      <c r="AA540" s="8"/>
      <c r="AB540" s="8"/>
      <c r="AC540" s="8"/>
      <c r="AD540" s="8"/>
      <c r="AE540" s="8"/>
    </row>
    <row r="541" spans="1:32" s="10" customFormat="1" ht="20.100000000000001" customHeight="1" x14ac:dyDescent="0.25">
      <c r="A541" s="8">
        <v>1</v>
      </c>
      <c r="B541" s="8" t="s">
        <v>2</v>
      </c>
      <c r="C541" s="11" t="s">
        <v>72</v>
      </c>
      <c r="D541" s="11">
        <v>1</v>
      </c>
      <c r="E541" s="11">
        <v>1.32</v>
      </c>
      <c r="F541" s="11">
        <v>0.3</v>
      </c>
      <c r="G541" s="11">
        <v>0.8</v>
      </c>
      <c r="H541" s="8">
        <f>G541-0.2</f>
        <v>0.60000000000000009</v>
      </c>
      <c r="I541" s="8">
        <f>E541*F541*G541*D541</f>
        <v>0.31680000000000003</v>
      </c>
      <c r="J541" s="8">
        <f>(2*(E541)*H541*D541)+(E541*F541)</f>
        <v>1.9800000000000004</v>
      </c>
      <c r="K541" s="12">
        <f>IF(E541=0.3,J541,0)</f>
        <v>0</v>
      </c>
      <c r="L541" s="12">
        <f>IF(AND(E541&gt;0.3,E541&lt;=0.75),J541,0)</f>
        <v>0</v>
      </c>
      <c r="M541" s="12">
        <f>IF(AND(E541&gt;0.75,E541&lt;=1.2),J541,0)</f>
        <v>0</v>
      </c>
      <c r="N541" s="12">
        <f>IF(E541&gt;1.2,J541,0)</f>
        <v>1.9800000000000004</v>
      </c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>
        <f>SUM(X542:X545)/I541</f>
        <v>247.24968998015876</v>
      </c>
      <c r="Z541" s="8"/>
      <c r="AA541" s="8"/>
      <c r="AB541" s="8"/>
      <c r="AC541" s="8"/>
      <c r="AD541" s="8"/>
      <c r="AE541" s="8"/>
    </row>
    <row r="542" spans="1:32" s="14" customFormat="1" ht="20.100000000000001" customHeight="1" x14ac:dyDescent="0.3">
      <c r="A542" s="7"/>
      <c r="B542" s="8" t="s">
        <v>2</v>
      </c>
      <c r="C542" s="13" t="s">
        <v>4</v>
      </c>
      <c r="D542" s="8">
        <v>25</v>
      </c>
      <c r="E542" s="8"/>
      <c r="F542" s="8">
        <v>3</v>
      </c>
      <c r="G542" s="9">
        <f>VLOOKUP(D542,'[2]Beam '!$C$20:$H$26,3,0)</f>
        <v>1</v>
      </c>
      <c r="H542" s="9"/>
      <c r="I542" s="8"/>
      <c r="J542" s="8"/>
      <c r="K542" s="8"/>
      <c r="L542" s="8"/>
      <c r="M542" s="8"/>
      <c r="N542" s="8"/>
      <c r="O542" s="8">
        <f>(E541+1*(G542+(12*D542/1000))+1*(0.4/2)*D541)</f>
        <v>2.8200000000000003</v>
      </c>
      <c r="P542" s="8">
        <f>O542*F542</f>
        <v>8.4600000000000009</v>
      </c>
      <c r="Q542" s="8">
        <f>IF($D542='[2]Beam '!Q$44,$P542*'[2]Beam '!Q$45,0)</f>
        <v>0</v>
      </c>
      <c r="R542" s="8">
        <f>IF($D542='[2]Beam '!R$44,$P542*'[2]Beam '!R$45,0)</f>
        <v>0</v>
      </c>
      <c r="S542" s="8">
        <f>IF($D542='[2]Beam '!S$44,$P542*'[2]Beam '!S$45,0)</f>
        <v>0</v>
      </c>
      <c r="T542" s="8">
        <f>IF($D542='[2]Beam '!T$44,$P542*'[2]Beam '!T$45,0)</f>
        <v>0</v>
      </c>
      <c r="U542" s="8">
        <f>IF($D542='[2]Beam '!U$44,$P542*'[2]Beam '!U$45,0)</f>
        <v>0</v>
      </c>
      <c r="V542" s="8">
        <f>IF($D542='[2]Beam '!V$44,$P542*'[2]Beam '!V$45,0)</f>
        <v>32.612544642857152</v>
      </c>
      <c r="W542" s="8">
        <f>IF($D542='[2]Beam '!W$44,$P542*'[2]Beam '!W$45,0)</f>
        <v>0</v>
      </c>
      <c r="X542" s="8">
        <f>SUM(Q542:W542)</f>
        <v>32.612544642857152</v>
      </c>
      <c r="Y542" s="8"/>
    </row>
    <row r="543" spans="1:32" s="10" customFormat="1" ht="20.100000000000001" customHeight="1" x14ac:dyDescent="0.25">
      <c r="A543" s="7"/>
      <c r="B543" s="8" t="s">
        <v>2</v>
      </c>
      <c r="C543" s="13" t="s">
        <v>6</v>
      </c>
      <c r="D543" s="8">
        <v>20</v>
      </c>
      <c r="E543" s="8"/>
      <c r="F543" s="8">
        <v>3</v>
      </c>
      <c r="G543" s="9">
        <f>VLOOKUP(D543,'[2]Beam '!$C$20:$H$26,3,0)</f>
        <v>0.8</v>
      </c>
      <c r="H543" s="8"/>
      <c r="I543" s="8"/>
      <c r="J543" s="8"/>
      <c r="K543" s="8"/>
      <c r="L543" s="8"/>
      <c r="M543" s="8"/>
      <c r="N543" s="8"/>
      <c r="O543" s="8">
        <f>(E541+1*(G543+(12*D543/1000))+1*(0.4/2)*D541)</f>
        <v>2.5600000000000005</v>
      </c>
      <c r="P543" s="8">
        <f>O543*F543</f>
        <v>7.6800000000000015</v>
      </c>
      <c r="Q543" s="8">
        <f>IF($D543='[2]Beam '!Q$44,$P543*'[2]Beam '!Q$45,0)</f>
        <v>0</v>
      </c>
      <c r="R543" s="8">
        <f>IF($D543='[2]Beam '!R$44,$P543*'[2]Beam '!R$45,0)</f>
        <v>0</v>
      </c>
      <c r="S543" s="8">
        <f>IF($D543='[2]Beam '!S$44,$P543*'[2]Beam '!S$45,0)</f>
        <v>0</v>
      </c>
      <c r="T543" s="8">
        <f>IF($D543='[2]Beam '!T$44,$P543*'[2]Beam '!T$45,0)</f>
        <v>0</v>
      </c>
      <c r="U543" s="8">
        <f>IF($D543='[2]Beam '!U$44,$P543*'[2]Beam '!U$45,0)</f>
        <v>18.947657142857146</v>
      </c>
      <c r="V543" s="8">
        <f>IF($D543='[2]Beam '!V$44,$P543*'[2]Beam '!V$45,0)</f>
        <v>0</v>
      </c>
      <c r="W543" s="8">
        <f>IF($D543='[2]Beam '!W$44,$P543*'[2]Beam '!W$45,0)</f>
        <v>0</v>
      </c>
      <c r="X543" s="8">
        <f>SUM(Q543:W543)</f>
        <v>18.947657142857146</v>
      </c>
      <c r="Y543" s="8"/>
      <c r="Z543" s="8"/>
      <c r="AA543" s="8"/>
      <c r="AB543" s="8"/>
      <c r="AC543" s="8"/>
      <c r="AD543" s="8"/>
      <c r="AE543" s="8"/>
    </row>
    <row r="544" spans="1:32" s="10" customFormat="1" ht="21" customHeight="1" x14ac:dyDescent="0.25">
      <c r="A544" s="7"/>
      <c r="B544" s="8" t="s">
        <v>2</v>
      </c>
      <c r="C544" s="13" t="s">
        <v>8</v>
      </c>
      <c r="D544" s="8">
        <v>10</v>
      </c>
      <c r="E544" s="8">
        <v>0.1</v>
      </c>
      <c r="F544" s="8">
        <f>ROUNDUP(E541/E544,0)</f>
        <v>14</v>
      </c>
      <c r="H544" s="8"/>
      <c r="I544" s="8"/>
      <c r="J544" s="8"/>
      <c r="K544" s="8"/>
      <c r="L544" s="8"/>
      <c r="M544" s="8"/>
      <c r="N544" s="8"/>
      <c r="O544" s="8">
        <f>(2*((G541-(2*'[2]Beam '!$D$11))+(F541-(2*'[2]Beam '!$D$11)))+(2*10*D544/1000))*D541</f>
        <v>2.16</v>
      </c>
      <c r="P544" s="8">
        <f>O544*F544</f>
        <v>30.240000000000002</v>
      </c>
      <c r="Q544" s="8">
        <f>IF($D544='[2]Beam '!Q$44,$P544*'[2]Beam '!Q$45,0)</f>
        <v>0</v>
      </c>
      <c r="R544" s="8">
        <f>IF($D544='[2]Beam '!R$44,$P544*'[2]Beam '!R$45,0)</f>
        <v>18.651600000000002</v>
      </c>
      <c r="S544" s="8">
        <f>IF($D544='[2]Beam '!S$44,$P544*'[2]Beam '!S$45,0)</f>
        <v>0</v>
      </c>
      <c r="T544" s="8">
        <f>IF($D544='[2]Beam '!T$44,$P544*'[2]Beam '!T$45,0)</f>
        <v>0</v>
      </c>
      <c r="U544" s="8">
        <f>IF($D544='[2]Beam '!U$44,$P544*'[2]Beam '!U$45,0)</f>
        <v>0</v>
      </c>
      <c r="V544" s="8">
        <f>IF($D544='[2]Beam '!V$44,$P544*'[2]Beam '!V$45,0)</f>
        <v>0</v>
      </c>
      <c r="W544" s="8">
        <f>IF($D544='[2]Beam '!W$44,$P544*'[2]Beam '!W$45,0)</f>
        <v>0</v>
      </c>
      <c r="X544" s="8">
        <f>SUM(Q544:W544)</f>
        <v>18.651600000000002</v>
      </c>
      <c r="Y544" s="8"/>
      <c r="Z544" s="8"/>
      <c r="AA544" s="8"/>
      <c r="AB544" s="8"/>
      <c r="AC544" s="8"/>
      <c r="AD544" s="8"/>
      <c r="AE544" s="8"/>
      <c r="AF544" s="8"/>
    </row>
    <row r="545" spans="1:32" s="10" customFormat="1" ht="20.100000000000001" customHeight="1" x14ac:dyDescent="0.25">
      <c r="A545" s="14"/>
      <c r="B545" s="8" t="s">
        <v>2</v>
      </c>
      <c r="C545" s="13" t="s">
        <v>9</v>
      </c>
      <c r="D545" s="8">
        <f>+D544</f>
        <v>10</v>
      </c>
      <c r="E545" s="14">
        <f>+E544</f>
        <v>0.1</v>
      </c>
      <c r="F545" s="8">
        <f>ROUNDUP(E541/E545,0)</f>
        <v>14</v>
      </c>
      <c r="H545" s="14"/>
      <c r="I545" s="14"/>
      <c r="J545" s="14"/>
      <c r="K545" s="14"/>
      <c r="L545" s="14"/>
      <c r="M545" s="14"/>
      <c r="N545" s="14"/>
      <c r="O545" s="8">
        <f>((((G541-(2*'[2]Beam '!$D$11))+(2*10*D545/1000))*D541))*1</f>
        <v>0.94</v>
      </c>
      <c r="P545" s="8">
        <f>O545*F545</f>
        <v>13.16</v>
      </c>
      <c r="Q545" s="8">
        <f>IF($D545='[2]Beam '!Q$44,$P545*'[2]Beam '!Q$45,0)</f>
        <v>0</v>
      </c>
      <c r="R545" s="8">
        <f>IF($D545='[2]Beam '!R$44,$P545*'[2]Beam '!R$45,0)</f>
        <v>8.1168999999999993</v>
      </c>
      <c r="S545" s="8">
        <f>IF($D545='[2]Beam '!S$44,$P545*'[2]Beam '!S$45,0)</f>
        <v>0</v>
      </c>
      <c r="T545" s="8">
        <f>IF($D545='[2]Beam '!T$44,$P545*'[2]Beam '!T$45,0)</f>
        <v>0</v>
      </c>
      <c r="U545" s="8">
        <f>IF($D545='[2]Beam '!U$44,$P545*'[2]Beam '!U$45,0)</f>
        <v>0</v>
      </c>
      <c r="V545" s="8">
        <f>IF($D545='[2]Beam '!V$44,$P545*'[2]Beam '!V$45,0)</f>
        <v>0</v>
      </c>
      <c r="W545" s="8">
        <f>IF($D545='[2]Beam '!W$44,$P545*'[2]Beam '!W$45,0)</f>
        <v>0</v>
      </c>
      <c r="X545" s="8">
        <f>SUM(Q545:W545)</f>
        <v>8.1168999999999993</v>
      </c>
      <c r="Y545" s="14"/>
      <c r="Z545" s="8"/>
      <c r="AA545" s="8"/>
      <c r="AB545" s="8"/>
      <c r="AC545" s="8"/>
      <c r="AD545" s="8"/>
      <c r="AE545" s="8"/>
    </row>
    <row r="546" spans="1:32" s="10" customFormat="1" ht="20.100000000000001" customHeight="1" x14ac:dyDescent="0.25">
      <c r="A546" s="7"/>
      <c r="B546" s="8" t="s">
        <v>2</v>
      </c>
      <c r="C546" s="13" t="s">
        <v>10</v>
      </c>
      <c r="D546" s="8">
        <f>+'[2]Beam '!$D$15</f>
        <v>25</v>
      </c>
      <c r="E546" s="8">
        <f>+'[2]Beam '!$E$15</f>
        <v>1</v>
      </c>
      <c r="F546" s="8">
        <f>ROUNDUP((E541)/E546,0)</f>
        <v>2</v>
      </c>
      <c r="G546" s="9"/>
      <c r="H546" s="9"/>
      <c r="I546" s="8"/>
      <c r="J546" s="8"/>
      <c r="K546" s="8"/>
      <c r="L546" s="8"/>
      <c r="M546" s="8"/>
      <c r="N546" s="8"/>
      <c r="O546" s="8">
        <f>F541-'[2]Beam '!$F$15</f>
        <v>0.24</v>
      </c>
      <c r="P546" s="8">
        <f>O546*F546</f>
        <v>0.48</v>
      </c>
      <c r="Q546" s="8">
        <f>IF($D546='[2]Beam '!Q$44,$P546*'[2]Beam '!Q$45,0)</f>
        <v>0</v>
      </c>
      <c r="R546" s="8">
        <f>IF($D546='[2]Beam '!R$44,$P546*'[2]Beam '!R$45,0)</f>
        <v>0</v>
      </c>
      <c r="S546" s="8">
        <f>IF($D546='[2]Beam '!S$44,$P546*'[2]Beam '!S$45,0)</f>
        <v>0</v>
      </c>
      <c r="T546" s="8">
        <f>IF($D546='[2]Beam '!T$44,$P546*'[2]Beam '!T$45,0)</f>
        <v>0</v>
      </c>
      <c r="U546" s="8">
        <f>IF($D546='[2]Beam '!U$44,$P546*'[2]Beam '!U$45,0)</f>
        <v>0</v>
      </c>
      <c r="V546" s="8">
        <f>IF($D546='[2]Beam '!V$44,$P546*'[2]Beam '!V$45,0)</f>
        <v>1.850357142857143</v>
      </c>
      <c r="W546" s="8">
        <f>IF($D546='[2]Beam '!W$44,$P546*'[2]Beam '!W$45,0)</f>
        <v>0</v>
      </c>
      <c r="X546" s="8">
        <f>SUM(Q546:W546)</f>
        <v>1.850357142857143</v>
      </c>
      <c r="Y546" s="8"/>
      <c r="Z546" s="8"/>
      <c r="AA546" s="8"/>
      <c r="AB546" s="8"/>
      <c r="AC546" s="8"/>
      <c r="AD546" s="8"/>
      <c r="AE546" s="8"/>
    </row>
    <row r="547" spans="1:32" s="10" customFormat="1" ht="20.100000000000001" customHeight="1" x14ac:dyDescent="0.25">
      <c r="A547" s="8">
        <v>1</v>
      </c>
      <c r="B547" s="8" t="s">
        <v>2</v>
      </c>
      <c r="C547" s="11" t="s">
        <v>73</v>
      </c>
      <c r="D547" s="11">
        <v>1</v>
      </c>
      <c r="E547" s="11">
        <v>2.847</v>
      </c>
      <c r="F547" s="11">
        <v>0.3</v>
      </c>
      <c r="G547" s="11">
        <v>1.1000000000000001</v>
      </c>
      <c r="H547" s="8">
        <f>G547-0.2</f>
        <v>0.90000000000000013</v>
      </c>
      <c r="I547" s="8">
        <f>E547*F547*G547*D547</f>
        <v>0.93951000000000007</v>
      </c>
      <c r="J547" s="8">
        <f>(2*(E547)*H547*D547)+(E547*F547)</f>
        <v>5.9787000000000008</v>
      </c>
      <c r="K547" s="12">
        <f>IF(E547=0.3,J547,0)</f>
        <v>0</v>
      </c>
      <c r="L547" s="12">
        <f>IF(AND(E547&gt;0.3,E547&lt;=0.75),J547,0)</f>
        <v>0</v>
      </c>
      <c r="M547" s="12">
        <f>IF(AND(E547&gt;0.75,E547&lt;=1.2),J547,0)</f>
        <v>0</v>
      </c>
      <c r="N547" s="12">
        <f>IF(E547&gt;1.2,J547,0)</f>
        <v>5.9787000000000008</v>
      </c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>
        <f>SUM(X548:X554)/I547</f>
        <v>186.85383741448808</v>
      </c>
      <c r="Z547" s="8"/>
      <c r="AA547" s="8"/>
      <c r="AB547" s="8"/>
      <c r="AC547" s="8"/>
      <c r="AD547" s="8"/>
      <c r="AE547" s="8"/>
    </row>
    <row r="548" spans="1:32" s="10" customFormat="1" ht="20.100000000000001" customHeight="1" x14ac:dyDescent="0.25">
      <c r="A548" s="7"/>
      <c r="B548" s="8" t="s">
        <v>2</v>
      </c>
      <c r="C548" s="13" t="s">
        <v>4</v>
      </c>
      <c r="D548" s="8">
        <v>25</v>
      </c>
      <c r="E548" s="8"/>
      <c r="F548" s="8">
        <v>3</v>
      </c>
      <c r="G548" s="9">
        <f>VLOOKUP(D548,'[2]Beam '!$C$20:$H$26,3,0)</f>
        <v>1</v>
      </c>
      <c r="H548" s="9"/>
      <c r="I548" s="8"/>
      <c r="J548" s="8"/>
      <c r="K548" s="8"/>
      <c r="L548" s="8"/>
      <c r="M548" s="8"/>
      <c r="N548" s="8"/>
      <c r="O548" s="8">
        <f>(E547+1*(0.4/2)+1*(0.5/2))*D547</f>
        <v>3.2970000000000002</v>
      </c>
      <c r="P548" s="8">
        <f t="shared" ref="P548:P555" si="107">O548*F548</f>
        <v>9.891</v>
      </c>
      <c r="Q548" s="8">
        <f>IF($D548='[2]Beam '!Q$44,$P548*'[2]Beam '!Q$45,0)</f>
        <v>0</v>
      </c>
      <c r="R548" s="8">
        <f>IF($D548='[2]Beam '!R$44,$P548*'[2]Beam '!R$45,0)</f>
        <v>0</v>
      </c>
      <c r="S548" s="8">
        <f>IF($D548='[2]Beam '!S$44,$P548*'[2]Beam '!S$45,0)</f>
        <v>0</v>
      </c>
      <c r="T548" s="8">
        <f>IF($D548='[2]Beam '!T$44,$P548*'[2]Beam '!T$45,0)</f>
        <v>0</v>
      </c>
      <c r="U548" s="8">
        <f>IF($D548='[2]Beam '!U$44,$P548*'[2]Beam '!U$45,0)</f>
        <v>0</v>
      </c>
      <c r="V548" s="8">
        <f>IF($D548='[2]Beam '!V$44,$P548*'[2]Beam '!V$45,0)</f>
        <v>38.128921875000003</v>
      </c>
      <c r="W548" s="8">
        <f>IF($D548='[2]Beam '!W$44,$P548*'[2]Beam '!W$45,0)</f>
        <v>0</v>
      </c>
      <c r="X548" s="8">
        <f t="shared" ref="X548:X555" si="108">SUM(Q548:W548)</f>
        <v>38.128921875000003</v>
      </c>
      <c r="Y548" s="8"/>
      <c r="Z548" s="8"/>
      <c r="AA548" s="8"/>
      <c r="AB548" s="8"/>
      <c r="AC548" s="8"/>
      <c r="AD548" s="8"/>
      <c r="AE548" s="8"/>
    </row>
    <row r="549" spans="1:32" s="14" customFormat="1" ht="20.100000000000001" customHeight="1" x14ac:dyDescent="0.3">
      <c r="A549" s="7"/>
      <c r="B549" s="8" t="s">
        <v>2</v>
      </c>
      <c r="C549" s="13" t="s">
        <v>6</v>
      </c>
      <c r="D549" s="8">
        <v>20</v>
      </c>
      <c r="E549" s="8"/>
      <c r="F549" s="8">
        <v>3</v>
      </c>
      <c r="G549" s="9">
        <f>VLOOKUP(D549,'[2]Beam '!$C$20:$H$26,3,0)</f>
        <v>0.8</v>
      </c>
      <c r="H549" s="8"/>
      <c r="I549" s="8"/>
      <c r="J549" s="8"/>
      <c r="K549" s="8"/>
      <c r="L549" s="8"/>
      <c r="M549" s="8"/>
      <c r="N549" s="8"/>
      <c r="O549" s="8">
        <f>(E547+1*(G549+(12*D549/1000))+1*(0.5/2)*D547)</f>
        <v>4.1370000000000005</v>
      </c>
      <c r="P549" s="8">
        <f t="shared" si="107"/>
        <v>12.411000000000001</v>
      </c>
      <c r="Q549" s="8">
        <f>IF($D549='[2]Beam '!Q$44,$P549*'[2]Beam '!Q$45,0)</f>
        <v>0</v>
      </c>
      <c r="R549" s="8">
        <f>IF($D549='[2]Beam '!R$44,$P549*'[2]Beam '!R$45,0)</f>
        <v>0</v>
      </c>
      <c r="S549" s="8">
        <f>IF($D549='[2]Beam '!S$44,$P549*'[2]Beam '!S$45,0)</f>
        <v>0</v>
      </c>
      <c r="T549" s="8">
        <f>IF($D549='[2]Beam '!T$44,$P549*'[2]Beam '!T$45,0)</f>
        <v>0</v>
      </c>
      <c r="U549" s="8">
        <f>IF($D549='[2]Beam '!U$44,$P549*'[2]Beam '!U$45,0)</f>
        <v>30.619710000000001</v>
      </c>
      <c r="V549" s="8">
        <f>IF($D549='[2]Beam '!V$44,$P549*'[2]Beam '!V$45,0)</f>
        <v>0</v>
      </c>
      <c r="W549" s="8">
        <f>IF($D549='[2]Beam '!W$44,$P549*'[2]Beam '!W$45,0)</f>
        <v>0</v>
      </c>
      <c r="X549" s="8">
        <f t="shared" si="108"/>
        <v>30.619710000000001</v>
      </c>
      <c r="Y549" s="8"/>
    </row>
    <row r="550" spans="1:32" s="14" customFormat="1" ht="20.100000000000001" customHeight="1" x14ac:dyDescent="0.3">
      <c r="A550" s="7"/>
      <c r="B550" s="8" t="s">
        <v>2</v>
      </c>
      <c r="C550" s="13" t="s">
        <v>7</v>
      </c>
      <c r="D550" s="8">
        <v>16</v>
      </c>
      <c r="E550" s="8"/>
      <c r="F550" s="8">
        <v>2</v>
      </c>
      <c r="G550" s="9">
        <f>VLOOKUP(D550,'[2]Beam '!$C$20:$H$26,3,0)</f>
        <v>0.625</v>
      </c>
      <c r="H550" s="8"/>
      <c r="I550" s="8"/>
      <c r="J550" s="8"/>
      <c r="K550" s="8"/>
      <c r="L550" s="8"/>
      <c r="M550" s="8"/>
      <c r="N550" s="8"/>
      <c r="O550" s="8">
        <f>(E547+1*(G550+(12*D550/1000))+1*(0.5/2)*D547)</f>
        <v>3.9139999999999997</v>
      </c>
      <c r="P550" s="8">
        <f t="shared" si="107"/>
        <v>7.8279999999999994</v>
      </c>
      <c r="Q550" s="8">
        <f>IF($D550='[2]Beam '!Q$44,$P550*'[2]Beam '!Q$45,0)</f>
        <v>0</v>
      </c>
      <c r="R550" s="8">
        <f>IF($D550='[2]Beam '!R$44,$P550*'[2]Beam '!R$45,0)</f>
        <v>0</v>
      </c>
      <c r="S550" s="8">
        <f>IF($D550='[2]Beam '!S$44,$P550*'[2]Beam '!S$45,0)</f>
        <v>0</v>
      </c>
      <c r="T550" s="8">
        <f>IF($D550='[2]Beam '!T$44,$P550*'[2]Beam '!T$45,0)</f>
        <v>12.360188342857143</v>
      </c>
      <c r="U550" s="8">
        <f>IF($D550='[2]Beam '!U$44,$P550*'[2]Beam '!U$45,0)</f>
        <v>0</v>
      </c>
      <c r="V550" s="8">
        <f>IF($D550='[2]Beam '!V$44,$P550*'[2]Beam '!V$45,0)</f>
        <v>0</v>
      </c>
      <c r="W550" s="8">
        <f>IF($D550='[2]Beam '!W$44,$P550*'[2]Beam '!W$45,0)</f>
        <v>0</v>
      </c>
      <c r="X550" s="8">
        <f t="shared" si="108"/>
        <v>12.360188342857143</v>
      </c>
      <c r="Y550" s="8"/>
    </row>
    <row r="551" spans="1:32" s="14" customFormat="1" ht="20.100000000000001" customHeight="1" x14ac:dyDescent="0.25">
      <c r="A551" s="7"/>
      <c r="B551" s="8" t="s">
        <v>2</v>
      </c>
      <c r="C551" s="13" t="s">
        <v>13</v>
      </c>
      <c r="D551" s="8">
        <v>10</v>
      </c>
      <c r="E551" s="8">
        <v>0.1</v>
      </c>
      <c r="F551" s="8">
        <f>ROUNDUP((E547/3*2)/E551,0)+1</f>
        <v>20</v>
      </c>
      <c r="G551" s="10"/>
      <c r="H551" s="8"/>
      <c r="I551" s="8"/>
      <c r="J551" s="8"/>
      <c r="K551" s="8"/>
      <c r="L551" s="8"/>
      <c r="M551" s="8"/>
      <c r="N551" s="8"/>
      <c r="O551" s="8">
        <f>(2*((G547-(2*'[2]Beam '!$D$11))+(F547-(2*'[2]Beam '!$D$11)))+(2*10*D551/1000))*D547</f>
        <v>2.7600000000000002</v>
      </c>
      <c r="P551" s="8">
        <f t="shared" si="107"/>
        <v>55.2</v>
      </c>
      <c r="Q551" s="8">
        <f>IF($D551='[2]Beam '!Q$44,$P551*'[2]Beam '!Q$45,0)</f>
        <v>0</v>
      </c>
      <c r="R551" s="8">
        <f>IF($D551='[2]Beam '!R$44,$P551*'[2]Beam '!R$45,0)</f>
        <v>34.046571428571433</v>
      </c>
      <c r="S551" s="8">
        <f>IF($D551='[2]Beam '!S$44,$P551*'[2]Beam '!S$45,0)</f>
        <v>0</v>
      </c>
      <c r="T551" s="8">
        <f>IF($D551='[2]Beam '!T$44,$P551*'[2]Beam '!T$45,0)</f>
        <v>0</v>
      </c>
      <c r="U551" s="8">
        <f>IF($D551='[2]Beam '!U$44,$P551*'[2]Beam '!U$45,0)</f>
        <v>0</v>
      </c>
      <c r="V551" s="8">
        <f>IF($D551='[2]Beam '!V$44,$P551*'[2]Beam '!V$45,0)</f>
        <v>0</v>
      </c>
      <c r="W551" s="8">
        <f>IF($D551='[2]Beam '!W$44,$P551*'[2]Beam '!W$45,0)</f>
        <v>0</v>
      </c>
      <c r="X551" s="8">
        <f t="shared" si="108"/>
        <v>34.046571428571433</v>
      </c>
      <c r="Y551" s="8"/>
    </row>
    <row r="552" spans="1:32" s="10" customFormat="1" ht="20.100000000000001" customHeight="1" x14ac:dyDescent="0.25">
      <c r="A552" s="14"/>
      <c r="B552" s="8" t="s">
        <v>2</v>
      </c>
      <c r="C552" s="13" t="s">
        <v>14</v>
      </c>
      <c r="D552" s="14">
        <f>D551</f>
        <v>10</v>
      </c>
      <c r="E552" s="14">
        <v>0.125</v>
      </c>
      <c r="F552" s="8">
        <f>ROUNDUP((E547/3)/E552,0)+1</f>
        <v>9</v>
      </c>
      <c r="H552" s="14"/>
      <c r="I552" s="14"/>
      <c r="J552" s="14"/>
      <c r="K552" s="14"/>
      <c r="L552" s="14"/>
      <c r="M552" s="14"/>
      <c r="N552" s="14"/>
      <c r="O552" s="8">
        <f>(2*((G547-(2*'[2]Beam '!$D$11))+(F547-(2*'[2]Beam '!$D$11)))+(2*10*D552/1000))*D547</f>
        <v>2.7600000000000002</v>
      </c>
      <c r="P552" s="8">
        <f t="shared" si="107"/>
        <v>24.840000000000003</v>
      </c>
      <c r="Q552" s="8">
        <f>IF($D552='[2]Beam '!Q$44,$P552*'[2]Beam '!Q$45,0)</f>
        <v>0</v>
      </c>
      <c r="R552" s="8">
        <f>IF($D552='[2]Beam '!R$44,$P552*'[2]Beam '!R$45,0)</f>
        <v>15.320957142857145</v>
      </c>
      <c r="S552" s="8">
        <f>IF($D552='[2]Beam '!S$44,$P552*'[2]Beam '!S$45,0)</f>
        <v>0</v>
      </c>
      <c r="T552" s="8">
        <f>IF($D552='[2]Beam '!T$44,$P552*'[2]Beam '!T$45,0)</f>
        <v>0</v>
      </c>
      <c r="U552" s="8">
        <f>IF($D552='[2]Beam '!U$44,$P552*'[2]Beam '!U$45,0)</f>
        <v>0</v>
      </c>
      <c r="V552" s="8">
        <f>IF($D552='[2]Beam '!V$44,$P552*'[2]Beam '!V$45,0)</f>
        <v>0</v>
      </c>
      <c r="W552" s="8">
        <f>IF($D552='[2]Beam '!W$44,$P552*'[2]Beam '!W$45,0)</f>
        <v>0</v>
      </c>
      <c r="X552" s="8">
        <f t="shared" si="108"/>
        <v>15.320957142857145</v>
      </c>
      <c r="Y552" s="14"/>
      <c r="Z552" s="8"/>
      <c r="AA552" s="8"/>
      <c r="AB552" s="8"/>
      <c r="AC552" s="8"/>
      <c r="AD552" s="8"/>
      <c r="AE552" s="8"/>
    </row>
    <row r="553" spans="1:32" s="10" customFormat="1" ht="21" customHeight="1" x14ac:dyDescent="0.25">
      <c r="A553" s="14"/>
      <c r="B553" s="8" t="s">
        <v>2</v>
      </c>
      <c r="C553" s="13" t="s">
        <v>15</v>
      </c>
      <c r="D553" s="14">
        <f>D551</f>
        <v>10</v>
      </c>
      <c r="E553" s="14">
        <f>+E551</f>
        <v>0.1</v>
      </c>
      <c r="F553" s="8">
        <f>ROUNDUP((E547/3*2)/E553,0)+1</f>
        <v>20</v>
      </c>
      <c r="H553" s="14"/>
      <c r="I553" s="14"/>
      <c r="J553" s="14"/>
      <c r="K553" s="14"/>
      <c r="L553" s="14"/>
      <c r="M553" s="14"/>
      <c r="N553" s="14"/>
      <c r="O553" s="8">
        <f>(2*(((F547-'[2]Beam '!$D$11*2)/(F548-1))+(G547-'[2]Beam '!$D$11*2))+(2*10*D553/1000))*D547</f>
        <v>2.5200000000000005</v>
      </c>
      <c r="P553" s="8">
        <f t="shared" si="107"/>
        <v>50.400000000000006</v>
      </c>
      <c r="Q553" s="8">
        <f>IF($D553='[2]Beam '!Q$44,$P553*'[2]Beam '!Q$45,0)</f>
        <v>0</v>
      </c>
      <c r="R553" s="8">
        <f>IF($D553='[2]Beam '!R$44,$P553*'[2]Beam '!R$45,0)</f>
        <v>31.086000000000002</v>
      </c>
      <c r="S553" s="8">
        <f>IF($D553='[2]Beam '!S$44,$P553*'[2]Beam '!S$45,0)</f>
        <v>0</v>
      </c>
      <c r="T553" s="8">
        <f>IF($D553='[2]Beam '!T$44,$P553*'[2]Beam '!T$45,0)</f>
        <v>0</v>
      </c>
      <c r="U553" s="8">
        <f>IF($D553='[2]Beam '!U$44,$P553*'[2]Beam '!U$45,0)</f>
        <v>0</v>
      </c>
      <c r="V553" s="8">
        <f>IF($D553='[2]Beam '!V$44,$P553*'[2]Beam '!V$45,0)</f>
        <v>0</v>
      </c>
      <c r="W553" s="8">
        <f>IF($D553='[2]Beam '!W$44,$P553*'[2]Beam '!W$45,0)</f>
        <v>0</v>
      </c>
      <c r="X553" s="8">
        <f t="shared" si="108"/>
        <v>31.086000000000002</v>
      </c>
      <c r="Y553" s="14"/>
      <c r="Z553" s="8"/>
      <c r="AA553" s="8"/>
      <c r="AB553" s="8"/>
      <c r="AC553" s="8"/>
      <c r="AD553" s="8"/>
      <c r="AE553" s="8"/>
      <c r="AF553" s="8"/>
    </row>
    <row r="554" spans="1:32" s="10" customFormat="1" ht="20.100000000000001" customHeight="1" x14ac:dyDescent="0.25">
      <c r="A554" s="14"/>
      <c r="B554" s="8" t="s">
        <v>2</v>
      </c>
      <c r="C554" s="13" t="s">
        <v>16</v>
      </c>
      <c r="D554" s="14">
        <f>D552</f>
        <v>10</v>
      </c>
      <c r="E554" s="14">
        <f>+E552</f>
        <v>0.125</v>
      </c>
      <c r="F554" s="8">
        <f>ROUNDUP((E547/3)/E554,0)+1</f>
        <v>9</v>
      </c>
      <c r="H554" s="14"/>
      <c r="I554" s="14"/>
      <c r="J554" s="14"/>
      <c r="K554" s="14"/>
      <c r="L554" s="14"/>
      <c r="M554" s="14"/>
      <c r="N554" s="14"/>
      <c r="O554" s="8">
        <f>(2*(((F547-'[2]Beam '!$D$11*2)/(F548-1))+(G547-'[2]Beam '!$D$11*2))+(2*10*D554/1000))*D547</f>
        <v>2.5200000000000005</v>
      </c>
      <c r="P554" s="8">
        <f t="shared" si="107"/>
        <v>22.680000000000003</v>
      </c>
      <c r="Q554" s="8">
        <f>IF($D554='[2]Beam '!Q$44,$P554*'[2]Beam '!Q$45,0)</f>
        <v>0</v>
      </c>
      <c r="R554" s="8">
        <f>IF($D554='[2]Beam '!R$44,$P554*'[2]Beam '!R$45,0)</f>
        <v>13.988700000000001</v>
      </c>
      <c r="S554" s="8">
        <f>IF($D554='[2]Beam '!S$44,$P554*'[2]Beam '!S$45,0)</f>
        <v>0</v>
      </c>
      <c r="T554" s="8">
        <f>IF($D554='[2]Beam '!T$44,$P554*'[2]Beam '!T$45,0)</f>
        <v>0</v>
      </c>
      <c r="U554" s="8">
        <f>IF($D554='[2]Beam '!U$44,$P554*'[2]Beam '!U$45,0)</f>
        <v>0</v>
      </c>
      <c r="V554" s="8">
        <f>IF($D554='[2]Beam '!V$44,$P554*'[2]Beam '!V$45,0)</f>
        <v>0</v>
      </c>
      <c r="W554" s="8">
        <f>IF($D554='[2]Beam '!W$44,$P554*'[2]Beam '!W$45,0)</f>
        <v>0</v>
      </c>
      <c r="X554" s="8">
        <f t="shared" si="108"/>
        <v>13.988700000000001</v>
      </c>
      <c r="Y554" s="14"/>
      <c r="Z554" s="8"/>
      <c r="AA554" s="8"/>
      <c r="AB554" s="8"/>
      <c r="AC554" s="8"/>
      <c r="AD554" s="8"/>
      <c r="AE554" s="8"/>
    </row>
    <row r="555" spans="1:32" s="10" customFormat="1" ht="20.100000000000001" customHeight="1" x14ac:dyDescent="0.25">
      <c r="A555" s="7"/>
      <c r="B555" s="8" t="s">
        <v>2</v>
      </c>
      <c r="C555" s="13" t="s">
        <v>10</v>
      </c>
      <c r="D555" s="8">
        <f>+'[2]Beam '!$D$15</f>
        <v>25</v>
      </c>
      <c r="E555" s="8">
        <f>+'[2]Beam '!$E$15</f>
        <v>1</v>
      </c>
      <c r="F555" s="8">
        <f>ROUNDUP((3.5+O550)/E555,0)</f>
        <v>8</v>
      </c>
      <c r="G555" s="9"/>
      <c r="H555" s="9"/>
      <c r="I555" s="8"/>
      <c r="J555" s="8"/>
      <c r="K555" s="8"/>
      <c r="L555" s="8"/>
      <c r="M555" s="8"/>
      <c r="N555" s="8"/>
      <c r="O555" s="8">
        <f>F547-'[2]Beam '!$F$15</f>
        <v>0.24</v>
      </c>
      <c r="P555" s="8">
        <f t="shared" si="107"/>
        <v>1.92</v>
      </c>
      <c r="Q555" s="8">
        <f>IF($D555='[2]Beam '!Q$44,$P555*'[2]Beam '!Q$45,0)</f>
        <v>0</v>
      </c>
      <c r="R555" s="8">
        <f>IF($D555='[2]Beam '!R$44,$P555*'[2]Beam '!R$45,0)</f>
        <v>0</v>
      </c>
      <c r="S555" s="8">
        <f>IF($D555='[2]Beam '!S$44,$P555*'[2]Beam '!S$45,0)</f>
        <v>0</v>
      </c>
      <c r="T555" s="8">
        <f>IF($D555='[2]Beam '!T$44,$P555*'[2]Beam '!T$45,0)</f>
        <v>0</v>
      </c>
      <c r="U555" s="8">
        <f>IF($D555='[2]Beam '!U$44,$P555*'[2]Beam '!U$45,0)</f>
        <v>0</v>
      </c>
      <c r="V555" s="8">
        <f>IF($D555='[2]Beam '!V$44,$P555*'[2]Beam '!V$45,0)</f>
        <v>7.4014285714285721</v>
      </c>
      <c r="W555" s="8">
        <f>IF($D555='[2]Beam '!W$44,$P555*'[2]Beam '!W$45,0)</f>
        <v>0</v>
      </c>
      <c r="X555" s="8">
        <f t="shared" si="108"/>
        <v>7.4014285714285721</v>
      </c>
      <c r="Y555" s="8"/>
      <c r="Z555" s="8"/>
      <c r="AA555" s="8"/>
      <c r="AB555" s="8"/>
      <c r="AC555" s="8"/>
      <c r="AD555" s="8"/>
      <c r="AE555" s="8"/>
    </row>
    <row r="556" spans="1:32" s="10" customFormat="1" ht="20.100000000000001" customHeight="1" x14ac:dyDescent="0.25">
      <c r="A556" s="8">
        <v>1</v>
      </c>
      <c r="B556" s="8" t="s">
        <v>2</v>
      </c>
      <c r="C556" s="11" t="s">
        <v>74</v>
      </c>
      <c r="D556" s="11">
        <v>1</v>
      </c>
      <c r="E556" s="11">
        <v>6.55</v>
      </c>
      <c r="F556" s="11">
        <v>0.3</v>
      </c>
      <c r="G556" s="11">
        <v>1.1000000000000001</v>
      </c>
      <c r="H556" s="8">
        <f>G556-0.2</f>
        <v>0.90000000000000013</v>
      </c>
      <c r="I556" s="8">
        <f>E556*F556*G556*D556</f>
        <v>2.1615000000000002</v>
      </c>
      <c r="J556" s="8">
        <f>(2*(E556)*H556*D556)+(E556*F556)</f>
        <v>13.755000000000001</v>
      </c>
      <c r="K556" s="12">
        <f>IF(E556=0.3,J556,0)</f>
        <v>0</v>
      </c>
      <c r="L556" s="12">
        <f>IF(AND(E556&gt;0.3,E556&lt;=0.75),J556,0)</f>
        <v>0</v>
      </c>
      <c r="M556" s="12">
        <f>IF(AND(E556&gt;0.75,E556&lt;=1.2),J556,0)</f>
        <v>0</v>
      </c>
      <c r="N556" s="12">
        <f>IF(E556&gt;1.2,J556,0)</f>
        <v>13.755000000000001</v>
      </c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>
        <f>SUM(X557:X564)/I556</f>
        <v>168.07260905125409</v>
      </c>
      <c r="Z556" s="8"/>
      <c r="AA556" s="8"/>
      <c r="AB556" s="8"/>
      <c r="AC556" s="8"/>
      <c r="AD556" s="8"/>
      <c r="AE556" s="8"/>
    </row>
    <row r="557" spans="1:32" s="10" customFormat="1" ht="20.100000000000001" customHeight="1" x14ac:dyDescent="0.25">
      <c r="A557" s="7"/>
      <c r="B557" s="8" t="s">
        <v>2</v>
      </c>
      <c r="C557" s="13" t="s">
        <v>4</v>
      </c>
      <c r="D557" s="8">
        <v>25</v>
      </c>
      <c r="E557" s="8"/>
      <c r="F557" s="8">
        <v>3</v>
      </c>
      <c r="G557" s="9">
        <f>VLOOKUP(D557,'[2]Beam '!$C$20:$H$26,3,0)</f>
        <v>1</v>
      </c>
      <c r="H557" s="9"/>
      <c r="I557" s="8"/>
      <c r="J557" s="8"/>
      <c r="K557" s="8"/>
      <c r="L557" s="8"/>
      <c r="M557" s="8"/>
      <c r="N557" s="8"/>
      <c r="O557" s="8">
        <f>(E556+2*(0.5/2))*D556</f>
        <v>7.05</v>
      </c>
      <c r="P557" s="8">
        <f t="shared" ref="P557:P565" si="109">O557*F557</f>
        <v>21.15</v>
      </c>
      <c r="Q557" s="8">
        <f>IF($D557='[2]Beam '!Q$44,$P557*'[2]Beam '!Q$45,0)</f>
        <v>0</v>
      </c>
      <c r="R557" s="8">
        <f>IF($D557='[2]Beam '!R$44,$P557*'[2]Beam '!R$45,0)</f>
        <v>0</v>
      </c>
      <c r="S557" s="8">
        <f>IF($D557='[2]Beam '!S$44,$P557*'[2]Beam '!S$45,0)</f>
        <v>0</v>
      </c>
      <c r="T557" s="8">
        <f>IF($D557='[2]Beam '!T$44,$P557*'[2]Beam '!T$45,0)</f>
        <v>0</v>
      </c>
      <c r="U557" s="8">
        <f>IF($D557='[2]Beam '!U$44,$P557*'[2]Beam '!U$45,0)</f>
        <v>0</v>
      </c>
      <c r="V557" s="8">
        <f>IF($D557='[2]Beam '!V$44,$P557*'[2]Beam '!V$45,0)</f>
        <v>81.53136160714287</v>
      </c>
      <c r="W557" s="8">
        <f>IF($D557='[2]Beam '!W$44,$P557*'[2]Beam '!W$45,0)</f>
        <v>0</v>
      </c>
      <c r="X557" s="8">
        <f t="shared" ref="X557:X565" si="110">SUM(Q557:W557)</f>
        <v>81.53136160714287</v>
      </c>
      <c r="Y557" s="8"/>
      <c r="Z557" s="8"/>
      <c r="AA557" s="8"/>
      <c r="AB557" s="8"/>
      <c r="AC557" s="8"/>
      <c r="AD557" s="8"/>
      <c r="AE557" s="8"/>
    </row>
    <row r="558" spans="1:32" s="10" customFormat="1" ht="20.100000000000001" customHeight="1" x14ac:dyDescent="0.25">
      <c r="A558" s="7"/>
      <c r="B558" s="8" t="s">
        <v>2</v>
      </c>
      <c r="C558" s="13" t="s">
        <v>75</v>
      </c>
      <c r="D558" s="8">
        <v>20</v>
      </c>
      <c r="E558" s="8"/>
      <c r="F558" s="8">
        <v>3</v>
      </c>
      <c r="G558" s="9">
        <f>VLOOKUP(D558,'[2]Beam '!$C$20:$H$26,3,0)</f>
        <v>0.8</v>
      </c>
      <c r="H558" s="9"/>
      <c r="I558" s="8"/>
      <c r="J558" s="8"/>
      <c r="K558" s="8"/>
      <c r="L558" s="8"/>
      <c r="M558" s="8"/>
      <c r="N558" s="8"/>
      <c r="O558" s="8">
        <f>(1.8+1*(0.5/2))*D556</f>
        <v>2.0499999999999998</v>
      </c>
      <c r="P558" s="8">
        <f t="shared" si="109"/>
        <v>6.1499999999999995</v>
      </c>
      <c r="Q558" s="8">
        <f>IF($D558='[2]Beam '!Q$44,$P558*'[2]Beam '!Q$45,0)</f>
        <v>0</v>
      </c>
      <c r="R558" s="8">
        <f>IF($D558='[2]Beam '!R$44,$P558*'[2]Beam '!R$45,0)</f>
        <v>0</v>
      </c>
      <c r="S558" s="8">
        <f>IF($D558='[2]Beam '!S$44,$P558*'[2]Beam '!S$45,0)</f>
        <v>0</v>
      </c>
      <c r="T558" s="8">
        <f>IF($D558='[2]Beam '!T$44,$P558*'[2]Beam '!T$45,0)</f>
        <v>0</v>
      </c>
      <c r="U558" s="8">
        <f>IF($D558='[2]Beam '!U$44,$P558*'[2]Beam '!U$45,0)</f>
        <v>15.172928571428569</v>
      </c>
      <c r="V558" s="8">
        <f>IF($D558='[2]Beam '!V$44,$P558*'[2]Beam '!V$45,0)</f>
        <v>0</v>
      </c>
      <c r="W558" s="8">
        <f>IF($D558='[2]Beam '!W$44,$P558*'[2]Beam '!W$45,0)</f>
        <v>0</v>
      </c>
      <c r="X558" s="8">
        <f t="shared" si="110"/>
        <v>15.172928571428569</v>
      </c>
      <c r="Y558" s="8"/>
      <c r="Z558" s="8"/>
      <c r="AA558" s="8"/>
      <c r="AB558" s="8"/>
      <c r="AC558" s="8"/>
      <c r="AD558" s="8"/>
      <c r="AE558" s="8"/>
    </row>
    <row r="559" spans="1:32" s="14" customFormat="1" ht="20.100000000000001" customHeight="1" x14ac:dyDescent="0.3">
      <c r="A559" s="7"/>
      <c r="B559" s="8" t="s">
        <v>2</v>
      </c>
      <c r="C559" s="13" t="s">
        <v>6</v>
      </c>
      <c r="D559" s="8">
        <v>20</v>
      </c>
      <c r="E559" s="8"/>
      <c r="F559" s="8">
        <v>3</v>
      </c>
      <c r="G559" s="9">
        <f>VLOOKUP(D559,'[2]Beam '!$C$20:$H$26,3,0)</f>
        <v>0.8</v>
      </c>
      <c r="H559" s="8"/>
      <c r="I559" s="8"/>
      <c r="J559" s="8"/>
      <c r="K559" s="8"/>
      <c r="L559" s="8"/>
      <c r="M559" s="8"/>
      <c r="N559" s="8"/>
      <c r="O559" s="8">
        <f>(E556+2*(0.5/2))*D556</f>
        <v>7.05</v>
      </c>
      <c r="P559" s="8">
        <f t="shared" si="109"/>
        <v>21.15</v>
      </c>
      <c r="Q559" s="8">
        <f>IF($D559='[2]Beam '!Q$44,$P559*'[2]Beam '!Q$45,0)</f>
        <v>0</v>
      </c>
      <c r="R559" s="8">
        <f>IF($D559='[2]Beam '!R$44,$P559*'[2]Beam '!R$45,0)</f>
        <v>0</v>
      </c>
      <c r="S559" s="8">
        <f>IF($D559='[2]Beam '!S$44,$P559*'[2]Beam '!S$45,0)</f>
        <v>0</v>
      </c>
      <c r="T559" s="8">
        <f>IF($D559='[2]Beam '!T$44,$P559*'[2]Beam '!T$45,0)</f>
        <v>0</v>
      </c>
      <c r="U559" s="8">
        <f>IF($D559='[2]Beam '!U$44,$P559*'[2]Beam '!U$45,0)</f>
        <v>52.180071428571424</v>
      </c>
      <c r="V559" s="8">
        <f>IF($D559='[2]Beam '!V$44,$P559*'[2]Beam '!V$45,0)</f>
        <v>0</v>
      </c>
      <c r="W559" s="8">
        <f>IF($D559='[2]Beam '!W$44,$P559*'[2]Beam '!W$45,0)</f>
        <v>0</v>
      </c>
      <c r="X559" s="8">
        <f t="shared" si="110"/>
        <v>52.180071428571424</v>
      </c>
      <c r="Y559" s="8"/>
    </row>
    <row r="560" spans="1:32" s="14" customFormat="1" ht="20.100000000000001" customHeight="1" x14ac:dyDescent="0.3">
      <c r="A560" s="7"/>
      <c r="B560" s="8" t="s">
        <v>2</v>
      </c>
      <c r="C560" s="13" t="s">
        <v>7</v>
      </c>
      <c r="D560" s="8">
        <v>16</v>
      </c>
      <c r="E560" s="8"/>
      <c r="F560" s="8">
        <v>2</v>
      </c>
      <c r="G560" s="9">
        <f>VLOOKUP(D560,'[2]Beam '!$C$20:$H$26,3,0)</f>
        <v>0.625</v>
      </c>
      <c r="H560" s="8"/>
      <c r="I560" s="8"/>
      <c r="J560" s="8"/>
      <c r="K560" s="8"/>
      <c r="L560" s="8"/>
      <c r="M560" s="8"/>
      <c r="N560" s="8"/>
      <c r="O560" s="8">
        <f>(E556+2*(0.5/2))*D556</f>
        <v>7.05</v>
      </c>
      <c r="P560" s="8">
        <f t="shared" si="109"/>
        <v>14.1</v>
      </c>
      <c r="Q560" s="8">
        <f>IF($D560='[2]Beam '!Q$44,$P560*'[2]Beam '!Q$45,0)</f>
        <v>0</v>
      </c>
      <c r="R560" s="8">
        <f>IF($D560='[2]Beam '!R$44,$P560*'[2]Beam '!R$45,0)</f>
        <v>0</v>
      </c>
      <c r="S560" s="8">
        <f>IF($D560='[2]Beam '!S$44,$P560*'[2]Beam '!S$45,0)</f>
        <v>0</v>
      </c>
      <c r="T560" s="8">
        <f>IF($D560='[2]Beam '!T$44,$P560*'[2]Beam '!T$45,0)</f>
        <v>22.263497142857144</v>
      </c>
      <c r="U560" s="8">
        <f>IF($D560='[2]Beam '!U$44,$P560*'[2]Beam '!U$45,0)</f>
        <v>0</v>
      </c>
      <c r="V560" s="8">
        <f>IF($D560='[2]Beam '!V$44,$P560*'[2]Beam '!V$45,0)</f>
        <v>0</v>
      </c>
      <c r="W560" s="8">
        <f>IF($D560='[2]Beam '!W$44,$P560*'[2]Beam '!W$45,0)</f>
        <v>0</v>
      </c>
      <c r="X560" s="8">
        <f t="shared" si="110"/>
        <v>22.263497142857144</v>
      </c>
      <c r="Y560" s="8"/>
    </row>
    <row r="561" spans="1:32" s="14" customFormat="1" ht="20.100000000000001" customHeight="1" x14ac:dyDescent="0.25">
      <c r="A561" s="7"/>
      <c r="B561" s="8" t="s">
        <v>2</v>
      </c>
      <c r="C561" s="13" t="s">
        <v>13</v>
      </c>
      <c r="D561" s="8">
        <v>10</v>
      </c>
      <c r="E561" s="8">
        <v>0.1</v>
      </c>
      <c r="F561" s="8">
        <f>ROUND(IF(E556/3&gt;(2*G556),(E556/3)/E561,(2*G556)/E561),0)*2+1</f>
        <v>45</v>
      </c>
      <c r="G561" s="10"/>
      <c r="H561" s="8"/>
      <c r="I561" s="8"/>
      <c r="J561" s="8"/>
      <c r="K561" s="8"/>
      <c r="L561" s="8"/>
      <c r="M561" s="8"/>
      <c r="N561" s="8"/>
      <c r="O561" s="8">
        <f>(2*((G556-(2*'[2]Beam '!$D$11))+(F556-(2*'[2]Beam '!$D$11)))+(2*10*D561/1000))*D556</f>
        <v>2.7600000000000002</v>
      </c>
      <c r="P561" s="8">
        <f t="shared" si="109"/>
        <v>124.20000000000002</v>
      </c>
      <c r="Q561" s="8">
        <f>IF($D561='[2]Beam '!Q$44,$P561*'[2]Beam '!Q$45,0)</f>
        <v>0</v>
      </c>
      <c r="R561" s="8">
        <f>IF($D561='[2]Beam '!R$44,$P561*'[2]Beam '!R$45,0)</f>
        <v>76.604785714285725</v>
      </c>
      <c r="S561" s="8">
        <f>IF($D561='[2]Beam '!S$44,$P561*'[2]Beam '!S$45,0)</f>
        <v>0</v>
      </c>
      <c r="T561" s="8">
        <f>IF($D561='[2]Beam '!T$44,$P561*'[2]Beam '!T$45,0)</f>
        <v>0</v>
      </c>
      <c r="U561" s="8">
        <f>IF($D561='[2]Beam '!U$44,$P561*'[2]Beam '!U$45,0)</f>
        <v>0</v>
      </c>
      <c r="V561" s="8">
        <f>IF($D561='[2]Beam '!V$44,$P561*'[2]Beam '!V$45,0)</f>
        <v>0</v>
      </c>
      <c r="W561" s="8">
        <f>IF($D561='[2]Beam '!W$44,$P561*'[2]Beam '!W$45,0)</f>
        <v>0</v>
      </c>
      <c r="X561" s="8">
        <f t="shared" si="110"/>
        <v>76.604785714285725</v>
      </c>
      <c r="Y561" s="8"/>
    </row>
    <row r="562" spans="1:32" s="10" customFormat="1" ht="20.100000000000001" customHeight="1" x14ac:dyDescent="0.25">
      <c r="A562" s="14"/>
      <c r="B562" s="8" t="s">
        <v>2</v>
      </c>
      <c r="C562" s="13" t="s">
        <v>14</v>
      </c>
      <c r="D562" s="14">
        <f>D561</f>
        <v>10</v>
      </c>
      <c r="E562" s="14">
        <v>0.15</v>
      </c>
      <c r="F562" s="14">
        <f>ROUND((E556-(IF(E556/3&gt;2*G556,E556/3*2,G556*2*2)))/E562,0)</f>
        <v>14</v>
      </c>
      <c r="H562" s="14"/>
      <c r="I562" s="14"/>
      <c r="J562" s="14"/>
      <c r="K562" s="14"/>
      <c r="L562" s="14"/>
      <c r="M562" s="14"/>
      <c r="N562" s="14"/>
      <c r="O562" s="8">
        <f>(2*((G556-(2*'[2]Beam '!$D$11))+(F556-(2*'[2]Beam '!$D$11)))+(2*10*D562/1000))*D556</f>
        <v>2.7600000000000002</v>
      </c>
      <c r="P562" s="8">
        <f t="shared" si="109"/>
        <v>38.64</v>
      </c>
      <c r="Q562" s="8">
        <f>IF($D562='[2]Beam '!Q$44,$P562*'[2]Beam '!Q$45,0)</f>
        <v>0</v>
      </c>
      <c r="R562" s="8">
        <f>IF($D562='[2]Beam '!R$44,$P562*'[2]Beam '!R$45,0)</f>
        <v>23.832599999999999</v>
      </c>
      <c r="S562" s="8">
        <f>IF($D562='[2]Beam '!S$44,$P562*'[2]Beam '!S$45,0)</f>
        <v>0</v>
      </c>
      <c r="T562" s="8">
        <f>IF($D562='[2]Beam '!T$44,$P562*'[2]Beam '!T$45,0)</f>
        <v>0</v>
      </c>
      <c r="U562" s="8">
        <f>IF($D562='[2]Beam '!U$44,$P562*'[2]Beam '!U$45,0)</f>
        <v>0</v>
      </c>
      <c r="V562" s="8">
        <f>IF($D562='[2]Beam '!V$44,$P562*'[2]Beam '!V$45,0)</f>
        <v>0</v>
      </c>
      <c r="W562" s="8">
        <f>IF($D562='[2]Beam '!W$44,$P562*'[2]Beam '!W$45,0)</f>
        <v>0</v>
      </c>
      <c r="X562" s="8">
        <f t="shared" si="110"/>
        <v>23.832599999999999</v>
      </c>
      <c r="Y562" s="14"/>
      <c r="Z562" s="8"/>
      <c r="AA562" s="8"/>
      <c r="AB562" s="8"/>
      <c r="AC562" s="8"/>
      <c r="AD562" s="8"/>
      <c r="AE562" s="8"/>
    </row>
    <row r="563" spans="1:32" s="10" customFormat="1" ht="21" customHeight="1" x14ac:dyDescent="0.25">
      <c r="A563" s="14"/>
      <c r="B563" s="8" t="s">
        <v>2</v>
      </c>
      <c r="C563" s="13" t="s">
        <v>15</v>
      </c>
      <c r="D563" s="14">
        <f>D561</f>
        <v>10</v>
      </c>
      <c r="E563" s="14">
        <f>+E561</f>
        <v>0.1</v>
      </c>
      <c r="F563" s="8">
        <f>ROUND(IF(E556/3&gt;(2*G556),(E556/3)/E563,(2*G556)/E563),0)*2+1</f>
        <v>45</v>
      </c>
      <c r="H563" s="14"/>
      <c r="I563" s="14"/>
      <c r="J563" s="14"/>
      <c r="K563" s="14"/>
      <c r="L563" s="14"/>
      <c r="M563" s="14"/>
      <c r="N563" s="14"/>
      <c r="O563" s="8">
        <f>(2*(((F556-'[2]Beam '!$D$11*2)/(F557-1))+(G556-'[2]Beam '!$D$11*2))+(2*10*D563/1000))*D556</f>
        <v>2.5200000000000005</v>
      </c>
      <c r="P563" s="8">
        <f t="shared" si="109"/>
        <v>113.40000000000002</v>
      </c>
      <c r="Q563" s="8">
        <f>IF($D563='[2]Beam '!Q$44,$P563*'[2]Beam '!Q$45,0)</f>
        <v>0</v>
      </c>
      <c r="R563" s="8">
        <f>IF($D563='[2]Beam '!R$44,$P563*'[2]Beam '!R$45,0)</f>
        <v>69.943500000000014</v>
      </c>
      <c r="S563" s="8">
        <f>IF($D563='[2]Beam '!S$44,$P563*'[2]Beam '!S$45,0)</f>
        <v>0</v>
      </c>
      <c r="T563" s="8">
        <f>IF($D563='[2]Beam '!T$44,$P563*'[2]Beam '!T$45,0)</f>
        <v>0</v>
      </c>
      <c r="U563" s="8">
        <f>IF($D563='[2]Beam '!U$44,$P563*'[2]Beam '!U$45,0)</f>
        <v>0</v>
      </c>
      <c r="V563" s="8">
        <f>IF($D563='[2]Beam '!V$44,$P563*'[2]Beam '!V$45,0)</f>
        <v>0</v>
      </c>
      <c r="W563" s="8">
        <f>IF($D563='[2]Beam '!W$44,$P563*'[2]Beam '!W$45,0)</f>
        <v>0</v>
      </c>
      <c r="X563" s="8">
        <f t="shared" si="110"/>
        <v>69.943500000000014</v>
      </c>
      <c r="Y563" s="14"/>
      <c r="Z563" s="8"/>
      <c r="AA563" s="8"/>
      <c r="AB563" s="8"/>
      <c r="AC563" s="8"/>
      <c r="AD563" s="8"/>
      <c r="AE563" s="8"/>
      <c r="AF563" s="8"/>
    </row>
    <row r="564" spans="1:32" s="10" customFormat="1" ht="20.100000000000001" customHeight="1" x14ac:dyDescent="0.25">
      <c r="A564" s="14"/>
      <c r="B564" s="8" t="s">
        <v>2</v>
      </c>
      <c r="C564" s="13" t="s">
        <v>16</v>
      </c>
      <c r="D564" s="14">
        <f>D562</f>
        <v>10</v>
      </c>
      <c r="E564" s="14">
        <f>+E562</f>
        <v>0.15</v>
      </c>
      <c r="F564" s="14">
        <f>ROUND((E556-(IF(E556/3&gt;2*G556,E556/3*2,G556*2*2)))/E564,0)</f>
        <v>14</v>
      </c>
      <c r="H564" s="14"/>
      <c r="I564" s="14"/>
      <c r="J564" s="14"/>
      <c r="K564" s="14"/>
      <c r="L564" s="14"/>
      <c r="M564" s="14"/>
      <c r="N564" s="14"/>
      <c r="O564" s="8">
        <f>(2*(((F556-'[2]Beam '!$D$11*2)/(F557-1))+(G556-'[2]Beam '!$D$11*2))+(2*10*D564/1000))*D556</f>
        <v>2.5200000000000005</v>
      </c>
      <c r="P564" s="8">
        <f t="shared" si="109"/>
        <v>35.280000000000008</v>
      </c>
      <c r="Q564" s="8">
        <f>IF($D564='[2]Beam '!Q$44,$P564*'[2]Beam '!Q$45,0)</f>
        <v>0</v>
      </c>
      <c r="R564" s="8">
        <f>IF($D564='[2]Beam '!R$44,$P564*'[2]Beam '!R$45,0)</f>
        <v>21.760200000000005</v>
      </c>
      <c r="S564" s="8">
        <f>IF($D564='[2]Beam '!S$44,$P564*'[2]Beam '!S$45,0)</f>
        <v>0</v>
      </c>
      <c r="T564" s="8">
        <f>IF($D564='[2]Beam '!T$44,$P564*'[2]Beam '!T$45,0)</f>
        <v>0</v>
      </c>
      <c r="U564" s="8">
        <f>IF($D564='[2]Beam '!U$44,$P564*'[2]Beam '!U$45,0)</f>
        <v>0</v>
      </c>
      <c r="V564" s="8">
        <f>IF($D564='[2]Beam '!V$44,$P564*'[2]Beam '!V$45,0)</f>
        <v>0</v>
      </c>
      <c r="W564" s="8">
        <f>IF($D564='[2]Beam '!W$44,$P564*'[2]Beam '!W$45,0)</f>
        <v>0</v>
      </c>
      <c r="X564" s="8">
        <f t="shared" si="110"/>
        <v>21.760200000000005</v>
      </c>
      <c r="Y564" s="14"/>
      <c r="Z564" s="8"/>
      <c r="AA564" s="8"/>
      <c r="AB564" s="8"/>
      <c r="AC564" s="8"/>
      <c r="AD564" s="8"/>
      <c r="AE564" s="8"/>
    </row>
    <row r="565" spans="1:32" s="10" customFormat="1" ht="20.100000000000001" customHeight="1" x14ac:dyDescent="0.25">
      <c r="A565" s="7"/>
      <c r="B565" s="8" t="s">
        <v>2</v>
      </c>
      <c r="C565" s="13" t="s">
        <v>10</v>
      </c>
      <c r="D565" s="8">
        <f>+'[2]Beam '!$D$15</f>
        <v>25</v>
      </c>
      <c r="E565" s="8">
        <f>+'[2]Beam '!$E$15</f>
        <v>1</v>
      </c>
      <c r="F565" s="8">
        <f>ROUNDUP((1.8+E556)/E565,0)</f>
        <v>9</v>
      </c>
      <c r="G565" s="9"/>
      <c r="H565" s="9"/>
      <c r="I565" s="8"/>
      <c r="J565" s="8"/>
      <c r="K565" s="8"/>
      <c r="L565" s="8"/>
      <c r="M565" s="8"/>
      <c r="N565" s="8"/>
      <c r="O565" s="8">
        <f>F556-'[2]Beam '!$F$15</f>
        <v>0.24</v>
      </c>
      <c r="P565" s="8">
        <f t="shared" si="109"/>
        <v>2.16</v>
      </c>
      <c r="Q565" s="8">
        <f>IF($D565='[2]Beam '!Q$44,$P565*'[2]Beam '!Q$45,0)</f>
        <v>0</v>
      </c>
      <c r="R565" s="8">
        <f>IF($D565='[2]Beam '!R$44,$P565*'[2]Beam '!R$45,0)</f>
        <v>0</v>
      </c>
      <c r="S565" s="8">
        <f>IF($D565='[2]Beam '!S$44,$P565*'[2]Beam '!S$45,0)</f>
        <v>0</v>
      </c>
      <c r="T565" s="8">
        <f>IF($D565='[2]Beam '!T$44,$P565*'[2]Beam '!T$45,0)</f>
        <v>0</v>
      </c>
      <c r="U565" s="8">
        <f>IF($D565='[2]Beam '!U$44,$P565*'[2]Beam '!U$45,0)</f>
        <v>0</v>
      </c>
      <c r="V565" s="8">
        <f>IF($D565='[2]Beam '!V$44,$P565*'[2]Beam '!V$45,0)</f>
        <v>8.326607142857144</v>
      </c>
      <c r="W565" s="8">
        <f>IF($D565='[2]Beam '!W$44,$P565*'[2]Beam '!W$45,0)</f>
        <v>0</v>
      </c>
      <c r="X565" s="8">
        <f t="shared" si="110"/>
        <v>8.326607142857144</v>
      </c>
      <c r="Y565" s="8"/>
      <c r="Z565" s="8"/>
      <c r="AA565" s="8"/>
      <c r="AB565" s="8"/>
      <c r="AC565" s="8"/>
      <c r="AD565" s="8"/>
      <c r="AE565" s="8"/>
    </row>
    <row r="566" spans="1:32" s="10" customFormat="1" ht="20.100000000000001" customHeight="1" x14ac:dyDescent="0.25">
      <c r="A566" s="8">
        <v>1</v>
      </c>
      <c r="B566" s="8" t="s">
        <v>2</v>
      </c>
      <c r="C566" s="11" t="s">
        <v>76</v>
      </c>
      <c r="D566" s="11">
        <v>1</v>
      </c>
      <c r="E566" s="11">
        <v>4.9000000000000004</v>
      </c>
      <c r="F566" s="11">
        <v>0.3</v>
      </c>
      <c r="G566" s="11">
        <v>1.1000000000000001</v>
      </c>
      <c r="H566" s="8">
        <f>G566-0.2</f>
        <v>0.90000000000000013</v>
      </c>
      <c r="I566" s="8">
        <f>E566*F566*G566*D566</f>
        <v>1.617</v>
      </c>
      <c r="J566" s="8">
        <f>(2*(E566)*H566*D566)+(E566*F566)</f>
        <v>10.290000000000003</v>
      </c>
      <c r="K566" s="12">
        <f>IF(E566=0.3,J566,0)</f>
        <v>0</v>
      </c>
      <c r="L566" s="12">
        <f>IF(AND(E566&gt;0.3,E566&lt;=0.75),J566,0)</f>
        <v>0</v>
      </c>
      <c r="M566" s="12">
        <f>IF(AND(E566&gt;0.75,E566&lt;=1.2),J566,0)</f>
        <v>0</v>
      </c>
      <c r="N566" s="12">
        <f>IF(E566&gt;1.2,J566,0)</f>
        <v>10.290000000000003</v>
      </c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>
        <f>SUM(X567:X575)/I566</f>
        <v>201.50947711370264</v>
      </c>
      <c r="Z566" s="8"/>
      <c r="AA566" s="8"/>
      <c r="AB566" s="8"/>
      <c r="AC566" s="8"/>
      <c r="AD566" s="8"/>
      <c r="AE566" s="8"/>
    </row>
    <row r="567" spans="1:32" s="10" customFormat="1" ht="20.100000000000001" customHeight="1" x14ac:dyDescent="0.25">
      <c r="A567" s="7"/>
      <c r="B567" s="8" t="s">
        <v>2</v>
      </c>
      <c r="C567" s="13" t="s">
        <v>4</v>
      </c>
      <c r="D567" s="8">
        <v>25</v>
      </c>
      <c r="E567" s="8"/>
      <c r="F567" s="8">
        <v>3</v>
      </c>
      <c r="G567" s="9">
        <f>VLOOKUP(D567,'[2]Beam '!$C$20:$H$26,3,0)</f>
        <v>1</v>
      </c>
      <c r="H567" s="9"/>
      <c r="I567" s="8"/>
      <c r="J567" s="8"/>
      <c r="K567" s="8"/>
      <c r="L567" s="8"/>
      <c r="M567" s="8"/>
      <c r="N567" s="8"/>
      <c r="O567" s="8">
        <f>(E566+1*(G567+(12*D567/1000))+1*(0.5/2)*D566)</f>
        <v>6.45</v>
      </c>
      <c r="P567" s="8">
        <f t="shared" ref="P567:P576" si="111">O567*F567</f>
        <v>19.350000000000001</v>
      </c>
      <c r="Q567" s="8">
        <f>IF($D567='[2]Beam '!Q$44,$P567*'[2]Beam '!Q$45,0)</f>
        <v>0</v>
      </c>
      <c r="R567" s="8">
        <f>IF($D567='[2]Beam '!R$44,$P567*'[2]Beam '!R$45,0)</f>
        <v>0</v>
      </c>
      <c r="S567" s="8">
        <f>IF($D567='[2]Beam '!S$44,$P567*'[2]Beam '!S$45,0)</f>
        <v>0</v>
      </c>
      <c r="T567" s="8">
        <f>IF($D567='[2]Beam '!T$44,$P567*'[2]Beam '!T$45,0)</f>
        <v>0</v>
      </c>
      <c r="U567" s="8">
        <f>IF($D567='[2]Beam '!U$44,$P567*'[2]Beam '!U$45,0)</f>
        <v>0</v>
      </c>
      <c r="V567" s="8">
        <f>IF($D567='[2]Beam '!V$44,$P567*'[2]Beam '!V$45,0)</f>
        <v>74.592522321428589</v>
      </c>
      <c r="W567" s="8">
        <f>IF($D567='[2]Beam '!W$44,$P567*'[2]Beam '!W$45,0)</f>
        <v>0</v>
      </c>
      <c r="X567" s="8">
        <f t="shared" ref="X567:X576" si="112">SUM(Q567:W567)</f>
        <v>74.592522321428589</v>
      </c>
      <c r="Y567" s="8"/>
      <c r="Z567" s="8"/>
      <c r="AA567" s="8"/>
      <c r="AB567" s="8"/>
      <c r="AC567" s="8"/>
      <c r="AD567" s="8"/>
      <c r="AE567" s="8"/>
    </row>
    <row r="568" spans="1:32" s="10" customFormat="1" ht="20.100000000000001" customHeight="1" x14ac:dyDescent="0.25">
      <c r="A568" s="7"/>
      <c r="B568" s="8" t="s">
        <v>2</v>
      </c>
      <c r="C568" s="13" t="s">
        <v>5</v>
      </c>
      <c r="D568" s="8">
        <v>20</v>
      </c>
      <c r="E568" s="8"/>
      <c r="F568" s="8">
        <v>3</v>
      </c>
      <c r="G568" s="9">
        <f>VLOOKUP(D568,'[2]Beam '!$C$20:$H$26,3,0)</f>
        <v>0.8</v>
      </c>
      <c r="H568" s="9"/>
      <c r="I568" s="8"/>
      <c r="J568" s="8"/>
      <c r="K568" s="8"/>
      <c r="L568" s="8"/>
      <c r="M568" s="8"/>
      <c r="N568" s="8"/>
      <c r="O568" s="8">
        <f>(1.4+1*(G568+(12*D568/1000)*D566))</f>
        <v>2.44</v>
      </c>
      <c r="P568" s="8">
        <f t="shared" si="111"/>
        <v>7.32</v>
      </c>
      <c r="Q568" s="8">
        <f>IF($D568='[2]Beam '!Q$44,$P568*'[2]Beam '!Q$45,0)</f>
        <v>0</v>
      </c>
      <c r="R568" s="8">
        <f>IF($D568='[2]Beam '!R$44,$P568*'[2]Beam '!R$45,0)</f>
        <v>0</v>
      </c>
      <c r="S568" s="8">
        <f>IF($D568='[2]Beam '!S$44,$P568*'[2]Beam '!S$45,0)</f>
        <v>0</v>
      </c>
      <c r="T568" s="8">
        <f>IF($D568='[2]Beam '!T$44,$P568*'[2]Beam '!T$45,0)</f>
        <v>0</v>
      </c>
      <c r="U568" s="8">
        <f>IF($D568='[2]Beam '!U$44,$P568*'[2]Beam '!U$45,0)</f>
        <v>18.059485714285714</v>
      </c>
      <c r="V568" s="8">
        <f>IF($D568='[2]Beam '!V$44,$P568*'[2]Beam '!V$45,0)</f>
        <v>0</v>
      </c>
      <c r="W568" s="8">
        <f>IF($D568='[2]Beam '!W$44,$P568*'[2]Beam '!W$45,0)</f>
        <v>0</v>
      </c>
      <c r="X568" s="8">
        <f t="shared" si="112"/>
        <v>18.059485714285714</v>
      </c>
      <c r="Y568" s="8"/>
      <c r="Z568" s="8"/>
      <c r="AA568" s="8"/>
      <c r="AB568" s="8"/>
      <c r="AC568" s="8"/>
      <c r="AD568" s="8"/>
      <c r="AE568" s="8"/>
    </row>
    <row r="569" spans="1:32" s="10" customFormat="1" ht="20.100000000000001" customHeight="1" x14ac:dyDescent="0.25">
      <c r="A569" s="7"/>
      <c r="B569" s="8" t="s">
        <v>2</v>
      </c>
      <c r="C569" s="13" t="s">
        <v>5</v>
      </c>
      <c r="D569" s="8">
        <v>20</v>
      </c>
      <c r="E569" s="8"/>
      <c r="F569" s="8">
        <v>3</v>
      </c>
      <c r="G569" s="9">
        <f>VLOOKUP(D569,'[2]Beam '!$C$20:$H$26,3,0)</f>
        <v>0.8</v>
      </c>
      <c r="H569" s="9"/>
      <c r="I569" s="8"/>
      <c r="J569" s="8"/>
      <c r="K569" s="8"/>
      <c r="L569" s="8"/>
      <c r="M569" s="8"/>
      <c r="N569" s="8"/>
      <c r="O569" s="8">
        <f>(1.4+1*(0.5/2)*D566)</f>
        <v>1.65</v>
      </c>
      <c r="P569" s="8">
        <f t="shared" si="111"/>
        <v>4.9499999999999993</v>
      </c>
      <c r="Q569" s="8">
        <f>IF($D569='[2]Beam '!Q$44,$P569*'[2]Beam '!Q$45,0)</f>
        <v>0</v>
      </c>
      <c r="R569" s="8">
        <f>IF($D569='[2]Beam '!R$44,$P569*'[2]Beam '!R$45,0)</f>
        <v>0</v>
      </c>
      <c r="S569" s="8">
        <f>IF($D569='[2]Beam '!S$44,$P569*'[2]Beam '!S$45,0)</f>
        <v>0</v>
      </c>
      <c r="T569" s="8">
        <f>IF($D569='[2]Beam '!T$44,$P569*'[2]Beam '!T$45,0)</f>
        <v>0</v>
      </c>
      <c r="U569" s="8">
        <f>IF($D569='[2]Beam '!U$44,$P569*'[2]Beam '!U$45,0)</f>
        <v>12.21235714285714</v>
      </c>
      <c r="V569" s="8">
        <f>IF($D569='[2]Beam '!V$44,$P569*'[2]Beam '!V$45,0)</f>
        <v>0</v>
      </c>
      <c r="W569" s="8">
        <f>IF($D569='[2]Beam '!W$44,$P569*'[2]Beam '!W$45,0)</f>
        <v>0</v>
      </c>
      <c r="X569" s="8">
        <f t="shared" si="112"/>
        <v>12.21235714285714</v>
      </c>
      <c r="Y569" s="8"/>
      <c r="Z569" s="8"/>
      <c r="AA569" s="8"/>
      <c r="AB569" s="8"/>
      <c r="AC569" s="8"/>
      <c r="AD569" s="8"/>
      <c r="AE569" s="8"/>
    </row>
    <row r="570" spans="1:32" s="14" customFormat="1" ht="20.100000000000001" customHeight="1" x14ac:dyDescent="0.3">
      <c r="A570" s="7"/>
      <c r="B570" s="8" t="s">
        <v>2</v>
      </c>
      <c r="C570" s="13" t="s">
        <v>6</v>
      </c>
      <c r="D570" s="8">
        <v>20</v>
      </c>
      <c r="E570" s="8"/>
      <c r="F570" s="8">
        <v>3</v>
      </c>
      <c r="G570" s="9">
        <f>VLOOKUP(D570,'[2]Beam '!$C$20:$H$26,3,0)</f>
        <v>0.8</v>
      </c>
      <c r="H570" s="8"/>
      <c r="I570" s="8"/>
      <c r="J570" s="8"/>
      <c r="K570" s="8"/>
      <c r="L570" s="8"/>
      <c r="M570" s="8"/>
      <c r="N570" s="8"/>
      <c r="O570" s="8">
        <f>(E566+1*(G570+(12*D570/1000))+1*(0.5/2)*D566)</f>
        <v>6.19</v>
      </c>
      <c r="P570" s="8">
        <f t="shared" si="111"/>
        <v>18.57</v>
      </c>
      <c r="Q570" s="8">
        <f>IF($D570='[2]Beam '!Q$44,$P570*'[2]Beam '!Q$45,0)</f>
        <v>0</v>
      </c>
      <c r="R570" s="8">
        <f>IF($D570='[2]Beam '!R$44,$P570*'[2]Beam '!R$45,0)</f>
        <v>0</v>
      </c>
      <c r="S570" s="8">
        <f>IF($D570='[2]Beam '!S$44,$P570*'[2]Beam '!S$45,0)</f>
        <v>0</v>
      </c>
      <c r="T570" s="8">
        <f>IF($D570='[2]Beam '!T$44,$P570*'[2]Beam '!T$45,0)</f>
        <v>0</v>
      </c>
      <c r="U570" s="8">
        <f>IF($D570='[2]Beam '!U$44,$P570*'[2]Beam '!U$45,0)</f>
        <v>45.814842857142857</v>
      </c>
      <c r="V570" s="8">
        <f>IF($D570='[2]Beam '!V$44,$P570*'[2]Beam '!V$45,0)</f>
        <v>0</v>
      </c>
      <c r="W570" s="8">
        <f>IF($D570='[2]Beam '!W$44,$P570*'[2]Beam '!W$45,0)</f>
        <v>0</v>
      </c>
      <c r="X570" s="8">
        <f t="shared" si="112"/>
        <v>45.814842857142857</v>
      </c>
      <c r="Y570" s="8"/>
    </row>
    <row r="571" spans="1:32" s="14" customFormat="1" ht="20.100000000000001" customHeight="1" x14ac:dyDescent="0.3">
      <c r="A571" s="7"/>
      <c r="B571" s="8" t="s">
        <v>2</v>
      </c>
      <c r="C571" s="13" t="s">
        <v>7</v>
      </c>
      <c r="D571" s="8">
        <v>16</v>
      </c>
      <c r="E571" s="8"/>
      <c r="F571" s="8">
        <v>2</v>
      </c>
      <c r="G571" s="9">
        <f>VLOOKUP(D571,'[2]Beam '!$C$20:$H$26,3,0)</f>
        <v>0.625</v>
      </c>
      <c r="H571" s="8"/>
      <c r="I571" s="8"/>
      <c r="J571" s="8"/>
      <c r="K571" s="8"/>
      <c r="L571" s="8"/>
      <c r="M571" s="8"/>
      <c r="N571" s="8"/>
      <c r="O571" s="8">
        <f>(E566+1*(G571+(12*D571/1000))+1*(0.5/2)*D566)</f>
        <v>5.9670000000000005</v>
      </c>
      <c r="P571" s="8">
        <f t="shared" si="111"/>
        <v>11.934000000000001</v>
      </c>
      <c r="Q571" s="8">
        <f>IF($D571='[2]Beam '!Q$44,$P571*'[2]Beam '!Q$45,0)</f>
        <v>0</v>
      </c>
      <c r="R571" s="8">
        <f>IF($D571='[2]Beam '!R$44,$P571*'[2]Beam '!R$45,0)</f>
        <v>0</v>
      </c>
      <c r="S571" s="8">
        <f>IF($D571='[2]Beam '!S$44,$P571*'[2]Beam '!S$45,0)</f>
        <v>0</v>
      </c>
      <c r="T571" s="8">
        <f>IF($D571='[2]Beam '!T$44,$P571*'[2]Beam '!T$45,0)</f>
        <v>18.843445028571431</v>
      </c>
      <c r="U571" s="8">
        <f>IF($D571='[2]Beam '!U$44,$P571*'[2]Beam '!U$45,0)</f>
        <v>0</v>
      </c>
      <c r="V571" s="8">
        <f>IF($D571='[2]Beam '!V$44,$P571*'[2]Beam '!V$45,0)</f>
        <v>0</v>
      </c>
      <c r="W571" s="8">
        <f>IF($D571='[2]Beam '!W$44,$P571*'[2]Beam '!W$45,0)</f>
        <v>0</v>
      </c>
      <c r="X571" s="8">
        <f t="shared" si="112"/>
        <v>18.843445028571431</v>
      </c>
      <c r="Y571" s="8"/>
    </row>
    <row r="572" spans="1:32" s="14" customFormat="1" ht="20.100000000000001" customHeight="1" x14ac:dyDescent="0.25">
      <c r="A572" s="7"/>
      <c r="B572" s="8" t="s">
        <v>2</v>
      </c>
      <c r="C572" s="13" t="s">
        <v>13</v>
      </c>
      <c r="D572" s="8">
        <v>10</v>
      </c>
      <c r="E572" s="8">
        <v>0.1</v>
      </c>
      <c r="F572" s="8">
        <f>ROUND(IF(E566/3&gt;(2*G566),(E566/3)/E572,(2*G566)/E572),0)*2+1</f>
        <v>45</v>
      </c>
      <c r="G572" s="10"/>
      <c r="H572" s="8"/>
      <c r="I572" s="8"/>
      <c r="J572" s="8"/>
      <c r="K572" s="8"/>
      <c r="L572" s="8"/>
      <c r="M572" s="8"/>
      <c r="N572" s="8"/>
      <c r="O572" s="8">
        <f>(2*((G566-(2*'[2]Beam '!$D$11))+(F566-(2*'[2]Beam '!$D$11)))+(2*10*D572/1000))*D566</f>
        <v>2.7600000000000002</v>
      </c>
      <c r="P572" s="8">
        <f t="shared" si="111"/>
        <v>124.20000000000002</v>
      </c>
      <c r="Q572" s="8">
        <f>IF($D572='[2]Beam '!Q$44,$P572*'[2]Beam '!Q$45,0)</f>
        <v>0</v>
      </c>
      <c r="R572" s="8">
        <f>IF($D572='[2]Beam '!R$44,$P572*'[2]Beam '!R$45,0)</f>
        <v>76.604785714285725</v>
      </c>
      <c r="S572" s="8">
        <f>IF($D572='[2]Beam '!S$44,$P572*'[2]Beam '!S$45,0)</f>
        <v>0</v>
      </c>
      <c r="T572" s="8">
        <f>IF($D572='[2]Beam '!T$44,$P572*'[2]Beam '!T$45,0)</f>
        <v>0</v>
      </c>
      <c r="U572" s="8">
        <f>IF($D572='[2]Beam '!U$44,$P572*'[2]Beam '!U$45,0)</f>
        <v>0</v>
      </c>
      <c r="V572" s="8">
        <f>IF($D572='[2]Beam '!V$44,$P572*'[2]Beam '!V$45,0)</f>
        <v>0</v>
      </c>
      <c r="W572" s="8">
        <f>IF($D572='[2]Beam '!W$44,$P572*'[2]Beam '!W$45,0)</f>
        <v>0</v>
      </c>
      <c r="X572" s="8">
        <f t="shared" si="112"/>
        <v>76.604785714285725</v>
      </c>
      <c r="Y572" s="8"/>
    </row>
    <row r="573" spans="1:32" s="10" customFormat="1" ht="20.100000000000001" customHeight="1" x14ac:dyDescent="0.25">
      <c r="A573" s="14"/>
      <c r="B573" s="8" t="s">
        <v>2</v>
      </c>
      <c r="C573" s="13" t="s">
        <v>14</v>
      </c>
      <c r="D573" s="14">
        <f>D572</f>
        <v>10</v>
      </c>
      <c r="E573" s="14">
        <v>0.15</v>
      </c>
      <c r="F573" s="14">
        <f>ROUND((E566-(IF(E566/3&gt;2*G566,E566/3*2,G566*2*2)))/E573,0)</f>
        <v>3</v>
      </c>
      <c r="H573" s="14"/>
      <c r="I573" s="14"/>
      <c r="J573" s="14"/>
      <c r="K573" s="14"/>
      <c r="L573" s="14"/>
      <c r="M573" s="14"/>
      <c r="N573" s="14"/>
      <c r="O573" s="8">
        <f>(2*((G566-(2*'[2]Beam '!$D$11))+(F566-(2*'[2]Beam '!$D$11)))+(2*10*D573/1000))*D566</f>
        <v>2.7600000000000002</v>
      </c>
      <c r="P573" s="8">
        <f t="shared" si="111"/>
        <v>8.2800000000000011</v>
      </c>
      <c r="Q573" s="8">
        <f>IF($D573='[2]Beam '!Q$44,$P573*'[2]Beam '!Q$45,0)</f>
        <v>0</v>
      </c>
      <c r="R573" s="8">
        <f>IF($D573='[2]Beam '!R$44,$P573*'[2]Beam '!R$45,0)</f>
        <v>5.1069857142857149</v>
      </c>
      <c r="S573" s="8">
        <f>IF($D573='[2]Beam '!S$44,$P573*'[2]Beam '!S$45,0)</f>
        <v>0</v>
      </c>
      <c r="T573" s="8">
        <f>IF($D573='[2]Beam '!T$44,$P573*'[2]Beam '!T$45,0)</f>
        <v>0</v>
      </c>
      <c r="U573" s="8">
        <f>IF($D573='[2]Beam '!U$44,$P573*'[2]Beam '!U$45,0)</f>
        <v>0</v>
      </c>
      <c r="V573" s="8">
        <f>IF($D573='[2]Beam '!V$44,$P573*'[2]Beam '!V$45,0)</f>
        <v>0</v>
      </c>
      <c r="W573" s="8">
        <f>IF($D573='[2]Beam '!W$44,$P573*'[2]Beam '!W$45,0)</f>
        <v>0</v>
      </c>
      <c r="X573" s="8">
        <f t="shared" si="112"/>
        <v>5.1069857142857149</v>
      </c>
      <c r="Y573" s="14"/>
      <c r="Z573" s="8"/>
      <c r="AA573" s="8"/>
      <c r="AB573" s="8"/>
      <c r="AC573" s="8"/>
      <c r="AD573" s="8"/>
      <c r="AE573" s="8"/>
    </row>
    <row r="574" spans="1:32" s="10" customFormat="1" ht="21" customHeight="1" x14ac:dyDescent="0.25">
      <c r="A574" s="14"/>
      <c r="B574" s="8" t="s">
        <v>2</v>
      </c>
      <c r="C574" s="13" t="s">
        <v>15</v>
      </c>
      <c r="D574" s="14">
        <f>D572</f>
        <v>10</v>
      </c>
      <c r="E574" s="14">
        <f>+E572</f>
        <v>0.1</v>
      </c>
      <c r="F574" s="8">
        <f>ROUND(IF(E566/3&gt;(2*G566),(E566/3)/E574,(2*G566)/E574),0)*2+1</f>
        <v>45</v>
      </c>
      <c r="H574" s="14"/>
      <c r="I574" s="14"/>
      <c r="J574" s="14"/>
      <c r="K574" s="14"/>
      <c r="L574" s="14"/>
      <c r="M574" s="14"/>
      <c r="N574" s="14"/>
      <c r="O574" s="8">
        <f>(2*(((F566-'[2]Beam '!$D$11*2)/(F567-1))+(G566-'[2]Beam '!$D$11*2))+(2*10*D574/1000))*D566</f>
        <v>2.5200000000000005</v>
      </c>
      <c r="P574" s="8">
        <f t="shared" si="111"/>
        <v>113.40000000000002</v>
      </c>
      <c r="Q574" s="8">
        <f>IF($D574='[2]Beam '!Q$44,$P574*'[2]Beam '!Q$45,0)</f>
        <v>0</v>
      </c>
      <c r="R574" s="8">
        <f>IF($D574='[2]Beam '!R$44,$P574*'[2]Beam '!R$45,0)</f>
        <v>69.943500000000014</v>
      </c>
      <c r="S574" s="8">
        <f>IF($D574='[2]Beam '!S$44,$P574*'[2]Beam '!S$45,0)</f>
        <v>0</v>
      </c>
      <c r="T574" s="8">
        <f>IF($D574='[2]Beam '!T$44,$P574*'[2]Beam '!T$45,0)</f>
        <v>0</v>
      </c>
      <c r="U574" s="8">
        <f>IF($D574='[2]Beam '!U$44,$P574*'[2]Beam '!U$45,0)</f>
        <v>0</v>
      </c>
      <c r="V574" s="8">
        <f>IF($D574='[2]Beam '!V$44,$P574*'[2]Beam '!V$45,0)</f>
        <v>0</v>
      </c>
      <c r="W574" s="8">
        <f>IF($D574='[2]Beam '!W$44,$P574*'[2]Beam '!W$45,0)</f>
        <v>0</v>
      </c>
      <c r="X574" s="8">
        <f t="shared" si="112"/>
        <v>69.943500000000014</v>
      </c>
      <c r="Y574" s="14"/>
      <c r="Z574" s="8"/>
      <c r="AA574" s="8"/>
      <c r="AB574" s="8"/>
      <c r="AC574" s="8"/>
      <c r="AD574" s="8"/>
      <c r="AE574" s="8"/>
      <c r="AF574" s="8"/>
    </row>
    <row r="575" spans="1:32" s="10" customFormat="1" ht="20.100000000000001" customHeight="1" x14ac:dyDescent="0.25">
      <c r="A575" s="14"/>
      <c r="B575" s="8" t="s">
        <v>2</v>
      </c>
      <c r="C575" s="13" t="s">
        <v>16</v>
      </c>
      <c r="D575" s="14">
        <f>D573</f>
        <v>10</v>
      </c>
      <c r="E575" s="14">
        <f>+E573</f>
        <v>0.15</v>
      </c>
      <c r="F575" s="14">
        <f>ROUND((E566-(IF(E566/3&gt;2*G566,E566/3*2,G566*2*2)))/E575,0)</f>
        <v>3</v>
      </c>
      <c r="H575" s="14"/>
      <c r="I575" s="14"/>
      <c r="J575" s="14"/>
      <c r="K575" s="14"/>
      <c r="L575" s="14"/>
      <c r="M575" s="14"/>
      <c r="N575" s="14"/>
      <c r="O575" s="8">
        <f>(2*(((F566-'[2]Beam '!$D$11*2)/(F567-1))+(G566-'[2]Beam '!$D$11*2))+(2*10*D575/1000))*D566</f>
        <v>2.5200000000000005</v>
      </c>
      <c r="P575" s="8">
        <f t="shared" si="111"/>
        <v>7.5600000000000014</v>
      </c>
      <c r="Q575" s="8">
        <f>IF($D575='[2]Beam '!Q$44,$P575*'[2]Beam '!Q$45,0)</f>
        <v>0</v>
      </c>
      <c r="R575" s="8">
        <f>IF($D575='[2]Beam '!R$44,$P575*'[2]Beam '!R$45,0)</f>
        <v>4.6629000000000005</v>
      </c>
      <c r="S575" s="8">
        <f>IF($D575='[2]Beam '!S$44,$P575*'[2]Beam '!S$45,0)</f>
        <v>0</v>
      </c>
      <c r="T575" s="8">
        <f>IF($D575='[2]Beam '!T$44,$P575*'[2]Beam '!T$45,0)</f>
        <v>0</v>
      </c>
      <c r="U575" s="8">
        <f>IF($D575='[2]Beam '!U$44,$P575*'[2]Beam '!U$45,0)</f>
        <v>0</v>
      </c>
      <c r="V575" s="8">
        <f>IF($D575='[2]Beam '!V$44,$P575*'[2]Beam '!V$45,0)</f>
        <v>0</v>
      </c>
      <c r="W575" s="8">
        <f>IF($D575='[2]Beam '!W$44,$P575*'[2]Beam '!W$45,0)</f>
        <v>0</v>
      </c>
      <c r="X575" s="8">
        <f t="shared" si="112"/>
        <v>4.6629000000000005</v>
      </c>
      <c r="Y575" s="14"/>
      <c r="Z575" s="8"/>
      <c r="AA575" s="8"/>
      <c r="AB575" s="8"/>
      <c r="AC575" s="8"/>
      <c r="AD575" s="8"/>
      <c r="AE575" s="8"/>
    </row>
    <row r="576" spans="1:32" s="10" customFormat="1" ht="20.100000000000001" customHeight="1" x14ac:dyDescent="0.25">
      <c r="A576" s="7"/>
      <c r="B576" s="8" t="s">
        <v>2</v>
      </c>
      <c r="C576" s="13" t="s">
        <v>10</v>
      </c>
      <c r="D576" s="8">
        <f>+'[2]Beam '!$D$15</f>
        <v>25</v>
      </c>
      <c r="E576" s="8">
        <f>+'[2]Beam '!$E$15</f>
        <v>1</v>
      </c>
      <c r="F576" s="8">
        <f>ROUNDUP((2.8+E566)/E576,0)</f>
        <v>8</v>
      </c>
      <c r="G576" s="9"/>
      <c r="H576" s="9"/>
      <c r="I576" s="8"/>
      <c r="J576" s="8"/>
      <c r="K576" s="8"/>
      <c r="L576" s="8"/>
      <c r="M576" s="8"/>
      <c r="N576" s="8"/>
      <c r="O576" s="8">
        <f>F566-'[2]Beam '!$F$15</f>
        <v>0.24</v>
      </c>
      <c r="P576" s="8">
        <f t="shared" si="111"/>
        <v>1.92</v>
      </c>
      <c r="Q576" s="8">
        <f>IF($D576='[2]Beam '!Q$44,$P576*'[2]Beam '!Q$45,0)</f>
        <v>0</v>
      </c>
      <c r="R576" s="8">
        <f>IF($D576='[2]Beam '!R$44,$P576*'[2]Beam '!R$45,0)</f>
        <v>0</v>
      </c>
      <c r="S576" s="8">
        <f>IF($D576='[2]Beam '!S$44,$P576*'[2]Beam '!S$45,0)</f>
        <v>0</v>
      </c>
      <c r="T576" s="8">
        <f>IF($D576='[2]Beam '!T$44,$P576*'[2]Beam '!T$45,0)</f>
        <v>0</v>
      </c>
      <c r="U576" s="8">
        <f>IF($D576='[2]Beam '!U$44,$P576*'[2]Beam '!U$45,0)</f>
        <v>0</v>
      </c>
      <c r="V576" s="8">
        <f>IF($D576='[2]Beam '!V$44,$P576*'[2]Beam '!V$45,0)</f>
        <v>7.4014285714285721</v>
      </c>
      <c r="W576" s="8">
        <f>IF($D576='[2]Beam '!W$44,$P576*'[2]Beam '!W$45,0)</f>
        <v>0</v>
      </c>
      <c r="X576" s="8">
        <f t="shared" si="112"/>
        <v>7.4014285714285721</v>
      </c>
      <c r="Y576" s="8"/>
      <c r="Z576" s="8"/>
      <c r="AA576" s="8"/>
      <c r="AB576" s="8"/>
      <c r="AC576" s="8"/>
      <c r="AD576" s="8"/>
      <c r="AE576" s="8"/>
    </row>
    <row r="577" spans="1:32" s="10" customFormat="1" ht="20.100000000000001" customHeight="1" x14ac:dyDescent="0.25">
      <c r="A577" s="8">
        <v>1</v>
      </c>
      <c r="B577" s="8" t="s">
        <v>2</v>
      </c>
      <c r="C577" s="11" t="s">
        <v>77</v>
      </c>
      <c r="D577" s="11">
        <v>1</v>
      </c>
      <c r="E577" s="11">
        <v>6.2</v>
      </c>
      <c r="F577" s="11">
        <v>0.45</v>
      </c>
      <c r="G577" s="11">
        <v>0.5</v>
      </c>
      <c r="H577" s="8">
        <f>G577-0.2</f>
        <v>0.3</v>
      </c>
      <c r="I577" s="8">
        <f>E577*F577*G577*D577</f>
        <v>1.395</v>
      </c>
      <c r="J577" s="8">
        <f>(2*(E577)*H577*D577)+(E577*F577)</f>
        <v>6.51</v>
      </c>
      <c r="K577" s="12">
        <f>IF(E577=0.3,J577,0)</f>
        <v>0</v>
      </c>
      <c r="L577" s="12">
        <f>IF(AND(E577&gt;0.3,E577&lt;=0.75),J577,0)</f>
        <v>0</v>
      </c>
      <c r="M577" s="12">
        <f>IF(AND(E577&gt;0.75,E577&lt;=1.2),J577,0)</f>
        <v>0</v>
      </c>
      <c r="N577" s="12">
        <f>IF(E577&gt;1.2,J577,0)</f>
        <v>6.51</v>
      </c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>
        <f>SUM(X578:X584)/I577</f>
        <v>122.22993269841271</v>
      </c>
      <c r="Z577" s="8"/>
      <c r="AA577" s="8"/>
      <c r="AB577" s="8"/>
      <c r="AC577" s="8"/>
      <c r="AD577" s="8"/>
      <c r="AE577" s="8"/>
    </row>
    <row r="578" spans="1:32" s="10" customFormat="1" ht="20.100000000000001" customHeight="1" x14ac:dyDescent="0.25">
      <c r="A578" s="7"/>
      <c r="B578" s="8" t="s">
        <v>2</v>
      </c>
      <c r="C578" s="13" t="s">
        <v>4</v>
      </c>
      <c r="D578" s="8">
        <v>16</v>
      </c>
      <c r="E578" s="8"/>
      <c r="F578" s="8">
        <v>4</v>
      </c>
      <c r="G578" s="9">
        <f>VLOOKUP(D578,'[2]Beam '!$C$20:$H$26,3,0)</f>
        <v>0.625</v>
      </c>
      <c r="H578" s="9"/>
      <c r="I578" s="8"/>
      <c r="J578" s="8"/>
      <c r="K578" s="8"/>
      <c r="L578" s="8"/>
      <c r="M578" s="8"/>
      <c r="N578" s="8"/>
      <c r="O578" s="8">
        <f>(E577+1*(G578+(12*D578/1000))+1*(G578)*D577)</f>
        <v>7.6420000000000003</v>
      </c>
      <c r="P578" s="8">
        <f t="shared" ref="P578:P585" si="113">O578*F578</f>
        <v>30.568000000000001</v>
      </c>
      <c r="Q578" s="8">
        <f>IF($D578='[2]Beam '!Q$44,$P578*'[2]Beam '!Q$45,0)</f>
        <v>0</v>
      </c>
      <c r="R578" s="8">
        <f>IF($D578='[2]Beam '!R$44,$P578*'[2]Beam '!R$45,0)</f>
        <v>0</v>
      </c>
      <c r="S578" s="8">
        <f>IF($D578='[2]Beam '!S$44,$P578*'[2]Beam '!S$45,0)</f>
        <v>0</v>
      </c>
      <c r="T578" s="8">
        <f>IF($D578='[2]Beam '!T$44,$P578*'[2]Beam '!T$45,0)</f>
        <v>48.265998628571431</v>
      </c>
      <c r="U578" s="8">
        <f>IF($D578='[2]Beam '!U$44,$P578*'[2]Beam '!U$45,0)</f>
        <v>0</v>
      </c>
      <c r="V578" s="8">
        <f>IF($D578='[2]Beam '!V$44,$P578*'[2]Beam '!V$45,0)</f>
        <v>0</v>
      </c>
      <c r="W578" s="8">
        <f>IF($D578='[2]Beam '!W$44,$P578*'[2]Beam '!W$45,0)</f>
        <v>0</v>
      </c>
      <c r="X578" s="8">
        <f t="shared" ref="X578:X585" si="114">SUM(Q578:W578)</f>
        <v>48.265998628571431</v>
      </c>
      <c r="Y578" s="8"/>
      <c r="Z578" s="8"/>
      <c r="AA578" s="8"/>
      <c r="AB578" s="8"/>
      <c r="AC578" s="8"/>
      <c r="AD578" s="8"/>
      <c r="AE578" s="8"/>
    </row>
    <row r="579" spans="1:32" s="14" customFormat="1" ht="20.100000000000001" customHeight="1" x14ac:dyDescent="0.3">
      <c r="A579" s="7"/>
      <c r="B579" s="8" t="s">
        <v>2</v>
      </c>
      <c r="C579" s="13" t="s">
        <v>6</v>
      </c>
      <c r="D579" s="8">
        <v>16</v>
      </c>
      <c r="E579" s="8"/>
      <c r="F579" s="8">
        <v>4</v>
      </c>
      <c r="G579" s="9">
        <f>VLOOKUP(D579,'[2]Beam '!$C$20:$H$26,3,0)</f>
        <v>0.625</v>
      </c>
      <c r="H579" s="8"/>
      <c r="I579" s="8"/>
      <c r="J579" s="8"/>
      <c r="K579" s="8"/>
      <c r="L579" s="8"/>
      <c r="M579" s="8"/>
      <c r="N579" s="8"/>
      <c r="O579" s="8">
        <f>(E577+1*(G579+(12*D579/1000))+1*(G579)*D577)</f>
        <v>7.6420000000000003</v>
      </c>
      <c r="P579" s="8">
        <f t="shared" si="113"/>
        <v>30.568000000000001</v>
      </c>
      <c r="Q579" s="8">
        <f>IF($D579='[2]Beam '!Q$44,$P579*'[2]Beam '!Q$45,0)</f>
        <v>0</v>
      </c>
      <c r="R579" s="8">
        <f>IF($D579='[2]Beam '!R$44,$P579*'[2]Beam '!R$45,0)</f>
        <v>0</v>
      </c>
      <c r="S579" s="8">
        <f>IF($D579='[2]Beam '!S$44,$P579*'[2]Beam '!S$45,0)</f>
        <v>0</v>
      </c>
      <c r="T579" s="8">
        <f>IF($D579='[2]Beam '!T$44,$P579*'[2]Beam '!T$45,0)</f>
        <v>48.265998628571431</v>
      </c>
      <c r="U579" s="8">
        <f>IF($D579='[2]Beam '!U$44,$P579*'[2]Beam '!U$45,0)</f>
        <v>0</v>
      </c>
      <c r="V579" s="8">
        <f>IF($D579='[2]Beam '!V$44,$P579*'[2]Beam '!V$45,0)</f>
        <v>0</v>
      </c>
      <c r="W579" s="8">
        <f>IF($D579='[2]Beam '!W$44,$P579*'[2]Beam '!W$45,0)</f>
        <v>0</v>
      </c>
      <c r="X579" s="8">
        <f t="shared" si="114"/>
        <v>48.265998628571431</v>
      </c>
      <c r="Y579" s="8"/>
    </row>
    <row r="580" spans="1:32" s="14" customFormat="1" ht="20.100000000000001" customHeight="1" x14ac:dyDescent="0.3">
      <c r="A580" s="7"/>
      <c r="B580" s="8" t="s">
        <v>2</v>
      </c>
      <c r="C580" s="13" t="s">
        <v>7</v>
      </c>
      <c r="D580" s="8">
        <v>12</v>
      </c>
      <c r="E580" s="8"/>
      <c r="F580" s="8">
        <v>2</v>
      </c>
      <c r="G580" s="9">
        <f>VLOOKUP(D580,'[2]Beam '!$C$20:$H$26,3,0)</f>
        <v>0.47499999999999998</v>
      </c>
      <c r="H580" s="8"/>
      <c r="I580" s="8"/>
      <c r="J580" s="8"/>
      <c r="K580" s="8"/>
      <c r="L580" s="8"/>
      <c r="M580" s="8"/>
      <c r="N580" s="8"/>
      <c r="O580" s="8">
        <f>+E577-0.65-0.65</f>
        <v>4.8999999999999995</v>
      </c>
      <c r="P580" s="8">
        <f t="shared" si="113"/>
        <v>9.7999999999999989</v>
      </c>
      <c r="Q580" s="8">
        <f>IF($D580='[2]Beam '!Q$44,$P580*'[2]Beam '!Q$45,0)</f>
        <v>0</v>
      </c>
      <c r="R580" s="8">
        <f>IF($D580='[2]Beam '!R$44,$P580*'[2]Beam '!R$45,0)</f>
        <v>0</v>
      </c>
      <c r="S580" s="8">
        <f>IF($D580='[2]Beam '!S$44,$P580*'[2]Beam '!S$45,0)</f>
        <v>8.7040800000000011</v>
      </c>
      <c r="T580" s="8">
        <f>IF($D580='[2]Beam '!T$44,$P580*'[2]Beam '!T$45,0)</f>
        <v>0</v>
      </c>
      <c r="U580" s="8">
        <f>IF($D580='[2]Beam '!U$44,$P580*'[2]Beam '!U$45,0)</f>
        <v>0</v>
      </c>
      <c r="V580" s="8">
        <f>IF($D580='[2]Beam '!V$44,$P580*'[2]Beam '!V$45,0)</f>
        <v>0</v>
      </c>
      <c r="W580" s="8">
        <f>IF($D580='[2]Beam '!W$44,$P580*'[2]Beam '!W$45,0)</f>
        <v>0</v>
      </c>
      <c r="X580" s="8">
        <f t="shared" si="114"/>
        <v>8.7040800000000011</v>
      </c>
      <c r="Y580" s="8"/>
    </row>
    <row r="581" spans="1:32" s="14" customFormat="1" ht="20.100000000000001" customHeight="1" x14ac:dyDescent="0.25">
      <c r="A581" s="7"/>
      <c r="B581" s="8" t="s">
        <v>2</v>
      </c>
      <c r="C581" s="13" t="s">
        <v>13</v>
      </c>
      <c r="D581" s="8">
        <v>8</v>
      </c>
      <c r="E581" s="8">
        <v>0.1</v>
      </c>
      <c r="F581" s="8">
        <f>ROUND(IF(E577/3&gt;(2*G577),(E577/3)/E581,(2*G577)/E581),0)*2+1</f>
        <v>43</v>
      </c>
      <c r="G581" s="10"/>
      <c r="H581" s="8"/>
      <c r="I581" s="8"/>
      <c r="J581" s="8"/>
      <c r="K581" s="8"/>
      <c r="L581" s="8"/>
      <c r="M581" s="8"/>
      <c r="N581" s="8"/>
      <c r="O581" s="8">
        <f>(2*((G577-(2*'[2]Beam '!$D$11))+(F577-(2*'[2]Beam '!$D$11)))+(2*10*D581/1000))*D577</f>
        <v>1.82</v>
      </c>
      <c r="P581" s="8">
        <f t="shared" si="113"/>
        <v>78.260000000000005</v>
      </c>
      <c r="Q581" s="8">
        <f>IF($D581='[2]Beam '!Q$44,$P581*'[2]Beam '!Q$45,0)</f>
        <v>30.892576000000005</v>
      </c>
      <c r="R581" s="8">
        <f>IF($D581='[2]Beam '!R$44,$P581*'[2]Beam '!R$45,0)</f>
        <v>0</v>
      </c>
      <c r="S581" s="8">
        <f>IF($D581='[2]Beam '!S$44,$P581*'[2]Beam '!S$45,0)</f>
        <v>0</v>
      </c>
      <c r="T581" s="8">
        <f>IF($D581='[2]Beam '!T$44,$P581*'[2]Beam '!T$45,0)</f>
        <v>0</v>
      </c>
      <c r="U581" s="8">
        <f>IF($D581='[2]Beam '!U$44,$P581*'[2]Beam '!U$45,0)</f>
        <v>0</v>
      </c>
      <c r="V581" s="8">
        <f>IF($D581='[2]Beam '!V$44,$P581*'[2]Beam '!V$45,0)</f>
        <v>0</v>
      </c>
      <c r="W581" s="8">
        <f>IF($D581='[2]Beam '!W$44,$P581*'[2]Beam '!W$45,0)</f>
        <v>0</v>
      </c>
      <c r="X581" s="8">
        <f t="shared" si="114"/>
        <v>30.892576000000005</v>
      </c>
      <c r="Y581" s="8"/>
    </row>
    <row r="582" spans="1:32" s="10" customFormat="1" ht="20.100000000000001" customHeight="1" x14ac:dyDescent="0.25">
      <c r="A582" s="14"/>
      <c r="B582" s="8" t="s">
        <v>2</v>
      </c>
      <c r="C582" s="13" t="s">
        <v>14</v>
      </c>
      <c r="D582" s="14">
        <f>D581</f>
        <v>8</v>
      </c>
      <c r="E582" s="14">
        <v>0.2</v>
      </c>
      <c r="F582" s="14">
        <f>ROUND((E577-(IF(E577/3&gt;2*G577,E577/3*2,G577*2*2)))/E582,0)</f>
        <v>10</v>
      </c>
      <c r="H582" s="14"/>
      <c r="I582" s="14"/>
      <c r="J582" s="14"/>
      <c r="K582" s="14"/>
      <c r="L582" s="14"/>
      <c r="M582" s="14"/>
      <c r="N582" s="14"/>
      <c r="O582" s="8">
        <f>(2*((G577-(2*'[2]Beam '!$D$11))+(F577-(2*'[2]Beam '!$D$11)))+(2*10*D582/1000))*D577</f>
        <v>1.82</v>
      </c>
      <c r="P582" s="8">
        <f t="shared" si="113"/>
        <v>18.2</v>
      </c>
      <c r="Q582" s="8">
        <f>IF($D582='[2]Beam '!Q$44,$P582*'[2]Beam '!Q$45,0)</f>
        <v>7.1843200000000005</v>
      </c>
      <c r="R582" s="8">
        <f>IF($D582='[2]Beam '!R$44,$P582*'[2]Beam '!R$45,0)</f>
        <v>0</v>
      </c>
      <c r="S582" s="8">
        <f>IF($D582='[2]Beam '!S$44,$P582*'[2]Beam '!S$45,0)</f>
        <v>0</v>
      </c>
      <c r="T582" s="8">
        <f>IF($D582='[2]Beam '!T$44,$P582*'[2]Beam '!T$45,0)</f>
        <v>0</v>
      </c>
      <c r="U582" s="8">
        <f>IF($D582='[2]Beam '!U$44,$P582*'[2]Beam '!U$45,0)</f>
        <v>0</v>
      </c>
      <c r="V582" s="8">
        <f>IF($D582='[2]Beam '!V$44,$P582*'[2]Beam '!V$45,0)</f>
        <v>0</v>
      </c>
      <c r="W582" s="8">
        <f>IF($D582='[2]Beam '!W$44,$P582*'[2]Beam '!W$45,0)</f>
        <v>0</v>
      </c>
      <c r="X582" s="8">
        <f t="shared" si="114"/>
        <v>7.1843200000000005</v>
      </c>
      <c r="Y582" s="14"/>
      <c r="Z582" s="8"/>
      <c r="AA582" s="8"/>
      <c r="AB582" s="8"/>
      <c r="AC582" s="8"/>
      <c r="AD582" s="8"/>
      <c r="AE582" s="8"/>
    </row>
    <row r="583" spans="1:32" s="10" customFormat="1" ht="21" customHeight="1" x14ac:dyDescent="0.25">
      <c r="A583" s="14"/>
      <c r="B583" s="8" t="s">
        <v>2</v>
      </c>
      <c r="C583" s="13" t="s">
        <v>15</v>
      </c>
      <c r="D583" s="14">
        <f>D581</f>
        <v>8</v>
      </c>
      <c r="E583" s="14">
        <f>+E581</f>
        <v>0.1</v>
      </c>
      <c r="F583" s="8">
        <f>ROUND(IF(E577/3&gt;(2*G577),(E577/3)/E583,(2*G577)/E583),0)*2+1</f>
        <v>43</v>
      </c>
      <c r="H583" s="14"/>
      <c r="I583" s="14"/>
      <c r="J583" s="14"/>
      <c r="K583" s="14"/>
      <c r="L583" s="14"/>
      <c r="M583" s="14"/>
      <c r="N583" s="14"/>
      <c r="O583" s="8">
        <f>(2*(((F577-'[2]Beam '!$D$11*2)/(F578-1))+(G577-'[2]Beam '!$D$11*2))+(2*10*D583/1000))*D577</f>
        <v>1.3</v>
      </c>
      <c r="P583" s="8">
        <f t="shared" si="113"/>
        <v>55.9</v>
      </c>
      <c r="Q583" s="8">
        <f>IF($D583='[2]Beam '!Q$44,$P583*'[2]Beam '!Q$45,0)</f>
        <v>22.066125714285715</v>
      </c>
      <c r="R583" s="8">
        <f>IF($D583='[2]Beam '!R$44,$P583*'[2]Beam '!R$45,0)</f>
        <v>0</v>
      </c>
      <c r="S583" s="8">
        <f>IF($D583='[2]Beam '!S$44,$P583*'[2]Beam '!S$45,0)</f>
        <v>0</v>
      </c>
      <c r="T583" s="8">
        <f>IF($D583='[2]Beam '!T$44,$P583*'[2]Beam '!T$45,0)</f>
        <v>0</v>
      </c>
      <c r="U583" s="8">
        <f>IF($D583='[2]Beam '!U$44,$P583*'[2]Beam '!U$45,0)</f>
        <v>0</v>
      </c>
      <c r="V583" s="8">
        <f>IF($D583='[2]Beam '!V$44,$P583*'[2]Beam '!V$45,0)</f>
        <v>0</v>
      </c>
      <c r="W583" s="8">
        <f>IF($D583='[2]Beam '!W$44,$P583*'[2]Beam '!W$45,0)</f>
        <v>0</v>
      </c>
      <c r="X583" s="8">
        <f t="shared" si="114"/>
        <v>22.066125714285715</v>
      </c>
      <c r="Y583" s="14"/>
      <c r="Z583" s="8"/>
      <c r="AA583" s="8"/>
      <c r="AB583" s="8"/>
      <c r="AC583" s="8"/>
      <c r="AD583" s="8"/>
      <c r="AE583" s="8"/>
      <c r="AF583" s="8"/>
    </row>
    <row r="584" spans="1:32" s="10" customFormat="1" ht="20.100000000000001" customHeight="1" x14ac:dyDescent="0.25">
      <c r="A584" s="14"/>
      <c r="B584" s="8" t="s">
        <v>2</v>
      </c>
      <c r="C584" s="13" t="s">
        <v>16</v>
      </c>
      <c r="D584" s="14">
        <f>D582</f>
        <v>8</v>
      </c>
      <c r="E584" s="14">
        <f>+E582</f>
        <v>0.2</v>
      </c>
      <c r="F584" s="14">
        <f>ROUND((E577-(IF(E577/3&gt;2*G577,E577/3*2,G577*2*2)))/E584,0)</f>
        <v>10</v>
      </c>
      <c r="H584" s="14"/>
      <c r="I584" s="14"/>
      <c r="J584" s="14"/>
      <c r="K584" s="14"/>
      <c r="L584" s="14"/>
      <c r="M584" s="14"/>
      <c r="N584" s="14"/>
      <c r="O584" s="8">
        <f>(2*(((F577-'[2]Beam '!$D$11*2)/(F578-1))+(G577-'[2]Beam '!$D$11*2))+(2*10*D584/1000))*D577</f>
        <v>1.3</v>
      </c>
      <c r="P584" s="8">
        <f t="shared" si="113"/>
        <v>13</v>
      </c>
      <c r="Q584" s="8">
        <f>IF($D584='[2]Beam '!Q$44,$P584*'[2]Beam '!Q$45,0)</f>
        <v>5.1316571428571436</v>
      </c>
      <c r="R584" s="8">
        <f>IF($D584='[2]Beam '!R$44,$P584*'[2]Beam '!R$45,0)</f>
        <v>0</v>
      </c>
      <c r="S584" s="8">
        <f>IF($D584='[2]Beam '!S$44,$P584*'[2]Beam '!S$45,0)</f>
        <v>0</v>
      </c>
      <c r="T584" s="8">
        <f>IF($D584='[2]Beam '!T$44,$P584*'[2]Beam '!T$45,0)</f>
        <v>0</v>
      </c>
      <c r="U584" s="8">
        <f>IF($D584='[2]Beam '!U$44,$P584*'[2]Beam '!U$45,0)</f>
        <v>0</v>
      </c>
      <c r="V584" s="8">
        <f>IF($D584='[2]Beam '!V$44,$P584*'[2]Beam '!V$45,0)</f>
        <v>0</v>
      </c>
      <c r="W584" s="8">
        <f>IF($D584='[2]Beam '!W$44,$P584*'[2]Beam '!W$45,0)</f>
        <v>0</v>
      </c>
      <c r="X584" s="8">
        <f t="shared" si="114"/>
        <v>5.1316571428571436</v>
      </c>
      <c r="Y584" s="14"/>
      <c r="Z584" s="8"/>
      <c r="AA584" s="8"/>
      <c r="AB584" s="8"/>
      <c r="AC584" s="8"/>
      <c r="AD584" s="8"/>
      <c r="AE584" s="8"/>
    </row>
    <row r="585" spans="1:32" s="10" customFormat="1" ht="20.100000000000001" customHeight="1" x14ac:dyDescent="0.25">
      <c r="A585" s="7"/>
      <c r="B585" s="8" t="s">
        <v>2</v>
      </c>
      <c r="C585" s="13" t="s">
        <v>10</v>
      </c>
      <c r="D585" s="8">
        <f>+'[2]Beam '!$D$15</f>
        <v>25</v>
      </c>
      <c r="E585" s="8">
        <f>+'[2]Beam '!$E$15</f>
        <v>1</v>
      </c>
      <c r="F585" s="8">
        <f>ROUNDUP((4.96)/E585,0)</f>
        <v>5</v>
      </c>
      <c r="G585" s="9"/>
      <c r="H585" s="9"/>
      <c r="I585" s="8"/>
      <c r="J585" s="8"/>
      <c r="K585" s="8"/>
      <c r="L585" s="8"/>
      <c r="M585" s="8"/>
      <c r="N585" s="8"/>
      <c r="O585" s="8">
        <f>F577-'[2]Beam '!$F$15</f>
        <v>0.39</v>
      </c>
      <c r="P585" s="8">
        <f t="shared" si="113"/>
        <v>1.9500000000000002</v>
      </c>
      <c r="Q585" s="8">
        <f>IF($D585='[2]Beam '!Q$44,$P585*'[2]Beam '!Q$45,0)</f>
        <v>0</v>
      </c>
      <c r="R585" s="8">
        <f>IF($D585='[2]Beam '!R$44,$P585*'[2]Beam '!R$45,0)</f>
        <v>0</v>
      </c>
      <c r="S585" s="8">
        <f>IF($D585='[2]Beam '!S$44,$P585*'[2]Beam '!S$45,0)</f>
        <v>0</v>
      </c>
      <c r="T585" s="8">
        <f>IF($D585='[2]Beam '!T$44,$P585*'[2]Beam '!T$45,0)</f>
        <v>0</v>
      </c>
      <c r="U585" s="8">
        <f>IF($D585='[2]Beam '!U$44,$P585*'[2]Beam '!U$45,0)</f>
        <v>0</v>
      </c>
      <c r="V585" s="8">
        <f>IF($D585='[2]Beam '!V$44,$P585*'[2]Beam '!V$45,0)</f>
        <v>7.5170758928571448</v>
      </c>
      <c r="W585" s="8">
        <f>IF($D585='[2]Beam '!W$44,$P585*'[2]Beam '!W$45,0)</f>
        <v>0</v>
      </c>
      <c r="X585" s="8">
        <f t="shared" si="114"/>
        <v>7.5170758928571448</v>
      </c>
      <c r="Y585" s="8"/>
      <c r="Z585" s="8"/>
      <c r="AA585" s="8"/>
      <c r="AB585" s="8"/>
      <c r="AC585" s="8"/>
      <c r="AD585" s="8"/>
      <c r="AE585" s="8"/>
    </row>
    <row r="586" spans="1:32" s="10" customFormat="1" ht="20.100000000000001" customHeight="1" x14ac:dyDescent="0.25">
      <c r="A586" s="8">
        <v>1</v>
      </c>
      <c r="B586" s="8" t="s">
        <v>2</v>
      </c>
      <c r="C586" s="11" t="s">
        <v>78</v>
      </c>
      <c r="D586" s="11">
        <v>1</v>
      </c>
      <c r="E586" s="11">
        <v>2.5</v>
      </c>
      <c r="F586" s="11">
        <v>0.4</v>
      </c>
      <c r="G586" s="11">
        <v>0.5</v>
      </c>
      <c r="H586" s="8">
        <f>G586-0.2</f>
        <v>0.3</v>
      </c>
      <c r="I586" s="8">
        <f>E586*F586*G586*D586</f>
        <v>0.5</v>
      </c>
      <c r="J586" s="8">
        <f>(2*(E586)*H586*D586)+(E586*F586)</f>
        <v>2.5</v>
      </c>
      <c r="K586" s="12">
        <f>IF(E586=0.3,J586,0)</f>
        <v>0</v>
      </c>
      <c r="L586" s="12">
        <f>IF(AND(E586&gt;0.3,E586&lt;=0.75),J586,0)</f>
        <v>0</v>
      </c>
      <c r="M586" s="12">
        <f>IF(AND(E586&gt;0.75,E586&lt;=1.2),J586,0)</f>
        <v>0</v>
      </c>
      <c r="N586" s="12">
        <f>IF(E586&gt;1.2,J586,0)</f>
        <v>2.5</v>
      </c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>
        <f>SUM(X587:X590)/I586</f>
        <v>157.2213430857143</v>
      </c>
      <c r="Z586" s="8"/>
      <c r="AA586" s="8"/>
      <c r="AB586" s="8"/>
      <c r="AC586" s="8"/>
      <c r="AD586" s="8"/>
      <c r="AE586" s="8"/>
    </row>
    <row r="587" spans="1:32" s="14" customFormat="1" ht="20.100000000000001" customHeight="1" x14ac:dyDescent="0.3">
      <c r="A587" s="7"/>
      <c r="B587" s="8" t="s">
        <v>2</v>
      </c>
      <c r="C587" s="13" t="s">
        <v>4</v>
      </c>
      <c r="D587" s="8">
        <v>16</v>
      </c>
      <c r="E587" s="8"/>
      <c r="F587" s="8">
        <v>4</v>
      </c>
      <c r="G587" s="9">
        <f>VLOOKUP(D587,'[2]Beam '!$C$20:$H$26,3,0)</f>
        <v>0.625</v>
      </c>
      <c r="H587" s="9"/>
      <c r="I587" s="8"/>
      <c r="J587" s="8"/>
      <c r="K587" s="8"/>
      <c r="L587" s="8"/>
      <c r="M587" s="8"/>
      <c r="N587" s="8"/>
      <c r="O587" s="8">
        <f>(E586+1*(G587+(12*D587/1000))+1*(G587)*D586)</f>
        <v>3.9420000000000002</v>
      </c>
      <c r="P587" s="8">
        <f>O587*F587</f>
        <v>15.768000000000001</v>
      </c>
      <c r="Q587" s="8">
        <f>IF($D587='[2]Beam '!Q$44,$P587*'[2]Beam '!Q$45,0)</f>
        <v>0</v>
      </c>
      <c r="R587" s="8">
        <f>IF($D587='[2]Beam '!R$44,$P587*'[2]Beam '!R$45,0)</f>
        <v>0</v>
      </c>
      <c r="S587" s="8">
        <f>IF($D587='[2]Beam '!S$44,$P587*'[2]Beam '!S$45,0)</f>
        <v>0</v>
      </c>
      <c r="T587" s="8">
        <f>IF($D587='[2]Beam '!T$44,$P587*'[2]Beam '!T$45,0)</f>
        <v>24.89722148571429</v>
      </c>
      <c r="U587" s="8">
        <f>IF($D587='[2]Beam '!U$44,$P587*'[2]Beam '!U$45,0)</f>
        <v>0</v>
      </c>
      <c r="V587" s="8">
        <f>IF($D587='[2]Beam '!V$44,$P587*'[2]Beam '!V$45,0)</f>
        <v>0</v>
      </c>
      <c r="W587" s="8">
        <f>IF($D587='[2]Beam '!W$44,$P587*'[2]Beam '!W$45,0)</f>
        <v>0</v>
      </c>
      <c r="X587" s="8">
        <f>SUM(Q587:W587)</f>
        <v>24.89722148571429</v>
      </c>
      <c r="Y587" s="8"/>
    </row>
    <row r="588" spans="1:32" s="10" customFormat="1" ht="20.100000000000001" customHeight="1" x14ac:dyDescent="0.25">
      <c r="A588" s="7"/>
      <c r="B588" s="8" t="s">
        <v>2</v>
      </c>
      <c r="C588" s="13" t="s">
        <v>6</v>
      </c>
      <c r="D588" s="8">
        <v>16</v>
      </c>
      <c r="E588" s="8"/>
      <c r="F588" s="8">
        <v>4</v>
      </c>
      <c r="G588" s="9">
        <f>VLOOKUP(D588,'[2]Beam '!$C$20:$H$26,3,0)</f>
        <v>0.625</v>
      </c>
      <c r="H588" s="8"/>
      <c r="I588" s="8"/>
      <c r="J588" s="8"/>
      <c r="K588" s="8"/>
      <c r="L588" s="8"/>
      <c r="M588" s="8"/>
      <c r="N588" s="8"/>
      <c r="O588" s="8">
        <f>(E586+1*(G588+(12*D588/1000))+1*(G588)*D586)</f>
        <v>3.9420000000000002</v>
      </c>
      <c r="P588" s="8">
        <f>O588*F588</f>
        <v>15.768000000000001</v>
      </c>
      <c r="Q588" s="8">
        <f>IF($D588='[2]Beam '!Q$44,$P588*'[2]Beam '!Q$45,0)</f>
        <v>0</v>
      </c>
      <c r="R588" s="8">
        <f>IF($D588='[2]Beam '!R$44,$P588*'[2]Beam '!R$45,0)</f>
        <v>0</v>
      </c>
      <c r="S588" s="8">
        <f>IF($D588='[2]Beam '!S$44,$P588*'[2]Beam '!S$45,0)</f>
        <v>0</v>
      </c>
      <c r="T588" s="8">
        <f>IF($D588='[2]Beam '!T$44,$P588*'[2]Beam '!T$45,0)</f>
        <v>24.89722148571429</v>
      </c>
      <c r="U588" s="8">
        <f>IF($D588='[2]Beam '!U$44,$P588*'[2]Beam '!U$45,0)</f>
        <v>0</v>
      </c>
      <c r="V588" s="8">
        <f>IF($D588='[2]Beam '!V$44,$P588*'[2]Beam '!V$45,0)</f>
        <v>0</v>
      </c>
      <c r="W588" s="8">
        <f>IF($D588='[2]Beam '!W$44,$P588*'[2]Beam '!W$45,0)</f>
        <v>0</v>
      </c>
      <c r="X588" s="8">
        <f>SUM(Q588:W588)</f>
        <v>24.89722148571429</v>
      </c>
      <c r="Y588" s="8"/>
      <c r="Z588" s="8"/>
      <c r="AA588" s="8"/>
      <c r="AB588" s="8"/>
      <c r="AC588" s="8"/>
      <c r="AD588" s="8"/>
      <c r="AE588" s="8"/>
    </row>
    <row r="589" spans="1:32" s="10" customFormat="1" ht="21" customHeight="1" x14ac:dyDescent="0.25">
      <c r="A589" s="7"/>
      <c r="B589" s="8" t="s">
        <v>2</v>
      </c>
      <c r="C589" s="13" t="s">
        <v>8</v>
      </c>
      <c r="D589" s="8">
        <v>8</v>
      </c>
      <c r="E589" s="8">
        <v>0.1</v>
      </c>
      <c r="F589" s="8">
        <f>ROUNDUP(E586/E589,0)</f>
        <v>25</v>
      </c>
      <c r="H589" s="8"/>
      <c r="I589" s="8"/>
      <c r="J589" s="8"/>
      <c r="K589" s="8"/>
      <c r="L589" s="8"/>
      <c r="M589" s="8"/>
      <c r="N589" s="8"/>
      <c r="O589" s="8">
        <f>(2*((G586-(2*'[2]Beam '!$D$11))+(F586-(2*'[2]Beam '!$D$11)))+(2*10*D589/1000))*D586</f>
        <v>1.72</v>
      </c>
      <c r="P589" s="8">
        <f>O589*F589</f>
        <v>43</v>
      </c>
      <c r="Q589" s="8">
        <f>IF($D589='[2]Beam '!Q$44,$P589*'[2]Beam '!Q$45,0)</f>
        <v>16.973942857142859</v>
      </c>
      <c r="R589" s="8">
        <f>IF($D589='[2]Beam '!R$44,$P589*'[2]Beam '!R$45,0)</f>
        <v>0</v>
      </c>
      <c r="S589" s="8">
        <f>IF($D589='[2]Beam '!S$44,$P589*'[2]Beam '!S$45,0)</f>
        <v>0</v>
      </c>
      <c r="T589" s="8">
        <f>IF($D589='[2]Beam '!T$44,$P589*'[2]Beam '!T$45,0)</f>
        <v>0</v>
      </c>
      <c r="U589" s="8">
        <f>IF($D589='[2]Beam '!U$44,$P589*'[2]Beam '!U$45,0)</f>
        <v>0</v>
      </c>
      <c r="V589" s="8">
        <f>IF($D589='[2]Beam '!V$44,$P589*'[2]Beam '!V$45,0)</f>
        <v>0</v>
      </c>
      <c r="W589" s="8">
        <f>IF($D589='[2]Beam '!W$44,$P589*'[2]Beam '!W$45,0)</f>
        <v>0</v>
      </c>
      <c r="X589" s="8">
        <f>SUM(Q589:W589)</f>
        <v>16.973942857142859</v>
      </c>
      <c r="Y589" s="8"/>
      <c r="Z589" s="8"/>
      <c r="AA589" s="8"/>
      <c r="AB589" s="8"/>
      <c r="AC589" s="8"/>
      <c r="AD589" s="8"/>
      <c r="AE589" s="8"/>
      <c r="AF589" s="8"/>
    </row>
    <row r="590" spans="1:32" s="10" customFormat="1" ht="20.100000000000001" customHeight="1" x14ac:dyDescent="0.25">
      <c r="A590" s="14"/>
      <c r="B590" s="8" t="s">
        <v>2</v>
      </c>
      <c r="C590" s="13" t="s">
        <v>9</v>
      </c>
      <c r="D590" s="8">
        <f>+D589</f>
        <v>8</v>
      </c>
      <c r="E590" s="14">
        <f>+E589</f>
        <v>0.1</v>
      </c>
      <c r="F590" s="8">
        <f>ROUNDUP(E586/E590,0)</f>
        <v>25</v>
      </c>
      <c r="H590" s="14"/>
      <c r="I590" s="14"/>
      <c r="J590" s="14"/>
      <c r="K590" s="14"/>
      <c r="L590" s="14"/>
      <c r="M590" s="14"/>
      <c r="N590" s="14"/>
      <c r="O590" s="8">
        <f>((((G586-(2*'[2]Beam '!$D$11))+(2*10*D590/1000))*D586))*2</f>
        <v>1.2</v>
      </c>
      <c r="P590" s="8">
        <f>O590*F590</f>
        <v>30</v>
      </c>
      <c r="Q590" s="8">
        <f>IF($D590='[2]Beam '!Q$44,$P590*'[2]Beam '!Q$45,0)</f>
        <v>11.842285714285715</v>
      </c>
      <c r="R590" s="8">
        <f>IF($D590='[2]Beam '!R$44,$P590*'[2]Beam '!R$45,0)</f>
        <v>0</v>
      </c>
      <c r="S590" s="8">
        <f>IF($D590='[2]Beam '!S$44,$P590*'[2]Beam '!S$45,0)</f>
        <v>0</v>
      </c>
      <c r="T590" s="8">
        <f>IF($D590='[2]Beam '!T$44,$P590*'[2]Beam '!T$45,0)</f>
        <v>0</v>
      </c>
      <c r="U590" s="8">
        <f>IF($D590='[2]Beam '!U$44,$P590*'[2]Beam '!U$45,0)</f>
        <v>0</v>
      </c>
      <c r="V590" s="8">
        <f>IF($D590='[2]Beam '!V$44,$P590*'[2]Beam '!V$45,0)</f>
        <v>0</v>
      </c>
      <c r="W590" s="8">
        <f>IF($D590='[2]Beam '!W$44,$P590*'[2]Beam '!W$45,0)</f>
        <v>0</v>
      </c>
      <c r="X590" s="8">
        <f>SUM(Q590:W590)</f>
        <v>11.842285714285715</v>
      </c>
      <c r="Y590" s="14"/>
      <c r="Z590" s="8"/>
      <c r="AA590" s="8"/>
      <c r="AB590" s="8"/>
      <c r="AC590" s="8"/>
      <c r="AD590" s="8"/>
      <c r="AE590" s="8"/>
    </row>
    <row r="591" spans="1:32" s="10" customFormat="1" ht="20.100000000000001" customHeight="1" x14ac:dyDescent="0.25">
      <c r="A591" s="7"/>
      <c r="B591" s="8" t="s">
        <v>2</v>
      </c>
      <c r="C591" s="13" t="s">
        <v>10</v>
      </c>
      <c r="D591" s="8">
        <f>+'[2]Beam '!$D$15</f>
        <v>25</v>
      </c>
      <c r="E591" s="8">
        <f>+'[2]Beam '!$E$15</f>
        <v>1</v>
      </c>
      <c r="F591" s="8">
        <f>ROUNDUP((E586)/E591,0)</f>
        <v>3</v>
      </c>
      <c r="G591" s="9"/>
      <c r="H591" s="9"/>
      <c r="I591" s="8"/>
      <c r="J591" s="8"/>
      <c r="K591" s="8"/>
      <c r="L591" s="8"/>
      <c r="M591" s="8"/>
      <c r="N591" s="8"/>
      <c r="O591" s="8">
        <f>F586-'[2]Beam '!$F$15</f>
        <v>0.34</v>
      </c>
      <c r="P591" s="8">
        <f>O591*F591</f>
        <v>1.02</v>
      </c>
      <c r="Q591" s="8">
        <f>IF($D591='[2]Beam '!Q$44,$P591*'[2]Beam '!Q$45,0)</f>
        <v>0</v>
      </c>
      <c r="R591" s="8">
        <f>IF($D591='[2]Beam '!R$44,$P591*'[2]Beam '!R$45,0)</f>
        <v>0</v>
      </c>
      <c r="S591" s="8">
        <f>IF($D591='[2]Beam '!S$44,$P591*'[2]Beam '!S$45,0)</f>
        <v>0</v>
      </c>
      <c r="T591" s="8">
        <f>IF($D591='[2]Beam '!T$44,$P591*'[2]Beam '!T$45,0)</f>
        <v>0</v>
      </c>
      <c r="U591" s="8">
        <f>IF($D591='[2]Beam '!U$44,$P591*'[2]Beam '!U$45,0)</f>
        <v>0</v>
      </c>
      <c r="V591" s="8">
        <f>IF($D591='[2]Beam '!V$44,$P591*'[2]Beam '!V$45,0)</f>
        <v>3.9320089285714293</v>
      </c>
      <c r="W591" s="8">
        <f>IF($D591='[2]Beam '!W$44,$P591*'[2]Beam '!W$45,0)</f>
        <v>0</v>
      </c>
      <c r="X591" s="8">
        <f>SUM(Q591:W591)</f>
        <v>3.9320089285714293</v>
      </c>
      <c r="Y591" s="8"/>
      <c r="Z591" s="8"/>
      <c r="AA591" s="8"/>
      <c r="AB591" s="8"/>
      <c r="AC591" s="8"/>
      <c r="AD591" s="8"/>
      <c r="AE591" s="8"/>
    </row>
    <row r="592" spans="1:32" s="10" customFormat="1" ht="20.100000000000001" customHeight="1" x14ac:dyDescent="0.25">
      <c r="A592" s="8">
        <v>1</v>
      </c>
      <c r="B592" s="8" t="s">
        <v>2</v>
      </c>
      <c r="C592" s="11" t="s">
        <v>79</v>
      </c>
      <c r="D592" s="11">
        <v>1</v>
      </c>
      <c r="E592" s="11">
        <v>5.915</v>
      </c>
      <c r="F592" s="11">
        <v>0.45</v>
      </c>
      <c r="G592" s="11">
        <v>0.5</v>
      </c>
      <c r="H592" s="8">
        <f>G592-0.2</f>
        <v>0.3</v>
      </c>
      <c r="I592" s="8">
        <f>E592*F592*G592*D592</f>
        <v>1.330875</v>
      </c>
      <c r="J592" s="8">
        <f>(2*(E592)*H592*D592)+(E592*F592)</f>
        <v>6.21075</v>
      </c>
      <c r="K592" s="12">
        <f>IF(E592=0.3,J592,0)</f>
        <v>0</v>
      </c>
      <c r="L592" s="12">
        <f>IF(AND(E592&gt;0.3,E592&lt;=0.75),J592,0)</f>
        <v>0</v>
      </c>
      <c r="M592" s="12">
        <f>IF(AND(E592&gt;0.75,E592&lt;=1.2),J592,0)</f>
        <v>0</v>
      </c>
      <c r="N592" s="12">
        <f>IF(E592&gt;1.2,J592,0)</f>
        <v>6.21075</v>
      </c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>
        <f>SUM(X593:X601)/I592</f>
        <v>237.70260326047574</v>
      </c>
      <c r="Z592" s="8"/>
      <c r="AA592" s="8"/>
      <c r="AB592" s="8"/>
      <c r="AC592" s="8"/>
      <c r="AD592" s="8"/>
      <c r="AE592" s="8"/>
    </row>
    <row r="593" spans="1:32" s="10" customFormat="1" ht="20.100000000000001" customHeight="1" x14ac:dyDescent="0.25">
      <c r="A593" s="7"/>
      <c r="B593" s="8" t="s">
        <v>2</v>
      </c>
      <c r="C593" s="13" t="s">
        <v>4</v>
      </c>
      <c r="D593" s="8">
        <v>20</v>
      </c>
      <c r="E593" s="8"/>
      <c r="F593" s="8">
        <v>4</v>
      </c>
      <c r="G593" s="9">
        <f>VLOOKUP(D593,'[2]Beam '!$C$20:$H$26,3,0)</f>
        <v>0.8</v>
      </c>
      <c r="H593" s="9"/>
      <c r="I593" s="8"/>
      <c r="J593" s="8"/>
      <c r="K593" s="8"/>
      <c r="L593" s="8"/>
      <c r="M593" s="8"/>
      <c r="N593" s="8"/>
      <c r="O593" s="8">
        <f>(E592+2*(G593+(12*D593/1000))*D592)</f>
        <v>7.9950000000000001</v>
      </c>
      <c r="P593" s="8">
        <f t="shared" ref="P593:P602" si="115">O593*F593</f>
        <v>31.98</v>
      </c>
      <c r="Q593" s="8">
        <f>IF($D593='[2]Beam '!Q$44,$P593*'[2]Beam '!Q$45,0)</f>
        <v>0</v>
      </c>
      <c r="R593" s="8">
        <f>IF($D593='[2]Beam '!R$44,$P593*'[2]Beam '!R$45,0)</f>
        <v>0</v>
      </c>
      <c r="S593" s="8">
        <f>IF($D593='[2]Beam '!S$44,$P593*'[2]Beam '!S$45,0)</f>
        <v>0</v>
      </c>
      <c r="T593" s="8">
        <f>IF($D593='[2]Beam '!T$44,$P593*'[2]Beam '!T$45,0)</f>
        <v>0</v>
      </c>
      <c r="U593" s="8">
        <f>IF($D593='[2]Beam '!U$44,$P593*'[2]Beam '!U$45,0)</f>
        <v>78.899228571428566</v>
      </c>
      <c r="V593" s="8">
        <f>IF($D593='[2]Beam '!V$44,$P593*'[2]Beam '!V$45,0)</f>
        <v>0</v>
      </c>
      <c r="W593" s="8">
        <f>IF($D593='[2]Beam '!W$44,$P593*'[2]Beam '!W$45,0)</f>
        <v>0</v>
      </c>
      <c r="X593" s="8">
        <f t="shared" ref="X593:X602" si="116">SUM(Q593:W593)</f>
        <v>78.899228571428566</v>
      </c>
      <c r="Y593" s="8"/>
      <c r="Z593" s="8"/>
      <c r="AA593" s="8"/>
      <c r="AB593" s="8"/>
      <c r="AC593" s="8"/>
      <c r="AD593" s="8"/>
      <c r="AE593" s="8"/>
    </row>
    <row r="594" spans="1:32" s="10" customFormat="1" ht="20.100000000000001" customHeight="1" x14ac:dyDescent="0.25">
      <c r="A594" s="7"/>
      <c r="B594" s="8" t="s">
        <v>2</v>
      </c>
      <c r="C594" s="13" t="s">
        <v>4</v>
      </c>
      <c r="D594" s="8">
        <v>16</v>
      </c>
      <c r="E594" s="8"/>
      <c r="F594" s="8">
        <v>4</v>
      </c>
      <c r="G594" s="9">
        <f>VLOOKUP(D594,'[2]Beam '!$C$20:$H$26,3,0)</f>
        <v>0.625</v>
      </c>
      <c r="H594" s="9"/>
      <c r="I594" s="8"/>
      <c r="J594" s="8"/>
      <c r="K594" s="8"/>
      <c r="L594" s="8"/>
      <c r="M594" s="8"/>
      <c r="N594" s="8"/>
      <c r="O594" s="8">
        <f>(1.65+1*(G594+(12*D594/1000))*D592)</f>
        <v>2.4669999999999996</v>
      </c>
      <c r="P594" s="8">
        <f t="shared" si="115"/>
        <v>9.8679999999999986</v>
      </c>
      <c r="Q594" s="8">
        <f>IF($D594='[2]Beam '!Q$44,$P594*'[2]Beam '!Q$45,0)</f>
        <v>0</v>
      </c>
      <c r="R594" s="8">
        <f>IF($D594='[2]Beam '!R$44,$P594*'[2]Beam '!R$45,0)</f>
        <v>0</v>
      </c>
      <c r="S594" s="8">
        <f>IF($D594='[2]Beam '!S$44,$P594*'[2]Beam '!S$45,0)</f>
        <v>0</v>
      </c>
      <c r="T594" s="8">
        <f>IF($D594='[2]Beam '!T$44,$P594*'[2]Beam '!T$45,0)</f>
        <v>15.581290057142857</v>
      </c>
      <c r="U594" s="8">
        <f>IF($D594='[2]Beam '!U$44,$P594*'[2]Beam '!U$45,0)</f>
        <v>0</v>
      </c>
      <c r="V594" s="8">
        <f>IF($D594='[2]Beam '!V$44,$P594*'[2]Beam '!V$45,0)</f>
        <v>0</v>
      </c>
      <c r="W594" s="8">
        <f>IF($D594='[2]Beam '!W$44,$P594*'[2]Beam '!W$45,0)</f>
        <v>0</v>
      </c>
      <c r="X594" s="8">
        <f t="shared" si="116"/>
        <v>15.581290057142857</v>
      </c>
      <c r="Y594" s="8"/>
      <c r="Z594" s="8"/>
      <c r="AA594" s="8"/>
      <c r="AB594" s="8"/>
      <c r="AC594" s="8"/>
      <c r="AD594" s="8"/>
      <c r="AE594" s="8"/>
    </row>
    <row r="595" spans="1:32" s="10" customFormat="1" ht="20.100000000000001" customHeight="1" x14ac:dyDescent="0.25">
      <c r="A595" s="7"/>
      <c r="B595" s="8" t="s">
        <v>2</v>
      </c>
      <c r="C595" s="13" t="s">
        <v>5</v>
      </c>
      <c r="D595" s="8">
        <v>16</v>
      </c>
      <c r="E595" s="8"/>
      <c r="F595" s="8">
        <v>4</v>
      </c>
      <c r="G595" s="9">
        <f>VLOOKUP(D595,'[2]Beam '!$C$20:$H$26,3,0)</f>
        <v>0.625</v>
      </c>
      <c r="H595" s="9"/>
      <c r="I595" s="8"/>
      <c r="J595" s="8"/>
      <c r="K595" s="8"/>
      <c r="L595" s="8"/>
      <c r="M595" s="8"/>
      <c r="N595" s="8"/>
      <c r="O595" s="8">
        <f>(1.65+1*(G595+(12*D595/1000))*D592)</f>
        <v>2.4669999999999996</v>
      </c>
      <c r="P595" s="8">
        <f t="shared" si="115"/>
        <v>9.8679999999999986</v>
      </c>
      <c r="Q595" s="8">
        <f>IF($D595='[2]Beam '!Q$44,$P595*'[2]Beam '!Q$45,0)</f>
        <v>0</v>
      </c>
      <c r="R595" s="8">
        <f>IF($D595='[2]Beam '!R$44,$P595*'[2]Beam '!R$45,0)</f>
        <v>0</v>
      </c>
      <c r="S595" s="8">
        <f>IF($D595='[2]Beam '!S$44,$P595*'[2]Beam '!S$45,0)</f>
        <v>0</v>
      </c>
      <c r="T595" s="8">
        <f>IF($D595='[2]Beam '!T$44,$P595*'[2]Beam '!T$45,0)</f>
        <v>15.581290057142857</v>
      </c>
      <c r="U595" s="8">
        <f>IF($D595='[2]Beam '!U$44,$P595*'[2]Beam '!U$45,0)</f>
        <v>0</v>
      </c>
      <c r="V595" s="8">
        <f>IF($D595='[2]Beam '!V$44,$P595*'[2]Beam '!V$45,0)</f>
        <v>0</v>
      </c>
      <c r="W595" s="8">
        <f>IF($D595='[2]Beam '!W$44,$P595*'[2]Beam '!W$45,0)</f>
        <v>0</v>
      </c>
      <c r="X595" s="8">
        <f t="shared" si="116"/>
        <v>15.581290057142857</v>
      </c>
      <c r="Y595" s="8"/>
      <c r="Z595" s="8"/>
      <c r="AA595" s="8"/>
      <c r="AB595" s="8"/>
      <c r="AC595" s="8"/>
      <c r="AD595" s="8"/>
      <c r="AE595" s="8"/>
    </row>
    <row r="596" spans="1:32" s="14" customFormat="1" ht="20.100000000000001" customHeight="1" x14ac:dyDescent="0.3">
      <c r="A596" s="7"/>
      <c r="B596" s="8" t="s">
        <v>2</v>
      </c>
      <c r="C596" s="13" t="s">
        <v>6</v>
      </c>
      <c r="D596" s="8">
        <v>20</v>
      </c>
      <c r="E596" s="8"/>
      <c r="F596" s="8">
        <v>4</v>
      </c>
      <c r="G596" s="9">
        <f>VLOOKUP(D596,'[2]Beam '!$C$20:$H$26,3,0)</f>
        <v>0.8</v>
      </c>
      <c r="H596" s="8"/>
      <c r="I596" s="8"/>
      <c r="J596" s="8"/>
      <c r="K596" s="8"/>
      <c r="L596" s="8"/>
      <c r="M596" s="8"/>
      <c r="N596" s="8"/>
      <c r="O596" s="8">
        <f>(E592+2*(G596+(12*D596/1000))*D592)</f>
        <v>7.9950000000000001</v>
      </c>
      <c r="P596" s="8">
        <f t="shared" si="115"/>
        <v>31.98</v>
      </c>
      <c r="Q596" s="8">
        <f>IF($D596='[2]Beam '!Q$44,$P596*'[2]Beam '!Q$45,0)</f>
        <v>0</v>
      </c>
      <c r="R596" s="8">
        <f>IF($D596='[2]Beam '!R$44,$P596*'[2]Beam '!R$45,0)</f>
        <v>0</v>
      </c>
      <c r="S596" s="8">
        <f>IF($D596='[2]Beam '!S$44,$P596*'[2]Beam '!S$45,0)</f>
        <v>0</v>
      </c>
      <c r="T596" s="8">
        <f>IF($D596='[2]Beam '!T$44,$P596*'[2]Beam '!T$45,0)</f>
        <v>0</v>
      </c>
      <c r="U596" s="8">
        <f>IF($D596='[2]Beam '!U$44,$P596*'[2]Beam '!U$45,0)</f>
        <v>78.899228571428566</v>
      </c>
      <c r="V596" s="8">
        <f>IF($D596='[2]Beam '!V$44,$P596*'[2]Beam '!V$45,0)</f>
        <v>0</v>
      </c>
      <c r="W596" s="8">
        <f>IF($D596='[2]Beam '!W$44,$P596*'[2]Beam '!W$45,0)</f>
        <v>0</v>
      </c>
      <c r="X596" s="8">
        <f t="shared" si="116"/>
        <v>78.899228571428566</v>
      </c>
      <c r="Y596" s="8"/>
    </row>
    <row r="597" spans="1:32" s="14" customFormat="1" ht="20.100000000000001" customHeight="1" x14ac:dyDescent="0.3">
      <c r="A597" s="7"/>
      <c r="B597" s="8" t="s">
        <v>2</v>
      </c>
      <c r="C597" s="13" t="s">
        <v>7</v>
      </c>
      <c r="D597" s="8">
        <v>16</v>
      </c>
      <c r="E597" s="8"/>
      <c r="F597" s="8">
        <v>2</v>
      </c>
      <c r="G597" s="9">
        <f>VLOOKUP(D597,'[2]Beam '!$C$20:$H$26,3,0)</f>
        <v>0.625</v>
      </c>
      <c r="H597" s="8"/>
      <c r="I597" s="8"/>
      <c r="J597" s="8"/>
      <c r="K597" s="8"/>
      <c r="L597" s="8"/>
      <c r="M597" s="8"/>
      <c r="N597" s="8"/>
      <c r="O597" s="8">
        <f>+E592-0.6-0.6</f>
        <v>4.7150000000000007</v>
      </c>
      <c r="P597" s="8">
        <f t="shared" si="115"/>
        <v>9.4300000000000015</v>
      </c>
      <c r="Q597" s="8">
        <f>IF($D597='[2]Beam '!Q$44,$P597*'[2]Beam '!Q$45,0)</f>
        <v>0</v>
      </c>
      <c r="R597" s="8">
        <f>IF($D597='[2]Beam '!R$44,$P597*'[2]Beam '!R$45,0)</f>
        <v>0</v>
      </c>
      <c r="S597" s="8">
        <f>IF($D597='[2]Beam '!S$44,$P597*'[2]Beam '!S$45,0)</f>
        <v>0</v>
      </c>
      <c r="T597" s="8">
        <f>IF($D597='[2]Beam '!T$44,$P597*'[2]Beam '!T$45,0)</f>
        <v>14.889700571428575</v>
      </c>
      <c r="U597" s="8">
        <f>IF($D597='[2]Beam '!U$44,$P597*'[2]Beam '!U$45,0)</f>
        <v>0</v>
      </c>
      <c r="V597" s="8">
        <f>IF($D597='[2]Beam '!V$44,$P597*'[2]Beam '!V$45,0)</f>
        <v>0</v>
      </c>
      <c r="W597" s="8">
        <f>IF($D597='[2]Beam '!W$44,$P597*'[2]Beam '!W$45,0)</f>
        <v>0</v>
      </c>
      <c r="X597" s="8">
        <f t="shared" si="116"/>
        <v>14.889700571428575</v>
      </c>
      <c r="Y597" s="8"/>
    </row>
    <row r="598" spans="1:32" s="14" customFormat="1" ht="20.100000000000001" customHeight="1" x14ac:dyDescent="0.25">
      <c r="A598" s="7"/>
      <c r="B598" s="8" t="s">
        <v>2</v>
      </c>
      <c r="C598" s="13" t="s">
        <v>13</v>
      </c>
      <c r="D598" s="8">
        <v>10</v>
      </c>
      <c r="E598" s="8">
        <v>0.1</v>
      </c>
      <c r="F598" s="8">
        <f>ROUND(IF(E592/3&gt;(2*G592),(E592/3)/E598,(2*G592)/E598),0)*2+1</f>
        <v>41</v>
      </c>
      <c r="G598" s="10"/>
      <c r="H598" s="8"/>
      <c r="I598" s="8"/>
      <c r="J598" s="8"/>
      <c r="K598" s="8"/>
      <c r="L598" s="8"/>
      <c r="M598" s="8"/>
      <c r="N598" s="8"/>
      <c r="O598" s="8">
        <f>(2*((G592-(2*'[2]Beam '!$D$11))+(F592-(2*'[2]Beam '!$D$11)))+(2*10*D598/1000))*D592</f>
        <v>1.86</v>
      </c>
      <c r="P598" s="8">
        <f t="shared" si="115"/>
        <v>76.260000000000005</v>
      </c>
      <c r="Q598" s="8">
        <f>IF($D598='[2]Beam '!Q$44,$P598*'[2]Beam '!Q$45,0)</f>
        <v>0</v>
      </c>
      <c r="R598" s="8">
        <f>IF($D598='[2]Beam '!R$44,$P598*'[2]Beam '!R$45,0)</f>
        <v>47.036078571428575</v>
      </c>
      <c r="S598" s="8">
        <f>IF($D598='[2]Beam '!S$44,$P598*'[2]Beam '!S$45,0)</f>
        <v>0</v>
      </c>
      <c r="T598" s="8">
        <f>IF($D598='[2]Beam '!T$44,$P598*'[2]Beam '!T$45,0)</f>
        <v>0</v>
      </c>
      <c r="U598" s="8">
        <f>IF($D598='[2]Beam '!U$44,$P598*'[2]Beam '!U$45,0)</f>
        <v>0</v>
      </c>
      <c r="V598" s="8">
        <f>IF($D598='[2]Beam '!V$44,$P598*'[2]Beam '!V$45,0)</f>
        <v>0</v>
      </c>
      <c r="W598" s="8">
        <f>IF($D598='[2]Beam '!W$44,$P598*'[2]Beam '!W$45,0)</f>
        <v>0</v>
      </c>
      <c r="X598" s="8">
        <f t="shared" si="116"/>
        <v>47.036078571428575</v>
      </c>
      <c r="Y598" s="8"/>
    </row>
    <row r="599" spans="1:32" s="10" customFormat="1" ht="20.100000000000001" customHeight="1" x14ac:dyDescent="0.25">
      <c r="A599" s="14"/>
      <c r="B599" s="8" t="s">
        <v>2</v>
      </c>
      <c r="C599" s="13" t="s">
        <v>14</v>
      </c>
      <c r="D599" s="14">
        <f>D598</f>
        <v>10</v>
      </c>
      <c r="E599" s="14">
        <v>0.125</v>
      </c>
      <c r="F599" s="14">
        <f>ROUND((E592-(IF(E592/3&gt;2*G592,E592/3*2,G592*2*2)))/E599,0)</f>
        <v>16</v>
      </c>
      <c r="H599" s="14"/>
      <c r="I599" s="14"/>
      <c r="J599" s="14"/>
      <c r="K599" s="14"/>
      <c r="L599" s="14"/>
      <c r="M599" s="14"/>
      <c r="N599" s="14"/>
      <c r="O599" s="8">
        <f>(2*((G592-(2*'[2]Beam '!$D$11))+(F592-(2*'[2]Beam '!$D$11)))+(2*10*D599/1000))*D592</f>
        <v>1.86</v>
      </c>
      <c r="P599" s="8">
        <f t="shared" si="115"/>
        <v>29.76</v>
      </c>
      <c r="Q599" s="8">
        <f>IF($D599='[2]Beam '!Q$44,$P599*'[2]Beam '!Q$45,0)</f>
        <v>0</v>
      </c>
      <c r="R599" s="8">
        <f>IF($D599='[2]Beam '!R$44,$P599*'[2]Beam '!R$45,0)</f>
        <v>18.355542857142858</v>
      </c>
      <c r="S599" s="8">
        <f>IF($D599='[2]Beam '!S$44,$P599*'[2]Beam '!S$45,0)</f>
        <v>0</v>
      </c>
      <c r="T599" s="8">
        <f>IF($D599='[2]Beam '!T$44,$P599*'[2]Beam '!T$45,0)</f>
        <v>0</v>
      </c>
      <c r="U599" s="8">
        <f>IF($D599='[2]Beam '!U$44,$P599*'[2]Beam '!U$45,0)</f>
        <v>0</v>
      </c>
      <c r="V599" s="8">
        <f>IF($D599='[2]Beam '!V$44,$P599*'[2]Beam '!V$45,0)</f>
        <v>0</v>
      </c>
      <c r="W599" s="8">
        <f>IF($D599='[2]Beam '!W$44,$P599*'[2]Beam '!W$45,0)</f>
        <v>0</v>
      </c>
      <c r="X599" s="8">
        <f t="shared" si="116"/>
        <v>18.355542857142858</v>
      </c>
      <c r="Y599" s="14"/>
      <c r="Z599" s="8"/>
      <c r="AA599" s="8"/>
      <c r="AB599" s="8"/>
      <c r="AC599" s="8"/>
      <c r="AD599" s="8"/>
      <c r="AE599" s="8"/>
    </row>
    <row r="600" spans="1:32" s="10" customFormat="1" ht="21" customHeight="1" x14ac:dyDescent="0.25">
      <c r="A600" s="14"/>
      <c r="B600" s="8" t="s">
        <v>2</v>
      </c>
      <c r="C600" s="13" t="s">
        <v>15</v>
      </c>
      <c r="D600" s="14">
        <f>D598</f>
        <v>10</v>
      </c>
      <c r="E600" s="14">
        <f>+E598</f>
        <v>0.1</v>
      </c>
      <c r="F600" s="8">
        <f>ROUND(IF(E592/3&gt;(2*G592),(E592/3)/E600,(2*G592)/E600),0)*2+1</f>
        <v>41</v>
      </c>
      <c r="H600" s="14"/>
      <c r="I600" s="14"/>
      <c r="J600" s="14"/>
      <c r="K600" s="14"/>
      <c r="L600" s="14"/>
      <c r="M600" s="14"/>
      <c r="N600" s="14"/>
      <c r="O600" s="8">
        <f>(2*(((F592-'[2]Beam '!$D$11*2)/(F593-1))+(G592-'[2]Beam '!$D$11*2))+(2*10*D600/1000))*D592</f>
        <v>1.34</v>
      </c>
      <c r="P600" s="8">
        <f t="shared" si="115"/>
        <v>54.940000000000005</v>
      </c>
      <c r="Q600" s="8">
        <f>IF($D600='[2]Beam '!Q$44,$P600*'[2]Beam '!Q$45,0)</f>
        <v>0</v>
      </c>
      <c r="R600" s="8">
        <f>IF($D600='[2]Beam '!R$44,$P600*'[2]Beam '!R$45,0)</f>
        <v>33.886207142857145</v>
      </c>
      <c r="S600" s="8">
        <f>IF($D600='[2]Beam '!S$44,$P600*'[2]Beam '!S$45,0)</f>
        <v>0</v>
      </c>
      <c r="T600" s="8">
        <f>IF($D600='[2]Beam '!T$44,$P600*'[2]Beam '!T$45,0)</f>
        <v>0</v>
      </c>
      <c r="U600" s="8">
        <f>IF($D600='[2]Beam '!U$44,$P600*'[2]Beam '!U$45,0)</f>
        <v>0</v>
      </c>
      <c r="V600" s="8">
        <f>IF($D600='[2]Beam '!V$44,$P600*'[2]Beam '!V$45,0)</f>
        <v>0</v>
      </c>
      <c r="W600" s="8">
        <f>IF($D600='[2]Beam '!W$44,$P600*'[2]Beam '!W$45,0)</f>
        <v>0</v>
      </c>
      <c r="X600" s="8">
        <f t="shared" si="116"/>
        <v>33.886207142857145</v>
      </c>
      <c r="Y600" s="14"/>
      <c r="Z600" s="8"/>
      <c r="AA600" s="8"/>
      <c r="AB600" s="8"/>
      <c r="AC600" s="8"/>
      <c r="AD600" s="8"/>
      <c r="AE600" s="8"/>
      <c r="AF600" s="8"/>
    </row>
    <row r="601" spans="1:32" s="10" customFormat="1" ht="20.100000000000001" customHeight="1" x14ac:dyDescent="0.25">
      <c r="A601" s="14"/>
      <c r="B601" s="8" t="s">
        <v>2</v>
      </c>
      <c r="C601" s="13" t="s">
        <v>16</v>
      </c>
      <c r="D601" s="14">
        <f>D599</f>
        <v>10</v>
      </c>
      <c r="E601" s="14">
        <f>+E599</f>
        <v>0.125</v>
      </c>
      <c r="F601" s="14">
        <f>ROUND((E592-(IF(E592/3&gt;2*G592,E592/3*2,G592*2*2)))/E601,0)</f>
        <v>16</v>
      </c>
      <c r="H601" s="14"/>
      <c r="I601" s="14"/>
      <c r="J601" s="14"/>
      <c r="K601" s="14"/>
      <c r="L601" s="14"/>
      <c r="M601" s="14"/>
      <c r="N601" s="14"/>
      <c r="O601" s="8">
        <f>(2*(((F592-'[2]Beam '!$D$11*2)/(F593-1))+(G592-'[2]Beam '!$D$11*2))+(2*10*D601/1000))*D592</f>
        <v>1.34</v>
      </c>
      <c r="P601" s="8">
        <f t="shared" si="115"/>
        <v>21.44</v>
      </c>
      <c r="Q601" s="8">
        <f>IF($D601='[2]Beam '!Q$44,$P601*'[2]Beam '!Q$45,0)</f>
        <v>0</v>
      </c>
      <c r="R601" s="8">
        <f>IF($D601='[2]Beam '!R$44,$P601*'[2]Beam '!R$45,0)</f>
        <v>13.223885714285714</v>
      </c>
      <c r="S601" s="8">
        <f>IF($D601='[2]Beam '!S$44,$P601*'[2]Beam '!S$45,0)</f>
        <v>0</v>
      </c>
      <c r="T601" s="8">
        <f>IF($D601='[2]Beam '!T$44,$P601*'[2]Beam '!T$45,0)</f>
        <v>0</v>
      </c>
      <c r="U601" s="8">
        <f>IF($D601='[2]Beam '!U$44,$P601*'[2]Beam '!U$45,0)</f>
        <v>0</v>
      </c>
      <c r="V601" s="8">
        <f>IF($D601='[2]Beam '!V$44,$P601*'[2]Beam '!V$45,0)</f>
        <v>0</v>
      </c>
      <c r="W601" s="8">
        <f>IF($D601='[2]Beam '!W$44,$P601*'[2]Beam '!W$45,0)</f>
        <v>0</v>
      </c>
      <c r="X601" s="8">
        <f t="shared" si="116"/>
        <v>13.223885714285714</v>
      </c>
      <c r="Y601" s="14"/>
      <c r="Z601" s="8"/>
      <c r="AA601" s="8"/>
      <c r="AB601" s="8"/>
      <c r="AC601" s="8"/>
      <c r="AD601" s="8"/>
      <c r="AE601" s="8"/>
    </row>
    <row r="602" spans="1:32" s="10" customFormat="1" ht="20.100000000000001" customHeight="1" x14ac:dyDescent="0.25">
      <c r="A602" s="7"/>
      <c r="B602" s="8" t="s">
        <v>2</v>
      </c>
      <c r="C602" s="13" t="s">
        <v>10</v>
      </c>
      <c r="D602" s="8">
        <f>+'[2]Beam '!$D$15</f>
        <v>25</v>
      </c>
      <c r="E602" s="8">
        <f>+'[2]Beam '!$E$15</f>
        <v>1</v>
      </c>
      <c r="F602" s="8">
        <f>ROUNDUP((E592+1.35)/E602,0)</f>
        <v>8</v>
      </c>
      <c r="G602" s="9"/>
      <c r="H602" s="9"/>
      <c r="I602" s="8"/>
      <c r="J602" s="8"/>
      <c r="K602" s="8"/>
      <c r="L602" s="8"/>
      <c r="M602" s="8"/>
      <c r="N602" s="8"/>
      <c r="O602" s="8">
        <f>F592-'[2]Beam '!$F$15</f>
        <v>0.39</v>
      </c>
      <c r="P602" s="8">
        <f t="shared" si="115"/>
        <v>3.12</v>
      </c>
      <c r="Q602" s="8">
        <f>IF($D602='[2]Beam '!Q$44,$P602*'[2]Beam '!Q$45,0)</f>
        <v>0</v>
      </c>
      <c r="R602" s="8">
        <f>IF($D602='[2]Beam '!R$44,$P602*'[2]Beam '!R$45,0)</f>
        <v>0</v>
      </c>
      <c r="S602" s="8">
        <f>IF($D602='[2]Beam '!S$44,$P602*'[2]Beam '!S$45,0)</f>
        <v>0</v>
      </c>
      <c r="T602" s="8">
        <f>IF($D602='[2]Beam '!T$44,$P602*'[2]Beam '!T$45,0)</f>
        <v>0</v>
      </c>
      <c r="U602" s="8">
        <f>IF($D602='[2]Beam '!U$44,$P602*'[2]Beam '!U$45,0)</f>
        <v>0</v>
      </c>
      <c r="V602" s="8">
        <f>IF($D602='[2]Beam '!V$44,$P602*'[2]Beam '!V$45,0)</f>
        <v>12.027321428571431</v>
      </c>
      <c r="W602" s="8">
        <f>IF($D602='[2]Beam '!W$44,$P602*'[2]Beam '!W$45,0)</f>
        <v>0</v>
      </c>
      <c r="X602" s="8">
        <f t="shared" si="116"/>
        <v>12.027321428571431</v>
      </c>
      <c r="Y602" s="8"/>
      <c r="Z602" s="8"/>
      <c r="AA602" s="8"/>
      <c r="AB602" s="8"/>
      <c r="AC602" s="8"/>
      <c r="AD602" s="8"/>
      <c r="AE602" s="8"/>
    </row>
    <row r="603" spans="1:32" s="10" customFormat="1" ht="20.100000000000001" customHeight="1" x14ac:dyDescent="0.25">
      <c r="A603" s="8">
        <v>1</v>
      </c>
      <c r="B603" s="8" t="s">
        <v>2</v>
      </c>
      <c r="C603" s="11" t="s">
        <v>80</v>
      </c>
      <c r="D603" s="11">
        <v>1</v>
      </c>
      <c r="E603" s="11">
        <v>1.6859999999999999</v>
      </c>
      <c r="F603" s="11">
        <v>0.4</v>
      </c>
      <c r="G603" s="11">
        <v>1.2</v>
      </c>
      <c r="H603" s="8">
        <f>G603-0.2</f>
        <v>1</v>
      </c>
      <c r="I603" s="8">
        <f>E603*F603*G603*D603</f>
        <v>0.80928</v>
      </c>
      <c r="J603" s="8">
        <f>(2*(E603)*H603*D603)+(E603*F603)</f>
        <v>4.0464000000000002</v>
      </c>
      <c r="K603" s="12">
        <f>IF(E603=0.3,J603,0)</f>
        <v>0</v>
      </c>
      <c r="L603" s="12">
        <f>IF(AND(E603&gt;0.3,E603&lt;=0.75),J603,0)</f>
        <v>0</v>
      </c>
      <c r="M603" s="12">
        <f>IF(AND(E603&gt;0.75,E603&lt;=1.2),J603,0)</f>
        <v>0</v>
      </c>
      <c r="N603" s="12">
        <f>IF(E603&gt;1.2,J603,0)</f>
        <v>4.0464000000000002</v>
      </c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>
        <f>SUM(X604:X608)/I603</f>
        <v>408.21556431113379</v>
      </c>
      <c r="Z603" s="8"/>
      <c r="AA603" s="8"/>
      <c r="AB603" s="8"/>
      <c r="AC603" s="8"/>
      <c r="AD603" s="8"/>
      <c r="AE603" s="8"/>
    </row>
    <row r="604" spans="1:32" s="10" customFormat="1" ht="20.100000000000001" customHeight="1" x14ac:dyDescent="0.25">
      <c r="A604" s="7"/>
      <c r="B604" s="8" t="s">
        <v>2</v>
      </c>
      <c r="C604" s="13" t="s">
        <v>4</v>
      </c>
      <c r="D604" s="8">
        <v>25</v>
      </c>
      <c r="E604" s="8"/>
      <c r="F604" s="8">
        <v>4</v>
      </c>
      <c r="G604" s="9">
        <f>VLOOKUP(D604,'[2]Beam '!$C$20:$H$26,3,0)</f>
        <v>1</v>
      </c>
      <c r="H604" s="9"/>
      <c r="I604" s="8"/>
      <c r="J604" s="8"/>
      <c r="K604" s="8"/>
      <c r="L604" s="8"/>
      <c r="M604" s="8"/>
      <c r="N604" s="8"/>
      <c r="O604" s="8">
        <f>(E603+1*(G604+(12*D604/1000))+1*(0.4/2)*D603)</f>
        <v>3.1859999999999999</v>
      </c>
      <c r="P604" s="8">
        <f t="shared" ref="P604:P609" si="117">O604*F604</f>
        <v>12.744</v>
      </c>
      <c r="Q604" s="8">
        <f>IF($D604='[2]Beam '!Q$44,$P604*'[2]Beam '!Q$45,0)</f>
        <v>0</v>
      </c>
      <c r="R604" s="8">
        <f>IF($D604='[2]Beam '!R$44,$P604*'[2]Beam '!R$45,0)</f>
        <v>0</v>
      </c>
      <c r="S604" s="8">
        <f>IF($D604='[2]Beam '!S$44,$P604*'[2]Beam '!S$45,0)</f>
        <v>0</v>
      </c>
      <c r="T604" s="8">
        <f>IF($D604='[2]Beam '!T$44,$P604*'[2]Beam '!T$45,0)</f>
        <v>0</v>
      </c>
      <c r="U604" s="8">
        <f>IF($D604='[2]Beam '!U$44,$P604*'[2]Beam '!U$45,0)</f>
        <v>0</v>
      </c>
      <c r="V604" s="8">
        <f>IF($D604='[2]Beam '!V$44,$P604*'[2]Beam '!V$45,0)</f>
        <v>49.126982142857152</v>
      </c>
      <c r="W604" s="8">
        <f>IF($D604='[2]Beam '!W$44,$P604*'[2]Beam '!W$45,0)</f>
        <v>0</v>
      </c>
      <c r="X604" s="8">
        <f t="shared" ref="X604:X609" si="118">SUM(Q604:W604)</f>
        <v>49.126982142857152</v>
      </c>
      <c r="Y604" s="8"/>
      <c r="Z604" s="8"/>
      <c r="AA604" s="8"/>
      <c r="AB604" s="8"/>
      <c r="AC604" s="8"/>
      <c r="AD604" s="8"/>
      <c r="AE604" s="8"/>
    </row>
    <row r="605" spans="1:32" s="14" customFormat="1" ht="20.100000000000001" customHeight="1" x14ac:dyDescent="0.3">
      <c r="A605" s="7"/>
      <c r="B605" s="8" t="s">
        <v>2</v>
      </c>
      <c r="C605" s="13" t="s">
        <v>6</v>
      </c>
      <c r="D605" s="8">
        <v>32</v>
      </c>
      <c r="E605" s="8"/>
      <c r="F605" s="8">
        <v>4</v>
      </c>
      <c r="G605" s="9">
        <f>VLOOKUP(D605,'[2]Beam '!$C$20:$H$26,3,0)</f>
        <v>1.25</v>
      </c>
      <c r="H605" s="8"/>
      <c r="I605" s="8"/>
      <c r="J605" s="8"/>
      <c r="K605" s="8"/>
      <c r="L605" s="8"/>
      <c r="M605" s="8"/>
      <c r="N605" s="8"/>
      <c r="O605" s="8">
        <f>(E603+2*(G605+(12*D605/1000))*D603)</f>
        <v>4.9539999999999997</v>
      </c>
      <c r="P605" s="8">
        <f t="shared" si="117"/>
        <v>19.815999999999999</v>
      </c>
      <c r="Q605" s="8">
        <f>IF($D605='[2]Beam '!Q$44,$P605*'[2]Beam '!Q$45,0)</f>
        <v>0</v>
      </c>
      <c r="R605" s="8">
        <f>IF($D605='[2]Beam '!R$44,$P605*'[2]Beam '!R$45,0)</f>
        <v>0</v>
      </c>
      <c r="S605" s="8">
        <f>IF($D605='[2]Beam '!S$44,$P605*'[2]Beam '!S$45,0)</f>
        <v>0</v>
      </c>
      <c r="T605" s="8">
        <f>IF($D605='[2]Beam '!T$44,$P605*'[2]Beam '!T$45,0)</f>
        <v>0</v>
      </c>
      <c r="U605" s="8">
        <f>IF($D605='[2]Beam '!U$44,$P605*'[2]Beam '!U$45,0)</f>
        <v>0</v>
      </c>
      <c r="V605" s="8">
        <f>IF($D605='[2]Beam '!V$44,$P605*'[2]Beam '!V$45,0)</f>
        <v>0</v>
      </c>
      <c r="W605" s="8">
        <f>IF($D605='[2]Beam '!W$44,$P605*'[2]Beam '!W$45,0)</f>
        <v>125.15559131428572</v>
      </c>
      <c r="X605" s="8">
        <f t="shared" si="118"/>
        <v>125.15559131428572</v>
      </c>
      <c r="Y605" s="8"/>
    </row>
    <row r="606" spans="1:32" s="10" customFormat="1" ht="20.100000000000001" customHeight="1" x14ac:dyDescent="0.25">
      <c r="A606" s="7"/>
      <c r="B606" s="8" t="s">
        <v>2</v>
      </c>
      <c r="C606" s="13" t="s">
        <v>7</v>
      </c>
      <c r="D606" s="8">
        <v>25</v>
      </c>
      <c r="E606" s="8"/>
      <c r="F606" s="8">
        <v>4</v>
      </c>
      <c r="G606" s="9">
        <f>VLOOKUP(D606,'[2]Beam '!$C$20:$H$26,3,0)</f>
        <v>1</v>
      </c>
      <c r="H606" s="8"/>
      <c r="I606" s="8"/>
      <c r="J606" s="8"/>
      <c r="K606" s="8"/>
      <c r="L606" s="8"/>
      <c r="M606" s="8"/>
      <c r="N606" s="8"/>
      <c r="O606" s="8">
        <f>(E603+2*(G606+(12*D606/1000))*D603)</f>
        <v>4.2859999999999996</v>
      </c>
      <c r="P606" s="8">
        <f t="shared" si="117"/>
        <v>17.143999999999998</v>
      </c>
      <c r="Q606" s="8">
        <f>IF($D606='[2]Beam '!Q$44,$P606*'[2]Beam '!Q$45,0)</f>
        <v>0</v>
      </c>
      <c r="R606" s="8">
        <f>IF($D606='[2]Beam '!R$44,$P606*'[2]Beam '!R$45,0)</f>
        <v>0</v>
      </c>
      <c r="S606" s="8">
        <f>IF($D606='[2]Beam '!S$44,$P606*'[2]Beam '!S$45,0)</f>
        <v>0</v>
      </c>
      <c r="T606" s="8">
        <f>IF($D606='[2]Beam '!T$44,$P606*'[2]Beam '!T$45,0)</f>
        <v>0</v>
      </c>
      <c r="U606" s="8">
        <f>IF($D606='[2]Beam '!U$44,$P606*'[2]Beam '!U$45,0)</f>
        <v>0</v>
      </c>
      <c r="V606" s="8">
        <f>IF($D606='[2]Beam '!V$44,$P606*'[2]Beam '!V$45,0)</f>
        <v>66.088589285714292</v>
      </c>
      <c r="W606" s="8">
        <f>IF($D606='[2]Beam '!W$44,$P606*'[2]Beam '!W$45,0)</f>
        <v>0</v>
      </c>
      <c r="X606" s="8">
        <f t="shared" si="118"/>
        <v>66.088589285714292</v>
      </c>
      <c r="Y606" s="8"/>
      <c r="Z606" s="8"/>
      <c r="AA606" s="8"/>
      <c r="AB606" s="8"/>
      <c r="AC606" s="8"/>
      <c r="AD606" s="8"/>
      <c r="AE606" s="8"/>
    </row>
    <row r="607" spans="1:32" s="10" customFormat="1" ht="21" customHeight="1" x14ac:dyDescent="0.25">
      <c r="A607" s="7"/>
      <c r="B607" s="8" t="s">
        <v>2</v>
      </c>
      <c r="C607" s="13" t="s">
        <v>8</v>
      </c>
      <c r="D607" s="8">
        <v>12</v>
      </c>
      <c r="E607" s="8">
        <v>0.1</v>
      </c>
      <c r="F607" s="8">
        <f>ROUNDUP(E603/E607,0)</f>
        <v>17</v>
      </c>
      <c r="H607" s="8"/>
      <c r="I607" s="8"/>
      <c r="J607" s="8"/>
      <c r="K607" s="8"/>
      <c r="L607" s="8"/>
      <c r="M607" s="8"/>
      <c r="N607" s="8"/>
      <c r="O607" s="8">
        <f>(2*((G603-(2*'[2]Beam '!$D$11))+(F603-(2*'[2]Beam '!$D$11)))+(2*10*D607/1000))*D603</f>
        <v>3.2</v>
      </c>
      <c r="P607" s="8">
        <f t="shared" si="117"/>
        <v>54.400000000000006</v>
      </c>
      <c r="Q607" s="8">
        <f>IF($D607='[2]Beam '!Q$44,$P607*'[2]Beam '!Q$45,0)</f>
        <v>0</v>
      </c>
      <c r="R607" s="8">
        <f>IF($D607='[2]Beam '!R$44,$P607*'[2]Beam '!R$45,0)</f>
        <v>0</v>
      </c>
      <c r="S607" s="8">
        <f>IF($D607='[2]Beam '!S$44,$P607*'[2]Beam '!S$45,0)</f>
        <v>48.316525714285724</v>
      </c>
      <c r="T607" s="8">
        <f>IF($D607='[2]Beam '!T$44,$P607*'[2]Beam '!T$45,0)</f>
        <v>0</v>
      </c>
      <c r="U607" s="8">
        <f>IF($D607='[2]Beam '!U$44,$P607*'[2]Beam '!U$45,0)</f>
        <v>0</v>
      </c>
      <c r="V607" s="8">
        <f>IF($D607='[2]Beam '!V$44,$P607*'[2]Beam '!V$45,0)</f>
        <v>0</v>
      </c>
      <c r="W607" s="8">
        <f>IF($D607='[2]Beam '!W$44,$P607*'[2]Beam '!W$45,0)</f>
        <v>0</v>
      </c>
      <c r="X607" s="8">
        <f t="shared" si="118"/>
        <v>48.316525714285724</v>
      </c>
      <c r="Y607" s="8"/>
      <c r="Z607" s="8"/>
      <c r="AA607" s="8"/>
      <c r="AB607" s="8"/>
      <c r="AC607" s="8"/>
      <c r="AD607" s="8"/>
      <c r="AE607" s="8"/>
      <c r="AF607" s="8"/>
    </row>
    <row r="608" spans="1:32" s="10" customFormat="1" ht="20.100000000000001" customHeight="1" x14ac:dyDescent="0.25">
      <c r="A608" s="14"/>
      <c r="B608" s="8" t="s">
        <v>2</v>
      </c>
      <c r="C608" s="13" t="s">
        <v>9</v>
      </c>
      <c r="D608" s="8">
        <f>+D607</f>
        <v>12</v>
      </c>
      <c r="E608" s="14">
        <f>+E607</f>
        <v>0.1</v>
      </c>
      <c r="F608" s="8">
        <f>ROUNDUP(E603/E608,0)</f>
        <v>17</v>
      </c>
      <c r="H608" s="14"/>
      <c r="I608" s="14"/>
      <c r="J608" s="14"/>
      <c r="K608" s="14"/>
      <c r="L608" s="14"/>
      <c r="M608" s="14"/>
      <c r="N608" s="14"/>
      <c r="O608" s="8">
        <f>((((G603-(2*'[2]Beam '!$D$11))+(2*10*D608/1000))*D603))*2</f>
        <v>2.76</v>
      </c>
      <c r="P608" s="8">
        <f t="shared" si="117"/>
        <v>46.919999999999995</v>
      </c>
      <c r="Q608" s="8">
        <f>IF($D608='[2]Beam '!Q$44,$P608*'[2]Beam '!Q$45,0)</f>
        <v>0</v>
      </c>
      <c r="R608" s="8">
        <f>IF($D608='[2]Beam '!R$44,$P608*'[2]Beam '!R$45,0)</f>
        <v>0</v>
      </c>
      <c r="S608" s="8">
        <f>IF($D608='[2]Beam '!S$44,$P608*'[2]Beam '!S$45,0)</f>
        <v>41.673003428571434</v>
      </c>
      <c r="T608" s="8">
        <f>IF($D608='[2]Beam '!T$44,$P608*'[2]Beam '!T$45,0)</f>
        <v>0</v>
      </c>
      <c r="U608" s="8">
        <f>IF($D608='[2]Beam '!U$44,$P608*'[2]Beam '!U$45,0)</f>
        <v>0</v>
      </c>
      <c r="V608" s="8">
        <f>IF($D608='[2]Beam '!V$44,$P608*'[2]Beam '!V$45,0)</f>
        <v>0</v>
      </c>
      <c r="W608" s="8">
        <f>IF($D608='[2]Beam '!W$44,$P608*'[2]Beam '!W$45,0)</f>
        <v>0</v>
      </c>
      <c r="X608" s="8">
        <f t="shared" si="118"/>
        <v>41.673003428571434</v>
      </c>
      <c r="Y608" s="14"/>
      <c r="Z608" s="8"/>
      <c r="AA608" s="8"/>
      <c r="AB608" s="8"/>
      <c r="AC608" s="8"/>
      <c r="AD608" s="8"/>
      <c r="AE608" s="8"/>
    </row>
    <row r="609" spans="1:32" s="10" customFormat="1" ht="20.100000000000001" customHeight="1" x14ac:dyDescent="0.25">
      <c r="A609" s="7"/>
      <c r="B609" s="8" t="s">
        <v>2</v>
      </c>
      <c r="C609" s="13" t="s">
        <v>10</v>
      </c>
      <c r="D609" s="8">
        <f>+'[2]Beam '!$D$15</f>
        <v>25</v>
      </c>
      <c r="E609" s="8">
        <f>+'[2]Beam '!$E$15</f>
        <v>1</v>
      </c>
      <c r="F609" s="8">
        <f>ROUNDUP((E603)/E609,0)</f>
        <v>2</v>
      </c>
      <c r="G609" s="9"/>
      <c r="H609" s="9"/>
      <c r="I609" s="8"/>
      <c r="J609" s="8"/>
      <c r="K609" s="8"/>
      <c r="L609" s="8"/>
      <c r="M609" s="8"/>
      <c r="N609" s="8"/>
      <c r="O609" s="8">
        <f>F603-'[2]Beam '!$F$15</f>
        <v>0.34</v>
      </c>
      <c r="P609" s="8">
        <f t="shared" si="117"/>
        <v>0.68</v>
      </c>
      <c r="Q609" s="8">
        <f>IF($D609='[2]Beam '!Q$44,$P609*'[2]Beam '!Q$45,0)</f>
        <v>0</v>
      </c>
      <c r="R609" s="8">
        <f>IF($D609='[2]Beam '!R$44,$P609*'[2]Beam '!R$45,0)</f>
        <v>0</v>
      </c>
      <c r="S609" s="8">
        <f>IF($D609='[2]Beam '!S$44,$P609*'[2]Beam '!S$45,0)</f>
        <v>0</v>
      </c>
      <c r="T609" s="8">
        <f>IF($D609='[2]Beam '!T$44,$P609*'[2]Beam '!T$45,0)</f>
        <v>0</v>
      </c>
      <c r="U609" s="8">
        <f>IF($D609='[2]Beam '!U$44,$P609*'[2]Beam '!U$45,0)</f>
        <v>0</v>
      </c>
      <c r="V609" s="8">
        <f>IF($D609='[2]Beam '!V$44,$P609*'[2]Beam '!V$45,0)</f>
        <v>2.6213392857142863</v>
      </c>
      <c r="W609" s="8">
        <f>IF($D609='[2]Beam '!W$44,$P609*'[2]Beam '!W$45,0)</f>
        <v>0</v>
      </c>
      <c r="X609" s="8">
        <f t="shared" si="118"/>
        <v>2.6213392857142863</v>
      </c>
      <c r="Y609" s="8"/>
      <c r="Z609" s="8"/>
      <c r="AA609" s="8"/>
      <c r="AB609" s="8"/>
      <c r="AC609" s="8"/>
      <c r="AD609" s="8"/>
      <c r="AE609" s="8"/>
    </row>
    <row r="610" spans="1:32" s="10" customFormat="1" ht="20.100000000000001" customHeight="1" x14ac:dyDescent="0.25">
      <c r="A610" s="8">
        <v>1</v>
      </c>
      <c r="B610" s="8" t="s">
        <v>2</v>
      </c>
      <c r="C610" s="11" t="s">
        <v>81</v>
      </c>
      <c r="D610" s="11">
        <v>1</v>
      </c>
      <c r="E610" s="11">
        <v>5.9340000000000002</v>
      </c>
      <c r="F610" s="11">
        <v>0.4</v>
      </c>
      <c r="G610" s="11">
        <v>1</v>
      </c>
      <c r="H610" s="8">
        <f>G610-0.2</f>
        <v>0.8</v>
      </c>
      <c r="I610" s="8">
        <f>E610*F610*G610*D610</f>
        <v>2.3736000000000002</v>
      </c>
      <c r="J610" s="8">
        <f>(2*(E610)*H610*D610)+(E610*F610)</f>
        <v>11.868</v>
      </c>
      <c r="K610" s="12">
        <f>IF(E610=0.3,J610,0)</f>
        <v>0</v>
      </c>
      <c r="L610" s="12">
        <f>IF(AND(E610&gt;0.3,E610&lt;=0.75),J610,0)</f>
        <v>0</v>
      </c>
      <c r="M610" s="12">
        <f>IF(AND(E610&gt;0.75,E610&lt;=1.2),J610,0)</f>
        <v>0</v>
      </c>
      <c r="N610" s="12">
        <f>IF(E610&gt;1.2,J610,0)</f>
        <v>11.868</v>
      </c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>
        <f>SUM(X611:X615)/I610</f>
        <v>179.48006945447543</v>
      </c>
      <c r="Z610" s="8"/>
      <c r="AA610" s="8"/>
      <c r="AB610" s="8"/>
      <c r="AC610" s="8"/>
      <c r="AD610" s="8"/>
      <c r="AE610" s="8"/>
    </row>
    <row r="611" spans="1:32" s="10" customFormat="1" ht="20.100000000000001" customHeight="1" x14ac:dyDescent="0.25">
      <c r="A611" s="7"/>
      <c r="B611" s="8" t="s">
        <v>2</v>
      </c>
      <c r="C611" s="13" t="s">
        <v>4</v>
      </c>
      <c r="D611" s="8">
        <v>25</v>
      </c>
      <c r="E611" s="8"/>
      <c r="F611" s="8">
        <v>4</v>
      </c>
      <c r="G611" s="9">
        <f>VLOOKUP(D611,'[2]Beam '!$C$20:$H$26,3,0)</f>
        <v>1</v>
      </c>
      <c r="H611" s="9"/>
      <c r="I611" s="8"/>
      <c r="J611" s="8"/>
      <c r="K611" s="8"/>
      <c r="L611" s="8"/>
      <c r="M611" s="8"/>
      <c r="N611" s="8"/>
      <c r="O611" s="8">
        <f>(E610+2*(0.4/2))</f>
        <v>6.3340000000000005</v>
      </c>
      <c r="P611" s="8">
        <f t="shared" ref="P611:P616" si="119">O611*F611</f>
        <v>25.336000000000002</v>
      </c>
      <c r="Q611" s="8">
        <f>IF($D611='[2]Beam '!Q$44,$P611*'[2]Beam '!Q$45,0)</f>
        <v>0</v>
      </c>
      <c r="R611" s="8">
        <f>IF($D611='[2]Beam '!R$44,$P611*'[2]Beam '!R$45,0)</f>
        <v>0</v>
      </c>
      <c r="S611" s="8">
        <f>IF($D611='[2]Beam '!S$44,$P611*'[2]Beam '!S$45,0)</f>
        <v>0</v>
      </c>
      <c r="T611" s="8">
        <f>IF($D611='[2]Beam '!T$44,$P611*'[2]Beam '!T$45,0)</f>
        <v>0</v>
      </c>
      <c r="U611" s="8">
        <f>IF($D611='[2]Beam '!U$44,$P611*'[2]Beam '!U$45,0)</f>
        <v>0</v>
      </c>
      <c r="V611" s="8">
        <f>IF($D611='[2]Beam '!V$44,$P611*'[2]Beam '!V$45,0)</f>
        <v>97.668017857142885</v>
      </c>
      <c r="W611" s="8">
        <f>IF($D611='[2]Beam '!W$44,$P611*'[2]Beam '!W$45,0)</f>
        <v>0</v>
      </c>
      <c r="X611" s="8">
        <f t="shared" ref="X611:X616" si="120">SUM(Q611:W611)</f>
        <v>97.668017857142885</v>
      </c>
      <c r="Y611" s="8"/>
      <c r="Z611" s="8"/>
      <c r="AA611" s="8"/>
      <c r="AB611" s="8"/>
      <c r="AC611" s="8"/>
      <c r="AD611" s="8"/>
      <c r="AE611" s="8"/>
    </row>
    <row r="612" spans="1:32" s="14" customFormat="1" ht="20.100000000000001" customHeight="1" x14ac:dyDescent="0.3">
      <c r="A612" s="7"/>
      <c r="B612" s="8" t="s">
        <v>2</v>
      </c>
      <c r="C612" s="13" t="s">
        <v>6</v>
      </c>
      <c r="D612" s="8">
        <v>25</v>
      </c>
      <c r="E612" s="8"/>
      <c r="F612" s="8">
        <v>4</v>
      </c>
      <c r="G612" s="9">
        <f>VLOOKUP(D612,'[2]Beam '!$C$20:$H$26,3,0)</f>
        <v>1</v>
      </c>
      <c r="H612" s="8"/>
      <c r="I612" s="8"/>
      <c r="J612" s="8"/>
      <c r="K612" s="8"/>
      <c r="L612" s="8"/>
      <c r="M612" s="8"/>
      <c r="N612" s="8"/>
      <c r="O612" s="8">
        <f>(E610+1*(G612)+0.4+1*(0.4/2))</f>
        <v>7.5340000000000007</v>
      </c>
      <c r="P612" s="8">
        <f t="shared" si="119"/>
        <v>30.136000000000003</v>
      </c>
      <c r="Q612" s="8">
        <f>IF($D612='[2]Beam '!Q$44,$P612*'[2]Beam '!Q$45,0)</f>
        <v>0</v>
      </c>
      <c r="R612" s="8">
        <f>IF($D612='[2]Beam '!R$44,$P612*'[2]Beam '!R$45,0)</f>
        <v>0</v>
      </c>
      <c r="S612" s="8">
        <f>IF($D612='[2]Beam '!S$44,$P612*'[2]Beam '!S$45,0)</f>
        <v>0</v>
      </c>
      <c r="T612" s="8">
        <f>IF($D612='[2]Beam '!T$44,$P612*'[2]Beam '!T$45,0)</f>
        <v>0</v>
      </c>
      <c r="U612" s="8">
        <f>IF($D612='[2]Beam '!U$44,$P612*'[2]Beam '!U$45,0)</f>
        <v>0</v>
      </c>
      <c r="V612" s="8">
        <f>IF($D612='[2]Beam '!V$44,$P612*'[2]Beam '!V$45,0)</f>
        <v>116.17158928571432</v>
      </c>
      <c r="W612" s="8">
        <f>IF($D612='[2]Beam '!W$44,$P612*'[2]Beam '!W$45,0)</f>
        <v>0</v>
      </c>
      <c r="X612" s="8">
        <f t="shared" si="120"/>
        <v>116.17158928571432</v>
      </c>
      <c r="Y612" s="8"/>
    </row>
    <row r="613" spans="1:32" s="10" customFormat="1" ht="20.100000000000001" customHeight="1" x14ac:dyDescent="0.25">
      <c r="A613" s="7"/>
      <c r="B613" s="8" t="s">
        <v>2</v>
      </c>
      <c r="C613" s="13" t="s">
        <v>7</v>
      </c>
      <c r="D613" s="8">
        <v>20</v>
      </c>
      <c r="E613" s="8"/>
      <c r="F613" s="8">
        <v>4</v>
      </c>
      <c r="G613" s="9">
        <f>VLOOKUP(D613,'[2]Beam '!$C$20:$H$26,3,0)</f>
        <v>0.8</v>
      </c>
      <c r="H613" s="8"/>
      <c r="I613" s="8"/>
      <c r="J613" s="8"/>
      <c r="K613" s="8"/>
      <c r="L613" s="8"/>
      <c r="M613" s="8"/>
      <c r="N613" s="8"/>
      <c r="O613" s="8">
        <f>1.6+(0.4/2)+G613</f>
        <v>2.6</v>
      </c>
      <c r="P613" s="8">
        <f t="shared" si="119"/>
        <v>10.4</v>
      </c>
      <c r="Q613" s="8">
        <f>IF($D613='[2]Beam '!Q$44,$P613*'[2]Beam '!Q$45,0)</f>
        <v>0</v>
      </c>
      <c r="R613" s="8">
        <f>IF($D613='[2]Beam '!R$44,$P613*'[2]Beam '!R$45,0)</f>
        <v>0</v>
      </c>
      <c r="S613" s="8">
        <f>IF($D613='[2]Beam '!S$44,$P613*'[2]Beam '!S$45,0)</f>
        <v>0</v>
      </c>
      <c r="T613" s="8">
        <f>IF($D613='[2]Beam '!T$44,$P613*'[2]Beam '!T$45,0)</f>
        <v>0</v>
      </c>
      <c r="U613" s="8">
        <f>IF($D613='[2]Beam '!U$44,$P613*'[2]Beam '!U$45,0)</f>
        <v>25.658285714285714</v>
      </c>
      <c r="V613" s="8">
        <f>IF($D613='[2]Beam '!V$44,$P613*'[2]Beam '!V$45,0)</f>
        <v>0</v>
      </c>
      <c r="W613" s="8">
        <f>IF($D613='[2]Beam '!W$44,$P613*'[2]Beam '!W$45,0)</f>
        <v>0</v>
      </c>
      <c r="X613" s="8">
        <f t="shared" si="120"/>
        <v>25.658285714285714</v>
      </c>
      <c r="Y613" s="8"/>
      <c r="Z613" s="8"/>
      <c r="AA613" s="8"/>
      <c r="AB613" s="8"/>
      <c r="AC613" s="8"/>
      <c r="AD613" s="8"/>
      <c r="AE613" s="8"/>
    </row>
    <row r="614" spans="1:32" s="10" customFormat="1" ht="21" customHeight="1" x14ac:dyDescent="0.25">
      <c r="A614" s="7"/>
      <c r="B614" s="8" t="s">
        <v>2</v>
      </c>
      <c r="C614" s="13" t="s">
        <v>8</v>
      </c>
      <c r="D614" s="8">
        <v>10</v>
      </c>
      <c r="E614" s="8">
        <v>0.1</v>
      </c>
      <c r="F614" s="8">
        <f>ROUNDUP(E610/E614,0)</f>
        <v>60</v>
      </c>
      <c r="H614" s="8"/>
      <c r="I614" s="8"/>
      <c r="J614" s="8"/>
      <c r="K614" s="8"/>
      <c r="L614" s="8"/>
      <c r="M614" s="8"/>
      <c r="N614" s="8"/>
      <c r="O614" s="8">
        <f>(2*((G610-(2*'[2]Beam '!$D$11))+(F610-(2*'[2]Beam '!$D$11)))+(2*10*D614/1000))*D610</f>
        <v>2.7600000000000002</v>
      </c>
      <c r="P614" s="8">
        <f t="shared" si="119"/>
        <v>165.60000000000002</v>
      </c>
      <c r="Q614" s="8">
        <f>IF($D614='[2]Beam '!Q$44,$P614*'[2]Beam '!Q$45,0)</f>
        <v>0</v>
      </c>
      <c r="R614" s="8">
        <f>IF($D614='[2]Beam '!R$44,$P614*'[2]Beam '!R$45,0)</f>
        <v>102.13971428571429</v>
      </c>
      <c r="S614" s="8">
        <f>IF($D614='[2]Beam '!S$44,$P614*'[2]Beam '!S$45,0)</f>
        <v>0</v>
      </c>
      <c r="T614" s="8">
        <f>IF($D614='[2]Beam '!T$44,$P614*'[2]Beam '!T$45,0)</f>
        <v>0</v>
      </c>
      <c r="U614" s="8">
        <f>IF($D614='[2]Beam '!U$44,$P614*'[2]Beam '!U$45,0)</f>
        <v>0</v>
      </c>
      <c r="V614" s="8">
        <f>IF($D614='[2]Beam '!V$44,$P614*'[2]Beam '!V$45,0)</f>
        <v>0</v>
      </c>
      <c r="W614" s="8">
        <f>IF($D614='[2]Beam '!W$44,$P614*'[2]Beam '!W$45,0)</f>
        <v>0</v>
      </c>
      <c r="X614" s="8">
        <f t="shared" si="120"/>
        <v>102.13971428571429</v>
      </c>
      <c r="Y614" s="8"/>
      <c r="Z614" s="8"/>
      <c r="AA614" s="8"/>
      <c r="AB614" s="8"/>
      <c r="AC614" s="8"/>
      <c r="AD614" s="8"/>
      <c r="AE614" s="8"/>
      <c r="AF614" s="8"/>
    </row>
    <row r="615" spans="1:32" s="10" customFormat="1" ht="20.100000000000001" customHeight="1" x14ac:dyDescent="0.25">
      <c r="A615" s="14"/>
      <c r="B615" s="8" t="s">
        <v>2</v>
      </c>
      <c r="C615" s="13" t="s">
        <v>9</v>
      </c>
      <c r="D615" s="8">
        <f>+D614</f>
        <v>10</v>
      </c>
      <c r="E615" s="14">
        <f>+E614</f>
        <v>0.1</v>
      </c>
      <c r="F615" s="8">
        <f>ROUNDUP(E610/E615,0)</f>
        <v>60</v>
      </c>
      <c r="H615" s="14"/>
      <c r="I615" s="14"/>
      <c r="J615" s="14"/>
      <c r="K615" s="14"/>
      <c r="L615" s="14"/>
      <c r="M615" s="14"/>
      <c r="N615" s="14"/>
      <c r="O615" s="8">
        <f>((((G610-(2*'[2]Beam '!$D$11))+(2*10*D615/1000))*D610))*2</f>
        <v>2.2799999999999998</v>
      </c>
      <c r="P615" s="8">
        <f t="shared" si="119"/>
        <v>136.79999999999998</v>
      </c>
      <c r="Q615" s="8">
        <f>IF($D615='[2]Beam '!Q$44,$P615*'[2]Beam '!Q$45,0)</f>
        <v>0</v>
      </c>
      <c r="R615" s="8">
        <f>IF($D615='[2]Beam '!R$44,$P615*'[2]Beam '!R$45,0)</f>
        <v>84.3762857142857</v>
      </c>
      <c r="S615" s="8">
        <f>IF($D615='[2]Beam '!S$44,$P615*'[2]Beam '!S$45,0)</f>
        <v>0</v>
      </c>
      <c r="T615" s="8">
        <f>IF($D615='[2]Beam '!T$44,$P615*'[2]Beam '!T$45,0)</f>
        <v>0</v>
      </c>
      <c r="U615" s="8">
        <f>IF($D615='[2]Beam '!U$44,$P615*'[2]Beam '!U$45,0)</f>
        <v>0</v>
      </c>
      <c r="V615" s="8">
        <f>IF($D615='[2]Beam '!V$44,$P615*'[2]Beam '!V$45,0)</f>
        <v>0</v>
      </c>
      <c r="W615" s="8">
        <f>IF($D615='[2]Beam '!W$44,$P615*'[2]Beam '!W$45,0)</f>
        <v>0</v>
      </c>
      <c r="X615" s="8">
        <f t="shared" si="120"/>
        <v>84.3762857142857</v>
      </c>
      <c r="Y615" s="14"/>
      <c r="Z615" s="8"/>
      <c r="AA615" s="8"/>
      <c r="AB615" s="8"/>
      <c r="AC615" s="8"/>
      <c r="AD615" s="8"/>
      <c r="AE615" s="8"/>
    </row>
    <row r="616" spans="1:32" s="10" customFormat="1" ht="20.100000000000001" customHeight="1" x14ac:dyDescent="0.25">
      <c r="A616" s="7"/>
      <c r="B616" s="8" t="s">
        <v>2</v>
      </c>
      <c r="C616" s="13" t="s">
        <v>10</v>
      </c>
      <c r="D616" s="8">
        <f>+'[2]Beam '!$D$15</f>
        <v>25</v>
      </c>
      <c r="E616" s="8">
        <f>+'[2]Beam '!$E$15</f>
        <v>1</v>
      </c>
      <c r="F616" s="8">
        <f>ROUNDUP((1.6)/E616,0)</f>
        <v>2</v>
      </c>
      <c r="G616" s="9"/>
      <c r="H616" s="9"/>
      <c r="I616" s="8"/>
      <c r="J616" s="8"/>
      <c r="K616" s="8"/>
      <c r="L616" s="8"/>
      <c r="M616" s="8"/>
      <c r="N616" s="8"/>
      <c r="O616" s="8">
        <f>F610-'[2]Beam '!$F$15</f>
        <v>0.34</v>
      </c>
      <c r="P616" s="8">
        <f t="shared" si="119"/>
        <v>0.68</v>
      </c>
      <c r="Q616" s="8">
        <f>IF($D616='[2]Beam '!Q$44,$P616*'[2]Beam '!Q$45,0)</f>
        <v>0</v>
      </c>
      <c r="R616" s="8">
        <f>IF($D616='[2]Beam '!R$44,$P616*'[2]Beam '!R$45,0)</f>
        <v>0</v>
      </c>
      <c r="S616" s="8">
        <f>IF($D616='[2]Beam '!S$44,$P616*'[2]Beam '!S$45,0)</f>
        <v>0</v>
      </c>
      <c r="T616" s="8">
        <f>IF($D616='[2]Beam '!T$44,$P616*'[2]Beam '!T$45,0)</f>
        <v>0</v>
      </c>
      <c r="U616" s="8">
        <f>IF($D616='[2]Beam '!U$44,$P616*'[2]Beam '!U$45,0)</f>
        <v>0</v>
      </c>
      <c r="V616" s="8">
        <f>IF($D616='[2]Beam '!V$44,$P616*'[2]Beam '!V$45,0)</f>
        <v>2.6213392857142863</v>
      </c>
      <c r="W616" s="8">
        <f>IF($D616='[2]Beam '!W$44,$P616*'[2]Beam '!W$45,0)</f>
        <v>0</v>
      </c>
      <c r="X616" s="8">
        <f t="shared" si="120"/>
        <v>2.6213392857142863</v>
      </c>
      <c r="Y616" s="8"/>
      <c r="Z616" s="8"/>
      <c r="AA616" s="8"/>
      <c r="AB616" s="8"/>
      <c r="AC616" s="8"/>
      <c r="AD616" s="8"/>
      <c r="AE616" s="8"/>
    </row>
    <row r="617" spans="1:32" s="10" customFormat="1" ht="20.100000000000001" customHeight="1" x14ac:dyDescent="0.25">
      <c r="A617" s="8">
        <v>1</v>
      </c>
      <c r="B617" s="8" t="s">
        <v>2</v>
      </c>
      <c r="C617" s="11" t="s">
        <v>82</v>
      </c>
      <c r="D617" s="11">
        <v>1</v>
      </c>
      <c r="E617" s="11">
        <v>2.8490000000000002</v>
      </c>
      <c r="F617" s="11">
        <v>0.4</v>
      </c>
      <c r="G617" s="11">
        <v>1</v>
      </c>
      <c r="H617" s="8">
        <f>G617-0.2</f>
        <v>0.8</v>
      </c>
      <c r="I617" s="8">
        <f>E617*F617*G617*D617</f>
        <v>1.1396000000000002</v>
      </c>
      <c r="J617" s="8">
        <f>(2*(E617)*H617*D617)+(E617*F617)</f>
        <v>5.6980000000000004</v>
      </c>
      <c r="K617" s="12">
        <f>IF(E617=0.3,J617,0)</f>
        <v>0</v>
      </c>
      <c r="L617" s="12">
        <f>IF(AND(E617&gt;0.3,E617&lt;=0.75),J617,0)</f>
        <v>0</v>
      </c>
      <c r="M617" s="12">
        <f>IF(AND(E617&gt;0.75,E617&lt;=1.2),J617,0)</f>
        <v>0</v>
      </c>
      <c r="N617" s="12">
        <f>IF(E617&gt;1.2,J617,0)</f>
        <v>5.6980000000000004</v>
      </c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>
        <f>SUM(X618:X621)/I617</f>
        <v>200.55277854385</v>
      </c>
      <c r="Z617" s="8"/>
      <c r="AA617" s="8"/>
      <c r="AB617" s="8"/>
      <c r="AC617" s="8"/>
      <c r="AD617" s="8"/>
      <c r="AE617" s="8"/>
    </row>
    <row r="618" spans="1:32" s="14" customFormat="1" ht="20.100000000000001" customHeight="1" x14ac:dyDescent="0.3">
      <c r="A618" s="7"/>
      <c r="B618" s="8" t="s">
        <v>2</v>
      </c>
      <c r="C618" s="13" t="s">
        <v>4</v>
      </c>
      <c r="D618" s="8">
        <v>25</v>
      </c>
      <c r="E618" s="8"/>
      <c r="F618" s="8">
        <v>4</v>
      </c>
      <c r="G618" s="9">
        <f>VLOOKUP(D618,'[2]Beam '!$C$20:$H$26,3,0)</f>
        <v>1</v>
      </c>
      <c r="H618" s="9"/>
      <c r="I618" s="8"/>
      <c r="J618" s="8"/>
      <c r="K618" s="8"/>
      <c r="L618" s="8"/>
      <c r="M618" s="8"/>
      <c r="N618" s="8"/>
      <c r="O618" s="8">
        <f>(E617+1*(G618+(12*D618/1000))+G618*D617)</f>
        <v>5.149</v>
      </c>
      <c r="P618" s="8">
        <f>O618*F618</f>
        <v>20.596</v>
      </c>
      <c r="Q618" s="8">
        <f>IF($D618='[2]Beam '!Q$44,$P618*'[2]Beam '!Q$45,0)</f>
        <v>0</v>
      </c>
      <c r="R618" s="8">
        <f>IF($D618='[2]Beam '!R$44,$P618*'[2]Beam '!R$45,0)</f>
        <v>0</v>
      </c>
      <c r="S618" s="8">
        <f>IF($D618='[2]Beam '!S$44,$P618*'[2]Beam '!S$45,0)</f>
        <v>0</v>
      </c>
      <c r="T618" s="8">
        <f>IF($D618='[2]Beam '!T$44,$P618*'[2]Beam '!T$45,0)</f>
        <v>0</v>
      </c>
      <c r="U618" s="8">
        <f>IF($D618='[2]Beam '!U$44,$P618*'[2]Beam '!U$45,0)</f>
        <v>0</v>
      </c>
      <c r="V618" s="8">
        <f>IF($D618='[2]Beam '!V$44,$P618*'[2]Beam '!V$45,0)</f>
        <v>79.395741071428588</v>
      </c>
      <c r="W618" s="8">
        <f>IF($D618='[2]Beam '!W$44,$P618*'[2]Beam '!W$45,0)</f>
        <v>0</v>
      </c>
      <c r="X618" s="8">
        <f>SUM(Q618:W618)</f>
        <v>79.395741071428588</v>
      </c>
      <c r="Y618" s="8"/>
    </row>
    <row r="619" spans="1:32" s="10" customFormat="1" ht="21" customHeight="1" x14ac:dyDescent="0.25">
      <c r="A619" s="7"/>
      <c r="B619" s="8" t="s">
        <v>2</v>
      </c>
      <c r="C619" s="13" t="s">
        <v>6</v>
      </c>
      <c r="D619" s="8">
        <v>25</v>
      </c>
      <c r="E619" s="8"/>
      <c r="F619" s="8">
        <v>4</v>
      </c>
      <c r="G619" s="9">
        <f>VLOOKUP(D619,'[2]Beam '!$C$20:$H$26,3,0)</f>
        <v>1</v>
      </c>
      <c r="H619" s="8"/>
      <c r="I619" s="8"/>
      <c r="J619" s="8"/>
      <c r="K619" s="8"/>
      <c r="L619" s="8"/>
      <c r="M619" s="8"/>
      <c r="N619" s="8"/>
      <c r="O619" s="8">
        <f>(E617+1*(G619+(12*D619/1000))+G619*D617)</f>
        <v>5.149</v>
      </c>
      <c r="P619" s="8">
        <f>O619*F619</f>
        <v>20.596</v>
      </c>
      <c r="Q619" s="8">
        <f>IF($D619='[2]Beam '!Q$44,$P619*'[2]Beam '!Q$45,0)</f>
        <v>0</v>
      </c>
      <c r="R619" s="8">
        <f>IF($D619='[2]Beam '!R$44,$P619*'[2]Beam '!R$45,0)</f>
        <v>0</v>
      </c>
      <c r="S619" s="8">
        <f>IF($D619='[2]Beam '!S$44,$P619*'[2]Beam '!S$45,0)</f>
        <v>0</v>
      </c>
      <c r="T619" s="8">
        <f>IF($D619='[2]Beam '!T$44,$P619*'[2]Beam '!T$45,0)</f>
        <v>0</v>
      </c>
      <c r="U619" s="8">
        <f>IF($D619='[2]Beam '!U$44,$P619*'[2]Beam '!U$45,0)</f>
        <v>0</v>
      </c>
      <c r="V619" s="8">
        <f>IF($D619='[2]Beam '!V$44,$P619*'[2]Beam '!V$45,0)</f>
        <v>79.395741071428588</v>
      </c>
      <c r="W619" s="8">
        <f>IF($D619='[2]Beam '!W$44,$P619*'[2]Beam '!W$45,0)</f>
        <v>0</v>
      </c>
      <c r="X619" s="8">
        <f>SUM(Q619:W619)</f>
        <v>79.395741071428588</v>
      </c>
      <c r="Y619" s="8"/>
      <c r="Z619" s="8"/>
      <c r="AA619" s="8"/>
      <c r="AB619" s="8"/>
      <c r="AC619" s="8"/>
      <c r="AD619" s="8"/>
      <c r="AE619" s="8"/>
      <c r="AF619" s="8"/>
    </row>
    <row r="620" spans="1:32" s="10" customFormat="1" ht="20.100000000000001" customHeight="1" x14ac:dyDescent="0.25">
      <c r="A620" s="7"/>
      <c r="B620" s="8" t="s">
        <v>2</v>
      </c>
      <c r="C620" s="13" t="s">
        <v>8</v>
      </c>
      <c r="D620" s="8">
        <v>10</v>
      </c>
      <c r="E620" s="8">
        <v>0.1</v>
      </c>
      <c r="F620" s="8">
        <f>ROUNDUP(E617/E620,0)</f>
        <v>29</v>
      </c>
      <c r="H620" s="8"/>
      <c r="I620" s="8"/>
      <c r="J620" s="8"/>
      <c r="K620" s="8"/>
      <c r="L620" s="8"/>
      <c r="M620" s="8"/>
      <c r="N620" s="8"/>
      <c r="O620" s="8">
        <f>(2*((G617-(2*'[2]Beam '!$D$11))+(F617-(2*'[2]Beam '!$D$11)))+(2*10*D620/1000))*D617</f>
        <v>2.7600000000000002</v>
      </c>
      <c r="P620" s="8">
        <f>O620*F620</f>
        <v>80.040000000000006</v>
      </c>
      <c r="Q620" s="8">
        <f>IF($D620='[2]Beam '!Q$44,$P620*'[2]Beam '!Q$45,0)</f>
        <v>0</v>
      </c>
      <c r="R620" s="8">
        <f>IF($D620='[2]Beam '!R$44,$P620*'[2]Beam '!R$45,0)</f>
        <v>49.367528571428572</v>
      </c>
      <c r="S620" s="8">
        <f>IF($D620='[2]Beam '!S$44,$P620*'[2]Beam '!S$45,0)</f>
        <v>0</v>
      </c>
      <c r="T620" s="8">
        <f>IF($D620='[2]Beam '!T$44,$P620*'[2]Beam '!T$45,0)</f>
        <v>0</v>
      </c>
      <c r="U620" s="8">
        <f>IF($D620='[2]Beam '!U$44,$P620*'[2]Beam '!U$45,0)</f>
        <v>0</v>
      </c>
      <c r="V620" s="8">
        <f>IF($D620='[2]Beam '!V$44,$P620*'[2]Beam '!V$45,0)</f>
        <v>0</v>
      </c>
      <c r="W620" s="8">
        <f>IF($D620='[2]Beam '!W$44,$P620*'[2]Beam '!W$45,0)</f>
        <v>0</v>
      </c>
      <c r="X620" s="8">
        <f>SUM(Q620:W620)</f>
        <v>49.367528571428572</v>
      </c>
      <c r="Y620" s="8"/>
      <c r="Z620" s="8"/>
      <c r="AA620" s="8"/>
      <c r="AB620" s="8"/>
      <c r="AC620" s="8"/>
      <c r="AD620" s="8"/>
      <c r="AE620" s="8"/>
    </row>
    <row r="621" spans="1:32" s="10" customFormat="1" ht="20.100000000000001" customHeight="1" x14ac:dyDescent="0.25">
      <c r="A621" s="14"/>
      <c r="B621" s="8" t="s">
        <v>2</v>
      </c>
      <c r="C621" s="13" t="s">
        <v>9</v>
      </c>
      <c r="D621" s="8">
        <f>+D620</f>
        <v>10</v>
      </c>
      <c r="E621" s="14">
        <f>+E620</f>
        <v>0.1</v>
      </c>
      <c r="F621" s="8">
        <f>ROUNDUP(E617/E621,0)</f>
        <v>29</v>
      </c>
      <c r="H621" s="14"/>
      <c r="I621" s="14"/>
      <c r="J621" s="14"/>
      <c r="K621" s="14"/>
      <c r="L621" s="14"/>
      <c r="M621" s="14"/>
      <c r="N621" s="14"/>
      <c r="O621" s="8">
        <f>((((G617-(2*'[2]Beam '!$D$11))+(2*10*D621/1000))*D617))*1</f>
        <v>1.1399999999999999</v>
      </c>
      <c r="P621" s="8">
        <f>O621*F621</f>
        <v>33.059999999999995</v>
      </c>
      <c r="Q621" s="8">
        <f>IF($D621='[2]Beam '!Q$44,$P621*'[2]Beam '!Q$45,0)</f>
        <v>0</v>
      </c>
      <c r="R621" s="8">
        <f>IF($D621='[2]Beam '!R$44,$P621*'[2]Beam '!R$45,0)</f>
        <v>20.39093571428571</v>
      </c>
      <c r="S621" s="8">
        <f>IF($D621='[2]Beam '!S$44,$P621*'[2]Beam '!S$45,0)</f>
        <v>0</v>
      </c>
      <c r="T621" s="8">
        <f>IF($D621='[2]Beam '!T$44,$P621*'[2]Beam '!T$45,0)</f>
        <v>0</v>
      </c>
      <c r="U621" s="8">
        <f>IF($D621='[2]Beam '!U$44,$P621*'[2]Beam '!U$45,0)</f>
        <v>0</v>
      </c>
      <c r="V621" s="8">
        <f>IF($D621='[2]Beam '!V$44,$P621*'[2]Beam '!V$45,0)</f>
        <v>0</v>
      </c>
      <c r="W621" s="8">
        <f>IF($D621='[2]Beam '!W$44,$P621*'[2]Beam '!W$45,0)</f>
        <v>0</v>
      </c>
      <c r="X621" s="8">
        <f>SUM(Q621:W621)</f>
        <v>20.39093571428571</v>
      </c>
      <c r="Y621" s="14"/>
      <c r="Z621" s="8"/>
      <c r="AA621" s="8"/>
      <c r="AB621" s="8"/>
      <c r="AC621" s="8"/>
      <c r="AD621" s="8"/>
      <c r="AE621" s="8"/>
    </row>
    <row r="622" spans="1:32" s="10" customFormat="1" ht="20.100000000000001" customHeight="1" x14ac:dyDescent="0.25">
      <c r="A622" s="8">
        <v>1</v>
      </c>
      <c r="B622" s="8" t="s">
        <v>2</v>
      </c>
      <c r="C622" s="11" t="s">
        <v>83</v>
      </c>
      <c r="D622" s="11">
        <v>1</v>
      </c>
      <c r="E622" s="11">
        <v>1.8</v>
      </c>
      <c r="F622" s="11">
        <v>0.3</v>
      </c>
      <c r="G622" s="11">
        <v>1.1000000000000001</v>
      </c>
      <c r="H622" s="8">
        <f>G622-0.2</f>
        <v>0.90000000000000013</v>
      </c>
      <c r="I622" s="8">
        <f>E622*F622*G622*D622</f>
        <v>0.59400000000000008</v>
      </c>
      <c r="J622" s="8">
        <f>(2*(E622)*H622*D622)+(E622*F622)</f>
        <v>3.7800000000000007</v>
      </c>
      <c r="K622" s="12">
        <f>IF(E622=0.3,J622,0)</f>
        <v>0</v>
      </c>
      <c r="L622" s="12">
        <f>IF(AND(E622&gt;0.3,E622&lt;=0.75),J622,0)</f>
        <v>0</v>
      </c>
      <c r="M622" s="12">
        <f>IF(AND(E622&gt;0.75,E622&lt;=1.2),J622,0)</f>
        <v>0</v>
      </c>
      <c r="N622" s="12">
        <f>IF(E622&gt;1.2,J622,0)</f>
        <v>3.7800000000000007</v>
      </c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>
        <f>SUM(X623:X625)/I622</f>
        <v>87.305955555555542</v>
      </c>
      <c r="Z622" s="8"/>
      <c r="AA622" s="8"/>
      <c r="AB622" s="8"/>
      <c r="AC622" s="8"/>
      <c r="AD622" s="8"/>
      <c r="AE622" s="8"/>
    </row>
    <row r="623" spans="1:32" s="10" customFormat="1" ht="20.100000000000001" customHeight="1" x14ac:dyDescent="0.25">
      <c r="A623" s="7"/>
      <c r="B623" s="8" t="s">
        <v>2</v>
      </c>
      <c r="C623" s="13" t="s">
        <v>4</v>
      </c>
      <c r="D623" s="8">
        <v>16</v>
      </c>
      <c r="E623" s="8"/>
      <c r="F623" s="8">
        <v>3</v>
      </c>
      <c r="G623" s="9">
        <f>VLOOKUP(D623,'[2]Beam '!$C$20:$H$26,3,0)</f>
        <v>0.625</v>
      </c>
      <c r="H623" s="9"/>
      <c r="I623" s="8"/>
      <c r="J623" s="8"/>
      <c r="K623" s="8"/>
      <c r="L623" s="8"/>
      <c r="M623" s="8"/>
      <c r="N623" s="8"/>
      <c r="O623" s="8">
        <f>(E622+2*(G623+(12*D623/1000))*D622)</f>
        <v>3.4340000000000002</v>
      </c>
      <c r="P623" s="8">
        <f>O623*F623</f>
        <v>10.302</v>
      </c>
      <c r="Q623" s="8">
        <f>IF($D623='[2]Beam '!Q$44,$P623*'[2]Beam '!Q$45,0)</f>
        <v>0</v>
      </c>
      <c r="R623" s="8">
        <f>IF($D623='[2]Beam '!R$44,$P623*'[2]Beam '!R$45,0)</f>
        <v>0</v>
      </c>
      <c r="S623" s="8">
        <f>IF($D623='[2]Beam '!S$44,$P623*'[2]Beam '!S$45,0)</f>
        <v>0</v>
      </c>
      <c r="T623" s="8">
        <f>IF($D623='[2]Beam '!T$44,$P623*'[2]Beam '!T$45,0)</f>
        <v>16.266563657142857</v>
      </c>
      <c r="U623" s="8">
        <f>IF($D623='[2]Beam '!U$44,$P623*'[2]Beam '!U$45,0)</f>
        <v>0</v>
      </c>
      <c r="V623" s="8">
        <f>IF($D623='[2]Beam '!V$44,$P623*'[2]Beam '!V$45,0)</f>
        <v>0</v>
      </c>
      <c r="W623" s="8">
        <f>IF($D623='[2]Beam '!W$44,$P623*'[2]Beam '!W$45,0)</f>
        <v>0</v>
      </c>
      <c r="X623" s="8">
        <f>SUM(Q623:W623)</f>
        <v>16.266563657142857</v>
      </c>
      <c r="Y623" s="8"/>
      <c r="Z623" s="8"/>
      <c r="AA623" s="8"/>
      <c r="AB623" s="8"/>
      <c r="AC623" s="8"/>
      <c r="AD623" s="8"/>
      <c r="AE623" s="8"/>
    </row>
    <row r="624" spans="1:32" s="10" customFormat="1" ht="21" customHeight="1" x14ac:dyDescent="0.25">
      <c r="A624" s="7"/>
      <c r="B624" s="8" t="s">
        <v>2</v>
      </c>
      <c r="C624" s="13" t="s">
        <v>6</v>
      </c>
      <c r="D624" s="8">
        <v>16</v>
      </c>
      <c r="E624" s="8"/>
      <c r="F624" s="8">
        <v>3</v>
      </c>
      <c r="G624" s="9">
        <f>VLOOKUP(D624,'[2]Beam '!$C$20:$H$26,3,0)</f>
        <v>0.625</v>
      </c>
      <c r="H624" s="8"/>
      <c r="I624" s="8"/>
      <c r="J624" s="8"/>
      <c r="K624" s="8"/>
      <c r="L624" s="8"/>
      <c r="M624" s="8"/>
      <c r="N624" s="8"/>
      <c r="O624" s="8">
        <f>(E622+2*(G624+(12*D624/1000))*D622)</f>
        <v>3.4340000000000002</v>
      </c>
      <c r="P624" s="8">
        <f>O624*F624</f>
        <v>10.302</v>
      </c>
      <c r="Q624" s="8">
        <f>IF($D624='[2]Beam '!Q$44,$P624*'[2]Beam '!Q$45,0)</f>
        <v>0</v>
      </c>
      <c r="R624" s="8">
        <f>IF($D624='[2]Beam '!R$44,$P624*'[2]Beam '!R$45,0)</f>
        <v>0</v>
      </c>
      <c r="S624" s="8">
        <f>IF($D624='[2]Beam '!S$44,$P624*'[2]Beam '!S$45,0)</f>
        <v>0</v>
      </c>
      <c r="T624" s="8">
        <f>IF($D624='[2]Beam '!T$44,$P624*'[2]Beam '!T$45,0)</f>
        <v>16.266563657142857</v>
      </c>
      <c r="U624" s="8">
        <f>IF($D624='[2]Beam '!U$44,$P624*'[2]Beam '!U$45,0)</f>
        <v>0</v>
      </c>
      <c r="V624" s="8">
        <f>IF($D624='[2]Beam '!V$44,$P624*'[2]Beam '!V$45,0)</f>
        <v>0</v>
      </c>
      <c r="W624" s="8">
        <f>IF($D624='[2]Beam '!W$44,$P624*'[2]Beam '!W$45,0)</f>
        <v>0</v>
      </c>
      <c r="X624" s="8">
        <f>SUM(Q624:W624)</f>
        <v>16.266563657142857</v>
      </c>
      <c r="Y624" s="8"/>
      <c r="Z624" s="8"/>
      <c r="AA624" s="8"/>
      <c r="AB624" s="8"/>
      <c r="AC624" s="8"/>
      <c r="AD624" s="8"/>
      <c r="AE624" s="8"/>
      <c r="AF624" s="8"/>
    </row>
    <row r="625" spans="1:32" s="10" customFormat="1" ht="20.100000000000001" customHeight="1" x14ac:dyDescent="0.25">
      <c r="A625" s="7"/>
      <c r="B625" s="8" t="s">
        <v>2</v>
      </c>
      <c r="C625" s="13" t="s">
        <v>8</v>
      </c>
      <c r="D625" s="8">
        <v>8</v>
      </c>
      <c r="E625" s="8">
        <v>0.1</v>
      </c>
      <c r="F625" s="8">
        <f>ROUNDUP(E622/E625,0)</f>
        <v>18</v>
      </c>
      <c r="H625" s="8"/>
      <c r="I625" s="8"/>
      <c r="J625" s="8"/>
      <c r="K625" s="8"/>
      <c r="L625" s="8"/>
      <c r="M625" s="8"/>
      <c r="N625" s="8"/>
      <c r="O625" s="8">
        <f>(2*((G622-(2*'[2]Beam '!$D$11))+(F622-(2*'[2]Beam '!$D$11)))+(2*10*D625/1000))*D622</f>
        <v>2.72</v>
      </c>
      <c r="P625" s="8">
        <f>O625*F625</f>
        <v>48.96</v>
      </c>
      <c r="Q625" s="8">
        <f>IF($D625='[2]Beam '!Q$44,$P625*'[2]Beam '!Q$45,0)</f>
        <v>19.326610285714288</v>
      </c>
      <c r="R625" s="8">
        <f>IF($D625='[2]Beam '!R$44,$P625*'[2]Beam '!R$45,0)</f>
        <v>0</v>
      </c>
      <c r="S625" s="8">
        <f>IF($D625='[2]Beam '!S$44,$P625*'[2]Beam '!S$45,0)</f>
        <v>0</v>
      </c>
      <c r="T625" s="8">
        <f>IF($D625='[2]Beam '!T$44,$P625*'[2]Beam '!T$45,0)</f>
        <v>0</v>
      </c>
      <c r="U625" s="8">
        <f>IF($D625='[2]Beam '!U$44,$P625*'[2]Beam '!U$45,0)</f>
        <v>0</v>
      </c>
      <c r="V625" s="8">
        <f>IF($D625='[2]Beam '!V$44,$P625*'[2]Beam '!V$45,0)</f>
        <v>0</v>
      </c>
      <c r="W625" s="8">
        <f>IF($D625='[2]Beam '!W$44,$P625*'[2]Beam '!W$45,0)</f>
        <v>0</v>
      </c>
      <c r="X625" s="8">
        <f>SUM(Q625:W625)</f>
        <v>19.326610285714288</v>
      </c>
      <c r="Y625" s="8"/>
      <c r="Z625" s="8"/>
      <c r="AA625" s="8"/>
      <c r="AB625" s="8"/>
      <c r="AC625" s="8"/>
      <c r="AD625" s="8"/>
      <c r="AE625" s="8"/>
    </row>
    <row r="626" spans="1:32" s="10" customFormat="1" ht="20.100000000000001" customHeight="1" x14ac:dyDescent="0.25">
      <c r="A626" s="7"/>
      <c r="B626" s="8" t="s">
        <v>2</v>
      </c>
      <c r="C626" s="13" t="s">
        <v>10</v>
      </c>
      <c r="D626" s="8">
        <f>+'[2]Beam '!$D$15</f>
        <v>25</v>
      </c>
      <c r="E626" s="8">
        <f>+'[2]Beam '!$E$15</f>
        <v>1</v>
      </c>
      <c r="F626" s="8">
        <f>ROUNDUP((E622)/E626,0)</f>
        <v>2</v>
      </c>
      <c r="G626" s="9"/>
      <c r="H626" s="9"/>
      <c r="I626" s="8"/>
      <c r="J626" s="8"/>
      <c r="K626" s="8"/>
      <c r="L626" s="8"/>
      <c r="M626" s="8"/>
      <c r="N626" s="8"/>
      <c r="O626" s="8">
        <f>F622-'[2]Beam '!$F$15</f>
        <v>0.24</v>
      </c>
      <c r="P626" s="8">
        <f>O626*F626</f>
        <v>0.48</v>
      </c>
      <c r="Q626" s="8">
        <f>IF($D626='[2]Beam '!Q$44,$P626*'[2]Beam '!Q$45,0)</f>
        <v>0</v>
      </c>
      <c r="R626" s="8">
        <f>IF($D626='[2]Beam '!R$44,$P626*'[2]Beam '!R$45,0)</f>
        <v>0</v>
      </c>
      <c r="S626" s="8">
        <f>IF($D626='[2]Beam '!S$44,$P626*'[2]Beam '!S$45,0)</f>
        <v>0</v>
      </c>
      <c r="T626" s="8">
        <f>IF($D626='[2]Beam '!T$44,$P626*'[2]Beam '!T$45,0)</f>
        <v>0</v>
      </c>
      <c r="U626" s="8">
        <f>IF($D626='[2]Beam '!U$44,$P626*'[2]Beam '!U$45,0)</f>
        <v>0</v>
      </c>
      <c r="V626" s="8">
        <f>IF($D626='[2]Beam '!V$44,$P626*'[2]Beam '!V$45,0)</f>
        <v>1.850357142857143</v>
      </c>
      <c r="W626" s="8">
        <f>IF($D626='[2]Beam '!W$44,$P626*'[2]Beam '!W$45,0)</f>
        <v>0</v>
      </c>
      <c r="X626" s="8">
        <f>SUM(Q626:W626)</f>
        <v>1.850357142857143</v>
      </c>
      <c r="Y626" s="8"/>
      <c r="Z626" s="8"/>
      <c r="AA626" s="8"/>
      <c r="AB626" s="8"/>
      <c r="AC626" s="8"/>
      <c r="AD626" s="8"/>
      <c r="AE626" s="8"/>
    </row>
    <row r="627" spans="1:32" s="10" customFormat="1" ht="20.100000000000001" customHeight="1" x14ac:dyDescent="0.25">
      <c r="A627" s="8">
        <v>1</v>
      </c>
      <c r="B627" s="8" t="s">
        <v>2</v>
      </c>
      <c r="C627" s="11" t="s">
        <v>84</v>
      </c>
      <c r="D627" s="11">
        <v>1</v>
      </c>
      <c r="E627" s="11">
        <v>1.8</v>
      </c>
      <c r="F627" s="11">
        <v>0.3</v>
      </c>
      <c r="G627" s="11">
        <v>1.1000000000000001</v>
      </c>
      <c r="H627" s="8">
        <f>G627-0.2</f>
        <v>0.90000000000000013</v>
      </c>
      <c r="I627" s="8">
        <f>E627*F627*G627*D627</f>
        <v>0.59400000000000008</v>
      </c>
      <c r="J627" s="8">
        <f>(2*(E627)*H627*D627)+(E627*F627)</f>
        <v>3.7800000000000007</v>
      </c>
      <c r="K627" s="12">
        <f>IF(E627=0.3,J627,0)</f>
        <v>0</v>
      </c>
      <c r="L627" s="12">
        <f>IF(AND(E627&gt;0.3,E627&lt;=0.75),J627,0)</f>
        <v>0</v>
      </c>
      <c r="M627" s="12">
        <f>IF(AND(E627&gt;0.75,E627&lt;=1.2),J627,0)</f>
        <v>0</v>
      </c>
      <c r="N627" s="12">
        <f>IF(E627&gt;1.2,J627,0)</f>
        <v>3.7800000000000007</v>
      </c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>
        <f>SUM(X628:X630)/I627</f>
        <v>87.305955555555542</v>
      </c>
      <c r="Z627" s="8"/>
      <c r="AA627" s="8"/>
      <c r="AB627" s="8"/>
      <c r="AC627" s="8"/>
      <c r="AD627" s="8"/>
      <c r="AE627" s="8"/>
    </row>
    <row r="628" spans="1:32" s="10" customFormat="1" ht="20.100000000000001" customHeight="1" x14ac:dyDescent="0.25">
      <c r="A628" s="7"/>
      <c r="B628" s="8" t="s">
        <v>2</v>
      </c>
      <c r="C628" s="13" t="s">
        <v>4</v>
      </c>
      <c r="D628" s="8">
        <v>16</v>
      </c>
      <c r="E628" s="8"/>
      <c r="F628" s="8">
        <v>3</v>
      </c>
      <c r="G628" s="9">
        <f>VLOOKUP(D628,'[2]Beam '!$C$20:$H$26,3,0)</f>
        <v>0.625</v>
      </c>
      <c r="H628" s="9"/>
      <c r="I628" s="8"/>
      <c r="J628" s="8"/>
      <c r="K628" s="8"/>
      <c r="L628" s="8"/>
      <c r="M628" s="8"/>
      <c r="N628" s="8"/>
      <c r="O628" s="8">
        <f>(E627+2*(G628+(12*D628/1000))*D627)</f>
        <v>3.4340000000000002</v>
      </c>
      <c r="P628" s="8">
        <f>O628*F628</f>
        <v>10.302</v>
      </c>
      <c r="Q628" s="8">
        <f>IF($D628='[2]Beam '!Q$44,$P628*'[2]Beam '!Q$45,0)</f>
        <v>0</v>
      </c>
      <c r="R628" s="8">
        <f>IF($D628='[2]Beam '!R$44,$P628*'[2]Beam '!R$45,0)</f>
        <v>0</v>
      </c>
      <c r="S628" s="8">
        <f>IF($D628='[2]Beam '!S$44,$P628*'[2]Beam '!S$45,0)</f>
        <v>0</v>
      </c>
      <c r="T628" s="8">
        <f>IF($D628='[2]Beam '!T$44,$P628*'[2]Beam '!T$45,0)</f>
        <v>16.266563657142857</v>
      </c>
      <c r="U628" s="8">
        <f>IF($D628='[2]Beam '!U$44,$P628*'[2]Beam '!U$45,0)</f>
        <v>0</v>
      </c>
      <c r="V628" s="8">
        <f>IF($D628='[2]Beam '!V$44,$P628*'[2]Beam '!V$45,0)</f>
        <v>0</v>
      </c>
      <c r="W628" s="8">
        <f>IF($D628='[2]Beam '!W$44,$P628*'[2]Beam '!W$45,0)</f>
        <v>0</v>
      </c>
      <c r="X628" s="8">
        <f>SUM(Q628:W628)</f>
        <v>16.266563657142857</v>
      </c>
      <c r="Y628" s="8"/>
      <c r="Z628" s="8"/>
      <c r="AA628" s="8"/>
      <c r="AB628" s="8"/>
      <c r="AC628" s="8"/>
      <c r="AD628" s="8"/>
      <c r="AE628" s="8"/>
    </row>
    <row r="629" spans="1:32" s="10" customFormat="1" ht="21" customHeight="1" x14ac:dyDescent="0.25">
      <c r="A629" s="7"/>
      <c r="B629" s="8" t="s">
        <v>2</v>
      </c>
      <c r="C629" s="13" t="s">
        <v>6</v>
      </c>
      <c r="D629" s="8">
        <v>16</v>
      </c>
      <c r="E629" s="8"/>
      <c r="F629" s="8">
        <v>3</v>
      </c>
      <c r="G629" s="9">
        <f>VLOOKUP(D629,'[2]Beam '!$C$20:$H$26,3,0)</f>
        <v>0.625</v>
      </c>
      <c r="H629" s="8"/>
      <c r="I629" s="8"/>
      <c r="J629" s="8"/>
      <c r="K629" s="8"/>
      <c r="L629" s="8"/>
      <c r="M629" s="8"/>
      <c r="N629" s="8"/>
      <c r="O629" s="8">
        <f>(E627+2*(G629+(12*D629/1000))*D627)</f>
        <v>3.4340000000000002</v>
      </c>
      <c r="P629" s="8">
        <f>O629*F629</f>
        <v>10.302</v>
      </c>
      <c r="Q629" s="8">
        <f>IF($D629='[2]Beam '!Q$44,$P629*'[2]Beam '!Q$45,0)</f>
        <v>0</v>
      </c>
      <c r="R629" s="8">
        <f>IF($D629='[2]Beam '!R$44,$P629*'[2]Beam '!R$45,0)</f>
        <v>0</v>
      </c>
      <c r="S629" s="8">
        <f>IF($D629='[2]Beam '!S$44,$P629*'[2]Beam '!S$45,0)</f>
        <v>0</v>
      </c>
      <c r="T629" s="8">
        <f>IF($D629='[2]Beam '!T$44,$P629*'[2]Beam '!T$45,0)</f>
        <v>16.266563657142857</v>
      </c>
      <c r="U629" s="8">
        <f>IF($D629='[2]Beam '!U$44,$P629*'[2]Beam '!U$45,0)</f>
        <v>0</v>
      </c>
      <c r="V629" s="8">
        <f>IF($D629='[2]Beam '!V$44,$P629*'[2]Beam '!V$45,0)</f>
        <v>0</v>
      </c>
      <c r="W629" s="8">
        <f>IF($D629='[2]Beam '!W$44,$P629*'[2]Beam '!W$45,0)</f>
        <v>0</v>
      </c>
      <c r="X629" s="8">
        <f>SUM(Q629:W629)</f>
        <v>16.266563657142857</v>
      </c>
      <c r="Y629" s="8"/>
      <c r="Z629" s="8"/>
      <c r="AA629" s="8"/>
      <c r="AB629" s="8"/>
      <c r="AC629" s="8"/>
      <c r="AD629" s="8"/>
      <c r="AE629" s="8"/>
      <c r="AF629" s="8"/>
    </row>
    <row r="630" spans="1:32" s="10" customFormat="1" ht="20.100000000000001" customHeight="1" x14ac:dyDescent="0.25">
      <c r="A630" s="7"/>
      <c r="B630" s="8" t="s">
        <v>2</v>
      </c>
      <c r="C630" s="13" t="s">
        <v>8</v>
      </c>
      <c r="D630" s="8">
        <v>8</v>
      </c>
      <c r="E630" s="8">
        <v>0.1</v>
      </c>
      <c r="F630" s="8">
        <f>ROUNDUP(E627/E630,0)</f>
        <v>18</v>
      </c>
      <c r="H630" s="8"/>
      <c r="I630" s="8"/>
      <c r="J630" s="8"/>
      <c r="K630" s="8"/>
      <c r="L630" s="8"/>
      <c r="M630" s="8"/>
      <c r="N630" s="8"/>
      <c r="O630" s="8">
        <f>(2*((G627-(2*'[2]Beam '!$D$11))+(F627-(2*'[2]Beam '!$D$11)))+(2*10*D630/1000))*D627</f>
        <v>2.72</v>
      </c>
      <c r="P630" s="8">
        <f>O630*F630</f>
        <v>48.96</v>
      </c>
      <c r="Q630" s="8">
        <f>IF($D630='[2]Beam '!Q$44,$P630*'[2]Beam '!Q$45,0)</f>
        <v>19.326610285714288</v>
      </c>
      <c r="R630" s="8">
        <f>IF($D630='[2]Beam '!R$44,$P630*'[2]Beam '!R$45,0)</f>
        <v>0</v>
      </c>
      <c r="S630" s="8">
        <f>IF($D630='[2]Beam '!S$44,$P630*'[2]Beam '!S$45,0)</f>
        <v>0</v>
      </c>
      <c r="T630" s="8">
        <f>IF($D630='[2]Beam '!T$44,$P630*'[2]Beam '!T$45,0)</f>
        <v>0</v>
      </c>
      <c r="U630" s="8">
        <f>IF($D630='[2]Beam '!U$44,$P630*'[2]Beam '!U$45,0)</f>
        <v>0</v>
      </c>
      <c r="V630" s="8">
        <f>IF($D630='[2]Beam '!V$44,$P630*'[2]Beam '!V$45,0)</f>
        <v>0</v>
      </c>
      <c r="W630" s="8">
        <f>IF($D630='[2]Beam '!W$44,$P630*'[2]Beam '!W$45,0)</f>
        <v>0</v>
      </c>
      <c r="X630" s="8">
        <f>SUM(Q630:W630)</f>
        <v>19.326610285714288</v>
      </c>
      <c r="Y630" s="8"/>
      <c r="Z630" s="8"/>
      <c r="AA630" s="8"/>
      <c r="AB630" s="8"/>
      <c r="AC630" s="8"/>
      <c r="AD630" s="8"/>
      <c r="AE630" s="8"/>
    </row>
    <row r="631" spans="1:32" s="10" customFormat="1" ht="20.100000000000001" customHeight="1" x14ac:dyDescent="0.25">
      <c r="A631" s="7"/>
      <c r="B631" s="8" t="s">
        <v>2</v>
      </c>
      <c r="C631" s="13" t="s">
        <v>10</v>
      </c>
      <c r="D631" s="8">
        <f>+'[2]Beam '!$D$15</f>
        <v>25</v>
      </c>
      <c r="E631" s="8">
        <f>+'[2]Beam '!$E$15</f>
        <v>1</v>
      </c>
      <c r="F631" s="8">
        <f>ROUNDUP((E627)/E631,0)</f>
        <v>2</v>
      </c>
      <c r="G631" s="9"/>
      <c r="H631" s="9"/>
      <c r="I631" s="8"/>
      <c r="J631" s="8"/>
      <c r="K631" s="8"/>
      <c r="L631" s="8"/>
      <c r="M631" s="8"/>
      <c r="N631" s="8"/>
      <c r="O631" s="8">
        <f>F627-'[2]Beam '!$F$15</f>
        <v>0.24</v>
      </c>
      <c r="P631" s="8">
        <f>O631*F631</f>
        <v>0.48</v>
      </c>
      <c r="Q631" s="8">
        <f>IF($D631='[2]Beam '!Q$44,$P631*'[2]Beam '!Q$45,0)</f>
        <v>0</v>
      </c>
      <c r="R631" s="8">
        <f>IF($D631='[2]Beam '!R$44,$P631*'[2]Beam '!R$45,0)</f>
        <v>0</v>
      </c>
      <c r="S631" s="8">
        <f>IF($D631='[2]Beam '!S$44,$P631*'[2]Beam '!S$45,0)</f>
        <v>0</v>
      </c>
      <c r="T631" s="8">
        <f>IF($D631='[2]Beam '!T$44,$P631*'[2]Beam '!T$45,0)</f>
        <v>0</v>
      </c>
      <c r="U631" s="8">
        <f>IF($D631='[2]Beam '!U$44,$P631*'[2]Beam '!U$45,0)</f>
        <v>0</v>
      </c>
      <c r="V631" s="8">
        <f>IF($D631='[2]Beam '!V$44,$P631*'[2]Beam '!V$45,0)</f>
        <v>1.850357142857143</v>
      </c>
      <c r="W631" s="8">
        <f>IF($D631='[2]Beam '!W$44,$P631*'[2]Beam '!W$45,0)</f>
        <v>0</v>
      </c>
      <c r="X631" s="8">
        <f>SUM(Q631:W631)</f>
        <v>1.850357142857143</v>
      </c>
      <c r="Y631" s="8"/>
      <c r="Z631" s="8"/>
      <c r="AA631" s="8"/>
      <c r="AB631" s="8"/>
      <c r="AC631" s="8"/>
      <c r="AD631" s="8"/>
      <c r="AE631" s="8"/>
    </row>
    <row r="632" spans="1:32" s="10" customFormat="1" ht="20.100000000000001" customHeight="1" x14ac:dyDescent="0.25">
      <c r="A632" s="8">
        <v>1</v>
      </c>
      <c r="B632" s="8" t="s">
        <v>2</v>
      </c>
      <c r="C632" s="11" t="s">
        <v>85</v>
      </c>
      <c r="D632" s="11">
        <v>1</v>
      </c>
      <c r="E632" s="11">
        <v>0.98</v>
      </c>
      <c r="F632" s="11">
        <v>0.4</v>
      </c>
      <c r="G632" s="11">
        <v>1.1000000000000001</v>
      </c>
      <c r="H632" s="8">
        <f>G632-0.275</f>
        <v>0.82500000000000007</v>
      </c>
      <c r="I632" s="8">
        <f>E632*F632*G632*D632</f>
        <v>0.43120000000000003</v>
      </c>
      <c r="J632" s="8">
        <f>(2*(E632)*H632*D632)+(E632*F632)</f>
        <v>2.0089999999999999</v>
      </c>
      <c r="K632" s="12">
        <f>IF(E632=0.3,J632,0)</f>
        <v>0</v>
      </c>
      <c r="L632" s="12">
        <f>IF(AND(E632&gt;0.3,E632&lt;=0.75),J632,0)</f>
        <v>0</v>
      </c>
      <c r="M632" s="12">
        <f>IF(AND(E632&gt;0.75,E632&lt;=1.2),J632,0)</f>
        <v>2.0089999999999999</v>
      </c>
      <c r="N632" s="12">
        <f>IF(E632&gt;1.2,J632,0)</f>
        <v>0</v>
      </c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>
        <f>SUM(X633:X636)/I632</f>
        <v>327.65167638483967</v>
      </c>
      <c r="Z632" s="8"/>
      <c r="AA632" s="8"/>
      <c r="AB632" s="8"/>
      <c r="AC632" s="8"/>
      <c r="AD632" s="8"/>
      <c r="AE632" s="8"/>
    </row>
    <row r="633" spans="1:32" s="14" customFormat="1" ht="20.100000000000001" customHeight="1" x14ac:dyDescent="0.3">
      <c r="A633" s="7"/>
      <c r="B633" s="8" t="s">
        <v>2</v>
      </c>
      <c r="C633" s="13" t="s">
        <v>4</v>
      </c>
      <c r="D633" s="8">
        <v>25</v>
      </c>
      <c r="E633" s="8"/>
      <c r="F633" s="8">
        <v>4</v>
      </c>
      <c r="G633" s="9">
        <f>VLOOKUP(D633,'[2]Beam '!$C$20:$H$26,3,0)</f>
        <v>1</v>
      </c>
      <c r="H633" s="9"/>
      <c r="I633" s="8"/>
      <c r="J633" s="8"/>
      <c r="K633" s="8"/>
      <c r="L633" s="8"/>
      <c r="M633" s="8"/>
      <c r="N633" s="8"/>
      <c r="O633" s="8">
        <f>(E632+2*(G633)*D632)</f>
        <v>2.98</v>
      </c>
      <c r="P633" s="8">
        <f>O633*F633</f>
        <v>11.92</v>
      </c>
      <c r="Q633" s="8">
        <f>IF($D633='[2]Beam '!Q$44,$P633*'[2]Beam '!Q$45,0)</f>
        <v>0</v>
      </c>
      <c r="R633" s="8">
        <f>IF($D633='[2]Beam '!R$44,$P633*'[2]Beam '!R$45,0)</f>
        <v>0</v>
      </c>
      <c r="S633" s="8">
        <f>IF($D633='[2]Beam '!S$44,$P633*'[2]Beam '!S$45,0)</f>
        <v>0</v>
      </c>
      <c r="T633" s="8">
        <f>IF($D633='[2]Beam '!T$44,$P633*'[2]Beam '!T$45,0)</f>
        <v>0</v>
      </c>
      <c r="U633" s="8">
        <f>IF($D633='[2]Beam '!U$44,$P633*'[2]Beam '!U$45,0)</f>
        <v>0</v>
      </c>
      <c r="V633" s="8">
        <f>IF($D633='[2]Beam '!V$44,$P633*'[2]Beam '!V$45,0)</f>
        <v>45.950535714285721</v>
      </c>
      <c r="W633" s="8">
        <f>IF($D633='[2]Beam '!W$44,$P633*'[2]Beam '!W$45,0)</f>
        <v>0</v>
      </c>
      <c r="X633" s="8">
        <f>SUM(Q633:W633)</f>
        <v>45.950535714285721</v>
      </c>
      <c r="Y633" s="8"/>
    </row>
    <row r="634" spans="1:32" s="10" customFormat="1" ht="21" customHeight="1" x14ac:dyDescent="0.25">
      <c r="A634" s="7"/>
      <c r="B634" s="8" t="s">
        <v>2</v>
      </c>
      <c r="C634" s="13" t="s">
        <v>6</v>
      </c>
      <c r="D634" s="8">
        <v>25</v>
      </c>
      <c r="E634" s="8"/>
      <c r="F634" s="8">
        <v>4</v>
      </c>
      <c r="G634" s="9">
        <f>VLOOKUP(D634,'[2]Beam '!$C$20:$H$26,3,0)</f>
        <v>1</v>
      </c>
      <c r="H634" s="8"/>
      <c r="I634" s="8"/>
      <c r="J634" s="8"/>
      <c r="K634" s="8"/>
      <c r="L634" s="8"/>
      <c r="M634" s="8"/>
      <c r="N634" s="8"/>
      <c r="O634" s="8">
        <f>(E632+2*(G634)*D632)</f>
        <v>2.98</v>
      </c>
      <c r="P634" s="8">
        <f>O634*F634</f>
        <v>11.92</v>
      </c>
      <c r="Q634" s="8">
        <f>IF($D634='[2]Beam '!Q$44,$P634*'[2]Beam '!Q$45,0)</f>
        <v>0</v>
      </c>
      <c r="R634" s="8">
        <f>IF($D634='[2]Beam '!R$44,$P634*'[2]Beam '!R$45,0)</f>
        <v>0</v>
      </c>
      <c r="S634" s="8">
        <f>IF($D634='[2]Beam '!S$44,$P634*'[2]Beam '!S$45,0)</f>
        <v>0</v>
      </c>
      <c r="T634" s="8">
        <f>IF($D634='[2]Beam '!T$44,$P634*'[2]Beam '!T$45,0)</f>
        <v>0</v>
      </c>
      <c r="U634" s="8">
        <f>IF($D634='[2]Beam '!U$44,$P634*'[2]Beam '!U$45,0)</f>
        <v>0</v>
      </c>
      <c r="V634" s="8">
        <f>IF($D634='[2]Beam '!V$44,$P634*'[2]Beam '!V$45,0)</f>
        <v>45.950535714285721</v>
      </c>
      <c r="W634" s="8">
        <f>IF($D634='[2]Beam '!W$44,$P634*'[2]Beam '!W$45,0)</f>
        <v>0</v>
      </c>
      <c r="X634" s="8">
        <f>SUM(Q634:W634)</f>
        <v>45.950535714285721</v>
      </c>
      <c r="Y634" s="8"/>
      <c r="Z634" s="8"/>
      <c r="AA634" s="8"/>
      <c r="AB634" s="8"/>
      <c r="AC634" s="8"/>
      <c r="AD634" s="8"/>
      <c r="AE634" s="8"/>
      <c r="AF634" s="8"/>
    </row>
    <row r="635" spans="1:32" s="10" customFormat="1" ht="20.100000000000001" customHeight="1" x14ac:dyDescent="0.25">
      <c r="A635" s="7"/>
      <c r="B635" s="8" t="s">
        <v>2</v>
      </c>
      <c r="C635" s="13" t="s">
        <v>8</v>
      </c>
      <c r="D635" s="8">
        <v>12</v>
      </c>
      <c r="E635" s="8">
        <v>0.1</v>
      </c>
      <c r="F635" s="8">
        <f>ROUNDUP(E632/E635,0)</f>
        <v>10</v>
      </c>
      <c r="H635" s="8"/>
      <c r="I635" s="8"/>
      <c r="J635" s="8"/>
      <c r="K635" s="8"/>
      <c r="L635" s="8"/>
      <c r="M635" s="8"/>
      <c r="N635" s="8"/>
      <c r="O635" s="8">
        <f>(2*((G632-(2*'[2]Beam '!$D$11))+(F632-(2*'[2]Beam '!$D$11)))+(2*10*D635/1000))*D632</f>
        <v>3</v>
      </c>
      <c r="P635" s="8">
        <f>O635*F635</f>
        <v>30</v>
      </c>
      <c r="Q635" s="8">
        <f>IF($D635='[2]Beam '!Q$44,$P635*'[2]Beam '!Q$45,0)</f>
        <v>0</v>
      </c>
      <c r="R635" s="8">
        <f>IF($D635='[2]Beam '!R$44,$P635*'[2]Beam '!R$45,0)</f>
        <v>0</v>
      </c>
      <c r="S635" s="8">
        <f>IF($D635='[2]Beam '!S$44,$P635*'[2]Beam '!S$45,0)</f>
        <v>26.645142857142861</v>
      </c>
      <c r="T635" s="8">
        <f>IF($D635='[2]Beam '!T$44,$P635*'[2]Beam '!T$45,0)</f>
        <v>0</v>
      </c>
      <c r="U635" s="8">
        <f>IF($D635='[2]Beam '!U$44,$P635*'[2]Beam '!U$45,0)</f>
        <v>0</v>
      </c>
      <c r="V635" s="8">
        <f>IF($D635='[2]Beam '!V$44,$P635*'[2]Beam '!V$45,0)</f>
        <v>0</v>
      </c>
      <c r="W635" s="8">
        <f>IF($D635='[2]Beam '!W$44,$P635*'[2]Beam '!W$45,0)</f>
        <v>0</v>
      </c>
      <c r="X635" s="8">
        <f>SUM(Q635:W635)</f>
        <v>26.645142857142861</v>
      </c>
      <c r="Y635" s="8"/>
      <c r="Z635" s="8"/>
      <c r="AA635" s="8"/>
      <c r="AB635" s="8"/>
      <c r="AC635" s="8"/>
      <c r="AD635" s="8"/>
      <c r="AE635" s="8"/>
    </row>
    <row r="636" spans="1:32" s="10" customFormat="1" ht="20.100000000000001" customHeight="1" x14ac:dyDescent="0.25">
      <c r="A636" s="14"/>
      <c r="B636" s="8" t="s">
        <v>2</v>
      </c>
      <c r="C636" s="13" t="s">
        <v>9</v>
      </c>
      <c r="D636" s="8">
        <f>+D635</f>
        <v>12</v>
      </c>
      <c r="E636" s="14">
        <f>+E635</f>
        <v>0.1</v>
      </c>
      <c r="F636" s="8">
        <f>ROUNDUP(E632/E636,0)</f>
        <v>10</v>
      </c>
      <c r="H636" s="14"/>
      <c r="I636" s="14"/>
      <c r="J636" s="14"/>
      <c r="K636" s="14"/>
      <c r="L636" s="14"/>
      <c r="M636" s="14"/>
      <c r="N636" s="14"/>
      <c r="O636" s="8">
        <f>((((G632-(2*'[2]Beam '!$D$11))+(2*10*D636/1000))*D632))*2</f>
        <v>2.56</v>
      </c>
      <c r="P636" s="8">
        <f>O636*F636</f>
        <v>25.6</v>
      </c>
      <c r="Q636" s="8">
        <f>IF($D636='[2]Beam '!Q$44,$P636*'[2]Beam '!Q$45,0)</f>
        <v>0</v>
      </c>
      <c r="R636" s="8">
        <f>IF($D636='[2]Beam '!R$44,$P636*'[2]Beam '!R$45,0)</f>
        <v>0</v>
      </c>
      <c r="S636" s="8">
        <f>IF($D636='[2]Beam '!S$44,$P636*'[2]Beam '!S$45,0)</f>
        <v>22.737188571428575</v>
      </c>
      <c r="T636" s="8">
        <f>IF($D636='[2]Beam '!T$44,$P636*'[2]Beam '!T$45,0)</f>
        <v>0</v>
      </c>
      <c r="U636" s="8">
        <f>IF($D636='[2]Beam '!U$44,$P636*'[2]Beam '!U$45,0)</f>
        <v>0</v>
      </c>
      <c r="V636" s="8">
        <f>IF($D636='[2]Beam '!V$44,$P636*'[2]Beam '!V$45,0)</f>
        <v>0</v>
      </c>
      <c r="W636" s="8">
        <f>IF($D636='[2]Beam '!W$44,$P636*'[2]Beam '!W$45,0)</f>
        <v>0</v>
      </c>
      <c r="X636" s="8">
        <f>SUM(Q636:W636)</f>
        <v>22.737188571428575</v>
      </c>
      <c r="Y636" s="14"/>
      <c r="Z636" s="8"/>
      <c r="AA636" s="8"/>
      <c r="AB636" s="8"/>
      <c r="AC636" s="8"/>
      <c r="AD636" s="8"/>
      <c r="AE636" s="8"/>
    </row>
    <row r="637" spans="1:32" s="10" customFormat="1" ht="20.100000000000001" customHeight="1" x14ac:dyDescent="0.25">
      <c r="A637" s="8">
        <v>1</v>
      </c>
      <c r="B637" s="8" t="s">
        <v>2</v>
      </c>
      <c r="C637" s="11" t="s">
        <v>86</v>
      </c>
      <c r="D637" s="11">
        <v>1</v>
      </c>
      <c r="E637" s="11">
        <v>2.2000000000000002</v>
      </c>
      <c r="F637" s="11">
        <v>0.4</v>
      </c>
      <c r="G637" s="11">
        <v>1.1000000000000001</v>
      </c>
      <c r="H637" s="8">
        <f>G637-0.2</f>
        <v>0.90000000000000013</v>
      </c>
      <c r="I637" s="8">
        <f>E637*F637*G637*D637</f>
        <v>0.96800000000000019</v>
      </c>
      <c r="J637" s="8">
        <f>(2*(E637)*H637*D637)+(E637*F637)</f>
        <v>4.8400000000000007</v>
      </c>
      <c r="K637" s="12">
        <f>IF(E637=0.3,J637,0)</f>
        <v>0</v>
      </c>
      <c r="L637" s="12">
        <f>IF(AND(E637&gt;0.3,E637&lt;=0.75),J637,0)</f>
        <v>0</v>
      </c>
      <c r="M637" s="12">
        <f>IF(AND(E637&gt;0.75,E637&lt;=1.2),J637,0)</f>
        <v>0</v>
      </c>
      <c r="N637" s="12">
        <f>IF(E637&gt;1.2,J637,0)</f>
        <v>4.8400000000000007</v>
      </c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>
        <f>SUM(X638:X645)/I637</f>
        <v>179.86633636363632</v>
      </c>
      <c r="Z637" s="8"/>
      <c r="AA637" s="8"/>
      <c r="AB637" s="8"/>
      <c r="AC637" s="8"/>
      <c r="AD637" s="8"/>
      <c r="AE637" s="8"/>
    </row>
    <row r="638" spans="1:32" s="10" customFormat="1" ht="20.100000000000001" customHeight="1" x14ac:dyDescent="0.25">
      <c r="A638" s="7"/>
      <c r="B638" s="8" t="s">
        <v>2</v>
      </c>
      <c r="C638" s="13" t="s">
        <v>4</v>
      </c>
      <c r="D638" s="8">
        <v>20</v>
      </c>
      <c r="E638" s="8"/>
      <c r="F638" s="8">
        <v>4</v>
      </c>
      <c r="G638" s="9">
        <f>VLOOKUP(D638,'[2]Beam '!$C$20:$H$26,3,0)</f>
        <v>0.8</v>
      </c>
      <c r="H638" s="9"/>
      <c r="I638" s="8"/>
      <c r="J638" s="8"/>
      <c r="K638" s="8"/>
      <c r="L638" s="8"/>
      <c r="M638" s="8"/>
      <c r="N638" s="8"/>
      <c r="O638" s="8">
        <f>(E637+1*(0.4/2)+1*(G638)*D637)</f>
        <v>3.2</v>
      </c>
      <c r="P638" s="8">
        <f t="shared" ref="P638:P646" si="121">O638*F638</f>
        <v>12.8</v>
      </c>
      <c r="Q638" s="8">
        <f>IF($D638='[2]Beam '!Q$44,$P638*'[2]Beam '!Q$45,0)</f>
        <v>0</v>
      </c>
      <c r="R638" s="8">
        <f>IF($D638='[2]Beam '!R$44,$P638*'[2]Beam '!R$45,0)</f>
        <v>0</v>
      </c>
      <c r="S638" s="8">
        <f>IF($D638='[2]Beam '!S$44,$P638*'[2]Beam '!S$45,0)</f>
        <v>0</v>
      </c>
      <c r="T638" s="8">
        <f>IF($D638='[2]Beam '!T$44,$P638*'[2]Beam '!T$45,0)</f>
        <v>0</v>
      </c>
      <c r="U638" s="8">
        <f>IF($D638='[2]Beam '!U$44,$P638*'[2]Beam '!U$45,0)</f>
        <v>31.579428571428572</v>
      </c>
      <c r="V638" s="8">
        <f>IF($D638='[2]Beam '!V$44,$P638*'[2]Beam '!V$45,0)</f>
        <v>0</v>
      </c>
      <c r="W638" s="8">
        <f>IF($D638='[2]Beam '!W$44,$P638*'[2]Beam '!W$45,0)</f>
        <v>0</v>
      </c>
      <c r="X638" s="8">
        <f t="shared" ref="X638:X646" si="122">SUM(Q638:W638)</f>
        <v>31.579428571428572</v>
      </c>
      <c r="Y638" s="8"/>
      <c r="Z638" s="8"/>
      <c r="AA638" s="8"/>
      <c r="AB638" s="8"/>
      <c r="AC638" s="8"/>
      <c r="AD638" s="8"/>
      <c r="AE638" s="8"/>
    </row>
    <row r="639" spans="1:32" s="10" customFormat="1" ht="20.100000000000001" customHeight="1" x14ac:dyDescent="0.25">
      <c r="A639" s="7"/>
      <c r="B639" s="8" t="s">
        <v>2</v>
      </c>
      <c r="C639" s="13" t="s">
        <v>87</v>
      </c>
      <c r="D639" s="8">
        <v>20</v>
      </c>
      <c r="E639" s="8"/>
      <c r="F639" s="8">
        <v>4</v>
      </c>
      <c r="G639" s="9">
        <f>VLOOKUP(D639,'[2]Beam '!$C$20:$H$26,3,0)</f>
        <v>0.8</v>
      </c>
      <c r="H639" s="9"/>
      <c r="I639" s="8"/>
      <c r="J639" s="8"/>
      <c r="K639" s="8"/>
      <c r="L639" s="8"/>
      <c r="M639" s="8"/>
      <c r="N639" s="8"/>
      <c r="O639" s="8">
        <f>(E637+1*(0.4/2)+1*(G639)*D637)</f>
        <v>3.2</v>
      </c>
      <c r="P639" s="8">
        <f t="shared" si="121"/>
        <v>12.8</v>
      </c>
      <c r="Q639" s="8">
        <f>IF($D639='[2]Beam '!Q$44,$P639*'[2]Beam '!Q$45,0)</f>
        <v>0</v>
      </c>
      <c r="R639" s="8">
        <f>IF($D639='[2]Beam '!R$44,$P639*'[2]Beam '!R$45,0)</f>
        <v>0</v>
      </c>
      <c r="S639" s="8">
        <f>IF($D639='[2]Beam '!S$44,$P639*'[2]Beam '!S$45,0)</f>
        <v>0</v>
      </c>
      <c r="T639" s="8">
        <f>IF($D639='[2]Beam '!T$44,$P639*'[2]Beam '!T$45,0)</f>
        <v>0</v>
      </c>
      <c r="U639" s="8">
        <f>IF($D639='[2]Beam '!U$44,$P639*'[2]Beam '!U$45,0)</f>
        <v>31.579428571428572</v>
      </c>
      <c r="V639" s="8">
        <f>IF($D639='[2]Beam '!V$44,$P639*'[2]Beam '!V$45,0)</f>
        <v>0</v>
      </c>
      <c r="W639" s="8">
        <f>IF($D639='[2]Beam '!W$44,$P639*'[2]Beam '!W$45,0)</f>
        <v>0</v>
      </c>
      <c r="X639" s="8">
        <f t="shared" si="122"/>
        <v>31.579428571428572</v>
      </c>
      <c r="Y639" s="8"/>
      <c r="Z639" s="8"/>
      <c r="AA639" s="8"/>
      <c r="AB639" s="8"/>
      <c r="AC639" s="8"/>
      <c r="AD639" s="8"/>
      <c r="AE639" s="8"/>
    </row>
    <row r="640" spans="1:32" s="14" customFormat="1" ht="20.100000000000001" customHeight="1" x14ac:dyDescent="0.3">
      <c r="A640" s="7"/>
      <c r="B640" s="8" t="s">
        <v>2</v>
      </c>
      <c r="C640" s="13" t="s">
        <v>6</v>
      </c>
      <c r="D640" s="8">
        <v>20</v>
      </c>
      <c r="E640" s="8"/>
      <c r="F640" s="8">
        <v>4</v>
      </c>
      <c r="G640" s="9">
        <f>VLOOKUP(D640,'[2]Beam '!$C$20:$H$26,3,0)</f>
        <v>0.8</v>
      </c>
      <c r="H640" s="8"/>
      <c r="I640" s="8"/>
      <c r="J640" s="8"/>
      <c r="K640" s="8"/>
      <c r="L640" s="8"/>
      <c r="M640" s="8"/>
      <c r="N640" s="8"/>
      <c r="O640" s="8">
        <f>(E637+1*(G640+(12*D640/1000))+G640*D637)</f>
        <v>4.04</v>
      </c>
      <c r="P640" s="8">
        <f t="shared" si="121"/>
        <v>16.16</v>
      </c>
      <c r="Q640" s="8">
        <f>IF($D640='[2]Beam '!Q$44,$P640*'[2]Beam '!Q$45,0)</f>
        <v>0</v>
      </c>
      <c r="R640" s="8">
        <f>IF($D640='[2]Beam '!R$44,$P640*'[2]Beam '!R$45,0)</f>
        <v>0</v>
      </c>
      <c r="S640" s="8">
        <f>IF($D640='[2]Beam '!S$44,$P640*'[2]Beam '!S$45,0)</f>
        <v>0</v>
      </c>
      <c r="T640" s="8">
        <f>IF($D640='[2]Beam '!T$44,$P640*'[2]Beam '!T$45,0)</f>
        <v>0</v>
      </c>
      <c r="U640" s="8">
        <f>IF($D640='[2]Beam '!U$44,$P640*'[2]Beam '!U$45,0)</f>
        <v>39.869028571428572</v>
      </c>
      <c r="V640" s="8">
        <f>IF($D640='[2]Beam '!V$44,$P640*'[2]Beam '!V$45,0)</f>
        <v>0</v>
      </c>
      <c r="W640" s="8">
        <f>IF($D640='[2]Beam '!W$44,$P640*'[2]Beam '!W$45,0)</f>
        <v>0</v>
      </c>
      <c r="X640" s="8">
        <f t="shared" si="122"/>
        <v>39.869028571428572</v>
      </c>
      <c r="Y640" s="8"/>
    </row>
    <row r="641" spans="1:32" s="14" customFormat="1" ht="20.100000000000001" customHeight="1" x14ac:dyDescent="0.3">
      <c r="A641" s="7"/>
      <c r="B641" s="8" t="s">
        <v>2</v>
      </c>
      <c r="C641" s="13" t="s">
        <v>88</v>
      </c>
      <c r="D641" s="8">
        <v>16</v>
      </c>
      <c r="E641" s="8"/>
      <c r="F641" s="8">
        <v>2</v>
      </c>
      <c r="G641" s="9">
        <f>VLOOKUP(D641,'[2]Beam '!$C$20:$H$26,3,0)</f>
        <v>0.625</v>
      </c>
      <c r="H641" s="8"/>
      <c r="I641" s="8"/>
      <c r="J641" s="8"/>
      <c r="K641" s="8"/>
      <c r="L641" s="8"/>
      <c r="M641" s="8"/>
      <c r="N641" s="8"/>
      <c r="O641" s="8">
        <f>(E637+1*(G641+(12*D641/1000))+G641*D637)</f>
        <v>3.6420000000000003</v>
      </c>
      <c r="P641" s="8">
        <f t="shared" si="121"/>
        <v>7.2840000000000007</v>
      </c>
      <c r="Q641" s="8">
        <f>IF($D641='[2]Beam '!Q$44,$P641*'[2]Beam '!Q$45,0)</f>
        <v>0</v>
      </c>
      <c r="R641" s="8">
        <f>IF($D641='[2]Beam '!R$44,$P641*'[2]Beam '!R$45,0)</f>
        <v>0</v>
      </c>
      <c r="S641" s="8">
        <f>IF($D641='[2]Beam '!S$44,$P641*'[2]Beam '!S$45,0)</f>
        <v>0</v>
      </c>
      <c r="T641" s="8">
        <f>IF($D641='[2]Beam '!T$44,$P641*'[2]Beam '!T$45,0)</f>
        <v>11.501227885714288</v>
      </c>
      <c r="U641" s="8">
        <f>IF($D641='[2]Beam '!U$44,$P641*'[2]Beam '!U$45,0)</f>
        <v>0</v>
      </c>
      <c r="V641" s="8">
        <f>IF($D641='[2]Beam '!V$44,$P641*'[2]Beam '!V$45,0)</f>
        <v>0</v>
      </c>
      <c r="W641" s="8">
        <f>IF($D641='[2]Beam '!W$44,$P641*'[2]Beam '!W$45,0)</f>
        <v>0</v>
      </c>
      <c r="X641" s="8">
        <f t="shared" si="122"/>
        <v>11.501227885714288</v>
      </c>
      <c r="Y641" s="8"/>
    </row>
    <row r="642" spans="1:32" s="14" customFormat="1" ht="20.100000000000001" customHeight="1" x14ac:dyDescent="0.25">
      <c r="A642" s="7"/>
      <c r="B642" s="8" t="s">
        <v>2</v>
      </c>
      <c r="C642" s="13" t="s">
        <v>8</v>
      </c>
      <c r="D642" s="8">
        <v>10</v>
      </c>
      <c r="E642" s="8">
        <v>0.1</v>
      </c>
      <c r="F642" s="8">
        <f>ROUNDUP((E637/3*2)/E642,0)+1</f>
        <v>16</v>
      </c>
      <c r="G642" s="10"/>
      <c r="H642" s="8"/>
      <c r="I642" s="8"/>
      <c r="J642" s="8"/>
      <c r="K642" s="8"/>
      <c r="L642" s="8"/>
      <c r="M642" s="8"/>
      <c r="N642" s="8"/>
      <c r="O642" s="8">
        <f>(2*((G637-(2*'[2]Beam '!$D$11))+(F637-(2*'[2]Beam '!$D$11)))+(2*10*D642/1000))*D637</f>
        <v>2.9600000000000004</v>
      </c>
      <c r="P642" s="8">
        <f t="shared" si="121"/>
        <v>47.360000000000007</v>
      </c>
      <c r="Q642" s="8">
        <f>IF($D642='[2]Beam '!Q$44,$P642*'[2]Beam '!Q$45,0)</f>
        <v>0</v>
      </c>
      <c r="R642" s="8">
        <f>IF($D642='[2]Beam '!R$44,$P642*'[2]Beam '!R$45,0)</f>
        <v>29.210971428571433</v>
      </c>
      <c r="S642" s="8">
        <f>IF($D642='[2]Beam '!S$44,$P642*'[2]Beam '!S$45,0)</f>
        <v>0</v>
      </c>
      <c r="T642" s="8">
        <f>IF($D642='[2]Beam '!T$44,$P642*'[2]Beam '!T$45,0)</f>
        <v>0</v>
      </c>
      <c r="U642" s="8">
        <f>IF($D642='[2]Beam '!U$44,$P642*'[2]Beam '!U$45,0)</f>
        <v>0</v>
      </c>
      <c r="V642" s="8">
        <f>IF($D642='[2]Beam '!V$44,$P642*'[2]Beam '!V$45,0)</f>
        <v>0</v>
      </c>
      <c r="W642" s="8">
        <f>IF($D642='[2]Beam '!W$44,$P642*'[2]Beam '!W$45,0)</f>
        <v>0</v>
      </c>
      <c r="X642" s="8">
        <f t="shared" si="122"/>
        <v>29.210971428571433</v>
      </c>
      <c r="Y642" s="8"/>
    </row>
    <row r="643" spans="1:32" s="10" customFormat="1" ht="20.100000000000001" customHeight="1" x14ac:dyDescent="0.25">
      <c r="A643" s="14"/>
      <c r="B643" s="8" t="s">
        <v>2</v>
      </c>
      <c r="C643" s="13" t="s">
        <v>8</v>
      </c>
      <c r="D643" s="14">
        <f>D642</f>
        <v>10</v>
      </c>
      <c r="E643" s="14">
        <v>0.125</v>
      </c>
      <c r="F643" s="8">
        <f>ROUNDUP((E637/3)/E643,0)+1</f>
        <v>7</v>
      </c>
      <c r="H643" s="14"/>
      <c r="I643" s="14"/>
      <c r="J643" s="14"/>
      <c r="K643" s="14"/>
      <c r="L643" s="14"/>
      <c r="M643" s="14"/>
      <c r="N643" s="14"/>
      <c r="O643" s="8">
        <f>(2*((G637-(2*'[2]Beam '!$D$11))+(F637-(2*'[2]Beam '!$D$11)))+(2*10*D643/1000))*D637</f>
        <v>2.9600000000000004</v>
      </c>
      <c r="P643" s="8">
        <f t="shared" si="121"/>
        <v>20.720000000000002</v>
      </c>
      <c r="Q643" s="8">
        <f>IF($D643='[2]Beam '!Q$44,$P643*'[2]Beam '!Q$45,0)</f>
        <v>0</v>
      </c>
      <c r="R643" s="8">
        <f>IF($D643='[2]Beam '!R$44,$P643*'[2]Beam '!R$45,0)</f>
        <v>12.779800000000002</v>
      </c>
      <c r="S643" s="8">
        <f>IF($D643='[2]Beam '!S$44,$P643*'[2]Beam '!S$45,0)</f>
        <v>0</v>
      </c>
      <c r="T643" s="8">
        <f>IF($D643='[2]Beam '!T$44,$P643*'[2]Beam '!T$45,0)</f>
        <v>0</v>
      </c>
      <c r="U643" s="8">
        <f>IF($D643='[2]Beam '!U$44,$P643*'[2]Beam '!U$45,0)</f>
        <v>0</v>
      </c>
      <c r="V643" s="8">
        <f>IF($D643='[2]Beam '!V$44,$P643*'[2]Beam '!V$45,0)</f>
        <v>0</v>
      </c>
      <c r="W643" s="8">
        <f>IF($D643='[2]Beam '!W$44,$P643*'[2]Beam '!W$45,0)</f>
        <v>0</v>
      </c>
      <c r="X643" s="8">
        <f t="shared" si="122"/>
        <v>12.779800000000002</v>
      </c>
      <c r="Y643" s="14"/>
      <c r="Z643" s="8"/>
      <c r="AA643" s="8"/>
      <c r="AB643" s="8"/>
      <c r="AC643" s="8"/>
      <c r="AD643" s="8"/>
      <c r="AE643" s="8"/>
    </row>
    <row r="644" spans="1:32" s="10" customFormat="1" ht="21" customHeight="1" x14ac:dyDescent="0.25">
      <c r="A644" s="14"/>
      <c r="B644" s="8" t="s">
        <v>2</v>
      </c>
      <c r="C644" s="13" t="s">
        <v>9</v>
      </c>
      <c r="D644" s="14">
        <f>D642</f>
        <v>10</v>
      </c>
      <c r="E644" s="14">
        <f>+E642</f>
        <v>0.1</v>
      </c>
      <c r="F644" s="8">
        <f>ROUNDUP((E637/3*2)/E644,0)+1</f>
        <v>16</v>
      </c>
      <c r="H644" s="14"/>
      <c r="I644" s="14"/>
      <c r="J644" s="14"/>
      <c r="K644" s="14"/>
      <c r="L644" s="14"/>
      <c r="M644" s="14"/>
      <c r="N644" s="14"/>
      <c r="O644" s="8">
        <f>((((G637-(2*'[2]Beam '!$D$11))+(2*10*D644/1000))*D637))*1</f>
        <v>1.24</v>
      </c>
      <c r="P644" s="8">
        <f t="shared" si="121"/>
        <v>19.84</v>
      </c>
      <c r="Q644" s="8">
        <f>IF($D644='[2]Beam '!Q$44,$P644*'[2]Beam '!Q$45,0)</f>
        <v>0</v>
      </c>
      <c r="R644" s="8">
        <f>IF($D644='[2]Beam '!R$44,$P644*'[2]Beam '!R$45,0)</f>
        <v>12.237028571428571</v>
      </c>
      <c r="S644" s="8">
        <f>IF($D644='[2]Beam '!S$44,$P644*'[2]Beam '!S$45,0)</f>
        <v>0</v>
      </c>
      <c r="T644" s="8">
        <f>IF($D644='[2]Beam '!T$44,$P644*'[2]Beam '!T$45,0)</f>
        <v>0</v>
      </c>
      <c r="U644" s="8">
        <f>IF($D644='[2]Beam '!U$44,$P644*'[2]Beam '!U$45,0)</f>
        <v>0</v>
      </c>
      <c r="V644" s="8">
        <f>IF($D644='[2]Beam '!V$44,$P644*'[2]Beam '!V$45,0)</f>
        <v>0</v>
      </c>
      <c r="W644" s="8">
        <f>IF($D644='[2]Beam '!W$44,$P644*'[2]Beam '!W$45,0)</f>
        <v>0</v>
      </c>
      <c r="X644" s="8">
        <f t="shared" si="122"/>
        <v>12.237028571428571</v>
      </c>
      <c r="Y644" s="14"/>
      <c r="Z644" s="8"/>
      <c r="AA644" s="8"/>
      <c r="AB644" s="8"/>
      <c r="AC644" s="8"/>
      <c r="AD644" s="8"/>
      <c r="AE644" s="8"/>
      <c r="AF644" s="8"/>
    </row>
    <row r="645" spans="1:32" s="10" customFormat="1" ht="20.100000000000001" customHeight="1" x14ac:dyDescent="0.25">
      <c r="A645" s="14"/>
      <c r="B645" s="8" t="s">
        <v>2</v>
      </c>
      <c r="C645" s="13" t="s">
        <v>9</v>
      </c>
      <c r="D645" s="14">
        <f>D643</f>
        <v>10</v>
      </c>
      <c r="E645" s="14">
        <f>+E643</f>
        <v>0.125</v>
      </c>
      <c r="F645" s="8">
        <f>ROUNDUP((E637/3)/E645,0)+1</f>
        <v>7</v>
      </c>
      <c r="H645" s="14"/>
      <c r="I645" s="14"/>
      <c r="J645" s="14"/>
      <c r="K645" s="14"/>
      <c r="L645" s="14"/>
      <c r="M645" s="14"/>
      <c r="N645" s="14"/>
      <c r="O645" s="8">
        <f>((((G637-(2*'[2]Beam '!$D$11))+(2*10*D645/1000))*D637))*1</f>
        <v>1.24</v>
      </c>
      <c r="P645" s="8">
        <f t="shared" si="121"/>
        <v>8.68</v>
      </c>
      <c r="Q645" s="8">
        <f>IF($D645='[2]Beam '!Q$44,$P645*'[2]Beam '!Q$45,0)</f>
        <v>0</v>
      </c>
      <c r="R645" s="8">
        <f>IF($D645='[2]Beam '!R$44,$P645*'[2]Beam '!R$45,0)</f>
        <v>5.3536999999999999</v>
      </c>
      <c r="S645" s="8">
        <f>IF($D645='[2]Beam '!S$44,$P645*'[2]Beam '!S$45,0)</f>
        <v>0</v>
      </c>
      <c r="T645" s="8">
        <f>IF($D645='[2]Beam '!T$44,$P645*'[2]Beam '!T$45,0)</f>
        <v>0</v>
      </c>
      <c r="U645" s="8">
        <f>IF($D645='[2]Beam '!U$44,$P645*'[2]Beam '!U$45,0)</f>
        <v>0</v>
      </c>
      <c r="V645" s="8">
        <f>IF($D645='[2]Beam '!V$44,$P645*'[2]Beam '!V$45,0)</f>
        <v>0</v>
      </c>
      <c r="W645" s="8">
        <f>IF($D645='[2]Beam '!W$44,$P645*'[2]Beam '!W$45,0)</f>
        <v>0</v>
      </c>
      <c r="X645" s="8">
        <f t="shared" si="122"/>
        <v>5.3536999999999999</v>
      </c>
      <c r="Y645" s="14"/>
      <c r="Z645" s="8"/>
      <c r="AA645" s="8"/>
      <c r="AB645" s="8"/>
      <c r="AC645" s="8"/>
      <c r="AD645" s="8"/>
      <c r="AE645" s="8"/>
    </row>
    <row r="646" spans="1:32" s="10" customFormat="1" ht="20.100000000000001" customHeight="1" x14ac:dyDescent="0.25">
      <c r="A646" s="7"/>
      <c r="B646" s="8" t="s">
        <v>2</v>
      </c>
      <c r="C646" s="13" t="s">
        <v>10</v>
      </c>
      <c r="D646" s="8">
        <f>+'[2]Beam '!$D$15</f>
        <v>25</v>
      </c>
      <c r="E646" s="8">
        <f>+'[2]Beam '!$E$15</f>
        <v>1</v>
      </c>
      <c r="F646" s="8">
        <f>ROUNDUP((E637)/E646,0)</f>
        <v>3</v>
      </c>
      <c r="G646" s="9"/>
      <c r="H646" s="9"/>
      <c r="I646" s="8"/>
      <c r="J646" s="8"/>
      <c r="K646" s="8"/>
      <c r="L646" s="8"/>
      <c r="M646" s="8"/>
      <c r="N646" s="8"/>
      <c r="O646" s="8">
        <f>F637-'[2]Beam '!$F$15</f>
        <v>0.34</v>
      </c>
      <c r="P646" s="8">
        <f t="shared" si="121"/>
        <v>1.02</v>
      </c>
      <c r="Q646" s="8">
        <f>IF($D646='[2]Beam '!Q$44,$P646*'[2]Beam '!Q$45,0)</f>
        <v>0</v>
      </c>
      <c r="R646" s="8">
        <f>IF($D646='[2]Beam '!R$44,$P646*'[2]Beam '!R$45,0)</f>
        <v>0</v>
      </c>
      <c r="S646" s="8">
        <f>IF($D646='[2]Beam '!S$44,$P646*'[2]Beam '!S$45,0)</f>
        <v>0</v>
      </c>
      <c r="T646" s="8">
        <f>IF($D646='[2]Beam '!T$44,$P646*'[2]Beam '!T$45,0)</f>
        <v>0</v>
      </c>
      <c r="U646" s="8">
        <f>IF($D646='[2]Beam '!U$44,$P646*'[2]Beam '!U$45,0)</f>
        <v>0</v>
      </c>
      <c r="V646" s="8">
        <f>IF($D646='[2]Beam '!V$44,$P646*'[2]Beam '!V$45,0)</f>
        <v>3.9320089285714293</v>
      </c>
      <c r="W646" s="8">
        <f>IF($D646='[2]Beam '!W$44,$P646*'[2]Beam '!W$45,0)</f>
        <v>0</v>
      </c>
      <c r="X646" s="8">
        <f t="shared" si="122"/>
        <v>3.9320089285714293</v>
      </c>
      <c r="Y646" s="8"/>
      <c r="Z646" s="8"/>
      <c r="AA646" s="8"/>
      <c r="AB646" s="8"/>
      <c r="AC646" s="8"/>
      <c r="AD646" s="8"/>
      <c r="AE646" s="8"/>
    </row>
    <row r="647" spans="1:32" s="10" customFormat="1" ht="20.100000000000001" customHeight="1" x14ac:dyDescent="0.25">
      <c r="A647" s="8">
        <v>1</v>
      </c>
      <c r="B647" s="8" t="s">
        <v>2</v>
      </c>
      <c r="C647" s="11" t="s">
        <v>89</v>
      </c>
      <c r="D647" s="11">
        <v>1</v>
      </c>
      <c r="E647" s="11">
        <v>6.2</v>
      </c>
      <c r="F647" s="11">
        <v>0.2</v>
      </c>
      <c r="G647" s="11">
        <v>0.5</v>
      </c>
      <c r="H647" s="8">
        <f>G647-0.2</f>
        <v>0.3</v>
      </c>
      <c r="I647" s="8">
        <f>E647*F647*G647*D647</f>
        <v>0.62000000000000011</v>
      </c>
      <c r="J647" s="8">
        <f>(2*(E647)*H647*D647)+(E647*F647)</f>
        <v>4.96</v>
      </c>
      <c r="K647" s="12">
        <f>IF(E647=0.3,J647,0)</f>
        <v>0</v>
      </c>
      <c r="L647" s="12">
        <f>IF(AND(E647&gt;0.3,E647&lt;=0.75),J647,0)</f>
        <v>0</v>
      </c>
      <c r="M647" s="12">
        <f>IF(AND(E647&gt;0.75,E647&lt;=1.2),J647,0)</f>
        <v>0</v>
      </c>
      <c r="N647" s="12">
        <f>IF(E647&gt;1.2,J647,0)</f>
        <v>4.96</v>
      </c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>
        <f>SUM(X648:X656)/I647</f>
        <v>378.77109158986167</v>
      </c>
      <c r="Z647" s="8"/>
      <c r="AA647" s="8"/>
      <c r="AB647" s="8"/>
      <c r="AC647" s="8"/>
      <c r="AD647" s="8"/>
      <c r="AE647" s="8"/>
    </row>
    <row r="648" spans="1:32" s="10" customFormat="1" ht="20.100000000000001" customHeight="1" x14ac:dyDescent="0.25">
      <c r="A648" s="7"/>
      <c r="B648" s="8" t="s">
        <v>2</v>
      </c>
      <c r="C648" s="13" t="s">
        <v>4</v>
      </c>
      <c r="D648" s="8">
        <v>20</v>
      </c>
      <c r="E648" s="8"/>
      <c r="F648" s="8">
        <v>2</v>
      </c>
      <c r="G648" s="9">
        <f>VLOOKUP(D648,'[2]Beam '!$C$20:$H$26,3,0)</f>
        <v>0.8</v>
      </c>
      <c r="H648" s="9"/>
      <c r="I648" s="8"/>
      <c r="J648" s="8"/>
      <c r="K648" s="8"/>
      <c r="L648" s="8"/>
      <c r="M648" s="8"/>
      <c r="N648" s="8"/>
      <c r="O648" s="8">
        <f>(E647+(1*(0.3/2)+1*(0.5/2)*D647))</f>
        <v>6.6000000000000005</v>
      </c>
      <c r="P648" s="8">
        <f t="shared" ref="P648:P657" si="123">O648*F648</f>
        <v>13.200000000000001</v>
      </c>
      <c r="Q648" s="8">
        <f>IF($D648='[2]Beam '!Q$44,$P648*'[2]Beam '!Q$45,0)</f>
        <v>0</v>
      </c>
      <c r="R648" s="8">
        <f>IF($D648='[2]Beam '!R$44,$P648*'[2]Beam '!R$45,0)</f>
        <v>0</v>
      </c>
      <c r="S648" s="8">
        <f>IF($D648='[2]Beam '!S$44,$P648*'[2]Beam '!S$45,0)</f>
        <v>0</v>
      </c>
      <c r="T648" s="8">
        <f>IF($D648='[2]Beam '!T$44,$P648*'[2]Beam '!T$45,0)</f>
        <v>0</v>
      </c>
      <c r="U648" s="8">
        <f>IF($D648='[2]Beam '!U$44,$P648*'[2]Beam '!U$45,0)</f>
        <v>32.566285714285719</v>
      </c>
      <c r="V648" s="8">
        <f>IF($D648='[2]Beam '!V$44,$P648*'[2]Beam '!V$45,0)</f>
        <v>0</v>
      </c>
      <c r="W648" s="8">
        <f>IF($D648='[2]Beam '!W$44,$P648*'[2]Beam '!W$45,0)</f>
        <v>0</v>
      </c>
      <c r="X648" s="8">
        <f t="shared" ref="X648:X657" si="124">SUM(Q648:W648)</f>
        <v>32.566285714285719</v>
      </c>
      <c r="Y648" s="8"/>
      <c r="Z648" s="8"/>
      <c r="AA648" s="8"/>
      <c r="AB648" s="8"/>
      <c r="AC648" s="8"/>
      <c r="AD648" s="8"/>
      <c r="AE648" s="8"/>
    </row>
    <row r="649" spans="1:32" s="10" customFormat="1" ht="20.100000000000001" customHeight="1" x14ac:dyDescent="0.25">
      <c r="A649" s="7"/>
      <c r="B649" s="8" t="s">
        <v>2</v>
      </c>
      <c r="C649" s="13" t="s">
        <v>87</v>
      </c>
      <c r="D649" s="8">
        <v>16</v>
      </c>
      <c r="E649" s="8"/>
      <c r="F649" s="8">
        <v>2</v>
      </c>
      <c r="G649" s="9">
        <f>VLOOKUP(D649,'[2]Beam '!$C$20:$H$26,3,0)</f>
        <v>0.625</v>
      </c>
      <c r="H649" s="9"/>
      <c r="I649" s="8"/>
      <c r="J649" s="8"/>
      <c r="K649" s="8"/>
      <c r="L649" s="8"/>
      <c r="M649" s="8"/>
      <c r="N649" s="8"/>
      <c r="O649" s="8">
        <f>(1.7+1*(0.4/2)*D647)</f>
        <v>1.9</v>
      </c>
      <c r="P649" s="8">
        <f t="shared" si="123"/>
        <v>3.8</v>
      </c>
      <c r="Q649" s="8">
        <f>IF($D649='[2]Beam '!Q$44,$P649*'[2]Beam '!Q$45,0)</f>
        <v>0</v>
      </c>
      <c r="R649" s="8">
        <f>IF($D649='[2]Beam '!R$44,$P649*'[2]Beam '!R$45,0)</f>
        <v>0</v>
      </c>
      <c r="S649" s="8">
        <f>IF($D649='[2]Beam '!S$44,$P649*'[2]Beam '!S$45,0)</f>
        <v>0</v>
      </c>
      <c r="T649" s="8">
        <f>IF($D649='[2]Beam '!T$44,$P649*'[2]Beam '!T$45,0)</f>
        <v>6.0000914285714284</v>
      </c>
      <c r="U649" s="8">
        <f>IF($D649='[2]Beam '!U$44,$P649*'[2]Beam '!U$45,0)</f>
        <v>0</v>
      </c>
      <c r="V649" s="8">
        <f>IF($D649='[2]Beam '!V$44,$P649*'[2]Beam '!V$45,0)</f>
        <v>0</v>
      </c>
      <c r="W649" s="8">
        <f>IF($D649='[2]Beam '!W$44,$P649*'[2]Beam '!W$45,0)</f>
        <v>0</v>
      </c>
      <c r="X649" s="8">
        <f t="shared" si="124"/>
        <v>6.0000914285714284</v>
      </c>
      <c r="Y649" s="8"/>
      <c r="Z649" s="8"/>
      <c r="AA649" s="8"/>
      <c r="AB649" s="8"/>
      <c r="AC649" s="8"/>
      <c r="AD649" s="8"/>
      <c r="AE649" s="8"/>
    </row>
    <row r="650" spans="1:32" s="10" customFormat="1" ht="20.100000000000001" customHeight="1" x14ac:dyDescent="0.25">
      <c r="A650" s="7"/>
      <c r="B650" s="8" t="s">
        <v>2</v>
      </c>
      <c r="C650" s="13" t="s">
        <v>87</v>
      </c>
      <c r="D650" s="8">
        <v>16</v>
      </c>
      <c r="E650" s="8"/>
      <c r="F650" s="8">
        <v>2</v>
      </c>
      <c r="G650" s="9">
        <f>VLOOKUP(D650,'[2]Beam '!$C$20:$H$26,3,0)</f>
        <v>0.625</v>
      </c>
      <c r="H650" s="9"/>
      <c r="I650" s="8"/>
      <c r="J650" s="8"/>
      <c r="K650" s="8"/>
      <c r="L650" s="8"/>
      <c r="M650" s="8"/>
      <c r="N650" s="8"/>
      <c r="O650" s="8">
        <f>(1.7+1*(0.5/2)*D648)</f>
        <v>6.7</v>
      </c>
      <c r="P650" s="8">
        <f t="shared" si="123"/>
        <v>13.4</v>
      </c>
      <c r="Q650" s="8">
        <f>IF($D650='[2]Beam '!Q$44,$P650*'[2]Beam '!Q$45,0)</f>
        <v>0</v>
      </c>
      <c r="R650" s="8">
        <f>IF($D650='[2]Beam '!R$44,$P650*'[2]Beam '!R$45,0)</f>
        <v>0</v>
      </c>
      <c r="S650" s="8">
        <f>IF($D650='[2]Beam '!S$44,$P650*'[2]Beam '!S$45,0)</f>
        <v>0</v>
      </c>
      <c r="T650" s="8">
        <f>IF($D650='[2]Beam '!T$44,$P650*'[2]Beam '!T$45,0)</f>
        <v>21.158217142857144</v>
      </c>
      <c r="U650" s="8">
        <f>IF($D650='[2]Beam '!U$44,$P650*'[2]Beam '!U$45,0)</f>
        <v>0</v>
      </c>
      <c r="V650" s="8">
        <f>IF($D650='[2]Beam '!V$44,$P650*'[2]Beam '!V$45,0)</f>
        <v>0</v>
      </c>
      <c r="W650" s="8">
        <f>IF($D650='[2]Beam '!W$44,$P650*'[2]Beam '!W$45,0)</f>
        <v>0</v>
      </c>
      <c r="X650" s="8">
        <f t="shared" si="124"/>
        <v>21.158217142857144</v>
      </c>
      <c r="Y650" s="8"/>
      <c r="Z650" s="8"/>
      <c r="AA650" s="8"/>
      <c r="AB650" s="8"/>
      <c r="AC650" s="8"/>
      <c r="AD650" s="8"/>
      <c r="AE650" s="8"/>
    </row>
    <row r="651" spans="1:32" s="14" customFormat="1" ht="20.100000000000001" customHeight="1" x14ac:dyDescent="0.3">
      <c r="A651" s="7"/>
      <c r="B651" s="8" t="s">
        <v>2</v>
      </c>
      <c r="C651" s="13" t="s">
        <v>6</v>
      </c>
      <c r="D651" s="8">
        <v>25</v>
      </c>
      <c r="E651" s="8"/>
      <c r="F651" s="8">
        <v>2</v>
      </c>
      <c r="G651" s="9">
        <f>VLOOKUP(D651,'[2]Beam '!$C$20:$H$26,3,0)</f>
        <v>1</v>
      </c>
      <c r="H651" s="8"/>
      <c r="I651" s="8"/>
      <c r="J651" s="8"/>
      <c r="K651" s="8"/>
      <c r="L651" s="8"/>
      <c r="M651" s="8"/>
      <c r="N651" s="8"/>
      <c r="O651" s="8">
        <f>(E647+1*(0.5/2)+1*(0.4/2)+G651*D647)</f>
        <v>7.65</v>
      </c>
      <c r="P651" s="8">
        <f t="shared" si="123"/>
        <v>15.3</v>
      </c>
      <c r="Q651" s="8">
        <f>IF($D651='[2]Beam '!Q$44,$P651*'[2]Beam '!Q$45,0)</f>
        <v>0</v>
      </c>
      <c r="R651" s="8">
        <f>IF($D651='[2]Beam '!R$44,$P651*'[2]Beam '!R$45,0)</f>
        <v>0</v>
      </c>
      <c r="S651" s="8">
        <f>IF($D651='[2]Beam '!S$44,$P651*'[2]Beam '!S$45,0)</f>
        <v>0</v>
      </c>
      <c r="T651" s="8">
        <f>IF($D651='[2]Beam '!T$44,$P651*'[2]Beam '!T$45,0)</f>
        <v>0</v>
      </c>
      <c r="U651" s="8">
        <f>IF($D651='[2]Beam '!U$44,$P651*'[2]Beam '!U$45,0)</f>
        <v>0</v>
      </c>
      <c r="V651" s="8">
        <f>IF($D651='[2]Beam '!V$44,$P651*'[2]Beam '!V$45,0)</f>
        <v>58.980133928571441</v>
      </c>
      <c r="W651" s="8">
        <f>IF($D651='[2]Beam '!W$44,$P651*'[2]Beam '!W$45,0)</f>
        <v>0</v>
      </c>
      <c r="X651" s="8">
        <f t="shared" si="124"/>
        <v>58.980133928571441</v>
      </c>
      <c r="Y651" s="8"/>
    </row>
    <row r="652" spans="1:32" s="14" customFormat="1" ht="20.100000000000001" customHeight="1" x14ac:dyDescent="0.3">
      <c r="A652" s="7"/>
      <c r="B652" s="8" t="s">
        <v>2</v>
      </c>
      <c r="C652" s="13" t="s">
        <v>88</v>
      </c>
      <c r="D652" s="8">
        <v>16</v>
      </c>
      <c r="E652" s="8"/>
      <c r="F652" s="8">
        <v>2</v>
      </c>
      <c r="G652" s="9">
        <f>VLOOKUP(D652,'[2]Beam '!$C$20:$H$26,3,0)</f>
        <v>0.625</v>
      </c>
      <c r="H652" s="8"/>
      <c r="I652" s="8"/>
      <c r="J652" s="8"/>
      <c r="K652" s="8"/>
      <c r="L652" s="8"/>
      <c r="M652" s="8"/>
      <c r="N652" s="8"/>
      <c r="O652" s="8">
        <f>+E647-0.65-0.65</f>
        <v>4.8999999999999995</v>
      </c>
      <c r="P652" s="8">
        <f t="shared" si="123"/>
        <v>9.7999999999999989</v>
      </c>
      <c r="Q652" s="8">
        <f>IF($D652='[2]Beam '!Q$44,$P652*'[2]Beam '!Q$45,0)</f>
        <v>0</v>
      </c>
      <c r="R652" s="8">
        <f>IF($D652='[2]Beam '!R$44,$P652*'[2]Beam '!R$45,0)</f>
        <v>0</v>
      </c>
      <c r="S652" s="8">
        <f>IF($D652='[2]Beam '!S$44,$P652*'[2]Beam '!S$45,0)</f>
        <v>0</v>
      </c>
      <c r="T652" s="8">
        <f>IF($D652='[2]Beam '!T$44,$P652*'[2]Beam '!T$45,0)</f>
        <v>15.47392</v>
      </c>
      <c r="U652" s="8">
        <f>IF($D652='[2]Beam '!U$44,$P652*'[2]Beam '!U$45,0)</f>
        <v>0</v>
      </c>
      <c r="V652" s="8">
        <f>IF($D652='[2]Beam '!V$44,$P652*'[2]Beam '!V$45,0)</f>
        <v>0</v>
      </c>
      <c r="W652" s="8">
        <f>IF($D652='[2]Beam '!W$44,$P652*'[2]Beam '!W$45,0)</f>
        <v>0</v>
      </c>
      <c r="X652" s="8">
        <f t="shared" si="124"/>
        <v>15.47392</v>
      </c>
      <c r="Y652" s="8"/>
    </row>
    <row r="653" spans="1:32" s="14" customFormat="1" ht="20.100000000000001" customHeight="1" x14ac:dyDescent="0.25">
      <c r="A653" s="7"/>
      <c r="B653" s="8" t="s">
        <v>2</v>
      </c>
      <c r="C653" s="13" t="s">
        <v>13</v>
      </c>
      <c r="D653" s="8">
        <v>10</v>
      </c>
      <c r="E653" s="8">
        <v>0.1</v>
      </c>
      <c r="F653" s="8">
        <f>ROUND(IF(E647/3&gt;(2*G647),(E647/3)/E653,(2*G647)/E653),0)*2+1</f>
        <v>43</v>
      </c>
      <c r="G653" s="10"/>
      <c r="H653" s="8"/>
      <c r="I653" s="8"/>
      <c r="J653" s="8"/>
      <c r="K653" s="8"/>
      <c r="L653" s="8"/>
      <c r="M653" s="8"/>
      <c r="N653" s="8"/>
      <c r="O653" s="8">
        <f>(2*((G647-(2*'[2]Beam '!$D$11))+(F647-(2*'[2]Beam '!$D$11)))+(2*10*D653/1000))*D647</f>
        <v>1.36</v>
      </c>
      <c r="P653" s="8">
        <f t="shared" si="123"/>
        <v>58.480000000000004</v>
      </c>
      <c r="Q653" s="8">
        <f>IF($D653='[2]Beam '!Q$44,$P653*'[2]Beam '!Q$45,0)</f>
        <v>0</v>
      </c>
      <c r="R653" s="8">
        <f>IF($D653='[2]Beam '!R$44,$P653*'[2]Beam '!R$45,0)</f>
        <v>36.069628571428574</v>
      </c>
      <c r="S653" s="8">
        <f>IF($D653='[2]Beam '!S$44,$P653*'[2]Beam '!S$45,0)</f>
        <v>0</v>
      </c>
      <c r="T653" s="8">
        <f>IF($D653='[2]Beam '!T$44,$P653*'[2]Beam '!T$45,0)</f>
        <v>0</v>
      </c>
      <c r="U653" s="8">
        <f>IF($D653='[2]Beam '!U$44,$P653*'[2]Beam '!U$45,0)</f>
        <v>0</v>
      </c>
      <c r="V653" s="8">
        <f>IF($D653='[2]Beam '!V$44,$P653*'[2]Beam '!V$45,0)</f>
        <v>0</v>
      </c>
      <c r="W653" s="8">
        <f>IF($D653='[2]Beam '!W$44,$P653*'[2]Beam '!W$45,0)</f>
        <v>0</v>
      </c>
      <c r="X653" s="8">
        <f t="shared" si="124"/>
        <v>36.069628571428574</v>
      </c>
      <c r="Y653" s="8"/>
    </row>
    <row r="654" spans="1:32" s="10" customFormat="1" ht="20.100000000000001" customHeight="1" x14ac:dyDescent="0.25">
      <c r="A654" s="14"/>
      <c r="B654" s="8" t="s">
        <v>2</v>
      </c>
      <c r="C654" s="13" t="s">
        <v>14</v>
      </c>
      <c r="D654" s="14">
        <f>D653</f>
        <v>10</v>
      </c>
      <c r="E654" s="14">
        <v>0.125</v>
      </c>
      <c r="F654" s="14">
        <f>ROUND((E647-(IF(E647/3&gt;2*G647,E647/3*2,G647*2*2)))/E654,0)</f>
        <v>17</v>
      </c>
      <c r="H654" s="14"/>
      <c r="I654" s="14"/>
      <c r="J654" s="14"/>
      <c r="K654" s="14"/>
      <c r="L654" s="14"/>
      <c r="M654" s="14"/>
      <c r="N654" s="14"/>
      <c r="O654" s="8">
        <f>(2*((G647-(2*'[2]Beam '!$D$11))+(F647-(2*'[2]Beam '!$D$11)))+(2*10*D654/1000))*D647</f>
        <v>1.36</v>
      </c>
      <c r="P654" s="8">
        <f t="shared" si="123"/>
        <v>23.12</v>
      </c>
      <c r="Q654" s="8">
        <f>IF($D654='[2]Beam '!Q$44,$P654*'[2]Beam '!Q$45,0)</f>
        <v>0</v>
      </c>
      <c r="R654" s="8">
        <f>IF($D654='[2]Beam '!R$44,$P654*'[2]Beam '!R$45,0)</f>
        <v>14.260085714285715</v>
      </c>
      <c r="S654" s="8">
        <f>IF($D654='[2]Beam '!S$44,$P654*'[2]Beam '!S$45,0)</f>
        <v>0</v>
      </c>
      <c r="T654" s="8">
        <f>IF($D654='[2]Beam '!T$44,$P654*'[2]Beam '!T$45,0)</f>
        <v>0</v>
      </c>
      <c r="U654" s="8">
        <f>IF($D654='[2]Beam '!U$44,$P654*'[2]Beam '!U$45,0)</f>
        <v>0</v>
      </c>
      <c r="V654" s="8">
        <f>IF($D654='[2]Beam '!V$44,$P654*'[2]Beam '!V$45,0)</f>
        <v>0</v>
      </c>
      <c r="W654" s="8">
        <f>IF($D654='[2]Beam '!W$44,$P654*'[2]Beam '!W$45,0)</f>
        <v>0</v>
      </c>
      <c r="X654" s="8">
        <f t="shared" si="124"/>
        <v>14.260085714285715</v>
      </c>
      <c r="Y654" s="14"/>
      <c r="Z654" s="8"/>
      <c r="AA654" s="8"/>
      <c r="AB654" s="8"/>
      <c r="AC654" s="8"/>
      <c r="AD654" s="8"/>
      <c r="AE654" s="8"/>
    </row>
    <row r="655" spans="1:32" s="10" customFormat="1" ht="21" customHeight="1" x14ac:dyDescent="0.25">
      <c r="A655" s="14"/>
      <c r="B655" s="8" t="s">
        <v>2</v>
      </c>
      <c r="C655" s="13" t="s">
        <v>15</v>
      </c>
      <c r="D655" s="14">
        <f>D653</f>
        <v>10</v>
      </c>
      <c r="E655" s="14">
        <f>+E653</f>
        <v>0.1</v>
      </c>
      <c r="F655" s="8">
        <f>ROUND(IF(E647/3&gt;(2*G647),(E647/3)/E655,(2*G647)/E655),0)*2+1</f>
        <v>43</v>
      </c>
      <c r="H655" s="14"/>
      <c r="I655" s="14"/>
      <c r="J655" s="14"/>
      <c r="K655" s="14"/>
      <c r="L655" s="14"/>
      <c r="M655" s="14"/>
      <c r="N655" s="14"/>
      <c r="O655" s="8">
        <f>(2*(((F647-'[2]Beam '!$D$11*2)/(F648-1))+(G647-'[2]Beam '!$D$11*2))+(2*10*D655/1000))*D647</f>
        <v>1.36</v>
      </c>
      <c r="P655" s="8">
        <f t="shared" si="123"/>
        <v>58.480000000000004</v>
      </c>
      <c r="Q655" s="8">
        <f>IF($D655='[2]Beam '!Q$44,$P655*'[2]Beam '!Q$45,0)</f>
        <v>0</v>
      </c>
      <c r="R655" s="8">
        <f>IF($D655='[2]Beam '!R$44,$P655*'[2]Beam '!R$45,0)</f>
        <v>36.069628571428574</v>
      </c>
      <c r="S655" s="8">
        <f>IF($D655='[2]Beam '!S$44,$P655*'[2]Beam '!S$45,0)</f>
        <v>0</v>
      </c>
      <c r="T655" s="8">
        <f>IF($D655='[2]Beam '!T$44,$P655*'[2]Beam '!T$45,0)</f>
        <v>0</v>
      </c>
      <c r="U655" s="8">
        <f>IF($D655='[2]Beam '!U$44,$P655*'[2]Beam '!U$45,0)</f>
        <v>0</v>
      </c>
      <c r="V655" s="8">
        <f>IF($D655='[2]Beam '!V$44,$P655*'[2]Beam '!V$45,0)</f>
        <v>0</v>
      </c>
      <c r="W655" s="8">
        <f>IF($D655='[2]Beam '!W$44,$P655*'[2]Beam '!W$45,0)</f>
        <v>0</v>
      </c>
      <c r="X655" s="8">
        <f t="shared" si="124"/>
        <v>36.069628571428574</v>
      </c>
      <c r="Y655" s="14"/>
      <c r="Z655" s="8"/>
      <c r="AA655" s="8"/>
      <c r="AB655" s="8"/>
      <c r="AC655" s="8"/>
      <c r="AD655" s="8"/>
      <c r="AE655" s="8"/>
      <c r="AF655" s="8"/>
    </row>
    <row r="656" spans="1:32" s="10" customFormat="1" ht="20.100000000000001" customHeight="1" x14ac:dyDescent="0.25">
      <c r="A656" s="14"/>
      <c r="B656" s="8" t="s">
        <v>2</v>
      </c>
      <c r="C656" s="13" t="s">
        <v>16</v>
      </c>
      <c r="D656" s="14">
        <f>D654</f>
        <v>10</v>
      </c>
      <c r="E656" s="14">
        <f>+E654</f>
        <v>0.125</v>
      </c>
      <c r="F656" s="14">
        <f>ROUND((E647-(IF(E647/3&gt;2*G647,E647/3*2,G647*2*2)))/E656,0)</f>
        <v>17</v>
      </c>
      <c r="H656" s="14"/>
      <c r="I656" s="14"/>
      <c r="J656" s="14"/>
      <c r="K656" s="14"/>
      <c r="L656" s="14"/>
      <c r="M656" s="14"/>
      <c r="N656" s="14"/>
      <c r="O656" s="8">
        <f>(2*(((F647-'[2]Beam '!$D$11*2)/(F648-1))+(G647-'[2]Beam '!$D$11*2))+(2*10*D656/1000))*D647</f>
        <v>1.36</v>
      </c>
      <c r="P656" s="8">
        <f t="shared" si="123"/>
        <v>23.12</v>
      </c>
      <c r="Q656" s="8">
        <f>IF($D656='[2]Beam '!Q$44,$P656*'[2]Beam '!Q$45,0)</f>
        <v>0</v>
      </c>
      <c r="R656" s="8">
        <f>IF($D656='[2]Beam '!R$44,$P656*'[2]Beam '!R$45,0)</f>
        <v>14.260085714285715</v>
      </c>
      <c r="S656" s="8">
        <f>IF($D656='[2]Beam '!S$44,$P656*'[2]Beam '!S$45,0)</f>
        <v>0</v>
      </c>
      <c r="T656" s="8">
        <f>IF($D656='[2]Beam '!T$44,$P656*'[2]Beam '!T$45,0)</f>
        <v>0</v>
      </c>
      <c r="U656" s="8">
        <f>IF($D656='[2]Beam '!U$44,$P656*'[2]Beam '!U$45,0)</f>
        <v>0</v>
      </c>
      <c r="V656" s="8">
        <f>IF($D656='[2]Beam '!V$44,$P656*'[2]Beam '!V$45,0)</f>
        <v>0</v>
      </c>
      <c r="W656" s="8">
        <f>IF($D656='[2]Beam '!W$44,$P656*'[2]Beam '!W$45,0)</f>
        <v>0</v>
      </c>
      <c r="X656" s="8">
        <f t="shared" si="124"/>
        <v>14.260085714285715</v>
      </c>
      <c r="Y656" s="14"/>
      <c r="Z656" s="8"/>
      <c r="AA656" s="8"/>
      <c r="AB656" s="8"/>
      <c r="AC656" s="8"/>
      <c r="AD656" s="8"/>
      <c r="AE656" s="8"/>
    </row>
    <row r="657" spans="1:32" s="10" customFormat="1" ht="20.100000000000001" customHeight="1" x14ac:dyDescent="0.25">
      <c r="A657" s="7"/>
      <c r="B657" s="8" t="s">
        <v>2</v>
      </c>
      <c r="C657" s="13" t="s">
        <v>10</v>
      </c>
      <c r="D657" s="8">
        <f>+'[2]Beam '!$D$15</f>
        <v>25</v>
      </c>
      <c r="E657" s="8">
        <f>+'[2]Beam '!$E$15</f>
        <v>1</v>
      </c>
      <c r="F657" s="8">
        <f>ROUNDUP((O652+3.4)/E657,0)</f>
        <v>9</v>
      </c>
      <c r="G657" s="9"/>
      <c r="H657" s="9"/>
      <c r="I657" s="8"/>
      <c r="J657" s="8"/>
      <c r="K657" s="8"/>
      <c r="L657" s="8"/>
      <c r="M657" s="8"/>
      <c r="N657" s="8"/>
      <c r="O657" s="8">
        <f>F647-'[2]Beam '!$F$15</f>
        <v>0.14000000000000001</v>
      </c>
      <c r="P657" s="8">
        <f t="shared" si="123"/>
        <v>1.2600000000000002</v>
      </c>
      <c r="Q657" s="8">
        <f>IF($D657='[2]Beam '!Q$44,$P657*'[2]Beam '!Q$45,0)</f>
        <v>0</v>
      </c>
      <c r="R657" s="8">
        <f>IF($D657='[2]Beam '!R$44,$P657*'[2]Beam '!R$45,0)</f>
        <v>0</v>
      </c>
      <c r="S657" s="8">
        <f>IF($D657='[2]Beam '!S$44,$P657*'[2]Beam '!S$45,0)</f>
        <v>0</v>
      </c>
      <c r="T657" s="8">
        <f>IF($D657='[2]Beam '!T$44,$P657*'[2]Beam '!T$45,0)</f>
        <v>0</v>
      </c>
      <c r="U657" s="8">
        <f>IF($D657='[2]Beam '!U$44,$P657*'[2]Beam '!U$45,0)</f>
        <v>0</v>
      </c>
      <c r="V657" s="8">
        <f>IF($D657='[2]Beam '!V$44,$P657*'[2]Beam '!V$45,0)</f>
        <v>4.857187500000002</v>
      </c>
      <c r="W657" s="8">
        <f>IF($D657='[2]Beam '!W$44,$P657*'[2]Beam '!W$45,0)</f>
        <v>0</v>
      </c>
      <c r="X657" s="8">
        <f t="shared" si="124"/>
        <v>4.857187500000002</v>
      </c>
      <c r="Y657" s="8"/>
      <c r="Z657" s="8"/>
      <c r="AA657" s="8"/>
      <c r="AB657" s="8"/>
      <c r="AC657" s="8"/>
      <c r="AD657" s="8"/>
      <c r="AE657" s="8"/>
    </row>
    <row r="658" spans="1:32" s="10" customFormat="1" ht="20.100000000000001" customHeight="1" x14ac:dyDescent="0.25">
      <c r="A658" s="8">
        <v>1</v>
      </c>
      <c r="B658" s="8" t="s">
        <v>2</v>
      </c>
      <c r="C658" s="11" t="s">
        <v>90</v>
      </c>
      <c r="D658" s="11">
        <v>1</v>
      </c>
      <c r="E658" s="11">
        <v>2.2000000000000002</v>
      </c>
      <c r="F658" s="11">
        <v>0.4</v>
      </c>
      <c r="G658" s="11">
        <v>1.1000000000000001</v>
      </c>
      <c r="H658" s="8">
        <f>G658-0.2</f>
        <v>0.90000000000000013</v>
      </c>
      <c r="I658" s="8">
        <f>E658*F658*G658*D658</f>
        <v>0.96800000000000019</v>
      </c>
      <c r="J658" s="8">
        <f>(2*(E658)*H658*D658)+(E658*F658)</f>
        <v>4.8400000000000007</v>
      </c>
      <c r="K658" s="12">
        <f>IF(E658=0.3,J658,0)</f>
        <v>0</v>
      </c>
      <c r="L658" s="12">
        <f>IF(AND(E658&gt;0.3,E658&lt;=0.75),J658,0)</f>
        <v>0</v>
      </c>
      <c r="M658" s="12">
        <f>IF(AND(E658&gt;0.75,E658&lt;=1.2),J658,0)</f>
        <v>0</v>
      </c>
      <c r="N658" s="12">
        <f>IF(E658&gt;1.2,J658,0)</f>
        <v>4.8400000000000007</v>
      </c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>
        <f>SUM(X659:X666)/I658</f>
        <v>199.44885800865796</v>
      </c>
      <c r="Z658" s="8"/>
      <c r="AA658" s="8"/>
      <c r="AB658" s="8"/>
      <c r="AC658" s="8"/>
      <c r="AD658" s="8"/>
      <c r="AE658" s="8"/>
    </row>
    <row r="659" spans="1:32" s="10" customFormat="1" ht="20.100000000000001" customHeight="1" x14ac:dyDescent="0.25">
      <c r="A659" s="7"/>
      <c r="B659" s="8" t="s">
        <v>2</v>
      </c>
      <c r="C659" s="13" t="s">
        <v>4</v>
      </c>
      <c r="D659" s="8">
        <v>20</v>
      </c>
      <c r="E659" s="8"/>
      <c r="F659" s="8">
        <v>4</v>
      </c>
      <c r="G659" s="9">
        <f>VLOOKUP(D659,'[2]Beam '!$C$20:$H$26,3,0)</f>
        <v>0.8</v>
      </c>
      <c r="H659" s="9"/>
      <c r="I659" s="8"/>
      <c r="J659" s="8"/>
      <c r="K659" s="8"/>
      <c r="L659" s="8"/>
      <c r="M659" s="8"/>
      <c r="N659" s="8"/>
      <c r="O659" s="8">
        <f>(E658+1*(0.5/2)+1*(G659)*D658)</f>
        <v>3.25</v>
      </c>
      <c r="P659" s="8">
        <f t="shared" ref="P659:P667" si="125">O659*F659</f>
        <v>13</v>
      </c>
      <c r="Q659" s="8">
        <f>IF($D659='[2]Beam '!Q$44,$P659*'[2]Beam '!Q$45,0)</f>
        <v>0</v>
      </c>
      <c r="R659" s="8">
        <f>IF($D659='[2]Beam '!R$44,$P659*'[2]Beam '!R$45,0)</f>
        <v>0</v>
      </c>
      <c r="S659" s="8">
        <f>IF($D659='[2]Beam '!S$44,$P659*'[2]Beam '!S$45,0)</f>
        <v>0</v>
      </c>
      <c r="T659" s="8">
        <f>IF($D659='[2]Beam '!T$44,$P659*'[2]Beam '!T$45,0)</f>
        <v>0</v>
      </c>
      <c r="U659" s="8">
        <f>IF($D659='[2]Beam '!U$44,$P659*'[2]Beam '!U$45,0)</f>
        <v>32.072857142857146</v>
      </c>
      <c r="V659" s="8">
        <f>IF($D659='[2]Beam '!V$44,$P659*'[2]Beam '!V$45,0)</f>
        <v>0</v>
      </c>
      <c r="W659" s="8">
        <f>IF($D659='[2]Beam '!W$44,$P659*'[2]Beam '!W$45,0)</f>
        <v>0</v>
      </c>
      <c r="X659" s="8">
        <f t="shared" ref="X659:X667" si="126">SUM(Q659:W659)</f>
        <v>32.072857142857146</v>
      </c>
      <c r="Y659" s="8"/>
      <c r="Z659" s="8"/>
      <c r="AA659" s="8"/>
      <c r="AB659" s="8"/>
      <c r="AC659" s="8"/>
      <c r="AD659" s="8"/>
      <c r="AE659" s="8"/>
    </row>
    <row r="660" spans="1:32" s="10" customFormat="1" ht="20.100000000000001" customHeight="1" x14ac:dyDescent="0.25">
      <c r="A660" s="7"/>
      <c r="B660" s="8" t="s">
        <v>2</v>
      </c>
      <c r="C660" s="13" t="s">
        <v>87</v>
      </c>
      <c r="D660" s="8">
        <v>20</v>
      </c>
      <c r="E660" s="8"/>
      <c r="F660" s="8">
        <v>4</v>
      </c>
      <c r="G660" s="9">
        <f>VLOOKUP(D660,'[2]Beam '!$C$20:$H$26,3,0)</f>
        <v>0.8</v>
      </c>
      <c r="H660" s="9"/>
      <c r="I660" s="8"/>
      <c r="J660" s="8"/>
      <c r="K660" s="8"/>
      <c r="L660" s="8"/>
      <c r="M660" s="8"/>
      <c r="N660" s="8"/>
      <c r="O660" s="8">
        <f>(E658+1*(0.5/2)+1*(G660)*D658)</f>
        <v>3.25</v>
      </c>
      <c r="P660" s="8">
        <f t="shared" si="125"/>
        <v>13</v>
      </c>
      <c r="Q660" s="8">
        <f>IF($D660='[2]Beam '!Q$44,$P660*'[2]Beam '!Q$45,0)</f>
        <v>0</v>
      </c>
      <c r="R660" s="8">
        <f>IF($D660='[2]Beam '!R$44,$P660*'[2]Beam '!R$45,0)</f>
        <v>0</v>
      </c>
      <c r="S660" s="8">
        <f>IF($D660='[2]Beam '!S$44,$P660*'[2]Beam '!S$45,0)</f>
        <v>0</v>
      </c>
      <c r="T660" s="8">
        <f>IF($D660='[2]Beam '!T$44,$P660*'[2]Beam '!T$45,0)</f>
        <v>0</v>
      </c>
      <c r="U660" s="8">
        <f>IF($D660='[2]Beam '!U$44,$P660*'[2]Beam '!U$45,0)</f>
        <v>32.072857142857146</v>
      </c>
      <c r="V660" s="8">
        <f>IF($D660='[2]Beam '!V$44,$P660*'[2]Beam '!V$45,0)</f>
        <v>0</v>
      </c>
      <c r="W660" s="8">
        <f>IF($D660='[2]Beam '!W$44,$P660*'[2]Beam '!W$45,0)</f>
        <v>0</v>
      </c>
      <c r="X660" s="8">
        <f t="shared" si="126"/>
        <v>32.072857142857146</v>
      </c>
      <c r="Y660" s="8"/>
      <c r="Z660" s="8"/>
      <c r="AA660" s="8"/>
      <c r="AB660" s="8"/>
      <c r="AC660" s="8"/>
      <c r="AD660" s="8"/>
      <c r="AE660" s="8"/>
    </row>
    <row r="661" spans="1:32" s="14" customFormat="1" ht="20.100000000000001" customHeight="1" x14ac:dyDescent="0.3">
      <c r="A661" s="7"/>
      <c r="B661" s="8" t="s">
        <v>2</v>
      </c>
      <c r="C661" s="13" t="s">
        <v>6</v>
      </c>
      <c r="D661" s="8">
        <v>20</v>
      </c>
      <c r="E661" s="8"/>
      <c r="F661" s="8">
        <v>4</v>
      </c>
      <c r="G661" s="9">
        <f>VLOOKUP(D661,'[2]Beam '!$C$20:$H$26,3,0)</f>
        <v>0.8</v>
      </c>
      <c r="H661" s="8"/>
      <c r="I661" s="8"/>
      <c r="J661" s="8"/>
      <c r="K661" s="8"/>
      <c r="L661" s="8"/>
      <c r="M661" s="8"/>
      <c r="N661" s="8"/>
      <c r="O661" s="8">
        <f>(E658+1*(G661+(12*D661/1000))+G661*D658)</f>
        <v>4.04</v>
      </c>
      <c r="P661" s="8">
        <f t="shared" si="125"/>
        <v>16.16</v>
      </c>
      <c r="Q661" s="8">
        <f>IF($D661='[2]Beam '!Q$44,$P661*'[2]Beam '!Q$45,0)</f>
        <v>0</v>
      </c>
      <c r="R661" s="8">
        <f>IF($D661='[2]Beam '!R$44,$P661*'[2]Beam '!R$45,0)</f>
        <v>0</v>
      </c>
      <c r="S661" s="8">
        <f>IF($D661='[2]Beam '!S$44,$P661*'[2]Beam '!S$45,0)</f>
        <v>0</v>
      </c>
      <c r="T661" s="8">
        <f>IF($D661='[2]Beam '!T$44,$P661*'[2]Beam '!T$45,0)</f>
        <v>0</v>
      </c>
      <c r="U661" s="8">
        <f>IF($D661='[2]Beam '!U$44,$P661*'[2]Beam '!U$45,0)</f>
        <v>39.869028571428572</v>
      </c>
      <c r="V661" s="8">
        <f>IF($D661='[2]Beam '!V$44,$P661*'[2]Beam '!V$45,0)</f>
        <v>0</v>
      </c>
      <c r="W661" s="8">
        <f>IF($D661='[2]Beam '!W$44,$P661*'[2]Beam '!W$45,0)</f>
        <v>0</v>
      </c>
      <c r="X661" s="8">
        <f t="shared" si="126"/>
        <v>39.869028571428572</v>
      </c>
      <c r="Y661" s="8"/>
    </row>
    <row r="662" spans="1:32" s="14" customFormat="1" ht="20.100000000000001" customHeight="1" x14ac:dyDescent="0.3">
      <c r="A662" s="7"/>
      <c r="B662" s="8" t="s">
        <v>2</v>
      </c>
      <c r="C662" s="13" t="s">
        <v>88</v>
      </c>
      <c r="D662" s="8">
        <v>16</v>
      </c>
      <c r="E662" s="8"/>
      <c r="F662" s="8">
        <v>2</v>
      </c>
      <c r="G662" s="9">
        <f>VLOOKUP(D662,'[2]Beam '!$C$20:$H$26,3,0)</f>
        <v>0.625</v>
      </c>
      <c r="H662" s="8"/>
      <c r="I662" s="8"/>
      <c r="J662" s="8"/>
      <c r="K662" s="8"/>
      <c r="L662" s="8"/>
      <c r="M662" s="8"/>
      <c r="N662" s="8"/>
      <c r="O662" s="8">
        <f>(E658+1*(G662+(12*D662/1000))+G662*D658)</f>
        <v>3.6420000000000003</v>
      </c>
      <c r="P662" s="8">
        <f t="shared" si="125"/>
        <v>7.2840000000000007</v>
      </c>
      <c r="Q662" s="8">
        <f>IF($D662='[2]Beam '!Q$44,$P662*'[2]Beam '!Q$45,0)</f>
        <v>0</v>
      </c>
      <c r="R662" s="8">
        <f>IF($D662='[2]Beam '!R$44,$P662*'[2]Beam '!R$45,0)</f>
        <v>0</v>
      </c>
      <c r="S662" s="8">
        <f>IF($D662='[2]Beam '!S$44,$P662*'[2]Beam '!S$45,0)</f>
        <v>0</v>
      </c>
      <c r="T662" s="8">
        <f>IF($D662='[2]Beam '!T$44,$P662*'[2]Beam '!T$45,0)</f>
        <v>11.501227885714288</v>
      </c>
      <c r="U662" s="8">
        <f>IF($D662='[2]Beam '!U$44,$P662*'[2]Beam '!U$45,0)</f>
        <v>0</v>
      </c>
      <c r="V662" s="8">
        <f>IF($D662='[2]Beam '!V$44,$P662*'[2]Beam '!V$45,0)</f>
        <v>0</v>
      </c>
      <c r="W662" s="8">
        <f>IF($D662='[2]Beam '!W$44,$P662*'[2]Beam '!W$45,0)</f>
        <v>0</v>
      </c>
      <c r="X662" s="8">
        <f t="shared" si="126"/>
        <v>11.501227885714288</v>
      </c>
      <c r="Y662" s="8"/>
    </row>
    <row r="663" spans="1:32" s="14" customFormat="1" ht="20.100000000000001" customHeight="1" x14ac:dyDescent="0.25">
      <c r="A663" s="7"/>
      <c r="B663" s="8" t="s">
        <v>2</v>
      </c>
      <c r="C663" s="13" t="s">
        <v>13</v>
      </c>
      <c r="D663" s="8">
        <v>10</v>
      </c>
      <c r="E663" s="8">
        <v>0.1</v>
      </c>
      <c r="F663" s="8">
        <f>ROUNDUP((E658/3*2)/E663,0)+1</f>
        <v>16</v>
      </c>
      <c r="G663" s="10"/>
      <c r="H663" s="8"/>
      <c r="I663" s="8"/>
      <c r="J663" s="8"/>
      <c r="K663" s="8"/>
      <c r="L663" s="8"/>
      <c r="M663" s="8"/>
      <c r="N663" s="8"/>
      <c r="O663" s="8">
        <f>(2*((G658-(2*'[2]Beam '!$D$11))+(F658-(2*'[2]Beam '!$D$11)))+(2*10*D663/1000))*D658</f>
        <v>2.9600000000000004</v>
      </c>
      <c r="P663" s="8">
        <f t="shared" si="125"/>
        <v>47.360000000000007</v>
      </c>
      <c r="Q663" s="8">
        <f>IF($D663='[2]Beam '!Q$44,$P663*'[2]Beam '!Q$45,0)</f>
        <v>0</v>
      </c>
      <c r="R663" s="8">
        <f>IF($D663='[2]Beam '!R$44,$P663*'[2]Beam '!R$45,0)</f>
        <v>29.210971428571433</v>
      </c>
      <c r="S663" s="8">
        <f>IF($D663='[2]Beam '!S$44,$P663*'[2]Beam '!S$45,0)</f>
        <v>0</v>
      </c>
      <c r="T663" s="8">
        <f>IF($D663='[2]Beam '!T$44,$P663*'[2]Beam '!T$45,0)</f>
        <v>0</v>
      </c>
      <c r="U663" s="8">
        <f>IF($D663='[2]Beam '!U$44,$P663*'[2]Beam '!U$45,0)</f>
        <v>0</v>
      </c>
      <c r="V663" s="8">
        <f>IF($D663='[2]Beam '!V$44,$P663*'[2]Beam '!V$45,0)</f>
        <v>0</v>
      </c>
      <c r="W663" s="8">
        <f>IF($D663='[2]Beam '!W$44,$P663*'[2]Beam '!W$45,0)</f>
        <v>0</v>
      </c>
      <c r="X663" s="8">
        <f t="shared" si="126"/>
        <v>29.210971428571433</v>
      </c>
      <c r="Y663" s="8"/>
    </row>
    <row r="664" spans="1:32" s="10" customFormat="1" ht="20.100000000000001" customHeight="1" x14ac:dyDescent="0.25">
      <c r="A664" s="14"/>
      <c r="B664" s="8" t="s">
        <v>2</v>
      </c>
      <c r="C664" s="13" t="s">
        <v>14</v>
      </c>
      <c r="D664" s="14">
        <f>D663</f>
        <v>10</v>
      </c>
      <c r="E664" s="14">
        <v>0.125</v>
      </c>
      <c r="F664" s="8">
        <f>ROUNDUP((E658/3)/E664,0)+1</f>
        <v>7</v>
      </c>
      <c r="H664" s="14"/>
      <c r="I664" s="14"/>
      <c r="J664" s="14"/>
      <c r="K664" s="14"/>
      <c r="L664" s="14"/>
      <c r="M664" s="14"/>
      <c r="N664" s="14"/>
      <c r="O664" s="8">
        <f>(2*((G658-(2*'[2]Beam '!$D$11))+(F658-(2*'[2]Beam '!$D$11)))+(2*10*D664/1000))*D658</f>
        <v>2.9600000000000004</v>
      </c>
      <c r="P664" s="8">
        <f t="shared" si="125"/>
        <v>20.720000000000002</v>
      </c>
      <c r="Q664" s="8">
        <f>IF($D664='[2]Beam '!Q$44,$P664*'[2]Beam '!Q$45,0)</f>
        <v>0</v>
      </c>
      <c r="R664" s="8">
        <f>IF($D664='[2]Beam '!R$44,$P664*'[2]Beam '!R$45,0)</f>
        <v>12.779800000000002</v>
      </c>
      <c r="S664" s="8">
        <f>IF($D664='[2]Beam '!S$44,$P664*'[2]Beam '!S$45,0)</f>
        <v>0</v>
      </c>
      <c r="T664" s="8">
        <f>IF($D664='[2]Beam '!T$44,$P664*'[2]Beam '!T$45,0)</f>
        <v>0</v>
      </c>
      <c r="U664" s="8">
        <f>IF($D664='[2]Beam '!U$44,$P664*'[2]Beam '!U$45,0)</f>
        <v>0</v>
      </c>
      <c r="V664" s="8">
        <f>IF($D664='[2]Beam '!V$44,$P664*'[2]Beam '!V$45,0)</f>
        <v>0</v>
      </c>
      <c r="W664" s="8">
        <f>IF($D664='[2]Beam '!W$44,$P664*'[2]Beam '!W$45,0)</f>
        <v>0</v>
      </c>
      <c r="X664" s="8">
        <f t="shared" si="126"/>
        <v>12.779800000000002</v>
      </c>
      <c r="Y664" s="14"/>
      <c r="Z664" s="8"/>
      <c r="AA664" s="8"/>
      <c r="AB664" s="8"/>
      <c r="AC664" s="8"/>
      <c r="AD664" s="8"/>
      <c r="AE664" s="8"/>
    </row>
    <row r="665" spans="1:32" s="10" customFormat="1" ht="21" customHeight="1" x14ac:dyDescent="0.25">
      <c r="A665" s="14"/>
      <c r="B665" s="8" t="s">
        <v>2</v>
      </c>
      <c r="C665" s="13" t="s">
        <v>15</v>
      </c>
      <c r="D665" s="14">
        <f>D663</f>
        <v>10</v>
      </c>
      <c r="E665" s="14">
        <f>+E663</f>
        <v>0.1</v>
      </c>
      <c r="F665" s="8">
        <f>ROUNDUP((E658/3*2)/E665,0)+1</f>
        <v>16</v>
      </c>
      <c r="H665" s="14"/>
      <c r="I665" s="14"/>
      <c r="J665" s="14"/>
      <c r="K665" s="14"/>
      <c r="L665" s="14"/>
      <c r="M665" s="14"/>
      <c r="N665" s="14"/>
      <c r="O665" s="8">
        <f>(2*(((F658-'[2]Beam '!$D$11*2)/(F659-1))+(G658-'[2]Beam '!$D$11*2))+(2*10*D665/1000))*D658</f>
        <v>2.5066666666666668</v>
      </c>
      <c r="P665" s="8">
        <f t="shared" si="125"/>
        <v>40.106666666666669</v>
      </c>
      <c r="Q665" s="8">
        <f>IF($D665='[2]Beam '!Q$44,$P665*'[2]Beam '!Q$45,0)</f>
        <v>0</v>
      </c>
      <c r="R665" s="8">
        <f>IF($D665='[2]Beam '!R$44,$P665*'[2]Beam '!R$45,0)</f>
        <v>24.73721904761905</v>
      </c>
      <c r="S665" s="8">
        <f>IF($D665='[2]Beam '!S$44,$P665*'[2]Beam '!S$45,0)</f>
        <v>0</v>
      </c>
      <c r="T665" s="8">
        <f>IF($D665='[2]Beam '!T$44,$P665*'[2]Beam '!T$45,0)</f>
        <v>0</v>
      </c>
      <c r="U665" s="8">
        <f>IF($D665='[2]Beam '!U$44,$P665*'[2]Beam '!U$45,0)</f>
        <v>0</v>
      </c>
      <c r="V665" s="8">
        <f>IF($D665='[2]Beam '!V$44,$P665*'[2]Beam '!V$45,0)</f>
        <v>0</v>
      </c>
      <c r="W665" s="8">
        <f>IF($D665='[2]Beam '!W$44,$P665*'[2]Beam '!W$45,0)</f>
        <v>0</v>
      </c>
      <c r="X665" s="8">
        <f t="shared" si="126"/>
        <v>24.73721904761905</v>
      </c>
      <c r="Y665" s="14"/>
      <c r="Z665" s="8"/>
      <c r="AA665" s="8"/>
      <c r="AB665" s="8"/>
      <c r="AC665" s="8"/>
      <c r="AD665" s="8"/>
      <c r="AE665" s="8"/>
      <c r="AF665" s="8"/>
    </row>
    <row r="666" spans="1:32" s="10" customFormat="1" ht="20.100000000000001" customHeight="1" x14ac:dyDescent="0.25">
      <c r="A666" s="14"/>
      <c r="B666" s="8" t="s">
        <v>2</v>
      </c>
      <c r="C666" s="13" t="s">
        <v>16</v>
      </c>
      <c r="D666" s="14">
        <f>D664</f>
        <v>10</v>
      </c>
      <c r="E666" s="14">
        <f>+E664</f>
        <v>0.125</v>
      </c>
      <c r="F666" s="8">
        <f>ROUNDUP((E658/3)/E666,0)+1</f>
        <v>7</v>
      </c>
      <c r="H666" s="14"/>
      <c r="I666" s="14"/>
      <c r="J666" s="14"/>
      <c r="K666" s="14"/>
      <c r="L666" s="14"/>
      <c r="M666" s="14"/>
      <c r="N666" s="14"/>
      <c r="O666" s="8">
        <f>(2*(((F658-'[2]Beam '!$D$11*2)/(F659-1))+(G658-'[2]Beam '!$D$11*2))+(2*10*D666/1000))*D658</f>
        <v>2.5066666666666668</v>
      </c>
      <c r="P666" s="8">
        <f t="shared" si="125"/>
        <v>17.546666666666667</v>
      </c>
      <c r="Q666" s="8">
        <f>IF($D666='[2]Beam '!Q$44,$P666*'[2]Beam '!Q$45,0)</f>
        <v>0</v>
      </c>
      <c r="R666" s="8">
        <f>IF($D666='[2]Beam '!R$44,$P666*'[2]Beam '!R$45,0)</f>
        <v>10.822533333333332</v>
      </c>
      <c r="S666" s="8">
        <f>IF($D666='[2]Beam '!S$44,$P666*'[2]Beam '!S$45,0)</f>
        <v>0</v>
      </c>
      <c r="T666" s="8">
        <f>IF($D666='[2]Beam '!T$44,$P666*'[2]Beam '!T$45,0)</f>
        <v>0</v>
      </c>
      <c r="U666" s="8">
        <f>IF($D666='[2]Beam '!U$44,$P666*'[2]Beam '!U$45,0)</f>
        <v>0</v>
      </c>
      <c r="V666" s="8">
        <f>IF($D666='[2]Beam '!V$44,$P666*'[2]Beam '!V$45,0)</f>
        <v>0</v>
      </c>
      <c r="W666" s="8">
        <f>IF($D666='[2]Beam '!W$44,$P666*'[2]Beam '!W$45,0)</f>
        <v>0</v>
      </c>
      <c r="X666" s="8">
        <f t="shared" si="126"/>
        <v>10.822533333333332</v>
      </c>
      <c r="Y666" s="14"/>
      <c r="Z666" s="8"/>
      <c r="AA666" s="8"/>
      <c r="AB666" s="8"/>
      <c r="AC666" s="8"/>
      <c r="AD666" s="8"/>
      <c r="AE666" s="8"/>
    </row>
    <row r="667" spans="1:32" s="10" customFormat="1" ht="20.100000000000001" customHeight="1" x14ac:dyDescent="0.25">
      <c r="A667" s="7"/>
      <c r="B667" s="8" t="s">
        <v>2</v>
      </c>
      <c r="C667" s="13" t="s">
        <v>10</v>
      </c>
      <c r="D667" s="8">
        <f>+'[2]Beam '!$D$15</f>
        <v>25</v>
      </c>
      <c r="E667" s="8">
        <f>+'[2]Beam '!$E$15</f>
        <v>1</v>
      </c>
      <c r="F667" s="8">
        <f>ROUNDUP((E658)/E667,0)</f>
        <v>3</v>
      </c>
      <c r="G667" s="9"/>
      <c r="H667" s="9"/>
      <c r="I667" s="8"/>
      <c r="J667" s="8"/>
      <c r="K667" s="8"/>
      <c r="L667" s="8"/>
      <c r="M667" s="8"/>
      <c r="N667" s="8"/>
      <c r="O667" s="8">
        <f>F658-'[2]Beam '!$F$15</f>
        <v>0.34</v>
      </c>
      <c r="P667" s="8">
        <f t="shared" si="125"/>
        <v>1.02</v>
      </c>
      <c r="Q667" s="8">
        <f>IF($D667='[2]Beam '!Q$44,$P667*'[2]Beam '!Q$45,0)</f>
        <v>0</v>
      </c>
      <c r="R667" s="8">
        <f>IF($D667='[2]Beam '!R$44,$P667*'[2]Beam '!R$45,0)</f>
        <v>0</v>
      </c>
      <c r="S667" s="8">
        <f>IF($D667='[2]Beam '!S$44,$P667*'[2]Beam '!S$45,0)</f>
        <v>0</v>
      </c>
      <c r="T667" s="8">
        <f>IF($D667='[2]Beam '!T$44,$P667*'[2]Beam '!T$45,0)</f>
        <v>0</v>
      </c>
      <c r="U667" s="8">
        <f>IF($D667='[2]Beam '!U$44,$P667*'[2]Beam '!U$45,0)</f>
        <v>0</v>
      </c>
      <c r="V667" s="8">
        <f>IF($D667='[2]Beam '!V$44,$P667*'[2]Beam '!V$45,0)</f>
        <v>3.9320089285714293</v>
      </c>
      <c r="W667" s="8">
        <f>IF($D667='[2]Beam '!W$44,$P667*'[2]Beam '!W$45,0)</f>
        <v>0</v>
      </c>
      <c r="X667" s="8">
        <f t="shared" si="126"/>
        <v>3.9320089285714293</v>
      </c>
      <c r="Y667" s="8"/>
      <c r="Z667" s="8"/>
      <c r="AA667" s="8"/>
      <c r="AB667" s="8"/>
      <c r="AC667" s="8"/>
      <c r="AD667" s="8"/>
      <c r="AE667" s="8"/>
    </row>
    <row r="668" spans="1:32" s="10" customFormat="1" ht="20.100000000000001" customHeight="1" x14ac:dyDescent="0.25">
      <c r="A668" s="8">
        <v>1</v>
      </c>
      <c r="B668" s="8" t="s">
        <v>2</v>
      </c>
      <c r="C668" s="11" t="s">
        <v>91</v>
      </c>
      <c r="D668" s="11">
        <v>1</v>
      </c>
      <c r="E668" s="11">
        <v>2.8490000000000002</v>
      </c>
      <c r="F668" s="11">
        <v>0.4</v>
      </c>
      <c r="G668" s="11">
        <v>1</v>
      </c>
      <c r="H668" s="8">
        <f>G668-0.2</f>
        <v>0.8</v>
      </c>
      <c r="I668" s="8">
        <f>E668*F668*G668*D668</f>
        <v>1.1396000000000002</v>
      </c>
      <c r="J668" s="8">
        <f>(2*(E668)*H668*D668)+(E668*F668)</f>
        <v>5.6980000000000004</v>
      </c>
      <c r="K668" s="12">
        <f>IF(E668=0.3,J668,0)</f>
        <v>0</v>
      </c>
      <c r="L668" s="12">
        <f>IF(AND(E668&gt;0.3,E668&lt;=0.75),J668,0)</f>
        <v>0</v>
      </c>
      <c r="M668" s="12">
        <f>IF(AND(E668&gt;0.75,E668&lt;=1.2),J668,0)</f>
        <v>0</v>
      </c>
      <c r="N668" s="12">
        <f>IF(E668&gt;1.2,J668,0)</f>
        <v>5.6980000000000004</v>
      </c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>
        <f>SUM(X669:X672)/I668</f>
        <v>188.67819222283509</v>
      </c>
      <c r="Z668" s="8"/>
      <c r="AA668" s="8"/>
      <c r="AB668" s="8"/>
      <c r="AC668" s="8"/>
      <c r="AD668" s="8"/>
      <c r="AE668" s="8"/>
    </row>
    <row r="669" spans="1:32" s="14" customFormat="1" ht="20.100000000000001" customHeight="1" x14ac:dyDescent="0.3">
      <c r="A669" s="7"/>
      <c r="B669" s="8" t="s">
        <v>2</v>
      </c>
      <c r="C669" s="13" t="s">
        <v>4</v>
      </c>
      <c r="D669" s="8">
        <v>25</v>
      </c>
      <c r="E669" s="8"/>
      <c r="F669" s="8">
        <v>4</v>
      </c>
      <c r="G669" s="9">
        <f>VLOOKUP(D669,'[2]Beam '!$C$20:$H$26,3,0)</f>
        <v>1</v>
      </c>
      <c r="H669" s="9"/>
      <c r="I669" s="8"/>
      <c r="J669" s="8"/>
      <c r="K669" s="8"/>
      <c r="L669" s="8"/>
      <c r="M669" s="8"/>
      <c r="N669" s="8"/>
      <c r="O669" s="8">
        <f>(E668+1*(0.4/2)+1*(G669)*D668)</f>
        <v>4.0490000000000004</v>
      </c>
      <c r="P669" s="8">
        <f>O669*F669</f>
        <v>16.196000000000002</v>
      </c>
      <c r="Q669" s="8">
        <f>IF($D669='[2]Beam '!Q$44,$P669*'[2]Beam '!Q$45,0)</f>
        <v>0</v>
      </c>
      <c r="R669" s="8">
        <f>IF($D669='[2]Beam '!R$44,$P669*'[2]Beam '!R$45,0)</f>
        <v>0</v>
      </c>
      <c r="S669" s="8">
        <f>IF($D669='[2]Beam '!S$44,$P669*'[2]Beam '!S$45,0)</f>
        <v>0</v>
      </c>
      <c r="T669" s="8">
        <f>IF($D669='[2]Beam '!T$44,$P669*'[2]Beam '!T$45,0)</f>
        <v>0</v>
      </c>
      <c r="U669" s="8">
        <f>IF($D669='[2]Beam '!U$44,$P669*'[2]Beam '!U$45,0)</f>
        <v>0</v>
      </c>
      <c r="V669" s="8">
        <f>IF($D669='[2]Beam '!V$44,$P669*'[2]Beam '!V$45,0)</f>
        <v>62.434133928571441</v>
      </c>
      <c r="W669" s="8">
        <f>IF($D669='[2]Beam '!W$44,$P669*'[2]Beam '!W$45,0)</f>
        <v>0</v>
      </c>
      <c r="X669" s="8">
        <f>SUM(Q669:W669)</f>
        <v>62.434133928571441</v>
      </c>
      <c r="Y669" s="8"/>
    </row>
    <row r="670" spans="1:32" s="10" customFormat="1" ht="20.100000000000001" customHeight="1" x14ac:dyDescent="0.25">
      <c r="A670" s="7"/>
      <c r="B670" s="8" t="s">
        <v>2</v>
      </c>
      <c r="C670" s="13" t="s">
        <v>6</v>
      </c>
      <c r="D670" s="8">
        <v>25</v>
      </c>
      <c r="E670" s="8"/>
      <c r="F670" s="8">
        <v>4</v>
      </c>
      <c r="G670" s="9">
        <f>VLOOKUP(D670,'[2]Beam '!$C$20:$H$26,3,0)</f>
        <v>1</v>
      </c>
      <c r="H670" s="8"/>
      <c r="I670" s="8"/>
      <c r="J670" s="8"/>
      <c r="K670" s="8"/>
      <c r="L670" s="8"/>
      <c r="M670" s="8"/>
      <c r="N670" s="8"/>
      <c r="O670" s="8">
        <f>(E668+1*(0.4/2)+1*(G670)*D668)</f>
        <v>4.0490000000000004</v>
      </c>
      <c r="P670" s="8">
        <f>O670*F670</f>
        <v>16.196000000000002</v>
      </c>
      <c r="Q670" s="8">
        <f>IF($D670='[2]Beam '!Q$44,$P670*'[2]Beam '!Q$45,0)</f>
        <v>0</v>
      </c>
      <c r="R670" s="8">
        <f>IF($D670='[2]Beam '!R$44,$P670*'[2]Beam '!R$45,0)</f>
        <v>0</v>
      </c>
      <c r="S670" s="8">
        <f>IF($D670='[2]Beam '!S$44,$P670*'[2]Beam '!S$45,0)</f>
        <v>0</v>
      </c>
      <c r="T670" s="8">
        <f>IF($D670='[2]Beam '!T$44,$P670*'[2]Beam '!T$45,0)</f>
        <v>0</v>
      </c>
      <c r="U670" s="8">
        <f>IF($D670='[2]Beam '!U$44,$P670*'[2]Beam '!U$45,0)</f>
        <v>0</v>
      </c>
      <c r="V670" s="8">
        <f>IF($D670='[2]Beam '!V$44,$P670*'[2]Beam '!V$45,0)</f>
        <v>62.434133928571441</v>
      </c>
      <c r="W670" s="8">
        <f>IF($D670='[2]Beam '!W$44,$P670*'[2]Beam '!W$45,0)</f>
        <v>0</v>
      </c>
      <c r="X670" s="8">
        <f>SUM(Q670:W670)</f>
        <v>62.434133928571441</v>
      </c>
      <c r="Y670" s="8"/>
      <c r="Z670" s="8"/>
      <c r="AA670" s="8"/>
      <c r="AB670" s="8"/>
      <c r="AC670" s="8"/>
      <c r="AD670" s="8"/>
      <c r="AE670" s="8"/>
    </row>
    <row r="671" spans="1:32" s="10" customFormat="1" ht="21" customHeight="1" x14ac:dyDescent="0.25">
      <c r="A671" s="7"/>
      <c r="B671" s="8" t="s">
        <v>2</v>
      </c>
      <c r="C671" s="13" t="s">
        <v>8</v>
      </c>
      <c r="D671" s="8">
        <v>10</v>
      </c>
      <c r="E671" s="8">
        <v>0.1</v>
      </c>
      <c r="F671" s="8">
        <f>ROUNDUP(E668/E671,0)</f>
        <v>29</v>
      </c>
      <c r="H671" s="8"/>
      <c r="I671" s="8"/>
      <c r="J671" s="8"/>
      <c r="K671" s="8"/>
      <c r="L671" s="8"/>
      <c r="M671" s="8"/>
      <c r="N671" s="8"/>
      <c r="O671" s="8">
        <f>(2*((G668-(2*'[2]Beam '!$D$11))+(F668-(2*'[2]Beam '!$D$11)))+(2*10*D671/1000))*D668</f>
        <v>2.7600000000000002</v>
      </c>
      <c r="P671" s="8">
        <f>O671*F671</f>
        <v>80.040000000000006</v>
      </c>
      <c r="Q671" s="8">
        <f>IF($D671='[2]Beam '!Q$44,$P671*'[2]Beam '!Q$45,0)</f>
        <v>0</v>
      </c>
      <c r="R671" s="8">
        <f>IF($D671='[2]Beam '!R$44,$P671*'[2]Beam '!R$45,0)</f>
        <v>49.367528571428572</v>
      </c>
      <c r="S671" s="8">
        <f>IF($D671='[2]Beam '!S$44,$P671*'[2]Beam '!S$45,0)</f>
        <v>0</v>
      </c>
      <c r="T671" s="8">
        <f>IF($D671='[2]Beam '!T$44,$P671*'[2]Beam '!T$45,0)</f>
        <v>0</v>
      </c>
      <c r="U671" s="8">
        <f>IF($D671='[2]Beam '!U$44,$P671*'[2]Beam '!U$45,0)</f>
        <v>0</v>
      </c>
      <c r="V671" s="8">
        <f>IF($D671='[2]Beam '!V$44,$P671*'[2]Beam '!V$45,0)</f>
        <v>0</v>
      </c>
      <c r="W671" s="8">
        <f>IF($D671='[2]Beam '!W$44,$P671*'[2]Beam '!W$45,0)</f>
        <v>0</v>
      </c>
      <c r="X671" s="8">
        <f>SUM(Q671:W671)</f>
        <v>49.367528571428572</v>
      </c>
      <c r="Y671" s="8"/>
      <c r="Z671" s="8"/>
      <c r="AA671" s="8"/>
      <c r="AB671" s="8"/>
      <c r="AC671" s="8"/>
      <c r="AD671" s="8"/>
      <c r="AE671" s="8"/>
      <c r="AF671" s="8"/>
    </row>
    <row r="672" spans="1:32" s="10" customFormat="1" ht="20.100000000000001" customHeight="1" x14ac:dyDescent="0.25">
      <c r="A672" s="14"/>
      <c r="B672" s="8" t="s">
        <v>2</v>
      </c>
      <c r="C672" s="13" t="s">
        <v>9</v>
      </c>
      <c r="D672" s="8">
        <f>+D671</f>
        <v>10</v>
      </c>
      <c r="E672" s="14">
        <f>+E671</f>
        <v>0.1</v>
      </c>
      <c r="F672" s="8">
        <f>ROUNDUP(E668/E672,0)</f>
        <v>29</v>
      </c>
      <c r="H672" s="14"/>
      <c r="I672" s="14"/>
      <c r="J672" s="14"/>
      <c r="K672" s="14"/>
      <c r="L672" s="14"/>
      <c r="M672" s="14"/>
      <c r="N672" s="14"/>
      <c r="O672" s="8">
        <f>((((G668-(2*'[2]Beam '!$D$11))+(2*10*D672/1000))*D668))*2</f>
        <v>2.2799999999999998</v>
      </c>
      <c r="P672" s="8">
        <f>O672*F672</f>
        <v>66.11999999999999</v>
      </c>
      <c r="Q672" s="8">
        <f>IF($D672='[2]Beam '!Q$44,$P672*'[2]Beam '!Q$45,0)</f>
        <v>0</v>
      </c>
      <c r="R672" s="8">
        <f>IF($D672='[2]Beam '!R$44,$P672*'[2]Beam '!R$45,0)</f>
        <v>40.781871428571421</v>
      </c>
      <c r="S672" s="8">
        <f>IF($D672='[2]Beam '!S$44,$P672*'[2]Beam '!S$45,0)</f>
        <v>0</v>
      </c>
      <c r="T672" s="8">
        <f>IF($D672='[2]Beam '!T$44,$P672*'[2]Beam '!T$45,0)</f>
        <v>0</v>
      </c>
      <c r="U672" s="8">
        <f>IF($D672='[2]Beam '!U$44,$P672*'[2]Beam '!U$45,0)</f>
        <v>0</v>
      </c>
      <c r="V672" s="8">
        <f>IF($D672='[2]Beam '!V$44,$P672*'[2]Beam '!V$45,0)</f>
        <v>0</v>
      </c>
      <c r="W672" s="8">
        <f>IF($D672='[2]Beam '!W$44,$P672*'[2]Beam '!W$45,0)</f>
        <v>0</v>
      </c>
      <c r="X672" s="8">
        <f>SUM(Q672:W672)</f>
        <v>40.781871428571421</v>
      </c>
      <c r="Y672" s="14"/>
      <c r="Z672" s="8"/>
      <c r="AA672" s="8"/>
      <c r="AB672" s="8"/>
      <c r="AC672" s="8"/>
      <c r="AD672" s="8"/>
      <c r="AE672" s="8"/>
    </row>
    <row r="673" spans="1:32" s="10" customFormat="1" ht="20.100000000000001" customHeight="1" x14ac:dyDescent="0.25">
      <c r="A673" s="7"/>
      <c r="B673" s="8" t="s">
        <v>2</v>
      </c>
      <c r="C673" s="13" t="s">
        <v>10</v>
      </c>
      <c r="D673" s="8">
        <f>+'[2]Beam '!$D$15</f>
        <v>25</v>
      </c>
      <c r="E673" s="8">
        <f>+'[2]Beam '!$E$15</f>
        <v>1</v>
      </c>
      <c r="F673" s="8">
        <f>ROUNDUP((E668)/E673,0)</f>
        <v>3</v>
      </c>
      <c r="G673" s="9"/>
      <c r="H673" s="9"/>
      <c r="I673" s="8"/>
      <c r="J673" s="8"/>
      <c r="K673" s="8"/>
      <c r="L673" s="8"/>
      <c r="M673" s="8"/>
      <c r="N673" s="8"/>
      <c r="O673" s="8">
        <f>F668-'[2]Beam '!$F$15</f>
        <v>0.34</v>
      </c>
      <c r="P673" s="8">
        <f>O673*F673</f>
        <v>1.02</v>
      </c>
      <c r="Q673" s="8">
        <f>IF($D673='[2]Beam '!Q$44,$P673*'[2]Beam '!Q$45,0)</f>
        <v>0</v>
      </c>
      <c r="R673" s="8">
        <f>IF($D673='[2]Beam '!R$44,$P673*'[2]Beam '!R$45,0)</f>
        <v>0</v>
      </c>
      <c r="S673" s="8">
        <f>IF($D673='[2]Beam '!S$44,$P673*'[2]Beam '!S$45,0)</f>
        <v>0</v>
      </c>
      <c r="T673" s="8">
        <f>IF($D673='[2]Beam '!T$44,$P673*'[2]Beam '!T$45,0)</f>
        <v>0</v>
      </c>
      <c r="U673" s="8">
        <f>IF($D673='[2]Beam '!U$44,$P673*'[2]Beam '!U$45,0)</f>
        <v>0</v>
      </c>
      <c r="V673" s="8">
        <f>IF($D673='[2]Beam '!V$44,$P673*'[2]Beam '!V$45,0)</f>
        <v>3.9320089285714293</v>
      </c>
      <c r="W673" s="8">
        <f>IF($D673='[2]Beam '!W$44,$P673*'[2]Beam '!W$45,0)</f>
        <v>0</v>
      </c>
      <c r="X673" s="8">
        <f>SUM(Q673:W673)</f>
        <v>3.9320089285714293</v>
      </c>
      <c r="Y673" s="8"/>
      <c r="Z673" s="8"/>
      <c r="AA673" s="8"/>
      <c r="AB673" s="8"/>
      <c r="AC673" s="8"/>
      <c r="AD673" s="8"/>
      <c r="AE673" s="8"/>
    </row>
    <row r="674" spans="1:32" s="10" customFormat="1" ht="20.100000000000001" customHeight="1" x14ac:dyDescent="0.25">
      <c r="A674" s="8">
        <v>1</v>
      </c>
      <c r="B674" s="8" t="s">
        <v>2</v>
      </c>
      <c r="C674" s="11" t="s">
        <v>92</v>
      </c>
      <c r="D674" s="11">
        <v>1</v>
      </c>
      <c r="E674" s="11">
        <v>5.9340000000000002</v>
      </c>
      <c r="F674" s="11">
        <v>0.4</v>
      </c>
      <c r="G674" s="11">
        <v>1</v>
      </c>
      <c r="H674" s="8">
        <f>G674-0.2</f>
        <v>0.8</v>
      </c>
      <c r="I674" s="8">
        <f>E674*F674*G674*D674</f>
        <v>2.3736000000000002</v>
      </c>
      <c r="J674" s="8">
        <f>(2*(E674)*H674*D674)+(E674*F674)</f>
        <v>11.868</v>
      </c>
      <c r="K674" s="12">
        <f>IF(E674=0.3,J674,0)</f>
        <v>0</v>
      </c>
      <c r="L674" s="12">
        <f>IF(AND(E674&gt;0.3,E674&lt;=0.75),J674,0)</f>
        <v>0</v>
      </c>
      <c r="M674" s="12">
        <f>IF(AND(E674&gt;0.75,E674&lt;=1.2),J674,0)</f>
        <v>0</v>
      </c>
      <c r="N674" s="12">
        <f>IF(E674&gt;1.2,J674,0)</f>
        <v>11.868</v>
      </c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>
        <f>SUM(X675:X681)/I674</f>
        <v>214.82706714333867</v>
      </c>
      <c r="Z674" s="8"/>
      <c r="AA674" s="8"/>
      <c r="AB674" s="8"/>
      <c r="AC674" s="8"/>
      <c r="AD674" s="8"/>
      <c r="AE674" s="8"/>
    </row>
    <row r="675" spans="1:32" s="10" customFormat="1" ht="20.100000000000001" customHeight="1" x14ac:dyDescent="0.25">
      <c r="A675" s="7"/>
      <c r="B675" s="8" t="s">
        <v>2</v>
      </c>
      <c r="C675" s="13" t="s">
        <v>4</v>
      </c>
      <c r="D675" s="8">
        <v>25</v>
      </c>
      <c r="E675" s="8"/>
      <c r="F675" s="8">
        <v>4</v>
      </c>
      <c r="G675" s="9">
        <f>VLOOKUP(D675,'[2]Beam '!$C$20:$H$26,3,0)</f>
        <v>1</v>
      </c>
      <c r="H675" s="9"/>
      <c r="I675" s="8"/>
      <c r="J675" s="8"/>
      <c r="K675" s="8"/>
      <c r="L675" s="8"/>
      <c r="M675" s="8"/>
      <c r="N675" s="8"/>
      <c r="O675" s="8">
        <f>(E674+2*(0.4/2)*D674)</f>
        <v>6.3340000000000005</v>
      </c>
      <c r="P675" s="8">
        <f t="shared" ref="P675:P682" si="127">O675*F675</f>
        <v>25.336000000000002</v>
      </c>
      <c r="Q675" s="8">
        <f>IF($D675='[2]Beam '!Q$44,$P675*'[2]Beam '!Q$45,0)</f>
        <v>0</v>
      </c>
      <c r="R675" s="8">
        <f>IF($D675='[2]Beam '!R$44,$P675*'[2]Beam '!R$45,0)</f>
        <v>0</v>
      </c>
      <c r="S675" s="8">
        <f>IF($D675='[2]Beam '!S$44,$P675*'[2]Beam '!S$45,0)</f>
        <v>0</v>
      </c>
      <c r="T675" s="8">
        <f>IF($D675='[2]Beam '!T$44,$P675*'[2]Beam '!T$45,0)</f>
        <v>0</v>
      </c>
      <c r="U675" s="8">
        <f>IF($D675='[2]Beam '!U$44,$P675*'[2]Beam '!U$45,0)</f>
        <v>0</v>
      </c>
      <c r="V675" s="8">
        <f>IF($D675='[2]Beam '!V$44,$P675*'[2]Beam '!V$45,0)</f>
        <v>97.668017857142885</v>
      </c>
      <c r="W675" s="8">
        <f>IF($D675='[2]Beam '!W$44,$P675*'[2]Beam '!W$45,0)</f>
        <v>0</v>
      </c>
      <c r="X675" s="8">
        <f t="shared" ref="X675:X682" si="128">SUM(Q675:W675)</f>
        <v>97.668017857142885</v>
      </c>
      <c r="Y675" s="8"/>
      <c r="Z675" s="8"/>
      <c r="AA675" s="8"/>
      <c r="AB675" s="8"/>
      <c r="AC675" s="8"/>
      <c r="AD675" s="8"/>
      <c r="AE675" s="8"/>
    </row>
    <row r="676" spans="1:32" s="14" customFormat="1" ht="20.100000000000001" customHeight="1" x14ac:dyDescent="0.3">
      <c r="A676" s="7"/>
      <c r="B676" s="8" t="s">
        <v>2</v>
      </c>
      <c r="C676" s="13" t="s">
        <v>6</v>
      </c>
      <c r="D676" s="8">
        <v>25</v>
      </c>
      <c r="E676" s="8"/>
      <c r="F676" s="8">
        <v>4</v>
      </c>
      <c r="G676" s="9">
        <f>VLOOKUP(D676,'[2]Beam '!$C$20:$H$26,3,0)</f>
        <v>1</v>
      </c>
      <c r="H676" s="8"/>
      <c r="I676" s="8"/>
      <c r="J676" s="8"/>
      <c r="K676" s="8"/>
      <c r="L676" s="8"/>
      <c r="M676" s="8"/>
      <c r="N676" s="8"/>
      <c r="O676" s="8">
        <f>(E674+2*(0.4/2)+1*(G676)*D674)</f>
        <v>7.3340000000000005</v>
      </c>
      <c r="P676" s="8">
        <f t="shared" si="127"/>
        <v>29.336000000000002</v>
      </c>
      <c r="Q676" s="8">
        <f>IF($D676='[2]Beam '!Q$44,$P676*'[2]Beam '!Q$45,0)</f>
        <v>0</v>
      </c>
      <c r="R676" s="8">
        <f>IF($D676='[2]Beam '!R$44,$P676*'[2]Beam '!R$45,0)</f>
        <v>0</v>
      </c>
      <c r="S676" s="8">
        <f>IF($D676='[2]Beam '!S$44,$P676*'[2]Beam '!S$45,0)</f>
        <v>0</v>
      </c>
      <c r="T676" s="8">
        <f>IF($D676='[2]Beam '!T$44,$P676*'[2]Beam '!T$45,0)</f>
        <v>0</v>
      </c>
      <c r="U676" s="8">
        <f>IF($D676='[2]Beam '!U$44,$P676*'[2]Beam '!U$45,0)</f>
        <v>0</v>
      </c>
      <c r="V676" s="8">
        <f>IF($D676='[2]Beam '!V$44,$P676*'[2]Beam '!V$45,0)</f>
        <v>113.08766071428573</v>
      </c>
      <c r="W676" s="8">
        <f>IF($D676='[2]Beam '!W$44,$P676*'[2]Beam '!W$45,0)</f>
        <v>0</v>
      </c>
      <c r="X676" s="8">
        <f t="shared" si="128"/>
        <v>113.08766071428573</v>
      </c>
      <c r="Y676" s="8"/>
    </row>
    <row r="677" spans="1:32" s="14" customFormat="1" ht="20.100000000000001" customHeight="1" x14ac:dyDescent="0.3">
      <c r="A677" s="7"/>
      <c r="B677" s="8" t="s">
        <v>2</v>
      </c>
      <c r="C677" s="13" t="s">
        <v>88</v>
      </c>
      <c r="D677" s="8">
        <v>25</v>
      </c>
      <c r="E677" s="8"/>
      <c r="F677" s="8">
        <v>4</v>
      </c>
      <c r="G677" s="9">
        <f>VLOOKUP(D677,'[2]Beam '!$C$20:$H$26,3,0)</f>
        <v>1</v>
      </c>
      <c r="H677" s="8"/>
      <c r="I677" s="8"/>
      <c r="J677" s="8"/>
      <c r="K677" s="8"/>
      <c r="L677" s="8"/>
      <c r="M677" s="8"/>
      <c r="N677" s="8"/>
      <c r="O677" s="8">
        <f>(1.6+1*(0.4/2)+1*(G677)*D674)</f>
        <v>2.8</v>
      </c>
      <c r="P677" s="8">
        <f t="shared" si="127"/>
        <v>11.2</v>
      </c>
      <c r="Q677" s="8">
        <f>IF($D677='[2]Beam '!Q$44,$P677*'[2]Beam '!Q$45,0)</f>
        <v>0</v>
      </c>
      <c r="R677" s="8">
        <f>IF($D677='[2]Beam '!R$44,$P677*'[2]Beam '!R$45,0)</f>
        <v>0</v>
      </c>
      <c r="S677" s="8">
        <f>IF($D677='[2]Beam '!S$44,$P677*'[2]Beam '!S$45,0)</f>
        <v>0</v>
      </c>
      <c r="T677" s="8">
        <f>IF($D677='[2]Beam '!T$44,$P677*'[2]Beam '!T$45,0)</f>
        <v>0</v>
      </c>
      <c r="U677" s="8">
        <f>IF($D677='[2]Beam '!U$44,$P677*'[2]Beam '!U$45,0)</f>
        <v>0</v>
      </c>
      <c r="V677" s="8">
        <f>IF($D677='[2]Beam '!V$44,$P677*'[2]Beam '!V$45,0)</f>
        <v>43.175000000000004</v>
      </c>
      <c r="W677" s="8">
        <f>IF($D677='[2]Beam '!W$44,$P677*'[2]Beam '!W$45,0)</f>
        <v>0</v>
      </c>
      <c r="X677" s="8">
        <f t="shared" si="128"/>
        <v>43.175000000000004</v>
      </c>
      <c r="Y677" s="8"/>
    </row>
    <row r="678" spans="1:32" s="14" customFormat="1" ht="20.100000000000001" customHeight="1" x14ac:dyDescent="0.25">
      <c r="A678" s="7"/>
      <c r="B678" s="8" t="s">
        <v>2</v>
      </c>
      <c r="C678" s="13" t="s">
        <v>13</v>
      </c>
      <c r="D678" s="8">
        <v>12</v>
      </c>
      <c r="E678" s="8">
        <v>0.1</v>
      </c>
      <c r="F678" s="8">
        <f>ROUND(IF(E674/3&gt;(2*G674),(E674/3)/E678,(2*G674)/E678),0)*2+1</f>
        <v>41</v>
      </c>
      <c r="G678" s="10"/>
      <c r="H678" s="8"/>
      <c r="I678" s="8"/>
      <c r="J678" s="8"/>
      <c r="K678" s="8"/>
      <c r="L678" s="8"/>
      <c r="M678" s="8"/>
      <c r="N678" s="8"/>
      <c r="O678" s="8">
        <f>(2*((G674-(2*'[2]Beam '!$D$11))+(F674-(2*'[2]Beam '!$D$11)))+(2*10*D678/1000))*D674</f>
        <v>2.8</v>
      </c>
      <c r="P678" s="8">
        <f t="shared" si="127"/>
        <v>114.8</v>
      </c>
      <c r="Q678" s="8">
        <f>IF($D678='[2]Beam '!Q$44,$P678*'[2]Beam '!Q$45,0)</f>
        <v>0</v>
      </c>
      <c r="R678" s="8">
        <f>IF($D678='[2]Beam '!R$44,$P678*'[2]Beam '!R$45,0)</f>
        <v>0</v>
      </c>
      <c r="S678" s="8">
        <f>IF($D678='[2]Beam '!S$44,$P678*'[2]Beam '!S$45,0)</f>
        <v>101.96208000000001</v>
      </c>
      <c r="T678" s="8">
        <f>IF($D678='[2]Beam '!T$44,$P678*'[2]Beam '!T$45,0)</f>
        <v>0</v>
      </c>
      <c r="U678" s="8">
        <f>IF($D678='[2]Beam '!U$44,$P678*'[2]Beam '!U$45,0)</f>
        <v>0</v>
      </c>
      <c r="V678" s="8">
        <f>IF($D678='[2]Beam '!V$44,$P678*'[2]Beam '!V$45,0)</f>
        <v>0</v>
      </c>
      <c r="W678" s="8">
        <f>IF($D678='[2]Beam '!W$44,$P678*'[2]Beam '!W$45,0)</f>
        <v>0</v>
      </c>
      <c r="X678" s="8">
        <f t="shared" si="128"/>
        <v>101.96208000000001</v>
      </c>
      <c r="Y678" s="8"/>
    </row>
    <row r="679" spans="1:32" s="10" customFormat="1" ht="20.100000000000001" customHeight="1" x14ac:dyDescent="0.25">
      <c r="A679" s="14"/>
      <c r="B679" s="8" t="s">
        <v>2</v>
      </c>
      <c r="C679" s="13" t="s">
        <v>14</v>
      </c>
      <c r="D679" s="14">
        <f>D678</f>
        <v>12</v>
      </c>
      <c r="E679" s="14">
        <v>0.125</v>
      </c>
      <c r="F679" s="14">
        <f>ROUND((E674-(IF(E674/3&gt;2*G674,E674/3*2,G674*2*2)))/E679,0)</f>
        <v>15</v>
      </c>
      <c r="H679" s="14"/>
      <c r="I679" s="14"/>
      <c r="J679" s="14"/>
      <c r="K679" s="14"/>
      <c r="L679" s="14"/>
      <c r="M679" s="14"/>
      <c r="N679" s="14"/>
      <c r="O679" s="8">
        <f>(2*((G674-(2*'[2]Beam '!$D$11))+(F674-(2*'[2]Beam '!$D$11)))+(2*10*D679/1000))*D674</f>
        <v>2.8</v>
      </c>
      <c r="P679" s="8">
        <f t="shared" si="127"/>
        <v>42</v>
      </c>
      <c r="Q679" s="8">
        <f>IF($D679='[2]Beam '!Q$44,$P679*'[2]Beam '!Q$45,0)</f>
        <v>0</v>
      </c>
      <c r="R679" s="8">
        <f>IF($D679='[2]Beam '!R$44,$P679*'[2]Beam '!R$45,0)</f>
        <v>0</v>
      </c>
      <c r="S679" s="8">
        <f>IF($D679='[2]Beam '!S$44,$P679*'[2]Beam '!S$45,0)</f>
        <v>37.303200000000004</v>
      </c>
      <c r="T679" s="8">
        <f>IF($D679='[2]Beam '!T$44,$P679*'[2]Beam '!T$45,0)</f>
        <v>0</v>
      </c>
      <c r="U679" s="8">
        <f>IF($D679='[2]Beam '!U$44,$P679*'[2]Beam '!U$45,0)</f>
        <v>0</v>
      </c>
      <c r="V679" s="8">
        <f>IF($D679='[2]Beam '!V$44,$P679*'[2]Beam '!V$45,0)</f>
        <v>0</v>
      </c>
      <c r="W679" s="8">
        <f>IF($D679='[2]Beam '!W$44,$P679*'[2]Beam '!W$45,0)</f>
        <v>0</v>
      </c>
      <c r="X679" s="8">
        <f t="shared" si="128"/>
        <v>37.303200000000004</v>
      </c>
      <c r="Y679" s="14"/>
      <c r="Z679" s="8"/>
      <c r="AA679" s="8"/>
      <c r="AB679" s="8"/>
      <c r="AC679" s="8"/>
      <c r="AD679" s="8"/>
      <c r="AE679" s="8"/>
    </row>
    <row r="680" spans="1:32" s="10" customFormat="1" ht="21" customHeight="1" x14ac:dyDescent="0.25">
      <c r="A680" s="14"/>
      <c r="B680" s="8" t="s">
        <v>2</v>
      </c>
      <c r="C680" s="13" t="s">
        <v>15</v>
      </c>
      <c r="D680" s="14">
        <f>D678</f>
        <v>12</v>
      </c>
      <c r="E680" s="14">
        <f>+E678</f>
        <v>0.1</v>
      </c>
      <c r="F680" s="8">
        <f>ROUND(IF(E674/3&gt;(2*G674),(E674/3)/E680,(2*G674)/E680),0)*2+1</f>
        <v>41</v>
      </c>
      <c r="H680" s="14"/>
      <c r="I680" s="14"/>
      <c r="J680" s="14"/>
      <c r="K680" s="14"/>
      <c r="L680" s="14"/>
      <c r="M680" s="14"/>
      <c r="N680" s="14"/>
      <c r="O680" s="8">
        <f>(2*(((F674-'[2]Beam '!$D$11*2)/(F675-1))+(G674-'[2]Beam '!$D$11*2))+(2*10*D680/1000))*D674</f>
        <v>2.3466666666666667</v>
      </c>
      <c r="P680" s="8">
        <f t="shared" si="127"/>
        <v>96.213333333333338</v>
      </c>
      <c r="Q680" s="8">
        <f>IF($D680='[2]Beam '!Q$44,$P680*'[2]Beam '!Q$45,0)</f>
        <v>0</v>
      </c>
      <c r="R680" s="8">
        <f>IF($D680='[2]Beam '!R$44,$P680*'[2]Beam '!R$45,0)</f>
        <v>0</v>
      </c>
      <c r="S680" s="8">
        <f>IF($D680='[2]Beam '!S$44,$P680*'[2]Beam '!S$45,0)</f>
        <v>85.453933714285739</v>
      </c>
      <c r="T680" s="8">
        <f>IF($D680='[2]Beam '!T$44,$P680*'[2]Beam '!T$45,0)</f>
        <v>0</v>
      </c>
      <c r="U680" s="8">
        <f>IF($D680='[2]Beam '!U$44,$P680*'[2]Beam '!U$45,0)</f>
        <v>0</v>
      </c>
      <c r="V680" s="8">
        <f>IF($D680='[2]Beam '!V$44,$P680*'[2]Beam '!V$45,0)</f>
        <v>0</v>
      </c>
      <c r="W680" s="8">
        <f>IF($D680='[2]Beam '!W$44,$P680*'[2]Beam '!W$45,0)</f>
        <v>0</v>
      </c>
      <c r="X680" s="8">
        <f t="shared" si="128"/>
        <v>85.453933714285739</v>
      </c>
      <c r="Y680" s="14"/>
      <c r="Z680" s="8"/>
      <c r="AA680" s="8"/>
      <c r="AB680" s="8"/>
      <c r="AC680" s="8"/>
      <c r="AD680" s="8"/>
      <c r="AE680" s="8"/>
      <c r="AF680" s="8"/>
    </row>
    <row r="681" spans="1:32" s="10" customFormat="1" ht="20.100000000000001" customHeight="1" x14ac:dyDescent="0.25">
      <c r="A681" s="14"/>
      <c r="B681" s="8" t="s">
        <v>2</v>
      </c>
      <c r="C681" s="13" t="s">
        <v>16</v>
      </c>
      <c r="D681" s="14">
        <f>D679</f>
        <v>12</v>
      </c>
      <c r="E681" s="14">
        <f>+E679</f>
        <v>0.125</v>
      </c>
      <c r="F681" s="14">
        <f>ROUND((E674-(IF(E674/3&gt;2*G674,E674/3*2,G674*2*2)))/E681,0)</f>
        <v>15</v>
      </c>
      <c r="H681" s="14"/>
      <c r="I681" s="14"/>
      <c r="J681" s="14"/>
      <c r="K681" s="14"/>
      <c r="L681" s="14"/>
      <c r="M681" s="14"/>
      <c r="N681" s="14"/>
      <c r="O681" s="8">
        <f>(2*(((F674-'[2]Beam '!$D$11*2)/(F675-1))+(G674-'[2]Beam '!$D$11*2))+(2*10*D681/1000))*D674</f>
        <v>2.3466666666666667</v>
      </c>
      <c r="P681" s="8">
        <f t="shared" si="127"/>
        <v>35.200000000000003</v>
      </c>
      <c r="Q681" s="8">
        <f>IF($D681='[2]Beam '!Q$44,$P681*'[2]Beam '!Q$45,0)</f>
        <v>0</v>
      </c>
      <c r="R681" s="8">
        <f>IF($D681='[2]Beam '!R$44,$P681*'[2]Beam '!R$45,0)</f>
        <v>0</v>
      </c>
      <c r="S681" s="8">
        <f>IF($D681='[2]Beam '!S$44,$P681*'[2]Beam '!S$45,0)</f>
        <v>31.263634285714293</v>
      </c>
      <c r="T681" s="8">
        <f>IF($D681='[2]Beam '!T$44,$P681*'[2]Beam '!T$45,0)</f>
        <v>0</v>
      </c>
      <c r="U681" s="8">
        <f>IF($D681='[2]Beam '!U$44,$P681*'[2]Beam '!U$45,0)</f>
        <v>0</v>
      </c>
      <c r="V681" s="8">
        <f>IF($D681='[2]Beam '!V$44,$P681*'[2]Beam '!V$45,0)</f>
        <v>0</v>
      </c>
      <c r="W681" s="8">
        <f>IF($D681='[2]Beam '!W$44,$P681*'[2]Beam '!W$45,0)</f>
        <v>0</v>
      </c>
      <c r="X681" s="8">
        <f t="shared" si="128"/>
        <v>31.263634285714293</v>
      </c>
      <c r="Y681" s="14"/>
      <c r="Z681" s="8"/>
      <c r="AA681" s="8"/>
      <c r="AB681" s="8"/>
      <c r="AC681" s="8"/>
      <c r="AD681" s="8"/>
      <c r="AE681" s="8"/>
    </row>
    <row r="682" spans="1:32" s="10" customFormat="1" ht="20.100000000000001" customHeight="1" x14ac:dyDescent="0.25">
      <c r="A682" s="7"/>
      <c r="B682" s="8" t="s">
        <v>2</v>
      </c>
      <c r="C682" s="13" t="s">
        <v>10</v>
      </c>
      <c r="D682" s="8">
        <f>+'[2]Beam '!$D$15</f>
        <v>25</v>
      </c>
      <c r="E682" s="8">
        <f>+'[2]Beam '!$E$15</f>
        <v>1</v>
      </c>
      <c r="F682" s="8">
        <f>ROUNDUP((1.6)/E682,0)</f>
        <v>2</v>
      </c>
      <c r="G682" s="9"/>
      <c r="H682" s="9"/>
      <c r="I682" s="8"/>
      <c r="J682" s="8"/>
      <c r="K682" s="8"/>
      <c r="L682" s="8"/>
      <c r="M682" s="8"/>
      <c r="N682" s="8"/>
      <c r="O682" s="8">
        <f>F674-'[2]Beam '!$F$15</f>
        <v>0.34</v>
      </c>
      <c r="P682" s="8">
        <f t="shared" si="127"/>
        <v>0.68</v>
      </c>
      <c r="Q682" s="8">
        <f>IF($D682='[2]Beam '!Q$44,$P682*'[2]Beam '!Q$45,0)</f>
        <v>0</v>
      </c>
      <c r="R682" s="8">
        <f>IF($D682='[2]Beam '!R$44,$P682*'[2]Beam '!R$45,0)</f>
        <v>0</v>
      </c>
      <c r="S682" s="8">
        <f>IF($D682='[2]Beam '!S$44,$P682*'[2]Beam '!S$45,0)</f>
        <v>0</v>
      </c>
      <c r="T682" s="8">
        <f>IF($D682='[2]Beam '!T$44,$P682*'[2]Beam '!T$45,0)</f>
        <v>0</v>
      </c>
      <c r="U682" s="8">
        <f>IF($D682='[2]Beam '!U$44,$P682*'[2]Beam '!U$45,0)</f>
        <v>0</v>
      </c>
      <c r="V682" s="8">
        <f>IF($D682='[2]Beam '!V$44,$P682*'[2]Beam '!V$45,0)</f>
        <v>2.6213392857142863</v>
      </c>
      <c r="W682" s="8">
        <f>IF($D682='[2]Beam '!W$44,$P682*'[2]Beam '!W$45,0)</f>
        <v>0</v>
      </c>
      <c r="X682" s="8">
        <f t="shared" si="128"/>
        <v>2.6213392857142863</v>
      </c>
      <c r="Y682" s="8"/>
      <c r="Z682" s="8"/>
      <c r="AA682" s="8"/>
      <c r="AB682" s="8"/>
      <c r="AC682" s="8"/>
      <c r="AD682" s="8"/>
      <c r="AE682" s="8"/>
    </row>
    <row r="683" spans="1:32" s="10" customFormat="1" ht="20.100000000000001" customHeight="1" x14ac:dyDescent="0.25">
      <c r="A683" s="8">
        <v>1</v>
      </c>
      <c r="B683" s="8" t="s">
        <v>2</v>
      </c>
      <c r="C683" s="11" t="s">
        <v>93</v>
      </c>
      <c r="D683" s="11">
        <v>1</v>
      </c>
      <c r="E683" s="11">
        <v>1.6850000000000001</v>
      </c>
      <c r="F683" s="11">
        <v>0.4</v>
      </c>
      <c r="G683" s="11">
        <v>1.2</v>
      </c>
      <c r="H683" s="8">
        <f>G683-0.275</f>
        <v>0.92499999999999993</v>
      </c>
      <c r="I683" s="8">
        <f>E683*F683*G683*D683</f>
        <v>0.80880000000000007</v>
      </c>
      <c r="J683" s="8">
        <f>(2*(E683)*H683*D683)+(E683*F683)</f>
        <v>3.7912499999999998</v>
      </c>
      <c r="K683" s="12">
        <f>IF(E683=0.3,J683,0)</f>
        <v>0</v>
      </c>
      <c r="L683" s="12">
        <f>IF(AND(E683&gt;0.3,E683&lt;=0.75),J683,0)</f>
        <v>0</v>
      </c>
      <c r="M683" s="12">
        <f>IF(AND(E683&gt;0.75,E683&lt;=1.2),J683,0)</f>
        <v>0</v>
      </c>
      <c r="N683" s="12">
        <f>IF(E683&gt;1.2,J683,0)</f>
        <v>3.7912499999999998</v>
      </c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>
        <f>SUM(X684:X690)/I683</f>
        <v>380.27166721421503</v>
      </c>
      <c r="Z683" s="8"/>
      <c r="AA683" s="8"/>
      <c r="AB683" s="8"/>
      <c r="AC683" s="8"/>
      <c r="AD683" s="8"/>
      <c r="AE683" s="8"/>
    </row>
    <row r="684" spans="1:32" s="10" customFormat="1" ht="20.100000000000001" customHeight="1" x14ac:dyDescent="0.25">
      <c r="A684" s="7"/>
      <c r="B684" s="8" t="s">
        <v>2</v>
      </c>
      <c r="C684" s="13" t="s">
        <v>4</v>
      </c>
      <c r="D684" s="8">
        <v>25</v>
      </c>
      <c r="E684" s="8"/>
      <c r="F684" s="8">
        <v>4</v>
      </c>
      <c r="G684" s="9">
        <f>VLOOKUP(D684,'[2]Beam '!$C$20:$H$26,3,0)</f>
        <v>1</v>
      </c>
      <c r="H684" s="9"/>
      <c r="I684" s="8"/>
      <c r="J684" s="8"/>
      <c r="K684" s="8"/>
      <c r="L684" s="8"/>
      <c r="M684" s="8"/>
      <c r="N684" s="8"/>
      <c r="O684" s="8">
        <f>(E683+1*(G684+(12*D684/1000))+1*(0.4/2)*D683)</f>
        <v>3.1850000000000005</v>
      </c>
      <c r="P684" s="8">
        <f t="shared" ref="P684:P690" si="129">O684*F684</f>
        <v>12.740000000000002</v>
      </c>
      <c r="Q684" s="8">
        <f>IF($D684='[2]Beam '!Q$44,$P684*'[2]Beam '!Q$45,0)</f>
        <v>0</v>
      </c>
      <c r="R684" s="8">
        <f>IF($D684='[2]Beam '!R$44,$P684*'[2]Beam '!R$45,0)</f>
        <v>0</v>
      </c>
      <c r="S684" s="8">
        <f>IF($D684='[2]Beam '!S$44,$P684*'[2]Beam '!S$45,0)</f>
        <v>0</v>
      </c>
      <c r="T684" s="8">
        <f>IF($D684='[2]Beam '!T$44,$P684*'[2]Beam '!T$45,0)</f>
        <v>0</v>
      </c>
      <c r="U684" s="8">
        <f>IF($D684='[2]Beam '!U$44,$P684*'[2]Beam '!U$45,0)</f>
        <v>0</v>
      </c>
      <c r="V684" s="8">
        <f>IF($D684='[2]Beam '!V$44,$P684*'[2]Beam '!V$45,0)</f>
        <v>49.111562500000012</v>
      </c>
      <c r="W684" s="8">
        <f>IF($D684='[2]Beam '!W$44,$P684*'[2]Beam '!W$45,0)</f>
        <v>0</v>
      </c>
      <c r="X684" s="8">
        <f t="shared" ref="X684:X690" si="130">SUM(Q684:W684)</f>
        <v>49.111562500000012</v>
      </c>
      <c r="Y684" s="8"/>
      <c r="Z684" s="8"/>
      <c r="AA684" s="8"/>
      <c r="AB684" s="8"/>
      <c r="AC684" s="8"/>
      <c r="AD684" s="8"/>
      <c r="AE684" s="8"/>
    </row>
    <row r="685" spans="1:32" s="10" customFormat="1" ht="20.100000000000001" customHeight="1" x14ac:dyDescent="0.25">
      <c r="A685" s="7"/>
      <c r="B685" s="8" t="s">
        <v>2</v>
      </c>
      <c r="C685" s="13" t="s">
        <v>87</v>
      </c>
      <c r="D685" s="8">
        <v>16</v>
      </c>
      <c r="E685" s="8"/>
      <c r="F685" s="8">
        <v>2</v>
      </c>
      <c r="G685" s="9">
        <f>VLOOKUP(D685,'[2]Beam '!$C$20:$H$26,3,0)</f>
        <v>0.625</v>
      </c>
      <c r="H685" s="9"/>
      <c r="I685" s="8"/>
      <c r="J685" s="8"/>
      <c r="K685" s="8"/>
      <c r="L685" s="8"/>
      <c r="M685" s="8"/>
      <c r="N685" s="8"/>
      <c r="O685" s="8">
        <f>(0.6+1*(G685+(12*D685/1000))*D683)</f>
        <v>1.4169999999999998</v>
      </c>
      <c r="P685" s="8">
        <f t="shared" si="129"/>
        <v>2.8339999999999996</v>
      </c>
      <c r="Q685" s="8">
        <f>IF($D685='[2]Beam '!Q$44,$P685*'[2]Beam '!Q$45,0)</f>
        <v>0</v>
      </c>
      <c r="R685" s="8">
        <f>IF($D685='[2]Beam '!R$44,$P685*'[2]Beam '!R$45,0)</f>
        <v>0</v>
      </c>
      <c r="S685" s="8">
        <f>IF($D685='[2]Beam '!S$44,$P685*'[2]Beam '!S$45,0)</f>
        <v>0</v>
      </c>
      <c r="T685" s="8">
        <f>IF($D685='[2]Beam '!T$44,$P685*'[2]Beam '!T$45,0)</f>
        <v>4.4748050285714287</v>
      </c>
      <c r="U685" s="8">
        <f>IF($D685='[2]Beam '!U$44,$P685*'[2]Beam '!U$45,0)</f>
        <v>0</v>
      </c>
      <c r="V685" s="8">
        <f>IF($D685='[2]Beam '!V$44,$P685*'[2]Beam '!V$45,0)</f>
        <v>0</v>
      </c>
      <c r="W685" s="8">
        <f>IF($D685='[2]Beam '!W$44,$P685*'[2]Beam '!W$45,0)</f>
        <v>0</v>
      </c>
      <c r="X685" s="8">
        <f t="shared" si="130"/>
        <v>4.4748050285714287</v>
      </c>
      <c r="Y685" s="8"/>
      <c r="Z685" s="8"/>
      <c r="AA685" s="8"/>
      <c r="AB685" s="8"/>
      <c r="AC685" s="8"/>
      <c r="AD685" s="8"/>
      <c r="AE685" s="8"/>
    </row>
    <row r="686" spans="1:32" s="14" customFormat="1" ht="20.100000000000001" customHeight="1" x14ac:dyDescent="0.3">
      <c r="A686" s="7"/>
      <c r="B686" s="8" t="s">
        <v>2</v>
      </c>
      <c r="C686" s="13" t="s">
        <v>6</v>
      </c>
      <c r="D686" s="8">
        <v>32</v>
      </c>
      <c r="E686" s="8"/>
      <c r="F686" s="8">
        <v>4</v>
      </c>
      <c r="G686" s="9">
        <f>VLOOKUP(D686,'[2]Beam '!$C$20:$H$26,3,0)</f>
        <v>1.25</v>
      </c>
      <c r="H686" s="8"/>
      <c r="I686" s="8"/>
      <c r="J686" s="8"/>
      <c r="K686" s="8"/>
      <c r="L686" s="8"/>
      <c r="M686" s="8"/>
      <c r="N686" s="8"/>
      <c r="O686" s="8">
        <f>(E683+2*(G686+(12*D686/1000))*D683)</f>
        <v>4.9529999999999994</v>
      </c>
      <c r="P686" s="8">
        <f t="shared" si="129"/>
        <v>19.811999999999998</v>
      </c>
      <c r="Q686" s="8">
        <f>IF($D686='[2]Beam '!Q$44,$P686*'[2]Beam '!Q$45,0)</f>
        <v>0</v>
      </c>
      <c r="R686" s="8">
        <f>IF($D686='[2]Beam '!R$44,$P686*'[2]Beam '!R$45,0)</f>
        <v>0</v>
      </c>
      <c r="S686" s="8">
        <f>IF($D686='[2]Beam '!S$44,$P686*'[2]Beam '!S$45,0)</f>
        <v>0</v>
      </c>
      <c r="T686" s="8">
        <f>IF($D686='[2]Beam '!T$44,$P686*'[2]Beam '!T$45,0)</f>
        <v>0</v>
      </c>
      <c r="U686" s="8">
        <f>IF($D686='[2]Beam '!U$44,$P686*'[2]Beam '!U$45,0)</f>
        <v>0</v>
      </c>
      <c r="V686" s="8">
        <f>IF($D686='[2]Beam '!V$44,$P686*'[2]Beam '!V$45,0)</f>
        <v>0</v>
      </c>
      <c r="W686" s="8">
        <f>IF($D686='[2]Beam '!W$44,$P686*'[2]Beam '!W$45,0)</f>
        <v>125.13032777142857</v>
      </c>
      <c r="X686" s="8">
        <f t="shared" si="130"/>
        <v>125.13032777142857</v>
      </c>
      <c r="Y686" s="8"/>
    </row>
    <row r="687" spans="1:32" s="10" customFormat="1" ht="19.5" customHeight="1" x14ac:dyDescent="0.25">
      <c r="A687" s="7"/>
      <c r="B687" s="8" t="s">
        <v>2</v>
      </c>
      <c r="C687" s="13" t="s">
        <v>7</v>
      </c>
      <c r="D687" s="8">
        <v>25</v>
      </c>
      <c r="E687" s="8"/>
      <c r="F687" s="8">
        <v>4</v>
      </c>
      <c r="G687" s="9">
        <f>VLOOKUP(D687,'[2]Beam '!$C$20:$H$26,3,0)</f>
        <v>1</v>
      </c>
      <c r="H687" s="9"/>
      <c r="I687" s="8"/>
      <c r="J687" s="8"/>
      <c r="K687" s="8"/>
      <c r="L687" s="8"/>
      <c r="M687" s="8"/>
      <c r="N687" s="8"/>
      <c r="O687" s="8">
        <f>(1.05+1*(G687+(12*D687/1000))*D683)</f>
        <v>2.35</v>
      </c>
      <c r="P687" s="8">
        <f t="shared" si="129"/>
        <v>9.4</v>
      </c>
      <c r="Q687" s="8">
        <f>IF($D687='[2]Beam '!Q$44,$P687*'[2]Beam '!Q$45,0)</f>
        <v>0</v>
      </c>
      <c r="R687" s="8">
        <f>IF($D687='[2]Beam '!R$44,$P687*'[2]Beam '!R$45,0)</f>
        <v>0</v>
      </c>
      <c r="S687" s="8">
        <f>IF($D687='[2]Beam '!S$44,$P687*'[2]Beam '!S$45,0)</f>
        <v>0</v>
      </c>
      <c r="T687" s="8">
        <f>IF($D687='[2]Beam '!T$44,$P687*'[2]Beam '!T$45,0)</f>
        <v>0</v>
      </c>
      <c r="U687" s="8">
        <f>IF($D687='[2]Beam '!U$44,$P687*'[2]Beam '!U$45,0)</f>
        <v>0</v>
      </c>
      <c r="V687" s="8">
        <f>IF($D687='[2]Beam '!V$44,$P687*'[2]Beam '!V$45,0)</f>
        <v>36.236160714285724</v>
      </c>
      <c r="W687" s="8">
        <f>IF($D687='[2]Beam '!W$44,$P687*'[2]Beam '!W$45,0)</f>
        <v>0</v>
      </c>
      <c r="X687" s="8">
        <f t="shared" si="130"/>
        <v>36.236160714285724</v>
      </c>
      <c r="Y687" s="8"/>
      <c r="Z687" s="8"/>
      <c r="AA687" s="8"/>
      <c r="AB687" s="8"/>
      <c r="AC687" s="8"/>
      <c r="AD687" s="8"/>
      <c r="AE687" s="8"/>
    </row>
    <row r="688" spans="1:32" s="10" customFormat="1" ht="21" customHeight="1" x14ac:dyDescent="0.25">
      <c r="A688" s="7"/>
      <c r="B688" s="8" t="s">
        <v>2</v>
      </c>
      <c r="C688" s="13" t="s">
        <v>8</v>
      </c>
      <c r="D688" s="8">
        <v>12</v>
      </c>
      <c r="E688" s="8">
        <v>0.1</v>
      </c>
      <c r="F688" s="8">
        <f>ROUNDUP(E683/E688,0)</f>
        <v>17</v>
      </c>
      <c r="H688" s="8"/>
      <c r="I688" s="8"/>
      <c r="J688" s="8"/>
      <c r="K688" s="8"/>
      <c r="L688" s="8"/>
      <c r="M688" s="8"/>
      <c r="N688" s="8"/>
      <c r="O688" s="8">
        <f>(2*((G683-(2*'[2]Beam '!$D$11))+(F683-(2*'[2]Beam '!$D$11)))+(2*10*D688/1000))*D683</f>
        <v>3.2</v>
      </c>
      <c r="P688" s="8">
        <f t="shared" si="129"/>
        <v>54.400000000000006</v>
      </c>
      <c r="Q688" s="8">
        <f>IF($D688='[2]Beam '!Q$44,$P688*'[2]Beam '!Q$45,0)</f>
        <v>0</v>
      </c>
      <c r="R688" s="8">
        <f>IF($D688='[2]Beam '!R$44,$P688*'[2]Beam '!R$45,0)</f>
        <v>0</v>
      </c>
      <c r="S688" s="8">
        <f>IF($D688='[2]Beam '!S$44,$P688*'[2]Beam '!S$45,0)</f>
        <v>48.316525714285724</v>
      </c>
      <c r="T688" s="8">
        <f>IF($D688='[2]Beam '!T$44,$P688*'[2]Beam '!T$45,0)</f>
        <v>0</v>
      </c>
      <c r="U688" s="8">
        <f>IF($D688='[2]Beam '!U$44,$P688*'[2]Beam '!U$45,0)</f>
        <v>0</v>
      </c>
      <c r="V688" s="8">
        <f>IF($D688='[2]Beam '!V$44,$P688*'[2]Beam '!V$45,0)</f>
        <v>0</v>
      </c>
      <c r="W688" s="8">
        <f>IF($D688='[2]Beam '!W$44,$P688*'[2]Beam '!W$45,0)</f>
        <v>0</v>
      </c>
      <c r="X688" s="8">
        <f t="shared" si="130"/>
        <v>48.316525714285724</v>
      </c>
      <c r="Y688" s="8"/>
      <c r="Z688" s="8"/>
      <c r="AA688" s="8"/>
      <c r="AB688" s="8"/>
      <c r="AC688" s="8"/>
      <c r="AD688" s="8"/>
      <c r="AE688" s="8"/>
      <c r="AF688" s="8"/>
    </row>
    <row r="689" spans="1:32" s="10" customFormat="1" ht="20.100000000000001" customHeight="1" x14ac:dyDescent="0.25">
      <c r="A689" s="14"/>
      <c r="B689" s="8" t="s">
        <v>2</v>
      </c>
      <c r="C689" s="13" t="s">
        <v>9</v>
      </c>
      <c r="D689" s="8">
        <f>+D688</f>
        <v>12</v>
      </c>
      <c r="E689" s="14">
        <f>+E688</f>
        <v>0.1</v>
      </c>
      <c r="F689" s="8">
        <f>ROUNDUP(E683/E689,0)</f>
        <v>17</v>
      </c>
      <c r="H689" s="14"/>
      <c r="I689" s="14"/>
      <c r="J689" s="14"/>
      <c r="K689" s="14"/>
      <c r="L689" s="14"/>
      <c r="M689" s="14"/>
      <c r="N689" s="14"/>
      <c r="O689" s="8">
        <f>((((G683-(2*'[2]Beam '!$D$11))+(2*10*D689/1000))*D683))*2</f>
        <v>2.76</v>
      </c>
      <c r="P689" s="8">
        <f t="shared" si="129"/>
        <v>46.919999999999995</v>
      </c>
      <c r="Q689" s="8">
        <f>IF($D689='[2]Beam '!Q$44,$P689*'[2]Beam '!Q$45,0)</f>
        <v>0</v>
      </c>
      <c r="R689" s="8">
        <f>IF($D689='[2]Beam '!R$44,$P689*'[2]Beam '!R$45,0)</f>
        <v>0</v>
      </c>
      <c r="S689" s="8">
        <f>IF($D689='[2]Beam '!S$44,$P689*'[2]Beam '!S$45,0)</f>
        <v>41.673003428571434</v>
      </c>
      <c r="T689" s="8">
        <f>IF($D689='[2]Beam '!T$44,$P689*'[2]Beam '!T$45,0)</f>
        <v>0</v>
      </c>
      <c r="U689" s="8">
        <f>IF($D689='[2]Beam '!U$44,$P689*'[2]Beam '!U$45,0)</f>
        <v>0</v>
      </c>
      <c r="V689" s="8">
        <f>IF($D689='[2]Beam '!V$44,$P689*'[2]Beam '!V$45,0)</f>
        <v>0</v>
      </c>
      <c r="W689" s="8">
        <f>IF($D689='[2]Beam '!W$44,$P689*'[2]Beam '!W$45,0)</f>
        <v>0</v>
      </c>
      <c r="X689" s="8">
        <f t="shared" si="130"/>
        <v>41.673003428571434</v>
      </c>
      <c r="Y689" s="14"/>
      <c r="Z689" s="8"/>
      <c r="AA689" s="8"/>
      <c r="AB689" s="8"/>
      <c r="AC689" s="8"/>
      <c r="AD689" s="8"/>
      <c r="AE689" s="8"/>
    </row>
    <row r="690" spans="1:32" s="10" customFormat="1" ht="20.100000000000001" customHeight="1" x14ac:dyDescent="0.25">
      <c r="A690" s="7"/>
      <c r="B690" s="8" t="s">
        <v>2</v>
      </c>
      <c r="C690" s="13" t="s">
        <v>10</v>
      </c>
      <c r="D690" s="8">
        <f>+'[2]Beam '!$D$15</f>
        <v>25</v>
      </c>
      <c r="E690" s="8">
        <f>+'[2]Beam '!$E$15</f>
        <v>1</v>
      </c>
      <c r="F690" s="8">
        <f>ROUNDUP((E683)/E690,0)</f>
        <v>2</v>
      </c>
      <c r="G690" s="9"/>
      <c r="H690" s="9"/>
      <c r="I690" s="8"/>
      <c r="J690" s="8"/>
      <c r="K690" s="8"/>
      <c r="L690" s="8"/>
      <c r="M690" s="8"/>
      <c r="N690" s="8"/>
      <c r="O690" s="8">
        <f>F683-'[2]Beam '!$F$15</f>
        <v>0.34</v>
      </c>
      <c r="P690" s="8">
        <f t="shared" si="129"/>
        <v>0.68</v>
      </c>
      <c r="Q690" s="8">
        <f>IF($D690='[2]Beam '!Q$44,$P690*'[2]Beam '!Q$45,0)</f>
        <v>0</v>
      </c>
      <c r="R690" s="8">
        <f>IF($D690='[2]Beam '!R$44,$P690*'[2]Beam '!R$45,0)</f>
        <v>0</v>
      </c>
      <c r="S690" s="8">
        <f>IF($D690='[2]Beam '!S$44,$P690*'[2]Beam '!S$45,0)</f>
        <v>0</v>
      </c>
      <c r="T690" s="8">
        <f>IF($D690='[2]Beam '!T$44,$P690*'[2]Beam '!T$45,0)</f>
        <v>0</v>
      </c>
      <c r="U690" s="8">
        <f>IF($D690='[2]Beam '!U$44,$P690*'[2]Beam '!U$45,0)</f>
        <v>0</v>
      </c>
      <c r="V690" s="8">
        <f>IF($D690='[2]Beam '!V$44,$P690*'[2]Beam '!V$45,0)</f>
        <v>2.6213392857142863</v>
      </c>
      <c r="W690" s="8">
        <f>IF($D690='[2]Beam '!W$44,$P690*'[2]Beam '!W$45,0)</f>
        <v>0</v>
      </c>
      <c r="X690" s="8">
        <f t="shared" si="130"/>
        <v>2.6213392857142863</v>
      </c>
      <c r="Y690" s="8"/>
      <c r="Z690" s="8"/>
      <c r="AA690" s="8"/>
      <c r="AB690" s="8"/>
      <c r="AC690" s="8"/>
      <c r="AD690" s="8"/>
      <c r="AE690" s="8"/>
    </row>
    <row r="691" spans="1:32" s="10" customFormat="1" ht="20.100000000000001" customHeight="1" x14ac:dyDescent="0.25">
      <c r="A691" s="8">
        <v>1</v>
      </c>
      <c r="B691" s="8" t="s">
        <v>2</v>
      </c>
      <c r="C691" s="11" t="s">
        <v>94</v>
      </c>
      <c r="D691" s="11">
        <v>1</v>
      </c>
      <c r="E691" s="11">
        <v>4.62</v>
      </c>
      <c r="F691" s="11">
        <v>0.4</v>
      </c>
      <c r="G691" s="11">
        <v>1.1000000000000001</v>
      </c>
      <c r="H691" s="8">
        <f>G691-0.275</f>
        <v>0.82500000000000007</v>
      </c>
      <c r="I691" s="8">
        <f>E691*F691*G691*D691</f>
        <v>2.0328000000000004</v>
      </c>
      <c r="J691" s="8">
        <f>(2*(E691)*H691*D691)+(E691*F691)</f>
        <v>9.4710000000000019</v>
      </c>
      <c r="K691" s="12">
        <f>IF(E691=0.3,J691,0)</f>
        <v>0</v>
      </c>
      <c r="L691" s="12">
        <f>IF(AND(E691&gt;0.3,E691&lt;=0.75),J691,0)</f>
        <v>0</v>
      </c>
      <c r="M691" s="12">
        <f>IF(AND(E691&gt;0.75,E691&lt;=1.2),J691,0)</f>
        <v>0</v>
      </c>
      <c r="N691" s="12">
        <f>IF(E691&gt;1.2,J691,0)</f>
        <v>9.4710000000000019</v>
      </c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>
        <f>SUM(X692:X697)/I691</f>
        <v>223.20518630179345</v>
      </c>
      <c r="Z691" s="8"/>
      <c r="AA691" s="8"/>
      <c r="AB691" s="8"/>
      <c r="AC691" s="8"/>
      <c r="AD691" s="8"/>
      <c r="AE691" s="8"/>
    </row>
    <row r="692" spans="1:32" s="10" customFormat="1" ht="20.100000000000001" customHeight="1" x14ac:dyDescent="0.25">
      <c r="A692" s="7"/>
      <c r="B692" s="8" t="s">
        <v>2</v>
      </c>
      <c r="C692" s="13" t="s">
        <v>4</v>
      </c>
      <c r="D692" s="8">
        <v>25</v>
      </c>
      <c r="E692" s="8"/>
      <c r="F692" s="8">
        <v>4</v>
      </c>
      <c r="G692" s="9">
        <f>VLOOKUP(D692,'[2]Beam '!$C$20:$H$26,3,0)</f>
        <v>1</v>
      </c>
      <c r="H692" s="9"/>
      <c r="I692" s="8"/>
      <c r="J692" s="8"/>
      <c r="K692" s="8"/>
      <c r="L692" s="8"/>
      <c r="M692" s="8"/>
      <c r="N692" s="8"/>
      <c r="O692" s="8">
        <f>(E691+1*(G692+(12*D692/1000))+1*(G692)*D691)</f>
        <v>6.92</v>
      </c>
      <c r="P692" s="8">
        <f t="shared" ref="P692:P697" si="131">O692*F692</f>
        <v>27.68</v>
      </c>
      <c r="Q692" s="8">
        <f>IF($D692='[2]Beam '!Q$44,$P692*'[2]Beam '!Q$45,0)</f>
        <v>0</v>
      </c>
      <c r="R692" s="8">
        <f>IF($D692='[2]Beam '!R$44,$P692*'[2]Beam '!R$45,0)</f>
        <v>0</v>
      </c>
      <c r="S692" s="8">
        <f>IF($D692='[2]Beam '!S$44,$P692*'[2]Beam '!S$45,0)</f>
        <v>0</v>
      </c>
      <c r="T692" s="8">
        <f>IF($D692='[2]Beam '!T$44,$P692*'[2]Beam '!T$45,0)</f>
        <v>0</v>
      </c>
      <c r="U692" s="8">
        <f>IF($D692='[2]Beam '!U$44,$P692*'[2]Beam '!U$45,0)</f>
        <v>0</v>
      </c>
      <c r="V692" s="8">
        <f>IF($D692='[2]Beam '!V$44,$P692*'[2]Beam '!V$45,0)</f>
        <v>106.70392857142859</v>
      </c>
      <c r="W692" s="8">
        <f>IF($D692='[2]Beam '!W$44,$P692*'[2]Beam '!W$45,0)</f>
        <v>0</v>
      </c>
      <c r="X692" s="8">
        <f t="shared" ref="X692:X697" si="132">SUM(Q692:W692)</f>
        <v>106.70392857142859</v>
      </c>
      <c r="Y692" s="8"/>
      <c r="Z692" s="8"/>
      <c r="AA692" s="8"/>
      <c r="AB692" s="8"/>
      <c r="AC692" s="8"/>
      <c r="AD692" s="8"/>
      <c r="AE692" s="8"/>
    </row>
    <row r="693" spans="1:32" s="14" customFormat="1" ht="20.100000000000001" customHeight="1" x14ac:dyDescent="0.3">
      <c r="A693" s="7"/>
      <c r="B693" s="8" t="s">
        <v>2</v>
      </c>
      <c r="C693" s="13" t="s">
        <v>87</v>
      </c>
      <c r="D693" s="8">
        <v>16</v>
      </c>
      <c r="E693" s="8"/>
      <c r="F693" s="8">
        <v>2</v>
      </c>
      <c r="G693" s="9">
        <f>VLOOKUP(D693,'[2]Beam '!$C$20:$H$26,3,0)</f>
        <v>0.625</v>
      </c>
      <c r="H693" s="9"/>
      <c r="I693" s="8"/>
      <c r="J693" s="8"/>
      <c r="K693" s="8"/>
      <c r="L693" s="8"/>
      <c r="M693" s="8"/>
      <c r="N693" s="8"/>
      <c r="O693" s="8">
        <f>(1.15+1*(G693)*D691)</f>
        <v>1.7749999999999999</v>
      </c>
      <c r="P693" s="8">
        <f t="shared" si="131"/>
        <v>3.55</v>
      </c>
      <c r="Q693" s="8">
        <f>IF($D693='[2]Beam '!Q$44,$P693*'[2]Beam '!Q$45,0)</f>
        <v>0</v>
      </c>
      <c r="R693" s="8">
        <f>IF($D693='[2]Beam '!R$44,$P693*'[2]Beam '!R$45,0)</f>
        <v>0</v>
      </c>
      <c r="S693" s="8">
        <f>IF($D693='[2]Beam '!S$44,$P693*'[2]Beam '!S$45,0)</f>
        <v>0</v>
      </c>
      <c r="T693" s="8">
        <f>IF($D693='[2]Beam '!T$44,$P693*'[2]Beam '!T$45,0)</f>
        <v>5.6053485714285713</v>
      </c>
      <c r="U693" s="8">
        <f>IF($D693='[2]Beam '!U$44,$P693*'[2]Beam '!U$45,0)</f>
        <v>0</v>
      </c>
      <c r="V693" s="8">
        <f>IF($D693='[2]Beam '!V$44,$P693*'[2]Beam '!V$45,0)</f>
        <v>0</v>
      </c>
      <c r="W693" s="8">
        <f>IF($D693='[2]Beam '!W$44,$P693*'[2]Beam '!W$45,0)</f>
        <v>0</v>
      </c>
      <c r="X693" s="8">
        <f t="shared" si="132"/>
        <v>5.6053485714285713</v>
      </c>
      <c r="Y693" s="8"/>
    </row>
    <row r="694" spans="1:32" s="10" customFormat="1" ht="20.100000000000001" customHeight="1" x14ac:dyDescent="0.25">
      <c r="A694" s="7"/>
      <c r="B694" s="8" t="s">
        <v>2</v>
      </c>
      <c r="C694" s="13" t="s">
        <v>6</v>
      </c>
      <c r="D694" s="8">
        <v>25</v>
      </c>
      <c r="E694" s="8"/>
      <c r="F694" s="8">
        <v>4</v>
      </c>
      <c r="G694" s="9">
        <f>VLOOKUP(D694,'[2]Beam '!$C$20:$H$26,3,0)</f>
        <v>1</v>
      </c>
      <c r="H694" s="8"/>
      <c r="I694" s="8"/>
      <c r="J694" s="8"/>
      <c r="K694" s="8"/>
      <c r="L694" s="8"/>
      <c r="M694" s="8"/>
      <c r="N694" s="8"/>
      <c r="O694" s="8">
        <f>(E691+1*(G694+(12*D694/1000))+1*(G694)*D691)</f>
        <v>6.92</v>
      </c>
      <c r="P694" s="8">
        <f t="shared" si="131"/>
        <v>27.68</v>
      </c>
      <c r="Q694" s="8">
        <f>IF($D694='[2]Beam '!Q$44,$P694*'[2]Beam '!Q$45,0)</f>
        <v>0</v>
      </c>
      <c r="R694" s="8">
        <f>IF($D694='[2]Beam '!R$44,$P694*'[2]Beam '!R$45,0)</f>
        <v>0</v>
      </c>
      <c r="S694" s="8">
        <f>IF($D694='[2]Beam '!S$44,$P694*'[2]Beam '!S$45,0)</f>
        <v>0</v>
      </c>
      <c r="T694" s="8">
        <f>IF($D694='[2]Beam '!T$44,$P694*'[2]Beam '!T$45,0)</f>
        <v>0</v>
      </c>
      <c r="U694" s="8">
        <f>IF($D694='[2]Beam '!U$44,$P694*'[2]Beam '!U$45,0)</f>
        <v>0</v>
      </c>
      <c r="V694" s="8">
        <f>IF($D694='[2]Beam '!V$44,$P694*'[2]Beam '!V$45,0)</f>
        <v>106.70392857142859</v>
      </c>
      <c r="W694" s="8">
        <f>IF($D694='[2]Beam '!W$44,$P694*'[2]Beam '!W$45,0)</f>
        <v>0</v>
      </c>
      <c r="X694" s="8">
        <f t="shared" si="132"/>
        <v>106.70392857142859</v>
      </c>
      <c r="Y694" s="8"/>
      <c r="Z694" s="8"/>
      <c r="AA694" s="8"/>
      <c r="AB694" s="8"/>
      <c r="AC694" s="8"/>
      <c r="AD694" s="8"/>
      <c r="AE694" s="8"/>
    </row>
    <row r="695" spans="1:32" s="10" customFormat="1" ht="21" customHeight="1" x14ac:dyDescent="0.25">
      <c r="A695" s="7"/>
      <c r="B695" s="8" t="s">
        <v>2</v>
      </c>
      <c r="C695" s="13" t="s">
        <v>8</v>
      </c>
      <c r="D695" s="8">
        <v>12</v>
      </c>
      <c r="E695" s="8">
        <v>0.1</v>
      </c>
      <c r="F695" s="8">
        <f>ROUNDUP(E691/E695,0)</f>
        <v>47</v>
      </c>
      <c r="H695" s="8"/>
      <c r="I695" s="8"/>
      <c r="J695" s="8"/>
      <c r="K695" s="8"/>
      <c r="L695" s="8"/>
      <c r="M695" s="8"/>
      <c r="N695" s="8"/>
      <c r="O695" s="8">
        <f>(2*((G691-(2*'[2]Beam '!$D$11))+(F691-(2*'[2]Beam '!$D$11)))+(2*10*D695/1000))*D691</f>
        <v>3</v>
      </c>
      <c r="P695" s="8">
        <f t="shared" si="131"/>
        <v>141</v>
      </c>
      <c r="Q695" s="8">
        <f>IF($D695='[2]Beam '!Q$44,$P695*'[2]Beam '!Q$45,0)</f>
        <v>0</v>
      </c>
      <c r="R695" s="8">
        <f>IF($D695='[2]Beam '!R$44,$P695*'[2]Beam '!R$45,0)</f>
        <v>0</v>
      </c>
      <c r="S695" s="8">
        <f>IF($D695='[2]Beam '!S$44,$P695*'[2]Beam '!S$45,0)</f>
        <v>125.23217142857145</v>
      </c>
      <c r="T695" s="8">
        <f>IF($D695='[2]Beam '!T$44,$P695*'[2]Beam '!T$45,0)</f>
        <v>0</v>
      </c>
      <c r="U695" s="8">
        <f>IF($D695='[2]Beam '!U$44,$P695*'[2]Beam '!U$45,0)</f>
        <v>0</v>
      </c>
      <c r="V695" s="8">
        <f>IF($D695='[2]Beam '!V$44,$P695*'[2]Beam '!V$45,0)</f>
        <v>0</v>
      </c>
      <c r="W695" s="8">
        <f>IF($D695='[2]Beam '!W$44,$P695*'[2]Beam '!W$45,0)</f>
        <v>0</v>
      </c>
      <c r="X695" s="8">
        <f t="shared" si="132"/>
        <v>125.23217142857145</v>
      </c>
      <c r="Y695" s="8"/>
      <c r="Z695" s="8"/>
      <c r="AA695" s="8"/>
      <c r="AB695" s="8"/>
      <c r="AC695" s="8"/>
      <c r="AD695" s="8"/>
      <c r="AE695" s="8"/>
      <c r="AF695" s="8"/>
    </row>
    <row r="696" spans="1:32" s="10" customFormat="1" ht="20.100000000000001" customHeight="1" x14ac:dyDescent="0.25">
      <c r="A696" s="14"/>
      <c r="B696" s="8" t="s">
        <v>2</v>
      </c>
      <c r="C696" s="13" t="s">
        <v>9</v>
      </c>
      <c r="D696" s="8">
        <f>+D695</f>
        <v>12</v>
      </c>
      <c r="E696" s="14">
        <f>+E695</f>
        <v>0.1</v>
      </c>
      <c r="F696" s="8">
        <f>ROUNDUP(E691/E696,0)</f>
        <v>47</v>
      </c>
      <c r="H696" s="14"/>
      <c r="I696" s="14"/>
      <c r="J696" s="14"/>
      <c r="K696" s="14"/>
      <c r="L696" s="14"/>
      <c r="M696" s="14"/>
      <c r="N696" s="14"/>
      <c r="O696" s="8">
        <f>((((G691-(2*'[2]Beam '!$D$11))+(2*10*D696/1000))*D691))*2</f>
        <v>2.56</v>
      </c>
      <c r="P696" s="8">
        <f t="shared" si="131"/>
        <v>120.32000000000001</v>
      </c>
      <c r="Q696" s="8">
        <f>IF($D696='[2]Beam '!Q$44,$P696*'[2]Beam '!Q$45,0)</f>
        <v>0</v>
      </c>
      <c r="R696" s="8">
        <f>IF($D696='[2]Beam '!R$44,$P696*'[2]Beam '!R$45,0)</f>
        <v>0</v>
      </c>
      <c r="S696" s="8">
        <f>IF($D696='[2]Beam '!S$44,$P696*'[2]Beam '!S$45,0)</f>
        <v>106.86478628571432</v>
      </c>
      <c r="T696" s="8">
        <f>IF($D696='[2]Beam '!T$44,$P696*'[2]Beam '!T$45,0)</f>
        <v>0</v>
      </c>
      <c r="U696" s="8">
        <f>IF($D696='[2]Beam '!U$44,$P696*'[2]Beam '!U$45,0)</f>
        <v>0</v>
      </c>
      <c r="V696" s="8">
        <f>IF($D696='[2]Beam '!V$44,$P696*'[2]Beam '!V$45,0)</f>
        <v>0</v>
      </c>
      <c r="W696" s="8">
        <f>IF($D696='[2]Beam '!W$44,$P696*'[2]Beam '!W$45,0)</f>
        <v>0</v>
      </c>
      <c r="X696" s="8">
        <f t="shared" si="132"/>
        <v>106.86478628571432</v>
      </c>
      <c r="Y696" s="14"/>
      <c r="Z696" s="8"/>
      <c r="AA696" s="8"/>
      <c r="AB696" s="8"/>
      <c r="AC696" s="8"/>
      <c r="AD696" s="8"/>
      <c r="AE696" s="8"/>
    </row>
    <row r="697" spans="1:32" s="10" customFormat="1" ht="20.100000000000001" customHeight="1" x14ac:dyDescent="0.25">
      <c r="A697" s="7"/>
      <c r="B697" s="8" t="s">
        <v>2</v>
      </c>
      <c r="C697" s="13" t="s">
        <v>10</v>
      </c>
      <c r="D697" s="8">
        <f>+'[2]Beam '!$D$15</f>
        <v>25</v>
      </c>
      <c r="E697" s="8">
        <f>+'[2]Beam '!$E$15</f>
        <v>1</v>
      </c>
      <c r="F697" s="8">
        <f>ROUNDUP((1.15)/E697,0)</f>
        <v>2</v>
      </c>
      <c r="G697" s="9"/>
      <c r="H697" s="9"/>
      <c r="I697" s="8"/>
      <c r="J697" s="8"/>
      <c r="K697" s="8"/>
      <c r="L697" s="8"/>
      <c r="M697" s="8"/>
      <c r="N697" s="8"/>
      <c r="O697" s="8">
        <f>F691-'[2]Beam '!$F$15</f>
        <v>0.34</v>
      </c>
      <c r="P697" s="8">
        <f t="shared" si="131"/>
        <v>0.68</v>
      </c>
      <c r="Q697" s="8">
        <f>IF($D697='[2]Beam '!Q$44,$P697*'[2]Beam '!Q$45,0)</f>
        <v>0</v>
      </c>
      <c r="R697" s="8">
        <f>IF($D697='[2]Beam '!R$44,$P697*'[2]Beam '!R$45,0)</f>
        <v>0</v>
      </c>
      <c r="S697" s="8">
        <f>IF($D697='[2]Beam '!S$44,$P697*'[2]Beam '!S$45,0)</f>
        <v>0</v>
      </c>
      <c r="T697" s="8">
        <f>IF($D697='[2]Beam '!T$44,$P697*'[2]Beam '!T$45,0)</f>
        <v>0</v>
      </c>
      <c r="U697" s="8">
        <f>IF($D697='[2]Beam '!U$44,$P697*'[2]Beam '!U$45,0)</f>
        <v>0</v>
      </c>
      <c r="V697" s="8">
        <f>IF($D697='[2]Beam '!V$44,$P697*'[2]Beam '!V$45,0)</f>
        <v>2.6213392857142863</v>
      </c>
      <c r="W697" s="8">
        <f>IF($D697='[2]Beam '!W$44,$P697*'[2]Beam '!W$45,0)</f>
        <v>0</v>
      </c>
      <c r="X697" s="8">
        <f t="shared" si="132"/>
        <v>2.6213392857142863</v>
      </c>
      <c r="Y697" s="8"/>
      <c r="Z697" s="8"/>
      <c r="AA697" s="8"/>
      <c r="AB697" s="8"/>
      <c r="AC697" s="8"/>
      <c r="AD697" s="8"/>
      <c r="AE697" s="8"/>
    </row>
    <row r="698" spans="1:32" s="10" customFormat="1" ht="20.100000000000001" customHeight="1" x14ac:dyDescent="0.25">
      <c r="A698" s="8">
        <v>1</v>
      </c>
      <c r="B698" s="8" t="s">
        <v>2</v>
      </c>
      <c r="C698" s="11" t="s">
        <v>95</v>
      </c>
      <c r="D698" s="11">
        <v>1</v>
      </c>
      <c r="E698" s="11">
        <v>2.9</v>
      </c>
      <c r="F698" s="11">
        <v>0.2</v>
      </c>
      <c r="G698" s="11">
        <v>0.8</v>
      </c>
      <c r="H698" s="8">
        <f>G698-0.2</f>
        <v>0.60000000000000009</v>
      </c>
      <c r="I698" s="8">
        <f>E698*F698*G698*D698</f>
        <v>0.46399999999999997</v>
      </c>
      <c r="J698" s="8">
        <f>(2*(E698)*H698*D698)+(E698*F698)</f>
        <v>4.0600000000000005</v>
      </c>
      <c r="K698" s="12">
        <f>IF(E698=0.3,J698,0)</f>
        <v>0</v>
      </c>
      <c r="L698" s="12">
        <f>IF(AND(E698&gt;0.3,E698&lt;=0.75),J698,0)</f>
        <v>0</v>
      </c>
      <c r="M698" s="12">
        <f>IF(AND(E698&gt;0.75,E698&lt;=1.2),J698,0)</f>
        <v>0</v>
      </c>
      <c r="N698" s="12">
        <f>IF(E698&gt;1.2,J698,0)</f>
        <v>4.0600000000000005</v>
      </c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>
        <f>SUM(X699:X701)/I698</f>
        <v>880.53519605911345</v>
      </c>
      <c r="Z698" s="8"/>
      <c r="AA698" s="8"/>
      <c r="AB698" s="8"/>
      <c r="AC698" s="8"/>
      <c r="AD698" s="8"/>
      <c r="AE698" s="8"/>
    </row>
    <row r="699" spans="1:32" s="10" customFormat="1" ht="21" customHeight="1" x14ac:dyDescent="0.25">
      <c r="A699" s="7"/>
      <c r="B699" s="8" t="s">
        <v>2</v>
      </c>
      <c r="C699" s="13" t="s">
        <v>4</v>
      </c>
      <c r="D699" s="8">
        <v>16</v>
      </c>
      <c r="E699" s="8"/>
      <c r="F699" s="8">
        <v>2</v>
      </c>
      <c r="G699" s="9">
        <f>VLOOKUP(D699,'[2]Beam '!$C$20:$H$26,3,0)</f>
        <v>0.625</v>
      </c>
      <c r="H699" s="9"/>
      <c r="I699" s="8"/>
      <c r="J699" s="8"/>
      <c r="K699" s="8"/>
      <c r="L699" s="8"/>
      <c r="M699" s="8"/>
      <c r="N699" s="8"/>
      <c r="O699" s="8">
        <f>(E698+2*(G699+(12*D699/1000))*D698)</f>
        <v>4.5339999999999998</v>
      </c>
      <c r="P699" s="8">
        <f>O699*F699</f>
        <v>9.0679999999999996</v>
      </c>
      <c r="Q699" s="8">
        <f>IF($D699='[2]Beam '!Q$44,$P699*'[2]Beam '!Q$45,0)</f>
        <v>0</v>
      </c>
      <c r="R699" s="8">
        <f>IF($D699='[2]Beam '!R$44,$P699*'[2]Beam '!R$45,0)</f>
        <v>0</v>
      </c>
      <c r="S699" s="8">
        <f>IF($D699='[2]Beam '!S$44,$P699*'[2]Beam '!S$45,0)</f>
        <v>0</v>
      </c>
      <c r="T699" s="8">
        <f>IF($D699='[2]Beam '!T$44,$P699*'[2]Beam '!T$45,0)</f>
        <v>14.318112914285715</v>
      </c>
      <c r="U699" s="8">
        <f>IF($D699='[2]Beam '!U$44,$P699*'[2]Beam '!U$45,0)</f>
        <v>0</v>
      </c>
      <c r="V699" s="8">
        <f>IF($D699='[2]Beam '!V$44,$P699*'[2]Beam '!V$45,0)</f>
        <v>0</v>
      </c>
      <c r="W699" s="8">
        <f>IF($D699='[2]Beam '!W$44,$P699*'[2]Beam '!W$45,0)</f>
        <v>0</v>
      </c>
      <c r="X699" s="8">
        <f>SUM(Q699:W699)</f>
        <v>14.318112914285715</v>
      </c>
      <c r="Y699" s="8"/>
      <c r="Z699" s="8"/>
      <c r="AA699" s="8"/>
      <c r="AB699" s="8"/>
      <c r="AC699" s="8"/>
      <c r="AD699" s="8"/>
      <c r="AE699" s="8"/>
      <c r="AF699" s="8"/>
    </row>
    <row r="700" spans="1:32" s="10" customFormat="1" ht="20.100000000000001" customHeight="1" x14ac:dyDescent="0.25">
      <c r="A700" s="7"/>
      <c r="B700" s="8" t="s">
        <v>2</v>
      </c>
      <c r="C700" s="13" t="s">
        <v>6</v>
      </c>
      <c r="D700" s="8">
        <v>16</v>
      </c>
      <c r="E700" s="8"/>
      <c r="F700" s="8">
        <v>52</v>
      </c>
      <c r="G700" s="9">
        <f>VLOOKUP(D700,'[2]Beam '!$C$20:$H$26,3,0)</f>
        <v>0.625</v>
      </c>
      <c r="H700" s="8"/>
      <c r="I700" s="8"/>
      <c r="J700" s="8"/>
      <c r="K700" s="8"/>
      <c r="L700" s="8"/>
      <c r="M700" s="8"/>
      <c r="N700" s="8"/>
      <c r="O700" s="8">
        <f>(E698+2*(G700+(12*D700/1000))*D698)</f>
        <v>4.5339999999999998</v>
      </c>
      <c r="P700" s="8">
        <f>O700*F700</f>
        <v>235.768</v>
      </c>
      <c r="Q700" s="8">
        <f>IF($D700='[2]Beam '!Q$44,$P700*'[2]Beam '!Q$45,0)</f>
        <v>0</v>
      </c>
      <c r="R700" s="8">
        <f>IF($D700='[2]Beam '!R$44,$P700*'[2]Beam '!R$45,0)</f>
        <v>0</v>
      </c>
      <c r="S700" s="8">
        <f>IF($D700='[2]Beam '!S$44,$P700*'[2]Beam '!S$45,0)</f>
        <v>0</v>
      </c>
      <c r="T700" s="8">
        <f>IF($D700='[2]Beam '!T$44,$P700*'[2]Beam '!T$45,0)</f>
        <v>372.27093577142858</v>
      </c>
      <c r="U700" s="8">
        <f>IF($D700='[2]Beam '!U$44,$P700*'[2]Beam '!U$45,0)</f>
        <v>0</v>
      </c>
      <c r="V700" s="8">
        <f>IF($D700='[2]Beam '!V$44,$P700*'[2]Beam '!V$45,0)</f>
        <v>0</v>
      </c>
      <c r="W700" s="8">
        <f>IF($D700='[2]Beam '!W$44,$P700*'[2]Beam '!W$45,0)</f>
        <v>0</v>
      </c>
      <c r="X700" s="8">
        <f>SUM(Q700:W700)</f>
        <v>372.27093577142858</v>
      </c>
      <c r="Y700" s="8"/>
      <c r="Z700" s="8"/>
      <c r="AA700" s="8"/>
      <c r="AB700" s="8"/>
      <c r="AC700" s="8"/>
      <c r="AD700" s="8"/>
      <c r="AE700" s="8"/>
    </row>
    <row r="701" spans="1:32" s="10" customFormat="1" ht="20.100000000000001" customHeight="1" x14ac:dyDescent="0.25">
      <c r="A701" s="7"/>
      <c r="B701" s="8" t="s">
        <v>2</v>
      </c>
      <c r="C701" s="13" t="s">
        <v>8</v>
      </c>
      <c r="D701" s="8">
        <v>8</v>
      </c>
      <c r="E701" s="8">
        <v>0.1</v>
      </c>
      <c r="F701" s="8">
        <f>ROUNDUP(E698/E701,0)</f>
        <v>29</v>
      </c>
      <c r="H701" s="8"/>
      <c r="I701" s="8"/>
      <c r="J701" s="8"/>
      <c r="K701" s="8"/>
      <c r="L701" s="8"/>
      <c r="M701" s="8"/>
      <c r="N701" s="8"/>
      <c r="O701" s="8">
        <f>(2*((G698-(2*'[2]Beam '!$D$11))+(F698-(2*'[2]Beam '!$D$11)))+(2*10*D701/1000))*D698</f>
        <v>1.92</v>
      </c>
      <c r="P701" s="8">
        <f>O701*F701</f>
        <v>55.68</v>
      </c>
      <c r="Q701" s="8">
        <f>IF($D701='[2]Beam '!Q$44,$P701*'[2]Beam '!Q$45,0)</f>
        <v>21.979282285714287</v>
      </c>
      <c r="R701" s="8">
        <f>IF($D701='[2]Beam '!R$44,$P701*'[2]Beam '!R$45,0)</f>
        <v>0</v>
      </c>
      <c r="S701" s="8">
        <f>IF($D701='[2]Beam '!S$44,$P701*'[2]Beam '!S$45,0)</f>
        <v>0</v>
      </c>
      <c r="T701" s="8">
        <f>IF($D701='[2]Beam '!T$44,$P701*'[2]Beam '!T$45,0)</f>
        <v>0</v>
      </c>
      <c r="U701" s="8">
        <f>IF($D701='[2]Beam '!U$44,$P701*'[2]Beam '!U$45,0)</f>
        <v>0</v>
      </c>
      <c r="V701" s="8">
        <f>IF($D701='[2]Beam '!V$44,$P701*'[2]Beam '!V$45,0)</f>
        <v>0</v>
      </c>
      <c r="W701" s="8">
        <f>IF($D701='[2]Beam '!W$44,$P701*'[2]Beam '!W$45,0)</f>
        <v>0</v>
      </c>
      <c r="X701" s="8">
        <f>SUM(Q701:W701)</f>
        <v>21.979282285714287</v>
      </c>
      <c r="Y701" s="8"/>
      <c r="Z701" s="8"/>
      <c r="AA701" s="8"/>
      <c r="AB701" s="8"/>
      <c r="AC701" s="8"/>
      <c r="AD701" s="8"/>
      <c r="AE701" s="8"/>
    </row>
    <row r="702" spans="1:32" s="10" customFormat="1" ht="20.100000000000001" customHeight="1" x14ac:dyDescent="0.25">
      <c r="A702" s="8">
        <v>1</v>
      </c>
      <c r="B702" s="8" t="s">
        <v>2</v>
      </c>
      <c r="C702" s="11" t="s">
        <v>96</v>
      </c>
      <c r="D702" s="11">
        <v>1</v>
      </c>
      <c r="E702" s="11">
        <v>4.62</v>
      </c>
      <c r="F702" s="11">
        <v>0.4</v>
      </c>
      <c r="G702" s="11">
        <v>1.1000000000000001</v>
      </c>
      <c r="H702" s="8">
        <f>G702-0.275</f>
        <v>0.82500000000000007</v>
      </c>
      <c r="I702" s="8">
        <f>E702*F702*G702*D702</f>
        <v>2.0328000000000004</v>
      </c>
      <c r="J702" s="8">
        <f>(2*(E702)*H702*D702)+(E702*F702)</f>
        <v>9.4710000000000019</v>
      </c>
      <c r="K702" s="12">
        <f>IF(E702=0.3,J702,0)</f>
        <v>0</v>
      </c>
      <c r="L702" s="12">
        <f>IF(AND(E702&gt;0.3,E702&lt;=0.75),J702,0)</f>
        <v>0</v>
      </c>
      <c r="M702" s="12">
        <f>IF(AND(E702&gt;0.75,E702&lt;=1.2),J702,0)</f>
        <v>0</v>
      </c>
      <c r="N702" s="12">
        <f>IF(E702&gt;1.2,J702,0)</f>
        <v>9.4710000000000019</v>
      </c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>
        <f>SUM(X703:X708)/I702</f>
        <v>223.12751159554733</v>
      </c>
      <c r="Z702" s="8"/>
      <c r="AA702" s="8"/>
      <c r="AB702" s="8"/>
      <c r="AC702" s="8"/>
      <c r="AD702" s="8"/>
      <c r="AE702" s="8"/>
    </row>
    <row r="703" spans="1:32" s="10" customFormat="1" ht="20.100000000000001" customHeight="1" x14ac:dyDescent="0.25">
      <c r="A703" s="7"/>
      <c r="B703" s="8" t="s">
        <v>2</v>
      </c>
      <c r="C703" s="13" t="s">
        <v>4</v>
      </c>
      <c r="D703" s="8">
        <v>25</v>
      </c>
      <c r="E703" s="8"/>
      <c r="F703" s="8">
        <v>4</v>
      </c>
      <c r="G703" s="9">
        <f>VLOOKUP(D703,'[2]Beam '!$C$20:$H$26,3,0)</f>
        <v>1</v>
      </c>
      <c r="H703" s="9"/>
      <c r="I703" s="8"/>
      <c r="J703" s="8"/>
      <c r="K703" s="8"/>
      <c r="L703" s="8"/>
      <c r="M703" s="8"/>
      <c r="N703" s="8"/>
      <c r="O703" s="8">
        <f>(E702+1*(G703+(12*D703/1000))+1*(G703)*D702)</f>
        <v>6.92</v>
      </c>
      <c r="P703" s="8">
        <f t="shared" ref="P703:P708" si="133">O703*F703</f>
        <v>27.68</v>
      </c>
      <c r="Q703" s="8">
        <f>IF($D703='[2]Beam '!Q$44,$P703*'[2]Beam '!Q$45,0)</f>
        <v>0</v>
      </c>
      <c r="R703" s="8">
        <f>IF($D703='[2]Beam '!R$44,$P703*'[2]Beam '!R$45,0)</f>
        <v>0</v>
      </c>
      <c r="S703" s="8">
        <f>IF($D703='[2]Beam '!S$44,$P703*'[2]Beam '!S$45,0)</f>
        <v>0</v>
      </c>
      <c r="T703" s="8">
        <f>IF($D703='[2]Beam '!T$44,$P703*'[2]Beam '!T$45,0)</f>
        <v>0</v>
      </c>
      <c r="U703" s="8">
        <f>IF($D703='[2]Beam '!U$44,$P703*'[2]Beam '!U$45,0)</f>
        <v>0</v>
      </c>
      <c r="V703" s="8">
        <f>IF($D703='[2]Beam '!V$44,$P703*'[2]Beam '!V$45,0)</f>
        <v>106.70392857142859</v>
      </c>
      <c r="W703" s="8">
        <f>IF($D703='[2]Beam '!W$44,$P703*'[2]Beam '!W$45,0)</f>
        <v>0</v>
      </c>
      <c r="X703" s="8">
        <f t="shared" ref="X703:X708" si="134">SUM(Q703:W703)</f>
        <v>106.70392857142859</v>
      </c>
      <c r="Y703" s="8"/>
      <c r="Z703" s="8"/>
      <c r="AA703" s="8"/>
      <c r="AB703" s="8"/>
      <c r="AC703" s="8"/>
      <c r="AD703" s="8"/>
      <c r="AE703" s="8"/>
    </row>
    <row r="704" spans="1:32" s="14" customFormat="1" ht="20.100000000000001" customHeight="1" x14ac:dyDescent="0.3">
      <c r="A704" s="7"/>
      <c r="B704" s="8" t="s">
        <v>2</v>
      </c>
      <c r="C704" s="13" t="s">
        <v>87</v>
      </c>
      <c r="D704" s="8">
        <v>16</v>
      </c>
      <c r="E704" s="8"/>
      <c r="F704" s="8">
        <v>2</v>
      </c>
      <c r="G704" s="9">
        <f>VLOOKUP(D704,'[2]Beam '!$C$20:$H$26,3,0)</f>
        <v>0.625</v>
      </c>
      <c r="H704" s="9"/>
      <c r="I704" s="8"/>
      <c r="J704" s="8"/>
      <c r="K704" s="8"/>
      <c r="L704" s="8"/>
      <c r="M704" s="8"/>
      <c r="N704" s="8"/>
      <c r="O704" s="8">
        <f>(1.1+1*(G704)*D702)</f>
        <v>1.7250000000000001</v>
      </c>
      <c r="P704" s="8">
        <f t="shared" si="133"/>
        <v>3.45</v>
      </c>
      <c r="Q704" s="8">
        <f>IF($D704='[2]Beam '!Q$44,$P704*'[2]Beam '!Q$45,0)</f>
        <v>0</v>
      </c>
      <c r="R704" s="8">
        <f>IF($D704='[2]Beam '!R$44,$P704*'[2]Beam '!R$45,0)</f>
        <v>0</v>
      </c>
      <c r="S704" s="8">
        <f>IF($D704='[2]Beam '!S$44,$P704*'[2]Beam '!S$45,0)</f>
        <v>0</v>
      </c>
      <c r="T704" s="8">
        <f>IF($D704='[2]Beam '!T$44,$P704*'[2]Beam '!T$45,0)</f>
        <v>5.4474514285714291</v>
      </c>
      <c r="U704" s="8">
        <f>IF($D704='[2]Beam '!U$44,$P704*'[2]Beam '!U$45,0)</f>
        <v>0</v>
      </c>
      <c r="V704" s="8">
        <f>IF($D704='[2]Beam '!V$44,$P704*'[2]Beam '!V$45,0)</f>
        <v>0</v>
      </c>
      <c r="W704" s="8">
        <f>IF($D704='[2]Beam '!W$44,$P704*'[2]Beam '!W$45,0)</f>
        <v>0</v>
      </c>
      <c r="X704" s="8">
        <f t="shared" si="134"/>
        <v>5.4474514285714291</v>
      </c>
      <c r="Y704" s="8"/>
    </row>
    <row r="705" spans="1:32" s="10" customFormat="1" ht="20.100000000000001" customHeight="1" x14ac:dyDescent="0.25">
      <c r="A705" s="7"/>
      <c r="B705" s="8" t="s">
        <v>2</v>
      </c>
      <c r="C705" s="13" t="s">
        <v>6</v>
      </c>
      <c r="D705" s="8">
        <v>25</v>
      </c>
      <c r="E705" s="8"/>
      <c r="F705" s="8">
        <v>4</v>
      </c>
      <c r="G705" s="9">
        <f>VLOOKUP(D705,'[2]Beam '!$C$20:$H$26,3,0)</f>
        <v>1</v>
      </c>
      <c r="H705" s="8"/>
      <c r="I705" s="8"/>
      <c r="J705" s="8"/>
      <c r="K705" s="8"/>
      <c r="L705" s="8"/>
      <c r="M705" s="8"/>
      <c r="N705" s="8"/>
      <c r="O705" s="8">
        <f>(E702+1*(G705+(12*D705/1000))+1*(G705)*D702)</f>
        <v>6.92</v>
      </c>
      <c r="P705" s="8">
        <f t="shared" si="133"/>
        <v>27.68</v>
      </c>
      <c r="Q705" s="8">
        <f>IF($D705='[2]Beam '!Q$44,$P705*'[2]Beam '!Q$45,0)</f>
        <v>0</v>
      </c>
      <c r="R705" s="8">
        <f>IF($D705='[2]Beam '!R$44,$P705*'[2]Beam '!R$45,0)</f>
        <v>0</v>
      </c>
      <c r="S705" s="8">
        <f>IF($D705='[2]Beam '!S$44,$P705*'[2]Beam '!S$45,0)</f>
        <v>0</v>
      </c>
      <c r="T705" s="8">
        <f>IF($D705='[2]Beam '!T$44,$P705*'[2]Beam '!T$45,0)</f>
        <v>0</v>
      </c>
      <c r="U705" s="8">
        <f>IF($D705='[2]Beam '!U$44,$P705*'[2]Beam '!U$45,0)</f>
        <v>0</v>
      </c>
      <c r="V705" s="8">
        <f>IF($D705='[2]Beam '!V$44,$P705*'[2]Beam '!V$45,0)</f>
        <v>106.70392857142859</v>
      </c>
      <c r="W705" s="8">
        <f>IF($D705='[2]Beam '!W$44,$P705*'[2]Beam '!W$45,0)</f>
        <v>0</v>
      </c>
      <c r="X705" s="8">
        <f t="shared" si="134"/>
        <v>106.70392857142859</v>
      </c>
      <c r="Y705" s="8"/>
      <c r="Z705" s="8"/>
      <c r="AA705" s="8"/>
      <c r="AB705" s="8"/>
      <c r="AC705" s="8"/>
      <c r="AD705" s="8"/>
      <c r="AE705" s="8"/>
    </row>
    <row r="706" spans="1:32" s="10" customFormat="1" ht="21" customHeight="1" x14ac:dyDescent="0.25">
      <c r="A706" s="7"/>
      <c r="B706" s="8" t="s">
        <v>2</v>
      </c>
      <c r="C706" s="13" t="s">
        <v>8</v>
      </c>
      <c r="D706" s="8">
        <v>12</v>
      </c>
      <c r="E706" s="8">
        <v>0.1</v>
      </c>
      <c r="F706" s="8">
        <f>ROUNDUP(E702/E706,0)</f>
        <v>47</v>
      </c>
      <c r="H706" s="8"/>
      <c r="I706" s="8"/>
      <c r="J706" s="8"/>
      <c r="K706" s="8"/>
      <c r="L706" s="8"/>
      <c r="M706" s="8"/>
      <c r="N706" s="8"/>
      <c r="O706" s="8">
        <f>(2*((G702-(2*'[2]Beam '!$D$11))+(F702-(2*'[2]Beam '!$D$11)))+(2*10*D706/1000))*D702</f>
        <v>3</v>
      </c>
      <c r="P706" s="8">
        <f t="shared" si="133"/>
        <v>141</v>
      </c>
      <c r="Q706" s="8">
        <f>IF($D706='[2]Beam '!Q$44,$P706*'[2]Beam '!Q$45,0)</f>
        <v>0</v>
      </c>
      <c r="R706" s="8">
        <f>IF($D706='[2]Beam '!R$44,$P706*'[2]Beam '!R$45,0)</f>
        <v>0</v>
      </c>
      <c r="S706" s="8">
        <f>IF($D706='[2]Beam '!S$44,$P706*'[2]Beam '!S$45,0)</f>
        <v>125.23217142857145</v>
      </c>
      <c r="T706" s="8">
        <f>IF($D706='[2]Beam '!T$44,$P706*'[2]Beam '!T$45,0)</f>
        <v>0</v>
      </c>
      <c r="U706" s="8">
        <f>IF($D706='[2]Beam '!U$44,$P706*'[2]Beam '!U$45,0)</f>
        <v>0</v>
      </c>
      <c r="V706" s="8">
        <f>IF($D706='[2]Beam '!V$44,$P706*'[2]Beam '!V$45,0)</f>
        <v>0</v>
      </c>
      <c r="W706" s="8">
        <f>IF($D706='[2]Beam '!W$44,$P706*'[2]Beam '!W$45,0)</f>
        <v>0</v>
      </c>
      <c r="X706" s="8">
        <f t="shared" si="134"/>
        <v>125.23217142857145</v>
      </c>
      <c r="Y706" s="8"/>
      <c r="Z706" s="8"/>
      <c r="AA706" s="8"/>
      <c r="AB706" s="8"/>
      <c r="AC706" s="8"/>
      <c r="AD706" s="8"/>
      <c r="AE706" s="8"/>
      <c r="AF706" s="8"/>
    </row>
    <row r="707" spans="1:32" s="10" customFormat="1" ht="20.100000000000001" customHeight="1" x14ac:dyDescent="0.25">
      <c r="A707" s="14"/>
      <c r="B707" s="8" t="s">
        <v>2</v>
      </c>
      <c r="C707" s="13" t="s">
        <v>9</v>
      </c>
      <c r="D707" s="8">
        <f>+D706</f>
        <v>12</v>
      </c>
      <c r="E707" s="14">
        <f>+E706</f>
        <v>0.1</v>
      </c>
      <c r="F707" s="8">
        <f>ROUNDUP(E702/E707,0)</f>
        <v>47</v>
      </c>
      <c r="H707" s="14"/>
      <c r="I707" s="14"/>
      <c r="J707" s="14"/>
      <c r="K707" s="14"/>
      <c r="L707" s="14"/>
      <c r="M707" s="14"/>
      <c r="N707" s="14"/>
      <c r="O707" s="8">
        <f>((((G702-(2*'[2]Beam '!$D$11))+(2*10*D707/1000))*D702))*2</f>
        <v>2.56</v>
      </c>
      <c r="P707" s="8">
        <f t="shared" si="133"/>
        <v>120.32000000000001</v>
      </c>
      <c r="Q707" s="8">
        <f>IF($D707='[2]Beam '!Q$44,$P707*'[2]Beam '!Q$45,0)</f>
        <v>0</v>
      </c>
      <c r="R707" s="8">
        <f>IF($D707='[2]Beam '!R$44,$P707*'[2]Beam '!R$45,0)</f>
        <v>0</v>
      </c>
      <c r="S707" s="8">
        <f>IF($D707='[2]Beam '!S$44,$P707*'[2]Beam '!S$45,0)</f>
        <v>106.86478628571432</v>
      </c>
      <c r="T707" s="8">
        <f>IF($D707='[2]Beam '!T$44,$P707*'[2]Beam '!T$45,0)</f>
        <v>0</v>
      </c>
      <c r="U707" s="8">
        <f>IF($D707='[2]Beam '!U$44,$P707*'[2]Beam '!U$45,0)</f>
        <v>0</v>
      </c>
      <c r="V707" s="8">
        <f>IF($D707='[2]Beam '!V$44,$P707*'[2]Beam '!V$45,0)</f>
        <v>0</v>
      </c>
      <c r="W707" s="8">
        <f>IF($D707='[2]Beam '!W$44,$P707*'[2]Beam '!W$45,0)</f>
        <v>0</v>
      </c>
      <c r="X707" s="8">
        <f t="shared" si="134"/>
        <v>106.86478628571432</v>
      </c>
      <c r="Y707" s="14"/>
      <c r="Z707" s="8"/>
      <c r="AA707" s="8"/>
      <c r="AB707" s="8"/>
      <c r="AC707" s="8"/>
      <c r="AD707" s="8"/>
      <c r="AE707" s="8"/>
    </row>
    <row r="708" spans="1:32" s="10" customFormat="1" ht="20.100000000000001" customHeight="1" x14ac:dyDescent="0.25">
      <c r="A708" s="7"/>
      <c r="B708" s="8" t="s">
        <v>2</v>
      </c>
      <c r="C708" s="13" t="s">
        <v>10</v>
      </c>
      <c r="D708" s="8">
        <f>+'[2]Beam '!$D$15</f>
        <v>25</v>
      </c>
      <c r="E708" s="8">
        <f>+'[2]Beam '!$E$15</f>
        <v>1</v>
      </c>
      <c r="F708" s="8">
        <f>ROUNDUP((1.1)/E708,0)</f>
        <v>2</v>
      </c>
      <c r="G708" s="9"/>
      <c r="H708" s="9"/>
      <c r="I708" s="8"/>
      <c r="J708" s="8"/>
      <c r="K708" s="8"/>
      <c r="L708" s="8"/>
      <c r="M708" s="8"/>
      <c r="N708" s="8"/>
      <c r="O708" s="8">
        <f>F702-'[2]Beam '!$F$15</f>
        <v>0.34</v>
      </c>
      <c r="P708" s="8">
        <f t="shared" si="133"/>
        <v>0.68</v>
      </c>
      <c r="Q708" s="8">
        <f>IF($D708='[2]Beam '!Q$44,$P708*'[2]Beam '!Q$45,0)</f>
        <v>0</v>
      </c>
      <c r="R708" s="8">
        <f>IF($D708='[2]Beam '!R$44,$P708*'[2]Beam '!R$45,0)</f>
        <v>0</v>
      </c>
      <c r="S708" s="8">
        <f>IF($D708='[2]Beam '!S$44,$P708*'[2]Beam '!S$45,0)</f>
        <v>0</v>
      </c>
      <c r="T708" s="8">
        <f>IF($D708='[2]Beam '!T$44,$P708*'[2]Beam '!T$45,0)</f>
        <v>0</v>
      </c>
      <c r="U708" s="8">
        <f>IF($D708='[2]Beam '!U$44,$P708*'[2]Beam '!U$45,0)</f>
        <v>0</v>
      </c>
      <c r="V708" s="8">
        <f>IF($D708='[2]Beam '!V$44,$P708*'[2]Beam '!V$45,0)</f>
        <v>2.6213392857142863</v>
      </c>
      <c r="W708" s="8">
        <f>IF($D708='[2]Beam '!W$44,$P708*'[2]Beam '!W$45,0)</f>
        <v>0</v>
      </c>
      <c r="X708" s="8">
        <f t="shared" si="134"/>
        <v>2.6213392857142863</v>
      </c>
      <c r="Y708" s="8"/>
      <c r="Z708" s="8"/>
      <c r="AA708" s="8"/>
      <c r="AB708" s="8"/>
      <c r="AC708" s="8"/>
      <c r="AD708" s="8"/>
      <c r="AE708" s="8"/>
    </row>
    <row r="709" spans="1:32" s="10" customFormat="1" ht="20.100000000000001" customHeight="1" x14ac:dyDescent="0.25">
      <c r="A709" s="8">
        <v>1</v>
      </c>
      <c r="B709" s="8" t="s">
        <v>2</v>
      </c>
      <c r="C709" s="11" t="s">
        <v>97</v>
      </c>
      <c r="D709" s="11">
        <v>1</v>
      </c>
      <c r="E709" s="11">
        <v>0.98</v>
      </c>
      <c r="F709" s="11">
        <v>0.4</v>
      </c>
      <c r="G709" s="11">
        <v>1.1000000000000001</v>
      </c>
      <c r="H709" s="8">
        <f>G709-0.275</f>
        <v>0.82500000000000007</v>
      </c>
      <c r="I709" s="8">
        <f>E709*F709*G709*D709</f>
        <v>0.43120000000000003</v>
      </c>
      <c r="J709" s="8">
        <f>(2*(E709)*H709*D709)+(E709*F709)</f>
        <v>2.0089999999999999</v>
      </c>
      <c r="K709" s="12">
        <f>IF(E709=0.3,J709,0)</f>
        <v>0</v>
      </c>
      <c r="L709" s="12">
        <f>IF(AND(E709&gt;0.3,E709&lt;=0.75),J709,0)</f>
        <v>0</v>
      </c>
      <c r="M709" s="12">
        <f>IF(AND(E709&gt;0.75,E709&lt;=1.2),J709,0)</f>
        <v>2.0089999999999999</v>
      </c>
      <c r="N709" s="12">
        <f>IF(E709&gt;1.2,J709,0)</f>
        <v>0</v>
      </c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>
        <f>SUM(X710:X715)/I709</f>
        <v>343.55307580174934</v>
      </c>
      <c r="Z709" s="8"/>
      <c r="AA709" s="8"/>
      <c r="AB709" s="8"/>
      <c r="AC709" s="8"/>
      <c r="AD709" s="8"/>
      <c r="AE709" s="8"/>
    </row>
    <row r="710" spans="1:32" s="10" customFormat="1" ht="20.100000000000001" customHeight="1" x14ac:dyDescent="0.25">
      <c r="A710" s="7"/>
      <c r="B710" s="8" t="s">
        <v>2</v>
      </c>
      <c r="C710" s="13" t="s">
        <v>4</v>
      </c>
      <c r="D710" s="8">
        <v>25</v>
      </c>
      <c r="E710" s="8"/>
      <c r="F710" s="8">
        <v>4</v>
      </c>
      <c r="G710" s="9">
        <f>VLOOKUP(D710,'[2]Beam '!$C$20:$H$26,3,0)</f>
        <v>1</v>
      </c>
      <c r="H710" s="9"/>
      <c r="I710" s="8"/>
      <c r="J710" s="8"/>
      <c r="K710" s="8"/>
      <c r="L710" s="8"/>
      <c r="M710" s="8"/>
      <c r="N710" s="8"/>
      <c r="O710" s="8">
        <f>(E709+2*(G710)*D709)</f>
        <v>2.98</v>
      </c>
      <c r="P710" s="8">
        <f t="shared" ref="P710:P715" si="135">O710*F710</f>
        <v>11.92</v>
      </c>
      <c r="Q710" s="8">
        <f>IF($D710='[2]Beam '!Q$44,$P710*'[2]Beam '!Q$45,0)</f>
        <v>0</v>
      </c>
      <c r="R710" s="8">
        <f>IF($D710='[2]Beam '!R$44,$P710*'[2]Beam '!R$45,0)</f>
        <v>0</v>
      </c>
      <c r="S710" s="8">
        <f>IF($D710='[2]Beam '!S$44,$P710*'[2]Beam '!S$45,0)</f>
        <v>0</v>
      </c>
      <c r="T710" s="8">
        <f>IF($D710='[2]Beam '!T$44,$P710*'[2]Beam '!T$45,0)</f>
        <v>0</v>
      </c>
      <c r="U710" s="8">
        <f>IF($D710='[2]Beam '!U$44,$P710*'[2]Beam '!U$45,0)</f>
        <v>0</v>
      </c>
      <c r="V710" s="8">
        <f>IF($D710='[2]Beam '!V$44,$P710*'[2]Beam '!V$45,0)</f>
        <v>45.950535714285721</v>
      </c>
      <c r="W710" s="8">
        <f>IF($D710='[2]Beam '!W$44,$P710*'[2]Beam '!W$45,0)</f>
        <v>0</v>
      </c>
      <c r="X710" s="8">
        <f t="shared" ref="X710:X715" si="136">SUM(Q710:W710)</f>
        <v>45.950535714285721</v>
      </c>
      <c r="Y710" s="8"/>
      <c r="Z710" s="8"/>
      <c r="AA710" s="8"/>
      <c r="AB710" s="8"/>
      <c r="AC710" s="8"/>
      <c r="AD710" s="8"/>
      <c r="AE710" s="8"/>
    </row>
    <row r="711" spans="1:32" s="10" customFormat="1" ht="20.100000000000001" customHeight="1" x14ac:dyDescent="0.25">
      <c r="A711" s="7"/>
      <c r="B711" s="8" t="s">
        <v>2</v>
      </c>
      <c r="C711" s="13" t="s">
        <v>75</v>
      </c>
      <c r="D711" s="8">
        <v>12</v>
      </c>
      <c r="E711" s="8"/>
      <c r="F711" s="8">
        <v>2</v>
      </c>
      <c r="G711" s="9">
        <f>VLOOKUP(D711,'[2]Beam '!$C$20:$H$26,3,0)</f>
        <v>0.47499999999999998</v>
      </c>
      <c r="H711" s="9"/>
      <c r="I711" s="8"/>
      <c r="J711" s="8"/>
      <c r="K711" s="8"/>
      <c r="L711" s="8"/>
      <c r="M711" s="8"/>
      <c r="N711" s="8"/>
      <c r="O711" s="8">
        <f>(E709+2*(G711)*D709)</f>
        <v>1.93</v>
      </c>
      <c r="P711" s="8">
        <f t="shared" si="135"/>
        <v>3.86</v>
      </c>
      <c r="Q711" s="8">
        <f>IF($D711='[2]Beam '!Q$44,$P711*'[2]Beam '!Q$45,0)</f>
        <v>0</v>
      </c>
      <c r="R711" s="8">
        <f>IF($D711='[2]Beam '!R$44,$P711*'[2]Beam '!R$45,0)</f>
        <v>0</v>
      </c>
      <c r="S711" s="8">
        <f>IF($D711='[2]Beam '!S$44,$P711*'[2]Beam '!S$45,0)</f>
        <v>3.4283417142857147</v>
      </c>
      <c r="T711" s="8">
        <f>IF($D711='[2]Beam '!T$44,$P711*'[2]Beam '!T$45,0)</f>
        <v>0</v>
      </c>
      <c r="U711" s="8">
        <f>IF($D711='[2]Beam '!U$44,$P711*'[2]Beam '!U$45,0)</f>
        <v>0</v>
      </c>
      <c r="V711" s="8">
        <f>IF($D711='[2]Beam '!V$44,$P711*'[2]Beam '!V$45,0)</f>
        <v>0</v>
      </c>
      <c r="W711" s="8">
        <f>IF($D711='[2]Beam '!W$44,$P711*'[2]Beam '!W$45,0)</f>
        <v>0</v>
      </c>
      <c r="X711" s="8">
        <f t="shared" si="136"/>
        <v>3.4283417142857147</v>
      </c>
      <c r="Y711" s="8"/>
      <c r="Z711" s="8"/>
      <c r="AA711" s="8"/>
      <c r="AB711" s="8"/>
      <c r="AC711" s="8"/>
      <c r="AD711" s="8"/>
      <c r="AE711" s="8"/>
    </row>
    <row r="712" spans="1:32" s="14" customFormat="1" ht="20.100000000000001" customHeight="1" x14ac:dyDescent="0.3">
      <c r="A712" s="7"/>
      <c r="B712" s="8" t="s">
        <v>2</v>
      </c>
      <c r="C712" s="13" t="s">
        <v>6</v>
      </c>
      <c r="D712" s="8">
        <v>25</v>
      </c>
      <c r="E712" s="8"/>
      <c r="F712" s="8">
        <v>4</v>
      </c>
      <c r="G712" s="9">
        <f>VLOOKUP(D712,'[2]Beam '!$C$20:$H$26,3,0)</f>
        <v>1</v>
      </c>
      <c r="H712" s="8"/>
      <c r="I712" s="8"/>
      <c r="J712" s="8"/>
      <c r="K712" s="8"/>
      <c r="L712" s="8"/>
      <c r="M712" s="8"/>
      <c r="N712" s="8"/>
      <c r="O712" s="8">
        <f>(E709+2*(G712)*D709)</f>
        <v>2.98</v>
      </c>
      <c r="P712" s="8">
        <f t="shared" si="135"/>
        <v>11.92</v>
      </c>
      <c r="Q712" s="8">
        <f>IF($D712='[2]Beam '!Q$44,$P712*'[2]Beam '!Q$45,0)</f>
        <v>0</v>
      </c>
      <c r="R712" s="8">
        <f>IF($D712='[2]Beam '!R$44,$P712*'[2]Beam '!R$45,0)</f>
        <v>0</v>
      </c>
      <c r="S712" s="8">
        <f>IF($D712='[2]Beam '!S$44,$P712*'[2]Beam '!S$45,0)</f>
        <v>0</v>
      </c>
      <c r="T712" s="8">
        <f>IF($D712='[2]Beam '!T$44,$P712*'[2]Beam '!T$45,0)</f>
        <v>0</v>
      </c>
      <c r="U712" s="8">
        <f>IF($D712='[2]Beam '!U$44,$P712*'[2]Beam '!U$45,0)</f>
        <v>0</v>
      </c>
      <c r="V712" s="8">
        <f>IF($D712='[2]Beam '!V$44,$P712*'[2]Beam '!V$45,0)</f>
        <v>45.950535714285721</v>
      </c>
      <c r="W712" s="8">
        <f>IF($D712='[2]Beam '!W$44,$P712*'[2]Beam '!W$45,0)</f>
        <v>0</v>
      </c>
      <c r="X712" s="8">
        <f t="shared" si="136"/>
        <v>45.950535714285721</v>
      </c>
      <c r="Y712" s="8"/>
    </row>
    <row r="713" spans="1:32" s="10" customFormat="1" ht="21" customHeight="1" x14ac:dyDescent="0.25">
      <c r="A713" s="7"/>
      <c r="B713" s="8" t="s">
        <v>2</v>
      </c>
      <c r="C713" s="13" t="s">
        <v>88</v>
      </c>
      <c r="D713" s="8">
        <v>12</v>
      </c>
      <c r="E713" s="8"/>
      <c r="F713" s="8">
        <v>2</v>
      </c>
      <c r="G713" s="9">
        <f>VLOOKUP(D713,'[2]Beam '!$C$20:$H$26,3,0)</f>
        <v>0.47499999999999998</v>
      </c>
      <c r="H713" s="8"/>
      <c r="I713" s="8"/>
      <c r="J713" s="8"/>
      <c r="K713" s="8"/>
      <c r="L713" s="8"/>
      <c r="M713" s="8"/>
      <c r="N713" s="8"/>
      <c r="O713" s="8">
        <f>(E709+2*(G713)*D709)</f>
        <v>1.93</v>
      </c>
      <c r="P713" s="8">
        <f t="shared" si="135"/>
        <v>3.86</v>
      </c>
      <c r="Q713" s="8">
        <f>IF($D713='[2]Beam '!Q$44,$P713*'[2]Beam '!Q$45,0)</f>
        <v>0</v>
      </c>
      <c r="R713" s="8">
        <f>IF($D713='[2]Beam '!R$44,$P713*'[2]Beam '!R$45,0)</f>
        <v>0</v>
      </c>
      <c r="S713" s="8">
        <f>IF($D713='[2]Beam '!S$44,$P713*'[2]Beam '!S$45,0)</f>
        <v>3.4283417142857147</v>
      </c>
      <c r="T713" s="8">
        <f>IF($D713='[2]Beam '!T$44,$P713*'[2]Beam '!T$45,0)</f>
        <v>0</v>
      </c>
      <c r="U713" s="8">
        <f>IF($D713='[2]Beam '!U$44,$P713*'[2]Beam '!U$45,0)</f>
        <v>0</v>
      </c>
      <c r="V713" s="8">
        <f>IF($D713='[2]Beam '!V$44,$P713*'[2]Beam '!V$45,0)</f>
        <v>0</v>
      </c>
      <c r="W713" s="8">
        <f>IF($D713='[2]Beam '!W$44,$P713*'[2]Beam '!W$45,0)</f>
        <v>0</v>
      </c>
      <c r="X713" s="8">
        <f t="shared" si="136"/>
        <v>3.4283417142857147</v>
      </c>
      <c r="Y713" s="8"/>
      <c r="Z713" s="8"/>
      <c r="AA713" s="8"/>
      <c r="AB713" s="8"/>
      <c r="AC713" s="8"/>
      <c r="AD713" s="8"/>
      <c r="AE713" s="8"/>
      <c r="AF713" s="8"/>
    </row>
    <row r="714" spans="1:32" s="10" customFormat="1" ht="20.100000000000001" customHeight="1" x14ac:dyDescent="0.25">
      <c r="A714" s="7"/>
      <c r="B714" s="8" t="s">
        <v>2</v>
      </c>
      <c r="C714" s="13" t="s">
        <v>8</v>
      </c>
      <c r="D714" s="8">
        <v>12</v>
      </c>
      <c r="E714" s="8">
        <v>0.1</v>
      </c>
      <c r="F714" s="8">
        <f>ROUNDUP(E709/E714,0)</f>
        <v>10</v>
      </c>
      <c r="H714" s="8"/>
      <c r="I714" s="8"/>
      <c r="J714" s="8"/>
      <c r="K714" s="8"/>
      <c r="L714" s="8"/>
      <c r="M714" s="8"/>
      <c r="N714" s="8"/>
      <c r="O714" s="8">
        <f>(2*((G709-(2*'[2]Beam '!$D$11))+(F709-(2*'[2]Beam '!$D$11)))+(2*10*D714/1000))*D709</f>
        <v>3</v>
      </c>
      <c r="P714" s="8">
        <f t="shared" si="135"/>
        <v>30</v>
      </c>
      <c r="Q714" s="8">
        <f>IF($D714='[2]Beam '!Q$44,$P714*'[2]Beam '!Q$45,0)</f>
        <v>0</v>
      </c>
      <c r="R714" s="8">
        <f>IF($D714='[2]Beam '!R$44,$P714*'[2]Beam '!R$45,0)</f>
        <v>0</v>
      </c>
      <c r="S714" s="8">
        <f>IF($D714='[2]Beam '!S$44,$P714*'[2]Beam '!S$45,0)</f>
        <v>26.645142857142861</v>
      </c>
      <c r="T714" s="8">
        <f>IF($D714='[2]Beam '!T$44,$P714*'[2]Beam '!T$45,0)</f>
        <v>0</v>
      </c>
      <c r="U714" s="8">
        <f>IF($D714='[2]Beam '!U$44,$P714*'[2]Beam '!U$45,0)</f>
        <v>0</v>
      </c>
      <c r="V714" s="8">
        <f>IF($D714='[2]Beam '!V$44,$P714*'[2]Beam '!V$45,0)</f>
        <v>0</v>
      </c>
      <c r="W714" s="8">
        <f>IF($D714='[2]Beam '!W$44,$P714*'[2]Beam '!W$45,0)</f>
        <v>0</v>
      </c>
      <c r="X714" s="8">
        <f t="shared" si="136"/>
        <v>26.645142857142861</v>
      </c>
      <c r="Y714" s="8"/>
      <c r="Z714" s="8"/>
      <c r="AA714" s="8"/>
      <c r="AB714" s="8"/>
      <c r="AC714" s="8"/>
      <c r="AD714" s="8"/>
      <c r="AE714" s="8"/>
    </row>
    <row r="715" spans="1:32" s="10" customFormat="1" ht="20.100000000000001" customHeight="1" x14ac:dyDescent="0.25">
      <c r="A715" s="14"/>
      <c r="B715" s="8" t="s">
        <v>2</v>
      </c>
      <c r="C715" s="13" t="s">
        <v>9</v>
      </c>
      <c r="D715" s="8">
        <f>+D714</f>
        <v>12</v>
      </c>
      <c r="E715" s="14">
        <f>+E714</f>
        <v>0.1</v>
      </c>
      <c r="F715" s="8">
        <f>ROUNDUP(E709/E715,0)</f>
        <v>10</v>
      </c>
      <c r="H715" s="14"/>
      <c r="I715" s="14"/>
      <c r="J715" s="14"/>
      <c r="K715" s="14"/>
      <c r="L715" s="14"/>
      <c r="M715" s="14"/>
      <c r="N715" s="14"/>
      <c r="O715" s="8">
        <f>((((G709-(2*'[2]Beam '!$D$11))+(2*10*D715/1000))*D709))*2</f>
        <v>2.56</v>
      </c>
      <c r="P715" s="8">
        <f t="shared" si="135"/>
        <v>25.6</v>
      </c>
      <c r="Q715" s="8">
        <f>IF($D715='[2]Beam '!Q$44,$P715*'[2]Beam '!Q$45,0)</f>
        <v>0</v>
      </c>
      <c r="R715" s="8">
        <f>IF($D715='[2]Beam '!R$44,$P715*'[2]Beam '!R$45,0)</f>
        <v>0</v>
      </c>
      <c r="S715" s="8">
        <f>IF($D715='[2]Beam '!S$44,$P715*'[2]Beam '!S$45,0)</f>
        <v>22.737188571428575</v>
      </c>
      <c r="T715" s="8">
        <f>IF($D715='[2]Beam '!T$44,$P715*'[2]Beam '!T$45,0)</f>
        <v>0</v>
      </c>
      <c r="U715" s="8">
        <f>IF($D715='[2]Beam '!U$44,$P715*'[2]Beam '!U$45,0)</f>
        <v>0</v>
      </c>
      <c r="V715" s="8">
        <f>IF($D715='[2]Beam '!V$44,$P715*'[2]Beam '!V$45,0)</f>
        <v>0</v>
      </c>
      <c r="W715" s="8">
        <f>IF($D715='[2]Beam '!W$44,$P715*'[2]Beam '!W$45,0)</f>
        <v>0</v>
      </c>
      <c r="X715" s="8">
        <f t="shared" si="136"/>
        <v>22.737188571428575</v>
      </c>
      <c r="Y715" s="14"/>
      <c r="Z715" s="8"/>
      <c r="AA715" s="8"/>
      <c r="AB715" s="8"/>
      <c r="AC715" s="8"/>
      <c r="AD715" s="8"/>
      <c r="AE715" s="8"/>
    </row>
    <row r="716" spans="1:32" s="10" customFormat="1" ht="20.100000000000001" customHeight="1" x14ac:dyDescent="0.25">
      <c r="A716" s="8">
        <v>1</v>
      </c>
      <c r="B716" s="8" t="s">
        <v>2</v>
      </c>
      <c r="C716" s="11" t="s">
        <v>98</v>
      </c>
      <c r="D716" s="11">
        <v>1</v>
      </c>
      <c r="E716" s="11">
        <v>5.7110000000000003</v>
      </c>
      <c r="F716" s="11">
        <v>0.45</v>
      </c>
      <c r="G716" s="11">
        <v>0.5</v>
      </c>
      <c r="H716" s="8">
        <f>G716-0.2</f>
        <v>0.3</v>
      </c>
      <c r="I716" s="8">
        <f>E716*F716*G716*D716</f>
        <v>1.2849750000000002</v>
      </c>
      <c r="J716" s="8">
        <f>(2*(E716)*H716*D716)+(E716*F716)</f>
        <v>5.9965500000000009</v>
      </c>
      <c r="K716" s="12">
        <f>IF(E716=0.3,J716,0)</f>
        <v>0</v>
      </c>
      <c r="L716" s="12">
        <f>IF(AND(E716&gt;0.3,E716&lt;=0.75),J716,0)</f>
        <v>0</v>
      </c>
      <c r="M716" s="12">
        <f>IF(AND(E716&gt;0.75,E716&lt;=1.2),J716,0)</f>
        <v>0</v>
      </c>
      <c r="N716" s="12">
        <f>IF(E716&gt;1.2,J716,0)</f>
        <v>5.9965500000000009</v>
      </c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>
        <f>SUM(X717:X725)/I716</f>
        <v>241.17533664079065</v>
      </c>
      <c r="Z716" s="8"/>
      <c r="AA716" s="8"/>
      <c r="AB716" s="8"/>
      <c r="AC716" s="8"/>
      <c r="AD716" s="8"/>
      <c r="AE716" s="8"/>
    </row>
    <row r="717" spans="1:32" s="10" customFormat="1" ht="20.100000000000001" customHeight="1" x14ac:dyDescent="0.25">
      <c r="A717" s="7"/>
      <c r="B717" s="8" t="s">
        <v>2</v>
      </c>
      <c r="C717" s="13" t="s">
        <v>4</v>
      </c>
      <c r="D717" s="8">
        <v>16</v>
      </c>
      <c r="E717" s="8"/>
      <c r="F717" s="8">
        <v>4</v>
      </c>
      <c r="G717" s="9">
        <f>VLOOKUP(D717,'[2]Beam '!$C$20:$H$26,3,0)</f>
        <v>0.625</v>
      </c>
      <c r="H717" s="9"/>
      <c r="I717" s="8"/>
      <c r="J717" s="8"/>
      <c r="K717" s="8"/>
      <c r="L717" s="8"/>
      <c r="M717" s="8"/>
      <c r="N717" s="8"/>
      <c r="O717" s="8">
        <f>(E716+2*(G717+(12*D717/1000))*D716)</f>
        <v>7.3450000000000006</v>
      </c>
      <c r="P717" s="8">
        <f t="shared" ref="P717:P726" si="137">O717*F717</f>
        <v>29.380000000000003</v>
      </c>
      <c r="Q717" s="8">
        <f>IF($D717='[2]Beam '!Q$44,$P717*'[2]Beam '!Q$45,0)</f>
        <v>0</v>
      </c>
      <c r="R717" s="8">
        <f>IF($D717='[2]Beam '!R$44,$P717*'[2]Beam '!R$45,0)</f>
        <v>0</v>
      </c>
      <c r="S717" s="8">
        <f>IF($D717='[2]Beam '!S$44,$P717*'[2]Beam '!S$45,0)</f>
        <v>0</v>
      </c>
      <c r="T717" s="8">
        <f>IF($D717='[2]Beam '!T$44,$P717*'[2]Beam '!T$45,0)</f>
        <v>46.39018057142858</v>
      </c>
      <c r="U717" s="8">
        <f>IF($D717='[2]Beam '!U$44,$P717*'[2]Beam '!U$45,0)</f>
        <v>0</v>
      </c>
      <c r="V717" s="8">
        <f>IF($D717='[2]Beam '!V$44,$P717*'[2]Beam '!V$45,0)</f>
        <v>0</v>
      </c>
      <c r="W717" s="8">
        <f>IF($D717='[2]Beam '!W$44,$P717*'[2]Beam '!W$45,0)</f>
        <v>0</v>
      </c>
      <c r="X717" s="8">
        <f t="shared" ref="X717:X726" si="138">SUM(Q717:W717)</f>
        <v>46.39018057142858</v>
      </c>
      <c r="Y717" s="8"/>
      <c r="Z717" s="8"/>
      <c r="AA717" s="8"/>
      <c r="AB717" s="8"/>
      <c r="AC717" s="8"/>
      <c r="AD717" s="8"/>
      <c r="AE717" s="8"/>
    </row>
    <row r="718" spans="1:32" s="10" customFormat="1" ht="20.100000000000001" customHeight="1" x14ac:dyDescent="0.25">
      <c r="A718" s="7"/>
      <c r="B718" s="8" t="s">
        <v>2</v>
      </c>
      <c r="C718" s="13" t="s">
        <v>4</v>
      </c>
      <c r="D718" s="8">
        <v>25</v>
      </c>
      <c r="E718" s="8"/>
      <c r="F718" s="8">
        <v>4</v>
      </c>
      <c r="G718" s="9">
        <f>VLOOKUP(D718,'[2]Beam '!$C$20:$H$26,3,0)</f>
        <v>1</v>
      </c>
      <c r="H718" s="9"/>
      <c r="I718" s="8"/>
      <c r="J718" s="8"/>
      <c r="K718" s="8"/>
      <c r="L718" s="8"/>
      <c r="M718" s="8"/>
      <c r="N718" s="8"/>
      <c r="O718" s="8">
        <f>(1.65+1*(G718+(12*D718/1000))*D716)</f>
        <v>2.95</v>
      </c>
      <c r="P718" s="8">
        <f t="shared" si="137"/>
        <v>11.8</v>
      </c>
      <c r="Q718" s="8">
        <f>IF($D718='[2]Beam '!Q$44,$P718*'[2]Beam '!Q$45,0)</f>
        <v>0</v>
      </c>
      <c r="R718" s="8">
        <f>IF($D718='[2]Beam '!R$44,$P718*'[2]Beam '!R$45,0)</f>
        <v>0</v>
      </c>
      <c r="S718" s="8">
        <f>IF($D718='[2]Beam '!S$44,$P718*'[2]Beam '!S$45,0)</f>
        <v>0</v>
      </c>
      <c r="T718" s="8">
        <f>IF($D718='[2]Beam '!T$44,$P718*'[2]Beam '!T$45,0)</f>
        <v>0</v>
      </c>
      <c r="U718" s="8">
        <f>IF($D718='[2]Beam '!U$44,$P718*'[2]Beam '!U$45,0)</f>
        <v>0</v>
      </c>
      <c r="V718" s="8">
        <f>IF($D718='[2]Beam '!V$44,$P718*'[2]Beam '!V$45,0)</f>
        <v>45.487946428571441</v>
      </c>
      <c r="W718" s="8">
        <f>IF($D718='[2]Beam '!W$44,$P718*'[2]Beam '!W$45,0)</f>
        <v>0</v>
      </c>
      <c r="X718" s="8">
        <f t="shared" si="138"/>
        <v>45.487946428571441</v>
      </c>
      <c r="Y718" s="8"/>
      <c r="Z718" s="8"/>
      <c r="AA718" s="8"/>
      <c r="AB718" s="8"/>
      <c r="AC718" s="8"/>
      <c r="AD718" s="8"/>
      <c r="AE718" s="8"/>
    </row>
    <row r="719" spans="1:32" s="10" customFormat="1" ht="20.100000000000001" customHeight="1" x14ac:dyDescent="0.25">
      <c r="A719" s="7"/>
      <c r="B719" s="8" t="s">
        <v>2</v>
      </c>
      <c r="C719" s="13" t="s">
        <v>5</v>
      </c>
      <c r="D719" s="8">
        <v>20</v>
      </c>
      <c r="E719" s="8"/>
      <c r="F719" s="8">
        <v>4</v>
      </c>
      <c r="G719" s="9">
        <f>VLOOKUP(D719,'[2]Beam '!$C$20:$H$26,3,0)</f>
        <v>0.8</v>
      </c>
      <c r="H719" s="9"/>
      <c r="I719" s="8"/>
      <c r="J719" s="8"/>
      <c r="K719" s="8"/>
      <c r="L719" s="8"/>
      <c r="M719" s="8"/>
      <c r="N719" s="8"/>
      <c r="O719" s="8">
        <f>(1.65+1*(G719+(12*D719/1000))*D716)</f>
        <v>2.69</v>
      </c>
      <c r="P719" s="8">
        <f t="shared" si="137"/>
        <v>10.76</v>
      </c>
      <c r="Q719" s="8">
        <f>IF($D719='[2]Beam '!Q$44,$P719*'[2]Beam '!Q$45,0)</f>
        <v>0</v>
      </c>
      <c r="R719" s="8">
        <f>IF($D719='[2]Beam '!R$44,$P719*'[2]Beam '!R$45,0)</f>
        <v>0</v>
      </c>
      <c r="S719" s="8">
        <f>IF($D719='[2]Beam '!S$44,$P719*'[2]Beam '!S$45,0)</f>
        <v>0</v>
      </c>
      <c r="T719" s="8">
        <f>IF($D719='[2]Beam '!T$44,$P719*'[2]Beam '!T$45,0)</f>
        <v>0</v>
      </c>
      <c r="U719" s="8">
        <f>IF($D719='[2]Beam '!U$44,$P719*'[2]Beam '!U$45,0)</f>
        <v>26.546457142857143</v>
      </c>
      <c r="V719" s="8">
        <f>IF($D719='[2]Beam '!V$44,$P719*'[2]Beam '!V$45,0)</f>
        <v>0</v>
      </c>
      <c r="W719" s="8">
        <f>IF($D719='[2]Beam '!W$44,$P719*'[2]Beam '!W$45,0)</f>
        <v>0</v>
      </c>
      <c r="X719" s="8">
        <f t="shared" si="138"/>
        <v>26.546457142857143</v>
      </c>
      <c r="Y719" s="8"/>
      <c r="Z719" s="8"/>
      <c r="AA719" s="8"/>
      <c r="AB719" s="8"/>
      <c r="AC719" s="8"/>
      <c r="AD719" s="8"/>
      <c r="AE719" s="8"/>
    </row>
    <row r="720" spans="1:32" s="14" customFormat="1" ht="20.100000000000001" customHeight="1" x14ac:dyDescent="0.3">
      <c r="A720" s="7"/>
      <c r="B720" s="8" t="s">
        <v>2</v>
      </c>
      <c r="C720" s="13" t="s">
        <v>6</v>
      </c>
      <c r="D720" s="8">
        <v>20</v>
      </c>
      <c r="E720" s="8"/>
      <c r="F720" s="8">
        <v>4</v>
      </c>
      <c r="G720" s="9">
        <f>VLOOKUP(D720,'[2]Beam '!$C$20:$H$26,3,0)</f>
        <v>0.8</v>
      </c>
      <c r="H720" s="8"/>
      <c r="I720" s="8"/>
      <c r="J720" s="8"/>
      <c r="K720" s="8"/>
      <c r="L720" s="8"/>
      <c r="M720" s="8"/>
      <c r="N720" s="8"/>
      <c r="O720" s="8">
        <f>(E716+2*(G720+(12*D720/1000))*D716)</f>
        <v>7.7910000000000004</v>
      </c>
      <c r="P720" s="8">
        <f t="shared" si="137"/>
        <v>31.164000000000001</v>
      </c>
      <c r="Q720" s="8">
        <f>IF($D720='[2]Beam '!Q$44,$P720*'[2]Beam '!Q$45,0)</f>
        <v>0</v>
      </c>
      <c r="R720" s="8">
        <f>IF($D720='[2]Beam '!R$44,$P720*'[2]Beam '!R$45,0)</f>
        <v>0</v>
      </c>
      <c r="S720" s="8">
        <f>IF($D720='[2]Beam '!S$44,$P720*'[2]Beam '!S$45,0)</f>
        <v>0</v>
      </c>
      <c r="T720" s="8">
        <f>IF($D720='[2]Beam '!T$44,$P720*'[2]Beam '!T$45,0)</f>
        <v>0</v>
      </c>
      <c r="U720" s="8">
        <f>IF($D720='[2]Beam '!U$44,$P720*'[2]Beam '!U$45,0)</f>
        <v>76.886040000000008</v>
      </c>
      <c r="V720" s="8">
        <f>IF($D720='[2]Beam '!V$44,$P720*'[2]Beam '!V$45,0)</f>
        <v>0</v>
      </c>
      <c r="W720" s="8">
        <f>IF($D720='[2]Beam '!W$44,$P720*'[2]Beam '!W$45,0)</f>
        <v>0</v>
      </c>
      <c r="X720" s="8">
        <f t="shared" si="138"/>
        <v>76.886040000000008</v>
      </c>
      <c r="Y720" s="8"/>
    </row>
    <row r="721" spans="1:32" s="14" customFormat="1" ht="20.100000000000001" customHeight="1" x14ac:dyDescent="0.3">
      <c r="A721" s="7"/>
      <c r="B721" s="8" t="s">
        <v>2</v>
      </c>
      <c r="C721" s="13" t="s">
        <v>7</v>
      </c>
      <c r="D721" s="8">
        <v>12</v>
      </c>
      <c r="E721" s="8"/>
      <c r="F721" s="8">
        <v>2</v>
      </c>
      <c r="G721" s="9">
        <f>VLOOKUP(D721,'[2]Beam '!$C$20:$H$26,3,0)</f>
        <v>0.47499999999999998</v>
      </c>
      <c r="H721" s="8"/>
      <c r="I721" s="8"/>
      <c r="J721" s="8"/>
      <c r="K721" s="8"/>
      <c r="L721" s="8"/>
      <c r="M721" s="8"/>
      <c r="N721" s="8"/>
      <c r="O721" s="8">
        <f>+E716-0.6-0.6</f>
        <v>4.511000000000001</v>
      </c>
      <c r="P721" s="8">
        <f t="shared" si="137"/>
        <v>9.022000000000002</v>
      </c>
      <c r="Q721" s="8">
        <f>IF($D721='[2]Beam '!Q$44,$P721*'[2]Beam '!Q$45,0)</f>
        <v>0</v>
      </c>
      <c r="R721" s="8">
        <f>IF($D721='[2]Beam '!R$44,$P721*'[2]Beam '!R$45,0)</f>
        <v>0</v>
      </c>
      <c r="S721" s="8">
        <f>IF($D721='[2]Beam '!S$44,$P721*'[2]Beam '!S$45,0)</f>
        <v>8.0130826285714321</v>
      </c>
      <c r="T721" s="8">
        <f>IF($D721='[2]Beam '!T$44,$P721*'[2]Beam '!T$45,0)</f>
        <v>0</v>
      </c>
      <c r="U721" s="8">
        <f>IF($D721='[2]Beam '!U$44,$P721*'[2]Beam '!U$45,0)</f>
        <v>0</v>
      </c>
      <c r="V721" s="8">
        <f>IF($D721='[2]Beam '!V$44,$P721*'[2]Beam '!V$45,0)</f>
        <v>0</v>
      </c>
      <c r="W721" s="8">
        <f>IF($D721='[2]Beam '!W$44,$P721*'[2]Beam '!W$45,0)</f>
        <v>0</v>
      </c>
      <c r="X721" s="8">
        <f t="shared" si="138"/>
        <v>8.0130826285714321</v>
      </c>
      <c r="Y721" s="8"/>
    </row>
    <row r="722" spans="1:32" s="14" customFormat="1" ht="20.100000000000001" customHeight="1" x14ac:dyDescent="0.25">
      <c r="A722" s="7"/>
      <c r="B722" s="8" t="s">
        <v>2</v>
      </c>
      <c r="C722" s="13" t="s">
        <v>13</v>
      </c>
      <c r="D722" s="8">
        <v>10</v>
      </c>
      <c r="E722" s="8">
        <v>0.1</v>
      </c>
      <c r="F722" s="8">
        <f>ROUND(IF(E716/3&gt;(2*G716),(E716/3)/E722,(2*G716)/E722),0)*2+1</f>
        <v>39</v>
      </c>
      <c r="G722" s="10"/>
      <c r="H722" s="8"/>
      <c r="I722" s="8"/>
      <c r="J722" s="8"/>
      <c r="K722" s="8"/>
      <c r="L722" s="8"/>
      <c r="M722" s="8"/>
      <c r="N722" s="8"/>
      <c r="O722" s="8">
        <f>(2*((G716-(2*'[2]Beam '!$D$11))+(F716-(2*'[2]Beam '!$D$11)))+(2*10*D722/1000))*D716</f>
        <v>1.86</v>
      </c>
      <c r="P722" s="8">
        <f t="shared" si="137"/>
        <v>72.540000000000006</v>
      </c>
      <c r="Q722" s="8">
        <f>IF($D722='[2]Beam '!Q$44,$P722*'[2]Beam '!Q$45,0)</f>
        <v>0</v>
      </c>
      <c r="R722" s="8">
        <f>IF($D722='[2]Beam '!R$44,$P722*'[2]Beam '!R$45,0)</f>
        <v>44.741635714285714</v>
      </c>
      <c r="S722" s="8">
        <f>IF($D722='[2]Beam '!S$44,$P722*'[2]Beam '!S$45,0)</f>
        <v>0</v>
      </c>
      <c r="T722" s="8">
        <f>IF($D722='[2]Beam '!T$44,$P722*'[2]Beam '!T$45,0)</f>
        <v>0</v>
      </c>
      <c r="U722" s="8">
        <f>IF($D722='[2]Beam '!U$44,$P722*'[2]Beam '!U$45,0)</f>
        <v>0</v>
      </c>
      <c r="V722" s="8">
        <f>IF($D722='[2]Beam '!V$44,$P722*'[2]Beam '!V$45,0)</f>
        <v>0</v>
      </c>
      <c r="W722" s="8">
        <f>IF($D722='[2]Beam '!W$44,$P722*'[2]Beam '!W$45,0)</f>
        <v>0</v>
      </c>
      <c r="X722" s="8">
        <f t="shared" si="138"/>
        <v>44.741635714285714</v>
      </c>
      <c r="Y722" s="8"/>
    </row>
    <row r="723" spans="1:32" s="10" customFormat="1" ht="20.100000000000001" customHeight="1" x14ac:dyDescent="0.25">
      <c r="A723" s="14"/>
      <c r="B723" s="8" t="s">
        <v>2</v>
      </c>
      <c r="C723" s="13" t="s">
        <v>14</v>
      </c>
      <c r="D723" s="14">
        <f>D722</f>
        <v>10</v>
      </c>
      <c r="E723" s="14">
        <v>0.125</v>
      </c>
      <c r="F723" s="14">
        <f>ROUND((E716-(IF(E716/3&gt;2*G716,E716/3*2,G716*2*2)))/E723,0)</f>
        <v>15</v>
      </c>
      <c r="H723" s="14"/>
      <c r="I723" s="14"/>
      <c r="J723" s="14"/>
      <c r="K723" s="14"/>
      <c r="L723" s="14"/>
      <c r="M723" s="14"/>
      <c r="N723" s="14"/>
      <c r="O723" s="8">
        <f>(2*((G716-(2*'[2]Beam '!$D$11))+(F716-(2*'[2]Beam '!$D$11)))+(2*10*D723/1000))*D716</f>
        <v>1.86</v>
      </c>
      <c r="P723" s="8">
        <f t="shared" si="137"/>
        <v>27.900000000000002</v>
      </c>
      <c r="Q723" s="8">
        <f>IF($D723='[2]Beam '!Q$44,$P723*'[2]Beam '!Q$45,0)</f>
        <v>0</v>
      </c>
      <c r="R723" s="8">
        <f>IF($D723='[2]Beam '!R$44,$P723*'[2]Beam '!R$45,0)</f>
        <v>17.208321428571431</v>
      </c>
      <c r="S723" s="8">
        <f>IF($D723='[2]Beam '!S$44,$P723*'[2]Beam '!S$45,0)</f>
        <v>0</v>
      </c>
      <c r="T723" s="8">
        <f>IF($D723='[2]Beam '!T$44,$P723*'[2]Beam '!T$45,0)</f>
        <v>0</v>
      </c>
      <c r="U723" s="8">
        <f>IF($D723='[2]Beam '!U$44,$P723*'[2]Beam '!U$45,0)</f>
        <v>0</v>
      </c>
      <c r="V723" s="8">
        <f>IF($D723='[2]Beam '!V$44,$P723*'[2]Beam '!V$45,0)</f>
        <v>0</v>
      </c>
      <c r="W723" s="8">
        <f>IF($D723='[2]Beam '!W$44,$P723*'[2]Beam '!W$45,0)</f>
        <v>0</v>
      </c>
      <c r="X723" s="8">
        <f t="shared" si="138"/>
        <v>17.208321428571431</v>
      </c>
      <c r="Y723" s="14"/>
      <c r="Z723" s="8"/>
      <c r="AA723" s="8"/>
      <c r="AB723" s="8"/>
      <c r="AC723" s="8"/>
      <c r="AD723" s="8"/>
      <c r="AE723" s="8"/>
    </row>
    <row r="724" spans="1:32" s="10" customFormat="1" ht="21" customHeight="1" x14ac:dyDescent="0.25">
      <c r="A724" s="14"/>
      <c r="B724" s="8" t="s">
        <v>2</v>
      </c>
      <c r="C724" s="13" t="s">
        <v>15</v>
      </c>
      <c r="D724" s="14">
        <f>D722</f>
        <v>10</v>
      </c>
      <c r="E724" s="14">
        <f>+E722</f>
        <v>0.1</v>
      </c>
      <c r="F724" s="8">
        <f>ROUND(IF(E716/3&gt;(2*G716),(E716/3)/E724,(2*G716)/E724),0)*2+1</f>
        <v>39</v>
      </c>
      <c r="H724" s="14"/>
      <c r="I724" s="14"/>
      <c r="J724" s="14"/>
      <c r="K724" s="14"/>
      <c r="L724" s="14"/>
      <c r="M724" s="14"/>
      <c r="N724" s="14"/>
      <c r="O724" s="8">
        <f>(2*(((F716-'[2]Beam '!$D$11*2)/(F717-1))+(G716-'[2]Beam '!$D$11*2))+(2*10*D724/1000))*D716</f>
        <v>1.34</v>
      </c>
      <c r="P724" s="8">
        <f t="shared" si="137"/>
        <v>52.260000000000005</v>
      </c>
      <c r="Q724" s="8">
        <f>IF($D724='[2]Beam '!Q$44,$P724*'[2]Beam '!Q$45,0)</f>
        <v>0</v>
      </c>
      <c r="R724" s="8">
        <f>IF($D724='[2]Beam '!R$44,$P724*'[2]Beam '!R$45,0)</f>
        <v>32.233221428571433</v>
      </c>
      <c r="S724" s="8">
        <f>IF($D724='[2]Beam '!S$44,$P724*'[2]Beam '!S$45,0)</f>
        <v>0</v>
      </c>
      <c r="T724" s="8">
        <f>IF($D724='[2]Beam '!T$44,$P724*'[2]Beam '!T$45,0)</f>
        <v>0</v>
      </c>
      <c r="U724" s="8">
        <f>IF($D724='[2]Beam '!U$44,$P724*'[2]Beam '!U$45,0)</f>
        <v>0</v>
      </c>
      <c r="V724" s="8">
        <f>IF($D724='[2]Beam '!V$44,$P724*'[2]Beam '!V$45,0)</f>
        <v>0</v>
      </c>
      <c r="W724" s="8">
        <f>IF($D724='[2]Beam '!W$44,$P724*'[2]Beam '!W$45,0)</f>
        <v>0</v>
      </c>
      <c r="X724" s="8">
        <f t="shared" si="138"/>
        <v>32.233221428571433</v>
      </c>
      <c r="Y724" s="14"/>
      <c r="Z724" s="8"/>
      <c r="AA724" s="8"/>
      <c r="AB724" s="8"/>
      <c r="AC724" s="8"/>
      <c r="AD724" s="8"/>
      <c r="AE724" s="8"/>
      <c r="AF724" s="8"/>
    </row>
    <row r="725" spans="1:32" s="10" customFormat="1" ht="20.100000000000001" customHeight="1" x14ac:dyDescent="0.25">
      <c r="A725" s="14"/>
      <c r="B725" s="8" t="s">
        <v>2</v>
      </c>
      <c r="C725" s="13" t="s">
        <v>16</v>
      </c>
      <c r="D725" s="14">
        <f>D723</f>
        <v>10</v>
      </c>
      <c r="E725" s="14">
        <f>+E723</f>
        <v>0.125</v>
      </c>
      <c r="F725" s="14">
        <f>ROUND((E716-(IF(E716/3&gt;2*G716,E716/3*2,G716*2*2)))/E725,0)</f>
        <v>15</v>
      </c>
      <c r="H725" s="14"/>
      <c r="I725" s="14"/>
      <c r="J725" s="14"/>
      <c r="K725" s="14"/>
      <c r="L725" s="14"/>
      <c r="M725" s="14"/>
      <c r="N725" s="14"/>
      <c r="O725" s="8">
        <f>(2*(((F716-'[2]Beam '!$D$11*2)/(F717-1))+(G716-'[2]Beam '!$D$11*2))+(2*10*D725/1000))*D716</f>
        <v>1.34</v>
      </c>
      <c r="P725" s="8">
        <f t="shared" si="137"/>
        <v>20.100000000000001</v>
      </c>
      <c r="Q725" s="8">
        <f>IF($D725='[2]Beam '!Q$44,$P725*'[2]Beam '!Q$45,0)</f>
        <v>0</v>
      </c>
      <c r="R725" s="8">
        <f>IF($D725='[2]Beam '!R$44,$P725*'[2]Beam '!R$45,0)</f>
        <v>12.397392857142858</v>
      </c>
      <c r="S725" s="8">
        <f>IF($D725='[2]Beam '!S$44,$P725*'[2]Beam '!S$45,0)</f>
        <v>0</v>
      </c>
      <c r="T725" s="8">
        <f>IF($D725='[2]Beam '!T$44,$P725*'[2]Beam '!T$45,0)</f>
        <v>0</v>
      </c>
      <c r="U725" s="8">
        <f>IF($D725='[2]Beam '!U$44,$P725*'[2]Beam '!U$45,0)</f>
        <v>0</v>
      </c>
      <c r="V725" s="8">
        <f>IF($D725='[2]Beam '!V$44,$P725*'[2]Beam '!V$45,0)</f>
        <v>0</v>
      </c>
      <c r="W725" s="8">
        <f>IF($D725='[2]Beam '!W$44,$P725*'[2]Beam '!W$45,0)</f>
        <v>0</v>
      </c>
      <c r="X725" s="8">
        <f t="shared" si="138"/>
        <v>12.397392857142858</v>
      </c>
      <c r="Y725" s="14"/>
      <c r="Z725" s="8"/>
      <c r="AA725" s="8"/>
      <c r="AB725" s="8"/>
      <c r="AC725" s="8"/>
      <c r="AD725" s="8"/>
      <c r="AE725" s="8"/>
    </row>
    <row r="726" spans="1:32" s="10" customFormat="1" ht="20.100000000000001" customHeight="1" x14ac:dyDescent="0.25">
      <c r="A726" s="7"/>
      <c r="B726" s="8" t="s">
        <v>2</v>
      </c>
      <c r="C726" s="13" t="s">
        <v>10</v>
      </c>
      <c r="D726" s="8">
        <f>+'[2]Beam '!$D$15</f>
        <v>25</v>
      </c>
      <c r="E726" s="8">
        <f>+'[2]Beam '!$E$15</f>
        <v>1</v>
      </c>
      <c r="F726" s="8">
        <f>ROUNDUP((E716+1.65)/E726,0)</f>
        <v>8</v>
      </c>
      <c r="G726" s="9"/>
      <c r="H726" s="9"/>
      <c r="I726" s="8"/>
      <c r="J726" s="8"/>
      <c r="K726" s="8"/>
      <c r="L726" s="8"/>
      <c r="M726" s="8"/>
      <c r="N726" s="8"/>
      <c r="O726" s="8">
        <f>F716-'[2]Beam '!$F$15</f>
        <v>0.39</v>
      </c>
      <c r="P726" s="8">
        <f t="shared" si="137"/>
        <v>3.12</v>
      </c>
      <c r="Q726" s="8">
        <f>IF($D726='[2]Beam '!Q$44,$P726*'[2]Beam '!Q$45,0)</f>
        <v>0</v>
      </c>
      <c r="R726" s="8">
        <f>IF($D726='[2]Beam '!R$44,$P726*'[2]Beam '!R$45,0)</f>
        <v>0</v>
      </c>
      <c r="S726" s="8">
        <f>IF($D726='[2]Beam '!S$44,$P726*'[2]Beam '!S$45,0)</f>
        <v>0</v>
      </c>
      <c r="T726" s="8">
        <f>IF($D726='[2]Beam '!T$44,$P726*'[2]Beam '!T$45,0)</f>
        <v>0</v>
      </c>
      <c r="U726" s="8">
        <f>IF($D726='[2]Beam '!U$44,$P726*'[2]Beam '!U$45,0)</f>
        <v>0</v>
      </c>
      <c r="V726" s="8">
        <f>IF($D726='[2]Beam '!V$44,$P726*'[2]Beam '!V$45,0)</f>
        <v>12.027321428571431</v>
      </c>
      <c r="W726" s="8">
        <f>IF($D726='[2]Beam '!W$44,$P726*'[2]Beam '!W$45,0)</f>
        <v>0</v>
      </c>
      <c r="X726" s="8">
        <f t="shared" si="138"/>
        <v>12.027321428571431</v>
      </c>
      <c r="Y726" s="8"/>
      <c r="Z726" s="8"/>
      <c r="AA726" s="8"/>
      <c r="AB726" s="8"/>
      <c r="AC726" s="8"/>
      <c r="AD726" s="8"/>
      <c r="AE726" s="8"/>
    </row>
    <row r="727" spans="1:32" s="10" customFormat="1" ht="20.100000000000001" customHeight="1" x14ac:dyDescent="0.25">
      <c r="A727" s="8">
        <v>1</v>
      </c>
      <c r="B727" s="8" t="s">
        <v>2</v>
      </c>
      <c r="C727" s="11" t="s">
        <v>99</v>
      </c>
      <c r="D727" s="11">
        <v>1</v>
      </c>
      <c r="E727" s="11">
        <v>2.04</v>
      </c>
      <c r="F727" s="11">
        <v>0.3</v>
      </c>
      <c r="G727" s="11">
        <v>0.8</v>
      </c>
      <c r="H727" s="8">
        <f>G727-0.2</f>
        <v>0.60000000000000009</v>
      </c>
      <c r="I727" s="8">
        <f>E727*F727*G727*D727</f>
        <v>0.48960000000000004</v>
      </c>
      <c r="J727" s="8">
        <f>(2*(E727)*H727*D727)+(E727*F727)</f>
        <v>3.0600000000000005</v>
      </c>
      <c r="K727" s="12">
        <f>IF(E727=0.3,J727,0)</f>
        <v>0</v>
      </c>
      <c r="L727" s="12">
        <f>IF(AND(E727&gt;0.3,E727&lt;=0.75),J727,0)</f>
        <v>0</v>
      </c>
      <c r="M727" s="12">
        <f>IF(AND(E727&gt;0.75,E727&lt;=1.2),J727,0)</f>
        <v>0</v>
      </c>
      <c r="N727" s="12">
        <f>IF(E727&gt;1.2,J727,0)</f>
        <v>3.0600000000000005</v>
      </c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>
        <f>SUM(X728:X731)/I727</f>
        <v>231.44581582633052</v>
      </c>
      <c r="Z727" s="8"/>
      <c r="AA727" s="8"/>
      <c r="AB727" s="8"/>
      <c r="AC727" s="8"/>
      <c r="AD727" s="8"/>
      <c r="AE727" s="8"/>
    </row>
    <row r="728" spans="1:32" s="14" customFormat="1" ht="20.100000000000001" customHeight="1" x14ac:dyDescent="0.3">
      <c r="A728" s="7"/>
      <c r="B728" s="8" t="s">
        <v>2</v>
      </c>
      <c r="C728" s="13" t="s">
        <v>4</v>
      </c>
      <c r="D728" s="8">
        <v>20</v>
      </c>
      <c r="E728" s="8"/>
      <c r="F728" s="8">
        <v>3</v>
      </c>
      <c r="G728" s="9">
        <f>VLOOKUP(D728,'[2]Beam '!$C$20:$H$26,3,0)</f>
        <v>0.8</v>
      </c>
      <c r="H728" s="9"/>
      <c r="I728" s="8"/>
      <c r="J728" s="8"/>
      <c r="K728" s="8"/>
      <c r="L728" s="8"/>
      <c r="M728" s="8"/>
      <c r="N728" s="8"/>
      <c r="O728" s="8">
        <f>(E727+2*(G728+(12*D728/1000))*D727)</f>
        <v>4.12</v>
      </c>
      <c r="P728" s="8">
        <f>O728*F728</f>
        <v>12.36</v>
      </c>
      <c r="Q728" s="8">
        <f>IF($D728='[2]Beam '!Q$44,$P728*'[2]Beam '!Q$45,0)</f>
        <v>0</v>
      </c>
      <c r="R728" s="8">
        <f>IF($D728='[2]Beam '!R$44,$P728*'[2]Beam '!R$45,0)</f>
        <v>0</v>
      </c>
      <c r="S728" s="8">
        <f>IF($D728='[2]Beam '!S$44,$P728*'[2]Beam '!S$45,0)</f>
        <v>0</v>
      </c>
      <c r="T728" s="8">
        <f>IF($D728='[2]Beam '!T$44,$P728*'[2]Beam '!T$45,0)</f>
        <v>0</v>
      </c>
      <c r="U728" s="8">
        <f>IF($D728='[2]Beam '!U$44,$P728*'[2]Beam '!U$45,0)</f>
        <v>30.493885714285714</v>
      </c>
      <c r="V728" s="8">
        <f>IF($D728='[2]Beam '!V$44,$P728*'[2]Beam '!V$45,0)</f>
        <v>0</v>
      </c>
      <c r="W728" s="8">
        <f>IF($D728='[2]Beam '!W$44,$P728*'[2]Beam '!W$45,0)</f>
        <v>0</v>
      </c>
      <c r="X728" s="8">
        <f>SUM(Q728:W728)</f>
        <v>30.493885714285714</v>
      </c>
      <c r="Y728" s="8"/>
    </row>
    <row r="729" spans="1:32" s="10" customFormat="1" ht="21" customHeight="1" x14ac:dyDescent="0.25">
      <c r="A729" s="7"/>
      <c r="B729" s="8" t="s">
        <v>2</v>
      </c>
      <c r="C729" s="13" t="s">
        <v>6</v>
      </c>
      <c r="D729" s="8">
        <v>20</v>
      </c>
      <c r="E729" s="8"/>
      <c r="F729" s="8">
        <v>3</v>
      </c>
      <c r="G729" s="9">
        <f>VLOOKUP(D729,'[2]Beam '!$C$20:$H$26,3,0)</f>
        <v>0.8</v>
      </c>
      <c r="H729" s="8"/>
      <c r="I729" s="8"/>
      <c r="J729" s="8"/>
      <c r="K729" s="8"/>
      <c r="L729" s="8"/>
      <c r="M729" s="8"/>
      <c r="N729" s="8"/>
      <c r="O729" s="8">
        <f>(E727+2*(G729+(12*D729/1000))*D727)</f>
        <v>4.12</v>
      </c>
      <c r="P729" s="8">
        <f>O729*F729</f>
        <v>12.36</v>
      </c>
      <c r="Q729" s="8">
        <f>IF($D729='[2]Beam '!Q$44,$P729*'[2]Beam '!Q$45,0)</f>
        <v>0</v>
      </c>
      <c r="R729" s="8">
        <f>IF($D729='[2]Beam '!R$44,$P729*'[2]Beam '!R$45,0)</f>
        <v>0</v>
      </c>
      <c r="S729" s="8">
        <f>IF($D729='[2]Beam '!S$44,$P729*'[2]Beam '!S$45,0)</f>
        <v>0</v>
      </c>
      <c r="T729" s="8">
        <f>IF($D729='[2]Beam '!T$44,$P729*'[2]Beam '!T$45,0)</f>
        <v>0</v>
      </c>
      <c r="U729" s="8">
        <f>IF($D729='[2]Beam '!U$44,$P729*'[2]Beam '!U$45,0)</f>
        <v>30.493885714285714</v>
      </c>
      <c r="V729" s="8">
        <f>IF($D729='[2]Beam '!V$44,$P729*'[2]Beam '!V$45,0)</f>
        <v>0</v>
      </c>
      <c r="W729" s="8">
        <f>IF($D729='[2]Beam '!W$44,$P729*'[2]Beam '!W$45,0)</f>
        <v>0</v>
      </c>
      <c r="X729" s="8">
        <f>SUM(Q729:W729)</f>
        <v>30.493885714285714</v>
      </c>
      <c r="Y729" s="8"/>
      <c r="Z729" s="8"/>
      <c r="AA729" s="8"/>
      <c r="AB729" s="8"/>
      <c r="AC729" s="8"/>
      <c r="AD729" s="8"/>
      <c r="AE729" s="8"/>
      <c r="AF729" s="8"/>
    </row>
    <row r="730" spans="1:32" s="10" customFormat="1" ht="20.100000000000001" customHeight="1" x14ac:dyDescent="0.25">
      <c r="A730" s="7"/>
      <c r="B730" s="8" t="s">
        <v>2</v>
      </c>
      <c r="C730" s="13" t="s">
        <v>8</v>
      </c>
      <c r="D730" s="8">
        <v>10</v>
      </c>
      <c r="E730" s="8">
        <v>0.1</v>
      </c>
      <c r="F730" s="8">
        <f>ROUNDUP(E727/E730,0)</f>
        <v>21</v>
      </c>
      <c r="H730" s="8"/>
      <c r="I730" s="8"/>
      <c r="J730" s="8"/>
      <c r="K730" s="8"/>
      <c r="L730" s="8"/>
      <c r="M730" s="8"/>
      <c r="N730" s="8"/>
      <c r="O730" s="8">
        <f>(2*((G727-(2*'[2]Beam '!$D$11))+(F727-(2*'[2]Beam '!$D$11)))+(2*10*D730/1000))*D727</f>
        <v>2.16</v>
      </c>
      <c r="P730" s="8">
        <f>O730*F730</f>
        <v>45.36</v>
      </c>
      <c r="Q730" s="8">
        <f>IF($D730='[2]Beam '!Q$44,$P730*'[2]Beam '!Q$45,0)</f>
        <v>0</v>
      </c>
      <c r="R730" s="8">
        <f>IF($D730='[2]Beam '!R$44,$P730*'[2]Beam '!R$45,0)</f>
        <v>27.977399999999999</v>
      </c>
      <c r="S730" s="8">
        <f>IF($D730='[2]Beam '!S$44,$P730*'[2]Beam '!S$45,0)</f>
        <v>0</v>
      </c>
      <c r="T730" s="8">
        <f>IF($D730='[2]Beam '!T$44,$P730*'[2]Beam '!T$45,0)</f>
        <v>0</v>
      </c>
      <c r="U730" s="8">
        <f>IF($D730='[2]Beam '!U$44,$P730*'[2]Beam '!U$45,0)</f>
        <v>0</v>
      </c>
      <c r="V730" s="8">
        <f>IF($D730='[2]Beam '!V$44,$P730*'[2]Beam '!V$45,0)</f>
        <v>0</v>
      </c>
      <c r="W730" s="8">
        <f>IF($D730='[2]Beam '!W$44,$P730*'[2]Beam '!W$45,0)</f>
        <v>0</v>
      </c>
      <c r="X730" s="8">
        <f>SUM(Q730:W730)</f>
        <v>27.977399999999999</v>
      </c>
      <c r="Y730" s="8"/>
      <c r="Z730" s="8"/>
      <c r="AA730" s="8"/>
      <c r="AB730" s="8"/>
      <c r="AC730" s="8"/>
      <c r="AD730" s="8"/>
      <c r="AE730" s="8"/>
    </row>
    <row r="731" spans="1:32" s="10" customFormat="1" ht="20.100000000000001" customHeight="1" x14ac:dyDescent="0.25">
      <c r="A731" s="14"/>
      <c r="B731" s="8" t="s">
        <v>2</v>
      </c>
      <c r="C731" s="13" t="s">
        <v>9</v>
      </c>
      <c r="D731" s="8">
        <f>+D730</f>
        <v>10</v>
      </c>
      <c r="E731" s="14">
        <f>+E730</f>
        <v>0.1</v>
      </c>
      <c r="F731" s="8">
        <f>ROUNDUP(E727/E731,0)</f>
        <v>21</v>
      </c>
      <c r="H731" s="14"/>
      <c r="I731" s="14"/>
      <c r="J731" s="14"/>
      <c r="K731" s="14"/>
      <c r="L731" s="14"/>
      <c r="M731" s="14"/>
      <c r="N731" s="14"/>
      <c r="O731" s="8">
        <f>((((G727-(2*'[2]Beam '!$D$11))+(2*10*D731/1000))*D727))*2</f>
        <v>1.88</v>
      </c>
      <c r="P731" s="8">
        <f>O731*F731</f>
        <v>39.479999999999997</v>
      </c>
      <c r="Q731" s="8">
        <f>IF($D731='[2]Beam '!Q$44,$P731*'[2]Beam '!Q$45,0)</f>
        <v>0</v>
      </c>
      <c r="R731" s="8">
        <f>IF($D731='[2]Beam '!R$44,$P731*'[2]Beam '!R$45,0)</f>
        <v>24.350699999999996</v>
      </c>
      <c r="S731" s="8">
        <f>IF($D731='[2]Beam '!S$44,$P731*'[2]Beam '!S$45,0)</f>
        <v>0</v>
      </c>
      <c r="T731" s="8">
        <f>IF($D731='[2]Beam '!T$44,$P731*'[2]Beam '!T$45,0)</f>
        <v>0</v>
      </c>
      <c r="U731" s="8">
        <f>IF($D731='[2]Beam '!U$44,$P731*'[2]Beam '!U$45,0)</f>
        <v>0</v>
      </c>
      <c r="V731" s="8">
        <f>IF($D731='[2]Beam '!V$44,$P731*'[2]Beam '!V$45,0)</f>
        <v>0</v>
      </c>
      <c r="W731" s="8">
        <f>IF($D731='[2]Beam '!W$44,$P731*'[2]Beam '!W$45,0)</f>
        <v>0</v>
      </c>
      <c r="X731" s="8">
        <f>SUM(Q731:W731)</f>
        <v>24.350699999999996</v>
      </c>
      <c r="Y731" s="14"/>
      <c r="Z731" s="8"/>
      <c r="AA731" s="8"/>
      <c r="AB731" s="8"/>
      <c r="AC731" s="8"/>
      <c r="AD731" s="8"/>
      <c r="AE731" s="8"/>
    </row>
    <row r="732" spans="1:32" s="10" customFormat="1" ht="20.100000000000001" customHeight="1" x14ac:dyDescent="0.25">
      <c r="A732" s="8">
        <v>1</v>
      </c>
      <c r="B732" s="8" t="s">
        <v>2</v>
      </c>
      <c r="C732" s="11" t="s">
        <v>100</v>
      </c>
      <c r="D732" s="11">
        <v>1</v>
      </c>
      <c r="E732" s="11">
        <v>2.4</v>
      </c>
      <c r="F732" s="11">
        <v>0.3</v>
      </c>
      <c r="G732" s="11">
        <v>1.1000000000000001</v>
      </c>
      <c r="H732" s="8">
        <f>G732-0.2</f>
        <v>0.90000000000000013</v>
      </c>
      <c r="I732" s="8">
        <f>E732*F732*G732*D732</f>
        <v>0.79200000000000004</v>
      </c>
      <c r="J732" s="8">
        <f>(2*(E732)*H732*D732)+(E732*F732)</f>
        <v>5.04</v>
      </c>
      <c r="K732" s="12">
        <f>IF(E732=0.3,J732,0)</f>
        <v>0</v>
      </c>
      <c r="L732" s="12">
        <f>IF(AND(E732&gt;0.3,E732&lt;=0.75),J732,0)</f>
        <v>0</v>
      </c>
      <c r="M732" s="12">
        <f>IF(AND(E732&gt;0.75,E732&lt;=1.2),J732,0)</f>
        <v>0</v>
      </c>
      <c r="N732" s="12">
        <f>IF(E732&gt;1.2,J732,0)</f>
        <v>5.04</v>
      </c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>
        <f>SUM(X733:X738)/I732</f>
        <v>213.84097777777777</v>
      </c>
      <c r="Z732" s="8"/>
      <c r="AA732" s="8"/>
      <c r="AB732" s="8"/>
      <c r="AC732" s="8"/>
      <c r="AD732" s="8"/>
      <c r="AE732" s="8"/>
    </row>
    <row r="733" spans="1:32" s="10" customFormat="1" ht="20.100000000000001" customHeight="1" x14ac:dyDescent="0.25">
      <c r="A733" s="7"/>
      <c r="B733" s="8" t="s">
        <v>2</v>
      </c>
      <c r="C733" s="13" t="s">
        <v>4</v>
      </c>
      <c r="D733" s="8">
        <v>20</v>
      </c>
      <c r="E733" s="8"/>
      <c r="F733" s="8">
        <v>3</v>
      </c>
      <c r="G733" s="9">
        <f>VLOOKUP(D733,'[2]Beam '!$C$20:$H$26,3,0)</f>
        <v>0.8</v>
      </c>
      <c r="H733" s="9"/>
      <c r="I733" s="8"/>
      <c r="J733" s="8"/>
      <c r="K733" s="8"/>
      <c r="L733" s="8"/>
      <c r="M733" s="8"/>
      <c r="N733" s="8"/>
      <c r="O733" s="8">
        <f>(E732+2*(G733+(12*D733/1000))*D732)</f>
        <v>4.4800000000000004</v>
      </c>
      <c r="P733" s="8">
        <f t="shared" ref="P733:P739" si="139">O733*F733</f>
        <v>13.440000000000001</v>
      </c>
      <c r="Q733" s="8">
        <f>IF($D733='[2]Beam '!Q$44,$P733*'[2]Beam '!Q$45,0)</f>
        <v>0</v>
      </c>
      <c r="R733" s="8">
        <f>IF($D733='[2]Beam '!R$44,$P733*'[2]Beam '!R$45,0)</f>
        <v>0</v>
      </c>
      <c r="S733" s="8">
        <f>IF($D733='[2]Beam '!S$44,$P733*'[2]Beam '!S$45,0)</f>
        <v>0</v>
      </c>
      <c r="T733" s="8">
        <f>IF($D733='[2]Beam '!T$44,$P733*'[2]Beam '!T$45,0)</f>
        <v>0</v>
      </c>
      <c r="U733" s="8">
        <f>IF($D733='[2]Beam '!U$44,$P733*'[2]Beam '!U$45,0)</f>
        <v>33.1584</v>
      </c>
      <c r="V733" s="8">
        <f>IF($D733='[2]Beam '!V$44,$P733*'[2]Beam '!V$45,0)</f>
        <v>0</v>
      </c>
      <c r="W733" s="8">
        <f>IF($D733='[2]Beam '!W$44,$P733*'[2]Beam '!W$45,0)</f>
        <v>0</v>
      </c>
      <c r="X733" s="8">
        <f t="shared" ref="X733:X739" si="140">SUM(Q733:W733)</f>
        <v>33.1584</v>
      </c>
      <c r="Y733" s="8"/>
      <c r="Z733" s="8"/>
      <c r="AA733" s="8"/>
      <c r="AB733" s="8"/>
      <c r="AC733" s="8"/>
      <c r="AD733" s="8"/>
      <c r="AE733" s="8"/>
    </row>
    <row r="734" spans="1:32" s="10" customFormat="1" ht="20.100000000000001" customHeight="1" x14ac:dyDescent="0.25">
      <c r="A734" s="7"/>
      <c r="B734" s="8" t="s">
        <v>2</v>
      </c>
      <c r="C734" s="13" t="s">
        <v>75</v>
      </c>
      <c r="D734" s="8">
        <v>16</v>
      </c>
      <c r="E734" s="8"/>
      <c r="F734" s="8">
        <v>2</v>
      </c>
      <c r="G734" s="9">
        <f>VLOOKUP(D734,'[2]Beam '!$C$20:$H$26,3,0)</f>
        <v>0.625</v>
      </c>
      <c r="H734" s="9"/>
      <c r="I734" s="8"/>
      <c r="J734" s="8"/>
      <c r="K734" s="8"/>
      <c r="L734" s="8"/>
      <c r="M734" s="8"/>
      <c r="N734" s="8"/>
      <c r="O734" s="8">
        <f>(E732+2*(G734+(12*D734/1000))*D732)</f>
        <v>4.0339999999999998</v>
      </c>
      <c r="P734" s="8">
        <f t="shared" si="139"/>
        <v>8.0679999999999996</v>
      </c>
      <c r="Q734" s="8">
        <f>IF($D734='[2]Beam '!Q$44,$P734*'[2]Beam '!Q$45,0)</f>
        <v>0</v>
      </c>
      <c r="R734" s="8">
        <f>IF($D734='[2]Beam '!R$44,$P734*'[2]Beam '!R$45,0)</f>
        <v>0</v>
      </c>
      <c r="S734" s="8">
        <f>IF($D734='[2]Beam '!S$44,$P734*'[2]Beam '!S$45,0)</f>
        <v>0</v>
      </c>
      <c r="T734" s="8">
        <f>IF($D734='[2]Beam '!T$44,$P734*'[2]Beam '!T$45,0)</f>
        <v>12.739141485714287</v>
      </c>
      <c r="U734" s="8">
        <f>IF($D734='[2]Beam '!U$44,$P734*'[2]Beam '!U$45,0)</f>
        <v>0</v>
      </c>
      <c r="V734" s="8">
        <f>IF($D734='[2]Beam '!V$44,$P734*'[2]Beam '!V$45,0)</f>
        <v>0</v>
      </c>
      <c r="W734" s="8">
        <f>IF($D734='[2]Beam '!W$44,$P734*'[2]Beam '!W$45,0)</f>
        <v>0</v>
      </c>
      <c r="X734" s="8">
        <f t="shared" si="140"/>
        <v>12.739141485714287</v>
      </c>
      <c r="Y734" s="8"/>
      <c r="Z734" s="8"/>
      <c r="AA734" s="8"/>
      <c r="AB734" s="8"/>
      <c r="AC734" s="8"/>
      <c r="AD734" s="8"/>
      <c r="AE734" s="8"/>
    </row>
    <row r="735" spans="1:32" s="14" customFormat="1" ht="20.100000000000001" customHeight="1" x14ac:dyDescent="0.3">
      <c r="A735" s="7"/>
      <c r="B735" s="8" t="s">
        <v>2</v>
      </c>
      <c r="C735" s="13" t="s">
        <v>6</v>
      </c>
      <c r="D735" s="8">
        <v>20</v>
      </c>
      <c r="E735" s="8"/>
      <c r="F735" s="8">
        <v>3</v>
      </c>
      <c r="G735" s="9">
        <f>VLOOKUP(D735,'[2]Beam '!$C$20:$H$26,3,0)</f>
        <v>0.8</v>
      </c>
      <c r="H735" s="8"/>
      <c r="I735" s="8"/>
      <c r="J735" s="8"/>
      <c r="K735" s="8"/>
      <c r="L735" s="8"/>
      <c r="M735" s="8"/>
      <c r="N735" s="8"/>
      <c r="O735" s="8">
        <f>(E732+2*(G735+(12*D735/1000))*D732)</f>
        <v>4.4800000000000004</v>
      </c>
      <c r="P735" s="8">
        <f t="shared" si="139"/>
        <v>13.440000000000001</v>
      </c>
      <c r="Q735" s="8">
        <f>IF($D735='[2]Beam '!Q$44,$P735*'[2]Beam '!Q$45,0)</f>
        <v>0</v>
      </c>
      <c r="R735" s="8">
        <f>IF($D735='[2]Beam '!R$44,$P735*'[2]Beam '!R$45,0)</f>
        <v>0</v>
      </c>
      <c r="S735" s="8">
        <f>IF($D735='[2]Beam '!S$44,$P735*'[2]Beam '!S$45,0)</f>
        <v>0</v>
      </c>
      <c r="T735" s="8">
        <f>IF($D735='[2]Beam '!T$44,$P735*'[2]Beam '!T$45,0)</f>
        <v>0</v>
      </c>
      <c r="U735" s="8">
        <f>IF($D735='[2]Beam '!U$44,$P735*'[2]Beam '!U$45,0)</f>
        <v>33.1584</v>
      </c>
      <c r="V735" s="8">
        <f>IF($D735='[2]Beam '!V$44,$P735*'[2]Beam '!V$45,0)</f>
        <v>0</v>
      </c>
      <c r="W735" s="8">
        <f>IF($D735='[2]Beam '!W$44,$P735*'[2]Beam '!W$45,0)</f>
        <v>0</v>
      </c>
      <c r="X735" s="8">
        <f t="shared" si="140"/>
        <v>33.1584</v>
      </c>
      <c r="Y735" s="8"/>
    </row>
    <row r="736" spans="1:32" s="10" customFormat="1" ht="20.100000000000001" customHeight="1" x14ac:dyDescent="0.25">
      <c r="A736" s="7"/>
      <c r="B736" s="8" t="s">
        <v>2</v>
      </c>
      <c r="C736" s="13" t="s">
        <v>7</v>
      </c>
      <c r="D736" s="8">
        <v>16</v>
      </c>
      <c r="E736" s="8"/>
      <c r="F736" s="8">
        <v>2</v>
      </c>
      <c r="G736" s="9">
        <f>VLOOKUP(D736,'[2]Beam '!$C$20:$H$26,3,0)</f>
        <v>0.625</v>
      </c>
      <c r="H736" s="8"/>
      <c r="I736" s="8"/>
      <c r="J736" s="8"/>
      <c r="K736" s="8"/>
      <c r="L736" s="8"/>
      <c r="M736" s="8"/>
      <c r="N736" s="8"/>
      <c r="O736" s="8">
        <f>(E732+2*(G736+(12*D736/1000))*D732)</f>
        <v>4.0339999999999998</v>
      </c>
      <c r="P736" s="8">
        <f t="shared" si="139"/>
        <v>8.0679999999999996</v>
      </c>
      <c r="Q736" s="8">
        <f>IF($D736='[2]Beam '!Q$44,$P736*'[2]Beam '!Q$45,0)</f>
        <v>0</v>
      </c>
      <c r="R736" s="8">
        <f>IF($D736='[2]Beam '!R$44,$P736*'[2]Beam '!R$45,0)</f>
        <v>0</v>
      </c>
      <c r="S736" s="8">
        <f>IF($D736='[2]Beam '!S$44,$P736*'[2]Beam '!S$45,0)</f>
        <v>0</v>
      </c>
      <c r="T736" s="8">
        <f>IF($D736='[2]Beam '!T$44,$P736*'[2]Beam '!T$45,0)</f>
        <v>12.739141485714287</v>
      </c>
      <c r="U736" s="8">
        <f>IF($D736='[2]Beam '!U$44,$P736*'[2]Beam '!U$45,0)</f>
        <v>0</v>
      </c>
      <c r="V736" s="8">
        <f>IF($D736='[2]Beam '!V$44,$P736*'[2]Beam '!V$45,0)</f>
        <v>0</v>
      </c>
      <c r="W736" s="8">
        <f>IF($D736='[2]Beam '!W$44,$P736*'[2]Beam '!W$45,0)</f>
        <v>0</v>
      </c>
      <c r="X736" s="8">
        <f t="shared" si="140"/>
        <v>12.739141485714287</v>
      </c>
      <c r="Y736" s="8"/>
      <c r="Z736" s="8"/>
      <c r="AA736" s="8"/>
      <c r="AB736" s="8"/>
      <c r="AC736" s="8"/>
      <c r="AD736" s="8"/>
      <c r="AE736" s="8"/>
    </row>
    <row r="737" spans="1:32" s="10" customFormat="1" ht="21" customHeight="1" x14ac:dyDescent="0.25">
      <c r="A737" s="7"/>
      <c r="B737" s="8" t="s">
        <v>2</v>
      </c>
      <c r="C737" s="13" t="s">
        <v>8</v>
      </c>
      <c r="D737" s="8">
        <v>10</v>
      </c>
      <c r="E737" s="8">
        <v>0.1</v>
      </c>
      <c r="F737" s="8">
        <f>ROUNDUP(E732/E737,0)</f>
        <v>24</v>
      </c>
      <c r="H737" s="8"/>
      <c r="I737" s="8"/>
      <c r="J737" s="8"/>
      <c r="K737" s="8"/>
      <c r="L737" s="8"/>
      <c r="M737" s="8"/>
      <c r="N737" s="8"/>
      <c r="O737" s="8">
        <f>(2*((G732-(2*'[2]Beam '!$D$11))+(F732-(2*'[2]Beam '!$D$11)))+(2*10*D737/1000))*D732</f>
        <v>2.7600000000000002</v>
      </c>
      <c r="P737" s="8">
        <f t="shared" si="139"/>
        <v>66.240000000000009</v>
      </c>
      <c r="Q737" s="8">
        <f>IF($D737='[2]Beam '!Q$44,$P737*'[2]Beam '!Q$45,0)</f>
        <v>0</v>
      </c>
      <c r="R737" s="8">
        <f>IF($D737='[2]Beam '!R$44,$P737*'[2]Beam '!R$45,0)</f>
        <v>40.855885714285719</v>
      </c>
      <c r="S737" s="8">
        <f>IF($D737='[2]Beam '!S$44,$P737*'[2]Beam '!S$45,0)</f>
        <v>0</v>
      </c>
      <c r="T737" s="8">
        <f>IF($D737='[2]Beam '!T$44,$P737*'[2]Beam '!T$45,0)</f>
        <v>0</v>
      </c>
      <c r="U737" s="8">
        <f>IF($D737='[2]Beam '!U$44,$P737*'[2]Beam '!U$45,0)</f>
        <v>0</v>
      </c>
      <c r="V737" s="8">
        <f>IF($D737='[2]Beam '!V$44,$P737*'[2]Beam '!V$45,0)</f>
        <v>0</v>
      </c>
      <c r="W737" s="8">
        <f>IF($D737='[2]Beam '!W$44,$P737*'[2]Beam '!W$45,0)</f>
        <v>0</v>
      </c>
      <c r="X737" s="8">
        <f t="shared" si="140"/>
        <v>40.855885714285719</v>
      </c>
      <c r="Y737" s="8"/>
      <c r="Z737" s="8"/>
      <c r="AA737" s="8"/>
      <c r="AB737" s="8"/>
      <c r="AC737" s="8"/>
      <c r="AD737" s="8"/>
      <c r="AE737" s="8"/>
      <c r="AF737" s="8"/>
    </row>
    <row r="738" spans="1:32" s="10" customFormat="1" ht="20.100000000000001" customHeight="1" x14ac:dyDescent="0.25">
      <c r="A738" s="14"/>
      <c r="B738" s="8" t="s">
        <v>2</v>
      </c>
      <c r="C738" s="13" t="s">
        <v>9</v>
      </c>
      <c r="D738" s="8">
        <f>+D737</f>
        <v>10</v>
      </c>
      <c r="E738" s="14">
        <f>+E737</f>
        <v>0.1</v>
      </c>
      <c r="F738" s="8">
        <f>ROUNDUP(E732/E738,0)</f>
        <v>24</v>
      </c>
      <c r="H738" s="14"/>
      <c r="I738" s="14"/>
      <c r="J738" s="14"/>
      <c r="K738" s="14"/>
      <c r="L738" s="14"/>
      <c r="M738" s="14"/>
      <c r="N738" s="14"/>
      <c r="O738" s="8">
        <f>((((G732-(2*'[2]Beam '!$D$11))+(2*10*D738/1000))*D732))*2</f>
        <v>2.48</v>
      </c>
      <c r="P738" s="8">
        <f t="shared" si="139"/>
        <v>59.519999999999996</v>
      </c>
      <c r="Q738" s="8">
        <f>IF($D738='[2]Beam '!Q$44,$P738*'[2]Beam '!Q$45,0)</f>
        <v>0</v>
      </c>
      <c r="R738" s="8">
        <f>IF($D738='[2]Beam '!R$44,$P738*'[2]Beam '!R$45,0)</f>
        <v>36.711085714285709</v>
      </c>
      <c r="S738" s="8">
        <f>IF($D738='[2]Beam '!S$44,$P738*'[2]Beam '!S$45,0)</f>
        <v>0</v>
      </c>
      <c r="T738" s="8">
        <f>IF($D738='[2]Beam '!T$44,$P738*'[2]Beam '!T$45,0)</f>
        <v>0</v>
      </c>
      <c r="U738" s="8">
        <f>IF($D738='[2]Beam '!U$44,$P738*'[2]Beam '!U$45,0)</f>
        <v>0</v>
      </c>
      <c r="V738" s="8">
        <f>IF($D738='[2]Beam '!V$44,$P738*'[2]Beam '!V$45,0)</f>
        <v>0</v>
      </c>
      <c r="W738" s="8">
        <f>IF($D738='[2]Beam '!W$44,$P738*'[2]Beam '!W$45,0)</f>
        <v>0</v>
      </c>
      <c r="X738" s="8">
        <f t="shared" si="140"/>
        <v>36.711085714285709</v>
      </c>
      <c r="Y738" s="14"/>
      <c r="Z738" s="8"/>
      <c r="AA738" s="8"/>
      <c r="AB738" s="8"/>
      <c r="AC738" s="8"/>
      <c r="AD738" s="8"/>
      <c r="AE738" s="8"/>
    </row>
    <row r="739" spans="1:32" s="10" customFormat="1" ht="20.100000000000001" customHeight="1" x14ac:dyDescent="0.25">
      <c r="A739" s="7"/>
      <c r="B739" s="8" t="s">
        <v>2</v>
      </c>
      <c r="C739" s="13" t="s">
        <v>10</v>
      </c>
      <c r="D739" s="8">
        <f>+'[2]Beam '!$D$15</f>
        <v>25</v>
      </c>
      <c r="E739" s="8">
        <f>+'[2]Beam '!$E$15</f>
        <v>1</v>
      </c>
      <c r="F739" s="8">
        <f>ROUNDUP((E732)/E739,0)</f>
        <v>3</v>
      </c>
      <c r="G739" s="9"/>
      <c r="H739" s="9"/>
      <c r="I739" s="8"/>
      <c r="J739" s="8"/>
      <c r="K739" s="8"/>
      <c r="L739" s="8"/>
      <c r="M739" s="8"/>
      <c r="N739" s="8"/>
      <c r="O739" s="8">
        <f>F732-'[2]Beam '!$F$15</f>
        <v>0.24</v>
      </c>
      <c r="P739" s="8">
        <f t="shared" si="139"/>
        <v>0.72</v>
      </c>
      <c r="Q739" s="8">
        <f>IF($D739='[2]Beam '!Q$44,$P739*'[2]Beam '!Q$45,0)</f>
        <v>0</v>
      </c>
      <c r="R739" s="8">
        <f>IF($D739='[2]Beam '!R$44,$P739*'[2]Beam '!R$45,0)</f>
        <v>0</v>
      </c>
      <c r="S739" s="8">
        <f>IF($D739='[2]Beam '!S$44,$P739*'[2]Beam '!S$45,0)</f>
        <v>0</v>
      </c>
      <c r="T739" s="8">
        <f>IF($D739='[2]Beam '!T$44,$P739*'[2]Beam '!T$45,0)</f>
        <v>0</v>
      </c>
      <c r="U739" s="8">
        <f>IF($D739='[2]Beam '!U$44,$P739*'[2]Beam '!U$45,0)</f>
        <v>0</v>
      </c>
      <c r="V739" s="8">
        <f>IF($D739='[2]Beam '!V$44,$P739*'[2]Beam '!V$45,0)</f>
        <v>2.7755357142857147</v>
      </c>
      <c r="W739" s="8">
        <f>IF($D739='[2]Beam '!W$44,$P739*'[2]Beam '!W$45,0)</f>
        <v>0</v>
      </c>
      <c r="X739" s="8">
        <f t="shared" si="140"/>
        <v>2.7755357142857147</v>
      </c>
      <c r="Y739" s="8"/>
      <c r="Z739" s="8"/>
      <c r="AA739" s="8"/>
      <c r="AB739" s="8"/>
      <c r="AC739" s="8"/>
      <c r="AD739" s="8"/>
      <c r="AE739" s="8"/>
    </row>
    <row r="740" spans="1:32" s="10" customFormat="1" ht="20.100000000000001" customHeight="1" x14ac:dyDescent="0.25">
      <c r="A740" s="8">
        <v>1</v>
      </c>
      <c r="B740" s="8" t="s">
        <v>2</v>
      </c>
      <c r="C740" s="11" t="s">
        <v>101</v>
      </c>
      <c r="D740" s="11">
        <v>1</v>
      </c>
      <c r="E740" s="11">
        <v>6.2</v>
      </c>
      <c r="F740" s="11">
        <v>0.2</v>
      </c>
      <c r="G740" s="11">
        <v>0.8</v>
      </c>
      <c r="H740" s="8">
        <f>G740-0.2</f>
        <v>0.60000000000000009</v>
      </c>
      <c r="I740" s="8">
        <f>E740*F740*G740*D740</f>
        <v>0.99200000000000021</v>
      </c>
      <c r="J740" s="8">
        <f>(2*(E740)*H740*D740)+(E740*F740)</f>
        <v>8.6800000000000015</v>
      </c>
      <c r="K740" s="12">
        <f>IF(E740=0.3,J740,0)</f>
        <v>0</v>
      </c>
      <c r="L740" s="12">
        <f>IF(AND(E740&gt;0.3,E740&lt;=0.75),J740,0)</f>
        <v>0</v>
      </c>
      <c r="M740" s="12">
        <f>IF(AND(E740&gt;0.75,E740&lt;=1.2),J740,0)</f>
        <v>0</v>
      </c>
      <c r="N740" s="12">
        <f>IF(E740&gt;1.2,J740,0)</f>
        <v>8.6800000000000015</v>
      </c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>
        <f>SUM(X741:X744)/I740</f>
        <v>192.75150460829494</v>
      </c>
      <c r="Z740" s="8"/>
      <c r="AA740" s="8"/>
      <c r="AB740" s="8"/>
      <c r="AC740" s="8"/>
      <c r="AD740" s="8"/>
      <c r="AE740" s="8"/>
    </row>
    <row r="741" spans="1:32" s="10" customFormat="1" ht="20.100000000000001" customHeight="1" x14ac:dyDescent="0.25">
      <c r="A741" s="7"/>
      <c r="B741" s="8" t="s">
        <v>2</v>
      </c>
      <c r="C741" s="13" t="s">
        <v>4</v>
      </c>
      <c r="D741" s="8">
        <v>25</v>
      </c>
      <c r="E741" s="8"/>
      <c r="F741" s="8">
        <v>2</v>
      </c>
      <c r="G741" s="9">
        <f>VLOOKUP(D741,'[2]Beam '!$C$20:$H$26,3,0)</f>
        <v>1</v>
      </c>
      <c r="H741" s="9"/>
      <c r="I741" s="8"/>
      <c r="J741" s="8"/>
      <c r="K741" s="8"/>
      <c r="L741" s="8"/>
      <c r="M741" s="8"/>
      <c r="N741" s="8"/>
      <c r="O741" s="8">
        <f>(E740+2*(G741+(12*D741/1000))*D740)</f>
        <v>8.8000000000000007</v>
      </c>
      <c r="P741" s="8">
        <f>O741*F741</f>
        <v>17.600000000000001</v>
      </c>
      <c r="Q741" s="8">
        <f>IF($D741='[2]Beam '!Q$44,$P741*'[2]Beam '!Q$45,0)</f>
        <v>0</v>
      </c>
      <c r="R741" s="8">
        <f>IF($D741='[2]Beam '!R$44,$P741*'[2]Beam '!R$45,0)</f>
        <v>0</v>
      </c>
      <c r="S741" s="8">
        <f>IF($D741='[2]Beam '!S$44,$P741*'[2]Beam '!S$45,0)</f>
        <v>0</v>
      </c>
      <c r="T741" s="8">
        <f>IF($D741='[2]Beam '!T$44,$P741*'[2]Beam '!T$45,0)</f>
        <v>0</v>
      </c>
      <c r="U741" s="8">
        <f>IF($D741='[2]Beam '!U$44,$P741*'[2]Beam '!U$45,0)</f>
        <v>0</v>
      </c>
      <c r="V741" s="8">
        <f>IF($D741='[2]Beam '!V$44,$P741*'[2]Beam '!V$45,0)</f>
        <v>67.846428571428589</v>
      </c>
      <c r="W741" s="8">
        <f>IF($D741='[2]Beam '!W$44,$P741*'[2]Beam '!W$45,0)</f>
        <v>0</v>
      </c>
      <c r="X741" s="8">
        <f>SUM(Q741:W741)</f>
        <v>67.846428571428589</v>
      </c>
      <c r="Y741" s="8"/>
      <c r="Z741" s="8"/>
      <c r="AA741" s="8"/>
      <c r="AB741" s="8"/>
      <c r="AC741" s="8"/>
      <c r="AD741" s="8"/>
      <c r="AE741" s="8"/>
    </row>
    <row r="742" spans="1:32" s="10" customFormat="1" ht="20.100000000000001" customHeight="1" x14ac:dyDescent="0.25">
      <c r="A742" s="7"/>
      <c r="B742" s="8" t="s">
        <v>2</v>
      </c>
      <c r="C742" s="13" t="s">
        <v>6</v>
      </c>
      <c r="D742" s="8">
        <v>25</v>
      </c>
      <c r="E742" s="8"/>
      <c r="F742" s="8">
        <v>2</v>
      </c>
      <c r="G742" s="9">
        <f>VLOOKUP(D742,'[2]Beam '!$C$20:$H$26,3,0)</f>
        <v>1</v>
      </c>
      <c r="H742" s="8"/>
      <c r="I742" s="8"/>
      <c r="J742" s="8"/>
      <c r="K742" s="8"/>
      <c r="L742" s="8"/>
      <c r="M742" s="8"/>
      <c r="N742" s="8"/>
      <c r="O742" s="8">
        <f>(E740+2*(G742+(12*D742/1000))*D740)</f>
        <v>8.8000000000000007</v>
      </c>
      <c r="P742" s="8">
        <f>O742*F742</f>
        <v>17.600000000000001</v>
      </c>
      <c r="Q742" s="8">
        <f>IF($D742='[2]Beam '!Q$44,$P742*'[2]Beam '!Q$45,0)</f>
        <v>0</v>
      </c>
      <c r="R742" s="8">
        <f>IF($D742='[2]Beam '!R$44,$P742*'[2]Beam '!R$45,0)</f>
        <v>0</v>
      </c>
      <c r="S742" s="8">
        <f>IF($D742='[2]Beam '!S$44,$P742*'[2]Beam '!S$45,0)</f>
        <v>0</v>
      </c>
      <c r="T742" s="8">
        <f>IF($D742='[2]Beam '!T$44,$P742*'[2]Beam '!T$45,0)</f>
        <v>0</v>
      </c>
      <c r="U742" s="8">
        <f>IF($D742='[2]Beam '!U$44,$P742*'[2]Beam '!U$45,0)</f>
        <v>0</v>
      </c>
      <c r="V742" s="8">
        <f>IF($D742='[2]Beam '!V$44,$P742*'[2]Beam '!V$45,0)</f>
        <v>67.846428571428589</v>
      </c>
      <c r="W742" s="8">
        <f>IF($D742='[2]Beam '!W$44,$P742*'[2]Beam '!W$45,0)</f>
        <v>0</v>
      </c>
      <c r="X742" s="8">
        <f>SUM(Q742:W742)</f>
        <v>67.846428571428589</v>
      </c>
      <c r="Y742" s="8"/>
      <c r="Z742" s="8"/>
      <c r="AA742" s="8"/>
      <c r="AB742" s="8"/>
      <c r="AC742" s="8"/>
      <c r="AD742" s="8"/>
      <c r="AE742" s="8"/>
    </row>
    <row r="743" spans="1:32" s="10" customFormat="1" ht="21" customHeight="1" x14ac:dyDescent="0.25">
      <c r="A743" s="7"/>
      <c r="B743" s="8" t="s">
        <v>2</v>
      </c>
      <c r="C743" s="13" t="s">
        <v>7</v>
      </c>
      <c r="D743" s="8">
        <v>12</v>
      </c>
      <c r="E743" s="8"/>
      <c r="F743" s="8">
        <v>2</v>
      </c>
      <c r="G743" s="9">
        <f>VLOOKUP(D743,'[2]Beam '!$C$20:$H$26,3,0)</f>
        <v>0.47499999999999998</v>
      </c>
      <c r="H743" s="8"/>
      <c r="I743" s="8"/>
      <c r="J743" s="8"/>
      <c r="K743" s="8"/>
      <c r="L743" s="8"/>
      <c r="M743" s="8"/>
      <c r="N743" s="8"/>
      <c r="O743" s="8">
        <f>+E740-0.7-0.7</f>
        <v>4.8</v>
      </c>
      <c r="P743" s="8">
        <f>O743*F743</f>
        <v>9.6</v>
      </c>
      <c r="Q743" s="8">
        <f>IF($D743='[2]Beam '!Q$44,$P743*'[2]Beam '!Q$45,0)</f>
        <v>0</v>
      </c>
      <c r="R743" s="8">
        <f>IF($D743='[2]Beam '!R$44,$P743*'[2]Beam '!R$45,0)</f>
        <v>0</v>
      </c>
      <c r="S743" s="8">
        <f>IF($D743='[2]Beam '!S$44,$P743*'[2]Beam '!S$45,0)</f>
        <v>8.5264457142857157</v>
      </c>
      <c r="T743" s="8">
        <f>IF($D743='[2]Beam '!T$44,$P743*'[2]Beam '!T$45,0)</f>
        <v>0</v>
      </c>
      <c r="U743" s="8">
        <f>IF($D743='[2]Beam '!U$44,$P743*'[2]Beam '!U$45,0)</f>
        <v>0</v>
      </c>
      <c r="V743" s="8">
        <f>IF($D743='[2]Beam '!V$44,$P743*'[2]Beam '!V$45,0)</f>
        <v>0</v>
      </c>
      <c r="W743" s="8">
        <f>IF($D743='[2]Beam '!W$44,$P743*'[2]Beam '!W$45,0)</f>
        <v>0</v>
      </c>
      <c r="X743" s="8">
        <f>SUM(Q743:W743)</f>
        <v>8.5264457142857157</v>
      </c>
      <c r="Y743" s="8"/>
      <c r="Z743" s="8"/>
      <c r="AA743" s="8"/>
      <c r="AB743" s="8"/>
      <c r="AC743" s="8"/>
      <c r="AD743" s="8"/>
      <c r="AE743" s="8"/>
      <c r="AF743" s="8"/>
    </row>
    <row r="744" spans="1:32" s="10" customFormat="1" ht="20.100000000000001" customHeight="1" x14ac:dyDescent="0.25">
      <c r="A744" s="7"/>
      <c r="B744" s="8" t="s">
        <v>2</v>
      </c>
      <c r="C744" s="13" t="s">
        <v>8</v>
      </c>
      <c r="D744" s="8">
        <v>8</v>
      </c>
      <c r="E744" s="8">
        <v>0.1</v>
      </c>
      <c r="F744" s="8">
        <f>ROUNDUP(E740/E744,0)</f>
        <v>62</v>
      </c>
      <c r="H744" s="8"/>
      <c r="I744" s="8"/>
      <c r="J744" s="8"/>
      <c r="K744" s="8"/>
      <c r="L744" s="8"/>
      <c r="M744" s="8"/>
      <c r="N744" s="8"/>
      <c r="O744" s="8">
        <f>(2*((G740-(2*'[2]Beam '!$D$11))+(F740-(2*'[2]Beam '!$D$11)))+(2*10*D744/1000))*D740</f>
        <v>1.92</v>
      </c>
      <c r="P744" s="8">
        <f>O744*F744</f>
        <v>119.03999999999999</v>
      </c>
      <c r="Q744" s="8">
        <f>IF($D744='[2]Beam '!Q$44,$P744*'[2]Beam '!Q$45,0)</f>
        <v>46.990189714285712</v>
      </c>
      <c r="R744" s="8">
        <f>IF($D744='[2]Beam '!R$44,$P744*'[2]Beam '!R$45,0)</f>
        <v>0</v>
      </c>
      <c r="S744" s="8">
        <f>IF($D744='[2]Beam '!S$44,$P744*'[2]Beam '!S$45,0)</f>
        <v>0</v>
      </c>
      <c r="T744" s="8">
        <f>IF($D744='[2]Beam '!T$44,$P744*'[2]Beam '!T$45,0)</f>
        <v>0</v>
      </c>
      <c r="U744" s="8">
        <f>IF($D744='[2]Beam '!U$44,$P744*'[2]Beam '!U$45,0)</f>
        <v>0</v>
      </c>
      <c r="V744" s="8">
        <f>IF($D744='[2]Beam '!V$44,$P744*'[2]Beam '!V$45,0)</f>
        <v>0</v>
      </c>
      <c r="W744" s="8">
        <f>IF($D744='[2]Beam '!W$44,$P744*'[2]Beam '!W$45,0)</f>
        <v>0</v>
      </c>
      <c r="X744" s="8">
        <f>SUM(Q744:W744)</f>
        <v>46.990189714285712</v>
      </c>
      <c r="Y744" s="8"/>
      <c r="Z744" s="8"/>
      <c r="AA744" s="8"/>
      <c r="AB744" s="8"/>
      <c r="AC744" s="8"/>
      <c r="AD744" s="8"/>
      <c r="AE744" s="8"/>
    </row>
    <row r="745" spans="1:32" s="10" customFormat="1" ht="20.100000000000001" customHeight="1" x14ac:dyDescent="0.25">
      <c r="A745" s="7"/>
      <c r="B745" s="8" t="s">
        <v>2</v>
      </c>
      <c r="C745" s="13" t="s">
        <v>10</v>
      </c>
      <c r="D745" s="8">
        <f>+'[2]Beam '!$D$15</f>
        <v>25</v>
      </c>
      <c r="E745" s="8">
        <f>+'[2]Beam '!$E$15</f>
        <v>1</v>
      </c>
      <c r="F745" s="8">
        <f>ROUNDUP((4.8)/E745,0)</f>
        <v>5</v>
      </c>
      <c r="G745" s="9"/>
      <c r="H745" s="9"/>
      <c r="I745" s="8"/>
      <c r="J745" s="8"/>
      <c r="K745" s="8"/>
      <c r="L745" s="8"/>
      <c r="M745" s="8"/>
      <c r="N745" s="8"/>
      <c r="O745" s="8">
        <f>F740-'[2]Beam '!$F$15</f>
        <v>0.14000000000000001</v>
      </c>
      <c r="P745" s="8">
        <f>O745*F745</f>
        <v>0.70000000000000007</v>
      </c>
      <c r="Q745" s="8">
        <f>IF($D745='[2]Beam '!Q$44,$P745*'[2]Beam '!Q$45,0)</f>
        <v>0</v>
      </c>
      <c r="R745" s="8">
        <f>IF($D745='[2]Beam '!R$44,$P745*'[2]Beam '!R$45,0)</f>
        <v>0</v>
      </c>
      <c r="S745" s="8">
        <f>IF($D745='[2]Beam '!S$44,$P745*'[2]Beam '!S$45,0)</f>
        <v>0</v>
      </c>
      <c r="T745" s="8">
        <f>IF($D745='[2]Beam '!T$44,$P745*'[2]Beam '!T$45,0)</f>
        <v>0</v>
      </c>
      <c r="U745" s="8">
        <f>IF($D745='[2]Beam '!U$44,$P745*'[2]Beam '!U$45,0)</f>
        <v>0</v>
      </c>
      <c r="V745" s="8">
        <f>IF($D745='[2]Beam '!V$44,$P745*'[2]Beam '!V$45,0)</f>
        <v>2.6984375000000007</v>
      </c>
      <c r="W745" s="8">
        <f>IF($D745='[2]Beam '!W$44,$P745*'[2]Beam '!W$45,0)</f>
        <v>0</v>
      </c>
      <c r="X745" s="8">
        <f>SUM(Q745:W745)</f>
        <v>2.6984375000000007</v>
      </c>
      <c r="Y745" s="8"/>
      <c r="Z745" s="8"/>
      <c r="AA745" s="8"/>
      <c r="AB745" s="8"/>
      <c r="AC745" s="8"/>
      <c r="AD745" s="8"/>
      <c r="AE745" s="8"/>
    </row>
    <row r="746" spans="1:32" s="10" customFormat="1" ht="20.100000000000001" customHeight="1" x14ac:dyDescent="0.25">
      <c r="A746" s="8">
        <v>1</v>
      </c>
      <c r="B746" s="8" t="s">
        <v>2</v>
      </c>
      <c r="C746" s="11" t="s">
        <v>102</v>
      </c>
      <c r="D746" s="11">
        <v>1</v>
      </c>
      <c r="E746" s="11">
        <v>2.4</v>
      </c>
      <c r="F746" s="11">
        <v>0.3</v>
      </c>
      <c r="G746" s="11">
        <v>1.1000000000000001</v>
      </c>
      <c r="H746" s="8">
        <f>G746-0.2</f>
        <v>0.90000000000000013</v>
      </c>
      <c r="I746" s="8">
        <f>E746*F746*G746*D746</f>
        <v>0.79200000000000004</v>
      </c>
      <c r="J746" s="8">
        <f>(2*(E746)*H746*D746)+(E746*F746)</f>
        <v>5.04</v>
      </c>
      <c r="K746" s="12">
        <f>IF(E746=0.3,J746,0)</f>
        <v>0</v>
      </c>
      <c r="L746" s="12">
        <f>IF(AND(E746&gt;0.3,E746&lt;=0.75),J746,0)</f>
        <v>0</v>
      </c>
      <c r="M746" s="12">
        <f>IF(AND(E746&gt;0.75,E746&lt;=1.2),J746,0)</f>
        <v>0</v>
      </c>
      <c r="N746" s="12">
        <f>IF(E746&gt;1.2,J746,0)</f>
        <v>5.04</v>
      </c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>
        <f>SUM(X747:X752)/I746</f>
        <v>190.66478730158732</v>
      </c>
      <c r="Z746" s="8"/>
      <c r="AA746" s="8"/>
      <c r="AB746" s="8"/>
      <c r="AC746" s="8"/>
      <c r="AD746" s="8"/>
      <c r="AE746" s="8"/>
    </row>
    <row r="747" spans="1:32" s="10" customFormat="1" ht="20.100000000000001" customHeight="1" x14ac:dyDescent="0.25">
      <c r="A747" s="7"/>
      <c r="B747" s="8" t="s">
        <v>2</v>
      </c>
      <c r="C747" s="13" t="s">
        <v>4</v>
      </c>
      <c r="D747" s="8">
        <v>20</v>
      </c>
      <c r="E747" s="8"/>
      <c r="F747" s="8">
        <v>3</v>
      </c>
      <c r="G747" s="9">
        <f>VLOOKUP(D747,'[2]Beam '!$C$20:$H$26,3,0)</f>
        <v>0.8</v>
      </c>
      <c r="H747" s="9"/>
      <c r="I747" s="8"/>
      <c r="J747" s="8"/>
      <c r="K747" s="8"/>
      <c r="L747" s="8"/>
      <c r="M747" s="8"/>
      <c r="N747" s="8"/>
      <c r="O747" s="8">
        <f>(E746+2*(G747+(12*D747/1000))*D746)</f>
        <v>4.4800000000000004</v>
      </c>
      <c r="P747" s="8">
        <f t="shared" ref="P747:P753" si="141">O747*F747</f>
        <v>13.440000000000001</v>
      </c>
      <c r="Q747" s="8">
        <f>IF($D747='[2]Beam '!Q$44,$P747*'[2]Beam '!Q$45,0)</f>
        <v>0</v>
      </c>
      <c r="R747" s="8">
        <f>IF($D747='[2]Beam '!R$44,$P747*'[2]Beam '!R$45,0)</f>
        <v>0</v>
      </c>
      <c r="S747" s="8">
        <f>IF($D747='[2]Beam '!S$44,$P747*'[2]Beam '!S$45,0)</f>
        <v>0</v>
      </c>
      <c r="T747" s="8">
        <f>IF($D747='[2]Beam '!T$44,$P747*'[2]Beam '!T$45,0)</f>
        <v>0</v>
      </c>
      <c r="U747" s="8">
        <f>IF($D747='[2]Beam '!U$44,$P747*'[2]Beam '!U$45,0)</f>
        <v>33.1584</v>
      </c>
      <c r="V747" s="8">
        <f>IF($D747='[2]Beam '!V$44,$P747*'[2]Beam '!V$45,0)</f>
        <v>0</v>
      </c>
      <c r="W747" s="8">
        <f>IF($D747='[2]Beam '!W$44,$P747*'[2]Beam '!W$45,0)</f>
        <v>0</v>
      </c>
      <c r="X747" s="8">
        <f t="shared" ref="X747:X753" si="142">SUM(Q747:W747)</f>
        <v>33.1584</v>
      </c>
      <c r="Y747" s="8"/>
      <c r="Z747" s="8"/>
      <c r="AA747" s="8"/>
      <c r="AB747" s="8"/>
      <c r="AC747" s="8"/>
      <c r="AD747" s="8"/>
      <c r="AE747" s="8"/>
    </row>
    <row r="748" spans="1:32" s="10" customFormat="1" ht="20.100000000000001" customHeight="1" x14ac:dyDescent="0.25">
      <c r="A748" s="7"/>
      <c r="B748" s="8" t="s">
        <v>2</v>
      </c>
      <c r="C748" s="13" t="s">
        <v>75</v>
      </c>
      <c r="D748" s="8">
        <v>16</v>
      </c>
      <c r="E748" s="8"/>
      <c r="F748" s="8">
        <v>2</v>
      </c>
      <c r="G748" s="9">
        <f>VLOOKUP(D748,'[2]Beam '!$C$20:$H$26,3,0)</f>
        <v>0.625</v>
      </c>
      <c r="H748" s="9"/>
      <c r="I748" s="8"/>
      <c r="J748" s="8"/>
      <c r="K748" s="8"/>
      <c r="L748" s="8"/>
      <c r="M748" s="8"/>
      <c r="N748" s="8"/>
      <c r="O748" s="8">
        <f>(E746+2*(G748+(12*D748/1000))*D746)</f>
        <v>4.0339999999999998</v>
      </c>
      <c r="P748" s="8">
        <f t="shared" si="141"/>
        <v>8.0679999999999996</v>
      </c>
      <c r="Q748" s="8">
        <f>IF($D748='[2]Beam '!Q$44,$P748*'[2]Beam '!Q$45,0)</f>
        <v>0</v>
      </c>
      <c r="R748" s="8">
        <f>IF($D748='[2]Beam '!R$44,$P748*'[2]Beam '!R$45,0)</f>
        <v>0</v>
      </c>
      <c r="S748" s="8">
        <f>IF($D748='[2]Beam '!S$44,$P748*'[2]Beam '!S$45,0)</f>
        <v>0</v>
      </c>
      <c r="T748" s="8">
        <f>IF($D748='[2]Beam '!T$44,$P748*'[2]Beam '!T$45,0)</f>
        <v>12.739141485714287</v>
      </c>
      <c r="U748" s="8">
        <f>IF($D748='[2]Beam '!U$44,$P748*'[2]Beam '!U$45,0)</f>
        <v>0</v>
      </c>
      <c r="V748" s="8">
        <f>IF($D748='[2]Beam '!V$44,$P748*'[2]Beam '!V$45,0)</f>
        <v>0</v>
      </c>
      <c r="W748" s="8">
        <f>IF($D748='[2]Beam '!W$44,$P748*'[2]Beam '!W$45,0)</f>
        <v>0</v>
      </c>
      <c r="X748" s="8">
        <f t="shared" si="142"/>
        <v>12.739141485714287</v>
      </c>
      <c r="Y748" s="8"/>
      <c r="Z748" s="8"/>
      <c r="AA748" s="8"/>
      <c r="AB748" s="8"/>
      <c r="AC748" s="8"/>
      <c r="AD748" s="8"/>
      <c r="AE748" s="8"/>
    </row>
    <row r="749" spans="1:32" s="14" customFormat="1" ht="20.100000000000001" customHeight="1" x14ac:dyDescent="0.3">
      <c r="A749" s="7"/>
      <c r="B749" s="8" t="s">
        <v>2</v>
      </c>
      <c r="C749" s="13" t="s">
        <v>6</v>
      </c>
      <c r="D749" s="8">
        <v>20</v>
      </c>
      <c r="E749" s="8"/>
      <c r="F749" s="8">
        <v>3</v>
      </c>
      <c r="G749" s="9">
        <f>VLOOKUP(D749,'[2]Beam '!$C$20:$H$26,3,0)</f>
        <v>0.8</v>
      </c>
      <c r="H749" s="8"/>
      <c r="I749" s="8"/>
      <c r="J749" s="8"/>
      <c r="K749" s="8"/>
      <c r="L749" s="8"/>
      <c r="M749" s="8"/>
      <c r="N749" s="8"/>
      <c r="O749" s="8">
        <f>(E746+2*(G749+(12*D749/1000))*D746)</f>
        <v>4.4800000000000004</v>
      </c>
      <c r="P749" s="8">
        <f t="shared" si="141"/>
        <v>13.440000000000001</v>
      </c>
      <c r="Q749" s="8">
        <f>IF($D749='[2]Beam '!Q$44,$P749*'[2]Beam '!Q$45,0)</f>
        <v>0</v>
      </c>
      <c r="R749" s="8">
        <f>IF($D749='[2]Beam '!R$44,$P749*'[2]Beam '!R$45,0)</f>
        <v>0</v>
      </c>
      <c r="S749" s="8">
        <f>IF($D749='[2]Beam '!S$44,$P749*'[2]Beam '!S$45,0)</f>
        <v>0</v>
      </c>
      <c r="T749" s="8">
        <f>IF($D749='[2]Beam '!T$44,$P749*'[2]Beam '!T$45,0)</f>
        <v>0</v>
      </c>
      <c r="U749" s="8">
        <f>IF($D749='[2]Beam '!U$44,$P749*'[2]Beam '!U$45,0)</f>
        <v>33.1584</v>
      </c>
      <c r="V749" s="8">
        <f>IF($D749='[2]Beam '!V$44,$P749*'[2]Beam '!V$45,0)</f>
        <v>0</v>
      </c>
      <c r="W749" s="8">
        <f>IF($D749='[2]Beam '!W$44,$P749*'[2]Beam '!W$45,0)</f>
        <v>0</v>
      </c>
      <c r="X749" s="8">
        <f t="shared" si="142"/>
        <v>33.1584</v>
      </c>
      <c r="Y749" s="8"/>
    </row>
    <row r="750" spans="1:32" s="10" customFormat="1" ht="20.100000000000001" customHeight="1" x14ac:dyDescent="0.25">
      <c r="A750" s="7"/>
      <c r="B750" s="8" t="s">
        <v>2</v>
      </c>
      <c r="C750" s="13" t="s">
        <v>7</v>
      </c>
      <c r="D750" s="8">
        <v>16</v>
      </c>
      <c r="E750" s="8"/>
      <c r="F750" s="8">
        <v>2</v>
      </c>
      <c r="G750" s="9">
        <f>VLOOKUP(D750,'[2]Beam '!$C$20:$H$26,3,0)</f>
        <v>0.625</v>
      </c>
      <c r="H750" s="8"/>
      <c r="I750" s="8"/>
      <c r="J750" s="8"/>
      <c r="K750" s="8"/>
      <c r="L750" s="8"/>
      <c r="M750" s="8"/>
      <c r="N750" s="8"/>
      <c r="O750" s="8">
        <f>(E746+2*(G750+(12*D750/1000))*D746)</f>
        <v>4.0339999999999998</v>
      </c>
      <c r="P750" s="8">
        <f t="shared" si="141"/>
        <v>8.0679999999999996</v>
      </c>
      <c r="Q750" s="8">
        <f>IF($D750='[2]Beam '!Q$44,$P750*'[2]Beam '!Q$45,0)</f>
        <v>0</v>
      </c>
      <c r="R750" s="8">
        <f>IF($D750='[2]Beam '!R$44,$P750*'[2]Beam '!R$45,0)</f>
        <v>0</v>
      </c>
      <c r="S750" s="8">
        <f>IF($D750='[2]Beam '!S$44,$P750*'[2]Beam '!S$45,0)</f>
        <v>0</v>
      </c>
      <c r="T750" s="8">
        <f>IF($D750='[2]Beam '!T$44,$P750*'[2]Beam '!T$45,0)</f>
        <v>12.739141485714287</v>
      </c>
      <c r="U750" s="8">
        <f>IF($D750='[2]Beam '!U$44,$P750*'[2]Beam '!U$45,0)</f>
        <v>0</v>
      </c>
      <c r="V750" s="8">
        <f>IF($D750='[2]Beam '!V$44,$P750*'[2]Beam '!V$45,0)</f>
        <v>0</v>
      </c>
      <c r="W750" s="8">
        <f>IF($D750='[2]Beam '!W$44,$P750*'[2]Beam '!W$45,0)</f>
        <v>0</v>
      </c>
      <c r="X750" s="8">
        <f t="shared" si="142"/>
        <v>12.739141485714287</v>
      </c>
      <c r="Y750" s="8"/>
      <c r="Z750" s="8"/>
      <c r="AA750" s="8"/>
      <c r="AB750" s="8"/>
      <c r="AC750" s="8"/>
      <c r="AD750" s="8"/>
      <c r="AE750" s="8"/>
    </row>
    <row r="751" spans="1:32" s="10" customFormat="1" ht="21" customHeight="1" x14ac:dyDescent="0.25">
      <c r="A751" s="7"/>
      <c r="B751" s="8" t="s">
        <v>2</v>
      </c>
      <c r="C751" s="13" t="s">
        <v>8</v>
      </c>
      <c r="D751" s="8">
        <v>10</v>
      </c>
      <c r="E751" s="8">
        <v>0.1</v>
      </c>
      <c r="F751" s="8">
        <f>ROUNDUP(E746/E751,0)</f>
        <v>24</v>
      </c>
      <c r="H751" s="8"/>
      <c r="I751" s="8"/>
      <c r="J751" s="8"/>
      <c r="K751" s="8"/>
      <c r="L751" s="8"/>
      <c r="M751" s="8"/>
      <c r="N751" s="8"/>
      <c r="O751" s="8">
        <f>(2*((G746-(2*'[2]Beam '!$D$11))+(F746-(2*'[2]Beam '!$D$11)))+(2*10*D751/1000))*D746</f>
        <v>2.7600000000000002</v>
      </c>
      <c r="P751" s="8">
        <f t="shared" si="141"/>
        <v>66.240000000000009</v>
      </c>
      <c r="Q751" s="8">
        <f>IF($D751='[2]Beam '!Q$44,$P751*'[2]Beam '!Q$45,0)</f>
        <v>0</v>
      </c>
      <c r="R751" s="8">
        <f>IF($D751='[2]Beam '!R$44,$P751*'[2]Beam '!R$45,0)</f>
        <v>40.855885714285719</v>
      </c>
      <c r="S751" s="8">
        <f>IF($D751='[2]Beam '!S$44,$P751*'[2]Beam '!S$45,0)</f>
        <v>0</v>
      </c>
      <c r="T751" s="8">
        <f>IF($D751='[2]Beam '!T$44,$P751*'[2]Beam '!T$45,0)</f>
        <v>0</v>
      </c>
      <c r="U751" s="8">
        <f>IF($D751='[2]Beam '!U$44,$P751*'[2]Beam '!U$45,0)</f>
        <v>0</v>
      </c>
      <c r="V751" s="8">
        <f>IF($D751='[2]Beam '!V$44,$P751*'[2]Beam '!V$45,0)</f>
        <v>0</v>
      </c>
      <c r="W751" s="8">
        <f>IF($D751='[2]Beam '!W$44,$P751*'[2]Beam '!W$45,0)</f>
        <v>0</v>
      </c>
      <c r="X751" s="8">
        <f t="shared" si="142"/>
        <v>40.855885714285719</v>
      </c>
      <c r="Y751" s="8"/>
      <c r="Z751" s="8"/>
      <c r="AA751" s="8"/>
      <c r="AB751" s="8"/>
      <c r="AC751" s="8"/>
      <c r="AD751" s="8"/>
      <c r="AE751" s="8"/>
      <c r="AF751" s="8"/>
    </row>
    <row r="752" spans="1:32" s="10" customFormat="1" ht="20.100000000000001" customHeight="1" x14ac:dyDescent="0.25">
      <c r="A752" s="14"/>
      <c r="B752" s="8" t="s">
        <v>2</v>
      </c>
      <c r="C752" s="13" t="s">
        <v>9</v>
      </c>
      <c r="D752" s="8">
        <f>+D751</f>
        <v>10</v>
      </c>
      <c r="E752" s="14">
        <f>+E751</f>
        <v>0.1</v>
      </c>
      <c r="F752" s="8">
        <f>ROUNDUP(E746/E752,0)</f>
        <v>24</v>
      </c>
      <c r="H752" s="14"/>
      <c r="I752" s="14"/>
      <c r="J752" s="14"/>
      <c r="K752" s="14"/>
      <c r="L752" s="14"/>
      <c r="M752" s="14"/>
      <c r="N752" s="14"/>
      <c r="O752" s="8">
        <f>((((G746-(2*'[2]Beam '!$D$11))+(2*10*D752/1000))*D746))*1</f>
        <v>1.24</v>
      </c>
      <c r="P752" s="8">
        <f t="shared" si="141"/>
        <v>29.759999999999998</v>
      </c>
      <c r="Q752" s="8">
        <f>IF($D752='[2]Beam '!Q$44,$P752*'[2]Beam '!Q$45,0)</f>
        <v>0</v>
      </c>
      <c r="R752" s="8">
        <f>IF($D752='[2]Beam '!R$44,$P752*'[2]Beam '!R$45,0)</f>
        <v>18.355542857142854</v>
      </c>
      <c r="S752" s="8">
        <f>IF($D752='[2]Beam '!S$44,$P752*'[2]Beam '!S$45,0)</f>
        <v>0</v>
      </c>
      <c r="T752" s="8">
        <f>IF($D752='[2]Beam '!T$44,$P752*'[2]Beam '!T$45,0)</f>
        <v>0</v>
      </c>
      <c r="U752" s="8">
        <f>IF($D752='[2]Beam '!U$44,$P752*'[2]Beam '!U$45,0)</f>
        <v>0</v>
      </c>
      <c r="V752" s="8">
        <f>IF($D752='[2]Beam '!V$44,$P752*'[2]Beam '!V$45,0)</f>
        <v>0</v>
      </c>
      <c r="W752" s="8">
        <f>IF($D752='[2]Beam '!W$44,$P752*'[2]Beam '!W$45,0)</f>
        <v>0</v>
      </c>
      <c r="X752" s="8">
        <f t="shared" si="142"/>
        <v>18.355542857142854</v>
      </c>
      <c r="Y752" s="14"/>
      <c r="Z752" s="8"/>
      <c r="AA752" s="8"/>
      <c r="AB752" s="8"/>
      <c r="AC752" s="8"/>
      <c r="AD752" s="8"/>
      <c r="AE752" s="8"/>
    </row>
    <row r="753" spans="1:32" s="10" customFormat="1" ht="20.100000000000001" customHeight="1" x14ac:dyDescent="0.25">
      <c r="A753" s="7"/>
      <c r="B753" s="8" t="s">
        <v>2</v>
      </c>
      <c r="C753" s="13" t="s">
        <v>10</v>
      </c>
      <c r="D753" s="8">
        <f>+'[2]Beam '!$D$15</f>
        <v>25</v>
      </c>
      <c r="E753" s="8">
        <f>+'[2]Beam '!$E$15</f>
        <v>1</v>
      </c>
      <c r="F753" s="8">
        <f>ROUNDUP((E746)/E753,0)</f>
        <v>3</v>
      </c>
      <c r="G753" s="9"/>
      <c r="H753" s="9"/>
      <c r="I753" s="8"/>
      <c r="J753" s="8"/>
      <c r="K753" s="8"/>
      <c r="L753" s="8"/>
      <c r="M753" s="8"/>
      <c r="N753" s="8"/>
      <c r="O753" s="8">
        <f>F746-'[2]Beam '!$F$15</f>
        <v>0.24</v>
      </c>
      <c r="P753" s="8">
        <f t="shared" si="141"/>
        <v>0.72</v>
      </c>
      <c r="Q753" s="8">
        <f>IF($D753='[2]Beam '!Q$44,$P753*'[2]Beam '!Q$45,0)</f>
        <v>0</v>
      </c>
      <c r="R753" s="8">
        <f>IF($D753='[2]Beam '!R$44,$P753*'[2]Beam '!R$45,0)</f>
        <v>0</v>
      </c>
      <c r="S753" s="8">
        <f>IF($D753='[2]Beam '!S$44,$P753*'[2]Beam '!S$45,0)</f>
        <v>0</v>
      </c>
      <c r="T753" s="8">
        <f>IF($D753='[2]Beam '!T$44,$P753*'[2]Beam '!T$45,0)</f>
        <v>0</v>
      </c>
      <c r="U753" s="8">
        <f>IF($D753='[2]Beam '!U$44,$P753*'[2]Beam '!U$45,0)</f>
        <v>0</v>
      </c>
      <c r="V753" s="8">
        <f>IF($D753='[2]Beam '!V$44,$P753*'[2]Beam '!V$45,0)</f>
        <v>2.7755357142857147</v>
      </c>
      <c r="W753" s="8">
        <f>IF($D753='[2]Beam '!W$44,$P753*'[2]Beam '!W$45,0)</f>
        <v>0</v>
      </c>
      <c r="X753" s="8">
        <f t="shared" si="142"/>
        <v>2.7755357142857147</v>
      </c>
      <c r="Y753" s="8"/>
      <c r="Z753" s="8"/>
      <c r="AA753" s="8"/>
      <c r="AB753" s="8"/>
      <c r="AC753" s="8"/>
      <c r="AD753" s="8"/>
      <c r="AE753" s="8"/>
    </row>
    <row r="754" spans="1:32" s="10" customFormat="1" ht="20.100000000000001" customHeight="1" x14ac:dyDescent="0.25">
      <c r="A754" s="8">
        <v>1</v>
      </c>
      <c r="B754" s="8" t="s">
        <v>2</v>
      </c>
      <c r="C754" s="11" t="s">
        <v>103</v>
      </c>
      <c r="D754" s="11">
        <v>1</v>
      </c>
      <c r="E754" s="11">
        <v>2.04</v>
      </c>
      <c r="F754" s="11">
        <v>0.3</v>
      </c>
      <c r="G754" s="11">
        <v>0.8</v>
      </c>
      <c r="H754" s="8">
        <f>G754-0.2</f>
        <v>0.60000000000000009</v>
      </c>
      <c r="I754" s="8">
        <f>E754*F754*G754*D754</f>
        <v>0.48960000000000004</v>
      </c>
      <c r="J754" s="8">
        <f>(2*(E754)*H754*D754)+(E754*F754)</f>
        <v>3.0600000000000005</v>
      </c>
      <c r="K754" s="12">
        <f>IF(E754=0.3,J754,0)</f>
        <v>0</v>
      </c>
      <c r="L754" s="12">
        <f>IF(AND(E754&gt;0.3,E754&lt;=0.75),J754,0)</f>
        <v>0</v>
      </c>
      <c r="M754" s="12">
        <f>IF(AND(E754&gt;0.75,E754&lt;=1.2),J754,0)</f>
        <v>0</v>
      </c>
      <c r="N754" s="12">
        <f>IF(E754&gt;1.2,J754,0)</f>
        <v>3.0600000000000005</v>
      </c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>
        <f>SUM(X755:X758)/I754</f>
        <v>206.57786239495795</v>
      </c>
      <c r="Z754" s="8"/>
      <c r="AA754" s="8"/>
      <c r="AB754" s="8"/>
      <c r="AC754" s="8"/>
      <c r="AD754" s="8"/>
      <c r="AE754" s="8"/>
    </row>
    <row r="755" spans="1:32" s="14" customFormat="1" ht="20.100000000000001" customHeight="1" x14ac:dyDescent="0.3">
      <c r="A755" s="7"/>
      <c r="B755" s="8" t="s">
        <v>2</v>
      </c>
      <c r="C755" s="13" t="s">
        <v>4</v>
      </c>
      <c r="D755" s="8">
        <v>20</v>
      </c>
      <c r="E755" s="8"/>
      <c r="F755" s="8">
        <v>3</v>
      </c>
      <c r="G755" s="9">
        <f>VLOOKUP(D755,'[2]Beam '!$C$20:$H$26,3,0)</f>
        <v>0.8</v>
      </c>
      <c r="H755" s="9"/>
      <c r="I755" s="8"/>
      <c r="J755" s="8"/>
      <c r="K755" s="8"/>
      <c r="L755" s="8"/>
      <c r="M755" s="8"/>
      <c r="N755" s="8"/>
      <c r="O755" s="8">
        <f>(E754+2*(G755+(12*D755/1000))*D754)</f>
        <v>4.12</v>
      </c>
      <c r="P755" s="8">
        <f>O755*F755</f>
        <v>12.36</v>
      </c>
      <c r="Q755" s="8">
        <f>IF($D755='[2]Beam '!Q$44,$P755*'[2]Beam '!Q$45,0)</f>
        <v>0</v>
      </c>
      <c r="R755" s="8">
        <f>IF($D755='[2]Beam '!R$44,$P755*'[2]Beam '!R$45,0)</f>
        <v>0</v>
      </c>
      <c r="S755" s="8">
        <f>IF($D755='[2]Beam '!S$44,$P755*'[2]Beam '!S$45,0)</f>
        <v>0</v>
      </c>
      <c r="T755" s="8">
        <f>IF($D755='[2]Beam '!T$44,$P755*'[2]Beam '!T$45,0)</f>
        <v>0</v>
      </c>
      <c r="U755" s="8">
        <f>IF($D755='[2]Beam '!U$44,$P755*'[2]Beam '!U$45,0)</f>
        <v>30.493885714285714</v>
      </c>
      <c r="V755" s="8">
        <f>IF($D755='[2]Beam '!V$44,$P755*'[2]Beam '!V$45,0)</f>
        <v>0</v>
      </c>
      <c r="W755" s="8">
        <f>IF($D755='[2]Beam '!W$44,$P755*'[2]Beam '!W$45,0)</f>
        <v>0</v>
      </c>
      <c r="X755" s="8">
        <f>SUM(Q755:W755)</f>
        <v>30.493885714285714</v>
      </c>
      <c r="Y755" s="8"/>
    </row>
    <row r="756" spans="1:32" s="10" customFormat="1" ht="20.100000000000001" customHeight="1" x14ac:dyDescent="0.25">
      <c r="A756" s="7"/>
      <c r="B756" s="8" t="s">
        <v>2</v>
      </c>
      <c r="C756" s="13" t="s">
        <v>6</v>
      </c>
      <c r="D756" s="8">
        <v>20</v>
      </c>
      <c r="E756" s="8"/>
      <c r="F756" s="8">
        <v>3</v>
      </c>
      <c r="G756" s="9">
        <f>VLOOKUP(D756,'[2]Beam '!$C$20:$H$26,3,0)</f>
        <v>0.8</v>
      </c>
      <c r="H756" s="8"/>
      <c r="I756" s="8"/>
      <c r="J756" s="8"/>
      <c r="K756" s="8"/>
      <c r="L756" s="8"/>
      <c r="M756" s="8"/>
      <c r="N756" s="8"/>
      <c r="O756" s="8">
        <f>(E754+2*(G756+(12*D756/1000))*D754)</f>
        <v>4.12</v>
      </c>
      <c r="P756" s="8">
        <f>O756*F756</f>
        <v>12.36</v>
      </c>
      <c r="Q756" s="8">
        <f>IF($D756='[2]Beam '!Q$44,$P756*'[2]Beam '!Q$45,0)</f>
        <v>0</v>
      </c>
      <c r="R756" s="8">
        <f>IF($D756='[2]Beam '!R$44,$P756*'[2]Beam '!R$45,0)</f>
        <v>0</v>
      </c>
      <c r="S756" s="8">
        <f>IF($D756='[2]Beam '!S$44,$P756*'[2]Beam '!S$45,0)</f>
        <v>0</v>
      </c>
      <c r="T756" s="8">
        <f>IF($D756='[2]Beam '!T$44,$P756*'[2]Beam '!T$45,0)</f>
        <v>0</v>
      </c>
      <c r="U756" s="8">
        <f>IF($D756='[2]Beam '!U$44,$P756*'[2]Beam '!U$45,0)</f>
        <v>30.493885714285714</v>
      </c>
      <c r="V756" s="8">
        <f>IF($D756='[2]Beam '!V$44,$P756*'[2]Beam '!V$45,0)</f>
        <v>0</v>
      </c>
      <c r="W756" s="8">
        <f>IF($D756='[2]Beam '!W$44,$P756*'[2]Beam '!W$45,0)</f>
        <v>0</v>
      </c>
      <c r="X756" s="8">
        <f>SUM(Q756:W756)</f>
        <v>30.493885714285714</v>
      </c>
      <c r="Y756" s="8"/>
      <c r="Z756" s="8"/>
      <c r="AA756" s="8"/>
      <c r="AB756" s="8"/>
      <c r="AC756" s="8"/>
      <c r="AD756" s="8"/>
      <c r="AE756" s="8"/>
    </row>
    <row r="757" spans="1:32" s="10" customFormat="1" ht="21" customHeight="1" x14ac:dyDescent="0.25">
      <c r="A757" s="7"/>
      <c r="B757" s="8" t="s">
        <v>2</v>
      </c>
      <c r="C757" s="13" t="s">
        <v>8</v>
      </c>
      <c r="D757" s="8">
        <v>10</v>
      </c>
      <c r="E757" s="8">
        <v>0.1</v>
      </c>
      <c r="F757" s="8">
        <f>ROUNDUP(E754/E757,0)</f>
        <v>21</v>
      </c>
      <c r="H757" s="8"/>
      <c r="I757" s="8"/>
      <c r="J757" s="8"/>
      <c r="K757" s="8"/>
      <c r="L757" s="8"/>
      <c r="M757" s="8"/>
      <c r="N757" s="8"/>
      <c r="O757" s="8">
        <f>(2*((G754-(2*'[2]Beam '!$D$11))+(F754-(2*'[2]Beam '!$D$11)))+(2*10*D757/1000))*D754</f>
        <v>2.16</v>
      </c>
      <c r="P757" s="8">
        <f>O757*F757</f>
        <v>45.36</v>
      </c>
      <c r="Q757" s="8">
        <f>IF($D757='[2]Beam '!Q$44,$P757*'[2]Beam '!Q$45,0)</f>
        <v>0</v>
      </c>
      <c r="R757" s="8">
        <f>IF($D757='[2]Beam '!R$44,$P757*'[2]Beam '!R$45,0)</f>
        <v>27.977399999999999</v>
      </c>
      <c r="S757" s="8">
        <f>IF($D757='[2]Beam '!S$44,$P757*'[2]Beam '!S$45,0)</f>
        <v>0</v>
      </c>
      <c r="T757" s="8">
        <f>IF($D757='[2]Beam '!T$44,$P757*'[2]Beam '!T$45,0)</f>
        <v>0</v>
      </c>
      <c r="U757" s="8">
        <f>IF($D757='[2]Beam '!U$44,$P757*'[2]Beam '!U$45,0)</f>
        <v>0</v>
      </c>
      <c r="V757" s="8">
        <f>IF($D757='[2]Beam '!V$44,$P757*'[2]Beam '!V$45,0)</f>
        <v>0</v>
      </c>
      <c r="W757" s="8">
        <f>IF($D757='[2]Beam '!W$44,$P757*'[2]Beam '!W$45,0)</f>
        <v>0</v>
      </c>
      <c r="X757" s="8">
        <f>SUM(Q757:W757)</f>
        <v>27.977399999999999</v>
      </c>
      <c r="Y757" s="8"/>
      <c r="Z757" s="8"/>
      <c r="AA757" s="8"/>
      <c r="AB757" s="8"/>
      <c r="AC757" s="8"/>
      <c r="AD757" s="8"/>
      <c r="AE757" s="8"/>
      <c r="AF757" s="8"/>
    </row>
    <row r="758" spans="1:32" s="10" customFormat="1" ht="20.100000000000001" customHeight="1" x14ac:dyDescent="0.25">
      <c r="A758" s="14"/>
      <c r="B758" s="8" t="s">
        <v>2</v>
      </c>
      <c r="C758" s="13" t="s">
        <v>9</v>
      </c>
      <c r="D758" s="8">
        <f>+D757</f>
        <v>10</v>
      </c>
      <c r="E758" s="14">
        <f>+E757</f>
        <v>0.1</v>
      </c>
      <c r="F758" s="8">
        <f>ROUNDUP(E754/E758,0)</f>
        <v>21</v>
      </c>
      <c r="H758" s="14"/>
      <c r="I758" s="14"/>
      <c r="J758" s="14"/>
      <c r="K758" s="14"/>
      <c r="L758" s="14"/>
      <c r="M758" s="14"/>
      <c r="N758" s="14"/>
      <c r="O758" s="8">
        <f>((((G754-(2*'[2]Beam '!$D$11))+(2*10*D758/1000))*D754))*1</f>
        <v>0.94</v>
      </c>
      <c r="P758" s="8">
        <f>O758*F758</f>
        <v>19.739999999999998</v>
      </c>
      <c r="Q758" s="8">
        <f>IF($D758='[2]Beam '!Q$44,$P758*'[2]Beam '!Q$45,0)</f>
        <v>0</v>
      </c>
      <c r="R758" s="8">
        <f>IF($D758='[2]Beam '!R$44,$P758*'[2]Beam '!R$45,0)</f>
        <v>12.175349999999998</v>
      </c>
      <c r="S758" s="8">
        <f>IF($D758='[2]Beam '!S$44,$P758*'[2]Beam '!S$45,0)</f>
        <v>0</v>
      </c>
      <c r="T758" s="8">
        <f>IF($D758='[2]Beam '!T$44,$P758*'[2]Beam '!T$45,0)</f>
        <v>0</v>
      </c>
      <c r="U758" s="8">
        <f>IF($D758='[2]Beam '!U$44,$P758*'[2]Beam '!U$45,0)</f>
        <v>0</v>
      </c>
      <c r="V758" s="8">
        <f>IF($D758='[2]Beam '!V$44,$P758*'[2]Beam '!V$45,0)</f>
        <v>0</v>
      </c>
      <c r="W758" s="8">
        <f>IF($D758='[2]Beam '!W$44,$P758*'[2]Beam '!W$45,0)</f>
        <v>0</v>
      </c>
      <c r="X758" s="8">
        <f>SUM(Q758:W758)</f>
        <v>12.175349999999998</v>
      </c>
      <c r="Y758" s="14"/>
      <c r="Z758" s="8"/>
      <c r="AA758" s="8"/>
      <c r="AB758" s="8"/>
      <c r="AC758" s="8"/>
      <c r="AD758" s="8"/>
      <c r="AE758" s="8"/>
    </row>
    <row r="759" spans="1:32" s="10" customFormat="1" ht="20.100000000000001" customHeight="1" x14ac:dyDescent="0.25">
      <c r="A759" s="7"/>
      <c r="B759" s="8" t="s">
        <v>2</v>
      </c>
      <c r="C759" s="13" t="s">
        <v>10</v>
      </c>
      <c r="D759" s="8">
        <f>+'[2]Beam '!$D$15</f>
        <v>25</v>
      </c>
      <c r="E759" s="8">
        <f>+'[2]Beam '!$E$15</f>
        <v>1</v>
      </c>
      <c r="F759" s="8">
        <f>ROUNDUP((E754)/E759,0)</f>
        <v>3</v>
      </c>
      <c r="G759" s="9"/>
      <c r="H759" s="9"/>
      <c r="I759" s="8"/>
      <c r="J759" s="8"/>
      <c r="K759" s="8"/>
      <c r="L759" s="8"/>
      <c r="M759" s="8"/>
      <c r="N759" s="8"/>
      <c r="O759" s="8">
        <f>F754-'[2]Beam '!$F$15</f>
        <v>0.24</v>
      </c>
      <c r="P759" s="8">
        <f>O759*F759</f>
        <v>0.72</v>
      </c>
      <c r="Q759" s="8">
        <f>IF($D759='[2]Beam '!Q$44,$P759*'[2]Beam '!Q$45,0)</f>
        <v>0</v>
      </c>
      <c r="R759" s="8">
        <f>IF($D759='[2]Beam '!R$44,$P759*'[2]Beam '!R$45,0)</f>
        <v>0</v>
      </c>
      <c r="S759" s="8">
        <f>IF($D759='[2]Beam '!S$44,$P759*'[2]Beam '!S$45,0)</f>
        <v>0</v>
      </c>
      <c r="T759" s="8">
        <f>IF($D759='[2]Beam '!T$44,$P759*'[2]Beam '!T$45,0)</f>
        <v>0</v>
      </c>
      <c r="U759" s="8">
        <f>IF($D759='[2]Beam '!U$44,$P759*'[2]Beam '!U$45,0)</f>
        <v>0</v>
      </c>
      <c r="V759" s="8">
        <f>IF($D759='[2]Beam '!V$44,$P759*'[2]Beam '!V$45,0)</f>
        <v>2.7755357142857147</v>
      </c>
      <c r="W759" s="8">
        <f>IF($D759='[2]Beam '!W$44,$P759*'[2]Beam '!W$45,0)</f>
        <v>0</v>
      </c>
      <c r="X759" s="8">
        <f>SUM(Q759:W759)</f>
        <v>2.7755357142857147</v>
      </c>
      <c r="Y759" s="8"/>
      <c r="Z759" s="8"/>
      <c r="AA759" s="8"/>
      <c r="AB759" s="8"/>
      <c r="AC759" s="8"/>
      <c r="AD759" s="8"/>
      <c r="AE759" s="8"/>
    </row>
    <row r="760" spans="1:32" s="10" customFormat="1" ht="20.100000000000001" customHeight="1" x14ac:dyDescent="0.25">
      <c r="A760" s="8">
        <v>1</v>
      </c>
      <c r="B760" s="8" t="s">
        <v>2</v>
      </c>
      <c r="C760" s="11" t="s">
        <v>104</v>
      </c>
      <c r="D760" s="11">
        <v>1</v>
      </c>
      <c r="E760" s="11">
        <v>2.04</v>
      </c>
      <c r="F760" s="11">
        <v>0.3</v>
      </c>
      <c r="G760" s="11">
        <v>0.8</v>
      </c>
      <c r="H760" s="8">
        <f>G760-0.2</f>
        <v>0.60000000000000009</v>
      </c>
      <c r="I760" s="8">
        <f>E760*F760*G760*D760</f>
        <v>0.48960000000000004</v>
      </c>
      <c r="J760" s="8">
        <f>(2*(E760)*H760*D760)+(E760*F760)</f>
        <v>3.0600000000000005</v>
      </c>
      <c r="K760" s="12">
        <f>IF(E760=0.3,J760,0)</f>
        <v>0</v>
      </c>
      <c r="L760" s="12">
        <f>IF(AND(E760&gt;0.3,E760&lt;=0.75),J760,0)</f>
        <v>0</v>
      </c>
      <c r="M760" s="12">
        <f>IF(AND(E760&gt;0.75,E760&lt;=1.2),J760,0)</f>
        <v>0</v>
      </c>
      <c r="N760" s="12">
        <f>IF(E760&gt;1.2,J760,0)</f>
        <v>3.0600000000000005</v>
      </c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>
        <f>SUM(X761:X764)/I760</f>
        <v>206.57786239495795</v>
      </c>
      <c r="Z760" s="8"/>
      <c r="AA760" s="8"/>
      <c r="AB760" s="8"/>
      <c r="AC760" s="8"/>
      <c r="AD760" s="8"/>
      <c r="AE760" s="8"/>
    </row>
    <row r="761" spans="1:32" s="14" customFormat="1" ht="20.100000000000001" customHeight="1" x14ac:dyDescent="0.3">
      <c r="A761" s="7"/>
      <c r="B761" s="8" t="s">
        <v>2</v>
      </c>
      <c r="C761" s="13" t="s">
        <v>4</v>
      </c>
      <c r="D761" s="8">
        <v>20</v>
      </c>
      <c r="E761" s="8"/>
      <c r="F761" s="8">
        <v>3</v>
      </c>
      <c r="G761" s="9">
        <f>VLOOKUP(D761,'[2]Beam '!$C$20:$H$26,3,0)</f>
        <v>0.8</v>
      </c>
      <c r="H761" s="9"/>
      <c r="I761" s="8"/>
      <c r="J761" s="8"/>
      <c r="K761" s="8"/>
      <c r="L761" s="8"/>
      <c r="M761" s="8"/>
      <c r="N761" s="8"/>
      <c r="O761" s="8">
        <f>(E760+2*(G761+(12*D761/1000))*D760)</f>
        <v>4.12</v>
      </c>
      <c r="P761" s="8">
        <f>O761*F761</f>
        <v>12.36</v>
      </c>
      <c r="Q761" s="8">
        <f>IF($D761='[2]Beam '!Q$44,$P761*'[2]Beam '!Q$45,0)</f>
        <v>0</v>
      </c>
      <c r="R761" s="8">
        <f>IF($D761='[2]Beam '!R$44,$P761*'[2]Beam '!R$45,0)</f>
        <v>0</v>
      </c>
      <c r="S761" s="8">
        <f>IF($D761='[2]Beam '!S$44,$P761*'[2]Beam '!S$45,0)</f>
        <v>0</v>
      </c>
      <c r="T761" s="8">
        <f>IF($D761='[2]Beam '!T$44,$P761*'[2]Beam '!T$45,0)</f>
        <v>0</v>
      </c>
      <c r="U761" s="8">
        <f>IF($D761='[2]Beam '!U$44,$P761*'[2]Beam '!U$45,0)</f>
        <v>30.493885714285714</v>
      </c>
      <c r="V761" s="8">
        <f>IF($D761='[2]Beam '!V$44,$P761*'[2]Beam '!V$45,0)</f>
        <v>0</v>
      </c>
      <c r="W761" s="8">
        <f>IF($D761='[2]Beam '!W$44,$P761*'[2]Beam '!W$45,0)</f>
        <v>0</v>
      </c>
      <c r="X761" s="8">
        <f>SUM(Q761:W761)</f>
        <v>30.493885714285714</v>
      </c>
      <c r="Y761" s="8"/>
    </row>
    <row r="762" spans="1:32" s="10" customFormat="1" ht="20.100000000000001" customHeight="1" x14ac:dyDescent="0.25">
      <c r="A762" s="7"/>
      <c r="B762" s="8" t="s">
        <v>2</v>
      </c>
      <c r="C762" s="13" t="s">
        <v>6</v>
      </c>
      <c r="D762" s="8">
        <v>20</v>
      </c>
      <c r="E762" s="8"/>
      <c r="F762" s="8">
        <v>3</v>
      </c>
      <c r="G762" s="9">
        <f>VLOOKUP(D762,'[2]Beam '!$C$20:$H$26,3,0)</f>
        <v>0.8</v>
      </c>
      <c r="H762" s="8"/>
      <c r="I762" s="8"/>
      <c r="J762" s="8"/>
      <c r="K762" s="8"/>
      <c r="L762" s="8"/>
      <c r="M762" s="8"/>
      <c r="N762" s="8"/>
      <c r="O762" s="8">
        <f>(E760+2*(G762+(12*D762/1000))*D760)</f>
        <v>4.12</v>
      </c>
      <c r="P762" s="8">
        <f>O762*F762</f>
        <v>12.36</v>
      </c>
      <c r="Q762" s="8">
        <f>IF($D762='[2]Beam '!Q$44,$P762*'[2]Beam '!Q$45,0)</f>
        <v>0</v>
      </c>
      <c r="R762" s="8">
        <f>IF($D762='[2]Beam '!R$44,$P762*'[2]Beam '!R$45,0)</f>
        <v>0</v>
      </c>
      <c r="S762" s="8">
        <f>IF($D762='[2]Beam '!S$44,$P762*'[2]Beam '!S$45,0)</f>
        <v>0</v>
      </c>
      <c r="T762" s="8">
        <f>IF($D762='[2]Beam '!T$44,$P762*'[2]Beam '!T$45,0)</f>
        <v>0</v>
      </c>
      <c r="U762" s="8">
        <f>IF($D762='[2]Beam '!U$44,$P762*'[2]Beam '!U$45,0)</f>
        <v>30.493885714285714</v>
      </c>
      <c r="V762" s="8">
        <f>IF($D762='[2]Beam '!V$44,$P762*'[2]Beam '!V$45,0)</f>
        <v>0</v>
      </c>
      <c r="W762" s="8">
        <f>IF($D762='[2]Beam '!W$44,$P762*'[2]Beam '!W$45,0)</f>
        <v>0</v>
      </c>
      <c r="X762" s="8">
        <f>SUM(Q762:W762)</f>
        <v>30.493885714285714</v>
      </c>
      <c r="Y762" s="8"/>
      <c r="Z762" s="8"/>
      <c r="AA762" s="8"/>
      <c r="AB762" s="8"/>
      <c r="AC762" s="8"/>
      <c r="AD762" s="8"/>
      <c r="AE762" s="8"/>
    </row>
    <row r="763" spans="1:32" s="10" customFormat="1" ht="21" customHeight="1" x14ac:dyDescent="0.25">
      <c r="A763" s="7"/>
      <c r="B763" s="8" t="s">
        <v>2</v>
      </c>
      <c r="C763" s="13" t="s">
        <v>8</v>
      </c>
      <c r="D763" s="8">
        <v>10</v>
      </c>
      <c r="E763" s="8">
        <v>0.1</v>
      </c>
      <c r="F763" s="8">
        <f>ROUNDUP(E760/E763,0)</f>
        <v>21</v>
      </c>
      <c r="H763" s="8"/>
      <c r="I763" s="8"/>
      <c r="J763" s="8"/>
      <c r="K763" s="8"/>
      <c r="L763" s="8"/>
      <c r="M763" s="8"/>
      <c r="N763" s="8"/>
      <c r="O763" s="8">
        <f>(2*((G760-(2*'[2]Beam '!$D$11))+(F760-(2*'[2]Beam '!$D$11)))+(2*10*D763/1000))*D760</f>
        <v>2.16</v>
      </c>
      <c r="P763" s="8">
        <f>O763*F763</f>
        <v>45.36</v>
      </c>
      <c r="Q763" s="8">
        <f>IF($D763='[2]Beam '!Q$44,$P763*'[2]Beam '!Q$45,0)</f>
        <v>0</v>
      </c>
      <c r="R763" s="8">
        <f>IF($D763='[2]Beam '!R$44,$P763*'[2]Beam '!R$45,0)</f>
        <v>27.977399999999999</v>
      </c>
      <c r="S763" s="8">
        <f>IF($D763='[2]Beam '!S$44,$P763*'[2]Beam '!S$45,0)</f>
        <v>0</v>
      </c>
      <c r="T763" s="8">
        <f>IF($D763='[2]Beam '!T$44,$P763*'[2]Beam '!T$45,0)</f>
        <v>0</v>
      </c>
      <c r="U763" s="8">
        <f>IF($D763='[2]Beam '!U$44,$P763*'[2]Beam '!U$45,0)</f>
        <v>0</v>
      </c>
      <c r="V763" s="8">
        <f>IF($D763='[2]Beam '!V$44,$P763*'[2]Beam '!V$45,0)</f>
        <v>0</v>
      </c>
      <c r="W763" s="8">
        <f>IF($D763='[2]Beam '!W$44,$P763*'[2]Beam '!W$45,0)</f>
        <v>0</v>
      </c>
      <c r="X763" s="8">
        <f>SUM(Q763:W763)</f>
        <v>27.977399999999999</v>
      </c>
      <c r="Y763" s="8"/>
      <c r="Z763" s="8"/>
      <c r="AA763" s="8"/>
      <c r="AB763" s="8"/>
      <c r="AC763" s="8"/>
      <c r="AD763" s="8"/>
      <c r="AE763" s="8"/>
      <c r="AF763" s="8"/>
    </row>
    <row r="764" spans="1:32" s="10" customFormat="1" ht="20.100000000000001" customHeight="1" x14ac:dyDescent="0.25">
      <c r="A764" s="14"/>
      <c r="B764" s="8" t="s">
        <v>2</v>
      </c>
      <c r="C764" s="13" t="s">
        <v>9</v>
      </c>
      <c r="D764" s="8">
        <f>+D763</f>
        <v>10</v>
      </c>
      <c r="E764" s="14">
        <f>+E763</f>
        <v>0.1</v>
      </c>
      <c r="F764" s="8">
        <f>ROUNDUP(E760/E764,0)</f>
        <v>21</v>
      </c>
      <c r="H764" s="14"/>
      <c r="I764" s="14"/>
      <c r="J764" s="14"/>
      <c r="K764" s="14"/>
      <c r="L764" s="14"/>
      <c r="M764" s="14"/>
      <c r="N764" s="14"/>
      <c r="O764" s="8">
        <f>((((G760-(2*'[2]Beam '!$D$11))+(2*10*D764/1000))*D760))*1</f>
        <v>0.94</v>
      </c>
      <c r="P764" s="8">
        <f>O764*F764</f>
        <v>19.739999999999998</v>
      </c>
      <c r="Q764" s="8">
        <f>IF($D764='[2]Beam '!Q$44,$P764*'[2]Beam '!Q$45,0)</f>
        <v>0</v>
      </c>
      <c r="R764" s="8">
        <f>IF($D764='[2]Beam '!R$44,$P764*'[2]Beam '!R$45,0)</f>
        <v>12.175349999999998</v>
      </c>
      <c r="S764" s="8">
        <f>IF($D764='[2]Beam '!S$44,$P764*'[2]Beam '!S$45,0)</f>
        <v>0</v>
      </c>
      <c r="T764" s="8">
        <f>IF($D764='[2]Beam '!T$44,$P764*'[2]Beam '!T$45,0)</f>
        <v>0</v>
      </c>
      <c r="U764" s="8">
        <f>IF($D764='[2]Beam '!U$44,$P764*'[2]Beam '!U$45,0)</f>
        <v>0</v>
      </c>
      <c r="V764" s="8">
        <f>IF($D764='[2]Beam '!V$44,$P764*'[2]Beam '!V$45,0)</f>
        <v>0</v>
      </c>
      <c r="W764" s="8">
        <f>IF($D764='[2]Beam '!W$44,$P764*'[2]Beam '!W$45,0)</f>
        <v>0</v>
      </c>
      <c r="X764" s="8">
        <f>SUM(Q764:W764)</f>
        <v>12.175349999999998</v>
      </c>
      <c r="Y764" s="14"/>
      <c r="Z764" s="8"/>
      <c r="AA764" s="8"/>
      <c r="AB764" s="8"/>
      <c r="AC764" s="8"/>
      <c r="AD764" s="8"/>
      <c r="AE764" s="8"/>
    </row>
    <row r="765" spans="1:32" s="10" customFormat="1" ht="20.100000000000001" customHeight="1" x14ac:dyDescent="0.25">
      <c r="A765" s="7"/>
      <c r="B765" s="8" t="s">
        <v>2</v>
      </c>
      <c r="C765" s="13" t="s">
        <v>10</v>
      </c>
      <c r="D765" s="8">
        <f>+'[2]Beam '!$D$15</f>
        <v>25</v>
      </c>
      <c r="E765" s="8">
        <f>+'[2]Beam '!$E$15</f>
        <v>1</v>
      </c>
      <c r="F765" s="8">
        <f>ROUNDUP((E760)/E765,0)</f>
        <v>3</v>
      </c>
      <c r="G765" s="9"/>
      <c r="H765" s="9"/>
      <c r="I765" s="8"/>
      <c r="J765" s="8"/>
      <c r="K765" s="8"/>
      <c r="L765" s="8"/>
      <c r="M765" s="8"/>
      <c r="N765" s="8"/>
      <c r="O765" s="8">
        <f>F760-'[2]Beam '!$F$15</f>
        <v>0.24</v>
      </c>
      <c r="P765" s="8">
        <f>O765*F765</f>
        <v>0.72</v>
      </c>
      <c r="Q765" s="8">
        <f>IF($D765='[2]Beam '!Q$44,$P765*'[2]Beam '!Q$45,0)</f>
        <v>0</v>
      </c>
      <c r="R765" s="8">
        <f>IF($D765='[2]Beam '!R$44,$P765*'[2]Beam '!R$45,0)</f>
        <v>0</v>
      </c>
      <c r="S765" s="8">
        <f>IF($D765='[2]Beam '!S$44,$P765*'[2]Beam '!S$45,0)</f>
        <v>0</v>
      </c>
      <c r="T765" s="8">
        <f>IF($D765='[2]Beam '!T$44,$P765*'[2]Beam '!T$45,0)</f>
        <v>0</v>
      </c>
      <c r="U765" s="8">
        <f>IF($D765='[2]Beam '!U$44,$P765*'[2]Beam '!U$45,0)</f>
        <v>0</v>
      </c>
      <c r="V765" s="8">
        <f>IF($D765='[2]Beam '!V$44,$P765*'[2]Beam '!V$45,0)</f>
        <v>2.7755357142857147</v>
      </c>
      <c r="W765" s="8">
        <f>IF($D765='[2]Beam '!W$44,$P765*'[2]Beam '!W$45,0)</f>
        <v>0</v>
      </c>
      <c r="X765" s="8">
        <f>SUM(Q765:W765)</f>
        <v>2.7755357142857147</v>
      </c>
      <c r="Y765" s="8"/>
      <c r="Z765" s="8"/>
      <c r="AA765" s="8"/>
      <c r="AB765" s="8"/>
      <c r="AC765" s="8"/>
      <c r="AD765" s="8"/>
      <c r="AE765" s="8"/>
    </row>
    <row r="766" spans="1:32" s="10" customFormat="1" ht="20.100000000000001" customHeight="1" x14ac:dyDescent="0.25">
      <c r="A766" s="8">
        <v>1</v>
      </c>
      <c r="B766" s="8" t="s">
        <v>2</v>
      </c>
      <c r="C766" s="11" t="s">
        <v>105</v>
      </c>
      <c r="D766" s="11">
        <v>1</v>
      </c>
      <c r="E766" s="11">
        <v>2.04</v>
      </c>
      <c r="F766" s="11">
        <v>0.3</v>
      </c>
      <c r="G766" s="11">
        <v>0.8</v>
      </c>
      <c r="H766" s="8">
        <f>G766-0.2</f>
        <v>0.60000000000000009</v>
      </c>
      <c r="I766" s="8">
        <f>E766*F766*G766*D766</f>
        <v>0.48960000000000004</v>
      </c>
      <c r="J766" s="8">
        <f>(2*(E766)*H766*D766)+(E766*F766)</f>
        <v>3.0600000000000005</v>
      </c>
      <c r="K766" s="12">
        <f>IF(E766=0.3,J766,0)</f>
        <v>0</v>
      </c>
      <c r="L766" s="12">
        <f>IF(AND(E766&gt;0.3,E766&lt;=0.75),J766,0)</f>
        <v>0</v>
      </c>
      <c r="M766" s="12">
        <f>IF(AND(E766&gt;0.75,E766&lt;=1.2),J766,0)</f>
        <v>0</v>
      </c>
      <c r="N766" s="12">
        <f>IF(E766&gt;1.2,J766,0)</f>
        <v>3.0600000000000005</v>
      </c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>
        <f>SUM(X767:X770)/I766</f>
        <v>206.57786239495795</v>
      </c>
      <c r="Z766" s="8"/>
      <c r="AA766" s="8"/>
      <c r="AB766" s="8"/>
      <c r="AC766" s="8"/>
      <c r="AD766" s="8"/>
      <c r="AE766" s="8"/>
    </row>
    <row r="767" spans="1:32" s="14" customFormat="1" ht="20.100000000000001" customHeight="1" x14ac:dyDescent="0.3">
      <c r="A767" s="7"/>
      <c r="B767" s="8" t="s">
        <v>2</v>
      </c>
      <c r="C767" s="13" t="s">
        <v>4</v>
      </c>
      <c r="D767" s="8">
        <v>20</v>
      </c>
      <c r="E767" s="8"/>
      <c r="F767" s="8">
        <v>3</v>
      </c>
      <c r="G767" s="9">
        <f>VLOOKUP(D767,'[2]Beam '!$C$20:$H$26,3,0)</f>
        <v>0.8</v>
      </c>
      <c r="H767" s="9"/>
      <c r="I767" s="8"/>
      <c r="J767" s="8"/>
      <c r="K767" s="8"/>
      <c r="L767" s="8"/>
      <c r="M767" s="8"/>
      <c r="N767" s="8"/>
      <c r="O767" s="8">
        <f>(E766+2*(G767+(12*D767/1000))*D766)</f>
        <v>4.12</v>
      </c>
      <c r="P767" s="8">
        <f>O767*F767</f>
        <v>12.36</v>
      </c>
      <c r="Q767" s="8">
        <f>IF($D767='[2]Beam '!Q$44,$P767*'[2]Beam '!Q$45,0)</f>
        <v>0</v>
      </c>
      <c r="R767" s="8">
        <f>IF($D767='[2]Beam '!R$44,$P767*'[2]Beam '!R$45,0)</f>
        <v>0</v>
      </c>
      <c r="S767" s="8">
        <f>IF($D767='[2]Beam '!S$44,$P767*'[2]Beam '!S$45,0)</f>
        <v>0</v>
      </c>
      <c r="T767" s="8">
        <f>IF($D767='[2]Beam '!T$44,$P767*'[2]Beam '!T$45,0)</f>
        <v>0</v>
      </c>
      <c r="U767" s="8">
        <f>IF($D767='[2]Beam '!U$44,$P767*'[2]Beam '!U$45,0)</f>
        <v>30.493885714285714</v>
      </c>
      <c r="V767" s="8">
        <f>IF($D767='[2]Beam '!V$44,$P767*'[2]Beam '!V$45,0)</f>
        <v>0</v>
      </c>
      <c r="W767" s="8">
        <f>IF($D767='[2]Beam '!W$44,$P767*'[2]Beam '!W$45,0)</f>
        <v>0</v>
      </c>
      <c r="X767" s="8">
        <f>SUM(Q767:W767)</f>
        <v>30.493885714285714</v>
      </c>
      <c r="Y767" s="8"/>
    </row>
    <row r="768" spans="1:32" s="10" customFormat="1" ht="20.100000000000001" customHeight="1" x14ac:dyDescent="0.25">
      <c r="A768" s="7"/>
      <c r="B768" s="8" t="s">
        <v>2</v>
      </c>
      <c r="C768" s="13" t="s">
        <v>6</v>
      </c>
      <c r="D768" s="8">
        <v>20</v>
      </c>
      <c r="E768" s="8"/>
      <c r="F768" s="8">
        <v>3</v>
      </c>
      <c r="G768" s="9">
        <f>VLOOKUP(D768,'[2]Beam '!$C$20:$H$26,3,0)</f>
        <v>0.8</v>
      </c>
      <c r="H768" s="8"/>
      <c r="I768" s="8"/>
      <c r="J768" s="8"/>
      <c r="K768" s="8"/>
      <c r="L768" s="8"/>
      <c r="M768" s="8"/>
      <c r="N768" s="8"/>
      <c r="O768" s="8">
        <f>(E766+2*(G768+(12*D768/1000))*D766)</f>
        <v>4.12</v>
      </c>
      <c r="P768" s="8">
        <f>O768*F768</f>
        <v>12.36</v>
      </c>
      <c r="Q768" s="8">
        <f>IF($D768='[2]Beam '!Q$44,$P768*'[2]Beam '!Q$45,0)</f>
        <v>0</v>
      </c>
      <c r="R768" s="8">
        <f>IF($D768='[2]Beam '!R$44,$P768*'[2]Beam '!R$45,0)</f>
        <v>0</v>
      </c>
      <c r="S768" s="8">
        <f>IF($D768='[2]Beam '!S$44,$P768*'[2]Beam '!S$45,0)</f>
        <v>0</v>
      </c>
      <c r="T768" s="8">
        <f>IF($D768='[2]Beam '!T$44,$P768*'[2]Beam '!T$45,0)</f>
        <v>0</v>
      </c>
      <c r="U768" s="8">
        <f>IF($D768='[2]Beam '!U$44,$P768*'[2]Beam '!U$45,0)</f>
        <v>30.493885714285714</v>
      </c>
      <c r="V768" s="8">
        <f>IF($D768='[2]Beam '!V$44,$P768*'[2]Beam '!V$45,0)</f>
        <v>0</v>
      </c>
      <c r="W768" s="8">
        <f>IF($D768='[2]Beam '!W$44,$P768*'[2]Beam '!W$45,0)</f>
        <v>0</v>
      </c>
      <c r="X768" s="8">
        <f>SUM(Q768:W768)</f>
        <v>30.493885714285714</v>
      </c>
      <c r="Y768" s="8"/>
      <c r="Z768" s="8"/>
      <c r="AA768" s="8"/>
      <c r="AB768" s="8"/>
      <c r="AC768" s="8"/>
      <c r="AD768" s="8"/>
      <c r="AE768" s="8"/>
    </row>
    <row r="769" spans="1:32" s="10" customFormat="1" ht="21" customHeight="1" x14ac:dyDescent="0.25">
      <c r="A769" s="7"/>
      <c r="B769" s="8" t="s">
        <v>2</v>
      </c>
      <c r="C769" s="13" t="s">
        <v>8</v>
      </c>
      <c r="D769" s="8">
        <v>10</v>
      </c>
      <c r="E769" s="8">
        <v>0.1</v>
      </c>
      <c r="F769" s="8">
        <f>ROUNDUP(E766/E769,0)</f>
        <v>21</v>
      </c>
      <c r="H769" s="8"/>
      <c r="I769" s="8"/>
      <c r="J769" s="8"/>
      <c r="K769" s="8"/>
      <c r="L769" s="8"/>
      <c r="M769" s="8"/>
      <c r="N769" s="8"/>
      <c r="O769" s="8">
        <f>(2*((G766-(2*'[2]Beam '!$D$11))+(F766-(2*'[2]Beam '!$D$11)))+(2*10*D769/1000))*D766</f>
        <v>2.16</v>
      </c>
      <c r="P769" s="8">
        <f>O769*F769</f>
        <v>45.36</v>
      </c>
      <c r="Q769" s="8">
        <f>IF($D769='[2]Beam '!Q$44,$P769*'[2]Beam '!Q$45,0)</f>
        <v>0</v>
      </c>
      <c r="R769" s="8">
        <f>IF($D769='[2]Beam '!R$44,$P769*'[2]Beam '!R$45,0)</f>
        <v>27.977399999999999</v>
      </c>
      <c r="S769" s="8">
        <f>IF($D769='[2]Beam '!S$44,$P769*'[2]Beam '!S$45,0)</f>
        <v>0</v>
      </c>
      <c r="T769" s="8">
        <f>IF($D769='[2]Beam '!T$44,$P769*'[2]Beam '!T$45,0)</f>
        <v>0</v>
      </c>
      <c r="U769" s="8">
        <f>IF($D769='[2]Beam '!U$44,$P769*'[2]Beam '!U$45,0)</f>
        <v>0</v>
      </c>
      <c r="V769" s="8">
        <f>IF($D769='[2]Beam '!V$44,$P769*'[2]Beam '!V$45,0)</f>
        <v>0</v>
      </c>
      <c r="W769" s="8">
        <f>IF($D769='[2]Beam '!W$44,$P769*'[2]Beam '!W$45,0)</f>
        <v>0</v>
      </c>
      <c r="X769" s="8">
        <f>SUM(Q769:W769)</f>
        <v>27.977399999999999</v>
      </c>
      <c r="Y769" s="8"/>
      <c r="Z769" s="8"/>
      <c r="AA769" s="8"/>
      <c r="AB769" s="8"/>
      <c r="AC769" s="8"/>
      <c r="AD769" s="8"/>
      <c r="AE769" s="8"/>
      <c r="AF769" s="8"/>
    </row>
    <row r="770" spans="1:32" s="10" customFormat="1" ht="20.100000000000001" customHeight="1" x14ac:dyDescent="0.25">
      <c r="A770" s="14"/>
      <c r="B770" s="8" t="s">
        <v>2</v>
      </c>
      <c r="C770" s="13" t="s">
        <v>9</v>
      </c>
      <c r="D770" s="8">
        <f>+D769</f>
        <v>10</v>
      </c>
      <c r="E770" s="14">
        <f>+E769</f>
        <v>0.1</v>
      </c>
      <c r="F770" s="8">
        <f>ROUNDUP(E766/E770,0)</f>
        <v>21</v>
      </c>
      <c r="H770" s="14"/>
      <c r="I770" s="14"/>
      <c r="J770" s="14"/>
      <c r="K770" s="14"/>
      <c r="L770" s="14"/>
      <c r="M770" s="14"/>
      <c r="N770" s="14"/>
      <c r="O770" s="8">
        <f>((((G766-(2*'[2]Beam '!$D$11))+(2*10*D770/1000))*D766))*1</f>
        <v>0.94</v>
      </c>
      <c r="P770" s="8">
        <f>O770*F770</f>
        <v>19.739999999999998</v>
      </c>
      <c r="Q770" s="8">
        <f>IF($D770='[2]Beam '!Q$44,$P770*'[2]Beam '!Q$45,0)</f>
        <v>0</v>
      </c>
      <c r="R770" s="8">
        <f>IF($D770='[2]Beam '!R$44,$P770*'[2]Beam '!R$45,0)</f>
        <v>12.175349999999998</v>
      </c>
      <c r="S770" s="8">
        <f>IF($D770='[2]Beam '!S$44,$P770*'[2]Beam '!S$45,0)</f>
        <v>0</v>
      </c>
      <c r="T770" s="8">
        <f>IF($D770='[2]Beam '!T$44,$P770*'[2]Beam '!T$45,0)</f>
        <v>0</v>
      </c>
      <c r="U770" s="8">
        <f>IF($D770='[2]Beam '!U$44,$P770*'[2]Beam '!U$45,0)</f>
        <v>0</v>
      </c>
      <c r="V770" s="8">
        <f>IF($D770='[2]Beam '!V$44,$P770*'[2]Beam '!V$45,0)</f>
        <v>0</v>
      </c>
      <c r="W770" s="8">
        <f>IF($D770='[2]Beam '!W$44,$P770*'[2]Beam '!W$45,0)</f>
        <v>0</v>
      </c>
      <c r="X770" s="8">
        <f>SUM(Q770:W770)</f>
        <v>12.175349999999998</v>
      </c>
      <c r="Y770" s="14"/>
      <c r="Z770" s="8"/>
      <c r="AA770" s="8"/>
      <c r="AB770" s="8"/>
      <c r="AC770" s="8"/>
      <c r="AD770" s="8"/>
      <c r="AE770" s="8"/>
    </row>
    <row r="771" spans="1:32" s="10" customFormat="1" ht="20.100000000000001" customHeight="1" x14ac:dyDescent="0.25">
      <c r="A771" s="7"/>
      <c r="B771" s="8" t="s">
        <v>2</v>
      </c>
      <c r="C771" s="13" t="s">
        <v>10</v>
      </c>
      <c r="D771" s="8">
        <f>+'[2]Beam '!$D$15</f>
        <v>25</v>
      </c>
      <c r="E771" s="8">
        <f>+'[2]Beam '!$E$15</f>
        <v>1</v>
      </c>
      <c r="F771" s="8">
        <f>ROUNDUP((E766)/E771,0)</f>
        <v>3</v>
      </c>
      <c r="G771" s="9"/>
      <c r="H771" s="9"/>
      <c r="I771" s="8"/>
      <c r="J771" s="8"/>
      <c r="K771" s="8"/>
      <c r="L771" s="8"/>
      <c r="M771" s="8"/>
      <c r="N771" s="8"/>
      <c r="O771" s="8">
        <f>F766-'[2]Beam '!$F$15</f>
        <v>0.24</v>
      </c>
      <c r="P771" s="8">
        <f>O771*F771</f>
        <v>0.72</v>
      </c>
      <c r="Q771" s="8">
        <f>IF($D771='[2]Beam '!Q$44,$P771*'[2]Beam '!Q$45,0)</f>
        <v>0</v>
      </c>
      <c r="R771" s="8">
        <f>IF($D771='[2]Beam '!R$44,$P771*'[2]Beam '!R$45,0)</f>
        <v>0</v>
      </c>
      <c r="S771" s="8">
        <f>IF($D771='[2]Beam '!S$44,$P771*'[2]Beam '!S$45,0)</f>
        <v>0</v>
      </c>
      <c r="T771" s="8">
        <f>IF($D771='[2]Beam '!T$44,$P771*'[2]Beam '!T$45,0)</f>
        <v>0</v>
      </c>
      <c r="U771" s="8">
        <f>IF($D771='[2]Beam '!U$44,$P771*'[2]Beam '!U$45,0)</f>
        <v>0</v>
      </c>
      <c r="V771" s="8">
        <f>IF($D771='[2]Beam '!V$44,$P771*'[2]Beam '!V$45,0)</f>
        <v>2.7755357142857147</v>
      </c>
      <c r="W771" s="8">
        <f>IF($D771='[2]Beam '!W$44,$P771*'[2]Beam '!W$45,0)</f>
        <v>0</v>
      </c>
      <c r="X771" s="8">
        <f>SUM(Q771:W771)</f>
        <v>2.7755357142857147</v>
      </c>
      <c r="Y771" s="8"/>
      <c r="Z771" s="8"/>
      <c r="AA771" s="8"/>
      <c r="AB771" s="8"/>
      <c r="AC771" s="8"/>
      <c r="AD771" s="8"/>
      <c r="AE771" s="8"/>
    </row>
    <row r="772" spans="1:32" s="10" customFormat="1" ht="20.100000000000001" customHeight="1" x14ac:dyDescent="0.25">
      <c r="A772" s="8">
        <v>1</v>
      </c>
      <c r="B772" s="8" t="s">
        <v>2</v>
      </c>
      <c r="C772" s="11" t="s">
        <v>106</v>
      </c>
      <c r="D772" s="11">
        <v>1</v>
      </c>
      <c r="E772" s="11">
        <v>5.4989999999999997</v>
      </c>
      <c r="F772" s="11">
        <v>0.45</v>
      </c>
      <c r="G772" s="11">
        <v>0.5</v>
      </c>
      <c r="H772" s="8">
        <f>G772-0.2</f>
        <v>0.3</v>
      </c>
      <c r="I772" s="8">
        <f>E772*F772*G772*D772</f>
        <v>1.2372749999999999</v>
      </c>
      <c r="J772" s="8">
        <f>(2*(E772)*H772*D772)+(E772*F772)</f>
        <v>5.7739499999999992</v>
      </c>
      <c r="K772" s="12">
        <f>IF(E772=0.3,J772,0)</f>
        <v>0</v>
      </c>
      <c r="L772" s="12">
        <f>IF(AND(E772&gt;0.3,E772&lt;=0.75),J772,0)</f>
        <v>0</v>
      </c>
      <c r="M772" s="12">
        <f>IF(AND(E772&gt;0.75,E772&lt;=1.2),J772,0)</f>
        <v>0</v>
      </c>
      <c r="N772" s="12">
        <f>IF(E772&gt;1.2,J772,0)</f>
        <v>5.7739499999999992</v>
      </c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>
        <f>SUM(X773:X781)/I772</f>
        <v>230.99543866272944</v>
      </c>
      <c r="Z772" s="8"/>
      <c r="AA772" s="8"/>
      <c r="AB772" s="8"/>
      <c r="AC772" s="8"/>
      <c r="AD772" s="8"/>
      <c r="AE772" s="8"/>
    </row>
    <row r="773" spans="1:32" s="10" customFormat="1" ht="20.100000000000001" customHeight="1" x14ac:dyDescent="0.25">
      <c r="A773" s="7"/>
      <c r="B773" s="8" t="s">
        <v>2</v>
      </c>
      <c r="C773" s="13" t="s">
        <v>4</v>
      </c>
      <c r="D773" s="8">
        <v>20</v>
      </c>
      <c r="E773" s="8"/>
      <c r="F773" s="8">
        <v>4</v>
      </c>
      <c r="G773" s="9">
        <f>VLOOKUP(D773,'[2]Beam '!$C$20:$H$26,3,0)</f>
        <v>0.8</v>
      </c>
      <c r="H773" s="9"/>
      <c r="I773" s="8"/>
      <c r="J773" s="8"/>
      <c r="K773" s="8"/>
      <c r="L773" s="8"/>
      <c r="M773" s="8"/>
      <c r="N773" s="8"/>
      <c r="O773" s="8">
        <f>(E772+1*(G773+(12*D773/1000))+G773*D772)</f>
        <v>7.3389999999999995</v>
      </c>
      <c r="P773" s="8">
        <f t="shared" ref="P773:P782" si="143">O773*F773</f>
        <v>29.355999999999998</v>
      </c>
      <c r="Q773" s="8">
        <f>IF($D773='[2]Beam '!Q$44,$P773*'[2]Beam '!Q$45,0)</f>
        <v>0</v>
      </c>
      <c r="R773" s="8">
        <f>IF($D773='[2]Beam '!R$44,$P773*'[2]Beam '!R$45,0)</f>
        <v>0</v>
      </c>
      <c r="S773" s="8">
        <f>IF($D773='[2]Beam '!S$44,$P773*'[2]Beam '!S$45,0)</f>
        <v>0</v>
      </c>
      <c r="T773" s="8">
        <f>IF($D773='[2]Beam '!T$44,$P773*'[2]Beam '!T$45,0)</f>
        <v>0</v>
      </c>
      <c r="U773" s="8">
        <f>IF($D773='[2]Beam '!U$44,$P773*'[2]Beam '!U$45,0)</f>
        <v>72.425445714285715</v>
      </c>
      <c r="V773" s="8">
        <f>IF($D773='[2]Beam '!V$44,$P773*'[2]Beam '!V$45,0)</f>
        <v>0</v>
      </c>
      <c r="W773" s="8">
        <f>IF($D773='[2]Beam '!W$44,$P773*'[2]Beam '!W$45,0)</f>
        <v>0</v>
      </c>
      <c r="X773" s="8">
        <f t="shared" ref="X773:X782" si="144">SUM(Q773:W773)</f>
        <v>72.425445714285715</v>
      </c>
      <c r="Y773" s="8"/>
      <c r="Z773" s="8"/>
      <c r="AA773" s="8"/>
      <c r="AB773" s="8"/>
      <c r="AC773" s="8"/>
      <c r="AD773" s="8"/>
      <c r="AE773" s="8"/>
    </row>
    <row r="774" spans="1:32" s="10" customFormat="1" ht="20.100000000000001" customHeight="1" x14ac:dyDescent="0.25">
      <c r="A774" s="7"/>
      <c r="B774" s="8" t="s">
        <v>2</v>
      </c>
      <c r="C774" s="13" t="s">
        <v>75</v>
      </c>
      <c r="D774" s="8">
        <v>16</v>
      </c>
      <c r="E774" s="8"/>
      <c r="F774" s="8">
        <v>2</v>
      </c>
      <c r="G774" s="9">
        <f>VLOOKUP(D774,'[2]Beam '!$C$20:$H$26,3,0)</f>
        <v>0.625</v>
      </c>
      <c r="H774" s="9"/>
      <c r="I774" s="8"/>
      <c r="J774" s="8"/>
      <c r="K774" s="8"/>
      <c r="L774" s="8"/>
      <c r="M774" s="8"/>
      <c r="N774" s="8"/>
      <c r="O774" s="8">
        <f>(1.55+1*(G774+(12*D774/1000))*D772)</f>
        <v>2.367</v>
      </c>
      <c r="P774" s="8">
        <f t="shared" si="143"/>
        <v>4.734</v>
      </c>
      <c r="Q774" s="8">
        <f>IF($D774='[2]Beam '!Q$44,$P774*'[2]Beam '!Q$45,0)</f>
        <v>0</v>
      </c>
      <c r="R774" s="8">
        <f>IF($D774='[2]Beam '!R$44,$P774*'[2]Beam '!R$45,0)</f>
        <v>0</v>
      </c>
      <c r="S774" s="8">
        <f>IF($D774='[2]Beam '!S$44,$P774*'[2]Beam '!S$45,0)</f>
        <v>0</v>
      </c>
      <c r="T774" s="8">
        <f>IF($D774='[2]Beam '!T$44,$P774*'[2]Beam '!T$45,0)</f>
        <v>7.4748507428571438</v>
      </c>
      <c r="U774" s="8">
        <f>IF($D774='[2]Beam '!U$44,$P774*'[2]Beam '!U$45,0)</f>
        <v>0</v>
      </c>
      <c r="V774" s="8">
        <f>IF($D774='[2]Beam '!V$44,$P774*'[2]Beam '!V$45,0)</f>
        <v>0</v>
      </c>
      <c r="W774" s="8">
        <f>IF($D774='[2]Beam '!W$44,$P774*'[2]Beam '!W$45,0)</f>
        <v>0</v>
      </c>
      <c r="X774" s="8">
        <f t="shared" si="144"/>
        <v>7.4748507428571438</v>
      </c>
      <c r="Y774" s="8"/>
      <c r="Z774" s="8"/>
      <c r="AA774" s="8"/>
      <c r="AB774" s="8"/>
      <c r="AC774" s="8"/>
      <c r="AD774" s="8"/>
      <c r="AE774" s="8"/>
    </row>
    <row r="775" spans="1:32" s="10" customFormat="1" ht="20.100000000000001" customHeight="1" x14ac:dyDescent="0.25">
      <c r="A775" s="7"/>
      <c r="B775" s="8" t="s">
        <v>2</v>
      </c>
      <c r="C775" s="13" t="s">
        <v>5</v>
      </c>
      <c r="D775" s="8">
        <v>20</v>
      </c>
      <c r="E775" s="8"/>
      <c r="F775" s="8">
        <v>4</v>
      </c>
      <c r="G775" s="9">
        <f>VLOOKUP(D775,'[2]Beam '!$C$20:$H$26,3,0)</f>
        <v>0.8</v>
      </c>
      <c r="H775" s="9"/>
      <c r="I775" s="8"/>
      <c r="J775" s="8"/>
      <c r="K775" s="8"/>
      <c r="L775" s="8"/>
      <c r="M775" s="8"/>
      <c r="N775" s="8"/>
      <c r="O775" s="8">
        <f>(1.55+1*(G775)*D772)</f>
        <v>2.35</v>
      </c>
      <c r="P775" s="8">
        <f t="shared" si="143"/>
        <v>9.4</v>
      </c>
      <c r="Q775" s="8">
        <f>IF($D775='[2]Beam '!Q$44,$P775*'[2]Beam '!Q$45,0)</f>
        <v>0</v>
      </c>
      <c r="R775" s="8">
        <f>IF($D775='[2]Beam '!R$44,$P775*'[2]Beam '!R$45,0)</f>
        <v>0</v>
      </c>
      <c r="S775" s="8">
        <f>IF($D775='[2]Beam '!S$44,$P775*'[2]Beam '!S$45,0)</f>
        <v>0</v>
      </c>
      <c r="T775" s="8">
        <f>IF($D775='[2]Beam '!T$44,$P775*'[2]Beam '!T$45,0)</f>
        <v>0</v>
      </c>
      <c r="U775" s="8">
        <f>IF($D775='[2]Beam '!U$44,$P775*'[2]Beam '!U$45,0)</f>
        <v>23.191142857142857</v>
      </c>
      <c r="V775" s="8">
        <f>IF($D775='[2]Beam '!V$44,$P775*'[2]Beam '!V$45,0)</f>
        <v>0</v>
      </c>
      <c r="W775" s="8">
        <f>IF($D775='[2]Beam '!W$44,$P775*'[2]Beam '!W$45,0)</f>
        <v>0</v>
      </c>
      <c r="X775" s="8">
        <f t="shared" si="144"/>
        <v>23.191142857142857</v>
      </c>
      <c r="Y775" s="8"/>
      <c r="Z775" s="8"/>
      <c r="AA775" s="8"/>
      <c r="AB775" s="8"/>
      <c r="AC775" s="8"/>
      <c r="AD775" s="8"/>
      <c r="AE775" s="8"/>
    </row>
    <row r="776" spans="1:32" s="14" customFormat="1" ht="20.100000000000001" customHeight="1" x14ac:dyDescent="0.3">
      <c r="A776" s="7"/>
      <c r="B776" s="8" t="s">
        <v>2</v>
      </c>
      <c r="C776" s="13" t="s">
        <v>6</v>
      </c>
      <c r="D776" s="8">
        <v>20</v>
      </c>
      <c r="E776" s="8"/>
      <c r="F776" s="8">
        <v>4</v>
      </c>
      <c r="G776" s="9">
        <f>VLOOKUP(D776,'[2]Beam '!$C$20:$H$26,3,0)</f>
        <v>0.8</v>
      </c>
      <c r="H776" s="8"/>
      <c r="I776" s="8"/>
      <c r="J776" s="8"/>
      <c r="K776" s="8"/>
      <c r="L776" s="8"/>
      <c r="M776" s="8"/>
      <c r="N776" s="8"/>
      <c r="O776" s="8">
        <f>(E772+1*(G776+(12*D776/1000))+G776*D772)</f>
        <v>7.3389999999999995</v>
      </c>
      <c r="P776" s="8">
        <f t="shared" si="143"/>
        <v>29.355999999999998</v>
      </c>
      <c r="Q776" s="8">
        <f>IF($D776='[2]Beam '!Q$44,$P776*'[2]Beam '!Q$45,0)</f>
        <v>0</v>
      </c>
      <c r="R776" s="8">
        <f>IF($D776='[2]Beam '!R$44,$P776*'[2]Beam '!R$45,0)</f>
        <v>0</v>
      </c>
      <c r="S776" s="8">
        <f>IF($D776='[2]Beam '!S$44,$P776*'[2]Beam '!S$45,0)</f>
        <v>0</v>
      </c>
      <c r="T776" s="8">
        <f>IF($D776='[2]Beam '!T$44,$P776*'[2]Beam '!T$45,0)</f>
        <v>0</v>
      </c>
      <c r="U776" s="8">
        <f>IF($D776='[2]Beam '!U$44,$P776*'[2]Beam '!U$45,0)</f>
        <v>72.425445714285715</v>
      </c>
      <c r="V776" s="8">
        <f>IF($D776='[2]Beam '!V$44,$P776*'[2]Beam '!V$45,0)</f>
        <v>0</v>
      </c>
      <c r="W776" s="8">
        <f>IF($D776='[2]Beam '!W$44,$P776*'[2]Beam '!W$45,0)</f>
        <v>0</v>
      </c>
      <c r="X776" s="8">
        <f t="shared" si="144"/>
        <v>72.425445714285715</v>
      </c>
      <c r="Y776" s="8"/>
    </row>
    <row r="777" spans="1:32" s="14" customFormat="1" ht="20.100000000000001" customHeight="1" x14ac:dyDescent="0.3">
      <c r="A777" s="7"/>
      <c r="B777" s="8" t="s">
        <v>2</v>
      </c>
      <c r="C777" s="13" t="s">
        <v>7</v>
      </c>
      <c r="D777" s="8">
        <v>16</v>
      </c>
      <c r="E777" s="8"/>
      <c r="F777" s="8">
        <v>2</v>
      </c>
      <c r="G777" s="9">
        <f>VLOOKUP(D777,'[2]Beam '!$C$20:$H$26,3,0)</f>
        <v>0.625</v>
      </c>
      <c r="H777" s="8"/>
      <c r="I777" s="8"/>
      <c r="J777" s="8"/>
      <c r="K777" s="8"/>
      <c r="L777" s="8"/>
      <c r="M777" s="8"/>
      <c r="N777" s="8"/>
      <c r="O777" s="8">
        <f>+E772-0.6-0.6</f>
        <v>4.2990000000000004</v>
      </c>
      <c r="P777" s="8">
        <f t="shared" si="143"/>
        <v>8.5980000000000008</v>
      </c>
      <c r="Q777" s="8">
        <f>IF($D777='[2]Beam '!Q$44,$P777*'[2]Beam '!Q$45,0)</f>
        <v>0</v>
      </c>
      <c r="R777" s="8">
        <f>IF($D777='[2]Beam '!R$44,$P777*'[2]Beam '!R$45,0)</f>
        <v>0</v>
      </c>
      <c r="S777" s="8">
        <f>IF($D777='[2]Beam '!S$44,$P777*'[2]Beam '!S$45,0)</f>
        <v>0</v>
      </c>
      <c r="T777" s="8">
        <f>IF($D777='[2]Beam '!T$44,$P777*'[2]Beam '!T$45,0)</f>
        <v>13.575996342857145</v>
      </c>
      <c r="U777" s="8">
        <f>IF($D777='[2]Beam '!U$44,$P777*'[2]Beam '!U$45,0)</f>
        <v>0</v>
      </c>
      <c r="V777" s="8">
        <f>IF($D777='[2]Beam '!V$44,$P777*'[2]Beam '!V$45,0)</f>
        <v>0</v>
      </c>
      <c r="W777" s="8">
        <f>IF($D777='[2]Beam '!W$44,$P777*'[2]Beam '!W$45,0)</f>
        <v>0</v>
      </c>
      <c r="X777" s="8">
        <f t="shared" si="144"/>
        <v>13.575996342857145</v>
      </c>
      <c r="Y777" s="8"/>
    </row>
    <row r="778" spans="1:32" s="14" customFormat="1" ht="20.100000000000001" customHeight="1" x14ac:dyDescent="0.25">
      <c r="A778" s="7"/>
      <c r="B778" s="8" t="s">
        <v>2</v>
      </c>
      <c r="C778" s="13" t="s">
        <v>13</v>
      </c>
      <c r="D778" s="8">
        <v>10</v>
      </c>
      <c r="E778" s="8">
        <v>0.1</v>
      </c>
      <c r="F778" s="8">
        <f>ROUND(IF(E772/3&gt;(2*G772),(E772/3)/E778,(2*G772)/E778),0)*2+1</f>
        <v>37</v>
      </c>
      <c r="G778" s="10"/>
      <c r="H778" s="8"/>
      <c r="I778" s="8"/>
      <c r="J778" s="8"/>
      <c r="K778" s="8"/>
      <c r="L778" s="8"/>
      <c r="M778" s="8"/>
      <c r="N778" s="8"/>
      <c r="O778" s="8">
        <f>(2*((G772-(2*'[2]Beam '!$D$11))+(F772-(2*'[2]Beam '!$D$11)))+(2*10*D778/1000))*D772</f>
        <v>1.86</v>
      </c>
      <c r="P778" s="8">
        <f t="shared" si="143"/>
        <v>68.820000000000007</v>
      </c>
      <c r="Q778" s="8">
        <f>IF($D778='[2]Beam '!Q$44,$P778*'[2]Beam '!Q$45,0)</f>
        <v>0</v>
      </c>
      <c r="R778" s="8">
        <f>IF($D778='[2]Beam '!R$44,$P778*'[2]Beam '!R$45,0)</f>
        <v>42.447192857142859</v>
      </c>
      <c r="S778" s="8">
        <f>IF($D778='[2]Beam '!S$44,$P778*'[2]Beam '!S$45,0)</f>
        <v>0</v>
      </c>
      <c r="T778" s="8">
        <f>IF($D778='[2]Beam '!T$44,$P778*'[2]Beam '!T$45,0)</f>
        <v>0</v>
      </c>
      <c r="U778" s="8">
        <f>IF($D778='[2]Beam '!U$44,$P778*'[2]Beam '!U$45,0)</f>
        <v>0</v>
      </c>
      <c r="V778" s="8">
        <f>IF($D778='[2]Beam '!V$44,$P778*'[2]Beam '!V$45,0)</f>
        <v>0</v>
      </c>
      <c r="W778" s="8">
        <f>IF($D778='[2]Beam '!W$44,$P778*'[2]Beam '!W$45,0)</f>
        <v>0</v>
      </c>
      <c r="X778" s="8">
        <f t="shared" si="144"/>
        <v>42.447192857142859</v>
      </c>
      <c r="Y778" s="8"/>
    </row>
    <row r="779" spans="1:32" s="10" customFormat="1" ht="20.100000000000001" customHeight="1" x14ac:dyDescent="0.25">
      <c r="A779" s="14"/>
      <c r="B779" s="8" t="s">
        <v>2</v>
      </c>
      <c r="C779" s="13" t="s">
        <v>14</v>
      </c>
      <c r="D779" s="14">
        <f>D778</f>
        <v>10</v>
      </c>
      <c r="E779" s="14">
        <v>0.15</v>
      </c>
      <c r="F779" s="14">
        <f>ROUND((E772-(IF(E772/3&gt;2*G772,E772/3*2,G772*2*2)))/E779,0)</f>
        <v>12</v>
      </c>
      <c r="H779" s="14"/>
      <c r="I779" s="14"/>
      <c r="J779" s="14"/>
      <c r="K779" s="14"/>
      <c r="L779" s="14"/>
      <c r="M779" s="14"/>
      <c r="N779" s="14"/>
      <c r="O779" s="8">
        <f>(2*((G772-(2*'[2]Beam '!$D$11))+(F772-(2*'[2]Beam '!$D$11)))+(2*10*D779/1000))*D772</f>
        <v>1.86</v>
      </c>
      <c r="P779" s="8">
        <f t="shared" si="143"/>
        <v>22.32</v>
      </c>
      <c r="Q779" s="8">
        <f>IF($D779='[2]Beam '!Q$44,$P779*'[2]Beam '!Q$45,0)</f>
        <v>0</v>
      </c>
      <c r="R779" s="8">
        <f>IF($D779='[2]Beam '!R$44,$P779*'[2]Beam '!R$45,0)</f>
        <v>13.766657142857143</v>
      </c>
      <c r="S779" s="8">
        <f>IF($D779='[2]Beam '!S$44,$P779*'[2]Beam '!S$45,0)</f>
        <v>0</v>
      </c>
      <c r="T779" s="8">
        <f>IF($D779='[2]Beam '!T$44,$P779*'[2]Beam '!T$45,0)</f>
        <v>0</v>
      </c>
      <c r="U779" s="8">
        <f>IF($D779='[2]Beam '!U$44,$P779*'[2]Beam '!U$45,0)</f>
        <v>0</v>
      </c>
      <c r="V779" s="8">
        <f>IF($D779='[2]Beam '!V$44,$P779*'[2]Beam '!V$45,0)</f>
        <v>0</v>
      </c>
      <c r="W779" s="8">
        <f>IF($D779='[2]Beam '!W$44,$P779*'[2]Beam '!W$45,0)</f>
        <v>0</v>
      </c>
      <c r="X779" s="8">
        <f t="shared" si="144"/>
        <v>13.766657142857143</v>
      </c>
      <c r="Y779" s="14"/>
      <c r="Z779" s="8"/>
      <c r="AA779" s="8"/>
      <c r="AB779" s="8"/>
      <c r="AC779" s="8"/>
      <c r="AD779" s="8"/>
      <c r="AE779" s="8"/>
    </row>
    <row r="780" spans="1:32" s="10" customFormat="1" ht="21" customHeight="1" x14ac:dyDescent="0.25">
      <c r="A780" s="14"/>
      <c r="B780" s="8" t="s">
        <v>2</v>
      </c>
      <c r="C780" s="13" t="s">
        <v>15</v>
      </c>
      <c r="D780" s="14">
        <f>D778</f>
        <v>10</v>
      </c>
      <c r="E780" s="14">
        <f>+E778</f>
        <v>0.1</v>
      </c>
      <c r="F780" s="8">
        <f>ROUND(IF(E772/3&gt;(2*G772),(E772/3)/E780,(2*G772)/E780),0)*2+1</f>
        <v>37</v>
      </c>
      <c r="H780" s="14"/>
      <c r="I780" s="14"/>
      <c r="J780" s="14"/>
      <c r="K780" s="14"/>
      <c r="L780" s="14"/>
      <c r="M780" s="14"/>
      <c r="N780" s="14"/>
      <c r="O780" s="8">
        <f>(2*(((F772-'[2]Beam '!$D$11*2)/(F773-1))+(G772-'[2]Beam '!$D$11*2))+(2*10*D780/1000))*D772</f>
        <v>1.34</v>
      </c>
      <c r="P780" s="8">
        <f t="shared" si="143"/>
        <v>49.580000000000005</v>
      </c>
      <c r="Q780" s="8">
        <f>IF($D780='[2]Beam '!Q$44,$P780*'[2]Beam '!Q$45,0)</f>
        <v>0</v>
      </c>
      <c r="R780" s="8">
        <f>IF($D780='[2]Beam '!R$44,$P780*'[2]Beam '!R$45,0)</f>
        <v>30.580235714285717</v>
      </c>
      <c r="S780" s="8">
        <f>IF($D780='[2]Beam '!S$44,$P780*'[2]Beam '!S$45,0)</f>
        <v>0</v>
      </c>
      <c r="T780" s="8">
        <f>IF($D780='[2]Beam '!T$44,$P780*'[2]Beam '!T$45,0)</f>
        <v>0</v>
      </c>
      <c r="U780" s="8">
        <f>IF($D780='[2]Beam '!U$44,$P780*'[2]Beam '!U$45,0)</f>
        <v>0</v>
      </c>
      <c r="V780" s="8">
        <f>IF($D780='[2]Beam '!V$44,$P780*'[2]Beam '!V$45,0)</f>
        <v>0</v>
      </c>
      <c r="W780" s="8">
        <f>IF($D780='[2]Beam '!W$44,$P780*'[2]Beam '!W$45,0)</f>
        <v>0</v>
      </c>
      <c r="X780" s="8">
        <f t="shared" si="144"/>
        <v>30.580235714285717</v>
      </c>
      <c r="Y780" s="14"/>
      <c r="Z780" s="8"/>
      <c r="AA780" s="8"/>
      <c r="AB780" s="8"/>
      <c r="AC780" s="8"/>
      <c r="AD780" s="8"/>
      <c r="AE780" s="8"/>
      <c r="AF780" s="8"/>
    </row>
    <row r="781" spans="1:32" s="10" customFormat="1" ht="20.100000000000001" customHeight="1" x14ac:dyDescent="0.25">
      <c r="A781" s="14"/>
      <c r="B781" s="8" t="s">
        <v>2</v>
      </c>
      <c r="C781" s="13" t="s">
        <v>16</v>
      </c>
      <c r="D781" s="14">
        <f>D779</f>
        <v>10</v>
      </c>
      <c r="E781" s="14">
        <f>+E779</f>
        <v>0.15</v>
      </c>
      <c r="F781" s="14">
        <f>ROUND((E772-(IF(E772/3&gt;2*G772,E772/3*2,G772*2*2)))/E781,0)</f>
        <v>12</v>
      </c>
      <c r="H781" s="14"/>
      <c r="I781" s="14"/>
      <c r="J781" s="14"/>
      <c r="K781" s="14"/>
      <c r="L781" s="14"/>
      <c r="M781" s="14"/>
      <c r="N781" s="14"/>
      <c r="O781" s="8">
        <f>(2*(((F772-'[2]Beam '!$D$11*2)/(F773-1))+(G772-'[2]Beam '!$D$11*2))+(2*10*D781/1000))*D772</f>
        <v>1.34</v>
      </c>
      <c r="P781" s="8">
        <f t="shared" si="143"/>
        <v>16.080000000000002</v>
      </c>
      <c r="Q781" s="8">
        <f>IF($D781='[2]Beam '!Q$44,$P781*'[2]Beam '!Q$45,0)</f>
        <v>0</v>
      </c>
      <c r="R781" s="8">
        <f>IF($D781='[2]Beam '!R$44,$P781*'[2]Beam '!R$45,0)</f>
        <v>9.9179142857142875</v>
      </c>
      <c r="S781" s="8">
        <f>IF($D781='[2]Beam '!S$44,$P781*'[2]Beam '!S$45,0)</f>
        <v>0</v>
      </c>
      <c r="T781" s="8">
        <f>IF($D781='[2]Beam '!T$44,$P781*'[2]Beam '!T$45,0)</f>
        <v>0</v>
      </c>
      <c r="U781" s="8">
        <f>IF($D781='[2]Beam '!U$44,$P781*'[2]Beam '!U$45,0)</f>
        <v>0</v>
      </c>
      <c r="V781" s="8">
        <f>IF($D781='[2]Beam '!V$44,$P781*'[2]Beam '!V$45,0)</f>
        <v>0</v>
      </c>
      <c r="W781" s="8">
        <f>IF($D781='[2]Beam '!W$44,$P781*'[2]Beam '!W$45,0)</f>
        <v>0</v>
      </c>
      <c r="X781" s="8">
        <f t="shared" si="144"/>
        <v>9.9179142857142875</v>
      </c>
      <c r="Y781" s="14"/>
      <c r="Z781" s="8"/>
      <c r="AA781" s="8"/>
      <c r="AB781" s="8"/>
      <c r="AC781" s="8"/>
      <c r="AD781" s="8"/>
      <c r="AE781" s="8"/>
    </row>
    <row r="782" spans="1:32" s="10" customFormat="1" ht="20.100000000000001" customHeight="1" x14ac:dyDescent="0.25">
      <c r="A782" s="7"/>
      <c r="B782" s="8" t="s">
        <v>2</v>
      </c>
      <c r="C782" s="13" t="s">
        <v>10</v>
      </c>
      <c r="D782" s="8">
        <f>+'[2]Beam '!$D$15</f>
        <v>25</v>
      </c>
      <c r="E782" s="8">
        <f>+'[2]Beam '!$E$15</f>
        <v>1</v>
      </c>
      <c r="F782" s="8">
        <f>ROUNDUP((E772+3.1)/E782,0)</f>
        <v>9</v>
      </c>
      <c r="G782" s="9"/>
      <c r="H782" s="9"/>
      <c r="I782" s="8"/>
      <c r="J782" s="8"/>
      <c r="K782" s="8"/>
      <c r="L782" s="8"/>
      <c r="M782" s="8"/>
      <c r="N782" s="8"/>
      <c r="O782" s="8">
        <f>F772-'[2]Beam '!$F$15</f>
        <v>0.39</v>
      </c>
      <c r="P782" s="8">
        <f t="shared" si="143"/>
        <v>3.5100000000000002</v>
      </c>
      <c r="Q782" s="8">
        <f>IF($D782='[2]Beam '!Q$44,$P782*'[2]Beam '!Q$45,0)</f>
        <v>0</v>
      </c>
      <c r="R782" s="8">
        <f>IF($D782='[2]Beam '!R$44,$P782*'[2]Beam '!R$45,0)</f>
        <v>0</v>
      </c>
      <c r="S782" s="8">
        <f>IF($D782='[2]Beam '!S$44,$P782*'[2]Beam '!S$45,0)</f>
        <v>0</v>
      </c>
      <c r="T782" s="8">
        <f>IF($D782='[2]Beam '!T$44,$P782*'[2]Beam '!T$45,0)</f>
        <v>0</v>
      </c>
      <c r="U782" s="8">
        <f>IF($D782='[2]Beam '!U$44,$P782*'[2]Beam '!U$45,0)</f>
        <v>0</v>
      </c>
      <c r="V782" s="8">
        <f>IF($D782='[2]Beam '!V$44,$P782*'[2]Beam '!V$45,0)</f>
        <v>13.53073660714286</v>
      </c>
      <c r="W782" s="8">
        <f>IF($D782='[2]Beam '!W$44,$P782*'[2]Beam '!W$45,0)</f>
        <v>0</v>
      </c>
      <c r="X782" s="8">
        <f t="shared" si="144"/>
        <v>13.53073660714286</v>
      </c>
      <c r="Y782" s="8"/>
      <c r="Z782" s="8"/>
      <c r="AA782" s="8"/>
      <c r="AB782" s="8"/>
      <c r="AC782" s="8"/>
      <c r="AD782" s="8"/>
      <c r="AE782" s="8"/>
    </row>
    <row r="783" spans="1:32" s="10" customFormat="1" ht="20.100000000000001" customHeight="1" x14ac:dyDescent="0.25">
      <c r="A783" s="8">
        <v>1</v>
      </c>
      <c r="B783" s="8" t="s">
        <v>2</v>
      </c>
      <c r="C783" s="11" t="s">
        <v>107</v>
      </c>
      <c r="D783" s="11">
        <v>1</v>
      </c>
      <c r="E783" s="11">
        <v>7.6</v>
      </c>
      <c r="F783" s="11">
        <v>0.4</v>
      </c>
      <c r="G783" s="11">
        <v>1.1000000000000001</v>
      </c>
      <c r="H783" s="8">
        <f>G783-0.2</f>
        <v>0.90000000000000013</v>
      </c>
      <c r="I783" s="8">
        <f>E783*F783*G783*D783</f>
        <v>3.3440000000000003</v>
      </c>
      <c r="J783" s="8">
        <f>(2*(E783)*H783*D783)+(E783*F783)</f>
        <v>16.720000000000002</v>
      </c>
      <c r="K783" s="12">
        <f>IF(E783=0.3,J783,0)</f>
        <v>0</v>
      </c>
      <c r="L783" s="12">
        <f>IF(AND(E783&gt;0.3,E783&lt;=0.75),J783,0)</f>
        <v>0</v>
      </c>
      <c r="M783" s="12">
        <f>IF(AND(E783&gt;0.75,E783&lt;=1.2),J783,0)</f>
        <v>0</v>
      </c>
      <c r="N783" s="12">
        <f>IF(E783&gt;1.2,J783,0)</f>
        <v>16.720000000000002</v>
      </c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>
        <f>SUM(X784:X792)/I783</f>
        <v>163.12260651629072</v>
      </c>
      <c r="Z783" s="8"/>
      <c r="AA783" s="8"/>
      <c r="AB783" s="8"/>
      <c r="AC783" s="8"/>
      <c r="AD783" s="8"/>
      <c r="AE783" s="8"/>
    </row>
    <row r="784" spans="1:32" s="10" customFormat="1" ht="20.100000000000001" customHeight="1" x14ac:dyDescent="0.25">
      <c r="A784" s="7"/>
      <c r="B784" s="8" t="s">
        <v>2</v>
      </c>
      <c r="C784" s="13" t="s">
        <v>4</v>
      </c>
      <c r="D784" s="8">
        <v>25</v>
      </c>
      <c r="E784" s="8"/>
      <c r="F784" s="8">
        <v>4</v>
      </c>
      <c r="G784" s="9">
        <f>VLOOKUP(D784,'[2]Beam '!$C$20:$H$26,3,0)</f>
        <v>1</v>
      </c>
      <c r="H784" s="9"/>
      <c r="I784" s="8"/>
      <c r="J784" s="8"/>
      <c r="K784" s="8"/>
      <c r="L784" s="8"/>
      <c r="M784" s="8"/>
      <c r="N784" s="8"/>
      <c r="O784" s="8">
        <f>(E783+2*(G784)*D783)</f>
        <v>9.6</v>
      </c>
      <c r="P784" s="8">
        <f t="shared" ref="P784:P793" si="145">O784*F784</f>
        <v>38.4</v>
      </c>
      <c r="Q784" s="8">
        <f>IF($D784='[2]Beam '!Q$44,$P784*'[2]Beam '!Q$45,0)</f>
        <v>0</v>
      </c>
      <c r="R784" s="8">
        <f>IF($D784='[2]Beam '!R$44,$P784*'[2]Beam '!R$45,0)</f>
        <v>0</v>
      </c>
      <c r="S784" s="8">
        <f>IF($D784='[2]Beam '!S$44,$P784*'[2]Beam '!S$45,0)</f>
        <v>0</v>
      </c>
      <c r="T784" s="8">
        <f>IF($D784='[2]Beam '!T$44,$P784*'[2]Beam '!T$45,0)</f>
        <v>0</v>
      </c>
      <c r="U784" s="8">
        <f>IF($D784='[2]Beam '!U$44,$P784*'[2]Beam '!U$45,0)</f>
        <v>0</v>
      </c>
      <c r="V784" s="8">
        <f>IF($D784='[2]Beam '!V$44,$P784*'[2]Beam '!V$45,0)</f>
        <v>148.02857142857144</v>
      </c>
      <c r="W784" s="8">
        <f>IF($D784='[2]Beam '!W$44,$P784*'[2]Beam '!W$45,0)</f>
        <v>0</v>
      </c>
      <c r="X784" s="8">
        <f t="shared" ref="X784:X793" si="146">SUM(Q784:W784)</f>
        <v>148.02857142857144</v>
      </c>
      <c r="Y784" s="8"/>
      <c r="Z784" s="8"/>
      <c r="AA784" s="8"/>
      <c r="AB784" s="8"/>
      <c r="AC784" s="8"/>
      <c r="AD784" s="8"/>
      <c r="AE784" s="8"/>
    </row>
    <row r="785" spans="1:32" s="10" customFormat="1" ht="20.100000000000001" customHeight="1" x14ac:dyDescent="0.25">
      <c r="A785" s="7"/>
      <c r="B785" s="8" t="s">
        <v>2</v>
      </c>
      <c r="C785" s="13" t="s">
        <v>75</v>
      </c>
      <c r="D785" s="8">
        <v>16</v>
      </c>
      <c r="E785" s="8"/>
      <c r="F785" s="8">
        <v>2</v>
      </c>
      <c r="G785" s="9">
        <f>VLOOKUP(D785,'[2]Beam '!$C$20:$H$26,3,0)</f>
        <v>0.625</v>
      </c>
      <c r="H785" s="9"/>
      <c r="I785" s="8"/>
      <c r="J785" s="8"/>
      <c r="K785" s="8"/>
      <c r="L785" s="8"/>
      <c r="M785" s="8"/>
      <c r="N785" s="8"/>
      <c r="O785" s="8">
        <f>(2+1*(G785)*D783)</f>
        <v>2.625</v>
      </c>
      <c r="P785" s="8">
        <f t="shared" si="145"/>
        <v>5.25</v>
      </c>
      <c r="Q785" s="8">
        <f>IF($D785='[2]Beam '!Q$44,$P785*'[2]Beam '!Q$45,0)</f>
        <v>0</v>
      </c>
      <c r="R785" s="8">
        <f>IF($D785='[2]Beam '!R$44,$P785*'[2]Beam '!R$45,0)</f>
        <v>0</v>
      </c>
      <c r="S785" s="8">
        <f>IF($D785='[2]Beam '!S$44,$P785*'[2]Beam '!S$45,0)</f>
        <v>0</v>
      </c>
      <c r="T785" s="8">
        <f>IF($D785='[2]Beam '!T$44,$P785*'[2]Beam '!T$45,0)</f>
        <v>8.2896000000000001</v>
      </c>
      <c r="U785" s="8">
        <f>IF($D785='[2]Beam '!U$44,$P785*'[2]Beam '!U$45,0)</f>
        <v>0</v>
      </c>
      <c r="V785" s="8">
        <f>IF($D785='[2]Beam '!V$44,$P785*'[2]Beam '!V$45,0)</f>
        <v>0</v>
      </c>
      <c r="W785" s="8">
        <f>IF($D785='[2]Beam '!W$44,$P785*'[2]Beam '!W$45,0)</f>
        <v>0</v>
      </c>
      <c r="X785" s="8">
        <f t="shared" si="146"/>
        <v>8.2896000000000001</v>
      </c>
      <c r="Y785" s="8"/>
      <c r="Z785" s="8"/>
      <c r="AA785" s="8"/>
      <c r="AB785" s="8"/>
      <c r="AC785" s="8"/>
      <c r="AD785" s="8"/>
      <c r="AE785" s="8"/>
    </row>
    <row r="786" spans="1:32" s="10" customFormat="1" ht="20.100000000000001" customHeight="1" x14ac:dyDescent="0.25">
      <c r="A786" s="7"/>
      <c r="B786" s="8" t="s">
        <v>2</v>
      </c>
      <c r="C786" s="13" t="s">
        <v>5</v>
      </c>
      <c r="D786" s="8">
        <v>16</v>
      </c>
      <c r="E786" s="8"/>
      <c r="F786" s="8">
        <v>2</v>
      </c>
      <c r="G786" s="9">
        <f>VLOOKUP(D786,'[2]Beam '!$C$20:$H$26,3,0)</f>
        <v>0.625</v>
      </c>
      <c r="H786" s="9"/>
      <c r="I786" s="8"/>
      <c r="J786" s="8"/>
      <c r="K786" s="8"/>
      <c r="L786" s="8"/>
      <c r="M786" s="8"/>
      <c r="N786" s="8"/>
      <c r="O786" s="8">
        <f>(2+1*(G786)*D783)</f>
        <v>2.625</v>
      </c>
      <c r="P786" s="8">
        <f t="shared" si="145"/>
        <v>5.25</v>
      </c>
      <c r="Q786" s="8">
        <f>IF($D786='[2]Beam '!Q$44,$P786*'[2]Beam '!Q$45,0)</f>
        <v>0</v>
      </c>
      <c r="R786" s="8">
        <f>IF($D786='[2]Beam '!R$44,$P786*'[2]Beam '!R$45,0)</f>
        <v>0</v>
      </c>
      <c r="S786" s="8">
        <f>IF($D786='[2]Beam '!S$44,$P786*'[2]Beam '!S$45,0)</f>
        <v>0</v>
      </c>
      <c r="T786" s="8">
        <f>IF($D786='[2]Beam '!T$44,$P786*'[2]Beam '!T$45,0)</f>
        <v>8.2896000000000001</v>
      </c>
      <c r="U786" s="8">
        <f>IF($D786='[2]Beam '!U$44,$P786*'[2]Beam '!U$45,0)</f>
        <v>0</v>
      </c>
      <c r="V786" s="8">
        <f>IF($D786='[2]Beam '!V$44,$P786*'[2]Beam '!V$45,0)</f>
        <v>0</v>
      </c>
      <c r="W786" s="8">
        <f>IF($D786='[2]Beam '!W$44,$P786*'[2]Beam '!W$45,0)</f>
        <v>0</v>
      </c>
      <c r="X786" s="8">
        <f t="shared" si="146"/>
        <v>8.2896000000000001</v>
      </c>
      <c r="Y786" s="8"/>
      <c r="Z786" s="8"/>
      <c r="AA786" s="8"/>
      <c r="AB786" s="8"/>
      <c r="AC786" s="8"/>
      <c r="AD786" s="8"/>
      <c r="AE786" s="8"/>
    </row>
    <row r="787" spans="1:32" s="14" customFormat="1" ht="20.100000000000001" customHeight="1" x14ac:dyDescent="0.3">
      <c r="A787" s="7"/>
      <c r="B787" s="8" t="s">
        <v>2</v>
      </c>
      <c r="C787" s="13" t="s">
        <v>6</v>
      </c>
      <c r="D787" s="8">
        <v>25</v>
      </c>
      <c r="E787" s="8"/>
      <c r="F787" s="8">
        <v>4</v>
      </c>
      <c r="G787" s="9">
        <f>VLOOKUP(D787,'[2]Beam '!$C$20:$H$26,3,0)</f>
        <v>1</v>
      </c>
      <c r="H787" s="8"/>
      <c r="I787" s="8"/>
      <c r="J787" s="8"/>
      <c r="K787" s="8"/>
      <c r="L787" s="8"/>
      <c r="M787" s="8"/>
      <c r="N787" s="8"/>
      <c r="O787" s="8">
        <f>(E783+2*(G787)*D783)</f>
        <v>9.6</v>
      </c>
      <c r="P787" s="8">
        <f t="shared" si="145"/>
        <v>38.4</v>
      </c>
      <c r="Q787" s="8">
        <f>IF($D787='[2]Beam '!Q$44,$P787*'[2]Beam '!Q$45,0)</f>
        <v>0</v>
      </c>
      <c r="R787" s="8">
        <f>IF($D787='[2]Beam '!R$44,$P787*'[2]Beam '!R$45,0)</f>
        <v>0</v>
      </c>
      <c r="S787" s="8">
        <f>IF($D787='[2]Beam '!S$44,$P787*'[2]Beam '!S$45,0)</f>
        <v>0</v>
      </c>
      <c r="T787" s="8">
        <f>IF($D787='[2]Beam '!T$44,$P787*'[2]Beam '!T$45,0)</f>
        <v>0</v>
      </c>
      <c r="U787" s="8">
        <f>IF($D787='[2]Beam '!U$44,$P787*'[2]Beam '!U$45,0)</f>
        <v>0</v>
      </c>
      <c r="V787" s="8">
        <f>IF($D787='[2]Beam '!V$44,$P787*'[2]Beam '!V$45,0)</f>
        <v>148.02857142857144</v>
      </c>
      <c r="W787" s="8">
        <f>IF($D787='[2]Beam '!W$44,$P787*'[2]Beam '!W$45,0)</f>
        <v>0</v>
      </c>
      <c r="X787" s="8">
        <f t="shared" si="146"/>
        <v>148.02857142857144</v>
      </c>
      <c r="Y787" s="8"/>
    </row>
    <row r="788" spans="1:32" s="14" customFormat="1" ht="20.100000000000001" customHeight="1" x14ac:dyDescent="0.3">
      <c r="A788" s="7"/>
      <c r="B788" s="8" t="s">
        <v>2</v>
      </c>
      <c r="C788" s="13" t="s">
        <v>7</v>
      </c>
      <c r="D788" s="8">
        <v>16</v>
      </c>
      <c r="E788" s="8"/>
      <c r="F788" s="8">
        <v>2</v>
      </c>
      <c r="G788" s="9">
        <f>VLOOKUP(D788,'[2]Beam '!$C$20:$H$26,3,0)</f>
        <v>0.625</v>
      </c>
      <c r="H788" s="8"/>
      <c r="I788" s="8"/>
      <c r="J788" s="8"/>
      <c r="K788" s="8"/>
      <c r="L788" s="8"/>
      <c r="M788" s="8"/>
      <c r="N788" s="8"/>
      <c r="O788" s="8">
        <f>+E783-1.1-1.1</f>
        <v>5.4</v>
      </c>
      <c r="P788" s="8">
        <f t="shared" si="145"/>
        <v>10.8</v>
      </c>
      <c r="Q788" s="8">
        <f>IF($D788='[2]Beam '!Q$44,$P788*'[2]Beam '!Q$45,0)</f>
        <v>0</v>
      </c>
      <c r="R788" s="8">
        <f>IF($D788='[2]Beam '!R$44,$P788*'[2]Beam '!R$45,0)</f>
        <v>0</v>
      </c>
      <c r="S788" s="8">
        <f>IF($D788='[2]Beam '!S$44,$P788*'[2]Beam '!S$45,0)</f>
        <v>0</v>
      </c>
      <c r="T788" s="8">
        <f>IF($D788='[2]Beam '!T$44,$P788*'[2]Beam '!T$45,0)</f>
        <v>17.052891428571431</v>
      </c>
      <c r="U788" s="8">
        <f>IF($D788='[2]Beam '!U$44,$P788*'[2]Beam '!U$45,0)</f>
        <v>0</v>
      </c>
      <c r="V788" s="8">
        <f>IF($D788='[2]Beam '!V$44,$P788*'[2]Beam '!V$45,0)</f>
        <v>0</v>
      </c>
      <c r="W788" s="8">
        <f>IF($D788='[2]Beam '!W$44,$P788*'[2]Beam '!W$45,0)</f>
        <v>0</v>
      </c>
      <c r="X788" s="8">
        <f t="shared" si="146"/>
        <v>17.052891428571431</v>
      </c>
      <c r="Y788" s="8"/>
    </row>
    <row r="789" spans="1:32" s="14" customFormat="1" ht="20.100000000000001" customHeight="1" x14ac:dyDescent="0.25">
      <c r="A789" s="7"/>
      <c r="B789" s="8" t="s">
        <v>2</v>
      </c>
      <c r="C789" s="13" t="s">
        <v>13</v>
      </c>
      <c r="D789" s="8">
        <v>10</v>
      </c>
      <c r="E789" s="8">
        <v>0.1</v>
      </c>
      <c r="F789" s="8">
        <f>ROUND(IF(E783/3&gt;(2*G783),(E783/3)/E789,(2*G783)/E789),0)*2+1</f>
        <v>51</v>
      </c>
      <c r="G789" s="10"/>
      <c r="H789" s="8"/>
      <c r="I789" s="8"/>
      <c r="J789" s="8"/>
      <c r="K789" s="8"/>
      <c r="L789" s="8"/>
      <c r="M789" s="8"/>
      <c r="N789" s="8"/>
      <c r="O789" s="8">
        <f>(2*((G783-(2*'[2]Beam '!$D$11))+(F783-(2*'[2]Beam '!$D$11)))+(2*10*D789/1000))*D783</f>
        <v>2.9600000000000004</v>
      </c>
      <c r="P789" s="8">
        <f t="shared" si="145"/>
        <v>150.96</v>
      </c>
      <c r="Q789" s="8">
        <f>IF($D789='[2]Beam '!Q$44,$P789*'[2]Beam '!Q$45,0)</f>
        <v>0</v>
      </c>
      <c r="R789" s="8">
        <f>IF($D789='[2]Beam '!R$44,$P789*'[2]Beam '!R$45,0)</f>
        <v>93.109971428571427</v>
      </c>
      <c r="S789" s="8">
        <f>IF($D789='[2]Beam '!S$44,$P789*'[2]Beam '!S$45,0)</f>
        <v>0</v>
      </c>
      <c r="T789" s="8">
        <f>IF($D789='[2]Beam '!T$44,$P789*'[2]Beam '!T$45,0)</f>
        <v>0</v>
      </c>
      <c r="U789" s="8">
        <f>IF($D789='[2]Beam '!U$44,$P789*'[2]Beam '!U$45,0)</f>
        <v>0</v>
      </c>
      <c r="V789" s="8">
        <f>IF($D789='[2]Beam '!V$44,$P789*'[2]Beam '!V$45,0)</f>
        <v>0</v>
      </c>
      <c r="W789" s="8">
        <f>IF($D789='[2]Beam '!W$44,$P789*'[2]Beam '!W$45,0)</f>
        <v>0</v>
      </c>
      <c r="X789" s="8">
        <f t="shared" si="146"/>
        <v>93.109971428571427</v>
      </c>
      <c r="Y789" s="8"/>
    </row>
    <row r="790" spans="1:32" s="10" customFormat="1" ht="20.100000000000001" customHeight="1" x14ac:dyDescent="0.25">
      <c r="A790" s="14"/>
      <c r="B790" s="8" t="s">
        <v>2</v>
      </c>
      <c r="C790" s="13" t="s">
        <v>14</v>
      </c>
      <c r="D790" s="14">
        <f>D789</f>
        <v>10</v>
      </c>
      <c r="E790" s="14">
        <v>0.2</v>
      </c>
      <c r="F790" s="14">
        <f>ROUND((E783-(IF(E783/3&gt;2*G783,E783/3*2,G783*2*2)))/E790,0)</f>
        <v>13</v>
      </c>
      <c r="H790" s="14"/>
      <c r="I790" s="14"/>
      <c r="J790" s="14"/>
      <c r="K790" s="14"/>
      <c r="L790" s="14"/>
      <c r="M790" s="14"/>
      <c r="N790" s="14"/>
      <c r="O790" s="8">
        <f>(2*((G783-(2*'[2]Beam '!$D$11))+(F783-(2*'[2]Beam '!$D$11)))+(2*10*D790/1000))*D783</f>
        <v>2.9600000000000004</v>
      </c>
      <c r="P790" s="8">
        <f t="shared" si="145"/>
        <v>38.480000000000004</v>
      </c>
      <c r="Q790" s="8">
        <f>IF($D790='[2]Beam '!Q$44,$P790*'[2]Beam '!Q$45,0)</f>
        <v>0</v>
      </c>
      <c r="R790" s="8">
        <f>IF($D790='[2]Beam '!R$44,$P790*'[2]Beam '!R$45,0)</f>
        <v>23.733914285714288</v>
      </c>
      <c r="S790" s="8">
        <f>IF($D790='[2]Beam '!S$44,$P790*'[2]Beam '!S$45,0)</f>
        <v>0</v>
      </c>
      <c r="T790" s="8">
        <f>IF($D790='[2]Beam '!T$44,$P790*'[2]Beam '!T$45,0)</f>
        <v>0</v>
      </c>
      <c r="U790" s="8">
        <f>IF($D790='[2]Beam '!U$44,$P790*'[2]Beam '!U$45,0)</f>
        <v>0</v>
      </c>
      <c r="V790" s="8">
        <f>IF($D790='[2]Beam '!V$44,$P790*'[2]Beam '!V$45,0)</f>
        <v>0</v>
      </c>
      <c r="W790" s="8">
        <f>IF($D790='[2]Beam '!W$44,$P790*'[2]Beam '!W$45,0)</f>
        <v>0</v>
      </c>
      <c r="X790" s="8">
        <f t="shared" si="146"/>
        <v>23.733914285714288</v>
      </c>
      <c r="Y790" s="14"/>
      <c r="Z790" s="8"/>
      <c r="AA790" s="8"/>
      <c r="AB790" s="8"/>
      <c r="AC790" s="8"/>
      <c r="AD790" s="8"/>
      <c r="AE790" s="8"/>
    </row>
    <row r="791" spans="1:32" s="10" customFormat="1" ht="21" customHeight="1" x14ac:dyDescent="0.25">
      <c r="A791" s="14"/>
      <c r="B791" s="8" t="s">
        <v>2</v>
      </c>
      <c r="C791" s="13" t="s">
        <v>15</v>
      </c>
      <c r="D791" s="14">
        <f>D789</f>
        <v>10</v>
      </c>
      <c r="E791" s="14">
        <f>+E789</f>
        <v>0.1</v>
      </c>
      <c r="F791" s="8">
        <f>ROUND(IF(E783/3&gt;(2*G783),(E783/3)/E791,(2*G783)/E791),0)*2+1</f>
        <v>51</v>
      </c>
      <c r="H791" s="14"/>
      <c r="I791" s="14"/>
      <c r="J791" s="14"/>
      <c r="K791" s="14"/>
      <c r="L791" s="14"/>
      <c r="M791" s="14"/>
      <c r="N791" s="14"/>
      <c r="O791" s="8">
        <f>(2*(((F783-'[2]Beam '!$D$11*2)/(F784-1))+(G783-'[2]Beam '!$D$11*2))+(2*10*D791/1000))*D783</f>
        <v>2.5066666666666668</v>
      </c>
      <c r="P791" s="8">
        <f t="shared" si="145"/>
        <v>127.84</v>
      </c>
      <c r="Q791" s="8">
        <f>IF($D791='[2]Beam '!Q$44,$P791*'[2]Beam '!Q$45,0)</f>
        <v>0</v>
      </c>
      <c r="R791" s="8">
        <f>IF($D791='[2]Beam '!R$44,$P791*'[2]Beam '!R$45,0)</f>
        <v>78.849885714285719</v>
      </c>
      <c r="S791" s="8">
        <f>IF($D791='[2]Beam '!S$44,$P791*'[2]Beam '!S$45,0)</f>
        <v>0</v>
      </c>
      <c r="T791" s="8">
        <f>IF($D791='[2]Beam '!T$44,$P791*'[2]Beam '!T$45,0)</f>
        <v>0</v>
      </c>
      <c r="U791" s="8">
        <f>IF($D791='[2]Beam '!U$44,$P791*'[2]Beam '!U$45,0)</f>
        <v>0</v>
      </c>
      <c r="V791" s="8">
        <f>IF($D791='[2]Beam '!V$44,$P791*'[2]Beam '!V$45,0)</f>
        <v>0</v>
      </c>
      <c r="W791" s="8">
        <f>IF($D791='[2]Beam '!W$44,$P791*'[2]Beam '!W$45,0)</f>
        <v>0</v>
      </c>
      <c r="X791" s="8">
        <f t="shared" si="146"/>
        <v>78.849885714285719</v>
      </c>
      <c r="Y791" s="14"/>
      <c r="Z791" s="8"/>
      <c r="AA791" s="8"/>
      <c r="AB791" s="8"/>
      <c r="AC791" s="8"/>
      <c r="AD791" s="8"/>
      <c r="AE791" s="8"/>
      <c r="AF791" s="8"/>
    </row>
    <row r="792" spans="1:32" s="10" customFormat="1" ht="20.100000000000001" customHeight="1" x14ac:dyDescent="0.25">
      <c r="A792" s="14"/>
      <c r="B792" s="8" t="s">
        <v>2</v>
      </c>
      <c r="C792" s="13" t="s">
        <v>16</v>
      </c>
      <c r="D792" s="14">
        <f>D790</f>
        <v>10</v>
      </c>
      <c r="E792" s="14">
        <f>+E790</f>
        <v>0.2</v>
      </c>
      <c r="F792" s="14">
        <f>ROUND((E783-(IF(E783/3&gt;2*G783,E783/3*2,G783*2*2)))/E792,0)</f>
        <v>13</v>
      </c>
      <c r="H792" s="14"/>
      <c r="I792" s="14"/>
      <c r="J792" s="14"/>
      <c r="K792" s="14"/>
      <c r="L792" s="14"/>
      <c r="M792" s="14"/>
      <c r="N792" s="14"/>
      <c r="O792" s="8">
        <f>(2*(((F783-'[2]Beam '!$D$11*2)/(F784-1))+(G783-'[2]Beam '!$D$11*2))+(2*10*D792/1000))*D783</f>
        <v>2.5066666666666668</v>
      </c>
      <c r="P792" s="8">
        <f t="shared" si="145"/>
        <v>32.586666666666666</v>
      </c>
      <c r="Q792" s="8">
        <f>IF($D792='[2]Beam '!Q$44,$P792*'[2]Beam '!Q$45,0)</f>
        <v>0</v>
      </c>
      <c r="R792" s="8">
        <f>IF($D792='[2]Beam '!R$44,$P792*'[2]Beam '!R$45,0)</f>
        <v>20.098990476190476</v>
      </c>
      <c r="S792" s="8">
        <f>IF($D792='[2]Beam '!S$44,$P792*'[2]Beam '!S$45,0)</f>
        <v>0</v>
      </c>
      <c r="T792" s="8">
        <f>IF($D792='[2]Beam '!T$44,$P792*'[2]Beam '!T$45,0)</f>
        <v>0</v>
      </c>
      <c r="U792" s="8">
        <f>IF($D792='[2]Beam '!U$44,$P792*'[2]Beam '!U$45,0)</f>
        <v>0</v>
      </c>
      <c r="V792" s="8">
        <f>IF($D792='[2]Beam '!V$44,$P792*'[2]Beam '!V$45,0)</f>
        <v>0</v>
      </c>
      <c r="W792" s="8">
        <f>IF($D792='[2]Beam '!W$44,$P792*'[2]Beam '!W$45,0)</f>
        <v>0</v>
      </c>
      <c r="X792" s="8">
        <f t="shared" si="146"/>
        <v>20.098990476190476</v>
      </c>
      <c r="Y792" s="14"/>
      <c r="Z792" s="8"/>
      <c r="AA792" s="8"/>
      <c r="AB792" s="8"/>
      <c r="AC792" s="8"/>
      <c r="AD792" s="8"/>
      <c r="AE792" s="8"/>
    </row>
    <row r="793" spans="1:32" s="10" customFormat="1" ht="20.100000000000001" customHeight="1" x14ac:dyDescent="0.25">
      <c r="A793" s="7"/>
      <c r="B793" s="8" t="s">
        <v>2</v>
      </c>
      <c r="C793" s="13" t="s">
        <v>10</v>
      </c>
      <c r="D793" s="8">
        <f>+'[2]Beam '!$D$15</f>
        <v>25</v>
      </c>
      <c r="E793" s="8">
        <f>+'[2]Beam '!$E$15</f>
        <v>1</v>
      </c>
      <c r="F793" s="8">
        <f>ROUNDUP((E783+3.1)/E793,0)</f>
        <v>11</v>
      </c>
      <c r="G793" s="9"/>
      <c r="H793" s="9"/>
      <c r="I793" s="8"/>
      <c r="J793" s="8"/>
      <c r="K793" s="8"/>
      <c r="L793" s="8"/>
      <c r="M793" s="8"/>
      <c r="N793" s="8"/>
      <c r="O793" s="8">
        <f>F783-'[2]Beam '!$F$15</f>
        <v>0.34</v>
      </c>
      <c r="P793" s="8">
        <f t="shared" si="145"/>
        <v>3.74</v>
      </c>
      <c r="Q793" s="8">
        <f>IF($D793='[2]Beam '!Q$44,$P793*'[2]Beam '!Q$45,0)</f>
        <v>0</v>
      </c>
      <c r="R793" s="8">
        <f>IF($D793='[2]Beam '!R$44,$P793*'[2]Beam '!R$45,0)</f>
        <v>0</v>
      </c>
      <c r="S793" s="8">
        <f>IF($D793='[2]Beam '!S$44,$P793*'[2]Beam '!S$45,0)</f>
        <v>0</v>
      </c>
      <c r="T793" s="8">
        <f>IF($D793='[2]Beam '!T$44,$P793*'[2]Beam '!T$45,0)</f>
        <v>0</v>
      </c>
      <c r="U793" s="8">
        <f>IF($D793='[2]Beam '!U$44,$P793*'[2]Beam '!U$45,0)</f>
        <v>0</v>
      </c>
      <c r="V793" s="8">
        <f>IF($D793='[2]Beam '!V$44,$P793*'[2]Beam '!V$45,0)</f>
        <v>14.417366071428575</v>
      </c>
      <c r="W793" s="8">
        <f>IF($D793='[2]Beam '!W$44,$P793*'[2]Beam '!W$45,0)</f>
        <v>0</v>
      </c>
      <c r="X793" s="8">
        <f t="shared" si="146"/>
        <v>14.417366071428575</v>
      </c>
      <c r="Y793" s="8"/>
      <c r="Z793" s="8"/>
      <c r="AA793" s="8"/>
      <c r="AB793" s="8"/>
      <c r="AC793" s="8"/>
      <c r="AD793" s="8"/>
      <c r="AE793" s="8"/>
    </row>
    <row r="794" spans="1:32" s="10" customFormat="1" ht="20.100000000000001" customHeight="1" x14ac:dyDescent="0.25">
      <c r="A794" s="8">
        <v>1</v>
      </c>
      <c r="B794" s="8" t="s">
        <v>2</v>
      </c>
      <c r="C794" s="11" t="s">
        <v>108</v>
      </c>
      <c r="D794" s="11">
        <v>1</v>
      </c>
      <c r="E794" s="11">
        <v>1.127</v>
      </c>
      <c r="F794" s="11">
        <v>0.4</v>
      </c>
      <c r="G794" s="11">
        <v>1.1000000000000001</v>
      </c>
      <c r="H794" s="8">
        <f>G794-0.2</f>
        <v>0.90000000000000013</v>
      </c>
      <c r="I794" s="8">
        <f>E794*F794*G794*D794</f>
        <v>0.4958800000000001</v>
      </c>
      <c r="J794" s="8">
        <f>(2*(E794)*H794*D794)+(E794*F794)</f>
        <v>2.4794000000000005</v>
      </c>
      <c r="K794" s="12">
        <f>IF(E794=0.3,J794,0)</f>
        <v>0</v>
      </c>
      <c r="L794" s="12">
        <f>IF(AND(E794&gt;0.3,E794&lt;=0.75),J794,0)</f>
        <v>0</v>
      </c>
      <c r="M794" s="12">
        <f>IF(AND(E794&gt;0.75,E794&lt;=1.2),J794,0)</f>
        <v>2.4794000000000005</v>
      </c>
      <c r="N794" s="12">
        <f>IF(E794&gt;1.2,J794,0)</f>
        <v>0</v>
      </c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>
        <f>SUM(X795:X797)/I794</f>
        <v>145.98671568006083</v>
      </c>
      <c r="Z794" s="8"/>
      <c r="AA794" s="8"/>
      <c r="AB794" s="8"/>
      <c r="AC794" s="8"/>
      <c r="AD794" s="8"/>
      <c r="AE794" s="8"/>
    </row>
    <row r="795" spans="1:32" s="10" customFormat="1" ht="20.100000000000001" customHeight="1" x14ac:dyDescent="0.25">
      <c r="A795" s="7"/>
      <c r="B795" s="8" t="s">
        <v>2</v>
      </c>
      <c r="C795" s="13" t="s">
        <v>4</v>
      </c>
      <c r="D795" s="8">
        <v>20</v>
      </c>
      <c r="E795" s="8"/>
      <c r="F795" s="8">
        <v>4</v>
      </c>
      <c r="G795" s="9">
        <f>VLOOKUP(D795,'[2]Beam '!$C$20:$H$26,3,0)</f>
        <v>0.8</v>
      </c>
      <c r="H795" s="9"/>
      <c r="I795" s="8"/>
      <c r="J795" s="8"/>
      <c r="K795" s="8"/>
      <c r="L795" s="8"/>
      <c r="M795" s="8"/>
      <c r="N795" s="8"/>
      <c r="O795" s="8">
        <f>(E794+1*(G795+(12*D795/1000))+G795*D794)</f>
        <v>2.9669999999999996</v>
      </c>
      <c r="P795" s="8">
        <f>O795*F795</f>
        <v>11.867999999999999</v>
      </c>
      <c r="Q795" s="8">
        <f>IF($D795='[2]Beam '!Q$44,$P795*'[2]Beam '!Q$45,0)</f>
        <v>0</v>
      </c>
      <c r="R795" s="8">
        <f>IF($D795='[2]Beam '!R$44,$P795*'[2]Beam '!R$45,0)</f>
        <v>0</v>
      </c>
      <c r="S795" s="8">
        <f>IF($D795='[2]Beam '!S$44,$P795*'[2]Beam '!S$45,0)</f>
        <v>0</v>
      </c>
      <c r="T795" s="8">
        <f>IF($D795='[2]Beam '!T$44,$P795*'[2]Beam '!T$45,0)</f>
        <v>0</v>
      </c>
      <c r="U795" s="8">
        <f>IF($D795='[2]Beam '!U$44,$P795*'[2]Beam '!U$45,0)</f>
        <v>29.280051428571426</v>
      </c>
      <c r="V795" s="8">
        <f>IF($D795='[2]Beam '!V$44,$P795*'[2]Beam '!V$45,0)</f>
        <v>0</v>
      </c>
      <c r="W795" s="8">
        <f>IF($D795='[2]Beam '!W$44,$P795*'[2]Beam '!W$45,0)</f>
        <v>0</v>
      </c>
      <c r="X795" s="8">
        <f>SUM(Q795:W795)</f>
        <v>29.280051428571426</v>
      </c>
      <c r="Y795" s="8"/>
      <c r="Z795" s="8"/>
      <c r="AA795" s="8"/>
      <c r="AB795" s="8"/>
      <c r="AC795" s="8"/>
      <c r="AD795" s="8"/>
      <c r="AE795" s="8"/>
    </row>
    <row r="796" spans="1:32" s="10" customFormat="1" ht="21" customHeight="1" x14ac:dyDescent="0.25">
      <c r="A796" s="7"/>
      <c r="B796" s="8" t="s">
        <v>2</v>
      </c>
      <c r="C796" s="13" t="s">
        <v>6</v>
      </c>
      <c r="D796" s="8">
        <v>20</v>
      </c>
      <c r="E796" s="8"/>
      <c r="F796" s="8">
        <v>4</v>
      </c>
      <c r="G796" s="9">
        <f>VLOOKUP(D796,'[2]Beam '!$C$20:$H$26,3,0)</f>
        <v>0.8</v>
      </c>
      <c r="H796" s="8"/>
      <c r="I796" s="8"/>
      <c r="J796" s="8"/>
      <c r="K796" s="8"/>
      <c r="L796" s="8"/>
      <c r="M796" s="8"/>
      <c r="N796" s="8"/>
      <c r="O796" s="8">
        <f>(E794+1*(G796+(12*D796/1000))+G796*D794)</f>
        <v>2.9669999999999996</v>
      </c>
      <c r="P796" s="8">
        <f>O796*F796</f>
        <v>11.867999999999999</v>
      </c>
      <c r="Q796" s="8">
        <f>IF($D796='[2]Beam '!Q$44,$P796*'[2]Beam '!Q$45,0)</f>
        <v>0</v>
      </c>
      <c r="R796" s="8">
        <f>IF($D796='[2]Beam '!R$44,$P796*'[2]Beam '!R$45,0)</f>
        <v>0</v>
      </c>
      <c r="S796" s="8">
        <f>IF($D796='[2]Beam '!S$44,$P796*'[2]Beam '!S$45,0)</f>
        <v>0</v>
      </c>
      <c r="T796" s="8">
        <f>IF($D796='[2]Beam '!T$44,$P796*'[2]Beam '!T$45,0)</f>
        <v>0</v>
      </c>
      <c r="U796" s="8">
        <f>IF($D796='[2]Beam '!U$44,$P796*'[2]Beam '!U$45,0)</f>
        <v>29.280051428571426</v>
      </c>
      <c r="V796" s="8">
        <f>IF($D796='[2]Beam '!V$44,$P796*'[2]Beam '!V$45,0)</f>
        <v>0</v>
      </c>
      <c r="W796" s="8">
        <f>IF($D796='[2]Beam '!W$44,$P796*'[2]Beam '!W$45,0)</f>
        <v>0</v>
      </c>
      <c r="X796" s="8">
        <f>SUM(Q796:W796)</f>
        <v>29.280051428571426</v>
      </c>
      <c r="Y796" s="8"/>
      <c r="Z796" s="8"/>
      <c r="AA796" s="8"/>
      <c r="AB796" s="8"/>
      <c r="AC796" s="8"/>
      <c r="AD796" s="8"/>
      <c r="AE796" s="8"/>
      <c r="AF796" s="8"/>
    </row>
    <row r="797" spans="1:32" s="10" customFormat="1" ht="20.100000000000001" customHeight="1" x14ac:dyDescent="0.25">
      <c r="A797" s="7"/>
      <c r="B797" s="8" t="s">
        <v>2</v>
      </c>
      <c r="C797" s="13" t="s">
        <v>8</v>
      </c>
      <c r="D797" s="8">
        <v>8</v>
      </c>
      <c r="E797" s="8">
        <v>0.1</v>
      </c>
      <c r="F797" s="8">
        <f>ROUNDUP(E794/E797,0)</f>
        <v>12</v>
      </c>
      <c r="H797" s="8"/>
      <c r="I797" s="8"/>
      <c r="J797" s="8"/>
      <c r="K797" s="8"/>
      <c r="L797" s="8"/>
      <c r="M797" s="8"/>
      <c r="N797" s="8"/>
      <c r="O797" s="8">
        <f>(2*((G794-(2*'[2]Beam '!$D$11))+(F794-(2*'[2]Beam '!$D$11)))+(2*10*D797/1000))*D794</f>
        <v>2.9200000000000004</v>
      </c>
      <c r="P797" s="8">
        <f>O797*F797</f>
        <v>35.040000000000006</v>
      </c>
      <c r="Q797" s="8">
        <f>IF($D797='[2]Beam '!Q$44,$P797*'[2]Beam '!Q$45,0)</f>
        <v>13.831789714285717</v>
      </c>
      <c r="R797" s="8">
        <f>IF($D797='[2]Beam '!R$44,$P797*'[2]Beam '!R$45,0)</f>
        <v>0</v>
      </c>
      <c r="S797" s="8">
        <f>IF($D797='[2]Beam '!S$44,$P797*'[2]Beam '!S$45,0)</f>
        <v>0</v>
      </c>
      <c r="T797" s="8">
        <f>IF($D797='[2]Beam '!T$44,$P797*'[2]Beam '!T$45,0)</f>
        <v>0</v>
      </c>
      <c r="U797" s="8">
        <f>IF($D797='[2]Beam '!U$44,$P797*'[2]Beam '!U$45,0)</f>
        <v>0</v>
      </c>
      <c r="V797" s="8">
        <f>IF($D797='[2]Beam '!V$44,$P797*'[2]Beam '!V$45,0)</f>
        <v>0</v>
      </c>
      <c r="W797" s="8">
        <f>IF($D797='[2]Beam '!W$44,$P797*'[2]Beam '!W$45,0)</f>
        <v>0</v>
      </c>
      <c r="X797" s="8">
        <f>SUM(Q797:W797)</f>
        <v>13.831789714285717</v>
      </c>
      <c r="Y797" s="8"/>
      <c r="Z797" s="8"/>
      <c r="AA797" s="8"/>
      <c r="AB797" s="8"/>
      <c r="AC797" s="8"/>
      <c r="AD797" s="8"/>
      <c r="AE797" s="8"/>
    </row>
    <row r="798" spans="1:32" s="10" customFormat="1" ht="20.100000000000001" customHeight="1" x14ac:dyDescent="0.25">
      <c r="A798" s="7"/>
      <c r="B798" s="8" t="s">
        <v>2</v>
      </c>
      <c r="C798" s="13" t="s">
        <v>10</v>
      </c>
      <c r="D798" s="8">
        <f>+'[2]Beam '!$D$15</f>
        <v>25</v>
      </c>
      <c r="E798" s="8">
        <f>+'[2]Beam '!$E$15</f>
        <v>1</v>
      </c>
      <c r="F798" s="8">
        <f>ROUNDUP((E794+3.1)/E798,0)</f>
        <v>5</v>
      </c>
      <c r="G798" s="9"/>
      <c r="H798" s="9"/>
      <c r="I798" s="8"/>
      <c r="J798" s="8"/>
      <c r="K798" s="8"/>
      <c r="L798" s="8"/>
      <c r="M798" s="8"/>
      <c r="N798" s="8"/>
      <c r="O798" s="8">
        <f>F794-'[2]Beam '!$F$15</f>
        <v>0.34</v>
      </c>
      <c r="P798" s="8">
        <f>O798*F798</f>
        <v>1.7000000000000002</v>
      </c>
      <c r="Q798" s="8">
        <f>IF($D798='[2]Beam '!Q$44,$P798*'[2]Beam '!Q$45,0)</f>
        <v>0</v>
      </c>
      <c r="R798" s="8">
        <f>IF($D798='[2]Beam '!R$44,$P798*'[2]Beam '!R$45,0)</f>
        <v>0</v>
      </c>
      <c r="S798" s="8">
        <f>IF($D798='[2]Beam '!S$44,$P798*'[2]Beam '!S$45,0)</f>
        <v>0</v>
      </c>
      <c r="T798" s="8">
        <f>IF($D798='[2]Beam '!T$44,$P798*'[2]Beam '!T$45,0)</f>
        <v>0</v>
      </c>
      <c r="U798" s="8">
        <f>IF($D798='[2]Beam '!U$44,$P798*'[2]Beam '!U$45,0)</f>
        <v>0</v>
      </c>
      <c r="V798" s="8">
        <f>IF($D798='[2]Beam '!V$44,$P798*'[2]Beam '!V$45,0)</f>
        <v>6.553348214285716</v>
      </c>
      <c r="W798" s="8">
        <f>IF($D798='[2]Beam '!W$44,$P798*'[2]Beam '!W$45,0)</f>
        <v>0</v>
      </c>
      <c r="X798" s="8">
        <f>SUM(Q798:W798)</f>
        <v>6.553348214285716</v>
      </c>
      <c r="Y798" s="8"/>
      <c r="Z798" s="8"/>
      <c r="AA798" s="8"/>
      <c r="AB798" s="8"/>
      <c r="AC798" s="8"/>
      <c r="AD798" s="8"/>
      <c r="AE798" s="8"/>
    </row>
    <row r="799" spans="1:32" s="10" customFormat="1" ht="20.100000000000001" customHeight="1" x14ac:dyDescent="0.25">
      <c r="A799" s="8">
        <v>1</v>
      </c>
      <c r="B799" s="8" t="s">
        <v>2</v>
      </c>
      <c r="C799" s="11" t="s">
        <v>109</v>
      </c>
      <c r="D799" s="11">
        <v>1</v>
      </c>
      <c r="E799" s="11">
        <v>6.2</v>
      </c>
      <c r="F799" s="11">
        <v>0.45</v>
      </c>
      <c r="G799" s="11">
        <v>0.5</v>
      </c>
      <c r="H799" s="8">
        <f>G799-0.2</f>
        <v>0.3</v>
      </c>
      <c r="I799" s="8">
        <f>E799*F799*G799*D799</f>
        <v>1.395</v>
      </c>
      <c r="J799" s="8">
        <f>(2*(E799)*H799*D799)+(E799*F799)</f>
        <v>6.51</v>
      </c>
      <c r="K799" s="12">
        <f>IF(E799=0.3,J799,0)</f>
        <v>0</v>
      </c>
      <c r="L799" s="12">
        <f>IF(AND(E799&gt;0.3,E799&lt;=0.75),J799,0)</f>
        <v>0</v>
      </c>
      <c r="M799" s="12">
        <f>IF(AND(E799&gt;0.75,E799&lt;=1.2),J799,0)</f>
        <v>0</v>
      </c>
      <c r="N799" s="12">
        <f>IF(E799&gt;1.2,J799,0)</f>
        <v>6.51</v>
      </c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>
        <f>SUM(X800:X805)/I799</f>
        <v>226.49326451612907</v>
      </c>
      <c r="Z799" s="8"/>
      <c r="AA799" s="8"/>
      <c r="AB799" s="8"/>
      <c r="AC799" s="8"/>
      <c r="AD799" s="8"/>
      <c r="AE799" s="8"/>
    </row>
    <row r="800" spans="1:32" s="10" customFormat="1" ht="20.100000000000001" customHeight="1" x14ac:dyDescent="0.25">
      <c r="A800" s="7"/>
      <c r="B800" s="8" t="s">
        <v>2</v>
      </c>
      <c r="C800" s="13" t="s">
        <v>4</v>
      </c>
      <c r="D800" s="8">
        <v>20</v>
      </c>
      <c r="E800" s="8"/>
      <c r="F800" s="8">
        <v>4</v>
      </c>
      <c r="G800" s="9">
        <f>VLOOKUP(D800,'[2]Beam '!$C$20:$H$26,3,0)</f>
        <v>0.8</v>
      </c>
      <c r="H800" s="9"/>
      <c r="I800" s="8"/>
      <c r="J800" s="8"/>
      <c r="K800" s="8"/>
      <c r="L800" s="8"/>
      <c r="M800" s="8"/>
      <c r="N800" s="8"/>
      <c r="O800" s="8">
        <f>(E799+2*(G800+(12*D800/1000))*D799)</f>
        <v>8.2800000000000011</v>
      </c>
      <c r="P800" s="8">
        <f t="shared" ref="P800:P806" si="147">O800*F800</f>
        <v>33.120000000000005</v>
      </c>
      <c r="Q800" s="8">
        <f>IF($D800='[2]Beam '!Q$44,$P800*'[2]Beam '!Q$45,0)</f>
        <v>0</v>
      </c>
      <c r="R800" s="8">
        <f>IF($D800='[2]Beam '!R$44,$P800*'[2]Beam '!R$45,0)</f>
        <v>0</v>
      </c>
      <c r="S800" s="8">
        <f>IF($D800='[2]Beam '!S$44,$P800*'[2]Beam '!S$45,0)</f>
        <v>0</v>
      </c>
      <c r="T800" s="8">
        <f>IF($D800='[2]Beam '!T$44,$P800*'[2]Beam '!T$45,0)</f>
        <v>0</v>
      </c>
      <c r="U800" s="8">
        <f>IF($D800='[2]Beam '!U$44,$P800*'[2]Beam '!U$45,0)</f>
        <v>81.711771428571438</v>
      </c>
      <c r="V800" s="8">
        <f>IF($D800='[2]Beam '!V$44,$P800*'[2]Beam '!V$45,0)</f>
        <v>0</v>
      </c>
      <c r="W800" s="8">
        <f>IF($D800='[2]Beam '!W$44,$P800*'[2]Beam '!W$45,0)</f>
        <v>0</v>
      </c>
      <c r="X800" s="8">
        <f t="shared" ref="X800:X806" si="148">SUM(Q800:W800)</f>
        <v>81.711771428571438</v>
      </c>
      <c r="Y800" s="8"/>
      <c r="Z800" s="8"/>
      <c r="AA800" s="8"/>
      <c r="AB800" s="8"/>
      <c r="AC800" s="8"/>
      <c r="AD800" s="8"/>
      <c r="AE800" s="8"/>
    </row>
    <row r="801" spans="1:32" s="10" customFormat="1" ht="20.100000000000001" customHeight="1" x14ac:dyDescent="0.25">
      <c r="A801" s="7"/>
      <c r="B801" s="8" t="s">
        <v>2</v>
      </c>
      <c r="C801" s="13" t="s">
        <v>5</v>
      </c>
      <c r="D801" s="8">
        <v>25</v>
      </c>
      <c r="E801" s="8"/>
      <c r="F801" s="8">
        <v>4</v>
      </c>
      <c r="G801" s="9">
        <f>VLOOKUP(D801,'[2]Beam '!$C$20:$H$26,3,0)</f>
        <v>1</v>
      </c>
      <c r="H801" s="9"/>
      <c r="I801" s="8"/>
      <c r="J801" s="8"/>
      <c r="K801" s="8"/>
      <c r="L801" s="8"/>
      <c r="M801" s="8"/>
      <c r="N801" s="8"/>
      <c r="O801" s="8">
        <f>(1.7+1*(G801+(12*D801/1000))*D799)</f>
        <v>3</v>
      </c>
      <c r="P801" s="8">
        <f t="shared" si="147"/>
        <v>12</v>
      </c>
      <c r="Q801" s="8">
        <f>IF($D801='[2]Beam '!Q$44,$P801*'[2]Beam '!Q$45,0)</f>
        <v>0</v>
      </c>
      <c r="R801" s="8">
        <f>IF($D801='[2]Beam '!R$44,$P801*'[2]Beam '!R$45,0)</f>
        <v>0</v>
      </c>
      <c r="S801" s="8">
        <f>IF($D801='[2]Beam '!S$44,$P801*'[2]Beam '!S$45,0)</f>
        <v>0</v>
      </c>
      <c r="T801" s="8">
        <f>IF($D801='[2]Beam '!T$44,$P801*'[2]Beam '!T$45,0)</f>
        <v>0</v>
      </c>
      <c r="U801" s="8">
        <f>IF($D801='[2]Beam '!U$44,$P801*'[2]Beam '!U$45,0)</f>
        <v>0</v>
      </c>
      <c r="V801" s="8">
        <f>IF($D801='[2]Beam '!V$44,$P801*'[2]Beam '!V$45,0)</f>
        <v>46.258928571428577</v>
      </c>
      <c r="W801" s="8">
        <f>IF($D801='[2]Beam '!W$44,$P801*'[2]Beam '!W$45,0)</f>
        <v>0</v>
      </c>
      <c r="X801" s="8">
        <f t="shared" si="148"/>
        <v>46.258928571428577</v>
      </c>
      <c r="Y801" s="8"/>
      <c r="Z801" s="8"/>
      <c r="AA801" s="8"/>
      <c r="AB801" s="8"/>
      <c r="AC801" s="8"/>
      <c r="AD801" s="8"/>
      <c r="AE801" s="8"/>
    </row>
    <row r="802" spans="1:32" s="10" customFormat="1" ht="20.100000000000001" customHeight="1" x14ac:dyDescent="0.25">
      <c r="A802" s="7"/>
      <c r="B802" s="8" t="s">
        <v>2</v>
      </c>
      <c r="C802" s="13" t="s">
        <v>5</v>
      </c>
      <c r="D802" s="8">
        <v>25</v>
      </c>
      <c r="E802" s="8"/>
      <c r="F802" s="8">
        <v>4</v>
      </c>
      <c r="G802" s="9">
        <f>VLOOKUP(D802,'[2]Beam '!$C$20:$H$26,3,0)</f>
        <v>1</v>
      </c>
      <c r="H802" s="9"/>
      <c r="I802" s="8"/>
      <c r="J802" s="8"/>
      <c r="K802" s="8"/>
      <c r="L802" s="8"/>
      <c r="M802" s="8"/>
      <c r="N802" s="8"/>
      <c r="O802" s="8">
        <f>(1.7+1*(G802+(12*D802/1000))*D799)</f>
        <v>3</v>
      </c>
      <c r="P802" s="8">
        <f t="shared" si="147"/>
        <v>12</v>
      </c>
      <c r="Q802" s="8">
        <f>IF($D802='[2]Beam '!Q$44,$P802*'[2]Beam '!Q$45,0)</f>
        <v>0</v>
      </c>
      <c r="R802" s="8">
        <f>IF($D802='[2]Beam '!R$44,$P802*'[2]Beam '!R$45,0)</f>
        <v>0</v>
      </c>
      <c r="S802" s="8">
        <f>IF($D802='[2]Beam '!S$44,$P802*'[2]Beam '!S$45,0)</f>
        <v>0</v>
      </c>
      <c r="T802" s="8">
        <f>IF($D802='[2]Beam '!T$44,$P802*'[2]Beam '!T$45,0)</f>
        <v>0</v>
      </c>
      <c r="U802" s="8">
        <f>IF($D802='[2]Beam '!U$44,$P802*'[2]Beam '!U$45,0)</f>
        <v>0</v>
      </c>
      <c r="V802" s="8">
        <f>IF($D802='[2]Beam '!V$44,$P802*'[2]Beam '!V$45,0)</f>
        <v>46.258928571428577</v>
      </c>
      <c r="W802" s="8">
        <f>IF($D802='[2]Beam '!W$44,$P802*'[2]Beam '!W$45,0)</f>
        <v>0</v>
      </c>
      <c r="X802" s="8">
        <f t="shared" si="148"/>
        <v>46.258928571428577</v>
      </c>
      <c r="Y802" s="8"/>
      <c r="Z802" s="8"/>
      <c r="AA802" s="8"/>
      <c r="AB802" s="8"/>
      <c r="AC802" s="8"/>
      <c r="AD802" s="8"/>
      <c r="AE802" s="8"/>
    </row>
    <row r="803" spans="1:32" s="10" customFormat="1" ht="20.100000000000001" customHeight="1" x14ac:dyDescent="0.25">
      <c r="A803" s="7"/>
      <c r="B803" s="8" t="s">
        <v>2</v>
      </c>
      <c r="C803" s="13" t="s">
        <v>6</v>
      </c>
      <c r="D803" s="8">
        <v>20</v>
      </c>
      <c r="E803" s="8"/>
      <c r="F803" s="8">
        <v>4</v>
      </c>
      <c r="G803" s="9">
        <f>VLOOKUP(D803,'[2]Beam '!$C$20:$H$26,3,0)</f>
        <v>0.8</v>
      </c>
      <c r="H803" s="8"/>
      <c r="I803" s="8"/>
      <c r="J803" s="8"/>
      <c r="K803" s="8"/>
      <c r="L803" s="8"/>
      <c r="M803" s="8"/>
      <c r="N803" s="8"/>
      <c r="O803" s="8">
        <f>(E799+2*(G803+(12*D803/1000))*D799)</f>
        <v>8.2800000000000011</v>
      </c>
      <c r="P803" s="8">
        <f t="shared" si="147"/>
        <v>33.120000000000005</v>
      </c>
      <c r="Q803" s="8">
        <f>IF($D803='[2]Beam '!Q$44,$P803*'[2]Beam '!Q$45,0)</f>
        <v>0</v>
      </c>
      <c r="R803" s="8">
        <f>IF($D803='[2]Beam '!R$44,$P803*'[2]Beam '!R$45,0)</f>
        <v>0</v>
      </c>
      <c r="S803" s="8">
        <f>IF($D803='[2]Beam '!S$44,$P803*'[2]Beam '!S$45,0)</f>
        <v>0</v>
      </c>
      <c r="T803" s="8">
        <f>IF($D803='[2]Beam '!T$44,$P803*'[2]Beam '!T$45,0)</f>
        <v>0</v>
      </c>
      <c r="U803" s="8">
        <f>IF($D803='[2]Beam '!U$44,$P803*'[2]Beam '!U$45,0)</f>
        <v>81.711771428571438</v>
      </c>
      <c r="V803" s="8">
        <f>IF($D803='[2]Beam '!V$44,$P803*'[2]Beam '!V$45,0)</f>
        <v>0</v>
      </c>
      <c r="W803" s="8">
        <f>IF($D803='[2]Beam '!W$44,$P803*'[2]Beam '!W$45,0)</f>
        <v>0</v>
      </c>
      <c r="X803" s="8">
        <f t="shared" si="148"/>
        <v>81.711771428571438</v>
      </c>
      <c r="Y803" s="8"/>
      <c r="Z803" s="8"/>
      <c r="AA803" s="8"/>
      <c r="AB803" s="8"/>
      <c r="AC803" s="8"/>
      <c r="AD803" s="8"/>
      <c r="AE803" s="8"/>
    </row>
    <row r="804" spans="1:32" s="10" customFormat="1" ht="21" customHeight="1" x14ac:dyDescent="0.25">
      <c r="A804" s="7"/>
      <c r="B804" s="8" t="s">
        <v>2</v>
      </c>
      <c r="C804" s="13" t="s">
        <v>7</v>
      </c>
      <c r="D804" s="8">
        <v>16</v>
      </c>
      <c r="E804" s="8"/>
      <c r="F804" s="8">
        <v>2</v>
      </c>
      <c r="G804" s="9">
        <f>VLOOKUP(D804,'[2]Beam '!$C$20:$H$26,3,0)</f>
        <v>0.625</v>
      </c>
      <c r="H804" s="8"/>
      <c r="I804" s="8"/>
      <c r="J804" s="8"/>
      <c r="K804" s="8"/>
      <c r="L804" s="8"/>
      <c r="M804" s="8"/>
      <c r="N804" s="8"/>
      <c r="O804" s="8">
        <f>+E799-0.65-0.65</f>
        <v>4.8999999999999995</v>
      </c>
      <c r="P804" s="8">
        <f t="shared" si="147"/>
        <v>9.7999999999999989</v>
      </c>
      <c r="Q804" s="8">
        <f>IF($D804='[2]Beam '!Q$44,$P804*'[2]Beam '!Q$45,0)</f>
        <v>0</v>
      </c>
      <c r="R804" s="8">
        <f>IF($D804='[2]Beam '!R$44,$P804*'[2]Beam '!R$45,0)</f>
        <v>0</v>
      </c>
      <c r="S804" s="8">
        <f>IF($D804='[2]Beam '!S$44,$P804*'[2]Beam '!S$45,0)</f>
        <v>0</v>
      </c>
      <c r="T804" s="8">
        <f>IF($D804='[2]Beam '!T$44,$P804*'[2]Beam '!T$45,0)</f>
        <v>15.47392</v>
      </c>
      <c r="U804" s="8">
        <f>IF($D804='[2]Beam '!U$44,$P804*'[2]Beam '!U$45,0)</f>
        <v>0</v>
      </c>
      <c r="V804" s="8">
        <f>IF($D804='[2]Beam '!V$44,$P804*'[2]Beam '!V$45,0)</f>
        <v>0</v>
      </c>
      <c r="W804" s="8">
        <f>IF($D804='[2]Beam '!W$44,$P804*'[2]Beam '!W$45,0)</f>
        <v>0</v>
      </c>
      <c r="X804" s="8">
        <f t="shared" si="148"/>
        <v>15.47392</v>
      </c>
      <c r="Y804" s="8"/>
      <c r="Z804" s="8"/>
      <c r="AA804" s="8"/>
      <c r="AB804" s="8"/>
      <c r="AC804" s="8"/>
      <c r="AD804" s="8"/>
      <c r="AE804" s="8"/>
      <c r="AF804" s="8"/>
    </row>
    <row r="805" spans="1:32" s="10" customFormat="1" ht="20.100000000000001" customHeight="1" x14ac:dyDescent="0.25">
      <c r="A805" s="7"/>
      <c r="B805" s="8" t="s">
        <v>2</v>
      </c>
      <c r="C805" s="13" t="s">
        <v>8</v>
      </c>
      <c r="D805" s="8">
        <v>8</v>
      </c>
      <c r="E805" s="8">
        <v>0.1</v>
      </c>
      <c r="F805" s="8">
        <f>ROUNDUP(E799/E805,0)</f>
        <v>62</v>
      </c>
      <c r="H805" s="8"/>
      <c r="I805" s="8"/>
      <c r="J805" s="8"/>
      <c r="K805" s="8"/>
      <c r="L805" s="8"/>
      <c r="M805" s="8"/>
      <c r="N805" s="8"/>
      <c r="O805" s="8">
        <f>(2*((G799-(2*'[2]Beam '!$D$11))+(F799-(2*'[2]Beam '!$D$11)))+(2*10*D805/1000))*D799</f>
        <v>1.82</v>
      </c>
      <c r="P805" s="8">
        <f t="shared" si="147"/>
        <v>112.84</v>
      </c>
      <c r="Q805" s="8">
        <f>IF($D805='[2]Beam '!Q$44,$P805*'[2]Beam '!Q$45,0)</f>
        <v>44.542784000000005</v>
      </c>
      <c r="R805" s="8">
        <f>IF($D805='[2]Beam '!R$44,$P805*'[2]Beam '!R$45,0)</f>
        <v>0</v>
      </c>
      <c r="S805" s="8">
        <f>IF($D805='[2]Beam '!S$44,$P805*'[2]Beam '!S$45,0)</f>
        <v>0</v>
      </c>
      <c r="T805" s="8">
        <f>IF($D805='[2]Beam '!T$44,$P805*'[2]Beam '!T$45,0)</f>
        <v>0</v>
      </c>
      <c r="U805" s="8">
        <f>IF($D805='[2]Beam '!U$44,$P805*'[2]Beam '!U$45,0)</f>
        <v>0</v>
      </c>
      <c r="V805" s="8">
        <f>IF($D805='[2]Beam '!V$44,$P805*'[2]Beam '!V$45,0)</f>
        <v>0</v>
      </c>
      <c r="W805" s="8">
        <f>IF($D805='[2]Beam '!W$44,$P805*'[2]Beam '!W$45,0)</f>
        <v>0</v>
      </c>
      <c r="X805" s="8">
        <f t="shared" si="148"/>
        <v>44.542784000000005</v>
      </c>
      <c r="Y805" s="8"/>
      <c r="Z805" s="8"/>
      <c r="AA805" s="8"/>
      <c r="AB805" s="8"/>
      <c r="AC805" s="8"/>
      <c r="AD805" s="8"/>
      <c r="AE805" s="8"/>
    </row>
    <row r="806" spans="1:32" s="10" customFormat="1" ht="20.100000000000001" customHeight="1" x14ac:dyDescent="0.25">
      <c r="A806" s="7"/>
      <c r="B806" s="8" t="s">
        <v>2</v>
      </c>
      <c r="C806" s="13" t="s">
        <v>10</v>
      </c>
      <c r="D806" s="8">
        <f>+'[2]Beam '!$D$15</f>
        <v>25</v>
      </c>
      <c r="E806" s="8">
        <f>+'[2]Beam '!$E$15</f>
        <v>1</v>
      </c>
      <c r="F806" s="8">
        <f>ROUNDUP((E799+1.65)/E806,0)</f>
        <v>8</v>
      </c>
      <c r="G806" s="9"/>
      <c r="H806" s="9"/>
      <c r="I806" s="8"/>
      <c r="J806" s="8"/>
      <c r="K806" s="8"/>
      <c r="L806" s="8"/>
      <c r="M806" s="8"/>
      <c r="N806" s="8"/>
      <c r="O806" s="8">
        <f>F799-'[2]Beam '!$F$15</f>
        <v>0.39</v>
      </c>
      <c r="P806" s="8">
        <f t="shared" si="147"/>
        <v>3.12</v>
      </c>
      <c r="Q806" s="8">
        <f>IF($D806='[2]Beam '!Q$44,$P806*'[2]Beam '!Q$45,0)</f>
        <v>0</v>
      </c>
      <c r="R806" s="8">
        <f>IF($D806='[2]Beam '!R$44,$P806*'[2]Beam '!R$45,0)</f>
        <v>0</v>
      </c>
      <c r="S806" s="8">
        <f>IF($D806='[2]Beam '!S$44,$P806*'[2]Beam '!S$45,0)</f>
        <v>0</v>
      </c>
      <c r="T806" s="8">
        <f>IF($D806='[2]Beam '!T$44,$P806*'[2]Beam '!T$45,0)</f>
        <v>0</v>
      </c>
      <c r="U806" s="8">
        <f>IF($D806='[2]Beam '!U$44,$P806*'[2]Beam '!U$45,0)</f>
        <v>0</v>
      </c>
      <c r="V806" s="8">
        <f>IF($D806='[2]Beam '!V$44,$P806*'[2]Beam '!V$45,0)</f>
        <v>12.027321428571431</v>
      </c>
      <c r="W806" s="8">
        <f>IF($D806='[2]Beam '!W$44,$P806*'[2]Beam '!W$45,0)</f>
        <v>0</v>
      </c>
      <c r="X806" s="8">
        <f t="shared" si="148"/>
        <v>12.027321428571431</v>
      </c>
      <c r="Y806" s="8"/>
      <c r="Z806" s="8"/>
      <c r="AA806" s="8"/>
      <c r="AB806" s="8"/>
      <c r="AC806" s="8"/>
      <c r="AD806" s="8"/>
      <c r="AE806" s="8"/>
    </row>
    <row r="807" spans="1:32" s="10" customFormat="1" ht="20.100000000000001" customHeight="1" x14ac:dyDescent="0.25">
      <c r="A807" s="8">
        <v>1</v>
      </c>
      <c r="B807" s="8" t="s">
        <v>2</v>
      </c>
      <c r="C807" s="11" t="s">
        <v>110</v>
      </c>
      <c r="D807" s="11">
        <v>1</v>
      </c>
      <c r="E807" s="11">
        <v>7.6</v>
      </c>
      <c r="F807" s="11">
        <v>0.4</v>
      </c>
      <c r="G807" s="11">
        <v>1.1000000000000001</v>
      </c>
      <c r="H807" s="8">
        <f>G807-0.2</f>
        <v>0.90000000000000013</v>
      </c>
      <c r="I807" s="8">
        <f>E807*F807*G807*D807</f>
        <v>3.3440000000000003</v>
      </c>
      <c r="J807" s="8">
        <f>(2*(E807)*H807*D807)+(E807*F807)</f>
        <v>16.720000000000002</v>
      </c>
      <c r="K807" s="12">
        <f>IF(E807=0.3,J807,0)</f>
        <v>0</v>
      </c>
      <c r="L807" s="12">
        <f>IF(AND(E807&gt;0.3,E807&lt;=0.75),J807,0)</f>
        <v>0</v>
      </c>
      <c r="M807" s="12">
        <f>IF(AND(E807&gt;0.75,E807&lt;=1.2),J807,0)</f>
        <v>0</v>
      </c>
      <c r="N807" s="12">
        <f>IF(E807&gt;1.2,J807,0)</f>
        <v>16.720000000000002</v>
      </c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>
        <f>SUM(X808:X813)/I807</f>
        <v>153.06516290726816</v>
      </c>
      <c r="Z807" s="8"/>
      <c r="AA807" s="8"/>
      <c r="AB807" s="8"/>
      <c r="AC807" s="8"/>
      <c r="AD807" s="8"/>
      <c r="AE807" s="8"/>
    </row>
    <row r="808" spans="1:32" s="14" customFormat="1" ht="20.100000000000001" customHeight="1" x14ac:dyDescent="0.3">
      <c r="A808" s="7"/>
      <c r="B808" s="8" t="s">
        <v>2</v>
      </c>
      <c r="C808" s="13" t="s">
        <v>4</v>
      </c>
      <c r="D808" s="8">
        <v>25</v>
      </c>
      <c r="E808" s="8"/>
      <c r="F808" s="8">
        <v>4</v>
      </c>
      <c r="G808" s="9">
        <f>VLOOKUP(D808,'[2]Beam '!$C$20:$H$26,3,0)</f>
        <v>1</v>
      </c>
      <c r="H808" s="9"/>
      <c r="I808" s="8"/>
      <c r="J808" s="8"/>
      <c r="K808" s="8"/>
      <c r="L808" s="8"/>
      <c r="M808" s="8"/>
      <c r="N808" s="8"/>
      <c r="O808" s="8">
        <f>(E807+2*(G808)*D807)</f>
        <v>9.6</v>
      </c>
      <c r="P808" s="8">
        <f t="shared" ref="P808:P814" si="149">O808*F808</f>
        <v>38.4</v>
      </c>
      <c r="Q808" s="8">
        <f>IF($D808='[2]Beam '!Q$44,$P808*'[2]Beam '!Q$45,0)</f>
        <v>0</v>
      </c>
      <c r="R808" s="8">
        <f>IF($D808='[2]Beam '!R$44,$P808*'[2]Beam '!R$45,0)</f>
        <v>0</v>
      </c>
      <c r="S808" s="8">
        <f>IF($D808='[2]Beam '!S$44,$P808*'[2]Beam '!S$45,0)</f>
        <v>0</v>
      </c>
      <c r="T808" s="8">
        <f>IF($D808='[2]Beam '!T$44,$P808*'[2]Beam '!T$45,0)</f>
        <v>0</v>
      </c>
      <c r="U808" s="8">
        <f>IF($D808='[2]Beam '!U$44,$P808*'[2]Beam '!U$45,0)</f>
        <v>0</v>
      </c>
      <c r="V808" s="8">
        <f>IF($D808='[2]Beam '!V$44,$P808*'[2]Beam '!V$45,0)</f>
        <v>148.02857142857144</v>
      </c>
      <c r="W808" s="8">
        <f>IF($D808='[2]Beam '!W$44,$P808*'[2]Beam '!W$45,0)</f>
        <v>0</v>
      </c>
      <c r="X808" s="8">
        <f t="shared" ref="X808:X814" si="150">SUM(Q808:W808)</f>
        <v>148.02857142857144</v>
      </c>
      <c r="Y808" s="8"/>
    </row>
    <row r="809" spans="1:32" s="14" customFormat="1" ht="20.100000000000001" customHeight="1" x14ac:dyDescent="0.3">
      <c r="A809" s="7"/>
      <c r="B809" s="8" t="s">
        <v>2</v>
      </c>
      <c r="C809" s="13" t="s">
        <v>6</v>
      </c>
      <c r="D809" s="8">
        <v>25</v>
      </c>
      <c r="E809" s="8"/>
      <c r="F809" s="8">
        <v>4</v>
      </c>
      <c r="G809" s="9">
        <f>VLOOKUP(D809,'[2]Beam '!$C$20:$H$26,3,0)</f>
        <v>1</v>
      </c>
      <c r="H809" s="8"/>
      <c r="I809" s="8"/>
      <c r="J809" s="8"/>
      <c r="K809" s="8"/>
      <c r="L809" s="8"/>
      <c r="M809" s="8"/>
      <c r="N809" s="8"/>
      <c r="O809" s="8">
        <f>(E807+2*(G809)*D807)</f>
        <v>9.6</v>
      </c>
      <c r="P809" s="8">
        <f t="shared" si="149"/>
        <v>38.4</v>
      </c>
      <c r="Q809" s="8">
        <f>IF($D809='[2]Beam '!Q$44,$P809*'[2]Beam '!Q$45,0)</f>
        <v>0</v>
      </c>
      <c r="R809" s="8">
        <f>IF($D809='[2]Beam '!R$44,$P809*'[2]Beam '!R$45,0)</f>
        <v>0</v>
      </c>
      <c r="S809" s="8">
        <f>IF($D809='[2]Beam '!S$44,$P809*'[2]Beam '!S$45,0)</f>
        <v>0</v>
      </c>
      <c r="T809" s="8">
        <f>IF($D809='[2]Beam '!T$44,$P809*'[2]Beam '!T$45,0)</f>
        <v>0</v>
      </c>
      <c r="U809" s="8">
        <f>IF($D809='[2]Beam '!U$44,$P809*'[2]Beam '!U$45,0)</f>
        <v>0</v>
      </c>
      <c r="V809" s="8">
        <f>IF($D809='[2]Beam '!V$44,$P809*'[2]Beam '!V$45,0)</f>
        <v>148.02857142857144</v>
      </c>
      <c r="W809" s="8">
        <f>IF($D809='[2]Beam '!W$44,$P809*'[2]Beam '!W$45,0)</f>
        <v>0</v>
      </c>
      <c r="X809" s="8">
        <f t="shared" si="150"/>
        <v>148.02857142857144</v>
      </c>
      <c r="Y809" s="8"/>
    </row>
    <row r="810" spans="1:32" s="14" customFormat="1" ht="20.100000000000001" customHeight="1" x14ac:dyDescent="0.25">
      <c r="A810" s="7"/>
      <c r="B810" s="8" t="s">
        <v>2</v>
      </c>
      <c r="C810" s="13" t="s">
        <v>13</v>
      </c>
      <c r="D810" s="8">
        <v>10</v>
      </c>
      <c r="E810" s="8">
        <v>0.1</v>
      </c>
      <c r="F810" s="8">
        <f>ROUND(IF(E807/3&gt;(2*G807),(E807/3)/E810,(2*G807)/E810),0)*2+1</f>
        <v>51</v>
      </c>
      <c r="G810" s="10"/>
      <c r="H810" s="8"/>
      <c r="I810" s="8"/>
      <c r="J810" s="8"/>
      <c r="K810" s="8"/>
      <c r="L810" s="8"/>
      <c r="M810" s="8"/>
      <c r="N810" s="8"/>
      <c r="O810" s="8">
        <f>(2*((G807-(2*'[2]Beam '!$D$11))+(F807-(2*'[2]Beam '!$D$11)))+(2*10*D810/1000))*D807</f>
        <v>2.9600000000000004</v>
      </c>
      <c r="P810" s="8">
        <f t="shared" si="149"/>
        <v>150.96</v>
      </c>
      <c r="Q810" s="8">
        <f>IF($D810='[2]Beam '!Q$44,$P810*'[2]Beam '!Q$45,0)</f>
        <v>0</v>
      </c>
      <c r="R810" s="8">
        <f>IF($D810='[2]Beam '!R$44,$P810*'[2]Beam '!R$45,0)</f>
        <v>93.109971428571427</v>
      </c>
      <c r="S810" s="8">
        <f>IF($D810='[2]Beam '!S$44,$P810*'[2]Beam '!S$45,0)</f>
        <v>0</v>
      </c>
      <c r="T810" s="8">
        <f>IF($D810='[2]Beam '!T$44,$P810*'[2]Beam '!T$45,0)</f>
        <v>0</v>
      </c>
      <c r="U810" s="8">
        <f>IF($D810='[2]Beam '!U$44,$P810*'[2]Beam '!U$45,0)</f>
        <v>0</v>
      </c>
      <c r="V810" s="8">
        <f>IF($D810='[2]Beam '!V$44,$P810*'[2]Beam '!V$45,0)</f>
        <v>0</v>
      </c>
      <c r="W810" s="8">
        <f>IF($D810='[2]Beam '!W$44,$P810*'[2]Beam '!W$45,0)</f>
        <v>0</v>
      </c>
      <c r="X810" s="8">
        <f t="shared" si="150"/>
        <v>93.109971428571427</v>
      </c>
      <c r="Y810" s="8"/>
    </row>
    <row r="811" spans="1:32" s="10" customFormat="1" ht="20.100000000000001" customHeight="1" x14ac:dyDescent="0.25">
      <c r="A811" s="14"/>
      <c r="B811" s="8" t="s">
        <v>2</v>
      </c>
      <c r="C811" s="13" t="s">
        <v>14</v>
      </c>
      <c r="D811" s="14">
        <f>D810</f>
        <v>10</v>
      </c>
      <c r="E811" s="14">
        <v>0.2</v>
      </c>
      <c r="F811" s="14">
        <f>ROUND((E807-(IF(E807/3&gt;2*G807,E807/3*2,G807*2*2)))/E811,0)</f>
        <v>13</v>
      </c>
      <c r="H811" s="14"/>
      <c r="I811" s="14"/>
      <c r="J811" s="14"/>
      <c r="K811" s="14"/>
      <c r="L811" s="14"/>
      <c r="M811" s="14"/>
      <c r="N811" s="14"/>
      <c r="O811" s="8">
        <f>(2*((G807-(2*'[2]Beam '!$D$11))+(F807-(2*'[2]Beam '!$D$11)))+(2*10*D811/1000))*D807</f>
        <v>2.9600000000000004</v>
      </c>
      <c r="P811" s="8">
        <f t="shared" si="149"/>
        <v>38.480000000000004</v>
      </c>
      <c r="Q811" s="8">
        <f>IF($D811='[2]Beam '!Q$44,$P811*'[2]Beam '!Q$45,0)</f>
        <v>0</v>
      </c>
      <c r="R811" s="8">
        <f>IF($D811='[2]Beam '!R$44,$P811*'[2]Beam '!R$45,0)</f>
        <v>23.733914285714288</v>
      </c>
      <c r="S811" s="8">
        <f>IF($D811='[2]Beam '!S$44,$P811*'[2]Beam '!S$45,0)</f>
        <v>0</v>
      </c>
      <c r="T811" s="8">
        <f>IF($D811='[2]Beam '!T$44,$P811*'[2]Beam '!T$45,0)</f>
        <v>0</v>
      </c>
      <c r="U811" s="8">
        <f>IF($D811='[2]Beam '!U$44,$P811*'[2]Beam '!U$45,0)</f>
        <v>0</v>
      </c>
      <c r="V811" s="8">
        <f>IF($D811='[2]Beam '!V$44,$P811*'[2]Beam '!V$45,0)</f>
        <v>0</v>
      </c>
      <c r="W811" s="8">
        <f>IF($D811='[2]Beam '!W$44,$P811*'[2]Beam '!W$45,0)</f>
        <v>0</v>
      </c>
      <c r="X811" s="8">
        <f t="shared" si="150"/>
        <v>23.733914285714288</v>
      </c>
      <c r="Y811" s="14"/>
      <c r="Z811" s="8"/>
      <c r="AA811" s="8"/>
      <c r="AB811" s="8"/>
      <c r="AC811" s="8"/>
      <c r="AD811" s="8"/>
      <c r="AE811" s="8"/>
    </row>
    <row r="812" spans="1:32" s="10" customFormat="1" ht="21" customHeight="1" x14ac:dyDescent="0.25">
      <c r="A812" s="14"/>
      <c r="B812" s="8" t="s">
        <v>2</v>
      </c>
      <c r="C812" s="13" t="s">
        <v>15</v>
      </c>
      <c r="D812" s="14">
        <f>D810</f>
        <v>10</v>
      </c>
      <c r="E812" s="14">
        <f>+E810</f>
        <v>0.1</v>
      </c>
      <c r="F812" s="8">
        <f>ROUND(IF(E807/3&gt;(2*G807),(E807/3)/E812,(2*G807)/E812),0)*2+1</f>
        <v>51</v>
      </c>
      <c r="H812" s="14"/>
      <c r="I812" s="14"/>
      <c r="J812" s="14"/>
      <c r="K812" s="14"/>
      <c r="L812" s="14"/>
      <c r="M812" s="14"/>
      <c r="N812" s="14"/>
      <c r="O812" s="8">
        <f>(2*(((F807-'[2]Beam '!$D$11*2)/(F808-1))+(G807-'[2]Beam '!$D$11*2))+(2*10*D812/1000))*D807</f>
        <v>2.5066666666666668</v>
      </c>
      <c r="P812" s="8">
        <f t="shared" si="149"/>
        <v>127.84</v>
      </c>
      <c r="Q812" s="8">
        <f>IF($D812='[2]Beam '!Q$44,$P812*'[2]Beam '!Q$45,0)</f>
        <v>0</v>
      </c>
      <c r="R812" s="8">
        <f>IF($D812='[2]Beam '!R$44,$P812*'[2]Beam '!R$45,0)</f>
        <v>78.849885714285719</v>
      </c>
      <c r="S812" s="8">
        <f>IF($D812='[2]Beam '!S$44,$P812*'[2]Beam '!S$45,0)</f>
        <v>0</v>
      </c>
      <c r="T812" s="8">
        <f>IF($D812='[2]Beam '!T$44,$P812*'[2]Beam '!T$45,0)</f>
        <v>0</v>
      </c>
      <c r="U812" s="8">
        <f>IF($D812='[2]Beam '!U$44,$P812*'[2]Beam '!U$45,0)</f>
        <v>0</v>
      </c>
      <c r="V812" s="8">
        <f>IF($D812='[2]Beam '!V$44,$P812*'[2]Beam '!V$45,0)</f>
        <v>0</v>
      </c>
      <c r="W812" s="8">
        <f>IF($D812='[2]Beam '!W$44,$P812*'[2]Beam '!W$45,0)</f>
        <v>0</v>
      </c>
      <c r="X812" s="8">
        <f t="shared" si="150"/>
        <v>78.849885714285719</v>
      </c>
      <c r="Y812" s="14"/>
      <c r="Z812" s="8"/>
      <c r="AA812" s="8"/>
      <c r="AB812" s="8"/>
      <c r="AC812" s="8"/>
      <c r="AD812" s="8"/>
      <c r="AE812" s="8"/>
      <c r="AF812" s="8"/>
    </row>
    <row r="813" spans="1:32" s="10" customFormat="1" ht="20.100000000000001" customHeight="1" x14ac:dyDescent="0.25">
      <c r="A813" s="14"/>
      <c r="B813" s="8" t="s">
        <v>2</v>
      </c>
      <c r="C813" s="13" t="s">
        <v>16</v>
      </c>
      <c r="D813" s="14">
        <f>D811</f>
        <v>10</v>
      </c>
      <c r="E813" s="14">
        <f>+E811</f>
        <v>0.2</v>
      </c>
      <c r="F813" s="14">
        <f>ROUND((E807-(IF(E807/3&gt;2*G807,E807/3*2,G807*2*2)))/E813,0)</f>
        <v>13</v>
      </c>
      <c r="H813" s="14"/>
      <c r="I813" s="14"/>
      <c r="J813" s="14"/>
      <c r="K813" s="14"/>
      <c r="L813" s="14"/>
      <c r="M813" s="14"/>
      <c r="N813" s="14"/>
      <c r="O813" s="8">
        <f>(2*(((F807-'[2]Beam '!$D$11*2)/(F808-1))+(G807-'[2]Beam '!$D$11*2))+(2*10*D813/1000))*D807</f>
        <v>2.5066666666666668</v>
      </c>
      <c r="P813" s="8">
        <f t="shared" si="149"/>
        <v>32.586666666666666</v>
      </c>
      <c r="Q813" s="8">
        <f>IF($D813='[2]Beam '!Q$44,$P813*'[2]Beam '!Q$45,0)</f>
        <v>0</v>
      </c>
      <c r="R813" s="8">
        <f>IF($D813='[2]Beam '!R$44,$P813*'[2]Beam '!R$45,0)</f>
        <v>20.098990476190476</v>
      </c>
      <c r="S813" s="8">
        <f>IF($D813='[2]Beam '!S$44,$P813*'[2]Beam '!S$45,0)</f>
        <v>0</v>
      </c>
      <c r="T813" s="8">
        <f>IF($D813='[2]Beam '!T$44,$P813*'[2]Beam '!T$45,0)</f>
        <v>0</v>
      </c>
      <c r="U813" s="8">
        <f>IF($D813='[2]Beam '!U$44,$P813*'[2]Beam '!U$45,0)</f>
        <v>0</v>
      </c>
      <c r="V813" s="8">
        <f>IF($D813='[2]Beam '!V$44,$P813*'[2]Beam '!V$45,0)</f>
        <v>0</v>
      </c>
      <c r="W813" s="8">
        <f>IF($D813='[2]Beam '!W$44,$P813*'[2]Beam '!W$45,0)</f>
        <v>0</v>
      </c>
      <c r="X813" s="8">
        <f t="shared" si="150"/>
        <v>20.098990476190476</v>
      </c>
      <c r="Y813" s="14"/>
      <c r="Z813" s="8"/>
      <c r="AA813" s="8"/>
      <c r="AB813" s="8"/>
      <c r="AC813" s="8"/>
      <c r="AD813" s="8"/>
      <c r="AE813" s="8"/>
    </row>
    <row r="814" spans="1:32" s="10" customFormat="1" ht="20.100000000000001" customHeight="1" x14ac:dyDescent="0.25">
      <c r="A814" s="7"/>
      <c r="B814" s="8" t="s">
        <v>2</v>
      </c>
      <c r="C814" s="13" t="s">
        <v>10</v>
      </c>
      <c r="D814" s="8">
        <f>+'[2]Beam '!$D$15</f>
        <v>25</v>
      </c>
      <c r="E814" s="8">
        <f>+'[2]Beam '!$E$15</f>
        <v>1</v>
      </c>
      <c r="F814" s="8">
        <f>ROUNDUP((E807)/E814,0)</f>
        <v>8</v>
      </c>
      <c r="G814" s="9"/>
      <c r="H814" s="9"/>
      <c r="I814" s="8"/>
      <c r="J814" s="8"/>
      <c r="K814" s="8"/>
      <c r="L814" s="8"/>
      <c r="M814" s="8"/>
      <c r="N814" s="8"/>
      <c r="O814" s="8">
        <f>F807-'[2]Beam '!$F$15</f>
        <v>0.34</v>
      </c>
      <c r="P814" s="8">
        <f t="shared" si="149"/>
        <v>2.72</v>
      </c>
      <c r="Q814" s="8">
        <f>IF($D814='[2]Beam '!Q$44,$P814*'[2]Beam '!Q$45,0)</f>
        <v>0</v>
      </c>
      <c r="R814" s="8">
        <f>IF($D814='[2]Beam '!R$44,$P814*'[2]Beam '!R$45,0)</f>
        <v>0</v>
      </c>
      <c r="S814" s="8">
        <f>IF($D814='[2]Beam '!S$44,$P814*'[2]Beam '!S$45,0)</f>
        <v>0</v>
      </c>
      <c r="T814" s="8">
        <f>IF($D814='[2]Beam '!T$44,$P814*'[2]Beam '!T$45,0)</f>
        <v>0</v>
      </c>
      <c r="U814" s="8">
        <f>IF($D814='[2]Beam '!U$44,$P814*'[2]Beam '!U$45,0)</f>
        <v>0</v>
      </c>
      <c r="V814" s="8">
        <f>IF($D814='[2]Beam '!V$44,$P814*'[2]Beam '!V$45,0)</f>
        <v>10.485357142857145</v>
      </c>
      <c r="W814" s="8">
        <f>IF($D814='[2]Beam '!W$44,$P814*'[2]Beam '!W$45,0)</f>
        <v>0</v>
      </c>
      <c r="X814" s="8">
        <f t="shared" si="150"/>
        <v>10.485357142857145</v>
      </c>
      <c r="Y814" s="8"/>
      <c r="Z814" s="8"/>
      <c r="AA814" s="8"/>
      <c r="AB814" s="8"/>
      <c r="AC814" s="8"/>
      <c r="AD814" s="8"/>
      <c r="AE814" s="8"/>
    </row>
    <row r="815" spans="1:32" s="10" customFormat="1" ht="20.100000000000001" customHeight="1" x14ac:dyDescent="0.25">
      <c r="A815" s="8">
        <v>1</v>
      </c>
      <c r="B815" s="8" t="s">
        <v>2</v>
      </c>
      <c r="C815" s="11" t="s">
        <v>111</v>
      </c>
      <c r="D815" s="11">
        <v>1</v>
      </c>
      <c r="E815" s="11">
        <v>6.02</v>
      </c>
      <c r="F815" s="11">
        <v>0.35</v>
      </c>
      <c r="G815" s="11">
        <v>1.1000000000000001</v>
      </c>
      <c r="H815" s="8">
        <f>G815-0.2</f>
        <v>0.90000000000000013</v>
      </c>
      <c r="I815" s="8">
        <f>E815*F815*G815*D815</f>
        <v>2.3176999999999999</v>
      </c>
      <c r="J815" s="8">
        <f>(2*(E815)*H815*D815)+(E815*F815)</f>
        <v>12.943</v>
      </c>
      <c r="K815" s="12">
        <f>IF(E815=0.3,J815,0)</f>
        <v>0</v>
      </c>
      <c r="L815" s="12">
        <f>IF(AND(E815&gt;0.3,E815&lt;=0.75),J815,0)</f>
        <v>0</v>
      </c>
      <c r="M815" s="12">
        <f>IF(AND(E815&gt;0.75,E815&lt;=1.2),J815,0)</f>
        <v>0</v>
      </c>
      <c r="N815" s="12">
        <f>IF(E815&gt;1.2,J815,0)</f>
        <v>12.943</v>
      </c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>
        <f>SUM(X816:X821)/I815</f>
        <v>174.29645230185096</v>
      </c>
      <c r="Z815" s="8"/>
      <c r="AA815" s="8"/>
      <c r="AB815" s="8"/>
      <c r="AC815" s="8"/>
      <c r="AD815" s="8"/>
      <c r="AE815" s="8"/>
    </row>
    <row r="816" spans="1:32" s="14" customFormat="1" ht="20.100000000000001" customHeight="1" x14ac:dyDescent="0.3">
      <c r="A816" s="7"/>
      <c r="B816" s="8" t="s">
        <v>2</v>
      </c>
      <c r="C816" s="13" t="s">
        <v>4</v>
      </c>
      <c r="D816" s="8">
        <v>25</v>
      </c>
      <c r="E816" s="8"/>
      <c r="F816" s="8">
        <v>3</v>
      </c>
      <c r="G816" s="9">
        <f>VLOOKUP(D816,'[2]Beam '!$C$20:$H$26,3,0)</f>
        <v>1</v>
      </c>
      <c r="H816" s="9"/>
      <c r="I816" s="8"/>
      <c r="J816" s="8"/>
      <c r="K816" s="8"/>
      <c r="L816" s="8"/>
      <c r="M816" s="8"/>
      <c r="N816" s="8"/>
      <c r="O816" s="8">
        <f>(E815+1*(G816)+1*(2/2)*D815)</f>
        <v>8.02</v>
      </c>
      <c r="P816" s="8">
        <f t="shared" ref="P816:P822" si="151">O816*F816</f>
        <v>24.06</v>
      </c>
      <c r="Q816" s="8">
        <f>IF($D816='[2]Beam '!Q$44,$P816*'[2]Beam '!Q$45,0)</f>
        <v>0</v>
      </c>
      <c r="R816" s="8">
        <f>IF($D816='[2]Beam '!R$44,$P816*'[2]Beam '!R$45,0)</f>
        <v>0</v>
      </c>
      <c r="S816" s="8">
        <f>IF($D816='[2]Beam '!S$44,$P816*'[2]Beam '!S$45,0)</f>
        <v>0</v>
      </c>
      <c r="T816" s="8">
        <f>IF($D816='[2]Beam '!T$44,$P816*'[2]Beam '!T$45,0)</f>
        <v>0</v>
      </c>
      <c r="U816" s="8">
        <f>IF($D816='[2]Beam '!U$44,$P816*'[2]Beam '!U$45,0)</f>
        <v>0</v>
      </c>
      <c r="V816" s="8">
        <f>IF($D816='[2]Beam '!V$44,$P816*'[2]Beam '!V$45,0)</f>
        <v>92.74915178571429</v>
      </c>
      <c r="W816" s="8">
        <f>IF($D816='[2]Beam '!W$44,$P816*'[2]Beam '!W$45,0)</f>
        <v>0</v>
      </c>
      <c r="X816" s="8">
        <f t="shared" ref="X816:X822" si="152">SUM(Q816:W816)</f>
        <v>92.74915178571429</v>
      </c>
      <c r="Y816" s="8"/>
    </row>
    <row r="817" spans="1:32" s="14" customFormat="1" ht="20.100000000000001" customHeight="1" x14ac:dyDescent="0.3">
      <c r="A817" s="7"/>
      <c r="B817" s="8" t="s">
        <v>2</v>
      </c>
      <c r="C817" s="13" t="s">
        <v>6</v>
      </c>
      <c r="D817" s="8">
        <v>25</v>
      </c>
      <c r="E817" s="8"/>
      <c r="F817" s="8">
        <v>4</v>
      </c>
      <c r="G817" s="9">
        <f>VLOOKUP(D817,'[2]Beam '!$C$20:$H$26,3,0)</f>
        <v>1</v>
      </c>
      <c r="H817" s="8"/>
      <c r="I817" s="8"/>
      <c r="J817" s="8"/>
      <c r="K817" s="8"/>
      <c r="L817" s="8"/>
      <c r="M817" s="8"/>
      <c r="N817" s="8"/>
      <c r="O817" s="8">
        <f>(E815+1*(G817)+1*(2/2)*D815)</f>
        <v>8.02</v>
      </c>
      <c r="P817" s="8">
        <f t="shared" si="151"/>
        <v>32.08</v>
      </c>
      <c r="Q817" s="8">
        <f>IF($D817='[2]Beam '!Q$44,$P817*'[2]Beam '!Q$45,0)</f>
        <v>0</v>
      </c>
      <c r="R817" s="8">
        <f>IF($D817='[2]Beam '!R$44,$P817*'[2]Beam '!R$45,0)</f>
        <v>0</v>
      </c>
      <c r="S817" s="8">
        <f>IF($D817='[2]Beam '!S$44,$P817*'[2]Beam '!S$45,0)</f>
        <v>0</v>
      </c>
      <c r="T817" s="8">
        <f>IF($D817='[2]Beam '!T$44,$P817*'[2]Beam '!T$45,0)</f>
        <v>0</v>
      </c>
      <c r="U817" s="8">
        <f>IF($D817='[2]Beam '!U$44,$P817*'[2]Beam '!U$45,0)</f>
        <v>0</v>
      </c>
      <c r="V817" s="8">
        <f>IF($D817='[2]Beam '!V$44,$P817*'[2]Beam '!V$45,0)</f>
        <v>123.66553571428572</v>
      </c>
      <c r="W817" s="8">
        <f>IF($D817='[2]Beam '!W$44,$P817*'[2]Beam '!W$45,0)</f>
        <v>0</v>
      </c>
      <c r="X817" s="8">
        <f t="shared" si="152"/>
        <v>123.66553571428572</v>
      </c>
      <c r="Y817" s="8"/>
    </row>
    <row r="818" spans="1:32" s="14" customFormat="1" ht="20.100000000000001" customHeight="1" x14ac:dyDescent="0.25">
      <c r="A818" s="7"/>
      <c r="B818" s="8" t="s">
        <v>2</v>
      </c>
      <c r="C818" s="13" t="s">
        <v>13</v>
      </c>
      <c r="D818" s="8">
        <v>10</v>
      </c>
      <c r="E818" s="8">
        <v>0.1</v>
      </c>
      <c r="F818" s="8">
        <f>ROUND(IF(E815/3&gt;(2*G815),(E815/3)/E818,(2*G815)/E818),0)*2+1</f>
        <v>45</v>
      </c>
      <c r="G818" s="10"/>
      <c r="H818" s="8"/>
      <c r="I818" s="8"/>
      <c r="J818" s="8"/>
      <c r="K818" s="8"/>
      <c r="L818" s="8"/>
      <c r="M818" s="8"/>
      <c r="N818" s="8"/>
      <c r="O818" s="8">
        <f>(2*((G815-(2*'[2]Beam '!$D$11))+(F815-(2*'[2]Beam '!$D$11)))+(2*10*D818/1000))*D815</f>
        <v>2.8600000000000003</v>
      </c>
      <c r="P818" s="8">
        <f t="shared" si="151"/>
        <v>128.70000000000002</v>
      </c>
      <c r="Q818" s="8">
        <f>IF($D818='[2]Beam '!Q$44,$P818*'[2]Beam '!Q$45,0)</f>
        <v>0</v>
      </c>
      <c r="R818" s="8">
        <f>IF($D818='[2]Beam '!R$44,$P818*'[2]Beam '!R$45,0)</f>
        <v>79.380321428571435</v>
      </c>
      <c r="S818" s="8">
        <f>IF($D818='[2]Beam '!S$44,$P818*'[2]Beam '!S$45,0)</f>
        <v>0</v>
      </c>
      <c r="T818" s="8">
        <f>IF($D818='[2]Beam '!T$44,$P818*'[2]Beam '!T$45,0)</f>
        <v>0</v>
      </c>
      <c r="U818" s="8">
        <f>IF($D818='[2]Beam '!U$44,$P818*'[2]Beam '!U$45,0)</f>
        <v>0</v>
      </c>
      <c r="V818" s="8">
        <f>IF($D818='[2]Beam '!V$44,$P818*'[2]Beam '!V$45,0)</f>
        <v>0</v>
      </c>
      <c r="W818" s="8">
        <f>IF($D818='[2]Beam '!W$44,$P818*'[2]Beam '!W$45,0)</f>
        <v>0</v>
      </c>
      <c r="X818" s="8">
        <f t="shared" si="152"/>
        <v>79.380321428571435</v>
      </c>
      <c r="Y818" s="8"/>
    </row>
    <row r="819" spans="1:32" s="10" customFormat="1" ht="20.100000000000001" customHeight="1" x14ac:dyDescent="0.25">
      <c r="A819" s="14"/>
      <c r="B819" s="8" t="s">
        <v>2</v>
      </c>
      <c r="C819" s="13" t="s">
        <v>14</v>
      </c>
      <c r="D819" s="14">
        <f>D818</f>
        <v>10</v>
      </c>
      <c r="E819" s="14">
        <v>0.15</v>
      </c>
      <c r="F819" s="14">
        <f>ROUND((E815-(IF(E815/3&gt;2*G815,E815/3*2,G815*2*2)))/E819,0)</f>
        <v>11</v>
      </c>
      <c r="H819" s="14"/>
      <c r="I819" s="14"/>
      <c r="J819" s="14"/>
      <c r="K819" s="14"/>
      <c r="L819" s="14"/>
      <c r="M819" s="14"/>
      <c r="N819" s="14"/>
      <c r="O819" s="8">
        <f>(2*((G815-(2*'[2]Beam '!$D$11))+(F815-(2*'[2]Beam '!$D$11)))+(2*10*D819/1000))*D815</f>
        <v>2.8600000000000003</v>
      </c>
      <c r="P819" s="8">
        <f t="shared" si="151"/>
        <v>31.460000000000004</v>
      </c>
      <c r="Q819" s="8">
        <f>IF($D819='[2]Beam '!Q$44,$P819*'[2]Beam '!Q$45,0)</f>
        <v>0</v>
      </c>
      <c r="R819" s="8">
        <f>IF($D819='[2]Beam '!R$44,$P819*'[2]Beam '!R$45,0)</f>
        <v>19.404078571428574</v>
      </c>
      <c r="S819" s="8">
        <f>IF($D819='[2]Beam '!S$44,$P819*'[2]Beam '!S$45,0)</f>
        <v>0</v>
      </c>
      <c r="T819" s="8">
        <f>IF($D819='[2]Beam '!T$44,$P819*'[2]Beam '!T$45,0)</f>
        <v>0</v>
      </c>
      <c r="U819" s="8">
        <f>IF($D819='[2]Beam '!U$44,$P819*'[2]Beam '!U$45,0)</f>
        <v>0</v>
      </c>
      <c r="V819" s="8">
        <f>IF($D819='[2]Beam '!V$44,$P819*'[2]Beam '!V$45,0)</f>
        <v>0</v>
      </c>
      <c r="W819" s="8">
        <f>IF($D819='[2]Beam '!W$44,$P819*'[2]Beam '!W$45,0)</f>
        <v>0</v>
      </c>
      <c r="X819" s="8">
        <f t="shared" si="152"/>
        <v>19.404078571428574</v>
      </c>
      <c r="Y819" s="14"/>
      <c r="Z819" s="8"/>
      <c r="AA819" s="8"/>
      <c r="AB819" s="8"/>
      <c r="AC819" s="8"/>
      <c r="AD819" s="8"/>
      <c r="AE819" s="8"/>
    </row>
    <row r="820" spans="1:32" s="10" customFormat="1" ht="21" customHeight="1" x14ac:dyDescent="0.25">
      <c r="A820" s="14"/>
      <c r="B820" s="8" t="s">
        <v>2</v>
      </c>
      <c r="C820" s="13" t="s">
        <v>15</v>
      </c>
      <c r="D820" s="14">
        <f>D818</f>
        <v>10</v>
      </c>
      <c r="E820" s="14">
        <f>+E818</f>
        <v>0.1</v>
      </c>
      <c r="F820" s="8">
        <f>ROUND(IF(E815/3&gt;(2*G815),(E815/3)/E820,(2*G815)/E820),0)*2+1</f>
        <v>45</v>
      </c>
      <c r="H820" s="14"/>
      <c r="I820" s="14"/>
      <c r="J820" s="14"/>
      <c r="K820" s="14"/>
      <c r="L820" s="14"/>
      <c r="M820" s="14"/>
      <c r="N820" s="14"/>
      <c r="O820" s="8">
        <f>(2*(((F815-'[2]Beam '!$D$11*2)/(F816-1))+(G815-'[2]Beam '!$D$11*2))+(2*10*D820/1000))*D815</f>
        <v>2.5700000000000003</v>
      </c>
      <c r="P820" s="8">
        <f t="shared" si="151"/>
        <v>115.65</v>
      </c>
      <c r="Q820" s="8">
        <f>IF($D820='[2]Beam '!Q$44,$P820*'[2]Beam '!Q$45,0)</f>
        <v>0</v>
      </c>
      <c r="R820" s="8">
        <f>IF($D820='[2]Beam '!R$44,$P820*'[2]Beam '!R$45,0)</f>
        <v>71.331267857142862</v>
      </c>
      <c r="S820" s="8">
        <f>IF($D820='[2]Beam '!S$44,$P820*'[2]Beam '!S$45,0)</f>
        <v>0</v>
      </c>
      <c r="T820" s="8">
        <f>IF($D820='[2]Beam '!T$44,$P820*'[2]Beam '!T$45,0)</f>
        <v>0</v>
      </c>
      <c r="U820" s="8">
        <f>IF($D820='[2]Beam '!U$44,$P820*'[2]Beam '!U$45,0)</f>
        <v>0</v>
      </c>
      <c r="V820" s="8">
        <f>IF($D820='[2]Beam '!V$44,$P820*'[2]Beam '!V$45,0)</f>
        <v>0</v>
      </c>
      <c r="W820" s="8">
        <f>IF($D820='[2]Beam '!W$44,$P820*'[2]Beam '!W$45,0)</f>
        <v>0</v>
      </c>
      <c r="X820" s="8">
        <f t="shared" si="152"/>
        <v>71.331267857142862</v>
      </c>
      <c r="Y820" s="14"/>
      <c r="Z820" s="8"/>
      <c r="AA820" s="8"/>
      <c r="AB820" s="8"/>
      <c r="AC820" s="8"/>
      <c r="AD820" s="8"/>
      <c r="AE820" s="8"/>
      <c r="AF820" s="8"/>
    </row>
    <row r="821" spans="1:32" s="10" customFormat="1" ht="20.100000000000001" customHeight="1" x14ac:dyDescent="0.25">
      <c r="A821" s="14"/>
      <c r="B821" s="8" t="s">
        <v>2</v>
      </c>
      <c r="C821" s="13" t="s">
        <v>16</v>
      </c>
      <c r="D821" s="14">
        <f>D819</f>
        <v>10</v>
      </c>
      <c r="E821" s="14">
        <f>+E819</f>
        <v>0.15</v>
      </c>
      <c r="F821" s="14">
        <f>ROUND((E815-(IF(E815/3&gt;2*G815,E815/3*2,G815*2*2)))/E821,0)</f>
        <v>11</v>
      </c>
      <c r="H821" s="14"/>
      <c r="I821" s="14"/>
      <c r="J821" s="14"/>
      <c r="K821" s="14"/>
      <c r="L821" s="14"/>
      <c r="M821" s="14"/>
      <c r="N821" s="14"/>
      <c r="O821" s="8">
        <f>(2*(((F815-'[2]Beam '!$D$11*2)/(F816-1))+(G815-'[2]Beam '!$D$11*2))+(2*10*D821/1000))*D815</f>
        <v>2.5700000000000003</v>
      </c>
      <c r="P821" s="8">
        <f t="shared" si="151"/>
        <v>28.270000000000003</v>
      </c>
      <c r="Q821" s="8">
        <f>IF($D821='[2]Beam '!Q$44,$P821*'[2]Beam '!Q$45,0)</f>
        <v>0</v>
      </c>
      <c r="R821" s="8">
        <f>IF($D821='[2]Beam '!R$44,$P821*'[2]Beam '!R$45,0)</f>
        <v>17.436532142857143</v>
      </c>
      <c r="S821" s="8">
        <f>IF($D821='[2]Beam '!S$44,$P821*'[2]Beam '!S$45,0)</f>
        <v>0</v>
      </c>
      <c r="T821" s="8">
        <f>IF($D821='[2]Beam '!T$44,$P821*'[2]Beam '!T$45,0)</f>
        <v>0</v>
      </c>
      <c r="U821" s="8">
        <f>IF($D821='[2]Beam '!U$44,$P821*'[2]Beam '!U$45,0)</f>
        <v>0</v>
      </c>
      <c r="V821" s="8">
        <f>IF($D821='[2]Beam '!V$44,$P821*'[2]Beam '!V$45,0)</f>
        <v>0</v>
      </c>
      <c r="W821" s="8">
        <f>IF($D821='[2]Beam '!W$44,$P821*'[2]Beam '!W$45,0)</f>
        <v>0</v>
      </c>
      <c r="X821" s="8">
        <f t="shared" si="152"/>
        <v>17.436532142857143</v>
      </c>
      <c r="Y821" s="14"/>
      <c r="Z821" s="8"/>
      <c r="AA821" s="8"/>
      <c r="AB821" s="8"/>
      <c r="AC821" s="8"/>
      <c r="AD821" s="8"/>
      <c r="AE821" s="8"/>
    </row>
    <row r="822" spans="1:32" s="10" customFormat="1" ht="20.100000000000001" customHeight="1" x14ac:dyDescent="0.25">
      <c r="A822" s="7"/>
      <c r="B822" s="8" t="s">
        <v>2</v>
      </c>
      <c r="C822" s="13" t="s">
        <v>10</v>
      </c>
      <c r="D822" s="8">
        <f>+'[2]Beam '!$D$15</f>
        <v>25</v>
      </c>
      <c r="E822" s="8">
        <f>+'[2]Beam '!$E$15</f>
        <v>1</v>
      </c>
      <c r="F822" s="8">
        <f>ROUNDUP((E815)/E822,0)</f>
        <v>7</v>
      </c>
      <c r="G822" s="9"/>
      <c r="H822" s="9"/>
      <c r="I822" s="8"/>
      <c r="J822" s="8"/>
      <c r="K822" s="8"/>
      <c r="L822" s="8"/>
      <c r="M822" s="8"/>
      <c r="N822" s="8"/>
      <c r="O822" s="8">
        <f>F815-'[2]Beam '!$F$15</f>
        <v>0.28999999999999998</v>
      </c>
      <c r="P822" s="8">
        <f t="shared" si="151"/>
        <v>2.0299999999999998</v>
      </c>
      <c r="Q822" s="8">
        <f>IF($D822='[2]Beam '!Q$44,$P822*'[2]Beam '!Q$45,0)</f>
        <v>0</v>
      </c>
      <c r="R822" s="8">
        <f>IF($D822='[2]Beam '!R$44,$P822*'[2]Beam '!R$45,0)</f>
        <v>0</v>
      </c>
      <c r="S822" s="8">
        <f>IF($D822='[2]Beam '!S$44,$P822*'[2]Beam '!S$45,0)</f>
        <v>0</v>
      </c>
      <c r="T822" s="8">
        <f>IF($D822='[2]Beam '!T$44,$P822*'[2]Beam '!T$45,0)</f>
        <v>0</v>
      </c>
      <c r="U822" s="8">
        <f>IF($D822='[2]Beam '!U$44,$P822*'[2]Beam '!U$45,0)</f>
        <v>0</v>
      </c>
      <c r="V822" s="8">
        <f>IF($D822='[2]Beam '!V$44,$P822*'[2]Beam '!V$45,0)</f>
        <v>7.8254687500000006</v>
      </c>
      <c r="W822" s="8">
        <f>IF($D822='[2]Beam '!W$44,$P822*'[2]Beam '!W$45,0)</f>
        <v>0</v>
      </c>
      <c r="X822" s="8">
        <f t="shared" si="152"/>
        <v>7.8254687500000006</v>
      </c>
      <c r="Y822" s="8"/>
      <c r="Z822" s="8"/>
      <c r="AA822" s="8"/>
      <c r="AB822" s="8"/>
      <c r="AC822" s="8"/>
      <c r="AD822" s="8"/>
      <c r="AE822" s="8"/>
    </row>
    <row r="823" spans="1:32" s="10" customFormat="1" ht="20.100000000000001" customHeight="1" x14ac:dyDescent="0.25">
      <c r="A823" s="8">
        <v>1</v>
      </c>
      <c r="B823" s="8" t="s">
        <v>2</v>
      </c>
      <c r="C823" s="11" t="s">
        <v>112</v>
      </c>
      <c r="D823" s="11">
        <v>1</v>
      </c>
      <c r="E823" s="11">
        <v>3.5739999999999998</v>
      </c>
      <c r="F823" s="11">
        <v>0.35</v>
      </c>
      <c r="G823" s="11">
        <v>1.1000000000000001</v>
      </c>
      <c r="H823" s="8">
        <f>G823-0.2</f>
        <v>0.90000000000000013</v>
      </c>
      <c r="I823" s="8">
        <f>E823*F823*G823*D823</f>
        <v>1.37599</v>
      </c>
      <c r="J823" s="8">
        <f>(2*(E823)*H823*D823)+(E823*F823)</f>
        <v>7.6840999999999999</v>
      </c>
      <c r="K823" s="12">
        <f>IF(E823=0.3,J823,0)</f>
        <v>0</v>
      </c>
      <c r="L823" s="12">
        <f>IF(AND(E823&gt;0.3,E823&lt;=0.75),J823,0)</f>
        <v>0</v>
      </c>
      <c r="M823" s="12">
        <f>IF(AND(E823&gt;0.75,E823&lt;=1.2),J823,0)</f>
        <v>0</v>
      </c>
      <c r="N823" s="12">
        <f>IF(E823&gt;1.2,J823,0)</f>
        <v>7.6840999999999999</v>
      </c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>
        <f>SUM(X824:X830)/I823</f>
        <v>185.96627856514743</v>
      </c>
      <c r="Z823" s="8"/>
      <c r="AA823" s="8"/>
      <c r="AB823" s="8"/>
      <c r="AC823" s="8"/>
      <c r="AD823" s="8"/>
      <c r="AE823" s="8"/>
    </row>
    <row r="824" spans="1:32" s="10" customFormat="1" ht="20.100000000000001" customHeight="1" x14ac:dyDescent="0.25">
      <c r="A824" s="7"/>
      <c r="B824" s="8" t="s">
        <v>2</v>
      </c>
      <c r="C824" s="13" t="s">
        <v>4</v>
      </c>
      <c r="D824" s="8">
        <v>25</v>
      </c>
      <c r="E824" s="8"/>
      <c r="F824" s="8">
        <v>3</v>
      </c>
      <c r="G824" s="9">
        <f>VLOOKUP(D824,'[2]Beam '!$C$20:$H$26,3,0)</f>
        <v>1</v>
      </c>
      <c r="H824" s="9"/>
      <c r="I824" s="8"/>
      <c r="J824" s="8"/>
      <c r="K824" s="8"/>
      <c r="L824" s="8"/>
      <c r="M824" s="8"/>
      <c r="N824" s="8"/>
      <c r="O824" s="8">
        <f>(E823+1*(G824)+1*(2/2)*D823)</f>
        <v>5.5739999999999998</v>
      </c>
      <c r="P824" s="8">
        <f t="shared" ref="P824:P831" si="153">O824*F824</f>
        <v>16.722000000000001</v>
      </c>
      <c r="Q824" s="8">
        <f>IF($D824='[2]Beam '!Q$44,$P824*'[2]Beam '!Q$45,0)</f>
        <v>0</v>
      </c>
      <c r="R824" s="8">
        <f>IF($D824='[2]Beam '!R$44,$P824*'[2]Beam '!R$45,0)</f>
        <v>0</v>
      </c>
      <c r="S824" s="8">
        <f>IF($D824='[2]Beam '!S$44,$P824*'[2]Beam '!S$45,0)</f>
        <v>0</v>
      </c>
      <c r="T824" s="8">
        <f>IF($D824='[2]Beam '!T$44,$P824*'[2]Beam '!T$45,0)</f>
        <v>0</v>
      </c>
      <c r="U824" s="8">
        <f>IF($D824='[2]Beam '!U$44,$P824*'[2]Beam '!U$45,0)</f>
        <v>0</v>
      </c>
      <c r="V824" s="8">
        <f>IF($D824='[2]Beam '!V$44,$P824*'[2]Beam '!V$45,0)</f>
        <v>64.461816964285731</v>
      </c>
      <c r="W824" s="8">
        <f>IF($D824='[2]Beam '!W$44,$P824*'[2]Beam '!W$45,0)</f>
        <v>0</v>
      </c>
      <c r="X824" s="8">
        <f t="shared" ref="X824:X831" si="154">SUM(Q824:W824)</f>
        <v>64.461816964285731</v>
      </c>
      <c r="Y824" s="8"/>
      <c r="Z824" s="8"/>
      <c r="AA824" s="8"/>
      <c r="AB824" s="8"/>
      <c r="AC824" s="8"/>
      <c r="AD824" s="8"/>
      <c r="AE824" s="8"/>
    </row>
    <row r="825" spans="1:32" s="14" customFormat="1" ht="20.100000000000001" customHeight="1" x14ac:dyDescent="0.3">
      <c r="A825" s="7"/>
      <c r="B825" s="8" t="s">
        <v>2</v>
      </c>
      <c r="C825" s="13" t="s">
        <v>6</v>
      </c>
      <c r="D825" s="8">
        <v>25</v>
      </c>
      <c r="E825" s="8"/>
      <c r="F825" s="8">
        <v>3</v>
      </c>
      <c r="G825" s="9">
        <f>VLOOKUP(D825,'[2]Beam '!$C$20:$H$26,3,0)</f>
        <v>1</v>
      </c>
      <c r="H825" s="8"/>
      <c r="I825" s="8"/>
      <c r="J825" s="8"/>
      <c r="K825" s="8"/>
      <c r="L825" s="8"/>
      <c r="M825" s="8"/>
      <c r="N825" s="8"/>
      <c r="O825" s="8">
        <f>(E823+1*(G825)+1*(2/2)*D823)</f>
        <v>5.5739999999999998</v>
      </c>
      <c r="P825" s="8">
        <f t="shared" si="153"/>
        <v>16.722000000000001</v>
      </c>
      <c r="Q825" s="8">
        <f>IF($D825='[2]Beam '!Q$44,$P825*'[2]Beam '!Q$45,0)</f>
        <v>0</v>
      </c>
      <c r="R825" s="8">
        <f>IF($D825='[2]Beam '!R$44,$P825*'[2]Beam '!R$45,0)</f>
        <v>0</v>
      </c>
      <c r="S825" s="8">
        <f>IF($D825='[2]Beam '!S$44,$P825*'[2]Beam '!S$45,0)</f>
        <v>0</v>
      </c>
      <c r="T825" s="8">
        <f>IF($D825='[2]Beam '!T$44,$P825*'[2]Beam '!T$45,0)</f>
        <v>0</v>
      </c>
      <c r="U825" s="8">
        <f>IF($D825='[2]Beam '!U$44,$P825*'[2]Beam '!U$45,0)</f>
        <v>0</v>
      </c>
      <c r="V825" s="8">
        <f>IF($D825='[2]Beam '!V$44,$P825*'[2]Beam '!V$45,0)</f>
        <v>64.461816964285731</v>
      </c>
      <c r="W825" s="8">
        <f>IF($D825='[2]Beam '!W$44,$P825*'[2]Beam '!W$45,0)</f>
        <v>0</v>
      </c>
      <c r="X825" s="8">
        <f t="shared" si="154"/>
        <v>64.461816964285731</v>
      </c>
      <c r="Y825" s="8"/>
    </row>
    <row r="826" spans="1:32" s="14" customFormat="1" ht="20.100000000000001" customHeight="1" x14ac:dyDescent="0.3">
      <c r="A826" s="7"/>
      <c r="B826" s="8" t="s">
        <v>2</v>
      </c>
      <c r="C826" s="13" t="s">
        <v>88</v>
      </c>
      <c r="D826" s="8">
        <v>16</v>
      </c>
      <c r="E826" s="8"/>
      <c r="F826" s="8">
        <v>2</v>
      </c>
      <c r="G826" s="9">
        <f>VLOOKUP(D826,'[2]Beam '!$C$20:$H$26,3,0)</f>
        <v>0.625</v>
      </c>
      <c r="H826" s="8"/>
      <c r="I826" s="8"/>
      <c r="J826" s="8"/>
      <c r="K826" s="8"/>
      <c r="L826" s="8"/>
      <c r="M826" s="8"/>
      <c r="N826" s="8"/>
      <c r="O826" s="8">
        <f>1.4+1*(G826)</f>
        <v>2.0249999999999999</v>
      </c>
      <c r="P826" s="8">
        <f t="shared" si="153"/>
        <v>4.05</v>
      </c>
      <c r="Q826" s="8">
        <f>IF($D826='[2]Beam '!Q$44,$P826*'[2]Beam '!Q$45,0)</f>
        <v>0</v>
      </c>
      <c r="R826" s="8">
        <f>IF($D826='[2]Beam '!R$44,$P826*'[2]Beam '!R$45,0)</f>
        <v>0</v>
      </c>
      <c r="S826" s="8">
        <f>IF($D826='[2]Beam '!S$44,$P826*'[2]Beam '!S$45,0)</f>
        <v>0</v>
      </c>
      <c r="T826" s="8">
        <f>IF($D826='[2]Beam '!T$44,$P826*'[2]Beam '!T$45,0)</f>
        <v>6.3948342857142864</v>
      </c>
      <c r="U826" s="8">
        <f>IF($D826='[2]Beam '!U$44,$P826*'[2]Beam '!U$45,0)</f>
        <v>0</v>
      </c>
      <c r="V826" s="8">
        <f>IF($D826='[2]Beam '!V$44,$P826*'[2]Beam '!V$45,0)</f>
        <v>0</v>
      </c>
      <c r="W826" s="8">
        <f>IF($D826='[2]Beam '!W$44,$P826*'[2]Beam '!W$45,0)</f>
        <v>0</v>
      </c>
      <c r="X826" s="8">
        <f t="shared" si="154"/>
        <v>6.3948342857142864</v>
      </c>
      <c r="Y826" s="8"/>
    </row>
    <row r="827" spans="1:32" s="14" customFormat="1" ht="20.100000000000001" customHeight="1" x14ac:dyDescent="0.25">
      <c r="A827" s="7"/>
      <c r="B827" s="8" t="s">
        <v>2</v>
      </c>
      <c r="C827" s="13" t="s">
        <v>13</v>
      </c>
      <c r="D827" s="8">
        <v>10</v>
      </c>
      <c r="E827" s="8">
        <v>0.1</v>
      </c>
      <c r="F827" s="8">
        <f>ROUNDUP((E823/3*2)/E827,0)+1</f>
        <v>25</v>
      </c>
      <c r="G827" s="10"/>
      <c r="H827" s="8"/>
      <c r="I827" s="8"/>
      <c r="J827" s="8"/>
      <c r="K827" s="8"/>
      <c r="L827" s="8"/>
      <c r="M827" s="8"/>
      <c r="N827" s="8"/>
      <c r="O827" s="8">
        <f>(2*((G823-(2*'[2]Beam '!$D$11))+(F823-(2*'[2]Beam '!$D$11)))+(2*10*D827/1000))*D823</f>
        <v>2.8600000000000003</v>
      </c>
      <c r="P827" s="8">
        <f t="shared" si="153"/>
        <v>71.500000000000014</v>
      </c>
      <c r="Q827" s="8">
        <f>IF($D827='[2]Beam '!Q$44,$P827*'[2]Beam '!Q$45,0)</f>
        <v>0</v>
      </c>
      <c r="R827" s="8">
        <f>IF($D827='[2]Beam '!R$44,$P827*'[2]Beam '!R$45,0)</f>
        <v>44.100178571428579</v>
      </c>
      <c r="S827" s="8">
        <f>IF($D827='[2]Beam '!S$44,$P827*'[2]Beam '!S$45,0)</f>
        <v>0</v>
      </c>
      <c r="T827" s="8">
        <f>IF($D827='[2]Beam '!T$44,$P827*'[2]Beam '!T$45,0)</f>
        <v>0</v>
      </c>
      <c r="U827" s="8">
        <f>IF($D827='[2]Beam '!U$44,$P827*'[2]Beam '!U$45,0)</f>
        <v>0</v>
      </c>
      <c r="V827" s="8">
        <f>IF($D827='[2]Beam '!V$44,$P827*'[2]Beam '!V$45,0)</f>
        <v>0</v>
      </c>
      <c r="W827" s="8">
        <f>IF($D827='[2]Beam '!W$44,$P827*'[2]Beam '!W$45,0)</f>
        <v>0</v>
      </c>
      <c r="X827" s="8">
        <f t="shared" si="154"/>
        <v>44.100178571428579</v>
      </c>
      <c r="Y827" s="8"/>
    </row>
    <row r="828" spans="1:32" s="10" customFormat="1" ht="20.100000000000001" customHeight="1" x14ac:dyDescent="0.25">
      <c r="A828" s="14"/>
      <c r="B828" s="8" t="s">
        <v>2</v>
      </c>
      <c r="C828" s="13" t="s">
        <v>14</v>
      </c>
      <c r="D828" s="14">
        <f>D827</f>
        <v>10</v>
      </c>
      <c r="E828" s="14">
        <v>0.125</v>
      </c>
      <c r="F828" s="8">
        <f>ROUNDUP((E823/3)/E828,0)+1</f>
        <v>11</v>
      </c>
      <c r="H828" s="14"/>
      <c r="I828" s="14"/>
      <c r="J828" s="14"/>
      <c r="K828" s="14"/>
      <c r="L828" s="14"/>
      <c r="M828" s="14"/>
      <c r="N828" s="14"/>
      <c r="O828" s="8">
        <f>(2*((G823-(2*'[2]Beam '!$D$11))+(F823-(2*'[2]Beam '!$D$11)))+(2*10*D828/1000))*D823</f>
        <v>2.8600000000000003</v>
      </c>
      <c r="P828" s="8">
        <f t="shared" si="153"/>
        <v>31.460000000000004</v>
      </c>
      <c r="Q828" s="8">
        <f>IF($D828='[2]Beam '!Q$44,$P828*'[2]Beam '!Q$45,0)</f>
        <v>0</v>
      </c>
      <c r="R828" s="8">
        <f>IF($D828='[2]Beam '!R$44,$P828*'[2]Beam '!R$45,0)</f>
        <v>19.404078571428574</v>
      </c>
      <c r="S828" s="8">
        <f>IF($D828='[2]Beam '!S$44,$P828*'[2]Beam '!S$45,0)</f>
        <v>0</v>
      </c>
      <c r="T828" s="8">
        <f>IF($D828='[2]Beam '!T$44,$P828*'[2]Beam '!T$45,0)</f>
        <v>0</v>
      </c>
      <c r="U828" s="8">
        <f>IF($D828='[2]Beam '!U$44,$P828*'[2]Beam '!U$45,0)</f>
        <v>0</v>
      </c>
      <c r="V828" s="8">
        <f>IF($D828='[2]Beam '!V$44,$P828*'[2]Beam '!V$45,0)</f>
        <v>0</v>
      </c>
      <c r="W828" s="8">
        <f>IF($D828='[2]Beam '!W$44,$P828*'[2]Beam '!W$45,0)</f>
        <v>0</v>
      </c>
      <c r="X828" s="8">
        <f t="shared" si="154"/>
        <v>19.404078571428574</v>
      </c>
      <c r="Y828" s="14"/>
      <c r="Z828" s="8"/>
      <c r="AA828" s="8"/>
      <c r="AB828" s="8"/>
      <c r="AC828" s="8"/>
      <c r="AD828" s="8"/>
      <c r="AE828" s="8"/>
    </row>
    <row r="829" spans="1:32" s="10" customFormat="1" ht="21" customHeight="1" x14ac:dyDescent="0.25">
      <c r="A829" s="14"/>
      <c r="B829" s="8" t="s">
        <v>2</v>
      </c>
      <c r="C829" s="13" t="s">
        <v>15</v>
      </c>
      <c r="D829" s="14">
        <f>D827</f>
        <v>10</v>
      </c>
      <c r="E829" s="14">
        <f>+E827</f>
        <v>0.1</v>
      </c>
      <c r="F829" s="8">
        <f>ROUNDUP((E823/3*2)/E829,0)+1</f>
        <v>25</v>
      </c>
      <c r="H829" s="14"/>
      <c r="I829" s="14"/>
      <c r="J829" s="14"/>
      <c r="K829" s="14"/>
      <c r="L829" s="14"/>
      <c r="M829" s="14"/>
      <c r="N829" s="14"/>
      <c r="O829" s="8">
        <f>(2*(((F823-'[2]Beam '!$D$11*2)/(F824-1))+(G823-'[2]Beam '!$D$11*2))+(2*10*D829/1000))*D823</f>
        <v>2.5700000000000003</v>
      </c>
      <c r="P829" s="8">
        <f t="shared" si="153"/>
        <v>64.25</v>
      </c>
      <c r="Q829" s="8">
        <f>IF($D829='[2]Beam '!Q$44,$P829*'[2]Beam '!Q$45,0)</f>
        <v>0</v>
      </c>
      <c r="R829" s="8">
        <f>IF($D829='[2]Beam '!R$44,$P829*'[2]Beam '!R$45,0)</f>
        <v>39.628482142857145</v>
      </c>
      <c r="S829" s="8">
        <f>IF($D829='[2]Beam '!S$44,$P829*'[2]Beam '!S$45,0)</f>
        <v>0</v>
      </c>
      <c r="T829" s="8">
        <f>IF($D829='[2]Beam '!T$44,$P829*'[2]Beam '!T$45,0)</f>
        <v>0</v>
      </c>
      <c r="U829" s="8">
        <f>IF($D829='[2]Beam '!U$44,$P829*'[2]Beam '!U$45,0)</f>
        <v>0</v>
      </c>
      <c r="V829" s="8">
        <f>IF($D829='[2]Beam '!V$44,$P829*'[2]Beam '!V$45,0)</f>
        <v>0</v>
      </c>
      <c r="W829" s="8">
        <f>IF($D829='[2]Beam '!W$44,$P829*'[2]Beam '!W$45,0)</f>
        <v>0</v>
      </c>
      <c r="X829" s="8">
        <f t="shared" si="154"/>
        <v>39.628482142857145</v>
      </c>
      <c r="Y829" s="14"/>
      <c r="Z829" s="8"/>
      <c r="AA829" s="8"/>
      <c r="AB829" s="8"/>
      <c r="AC829" s="8"/>
      <c r="AD829" s="8"/>
      <c r="AE829" s="8"/>
      <c r="AF829" s="8"/>
    </row>
    <row r="830" spans="1:32" s="10" customFormat="1" ht="20.100000000000001" customHeight="1" x14ac:dyDescent="0.25">
      <c r="A830" s="14"/>
      <c r="B830" s="8" t="s">
        <v>2</v>
      </c>
      <c r="C830" s="13" t="s">
        <v>16</v>
      </c>
      <c r="D830" s="14">
        <f>D828</f>
        <v>10</v>
      </c>
      <c r="E830" s="14">
        <f>+E828</f>
        <v>0.125</v>
      </c>
      <c r="F830" s="8">
        <f>ROUNDUP((E823/3)/E830,0)+1</f>
        <v>11</v>
      </c>
      <c r="H830" s="14"/>
      <c r="I830" s="14"/>
      <c r="J830" s="14"/>
      <c r="K830" s="14"/>
      <c r="L830" s="14"/>
      <c r="M830" s="14"/>
      <c r="N830" s="14"/>
      <c r="O830" s="8">
        <f>(2*(((F823-'[2]Beam '!$D$11*2)/(F824-1))+(G823-'[2]Beam '!$D$11*2))+(2*10*D830/1000))*D823</f>
        <v>2.5700000000000003</v>
      </c>
      <c r="P830" s="8">
        <f t="shared" si="153"/>
        <v>28.270000000000003</v>
      </c>
      <c r="Q830" s="8">
        <f>IF($D830='[2]Beam '!Q$44,$P830*'[2]Beam '!Q$45,0)</f>
        <v>0</v>
      </c>
      <c r="R830" s="8">
        <f>IF($D830='[2]Beam '!R$44,$P830*'[2]Beam '!R$45,0)</f>
        <v>17.436532142857143</v>
      </c>
      <c r="S830" s="8">
        <f>IF($D830='[2]Beam '!S$44,$P830*'[2]Beam '!S$45,0)</f>
        <v>0</v>
      </c>
      <c r="T830" s="8">
        <f>IF($D830='[2]Beam '!T$44,$P830*'[2]Beam '!T$45,0)</f>
        <v>0</v>
      </c>
      <c r="U830" s="8">
        <f>IF($D830='[2]Beam '!U$44,$P830*'[2]Beam '!U$45,0)</f>
        <v>0</v>
      </c>
      <c r="V830" s="8">
        <f>IF($D830='[2]Beam '!V$44,$P830*'[2]Beam '!V$45,0)</f>
        <v>0</v>
      </c>
      <c r="W830" s="8">
        <f>IF($D830='[2]Beam '!W$44,$P830*'[2]Beam '!W$45,0)</f>
        <v>0</v>
      </c>
      <c r="X830" s="8">
        <f t="shared" si="154"/>
        <v>17.436532142857143</v>
      </c>
      <c r="Y830" s="14"/>
      <c r="Z830" s="8"/>
      <c r="AA830" s="8"/>
      <c r="AB830" s="8"/>
      <c r="AC830" s="8"/>
      <c r="AD830" s="8"/>
      <c r="AE830" s="8"/>
    </row>
    <row r="831" spans="1:32" s="10" customFormat="1" ht="20.100000000000001" customHeight="1" x14ac:dyDescent="0.25">
      <c r="A831" s="7"/>
      <c r="B831" s="8" t="s">
        <v>2</v>
      </c>
      <c r="C831" s="13" t="s">
        <v>10</v>
      </c>
      <c r="D831" s="8">
        <f>+'[2]Beam '!$D$15</f>
        <v>25</v>
      </c>
      <c r="E831" s="8">
        <f>+'[2]Beam '!$E$15</f>
        <v>1</v>
      </c>
      <c r="F831" s="8">
        <f>ROUNDUP((E823)/E831,0)</f>
        <v>4</v>
      </c>
      <c r="G831" s="9"/>
      <c r="H831" s="9"/>
      <c r="I831" s="8"/>
      <c r="J831" s="8"/>
      <c r="K831" s="8"/>
      <c r="L831" s="8"/>
      <c r="M831" s="8"/>
      <c r="N831" s="8"/>
      <c r="O831" s="8">
        <f>F823-'[2]Beam '!$F$15</f>
        <v>0.28999999999999998</v>
      </c>
      <c r="P831" s="8">
        <f t="shared" si="153"/>
        <v>1.1599999999999999</v>
      </c>
      <c r="Q831" s="8">
        <f>IF($D831='[2]Beam '!Q$44,$P831*'[2]Beam '!Q$45,0)</f>
        <v>0</v>
      </c>
      <c r="R831" s="8">
        <f>IF($D831='[2]Beam '!R$44,$P831*'[2]Beam '!R$45,0)</f>
        <v>0</v>
      </c>
      <c r="S831" s="8">
        <f>IF($D831='[2]Beam '!S$44,$P831*'[2]Beam '!S$45,0)</f>
        <v>0</v>
      </c>
      <c r="T831" s="8">
        <f>IF($D831='[2]Beam '!T$44,$P831*'[2]Beam '!T$45,0)</f>
        <v>0</v>
      </c>
      <c r="U831" s="8">
        <f>IF($D831='[2]Beam '!U$44,$P831*'[2]Beam '!U$45,0)</f>
        <v>0</v>
      </c>
      <c r="V831" s="8">
        <f>IF($D831='[2]Beam '!V$44,$P831*'[2]Beam '!V$45,0)</f>
        <v>4.4716964285714287</v>
      </c>
      <c r="W831" s="8">
        <f>IF($D831='[2]Beam '!W$44,$P831*'[2]Beam '!W$45,0)</f>
        <v>0</v>
      </c>
      <c r="X831" s="8">
        <f t="shared" si="154"/>
        <v>4.4716964285714287</v>
      </c>
      <c r="Y831" s="8"/>
      <c r="Z831" s="8"/>
      <c r="AA831" s="8"/>
      <c r="AB831" s="8"/>
      <c r="AC831" s="8"/>
      <c r="AD831" s="8"/>
      <c r="AE831" s="8"/>
    </row>
    <row r="832" spans="1:32" s="10" customFormat="1" ht="20.100000000000001" customHeight="1" x14ac:dyDescent="0.25">
      <c r="A832" s="8">
        <v>1</v>
      </c>
      <c r="B832" s="8" t="s">
        <v>2</v>
      </c>
      <c r="C832" s="11" t="s">
        <v>113</v>
      </c>
      <c r="D832" s="11">
        <v>1</v>
      </c>
      <c r="E832" s="11">
        <v>4.9770000000000003</v>
      </c>
      <c r="F832" s="11">
        <v>0.35</v>
      </c>
      <c r="G832" s="11">
        <v>1.1000000000000001</v>
      </c>
      <c r="H832" s="8">
        <f>G832-0.2</f>
        <v>0.90000000000000013</v>
      </c>
      <c r="I832" s="8">
        <f>E832*F832*G832*D832</f>
        <v>1.9161450000000002</v>
      </c>
      <c r="J832" s="8">
        <f>(2*(E832)*H832*D832)+(E832*F832)</f>
        <v>10.700550000000003</v>
      </c>
      <c r="K832" s="12">
        <f>IF(E832=0.3,J832,0)</f>
        <v>0</v>
      </c>
      <c r="L832" s="12">
        <f>IF(AND(E832&gt;0.3,E832&lt;=0.75),J832,0)</f>
        <v>0</v>
      </c>
      <c r="M832" s="12">
        <f>IF(AND(E832&gt;0.75,E832&lt;=1.2),J832,0)</f>
        <v>0</v>
      </c>
      <c r="N832" s="12">
        <f>IF(E832&gt;1.2,J832,0)</f>
        <v>10.700550000000003</v>
      </c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>
        <f>SUM(X833:X835)/I832</f>
        <v>129.26653934629908</v>
      </c>
      <c r="Z832" s="8"/>
      <c r="AA832" s="8"/>
      <c r="AB832" s="8"/>
      <c r="AC832" s="8"/>
      <c r="AD832" s="8"/>
      <c r="AE832" s="8"/>
    </row>
    <row r="833" spans="1:32" s="14" customFormat="1" ht="20.100000000000001" customHeight="1" x14ac:dyDescent="0.3">
      <c r="A833" s="7"/>
      <c r="B833" s="8" t="s">
        <v>2</v>
      </c>
      <c r="C833" s="13" t="s">
        <v>4</v>
      </c>
      <c r="D833" s="8">
        <v>25</v>
      </c>
      <c r="E833" s="8"/>
      <c r="F833" s="8">
        <v>3</v>
      </c>
      <c r="G833" s="9">
        <f>VLOOKUP(D833,'[2]Beam '!$C$20:$H$26,3,0)</f>
        <v>1</v>
      </c>
      <c r="H833" s="9"/>
      <c r="I833" s="8"/>
      <c r="J833" s="8"/>
      <c r="K833" s="8"/>
      <c r="L833" s="8"/>
      <c r="M833" s="8"/>
      <c r="N833" s="8"/>
      <c r="O833" s="8">
        <f>(E832+1*(G833+(12*D833/1000))+1*(2/2)*D832)</f>
        <v>7.2770000000000001</v>
      </c>
      <c r="P833" s="8">
        <f t="shared" ref="P833:P838" si="155">O833*F833</f>
        <v>21.831</v>
      </c>
      <c r="Q833" s="8">
        <f>IF($D833='[2]Beam '!Q$44,$P833*'[2]Beam '!Q$45,0)</f>
        <v>0</v>
      </c>
      <c r="R833" s="8">
        <f>IF($D833='[2]Beam '!R$44,$P833*'[2]Beam '!R$45,0)</f>
        <v>0</v>
      </c>
      <c r="S833" s="8">
        <f>IF($D833='[2]Beam '!S$44,$P833*'[2]Beam '!S$45,0)</f>
        <v>0</v>
      </c>
      <c r="T833" s="8">
        <f>IF($D833='[2]Beam '!T$44,$P833*'[2]Beam '!T$45,0)</f>
        <v>0</v>
      </c>
      <c r="U833" s="8">
        <f>IF($D833='[2]Beam '!U$44,$P833*'[2]Beam '!U$45,0)</f>
        <v>0</v>
      </c>
      <c r="V833" s="8">
        <f>IF($D833='[2]Beam '!V$44,$P833*'[2]Beam '!V$45,0)</f>
        <v>84.156555803571436</v>
      </c>
      <c r="W833" s="8">
        <f>IF($D833='[2]Beam '!W$44,$P833*'[2]Beam '!W$45,0)</f>
        <v>0</v>
      </c>
      <c r="X833" s="8">
        <f t="shared" ref="X833:X838" si="156">SUM(Q833:W833)</f>
        <v>84.156555803571436</v>
      </c>
      <c r="Y833" s="8"/>
    </row>
    <row r="834" spans="1:32" s="14" customFormat="1" ht="20.100000000000001" customHeight="1" x14ac:dyDescent="0.3">
      <c r="A834" s="7"/>
      <c r="B834" s="8" t="s">
        <v>2</v>
      </c>
      <c r="C834" s="13" t="s">
        <v>6</v>
      </c>
      <c r="D834" s="8">
        <v>25</v>
      </c>
      <c r="E834" s="8"/>
      <c r="F834" s="8">
        <v>3</v>
      </c>
      <c r="G834" s="9">
        <f>VLOOKUP(D834,'[2]Beam '!$C$20:$H$26,3,0)</f>
        <v>1</v>
      </c>
      <c r="H834" s="8"/>
      <c r="I834" s="8"/>
      <c r="J834" s="8"/>
      <c r="K834" s="8"/>
      <c r="L834" s="8"/>
      <c r="M834" s="8"/>
      <c r="N834" s="8"/>
      <c r="O834" s="8">
        <f>(E832+1*(G834+(12*D834/1000))+1*(2/2)*D832)</f>
        <v>7.2770000000000001</v>
      </c>
      <c r="P834" s="8">
        <f t="shared" si="155"/>
        <v>21.831</v>
      </c>
      <c r="Q834" s="8">
        <f>IF($D834='[2]Beam '!Q$44,$P834*'[2]Beam '!Q$45,0)</f>
        <v>0</v>
      </c>
      <c r="R834" s="8">
        <f>IF($D834='[2]Beam '!R$44,$P834*'[2]Beam '!R$45,0)</f>
        <v>0</v>
      </c>
      <c r="S834" s="8">
        <f>IF($D834='[2]Beam '!S$44,$P834*'[2]Beam '!S$45,0)</f>
        <v>0</v>
      </c>
      <c r="T834" s="8">
        <f>IF($D834='[2]Beam '!T$44,$P834*'[2]Beam '!T$45,0)</f>
        <v>0</v>
      </c>
      <c r="U834" s="8">
        <f>IF($D834='[2]Beam '!U$44,$P834*'[2]Beam '!U$45,0)</f>
        <v>0</v>
      </c>
      <c r="V834" s="8">
        <f>IF($D834='[2]Beam '!V$44,$P834*'[2]Beam '!V$45,0)</f>
        <v>84.156555803571436</v>
      </c>
      <c r="W834" s="8">
        <f>IF($D834='[2]Beam '!W$44,$P834*'[2]Beam '!W$45,0)</f>
        <v>0</v>
      </c>
      <c r="X834" s="8">
        <f t="shared" si="156"/>
        <v>84.156555803571436</v>
      </c>
      <c r="Y834" s="8"/>
    </row>
    <row r="835" spans="1:32" s="14" customFormat="1" ht="20.100000000000001" customHeight="1" x14ac:dyDescent="0.25">
      <c r="A835" s="7"/>
      <c r="B835" s="8" t="s">
        <v>2</v>
      </c>
      <c r="C835" s="13" t="s">
        <v>13</v>
      </c>
      <c r="D835" s="8">
        <v>10</v>
      </c>
      <c r="E835" s="8">
        <v>0.1</v>
      </c>
      <c r="F835" s="8">
        <f>ROUND(IF(E832/3&gt;(2*G832),(E832/3)/E835,(2*G832)/E835),0)*2+1</f>
        <v>45</v>
      </c>
      <c r="G835" s="10"/>
      <c r="H835" s="8"/>
      <c r="I835" s="8"/>
      <c r="J835" s="8"/>
      <c r="K835" s="8"/>
      <c r="L835" s="8"/>
      <c r="M835" s="8"/>
      <c r="N835" s="8"/>
      <c r="O835" s="8">
        <f>(2*((G832-(2*'[2]Beam '!$D$11))+(F832-(2*'[2]Beam '!$D$11)))+(2*10*D835/1000))*D832</f>
        <v>2.8600000000000003</v>
      </c>
      <c r="P835" s="8">
        <f t="shared" si="155"/>
        <v>128.70000000000002</v>
      </c>
      <c r="Q835" s="8">
        <f>IF($D835='[2]Beam '!Q$44,$P835*'[2]Beam '!Q$45,0)</f>
        <v>0</v>
      </c>
      <c r="R835" s="8">
        <f>IF($D835='[2]Beam '!R$44,$P835*'[2]Beam '!R$45,0)</f>
        <v>79.380321428571435</v>
      </c>
      <c r="S835" s="8">
        <f>IF($D835='[2]Beam '!S$44,$P835*'[2]Beam '!S$45,0)</f>
        <v>0</v>
      </c>
      <c r="T835" s="8">
        <f>IF($D835='[2]Beam '!T$44,$P835*'[2]Beam '!T$45,0)</f>
        <v>0</v>
      </c>
      <c r="U835" s="8">
        <f>IF($D835='[2]Beam '!U$44,$P835*'[2]Beam '!U$45,0)</f>
        <v>0</v>
      </c>
      <c r="V835" s="8">
        <f>IF($D835='[2]Beam '!V$44,$P835*'[2]Beam '!V$45,0)</f>
        <v>0</v>
      </c>
      <c r="W835" s="8">
        <f>IF($D835='[2]Beam '!W$44,$P835*'[2]Beam '!W$45,0)</f>
        <v>0</v>
      </c>
      <c r="X835" s="8">
        <f t="shared" si="156"/>
        <v>79.380321428571435</v>
      </c>
      <c r="Y835" s="8"/>
    </row>
    <row r="836" spans="1:32" s="10" customFormat="1" ht="21" customHeight="1" x14ac:dyDescent="0.25">
      <c r="A836" s="14"/>
      <c r="B836" s="8" t="s">
        <v>2</v>
      </c>
      <c r="C836" s="13" t="s">
        <v>14</v>
      </c>
      <c r="D836" s="14">
        <f>D835</f>
        <v>10</v>
      </c>
      <c r="E836" s="14">
        <v>0.15</v>
      </c>
      <c r="F836" s="14">
        <f>ROUND((E832-(IF(E832/3&gt;2*G832,E832/3*2,G832*2*2)))/E836,0)</f>
        <v>4</v>
      </c>
      <c r="H836" s="14"/>
      <c r="I836" s="14"/>
      <c r="J836" s="14"/>
      <c r="K836" s="14"/>
      <c r="L836" s="14"/>
      <c r="M836" s="14"/>
      <c r="N836" s="14"/>
      <c r="O836" s="8">
        <f>(2*((G832-(2*'[2]Beam '!$D$11))+(F832-(2*'[2]Beam '!$D$11)))+(2*10*D836/1000))*D832</f>
        <v>2.8600000000000003</v>
      </c>
      <c r="P836" s="8">
        <f t="shared" si="155"/>
        <v>11.440000000000001</v>
      </c>
      <c r="Q836" s="8">
        <f>IF($D836='[2]Beam '!Q$44,$P836*'[2]Beam '!Q$45,0)</f>
        <v>0</v>
      </c>
      <c r="R836" s="8">
        <f>IF($D836='[2]Beam '!R$44,$P836*'[2]Beam '!R$45,0)</f>
        <v>7.0560285714285724</v>
      </c>
      <c r="S836" s="8">
        <f>IF($D836='[2]Beam '!S$44,$P836*'[2]Beam '!S$45,0)</f>
        <v>0</v>
      </c>
      <c r="T836" s="8">
        <f>IF($D836='[2]Beam '!T$44,$P836*'[2]Beam '!T$45,0)</f>
        <v>0</v>
      </c>
      <c r="U836" s="8">
        <f>IF($D836='[2]Beam '!U$44,$P836*'[2]Beam '!U$45,0)</f>
        <v>0</v>
      </c>
      <c r="V836" s="8">
        <f>IF($D836='[2]Beam '!V$44,$P836*'[2]Beam '!V$45,0)</f>
        <v>0</v>
      </c>
      <c r="W836" s="8">
        <f>IF($D836='[2]Beam '!W$44,$P836*'[2]Beam '!W$45,0)</f>
        <v>0</v>
      </c>
      <c r="X836" s="8">
        <f t="shared" si="156"/>
        <v>7.0560285714285724</v>
      </c>
      <c r="Y836" s="14"/>
      <c r="Z836" s="8"/>
      <c r="AA836" s="8"/>
      <c r="AB836" s="8"/>
      <c r="AC836" s="8"/>
      <c r="AD836" s="8"/>
      <c r="AE836" s="8"/>
      <c r="AF836" s="8"/>
    </row>
    <row r="837" spans="1:32" s="10" customFormat="1" ht="20.100000000000001" customHeight="1" x14ac:dyDescent="0.25">
      <c r="A837" s="14"/>
      <c r="B837" s="8" t="s">
        <v>2</v>
      </c>
      <c r="C837" s="13" t="s">
        <v>15</v>
      </c>
      <c r="D837" s="14">
        <f>D835</f>
        <v>10</v>
      </c>
      <c r="E837" s="14">
        <f>+E835</f>
        <v>0.1</v>
      </c>
      <c r="F837" s="8">
        <f>ROUND(IF(E832/3&gt;(2*G832),(E832/3)/E837,(2*G832)/E837),0)*2+1</f>
        <v>45</v>
      </c>
      <c r="H837" s="14"/>
      <c r="I837" s="14"/>
      <c r="J837" s="14"/>
      <c r="K837" s="14"/>
      <c r="L837" s="14"/>
      <c r="M837" s="14"/>
      <c r="N837" s="14"/>
      <c r="O837" s="8">
        <f>(2*(((F832-'[2]Beam '!$D$11*2)/(F833-1))+(G832-'[2]Beam '!$D$11*2))+(2*10*D837/1000))*D832</f>
        <v>2.5700000000000003</v>
      </c>
      <c r="P837" s="8">
        <f t="shared" si="155"/>
        <v>115.65</v>
      </c>
      <c r="Q837" s="8">
        <f>IF($D837='[2]Beam '!Q$44,$P837*'[2]Beam '!Q$45,0)</f>
        <v>0</v>
      </c>
      <c r="R837" s="8">
        <f>IF($D837='[2]Beam '!R$44,$P837*'[2]Beam '!R$45,0)</f>
        <v>71.331267857142862</v>
      </c>
      <c r="S837" s="8">
        <f>IF($D837='[2]Beam '!S$44,$P837*'[2]Beam '!S$45,0)</f>
        <v>0</v>
      </c>
      <c r="T837" s="8">
        <f>IF($D837='[2]Beam '!T$44,$P837*'[2]Beam '!T$45,0)</f>
        <v>0</v>
      </c>
      <c r="U837" s="8">
        <f>IF($D837='[2]Beam '!U$44,$P837*'[2]Beam '!U$45,0)</f>
        <v>0</v>
      </c>
      <c r="V837" s="8">
        <f>IF($D837='[2]Beam '!V$44,$P837*'[2]Beam '!V$45,0)</f>
        <v>0</v>
      </c>
      <c r="W837" s="8">
        <f>IF($D837='[2]Beam '!W$44,$P837*'[2]Beam '!W$45,0)</f>
        <v>0</v>
      </c>
      <c r="X837" s="8">
        <f t="shared" si="156"/>
        <v>71.331267857142862</v>
      </c>
      <c r="Y837" s="14"/>
      <c r="Z837" s="8"/>
      <c r="AA837" s="8"/>
      <c r="AB837" s="8"/>
      <c r="AC837" s="8"/>
      <c r="AD837" s="8"/>
      <c r="AE837" s="8"/>
    </row>
    <row r="838" spans="1:32" s="10" customFormat="1" ht="20.100000000000001" customHeight="1" x14ac:dyDescent="0.25">
      <c r="A838" s="14"/>
      <c r="B838" s="8" t="s">
        <v>2</v>
      </c>
      <c r="C838" s="13" t="s">
        <v>16</v>
      </c>
      <c r="D838" s="14">
        <f>D836</f>
        <v>10</v>
      </c>
      <c r="E838" s="14">
        <f>+E836</f>
        <v>0.15</v>
      </c>
      <c r="F838" s="14">
        <f>ROUND((E832-(IF(E832/3&gt;2*G832,E832/3*2,G832*2*2)))/E838,0)</f>
        <v>4</v>
      </c>
      <c r="H838" s="14"/>
      <c r="I838" s="14"/>
      <c r="J838" s="14"/>
      <c r="K838" s="14"/>
      <c r="L838" s="14"/>
      <c r="M838" s="14"/>
      <c r="N838" s="14"/>
      <c r="O838" s="8">
        <f>(2*(((F832-'[2]Beam '!$D$11*2)/(F833-1))+(G832-'[2]Beam '!$D$11*2))+(2*10*D838/1000))*D832</f>
        <v>2.5700000000000003</v>
      </c>
      <c r="P838" s="8">
        <f t="shared" si="155"/>
        <v>10.280000000000001</v>
      </c>
      <c r="Q838" s="8">
        <f>IF($D838='[2]Beam '!Q$44,$P838*'[2]Beam '!Q$45,0)</f>
        <v>0</v>
      </c>
      <c r="R838" s="8">
        <f>IF($D838='[2]Beam '!R$44,$P838*'[2]Beam '!R$45,0)</f>
        <v>6.3405571428571434</v>
      </c>
      <c r="S838" s="8">
        <f>IF($D838='[2]Beam '!S$44,$P838*'[2]Beam '!S$45,0)</f>
        <v>0</v>
      </c>
      <c r="T838" s="8">
        <f>IF($D838='[2]Beam '!T$44,$P838*'[2]Beam '!T$45,0)</f>
        <v>0</v>
      </c>
      <c r="U838" s="8">
        <f>IF($D838='[2]Beam '!U$44,$P838*'[2]Beam '!U$45,0)</f>
        <v>0</v>
      </c>
      <c r="V838" s="8">
        <f>IF($D838='[2]Beam '!V$44,$P838*'[2]Beam '!V$45,0)</f>
        <v>0</v>
      </c>
      <c r="W838" s="8">
        <f>IF($D838='[2]Beam '!W$44,$P838*'[2]Beam '!W$45,0)</f>
        <v>0</v>
      </c>
      <c r="X838" s="8">
        <f t="shared" si="156"/>
        <v>6.3405571428571434</v>
      </c>
      <c r="Y838" s="14"/>
      <c r="Z838" s="8"/>
      <c r="AA838" s="8"/>
      <c r="AB838" s="8"/>
      <c r="AC838" s="8"/>
      <c r="AD838" s="8"/>
      <c r="AE838" s="8"/>
    </row>
    <row r="839" spans="1:32" s="10" customFormat="1" ht="20.100000000000001" customHeight="1" x14ac:dyDescent="0.25">
      <c r="A839" s="8">
        <v>1</v>
      </c>
      <c r="B839" s="8" t="s">
        <v>2</v>
      </c>
      <c r="C839" s="11" t="s">
        <v>114</v>
      </c>
      <c r="D839" s="11">
        <v>1</v>
      </c>
      <c r="E839" s="11">
        <v>3.9239999999999999</v>
      </c>
      <c r="F839" s="11">
        <v>0.35</v>
      </c>
      <c r="G839" s="11">
        <v>1.1000000000000001</v>
      </c>
      <c r="H839" s="8">
        <f>G839-0.2</f>
        <v>0.90000000000000013</v>
      </c>
      <c r="I839" s="8">
        <f>E839*F839*G839*D839</f>
        <v>1.51074</v>
      </c>
      <c r="J839" s="8">
        <f>(2*(E839)*H839*D839)+(E839*F839)</f>
        <v>8.4366000000000003</v>
      </c>
      <c r="K839" s="12">
        <f>IF(E839=0.3,J839,0)</f>
        <v>0</v>
      </c>
      <c r="L839" s="12">
        <f>IF(AND(E839&gt;0.3,E839&lt;=0.75),J839,0)</f>
        <v>0</v>
      </c>
      <c r="M839" s="12">
        <f>IF(AND(E839&gt;0.75,E839&lt;=1.2),J839,0)</f>
        <v>0</v>
      </c>
      <c r="N839" s="12">
        <f>IF(E839&gt;1.2,J839,0)</f>
        <v>8.4366000000000003</v>
      </c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>
        <f>SUM(X840:X842)/I839</f>
        <v>123.39062077430361</v>
      </c>
      <c r="Z839" s="8"/>
      <c r="AA839" s="8"/>
      <c r="AB839" s="8"/>
      <c r="AC839" s="8"/>
      <c r="AD839" s="8"/>
      <c r="AE839" s="8"/>
    </row>
    <row r="840" spans="1:32" s="14" customFormat="1" ht="20.100000000000001" customHeight="1" x14ac:dyDescent="0.3">
      <c r="A840" s="7"/>
      <c r="B840" s="8" t="s">
        <v>2</v>
      </c>
      <c r="C840" s="13" t="s">
        <v>4</v>
      </c>
      <c r="D840" s="8">
        <v>25</v>
      </c>
      <c r="E840" s="8"/>
      <c r="F840" s="8">
        <v>3</v>
      </c>
      <c r="G840" s="9">
        <f>VLOOKUP(D840,'[2]Beam '!$C$20:$H$26,3,0)</f>
        <v>1</v>
      </c>
      <c r="H840" s="9"/>
      <c r="I840" s="8"/>
      <c r="J840" s="8"/>
      <c r="K840" s="8"/>
      <c r="L840" s="8"/>
      <c r="M840" s="8"/>
      <c r="N840" s="8"/>
      <c r="O840" s="8">
        <f>(E839+2*(2/2)*D839)</f>
        <v>5.9239999999999995</v>
      </c>
      <c r="P840" s="8">
        <f t="shared" ref="P840:P845" si="157">O840*F840</f>
        <v>17.771999999999998</v>
      </c>
      <c r="Q840" s="8">
        <f>IF($D840='[2]Beam '!Q$44,$P840*'[2]Beam '!Q$45,0)</f>
        <v>0</v>
      </c>
      <c r="R840" s="8">
        <f>IF($D840='[2]Beam '!R$44,$P840*'[2]Beam '!R$45,0)</f>
        <v>0</v>
      </c>
      <c r="S840" s="8">
        <f>IF($D840='[2]Beam '!S$44,$P840*'[2]Beam '!S$45,0)</f>
        <v>0</v>
      </c>
      <c r="T840" s="8">
        <f>IF($D840='[2]Beam '!T$44,$P840*'[2]Beam '!T$45,0)</f>
        <v>0</v>
      </c>
      <c r="U840" s="8">
        <f>IF($D840='[2]Beam '!U$44,$P840*'[2]Beam '!U$45,0)</f>
        <v>0</v>
      </c>
      <c r="V840" s="8">
        <f>IF($D840='[2]Beam '!V$44,$P840*'[2]Beam '!V$45,0)</f>
        <v>68.50947321428572</v>
      </c>
      <c r="W840" s="8">
        <f>IF($D840='[2]Beam '!W$44,$P840*'[2]Beam '!W$45,0)</f>
        <v>0</v>
      </c>
      <c r="X840" s="8">
        <f t="shared" ref="X840:X845" si="158">SUM(Q840:W840)</f>
        <v>68.50947321428572</v>
      </c>
      <c r="Y840" s="8"/>
    </row>
    <row r="841" spans="1:32" s="14" customFormat="1" ht="20.100000000000001" customHeight="1" x14ac:dyDescent="0.3">
      <c r="A841" s="7"/>
      <c r="B841" s="8" t="s">
        <v>2</v>
      </c>
      <c r="C841" s="13" t="s">
        <v>6</v>
      </c>
      <c r="D841" s="8">
        <v>25</v>
      </c>
      <c r="E841" s="8"/>
      <c r="F841" s="8">
        <v>3</v>
      </c>
      <c r="G841" s="9">
        <f>VLOOKUP(D841,'[2]Beam '!$C$20:$H$26,3,0)</f>
        <v>1</v>
      </c>
      <c r="H841" s="8"/>
      <c r="I841" s="8"/>
      <c r="J841" s="8"/>
      <c r="K841" s="8"/>
      <c r="L841" s="8"/>
      <c r="M841" s="8"/>
      <c r="N841" s="8"/>
      <c r="O841" s="8">
        <f>(E839+2*(2/2)*D839)</f>
        <v>5.9239999999999995</v>
      </c>
      <c r="P841" s="8">
        <f t="shared" si="157"/>
        <v>17.771999999999998</v>
      </c>
      <c r="Q841" s="8">
        <f>IF($D841='[2]Beam '!Q$44,$P841*'[2]Beam '!Q$45,0)</f>
        <v>0</v>
      </c>
      <c r="R841" s="8">
        <f>IF($D841='[2]Beam '!R$44,$P841*'[2]Beam '!R$45,0)</f>
        <v>0</v>
      </c>
      <c r="S841" s="8">
        <f>IF($D841='[2]Beam '!S$44,$P841*'[2]Beam '!S$45,0)</f>
        <v>0</v>
      </c>
      <c r="T841" s="8">
        <f>IF($D841='[2]Beam '!T$44,$P841*'[2]Beam '!T$45,0)</f>
        <v>0</v>
      </c>
      <c r="U841" s="8">
        <f>IF($D841='[2]Beam '!U$44,$P841*'[2]Beam '!U$45,0)</f>
        <v>0</v>
      </c>
      <c r="V841" s="8">
        <f>IF($D841='[2]Beam '!V$44,$P841*'[2]Beam '!V$45,0)</f>
        <v>68.50947321428572</v>
      </c>
      <c r="W841" s="8">
        <f>IF($D841='[2]Beam '!W$44,$P841*'[2]Beam '!W$45,0)</f>
        <v>0</v>
      </c>
      <c r="X841" s="8">
        <f t="shared" si="158"/>
        <v>68.50947321428572</v>
      </c>
      <c r="Y841" s="8"/>
    </row>
    <row r="842" spans="1:32" s="14" customFormat="1" ht="20.100000000000001" customHeight="1" x14ac:dyDescent="0.25">
      <c r="A842" s="7"/>
      <c r="B842" s="8" t="s">
        <v>2</v>
      </c>
      <c r="C842" s="13" t="s">
        <v>13</v>
      </c>
      <c r="D842" s="8">
        <v>10</v>
      </c>
      <c r="E842" s="8">
        <v>0.1</v>
      </c>
      <c r="F842" s="8">
        <f>ROUNDUP((E839/3*2)/E842,0)+1</f>
        <v>28</v>
      </c>
      <c r="G842" s="10"/>
      <c r="H842" s="8"/>
      <c r="I842" s="8"/>
      <c r="J842" s="8"/>
      <c r="K842" s="8"/>
      <c r="L842" s="8"/>
      <c r="M842" s="8"/>
      <c r="N842" s="8"/>
      <c r="O842" s="8">
        <f>(2*((G839-(2*'[2]Beam '!$D$11))+(F839-(2*'[2]Beam '!$D$11)))+(2*10*D842/1000))*D839</f>
        <v>2.8600000000000003</v>
      </c>
      <c r="P842" s="8">
        <f t="shared" si="157"/>
        <v>80.080000000000013</v>
      </c>
      <c r="Q842" s="8">
        <f>IF($D842='[2]Beam '!Q$44,$P842*'[2]Beam '!Q$45,0)</f>
        <v>0</v>
      </c>
      <c r="R842" s="8">
        <f>IF($D842='[2]Beam '!R$44,$P842*'[2]Beam '!R$45,0)</f>
        <v>49.39220000000001</v>
      </c>
      <c r="S842" s="8">
        <f>IF($D842='[2]Beam '!S$44,$P842*'[2]Beam '!S$45,0)</f>
        <v>0</v>
      </c>
      <c r="T842" s="8">
        <f>IF($D842='[2]Beam '!T$44,$P842*'[2]Beam '!T$45,0)</f>
        <v>0</v>
      </c>
      <c r="U842" s="8">
        <f>IF($D842='[2]Beam '!U$44,$P842*'[2]Beam '!U$45,0)</f>
        <v>0</v>
      </c>
      <c r="V842" s="8">
        <f>IF($D842='[2]Beam '!V$44,$P842*'[2]Beam '!V$45,0)</f>
        <v>0</v>
      </c>
      <c r="W842" s="8">
        <f>IF($D842='[2]Beam '!W$44,$P842*'[2]Beam '!W$45,0)</f>
        <v>0</v>
      </c>
      <c r="X842" s="8">
        <f t="shared" si="158"/>
        <v>49.39220000000001</v>
      </c>
      <c r="Y842" s="8"/>
    </row>
    <row r="843" spans="1:32" s="10" customFormat="1" ht="21" customHeight="1" x14ac:dyDescent="0.25">
      <c r="A843" s="14"/>
      <c r="B843" s="8" t="s">
        <v>2</v>
      </c>
      <c r="C843" s="13" t="s">
        <v>14</v>
      </c>
      <c r="D843" s="14">
        <f>D842</f>
        <v>10</v>
      </c>
      <c r="E843" s="14">
        <v>0.125</v>
      </c>
      <c r="F843" s="8">
        <f>ROUNDUP((E839/3)/E843,0)+1</f>
        <v>12</v>
      </c>
      <c r="H843" s="14"/>
      <c r="I843" s="14"/>
      <c r="J843" s="14"/>
      <c r="K843" s="14"/>
      <c r="L843" s="14"/>
      <c r="M843" s="14"/>
      <c r="N843" s="14"/>
      <c r="O843" s="8">
        <f>(2*((G839-(2*'[2]Beam '!$D$11))+(F839-(2*'[2]Beam '!$D$11)))+(2*10*D843/1000))*D839</f>
        <v>2.8600000000000003</v>
      </c>
      <c r="P843" s="8">
        <f t="shared" si="157"/>
        <v>34.320000000000007</v>
      </c>
      <c r="Q843" s="8">
        <f>IF($D843='[2]Beam '!Q$44,$P843*'[2]Beam '!Q$45,0)</f>
        <v>0</v>
      </c>
      <c r="R843" s="8">
        <f>IF($D843='[2]Beam '!R$44,$P843*'[2]Beam '!R$45,0)</f>
        <v>21.16808571428572</v>
      </c>
      <c r="S843" s="8">
        <f>IF($D843='[2]Beam '!S$44,$P843*'[2]Beam '!S$45,0)</f>
        <v>0</v>
      </c>
      <c r="T843" s="8">
        <f>IF($D843='[2]Beam '!T$44,$P843*'[2]Beam '!T$45,0)</f>
        <v>0</v>
      </c>
      <c r="U843" s="8">
        <f>IF($D843='[2]Beam '!U$44,$P843*'[2]Beam '!U$45,0)</f>
        <v>0</v>
      </c>
      <c r="V843" s="8">
        <f>IF($D843='[2]Beam '!V$44,$P843*'[2]Beam '!V$45,0)</f>
        <v>0</v>
      </c>
      <c r="W843" s="8">
        <f>IF($D843='[2]Beam '!W$44,$P843*'[2]Beam '!W$45,0)</f>
        <v>0</v>
      </c>
      <c r="X843" s="8">
        <f t="shared" si="158"/>
        <v>21.16808571428572</v>
      </c>
      <c r="Y843" s="14"/>
      <c r="Z843" s="8"/>
      <c r="AA843" s="8"/>
      <c r="AB843" s="8"/>
      <c r="AC843" s="8"/>
      <c r="AD843" s="8"/>
      <c r="AE843" s="8"/>
      <c r="AF843" s="8"/>
    </row>
    <row r="844" spans="1:32" s="10" customFormat="1" ht="20.100000000000001" customHeight="1" x14ac:dyDescent="0.25">
      <c r="A844" s="14"/>
      <c r="B844" s="8" t="s">
        <v>2</v>
      </c>
      <c r="C844" s="13" t="s">
        <v>15</v>
      </c>
      <c r="D844" s="14">
        <f>D842</f>
        <v>10</v>
      </c>
      <c r="E844" s="14">
        <f>+E842</f>
        <v>0.1</v>
      </c>
      <c r="F844" s="8">
        <f>ROUNDUP((E839/3*2)/E844,0)+1</f>
        <v>28</v>
      </c>
      <c r="H844" s="14"/>
      <c r="I844" s="14"/>
      <c r="J844" s="14"/>
      <c r="K844" s="14"/>
      <c r="L844" s="14"/>
      <c r="M844" s="14"/>
      <c r="N844" s="14"/>
      <c r="O844" s="8">
        <f>(2*(((F839-'[2]Beam '!$D$11*2)/(F840-1))+(G839-'[2]Beam '!$D$11*2))+(2*10*D844/1000))*D839</f>
        <v>2.5700000000000003</v>
      </c>
      <c r="P844" s="8">
        <f t="shared" si="157"/>
        <v>71.960000000000008</v>
      </c>
      <c r="Q844" s="8">
        <f>IF($D844='[2]Beam '!Q$44,$P844*'[2]Beam '!Q$45,0)</f>
        <v>0</v>
      </c>
      <c r="R844" s="8">
        <f>IF($D844='[2]Beam '!R$44,$P844*'[2]Beam '!R$45,0)</f>
        <v>44.383900000000004</v>
      </c>
      <c r="S844" s="8">
        <f>IF($D844='[2]Beam '!S$44,$P844*'[2]Beam '!S$45,0)</f>
        <v>0</v>
      </c>
      <c r="T844" s="8">
        <f>IF($D844='[2]Beam '!T$44,$P844*'[2]Beam '!T$45,0)</f>
        <v>0</v>
      </c>
      <c r="U844" s="8">
        <f>IF($D844='[2]Beam '!U$44,$P844*'[2]Beam '!U$45,0)</f>
        <v>0</v>
      </c>
      <c r="V844" s="8">
        <f>IF($D844='[2]Beam '!V$44,$P844*'[2]Beam '!V$45,0)</f>
        <v>0</v>
      </c>
      <c r="W844" s="8">
        <f>IF($D844='[2]Beam '!W$44,$P844*'[2]Beam '!W$45,0)</f>
        <v>0</v>
      </c>
      <c r="X844" s="8">
        <f t="shared" si="158"/>
        <v>44.383900000000004</v>
      </c>
      <c r="Y844" s="14"/>
      <c r="Z844" s="8"/>
      <c r="AA844" s="8"/>
      <c r="AB844" s="8"/>
      <c r="AC844" s="8"/>
      <c r="AD844" s="8"/>
      <c r="AE844" s="8"/>
    </row>
    <row r="845" spans="1:32" s="10" customFormat="1" ht="20.100000000000001" customHeight="1" x14ac:dyDescent="0.25">
      <c r="A845" s="14"/>
      <c r="B845" s="8" t="s">
        <v>2</v>
      </c>
      <c r="C845" s="13" t="s">
        <v>16</v>
      </c>
      <c r="D845" s="14">
        <f>D843</f>
        <v>10</v>
      </c>
      <c r="E845" s="14">
        <f>+E843</f>
        <v>0.125</v>
      </c>
      <c r="F845" s="8">
        <f>ROUNDUP((E839/3)/E845,0)+1</f>
        <v>12</v>
      </c>
      <c r="H845" s="14"/>
      <c r="I845" s="14"/>
      <c r="J845" s="14"/>
      <c r="K845" s="14"/>
      <c r="L845" s="14"/>
      <c r="M845" s="14"/>
      <c r="N845" s="14"/>
      <c r="O845" s="8">
        <f>(2*(((F839-'[2]Beam '!$D$11*2)/(F840-1))+(G839-'[2]Beam '!$D$11*2))+(2*10*D845/1000))*D839</f>
        <v>2.5700000000000003</v>
      </c>
      <c r="P845" s="8">
        <f t="shared" si="157"/>
        <v>30.840000000000003</v>
      </c>
      <c r="Q845" s="8">
        <f>IF($D845='[2]Beam '!Q$44,$P845*'[2]Beam '!Q$45,0)</f>
        <v>0</v>
      </c>
      <c r="R845" s="8">
        <f>IF($D845='[2]Beam '!R$44,$P845*'[2]Beam '!R$45,0)</f>
        <v>19.02167142857143</v>
      </c>
      <c r="S845" s="8">
        <f>IF($D845='[2]Beam '!S$44,$P845*'[2]Beam '!S$45,0)</f>
        <v>0</v>
      </c>
      <c r="T845" s="8">
        <f>IF($D845='[2]Beam '!T$44,$P845*'[2]Beam '!T$45,0)</f>
        <v>0</v>
      </c>
      <c r="U845" s="8">
        <f>IF($D845='[2]Beam '!U$44,$P845*'[2]Beam '!U$45,0)</f>
        <v>0</v>
      </c>
      <c r="V845" s="8">
        <f>IF($D845='[2]Beam '!V$44,$P845*'[2]Beam '!V$45,0)</f>
        <v>0</v>
      </c>
      <c r="W845" s="8">
        <f>IF($D845='[2]Beam '!W$44,$P845*'[2]Beam '!W$45,0)</f>
        <v>0</v>
      </c>
      <c r="X845" s="8">
        <f t="shared" si="158"/>
        <v>19.02167142857143</v>
      </c>
      <c r="Y845" s="14"/>
      <c r="Z845" s="8"/>
      <c r="AA845" s="8"/>
      <c r="AB845" s="8"/>
      <c r="AC845" s="8"/>
      <c r="AD845" s="8"/>
      <c r="AE845" s="8"/>
    </row>
    <row r="846" spans="1:32" s="10" customFormat="1" ht="20.100000000000001" customHeight="1" x14ac:dyDescent="0.25">
      <c r="A846" s="8">
        <v>1</v>
      </c>
      <c r="B846" s="8" t="s">
        <v>2</v>
      </c>
      <c r="C846" s="11" t="s">
        <v>115</v>
      </c>
      <c r="D846" s="11">
        <v>1</v>
      </c>
      <c r="E846" s="11">
        <v>3.266</v>
      </c>
      <c r="F846" s="11">
        <v>0.35</v>
      </c>
      <c r="G846" s="11">
        <v>1.1000000000000001</v>
      </c>
      <c r="H846" s="8">
        <f>G846-0.2</f>
        <v>0.90000000000000013</v>
      </c>
      <c r="I846" s="8">
        <f>E846*F846*G846*D846</f>
        <v>1.2574100000000001</v>
      </c>
      <c r="J846" s="8">
        <f>(2*(E846)*H846*D846)+(E846*F846)</f>
        <v>7.0219000000000005</v>
      </c>
      <c r="K846" s="12">
        <f>IF(E846=0.3,J846,0)</f>
        <v>0</v>
      </c>
      <c r="L846" s="12">
        <f>IF(AND(E846&gt;0.3,E846&lt;=0.75),J846,0)</f>
        <v>0</v>
      </c>
      <c r="M846" s="12">
        <f>IF(AND(E846&gt;0.75,E846&lt;=1.2),J846,0)</f>
        <v>0</v>
      </c>
      <c r="N846" s="12">
        <f>IF(E846&gt;1.2,J846,0)</f>
        <v>7.0219000000000005</v>
      </c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>
        <f>SUM(X847:X849)/I846</f>
        <v>143.1609376757439</v>
      </c>
      <c r="Z846" s="8"/>
      <c r="AA846" s="8"/>
      <c r="AB846" s="8"/>
      <c r="AC846" s="8"/>
      <c r="AD846" s="8"/>
      <c r="AE846" s="8"/>
    </row>
    <row r="847" spans="1:32" s="14" customFormat="1" ht="20.100000000000001" customHeight="1" x14ac:dyDescent="0.3">
      <c r="A847" s="7"/>
      <c r="B847" s="8" t="s">
        <v>2</v>
      </c>
      <c r="C847" s="13" t="s">
        <v>4</v>
      </c>
      <c r="D847" s="8">
        <v>25</v>
      </c>
      <c r="E847" s="8"/>
      <c r="F847" s="8">
        <v>3</v>
      </c>
      <c r="G847" s="9">
        <f>VLOOKUP(D847,'[2]Beam '!$C$20:$H$26,3,0)</f>
        <v>1</v>
      </c>
      <c r="H847" s="9"/>
      <c r="I847" s="8"/>
      <c r="J847" s="8"/>
      <c r="K847" s="8"/>
      <c r="L847" s="8"/>
      <c r="M847" s="8"/>
      <c r="N847" s="8"/>
      <c r="O847" s="8">
        <f>(E846+2*(2/2)*D846)</f>
        <v>5.266</v>
      </c>
      <c r="P847" s="8">
        <f>O847*F847</f>
        <v>15.798</v>
      </c>
      <c r="Q847" s="8">
        <f>IF($D847='[2]Beam '!Q$44,$P847*'[2]Beam '!Q$45,0)</f>
        <v>0</v>
      </c>
      <c r="R847" s="8">
        <f>IF($D847='[2]Beam '!R$44,$P847*'[2]Beam '!R$45,0)</f>
        <v>0</v>
      </c>
      <c r="S847" s="8">
        <f>IF($D847='[2]Beam '!S$44,$P847*'[2]Beam '!S$45,0)</f>
        <v>0</v>
      </c>
      <c r="T847" s="8">
        <f>IF($D847='[2]Beam '!T$44,$P847*'[2]Beam '!T$45,0)</f>
        <v>0</v>
      </c>
      <c r="U847" s="8">
        <f>IF($D847='[2]Beam '!U$44,$P847*'[2]Beam '!U$45,0)</f>
        <v>0</v>
      </c>
      <c r="V847" s="8">
        <f>IF($D847='[2]Beam '!V$44,$P847*'[2]Beam '!V$45,0)</f>
        <v>60.899879464285725</v>
      </c>
      <c r="W847" s="8">
        <f>IF($D847='[2]Beam '!W$44,$P847*'[2]Beam '!W$45,0)</f>
        <v>0</v>
      </c>
      <c r="X847" s="8">
        <f>SUM(Q847:W847)</f>
        <v>60.899879464285725</v>
      </c>
      <c r="Y847" s="8"/>
    </row>
    <row r="848" spans="1:32" s="10" customFormat="1" ht="21" customHeight="1" x14ac:dyDescent="0.25">
      <c r="A848" s="7"/>
      <c r="B848" s="8" t="s">
        <v>2</v>
      </c>
      <c r="C848" s="13" t="s">
        <v>6</v>
      </c>
      <c r="D848" s="8">
        <v>25</v>
      </c>
      <c r="E848" s="8"/>
      <c r="F848" s="8">
        <v>3</v>
      </c>
      <c r="G848" s="9">
        <f>VLOOKUP(D848,'[2]Beam '!$C$20:$H$26,3,0)</f>
        <v>1</v>
      </c>
      <c r="H848" s="8"/>
      <c r="I848" s="8"/>
      <c r="J848" s="8"/>
      <c r="K848" s="8"/>
      <c r="L848" s="8"/>
      <c r="M848" s="8"/>
      <c r="N848" s="8"/>
      <c r="O848" s="8">
        <f>(E846+2*(2/2)*D846)</f>
        <v>5.266</v>
      </c>
      <c r="P848" s="8">
        <f>O848*F848</f>
        <v>15.798</v>
      </c>
      <c r="Q848" s="8">
        <f>IF($D848='[2]Beam '!Q$44,$P848*'[2]Beam '!Q$45,0)</f>
        <v>0</v>
      </c>
      <c r="R848" s="8">
        <f>IF($D848='[2]Beam '!R$44,$P848*'[2]Beam '!R$45,0)</f>
        <v>0</v>
      </c>
      <c r="S848" s="8">
        <f>IF($D848='[2]Beam '!S$44,$P848*'[2]Beam '!S$45,0)</f>
        <v>0</v>
      </c>
      <c r="T848" s="8">
        <f>IF($D848='[2]Beam '!T$44,$P848*'[2]Beam '!T$45,0)</f>
        <v>0</v>
      </c>
      <c r="U848" s="8">
        <f>IF($D848='[2]Beam '!U$44,$P848*'[2]Beam '!U$45,0)</f>
        <v>0</v>
      </c>
      <c r="V848" s="8">
        <f>IF($D848='[2]Beam '!V$44,$P848*'[2]Beam '!V$45,0)</f>
        <v>60.899879464285725</v>
      </c>
      <c r="W848" s="8">
        <f>IF($D848='[2]Beam '!W$44,$P848*'[2]Beam '!W$45,0)</f>
        <v>0</v>
      </c>
      <c r="X848" s="8">
        <f>SUM(Q848:W848)</f>
        <v>60.899879464285725</v>
      </c>
      <c r="Y848" s="8"/>
      <c r="Z848" s="8"/>
      <c r="AA848" s="8"/>
      <c r="AB848" s="8"/>
      <c r="AC848" s="8"/>
      <c r="AD848" s="8"/>
      <c r="AE848" s="8"/>
      <c r="AF848" s="8"/>
    </row>
    <row r="849" spans="1:32" s="10" customFormat="1" ht="20.100000000000001" customHeight="1" x14ac:dyDescent="0.25">
      <c r="A849" s="7"/>
      <c r="B849" s="8" t="s">
        <v>2</v>
      </c>
      <c r="C849" s="13" t="s">
        <v>8</v>
      </c>
      <c r="D849" s="8">
        <v>10</v>
      </c>
      <c r="E849" s="8">
        <v>0.1</v>
      </c>
      <c r="F849" s="8">
        <f>ROUNDUP(E846/E849,0)</f>
        <v>33</v>
      </c>
      <c r="H849" s="8"/>
      <c r="I849" s="8"/>
      <c r="J849" s="8"/>
      <c r="K849" s="8"/>
      <c r="L849" s="8"/>
      <c r="M849" s="8"/>
      <c r="N849" s="8"/>
      <c r="O849" s="8">
        <f>(2*((G846-(2*'[2]Beam '!$D$11))+(F846-(2*'[2]Beam '!$D$11)))+(2*10*D849/1000))*D846</f>
        <v>2.8600000000000003</v>
      </c>
      <c r="P849" s="8">
        <f>O849*F849</f>
        <v>94.38000000000001</v>
      </c>
      <c r="Q849" s="8">
        <f>IF($D849='[2]Beam '!Q$44,$P849*'[2]Beam '!Q$45,0)</f>
        <v>0</v>
      </c>
      <c r="R849" s="8">
        <f>IF($D849='[2]Beam '!R$44,$P849*'[2]Beam '!R$45,0)</f>
        <v>58.212235714285718</v>
      </c>
      <c r="S849" s="8">
        <f>IF($D849='[2]Beam '!S$44,$P849*'[2]Beam '!S$45,0)</f>
        <v>0</v>
      </c>
      <c r="T849" s="8">
        <f>IF($D849='[2]Beam '!T$44,$P849*'[2]Beam '!T$45,0)</f>
        <v>0</v>
      </c>
      <c r="U849" s="8">
        <f>IF($D849='[2]Beam '!U$44,$P849*'[2]Beam '!U$45,0)</f>
        <v>0</v>
      </c>
      <c r="V849" s="8">
        <f>IF($D849='[2]Beam '!V$44,$P849*'[2]Beam '!V$45,0)</f>
        <v>0</v>
      </c>
      <c r="W849" s="8">
        <f>IF($D849='[2]Beam '!W$44,$P849*'[2]Beam '!W$45,0)</f>
        <v>0</v>
      </c>
      <c r="X849" s="8">
        <f>SUM(Q849:W849)</f>
        <v>58.212235714285718</v>
      </c>
      <c r="Y849" s="8"/>
      <c r="Z849" s="8"/>
      <c r="AA849" s="8"/>
      <c r="AB849" s="8"/>
      <c r="AC849" s="8"/>
      <c r="AD849" s="8"/>
      <c r="AE849" s="8"/>
    </row>
    <row r="850" spans="1:32" s="10" customFormat="1" ht="20.100000000000001" customHeight="1" x14ac:dyDescent="0.25">
      <c r="A850" s="14"/>
      <c r="B850" s="8" t="s">
        <v>2</v>
      </c>
      <c r="C850" s="13" t="s">
        <v>9</v>
      </c>
      <c r="D850" s="8">
        <f>+D849</f>
        <v>10</v>
      </c>
      <c r="E850" s="14">
        <f>+E849</f>
        <v>0.1</v>
      </c>
      <c r="F850" s="8">
        <f>ROUNDUP(E846/E850,0)</f>
        <v>33</v>
      </c>
      <c r="H850" s="14"/>
      <c r="I850" s="14"/>
      <c r="J850" s="14"/>
      <c r="K850" s="14"/>
      <c r="L850" s="14"/>
      <c r="M850" s="14"/>
      <c r="N850" s="14"/>
      <c r="O850" s="8">
        <f>((((G846-(2*'[2]Beam '!$D$11))+(2*10*D850/1000))*D846))*1</f>
        <v>1.24</v>
      </c>
      <c r="P850" s="8">
        <f>O850*F850</f>
        <v>40.92</v>
      </c>
      <c r="Q850" s="8">
        <f>IF($D850='[2]Beam '!Q$44,$P850*'[2]Beam '!Q$45,0)</f>
        <v>0</v>
      </c>
      <c r="R850" s="8">
        <f>IF($D850='[2]Beam '!R$44,$P850*'[2]Beam '!R$45,0)</f>
        <v>25.238871428571429</v>
      </c>
      <c r="S850" s="8">
        <f>IF($D850='[2]Beam '!S$44,$P850*'[2]Beam '!S$45,0)</f>
        <v>0</v>
      </c>
      <c r="T850" s="8">
        <f>IF($D850='[2]Beam '!T$44,$P850*'[2]Beam '!T$45,0)</f>
        <v>0</v>
      </c>
      <c r="U850" s="8">
        <f>IF($D850='[2]Beam '!U$44,$P850*'[2]Beam '!U$45,0)</f>
        <v>0</v>
      </c>
      <c r="V850" s="8">
        <f>IF($D850='[2]Beam '!V$44,$P850*'[2]Beam '!V$45,0)</f>
        <v>0</v>
      </c>
      <c r="W850" s="8">
        <f>IF($D850='[2]Beam '!W$44,$P850*'[2]Beam '!W$45,0)</f>
        <v>0</v>
      </c>
      <c r="X850" s="8">
        <f>SUM(Q850:W850)</f>
        <v>25.238871428571429</v>
      </c>
      <c r="Y850" s="14"/>
      <c r="Z850" s="8"/>
      <c r="AA850" s="8"/>
      <c r="AB850" s="8"/>
      <c r="AC850" s="8"/>
      <c r="AD850" s="8"/>
      <c r="AE850" s="8"/>
    </row>
    <row r="851" spans="1:32" s="10" customFormat="1" ht="20.100000000000001" customHeight="1" x14ac:dyDescent="0.25">
      <c r="A851" s="8">
        <v>1</v>
      </c>
      <c r="B851" s="8" t="s">
        <v>2</v>
      </c>
      <c r="C851" s="11" t="s">
        <v>116</v>
      </c>
      <c r="D851" s="11">
        <v>1</v>
      </c>
      <c r="E851" s="11">
        <v>3</v>
      </c>
      <c r="F851" s="11">
        <v>0.35</v>
      </c>
      <c r="G851" s="11">
        <v>1.1000000000000001</v>
      </c>
      <c r="H851" s="8">
        <f>G851-0.2</f>
        <v>0.90000000000000013</v>
      </c>
      <c r="I851" s="8">
        <f>E851*F851*G851*D851</f>
        <v>1.1549999999999998</v>
      </c>
      <c r="J851" s="8">
        <f>(2*(E851)*H851*D851)+(E851*F851)</f>
        <v>6.45</v>
      </c>
      <c r="K851" s="12">
        <f>IF(E851=0.3,J851,0)</f>
        <v>0</v>
      </c>
      <c r="L851" s="12">
        <f>IF(AND(E851&gt;0.3,E851&lt;=0.75),J851,0)</f>
        <v>0</v>
      </c>
      <c r="M851" s="12">
        <f>IF(AND(E851&gt;0.75,E851&lt;=1.2),J851,0)</f>
        <v>0</v>
      </c>
      <c r="N851" s="12">
        <f>IF(E851&gt;1.2,J851,0)</f>
        <v>6.45</v>
      </c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>
        <f>SUM(X852:X854)/I851</f>
        <v>146.95840816326537</v>
      </c>
      <c r="Z851" s="8"/>
      <c r="AA851" s="8"/>
      <c r="AB851" s="8"/>
      <c r="AC851" s="8"/>
      <c r="AD851" s="8"/>
      <c r="AE851" s="8"/>
    </row>
    <row r="852" spans="1:32" s="14" customFormat="1" ht="20.100000000000001" customHeight="1" x14ac:dyDescent="0.3">
      <c r="A852" s="7"/>
      <c r="B852" s="8" t="s">
        <v>2</v>
      </c>
      <c r="C852" s="13" t="s">
        <v>4</v>
      </c>
      <c r="D852" s="8">
        <v>25</v>
      </c>
      <c r="E852" s="8"/>
      <c r="F852" s="8">
        <v>3</v>
      </c>
      <c r="G852" s="9">
        <f>VLOOKUP(D852,'[2]Beam '!$C$20:$H$26,3,0)</f>
        <v>1</v>
      </c>
      <c r="H852" s="9"/>
      <c r="I852" s="8"/>
      <c r="J852" s="8"/>
      <c r="K852" s="8"/>
      <c r="L852" s="8"/>
      <c r="M852" s="8"/>
      <c r="N852" s="8"/>
      <c r="O852" s="8">
        <f>(E851+2*(2/2)*D851)</f>
        <v>5</v>
      </c>
      <c r="P852" s="8">
        <f t="shared" ref="P852:P857" si="159">O852*F852</f>
        <v>15</v>
      </c>
      <c r="Q852" s="8">
        <f>IF($D852='[2]Beam '!Q$44,$P852*'[2]Beam '!Q$45,0)</f>
        <v>0</v>
      </c>
      <c r="R852" s="8">
        <f>IF($D852='[2]Beam '!R$44,$P852*'[2]Beam '!R$45,0)</f>
        <v>0</v>
      </c>
      <c r="S852" s="8">
        <f>IF($D852='[2]Beam '!S$44,$P852*'[2]Beam '!S$45,0)</f>
        <v>0</v>
      </c>
      <c r="T852" s="8">
        <f>IF($D852='[2]Beam '!T$44,$P852*'[2]Beam '!T$45,0)</f>
        <v>0</v>
      </c>
      <c r="U852" s="8">
        <f>IF($D852='[2]Beam '!U$44,$P852*'[2]Beam '!U$45,0)</f>
        <v>0</v>
      </c>
      <c r="V852" s="8">
        <f>IF($D852='[2]Beam '!V$44,$P852*'[2]Beam '!V$45,0)</f>
        <v>57.823660714285722</v>
      </c>
      <c r="W852" s="8">
        <f>IF($D852='[2]Beam '!W$44,$P852*'[2]Beam '!W$45,0)</f>
        <v>0</v>
      </c>
      <c r="X852" s="8">
        <f t="shared" ref="X852:X857" si="160">SUM(Q852:W852)</f>
        <v>57.823660714285722</v>
      </c>
      <c r="Y852" s="8"/>
    </row>
    <row r="853" spans="1:32" s="14" customFormat="1" ht="20.100000000000001" customHeight="1" x14ac:dyDescent="0.3">
      <c r="A853" s="7"/>
      <c r="B853" s="8" t="s">
        <v>2</v>
      </c>
      <c r="C853" s="13" t="s">
        <v>6</v>
      </c>
      <c r="D853" s="8">
        <v>25</v>
      </c>
      <c r="E853" s="8"/>
      <c r="F853" s="8">
        <v>3</v>
      </c>
      <c r="G853" s="9">
        <f>VLOOKUP(D853,'[2]Beam '!$C$20:$H$26,3,0)</f>
        <v>1</v>
      </c>
      <c r="H853" s="8"/>
      <c r="I853" s="8"/>
      <c r="J853" s="8"/>
      <c r="K853" s="8"/>
      <c r="L853" s="8"/>
      <c r="M853" s="8"/>
      <c r="N853" s="8"/>
      <c r="O853" s="8">
        <f>(E851+2*(2/2)*D851)</f>
        <v>5</v>
      </c>
      <c r="P853" s="8">
        <f t="shared" si="159"/>
        <v>15</v>
      </c>
      <c r="Q853" s="8">
        <f>IF($D853='[2]Beam '!Q$44,$P853*'[2]Beam '!Q$45,0)</f>
        <v>0</v>
      </c>
      <c r="R853" s="8">
        <f>IF($D853='[2]Beam '!R$44,$P853*'[2]Beam '!R$45,0)</f>
        <v>0</v>
      </c>
      <c r="S853" s="8">
        <f>IF($D853='[2]Beam '!S$44,$P853*'[2]Beam '!S$45,0)</f>
        <v>0</v>
      </c>
      <c r="T853" s="8">
        <f>IF($D853='[2]Beam '!T$44,$P853*'[2]Beam '!T$45,0)</f>
        <v>0</v>
      </c>
      <c r="U853" s="8">
        <f>IF($D853='[2]Beam '!U$44,$P853*'[2]Beam '!U$45,0)</f>
        <v>0</v>
      </c>
      <c r="V853" s="8">
        <f>IF($D853='[2]Beam '!V$44,$P853*'[2]Beam '!V$45,0)</f>
        <v>57.823660714285722</v>
      </c>
      <c r="W853" s="8">
        <f>IF($D853='[2]Beam '!W$44,$P853*'[2]Beam '!W$45,0)</f>
        <v>0</v>
      </c>
      <c r="X853" s="8">
        <f t="shared" si="160"/>
        <v>57.823660714285722</v>
      </c>
      <c r="Y853" s="8"/>
    </row>
    <row r="854" spans="1:32" s="14" customFormat="1" ht="20.100000000000001" customHeight="1" x14ac:dyDescent="0.25">
      <c r="A854" s="7"/>
      <c r="B854" s="8" t="s">
        <v>2</v>
      </c>
      <c r="C854" s="13" t="s">
        <v>13</v>
      </c>
      <c r="D854" s="8">
        <v>12</v>
      </c>
      <c r="E854" s="8">
        <v>0.1</v>
      </c>
      <c r="F854" s="8">
        <f>ROUNDUP((E851/3*2)/E854,0)+1</f>
        <v>21</v>
      </c>
      <c r="G854" s="10"/>
      <c r="H854" s="8"/>
      <c r="I854" s="8"/>
      <c r="J854" s="8"/>
      <c r="K854" s="8"/>
      <c r="L854" s="8"/>
      <c r="M854" s="8"/>
      <c r="N854" s="8"/>
      <c r="O854" s="8">
        <f>(2*((G851-(2*'[2]Beam '!$D$11))+(F851-(2*'[2]Beam '!$D$11)))+(2*10*D854/1000))*D851</f>
        <v>2.9000000000000004</v>
      </c>
      <c r="P854" s="8">
        <f t="shared" si="159"/>
        <v>60.900000000000006</v>
      </c>
      <c r="Q854" s="8">
        <f>IF($D854='[2]Beam '!Q$44,$P854*'[2]Beam '!Q$45,0)</f>
        <v>0</v>
      </c>
      <c r="R854" s="8">
        <f>IF($D854='[2]Beam '!R$44,$P854*'[2]Beam '!R$45,0)</f>
        <v>0</v>
      </c>
      <c r="S854" s="8">
        <f>IF($D854='[2]Beam '!S$44,$P854*'[2]Beam '!S$45,0)</f>
        <v>54.089640000000017</v>
      </c>
      <c r="T854" s="8">
        <f>IF($D854='[2]Beam '!T$44,$P854*'[2]Beam '!T$45,0)</f>
        <v>0</v>
      </c>
      <c r="U854" s="8">
        <f>IF($D854='[2]Beam '!U$44,$P854*'[2]Beam '!U$45,0)</f>
        <v>0</v>
      </c>
      <c r="V854" s="8">
        <f>IF($D854='[2]Beam '!V$44,$P854*'[2]Beam '!V$45,0)</f>
        <v>0</v>
      </c>
      <c r="W854" s="8">
        <f>IF($D854='[2]Beam '!W$44,$P854*'[2]Beam '!W$45,0)</f>
        <v>0</v>
      </c>
      <c r="X854" s="8">
        <f t="shared" si="160"/>
        <v>54.089640000000017</v>
      </c>
      <c r="Y854" s="8"/>
    </row>
    <row r="855" spans="1:32" s="10" customFormat="1" ht="21" customHeight="1" x14ac:dyDescent="0.25">
      <c r="A855" s="14"/>
      <c r="B855" s="8" t="s">
        <v>2</v>
      </c>
      <c r="C855" s="13" t="s">
        <v>14</v>
      </c>
      <c r="D855" s="14">
        <f>D854</f>
        <v>12</v>
      </c>
      <c r="E855" s="14">
        <v>0.15</v>
      </c>
      <c r="F855" s="8">
        <f>ROUNDUP((E851/3)/E855,0)+1</f>
        <v>8</v>
      </c>
      <c r="H855" s="14"/>
      <c r="I855" s="14"/>
      <c r="J855" s="14"/>
      <c r="K855" s="14"/>
      <c r="L855" s="14"/>
      <c r="M855" s="14"/>
      <c r="N855" s="14"/>
      <c r="O855" s="8">
        <f>(2*((G851-(2*'[2]Beam '!$D$11))+(F851-(2*'[2]Beam '!$D$11)))+(2*10*D855/1000))*D851</f>
        <v>2.9000000000000004</v>
      </c>
      <c r="P855" s="8">
        <f t="shared" si="159"/>
        <v>23.200000000000003</v>
      </c>
      <c r="Q855" s="8">
        <f>IF($D855='[2]Beam '!Q$44,$P855*'[2]Beam '!Q$45,0)</f>
        <v>0</v>
      </c>
      <c r="R855" s="8">
        <f>IF($D855='[2]Beam '!R$44,$P855*'[2]Beam '!R$45,0)</f>
        <v>0</v>
      </c>
      <c r="S855" s="8">
        <f>IF($D855='[2]Beam '!S$44,$P855*'[2]Beam '!S$45,0)</f>
        <v>20.60557714285715</v>
      </c>
      <c r="T855" s="8">
        <f>IF($D855='[2]Beam '!T$44,$P855*'[2]Beam '!T$45,0)</f>
        <v>0</v>
      </c>
      <c r="U855" s="8">
        <f>IF($D855='[2]Beam '!U$44,$P855*'[2]Beam '!U$45,0)</f>
        <v>0</v>
      </c>
      <c r="V855" s="8">
        <f>IF($D855='[2]Beam '!V$44,$P855*'[2]Beam '!V$45,0)</f>
        <v>0</v>
      </c>
      <c r="W855" s="8">
        <f>IF($D855='[2]Beam '!W$44,$P855*'[2]Beam '!W$45,0)</f>
        <v>0</v>
      </c>
      <c r="X855" s="8">
        <f t="shared" si="160"/>
        <v>20.60557714285715</v>
      </c>
      <c r="Y855" s="14"/>
      <c r="Z855" s="8"/>
      <c r="AA855" s="8"/>
      <c r="AB855" s="8"/>
      <c r="AC855" s="8"/>
      <c r="AD855" s="8"/>
      <c r="AE855" s="8"/>
      <c r="AF855" s="8"/>
    </row>
    <row r="856" spans="1:32" s="10" customFormat="1" ht="20.100000000000001" customHeight="1" x14ac:dyDescent="0.25">
      <c r="A856" s="14"/>
      <c r="B856" s="8" t="s">
        <v>2</v>
      </c>
      <c r="C856" s="13" t="s">
        <v>15</v>
      </c>
      <c r="D856" s="14">
        <f>D854</f>
        <v>12</v>
      </c>
      <c r="E856" s="14">
        <f>+E854</f>
        <v>0.1</v>
      </c>
      <c r="F856" s="8">
        <f>ROUNDUP((E851/3*2)/E856,0)+1</f>
        <v>21</v>
      </c>
      <c r="H856" s="14"/>
      <c r="I856" s="14"/>
      <c r="J856" s="14"/>
      <c r="K856" s="14"/>
      <c r="L856" s="14"/>
      <c r="M856" s="14"/>
      <c r="N856" s="14"/>
      <c r="O856" s="8">
        <f>(2*(((F851-'[2]Beam '!$D$11*2)/(F852-1))+(G851-'[2]Beam '!$D$11*2))+(2*10*D856/1000))*D851</f>
        <v>2.6100000000000003</v>
      </c>
      <c r="P856" s="8">
        <f t="shared" si="159"/>
        <v>54.810000000000009</v>
      </c>
      <c r="Q856" s="8">
        <f>IF($D856='[2]Beam '!Q$44,$P856*'[2]Beam '!Q$45,0)</f>
        <v>0</v>
      </c>
      <c r="R856" s="8">
        <f>IF($D856='[2]Beam '!R$44,$P856*'[2]Beam '!R$45,0)</f>
        <v>0</v>
      </c>
      <c r="S856" s="8">
        <f>IF($D856='[2]Beam '!S$44,$P856*'[2]Beam '!S$45,0)</f>
        <v>48.68067600000002</v>
      </c>
      <c r="T856" s="8">
        <f>IF($D856='[2]Beam '!T$44,$P856*'[2]Beam '!T$45,0)</f>
        <v>0</v>
      </c>
      <c r="U856" s="8">
        <f>IF($D856='[2]Beam '!U$44,$P856*'[2]Beam '!U$45,0)</f>
        <v>0</v>
      </c>
      <c r="V856" s="8">
        <f>IF($D856='[2]Beam '!V$44,$P856*'[2]Beam '!V$45,0)</f>
        <v>0</v>
      </c>
      <c r="W856" s="8">
        <f>IF($D856='[2]Beam '!W$44,$P856*'[2]Beam '!W$45,0)</f>
        <v>0</v>
      </c>
      <c r="X856" s="8">
        <f t="shared" si="160"/>
        <v>48.68067600000002</v>
      </c>
      <c r="Y856" s="14"/>
      <c r="Z856" s="8"/>
      <c r="AA856" s="8"/>
      <c r="AB856" s="8"/>
      <c r="AC856" s="8"/>
      <c r="AD856" s="8"/>
      <c r="AE856" s="8"/>
    </row>
    <row r="857" spans="1:32" s="10" customFormat="1" ht="20.100000000000001" customHeight="1" x14ac:dyDescent="0.25">
      <c r="A857" s="14"/>
      <c r="B857" s="8" t="s">
        <v>2</v>
      </c>
      <c r="C857" s="13" t="s">
        <v>16</v>
      </c>
      <c r="D857" s="14">
        <f>D855</f>
        <v>12</v>
      </c>
      <c r="E857" s="14">
        <f>+E855</f>
        <v>0.15</v>
      </c>
      <c r="F857" s="8">
        <f>ROUNDUP((E851/3)/E857,0)+1</f>
        <v>8</v>
      </c>
      <c r="H857" s="14"/>
      <c r="I857" s="14"/>
      <c r="J857" s="14"/>
      <c r="K857" s="14"/>
      <c r="L857" s="14"/>
      <c r="M857" s="14"/>
      <c r="N857" s="14"/>
      <c r="O857" s="8">
        <f>(2*(((F851-'[2]Beam '!$D$11*2)/(F852-1))+(G851-'[2]Beam '!$D$11*2))+(2*10*D857/1000))*D851</f>
        <v>2.6100000000000003</v>
      </c>
      <c r="P857" s="8">
        <f t="shared" si="159"/>
        <v>20.880000000000003</v>
      </c>
      <c r="Q857" s="8">
        <f>IF($D857='[2]Beam '!Q$44,$P857*'[2]Beam '!Q$45,0)</f>
        <v>0</v>
      </c>
      <c r="R857" s="8">
        <f>IF($D857='[2]Beam '!R$44,$P857*'[2]Beam '!R$45,0)</f>
        <v>0</v>
      </c>
      <c r="S857" s="8">
        <f>IF($D857='[2]Beam '!S$44,$P857*'[2]Beam '!S$45,0)</f>
        <v>18.545019428571432</v>
      </c>
      <c r="T857" s="8">
        <f>IF($D857='[2]Beam '!T$44,$P857*'[2]Beam '!T$45,0)</f>
        <v>0</v>
      </c>
      <c r="U857" s="8">
        <f>IF($D857='[2]Beam '!U$44,$P857*'[2]Beam '!U$45,0)</f>
        <v>0</v>
      </c>
      <c r="V857" s="8">
        <f>IF($D857='[2]Beam '!V$44,$P857*'[2]Beam '!V$45,0)</f>
        <v>0</v>
      </c>
      <c r="W857" s="8">
        <f>IF($D857='[2]Beam '!W$44,$P857*'[2]Beam '!W$45,0)</f>
        <v>0</v>
      </c>
      <c r="X857" s="8">
        <f t="shared" si="160"/>
        <v>18.545019428571432</v>
      </c>
      <c r="Y857" s="14"/>
      <c r="Z857" s="8"/>
      <c r="AA857" s="8"/>
      <c r="AB857" s="8"/>
      <c r="AC857" s="8"/>
      <c r="AD857" s="8"/>
      <c r="AE857" s="8"/>
    </row>
    <row r="858" spans="1:32" s="10" customFormat="1" ht="20.100000000000001" customHeight="1" x14ac:dyDescent="0.25">
      <c r="A858" s="8">
        <v>1</v>
      </c>
      <c r="B858" s="8" t="s">
        <v>2</v>
      </c>
      <c r="C858" s="11" t="s">
        <v>117</v>
      </c>
      <c r="D858" s="11">
        <v>1</v>
      </c>
      <c r="E858" s="11">
        <v>2.94</v>
      </c>
      <c r="F858" s="11">
        <v>0.35</v>
      </c>
      <c r="G858" s="11">
        <v>1.1000000000000001</v>
      </c>
      <c r="H858" s="8">
        <f>G858-0.2</f>
        <v>0.90000000000000013</v>
      </c>
      <c r="I858" s="8">
        <f>E858*F858*G858*D858</f>
        <v>1.1318999999999999</v>
      </c>
      <c r="J858" s="8">
        <f>(2*(E858)*H858*D858)+(E858*F858)</f>
        <v>6.3210000000000006</v>
      </c>
      <c r="K858" s="12">
        <f>IF(E858=0.3,J858,0)</f>
        <v>0</v>
      </c>
      <c r="L858" s="12">
        <f>IF(AND(E858&gt;0.3,E858&lt;=0.75),J858,0)</f>
        <v>0</v>
      </c>
      <c r="M858" s="12">
        <f>IF(AND(E858&gt;0.75,E858&lt;=1.2),J858,0)</f>
        <v>0</v>
      </c>
      <c r="N858" s="12">
        <f>IF(E858&gt;1.2,J858,0)</f>
        <v>6.3210000000000006</v>
      </c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>
        <f>SUM(X859:X861)/I858</f>
        <v>148.73150770512291</v>
      </c>
      <c r="Z858" s="8"/>
      <c r="AA858" s="8"/>
      <c r="AB858" s="8"/>
      <c r="AC858" s="8"/>
      <c r="AD858" s="8"/>
      <c r="AE858" s="8"/>
    </row>
    <row r="859" spans="1:32" s="14" customFormat="1" ht="20.100000000000001" customHeight="1" x14ac:dyDescent="0.3">
      <c r="A859" s="7"/>
      <c r="B859" s="8" t="s">
        <v>2</v>
      </c>
      <c r="C859" s="13" t="s">
        <v>4</v>
      </c>
      <c r="D859" s="8">
        <v>25</v>
      </c>
      <c r="E859" s="8"/>
      <c r="F859" s="8">
        <v>3</v>
      </c>
      <c r="G859" s="9">
        <f>VLOOKUP(D859,'[2]Beam '!$C$20:$H$26,3,0)</f>
        <v>1</v>
      </c>
      <c r="H859" s="9"/>
      <c r="I859" s="8"/>
      <c r="J859" s="8"/>
      <c r="K859" s="8"/>
      <c r="L859" s="8"/>
      <c r="M859" s="8"/>
      <c r="N859" s="8"/>
      <c r="O859" s="8">
        <f>(E858+1*(2/2)+G833*D858)</f>
        <v>4.9399999999999995</v>
      </c>
      <c r="P859" s="8">
        <f t="shared" ref="P859:P864" si="161">O859*F859</f>
        <v>14.819999999999999</v>
      </c>
      <c r="Q859" s="8">
        <f>IF($D859='[2]Beam '!Q$44,$P859*'[2]Beam '!Q$45,0)</f>
        <v>0</v>
      </c>
      <c r="R859" s="8">
        <f>IF($D859='[2]Beam '!R$44,$P859*'[2]Beam '!R$45,0)</f>
        <v>0</v>
      </c>
      <c r="S859" s="8">
        <f>IF($D859='[2]Beam '!S$44,$P859*'[2]Beam '!S$45,0)</f>
        <v>0</v>
      </c>
      <c r="T859" s="8">
        <f>IF($D859='[2]Beam '!T$44,$P859*'[2]Beam '!T$45,0)</f>
        <v>0</v>
      </c>
      <c r="U859" s="8">
        <f>IF($D859='[2]Beam '!U$44,$P859*'[2]Beam '!U$45,0)</f>
        <v>0</v>
      </c>
      <c r="V859" s="8">
        <f>IF($D859='[2]Beam '!V$44,$P859*'[2]Beam '!V$45,0)</f>
        <v>57.129776785714292</v>
      </c>
      <c r="W859" s="8">
        <f>IF($D859='[2]Beam '!W$44,$P859*'[2]Beam '!W$45,0)</f>
        <v>0</v>
      </c>
      <c r="X859" s="8">
        <f t="shared" ref="X859:X864" si="162">SUM(Q859:W859)</f>
        <v>57.129776785714292</v>
      </c>
      <c r="Y859" s="8"/>
    </row>
    <row r="860" spans="1:32" s="14" customFormat="1" ht="20.100000000000001" customHeight="1" x14ac:dyDescent="0.3">
      <c r="A860" s="7"/>
      <c r="B860" s="8" t="s">
        <v>2</v>
      </c>
      <c r="C860" s="13" t="s">
        <v>6</v>
      </c>
      <c r="D860" s="8">
        <v>25</v>
      </c>
      <c r="E860" s="8"/>
      <c r="F860" s="8">
        <v>3</v>
      </c>
      <c r="G860" s="9">
        <f>VLOOKUP(D860,'[2]Beam '!$C$20:$H$26,3,0)</f>
        <v>1</v>
      </c>
      <c r="H860" s="8"/>
      <c r="I860" s="8"/>
      <c r="J860" s="8"/>
      <c r="K860" s="8"/>
      <c r="L860" s="8"/>
      <c r="M860" s="8"/>
      <c r="N860" s="8"/>
      <c r="O860" s="8">
        <f>(E858+1*(2/2)+G834*D858)</f>
        <v>4.9399999999999995</v>
      </c>
      <c r="P860" s="8">
        <f t="shared" si="161"/>
        <v>14.819999999999999</v>
      </c>
      <c r="Q860" s="8">
        <f>IF($D860='[2]Beam '!Q$44,$P860*'[2]Beam '!Q$45,0)</f>
        <v>0</v>
      </c>
      <c r="R860" s="8">
        <f>IF($D860='[2]Beam '!R$44,$P860*'[2]Beam '!R$45,0)</f>
        <v>0</v>
      </c>
      <c r="S860" s="8">
        <f>IF($D860='[2]Beam '!S$44,$P860*'[2]Beam '!S$45,0)</f>
        <v>0</v>
      </c>
      <c r="T860" s="8">
        <f>IF($D860='[2]Beam '!T$44,$P860*'[2]Beam '!T$45,0)</f>
        <v>0</v>
      </c>
      <c r="U860" s="8">
        <f>IF($D860='[2]Beam '!U$44,$P860*'[2]Beam '!U$45,0)</f>
        <v>0</v>
      </c>
      <c r="V860" s="8">
        <f>IF($D860='[2]Beam '!V$44,$P860*'[2]Beam '!V$45,0)</f>
        <v>57.129776785714292</v>
      </c>
      <c r="W860" s="8">
        <f>IF($D860='[2]Beam '!W$44,$P860*'[2]Beam '!W$45,0)</f>
        <v>0</v>
      </c>
      <c r="X860" s="8">
        <f t="shared" si="162"/>
        <v>57.129776785714292</v>
      </c>
      <c r="Y860" s="8"/>
    </row>
    <row r="861" spans="1:32" s="14" customFormat="1" ht="20.100000000000001" customHeight="1" x14ac:dyDescent="0.25">
      <c r="A861" s="7"/>
      <c r="B861" s="8" t="s">
        <v>2</v>
      </c>
      <c r="C861" s="13" t="s">
        <v>13</v>
      </c>
      <c r="D861" s="8">
        <v>12</v>
      </c>
      <c r="E861" s="8">
        <v>0.1</v>
      </c>
      <c r="F861" s="8">
        <f>ROUNDUP((E858/3*2)/E861,0)+1</f>
        <v>21</v>
      </c>
      <c r="G861" s="10"/>
      <c r="H861" s="8"/>
      <c r="I861" s="8"/>
      <c r="J861" s="8"/>
      <c r="K861" s="8"/>
      <c r="L861" s="8"/>
      <c r="M861" s="8"/>
      <c r="N861" s="8"/>
      <c r="O861" s="8">
        <f>(2*((G858-(2*'[2]Beam '!$D$11))+(F858-(2*'[2]Beam '!$D$11)))+(2*10*D861/1000))*D858</f>
        <v>2.9000000000000004</v>
      </c>
      <c r="P861" s="8">
        <f t="shared" si="161"/>
        <v>60.900000000000006</v>
      </c>
      <c r="Q861" s="8">
        <f>IF($D861='[2]Beam '!Q$44,$P861*'[2]Beam '!Q$45,0)</f>
        <v>0</v>
      </c>
      <c r="R861" s="8">
        <f>IF($D861='[2]Beam '!R$44,$P861*'[2]Beam '!R$45,0)</f>
        <v>0</v>
      </c>
      <c r="S861" s="8">
        <f>IF($D861='[2]Beam '!S$44,$P861*'[2]Beam '!S$45,0)</f>
        <v>54.089640000000017</v>
      </c>
      <c r="T861" s="8">
        <f>IF($D861='[2]Beam '!T$44,$P861*'[2]Beam '!T$45,0)</f>
        <v>0</v>
      </c>
      <c r="U861" s="8">
        <f>IF($D861='[2]Beam '!U$44,$P861*'[2]Beam '!U$45,0)</f>
        <v>0</v>
      </c>
      <c r="V861" s="8">
        <f>IF($D861='[2]Beam '!V$44,$P861*'[2]Beam '!V$45,0)</f>
        <v>0</v>
      </c>
      <c r="W861" s="8">
        <f>IF($D861='[2]Beam '!W$44,$P861*'[2]Beam '!W$45,0)</f>
        <v>0</v>
      </c>
      <c r="X861" s="8">
        <f t="shared" si="162"/>
        <v>54.089640000000017</v>
      </c>
      <c r="Y861" s="8"/>
    </row>
    <row r="862" spans="1:32" s="10" customFormat="1" ht="21" customHeight="1" x14ac:dyDescent="0.25">
      <c r="A862" s="14"/>
      <c r="B862" s="8" t="s">
        <v>2</v>
      </c>
      <c r="C862" s="13" t="s">
        <v>14</v>
      </c>
      <c r="D862" s="14">
        <f>D861</f>
        <v>12</v>
      </c>
      <c r="E862" s="14">
        <v>0.15</v>
      </c>
      <c r="F862" s="8">
        <f>ROUNDUP((E858/3)/E862,0)+1</f>
        <v>8</v>
      </c>
      <c r="H862" s="14"/>
      <c r="I862" s="14"/>
      <c r="J862" s="14"/>
      <c r="K862" s="14"/>
      <c r="L862" s="14"/>
      <c r="M862" s="14"/>
      <c r="N862" s="14"/>
      <c r="O862" s="8">
        <f>(2*((G858-(2*'[2]Beam '!$D$11))+(F858-(2*'[2]Beam '!$D$11)))+(2*10*D862/1000))*D858</f>
        <v>2.9000000000000004</v>
      </c>
      <c r="P862" s="8">
        <f t="shared" si="161"/>
        <v>23.200000000000003</v>
      </c>
      <c r="Q862" s="8">
        <f>IF($D862='[2]Beam '!Q$44,$P862*'[2]Beam '!Q$45,0)</f>
        <v>0</v>
      </c>
      <c r="R862" s="8">
        <f>IF($D862='[2]Beam '!R$44,$P862*'[2]Beam '!R$45,0)</f>
        <v>0</v>
      </c>
      <c r="S862" s="8">
        <f>IF($D862='[2]Beam '!S$44,$P862*'[2]Beam '!S$45,0)</f>
        <v>20.60557714285715</v>
      </c>
      <c r="T862" s="8">
        <f>IF($D862='[2]Beam '!T$44,$P862*'[2]Beam '!T$45,0)</f>
        <v>0</v>
      </c>
      <c r="U862" s="8">
        <f>IF($D862='[2]Beam '!U$44,$P862*'[2]Beam '!U$45,0)</f>
        <v>0</v>
      </c>
      <c r="V862" s="8">
        <f>IF($D862='[2]Beam '!V$44,$P862*'[2]Beam '!V$45,0)</f>
        <v>0</v>
      </c>
      <c r="W862" s="8">
        <f>IF($D862='[2]Beam '!W$44,$P862*'[2]Beam '!W$45,0)</f>
        <v>0</v>
      </c>
      <c r="X862" s="8">
        <f t="shared" si="162"/>
        <v>20.60557714285715</v>
      </c>
      <c r="Y862" s="14"/>
      <c r="Z862" s="8"/>
      <c r="AA862" s="8"/>
      <c r="AB862" s="8"/>
      <c r="AC862" s="8"/>
      <c r="AD862" s="8"/>
      <c r="AE862" s="8"/>
      <c r="AF862" s="8"/>
    </row>
    <row r="863" spans="1:32" s="10" customFormat="1" ht="20.100000000000001" customHeight="1" x14ac:dyDescent="0.25">
      <c r="A863" s="14"/>
      <c r="B863" s="8" t="s">
        <v>2</v>
      </c>
      <c r="C863" s="13" t="s">
        <v>15</v>
      </c>
      <c r="D863" s="14">
        <f>D861</f>
        <v>12</v>
      </c>
      <c r="E863" s="14">
        <f>+E861</f>
        <v>0.1</v>
      </c>
      <c r="F863" s="8">
        <f>ROUNDUP((E858/3*2)/E863,0)+1</f>
        <v>21</v>
      </c>
      <c r="H863" s="14"/>
      <c r="I863" s="14"/>
      <c r="J863" s="14"/>
      <c r="K863" s="14"/>
      <c r="L863" s="14"/>
      <c r="M863" s="14"/>
      <c r="N863" s="14"/>
      <c r="O863" s="8">
        <f>(2*(((F858-'[2]Beam '!$D$11*2)/(F859-1))+(G858-'[2]Beam '!$D$11*2))+(2*10*D863/1000))*D858</f>
        <v>2.6100000000000003</v>
      </c>
      <c r="P863" s="8">
        <f t="shared" si="161"/>
        <v>54.810000000000009</v>
      </c>
      <c r="Q863" s="8">
        <f>IF($D863='[2]Beam '!Q$44,$P863*'[2]Beam '!Q$45,0)</f>
        <v>0</v>
      </c>
      <c r="R863" s="8">
        <f>IF($D863='[2]Beam '!R$44,$P863*'[2]Beam '!R$45,0)</f>
        <v>0</v>
      </c>
      <c r="S863" s="8">
        <f>IF($D863='[2]Beam '!S$44,$P863*'[2]Beam '!S$45,0)</f>
        <v>48.68067600000002</v>
      </c>
      <c r="T863" s="8">
        <f>IF($D863='[2]Beam '!T$44,$P863*'[2]Beam '!T$45,0)</f>
        <v>0</v>
      </c>
      <c r="U863" s="8">
        <f>IF($D863='[2]Beam '!U$44,$P863*'[2]Beam '!U$45,0)</f>
        <v>0</v>
      </c>
      <c r="V863" s="8">
        <f>IF($D863='[2]Beam '!V$44,$P863*'[2]Beam '!V$45,0)</f>
        <v>0</v>
      </c>
      <c r="W863" s="8">
        <f>IF($D863='[2]Beam '!W$44,$P863*'[2]Beam '!W$45,0)</f>
        <v>0</v>
      </c>
      <c r="X863" s="8">
        <f t="shared" si="162"/>
        <v>48.68067600000002</v>
      </c>
      <c r="Y863" s="14"/>
      <c r="Z863" s="8"/>
      <c r="AA863" s="8"/>
      <c r="AB863" s="8"/>
      <c r="AC863" s="8"/>
      <c r="AD863" s="8"/>
      <c r="AE863" s="8"/>
    </row>
    <row r="864" spans="1:32" s="10" customFormat="1" ht="20.100000000000001" customHeight="1" x14ac:dyDescent="0.25">
      <c r="A864" s="14"/>
      <c r="B864" s="8" t="s">
        <v>2</v>
      </c>
      <c r="C864" s="13" t="s">
        <v>16</v>
      </c>
      <c r="D864" s="14">
        <f>D862</f>
        <v>12</v>
      </c>
      <c r="E864" s="14">
        <f>+E862</f>
        <v>0.15</v>
      </c>
      <c r="F864" s="8">
        <f>ROUNDUP((E858/3)/E864,0)+1</f>
        <v>8</v>
      </c>
      <c r="H864" s="14"/>
      <c r="I864" s="14"/>
      <c r="J864" s="14"/>
      <c r="K864" s="14"/>
      <c r="L864" s="14"/>
      <c r="M864" s="14"/>
      <c r="N864" s="14"/>
      <c r="O864" s="8">
        <f>(2*(((F858-'[2]Beam '!$D$11*2)/(F859-1))+(G858-'[2]Beam '!$D$11*2))+(2*10*D864/1000))*D858</f>
        <v>2.6100000000000003</v>
      </c>
      <c r="P864" s="8">
        <f t="shared" si="161"/>
        <v>20.880000000000003</v>
      </c>
      <c r="Q864" s="8">
        <f>IF($D864='[2]Beam '!Q$44,$P864*'[2]Beam '!Q$45,0)</f>
        <v>0</v>
      </c>
      <c r="R864" s="8">
        <f>IF($D864='[2]Beam '!R$44,$P864*'[2]Beam '!R$45,0)</f>
        <v>0</v>
      </c>
      <c r="S864" s="8">
        <f>IF($D864='[2]Beam '!S$44,$P864*'[2]Beam '!S$45,0)</f>
        <v>18.545019428571432</v>
      </c>
      <c r="T864" s="8">
        <f>IF($D864='[2]Beam '!T$44,$P864*'[2]Beam '!T$45,0)</f>
        <v>0</v>
      </c>
      <c r="U864" s="8">
        <f>IF($D864='[2]Beam '!U$44,$P864*'[2]Beam '!U$45,0)</f>
        <v>0</v>
      </c>
      <c r="V864" s="8">
        <f>IF($D864='[2]Beam '!V$44,$P864*'[2]Beam '!V$45,0)</f>
        <v>0</v>
      </c>
      <c r="W864" s="8">
        <f>IF($D864='[2]Beam '!W$44,$P864*'[2]Beam '!W$45,0)</f>
        <v>0</v>
      </c>
      <c r="X864" s="8">
        <f t="shared" si="162"/>
        <v>18.545019428571432</v>
      </c>
      <c r="Y864" s="14"/>
      <c r="Z864" s="8"/>
      <c r="AA864" s="8"/>
      <c r="AB864" s="8"/>
      <c r="AC864" s="8"/>
      <c r="AD864" s="8"/>
      <c r="AE864" s="8"/>
    </row>
    <row r="865" spans="1:32" s="10" customFormat="1" ht="20.100000000000001" customHeight="1" x14ac:dyDescent="0.25">
      <c r="A865" s="8">
        <v>1</v>
      </c>
      <c r="B865" s="8" t="s">
        <v>2</v>
      </c>
      <c r="C865" s="11" t="s">
        <v>118</v>
      </c>
      <c r="D865" s="11">
        <v>1</v>
      </c>
      <c r="E865" s="11">
        <v>2.4500000000000002</v>
      </c>
      <c r="F865" s="11">
        <v>0.3</v>
      </c>
      <c r="G865" s="11">
        <v>0.8</v>
      </c>
      <c r="H865" s="8">
        <f>G865-0.2</f>
        <v>0.60000000000000009</v>
      </c>
      <c r="I865" s="8">
        <f>E865*F865*G865*D865</f>
        <v>0.58799999999999997</v>
      </c>
      <c r="J865" s="8">
        <f>(2*(E865)*H865*D865)+(E865*F865)</f>
        <v>3.6750000000000007</v>
      </c>
      <c r="K865" s="12">
        <f>IF(E865=0.3,J865,0)</f>
        <v>0</v>
      </c>
      <c r="L865" s="12">
        <f>IF(AND(E865&gt;0.3,E865&lt;=0.75),J865,0)</f>
        <v>0</v>
      </c>
      <c r="M865" s="12">
        <f>IF(AND(E865&gt;0.75,E865&lt;=1.2),J865,0)</f>
        <v>0</v>
      </c>
      <c r="N865" s="12">
        <f>IF(E865&gt;1.2,J865,0)</f>
        <v>3.6750000000000007</v>
      </c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>
        <f>SUM(X866:X868)/I865</f>
        <v>91.419223323615171</v>
      </c>
      <c r="Z865" s="8"/>
      <c r="AA865" s="8"/>
      <c r="AB865" s="8"/>
      <c r="AC865" s="8"/>
      <c r="AD865" s="8"/>
      <c r="AE865" s="8"/>
    </row>
    <row r="866" spans="1:32" s="14" customFormat="1" ht="20.100000000000001" customHeight="1" x14ac:dyDescent="0.3">
      <c r="A866" s="7"/>
      <c r="B866" s="8" t="s">
        <v>2</v>
      </c>
      <c r="C866" s="13" t="s">
        <v>4</v>
      </c>
      <c r="D866" s="8">
        <v>16</v>
      </c>
      <c r="E866" s="8"/>
      <c r="F866" s="8">
        <v>3</v>
      </c>
      <c r="G866" s="9">
        <f>VLOOKUP(D866,'[2]Beam '!$C$20:$H$26,3,0)</f>
        <v>0.625</v>
      </c>
      <c r="H866" s="9"/>
      <c r="I866" s="8"/>
      <c r="J866" s="8"/>
      <c r="K866" s="8"/>
      <c r="L866" s="8"/>
      <c r="M866" s="8"/>
      <c r="N866" s="8"/>
      <c r="O866" s="8">
        <f>(E865+2*(G866+(12*D866/1000))*D865)</f>
        <v>4.0839999999999996</v>
      </c>
      <c r="P866" s="8">
        <f>O866*F866</f>
        <v>12.251999999999999</v>
      </c>
      <c r="Q866" s="8">
        <f>IF($D866='[2]Beam '!Q$44,$P866*'[2]Beam '!Q$45,0)</f>
        <v>0</v>
      </c>
      <c r="R866" s="8">
        <f>IF($D866='[2]Beam '!R$44,$P866*'[2]Beam '!R$45,0)</f>
        <v>0</v>
      </c>
      <c r="S866" s="8">
        <f>IF($D866='[2]Beam '!S$44,$P866*'[2]Beam '!S$45,0)</f>
        <v>0</v>
      </c>
      <c r="T866" s="8">
        <f>IF($D866='[2]Beam '!T$44,$P866*'[2]Beam '!T$45,0)</f>
        <v>19.345557942857141</v>
      </c>
      <c r="U866" s="8">
        <f>IF($D866='[2]Beam '!U$44,$P866*'[2]Beam '!U$45,0)</f>
        <v>0</v>
      </c>
      <c r="V866" s="8">
        <f>IF($D866='[2]Beam '!V$44,$P866*'[2]Beam '!V$45,0)</f>
        <v>0</v>
      </c>
      <c r="W866" s="8">
        <f>IF($D866='[2]Beam '!W$44,$P866*'[2]Beam '!W$45,0)</f>
        <v>0</v>
      </c>
      <c r="X866" s="8">
        <f>SUM(Q866:W866)</f>
        <v>19.345557942857141</v>
      </c>
      <c r="Y866" s="8"/>
    </row>
    <row r="867" spans="1:32" s="10" customFormat="1" ht="21" customHeight="1" x14ac:dyDescent="0.25">
      <c r="A867" s="7"/>
      <c r="B867" s="8" t="s">
        <v>2</v>
      </c>
      <c r="C867" s="13" t="s">
        <v>6</v>
      </c>
      <c r="D867" s="8">
        <v>16</v>
      </c>
      <c r="E867" s="8"/>
      <c r="F867" s="8">
        <v>3</v>
      </c>
      <c r="G867" s="9">
        <f>VLOOKUP(D867,'[2]Beam '!$C$20:$H$26,3,0)</f>
        <v>0.625</v>
      </c>
      <c r="H867" s="8"/>
      <c r="I867" s="8"/>
      <c r="J867" s="8"/>
      <c r="K867" s="8"/>
      <c r="L867" s="8"/>
      <c r="M867" s="8"/>
      <c r="N867" s="8"/>
      <c r="O867" s="8">
        <f>(E865+2*(G867+(12*D867/1000))*D865)</f>
        <v>4.0839999999999996</v>
      </c>
      <c r="P867" s="8">
        <f>O867*F867</f>
        <v>12.251999999999999</v>
      </c>
      <c r="Q867" s="8">
        <f>IF($D867='[2]Beam '!Q$44,$P867*'[2]Beam '!Q$45,0)</f>
        <v>0</v>
      </c>
      <c r="R867" s="8">
        <f>IF($D867='[2]Beam '!R$44,$P867*'[2]Beam '!R$45,0)</f>
        <v>0</v>
      </c>
      <c r="S867" s="8">
        <f>IF($D867='[2]Beam '!S$44,$P867*'[2]Beam '!S$45,0)</f>
        <v>0</v>
      </c>
      <c r="T867" s="8">
        <f>IF($D867='[2]Beam '!T$44,$P867*'[2]Beam '!T$45,0)</f>
        <v>19.345557942857141</v>
      </c>
      <c r="U867" s="8">
        <f>IF($D867='[2]Beam '!U$44,$P867*'[2]Beam '!U$45,0)</f>
        <v>0</v>
      </c>
      <c r="V867" s="8">
        <f>IF($D867='[2]Beam '!V$44,$P867*'[2]Beam '!V$45,0)</f>
        <v>0</v>
      </c>
      <c r="W867" s="8">
        <f>IF($D867='[2]Beam '!W$44,$P867*'[2]Beam '!W$45,0)</f>
        <v>0</v>
      </c>
      <c r="X867" s="8">
        <f>SUM(Q867:W867)</f>
        <v>19.345557942857141</v>
      </c>
      <c r="Y867" s="8"/>
      <c r="Z867" s="8"/>
      <c r="AA867" s="8"/>
      <c r="AB867" s="8"/>
      <c r="AC867" s="8"/>
      <c r="AD867" s="8"/>
      <c r="AE867" s="8"/>
      <c r="AF867" s="8"/>
    </row>
    <row r="868" spans="1:32" s="10" customFormat="1" ht="20.100000000000001" customHeight="1" x14ac:dyDescent="0.25">
      <c r="A868" s="7"/>
      <c r="B868" s="8" t="s">
        <v>2</v>
      </c>
      <c r="C868" s="13" t="s">
        <v>8</v>
      </c>
      <c r="D868" s="8">
        <v>8</v>
      </c>
      <c r="E868" s="8">
        <v>0.1</v>
      </c>
      <c r="F868" s="8">
        <f>ROUNDUP((E865/3*2)/E868,0)+1</f>
        <v>18</v>
      </c>
      <c r="H868" s="8"/>
      <c r="I868" s="8"/>
      <c r="J868" s="8"/>
      <c r="K868" s="8"/>
      <c r="L868" s="8"/>
      <c r="M868" s="8"/>
      <c r="N868" s="8"/>
      <c r="O868" s="8">
        <f>(2*((G865-(2*'[2]Beam '!$D$11))+(F865-(2*'[2]Beam '!$D$11)))+(2*10*D868/1000))*D865</f>
        <v>2.12</v>
      </c>
      <c r="P868" s="8">
        <f>O868*F868</f>
        <v>38.160000000000004</v>
      </c>
      <c r="Q868" s="8">
        <f>IF($D868='[2]Beam '!Q$44,$P868*'[2]Beam '!Q$45,0)</f>
        <v>15.063387428571431</v>
      </c>
      <c r="R868" s="8">
        <f>IF($D868='[2]Beam '!R$44,$P868*'[2]Beam '!R$45,0)</f>
        <v>0</v>
      </c>
      <c r="S868" s="8">
        <f>IF($D868='[2]Beam '!S$44,$P868*'[2]Beam '!S$45,0)</f>
        <v>0</v>
      </c>
      <c r="T868" s="8">
        <f>IF($D868='[2]Beam '!T$44,$P868*'[2]Beam '!T$45,0)</f>
        <v>0</v>
      </c>
      <c r="U868" s="8">
        <f>IF($D868='[2]Beam '!U$44,$P868*'[2]Beam '!U$45,0)</f>
        <v>0</v>
      </c>
      <c r="V868" s="8">
        <f>IF($D868='[2]Beam '!V$44,$P868*'[2]Beam '!V$45,0)</f>
        <v>0</v>
      </c>
      <c r="W868" s="8">
        <f>IF($D868='[2]Beam '!W$44,$P868*'[2]Beam '!W$45,0)</f>
        <v>0</v>
      </c>
      <c r="X868" s="8">
        <f>SUM(Q868:W868)</f>
        <v>15.063387428571431</v>
      </c>
      <c r="Y868" s="8"/>
      <c r="Z868" s="8"/>
      <c r="AA868" s="8"/>
      <c r="AB868" s="8"/>
      <c r="AC868" s="8"/>
      <c r="AD868" s="8"/>
      <c r="AE868" s="8"/>
    </row>
    <row r="869" spans="1:32" s="10" customFormat="1" ht="20.100000000000001" customHeight="1" x14ac:dyDescent="0.25">
      <c r="A869" s="14"/>
      <c r="B869" s="8" t="s">
        <v>2</v>
      </c>
      <c r="C869" s="13" t="s">
        <v>8</v>
      </c>
      <c r="D869" s="14">
        <f>D868</f>
        <v>8</v>
      </c>
      <c r="E869" s="14">
        <v>0.15</v>
      </c>
      <c r="F869" s="8">
        <f>ROUNDUP((E865/3)/E869,0)+1</f>
        <v>7</v>
      </c>
      <c r="H869" s="14"/>
      <c r="I869" s="14"/>
      <c r="J869" s="14"/>
      <c r="K869" s="14"/>
      <c r="L869" s="14"/>
      <c r="M869" s="14"/>
      <c r="N869" s="14"/>
      <c r="O869" s="8">
        <f>(2*((G865-(2*'[2]Beam '!$D$11))+(F865-(2*'[2]Beam '!$D$11)))+(2*10*D869/1000))*D865</f>
        <v>2.12</v>
      </c>
      <c r="P869" s="8">
        <f>O869*F869</f>
        <v>14.84</v>
      </c>
      <c r="Q869" s="8">
        <f>IF($D869='[2]Beam '!Q$44,$P869*'[2]Beam '!Q$45,0)</f>
        <v>5.8579840000000001</v>
      </c>
      <c r="R869" s="8">
        <f>IF($D869='[2]Beam '!R$44,$P869*'[2]Beam '!R$45,0)</f>
        <v>0</v>
      </c>
      <c r="S869" s="8">
        <f>IF($D869='[2]Beam '!S$44,$P869*'[2]Beam '!S$45,0)</f>
        <v>0</v>
      </c>
      <c r="T869" s="8">
        <f>IF($D869='[2]Beam '!T$44,$P869*'[2]Beam '!T$45,0)</f>
        <v>0</v>
      </c>
      <c r="U869" s="8">
        <f>IF($D869='[2]Beam '!U$44,$P869*'[2]Beam '!U$45,0)</f>
        <v>0</v>
      </c>
      <c r="V869" s="8">
        <f>IF($D869='[2]Beam '!V$44,$P869*'[2]Beam '!V$45,0)</f>
        <v>0</v>
      </c>
      <c r="W869" s="8">
        <f>IF($D869='[2]Beam '!W$44,$P869*'[2]Beam '!W$45,0)</f>
        <v>0</v>
      </c>
      <c r="X869" s="8">
        <f>SUM(Q869:W869)</f>
        <v>5.8579840000000001</v>
      </c>
      <c r="Y869" s="14"/>
      <c r="Z869" s="8"/>
      <c r="AA869" s="8"/>
      <c r="AB869" s="8"/>
      <c r="AC869" s="8"/>
      <c r="AD869" s="8"/>
      <c r="AE869" s="8"/>
    </row>
    <row r="870" spans="1:32" s="10" customFormat="1" ht="20.100000000000001" customHeight="1" x14ac:dyDescent="0.25">
      <c r="A870" s="8">
        <v>1</v>
      </c>
      <c r="B870" s="8" t="s">
        <v>2</v>
      </c>
      <c r="C870" s="11" t="s">
        <v>119</v>
      </c>
      <c r="D870" s="11">
        <v>1</v>
      </c>
      <c r="E870" s="11">
        <v>2</v>
      </c>
      <c r="F870" s="11">
        <v>0.4</v>
      </c>
      <c r="G870" s="11">
        <v>1.1000000000000001</v>
      </c>
      <c r="H870" s="8">
        <f>G870-0.2</f>
        <v>0.90000000000000013</v>
      </c>
      <c r="I870" s="8">
        <f>E870*F870*G870*D870</f>
        <v>0.88000000000000012</v>
      </c>
      <c r="J870" s="8">
        <f>(2*(E870)*H870*D870)+(E870*F870)</f>
        <v>4.4000000000000004</v>
      </c>
      <c r="K870" s="12">
        <f>IF(E870=0.3,J870,0)</f>
        <v>0</v>
      </c>
      <c r="L870" s="12">
        <f>IF(AND(E870&gt;0.3,E870&lt;=0.75),J870,0)</f>
        <v>0</v>
      </c>
      <c r="M870" s="12">
        <f>IF(AND(E870&gt;0.75,E870&lt;=1.2),J870,0)</f>
        <v>0</v>
      </c>
      <c r="N870" s="12">
        <f>IF(E870&gt;1.2,J870,0)</f>
        <v>4.4000000000000004</v>
      </c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>
        <f>SUM(X871:X873)/I870</f>
        <v>93.656331428571434</v>
      </c>
      <c r="Z870" s="8"/>
      <c r="AA870" s="8"/>
      <c r="AB870" s="8"/>
      <c r="AC870" s="8"/>
      <c r="AD870" s="8"/>
      <c r="AE870" s="8"/>
    </row>
    <row r="871" spans="1:32" s="14" customFormat="1" ht="20.100000000000001" customHeight="1" x14ac:dyDescent="0.3">
      <c r="A871" s="7"/>
      <c r="B871" s="8" t="s">
        <v>2</v>
      </c>
      <c r="C871" s="13" t="s">
        <v>4</v>
      </c>
      <c r="D871" s="8">
        <v>16</v>
      </c>
      <c r="E871" s="8"/>
      <c r="F871" s="8">
        <v>4</v>
      </c>
      <c r="G871" s="9">
        <f>VLOOKUP(D871,'[2]Beam '!$C$20:$H$26,3,0)</f>
        <v>0.625</v>
      </c>
      <c r="H871" s="9"/>
      <c r="I871" s="8"/>
      <c r="J871" s="8"/>
      <c r="K871" s="8"/>
      <c r="L871" s="8"/>
      <c r="M871" s="8"/>
      <c r="N871" s="8"/>
      <c r="O871" s="8">
        <f>(E870+2*(G871+(12*D871/1000))*D870)</f>
        <v>3.6339999999999999</v>
      </c>
      <c r="P871" s="8">
        <f>O871*F871</f>
        <v>14.536</v>
      </c>
      <c r="Q871" s="8">
        <f>IF($D871='[2]Beam '!Q$44,$P871*'[2]Beam '!Q$45,0)</f>
        <v>0</v>
      </c>
      <c r="R871" s="8">
        <f>IF($D871='[2]Beam '!R$44,$P871*'[2]Beam '!R$45,0)</f>
        <v>0</v>
      </c>
      <c r="S871" s="8">
        <f>IF($D871='[2]Beam '!S$44,$P871*'[2]Beam '!S$45,0)</f>
        <v>0</v>
      </c>
      <c r="T871" s="8">
        <f>IF($D871='[2]Beam '!T$44,$P871*'[2]Beam '!T$45,0)</f>
        <v>22.951928685714286</v>
      </c>
      <c r="U871" s="8">
        <f>IF($D871='[2]Beam '!U$44,$P871*'[2]Beam '!U$45,0)</f>
        <v>0</v>
      </c>
      <c r="V871" s="8">
        <f>IF($D871='[2]Beam '!V$44,$P871*'[2]Beam '!V$45,0)</f>
        <v>0</v>
      </c>
      <c r="W871" s="8">
        <f>IF($D871='[2]Beam '!W$44,$P871*'[2]Beam '!W$45,0)</f>
        <v>0</v>
      </c>
      <c r="X871" s="8">
        <f>SUM(Q871:W871)</f>
        <v>22.951928685714286</v>
      </c>
      <c r="Y871" s="8"/>
    </row>
    <row r="872" spans="1:32" s="10" customFormat="1" ht="21" customHeight="1" x14ac:dyDescent="0.25">
      <c r="A872" s="7"/>
      <c r="B872" s="8" t="s">
        <v>2</v>
      </c>
      <c r="C872" s="13" t="s">
        <v>6</v>
      </c>
      <c r="D872" s="8">
        <v>16</v>
      </c>
      <c r="E872" s="8"/>
      <c r="F872" s="8">
        <v>4</v>
      </c>
      <c r="G872" s="9">
        <f>VLOOKUP(D872,'[2]Beam '!$C$20:$H$26,3,0)</f>
        <v>0.625</v>
      </c>
      <c r="H872" s="8"/>
      <c r="I872" s="8"/>
      <c r="J872" s="8"/>
      <c r="K872" s="8"/>
      <c r="L872" s="8"/>
      <c r="M872" s="8"/>
      <c r="N872" s="8"/>
      <c r="O872" s="8">
        <f>(E870+2*(G872+(12*D872/1000))*D870)</f>
        <v>3.6339999999999999</v>
      </c>
      <c r="P872" s="8">
        <f>O872*F872</f>
        <v>14.536</v>
      </c>
      <c r="Q872" s="8">
        <f>IF($D872='[2]Beam '!Q$44,$P872*'[2]Beam '!Q$45,0)</f>
        <v>0</v>
      </c>
      <c r="R872" s="8">
        <f>IF($D872='[2]Beam '!R$44,$P872*'[2]Beam '!R$45,0)</f>
        <v>0</v>
      </c>
      <c r="S872" s="8">
        <f>IF($D872='[2]Beam '!S$44,$P872*'[2]Beam '!S$45,0)</f>
        <v>0</v>
      </c>
      <c r="T872" s="8">
        <f>IF($D872='[2]Beam '!T$44,$P872*'[2]Beam '!T$45,0)</f>
        <v>22.951928685714286</v>
      </c>
      <c r="U872" s="8">
        <f>IF($D872='[2]Beam '!U$44,$P872*'[2]Beam '!U$45,0)</f>
        <v>0</v>
      </c>
      <c r="V872" s="8">
        <f>IF($D872='[2]Beam '!V$44,$P872*'[2]Beam '!V$45,0)</f>
        <v>0</v>
      </c>
      <c r="W872" s="8">
        <f>IF($D872='[2]Beam '!W$44,$P872*'[2]Beam '!W$45,0)</f>
        <v>0</v>
      </c>
      <c r="X872" s="8">
        <f>SUM(Q872:W872)</f>
        <v>22.951928685714286</v>
      </c>
      <c r="Y872" s="8"/>
      <c r="Z872" s="8"/>
      <c r="AA872" s="8"/>
      <c r="AB872" s="8"/>
      <c r="AC872" s="8"/>
      <c r="AD872" s="8"/>
      <c r="AE872" s="8"/>
      <c r="AF872" s="8"/>
    </row>
    <row r="873" spans="1:32" s="10" customFormat="1" ht="20.100000000000001" customHeight="1" x14ac:dyDescent="0.25">
      <c r="A873" s="7"/>
      <c r="B873" s="8" t="s">
        <v>2</v>
      </c>
      <c r="C873" s="13" t="s">
        <v>8</v>
      </c>
      <c r="D873" s="8">
        <v>10</v>
      </c>
      <c r="E873" s="8">
        <v>0.1</v>
      </c>
      <c r="F873" s="8">
        <f>ROUNDUP(E870/E873,0)</f>
        <v>20</v>
      </c>
      <c r="H873" s="8"/>
      <c r="I873" s="8"/>
      <c r="J873" s="8"/>
      <c r="K873" s="8"/>
      <c r="L873" s="8"/>
      <c r="M873" s="8"/>
      <c r="N873" s="8"/>
      <c r="O873" s="8">
        <f>(2*((G870-(2*'[2]Beam '!$D$11))+(F870-(2*'[2]Beam '!$D$11)))+(2*10*D873/1000))*D870</f>
        <v>2.9600000000000004</v>
      </c>
      <c r="P873" s="8">
        <f>O873*F873</f>
        <v>59.20000000000001</v>
      </c>
      <c r="Q873" s="8">
        <f>IF($D873='[2]Beam '!Q$44,$P873*'[2]Beam '!Q$45,0)</f>
        <v>0</v>
      </c>
      <c r="R873" s="8">
        <f>IF($D873='[2]Beam '!R$44,$P873*'[2]Beam '!R$45,0)</f>
        <v>36.513714285714293</v>
      </c>
      <c r="S873" s="8">
        <f>IF($D873='[2]Beam '!S$44,$P873*'[2]Beam '!S$45,0)</f>
        <v>0</v>
      </c>
      <c r="T873" s="8">
        <f>IF($D873='[2]Beam '!T$44,$P873*'[2]Beam '!T$45,0)</f>
        <v>0</v>
      </c>
      <c r="U873" s="8">
        <f>IF($D873='[2]Beam '!U$44,$P873*'[2]Beam '!U$45,0)</f>
        <v>0</v>
      </c>
      <c r="V873" s="8">
        <f>IF($D873='[2]Beam '!V$44,$P873*'[2]Beam '!V$45,0)</f>
        <v>0</v>
      </c>
      <c r="W873" s="8">
        <f>IF($D873='[2]Beam '!W$44,$P873*'[2]Beam '!W$45,0)</f>
        <v>0</v>
      </c>
      <c r="X873" s="8">
        <f>SUM(Q873:W873)</f>
        <v>36.513714285714293</v>
      </c>
      <c r="Y873" s="8"/>
      <c r="Z873" s="8"/>
      <c r="AA873" s="8"/>
      <c r="AB873" s="8"/>
      <c r="AC873" s="8"/>
      <c r="AD873" s="8"/>
      <c r="AE873" s="8"/>
    </row>
    <row r="874" spans="1:32" s="10" customFormat="1" ht="20.100000000000001" customHeight="1" x14ac:dyDescent="0.25">
      <c r="A874" s="14"/>
      <c r="B874" s="8" t="s">
        <v>2</v>
      </c>
      <c r="C874" s="13" t="s">
        <v>9</v>
      </c>
      <c r="D874" s="8">
        <f>+D873</f>
        <v>10</v>
      </c>
      <c r="E874" s="14">
        <f>+E873</f>
        <v>0.1</v>
      </c>
      <c r="F874" s="8">
        <f>ROUNDUP(E870/E874,0)</f>
        <v>20</v>
      </c>
      <c r="H874" s="14"/>
      <c r="I874" s="14"/>
      <c r="J874" s="14"/>
      <c r="K874" s="14"/>
      <c r="L874" s="14"/>
      <c r="M874" s="14"/>
      <c r="N874" s="14"/>
      <c r="O874" s="8">
        <f>((((G870-(2*'[2]Beam '!$D$11))+(2*10*D874/1000))*D870))*2</f>
        <v>2.48</v>
      </c>
      <c r="P874" s="8">
        <f>O874*F874</f>
        <v>49.6</v>
      </c>
      <c r="Q874" s="8">
        <f>IF($D874='[2]Beam '!Q$44,$P874*'[2]Beam '!Q$45,0)</f>
        <v>0</v>
      </c>
      <c r="R874" s="8">
        <f>IF($D874='[2]Beam '!R$44,$P874*'[2]Beam '!R$45,0)</f>
        <v>30.592571428571429</v>
      </c>
      <c r="S874" s="8">
        <f>IF($D874='[2]Beam '!S$44,$P874*'[2]Beam '!S$45,0)</f>
        <v>0</v>
      </c>
      <c r="T874" s="8">
        <f>IF($D874='[2]Beam '!T$44,$P874*'[2]Beam '!T$45,0)</f>
        <v>0</v>
      </c>
      <c r="U874" s="8">
        <f>IF($D874='[2]Beam '!U$44,$P874*'[2]Beam '!U$45,0)</f>
        <v>0</v>
      </c>
      <c r="V874" s="8">
        <f>IF($D874='[2]Beam '!V$44,$P874*'[2]Beam '!V$45,0)</f>
        <v>0</v>
      </c>
      <c r="W874" s="8">
        <f>IF($D874='[2]Beam '!W$44,$P874*'[2]Beam '!W$45,0)</f>
        <v>0</v>
      </c>
      <c r="X874" s="8">
        <f>SUM(Q874:W874)</f>
        <v>30.592571428571429</v>
      </c>
      <c r="Y874" s="14"/>
      <c r="Z874" s="8"/>
      <c r="AA874" s="8"/>
      <c r="AB874" s="8"/>
      <c r="AC874" s="8"/>
      <c r="AD874" s="8"/>
      <c r="AE874" s="8"/>
    </row>
    <row r="875" spans="1:32" s="10" customFormat="1" ht="20.100000000000001" customHeight="1" x14ac:dyDescent="0.25">
      <c r="A875" s="8">
        <v>1</v>
      </c>
      <c r="B875" s="8" t="s">
        <v>2</v>
      </c>
      <c r="C875" s="11" t="s">
        <v>120</v>
      </c>
      <c r="D875" s="11">
        <v>1</v>
      </c>
      <c r="E875" s="11">
        <v>6.4340000000000002</v>
      </c>
      <c r="F875" s="11">
        <v>0.35</v>
      </c>
      <c r="G875" s="11">
        <v>1.1000000000000001</v>
      </c>
      <c r="H875" s="8">
        <f>G875-0.2</f>
        <v>0.90000000000000013</v>
      </c>
      <c r="I875" s="8">
        <f>E875*F875*G875*D875</f>
        <v>2.47709</v>
      </c>
      <c r="J875" s="8">
        <f>(2*(E875)*H875*D875)+(E875*F875)</f>
        <v>13.833100000000002</v>
      </c>
      <c r="K875" s="12">
        <f>IF(E875=0.3,J875,0)</f>
        <v>0</v>
      </c>
      <c r="L875" s="12">
        <f>IF(AND(E875&gt;0.3,E875&lt;=0.75),J875,0)</f>
        <v>0</v>
      </c>
      <c r="M875" s="12">
        <f>IF(AND(E875&gt;0.75,E875&lt;=1.2),J875,0)</f>
        <v>0</v>
      </c>
      <c r="N875" s="12">
        <f>IF(E875&gt;1.2,J875,0)</f>
        <v>13.833100000000002</v>
      </c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>
        <f>SUM(X876:X879)/I875</f>
        <v>118.17727728330999</v>
      </c>
      <c r="Z875" s="8"/>
      <c r="AA875" s="8"/>
      <c r="AB875" s="8"/>
      <c r="AC875" s="8"/>
      <c r="AD875" s="8"/>
      <c r="AE875" s="8"/>
    </row>
    <row r="876" spans="1:32" s="10" customFormat="1" ht="19.5" customHeight="1" x14ac:dyDescent="0.25">
      <c r="A876" s="7"/>
      <c r="B876" s="8" t="s">
        <v>2</v>
      </c>
      <c r="C876" s="13" t="s">
        <v>4</v>
      </c>
      <c r="D876" s="8">
        <v>25</v>
      </c>
      <c r="E876" s="8"/>
      <c r="F876" s="8">
        <v>3</v>
      </c>
      <c r="G876" s="9">
        <f>VLOOKUP(D876,'[2]Beam '!$C$20:$H$26,3,0)</f>
        <v>1</v>
      </c>
      <c r="H876" s="9"/>
      <c r="I876" s="8"/>
      <c r="J876" s="8"/>
      <c r="K876" s="8"/>
      <c r="L876" s="8"/>
      <c r="M876" s="8"/>
      <c r="N876" s="8"/>
      <c r="O876" s="8">
        <f>(E875+1*(2/2)+G876*D875)</f>
        <v>8.4340000000000011</v>
      </c>
      <c r="P876" s="8">
        <f t="shared" ref="P876:P882" si="163">O876*F876</f>
        <v>25.302000000000003</v>
      </c>
      <c r="Q876" s="8">
        <f>IF($D876='[2]Beam '!Q$44,$P876*'[2]Beam '!Q$45,0)</f>
        <v>0</v>
      </c>
      <c r="R876" s="8">
        <f>IF($D876='[2]Beam '!R$44,$P876*'[2]Beam '!R$45,0)</f>
        <v>0</v>
      </c>
      <c r="S876" s="8">
        <f>IF($D876='[2]Beam '!S$44,$P876*'[2]Beam '!S$45,0)</f>
        <v>0</v>
      </c>
      <c r="T876" s="8">
        <f>IF($D876='[2]Beam '!T$44,$P876*'[2]Beam '!T$45,0)</f>
        <v>0</v>
      </c>
      <c r="U876" s="8">
        <f>IF($D876='[2]Beam '!U$44,$P876*'[2]Beam '!U$45,0)</f>
        <v>0</v>
      </c>
      <c r="V876" s="8">
        <f>IF($D876='[2]Beam '!V$44,$P876*'[2]Beam '!V$45,0)</f>
        <v>97.536950892857163</v>
      </c>
      <c r="W876" s="8">
        <f>IF($D876='[2]Beam '!W$44,$P876*'[2]Beam '!W$45,0)</f>
        <v>0</v>
      </c>
      <c r="X876" s="8">
        <f t="shared" ref="X876:X882" si="164">SUM(Q876:W876)</f>
        <v>97.536950892857163</v>
      </c>
      <c r="Y876" s="8"/>
      <c r="Z876" s="8"/>
      <c r="AA876" s="8"/>
      <c r="AB876" s="8"/>
      <c r="AC876" s="8"/>
      <c r="AD876" s="8"/>
      <c r="AE876" s="8"/>
    </row>
    <row r="877" spans="1:32" s="14" customFormat="1" ht="20.100000000000001" customHeight="1" x14ac:dyDescent="0.3">
      <c r="A877" s="7"/>
      <c r="B877" s="8" t="s">
        <v>2</v>
      </c>
      <c r="C877" s="13" t="s">
        <v>75</v>
      </c>
      <c r="D877" s="8">
        <v>25</v>
      </c>
      <c r="E877" s="8"/>
      <c r="F877" s="8">
        <v>2</v>
      </c>
      <c r="G877" s="9">
        <f>VLOOKUP(D877,'[2]Beam '!$C$20:$H$26,3,0)</f>
        <v>1</v>
      </c>
      <c r="H877" s="9"/>
      <c r="I877" s="8"/>
      <c r="J877" s="8"/>
      <c r="K877" s="8"/>
      <c r="L877" s="8"/>
      <c r="M877" s="8"/>
      <c r="N877" s="8"/>
      <c r="O877" s="8">
        <f>1.6+1*(2/2)</f>
        <v>2.6</v>
      </c>
      <c r="P877" s="8">
        <f t="shared" si="163"/>
        <v>5.2</v>
      </c>
      <c r="Q877" s="8">
        <f>IF($D877='[2]Beam '!Q$44,$P877*'[2]Beam '!Q$45,0)</f>
        <v>0</v>
      </c>
      <c r="R877" s="8">
        <f>IF($D877='[2]Beam '!R$44,$P877*'[2]Beam '!R$45,0)</f>
        <v>0</v>
      </c>
      <c r="S877" s="8">
        <f>IF($D877='[2]Beam '!S$44,$P877*'[2]Beam '!S$45,0)</f>
        <v>0</v>
      </c>
      <c r="T877" s="8">
        <f>IF($D877='[2]Beam '!T$44,$P877*'[2]Beam '!T$45,0)</f>
        <v>0</v>
      </c>
      <c r="U877" s="8">
        <f>IF($D877='[2]Beam '!U$44,$P877*'[2]Beam '!U$45,0)</f>
        <v>0</v>
      </c>
      <c r="V877" s="8">
        <f>IF($D877='[2]Beam '!V$44,$P877*'[2]Beam '!V$45,0)</f>
        <v>20.04553571428572</v>
      </c>
      <c r="W877" s="8">
        <f>IF($D877='[2]Beam '!W$44,$P877*'[2]Beam '!W$45,0)</f>
        <v>0</v>
      </c>
      <c r="X877" s="8">
        <f t="shared" si="164"/>
        <v>20.04553571428572</v>
      </c>
      <c r="Y877" s="8"/>
    </row>
    <row r="878" spans="1:32" s="14" customFormat="1" ht="20.100000000000001" customHeight="1" x14ac:dyDescent="0.3">
      <c r="A878" s="7"/>
      <c r="B878" s="8" t="s">
        <v>2</v>
      </c>
      <c r="C878" s="13" t="s">
        <v>6</v>
      </c>
      <c r="D878" s="8">
        <v>25</v>
      </c>
      <c r="E878" s="8"/>
      <c r="F878" s="8">
        <v>3</v>
      </c>
      <c r="G878" s="9">
        <f>VLOOKUP(D878,'[2]Beam '!$C$20:$H$26,3,0)</f>
        <v>1</v>
      </c>
      <c r="H878" s="8"/>
      <c r="I878" s="8"/>
      <c r="J878" s="8"/>
      <c r="K878" s="8"/>
      <c r="L878" s="8"/>
      <c r="M878" s="8"/>
      <c r="N878" s="8"/>
      <c r="O878" s="8">
        <f>(E875+1*(2/2)+G878*D875)</f>
        <v>8.4340000000000011</v>
      </c>
      <c r="P878" s="8">
        <f t="shared" si="163"/>
        <v>25.302000000000003</v>
      </c>
      <c r="Q878" s="8">
        <f>IF($D878='[2]Beam '!Q$44,$P878*'[2]Beam '!Q$45,0)</f>
        <v>0</v>
      </c>
      <c r="R878" s="8">
        <f>IF($D878='[2]Beam '!R$44,$P878*'[2]Beam '!R$45,0)</f>
        <v>0</v>
      </c>
      <c r="S878" s="8">
        <f>IF($D878='[2]Beam '!S$44,$P878*'[2]Beam '!S$45,0)</f>
        <v>0</v>
      </c>
      <c r="T878" s="8">
        <f>IF($D878='[2]Beam '!T$44,$P878*'[2]Beam '!T$45,0)</f>
        <v>0</v>
      </c>
      <c r="U878" s="8">
        <f>IF($D878='[2]Beam '!U$44,$P878*'[2]Beam '!U$45,0)</f>
        <v>0</v>
      </c>
      <c r="V878" s="8">
        <f>IF($D878='[2]Beam '!V$44,$P878*'[2]Beam '!V$45,0)</f>
        <v>97.536950892857163</v>
      </c>
      <c r="W878" s="8">
        <f>IF($D878='[2]Beam '!W$44,$P878*'[2]Beam '!W$45,0)</f>
        <v>0</v>
      </c>
      <c r="X878" s="8">
        <f t="shared" si="164"/>
        <v>97.536950892857163</v>
      </c>
      <c r="Y878" s="8"/>
    </row>
    <row r="879" spans="1:32" s="14" customFormat="1" ht="20.100000000000001" customHeight="1" x14ac:dyDescent="0.25">
      <c r="A879" s="7"/>
      <c r="B879" s="8" t="s">
        <v>2</v>
      </c>
      <c r="C879" s="13" t="s">
        <v>13</v>
      </c>
      <c r="D879" s="8">
        <v>10</v>
      </c>
      <c r="E879" s="8">
        <v>0.1</v>
      </c>
      <c r="F879" s="8">
        <f>ROUNDUP((E875/3*2)/E879,0)+1</f>
        <v>44</v>
      </c>
      <c r="G879" s="10"/>
      <c r="H879" s="8"/>
      <c r="I879" s="8"/>
      <c r="J879" s="8"/>
      <c r="K879" s="8"/>
      <c r="L879" s="8"/>
      <c r="M879" s="8"/>
      <c r="N879" s="8"/>
      <c r="O879" s="8">
        <f>(2*((G875-(2*'[2]Beam '!$D$11))+(F875-(2*'[2]Beam '!$D$11)))+(2*10*D879/1000))*D875</f>
        <v>2.8600000000000003</v>
      </c>
      <c r="P879" s="8">
        <f t="shared" si="163"/>
        <v>125.84000000000002</v>
      </c>
      <c r="Q879" s="8">
        <f>IF($D879='[2]Beam '!Q$44,$P879*'[2]Beam '!Q$45,0)</f>
        <v>0</v>
      </c>
      <c r="R879" s="8">
        <f>IF($D879='[2]Beam '!R$44,$P879*'[2]Beam '!R$45,0)</f>
        <v>77.616314285714296</v>
      </c>
      <c r="S879" s="8">
        <f>IF($D879='[2]Beam '!S$44,$P879*'[2]Beam '!S$45,0)</f>
        <v>0</v>
      </c>
      <c r="T879" s="8">
        <f>IF($D879='[2]Beam '!T$44,$P879*'[2]Beam '!T$45,0)</f>
        <v>0</v>
      </c>
      <c r="U879" s="8">
        <f>IF($D879='[2]Beam '!U$44,$P879*'[2]Beam '!U$45,0)</f>
        <v>0</v>
      </c>
      <c r="V879" s="8">
        <f>IF($D879='[2]Beam '!V$44,$P879*'[2]Beam '!V$45,0)</f>
        <v>0</v>
      </c>
      <c r="W879" s="8">
        <f>IF($D879='[2]Beam '!W$44,$P879*'[2]Beam '!W$45,0)</f>
        <v>0</v>
      </c>
      <c r="X879" s="8">
        <f t="shared" si="164"/>
        <v>77.616314285714296</v>
      </c>
      <c r="Y879" s="8"/>
    </row>
    <row r="880" spans="1:32" s="10" customFormat="1" ht="21" customHeight="1" x14ac:dyDescent="0.25">
      <c r="A880" s="14"/>
      <c r="B880" s="8" t="s">
        <v>2</v>
      </c>
      <c r="C880" s="13" t="s">
        <v>14</v>
      </c>
      <c r="D880" s="14">
        <f>D879</f>
        <v>10</v>
      </c>
      <c r="E880" s="14">
        <v>0.125</v>
      </c>
      <c r="F880" s="8">
        <f>ROUNDUP((E875/3)/E880,0)+1</f>
        <v>19</v>
      </c>
      <c r="H880" s="14"/>
      <c r="I880" s="14"/>
      <c r="J880" s="14"/>
      <c r="K880" s="14"/>
      <c r="L880" s="14"/>
      <c r="M880" s="14"/>
      <c r="N880" s="14"/>
      <c r="O880" s="8">
        <f>(2*((G875-(2*'[2]Beam '!$D$11))+(F875-(2*'[2]Beam '!$D$11)))+(2*10*D880/1000))*D875</f>
        <v>2.8600000000000003</v>
      </c>
      <c r="P880" s="8">
        <f t="shared" si="163"/>
        <v>54.34</v>
      </c>
      <c r="Q880" s="8">
        <f>IF($D880='[2]Beam '!Q$44,$P880*'[2]Beam '!Q$45,0)</f>
        <v>0</v>
      </c>
      <c r="R880" s="8">
        <f>IF($D880='[2]Beam '!R$44,$P880*'[2]Beam '!R$45,0)</f>
        <v>33.516135714285717</v>
      </c>
      <c r="S880" s="8">
        <f>IF($D880='[2]Beam '!S$44,$P880*'[2]Beam '!S$45,0)</f>
        <v>0</v>
      </c>
      <c r="T880" s="8">
        <f>IF($D880='[2]Beam '!T$44,$P880*'[2]Beam '!T$45,0)</f>
        <v>0</v>
      </c>
      <c r="U880" s="8">
        <f>IF($D880='[2]Beam '!U$44,$P880*'[2]Beam '!U$45,0)</f>
        <v>0</v>
      </c>
      <c r="V880" s="8">
        <f>IF($D880='[2]Beam '!V$44,$P880*'[2]Beam '!V$45,0)</f>
        <v>0</v>
      </c>
      <c r="W880" s="8">
        <f>IF($D880='[2]Beam '!W$44,$P880*'[2]Beam '!W$45,0)</f>
        <v>0</v>
      </c>
      <c r="X880" s="8">
        <f t="shared" si="164"/>
        <v>33.516135714285717</v>
      </c>
      <c r="Y880" s="14"/>
      <c r="Z880" s="8"/>
      <c r="AA880" s="8"/>
      <c r="AB880" s="8"/>
      <c r="AC880" s="8"/>
      <c r="AD880" s="8"/>
      <c r="AE880" s="8"/>
      <c r="AF880" s="8"/>
    </row>
    <row r="881" spans="1:32" s="10" customFormat="1" ht="20.100000000000001" customHeight="1" x14ac:dyDescent="0.25">
      <c r="A881" s="14"/>
      <c r="B881" s="8" t="s">
        <v>2</v>
      </c>
      <c r="C881" s="13" t="s">
        <v>15</v>
      </c>
      <c r="D881" s="14">
        <f>D879</f>
        <v>10</v>
      </c>
      <c r="E881" s="14">
        <f>+E879</f>
        <v>0.1</v>
      </c>
      <c r="F881" s="8">
        <f>ROUNDUP((E875/3*2)/E881,0)+1</f>
        <v>44</v>
      </c>
      <c r="H881" s="14"/>
      <c r="I881" s="14"/>
      <c r="J881" s="14"/>
      <c r="K881" s="14"/>
      <c r="L881" s="14"/>
      <c r="M881" s="14"/>
      <c r="N881" s="14"/>
      <c r="O881" s="8">
        <f>(2*(((F875-'[2]Beam '!$D$11*2)/(F876-1))+(G875-'[2]Beam '!$D$11*2))+(2*10*D881/1000))*D875</f>
        <v>2.5700000000000003</v>
      </c>
      <c r="P881" s="8">
        <f t="shared" si="163"/>
        <v>113.08000000000001</v>
      </c>
      <c r="Q881" s="8">
        <f>IF($D881='[2]Beam '!Q$44,$P881*'[2]Beam '!Q$45,0)</f>
        <v>0</v>
      </c>
      <c r="R881" s="8">
        <f>IF($D881='[2]Beam '!R$44,$P881*'[2]Beam '!R$45,0)</f>
        <v>69.746128571428571</v>
      </c>
      <c r="S881" s="8">
        <f>IF($D881='[2]Beam '!S$44,$P881*'[2]Beam '!S$45,0)</f>
        <v>0</v>
      </c>
      <c r="T881" s="8">
        <f>IF($D881='[2]Beam '!T$44,$P881*'[2]Beam '!T$45,0)</f>
        <v>0</v>
      </c>
      <c r="U881" s="8">
        <f>IF($D881='[2]Beam '!U$44,$P881*'[2]Beam '!U$45,0)</f>
        <v>0</v>
      </c>
      <c r="V881" s="8">
        <f>IF($D881='[2]Beam '!V$44,$P881*'[2]Beam '!V$45,0)</f>
        <v>0</v>
      </c>
      <c r="W881" s="8">
        <f>IF($D881='[2]Beam '!W$44,$P881*'[2]Beam '!W$45,0)</f>
        <v>0</v>
      </c>
      <c r="X881" s="8">
        <f t="shared" si="164"/>
        <v>69.746128571428571</v>
      </c>
      <c r="Y881" s="14"/>
      <c r="Z881" s="8"/>
      <c r="AA881" s="8"/>
      <c r="AB881" s="8"/>
      <c r="AC881" s="8"/>
      <c r="AD881" s="8"/>
      <c r="AE881" s="8"/>
    </row>
    <row r="882" spans="1:32" s="10" customFormat="1" ht="20.100000000000001" customHeight="1" x14ac:dyDescent="0.25">
      <c r="A882" s="14"/>
      <c r="B882" s="8" t="s">
        <v>2</v>
      </c>
      <c r="C882" s="13" t="s">
        <v>16</v>
      </c>
      <c r="D882" s="14">
        <f>D880</f>
        <v>10</v>
      </c>
      <c r="E882" s="14">
        <f>+E880</f>
        <v>0.125</v>
      </c>
      <c r="F882" s="8">
        <f>ROUNDUP((E875/3)/E882,0)+1</f>
        <v>19</v>
      </c>
      <c r="H882" s="14"/>
      <c r="I882" s="14"/>
      <c r="J882" s="14"/>
      <c r="K882" s="14"/>
      <c r="L882" s="14"/>
      <c r="M882" s="14"/>
      <c r="N882" s="14"/>
      <c r="O882" s="8">
        <f>(2*(((F875-'[2]Beam '!$D$11*2)/(F876-1))+(G875-'[2]Beam '!$D$11*2))+(2*10*D882/1000))*D875</f>
        <v>2.5700000000000003</v>
      </c>
      <c r="P882" s="8">
        <f t="shared" si="163"/>
        <v>48.830000000000005</v>
      </c>
      <c r="Q882" s="8">
        <f>IF($D882='[2]Beam '!Q$44,$P882*'[2]Beam '!Q$45,0)</f>
        <v>0</v>
      </c>
      <c r="R882" s="8">
        <f>IF($D882='[2]Beam '!R$44,$P882*'[2]Beam '!R$45,0)</f>
        <v>30.11764642857143</v>
      </c>
      <c r="S882" s="8">
        <f>IF($D882='[2]Beam '!S$44,$P882*'[2]Beam '!S$45,0)</f>
        <v>0</v>
      </c>
      <c r="T882" s="8">
        <f>IF($D882='[2]Beam '!T$44,$P882*'[2]Beam '!T$45,0)</f>
        <v>0</v>
      </c>
      <c r="U882" s="8">
        <f>IF($D882='[2]Beam '!U$44,$P882*'[2]Beam '!U$45,0)</f>
        <v>0</v>
      </c>
      <c r="V882" s="8">
        <f>IF($D882='[2]Beam '!V$44,$P882*'[2]Beam '!V$45,0)</f>
        <v>0</v>
      </c>
      <c r="W882" s="8">
        <f>IF($D882='[2]Beam '!W$44,$P882*'[2]Beam '!W$45,0)</f>
        <v>0</v>
      </c>
      <c r="X882" s="8">
        <f t="shared" si="164"/>
        <v>30.11764642857143</v>
      </c>
      <c r="Y882" s="14"/>
      <c r="Z882" s="8"/>
      <c r="AA882" s="8"/>
      <c r="AB882" s="8"/>
      <c r="AC882" s="8"/>
      <c r="AD882" s="8"/>
      <c r="AE882" s="8"/>
    </row>
    <row r="883" spans="1:32" s="10" customFormat="1" ht="20.100000000000001" customHeight="1" x14ac:dyDescent="0.25">
      <c r="A883" s="8">
        <v>1</v>
      </c>
      <c r="B883" s="8" t="s">
        <v>2</v>
      </c>
      <c r="C883" s="11" t="s">
        <v>121</v>
      </c>
      <c r="D883" s="11">
        <v>1</v>
      </c>
      <c r="E883" s="11">
        <v>2.1459999999999999</v>
      </c>
      <c r="F883" s="11">
        <v>0.35</v>
      </c>
      <c r="G883" s="11">
        <v>1.1000000000000001</v>
      </c>
      <c r="H883" s="8">
        <f>G883-0.2</f>
        <v>0.90000000000000013</v>
      </c>
      <c r="I883" s="8">
        <f>E883*F883*G883*D883</f>
        <v>0.82620999999999989</v>
      </c>
      <c r="J883" s="8">
        <f>(2*(E883)*H883*D883)+(E883*F883)</f>
        <v>4.6139000000000001</v>
      </c>
      <c r="K883" s="12">
        <f>IF(E883=0.3,J883,0)</f>
        <v>0</v>
      </c>
      <c r="L883" s="12">
        <f>IF(AND(E883&gt;0.3,E883&lt;=0.75),J883,0)</f>
        <v>0</v>
      </c>
      <c r="M883" s="12">
        <f>IF(AND(E883&gt;0.75,E883&lt;=1.2),J883,0)</f>
        <v>0</v>
      </c>
      <c r="N883" s="12">
        <f>IF(E883&gt;1.2,J883,0)</f>
        <v>4.6139000000000001</v>
      </c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>
        <f>SUM(X884:X888)/I883</f>
        <v>162.00768396827513</v>
      </c>
      <c r="Z883" s="8"/>
      <c r="AA883" s="8"/>
      <c r="AB883" s="8"/>
      <c r="AC883" s="8"/>
      <c r="AD883" s="8"/>
      <c r="AE883" s="8"/>
    </row>
    <row r="884" spans="1:32" s="10" customFormat="1" ht="20.100000000000001" customHeight="1" x14ac:dyDescent="0.25">
      <c r="A884" s="7"/>
      <c r="B884" s="8" t="s">
        <v>2</v>
      </c>
      <c r="C884" s="13" t="s">
        <v>4</v>
      </c>
      <c r="D884" s="8">
        <v>25</v>
      </c>
      <c r="E884" s="8"/>
      <c r="F884" s="8">
        <v>3</v>
      </c>
      <c r="G884" s="9">
        <f>VLOOKUP(D884,'[2]Beam '!$C$20:$H$26,3,0)</f>
        <v>1</v>
      </c>
      <c r="H884" s="9"/>
      <c r="I884" s="8"/>
      <c r="J884" s="8"/>
      <c r="K884" s="8"/>
      <c r="L884" s="8"/>
      <c r="M884" s="8"/>
      <c r="N884" s="8"/>
      <c r="O884" s="8">
        <f>(E883+1*(2/2)*D883)</f>
        <v>3.1459999999999999</v>
      </c>
      <c r="P884" s="8">
        <f t="shared" ref="P884:P890" si="165">O884*F884</f>
        <v>9.4379999999999988</v>
      </c>
      <c r="Q884" s="8">
        <f>IF($D884='[2]Beam '!Q$44,$P884*'[2]Beam '!Q$45,0)</f>
        <v>0</v>
      </c>
      <c r="R884" s="8">
        <f>IF($D884='[2]Beam '!R$44,$P884*'[2]Beam '!R$45,0)</f>
        <v>0</v>
      </c>
      <c r="S884" s="8">
        <f>IF($D884='[2]Beam '!S$44,$P884*'[2]Beam '!S$45,0)</f>
        <v>0</v>
      </c>
      <c r="T884" s="8">
        <f>IF($D884='[2]Beam '!T$44,$P884*'[2]Beam '!T$45,0)</f>
        <v>0</v>
      </c>
      <c r="U884" s="8">
        <f>IF($D884='[2]Beam '!U$44,$P884*'[2]Beam '!U$45,0)</f>
        <v>0</v>
      </c>
      <c r="V884" s="8">
        <f>IF($D884='[2]Beam '!V$44,$P884*'[2]Beam '!V$45,0)</f>
        <v>36.382647321428571</v>
      </c>
      <c r="W884" s="8">
        <f>IF($D884='[2]Beam '!W$44,$P884*'[2]Beam '!W$45,0)</f>
        <v>0</v>
      </c>
      <c r="X884" s="8">
        <f t="shared" ref="X884:X890" si="166">SUM(Q884:W884)</f>
        <v>36.382647321428571</v>
      </c>
      <c r="Y884" s="8"/>
      <c r="Z884" s="8"/>
      <c r="AA884" s="8"/>
      <c r="AB884" s="8"/>
      <c r="AC884" s="8"/>
      <c r="AD884" s="8"/>
      <c r="AE884" s="8"/>
    </row>
    <row r="885" spans="1:32" s="10" customFormat="1" ht="20.100000000000001" customHeight="1" x14ac:dyDescent="0.25">
      <c r="A885" s="7"/>
      <c r="B885" s="8" t="s">
        <v>2</v>
      </c>
      <c r="C885" s="13" t="s">
        <v>75</v>
      </c>
      <c r="D885" s="8">
        <v>25</v>
      </c>
      <c r="E885" s="8"/>
      <c r="F885" s="8">
        <v>2</v>
      </c>
      <c r="G885" s="9">
        <f>VLOOKUP(D885,'[2]Beam '!$C$20:$H$26,3,0)</f>
        <v>1</v>
      </c>
      <c r="H885" s="9"/>
      <c r="I885" s="8"/>
      <c r="J885" s="8"/>
      <c r="K885" s="8"/>
      <c r="L885" s="8"/>
      <c r="M885" s="8"/>
      <c r="N885" s="8"/>
      <c r="O885" s="8">
        <f>1.05+1*(2/2)</f>
        <v>2.0499999999999998</v>
      </c>
      <c r="P885" s="8">
        <f t="shared" si="165"/>
        <v>4.0999999999999996</v>
      </c>
      <c r="Q885" s="8">
        <f>IF($D885='[2]Beam '!Q$44,$P885*'[2]Beam '!Q$45,0)</f>
        <v>0</v>
      </c>
      <c r="R885" s="8">
        <f>IF($D885='[2]Beam '!R$44,$P885*'[2]Beam '!R$45,0)</f>
        <v>0</v>
      </c>
      <c r="S885" s="8">
        <f>IF($D885='[2]Beam '!S$44,$P885*'[2]Beam '!S$45,0)</f>
        <v>0</v>
      </c>
      <c r="T885" s="8">
        <f>IF($D885='[2]Beam '!T$44,$P885*'[2]Beam '!T$45,0)</f>
        <v>0</v>
      </c>
      <c r="U885" s="8">
        <f>IF($D885='[2]Beam '!U$44,$P885*'[2]Beam '!U$45,0)</f>
        <v>0</v>
      </c>
      <c r="V885" s="8">
        <f>IF($D885='[2]Beam '!V$44,$P885*'[2]Beam '!V$45,0)</f>
        <v>15.805133928571429</v>
      </c>
      <c r="W885" s="8">
        <f>IF($D885='[2]Beam '!W$44,$P885*'[2]Beam '!W$45,0)</f>
        <v>0</v>
      </c>
      <c r="X885" s="8">
        <f t="shared" si="166"/>
        <v>15.805133928571429</v>
      </c>
      <c r="Y885" s="8"/>
      <c r="Z885" s="8"/>
      <c r="AA885" s="8"/>
      <c r="AB885" s="8"/>
      <c r="AC885" s="8"/>
      <c r="AD885" s="8"/>
      <c r="AE885" s="8"/>
    </row>
    <row r="886" spans="1:32" s="14" customFormat="1" ht="20.100000000000001" customHeight="1" x14ac:dyDescent="0.3">
      <c r="A886" s="7"/>
      <c r="B886" s="8" t="s">
        <v>2</v>
      </c>
      <c r="C886" s="13" t="s">
        <v>6</v>
      </c>
      <c r="D886" s="8">
        <v>25</v>
      </c>
      <c r="E886" s="8"/>
      <c r="F886" s="8">
        <v>3</v>
      </c>
      <c r="G886" s="9">
        <f>VLOOKUP(D886,'[2]Beam '!$C$20:$H$26,3,0)</f>
        <v>1</v>
      </c>
      <c r="H886" s="8"/>
      <c r="I886" s="8"/>
      <c r="J886" s="8"/>
      <c r="K886" s="8"/>
      <c r="L886" s="8"/>
      <c r="M886" s="8"/>
      <c r="N886" s="8"/>
      <c r="O886" s="8">
        <f>(E883+1*(2/2)*D883)</f>
        <v>3.1459999999999999</v>
      </c>
      <c r="P886" s="8">
        <f t="shared" si="165"/>
        <v>9.4379999999999988</v>
      </c>
      <c r="Q886" s="8">
        <f>IF($D886='[2]Beam '!Q$44,$P886*'[2]Beam '!Q$45,0)</f>
        <v>0</v>
      </c>
      <c r="R886" s="8">
        <f>IF($D886='[2]Beam '!R$44,$P886*'[2]Beam '!R$45,0)</f>
        <v>0</v>
      </c>
      <c r="S886" s="8">
        <f>IF($D886='[2]Beam '!S$44,$P886*'[2]Beam '!S$45,0)</f>
        <v>0</v>
      </c>
      <c r="T886" s="8">
        <f>IF($D886='[2]Beam '!T$44,$P886*'[2]Beam '!T$45,0)</f>
        <v>0</v>
      </c>
      <c r="U886" s="8">
        <f>IF($D886='[2]Beam '!U$44,$P886*'[2]Beam '!U$45,0)</f>
        <v>0</v>
      </c>
      <c r="V886" s="8">
        <f>IF($D886='[2]Beam '!V$44,$P886*'[2]Beam '!V$45,0)</f>
        <v>36.382647321428571</v>
      </c>
      <c r="W886" s="8">
        <f>IF($D886='[2]Beam '!W$44,$P886*'[2]Beam '!W$45,0)</f>
        <v>0</v>
      </c>
      <c r="X886" s="8">
        <f t="shared" si="166"/>
        <v>36.382647321428571</v>
      </c>
      <c r="Y886" s="8"/>
    </row>
    <row r="887" spans="1:32" s="10" customFormat="1" ht="20.100000000000001" customHeight="1" x14ac:dyDescent="0.25">
      <c r="A887" s="7"/>
      <c r="B887" s="8" t="s">
        <v>2</v>
      </c>
      <c r="C887" s="13" t="s">
        <v>88</v>
      </c>
      <c r="D887" s="8">
        <v>16</v>
      </c>
      <c r="E887" s="8"/>
      <c r="F887" s="8">
        <v>2</v>
      </c>
      <c r="G887" s="9">
        <f>VLOOKUP(D887,'[2]Beam '!$C$20:$H$26,3,0)</f>
        <v>0.625</v>
      </c>
      <c r="H887" s="8"/>
      <c r="I887" s="8"/>
      <c r="J887" s="8"/>
      <c r="K887" s="8"/>
      <c r="L887" s="8"/>
      <c r="M887" s="8"/>
      <c r="N887" s="8"/>
      <c r="O887" s="8">
        <f>1.05+1*(1)</f>
        <v>2.0499999999999998</v>
      </c>
      <c r="P887" s="8">
        <f t="shared" si="165"/>
        <v>4.0999999999999996</v>
      </c>
      <c r="Q887" s="8">
        <f>IF($D887='[2]Beam '!Q$44,$P887*'[2]Beam '!Q$45,0)</f>
        <v>0</v>
      </c>
      <c r="R887" s="8">
        <f>IF($D887='[2]Beam '!R$44,$P887*'[2]Beam '!R$45,0)</f>
        <v>0</v>
      </c>
      <c r="S887" s="8">
        <f>IF($D887='[2]Beam '!S$44,$P887*'[2]Beam '!S$45,0)</f>
        <v>0</v>
      </c>
      <c r="T887" s="8">
        <f>IF($D887='[2]Beam '!T$44,$P887*'[2]Beam '!T$45,0)</f>
        <v>6.4737828571428571</v>
      </c>
      <c r="U887" s="8">
        <f>IF($D887='[2]Beam '!U$44,$P887*'[2]Beam '!U$45,0)</f>
        <v>0</v>
      </c>
      <c r="V887" s="8">
        <f>IF($D887='[2]Beam '!V$44,$P887*'[2]Beam '!V$45,0)</f>
        <v>0</v>
      </c>
      <c r="W887" s="8">
        <f>IF($D887='[2]Beam '!W$44,$P887*'[2]Beam '!W$45,0)</f>
        <v>0</v>
      </c>
      <c r="X887" s="8">
        <f t="shared" si="166"/>
        <v>6.4737828571428571</v>
      </c>
      <c r="Y887" s="8"/>
      <c r="Z887" s="8"/>
      <c r="AA887" s="8"/>
      <c r="AB887" s="8"/>
      <c r="AC887" s="8"/>
      <c r="AD887" s="8"/>
      <c r="AE887" s="8"/>
    </row>
    <row r="888" spans="1:32" s="10" customFormat="1" ht="21" customHeight="1" x14ac:dyDescent="0.25">
      <c r="A888" s="7"/>
      <c r="B888" s="8" t="s">
        <v>2</v>
      </c>
      <c r="C888" s="13" t="s">
        <v>8</v>
      </c>
      <c r="D888" s="8">
        <v>10</v>
      </c>
      <c r="E888" s="8">
        <v>0.1</v>
      </c>
      <c r="F888" s="8">
        <f>ROUNDUP(E883/E888,0)</f>
        <v>22</v>
      </c>
      <c r="H888" s="8"/>
      <c r="I888" s="8"/>
      <c r="J888" s="8"/>
      <c r="K888" s="8"/>
      <c r="L888" s="8"/>
      <c r="M888" s="8"/>
      <c r="N888" s="8"/>
      <c r="O888" s="8">
        <f>(2*((G883-(2*'[2]Beam '!$D$11))+(F883-(2*'[2]Beam '!$D$11)))+(2*10*D888/1000))*D883</f>
        <v>2.8600000000000003</v>
      </c>
      <c r="P888" s="8">
        <f t="shared" si="165"/>
        <v>62.920000000000009</v>
      </c>
      <c r="Q888" s="8">
        <f>IF($D888='[2]Beam '!Q$44,$P888*'[2]Beam '!Q$45,0)</f>
        <v>0</v>
      </c>
      <c r="R888" s="8">
        <f>IF($D888='[2]Beam '!R$44,$P888*'[2]Beam '!R$45,0)</f>
        <v>38.808157142857148</v>
      </c>
      <c r="S888" s="8">
        <f>IF($D888='[2]Beam '!S$44,$P888*'[2]Beam '!S$45,0)</f>
        <v>0</v>
      </c>
      <c r="T888" s="8">
        <f>IF($D888='[2]Beam '!T$44,$P888*'[2]Beam '!T$45,0)</f>
        <v>0</v>
      </c>
      <c r="U888" s="8">
        <f>IF($D888='[2]Beam '!U$44,$P888*'[2]Beam '!U$45,0)</f>
        <v>0</v>
      </c>
      <c r="V888" s="8">
        <f>IF($D888='[2]Beam '!V$44,$P888*'[2]Beam '!V$45,0)</f>
        <v>0</v>
      </c>
      <c r="W888" s="8">
        <f>IF($D888='[2]Beam '!W$44,$P888*'[2]Beam '!W$45,0)</f>
        <v>0</v>
      </c>
      <c r="X888" s="8">
        <f t="shared" si="166"/>
        <v>38.808157142857148</v>
      </c>
      <c r="Y888" s="8"/>
      <c r="Z888" s="8"/>
      <c r="AA888" s="8"/>
      <c r="AB888" s="8"/>
      <c r="AC888" s="8"/>
      <c r="AD888" s="8"/>
      <c r="AE888" s="8"/>
      <c r="AF888" s="8"/>
    </row>
    <row r="889" spans="1:32" s="10" customFormat="1" ht="20.100000000000001" customHeight="1" x14ac:dyDescent="0.25">
      <c r="A889" s="14"/>
      <c r="B889" s="8" t="s">
        <v>2</v>
      </c>
      <c r="C889" s="13" t="s">
        <v>9</v>
      </c>
      <c r="D889" s="8">
        <f>+D888</f>
        <v>10</v>
      </c>
      <c r="E889" s="14">
        <f>+E888</f>
        <v>0.1</v>
      </c>
      <c r="F889" s="8">
        <f>ROUNDUP(E883/E889,0)</f>
        <v>22</v>
      </c>
      <c r="H889" s="14"/>
      <c r="I889" s="14"/>
      <c r="J889" s="14"/>
      <c r="K889" s="14"/>
      <c r="L889" s="14"/>
      <c r="M889" s="14"/>
      <c r="N889" s="14"/>
      <c r="O889" s="8">
        <f>((((G883-(2*'[2]Beam '!$D$11))+(2*10*D889/1000))*D883))*1</f>
        <v>1.24</v>
      </c>
      <c r="P889" s="8">
        <f t="shared" si="165"/>
        <v>27.28</v>
      </c>
      <c r="Q889" s="8">
        <f>IF($D889='[2]Beam '!Q$44,$P889*'[2]Beam '!Q$45,0)</f>
        <v>0</v>
      </c>
      <c r="R889" s="8">
        <f>IF($D889='[2]Beam '!R$44,$P889*'[2]Beam '!R$45,0)</f>
        <v>16.825914285714287</v>
      </c>
      <c r="S889" s="8">
        <f>IF($D889='[2]Beam '!S$44,$P889*'[2]Beam '!S$45,0)</f>
        <v>0</v>
      </c>
      <c r="T889" s="8">
        <f>IF($D889='[2]Beam '!T$44,$P889*'[2]Beam '!T$45,0)</f>
        <v>0</v>
      </c>
      <c r="U889" s="8">
        <f>IF($D889='[2]Beam '!U$44,$P889*'[2]Beam '!U$45,0)</f>
        <v>0</v>
      </c>
      <c r="V889" s="8">
        <f>IF($D889='[2]Beam '!V$44,$P889*'[2]Beam '!V$45,0)</f>
        <v>0</v>
      </c>
      <c r="W889" s="8">
        <f>IF($D889='[2]Beam '!W$44,$P889*'[2]Beam '!W$45,0)</f>
        <v>0</v>
      </c>
      <c r="X889" s="8">
        <f t="shared" si="166"/>
        <v>16.825914285714287</v>
      </c>
      <c r="Y889" s="14"/>
      <c r="Z889" s="8"/>
      <c r="AA889" s="8"/>
      <c r="AB889" s="8"/>
      <c r="AC889" s="8"/>
      <c r="AD889" s="8"/>
      <c r="AE889" s="8"/>
    </row>
    <row r="890" spans="1:32" s="10" customFormat="1" ht="20.100000000000001" customHeight="1" x14ac:dyDescent="0.25">
      <c r="A890" s="7"/>
      <c r="B890" s="8" t="s">
        <v>2</v>
      </c>
      <c r="C890" s="13" t="s">
        <v>10</v>
      </c>
      <c r="D890" s="8">
        <f>+'[2]Beam '!$D$15</f>
        <v>25</v>
      </c>
      <c r="E890" s="8">
        <f>+'[2]Beam '!$E$15</f>
        <v>1</v>
      </c>
      <c r="F890" s="8">
        <f>ROUNDUP((1.05)/E890,0)</f>
        <v>2</v>
      </c>
      <c r="G890" s="9"/>
      <c r="H890" s="9"/>
      <c r="I890" s="8"/>
      <c r="J890" s="8"/>
      <c r="K890" s="8"/>
      <c r="L890" s="8"/>
      <c r="M890" s="8"/>
      <c r="N890" s="8"/>
      <c r="O890" s="8">
        <f>F883-'[2]Beam '!$F$15</f>
        <v>0.28999999999999998</v>
      </c>
      <c r="P890" s="8">
        <f t="shared" si="165"/>
        <v>0.57999999999999996</v>
      </c>
      <c r="Q890" s="8">
        <f>IF($D890='[2]Beam '!Q$44,$P890*'[2]Beam '!Q$45,0)</f>
        <v>0</v>
      </c>
      <c r="R890" s="8">
        <f>IF($D890='[2]Beam '!R$44,$P890*'[2]Beam '!R$45,0)</f>
        <v>0</v>
      </c>
      <c r="S890" s="8">
        <f>IF($D890='[2]Beam '!S$44,$P890*'[2]Beam '!S$45,0)</f>
        <v>0</v>
      </c>
      <c r="T890" s="8">
        <f>IF($D890='[2]Beam '!T$44,$P890*'[2]Beam '!T$45,0)</f>
        <v>0</v>
      </c>
      <c r="U890" s="8">
        <f>IF($D890='[2]Beam '!U$44,$P890*'[2]Beam '!U$45,0)</f>
        <v>0</v>
      </c>
      <c r="V890" s="8">
        <f>IF($D890='[2]Beam '!V$44,$P890*'[2]Beam '!V$45,0)</f>
        <v>2.2358482142857143</v>
      </c>
      <c r="W890" s="8">
        <f>IF($D890='[2]Beam '!W$44,$P890*'[2]Beam '!W$45,0)</f>
        <v>0</v>
      </c>
      <c r="X890" s="8">
        <f t="shared" si="166"/>
        <v>2.2358482142857143</v>
      </c>
      <c r="Y890" s="8"/>
      <c r="Z890" s="8"/>
      <c r="AA890" s="8"/>
      <c r="AB890" s="8"/>
      <c r="AC890" s="8"/>
      <c r="AD890" s="8"/>
      <c r="AE890" s="8"/>
    </row>
    <row r="891" spans="1:32" s="10" customFormat="1" ht="20.100000000000001" customHeight="1" x14ac:dyDescent="0.25">
      <c r="A891" s="8">
        <v>1</v>
      </c>
      <c r="B891" s="8" t="s">
        <v>2</v>
      </c>
      <c r="C891" s="11" t="s">
        <v>122</v>
      </c>
      <c r="D891" s="11">
        <v>1</v>
      </c>
      <c r="E891" s="11">
        <v>3.3690000000000002</v>
      </c>
      <c r="F891" s="11">
        <v>0.35</v>
      </c>
      <c r="G891" s="11">
        <v>1.1000000000000001</v>
      </c>
      <c r="H891" s="8">
        <f>G891-0.2</f>
        <v>0.90000000000000013</v>
      </c>
      <c r="I891" s="8">
        <f>E891*F891*G891*D891</f>
        <v>1.2970649999999999</v>
      </c>
      <c r="J891" s="8">
        <f>(2*(E891)*H891*D891)+(E891*F891)</f>
        <v>7.2433500000000013</v>
      </c>
      <c r="K891" s="12">
        <f>IF(E891=0.3,J891,0)</f>
        <v>0</v>
      </c>
      <c r="L891" s="12">
        <f>IF(AND(E891&gt;0.3,E891&lt;=0.75),J891,0)</f>
        <v>0</v>
      </c>
      <c r="M891" s="12">
        <f>IF(AND(E891&gt;0.75,E891&lt;=1.2),J891,0)</f>
        <v>0</v>
      </c>
      <c r="N891" s="12">
        <f>IF(E891&gt;1.2,J891,0)</f>
        <v>7.2433500000000013</v>
      </c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>
        <f>SUM(X892:X894)/I891</f>
        <v>124.14865278257344</v>
      </c>
      <c r="Z891" s="8"/>
      <c r="AA891" s="8"/>
      <c r="AB891" s="8"/>
      <c r="AC891" s="8"/>
      <c r="AD891" s="8"/>
      <c r="AE891" s="8"/>
    </row>
    <row r="892" spans="1:32" s="14" customFormat="1" ht="20.100000000000001" customHeight="1" x14ac:dyDescent="0.3">
      <c r="A892" s="7"/>
      <c r="B892" s="8" t="s">
        <v>2</v>
      </c>
      <c r="C892" s="13" t="s">
        <v>4</v>
      </c>
      <c r="D892" s="8">
        <v>25</v>
      </c>
      <c r="E892" s="8"/>
      <c r="F892" s="8">
        <v>3</v>
      </c>
      <c r="G892" s="9">
        <f>VLOOKUP(D892,'[2]Beam '!$C$20:$H$26,3,0)</f>
        <v>1</v>
      </c>
      <c r="H892" s="9"/>
      <c r="I892" s="8"/>
      <c r="J892" s="8"/>
      <c r="K892" s="8"/>
      <c r="L892" s="8"/>
      <c r="M892" s="8"/>
      <c r="N892" s="8"/>
      <c r="O892" s="8">
        <f>(E891+1*(2/2)*D891)</f>
        <v>4.3689999999999998</v>
      </c>
      <c r="P892" s="8">
        <f>O892*F892</f>
        <v>13.106999999999999</v>
      </c>
      <c r="Q892" s="8">
        <f>IF($D892='[2]Beam '!Q$44,$P892*'[2]Beam '!Q$45,0)</f>
        <v>0</v>
      </c>
      <c r="R892" s="8">
        <f>IF($D892='[2]Beam '!R$44,$P892*'[2]Beam '!R$45,0)</f>
        <v>0</v>
      </c>
      <c r="S892" s="8">
        <f>IF($D892='[2]Beam '!S$44,$P892*'[2]Beam '!S$45,0)</f>
        <v>0</v>
      </c>
      <c r="T892" s="8">
        <f>IF($D892='[2]Beam '!T$44,$P892*'[2]Beam '!T$45,0)</f>
        <v>0</v>
      </c>
      <c r="U892" s="8">
        <f>IF($D892='[2]Beam '!U$44,$P892*'[2]Beam '!U$45,0)</f>
        <v>0</v>
      </c>
      <c r="V892" s="8">
        <f>IF($D892='[2]Beam '!V$44,$P892*'[2]Beam '!V$45,0)</f>
        <v>50.526314732142865</v>
      </c>
      <c r="W892" s="8">
        <f>IF($D892='[2]Beam '!W$44,$P892*'[2]Beam '!W$45,0)</f>
        <v>0</v>
      </c>
      <c r="X892" s="8">
        <f>SUM(Q892:W892)</f>
        <v>50.526314732142865</v>
      </c>
      <c r="Y892" s="8"/>
    </row>
    <row r="893" spans="1:32" s="10" customFormat="1" ht="21" customHeight="1" x14ac:dyDescent="0.25">
      <c r="A893" s="7"/>
      <c r="B893" s="8" t="s">
        <v>2</v>
      </c>
      <c r="C893" s="13" t="s">
        <v>6</v>
      </c>
      <c r="D893" s="8">
        <v>25</v>
      </c>
      <c r="E893" s="8"/>
      <c r="F893" s="8">
        <v>3</v>
      </c>
      <c r="G893" s="9">
        <f>VLOOKUP(D893,'[2]Beam '!$C$20:$H$26,3,0)</f>
        <v>1</v>
      </c>
      <c r="H893" s="8"/>
      <c r="I893" s="8"/>
      <c r="J893" s="8"/>
      <c r="K893" s="8"/>
      <c r="L893" s="8"/>
      <c r="M893" s="8"/>
      <c r="N893" s="8"/>
      <c r="O893" s="8">
        <f>(E891+1*(2/2)*D891)</f>
        <v>4.3689999999999998</v>
      </c>
      <c r="P893" s="8">
        <f>O893*F893</f>
        <v>13.106999999999999</v>
      </c>
      <c r="Q893" s="8">
        <f>IF($D893='[2]Beam '!Q$44,$P893*'[2]Beam '!Q$45,0)</f>
        <v>0</v>
      </c>
      <c r="R893" s="8">
        <f>IF($D893='[2]Beam '!R$44,$P893*'[2]Beam '!R$45,0)</f>
        <v>0</v>
      </c>
      <c r="S893" s="8">
        <f>IF($D893='[2]Beam '!S$44,$P893*'[2]Beam '!S$45,0)</f>
        <v>0</v>
      </c>
      <c r="T893" s="8">
        <f>IF($D893='[2]Beam '!T$44,$P893*'[2]Beam '!T$45,0)</f>
        <v>0</v>
      </c>
      <c r="U893" s="8">
        <f>IF($D893='[2]Beam '!U$44,$P893*'[2]Beam '!U$45,0)</f>
        <v>0</v>
      </c>
      <c r="V893" s="8">
        <f>IF($D893='[2]Beam '!V$44,$P893*'[2]Beam '!V$45,0)</f>
        <v>50.526314732142865</v>
      </c>
      <c r="W893" s="8">
        <f>IF($D893='[2]Beam '!W$44,$P893*'[2]Beam '!W$45,0)</f>
        <v>0</v>
      </c>
      <c r="X893" s="8">
        <f>SUM(Q893:W893)</f>
        <v>50.526314732142865</v>
      </c>
      <c r="Y893" s="8"/>
      <c r="Z893" s="8"/>
      <c r="AA893" s="8"/>
      <c r="AB893" s="8"/>
      <c r="AC893" s="8"/>
      <c r="AD893" s="8"/>
      <c r="AE893" s="8"/>
      <c r="AF893" s="8"/>
    </row>
    <row r="894" spans="1:32" s="10" customFormat="1" ht="20.100000000000001" customHeight="1" x14ac:dyDescent="0.25">
      <c r="A894" s="7"/>
      <c r="B894" s="8" t="s">
        <v>2</v>
      </c>
      <c r="C894" s="13" t="s">
        <v>8</v>
      </c>
      <c r="D894" s="8">
        <v>10</v>
      </c>
      <c r="E894" s="8">
        <v>0.1</v>
      </c>
      <c r="F894" s="8">
        <f>ROUNDUP(E891/E894,0)</f>
        <v>34</v>
      </c>
      <c r="H894" s="8"/>
      <c r="I894" s="8"/>
      <c r="J894" s="8"/>
      <c r="K894" s="8"/>
      <c r="L894" s="8"/>
      <c r="M894" s="8"/>
      <c r="N894" s="8"/>
      <c r="O894" s="8">
        <f>(2*((G891-(2*'[2]Beam '!$D$11))+(F891-(2*'[2]Beam '!$D$11)))+(2*10*D894/1000))*D891</f>
        <v>2.8600000000000003</v>
      </c>
      <c r="P894" s="8">
        <f>O894*F894</f>
        <v>97.240000000000009</v>
      </c>
      <c r="Q894" s="8">
        <f>IF($D894='[2]Beam '!Q$44,$P894*'[2]Beam '!Q$45,0)</f>
        <v>0</v>
      </c>
      <c r="R894" s="8">
        <f>IF($D894='[2]Beam '!R$44,$P894*'[2]Beam '!R$45,0)</f>
        <v>59.976242857142864</v>
      </c>
      <c r="S894" s="8">
        <f>IF($D894='[2]Beam '!S$44,$P894*'[2]Beam '!S$45,0)</f>
        <v>0</v>
      </c>
      <c r="T894" s="8">
        <f>IF($D894='[2]Beam '!T$44,$P894*'[2]Beam '!T$45,0)</f>
        <v>0</v>
      </c>
      <c r="U894" s="8">
        <f>IF($D894='[2]Beam '!U$44,$P894*'[2]Beam '!U$45,0)</f>
        <v>0</v>
      </c>
      <c r="V894" s="8">
        <f>IF($D894='[2]Beam '!V$44,$P894*'[2]Beam '!V$45,0)</f>
        <v>0</v>
      </c>
      <c r="W894" s="8">
        <f>IF($D894='[2]Beam '!W$44,$P894*'[2]Beam '!W$45,0)</f>
        <v>0</v>
      </c>
      <c r="X894" s="8">
        <f>SUM(Q894:W894)</f>
        <v>59.976242857142864</v>
      </c>
      <c r="Y894" s="8"/>
      <c r="Z894" s="8"/>
      <c r="AA894" s="8"/>
      <c r="AB894" s="8"/>
      <c r="AC894" s="8"/>
      <c r="AD894" s="8"/>
      <c r="AE894" s="8"/>
    </row>
    <row r="895" spans="1:32" s="10" customFormat="1" ht="20.100000000000001" customHeight="1" x14ac:dyDescent="0.25">
      <c r="A895" s="14"/>
      <c r="B895" s="8" t="s">
        <v>2</v>
      </c>
      <c r="C895" s="13" t="s">
        <v>9</v>
      </c>
      <c r="D895" s="8">
        <f>+D894</f>
        <v>10</v>
      </c>
      <c r="E895" s="14">
        <f>+E894</f>
        <v>0.1</v>
      </c>
      <c r="F895" s="8">
        <f>ROUNDUP(E891/E895,0)</f>
        <v>34</v>
      </c>
      <c r="H895" s="14"/>
      <c r="I895" s="14"/>
      <c r="J895" s="14"/>
      <c r="K895" s="14"/>
      <c r="L895" s="14"/>
      <c r="M895" s="14"/>
      <c r="N895" s="14"/>
      <c r="O895" s="8">
        <f>((((G891-(2*'[2]Beam '!$D$11))+(2*10*D895/1000))*D891))*1</f>
        <v>1.24</v>
      </c>
      <c r="P895" s="8">
        <f>O895*F895</f>
        <v>42.16</v>
      </c>
      <c r="Q895" s="8">
        <f>IF($D895='[2]Beam '!Q$44,$P895*'[2]Beam '!Q$45,0)</f>
        <v>0</v>
      </c>
      <c r="R895" s="8">
        <f>IF($D895='[2]Beam '!R$44,$P895*'[2]Beam '!R$45,0)</f>
        <v>26.003685714285712</v>
      </c>
      <c r="S895" s="8">
        <f>IF($D895='[2]Beam '!S$44,$P895*'[2]Beam '!S$45,0)</f>
        <v>0</v>
      </c>
      <c r="T895" s="8">
        <f>IF($D895='[2]Beam '!T$44,$P895*'[2]Beam '!T$45,0)</f>
        <v>0</v>
      </c>
      <c r="U895" s="8">
        <f>IF($D895='[2]Beam '!U$44,$P895*'[2]Beam '!U$45,0)</f>
        <v>0</v>
      </c>
      <c r="V895" s="8">
        <f>IF($D895='[2]Beam '!V$44,$P895*'[2]Beam '!V$45,0)</f>
        <v>0</v>
      </c>
      <c r="W895" s="8">
        <f>IF($D895='[2]Beam '!W$44,$P895*'[2]Beam '!W$45,0)</f>
        <v>0</v>
      </c>
      <c r="X895" s="8">
        <f>SUM(Q895:W895)</f>
        <v>26.003685714285712</v>
      </c>
      <c r="Y895" s="14"/>
      <c r="Z895" s="8"/>
      <c r="AA895" s="8"/>
      <c r="AB895" s="8"/>
      <c r="AC895" s="8"/>
      <c r="AD895" s="8"/>
      <c r="AE895" s="8"/>
    </row>
    <row r="896" spans="1:32" s="10" customFormat="1" ht="20.100000000000001" customHeight="1" x14ac:dyDescent="0.25">
      <c r="A896" s="8">
        <v>1</v>
      </c>
      <c r="B896" s="8" t="s">
        <v>2</v>
      </c>
      <c r="C896" s="11" t="s">
        <v>123</v>
      </c>
      <c r="D896" s="11">
        <v>1</v>
      </c>
      <c r="E896" s="11">
        <v>2.625</v>
      </c>
      <c r="F896" s="11">
        <v>0.35</v>
      </c>
      <c r="G896" s="11">
        <v>1.1000000000000001</v>
      </c>
      <c r="H896" s="8">
        <f>G896-0.2</f>
        <v>0.90000000000000013</v>
      </c>
      <c r="I896" s="8">
        <f>E896*F896*G896*D896</f>
        <v>1.0106250000000001</v>
      </c>
      <c r="J896" s="8">
        <f>(2*(E896)*H896*D896)+(E896*F896)</f>
        <v>5.6437500000000007</v>
      </c>
      <c r="K896" s="12">
        <f>IF(E896=0.3,J896,0)</f>
        <v>0</v>
      </c>
      <c r="L896" s="12">
        <f>IF(AND(E896&gt;0.3,E896&lt;=0.75),J896,0)</f>
        <v>0</v>
      </c>
      <c r="M896" s="12">
        <f>IF(AND(E896&gt;0.75,E896&lt;=1.2),J896,0)</f>
        <v>0</v>
      </c>
      <c r="N896" s="12">
        <f>IF(E896&gt;1.2,J896,0)</f>
        <v>5.6437500000000007</v>
      </c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>
        <f>SUM(X897:X899)/I896</f>
        <v>130.09029154518953</v>
      </c>
      <c r="Z896" s="8"/>
      <c r="AA896" s="8"/>
      <c r="AB896" s="8"/>
      <c r="AC896" s="8"/>
      <c r="AD896" s="8"/>
      <c r="AE896" s="8"/>
    </row>
    <row r="897" spans="1:32" s="14" customFormat="1" ht="20.100000000000001" customHeight="1" x14ac:dyDescent="0.3">
      <c r="A897" s="7"/>
      <c r="B897" s="8" t="s">
        <v>2</v>
      </c>
      <c r="C897" s="13" t="s">
        <v>4</v>
      </c>
      <c r="D897" s="8">
        <v>25</v>
      </c>
      <c r="E897" s="8"/>
      <c r="F897" s="8">
        <v>3</v>
      </c>
      <c r="G897" s="9">
        <f>VLOOKUP(D897,'[2]Beam '!$C$20:$H$26,3,0)</f>
        <v>1</v>
      </c>
      <c r="H897" s="9"/>
      <c r="I897" s="8"/>
      <c r="J897" s="8"/>
      <c r="K897" s="8"/>
      <c r="L897" s="8"/>
      <c r="M897" s="8"/>
      <c r="N897" s="8"/>
      <c r="O897" s="8">
        <f>(E896+1*(2/2)*D896)</f>
        <v>3.625</v>
      </c>
      <c r="P897" s="8">
        <f>O897*F897</f>
        <v>10.875</v>
      </c>
      <c r="Q897" s="8">
        <f>IF($D897='[2]Beam '!Q$44,$P897*'[2]Beam '!Q$45,0)</f>
        <v>0</v>
      </c>
      <c r="R897" s="8">
        <f>IF($D897='[2]Beam '!R$44,$P897*'[2]Beam '!R$45,0)</f>
        <v>0</v>
      </c>
      <c r="S897" s="8">
        <f>IF($D897='[2]Beam '!S$44,$P897*'[2]Beam '!S$45,0)</f>
        <v>0</v>
      </c>
      <c r="T897" s="8">
        <f>IF($D897='[2]Beam '!T$44,$P897*'[2]Beam '!T$45,0)</f>
        <v>0</v>
      </c>
      <c r="U897" s="8">
        <f>IF($D897='[2]Beam '!U$44,$P897*'[2]Beam '!U$45,0)</f>
        <v>0</v>
      </c>
      <c r="V897" s="8">
        <f>IF($D897='[2]Beam '!V$44,$P897*'[2]Beam '!V$45,0)</f>
        <v>41.922154017857146</v>
      </c>
      <c r="W897" s="8">
        <f>IF($D897='[2]Beam '!W$44,$P897*'[2]Beam '!W$45,0)</f>
        <v>0</v>
      </c>
      <c r="X897" s="8">
        <f>SUM(Q897:W897)</f>
        <v>41.922154017857146</v>
      </c>
      <c r="Y897" s="8"/>
    </row>
    <row r="898" spans="1:32" s="10" customFormat="1" ht="21" customHeight="1" x14ac:dyDescent="0.25">
      <c r="A898" s="7"/>
      <c r="B898" s="8" t="s">
        <v>2</v>
      </c>
      <c r="C898" s="13" t="s">
        <v>6</v>
      </c>
      <c r="D898" s="8">
        <v>25</v>
      </c>
      <c r="E898" s="8"/>
      <c r="F898" s="8">
        <v>3</v>
      </c>
      <c r="G898" s="9">
        <f>VLOOKUP(D898,'[2]Beam '!$C$20:$H$26,3,0)</f>
        <v>1</v>
      </c>
      <c r="H898" s="8"/>
      <c r="I898" s="8"/>
      <c r="J898" s="8"/>
      <c r="K898" s="8"/>
      <c r="L898" s="8"/>
      <c r="M898" s="8"/>
      <c r="N898" s="8"/>
      <c r="O898" s="8">
        <f>(E896+1*(2/2)*D896)</f>
        <v>3.625</v>
      </c>
      <c r="P898" s="8">
        <f>O898*F898</f>
        <v>10.875</v>
      </c>
      <c r="Q898" s="8">
        <f>IF($D898='[2]Beam '!Q$44,$P898*'[2]Beam '!Q$45,0)</f>
        <v>0</v>
      </c>
      <c r="R898" s="8">
        <f>IF($D898='[2]Beam '!R$44,$P898*'[2]Beam '!R$45,0)</f>
        <v>0</v>
      </c>
      <c r="S898" s="8">
        <f>IF($D898='[2]Beam '!S$44,$P898*'[2]Beam '!S$45,0)</f>
        <v>0</v>
      </c>
      <c r="T898" s="8">
        <f>IF($D898='[2]Beam '!T$44,$P898*'[2]Beam '!T$45,0)</f>
        <v>0</v>
      </c>
      <c r="U898" s="8">
        <f>IF($D898='[2]Beam '!U$44,$P898*'[2]Beam '!U$45,0)</f>
        <v>0</v>
      </c>
      <c r="V898" s="8">
        <f>IF($D898='[2]Beam '!V$44,$P898*'[2]Beam '!V$45,0)</f>
        <v>41.922154017857146</v>
      </c>
      <c r="W898" s="8">
        <f>IF($D898='[2]Beam '!W$44,$P898*'[2]Beam '!W$45,0)</f>
        <v>0</v>
      </c>
      <c r="X898" s="8">
        <f>SUM(Q898:W898)</f>
        <v>41.922154017857146</v>
      </c>
      <c r="Y898" s="8"/>
      <c r="Z898" s="8"/>
      <c r="AA898" s="8"/>
      <c r="AB898" s="8"/>
      <c r="AC898" s="8"/>
      <c r="AD898" s="8"/>
      <c r="AE898" s="8"/>
      <c r="AF898" s="8"/>
    </row>
    <row r="899" spans="1:32" s="10" customFormat="1" ht="20.100000000000001" customHeight="1" x14ac:dyDescent="0.25">
      <c r="A899" s="7"/>
      <c r="B899" s="8" t="s">
        <v>2</v>
      </c>
      <c r="C899" s="13" t="s">
        <v>8</v>
      </c>
      <c r="D899" s="8">
        <v>10</v>
      </c>
      <c r="E899" s="8">
        <v>0.1</v>
      </c>
      <c r="F899" s="8">
        <f>ROUNDUP(E896/E899,0)</f>
        <v>27</v>
      </c>
      <c r="H899" s="8"/>
      <c r="I899" s="8"/>
      <c r="J899" s="8"/>
      <c r="K899" s="8"/>
      <c r="L899" s="8"/>
      <c r="M899" s="8"/>
      <c r="N899" s="8"/>
      <c r="O899" s="8">
        <f>(2*((G896-(2*'[2]Beam '!$D$11))+(F896-(2*'[2]Beam '!$D$11)))+(2*10*D899/1000))*D896</f>
        <v>2.8600000000000003</v>
      </c>
      <c r="P899" s="8">
        <f>O899*F899</f>
        <v>77.220000000000013</v>
      </c>
      <c r="Q899" s="8">
        <f>IF($D899='[2]Beam '!Q$44,$P899*'[2]Beam '!Q$45,0)</f>
        <v>0</v>
      </c>
      <c r="R899" s="8">
        <f>IF($D899='[2]Beam '!R$44,$P899*'[2]Beam '!R$45,0)</f>
        <v>47.628192857142864</v>
      </c>
      <c r="S899" s="8">
        <f>IF($D899='[2]Beam '!S$44,$P899*'[2]Beam '!S$45,0)</f>
        <v>0</v>
      </c>
      <c r="T899" s="8">
        <f>IF($D899='[2]Beam '!T$44,$P899*'[2]Beam '!T$45,0)</f>
        <v>0</v>
      </c>
      <c r="U899" s="8">
        <f>IF($D899='[2]Beam '!U$44,$P899*'[2]Beam '!U$45,0)</f>
        <v>0</v>
      </c>
      <c r="V899" s="8">
        <f>IF($D899='[2]Beam '!V$44,$P899*'[2]Beam '!V$45,0)</f>
        <v>0</v>
      </c>
      <c r="W899" s="8">
        <f>IF($D899='[2]Beam '!W$44,$P899*'[2]Beam '!W$45,0)</f>
        <v>0</v>
      </c>
      <c r="X899" s="8">
        <f>SUM(Q899:W899)</f>
        <v>47.628192857142864</v>
      </c>
      <c r="Y899" s="8"/>
      <c r="Z899" s="8"/>
      <c r="AA899" s="8"/>
      <c r="AB899" s="8"/>
      <c r="AC899" s="8"/>
      <c r="AD899" s="8"/>
      <c r="AE899" s="8"/>
    </row>
    <row r="900" spans="1:32" s="10" customFormat="1" ht="20.100000000000001" customHeight="1" x14ac:dyDescent="0.25">
      <c r="A900" s="14"/>
      <c r="B900" s="8" t="s">
        <v>2</v>
      </c>
      <c r="C900" s="13" t="s">
        <v>9</v>
      </c>
      <c r="D900" s="8">
        <f>+D899</f>
        <v>10</v>
      </c>
      <c r="E900" s="14">
        <f>+E899</f>
        <v>0.1</v>
      </c>
      <c r="F900" s="8">
        <f>ROUNDUP(E896/E900,0)</f>
        <v>27</v>
      </c>
      <c r="H900" s="14"/>
      <c r="I900" s="14"/>
      <c r="J900" s="14"/>
      <c r="K900" s="14"/>
      <c r="L900" s="14"/>
      <c r="M900" s="14"/>
      <c r="N900" s="14"/>
      <c r="O900" s="8">
        <f>((((G896-(2*'[2]Beam '!$D$11))+(2*10*D900/1000))*D896))*1</f>
        <v>1.24</v>
      </c>
      <c r="P900" s="8">
        <f>O900*F900</f>
        <v>33.479999999999997</v>
      </c>
      <c r="Q900" s="8">
        <f>IF($D900='[2]Beam '!Q$44,$P900*'[2]Beam '!Q$45,0)</f>
        <v>0</v>
      </c>
      <c r="R900" s="8">
        <f>IF($D900='[2]Beam '!R$44,$P900*'[2]Beam '!R$45,0)</f>
        <v>20.649985714285712</v>
      </c>
      <c r="S900" s="8">
        <f>IF($D900='[2]Beam '!S$44,$P900*'[2]Beam '!S$45,0)</f>
        <v>0</v>
      </c>
      <c r="T900" s="8">
        <f>IF($D900='[2]Beam '!T$44,$P900*'[2]Beam '!T$45,0)</f>
        <v>0</v>
      </c>
      <c r="U900" s="8">
        <f>IF($D900='[2]Beam '!U$44,$P900*'[2]Beam '!U$45,0)</f>
        <v>0</v>
      </c>
      <c r="V900" s="8">
        <f>IF($D900='[2]Beam '!V$44,$P900*'[2]Beam '!V$45,0)</f>
        <v>0</v>
      </c>
      <c r="W900" s="8">
        <f>IF($D900='[2]Beam '!W$44,$P900*'[2]Beam '!W$45,0)</f>
        <v>0</v>
      </c>
      <c r="X900" s="8">
        <f>SUM(Q900:W900)</f>
        <v>20.649985714285712</v>
      </c>
      <c r="Y900" s="14"/>
      <c r="Z900" s="8"/>
      <c r="AA900" s="8"/>
      <c r="AB900" s="8"/>
      <c r="AC900" s="8"/>
      <c r="AD900" s="8"/>
      <c r="AE900" s="8"/>
    </row>
    <row r="901" spans="1:32" s="10" customFormat="1" ht="20.100000000000001" customHeight="1" x14ac:dyDescent="0.25">
      <c r="A901" s="8">
        <v>1</v>
      </c>
      <c r="B901" s="8" t="s">
        <v>2</v>
      </c>
      <c r="C901" s="11" t="s">
        <v>124</v>
      </c>
      <c r="D901" s="11">
        <v>1</v>
      </c>
      <c r="E901" s="11">
        <v>5.4349999999999996</v>
      </c>
      <c r="F901" s="11">
        <v>0.35</v>
      </c>
      <c r="G901" s="11">
        <v>1.1000000000000001</v>
      </c>
      <c r="H901" s="8">
        <f>G901-0.2</f>
        <v>0.90000000000000013</v>
      </c>
      <c r="I901" s="8">
        <f>E901*F901*G901*D901</f>
        <v>2.0924749999999999</v>
      </c>
      <c r="J901" s="8">
        <f>(2*(E901)*H901*D901)+(E901*F901)</f>
        <v>11.685250000000002</v>
      </c>
      <c r="K901" s="12">
        <f>IF(E901=0.3,J901,0)</f>
        <v>0</v>
      </c>
      <c r="L901" s="12">
        <f>IF(AND(E901&gt;0.3,E901&lt;=0.75),J901,0)</f>
        <v>0</v>
      </c>
      <c r="M901" s="12">
        <f>IF(AND(E901&gt;0.75,E901&lt;=1.2),J901,0)</f>
        <v>0</v>
      </c>
      <c r="N901" s="12">
        <f>IF(E901&gt;1.2,J901,0)</f>
        <v>11.685250000000002</v>
      </c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>
        <f>SUM(X902:X904)/I901</f>
        <v>109.06626081895502</v>
      </c>
      <c r="Z901" s="8"/>
      <c r="AA901" s="8"/>
      <c r="AB901" s="8"/>
      <c r="AC901" s="8"/>
      <c r="AD901" s="8"/>
      <c r="AE901" s="8"/>
    </row>
    <row r="902" spans="1:32" s="14" customFormat="1" ht="20.100000000000001" customHeight="1" x14ac:dyDescent="0.3">
      <c r="A902" s="7"/>
      <c r="B902" s="8" t="s">
        <v>2</v>
      </c>
      <c r="C902" s="13" t="s">
        <v>4</v>
      </c>
      <c r="D902" s="8">
        <v>25</v>
      </c>
      <c r="E902" s="8"/>
      <c r="F902" s="8">
        <v>3</v>
      </c>
      <c r="G902" s="9">
        <f>VLOOKUP(D902,'[2]Beam '!$C$20:$H$26,3,0)</f>
        <v>1</v>
      </c>
      <c r="H902" s="9"/>
      <c r="I902" s="8"/>
      <c r="J902" s="8"/>
      <c r="K902" s="8"/>
      <c r="L902" s="8"/>
      <c r="M902" s="8"/>
      <c r="N902" s="8"/>
      <c r="O902" s="8">
        <f>(E901+1*(2/2)*D901)</f>
        <v>6.4349999999999996</v>
      </c>
      <c r="P902" s="8">
        <f t="shared" ref="P902:P907" si="167">O902*F902</f>
        <v>19.305</v>
      </c>
      <c r="Q902" s="8">
        <f>IF($D902='[2]Beam '!Q$44,$P902*'[2]Beam '!Q$45,0)</f>
        <v>0</v>
      </c>
      <c r="R902" s="8">
        <f>IF($D902='[2]Beam '!R$44,$P902*'[2]Beam '!R$45,0)</f>
        <v>0</v>
      </c>
      <c r="S902" s="8">
        <f>IF($D902='[2]Beam '!S$44,$P902*'[2]Beam '!S$45,0)</f>
        <v>0</v>
      </c>
      <c r="T902" s="8">
        <f>IF($D902='[2]Beam '!T$44,$P902*'[2]Beam '!T$45,0)</f>
        <v>0</v>
      </c>
      <c r="U902" s="8">
        <f>IF($D902='[2]Beam '!U$44,$P902*'[2]Beam '!U$45,0)</f>
        <v>0</v>
      </c>
      <c r="V902" s="8">
        <f>IF($D902='[2]Beam '!V$44,$P902*'[2]Beam '!V$45,0)</f>
        <v>74.41905133928573</v>
      </c>
      <c r="W902" s="8">
        <f>IF($D902='[2]Beam '!W$44,$P902*'[2]Beam '!W$45,0)</f>
        <v>0</v>
      </c>
      <c r="X902" s="8">
        <f t="shared" ref="X902:X907" si="168">SUM(Q902:W902)</f>
        <v>74.41905133928573</v>
      </c>
      <c r="Y902" s="8"/>
    </row>
    <row r="903" spans="1:32" s="14" customFormat="1" ht="20.100000000000001" customHeight="1" x14ac:dyDescent="0.3">
      <c r="A903" s="7"/>
      <c r="B903" s="8" t="s">
        <v>2</v>
      </c>
      <c r="C903" s="13" t="s">
        <v>6</v>
      </c>
      <c r="D903" s="8">
        <v>25</v>
      </c>
      <c r="E903" s="8"/>
      <c r="F903" s="8">
        <v>3</v>
      </c>
      <c r="G903" s="9">
        <f>VLOOKUP(D903,'[2]Beam '!$C$20:$H$26,3,0)</f>
        <v>1</v>
      </c>
      <c r="H903" s="8"/>
      <c r="I903" s="8"/>
      <c r="J903" s="8"/>
      <c r="K903" s="8"/>
      <c r="L903" s="8"/>
      <c r="M903" s="8"/>
      <c r="N903" s="8"/>
      <c r="O903" s="8">
        <f>(E901+1*(2/2)*D901)</f>
        <v>6.4349999999999996</v>
      </c>
      <c r="P903" s="8">
        <f t="shared" si="167"/>
        <v>19.305</v>
      </c>
      <c r="Q903" s="8">
        <f>IF($D903='[2]Beam '!Q$44,$P903*'[2]Beam '!Q$45,0)</f>
        <v>0</v>
      </c>
      <c r="R903" s="8">
        <f>IF($D903='[2]Beam '!R$44,$P903*'[2]Beam '!R$45,0)</f>
        <v>0</v>
      </c>
      <c r="S903" s="8">
        <f>IF($D903='[2]Beam '!S$44,$P903*'[2]Beam '!S$45,0)</f>
        <v>0</v>
      </c>
      <c r="T903" s="8">
        <f>IF($D903='[2]Beam '!T$44,$P903*'[2]Beam '!T$45,0)</f>
        <v>0</v>
      </c>
      <c r="U903" s="8">
        <f>IF($D903='[2]Beam '!U$44,$P903*'[2]Beam '!U$45,0)</f>
        <v>0</v>
      </c>
      <c r="V903" s="8">
        <f>IF($D903='[2]Beam '!V$44,$P903*'[2]Beam '!V$45,0)</f>
        <v>74.41905133928573</v>
      </c>
      <c r="W903" s="8">
        <f>IF($D903='[2]Beam '!W$44,$P903*'[2]Beam '!W$45,0)</f>
        <v>0</v>
      </c>
      <c r="X903" s="8">
        <f t="shared" si="168"/>
        <v>74.41905133928573</v>
      </c>
      <c r="Y903" s="8"/>
    </row>
    <row r="904" spans="1:32" s="14" customFormat="1" ht="20.100000000000001" customHeight="1" x14ac:dyDescent="0.25">
      <c r="A904" s="7"/>
      <c r="B904" s="8" t="s">
        <v>2</v>
      </c>
      <c r="C904" s="13" t="s">
        <v>13</v>
      </c>
      <c r="D904" s="8">
        <v>10</v>
      </c>
      <c r="E904" s="8">
        <v>0.1</v>
      </c>
      <c r="F904" s="8">
        <f>ROUND(IF(E901/3&gt;(2*G901),(E901/3)/E904,(2*G901)/E904),0)*2+1</f>
        <v>45</v>
      </c>
      <c r="G904" s="10"/>
      <c r="H904" s="8"/>
      <c r="I904" s="8"/>
      <c r="J904" s="8"/>
      <c r="K904" s="8"/>
      <c r="L904" s="8"/>
      <c r="M904" s="8"/>
      <c r="N904" s="8"/>
      <c r="O904" s="8">
        <f>(2*((G901-(2*'[2]Beam '!$D$11))+(F901-(2*'[2]Beam '!$D$11)))+(2*10*D904/1000))*D901</f>
        <v>2.8600000000000003</v>
      </c>
      <c r="P904" s="8">
        <f t="shared" si="167"/>
        <v>128.70000000000002</v>
      </c>
      <c r="Q904" s="8">
        <f>IF($D904='[2]Beam '!Q$44,$P904*'[2]Beam '!Q$45,0)</f>
        <v>0</v>
      </c>
      <c r="R904" s="8">
        <f>IF($D904='[2]Beam '!R$44,$P904*'[2]Beam '!R$45,0)</f>
        <v>79.380321428571435</v>
      </c>
      <c r="S904" s="8">
        <f>IF($D904='[2]Beam '!S$44,$P904*'[2]Beam '!S$45,0)</f>
        <v>0</v>
      </c>
      <c r="T904" s="8">
        <f>IF($D904='[2]Beam '!T$44,$P904*'[2]Beam '!T$45,0)</f>
        <v>0</v>
      </c>
      <c r="U904" s="8">
        <f>IF($D904='[2]Beam '!U$44,$P904*'[2]Beam '!U$45,0)</f>
        <v>0</v>
      </c>
      <c r="V904" s="8">
        <f>IF($D904='[2]Beam '!V$44,$P904*'[2]Beam '!V$45,0)</f>
        <v>0</v>
      </c>
      <c r="W904" s="8">
        <f>IF($D904='[2]Beam '!W$44,$P904*'[2]Beam '!W$45,0)</f>
        <v>0</v>
      </c>
      <c r="X904" s="8">
        <f t="shared" si="168"/>
        <v>79.380321428571435</v>
      </c>
      <c r="Y904" s="8"/>
    </row>
    <row r="905" spans="1:32" s="10" customFormat="1" ht="21" customHeight="1" x14ac:dyDescent="0.25">
      <c r="A905" s="14"/>
      <c r="B905" s="8" t="s">
        <v>2</v>
      </c>
      <c r="C905" s="13" t="s">
        <v>14</v>
      </c>
      <c r="D905" s="14">
        <f>D904</f>
        <v>10</v>
      </c>
      <c r="E905" s="14">
        <v>0.2</v>
      </c>
      <c r="F905" s="14">
        <f>ROUND((E901-(IF(E901/3&gt;2*G901,E901/3*2,G901*2*2)))/E905,0)</f>
        <v>5</v>
      </c>
      <c r="H905" s="14"/>
      <c r="I905" s="14"/>
      <c r="J905" s="14"/>
      <c r="K905" s="14"/>
      <c r="L905" s="14"/>
      <c r="M905" s="14"/>
      <c r="N905" s="14"/>
      <c r="O905" s="8">
        <f>(2*((G901-(2*'[2]Beam '!$D$11))+(F901-(2*'[2]Beam '!$D$11)))+(2*10*D905/1000))*D901</f>
        <v>2.8600000000000003</v>
      </c>
      <c r="P905" s="8">
        <f t="shared" si="167"/>
        <v>14.3</v>
      </c>
      <c r="Q905" s="8">
        <f>IF($D905='[2]Beam '!Q$44,$P905*'[2]Beam '!Q$45,0)</f>
        <v>0</v>
      </c>
      <c r="R905" s="8">
        <f>IF($D905='[2]Beam '!R$44,$P905*'[2]Beam '!R$45,0)</f>
        <v>8.820035714285714</v>
      </c>
      <c r="S905" s="8">
        <f>IF($D905='[2]Beam '!S$44,$P905*'[2]Beam '!S$45,0)</f>
        <v>0</v>
      </c>
      <c r="T905" s="8">
        <f>IF($D905='[2]Beam '!T$44,$P905*'[2]Beam '!T$45,0)</f>
        <v>0</v>
      </c>
      <c r="U905" s="8">
        <f>IF($D905='[2]Beam '!U$44,$P905*'[2]Beam '!U$45,0)</f>
        <v>0</v>
      </c>
      <c r="V905" s="8">
        <f>IF($D905='[2]Beam '!V$44,$P905*'[2]Beam '!V$45,0)</f>
        <v>0</v>
      </c>
      <c r="W905" s="8">
        <f>IF($D905='[2]Beam '!W$44,$P905*'[2]Beam '!W$45,0)</f>
        <v>0</v>
      </c>
      <c r="X905" s="8">
        <f t="shared" si="168"/>
        <v>8.820035714285714</v>
      </c>
      <c r="Y905" s="14"/>
      <c r="Z905" s="8"/>
      <c r="AA905" s="8"/>
      <c r="AB905" s="8"/>
      <c r="AC905" s="8"/>
      <c r="AD905" s="8"/>
      <c r="AE905" s="8"/>
      <c r="AF905" s="8"/>
    </row>
    <row r="906" spans="1:32" s="10" customFormat="1" ht="20.100000000000001" customHeight="1" x14ac:dyDescent="0.25">
      <c r="A906" s="14"/>
      <c r="B906" s="8" t="s">
        <v>2</v>
      </c>
      <c r="C906" s="13" t="s">
        <v>15</v>
      </c>
      <c r="D906" s="14">
        <f>D904</f>
        <v>10</v>
      </c>
      <c r="E906" s="14">
        <f>+E904</f>
        <v>0.1</v>
      </c>
      <c r="F906" s="8">
        <f>ROUND(IF(E901/3&gt;(2*G901),(E901/3)/E906,(2*G901)/E906),0)*2+1</f>
        <v>45</v>
      </c>
      <c r="H906" s="14"/>
      <c r="I906" s="14"/>
      <c r="J906" s="14"/>
      <c r="K906" s="14"/>
      <c r="L906" s="14"/>
      <c r="M906" s="14"/>
      <c r="N906" s="14"/>
      <c r="O906" s="8">
        <f>(2*(((F901-'[2]Beam '!$D$11*2)/(F902-1))+(G901-'[2]Beam '!$D$11*2))+(2*10*D906/1000))*D901</f>
        <v>2.5700000000000003</v>
      </c>
      <c r="P906" s="8">
        <f t="shared" si="167"/>
        <v>115.65</v>
      </c>
      <c r="Q906" s="8">
        <f>IF($D906='[2]Beam '!Q$44,$P906*'[2]Beam '!Q$45,0)</f>
        <v>0</v>
      </c>
      <c r="R906" s="8">
        <f>IF($D906='[2]Beam '!R$44,$P906*'[2]Beam '!R$45,0)</f>
        <v>71.331267857142862</v>
      </c>
      <c r="S906" s="8">
        <f>IF($D906='[2]Beam '!S$44,$P906*'[2]Beam '!S$45,0)</f>
        <v>0</v>
      </c>
      <c r="T906" s="8">
        <f>IF($D906='[2]Beam '!T$44,$P906*'[2]Beam '!T$45,0)</f>
        <v>0</v>
      </c>
      <c r="U906" s="8">
        <f>IF($D906='[2]Beam '!U$44,$P906*'[2]Beam '!U$45,0)</f>
        <v>0</v>
      </c>
      <c r="V906" s="8">
        <f>IF($D906='[2]Beam '!V$44,$P906*'[2]Beam '!V$45,0)</f>
        <v>0</v>
      </c>
      <c r="W906" s="8">
        <f>IF($D906='[2]Beam '!W$44,$P906*'[2]Beam '!W$45,0)</f>
        <v>0</v>
      </c>
      <c r="X906" s="8">
        <f t="shared" si="168"/>
        <v>71.331267857142862</v>
      </c>
      <c r="Y906" s="14"/>
      <c r="Z906" s="8"/>
      <c r="AA906" s="8"/>
      <c r="AB906" s="8"/>
      <c r="AC906" s="8"/>
      <c r="AD906" s="8"/>
      <c r="AE906" s="8"/>
    </row>
    <row r="907" spans="1:32" s="10" customFormat="1" ht="20.100000000000001" customHeight="1" x14ac:dyDescent="0.25">
      <c r="A907" s="14"/>
      <c r="B907" s="8" t="s">
        <v>2</v>
      </c>
      <c r="C907" s="13" t="s">
        <v>16</v>
      </c>
      <c r="D907" s="14">
        <f>D905</f>
        <v>10</v>
      </c>
      <c r="E907" s="14">
        <f>+E905</f>
        <v>0.2</v>
      </c>
      <c r="F907" s="14">
        <f>ROUND((E901-(IF(E901/3&gt;2*G901,E901/3*2,G901*2*2)))/E907,0)</f>
        <v>5</v>
      </c>
      <c r="H907" s="14"/>
      <c r="I907" s="14"/>
      <c r="J907" s="14"/>
      <c r="K907" s="14"/>
      <c r="L907" s="14"/>
      <c r="M907" s="14"/>
      <c r="N907" s="14"/>
      <c r="O907" s="8">
        <f>(2*(((F901-'[2]Beam '!$D$11*2)/(F902-1))+(G901-'[2]Beam '!$D$11*2))+(2*10*D907/1000))*D901</f>
        <v>2.5700000000000003</v>
      </c>
      <c r="P907" s="8">
        <f t="shared" si="167"/>
        <v>12.850000000000001</v>
      </c>
      <c r="Q907" s="8">
        <f>IF($D907='[2]Beam '!Q$44,$P907*'[2]Beam '!Q$45,0)</f>
        <v>0</v>
      </c>
      <c r="R907" s="8">
        <f>IF($D907='[2]Beam '!R$44,$P907*'[2]Beam '!R$45,0)</f>
        <v>7.9256964285714293</v>
      </c>
      <c r="S907" s="8">
        <f>IF($D907='[2]Beam '!S$44,$P907*'[2]Beam '!S$45,0)</f>
        <v>0</v>
      </c>
      <c r="T907" s="8">
        <f>IF($D907='[2]Beam '!T$44,$P907*'[2]Beam '!T$45,0)</f>
        <v>0</v>
      </c>
      <c r="U907" s="8">
        <f>IF($D907='[2]Beam '!U$44,$P907*'[2]Beam '!U$45,0)</f>
        <v>0</v>
      </c>
      <c r="V907" s="8">
        <f>IF($D907='[2]Beam '!V$44,$P907*'[2]Beam '!V$45,0)</f>
        <v>0</v>
      </c>
      <c r="W907" s="8">
        <f>IF($D907='[2]Beam '!W$44,$P907*'[2]Beam '!W$45,0)</f>
        <v>0</v>
      </c>
      <c r="X907" s="8">
        <f t="shared" si="168"/>
        <v>7.9256964285714293</v>
      </c>
      <c r="Y907" s="14"/>
      <c r="Z907" s="8"/>
      <c r="AA907" s="8"/>
      <c r="AB907" s="8"/>
      <c r="AC907" s="8"/>
      <c r="AD907" s="8"/>
      <c r="AE907" s="8"/>
    </row>
    <row r="908" spans="1:32" s="10" customFormat="1" ht="20.100000000000001" customHeight="1" x14ac:dyDescent="0.25">
      <c r="A908" s="8">
        <v>1</v>
      </c>
      <c r="B908" s="8" t="s">
        <v>2</v>
      </c>
      <c r="C908" s="11" t="s">
        <v>125</v>
      </c>
      <c r="D908" s="11">
        <v>1</v>
      </c>
      <c r="E908" s="11">
        <v>4.4930000000000003</v>
      </c>
      <c r="F908" s="11">
        <v>0.35</v>
      </c>
      <c r="G908" s="11">
        <v>1.1000000000000001</v>
      </c>
      <c r="H908" s="8">
        <f>G908-0.2</f>
        <v>0.90000000000000013</v>
      </c>
      <c r="I908" s="8">
        <f>E908*F908*G908*D908</f>
        <v>1.7298050000000003</v>
      </c>
      <c r="J908" s="8">
        <f>(2*(E908)*H908*D908)+(E908*F908)</f>
        <v>9.659950000000002</v>
      </c>
      <c r="K908" s="12">
        <f>IF(E908=0.3,J908,0)</f>
        <v>0</v>
      </c>
      <c r="L908" s="12">
        <f>IF(AND(E908&gt;0.3,E908&lt;=0.75),J908,0)</f>
        <v>0</v>
      </c>
      <c r="M908" s="12">
        <f>IF(AND(E908&gt;0.75,E908&lt;=1.2),J908,0)</f>
        <v>0</v>
      </c>
      <c r="N908" s="12">
        <f>IF(E908&gt;1.2,J908,0)</f>
        <v>9.659950000000002</v>
      </c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>
        <f>SUM(X909:X911)/I908</f>
        <v>123.34876360960587</v>
      </c>
      <c r="Z908" s="8"/>
      <c r="AA908" s="8"/>
      <c r="AB908" s="8"/>
      <c r="AC908" s="8"/>
      <c r="AD908" s="8"/>
      <c r="AE908" s="8"/>
    </row>
    <row r="909" spans="1:32" s="14" customFormat="1" ht="20.100000000000001" customHeight="1" x14ac:dyDescent="0.3">
      <c r="A909" s="7"/>
      <c r="B909" s="8" t="s">
        <v>2</v>
      </c>
      <c r="C909" s="13" t="s">
        <v>4</v>
      </c>
      <c r="D909" s="8">
        <v>25</v>
      </c>
      <c r="E909" s="8"/>
      <c r="F909" s="8">
        <v>3</v>
      </c>
      <c r="G909" s="9">
        <f>VLOOKUP(D909,'[2]Beam '!$C$20:$H$26,3,0)</f>
        <v>1</v>
      </c>
      <c r="H909" s="9"/>
      <c r="I909" s="8"/>
      <c r="J909" s="8"/>
      <c r="K909" s="8"/>
      <c r="L909" s="8"/>
      <c r="M909" s="8"/>
      <c r="N909" s="8"/>
      <c r="O909" s="8">
        <f>(E908+1*(G909+(12*D909/1000))*D908)</f>
        <v>5.7930000000000001</v>
      </c>
      <c r="P909" s="8">
        <f t="shared" ref="P909:P914" si="169">O909*F909</f>
        <v>17.379000000000001</v>
      </c>
      <c r="Q909" s="8">
        <f>IF($D909='[2]Beam '!Q$44,$P909*'[2]Beam '!Q$45,0)</f>
        <v>0</v>
      </c>
      <c r="R909" s="8">
        <f>IF($D909='[2]Beam '!R$44,$P909*'[2]Beam '!R$45,0)</f>
        <v>0</v>
      </c>
      <c r="S909" s="8">
        <f>IF($D909='[2]Beam '!S$44,$P909*'[2]Beam '!S$45,0)</f>
        <v>0</v>
      </c>
      <c r="T909" s="8">
        <f>IF($D909='[2]Beam '!T$44,$P909*'[2]Beam '!T$45,0)</f>
        <v>0</v>
      </c>
      <c r="U909" s="8">
        <f>IF($D909='[2]Beam '!U$44,$P909*'[2]Beam '!U$45,0)</f>
        <v>0</v>
      </c>
      <c r="V909" s="8">
        <f>IF($D909='[2]Beam '!V$44,$P909*'[2]Beam '!V$45,0)</f>
        <v>66.994493303571446</v>
      </c>
      <c r="W909" s="8">
        <f>IF($D909='[2]Beam '!W$44,$P909*'[2]Beam '!W$45,0)</f>
        <v>0</v>
      </c>
      <c r="X909" s="8">
        <f t="shared" ref="X909:X914" si="170">SUM(Q909:W909)</f>
        <v>66.994493303571446</v>
      </c>
      <c r="Y909" s="8"/>
    </row>
    <row r="910" spans="1:32" s="14" customFormat="1" ht="20.100000000000001" customHeight="1" x14ac:dyDescent="0.3">
      <c r="A910" s="7"/>
      <c r="B910" s="8" t="s">
        <v>2</v>
      </c>
      <c r="C910" s="13" t="s">
        <v>6</v>
      </c>
      <c r="D910" s="8">
        <v>25</v>
      </c>
      <c r="E910" s="8"/>
      <c r="F910" s="8">
        <v>3</v>
      </c>
      <c r="G910" s="9">
        <f>VLOOKUP(D910,'[2]Beam '!$C$20:$H$26,3,0)</f>
        <v>1</v>
      </c>
      <c r="H910" s="8"/>
      <c r="I910" s="8"/>
      <c r="J910" s="8"/>
      <c r="K910" s="8"/>
      <c r="L910" s="8"/>
      <c r="M910" s="8"/>
      <c r="N910" s="8"/>
      <c r="O910" s="8">
        <f>(E908+1*(G910+(12*D910/1000))*D908)</f>
        <v>5.7930000000000001</v>
      </c>
      <c r="P910" s="8">
        <f t="shared" si="169"/>
        <v>17.379000000000001</v>
      </c>
      <c r="Q910" s="8">
        <f>IF($D910='[2]Beam '!Q$44,$P910*'[2]Beam '!Q$45,0)</f>
        <v>0</v>
      </c>
      <c r="R910" s="8">
        <f>IF($D910='[2]Beam '!R$44,$P910*'[2]Beam '!R$45,0)</f>
        <v>0</v>
      </c>
      <c r="S910" s="8">
        <f>IF($D910='[2]Beam '!S$44,$P910*'[2]Beam '!S$45,0)</f>
        <v>0</v>
      </c>
      <c r="T910" s="8">
        <f>IF($D910='[2]Beam '!T$44,$P910*'[2]Beam '!T$45,0)</f>
        <v>0</v>
      </c>
      <c r="U910" s="8">
        <f>IF($D910='[2]Beam '!U$44,$P910*'[2]Beam '!U$45,0)</f>
        <v>0</v>
      </c>
      <c r="V910" s="8">
        <f>IF($D910='[2]Beam '!V$44,$P910*'[2]Beam '!V$45,0)</f>
        <v>66.994493303571446</v>
      </c>
      <c r="W910" s="8">
        <f>IF($D910='[2]Beam '!W$44,$P910*'[2]Beam '!W$45,0)</f>
        <v>0</v>
      </c>
      <c r="X910" s="8">
        <f t="shared" si="170"/>
        <v>66.994493303571446</v>
      </c>
      <c r="Y910" s="8"/>
    </row>
    <row r="911" spans="1:32" s="14" customFormat="1" ht="20.100000000000001" customHeight="1" x14ac:dyDescent="0.25">
      <c r="A911" s="7"/>
      <c r="B911" s="8" t="s">
        <v>2</v>
      </c>
      <c r="C911" s="13" t="s">
        <v>13</v>
      </c>
      <c r="D911" s="8">
        <v>10</v>
      </c>
      <c r="E911" s="8">
        <v>0.1</v>
      </c>
      <c r="F911" s="8">
        <f>ROUND(IF(E908/3&gt;(2*G908),(E908/3)/E911,(2*G908)/E911),0)*2+1</f>
        <v>45</v>
      </c>
      <c r="G911" s="10"/>
      <c r="H911" s="8"/>
      <c r="I911" s="8"/>
      <c r="J911" s="8"/>
      <c r="K911" s="8"/>
      <c r="L911" s="8"/>
      <c r="M911" s="8"/>
      <c r="N911" s="8"/>
      <c r="O911" s="8">
        <f>(2*((G908-(2*'[2]Beam '!$D$11))+(F908-(2*'[2]Beam '!$D$11)))+(2*10*D911/1000))*D908</f>
        <v>2.8600000000000003</v>
      </c>
      <c r="P911" s="8">
        <f t="shared" si="169"/>
        <v>128.70000000000002</v>
      </c>
      <c r="Q911" s="8">
        <f>IF($D911='[2]Beam '!Q$44,$P911*'[2]Beam '!Q$45,0)</f>
        <v>0</v>
      </c>
      <c r="R911" s="8">
        <f>IF($D911='[2]Beam '!R$44,$P911*'[2]Beam '!R$45,0)</f>
        <v>79.380321428571435</v>
      </c>
      <c r="S911" s="8">
        <f>IF($D911='[2]Beam '!S$44,$P911*'[2]Beam '!S$45,0)</f>
        <v>0</v>
      </c>
      <c r="T911" s="8">
        <f>IF($D911='[2]Beam '!T$44,$P911*'[2]Beam '!T$45,0)</f>
        <v>0</v>
      </c>
      <c r="U911" s="8">
        <f>IF($D911='[2]Beam '!U$44,$P911*'[2]Beam '!U$45,0)</f>
        <v>0</v>
      </c>
      <c r="V911" s="8">
        <f>IF($D911='[2]Beam '!V$44,$P911*'[2]Beam '!V$45,0)</f>
        <v>0</v>
      </c>
      <c r="W911" s="8">
        <f>IF($D911='[2]Beam '!W$44,$P911*'[2]Beam '!W$45,0)</f>
        <v>0</v>
      </c>
      <c r="X911" s="8">
        <f t="shared" si="170"/>
        <v>79.380321428571435</v>
      </c>
      <c r="Y911" s="8"/>
    </row>
    <row r="912" spans="1:32" s="10" customFormat="1" ht="21" customHeight="1" x14ac:dyDescent="0.25">
      <c r="A912" s="14"/>
      <c r="B912" s="8" t="s">
        <v>2</v>
      </c>
      <c r="C912" s="13" t="s">
        <v>14</v>
      </c>
      <c r="D912" s="14">
        <f>D911</f>
        <v>10</v>
      </c>
      <c r="E912" s="14">
        <v>0.15</v>
      </c>
      <c r="F912" s="14">
        <f>ROUND((E908-(IF(E908/3&gt;2*G908,E908/3*2,G908*2*2)))/E912,0)</f>
        <v>1</v>
      </c>
      <c r="H912" s="14"/>
      <c r="I912" s="14"/>
      <c r="J912" s="14"/>
      <c r="K912" s="14"/>
      <c r="L912" s="14"/>
      <c r="M912" s="14"/>
      <c r="N912" s="14"/>
      <c r="O912" s="8">
        <f>(2*((G908-(2*'[2]Beam '!$D$11))+(F908-(2*'[2]Beam '!$D$11)))+(2*10*D912/1000))*D908</f>
        <v>2.8600000000000003</v>
      </c>
      <c r="P912" s="8">
        <f t="shared" si="169"/>
        <v>2.8600000000000003</v>
      </c>
      <c r="Q912" s="8">
        <f>IF($D912='[2]Beam '!Q$44,$P912*'[2]Beam '!Q$45,0)</f>
        <v>0</v>
      </c>
      <c r="R912" s="8">
        <f>IF($D912='[2]Beam '!R$44,$P912*'[2]Beam '!R$45,0)</f>
        <v>1.7640071428571431</v>
      </c>
      <c r="S912" s="8">
        <f>IF($D912='[2]Beam '!S$44,$P912*'[2]Beam '!S$45,0)</f>
        <v>0</v>
      </c>
      <c r="T912" s="8">
        <f>IF($D912='[2]Beam '!T$44,$P912*'[2]Beam '!T$45,0)</f>
        <v>0</v>
      </c>
      <c r="U912" s="8">
        <f>IF($D912='[2]Beam '!U$44,$P912*'[2]Beam '!U$45,0)</f>
        <v>0</v>
      </c>
      <c r="V912" s="8">
        <f>IF($D912='[2]Beam '!V$44,$P912*'[2]Beam '!V$45,0)</f>
        <v>0</v>
      </c>
      <c r="W912" s="8">
        <f>IF($D912='[2]Beam '!W$44,$P912*'[2]Beam '!W$45,0)</f>
        <v>0</v>
      </c>
      <c r="X912" s="8">
        <f t="shared" si="170"/>
        <v>1.7640071428571431</v>
      </c>
      <c r="Y912" s="14"/>
      <c r="Z912" s="8"/>
      <c r="AA912" s="8"/>
      <c r="AB912" s="8"/>
      <c r="AC912" s="8"/>
      <c r="AD912" s="8"/>
      <c r="AE912" s="8"/>
      <c r="AF912" s="8"/>
    </row>
    <row r="913" spans="1:32" s="10" customFormat="1" ht="20.100000000000001" customHeight="1" x14ac:dyDescent="0.25">
      <c r="A913" s="14"/>
      <c r="B913" s="8" t="s">
        <v>2</v>
      </c>
      <c r="C913" s="13" t="s">
        <v>15</v>
      </c>
      <c r="D913" s="14">
        <f>D911</f>
        <v>10</v>
      </c>
      <c r="E913" s="14">
        <f>+E911</f>
        <v>0.1</v>
      </c>
      <c r="F913" s="8">
        <f>ROUND(IF(E908/3&gt;(2*G908),(E908/3)/E913,(2*G908)/E913),0)*2+1</f>
        <v>45</v>
      </c>
      <c r="H913" s="14"/>
      <c r="I913" s="14"/>
      <c r="J913" s="14"/>
      <c r="K913" s="14"/>
      <c r="L913" s="14"/>
      <c r="M913" s="14"/>
      <c r="N913" s="14"/>
      <c r="O913" s="8">
        <f>(2*(((F908-'[2]Beam '!$D$11*2)/(F909-1))+(G908-'[2]Beam '!$D$11*2))+(2*10*D913/1000))*D908</f>
        <v>2.5700000000000003</v>
      </c>
      <c r="P913" s="8">
        <f t="shared" si="169"/>
        <v>115.65</v>
      </c>
      <c r="Q913" s="8">
        <f>IF($D913='[2]Beam '!Q$44,$P913*'[2]Beam '!Q$45,0)</f>
        <v>0</v>
      </c>
      <c r="R913" s="8">
        <f>IF($D913='[2]Beam '!R$44,$P913*'[2]Beam '!R$45,0)</f>
        <v>71.331267857142862</v>
      </c>
      <c r="S913" s="8">
        <f>IF($D913='[2]Beam '!S$44,$P913*'[2]Beam '!S$45,0)</f>
        <v>0</v>
      </c>
      <c r="T913" s="8">
        <f>IF($D913='[2]Beam '!T$44,$P913*'[2]Beam '!T$45,0)</f>
        <v>0</v>
      </c>
      <c r="U913" s="8">
        <f>IF($D913='[2]Beam '!U$44,$P913*'[2]Beam '!U$45,0)</f>
        <v>0</v>
      </c>
      <c r="V913" s="8">
        <f>IF($D913='[2]Beam '!V$44,$P913*'[2]Beam '!V$45,0)</f>
        <v>0</v>
      </c>
      <c r="W913" s="8">
        <f>IF($D913='[2]Beam '!W$44,$P913*'[2]Beam '!W$45,0)</f>
        <v>0</v>
      </c>
      <c r="X913" s="8">
        <f t="shared" si="170"/>
        <v>71.331267857142862</v>
      </c>
      <c r="Y913" s="14"/>
      <c r="Z913" s="8"/>
      <c r="AA913" s="8"/>
      <c r="AB913" s="8"/>
      <c r="AC913" s="8"/>
      <c r="AD913" s="8"/>
      <c r="AE913" s="8"/>
    </row>
    <row r="914" spans="1:32" s="10" customFormat="1" ht="20.100000000000001" customHeight="1" x14ac:dyDescent="0.25">
      <c r="A914" s="14"/>
      <c r="B914" s="8" t="s">
        <v>2</v>
      </c>
      <c r="C914" s="13" t="s">
        <v>16</v>
      </c>
      <c r="D914" s="14">
        <f>D912</f>
        <v>10</v>
      </c>
      <c r="E914" s="14">
        <f>+E912</f>
        <v>0.15</v>
      </c>
      <c r="F914" s="14">
        <f>ROUND((E908-(IF(E908/3&gt;2*G908,E908/3*2,G908*2*2)))/E914,0)</f>
        <v>1</v>
      </c>
      <c r="H914" s="14"/>
      <c r="I914" s="14"/>
      <c r="J914" s="14"/>
      <c r="K914" s="14"/>
      <c r="L914" s="14"/>
      <c r="M914" s="14"/>
      <c r="N914" s="14"/>
      <c r="O914" s="8">
        <f>(2*(((F908-'[2]Beam '!$D$11*2)/(F909-1))+(G908-'[2]Beam '!$D$11*2))+(2*10*D914/1000))*D908</f>
        <v>2.5700000000000003</v>
      </c>
      <c r="P914" s="8">
        <f t="shared" si="169"/>
        <v>2.5700000000000003</v>
      </c>
      <c r="Q914" s="8">
        <f>IF($D914='[2]Beam '!Q$44,$P914*'[2]Beam '!Q$45,0)</f>
        <v>0</v>
      </c>
      <c r="R914" s="8">
        <f>IF($D914='[2]Beam '!R$44,$P914*'[2]Beam '!R$45,0)</f>
        <v>1.5851392857142859</v>
      </c>
      <c r="S914" s="8">
        <f>IF($D914='[2]Beam '!S$44,$P914*'[2]Beam '!S$45,0)</f>
        <v>0</v>
      </c>
      <c r="T914" s="8">
        <f>IF($D914='[2]Beam '!T$44,$P914*'[2]Beam '!T$45,0)</f>
        <v>0</v>
      </c>
      <c r="U914" s="8">
        <f>IF($D914='[2]Beam '!U$44,$P914*'[2]Beam '!U$45,0)</f>
        <v>0</v>
      </c>
      <c r="V914" s="8">
        <f>IF($D914='[2]Beam '!V$44,$P914*'[2]Beam '!V$45,0)</f>
        <v>0</v>
      </c>
      <c r="W914" s="8">
        <f>IF($D914='[2]Beam '!W$44,$P914*'[2]Beam '!W$45,0)</f>
        <v>0</v>
      </c>
      <c r="X914" s="8">
        <f t="shared" si="170"/>
        <v>1.5851392857142859</v>
      </c>
      <c r="Y914" s="14"/>
      <c r="Z914" s="8"/>
      <c r="AA914" s="8"/>
      <c r="AB914" s="8"/>
      <c r="AC914" s="8"/>
      <c r="AD914" s="8"/>
      <c r="AE914" s="8"/>
    </row>
    <row r="915" spans="1:32" s="10" customFormat="1" ht="20.100000000000001" customHeight="1" x14ac:dyDescent="0.25">
      <c r="A915" s="8">
        <v>1</v>
      </c>
      <c r="B915" s="8" t="s">
        <v>2</v>
      </c>
      <c r="C915" s="11" t="s">
        <v>126</v>
      </c>
      <c r="D915" s="11">
        <v>1</v>
      </c>
      <c r="E915" s="11">
        <v>7.8090000000000002</v>
      </c>
      <c r="F915" s="11">
        <v>0.35</v>
      </c>
      <c r="G915" s="11">
        <v>1.1000000000000001</v>
      </c>
      <c r="H915" s="8">
        <f>G915-0.2</f>
        <v>0.90000000000000013</v>
      </c>
      <c r="I915" s="8">
        <f>E915*F915*G915*D915</f>
        <v>3.0064649999999999</v>
      </c>
      <c r="J915" s="8">
        <f>(2*(E915)*H915*D915)+(E915*F915)</f>
        <v>16.789350000000002</v>
      </c>
      <c r="K915" s="12">
        <f>IF(E915=0.3,J915,0)</f>
        <v>0</v>
      </c>
      <c r="L915" s="12">
        <f>IF(AND(E915&gt;0.3,E915&lt;=0.75),J915,0)</f>
        <v>0</v>
      </c>
      <c r="M915" s="12">
        <f>IF(AND(E915&gt;0.75,E915&lt;=1.2),J915,0)</f>
        <v>0</v>
      </c>
      <c r="N915" s="12">
        <f>IF(E915&gt;1.2,J915,0)</f>
        <v>16.789350000000002</v>
      </c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>
        <f>SUM(X916:X920)/I915</f>
        <v>114.63044966430677</v>
      </c>
      <c r="Z915" s="8"/>
      <c r="AA915" s="8"/>
      <c r="AB915" s="8"/>
      <c r="AC915" s="8"/>
      <c r="AD915" s="8"/>
      <c r="AE915" s="8"/>
    </row>
    <row r="916" spans="1:32" s="10" customFormat="1" ht="20.100000000000001" customHeight="1" x14ac:dyDescent="0.25">
      <c r="A916" s="7"/>
      <c r="B916" s="8" t="s">
        <v>2</v>
      </c>
      <c r="C916" s="13" t="s">
        <v>4</v>
      </c>
      <c r="D916" s="8">
        <v>25</v>
      </c>
      <c r="E916" s="8"/>
      <c r="F916" s="8">
        <v>3</v>
      </c>
      <c r="G916" s="9">
        <f>VLOOKUP(D916,'[2]Beam '!$C$20:$H$26,3,0)</f>
        <v>1</v>
      </c>
      <c r="H916" s="9"/>
      <c r="I916" s="8"/>
      <c r="J916" s="8"/>
      <c r="K916" s="8"/>
      <c r="L916" s="8"/>
      <c r="M916" s="8"/>
      <c r="N916" s="8"/>
      <c r="O916" s="8">
        <f>(E915+1*(G916+(12*D916/1000))+1*(1.5/2)*D915)</f>
        <v>9.859</v>
      </c>
      <c r="P916" s="8">
        <f t="shared" ref="P916:P924" si="171">O916*F916</f>
        <v>29.576999999999998</v>
      </c>
      <c r="Q916" s="8">
        <f>IF($D916='[2]Beam '!Q$44,$P916*'[2]Beam '!Q$45,0)</f>
        <v>0</v>
      </c>
      <c r="R916" s="8">
        <f>IF($D916='[2]Beam '!R$44,$P916*'[2]Beam '!R$45,0)</f>
        <v>0</v>
      </c>
      <c r="S916" s="8">
        <f>IF($D916='[2]Beam '!S$44,$P916*'[2]Beam '!S$45,0)</f>
        <v>0</v>
      </c>
      <c r="T916" s="8">
        <f>IF($D916='[2]Beam '!T$44,$P916*'[2]Beam '!T$45,0)</f>
        <v>0</v>
      </c>
      <c r="U916" s="8">
        <f>IF($D916='[2]Beam '!U$44,$P916*'[2]Beam '!U$45,0)</f>
        <v>0</v>
      </c>
      <c r="V916" s="8">
        <f>IF($D916='[2]Beam '!V$44,$P916*'[2]Beam '!V$45,0)</f>
        <v>114.01669419642859</v>
      </c>
      <c r="W916" s="8">
        <f>IF($D916='[2]Beam '!W$44,$P916*'[2]Beam '!W$45,0)</f>
        <v>0</v>
      </c>
      <c r="X916" s="8">
        <f t="shared" ref="X916:X924" si="172">SUM(Q916:W916)</f>
        <v>114.01669419642859</v>
      </c>
      <c r="Y916" s="8"/>
      <c r="Z916" s="8"/>
      <c r="AA916" s="8"/>
      <c r="AB916" s="8"/>
      <c r="AC916" s="8"/>
      <c r="AD916" s="8"/>
      <c r="AE916" s="8"/>
    </row>
    <row r="917" spans="1:32" s="10" customFormat="1" ht="20.100000000000001" customHeight="1" x14ac:dyDescent="0.25">
      <c r="A917" s="7"/>
      <c r="B917" s="8" t="s">
        <v>2</v>
      </c>
      <c r="C917" s="13" t="s">
        <v>6</v>
      </c>
      <c r="D917" s="8">
        <v>25</v>
      </c>
      <c r="E917" s="8"/>
      <c r="F917" s="8">
        <v>3</v>
      </c>
      <c r="G917" s="9">
        <f>VLOOKUP(D917,'[2]Beam '!$C$20:$H$26,3,0)</f>
        <v>1</v>
      </c>
      <c r="H917" s="8"/>
      <c r="I917" s="8"/>
      <c r="J917" s="8"/>
      <c r="K917" s="8"/>
      <c r="L917" s="8"/>
      <c r="M917" s="8"/>
      <c r="N917" s="8"/>
      <c r="O917" s="8">
        <f>(E915+1*(G917+(12*D917/1000))+1*(1.5/2)*D915)</f>
        <v>9.859</v>
      </c>
      <c r="P917" s="8">
        <f t="shared" si="171"/>
        <v>29.576999999999998</v>
      </c>
      <c r="Q917" s="8">
        <f>IF($D917='[2]Beam '!Q$44,$P917*'[2]Beam '!Q$45,0)</f>
        <v>0</v>
      </c>
      <c r="R917" s="8">
        <f>IF($D917='[2]Beam '!R$44,$P917*'[2]Beam '!R$45,0)</f>
        <v>0</v>
      </c>
      <c r="S917" s="8">
        <f>IF($D917='[2]Beam '!S$44,$P917*'[2]Beam '!S$45,0)</f>
        <v>0</v>
      </c>
      <c r="T917" s="8">
        <f>IF($D917='[2]Beam '!T$44,$P917*'[2]Beam '!T$45,0)</f>
        <v>0</v>
      </c>
      <c r="U917" s="8">
        <f>IF($D917='[2]Beam '!U$44,$P917*'[2]Beam '!U$45,0)</f>
        <v>0</v>
      </c>
      <c r="V917" s="8">
        <f>IF($D917='[2]Beam '!V$44,$P917*'[2]Beam '!V$45,0)</f>
        <v>114.01669419642859</v>
      </c>
      <c r="W917" s="8">
        <f>IF($D917='[2]Beam '!W$44,$P917*'[2]Beam '!W$45,0)</f>
        <v>0</v>
      </c>
      <c r="X917" s="8">
        <f t="shared" si="172"/>
        <v>114.01669419642859</v>
      </c>
      <c r="Y917" s="8"/>
      <c r="Z917" s="8"/>
      <c r="AA917" s="8"/>
      <c r="AB917" s="8"/>
      <c r="AC917" s="8"/>
      <c r="AD917" s="8"/>
      <c r="AE917" s="8"/>
    </row>
    <row r="918" spans="1:32" s="14" customFormat="1" ht="20.100000000000001" customHeight="1" x14ac:dyDescent="0.3">
      <c r="A918" s="7"/>
      <c r="B918" s="8" t="s">
        <v>2</v>
      </c>
      <c r="C918" s="13" t="s">
        <v>75</v>
      </c>
      <c r="D918" s="8">
        <v>16</v>
      </c>
      <c r="E918" s="8"/>
      <c r="F918" s="8">
        <v>2</v>
      </c>
      <c r="G918" s="9">
        <f>VLOOKUP(D918,'[2]Beam '!$C$20:$H$26,3,0)</f>
        <v>0.625</v>
      </c>
      <c r="H918" s="9"/>
      <c r="I918" s="8"/>
      <c r="J918" s="8"/>
      <c r="K918" s="8"/>
      <c r="L918" s="8"/>
      <c r="M918" s="8"/>
      <c r="N918" s="8"/>
      <c r="O918" s="8">
        <f>(2.15+1*(G918+(12*D918/1000))*D915)</f>
        <v>2.9669999999999996</v>
      </c>
      <c r="P918" s="8">
        <f t="shared" si="171"/>
        <v>5.9339999999999993</v>
      </c>
      <c r="Q918" s="8">
        <f>IF($D918='[2]Beam '!Q$44,$P918*'[2]Beam '!Q$45,0)</f>
        <v>0</v>
      </c>
      <c r="R918" s="8">
        <f>IF($D918='[2]Beam '!R$44,$P918*'[2]Beam '!R$45,0)</f>
        <v>0</v>
      </c>
      <c r="S918" s="8">
        <f>IF($D918='[2]Beam '!S$44,$P918*'[2]Beam '!S$45,0)</f>
        <v>0</v>
      </c>
      <c r="T918" s="8">
        <f>IF($D918='[2]Beam '!T$44,$P918*'[2]Beam '!T$45,0)</f>
        <v>9.3696164571428575</v>
      </c>
      <c r="U918" s="8">
        <f>IF($D918='[2]Beam '!U$44,$P918*'[2]Beam '!U$45,0)</f>
        <v>0</v>
      </c>
      <c r="V918" s="8">
        <f>IF($D918='[2]Beam '!V$44,$P918*'[2]Beam '!V$45,0)</f>
        <v>0</v>
      </c>
      <c r="W918" s="8">
        <f>IF($D918='[2]Beam '!W$44,$P918*'[2]Beam '!W$45,0)</f>
        <v>0</v>
      </c>
      <c r="X918" s="8">
        <f t="shared" si="172"/>
        <v>9.3696164571428575</v>
      </c>
      <c r="Y918" s="8"/>
    </row>
    <row r="919" spans="1:32" s="14" customFormat="1" ht="20.100000000000001" customHeight="1" x14ac:dyDescent="0.3">
      <c r="A919" s="7"/>
      <c r="B919" s="8" t="s">
        <v>2</v>
      </c>
      <c r="C919" s="13" t="s">
        <v>75</v>
      </c>
      <c r="D919" s="8">
        <v>16</v>
      </c>
      <c r="E919" s="8"/>
      <c r="F919" s="8">
        <v>3</v>
      </c>
      <c r="G919" s="9">
        <f>VLOOKUP(D919,'[2]Beam '!$C$20:$H$26,3,0)</f>
        <v>0.625</v>
      </c>
      <c r="H919" s="9"/>
      <c r="I919" s="8"/>
      <c r="J919" s="8"/>
      <c r="K919" s="8"/>
      <c r="L919" s="8"/>
      <c r="M919" s="8"/>
      <c r="N919" s="8"/>
      <c r="O919" s="8">
        <f>2.15+1*(1.5/2)</f>
        <v>2.9</v>
      </c>
      <c r="P919" s="8">
        <f t="shared" si="171"/>
        <v>8.6999999999999993</v>
      </c>
      <c r="Q919" s="8">
        <f>IF($D919='[2]Beam '!Q$44,$P919*'[2]Beam '!Q$45,0)</f>
        <v>0</v>
      </c>
      <c r="R919" s="8">
        <f>IF($D919='[2]Beam '!R$44,$P919*'[2]Beam '!R$45,0)</f>
        <v>0</v>
      </c>
      <c r="S919" s="8">
        <f>IF($D919='[2]Beam '!S$44,$P919*'[2]Beam '!S$45,0)</f>
        <v>0</v>
      </c>
      <c r="T919" s="8">
        <f>IF($D919='[2]Beam '!T$44,$P919*'[2]Beam '!T$45,0)</f>
        <v>13.737051428571428</v>
      </c>
      <c r="U919" s="8">
        <f>IF($D919='[2]Beam '!U$44,$P919*'[2]Beam '!U$45,0)</f>
        <v>0</v>
      </c>
      <c r="V919" s="8">
        <f>IF($D919='[2]Beam '!V$44,$P919*'[2]Beam '!V$45,0)</f>
        <v>0</v>
      </c>
      <c r="W919" s="8">
        <f>IF($D919='[2]Beam '!W$44,$P919*'[2]Beam '!W$45,0)</f>
        <v>0</v>
      </c>
      <c r="X919" s="8">
        <f t="shared" si="172"/>
        <v>13.737051428571428</v>
      </c>
      <c r="Y919" s="8"/>
    </row>
    <row r="920" spans="1:32" s="14" customFormat="1" ht="20.100000000000001" customHeight="1" x14ac:dyDescent="0.25">
      <c r="A920" s="7"/>
      <c r="B920" s="8" t="s">
        <v>2</v>
      </c>
      <c r="C920" s="13" t="s">
        <v>13</v>
      </c>
      <c r="D920" s="8">
        <v>10</v>
      </c>
      <c r="E920" s="8">
        <v>0.1</v>
      </c>
      <c r="F920" s="8">
        <f>ROUND(IF(E915/3&gt;(2*G915),(E915/3)/E920,(2*G915)/E920),0)*2+1</f>
        <v>53</v>
      </c>
      <c r="G920" s="10"/>
      <c r="H920" s="8"/>
      <c r="I920" s="8"/>
      <c r="J920" s="8"/>
      <c r="K920" s="8"/>
      <c r="L920" s="8"/>
      <c r="M920" s="8"/>
      <c r="N920" s="8"/>
      <c r="O920" s="8">
        <f>(2*((G915-(2*'[2]Beam '!$D$11))+(F915-(2*'[2]Beam '!$D$11)))+(2*10*D920/1000))*D915</f>
        <v>2.8600000000000003</v>
      </c>
      <c r="P920" s="8">
        <f t="shared" si="171"/>
        <v>151.58000000000001</v>
      </c>
      <c r="Q920" s="8">
        <f>IF($D920='[2]Beam '!Q$44,$P920*'[2]Beam '!Q$45,0)</f>
        <v>0</v>
      </c>
      <c r="R920" s="8">
        <f>IF($D920='[2]Beam '!R$44,$P920*'[2]Beam '!R$45,0)</f>
        <v>93.492378571428574</v>
      </c>
      <c r="S920" s="8">
        <f>IF($D920='[2]Beam '!S$44,$P920*'[2]Beam '!S$45,0)</f>
        <v>0</v>
      </c>
      <c r="T920" s="8">
        <f>IF($D920='[2]Beam '!T$44,$P920*'[2]Beam '!T$45,0)</f>
        <v>0</v>
      </c>
      <c r="U920" s="8">
        <f>IF($D920='[2]Beam '!U$44,$P920*'[2]Beam '!U$45,0)</f>
        <v>0</v>
      </c>
      <c r="V920" s="8">
        <f>IF($D920='[2]Beam '!V$44,$P920*'[2]Beam '!V$45,0)</f>
        <v>0</v>
      </c>
      <c r="W920" s="8">
        <f>IF($D920='[2]Beam '!W$44,$P920*'[2]Beam '!W$45,0)</f>
        <v>0</v>
      </c>
      <c r="X920" s="8">
        <f t="shared" si="172"/>
        <v>93.492378571428574</v>
      </c>
      <c r="Y920" s="8"/>
    </row>
    <row r="921" spans="1:32" s="10" customFormat="1" ht="20.100000000000001" customHeight="1" x14ac:dyDescent="0.25">
      <c r="A921" s="14"/>
      <c r="B921" s="8" t="s">
        <v>2</v>
      </c>
      <c r="C921" s="13" t="s">
        <v>14</v>
      </c>
      <c r="D921" s="14">
        <f>D920</f>
        <v>10</v>
      </c>
      <c r="E921" s="14">
        <v>0.125</v>
      </c>
      <c r="F921" s="14">
        <f>ROUND((E915-(IF(E915/3&gt;2*G915,E915/3*2,G915*2*2)))/E921,0)</f>
        <v>21</v>
      </c>
      <c r="H921" s="14"/>
      <c r="I921" s="14"/>
      <c r="J921" s="14"/>
      <c r="K921" s="14"/>
      <c r="L921" s="14"/>
      <c r="M921" s="14"/>
      <c r="N921" s="14"/>
      <c r="O921" s="8">
        <f>(2*((G915-(2*'[2]Beam '!$D$11))+(F915-(2*'[2]Beam '!$D$11)))+(2*10*D921/1000))*D915</f>
        <v>2.8600000000000003</v>
      </c>
      <c r="P921" s="8">
        <f t="shared" si="171"/>
        <v>60.060000000000009</v>
      </c>
      <c r="Q921" s="8">
        <f>IF($D921='[2]Beam '!Q$44,$P921*'[2]Beam '!Q$45,0)</f>
        <v>0</v>
      </c>
      <c r="R921" s="8">
        <f>IF($D921='[2]Beam '!R$44,$P921*'[2]Beam '!R$45,0)</f>
        <v>37.044150000000002</v>
      </c>
      <c r="S921" s="8">
        <f>IF($D921='[2]Beam '!S$44,$P921*'[2]Beam '!S$45,0)</f>
        <v>0</v>
      </c>
      <c r="T921" s="8">
        <f>IF($D921='[2]Beam '!T$44,$P921*'[2]Beam '!T$45,0)</f>
        <v>0</v>
      </c>
      <c r="U921" s="8">
        <f>IF($D921='[2]Beam '!U$44,$P921*'[2]Beam '!U$45,0)</f>
        <v>0</v>
      </c>
      <c r="V921" s="8">
        <f>IF($D921='[2]Beam '!V$44,$P921*'[2]Beam '!V$45,0)</f>
        <v>0</v>
      </c>
      <c r="W921" s="8">
        <f>IF($D921='[2]Beam '!W$44,$P921*'[2]Beam '!W$45,0)</f>
        <v>0</v>
      </c>
      <c r="X921" s="8">
        <f t="shared" si="172"/>
        <v>37.044150000000002</v>
      </c>
      <c r="Y921" s="14"/>
      <c r="Z921" s="8"/>
      <c r="AA921" s="8"/>
      <c r="AB921" s="8"/>
      <c r="AC921" s="8"/>
      <c r="AD921" s="8"/>
      <c r="AE921" s="8"/>
    </row>
    <row r="922" spans="1:32" s="10" customFormat="1" ht="21" customHeight="1" x14ac:dyDescent="0.25">
      <c r="A922" s="14"/>
      <c r="B922" s="8" t="s">
        <v>2</v>
      </c>
      <c r="C922" s="13" t="s">
        <v>15</v>
      </c>
      <c r="D922" s="14">
        <f>D920</f>
        <v>10</v>
      </c>
      <c r="E922" s="14">
        <f>+E920</f>
        <v>0.1</v>
      </c>
      <c r="F922" s="8">
        <f>ROUND(IF(E915/3&gt;(2*G915),(E915/3)/E922,(2*G915)/E922),0)*2+1</f>
        <v>53</v>
      </c>
      <c r="H922" s="14"/>
      <c r="I922" s="14"/>
      <c r="J922" s="14"/>
      <c r="K922" s="14"/>
      <c r="L922" s="14"/>
      <c r="M922" s="14"/>
      <c r="N922" s="14"/>
      <c r="O922" s="8">
        <f>(2*(((F915-'[2]Beam '!$D$11*2)/(F916-1))+(G915-'[2]Beam '!$D$11*2))+(2*10*D922/1000))*D915</f>
        <v>2.5700000000000003</v>
      </c>
      <c r="P922" s="8">
        <f t="shared" si="171"/>
        <v>136.21</v>
      </c>
      <c r="Q922" s="8">
        <f>IF($D922='[2]Beam '!Q$44,$P922*'[2]Beam '!Q$45,0)</f>
        <v>0</v>
      </c>
      <c r="R922" s="8">
        <f>IF($D922='[2]Beam '!R$44,$P922*'[2]Beam '!R$45,0)</f>
        <v>84.012382142857149</v>
      </c>
      <c r="S922" s="8">
        <f>IF($D922='[2]Beam '!S$44,$P922*'[2]Beam '!S$45,0)</f>
        <v>0</v>
      </c>
      <c r="T922" s="8">
        <f>IF($D922='[2]Beam '!T$44,$P922*'[2]Beam '!T$45,0)</f>
        <v>0</v>
      </c>
      <c r="U922" s="8">
        <f>IF($D922='[2]Beam '!U$44,$P922*'[2]Beam '!U$45,0)</f>
        <v>0</v>
      </c>
      <c r="V922" s="8">
        <f>IF($D922='[2]Beam '!V$44,$P922*'[2]Beam '!V$45,0)</f>
        <v>0</v>
      </c>
      <c r="W922" s="8">
        <f>IF($D922='[2]Beam '!W$44,$P922*'[2]Beam '!W$45,0)</f>
        <v>0</v>
      </c>
      <c r="X922" s="8">
        <f t="shared" si="172"/>
        <v>84.012382142857149</v>
      </c>
      <c r="Y922" s="14"/>
      <c r="Z922" s="8"/>
      <c r="AA922" s="8"/>
      <c r="AB922" s="8"/>
      <c r="AC922" s="8"/>
      <c r="AD922" s="8"/>
      <c r="AE922" s="8"/>
      <c r="AF922" s="8"/>
    </row>
    <row r="923" spans="1:32" s="10" customFormat="1" ht="20.100000000000001" customHeight="1" x14ac:dyDescent="0.25">
      <c r="A923" s="14"/>
      <c r="B923" s="8" t="s">
        <v>2</v>
      </c>
      <c r="C923" s="13" t="s">
        <v>16</v>
      </c>
      <c r="D923" s="14">
        <f>D921</f>
        <v>10</v>
      </c>
      <c r="E923" s="14">
        <f>+E921</f>
        <v>0.125</v>
      </c>
      <c r="F923" s="14">
        <f>ROUND((E915-(IF(E915/3&gt;2*G915,E915/3*2,G915*2*2)))/E923,0)</f>
        <v>21</v>
      </c>
      <c r="H923" s="14"/>
      <c r="I923" s="14"/>
      <c r="J923" s="14"/>
      <c r="K923" s="14"/>
      <c r="L923" s="14"/>
      <c r="M923" s="14"/>
      <c r="N923" s="14"/>
      <c r="O923" s="8">
        <f>(2*(((F915-'[2]Beam '!$D$11*2)/(F916-1))+(G915-'[2]Beam '!$D$11*2))+(2*10*D923/1000))*D915</f>
        <v>2.5700000000000003</v>
      </c>
      <c r="P923" s="8">
        <f t="shared" si="171"/>
        <v>53.970000000000006</v>
      </c>
      <c r="Q923" s="8">
        <f>IF($D923='[2]Beam '!Q$44,$P923*'[2]Beam '!Q$45,0)</f>
        <v>0</v>
      </c>
      <c r="R923" s="8">
        <f>IF($D923='[2]Beam '!R$44,$P923*'[2]Beam '!R$45,0)</f>
        <v>33.287925000000001</v>
      </c>
      <c r="S923" s="8">
        <f>IF($D923='[2]Beam '!S$44,$P923*'[2]Beam '!S$45,0)</f>
        <v>0</v>
      </c>
      <c r="T923" s="8">
        <f>IF($D923='[2]Beam '!T$44,$P923*'[2]Beam '!T$45,0)</f>
        <v>0</v>
      </c>
      <c r="U923" s="8">
        <f>IF($D923='[2]Beam '!U$44,$P923*'[2]Beam '!U$45,0)</f>
        <v>0</v>
      </c>
      <c r="V923" s="8">
        <f>IF($D923='[2]Beam '!V$44,$P923*'[2]Beam '!V$45,0)</f>
        <v>0</v>
      </c>
      <c r="W923" s="8">
        <f>IF($D923='[2]Beam '!W$44,$P923*'[2]Beam '!W$45,0)</f>
        <v>0</v>
      </c>
      <c r="X923" s="8">
        <f t="shared" si="172"/>
        <v>33.287925000000001</v>
      </c>
      <c r="Y923" s="14"/>
      <c r="Z923" s="8"/>
      <c r="AA923" s="8"/>
      <c r="AB923" s="8"/>
      <c r="AC923" s="8"/>
      <c r="AD923" s="8"/>
      <c r="AE923" s="8"/>
    </row>
    <row r="924" spans="1:32" s="10" customFormat="1" ht="20.100000000000001" customHeight="1" x14ac:dyDescent="0.25">
      <c r="A924" s="7"/>
      <c r="B924" s="8" t="s">
        <v>2</v>
      </c>
      <c r="C924" s="13" t="s">
        <v>10</v>
      </c>
      <c r="D924" s="8">
        <f>+'[2]Beam '!$D$15</f>
        <v>25</v>
      </c>
      <c r="E924" s="8">
        <f>+'[2]Beam '!$E$15</f>
        <v>1</v>
      </c>
      <c r="F924" s="8">
        <f>ROUNDUP((2.15+2.15)/E924,0)</f>
        <v>5</v>
      </c>
      <c r="G924" s="9"/>
      <c r="H924" s="9"/>
      <c r="I924" s="8"/>
      <c r="J924" s="8"/>
      <c r="K924" s="8"/>
      <c r="L924" s="8"/>
      <c r="M924" s="8"/>
      <c r="N924" s="8"/>
      <c r="O924" s="8">
        <f>F917-'[2]Beam '!$F$15</f>
        <v>2.94</v>
      </c>
      <c r="P924" s="8">
        <f t="shared" si="171"/>
        <v>14.7</v>
      </c>
      <c r="Q924" s="8">
        <f>IF($D924='[2]Beam '!Q$44,$P924*'[2]Beam '!Q$45,0)</f>
        <v>0</v>
      </c>
      <c r="R924" s="8">
        <f>IF($D924='[2]Beam '!R$44,$P924*'[2]Beam '!R$45,0)</f>
        <v>0</v>
      </c>
      <c r="S924" s="8">
        <f>IF($D924='[2]Beam '!S$44,$P924*'[2]Beam '!S$45,0)</f>
        <v>0</v>
      </c>
      <c r="T924" s="8">
        <f>IF($D924='[2]Beam '!T$44,$P924*'[2]Beam '!T$45,0)</f>
        <v>0</v>
      </c>
      <c r="U924" s="8">
        <f>IF($D924='[2]Beam '!U$44,$P924*'[2]Beam '!U$45,0)</f>
        <v>0</v>
      </c>
      <c r="V924" s="8">
        <f>IF($D924='[2]Beam '!V$44,$P924*'[2]Beam '!V$45,0)</f>
        <v>56.667187500000004</v>
      </c>
      <c r="W924" s="8">
        <f>IF($D924='[2]Beam '!W$44,$P924*'[2]Beam '!W$45,0)</f>
        <v>0</v>
      </c>
      <c r="X924" s="8">
        <f t="shared" si="172"/>
        <v>56.667187500000004</v>
      </c>
      <c r="Y924" s="8"/>
      <c r="Z924" s="8"/>
      <c r="AA924" s="8"/>
      <c r="AB924" s="8"/>
      <c r="AC924" s="8"/>
      <c r="AD924" s="8"/>
      <c r="AE924" s="8"/>
    </row>
    <row r="925" spans="1:32" s="10" customFormat="1" ht="20.100000000000001" customHeight="1" x14ac:dyDescent="0.25">
      <c r="A925" s="8">
        <v>1</v>
      </c>
      <c r="B925" s="8" t="s">
        <v>2</v>
      </c>
      <c r="C925" s="11" t="s">
        <v>127</v>
      </c>
      <c r="D925" s="11">
        <v>1</v>
      </c>
      <c r="E925" s="11">
        <v>2</v>
      </c>
      <c r="F925" s="11">
        <v>0.35</v>
      </c>
      <c r="G925" s="11">
        <v>1.1000000000000001</v>
      </c>
      <c r="H925" s="8">
        <f>G925-0.2</f>
        <v>0.90000000000000013</v>
      </c>
      <c r="I925" s="8">
        <f>E925*F925*G925*D925</f>
        <v>0.77</v>
      </c>
      <c r="J925" s="8">
        <f>(2*(E925)*H925*D925)+(E925*F925)</f>
        <v>4.3000000000000007</v>
      </c>
      <c r="K925" s="12">
        <f>IF(E925=0.3,J925,0)</f>
        <v>0</v>
      </c>
      <c r="L925" s="12">
        <f>IF(AND(E925&gt;0.3,E925&lt;=0.75),J925,0)</f>
        <v>0</v>
      </c>
      <c r="M925" s="12">
        <f>IF(AND(E925&gt;0.75,E925&lt;=1.2),J925,0)</f>
        <v>0</v>
      </c>
      <c r="N925" s="12">
        <f>IF(E925&gt;1.2,J925,0)</f>
        <v>4.3000000000000007</v>
      </c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>
        <f>SUM(X926:X930)/I925</f>
        <v>202.7943367346939</v>
      </c>
      <c r="Z925" s="8"/>
      <c r="AA925" s="8"/>
      <c r="AB925" s="8"/>
      <c r="AC925" s="8"/>
      <c r="AD925" s="8"/>
      <c r="AE925" s="8"/>
    </row>
    <row r="926" spans="1:32" s="10" customFormat="1" ht="20.100000000000001" customHeight="1" x14ac:dyDescent="0.25">
      <c r="A926" s="7"/>
      <c r="B926" s="8" t="s">
        <v>2</v>
      </c>
      <c r="C926" s="13" t="s">
        <v>4</v>
      </c>
      <c r="D926" s="8">
        <v>25</v>
      </c>
      <c r="E926" s="8"/>
      <c r="F926" s="8">
        <v>3</v>
      </c>
      <c r="G926" s="9">
        <f>VLOOKUP(D926,'[2]Beam '!$C$20:$H$26,3,0)</f>
        <v>1</v>
      </c>
      <c r="H926" s="9"/>
      <c r="I926" s="8"/>
      <c r="J926" s="8"/>
      <c r="K926" s="8"/>
      <c r="L926" s="8"/>
      <c r="M926" s="8"/>
      <c r="N926" s="8"/>
      <c r="O926" s="8">
        <f>(E925+2*(1.5/2)*D925)</f>
        <v>3.5</v>
      </c>
      <c r="P926" s="8">
        <f t="shared" ref="P926:P932" si="173">O926*F926</f>
        <v>10.5</v>
      </c>
      <c r="Q926" s="8">
        <f>IF($D926='[2]Beam '!Q$44,$P926*'[2]Beam '!Q$45,0)</f>
        <v>0</v>
      </c>
      <c r="R926" s="8">
        <f>IF($D926='[2]Beam '!R$44,$P926*'[2]Beam '!R$45,0)</f>
        <v>0</v>
      </c>
      <c r="S926" s="8">
        <f>IF($D926='[2]Beam '!S$44,$P926*'[2]Beam '!S$45,0)</f>
        <v>0</v>
      </c>
      <c r="T926" s="8">
        <f>IF($D926='[2]Beam '!T$44,$P926*'[2]Beam '!T$45,0)</f>
        <v>0</v>
      </c>
      <c r="U926" s="8">
        <f>IF($D926='[2]Beam '!U$44,$P926*'[2]Beam '!U$45,0)</f>
        <v>0</v>
      </c>
      <c r="V926" s="8">
        <f>IF($D926='[2]Beam '!V$44,$P926*'[2]Beam '!V$45,0)</f>
        <v>40.476562500000007</v>
      </c>
      <c r="W926" s="8">
        <f>IF($D926='[2]Beam '!W$44,$P926*'[2]Beam '!W$45,0)</f>
        <v>0</v>
      </c>
      <c r="X926" s="8">
        <f t="shared" ref="X926:X932" si="174">SUM(Q926:W926)</f>
        <v>40.476562500000007</v>
      </c>
      <c r="Y926" s="8"/>
      <c r="Z926" s="8"/>
      <c r="AA926" s="8"/>
      <c r="AB926" s="8"/>
      <c r="AC926" s="8"/>
      <c r="AD926" s="8"/>
      <c r="AE926" s="8"/>
    </row>
    <row r="927" spans="1:32" s="10" customFormat="1" ht="20.100000000000001" customHeight="1" x14ac:dyDescent="0.25">
      <c r="A927" s="7"/>
      <c r="B927" s="8" t="s">
        <v>2</v>
      </c>
      <c r="C927" s="13" t="s">
        <v>6</v>
      </c>
      <c r="D927" s="8">
        <v>25</v>
      </c>
      <c r="E927" s="8"/>
      <c r="F927" s="8">
        <v>3</v>
      </c>
      <c r="G927" s="9">
        <f>VLOOKUP(D927,'[2]Beam '!$C$20:$H$26,3,0)</f>
        <v>1</v>
      </c>
      <c r="H927" s="8"/>
      <c r="I927" s="8"/>
      <c r="J927" s="8"/>
      <c r="K927" s="8"/>
      <c r="L927" s="8"/>
      <c r="M927" s="8"/>
      <c r="N927" s="8"/>
      <c r="O927" s="8">
        <f>(E925+2*(1.5/2)*D925)</f>
        <v>3.5</v>
      </c>
      <c r="P927" s="8">
        <f t="shared" si="173"/>
        <v>10.5</v>
      </c>
      <c r="Q927" s="8">
        <f>IF($D927='[2]Beam '!Q$44,$P927*'[2]Beam '!Q$45,0)</f>
        <v>0</v>
      </c>
      <c r="R927" s="8">
        <f>IF($D927='[2]Beam '!R$44,$P927*'[2]Beam '!R$45,0)</f>
        <v>0</v>
      </c>
      <c r="S927" s="8">
        <f>IF($D927='[2]Beam '!S$44,$P927*'[2]Beam '!S$45,0)</f>
        <v>0</v>
      </c>
      <c r="T927" s="8">
        <f>IF($D927='[2]Beam '!T$44,$P927*'[2]Beam '!T$45,0)</f>
        <v>0</v>
      </c>
      <c r="U927" s="8">
        <f>IF($D927='[2]Beam '!U$44,$P927*'[2]Beam '!U$45,0)</f>
        <v>0</v>
      </c>
      <c r="V927" s="8">
        <f>IF($D927='[2]Beam '!V$44,$P927*'[2]Beam '!V$45,0)</f>
        <v>40.476562500000007</v>
      </c>
      <c r="W927" s="8">
        <f>IF($D927='[2]Beam '!W$44,$P927*'[2]Beam '!W$45,0)</f>
        <v>0</v>
      </c>
      <c r="X927" s="8">
        <f t="shared" si="174"/>
        <v>40.476562500000007</v>
      </c>
      <c r="Y927" s="8"/>
      <c r="Z927" s="8"/>
      <c r="AA927" s="8"/>
      <c r="AB927" s="8"/>
      <c r="AC927" s="8"/>
      <c r="AD927" s="8"/>
      <c r="AE927" s="8"/>
    </row>
    <row r="928" spans="1:32" s="14" customFormat="1" ht="20.100000000000001" customHeight="1" x14ac:dyDescent="0.3">
      <c r="A928" s="7"/>
      <c r="B928" s="8" t="s">
        <v>2</v>
      </c>
      <c r="C928" s="13" t="s">
        <v>75</v>
      </c>
      <c r="D928" s="8">
        <v>16</v>
      </c>
      <c r="E928" s="8"/>
      <c r="F928" s="8">
        <v>3</v>
      </c>
      <c r="G928" s="9">
        <f>VLOOKUP(D928,'[2]Beam '!$C$20:$H$26,3,0)</f>
        <v>0.625</v>
      </c>
      <c r="H928" s="9"/>
      <c r="I928" s="8"/>
      <c r="J928" s="8"/>
      <c r="K928" s="8"/>
      <c r="L928" s="8"/>
      <c r="M928" s="8"/>
      <c r="N928" s="8"/>
      <c r="O928" s="8">
        <f>(0.6+2*(1.5/2)*D925)</f>
        <v>2.1</v>
      </c>
      <c r="P928" s="8">
        <f t="shared" si="173"/>
        <v>6.3000000000000007</v>
      </c>
      <c r="Q928" s="8">
        <f>IF($D928='[2]Beam '!Q$44,$P928*'[2]Beam '!Q$45,0)</f>
        <v>0</v>
      </c>
      <c r="R928" s="8">
        <f>IF($D928='[2]Beam '!R$44,$P928*'[2]Beam '!R$45,0)</f>
        <v>0</v>
      </c>
      <c r="S928" s="8">
        <f>IF($D928='[2]Beam '!S$44,$P928*'[2]Beam '!S$45,0)</f>
        <v>0</v>
      </c>
      <c r="T928" s="8">
        <f>IF($D928='[2]Beam '!T$44,$P928*'[2]Beam '!T$45,0)</f>
        <v>9.9475200000000026</v>
      </c>
      <c r="U928" s="8">
        <f>IF($D928='[2]Beam '!U$44,$P928*'[2]Beam '!U$45,0)</f>
        <v>0</v>
      </c>
      <c r="V928" s="8">
        <f>IF($D928='[2]Beam '!V$44,$P928*'[2]Beam '!V$45,0)</f>
        <v>0</v>
      </c>
      <c r="W928" s="8">
        <f>IF($D928='[2]Beam '!W$44,$P928*'[2]Beam '!W$45,0)</f>
        <v>0</v>
      </c>
      <c r="X928" s="8">
        <f t="shared" si="174"/>
        <v>9.9475200000000026</v>
      </c>
      <c r="Y928" s="8"/>
    </row>
    <row r="929" spans="1:32" s="10" customFormat="1" ht="20.100000000000001" customHeight="1" x14ac:dyDescent="0.25">
      <c r="A929" s="7"/>
      <c r="B929" s="8" t="s">
        <v>2</v>
      </c>
      <c r="C929" s="13" t="s">
        <v>75</v>
      </c>
      <c r="D929" s="8">
        <v>16</v>
      </c>
      <c r="E929" s="8"/>
      <c r="F929" s="8">
        <v>3</v>
      </c>
      <c r="G929" s="9">
        <f>VLOOKUP(D929,'[2]Beam '!$C$20:$H$26,3,0)</f>
        <v>0.625</v>
      </c>
      <c r="H929" s="9"/>
      <c r="I929" s="8"/>
      <c r="J929" s="8"/>
      <c r="K929" s="8"/>
      <c r="L929" s="8"/>
      <c r="M929" s="8"/>
      <c r="N929" s="8"/>
      <c r="O929" s="8">
        <f>2.15+1*(1.5/2)</f>
        <v>2.9</v>
      </c>
      <c r="P929" s="8">
        <f t="shared" si="173"/>
        <v>8.6999999999999993</v>
      </c>
      <c r="Q929" s="8">
        <f>IF($D929='[2]Beam '!Q$44,$P929*'[2]Beam '!Q$45,0)</f>
        <v>0</v>
      </c>
      <c r="R929" s="8">
        <f>IF($D929='[2]Beam '!R$44,$P929*'[2]Beam '!R$45,0)</f>
        <v>0</v>
      </c>
      <c r="S929" s="8">
        <f>IF($D929='[2]Beam '!S$44,$P929*'[2]Beam '!S$45,0)</f>
        <v>0</v>
      </c>
      <c r="T929" s="8">
        <f>IF($D929='[2]Beam '!T$44,$P929*'[2]Beam '!T$45,0)</f>
        <v>13.737051428571428</v>
      </c>
      <c r="U929" s="8">
        <f>IF($D929='[2]Beam '!U$44,$P929*'[2]Beam '!U$45,0)</f>
        <v>0</v>
      </c>
      <c r="V929" s="8">
        <f>IF($D929='[2]Beam '!V$44,$P929*'[2]Beam '!V$45,0)</f>
        <v>0</v>
      </c>
      <c r="W929" s="8">
        <f>IF($D929='[2]Beam '!W$44,$P929*'[2]Beam '!W$45,0)</f>
        <v>0</v>
      </c>
      <c r="X929" s="8">
        <f t="shared" si="174"/>
        <v>13.737051428571428</v>
      </c>
      <c r="Y929" s="8"/>
      <c r="Z929" s="8"/>
      <c r="AA929" s="8"/>
      <c r="AB929" s="8"/>
      <c r="AC929" s="8"/>
      <c r="AD929" s="8"/>
      <c r="AE929" s="8"/>
    </row>
    <row r="930" spans="1:32" s="10" customFormat="1" ht="21" customHeight="1" x14ac:dyDescent="0.25">
      <c r="A930" s="7"/>
      <c r="B930" s="8" t="s">
        <v>2</v>
      </c>
      <c r="C930" s="13" t="s">
        <v>8</v>
      </c>
      <c r="D930" s="8">
        <v>12</v>
      </c>
      <c r="E930" s="8">
        <v>0.1</v>
      </c>
      <c r="F930" s="8">
        <f>ROUNDUP(E925/E930,0)</f>
        <v>20</v>
      </c>
      <c r="H930" s="8"/>
      <c r="I930" s="8"/>
      <c r="J930" s="8"/>
      <c r="K930" s="8"/>
      <c r="L930" s="8"/>
      <c r="M930" s="8"/>
      <c r="N930" s="8"/>
      <c r="O930" s="8">
        <f>(2*((G925-(2*'[2]Beam '!$D$11))+(F925-(2*'[2]Beam '!$D$11)))+(2*10*D930/1000))*D925</f>
        <v>2.9000000000000004</v>
      </c>
      <c r="P930" s="8">
        <f t="shared" si="173"/>
        <v>58.000000000000007</v>
      </c>
      <c r="Q930" s="8">
        <f>IF($D930='[2]Beam '!Q$44,$P930*'[2]Beam '!Q$45,0)</f>
        <v>0</v>
      </c>
      <c r="R930" s="8">
        <f>IF($D930='[2]Beam '!R$44,$P930*'[2]Beam '!R$45,0)</f>
        <v>0</v>
      </c>
      <c r="S930" s="8">
        <f>IF($D930='[2]Beam '!S$44,$P930*'[2]Beam '!S$45,0)</f>
        <v>51.513942857142872</v>
      </c>
      <c r="T930" s="8">
        <f>IF($D930='[2]Beam '!T$44,$P930*'[2]Beam '!T$45,0)</f>
        <v>0</v>
      </c>
      <c r="U930" s="8">
        <f>IF($D930='[2]Beam '!U$44,$P930*'[2]Beam '!U$45,0)</f>
        <v>0</v>
      </c>
      <c r="V930" s="8">
        <f>IF($D930='[2]Beam '!V$44,$P930*'[2]Beam '!V$45,0)</f>
        <v>0</v>
      </c>
      <c r="W930" s="8">
        <f>IF($D930='[2]Beam '!W$44,$P930*'[2]Beam '!W$45,0)</f>
        <v>0</v>
      </c>
      <c r="X930" s="8">
        <f t="shared" si="174"/>
        <v>51.513942857142872</v>
      </c>
      <c r="Y930" s="8"/>
      <c r="Z930" s="8"/>
      <c r="AA930" s="8"/>
      <c r="AB930" s="8"/>
      <c r="AC930" s="8"/>
      <c r="AD930" s="8"/>
      <c r="AE930" s="8"/>
      <c r="AF930" s="8"/>
    </row>
    <row r="931" spans="1:32" s="10" customFormat="1" ht="20.100000000000001" customHeight="1" x14ac:dyDescent="0.25">
      <c r="A931" s="14"/>
      <c r="B931" s="8" t="s">
        <v>2</v>
      </c>
      <c r="C931" s="13" t="s">
        <v>9</v>
      </c>
      <c r="D931" s="8">
        <f>+D930</f>
        <v>12</v>
      </c>
      <c r="E931" s="14">
        <f>+E930</f>
        <v>0.1</v>
      </c>
      <c r="F931" s="8">
        <f>ROUNDUP(E925/E931,0)</f>
        <v>20</v>
      </c>
      <c r="H931" s="14"/>
      <c r="I931" s="14"/>
      <c r="J931" s="14"/>
      <c r="K931" s="14"/>
      <c r="L931" s="14"/>
      <c r="M931" s="14"/>
      <c r="N931" s="14"/>
      <c r="O931" s="8">
        <f>((((G925-(2*'[2]Beam '!$D$11))+(2*10*D931/1000))*D925))*1</f>
        <v>1.28</v>
      </c>
      <c r="P931" s="8">
        <f t="shared" si="173"/>
        <v>25.6</v>
      </c>
      <c r="Q931" s="8">
        <f>IF($D931='[2]Beam '!Q$44,$P931*'[2]Beam '!Q$45,0)</f>
        <v>0</v>
      </c>
      <c r="R931" s="8">
        <f>IF($D931='[2]Beam '!R$44,$P931*'[2]Beam '!R$45,0)</f>
        <v>0</v>
      </c>
      <c r="S931" s="8">
        <f>IF($D931='[2]Beam '!S$44,$P931*'[2]Beam '!S$45,0)</f>
        <v>22.737188571428575</v>
      </c>
      <c r="T931" s="8">
        <f>IF($D931='[2]Beam '!T$44,$P931*'[2]Beam '!T$45,0)</f>
        <v>0</v>
      </c>
      <c r="U931" s="8">
        <f>IF($D931='[2]Beam '!U$44,$P931*'[2]Beam '!U$45,0)</f>
        <v>0</v>
      </c>
      <c r="V931" s="8">
        <f>IF($D931='[2]Beam '!V$44,$P931*'[2]Beam '!V$45,0)</f>
        <v>0</v>
      </c>
      <c r="W931" s="8">
        <f>IF($D931='[2]Beam '!W$44,$P931*'[2]Beam '!W$45,0)</f>
        <v>0</v>
      </c>
      <c r="X931" s="8">
        <f t="shared" si="174"/>
        <v>22.737188571428575</v>
      </c>
      <c r="Y931" s="14"/>
      <c r="Z931" s="8"/>
      <c r="AA931" s="8"/>
      <c r="AB931" s="8"/>
      <c r="AC931" s="8"/>
      <c r="AD931" s="8"/>
      <c r="AE931" s="8"/>
    </row>
    <row r="932" spans="1:32" s="10" customFormat="1" ht="20.100000000000001" customHeight="1" x14ac:dyDescent="0.25">
      <c r="A932" s="7"/>
      <c r="B932" s="8" t="s">
        <v>2</v>
      </c>
      <c r="C932" s="13" t="s">
        <v>10</v>
      </c>
      <c r="D932" s="8">
        <f>+'[2]Beam '!$D$15</f>
        <v>25</v>
      </c>
      <c r="E932" s="8">
        <f>+'[2]Beam '!$E$15</f>
        <v>1</v>
      </c>
      <c r="F932" s="8">
        <f>ROUNDUP((0.6+E925)/E932,0)</f>
        <v>3</v>
      </c>
      <c r="G932" s="9"/>
      <c r="H932" s="9"/>
      <c r="I932" s="8"/>
      <c r="J932" s="8"/>
      <c r="K932" s="8"/>
      <c r="L932" s="8"/>
      <c r="M932" s="8"/>
      <c r="N932" s="8"/>
      <c r="O932" s="8">
        <f>F925-'[2]Beam '!$F$15</f>
        <v>0.28999999999999998</v>
      </c>
      <c r="P932" s="8">
        <f t="shared" si="173"/>
        <v>0.86999999999999988</v>
      </c>
      <c r="Q932" s="8">
        <f>IF($D932='[2]Beam '!Q$44,$P932*'[2]Beam '!Q$45,0)</f>
        <v>0</v>
      </c>
      <c r="R932" s="8">
        <f>IF($D932='[2]Beam '!R$44,$P932*'[2]Beam '!R$45,0)</f>
        <v>0</v>
      </c>
      <c r="S932" s="8">
        <f>IF($D932='[2]Beam '!S$44,$P932*'[2]Beam '!S$45,0)</f>
        <v>0</v>
      </c>
      <c r="T932" s="8">
        <f>IF($D932='[2]Beam '!T$44,$P932*'[2]Beam '!T$45,0)</f>
        <v>0</v>
      </c>
      <c r="U932" s="8">
        <f>IF($D932='[2]Beam '!U$44,$P932*'[2]Beam '!U$45,0)</f>
        <v>0</v>
      </c>
      <c r="V932" s="8">
        <f>IF($D932='[2]Beam '!V$44,$P932*'[2]Beam '!V$45,0)</f>
        <v>3.3537723214285715</v>
      </c>
      <c r="W932" s="8">
        <f>IF($D932='[2]Beam '!W$44,$P932*'[2]Beam '!W$45,0)</f>
        <v>0</v>
      </c>
      <c r="X932" s="8">
        <f t="shared" si="174"/>
        <v>3.3537723214285715</v>
      </c>
      <c r="Y932" s="8"/>
      <c r="Z932" s="8"/>
      <c r="AA932" s="8"/>
      <c r="AB932" s="8"/>
      <c r="AC932" s="8"/>
      <c r="AD932" s="8"/>
      <c r="AE932" s="8"/>
    </row>
    <row r="933" spans="1:32" s="10" customFormat="1" ht="20.100000000000001" customHeight="1" x14ac:dyDescent="0.25">
      <c r="A933" s="8">
        <v>1</v>
      </c>
      <c r="B933" s="8" t="s">
        <v>2</v>
      </c>
      <c r="C933" s="11" t="s">
        <v>128</v>
      </c>
      <c r="D933" s="11">
        <v>1</v>
      </c>
      <c r="E933" s="11">
        <v>2</v>
      </c>
      <c r="F933" s="11">
        <v>0.35</v>
      </c>
      <c r="G933" s="11">
        <v>1.1000000000000001</v>
      </c>
      <c r="H933" s="8">
        <f>G933-0.2</f>
        <v>0.90000000000000013</v>
      </c>
      <c r="I933" s="8">
        <f>E933*F933*G933*D933</f>
        <v>0.77</v>
      </c>
      <c r="J933" s="8">
        <f>(2*(E933)*H933*D933)+(E933*F933)</f>
        <v>4.3000000000000007</v>
      </c>
      <c r="K933" s="12">
        <f>IF(E933=0.3,J933,0)</f>
        <v>0</v>
      </c>
      <c r="L933" s="12">
        <f>IF(AND(E933&gt;0.3,E933&lt;=0.75),J933,0)</f>
        <v>0</v>
      </c>
      <c r="M933" s="12">
        <f>IF(AND(E933&gt;0.75,E933&lt;=1.2),J933,0)</f>
        <v>0</v>
      </c>
      <c r="N933" s="12">
        <f>IF(E933&gt;1.2,J933,0)</f>
        <v>4.3000000000000007</v>
      </c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>
        <f>SUM(X934:X938)/I933</f>
        <v>205.25507142857145</v>
      </c>
      <c r="Z933" s="8"/>
      <c r="AA933" s="8"/>
      <c r="AB933" s="8"/>
      <c r="AC933" s="8"/>
      <c r="AD933" s="8"/>
      <c r="AE933" s="8"/>
    </row>
    <row r="934" spans="1:32" s="10" customFormat="1" ht="20.100000000000001" customHeight="1" x14ac:dyDescent="0.25">
      <c r="A934" s="7"/>
      <c r="B934" s="8" t="s">
        <v>2</v>
      </c>
      <c r="C934" s="13" t="s">
        <v>4</v>
      </c>
      <c r="D934" s="8">
        <v>25</v>
      </c>
      <c r="E934" s="8"/>
      <c r="F934" s="8">
        <v>3</v>
      </c>
      <c r="G934" s="9">
        <f>VLOOKUP(D934,'[2]Beam '!$C$20:$H$26,3,0)</f>
        <v>1</v>
      </c>
      <c r="H934" s="9"/>
      <c r="I934" s="8"/>
      <c r="J934" s="8"/>
      <c r="K934" s="8"/>
      <c r="L934" s="8"/>
      <c r="M934" s="8"/>
      <c r="N934" s="8"/>
      <c r="O934" s="8">
        <f>(E933+2*(1.5/2)*D933)</f>
        <v>3.5</v>
      </c>
      <c r="P934" s="8">
        <f t="shared" ref="P934:P940" si="175">O934*F934</f>
        <v>10.5</v>
      </c>
      <c r="Q934" s="8">
        <f>IF($D934='[2]Beam '!Q$44,$P934*'[2]Beam '!Q$45,0)</f>
        <v>0</v>
      </c>
      <c r="R934" s="8">
        <f>IF($D934='[2]Beam '!R$44,$P934*'[2]Beam '!R$45,0)</f>
        <v>0</v>
      </c>
      <c r="S934" s="8">
        <f>IF($D934='[2]Beam '!S$44,$P934*'[2]Beam '!S$45,0)</f>
        <v>0</v>
      </c>
      <c r="T934" s="8">
        <f>IF($D934='[2]Beam '!T$44,$P934*'[2]Beam '!T$45,0)</f>
        <v>0</v>
      </c>
      <c r="U934" s="8">
        <f>IF($D934='[2]Beam '!U$44,$P934*'[2]Beam '!U$45,0)</f>
        <v>0</v>
      </c>
      <c r="V934" s="8">
        <f>IF($D934='[2]Beam '!V$44,$P934*'[2]Beam '!V$45,0)</f>
        <v>40.476562500000007</v>
      </c>
      <c r="W934" s="8">
        <f>IF($D934='[2]Beam '!W$44,$P934*'[2]Beam '!W$45,0)</f>
        <v>0</v>
      </c>
      <c r="X934" s="8">
        <f t="shared" ref="X934:X940" si="176">SUM(Q934:W934)</f>
        <v>40.476562500000007</v>
      </c>
      <c r="Y934" s="8"/>
      <c r="Z934" s="8"/>
      <c r="AA934" s="8"/>
      <c r="AB934" s="8"/>
      <c r="AC934" s="8"/>
      <c r="AD934" s="8"/>
      <c r="AE934" s="8"/>
    </row>
    <row r="935" spans="1:32" s="10" customFormat="1" ht="20.100000000000001" customHeight="1" x14ac:dyDescent="0.25">
      <c r="A935" s="7"/>
      <c r="B935" s="8" t="s">
        <v>2</v>
      </c>
      <c r="C935" s="13" t="s">
        <v>6</v>
      </c>
      <c r="D935" s="8">
        <v>25</v>
      </c>
      <c r="E935" s="8"/>
      <c r="F935" s="8">
        <v>3</v>
      </c>
      <c r="G935" s="9">
        <f>VLOOKUP(D935,'[2]Beam '!$C$20:$H$26,3,0)</f>
        <v>1</v>
      </c>
      <c r="H935" s="8"/>
      <c r="I935" s="8"/>
      <c r="J935" s="8"/>
      <c r="K935" s="8"/>
      <c r="L935" s="8"/>
      <c r="M935" s="8"/>
      <c r="N935" s="8"/>
      <c r="O935" s="8">
        <f>(E933+2*(1.5/2)*D933)</f>
        <v>3.5</v>
      </c>
      <c r="P935" s="8">
        <f t="shared" si="175"/>
        <v>10.5</v>
      </c>
      <c r="Q935" s="8">
        <f>IF($D935='[2]Beam '!Q$44,$P935*'[2]Beam '!Q$45,0)</f>
        <v>0</v>
      </c>
      <c r="R935" s="8">
        <f>IF($D935='[2]Beam '!R$44,$P935*'[2]Beam '!R$45,0)</f>
        <v>0</v>
      </c>
      <c r="S935" s="8">
        <f>IF($D935='[2]Beam '!S$44,$P935*'[2]Beam '!S$45,0)</f>
        <v>0</v>
      </c>
      <c r="T935" s="8">
        <f>IF($D935='[2]Beam '!T$44,$P935*'[2]Beam '!T$45,0)</f>
        <v>0</v>
      </c>
      <c r="U935" s="8">
        <f>IF($D935='[2]Beam '!U$44,$P935*'[2]Beam '!U$45,0)</f>
        <v>0</v>
      </c>
      <c r="V935" s="8">
        <f>IF($D935='[2]Beam '!V$44,$P935*'[2]Beam '!V$45,0)</f>
        <v>40.476562500000007</v>
      </c>
      <c r="W935" s="8">
        <f>IF($D935='[2]Beam '!W$44,$P935*'[2]Beam '!W$45,0)</f>
        <v>0</v>
      </c>
      <c r="X935" s="8">
        <f t="shared" si="176"/>
        <v>40.476562500000007</v>
      </c>
      <c r="Y935" s="8"/>
      <c r="Z935" s="8"/>
      <c r="AA935" s="8"/>
      <c r="AB935" s="8"/>
      <c r="AC935" s="8"/>
      <c r="AD935" s="8"/>
      <c r="AE935" s="8"/>
    </row>
    <row r="936" spans="1:32" s="14" customFormat="1" ht="20.100000000000001" customHeight="1" x14ac:dyDescent="0.3">
      <c r="A936" s="7"/>
      <c r="B936" s="8" t="s">
        <v>2</v>
      </c>
      <c r="C936" s="13" t="s">
        <v>75</v>
      </c>
      <c r="D936" s="8">
        <v>16</v>
      </c>
      <c r="E936" s="8"/>
      <c r="F936" s="8">
        <v>2</v>
      </c>
      <c r="G936" s="9">
        <f>VLOOKUP(D936,'[2]Beam '!$C$20:$H$26,3,0)</f>
        <v>0.625</v>
      </c>
      <c r="H936" s="9"/>
      <c r="I936" s="8"/>
      <c r="J936" s="8"/>
      <c r="K936" s="8"/>
      <c r="L936" s="8"/>
      <c r="M936" s="8"/>
      <c r="N936" s="8"/>
      <c r="O936" s="8">
        <f>(0.6+2*(1.5/2)*D933)</f>
        <v>2.1</v>
      </c>
      <c r="P936" s="8">
        <f t="shared" si="175"/>
        <v>4.2</v>
      </c>
      <c r="Q936" s="8">
        <f>IF($D936='[2]Beam '!Q$44,$P936*'[2]Beam '!Q$45,0)</f>
        <v>0</v>
      </c>
      <c r="R936" s="8">
        <f>IF($D936='[2]Beam '!R$44,$P936*'[2]Beam '!R$45,0)</f>
        <v>0</v>
      </c>
      <c r="S936" s="8">
        <f>IF($D936='[2]Beam '!S$44,$P936*'[2]Beam '!S$45,0)</f>
        <v>0</v>
      </c>
      <c r="T936" s="8">
        <f>IF($D936='[2]Beam '!T$44,$P936*'[2]Beam '!T$45,0)</f>
        <v>6.6316800000000011</v>
      </c>
      <c r="U936" s="8">
        <f>IF($D936='[2]Beam '!U$44,$P936*'[2]Beam '!U$45,0)</f>
        <v>0</v>
      </c>
      <c r="V936" s="8">
        <f>IF($D936='[2]Beam '!V$44,$P936*'[2]Beam '!V$45,0)</f>
        <v>0</v>
      </c>
      <c r="W936" s="8">
        <f>IF($D936='[2]Beam '!W$44,$P936*'[2]Beam '!W$45,0)</f>
        <v>0</v>
      </c>
      <c r="X936" s="8">
        <f t="shared" si="176"/>
        <v>6.6316800000000011</v>
      </c>
      <c r="Y936" s="8"/>
    </row>
    <row r="937" spans="1:32" s="10" customFormat="1" ht="20.100000000000001" customHeight="1" x14ac:dyDescent="0.25">
      <c r="A937" s="7"/>
      <c r="B937" s="8" t="s">
        <v>2</v>
      </c>
      <c r="C937" s="13" t="s">
        <v>88</v>
      </c>
      <c r="D937" s="8">
        <v>16</v>
      </c>
      <c r="E937" s="8"/>
      <c r="F937" s="8">
        <v>3</v>
      </c>
      <c r="G937" s="9">
        <f>VLOOKUP(D937,'[2]Beam '!$C$20:$H$26,3,0)</f>
        <v>0.625</v>
      </c>
      <c r="H937" s="9"/>
      <c r="I937" s="8"/>
      <c r="J937" s="8"/>
      <c r="K937" s="8"/>
      <c r="L937" s="8"/>
      <c r="M937" s="8"/>
      <c r="N937" s="8"/>
      <c r="O937" s="8">
        <f>E933+2*G916</f>
        <v>4</v>
      </c>
      <c r="P937" s="8">
        <f t="shared" si="175"/>
        <v>12</v>
      </c>
      <c r="Q937" s="8">
        <f>IF($D937='[2]Beam '!Q$44,$P937*'[2]Beam '!Q$45,0)</f>
        <v>0</v>
      </c>
      <c r="R937" s="8">
        <f>IF($D937='[2]Beam '!R$44,$P937*'[2]Beam '!R$45,0)</f>
        <v>0</v>
      </c>
      <c r="S937" s="8">
        <f>IF($D937='[2]Beam '!S$44,$P937*'[2]Beam '!S$45,0)</f>
        <v>0</v>
      </c>
      <c r="T937" s="8">
        <f>IF($D937='[2]Beam '!T$44,$P937*'[2]Beam '!T$45,0)</f>
        <v>18.947657142857146</v>
      </c>
      <c r="U937" s="8">
        <f>IF($D937='[2]Beam '!U$44,$P937*'[2]Beam '!U$45,0)</f>
        <v>0</v>
      </c>
      <c r="V937" s="8">
        <f>IF($D937='[2]Beam '!V$44,$P937*'[2]Beam '!V$45,0)</f>
        <v>0</v>
      </c>
      <c r="W937" s="8">
        <f>IF($D937='[2]Beam '!W$44,$P937*'[2]Beam '!W$45,0)</f>
        <v>0</v>
      </c>
      <c r="X937" s="8">
        <f t="shared" si="176"/>
        <v>18.947657142857146</v>
      </c>
      <c r="Y937" s="8"/>
      <c r="Z937" s="8"/>
      <c r="AA937" s="8"/>
      <c r="AB937" s="8"/>
      <c r="AC937" s="8"/>
      <c r="AD937" s="8"/>
      <c r="AE937" s="8"/>
    </row>
    <row r="938" spans="1:32" s="10" customFormat="1" ht="21" customHeight="1" x14ac:dyDescent="0.25">
      <c r="A938" s="7"/>
      <c r="B938" s="8" t="s">
        <v>2</v>
      </c>
      <c r="C938" s="13" t="s">
        <v>8</v>
      </c>
      <c r="D938" s="8">
        <v>12</v>
      </c>
      <c r="E938" s="8">
        <v>0.1</v>
      </c>
      <c r="F938" s="8">
        <f>ROUNDUP(E933/E938,0)</f>
        <v>20</v>
      </c>
      <c r="H938" s="8"/>
      <c r="I938" s="8"/>
      <c r="J938" s="8"/>
      <c r="K938" s="8"/>
      <c r="L938" s="8"/>
      <c r="M938" s="8"/>
      <c r="N938" s="8"/>
      <c r="O938" s="8">
        <f>(2*((G933-(2*'[2]Beam '!$D$11))+(F933-(2*'[2]Beam '!$D$11)))+(2*10*D938/1000))*D933</f>
        <v>2.9000000000000004</v>
      </c>
      <c r="P938" s="8">
        <f t="shared" si="175"/>
        <v>58.000000000000007</v>
      </c>
      <c r="Q938" s="8">
        <f>IF($D938='[2]Beam '!Q$44,$P938*'[2]Beam '!Q$45,0)</f>
        <v>0</v>
      </c>
      <c r="R938" s="8">
        <f>IF($D938='[2]Beam '!R$44,$P938*'[2]Beam '!R$45,0)</f>
        <v>0</v>
      </c>
      <c r="S938" s="8">
        <f>IF($D938='[2]Beam '!S$44,$P938*'[2]Beam '!S$45,0)</f>
        <v>51.513942857142872</v>
      </c>
      <c r="T938" s="8">
        <f>IF($D938='[2]Beam '!T$44,$P938*'[2]Beam '!T$45,0)</f>
        <v>0</v>
      </c>
      <c r="U938" s="8">
        <f>IF($D938='[2]Beam '!U$44,$P938*'[2]Beam '!U$45,0)</f>
        <v>0</v>
      </c>
      <c r="V938" s="8">
        <f>IF($D938='[2]Beam '!V$44,$P938*'[2]Beam '!V$45,0)</f>
        <v>0</v>
      </c>
      <c r="W938" s="8">
        <f>IF($D938='[2]Beam '!W$44,$P938*'[2]Beam '!W$45,0)</f>
        <v>0</v>
      </c>
      <c r="X938" s="8">
        <f t="shared" si="176"/>
        <v>51.513942857142872</v>
      </c>
      <c r="Y938" s="8"/>
      <c r="Z938" s="8"/>
      <c r="AA938" s="8"/>
      <c r="AB938" s="8"/>
      <c r="AC938" s="8"/>
      <c r="AD938" s="8"/>
      <c r="AE938" s="8"/>
      <c r="AF938" s="8"/>
    </row>
    <row r="939" spans="1:32" s="10" customFormat="1" ht="20.100000000000001" customHeight="1" x14ac:dyDescent="0.25">
      <c r="A939" s="14"/>
      <c r="B939" s="8" t="s">
        <v>2</v>
      </c>
      <c r="C939" s="13" t="s">
        <v>9</v>
      </c>
      <c r="D939" s="8">
        <f>+D938</f>
        <v>12</v>
      </c>
      <c r="E939" s="14">
        <f>+E938</f>
        <v>0.1</v>
      </c>
      <c r="F939" s="8">
        <f>ROUNDUP(E933/E939,0)</f>
        <v>20</v>
      </c>
      <c r="H939" s="14"/>
      <c r="I939" s="14"/>
      <c r="J939" s="14"/>
      <c r="K939" s="14"/>
      <c r="L939" s="14"/>
      <c r="M939" s="14"/>
      <c r="N939" s="14"/>
      <c r="O939" s="8">
        <f>((((G933-(2*'[2]Beam '!$D$11))+(2*10*D939/1000))*D933))*1</f>
        <v>1.28</v>
      </c>
      <c r="P939" s="8">
        <f t="shared" si="175"/>
        <v>25.6</v>
      </c>
      <c r="Q939" s="8">
        <f>IF($D939='[2]Beam '!Q$44,$P939*'[2]Beam '!Q$45,0)</f>
        <v>0</v>
      </c>
      <c r="R939" s="8">
        <f>IF($D939='[2]Beam '!R$44,$P939*'[2]Beam '!R$45,0)</f>
        <v>0</v>
      </c>
      <c r="S939" s="8">
        <f>IF($D939='[2]Beam '!S$44,$P939*'[2]Beam '!S$45,0)</f>
        <v>22.737188571428575</v>
      </c>
      <c r="T939" s="8">
        <f>IF($D939='[2]Beam '!T$44,$P939*'[2]Beam '!T$45,0)</f>
        <v>0</v>
      </c>
      <c r="U939" s="8">
        <f>IF($D939='[2]Beam '!U$44,$P939*'[2]Beam '!U$45,0)</f>
        <v>0</v>
      </c>
      <c r="V939" s="8">
        <f>IF($D939='[2]Beam '!V$44,$P939*'[2]Beam '!V$45,0)</f>
        <v>0</v>
      </c>
      <c r="W939" s="8">
        <f>IF($D939='[2]Beam '!W$44,$P939*'[2]Beam '!W$45,0)</f>
        <v>0</v>
      </c>
      <c r="X939" s="8">
        <f t="shared" si="176"/>
        <v>22.737188571428575</v>
      </c>
      <c r="Y939" s="14"/>
      <c r="Z939" s="8"/>
      <c r="AA939" s="8"/>
      <c r="AB939" s="8"/>
      <c r="AC939" s="8"/>
      <c r="AD939" s="8"/>
      <c r="AE939" s="8"/>
    </row>
    <row r="940" spans="1:32" s="10" customFormat="1" ht="20.100000000000001" customHeight="1" x14ac:dyDescent="0.25">
      <c r="A940" s="7"/>
      <c r="B940" s="8" t="s">
        <v>2</v>
      </c>
      <c r="C940" s="13" t="s">
        <v>10</v>
      </c>
      <c r="D940" s="8">
        <f>+'[2]Beam '!$D$15</f>
        <v>25</v>
      </c>
      <c r="E940" s="8">
        <f>+'[2]Beam '!$E$15</f>
        <v>1</v>
      </c>
      <c r="F940" s="8">
        <f>ROUNDUP((0.6+E933)/E940,0)</f>
        <v>3</v>
      </c>
      <c r="G940" s="9"/>
      <c r="H940" s="9"/>
      <c r="I940" s="8"/>
      <c r="J940" s="8"/>
      <c r="K940" s="8"/>
      <c r="L940" s="8"/>
      <c r="M940" s="8"/>
      <c r="N940" s="8"/>
      <c r="O940" s="8">
        <f>F933-'[2]Beam '!$F$15</f>
        <v>0.28999999999999998</v>
      </c>
      <c r="P940" s="8">
        <f t="shared" si="175"/>
        <v>0.86999999999999988</v>
      </c>
      <c r="Q940" s="8">
        <f>IF($D940='[2]Beam '!Q$44,$P940*'[2]Beam '!Q$45,0)</f>
        <v>0</v>
      </c>
      <c r="R940" s="8">
        <f>IF($D940='[2]Beam '!R$44,$P940*'[2]Beam '!R$45,0)</f>
        <v>0</v>
      </c>
      <c r="S940" s="8">
        <f>IF($D940='[2]Beam '!S$44,$P940*'[2]Beam '!S$45,0)</f>
        <v>0</v>
      </c>
      <c r="T940" s="8">
        <f>IF($D940='[2]Beam '!T$44,$P940*'[2]Beam '!T$45,0)</f>
        <v>0</v>
      </c>
      <c r="U940" s="8">
        <f>IF($D940='[2]Beam '!U$44,$P940*'[2]Beam '!U$45,0)</f>
        <v>0</v>
      </c>
      <c r="V940" s="8">
        <f>IF($D940='[2]Beam '!V$44,$P940*'[2]Beam '!V$45,0)</f>
        <v>3.3537723214285715</v>
      </c>
      <c r="W940" s="8">
        <f>IF($D940='[2]Beam '!W$44,$P940*'[2]Beam '!W$45,0)</f>
        <v>0</v>
      </c>
      <c r="X940" s="8">
        <f t="shared" si="176"/>
        <v>3.3537723214285715</v>
      </c>
      <c r="Y940" s="8"/>
      <c r="Z940" s="8"/>
      <c r="AA940" s="8"/>
      <c r="AB940" s="8"/>
      <c r="AC940" s="8"/>
      <c r="AD940" s="8"/>
      <c r="AE940" s="8"/>
    </row>
    <row r="941" spans="1:32" s="10" customFormat="1" ht="20.100000000000001" customHeight="1" x14ac:dyDescent="0.25">
      <c r="A941" s="8">
        <v>1</v>
      </c>
      <c r="B941" s="8" t="s">
        <v>2</v>
      </c>
      <c r="C941" s="11" t="s">
        <v>129</v>
      </c>
      <c r="D941" s="11">
        <v>1</v>
      </c>
      <c r="E941" s="11">
        <v>2</v>
      </c>
      <c r="F941" s="11">
        <v>0.35</v>
      </c>
      <c r="G941" s="11">
        <v>1.1000000000000001</v>
      </c>
      <c r="H941" s="8">
        <f>G941-0.2</f>
        <v>0.90000000000000013</v>
      </c>
      <c r="I941" s="8">
        <f>E941*F941*G941*D941</f>
        <v>0.77</v>
      </c>
      <c r="J941" s="8">
        <f>(2*(E941)*H941*D941)+(E941*F941)</f>
        <v>4.3000000000000007</v>
      </c>
      <c r="K941" s="12">
        <f>IF(E941=0.3,J941,0)</f>
        <v>0</v>
      </c>
      <c r="L941" s="12">
        <f>IF(AND(E941&gt;0.3,E941&lt;=0.75),J941,0)</f>
        <v>0</v>
      </c>
      <c r="M941" s="12">
        <f>IF(AND(E941&gt;0.75,E941&lt;=1.2),J941,0)</f>
        <v>0</v>
      </c>
      <c r="N941" s="12">
        <f>IF(E941&gt;1.2,J941,0)</f>
        <v>4.3000000000000007</v>
      </c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>
        <f>SUM(X942:X946)/I941</f>
        <v>201.97409183673471</v>
      </c>
      <c r="Z941" s="8"/>
      <c r="AA941" s="8"/>
      <c r="AB941" s="8"/>
      <c r="AC941" s="8"/>
      <c r="AD941" s="8"/>
      <c r="AE941" s="8"/>
    </row>
    <row r="942" spans="1:32" s="10" customFormat="1" ht="20.100000000000001" customHeight="1" x14ac:dyDescent="0.25">
      <c r="A942" s="7"/>
      <c r="B942" s="8" t="s">
        <v>2</v>
      </c>
      <c r="C942" s="13" t="s">
        <v>4</v>
      </c>
      <c r="D942" s="8">
        <v>25</v>
      </c>
      <c r="E942" s="8"/>
      <c r="F942" s="8">
        <v>3</v>
      </c>
      <c r="G942" s="9">
        <f>VLOOKUP(D942,'[2]Beam '!$C$20:$H$26,3,0)</f>
        <v>1</v>
      </c>
      <c r="H942" s="9"/>
      <c r="I942" s="8"/>
      <c r="J942" s="8"/>
      <c r="K942" s="8"/>
      <c r="L942" s="8"/>
      <c r="M942" s="8"/>
      <c r="N942" s="8"/>
      <c r="O942" s="8">
        <f>(E941+2*(1.5/2)*D941)</f>
        <v>3.5</v>
      </c>
      <c r="P942" s="8">
        <f t="shared" ref="P942:P948" si="177">O942*F942</f>
        <v>10.5</v>
      </c>
      <c r="Q942" s="8">
        <f>IF($D942='[2]Beam '!Q$44,$P942*'[2]Beam '!Q$45,0)</f>
        <v>0</v>
      </c>
      <c r="R942" s="8">
        <f>IF($D942='[2]Beam '!R$44,$P942*'[2]Beam '!R$45,0)</f>
        <v>0</v>
      </c>
      <c r="S942" s="8">
        <f>IF($D942='[2]Beam '!S$44,$P942*'[2]Beam '!S$45,0)</f>
        <v>0</v>
      </c>
      <c r="T942" s="8">
        <f>IF($D942='[2]Beam '!T$44,$P942*'[2]Beam '!T$45,0)</f>
        <v>0</v>
      </c>
      <c r="U942" s="8">
        <f>IF($D942='[2]Beam '!U$44,$P942*'[2]Beam '!U$45,0)</f>
        <v>0</v>
      </c>
      <c r="V942" s="8">
        <f>IF($D942='[2]Beam '!V$44,$P942*'[2]Beam '!V$45,0)</f>
        <v>40.476562500000007</v>
      </c>
      <c r="W942" s="8">
        <f>IF($D942='[2]Beam '!W$44,$P942*'[2]Beam '!W$45,0)</f>
        <v>0</v>
      </c>
      <c r="X942" s="8">
        <f t="shared" ref="X942:X948" si="178">SUM(Q942:W942)</f>
        <v>40.476562500000007</v>
      </c>
      <c r="Y942" s="8"/>
      <c r="Z942" s="8"/>
      <c r="AA942" s="8"/>
      <c r="AB942" s="8"/>
      <c r="AC942" s="8"/>
      <c r="AD942" s="8"/>
      <c r="AE942" s="8"/>
    </row>
    <row r="943" spans="1:32" s="10" customFormat="1" ht="20.100000000000001" customHeight="1" x14ac:dyDescent="0.25">
      <c r="A943" s="7"/>
      <c r="B943" s="8" t="s">
        <v>2</v>
      </c>
      <c r="C943" s="13" t="s">
        <v>6</v>
      </c>
      <c r="D943" s="8">
        <v>25</v>
      </c>
      <c r="E943" s="8"/>
      <c r="F943" s="8">
        <v>3</v>
      </c>
      <c r="G943" s="9">
        <f>VLOOKUP(D943,'[2]Beam '!$C$20:$H$26,3,0)</f>
        <v>1</v>
      </c>
      <c r="H943" s="8"/>
      <c r="I943" s="8"/>
      <c r="J943" s="8"/>
      <c r="K943" s="8"/>
      <c r="L943" s="8"/>
      <c r="M943" s="8"/>
      <c r="N943" s="8"/>
      <c r="O943" s="8">
        <f>(E941+2*(1.5/2)*D941)</f>
        <v>3.5</v>
      </c>
      <c r="P943" s="8">
        <f t="shared" si="177"/>
        <v>10.5</v>
      </c>
      <c r="Q943" s="8">
        <f>IF($D943='[2]Beam '!Q$44,$P943*'[2]Beam '!Q$45,0)</f>
        <v>0</v>
      </c>
      <c r="R943" s="8">
        <f>IF($D943='[2]Beam '!R$44,$P943*'[2]Beam '!R$45,0)</f>
        <v>0</v>
      </c>
      <c r="S943" s="8">
        <f>IF($D943='[2]Beam '!S$44,$P943*'[2]Beam '!S$45,0)</f>
        <v>0</v>
      </c>
      <c r="T943" s="8">
        <f>IF($D943='[2]Beam '!T$44,$P943*'[2]Beam '!T$45,0)</f>
        <v>0</v>
      </c>
      <c r="U943" s="8">
        <f>IF($D943='[2]Beam '!U$44,$P943*'[2]Beam '!U$45,0)</f>
        <v>0</v>
      </c>
      <c r="V943" s="8">
        <f>IF($D943='[2]Beam '!V$44,$P943*'[2]Beam '!V$45,0)</f>
        <v>40.476562500000007</v>
      </c>
      <c r="W943" s="8">
        <f>IF($D943='[2]Beam '!W$44,$P943*'[2]Beam '!W$45,0)</f>
        <v>0</v>
      </c>
      <c r="X943" s="8">
        <f t="shared" si="178"/>
        <v>40.476562500000007</v>
      </c>
      <c r="Y943" s="8"/>
      <c r="Z943" s="8"/>
      <c r="AA943" s="8"/>
      <c r="AB943" s="8"/>
      <c r="AC943" s="8"/>
      <c r="AD943" s="8"/>
      <c r="AE943" s="8"/>
    </row>
    <row r="944" spans="1:32" s="14" customFormat="1" ht="20.100000000000001" customHeight="1" x14ac:dyDescent="0.3">
      <c r="A944" s="7"/>
      <c r="B944" s="8" t="s">
        <v>2</v>
      </c>
      <c r="C944" s="13" t="s">
        <v>75</v>
      </c>
      <c r="D944" s="8">
        <v>16</v>
      </c>
      <c r="E944" s="8"/>
      <c r="F944" s="8">
        <v>4</v>
      </c>
      <c r="G944" s="9">
        <f>VLOOKUP(D944,'[2]Beam '!$C$20:$H$26,3,0)</f>
        <v>0.625</v>
      </c>
      <c r="H944" s="9"/>
      <c r="I944" s="8"/>
      <c r="J944" s="8"/>
      <c r="K944" s="8"/>
      <c r="L944" s="8"/>
      <c r="M944" s="8"/>
      <c r="N944" s="8"/>
      <c r="O944" s="8">
        <f>0.9+2*G944</f>
        <v>2.15</v>
      </c>
      <c r="P944" s="8">
        <f t="shared" si="177"/>
        <v>8.6</v>
      </c>
      <c r="Q944" s="8">
        <f>IF($D944='[2]Beam '!Q$44,$P944*'[2]Beam '!Q$45,0)</f>
        <v>0</v>
      </c>
      <c r="R944" s="8">
        <f>IF($D944='[2]Beam '!R$44,$P944*'[2]Beam '!R$45,0)</f>
        <v>0</v>
      </c>
      <c r="S944" s="8">
        <f>IF($D944='[2]Beam '!S$44,$P944*'[2]Beam '!S$45,0)</f>
        <v>0</v>
      </c>
      <c r="T944" s="8">
        <f>IF($D944='[2]Beam '!T$44,$P944*'[2]Beam '!T$45,0)</f>
        <v>13.579154285714287</v>
      </c>
      <c r="U944" s="8">
        <f>IF($D944='[2]Beam '!U$44,$P944*'[2]Beam '!U$45,0)</f>
        <v>0</v>
      </c>
      <c r="V944" s="8">
        <f>IF($D944='[2]Beam '!V$44,$P944*'[2]Beam '!V$45,0)</f>
        <v>0</v>
      </c>
      <c r="W944" s="8">
        <f>IF($D944='[2]Beam '!W$44,$P944*'[2]Beam '!W$45,0)</f>
        <v>0</v>
      </c>
      <c r="X944" s="8">
        <f t="shared" si="178"/>
        <v>13.579154285714287</v>
      </c>
      <c r="Y944" s="8"/>
    </row>
    <row r="945" spans="1:32" s="10" customFormat="1" ht="20.100000000000001" customHeight="1" x14ac:dyDescent="0.25">
      <c r="A945" s="7"/>
      <c r="B945" s="8" t="s">
        <v>2</v>
      </c>
      <c r="C945" s="13" t="s">
        <v>88</v>
      </c>
      <c r="D945" s="8">
        <v>16</v>
      </c>
      <c r="E945" s="8"/>
      <c r="F945" s="8">
        <v>3</v>
      </c>
      <c r="G945" s="9">
        <f>VLOOKUP(D945,'[2]Beam '!$C$20:$H$26,3,0)</f>
        <v>0.625</v>
      </c>
      <c r="H945" s="9"/>
      <c r="I945" s="8"/>
      <c r="J945" s="8"/>
      <c r="K945" s="8"/>
      <c r="L945" s="8"/>
      <c r="M945" s="8"/>
      <c r="N945" s="8"/>
      <c r="O945" s="8">
        <f>E941+2*G924</f>
        <v>2</v>
      </c>
      <c r="P945" s="8">
        <f t="shared" si="177"/>
        <v>6</v>
      </c>
      <c r="Q945" s="8">
        <f>IF($D945='[2]Beam '!Q$44,$P945*'[2]Beam '!Q$45,0)</f>
        <v>0</v>
      </c>
      <c r="R945" s="8">
        <f>IF($D945='[2]Beam '!R$44,$P945*'[2]Beam '!R$45,0)</f>
        <v>0</v>
      </c>
      <c r="S945" s="8">
        <f>IF($D945='[2]Beam '!S$44,$P945*'[2]Beam '!S$45,0)</f>
        <v>0</v>
      </c>
      <c r="T945" s="8">
        <f>IF($D945='[2]Beam '!T$44,$P945*'[2]Beam '!T$45,0)</f>
        <v>9.473828571428573</v>
      </c>
      <c r="U945" s="8">
        <f>IF($D945='[2]Beam '!U$44,$P945*'[2]Beam '!U$45,0)</f>
        <v>0</v>
      </c>
      <c r="V945" s="8">
        <f>IF($D945='[2]Beam '!V$44,$P945*'[2]Beam '!V$45,0)</f>
        <v>0</v>
      </c>
      <c r="W945" s="8">
        <f>IF($D945='[2]Beam '!W$44,$P945*'[2]Beam '!W$45,0)</f>
        <v>0</v>
      </c>
      <c r="X945" s="8">
        <f t="shared" si="178"/>
        <v>9.473828571428573</v>
      </c>
      <c r="Y945" s="8"/>
      <c r="Z945" s="8"/>
      <c r="AA945" s="8"/>
      <c r="AB945" s="8"/>
      <c r="AC945" s="8"/>
      <c r="AD945" s="8"/>
      <c r="AE945" s="8"/>
    </row>
    <row r="946" spans="1:32" s="10" customFormat="1" ht="21" customHeight="1" x14ac:dyDescent="0.25">
      <c r="A946" s="7"/>
      <c r="B946" s="8" t="s">
        <v>2</v>
      </c>
      <c r="C946" s="13" t="s">
        <v>8</v>
      </c>
      <c r="D946" s="8">
        <v>12</v>
      </c>
      <c r="E946" s="8">
        <v>0.1</v>
      </c>
      <c r="F946" s="8">
        <f>ROUNDUP(E941/E946,0)</f>
        <v>20</v>
      </c>
      <c r="H946" s="8"/>
      <c r="I946" s="8"/>
      <c r="J946" s="8"/>
      <c r="K946" s="8"/>
      <c r="L946" s="8"/>
      <c r="M946" s="8"/>
      <c r="N946" s="8"/>
      <c r="O946" s="8">
        <f>(2*((G941-(2*'[2]Beam '!$D$11))+(F941-(2*'[2]Beam '!$D$11)))+(2*10*D946/1000))*D941</f>
        <v>2.9000000000000004</v>
      </c>
      <c r="P946" s="8">
        <f t="shared" si="177"/>
        <v>58.000000000000007</v>
      </c>
      <c r="Q946" s="8">
        <f>IF($D946='[2]Beam '!Q$44,$P946*'[2]Beam '!Q$45,0)</f>
        <v>0</v>
      </c>
      <c r="R946" s="8">
        <f>IF($D946='[2]Beam '!R$44,$P946*'[2]Beam '!R$45,0)</f>
        <v>0</v>
      </c>
      <c r="S946" s="8">
        <f>IF($D946='[2]Beam '!S$44,$P946*'[2]Beam '!S$45,0)</f>
        <v>51.513942857142872</v>
      </c>
      <c r="T946" s="8">
        <f>IF($D946='[2]Beam '!T$44,$P946*'[2]Beam '!T$45,0)</f>
        <v>0</v>
      </c>
      <c r="U946" s="8">
        <f>IF($D946='[2]Beam '!U$44,$P946*'[2]Beam '!U$45,0)</f>
        <v>0</v>
      </c>
      <c r="V946" s="8">
        <f>IF($D946='[2]Beam '!V$44,$P946*'[2]Beam '!V$45,0)</f>
        <v>0</v>
      </c>
      <c r="W946" s="8">
        <f>IF($D946='[2]Beam '!W$44,$P946*'[2]Beam '!W$45,0)</f>
        <v>0</v>
      </c>
      <c r="X946" s="8">
        <f t="shared" si="178"/>
        <v>51.513942857142872</v>
      </c>
      <c r="Y946" s="8"/>
      <c r="Z946" s="8"/>
      <c r="AA946" s="8"/>
      <c r="AB946" s="8"/>
      <c r="AC946" s="8"/>
      <c r="AD946" s="8"/>
      <c r="AE946" s="8"/>
      <c r="AF946" s="8"/>
    </row>
    <row r="947" spans="1:32" s="10" customFormat="1" ht="20.100000000000001" customHeight="1" x14ac:dyDescent="0.25">
      <c r="A947" s="14"/>
      <c r="B947" s="8" t="s">
        <v>2</v>
      </c>
      <c r="C947" s="13" t="s">
        <v>9</v>
      </c>
      <c r="D947" s="8">
        <f>+D946</f>
        <v>12</v>
      </c>
      <c r="E947" s="14">
        <f>+E946</f>
        <v>0.1</v>
      </c>
      <c r="F947" s="8">
        <f>ROUNDUP(E941/E947,0)</f>
        <v>20</v>
      </c>
      <c r="H947" s="14"/>
      <c r="I947" s="14"/>
      <c r="J947" s="14"/>
      <c r="K947" s="14"/>
      <c r="L947" s="14"/>
      <c r="M947" s="14"/>
      <c r="N947" s="14"/>
      <c r="O947" s="8">
        <f>((((G941-(2*'[2]Beam '!$D$11))+(2*10*D947/1000))*D941))*1</f>
        <v>1.28</v>
      </c>
      <c r="P947" s="8">
        <f t="shared" si="177"/>
        <v>25.6</v>
      </c>
      <c r="Q947" s="8">
        <f>IF($D947='[2]Beam '!Q$44,$P947*'[2]Beam '!Q$45,0)</f>
        <v>0</v>
      </c>
      <c r="R947" s="8">
        <f>IF($D947='[2]Beam '!R$44,$P947*'[2]Beam '!R$45,0)</f>
        <v>0</v>
      </c>
      <c r="S947" s="8">
        <f>IF($D947='[2]Beam '!S$44,$P947*'[2]Beam '!S$45,0)</f>
        <v>22.737188571428575</v>
      </c>
      <c r="T947" s="8">
        <f>IF($D947='[2]Beam '!T$44,$P947*'[2]Beam '!T$45,0)</f>
        <v>0</v>
      </c>
      <c r="U947" s="8">
        <f>IF($D947='[2]Beam '!U$44,$P947*'[2]Beam '!U$45,0)</f>
        <v>0</v>
      </c>
      <c r="V947" s="8">
        <f>IF($D947='[2]Beam '!V$44,$P947*'[2]Beam '!V$45,0)</f>
        <v>0</v>
      </c>
      <c r="W947" s="8">
        <f>IF($D947='[2]Beam '!W$44,$P947*'[2]Beam '!W$45,0)</f>
        <v>0</v>
      </c>
      <c r="X947" s="8">
        <f t="shared" si="178"/>
        <v>22.737188571428575</v>
      </c>
      <c r="Y947" s="14"/>
      <c r="Z947" s="8"/>
      <c r="AA947" s="8"/>
      <c r="AB947" s="8"/>
      <c r="AC947" s="8"/>
      <c r="AD947" s="8"/>
      <c r="AE947" s="8"/>
    </row>
    <row r="948" spans="1:32" s="10" customFormat="1" ht="20.100000000000001" customHeight="1" x14ac:dyDescent="0.25">
      <c r="A948" s="7"/>
      <c r="B948" s="8" t="s">
        <v>2</v>
      </c>
      <c r="C948" s="13" t="s">
        <v>10</v>
      </c>
      <c r="D948" s="8">
        <f>+'[2]Beam '!$D$15</f>
        <v>25</v>
      </c>
      <c r="E948" s="8">
        <f>+'[2]Beam '!$E$15</f>
        <v>1</v>
      </c>
      <c r="F948" s="8">
        <f>ROUNDUP((0.6+E941)/E948,0)</f>
        <v>3</v>
      </c>
      <c r="G948" s="9"/>
      <c r="H948" s="9"/>
      <c r="I948" s="8"/>
      <c r="J948" s="8"/>
      <c r="K948" s="8"/>
      <c r="L948" s="8"/>
      <c r="M948" s="8"/>
      <c r="N948" s="8"/>
      <c r="O948" s="8">
        <f>F941-'[2]Beam '!$F$15</f>
        <v>0.28999999999999998</v>
      </c>
      <c r="P948" s="8">
        <f t="shared" si="177"/>
        <v>0.86999999999999988</v>
      </c>
      <c r="Q948" s="8">
        <f>IF($D948='[2]Beam '!Q$44,$P948*'[2]Beam '!Q$45,0)</f>
        <v>0</v>
      </c>
      <c r="R948" s="8">
        <f>IF($D948='[2]Beam '!R$44,$P948*'[2]Beam '!R$45,0)</f>
        <v>0</v>
      </c>
      <c r="S948" s="8">
        <f>IF($D948='[2]Beam '!S$44,$P948*'[2]Beam '!S$45,0)</f>
        <v>0</v>
      </c>
      <c r="T948" s="8">
        <f>IF($D948='[2]Beam '!T$44,$P948*'[2]Beam '!T$45,0)</f>
        <v>0</v>
      </c>
      <c r="U948" s="8">
        <f>IF($D948='[2]Beam '!U$44,$P948*'[2]Beam '!U$45,0)</f>
        <v>0</v>
      </c>
      <c r="V948" s="8">
        <f>IF($D948='[2]Beam '!V$44,$P948*'[2]Beam '!V$45,0)</f>
        <v>3.3537723214285715</v>
      </c>
      <c r="W948" s="8">
        <f>IF($D948='[2]Beam '!W$44,$P948*'[2]Beam '!W$45,0)</f>
        <v>0</v>
      </c>
      <c r="X948" s="8">
        <f t="shared" si="178"/>
        <v>3.3537723214285715</v>
      </c>
      <c r="Y948" s="8"/>
      <c r="Z948" s="8"/>
      <c r="AA948" s="8"/>
      <c r="AB948" s="8"/>
      <c r="AC948" s="8"/>
      <c r="AD948" s="8"/>
      <c r="AE948" s="8"/>
    </row>
    <row r="949" spans="1:32" s="10" customFormat="1" ht="20.100000000000001" customHeight="1" x14ac:dyDescent="0.25">
      <c r="A949" s="8">
        <v>1</v>
      </c>
      <c r="B949" s="8" t="s">
        <v>2</v>
      </c>
      <c r="C949" s="11" t="s">
        <v>130</v>
      </c>
      <c r="D949" s="11">
        <v>1</v>
      </c>
      <c r="E949" s="11">
        <v>2</v>
      </c>
      <c r="F949" s="11">
        <v>0.35</v>
      </c>
      <c r="G949" s="11">
        <v>1.1000000000000001</v>
      </c>
      <c r="H949" s="8">
        <f>G949-0.2</f>
        <v>0.90000000000000013</v>
      </c>
      <c r="I949" s="8">
        <f>E949*F949*G949*D949</f>
        <v>0.77</v>
      </c>
      <c r="J949" s="8">
        <f>(2*(E949)*H949*D949)+(E949*F949)</f>
        <v>4.3000000000000007</v>
      </c>
      <c r="K949" s="12">
        <f>IF(E949=0.3,J949,0)</f>
        <v>0</v>
      </c>
      <c r="L949" s="12">
        <f>IF(AND(E949&gt;0.3,E949&lt;=0.75),J949,0)</f>
        <v>0</v>
      </c>
      <c r="M949" s="12">
        <f>IF(AND(E949&gt;0.75,E949&lt;=1.2),J949,0)</f>
        <v>0</v>
      </c>
      <c r="N949" s="12">
        <f>IF(E949&gt;1.2,J949,0)</f>
        <v>4.3000000000000007</v>
      </c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>
        <f>SUM(X950:X954)/I949</f>
        <v>201.97409183673471</v>
      </c>
      <c r="Z949" s="8"/>
      <c r="AA949" s="8"/>
      <c r="AB949" s="8"/>
      <c r="AC949" s="8"/>
      <c r="AD949" s="8"/>
      <c r="AE949" s="8"/>
    </row>
    <row r="950" spans="1:32" s="10" customFormat="1" ht="20.100000000000001" customHeight="1" x14ac:dyDescent="0.25">
      <c r="A950" s="7"/>
      <c r="B950" s="8" t="s">
        <v>2</v>
      </c>
      <c r="C950" s="13" t="s">
        <v>4</v>
      </c>
      <c r="D950" s="8">
        <v>25</v>
      </c>
      <c r="E950" s="8"/>
      <c r="F950" s="8">
        <v>3</v>
      </c>
      <c r="G950" s="9">
        <f>VLOOKUP(D950,'[2]Beam '!$C$20:$H$26,3,0)</f>
        <v>1</v>
      </c>
      <c r="H950" s="9"/>
      <c r="I950" s="8"/>
      <c r="J950" s="8"/>
      <c r="K950" s="8"/>
      <c r="L950" s="8"/>
      <c r="M950" s="8"/>
      <c r="N950" s="8"/>
      <c r="O950" s="8">
        <f>(E949+2*(1.5/2)*D949)</f>
        <v>3.5</v>
      </c>
      <c r="P950" s="8">
        <f t="shared" ref="P950:P956" si="179">O950*F950</f>
        <v>10.5</v>
      </c>
      <c r="Q950" s="8">
        <f>IF($D950='[2]Beam '!Q$44,$P950*'[2]Beam '!Q$45,0)</f>
        <v>0</v>
      </c>
      <c r="R950" s="8">
        <f>IF($D950='[2]Beam '!R$44,$P950*'[2]Beam '!R$45,0)</f>
        <v>0</v>
      </c>
      <c r="S950" s="8">
        <f>IF($D950='[2]Beam '!S$44,$P950*'[2]Beam '!S$45,0)</f>
        <v>0</v>
      </c>
      <c r="T950" s="8">
        <f>IF($D950='[2]Beam '!T$44,$P950*'[2]Beam '!T$45,0)</f>
        <v>0</v>
      </c>
      <c r="U950" s="8">
        <f>IF($D950='[2]Beam '!U$44,$P950*'[2]Beam '!U$45,0)</f>
        <v>0</v>
      </c>
      <c r="V950" s="8">
        <f>IF($D950='[2]Beam '!V$44,$P950*'[2]Beam '!V$45,0)</f>
        <v>40.476562500000007</v>
      </c>
      <c r="W950" s="8">
        <f>IF($D950='[2]Beam '!W$44,$P950*'[2]Beam '!W$45,0)</f>
        <v>0</v>
      </c>
      <c r="X950" s="8">
        <f t="shared" ref="X950:X956" si="180">SUM(Q950:W950)</f>
        <v>40.476562500000007</v>
      </c>
      <c r="Y950" s="8"/>
      <c r="Z950" s="8"/>
      <c r="AA950" s="8"/>
      <c r="AB950" s="8"/>
      <c r="AC950" s="8"/>
      <c r="AD950" s="8"/>
      <c r="AE950" s="8"/>
    </row>
    <row r="951" spans="1:32" s="10" customFormat="1" ht="20.100000000000001" customHeight="1" x14ac:dyDescent="0.25">
      <c r="A951" s="7"/>
      <c r="B951" s="8" t="s">
        <v>2</v>
      </c>
      <c r="C951" s="13" t="s">
        <v>6</v>
      </c>
      <c r="D951" s="8">
        <v>25</v>
      </c>
      <c r="E951" s="8"/>
      <c r="F951" s="8">
        <v>3</v>
      </c>
      <c r="G951" s="9">
        <f>VLOOKUP(D951,'[2]Beam '!$C$20:$H$26,3,0)</f>
        <v>1</v>
      </c>
      <c r="H951" s="8"/>
      <c r="I951" s="8"/>
      <c r="J951" s="8"/>
      <c r="K951" s="8"/>
      <c r="L951" s="8"/>
      <c r="M951" s="8"/>
      <c r="N951" s="8"/>
      <c r="O951" s="8">
        <f>(E949+2*(1.5/2)*D949)</f>
        <v>3.5</v>
      </c>
      <c r="P951" s="8">
        <f t="shared" si="179"/>
        <v>10.5</v>
      </c>
      <c r="Q951" s="8">
        <f>IF($D951='[2]Beam '!Q$44,$P951*'[2]Beam '!Q$45,0)</f>
        <v>0</v>
      </c>
      <c r="R951" s="8">
        <f>IF($D951='[2]Beam '!R$44,$P951*'[2]Beam '!R$45,0)</f>
        <v>0</v>
      </c>
      <c r="S951" s="8">
        <f>IF($D951='[2]Beam '!S$44,$P951*'[2]Beam '!S$45,0)</f>
        <v>0</v>
      </c>
      <c r="T951" s="8">
        <f>IF($D951='[2]Beam '!T$44,$P951*'[2]Beam '!T$45,0)</f>
        <v>0</v>
      </c>
      <c r="U951" s="8">
        <f>IF($D951='[2]Beam '!U$44,$P951*'[2]Beam '!U$45,0)</f>
        <v>0</v>
      </c>
      <c r="V951" s="8">
        <f>IF($D951='[2]Beam '!V$44,$P951*'[2]Beam '!V$45,0)</f>
        <v>40.476562500000007</v>
      </c>
      <c r="W951" s="8">
        <f>IF($D951='[2]Beam '!W$44,$P951*'[2]Beam '!W$45,0)</f>
        <v>0</v>
      </c>
      <c r="X951" s="8">
        <f t="shared" si="180"/>
        <v>40.476562500000007</v>
      </c>
      <c r="Y951" s="8"/>
      <c r="Z951" s="8"/>
      <c r="AA951" s="8"/>
      <c r="AB951" s="8"/>
      <c r="AC951" s="8"/>
      <c r="AD951" s="8"/>
      <c r="AE951" s="8"/>
    </row>
    <row r="952" spans="1:32" s="14" customFormat="1" ht="20.100000000000001" customHeight="1" x14ac:dyDescent="0.3">
      <c r="A952" s="7"/>
      <c r="B952" s="8" t="s">
        <v>2</v>
      </c>
      <c r="C952" s="13" t="s">
        <v>75</v>
      </c>
      <c r="D952" s="8">
        <v>16</v>
      </c>
      <c r="E952" s="8"/>
      <c r="F952" s="8">
        <v>4</v>
      </c>
      <c r="G952" s="9">
        <f>VLOOKUP(D952,'[2]Beam '!$C$20:$H$26,3,0)</f>
        <v>0.625</v>
      </c>
      <c r="H952" s="9"/>
      <c r="I952" s="8"/>
      <c r="J952" s="8"/>
      <c r="K952" s="8"/>
      <c r="L952" s="8"/>
      <c r="M952" s="8"/>
      <c r="N952" s="8"/>
      <c r="O952" s="8">
        <f>0.9+2*G952</f>
        <v>2.15</v>
      </c>
      <c r="P952" s="8">
        <f t="shared" si="179"/>
        <v>8.6</v>
      </c>
      <c r="Q952" s="8">
        <f>IF($D952='[2]Beam '!Q$44,$P952*'[2]Beam '!Q$45,0)</f>
        <v>0</v>
      </c>
      <c r="R952" s="8">
        <f>IF($D952='[2]Beam '!R$44,$P952*'[2]Beam '!R$45,0)</f>
        <v>0</v>
      </c>
      <c r="S952" s="8">
        <f>IF($D952='[2]Beam '!S$44,$P952*'[2]Beam '!S$45,0)</f>
        <v>0</v>
      </c>
      <c r="T952" s="8">
        <f>IF($D952='[2]Beam '!T$44,$P952*'[2]Beam '!T$45,0)</f>
        <v>13.579154285714287</v>
      </c>
      <c r="U952" s="8">
        <f>IF($D952='[2]Beam '!U$44,$P952*'[2]Beam '!U$45,0)</f>
        <v>0</v>
      </c>
      <c r="V952" s="8">
        <f>IF($D952='[2]Beam '!V$44,$P952*'[2]Beam '!V$45,0)</f>
        <v>0</v>
      </c>
      <c r="W952" s="8">
        <f>IF($D952='[2]Beam '!W$44,$P952*'[2]Beam '!W$45,0)</f>
        <v>0</v>
      </c>
      <c r="X952" s="8">
        <f t="shared" si="180"/>
        <v>13.579154285714287</v>
      </c>
      <c r="Y952" s="8"/>
    </row>
    <row r="953" spans="1:32" s="10" customFormat="1" ht="20.100000000000001" customHeight="1" x14ac:dyDescent="0.25">
      <c r="A953" s="7"/>
      <c r="B953" s="8" t="s">
        <v>2</v>
      </c>
      <c r="C953" s="13" t="s">
        <v>88</v>
      </c>
      <c r="D953" s="8">
        <v>16</v>
      </c>
      <c r="E953" s="8"/>
      <c r="F953" s="8">
        <v>3</v>
      </c>
      <c r="G953" s="9">
        <f>VLOOKUP(D953,'[2]Beam '!$C$20:$H$26,3,0)</f>
        <v>0.625</v>
      </c>
      <c r="H953" s="9"/>
      <c r="I953" s="8"/>
      <c r="J953" s="8"/>
      <c r="K953" s="8"/>
      <c r="L953" s="8"/>
      <c r="M953" s="8"/>
      <c r="N953" s="8"/>
      <c r="O953" s="8">
        <f>E949+2*G932</f>
        <v>2</v>
      </c>
      <c r="P953" s="8">
        <f t="shared" si="179"/>
        <v>6</v>
      </c>
      <c r="Q953" s="8">
        <f>IF($D953='[2]Beam '!Q$44,$P953*'[2]Beam '!Q$45,0)</f>
        <v>0</v>
      </c>
      <c r="R953" s="8">
        <f>IF($D953='[2]Beam '!R$44,$P953*'[2]Beam '!R$45,0)</f>
        <v>0</v>
      </c>
      <c r="S953" s="8">
        <f>IF($D953='[2]Beam '!S$44,$P953*'[2]Beam '!S$45,0)</f>
        <v>0</v>
      </c>
      <c r="T953" s="8">
        <f>IF($D953='[2]Beam '!T$44,$P953*'[2]Beam '!T$45,0)</f>
        <v>9.473828571428573</v>
      </c>
      <c r="U953" s="8">
        <f>IF($D953='[2]Beam '!U$44,$P953*'[2]Beam '!U$45,0)</f>
        <v>0</v>
      </c>
      <c r="V953" s="8">
        <f>IF($D953='[2]Beam '!V$44,$P953*'[2]Beam '!V$45,0)</f>
        <v>0</v>
      </c>
      <c r="W953" s="8">
        <f>IF($D953='[2]Beam '!W$44,$P953*'[2]Beam '!W$45,0)</f>
        <v>0</v>
      </c>
      <c r="X953" s="8">
        <f t="shared" si="180"/>
        <v>9.473828571428573</v>
      </c>
      <c r="Y953" s="8"/>
      <c r="Z953" s="8"/>
      <c r="AA953" s="8"/>
      <c r="AB953" s="8"/>
      <c r="AC953" s="8"/>
      <c r="AD953" s="8"/>
      <c r="AE953" s="8"/>
    </row>
    <row r="954" spans="1:32" s="10" customFormat="1" ht="21" customHeight="1" x14ac:dyDescent="0.25">
      <c r="A954" s="7"/>
      <c r="B954" s="8" t="s">
        <v>2</v>
      </c>
      <c r="C954" s="13" t="s">
        <v>8</v>
      </c>
      <c r="D954" s="8">
        <v>12</v>
      </c>
      <c r="E954" s="8">
        <v>0.1</v>
      </c>
      <c r="F954" s="8">
        <f>ROUNDUP(E949/E954,0)</f>
        <v>20</v>
      </c>
      <c r="H954" s="8"/>
      <c r="I954" s="8"/>
      <c r="J954" s="8"/>
      <c r="K954" s="8"/>
      <c r="L954" s="8"/>
      <c r="M954" s="8"/>
      <c r="N954" s="8"/>
      <c r="O954" s="8">
        <f>(2*((G949-(2*'[2]Beam '!$D$11))+(F949-(2*'[2]Beam '!$D$11)))+(2*10*D954/1000))*D949</f>
        <v>2.9000000000000004</v>
      </c>
      <c r="P954" s="8">
        <f t="shared" si="179"/>
        <v>58.000000000000007</v>
      </c>
      <c r="Q954" s="8">
        <f>IF($D954='[2]Beam '!Q$44,$P954*'[2]Beam '!Q$45,0)</f>
        <v>0</v>
      </c>
      <c r="R954" s="8">
        <f>IF($D954='[2]Beam '!R$44,$P954*'[2]Beam '!R$45,0)</f>
        <v>0</v>
      </c>
      <c r="S954" s="8">
        <f>IF($D954='[2]Beam '!S$44,$P954*'[2]Beam '!S$45,0)</f>
        <v>51.513942857142872</v>
      </c>
      <c r="T954" s="8">
        <f>IF($D954='[2]Beam '!T$44,$P954*'[2]Beam '!T$45,0)</f>
        <v>0</v>
      </c>
      <c r="U954" s="8">
        <f>IF($D954='[2]Beam '!U$44,$P954*'[2]Beam '!U$45,0)</f>
        <v>0</v>
      </c>
      <c r="V954" s="8">
        <f>IF($D954='[2]Beam '!V$44,$P954*'[2]Beam '!V$45,0)</f>
        <v>0</v>
      </c>
      <c r="W954" s="8">
        <f>IF($D954='[2]Beam '!W$44,$P954*'[2]Beam '!W$45,0)</f>
        <v>0</v>
      </c>
      <c r="X954" s="8">
        <f t="shared" si="180"/>
        <v>51.513942857142872</v>
      </c>
      <c r="Y954" s="8"/>
      <c r="Z954" s="8"/>
      <c r="AA954" s="8"/>
      <c r="AB954" s="8"/>
      <c r="AC954" s="8"/>
      <c r="AD954" s="8"/>
      <c r="AE954" s="8"/>
      <c r="AF954" s="8"/>
    </row>
    <row r="955" spans="1:32" s="10" customFormat="1" ht="20.100000000000001" customHeight="1" x14ac:dyDescent="0.25">
      <c r="A955" s="14"/>
      <c r="B955" s="8" t="s">
        <v>2</v>
      </c>
      <c r="C955" s="13" t="s">
        <v>9</v>
      </c>
      <c r="D955" s="8">
        <f>+D954</f>
        <v>12</v>
      </c>
      <c r="E955" s="14">
        <f>+E954</f>
        <v>0.1</v>
      </c>
      <c r="F955" s="8">
        <f>ROUNDUP(E949/E955,0)</f>
        <v>20</v>
      </c>
      <c r="H955" s="14"/>
      <c r="I955" s="14"/>
      <c r="J955" s="14"/>
      <c r="K955" s="14"/>
      <c r="L955" s="14"/>
      <c r="M955" s="14"/>
      <c r="N955" s="14"/>
      <c r="O955" s="8">
        <f>((((G949-(2*'[2]Beam '!$D$11))+(2*10*D955/1000))*D949))*1</f>
        <v>1.28</v>
      </c>
      <c r="P955" s="8">
        <f t="shared" si="179"/>
        <v>25.6</v>
      </c>
      <c r="Q955" s="8">
        <f>IF($D955='[2]Beam '!Q$44,$P955*'[2]Beam '!Q$45,0)</f>
        <v>0</v>
      </c>
      <c r="R955" s="8">
        <f>IF($D955='[2]Beam '!R$44,$P955*'[2]Beam '!R$45,0)</f>
        <v>0</v>
      </c>
      <c r="S955" s="8">
        <f>IF($D955='[2]Beam '!S$44,$P955*'[2]Beam '!S$45,0)</f>
        <v>22.737188571428575</v>
      </c>
      <c r="T955" s="8">
        <f>IF($D955='[2]Beam '!T$44,$P955*'[2]Beam '!T$45,0)</f>
        <v>0</v>
      </c>
      <c r="U955" s="8">
        <f>IF($D955='[2]Beam '!U$44,$P955*'[2]Beam '!U$45,0)</f>
        <v>0</v>
      </c>
      <c r="V955" s="8">
        <f>IF($D955='[2]Beam '!V$44,$P955*'[2]Beam '!V$45,0)</f>
        <v>0</v>
      </c>
      <c r="W955" s="8">
        <f>IF($D955='[2]Beam '!W$44,$P955*'[2]Beam '!W$45,0)</f>
        <v>0</v>
      </c>
      <c r="X955" s="8">
        <f t="shared" si="180"/>
        <v>22.737188571428575</v>
      </c>
      <c r="Y955" s="14"/>
      <c r="Z955" s="8"/>
      <c r="AA955" s="8"/>
      <c r="AB955" s="8"/>
      <c r="AC955" s="8"/>
      <c r="AD955" s="8"/>
      <c r="AE955" s="8"/>
    </row>
    <row r="956" spans="1:32" s="10" customFormat="1" ht="20.100000000000001" customHeight="1" x14ac:dyDescent="0.25">
      <c r="A956" s="7"/>
      <c r="B956" s="8" t="s">
        <v>2</v>
      </c>
      <c r="C956" s="13" t="s">
        <v>10</v>
      </c>
      <c r="D956" s="8">
        <f>+'[2]Beam '!$D$15</f>
        <v>25</v>
      </c>
      <c r="E956" s="8">
        <f>+'[2]Beam '!$E$15</f>
        <v>1</v>
      </c>
      <c r="F956" s="8">
        <f>ROUNDUP((0.6+E949)/E956,0)</f>
        <v>3</v>
      </c>
      <c r="G956" s="9"/>
      <c r="H956" s="9"/>
      <c r="I956" s="8"/>
      <c r="J956" s="8"/>
      <c r="K956" s="8"/>
      <c r="L956" s="8"/>
      <c r="M956" s="8"/>
      <c r="N956" s="8"/>
      <c r="O956" s="8">
        <f>F949-'[2]Beam '!$F$15</f>
        <v>0.28999999999999998</v>
      </c>
      <c r="P956" s="8">
        <f t="shared" si="179"/>
        <v>0.86999999999999988</v>
      </c>
      <c r="Q956" s="8">
        <f>IF($D956='[2]Beam '!Q$44,$P956*'[2]Beam '!Q$45,0)</f>
        <v>0</v>
      </c>
      <c r="R956" s="8">
        <f>IF($D956='[2]Beam '!R$44,$P956*'[2]Beam '!R$45,0)</f>
        <v>0</v>
      </c>
      <c r="S956" s="8">
        <f>IF($D956='[2]Beam '!S$44,$P956*'[2]Beam '!S$45,0)</f>
        <v>0</v>
      </c>
      <c r="T956" s="8">
        <f>IF($D956='[2]Beam '!T$44,$P956*'[2]Beam '!T$45,0)</f>
        <v>0</v>
      </c>
      <c r="U956" s="8">
        <f>IF($D956='[2]Beam '!U$44,$P956*'[2]Beam '!U$45,0)</f>
        <v>0</v>
      </c>
      <c r="V956" s="8">
        <f>IF($D956='[2]Beam '!V$44,$P956*'[2]Beam '!V$45,0)</f>
        <v>3.3537723214285715</v>
      </c>
      <c r="W956" s="8">
        <f>IF($D956='[2]Beam '!W$44,$P956*'[2]Beam '!W$45,0)</f>
        <v>0</v>
      </c>
      <c r="X956" s="8">
        <f t="shared" si="180"/>
        <v>3.3537723214285715</v>
      </c>
      <c r="Y956" s="8"/>
      <c r="Z956" s="8"/>
      <c r="AA956" s="8"/>
      <c r="AB956" s="8"/>
      <c r="AC956" s="8"/>
      <c r="AD956" s="8"/>
      <c r="AE956" s="8"/>
    </row>
    <row r="957" spans="1:32" s="10" customFormat="1" ht="20.100000000000001" customHeight="1" x14ac:dyDescent="0.25">
      <c r="A957" s="8">
        <v>1</v>
      </c>
      <c r="B957" s="8" t="s">
        <v>2</v>
      </c>
      <c r="C957" s="11" t="s">
        <v>130</v>
      </c>
      <c r="D957" s="11">
        <v>1</v>
      </c>
      <c r="E957" s="11">
        <v>2</v>
      </c>
      <c r="F957" s="11">
        <v>0.35</v>
      </c>
      <c r="G957" s="11">
        <v>1.1000000000000001</v>
      </c>
      <c r="H957" s="8">
        <f>G957-0.2</f>
        <v>0.90000000000000013</v>
      </c>
      <c r="I957" s="8">
        <f>E957*F957*G957*D957</f>
        <v>0.77</v>
      </c>
      <c r="J957" s="8">
        <f>(2*(E957)*H957*D957)+(E957*F957)</f>
        <v>4.3000000000000007</v>
      </c>
      <c r="K957" s="12">
        <f>IF(E957=0.3,J957,0)</f>
        <v>0</v>
      </c>
      <c r="L957" s="12">
        <f>IF(AND(E957&gt;0.3,E957&lt;=0.75),J957,0)</f>
        <v>0</v>
      </c>
      <c r="M957" s="12">
        <f>IF(AND(E957&gt;0.75,E957&lt;=1.2),J957,0)</f>
        <v>0</v>
      </c>
      <c r="N957" s="12">
        <f>IF(E957&gt;1.2,J957,0)</f>
        <v>4.3000000000000007</v>
      </c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>
        <f>SUM(X958:X962)/I957</f>
        <v>197.56527551020412</v>
      </c>
      <c r="Z957" s="8"/>
      <c r="AA957" s="8"/>
      <c r="AB957" s="8"/>
      <c r="AC957" s="8"/>
      <c r="AD957" s="8"/>
      <c r="AE957" s="8"/>
    </row>
    <row r="958" spans="1:32" s="10" customFormat="1" ht="20.100000000000001" customHeight="1" x14ac:dyDescent="0.25">
      <c r="A958" s="7"/>
      <c r="B958" s="8" t="s">
        <v>2</v>
      </c>
      <c r="C958" s="13" t="s">
        <v>4</v>
      </c>
      <c r="D958" s="8">
        <v>25</v>
      </c>
      <c r="E958" s="8"/>
      <c r="F958" s="8">
        <v>3</v>
      </c>
      <c r="G958" s="9">
        <f>VLOOKUP(D958,'[2]Beam '!$C$20:$H$26,3,0)</f>
        <v>1</v>
      </c>
      <c r="H958" s="9"/>
      <c r="I958" s="8"/>
      <c r="J958" s="8"/>
      <c r="K958" s="8"/>
      <c r="L958" s="8"/>
      <c r="M958" s="8"/>
      <c r="N958" s="8"/>
      <c r="O958" s="8">
        <f>(E957+2*(1.5/2)*D957)</f>
        <v>3.5</v>
      </c>
      <c r="P958" s="8">
        <f t="shared" ref="P958:P964" si="181">O958*F958</f>
        <v>10.5</v>
      </c>
      <c r="Q958" s="8">
        <f>IF($D958='[2]Beam '!Q$44,$P958*'[2]Beam '!Q$45,0)</f>
        <v>0</v>
      </c>
      <c r="R958" s="8">
        <f>IF($D958='[2]Beam '!R$44,$P958*'[2]Beam '!R$45,0)</f>
        <v>0</v>
      </c>
      <c r="S958" s="8">
        <f>IF($D958='[2]Beam '!S$44,$P958*'[2]Beam '!S$45,0)</f>
        <v>0</v>
      </c>
      <c r="T958" s="8">
        <f>IF($D958='[2]Beam '!T$44,$P958*'[2]Beam '!T$45,0)</f>
        <v>0</v>
      </c>
      <c r="U958" s="8">
        <f>IF($D958='[2]Beam '!U$44,$P958*'[2]Beam '!U$45,0)</f>
        <v>0</v>
      </c>
      <c r="V958" s="8">
        <f>IF($D958='[2]Beam '!V$44,$P958*'[2]Beam '!V$45,0)</f>
        <v>40.476562500000007</v>
      </c>
      <c r="W958" s="8">
        <f>IF($D958='[2]Beam '!W$44,$P958*'[2]Beam '!W$45,0)</f>
        <v>0</v>
      </c>
      <c r="X958" s="8">
        <f t="shared" ref="X958:X964" si="182">SUM(Q958:W958)</f>
        <v>40.476562500000007</v>
      </c>
      <c r="Y958" s="8"/>
      <c r="Z958" s="8"/>
      <c r="AA958" s="8"/>
      <c r="AB958" s="8"/>
      <c r="AC958" s="8"/>
      <c r="AD958" s="8"/>
      <c r="AE958" s="8"/>
    </row>
    <row r="959" spans="1:32" s="10" customFormat="1" ht="20.100000000000001" customHeight="1" x14ac:dyDescent="0.25">
      <c r="A959" s="7"/>
      <c r="B959" s="8" t="s">
        <v>2</v>
      </c>
      <c r="C959" s="13" t="s">
        <v>6</v>
      </c>
      <c r="D959" s="8">
        <v>25</v>
      </c>
      <c r="E959" s="8"/>
      <c r="F959" s="8">
        <v>3</v>
      </c>
      <c r="G959" s="9">
        <f>VLOOKUP(D959,'[2]Beam '!$C$20:$H$26,3,0)</f>
        <v>1</v>
      </c>
      <c r="H959" s="8"/>
      <c r="I959" s="8"/>
      <c r="J959" s="8"/>
      <c r="K959" s="8"/>
      <c r="L959" s="8"/>
      <c r="M959" s="8"/>
      <c r="N959" s="8"/>
      <c r="O959" s="8">
        <f>(E957+2*(1.5/2)*D957)</f>
        <v>3.5</v>
      </c>
      <c r="P959" s="8">
        <f t="shared" si="181"/>
        <v>10.5</v>
      </c>
      <c r="Q959" s="8">
        <f>IF($D959='[2]Beam '!Q$44,$P959*'[2]Beam '!Q$45,0)</f>
        <v>0</v>
      </c>
      <c r="R959" s="8">
        <f>IF($D959='[2]Beam '!R$44,$P959*'[2]Beam '!R$45,0)</f>
        <v>0</v>
      </c>
      <c r="S959" s="8">
        <f>IF($D959='[2]Beam '!S$44,$P959*'[2]Beam '!S$45,0)</f>
        <v>0</v>
      </c>
      <c r="T959" s="8">
        <f>IF($D959='[2]Beam '!T$44,$P959*'[2]Beam '!T$45,0)</f>
        <v>0</v>
      </c>
      <c r="U959" s="8">
        <f>IF($D959='[2]Beam '!U$44,$P959*'[2]Beam '!U$45,0)</f>
        <v>0</v>
      </c>
      <c r="V959" s="8">
        <f>IF($D959='[2]Beam '!V$44,$P959*'[2]Beam '!V$45,0)</f>
        <v>40.476562500000007</v>
      </c>
      <c r="W959" s="8">
        <f>IF($D959='[2]Beam '!W$44,$P959*'[2]Beam '!W$45,0)</f>
        <v>0</v>
      </c>
      <c r="X959" s="8">
        <f t="shared" si="182"/>
        <v>40.476562500000007</v>
      </c>
      <c r="Y959" s="8"/>
      <c r="Z959" s="8"/>
      <c r="AA959" s="8"/>
      <c r="AB959" s="8"/>
      <c r="AC959" s="8"/>
      <c r="AD959" s="8"/>
      <c r="AE959" s="8"/>
    </row>
    <row r="960" spans="1:32" s="14" customFormat="1" ht="20.100000000000001" customHeight="1" x14ac:dyDescent="0.3">
      <c r="A960" s="7"/>
      <c r="B960" s="8" t="s">
        <v>2</v>
      </c>
      <c r="C960" s="13" t="s">
        <v>75</v>
      </c>
      <c r="D960" s="8">
        <v>16</v>
      </c>
      <c r="E960" s="8"/>
      <c r="F960" s="8">
        <v>3</v>
      </c>
      <c r="G960" s="9">
        <f>VLOOKUP(D960,'[2]Beam '!$C$20:$H$26,3,0)</f>
        <v>0.625</v>
      </c>
      <c r="H960" s="9"/>
      <c r="I960" s="8"/>
      <c r="J960" s="8"/>
      <c r="K960" s="8"/>
      <c r="L960" s="8"/>
      <c r="M960" s="8"/>
      <c r="N960" s="8"/>
      <c r="O960" s="8">
        <f>0.9+2*G960</f>
        <v>2.15</v>
      </c>
      <c r="P960" s="8">
        <f t="shared" si="181"/>
        <v>6.4499999999999993</v>
      </c>
      <c r="Q960" s="8">
        <f>IF($D960='[2]Beam '!Q$44,$P960*'[2]Beam '!Q$45,0)</f>
        <v>0</v>
      </c>
      <c r="R960" s="8">
        <f>IF($D960='[2]Beam '!R$44,$P960*'[2]Beam '!R$45,0)</f>
        <v>0</v>
      </c>
      <c r="S960" s="8">
        <f>IF($D960='[2]Beam '!S$44,$P960*'[2]Beam '!S$45,0)</f>
        <v>0</v>
      </c>
      <c r="T960" s="8">
        <f>IF($D960='[2]Beam '!T$44,$P960*'[2]Beam '!T$45,0)</f>
        <v>10.184365714285715</v>
      </c>
      <c r="U960" s="8">
        <f>IF($D960='[2]Beam '!U$44,$P960*'[2]Beam '!U$45,0)</f>
        <v>0</v>
      </c>
      <c r="V960" s="8">
        <f>IF($D960='[2]Beam '!V$44,$P960*'[2]Beam '!V$45,0)</f>
        <v>0</v>
      </c>
      <c r="W960" s="8">
        <f>IF($D960='[2]Beam '!W$44,$P960*'[2]Beam '!W$45,0)</f>
        <v>0</v>
      </c>
      <c r="X960" s="8">
        <f t="shared" si="182"/>
        <v>10.184365714285715</v>
      </c>
      <c r="Y960" s="8"/>
    </row>
    <row r="961" spans="1:32" s="10" customFormat="1" ht="20.100000000000001" customHeight="1" x14ac:dyDescent="0.25">
      <c r="A961" s="7"/>
      <c r="B961" s="8" t="s">
        <v>2</v>
      </c>
      <c r="C961" s="13" t="s">
        <v>88</v>
      </c>
      <c r="D961" s="8">
        <v>16</v>
      </c>
      <c r="E961" s="8"/>
      <c r="F961" s="8">
        <v>3</v>
      </c>
      <c r="G961" s="9">
        <f>VLOOKUP(D961,'[2]Beam '!$C$20:$H$26,3,0)</f>
        <v>0.625</v>
      </c>
      <c r="H961" s="9"/>
      <c r="I961" s="8"/>
      <c r="J961" s="8"/>
      <c r="K961" s="8"/>
      <c r="L961" s="8"/>
      <c r="M961" s="8"/>
      <c r="N961" s="8"/>
      <c r="O961" s="8">
        <f>E957+2*G940</f>
        <v>2</v>
      </c>
      <c r="P961" s="8">
        <f t="shared" si="181"/>
        <v>6</v>
      </c>
      <c r="Q961" s="8">
        <f>IF($D961='[2]Beam '!Q$44,$P961*'[2]Beam '!Q$45,0)</f>
        <v>0</v>
      </c>
      <c r="R961" s="8">
        <f>IF($D961='[2]Beam '!R$44,$P961*'[2]Beam '!R$45,0)</f>
        <v>0</v>
      </c>
      <c r="S961" s="8">
        <f>IF($D961='[2]Beam '!S$44,$P961*'[2]Beam '!S$45,0)</f>
        <v>0</v>
      </c>
      <c r="T961" s="8">
        <f>IF($D961='[2]Beam '!T$44,$P961*'[2]Beam '!T$45,0)</f>
        <v>9.473828571428573</v>
      </c>
      <c r="U961" s="8">
        <f>IF($D961='[2]Beam '!U$44,$P961*'[2]Beam '!U$45,0)</f>
        <v>0</v>
      </c>
      <c r="V961" s="8">
        <f>IF($D961='[2]Beam '!V$44,$P961*'[2]Beam '!V$45,0)</f>
        <v>0</v>
      </c>
      <c r="W961" s="8">
        <f>IF($D961='[2]Beam '!W$44,$P961*'[2]Beam '!W$45,0)</f>
        <v>0</v>
      </c>
      <c r="X961" s="8">
        <f t="shared" si="182"/>
        <v>9.473828571428573</v>
      </c>
      <c r="Y961" s="8"/>
      <c r="Z961" s="8"/>
      <c r="AA961" s="8"/>
      <c r="AB961" s="8"/>
      <c r="AC961" s="8"/>
      <c r="AD961" s="8"/>
      <c r="AE961" s="8"/>
    </row>
    <row r="962" spans="1:32" s="10" customFormat="1" ht="21" customHeight="1" x14ac:dyDescent="0.25">
      <c r="A962" s="7"/>
      <c r="B962" s="8" t="s">
        <v>2</v>
      </c>
      <c r="C962" s="13" t="s">
        <v>8</v>
      </c>
      <c r="D962" s="8">
        <v>12</v>
      </c>
      <c r="E962" s="8">
        <v>0.1</v>
      </c>
      <c r="F962" s="8">
        <f>ROUNDUP(E957/E962,0)</f>
        <v>20</v>
      </c>
      <c r="H962" s="8"/>
      <c r="I962" s="8"/>
      <c r="J962" s="8"/>
      <c r="K962" s="8"/>
      <c r="L962" s="8"/>
      <c r="M962" s="8"/>
      <c r="N962" s="8"/>
      <c r="O962" s="8">
        <f>(2*((G957-(2*'[2]Beam '!$D$11))+(F957-(2*'[2]Beam '!$D$11)))+(2*10*D962/1000))*D957</f>
        <v>2.9000000000000004</v>
      </c>
      <c r="P962" s="8">
        <f t="shared" si="181"/>
        <v>58.000000000000007</v>
      </c>
      <c r="Q962" s="8">
        <f>IF($D962='[2]Beam '!Q$44,$P962*'[2]Beam '!Q$45,0)</f>
        <v>0</v>
      </c>
      <c r="R962" s="8">
        <f>IF($D962='[2]Beam '!R$44,$P962*'[2]Beam '!R$45,0)</f>
        <v>0</v>
      </c>
      <c r="S962" s="8">
        <f>IF($D962='[2]Beam '!S$44,$P962*'[2]Beam '!S$45,0)</f>
        <v>51.513942857142872</v>
      </c>
      <c r="T962" s="8">
        <f>IF($D962='[2]Beam '!T$44,$P962*'[2]Beam '!T$45,0)</f>
        <v>0</v>
      </c>
      <c r="U962" s="8">
        <f>IF($D962='[2]Beam '!U$44,$P962*'[2]Beam '!U$45,0)</f>
        <v>0</v>
      </c>
      <c r="V962" s="8">
        <f>IF($D962='[2]Beam '!V$44,$P962*'[2]Beam '!V$45,0)</f>
        <v>0</v>
      </c>
      <c r="W962" s="8">
        <f>IF($D962='[2]Beam '!W$44,$P962*'[2]Beam '!W$45,0)</f>
        <v>0</v>
      </c>
      <c r="X962" s="8">
        <f t="shared" si="182"/>
        <v>51.513942857142872</v>
      </c>
      <c r="Y962" s="8"/>
      <c r="Z962" s="8"/>
      <c r="AA962" s="8"/>
      <c r="AB962" s="8"/>
      <c r="AC962" s="8"/>
      <c r="AD962" s="8"/>
      <c r="AE962" s="8"/>
      <c r="AF962" s="8"/>
    </row>
    <row r="963" spans="1:32" s="10" customFormat="1" ht="20.100000000000001" customHeight="1" x14ac:dyDescent="0.25">
      <c r="A963" s="14"/>
      <c r="B963" s="8" t="s">
        <v>2</v>
      </c>
      <c r="C963" s="13" t="s">
        <v>9</v>
      </c>
      <c r="D963" s="8">
        <f>+D962</f>
        <v>12</v>
      </c>
      <c r="E963" s="14">
        <f>+E962</f>
        <v>0.1</v>
      </c>
      <c r="F963" s="8">
        <f>ROUNDUP(E957/E963,0)</f>
        <v>20</v>
      </c>
      <c r="H963" s="14"/>
      <c r="I963" s="14"/>
      <c r="J963" s="14"/>
      <c r="K963" s="14"/>
      <c r="L963" s="14"/>
      <c r="M963" s="14"/>
      <c r="N963" s="14"/>
      <c r="O963" s="8">
        <f>((((G957-(2*'[2]Beam '!$D$11))+(2*10*D963/1000))*D957))*1</f>
        <v>1.28</v>
      </c>
      <c r="P963" s="8">
        <f t="shared" si="181"/>
        <v>25.6</v>
      </c>
      <c r="Q963" s="8">
        <f>IF($D963='[2]Beam '!Q$44,$P963*'[2]Beam '!Q$45,0)</f>
        <v>0</v>
      </c>
      <c r="R963" s="8">
        <f>IF($D963='[2]Beam '!R$44,$P963*'[2]Beam '!R$45,0)</f>
        <v>0</v>
      </c>
      <c r="S963" s="8">
        <f>IF($D963='[2]Beam '!S$44,$P963*'[2]Beam '!S$45,0)</f>
        <v>22.737188571428575</v>
      </c>
      <c r="T963" s="8">
        <f>IF($D963='[2]Beam '!T$44,$P963*'[2]Beam '!T$45,0)</f>
        <v>0</v>
      </c>
      <c r="U963" s="8">
        <f>IF($D963='[2]Beam '!U$44,$P963*'[2]Beam '!U$45,0)</f>
        <v>0</v>
      </c>
      <c r="V963" s="8">
        <f>IF($D963='[2]Beam '!V$44,$P963*'[2]Beam '!V$45,0)</f>
        <v>0</v>
      </c>
      <c r="W963" s="8">
        <f>IF($D963='[2]Beam '!W$44,$P963*'[2]Beam '!W$45,0)</f>
        <v>0</v>
      </c>
      <c r="X963" s="8">
        <f t="shared" si="182"/>
        <v>22.737188571428575</v>
      </c>
      <c r="Y963" s="14"/>
      <c r="Z963" s="8"/>
      <c r="AA963" s="8"/>
      <c r="AB963" s="8"/>
      <c r="AC963" s="8"/>
      <c r="AD963" s="8"/>
      <c r="AE963" s="8"/>
    </row>
    <row r="964" spans="1:32" s="10" customFormat="1" ht="20.100000000000001" customHeight="1" x14ac:dyDescent="0.25">
      <c r="A964" s="7"/>
      <c r="B964" s="8" t="s">
        <v>2</v>
      </c>
      <c r="C964" s="13" t="s">
        <v>10</v>
      </c>
      <c r="D964" s="8">
        <f>+'[2]Beam '!$D$15</f>
        <v>25</v>
      </c>
      <c r="E964" s="8">
        <f>+'[2]Beam '!$E$15</f>
        <v>1</v>
      </c>
      <c r="F964" s="8">
        <f>ROUNDUP((0.6+E957)/E964,0)</f>
        <v>3</v>
      </c>
      <c r="G964" s="9"/>
      <c r="H964" s="9"/>
      <c r="I964" s="8"/>
      <c r="J964" s="8"/>
      <c r="K964" s="8"/>
      <c r="L964" s="8"/>
      <c r="M964" s="8"/>
      <c r="N964" s="8"/>
      <c r="O964" s="8">
        <f>F957-'[2]Beam '!$F$15</f>
        <v>0.28999999999999998</v>
      </c>
      <c r="P964" s="8">
        <f t="shared" si="181"/>
        <v>0.86999999999999988</v>
      </c>
      <c r="Q964" s="8">
        <f>IF($D964='[2]Beam '!Q$44,$P964*'[2]Beam '!Q$45,0)</f>
        <v>0</v>
      </c>
      <c r="R964" s="8">
        <f>IF($D964='[2]Beam '!R$44,$P964*'[2]Beam '!R$45,0)</f>
        <v>0</v>
      </c>
      <c r="S964" s="8">
        <f>IF($D964='[2]Beam '!S$44,$P964*'[2]Beam '!S$45,0)</f>
        <v>0</v>
      </c>
      <c r="T964" s="8">
        <f>IF($D964='[2]Beam '!T$44,$P964*'[2]Beam '!T$45,0)</f>
        <v>0</v>
      </c>
      <c r="U964" s="8">
        <f>IF($D964='[2]Beam '!U$44,$P964*'[2]Beam '!U$45,0)</f>
        <v>0</v>
      </c>
      <c r="V964" s="8">
        <f>IF($D964='[2]Beam '!V$44,$P964*'[2]Beam '!V$45,0)</f>
        <v>3.3537723214285715</v>
      </c>
      <c r="W964" s="8">
        <f>IF($D964='[2]Beam '!W$44,$P964*'[2]Beam '!W$45,0)</f>
        <v>0</v>
      </c>
      <c r="X964" s="8">
        <f t="shared" si="182"/>
        <v>3.3537723214285715</v>
      </c>
      <c r="Y964" s="8"/>
      <c r="Z964" s="8"/>
      <c r="AA964" s="8"/>
      <c r="AB964" s="8"/>
      <c r="AC964" s="8"/>
      <c r="AD964" s="8"/>
      <c r="AE964" s="8"/>
    </row>
    <row r="965" spans="1:32" s="10" customFormat="1" ht="20.100000000000001" customHeight="1" x14ac:dyDescent="0.25">
      <c r="A965" s="8">
        <v>1</v>
      </c>
      <c r="B965" s="8" t="s">
        <v>2</v>
      </c>
      <c r="C965" s="11" t="s">
        <v>131</v>
      </c>
      <c r="D965" s="11">
        <v>1</v>
      </c>
      <c r="E965" s="11">
        <v>2</v>
      </c>
      <c r="F965" s="11">
        <v>0.35</v>
      </c>
      <c r="G965" s="11">
        <v>1.1000000000000001</v>
      </c>
      <c r="H965" s="8">
        <f>G965-0.2</f>
        <v>0.90000000000000013</v>
      </c>
      <c r="I965" s="8">
        <f>E965*F965*G965*D965</f>
        <v>0.77</v>
      </c>
      <c r="J965" s="8">
        <f>(2*(E965)*H965*D965)+(E965*F965)</f>
        <v>4.3000000000000007</v>
      </c>
      <c r="K965" s="12">
        <f>IF(E965=0.3,J965,0)</f>
        <v>0</v>
      </c>
      <c r="L965" s="12">
        <f>IF(AND(E965&gt;0.3,E965&lt;=0.75),J965,0)</f>
        <v>0</v>
      </c>
      <c r="M965" s="12">
        <f>IF(AND(E965&gt;0.75,E965&lt;=1.2),J965,0)</f>
        <v>0</v>
      </c>
      <c r="N965" s="12">
        <f>IF(E965&gt;1.2,J965,0)</f>
        <v>4.3000000000000007</v>
      </c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>
        <f>SUM(X966:X970)/I965</f>
        <v>194.79694897959189</v>
      </c>
      <c r="Z965" s="8"/>
      <c r="AA965" s="8"/>
      <c r="AB965" s="8"/>
      <c r="AC965" s="8"/>
      <c r="AD965" s="8"/>
      <c r="AE965" s="8"/>
    </row>
    <row r="966" spans="1:32" s="10" customFormat="1" ht="20.100000000000001" customHeight="1" x14ac:dyDescent="0.25">
      <c r="A966" s="7"/>
      <c r="B966" s="8" t="s">
        <v>2</v>
      </c>
      <c r="C966" s="13" t="s">
        <v>4</v>
      </c>
      <c r="D966" s="8">
        <v>25</v>
      </c>
      <c r="E966" s="8"/>
      <c r="F966" s="8">
        <v>3</v>
      </c>
      <c r="G966" s="9">
        <f>VLOOKUP(D966,'[2]Beam '!$C$20:$H$26,3,0)</f>
        <v>1</v>
      </c>
      <c r="H966" s="9"/>
      <c r="I966" s="8"/>
      <c r="J966" s="8"/>
      <c r="K966" s="8"/>
      <c r="L966" s="8"/>
      <c r="M966" s="8"/>
      <c r="N966" s="8"/>
      <c r="O966" s="8">
        <f>(E965+2*(1.5/2)*D965)</f>
        <v>3.5</v>
      </c>
      <c r="P966" s="8">
        <f t="shared" ref="P966:P972" si="183">O966*F966</f>
        <v>10.5</v>
      </c>
      <c r="Q966" s="8">
        <f>IF($D966='[2]Beam '!Q$44,$P966*'[2]Beam '!Q$45,0)</f>
        <v>0</v>
      </c>
      <c r="R966" s="8">
        <f>IF($D966='[2]Beam '!R$44,$P966*'[2]Beam '!R$45,0)</f>
        <v>0</v>
      </c>
      <c r="S966" s="8">
        <f>IF($D966='[2]Beam '!S$44,$P966*'[2]Beam '!S$45,0)</f>
        <v>0</v>
      </c>
      <c r="T966" s="8">
        <f>IF($D966='[2]Beam '!T$44,$P966*'[2]Beam '!T$45,0)</f>
        <v>0</v>
      </c>
      <c r="U966" s="8">
        <f>IF($D966='[2]Beam '!U$44,$P966*'[2]Beam '!U$45,0)</f>
        <v>0</v>
      </c>
      <c r="V966" s="8">
        <f>IF($D966='[2]Beam '!V$44,$P966*'[2]Beam '!V$45,0)</f>
        <v>40.476562500000007</v>
      </c>
      <c r="W966" s="8">
        <f>IF($D966='[2]Beam '!W$44,$P966*'[2]Beam '!W$45,0)</f>
        <v>0</v>
      </c>
      <c r="X966" s="8">
        <f t="shared" ref="X966:X972" si="184">SUM(Q966:W966)</f>
        <v>40.476562500000007</v>
      </c>
      <c r="Y966" s="8"/>
      <c r="Z966" s="8"/>
      <c r="AA966" s="8"/>
      <c r="AB966" s="8"/>
      <c r="AC966" s="8"/>
      <c r="AD966" s="8"/>
      <c r="AE966" s="8"/>
    </row>
    <row r="967" spans="1:32" s="10" customFormat="1" ht="20.100000000000001" customHeight="1" x14ac:dyDescent="0.25">
      <c r="A967" s="7"/>
      <c r="B967" s="8" t="s">
        <v>2</v>
      </c>
      <c r="C967" s="13" t="s">
        <v>6</v>
      </c>
      <c r="D967" s="8">
        <v>25</v>
      </c>
      <c r="E967" s="8"/>
      <c r="F967" s="8">
        <v>3</v>
      </c>
      <c r="G967" s="9">
        <f>VLOOKUP(D967,'[2]Beam '!$C$20:$H$26,3,0)</f>
        <v>1</v>
      </c>
      <c r="H967" s="8"/>
      <c r="I967" s="8"/>
      <c r="J967" s="8"/>
      <c r="K967" s="8"/>
      <c r="L967" s="8"/>
      <c r="M967" s="8"/>
      <c r="N967" s="8"/>
      <c r="O967" s="8">
        <f>(E965+2*(1.5/2)*D965)</f>
        <v>3.5</v>
      </c>
      <c r="P967" s="8">
        <f t="shared" si="183"/>
        <v>10.5</v>
      </c>
      <c r="Q967" s="8">
        <f>IF($D967='[2]Beam '!Q$44,$P967*'[2]Beam '!Q$45,0)</f>
        <v>0</v>
      </c>
      <c r="R967" s="8">
        <f>IF($D967='[2]Beam '!R$44,$P967*'[2]Beam '!R$45,0)</f>
        <v>0</v>
      </c>
      <c r="S967" s="8">
        <f>IF($D967='[2]Beam '!S$44,$P967*'[2]Beam '!S$45,0)</f>
        <v>0</v>
      </c>
      <c r="T967" s="8">
        <f>IF($D967='[2]Beam '!T$44,$P967*'[2]Beam '!T$45,0)</f>
        <v>0</v>
      </c>
      <c r="U967" s="8">
        <f>IF($D967='[2]Beam '!U$44,$P967*'[2]Beam '!U$45,0)</f>
        <v>0</v>
      </c>
      <c r="V967" s="8">
        <f>IF($D967='[2]Beam '!V$44,$P967*'[2]Beam '!V$45,0)</f>
        <v>40.476562500000007</v>
      </c>
      <c r="W967" s="8">
        <f>IF($D967='[2]Beam '!W$44,$P967*'[2]Beam '!W$45,0)</f>
        <v>0</v>
      </c>
      <c r="X967" s="8">
        <f t="shared" si="184"/>
        <v>40.476562500000007</v>
      </c>
      <c r="Y967" s="8"/>
      <c r="Z967" s="8"/>
      <c r="AA967" s="8"/>
      <c r="AB967" s="8"/>
      <c r="AC967" s="8"/>
      <c r="AD967" s="8"/>
      <c r="AE967" s="8"/>
    </row>
    <row r="968" spans="1:32" s="14" customFormat="1" ht="20.100000000000001" customHeight="1" x14ac:dyDescent="0.3">
      <c r="A968" s="7"/>
      <c r="B968" s="8" t="s">
        <v>2</v>
      </c>
      <c r="C968" s="13" t="s">
        <v>75</v>
      </c>
      <c r="D968" s="8">
        <v>16</v>
      </c>
      <c r="E968" s="8"/>
      <c r="F968" s="8">
        <v>3</v>
      </c>
      <c r="G968" s="9">
        <f>VLOOKUP(D968,'[2]Beam '!$C$20:$H$26,3,0)</f>
        <v>0.625</v>
      </c>
      <c r="H968" s="9"/>
      <c r="I968" s="8"/>
      <c r="J968" s="8"/>
      <c r="K968" s="8"/>
      <c r="L968" s="8"/>
      <c r="M968" s="8"/>
      <c r="N968" s="8"/>
      <c r="O968" s="8">
        <f>0.6+2*G968</f>
        <v>1.85</v>
      </c>
      <c r="P968" s="8">
        <f t="shared" si="183"/>
        <v>5.5500000000000007</v>
      </c>
      <c r="Q968" s="8">
        <f>IF($D968='[2]Beam '!Q$44,$P968*'[2]Beam '!Q$45,0)</f>
        <v>0</v>
      </c>
      <c r="R968" s="8">
        <f>IF($D968='[2]Beam '!R$44,$P968*'[2]Beam '!R$45,0)</f>
        <v>0</v>
      </c>
      <c r="S968" s="8">
        <f>IF($D968='[2]Beam '!S$44,$P968*'[2]Beam '!S$45,0)</f>
        <v>0</v>
      </c>
      <c r="T968" s="8">
        <f>IF($D968='[2]Beam '!T$44,$P968*'[2]Beam '!T$45,0)</f>
        <v>8.7632914285714296</v>
      </c>
      <c r="U968" s="8">
        <f>IF($D968='[2]Beam '!U$44,$P968*'[2]Beam '!U$45,0)</f>
        <v>0</v>
      </c>
      <c r="V968" s="8">
        <f>IF($D968='[2]Beam '!V$44,$P968*'[2]Beam '!V$45,0)</f>
        <v>0</v>
      </c>
      <c r="W968" s="8">
        <f>IF($D968='[2]Beam '!W$44,$P968*'[2]Beam '!W$45,0)</f>
        <v>0</v>
      </c>
      <c r="X968" s="8">
        <f t="shared" si="184"/>
        <v>8.7632914285714296</v>
      </c>
      <c r="Y968" s="8"/>
    </row>
    <row r="969" spans="1:32" s="10" customFormat="1" ht="20.100000000000001" customHeight="1" x14ac:dyDescent="0.25">
      <c r="A969" s="7"/>
      <c r="B969" s="8" t="s">
        <v>2</v>
      </c>
      <c r="C969" s="13" t="s">
        <v>88</v>
      </c>
      <c r="D969" s="8">
        <v>16</v>
      </c>
      <c r="E969" s="8"/>
      <c r="F969" s="8">
        <v>3</v>
      </c>
      <c r="G969" s="9">
        <f>VLOOKUP(D969,'[2]Beam '!$C$20:$H$26,3,0)</f>
        <v>0.625</v>
      </c>
      <c r="H969" s="9"/>
      <c r="I969" s="8"/>
      <c r="J969" s="8"/>
      <c r="K969" s="8"/>
      <c r="L969" s="8"/>
      <c r="M969" s="8"/>
      <c r="N969" s="8"/>
      <c r="O969" s="8">
        <f>0.6+2*G969</f>
        <v>1.85</v>
      </c>
      <c r="P969" s="8">
        <f t="shared" si="183"/>
        <v>5.5500000000000007</v>
      </c>
      <c r="Q969" s="8">
        <f>IF($D969='[2]Beam '!Q$44,$P969*'[2]Beam '!Q$45,0)</f>
        <v>0</v>
      </c>
      <c r="R969" s="8">
        <f>IF($D969='[2]Beam '!R$44,$P969*'[2]Beam '!R$45,0)</f>
        <v>0</v>
      </c>
      <c r="S969" s="8">
        <f>IF($D969='[2]Beam '!S$44,$P969*'[2]Beam '!S$45,0)</f>
        <v>0</v>
      </c>
      <c r="T969" s="8">
        <f>IF($D969='[2]Beam '!T$44,$P969*'[2]Beam '!T$45,0)</f>
        <v>8.7632914285714296</v>
      </c>
      <c r="U969" s="8">
        <f>IF($D969='[2]Beam '!U$44,$P969*'[2]Beam '!U$45,0)</f>
        <v>0</v>
      </c>
      <c r="V969" s="8">
        <f>IF($D969='[2]Beam '!V$44,$P969*'[2]Beam '!V$45,0)</f>
        <v>0</v>
      </c>
      <c r="W969" s="8">
        <f>IF($D969='[2]Beam '!W$44,$P969*'[2]Beam '!W$45,0)</f>
        <v>0</v>
      </c>
      <c r="X969" s="8">
        <f t="shared" si="184"/>
        <v>8.7632914285714296</v>
      </c>
      <c r="Y969" s="8"/>
      <c r="Z969" s="8"/>
      <c r="AA969" s="8"/>
      <c r="AB969" s="8"/>
      <c r="AC969" s="8"/>
      <c r="AD969" s="8"/>
      <c r="AE969" s="8"/>
    </row>
    <row r="970" spans="1:32" s="10" customFormat="1" ht="21" customHeight="1" x14ac:dyDescent="0.25">
      <c r="A970" s="7"/>
      <c r="B970" s="8" t="s">
        <v>2</v>
      </c>
      <c r="C970" s="13" t="s">
        <v>8</v>
      </c>
      <c r="D970" s="8">
        <v>12</v>
      </c>
      <c r="E970" s="8">
        <v>0.1</v>
      </c>
      <c r="F970" s="8">
        <f>ROUNDUP(E965/E970,0)</f>
        <v>20</v>
      </c>
      <c r="H970" s="8"/>
      <c r="I970" s="8"/>
      <c r="J970" s="8"/>
      <c r="K970" s="8"/>
      <c r="L970" s="8"/>
      <c r="M970" s="8"/>
      <c r="N970" s="8"/>
      <c r="O970" s="8">
        <f>(2*((G965-(2*'[2]Beam '!$D$11))+(F965-(2*'[2]Beam '!$D$11)))+(2*10*D970/1000))*D965</f>
        <v>2.9000000000000004</v>
      </c>
      <c r="P970" s="8">
        <f t="shared" si="183"/>
        <v>58.000000000000007</v>
      </c>
      <c r="Q970" s="8">
        <f>IF($D970='[2]Beam '!Q$44,$P970*'[2]Beam '!Q$45,0)</f>
        <v>0</v>
      </c>
      <c r="R970" s="8">
        <f>IF($D970='[2]Beam '!R$44,$P970*'[2]Beam '!R$45,0)</f>
        <v>0</v>
      </c>
      <c r="S970" s="8">
        <f>IF($D970='[2]Beam '!S$44,$P970*'[2]Beam '!S$45,0)</f>
        <v>51.513942857142872</v>
      </c>
      <c r="T970" s="8">
        <f>IF($D970='[2]Beam '!T$44,$P970*'[2]Beam '!T$45,0)</f>
        <v>0</v>
      </c>
      <c r="U970" s="8">
        <f>IF($D970='[2]Beam '!U$44,$P970*'[2]Beam '!U$45,0)</f>
        <v>0</v>
      </c>
      <c r="V970" s="8">
        <f>IF($D970='[2]Beam '!V$44,$P970*'[2]Beam '!V$45,0)</f>
        <v>0</v>
      </c>
      <c r="W970" s="8">
        <f>IF($D970='[2]Beam '!W$44,$P970*'[2]Beam '!W$45,0)</f>
        <v>0</v>
      </c>
      <c r="X970" s="8">
        <f t="shared" si="184"/>
        <v>51.513942857142872</v>
      </c>
      <c r="Y970" s="8"/>
      <c r="Z970" s="8"/>
      <c r="AA970" s="8"/>
      <c r="AB970" s="8"/>
      <c r="AC970" s="8"/>
      <c r="AD970" s="8"/>
      <c r="AE970" s="8"/>
      <c r="AF970" s="8"/>
    </row>
    <row r="971" spans="1:32" s="10" customFormat="1" ht="20.100000000000001" customHeight="1" x14ac:dyDescent="0.25">
      <c r="A971" s="14"/>
      <c r="B971" s="8" t="s">
        <v>2</v>
      </c>
      <c r="C971" s="13" t="s">
        <v>9</v>
      </c>
      <c r="D971" s="8">
        <f>+D970</f>
        <v>12</v>
      </c>
      <c r="E971" s="14">
        <f>+E970</f>
        <v>0.1</v>
      </c>
      <c r="F971" s="8">
        <f>ROUNDUP(E965/E971,0)</f>
        <v>20</v>
      </c>
      <c r="H971" s="14"/>
      <c r="I971" s="14"/>
      <c r="J971" s="14"/>
      <c r="K971" s="14"/>
      <c r="L971" s="14"/>
      <c r="M971" s="14"/>
      <c r="N971" s="14"/>
      <c r="O971" s="8">
        <f>((((G965-(2*'[2]Beam '!$D$11))+(2*10*D971/1000))*D965))*1</f>
        <v>1.28</v>
      </c>
      <c r="P971" s="8">
        <f t="shared" si="183"/>
        <v>25.6</v>
      </c>
      <c r="Q971" s="8">
        <f>IF($D971='[2]Beam '!Q$44,$P971*'[2]Beam '!Q$45,0)</f>
        <v>0</v>
      </c>
      <c r="R971" s="8">
        <f>IF($D971='[2]Beam '!R$44,$P971*'[2]Beam '!R$45,0)</f>
        <v>0</v>
      </c>
      <c r="S971" s="8">
        <f>IF($D971='[2]Beam '!S$44,$P971*'[2]Beam '!S$45,0)</f>
        <v>22.737188571428575</v>
      </c>
      <c r="T971" s="8">
        <f>IF($D971='[2]Beam '!T$44,$P971*'[2]Beam '!T$45,0)</f>
        <v>0</v>
      </c>
      <c r="U971" s="8">
        <f>IF($D971='[2]Beam '!U$44,$P971*'[2]Beam '!U$45,0)</f>
        <v>0</v>
      </c>
      <c r="V971" s="8">
        <f>IF($D971='[2]Beam '!V$44,$P971*'[2]Beam '!V$45,0)</f>
        <v>0</v>
      </c>
      <c r="W971" s="8">
        <f>IF($D971='[2]Beam '!W$44,$P971*'[2]Beam '!W$45,0)</f>
        <v>0</v>
      </c>
      <c r="X971" s="8">
        <f t="shared" si="184"/>
        <v>22.737188571428575</v>
      </c>
      <c r="Y971" s="14"/>
      <c r="Z971" s="8"/>
      <c r="AA971" s="8"/>
      <c r="AB971" s="8"/>
      <c r="AC971" s="8"/>
      <c r="AD971" s="8"/>
      <c r="AE971" s="8"/>
    </row>
    <row r="972" spans="1:32" s="10" customFormat="1" ht="20.100000000000001" customHeight="1" x14ac:dyDescent="0.25">
      <c r="A972" s="7"/>
      <c r="B972" s="8" t="s">
        <v>2</v>
      </c>
      <c r="C972" s="13" t="s">
        <v>10</v>
      </c>
      <c r="D972" s="8">
        <f>+'[2]Beam '!$D$15</f>
        <v>25</v>
      </c>
      <c r="E972" s="8">
        <f>+'[2]Beam '!$E$15</f>
        <v>1</v>
      </c>
      <c r="F972" s="8">
        <f>ROUNDUP((0.6+E965)/E972,0)</f>
        <v>3</v>
      </c>
      <c r="G972" s="9"/>
      <c r="H972" s="9"/>
      <c r="I972" s="8"/>
      <c r="J972" s="8"/>
      <c r="K972" s="8"/>
      <c r="L972" s="8"/>
      <c r="M972" s="8"/>
      <c r="N972" s="8"/>
      <c r="O972" s="8">
        <f>F965-'[2]Beam '!$F$15</f>
        <v>0.28999999999999998</v>
      </c>
      <c r="P972" s="8">
        <f t="shared" si="183"/>
        <v>0.86999999999999988</v>
      </c>
      <c r="Q972" s="8">
        <f>IF($D972='[2]Beam '!Q$44,$P972*'[2]Beam '!Q$45,0)</f>
        <v>0</v>
      </c>
      <c r="R972" s="8">
        <f>IF($D972='[2]Beam '!R$44,$P972*'[2]Beam '!R$45,0)</f>
        <v>0</v>
      </c>
      <c r="S972" s="8">
        <f>IF($D972='[2]Beam '!S$44,$P972*'[2]Beam '!S$45,0)</f>
        <v>0</v>
      </c>
      <c r="T972" s="8">
        <f>IF($D972='[2]Beam '!T$44,$P972*'[2]Beam '!T$45,0)</f>
        <v>0</v>
      </c>
      <c r="U972" s="8">
        <f>IF($D972='[2]Beam '!U$44,$P972*'[2]Beam '!U$45,0)</f>
        <v>0</v>
      </c>
      <c r="V972" s="8">
        <f>IF($D972='[2]Beam '!V$44,$P972*'[2]Beam '!V$45,0)</f>
        <v>3.3537723214285715</v>
      </c>
      <c r="W972" s="8">
        <f>IF($D972='[2]Beam '!W$44,$P972*'[2]Beam '!W$45,0)</f>
        <v>0</v>
      </c>
      <c r="X972" s="8">
        <f t="shared" si="184"/>
        <v>3.3537723214285715</v>
      </c>
      <c r="Y972" s="8"/>
      <c r="Z972" s="8"/>
      <c r="AA972" s="8"/>
      <c r="AB972" s="8"/>
      <c r="AC972" s="8"/>
      <c r="AD972" s="8"/>
      <c r="AE972" s="8"/>
    </row>
    <row r="973" spans="1:32" s="10" customFormat="1" ht="20.100000000000001" customHeight="1" x14ac:dyDescent="0.25">
      <c r="A973" s="8">
        <v>1</v>
      </c>
      <c r="B973" s="8" t="s">
        <v>2</v>
      </c>
      <c r="C973" s="11" t="s">
        <v>132</v>
      </c>
      <c r="D973" s="11">
        <v>1</v>
      </c>
      <c r="E973" s="11">
        <v>2</v>
      </c>
      <c r="F973" s="11">
        <v>0.35</v>
      </c>
      <c r="G973" s="11">
        <v>1.1000000000000001</v>
      </c>
      <c r="H973" s="8">
        <f>G973-0.2</f>
        <v>0.90000000000000013</v>
      </c>
      <c r="I973" s="8">
        <f>E973*F973*G973*D973</f>
        <v>0.77</v>
      </c>
      <c r="J973" s="8">
        <f>(2*(E973)*H973*D973)+(E973*F973)</f>
        <v>4.3000000000000007</v>
      </c>
      <c r="K973" s="12">
        <f>IF(E973=0.3,J973,0)</f>
        <v>0</v>
      </c>
      <c r="L973" s="12">
        <f>IF(AND(E973&gt;0.3,E973&lt;=0.75),J973,0)</f>
        <v>0</v>
      </c>
      <c r="M973" s="12">
        <f>IF(AND(E973&gt;0.75,E973&lt;=1.2),J973,0)</f>
        <v>0</v>
      </c>
      <c r="N973" s="12">
        <f>IF(E973&gt;1.2,J973,0)</f>
        <v>4.3000000000000007</v>
      </c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>
        <f>SUM(X974:X978)/I973</f>
        <v>271.16142857142864</v>
      </c>
      <c r="Z973" s="8"/>
      <c r="AA973" s="8"/>
      <c r="AB973" s="8"/>
      <c r="AC973" s="8"/>
      <c r="AD973" s="8"/>
      <c r="AE973" s="8"/>
    </row>
    <row r="974" spans="1:32" s="10" customFormat="1" ht="20.100000000000001" customHeight="1" x14ac:dyDescent="0.25">
      <c r="A974" s="7"/>
      <c r="B974" s="8" t="s">
        <v>2</v>
      </c>
      <c r="C974" s="13" t="s">
        <v>4</v>
      </c>
      <c r="D974" s="8">
        <v>25</v>
      </c>
      <c r="E974" s="8"/>
      <c r="F974" s="8">
        <v>3</v>
      </c>
      <c r="G974" s="9">
        <f>VLOOKUP(D974,'[2]Beam '!$C$20:$H$26,3,0)</f>
        <v>1</v>
      </c>
      <c r="H974" s="9"/>
      <c r="I974" s="8"/>
      <c r="J974" s="8"/>
      <c r="K974" s="8"/>
      <c r="L974" s="8"/>
      <c r="M974" s="8"/>
      <c r="N974" s="8"/>
      <c r="O974" s="8">
        <f>(E973+2*(1.5/2)*D973)</f>
        <v>3.5</v>
      </c>
      <c r="P974" s="8">
        <f t="shared" ref="P974:P980" si="185">O974*F974</f>
        <v>10.5</v>
      </c>
      <c r="Q974" s="8">
        <f>IF($D974='[2]Beam '!Q$44,$P974*'[2]Beam '!Q$45,0)</f>
        <v>0</v>
      </c>
      <c r="R974" s="8">
        <f>IF($D974='[2]Beam '!R$44,$P974*'[2]Beam '!R$45,0)</f>
        <v>0</v>
      </c>
      <c r="S974" s="8">
        <f>IF($D974='[2]Beam '!S$44,$P974*'[2]Beam '!S$45,0)</f>
        <v>0</v>
      </c>
      <c r="T974" s="8">
        <f>IF($D974='[2]Beam '!T$44,$P974*'[2]Beam '!T$45,0)</f>
        <v>0</v>
      </c>
      <c r="U974" s="8">
        <f>IF($D974='[2]Beam '!U$44,$P974*'[2]Beam '!U$45,0)</f>
        <v>0</v>
      </c>
      <c r="V974" s="8">
        <f>IF($D974='[2]Beam '!V$44,$P974*'[2]Beam '!V$45,0)</f>
        <v>40.476562500000007</v>
      </c>
      <c r="W974" s="8">
        <f>IF($D974='[2]Beam '!W$44,$P974*'[2]Beam '!W$45,0)</f>
        <v>0</v>
      </c>
      <c r="X974" s="8">
        <f t="shared" ref="X974:X980" si="186">SUM(Q974:W974)</f>
        <v>40.476562500000007</v>
      </c>
      <c r="Y974" s="8"/>
      <c r="Z974" s="8"/>
      <c r="AA974" s="8"/>
      <c r="AB974" s="8"/>
      <c r="AC974" s="8"/>
      <c r="AD974" s="8"/>
      <c r="AE974" s="8"/>
    </row>
    <row r="975" spans="1:32" s="10" customFormat="1" ht="20.100000000000001" customHeight="1" x14ac:dyDescent="0.25">
      <c r="A975" s="7"/>
      <c r="B975" s="8" t="s">
        <v>2</v>
      </c>
      <c r="C975" s="13" t="s">
        <v>6</v>
      </c>
      <c r="D975" s="8">
        <v>25</v>
      </c>
      <c r="E975" s="8"/>
      <c r="F975" s="8">
        <v>3</v>
      </c>
      <c r="G975" s="9">
        <f>VLOOKUP(D975,'[2]Beam '!$C$20:$H$26,3,0)</f>
        <v>1</v>
      </c>
      <c r="H975" s="8"/>
      <c r="I975" s="8"/>
      <c r="J975" s="8"/>
      <c r="K975" s="8"/>
      <c r="L975" s="8"/>
      <c r="M975" s="8"/>
      <c r="N975" s="8"/>
      <c r="O975" s="8">
        <f>(E973+2*(1.5/2)*D973)</f>
        <v>3.5</v>
      </c>
      <c r="P975" s="8">
        <f t="shared" si="185"/>
        <v>10.5</v>
      </c>
      <c r="Q975" s="8">
        <f>IF($D975='[2]Beam '!Q$44,$P975*'[2]Beam '!Q$45,0)</f>
        <v>0</v>
      </c>
      <c r="R975" s="8">
        <f>IF($D975='[2]Beam '!R$44,$P975*'[2]Beam '!R$45,0)</f>
        <v>0</v>
      </c>
      <c r="S975" s="8">
        <f>IF($D975='[2]Beam '!S$44,$P975*'[2]Beam '!S$45,0)</f>
        <v>0</v>
      </c>
      <c r="T975" s="8">
        <f>IF($D975='[2]Beam '!T$44,$P975*'[2]Beam '!T$45,0)</f>
        <v>0</v>
      </c>
      <c r="U975" s="8">
        <f>IF($D975='[2]Beam '!U$44,$P975*'[2]Beam '!U$45,0)</f>
        <v>0</v>
      </c>
      <c r="V975" s="8">
        <f>IF($D975='[2]Beam '!V$44,$P975*'[2]Beam '!V$45,0)</f>
        <v>40.476562500000007</v>
      </c>
      <c r="W975" s="8">
        <f>IF($D975='[2]Beam '!W$44,$P975*'[2]Beam '!W$45,0)</f>
        <v>0</v>
      </c>
      <c r="X975" s="8">
        <f t="shared" si="186"/>
        <v>40.476562500000007</v>
      </c>
      <c r="Y975" s="8"/>
      <c r="Z975" s="8"/>
      <c r="AA975" s="8"/>
      <c r="AB975" s="8"/>
      <c r="AC975" s="8"/>
      <c r="AD975" s="8"/>
      <c r="AE975" s="8"/>
    </row>
    <row r="976" spans="1:32" s="14" customFormat="1" ht="20.100000000000001" customHeight="1" x14ac:dyDescent="0.3">
      <c r="A976" s="7"/>
      <c r="B976" s="8" t="s">
        <v>2</v>
      </c>
      <c r="C976" s="13" t="s">
        <v>75</v>
      </c>
      <c r="D976" s="8">
        <v>25</v>
      </c>
      <c r="E976" s="8"/>
      <c r="F976" s="8">
        <v>3</v>
      </c>
      <c r="G976" s="9">
        <f>VLOOKUP(D976,'[2]Beam '!$C$20:$H$26,3,0)</f>
        <v>1</v>
      </c>
      <c r="H976" s="9"/>
      <c r="I976" s="8"/>
      <c r="J976" s="8"/>
      <c r="K976" s="8"/>
      <c r="L976" s="8"/>
      <c r="M976" s="8"/>
      <c r="N976" s="8"/>
      <c r="O976" s="8">
        <f>0.6+2*G976</f>
        <v>2.6</v>
      </c>
      <c r="P976" s="8">
        <f t="shared" si="185"/>
        <v>7.8000000000000007</v>
      </c>
      <c r="Q976" s="8">
        <f>IF($D976='[2]Beam '!Q$44,$P976*'[2]Beam '!Q$45,0)</f>
        <v>0</v>
      </c>
      <c r="R976" s="8">
        <f>IF($D976='[2]Beam '!R$44,$P976*'[2]Beam '!R$45,0)</f>
        <v>0</v>
      </c>
      <c r="S976" s="8">
        <f>IF($D976='[2]Beam '!S$44,$P976*'[2]Beam '!S$45,0)</f>
        <v>0</v>
      </c>
      <c r="T976" s="8">
        <f>IF($D976='[2]Beam '!T$44,$P976*'[2]Beam '!T$45,0)</f>
        <v>0</v>
      </c>
      <c r="U976" s="8">
        <f>IF($D976='[2]Beam '!U$44,$P976*'[2]Beam '!U$45,0)</f>
        <v>0</v>
      </c>
      <c r="V976" s="8">
        <f>IF($D976='[2]Beam '!V$44,$P976*'[2]Beam '!V$45,0)</f>
        <v>30.068303571428579</v>
      </c>
      <c r="W976" s="8">
        <f>IF($D976='[2]Beam '!W$44,$P976*'[2]Beam '!W$45,0)</f>
        <v>0</v>
      </c>
      <c r="X976" s="8">
        <f t="shared" si="186"/>
        <v>30.068303571428579</v>
      </c>
      <c r="Y976" s="8"/>
    </row>
    <row r="977" spans="1:32" s="10" customFormat="1" ht="20.100000000000001" customHeight="1" x14ac:dyDescent="0.25">
      <c r="A977" s="7"/>
      <c r="B977" s="8" t="s">
        <v>2</v>
      </c>
      <c r="C977" s="13" t="s">
        <v>88</v>
      </c>
      <c r="D977" s="8">
        <v>25</v>
      </c>
      <c r="E977" s="8"/>
      <c r="F977" s="8">
        <v>3</v>
      </c>
      <c r="G977" s="9">
        <f>VLOOKUP(D977,'[2]Beam '!$C$20:$H$26,3,0)</f>
        <v>1</v>
      </c>
      <c r="H977" s="9"/>
      <c r="I977" s="8"/>
      <c r="J977" s="8"/>
      <c r="K977" s="8"/>
      <c r="L977" s="8"/>
      <c r="M977" s="8"/>
      <c r="N977" s="8"/>
      <c r="O977" s="8">
        <f>E973+2*G977</f>
        <v>4</v>
      </c>
      <c r="P977" s="8">
        <f t="shared" si="185"/>
        <v>12</v>
      </c>
      <c r="Q977" s="8">
        <f>IF($D977='[2]Beam '!Q$44,$P977*'[2]Beam '!Q$45,0)</f>
        <v>0</v>
      </c>
      <c r="R977" s="8">
        <f>IF($D977='[2]Beam '!R$44,$P977*'[2]Beam '!R$45,0)</f>
        <v>0</v>
      </c>
      <c r="S977" s="8">
        <f>IF($D977='[2]Beam '!S$44,$P977*'[2]Beam '!S$45,0)</f>
        <v>0</v>
      </c>
      <c r="T977" s="8">
        <f>IF($D977='[2]Beam '!T$44,$P977*'[2]Beam '!T$45,0)</f>
        <v>0</v>
      </c>
      <c r="U977" s="8">
        <f>IF($D977='[2]Beam '!U$44,$P977*'[2]Beam '!U$45,0)</f>
        <v>0</v>
      </c>
      <c r="V977" s="8">
        <f>IF($D977='[2]Beam '!V$44,$P977*'[2]Beam '!V$45,0)</f>
        <v>46.258928571428577</v>
      </c>
      <c r="W977" s="8">
        <f>IF($D977='[2]Beam '!W$44,$P977*'[2]Beam '!W$45,0)</f>
        <v>0</v>
      </c>
      <c r="X977" s="8">
        <f t="shared" si="186"/>
        <v>46.258928571428577</v>
      </c>
      <c r="Y977" s="8"/>
      <c r="Z977" s="8"/>
      <c r="AA977" s="8"/>
      <c r="AB977" s="8"/>
      <c r="AC977" s="8"/>
      <c r="AD977" s="8"/>
      <c r="AE977" s="8"/>
    </row>
    <row r="978" spans="1:32" s="10" customFormat="1" ht="21" customHeight="1" x14ac:dyDescent="0.25">
      <c r="A978" s="7"/>
      <c r="B978" s="8" t="s">
        <v>2</v>
      </c>
      <c r="C978" s="13" t="s">
        <v>8</v>
      </c>
      <c r="D978" s="8">
        <v>12</v>
      </c>
      <c r="E978" s="8">
        <v>0.1</v>
      </c>
      <c r="F978" s="8">
        <f>ROUNDUP(E973/E978,0)</f>
        <v>20</v>
      </c>
      <c r="H978" s="8"/>
      <c r="I978" s="8"/>
      <c r="J978" s="8"/>
      <c r="K978" s="8"/>
      <c r="L978" s="8"/>
      <c r="M978" s="8"/>
      <c r="N978" s="8"/>
      <c r="O978" s="8">
        <f>(2*((G973-(2*'[2]Beam '!$D$11))+(F973-(2*'[2]Beam '!$D$11)))+(2*10*D978/1000))*D973</f>
        <v>2.9000000000000004</v>
      </c>
      <c r="P978" s="8">
        <f t="shared" si="185"/>
        <v>58.000000000000007</v>
      </c>
      <c r="Q978" s="8">
        <f>IF($D978='[2]Beam '!Q$44,$P978*'[2]Beam '!Q$45,0)</f>
        <v>0</v>
      </c>
      <c r="R978" s="8">
        <f>IF($D978='[2]Beam '!R$44,$P978*'[2]Beam '!R$45,0)</f>
        <v>0</v>
      </c>
      <c r="S978" s="8">
        <f>IF($D978='[2]Beam '!S$44,$P978*'[2]Beam '!S$45,0)</f>
        <v>51.513942857142872</v>
      </c>
      <c r="T978" s="8">
        <f>IF($D978='[2]Beam '!T$44,$P978*'[2]Beam '!T$45,0)</f>
        <v>0</v>
      </c>
      <c r="U978" s="8">
        <f>IF($D978='[2]Beam '!U$44,$P978*'[2]Beam '!U$45,0)</f>
        <v>0</v>
      </c>
      <c r="V978" s="8">
        <f>IF($D978='[2]Beam '!V$44,$P978*'[2]Beam '!V$45,0)</f>
        <v>0</v>
      </c>
      <c r="W978" s="8">
        <f>IF($D978='[2]Beam '!W$44,$P978*'[2]Beam '!W$45,0)</f>
        <v>0</v>
      </c>
      <c r="X978" s="8">
        <f t="shared" si="186"/>
        <v>51.513942857142872</v>
      </c>
      <c r="Y978" s="8"/>
      <c r="Z978" s="8"/>
      <c r="AA978" s="8"/>
      <c r="AB978" s="8"/>
      <c r="AC978" s="8"/>
      <c r="AD978" s="8"/>
      <c r="AE978" s="8"/>
      <c r="AF978" s="8"/>
    </row>
    <row r="979" spans="1:32" s="10" customFormat="1" ht="20.100000000000001" customHeight="1" x14ac:dyDescent="0.25">
      <c r="A979" s="14"/>
      <c r="B979" s="8" t="s">
        <v>2</v>
      </c>
      <c r="C979" s="13" t="s">
        <v>9</v>
      </c>
      <c r="D979" s="8">
        <f>+D978</f>
        <v>12</v>
      </c>
      <c r="E979" s="14">
        <f>+E978</f>
        <v>0.1</v>
      </c>
      <c r="F979" s="8">
        <f>ROUNDUP(E973/E979,0)</f>
        <v>20</v>
      </c>
      <c r="H979" s="14"/>
      <c r="I979" s="14"/>
      <c r="J979" s="14"/>
      <c r="K979" s="14"/>
      <c r="L979" s="14"/>
      <c r="M979" s="14"/>
      <c r="N979" s="14"/>
      <c r="O979" s="8">
        <f>((((G973-(2*'[2]Beam '!$D$11))+(2*10*D979/1000))*D973))*1</f>
        <v>1.28</v>
      </c>
      <c r="P979" s="8">
        <f t="shared" si="185"/>
        <v>25.6</v>
      </c>
      <c r="Q979" s="8">
        <f>IF($D979='[2]Beam '!Q$44,$P979*'[2]Beam '!Q$45,0)</f>
        <v>0</v>
      </c>
      <c r="R979" s="8">
        <f>IF($D979='[2]Beam '!R$44,$P979*'[2]Beam '!R$45,0)</f>
        <v>0</v>
      </c>
      <c r="S979" s="8">
        <f>IF($D979='[2]Beam '!S$44,$P979*'[2]Beam '!S$45,0)</f>
        <v>22.737188571428575</v>
      </c>
      <c r="T979" s="8">
        <f>IF($D979='[2]Beam '!T$44,$P979*'[2]Beam '!T$45,0)</f>
        <v>0</v>
      </c>
      <c r="U979" s="8">
        <f>IF($D979='[2]Beam '!U$44,$P979*'[2]Beam '!U$45,0)</f>
        <v>0</v>
      </c>
      <c r="V979" s="8">
        <f>IF($D979='[2]Beam '!V$44,$P979*'[2]Beam '!V$45,0)</f>
        <v>0</v>
      </c>
      <c r="W979" s="8">
        <f>IF($D979='[2]Beam '!W$44,$P979*'[2]Beam '!W$45,0)</f>
        <v>0</v>
      </c>
      <c r="X979" s="8">
        <f t="shared" si="186"/>
        <v>22.737188571428575</v>
      </c>
      <c r="Y979" s="14"/>
      <c r="Z979" s="8"/>
      <c r="AA979" s="8"/>
      <c r="AB979" s="8"/>
      <c r="AC979" s="8"/>
      <c r="AD979" s="8"/>
      <c r="AE979" s="8"/>
    </row>
    <row r="980" spans="1:32" s="10" customFormat="1" ht="20.100000000000001" customHeight="1" x14ac:dyDescent="0.25">
      <c r="A980" s="7"/>
      <c r="B980" s="8" t="s">
        <v>2</v>
      </c>
      <c r="C980" s="13" t="s">
        <v>10</v>
      </c>
      <c r="D980" s="8">
        <f>+'[2]Beam '!$D$15</f>
        <v>25</v>
      </c>
      <c r="E980" s="8">
        <f>+'[2]Beam '!$E$15</f>
        <v>1</v>
      </c>
      <c r="F980" s="8">
        <f>ROUNDUP((0.6+E973)/E980,0)</f>
        <v>3</v>
      </c>
      <c r="G980" s="9"/>
      <c r="H980" s="9"/>
      <c r="I980" s="8"/>
      <c r="J980" s="8"/>
      <c r="K980" s="8"/>
      <c r="L980" s="8"/>
      <c r="M980" s="8"/>
      <c r="N980" s="8"/>
      <c r="O980" s="8">
        <f>F973-'[2]Beam '!$F$15</f>
        <v>0.28999999999999998</v>
      </c>
      <c r="P980" s="8">
        <f t="shared" si="185"/>
        <v>0.86999999999999988</v>
      </c>
      <c r="Q980" s="8">
        <f>IF($D980='[2]Beam '!Q$44,$P980*'[2]Beam '!Q$45,0)</f>
        <v>0</v>
      </c>
      <c r="R980" s="8">
        <f>IF($D980='[2]Beam '!R$44,$P980*'[2]Beam '!R$45,0)</f>
        <v>0</v>
      </c>
      <c r="S980" s="8">
        <f>IF($D980='[2]Beam '!S$44,$P980*'[2]Beam '!S$45,0)</f>
        <v>0</v>
      </c>
      <c r="T980" s="8">
        <f>IF($D980='[2]Beam '!T$44,$P980*'[2]Beam '!T$45,0)</f>
        <v>0</v>
      </c>
      <c r="U980" s="8">
        <f>IF($D980='[2]Beam '!U$44,$P980*'[2]Beam '!U$45,0)</f>
        <v>0</v>
      </c>
      <c r="V980" s="8">
        <f>IF($D980='[2]Beam '!V$44,$P980*'[2]Beam '!V$45,0)</f>
        <v>3.3537723214285715</v>
      </c>
      <c r="W980" s="8">
        <f>IF($D980='[2]Beam '!W$44,$P980*'[2]Beam '!W$45,0)</f>
        <v>0</v>
      </c>
      <c r="X980" s="8">
        <f t="shared" si="186"/>
        <v>3.3537723214285715</v>
      </c>
      <c r="Y980" s="8"/>
      <c r="Z980" s="8"/>
      <c r="AA980" s="8"/>
      <c r="AB980" s="8"/>
      <c r="AC980" s="8"/>
      <c r="AD980" s="8"/>
      <c r="AE980" s="8"/>
    </row>
    <row r="981" spans="1:32" s="10" customFormat="1" ht="20.100000000000001" customHeight="1" x14ac:dyDescent="0.25">
      <c r="A981" s="8">
        <v>1</v>
      </c>
      <c r="B981" s="8" t="s">
        <v>2</v>
      </c>
      <c r="C981" s="11" t="s">
        <v>133</v>
      </c>
      <c r="D981" s="11">
        <v>1</v>
      </c>
      <c r="E981" s="11">
        <v>2.89</v>
      </c>
      <c r="F981" s="11">
        <v>0.35</v>
      </c>
      <c r="G981" s="11">
        <v>1.1000000000000001</v>
      </c>
      <c r="H981" s="8">
        <f>G981-0.2</f>
        <v>0.90000000000000013</v>
      </c>
      <c r="I981" s="8">
        <f>E981*F981*G981*D981</f>
        <v>1.1126500000000001</v>
      </c>
      <c r="J981" s="8">
        <f>(2*(E981)*H981*D981)+(E981*F981)</f>
        <v>6.2135000000000007</v>
      </c>
      <c r="K981" s="12">
        <f>IF(E981=0.3,J981,0)</f>
        <v>0</v>
      </c>
      <c r="L981" s="12">
        <f>IF(AND(E981&gt;0.3,E981&lt;=0.75),J981,0)</f>
        <v>0</v>
      </c>
      <c r="M981" s="12">
        <f>IF(AND(E981&gt;0.75,E981&lt;=1.2),J981,0)</f>
        <v>0</v>
      </c>
      <c r="N981" s="12">
        <f>IF(E981&gt;1.2,J981,0)</f>
        <v>6.2135000000000007</v>
      </c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>
        <f>SUM(X982:X986)/I981</f>
        <v>208.62784407880804</v>
      </c>
      <c r="Z981" s="8"/>
      <c r="AA981" s="8"/>
      <c r="AB981" s="8"/>
      <c r="AC981" s="8"/>
      <c r="AD981" s="8"/>
      <c r="AE981" s="8"/>
    </row>
    <row r="982" spans="1:32" s="10" customFormat="1" ht="20.100000000000001" customHeight="1" x14ac:dyDescent="0.25">
      <c r="A982" s="7"/>
      <c r="B982" s="8" t="s">
        <v>2</v>
      </c>
      <c r="C982" s="13" t="s">
        <v>4</v>
      </c>
      <c r="D982" s="8">
        <v>25</v>
      </c>
      <c r="E982" s="8"/>
      <c r="F982" s="8">
        <v>3</v>
      </c>
      <c r="G982" s="9">
        <f>VLOOKUP(D982,'[2]Beam '!$C$20:$H$26,3,0)</f>
        <v>1</v>
      </c>
      <c r="H982" s="9"/>
      <c r="I982" s="8"/>
      <c r="J982" s="8"/>
      <c r="K982" s="8"/>
      <c r="L982" s="8"/>
      <c r="M982" s="8"/>
      <c r="N982" s="8"/>
      <c r="O982" s="8">
        <f>(E981+2*(1.5/2)*D981)</f>
        <v>4.3900000000000006</v>
      </c>
      <c r="P982" s="8">
        <f t="shared" ref="P982:P988" si="187">O982*F982</f>
        <v>13.170000000000002</v>
      </c>
      <c r="Q982" s="8">
        <f>IF($D982='[2]Beam '!Q$44,$P982*'[2]Beam '!Q$45,0)</f>
        <v>0</v>
      </c>
      <c r="R982" s="8">
        <f>IF($D982='[2]Beam '!R$44,$P982*'[2]Beam '!R$45,0)</f>
        <v>0</v>
      </c>
      <c r="S982" s="8">
        <f>IF($D982='[2]Beam '!S$44,$P982*'[2]Beam '!S$45,0)</f>
        <v>0</v>
      </c>
      <c r="T982" s="8">
        <f>IF($D982='[2]Beam '!T$44,$P982*'[2]Beam '!T$45,0)</f>
        <v>0</v>
      </c>
      <c r="U982" s="8">
        <f>IF($D982='[2]Beam '!U$44,$P982*'[2]Beam '!U$45,0)</f>
        <v>0</v>
      </c>
      <c r="V982" s="8">
        <f>IF($D982='[2]Beam '!V$44,$P982*'[2]Beam '!V$45,0)</f>
        <v>50.769174107142874</v>
      </c>
      <c r="W982" s="8">
        <f>IF($D982='[2]Beam '!W$44,$P982*'[2]Beam '!W$45,0)</f>
        <v>0</v>
      </c>
      <c r="X982" s="8">
        <f t="shared" ref="X982:X988" si="188">SUM(Q982:W982)</f>
        <v>50.769174107142874</v>
      </c>
      <c r="Y982" s="8"/>
      <c r="Z982" s="8"/>
      <c r="AA982" s="8"/>
      <c r="AB982" s="8"/>
      <c r="AC982" s="8"/>
      <c r="AD982" s="8"/>
      <c r="AE982" s="8"/>
    </row>
    <row r="983" spans="1:32" s="10" customFormat="1" ht="20.100000000000001" customHeight="1" x14ac:dyDescent="0.25">
      <c r="A983" s="7"/>
      <c r="B983" s="8" t="s">
        <v>2</v>
      </c>
      <c r="C983" s="13" t="s">
        <v>6</v>
      </c>
      <c r="D983" s="8">
        <v>25</v>
      </c>
      <c r="E983" s="8"/>
      <c r="F983" s="8">
        <v>3</v>
      </c>
      <c r="G983" s="9">
        <f>VLOOKUP(D983,'[2]Beam '!$C$20:$H$26,3,0)</f>
        <v>1</v>
      </c>
      <c r="H983" s="8"/>
      <c r="I983" s="8"/>
      <c r="J983" s="8"/>
      <c r="K983" s="8"/>
      <c r="L983" s="8"/>
      <c r="M983" s="8"/>
      <c r="N983" s="8"/>
      <c r="O983" s="8">
        <f>(E981+2*(1.5/2)*D981)</f>
        <v>4.3900000000000006</v>
      </c>
      <c r="P983" s="8">
        <f t="shared" si="187"/>
        <v>13.170000000000002</v>
      </c>
      <c r="Q983" s="8">
        <f>IF($D983='[2]Beam '!Q$44,$P983*'[2]Beam '!Q$45,0)</f>
        <v>0</v>
      </c>
      <c r="R983" s="8">
        <f>IF($D983='[2]Beam '!R$44,$P983*'[2]Beam '!R$45,0)</f>
        <v>0</v>
      </c>
      <c r="S983" s="8">
        <f>IF($D983='[2]Beam '!S$44,$P983*'[2]Beam '!S$45,0)</f>
        <v>0</v>
      </c>
      <c r="T983" s="8">
        <f>IF($D983='[2]Beam '!T$44,$P983*'[2]Beam '!T$45,0)</f>
        <v>0</v>
      </c>
      <c r="U983" s="8">
        <f>IF($D983='[2]Beam '!U$44,$P983*'[2]Beam '!U$45,0)</f>
        <v>0</v>
      </c>
      <c r="V983" s="8">
        <f>IF($D983='[2]Beam '!V$44,$P983*'[2]Beam '!V$45,0)</f>
        <v>50.769174107142874</v>
      </c>
      <c r="W983" s="8">
        <f>IF($D983='[2]Beam '!W$44,$P983*'[2]Beam '!W$45,0)</f>
        <v>0</v>
      </c>
      <c r="X983" s="8">
        <f t="shared" si="188"/>
        <v>50.769174107142874</v>
      </c>
      <c r="Y983" s="8"/>
      <c r="Z983" s="8"/>
      <c r="AA983" s="8"/>
      <c r="AB983" s="8"/>
      <c r="AC983" s="8"/>
      <c r="AD983" s="8"/>
      <c r="AE983" s="8"/>
    </row>
    <row r="984" spans="1:32" s="14" customFormat="1" ht="20.100000000000001" customHeight="1" x14ac:dyDescent="0.3">
      <c r="A984" s="7"/>
      <c r="B984" s="8" t="s">
        <v>2</v>
      </c>
      <c r="C984" s="13" t="s">
        <v>75</v>
      </c>
      <c r="D984" s="8">
        <v>25</v>
      </c>
      <c r="E984" s="8"/>
      <c r="F984" s="8">
        <v>3</v>
      </c>
      <c r="G984" s="9">
        <f>VLOOKUP(D984,'[2]Beam '!$C$20:$H$26,3,0)</f>
        <v>1</v>
      </c>
      <c r="H984" s="9"/>
      <c r="I984" s="8"/>
      <c r="J984" s="8"/>
      <c r="K984" s="8"/>
      <c r="L984" s="8"/>
      <c r="M984" s="8"/>
      <c r="N984" s="8"/>
      <c r="O984" s="8">
        <f>0.9+2*G984</f>
        <v>2.9</v>
      </c>
      <c r="P984" s="8">
        <f t="shared" si="187"/>
        <v>8.6999999999999993</v>
      </c>
      <c r="Q984" s="8">
        <f>IF($D984='[2]Beam '!Q$44,$P984*'[2]Beam '!Q$45,0)</f>
        <v>0</v>
      </c>
      <c r="R984" s="8">
        <f>IF($D984='[2]Beam '!R$44,$P984*'[2]Beam '!R$45,0)</f>
        <v>0</v>
      </c>
      <c r="S984" s="8">
        <f>IF($D984='[2]Beam '!S$44,$P984*'[2]Beam '!S$45,0)</f>
        <v>0</v>
      </c>
      <c r="T984" s="8">
        <f>IF($D984='[2]Beam '!T$44,$P984*'[2]Beam '!T$45,0)</f>
        <v>0</v>
      </c>
      <c r="U984" s="8">
        <f>IF($D984='[2]Beam '!U$44,$P984*'[2]Beam '!U$45,0)</f>
        <v>0</v>
      </c>
      <c r="V984" s="8">
        <f>IF($D984='[2]Beam '!V$44,$P984*'[2]Beam '!V$45,0)</f>
        <v>33.53772321428572</v>
      </c>
      <c r="W984" s="8">
        <f>IF($D984='[2]Beam '!W$44,$P984*'[2]Beam '!W$45,0)</f>
        <v>0</v>
      </c>
      <c r="X984" s="8">
        <f t="shared" si="188"/>
        <v>33.53772321428572</v>
      </c>
      <c r="Y984" s="8"/>
    </row>
    <row r="985" spans="1:32" s="10" customFormat="1" ht="20.100000000000001" customHeight="1" x14ac:dyDescent="0.25">
      <c r="A985" s="7"/>
      <c r="B985" s="8" t="s">
        <v>2</v>
      </c>
      <c r="C985" s="13" t="s">
        <v>75</v>
      </c>
      <c r="D985" s="8">
        <v>25</v>
      </c>
      <c r="E985" s="8"/>
      <c r="F985" s="8">
        <v>2</v>
      </c>
      <c r="G985" s="9">
        <f>VLOOKUP(D985,'[2]Beam '!$C$20:$H$26,3,0)</f>
        <v>1</v>
      </c>
      <c r="H985" s="9"/>
      <c r="I985" s="8"/>
      <c r="J985" s="8"/>
      <c r="K985" s="8"/>
      <c r="L985" s="8"/>
      <c r="M985" s="8"/>
      <c r="N985" s="8"/>
      <c r="O985" s="8">
        <f>0.9+2*G985</f>
        <v>2.9</v>
      </c>
      <c r="P985" s="8">
        <f t="shared" si="187"/>
        <v>5.8</v>
      </c>
      <c r="Q985" s="8">
        <f>IF($D985='[2]Beam '!Q$44,$P985*'[2]Beam '!Q$45,0)</f>
        <v>0</v>
      </c>
      <c r="R985" s="8">
        <f>IF($D985='[2]Beam '!R$44,$P985*'[2]Beam '!R$45,0)</f>
        <v>0</v>
      </c>
      <c r="S985" s="8">
        <f>IF($D985='[2]Beam '!S$44,$P985*'[2]Beam '!S$45,0)</f>
        <v>0</v>
      </c>
      <c r="T985" s="8">
        <f>IF($D985='[2]Beam '!T$44,$P985*'[2]Beam '!T$45,0)</f>
        <v>0</v>
      </c>
      <c r="U985" s="8">
        <f>IF($D985='[2]Beam '!U$44,$P985*'[2]Beam '!U$45,0)</f>
        <v>0</v>
      </c>
      <c r="V985" s="8">
        <f>IF($D985='[2]Beam '!V$44,$P985*'[2]Beam '!V$45,0)</f>
        <v>22.358482142857145</v>
      </c>
      <c r="W985" s="8">
        <f>IF($D985='[2]Beam '!W$44,$P985*'[2]Beam '!W$45,0)</f>
        <v>0</v>
      </c>
      <c r="X985" s="8">
        <f t="shared" si="188"/>
        <v>22.358482142857145</v>
      </c>
      <c r="Y985" s="8"/>
      <c r="Z985" s="8"/>
      <c r="AA985" s="8"/>
      <c r="AB985" s="8"/>
      <c r="AC985" s="8"/>
      <c r="AD985" s="8"/>
      <c r="AE985" s="8"/>
    </row>
    <row r="986" spans="1:32" s="10" customFormat="1" ht="21" customHeight="1" x14ac:dyDescent="0.25">
      <c r="A986" s="7"/>
      <c r="B986" s="8" t="s">
        <v>2</v>
      </c>
      <c r="C986" s="13" t="s">
        <v>8</v>
      </c>
      <c r="D986" s="8">
        <v>12</v>
      </c>
      <c r="E986" s="8">
        <v>0.1</v>
      </c>
      <c r="F986" s="8">
        <f>ROUNDUP(E981/E986,0)</f>
        <v>29</v>
      </c>
      <c r="H986" s="8"/>
      <c r="I986" s="8"/>
      <c r="J986" s="8"/>
      <c r="K986" s="8"/>
      <c r="L986" s="8"/>
      <c r="M986" s="8"/>
      <c r="N986" s="8"/>
      <c r="O986" s="8">
        <f>(2*((G981-(2*'[2]Beam '!$D$11))+(F981-(2*'[2]Beam '!$D$11)))+(2*10*D986/1000))*D981</f>
        <v>2.9000000000000004</v>
      </c>
      <c r="P986" s="8">
        <f t="shared" si="187"/>
        <v>84.100000000000009</v>
      </c>
      <c r="Q986" s="8">
        <f>IF($D986='[2]Beam '!Q$44,$P986*'[2]Beam '!Q$45,0)</f>
        <v>0</v>
      </c>
      <c r="R986" s="8">
        <f>IF($D986='[2]Beam '!R$44,$P986*'[2]Beam '!R$45,0)</f>
        <v>0</v>
      </c>
      <c r="S986" s="8">
        <f>IF($D986='[2]Beam '!S$44,$P986*'[2]Beam '!S$45,0)</f>
        <v>74.69521714285716</v>
      </c>
      <c r="T986" s="8">
        <f>IF($D986='[2]Beam '!T$44,$P986*'[2]Beam '!T$45,0)</f>
        <v>0</v>
      </c>
      <c r="U986" s="8">
        <f>IF($D986='[2]Beam '!U$44,$P986*'[2]Beam '!U$45,0)</f>
        <v>0</v>
      </c>
      <c r="V986" s="8">
        <f>IF($D986='[2]Beam '!V$44,$P986*'[2]Beam '!V$45,0)</f>
        <v>0</v>
      </c>
      <c r="W986" s="8">
        <f>IF($D986='[2]Beam '!W$44,$P986*'[2]Beam '!W$45,0)</f>
        <v>0</v>
      </c>
      <c r="X986" s="8">
        <f t="shared" si="188"/>
        <v>74.69521714285716</v>
      </c>
      <c r="Y986" s="8"/>
      <c r="Z986" s="8"/>
      <c r="AA986" s="8"/>
      <c r="AB986" s="8"/>
      <c r="AC986" s="8"/>
      <c r="AD986" s="8"/>
      <c r="AE986" s="8"/>
      <c r="AF986" s="8"/>
    </row>
    <row r="987" spans="1:32" s="10" customFormat="1" ht="20.100000000000001" customHeight="1" x14ac:dyDescent="0.25">
      <c r="A987" s="14"/>
      <c r="B987" s="8" t="s">
        <v>2</v>
      </c>
      <c r="C987" s="13" t="s">
        <v>9</v>
      </c>
      <c r="D987" s="8">
        <f>+D986</f>
        <v>12</v>
      </c>
      <c r="E987" s="14">
        <f>+E986</f>
        <v>0.1</v>
      </c>
      <c r="F987" s="8">
        <f>ROUNDUP(E981/E987,0)</f>
        <v>29</v>
      </c>
      <c r="H987" s="14"/>
      <c r="I987" s="14"/>
      <c r="J987" s="14"/>
      <c r="K987" s="14"/>
      <c r="L987" s="14"/>
      <c r="M987" s="14"/>
      <c r="N987" s="14"/>
      <c r="O987" s="8">
        <f>((((G981-(2*'[2]Beam '!$D$11))+(2*10*D987/1000))*D981))*1</f>
        <v>1.28</v>
      </c>
      <c r="P987" s="8">
        <f t="shared" si="187"/>
        <v>37.119999999999997</v>
      </c>
      <c r="Q987" s="8">
        <f>IF($D987='[2]Beam '!Q$44,$P987*'[2]Beam '!Q$45,0)</f>
        <v>0</v>
      </c>
      <c r="R987" s="8">
        <f>IF($D987='[2]Beam '!R$44,$P987*'[2]Beam '!R$45,0)</f>
        <v>0</v>
      </c>
      <c r="S987" s="8">
        <f>IF($D987='[2]Beam '!S$44,$P987*'[2]Beam '!S$45,0)</f>
        <v>32.968923428571429</v>
      </c>
      <c r="T987" s="8">
        <f>IF($D987='[2]Beam '!T$44,$P987*'[2]Beam '!T$45,0)</f>
        <v>0</v>
      </c>
      <c r="U987" s="8">
        <f>IF($D987='[2]Beam '!U$44,$P987*'[2]Beam '!U$45,0)</f>
        <v>0</v>
      </c>
      <c r="V987" s="8">
        <f>IF($D987='[2]Beam '!V$44,$P987*'[2]Beam '!V$45,0)</f>
        <v>0</v>
      </c>
      <c r="W987" s="8">
        <f>IF($D987='[2]Beam '!W$44,$P987*'[2]Beam '!W$45,0)</f>
        <v>0</v>
      </c>
      <c r="X987" s="8">
        <f t="shared" si="188"/>
        <v>32.968923428571429</v>
      </c>
      <c r="Y987" s="14"/>
      <c r="Z987" s="8"/>
      <c r="AA987" s="8"/>
      <c r="AB987" s="8"/>
      <c r="AC987" s="8"/>
      <c r="AD987" s="8"/>
      <c r="AE987" s="8"/>
    </row>
    <row r="988" spans="1:32" s="10" customFormat="1" ht="20.100000000000001" customHeight="1" x14ac:dyDescent="0.25">
      <c r="A988" s="7"/>
      <c r="B988" s="8" t="s">
        <v>2</v>
      </c>
      <c r="C988" s="13" t="s">
        <v>10</v>
      </c>
      <c r="D988" s="8">
        <f>+'[2]Beam '!$D$15</f>
        <v>25</v>
      </c>
      <c r="E988" s="8">
        <f>+'[2]Beam '!$E$15</f>
        <v>1</v>
      </c>
      <c r="F988" s="8">
        <f>ROUNDUP((0.6+0.9)/E988,0)</f>
        <v>2</v>
      </c>
      <c r="G988" s="9"/>
      <c r="H988" s="9"/>
      <c r="I988" s="8"/>
      <c r="J988" s="8"/>
      <c r="K988" s="8"/>
      <c r="L988" s="8"/>
      <c r="M988" s="8"/>
      <c r="N988" s="8"/>
      <c r="O988" s="8">
        <f>F981-'[2]Beam '!$F$15</f>
        <v>0.28999999999999998</v>
      </c>
      <c r="P988" s="8">
        <f t="shared" si="187"/>
        <v>0.57999999999999996</v>
      </c>
      <c r="Q988" s="8">
        <f>IF($D988='[2]Beam '!Q$44,$P988*'[2]Beam '!Q$45,0)</f>
        <v>0</v>
      </c>
      <c r="R988" s="8">
        <f>IF($D988='[2]Beam '!R$44,$P988*'[2]Beam '!R$45,0)</f>
        <v>0</v>
      </c>
      <c r="S988" s="8">
        <f>IF($D988='[2]Beam '!S$44,$P988*'[2]Beam '!S$45,0)</f>
        <v>0</v>
      </c>
      <c r="T988" s="8">
        <f>IF($D988='[2]Beam '!T$44,$P988*'[2]Beam '!T$45,0)</f>
        <v>0</v>
      </c>
      <c r="U988" s="8">
        <f>IF($D988='[2]Beam '!U$44,$P988*'[2]Beam '!U$45,0)</f>
        <v>0</v>
      </c>
      <c r="V988" s="8">
        <f>IF($D988='[2]Beam '!V$44,$P988*'[2]Beam '!V$45,0)</f>
        <v>2.2358482142857143</v>
      </c>
      <c r="W988" s="8">
        <f>IF($D988='[2]Beam '!W$44,$P988*'[2]Beam '!W$45,0)</f>
        <v>0</v>
      </c>
      <c r="X988" s="8">
        <f t="shared" si="188"/>
        <v>2.2358482142857143</v>
      </c>
      <c r="Y988" s="8"/>
      <c r="Z988" s="8"/>
      <c r="AA988" s="8"/>
      <c r="AB988" s="8"/>
      <c r="AC988" s="8"/>
      <c r="AD988" s="8"/>
      <c r="AE988" s="8"/>
    </row>
    <row r="989" spans="1:32" s="10" customFormat="1" ht="20.100000000000001" customHeight="1" x14ac:dyDescent="0.25">
      <c r="A989" s="8">
        <v>1</v>
      </c>
      <c r="B989" s="8" t="s">
        <v>2</v>
      </c>
      <c r="C989" s="11" t="s">
        <v>134</v>
      </c>
      <c r="D989" s="11">
        <v>1</v>
      </c>
      <c r="E989" s="11">
        <v>2.5409999999999999</v>
      </c>
      <c r="F989" s="11">
        <v>0.35</v>
      </c>
      <c r="G989" s="11">
        <v>1.1000000000000001</v>
      </c>
      <c r="H989" s="8">
        <f>G989-0.2</f>
        <v>0.90000000000000013</v>
      </c>
      <c r="I989" s="8">
        <f>E989*F989*G989*D989</f>
        <v>0.97828499999999996</v>
      </c>
      <c r="J989" s="8">
        <f>(2*(E989)*H989*D989)+(E989*F989)</f>
        <v>5.4631500000000006</v>
      </c>
      <c r="K989" s="12">
        <f>IF(E989=0.3,J989,0)</f>
        <v>0</v>
      </c>
      <c r="L989" s="12">
        <f>IF(AND(E989&gt;0.3,E989&lt;=0.75),J989,0)</f>
        <v>0</v>
      </c>
      <c r="M989" s="12">
        <f>IF(AND(E989&gt;0.75,E989&lt;=1.2),J989,0)</f>
        <v>0</v>
      </c>
      <c r="N989" s="12">
        <f>IF(E989&gt;1.2,J989,0)</f>
        <v>5.4631500000000006</v>
      </c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>
        <f>SUM(X990:X993)/I989</f>
        <v>223.58730392983651</v>
      </c>
      <c r="Z989" s="8"/>
      <c r="AA989" s="8"/>
      <c r="AB989" s="8"/>
      <c r="AC989" s="8"/>
      <c r="AD989" s="8"/>
      <c r="AE989" s="8"/>
    </row>
    <row r="990" spans="1:32" s="10" customFormat="1" ht="20.100000000000001" customHeight="1" x14ac:dyDescent="0.25">
      <c r="A990" s="7"/>
      <c r="B990" s="8" t="s">
        <v>2</v>
      </c>
      <c r="C990" s="13" t="s">
        <v>4</v>
      </c>
      <c r="D990" s="8">
        <v>25</v>
      </c>
      <c r="E990" s="8"/>
      <c r="F990" s="8">
        <v>3</v>
      </c>
      <c r="G990" s="9">
        <f>VLOOKUP(D990,'[2]Beam '!$C$20:$H$26,3,0)</f>
        <v>1</v>
      </c>
      <c r="H990" s="9"/>
      <c r="I990" s="8"/>
      <c r="J990" s="8"/>
      <c r="K990" s="8"/>
      <c r="L990" s="8"/>
      <c r="M990" s="8"/>
      <c r="N990" s="8"/>
      <c r="O990" s="8">
        <f>(E989+1*(1.5/2)*D989)+G990</f>
        <v>4.2910000000000004</v>
      </c>
      <c r="P990" s="8">
        <f t="shared" ref="P990:P995" si="189">O990*F990</f>
        <v>12.873000000000001</v>
      </c>
      <c r="Q990" s="8">
        <f>IF($D990='[2]Beam '!Q$44,$P990*'[2]Beam '!Q$45,0)</f>
        <v>0</v>
      </c>
      <c r="R990" s="8">
        <f>IF($D990='[2]Beam '!R$44,$P990*'[2]Beam '!R$45,0)</f>
        <v>0</v>
      </c>
      <c r="S990" s="8">
        <f>IF($D990='[2]Beam '!S$44,$P990*'[2]Beam '!S$45,0)</f>
        <v>0</v>
      </c>
      <c r="T990" s="8">
        <f>IF($D990='[2]Beam '!T$44,$P990*'[2]Beam '!T$45,0)</f>
        <v>0</v>
      </c>
      <c r="U990" s="8">
        <f>IF($D990='[2]Beam '!U$44,$P990*'[2]Beam '!U$45,0)</f>
        <v>0</v>
      </c>
      <c r="V990" s="8">
        <f>IF($D990='[2]Beam '!V$44,$P990*'[2]Beam '!V$45,0)</f>
        <v>49.624265625000014</v>
      </c>
      <c r="W990" s="8">
        <f>IF($D990='[2]Beam '!W$44,$P990*'[2]Beam '!W$45,0)</f>
        <v>0</v>
      </c>
      <c r="X990" s="8">
        <f t="shared" ref="X990:X995" si="190">SUM(Q990:W990)</f>
        <v>49.624265625000014</v>
      </c>
      <c r="Y990" s="8"/>
      <c r="Z990" s="8"/>
      <c r="AA990" s="8"/>
      <c r="AB990" s="8"/>
      <c r="AC990" s="8"/>
      <c r="AD990" s="8"/>
      <c r="AE990" s="8"/>
    </row>
    <row r="991" spans="1:32" s="14" customFormat="1" ht="20.100000000000001" customHeight="1" x14ac:dyDescent="0.3">
      <c r="A991" s="7"/>
      <c r="B991" s="8" t="s">
        <v>2</v>
      </c>
      <c r="C991" s="13" t="s">
        <v>6</v>
      </c>
      <c r="D991" s="8">
        <v>25</v>
      </c>
      <c r="E991" s="8"/>
      <c r="F991" s="8">
        <v>3</v>
      </c>
      <c r="G991" s="9">
        <f>VLOOKUP(D991,'[2]Beam '!$C$20:$H$26,3,0)</f>
        <v>1</v>
      </c>
      <c r="H991" s="8"/>
      <c r="I991" s="8"/>
      <c r="J991" s="8"/>
      <c r="K991" s="8"/>
      <c r="L991" s="8"/>
      <c r="M991" s="8"/>
      <c r="N991" s="8"/>
      <c r="O991" s="8">
        <f>(E989+1*(1.5/2)*D989)+G991</f>
        <v>4.2910000000000004</v>
      </c>
      <c r="P991" s="8">
        <f t="shared" si="189"/>
        <v>12.873000000000001</v>
      </c>
      <c r="Q991" s="8">
        <f>IF($D991='[2]Beam '!Q$44,$P991*'[2]Beam '!Q$45,0)</f>
        <v>0</v>
      </c>
      <c r="R991" s="8">
        <f>IF($D991='[2]Beam '!R$44,$P991*'[2]Beam '!R$45,0)</f>
        <v>0</v>
      </c>
      <c r="S991" s="8">
        <f>IF($D991='[2]Beam '!S$44,$P991*'[2]Beam '!S$45,0)</f>
        <v>0</v>
      </c>
      <c r="T991" s="8">
        <f>IF($D991='[2]Beam '!T$44,$P991*'[2]Beam '!T$45,0)</f>
        <v>0</v>
      </c>
      <c r="U991" s="8">
        <f>IF($D991='[2]Beam '!U$44,$P991*'[2]Beam '!U$45,0)</f>
        <v>0</v>
      </c>
      <c r="V991" s="8">
        <f>IF($D991='[2]Beam '!V$44,$P991*'[2]Beam '!V$45,0)</f>
        <v>49.624265625000014</v>
      </c>
      <c r="W991" s="8">
        <f>IF($D991='[2]Beam '!W$44,$P991*'[2]Beam '!W$45,0)</f>
        <v>0</v>
      </c>
      <c r="X991" s="8">
        <f t="shared" si="190"/>
        <v>49.624265625000014</v>
      </c>
      <c r="Y991" s="8"/>
    </row>
    <row r="992" spans="1:32" s="10" customFormat="1" ht="20.100000000000001" customHeight="1" x14ac:dyDescent="0.25">
      <c r="A992" s="7"/>
      <c r="B992" s="8" t="s">
        <v>2</v>
      </c>
      <c r="C992" s="13" t="s">
        <v>88</v>
      </c>
      <c r="D992" s="8">
        <v>25</v>
      </c>
      <c r="E992" s="8"/>
      <c r="F992" s="8">
        <v>3</v>
      </c>
      <c r="G992" s="9">
        <f>VLOOKUP(D992,'[2]Beam '!$C$20:$H$26,3,0)</f>
        <v>1</v>
      </c>
      <c r="H992" s="9"/>
      <c r="I992" s="8"/>
      <c r="J992" s="8"/>
      <c r="K992" s="8"/>
      <c r="L992" s="8"/>
      <c r="M992" s="8"/>
      <c r="N992" s="8"/>
      <c r="O992" s="8">
        <f>E989+2*G992</f>
        <v>4.5410000000000004</v>
      </c>
      <c r="P992" s="8">
        <f t="shared" si="189"/>
        <v>13.623000000000001</v>
      </c>
      <c r="Q992" s="8">
        <f>IF($D992='[2]Beam '!Q$44,$P992*'[2]Beam '!Q$45,0)</f>
        <v>0</v>
      </c>
      <c r="R992" s="8">
        <f>IF($D992='[2]Beam '!R$44,$P992*'[2]Beam '!R$45,0)</f>
        <v>0</v>
      </c>
      <c r="S992" s="8">
        <f>IF($D992='[2]Beam '!S$44,$P992*'[2]Beam '!S$45,0)</f>
        <v>0</v>
      </c>
      <c r="T992" s="8">
        <f>IF($D992='[2]Beam '!T$44,$P992*'[2]Beam '!T$45,0)</f>
        <v>0</v>
      </c>
      <c r="U992" s="8">
        <f>IF($D992='[2]Beam '!U$44,$P992*'[2]Beam '!U$45,0)</f>
        <v>0</v>
      </c>
      <c r="V992" s="8">
        <f>IF($D992='[2]Beam '!V$44,$P992*'[2]Beam '!V$45,0)</f>
        <v>52.515448660714299</v>
      </c>
      <c r="W992" s="8">
        <f>IF($D992='[2]Beam '!W$44,$P992*'[2]Beam '!W$45,0)</f>
        <v>0</v>
      </c>
      <c r="X992" s="8">
        <f t="shared" si="190"/>
        <v>52.515448660714299</v>
      </c>
      <c r="Y992" s="8"/>
      <c r="Z992" s="8"/>
      <c r="AA992" s="8"/>
      <c r="AB992" s="8"/>
      <c r="AC992" s="8"/>
      <c r="AD992" s="8"/>
      <c r="AE992" s="8"/>
    </row>
    <row r="993" spans="1:32" s="10" customFormat="1" ht="21" customHeight="1" x14ac:dyDescent="0.25">
      <c r="A993" s="7"/>
      <c r="B993" s="8" t="s">
        <v>2</v>
      </c>
      <c r="C993" s="13" t="s">
        <v>8</v>
      </c>
      <c r="D993" s="8">
        <v>12</v>
      </c>
      <c r="E993" s="8">
        <v>0.1</v>
      </c>
      <c r="F993" s="8">
        <f>ROUNDUP(E989/E993,0)</f>
        <v>26</v>
      </c>
      <c r="H993" s="8"/>
      <c r="I993" s="8"/>
      <c r="J993" s="8"/>
      <c r="K993" s="8"/>
      <c r="L993" s="8"/>
      <c r="M993" s="8"/>
      <c r="N993" s="8"/>
      <c r="O993" s="8">
        <f>(2*((G989-(2*'[2]Beam '!$D$11))+(F989-(2*'[2]Beam '!$D$11)))+(2*10*D993/1000))*D989</f>
        <v>2.9000000000000004</v>
      </c>
      <c r="P993" s="8">
        <f t="shared" si="189"/>
        <v>75.400000000000006</v>
      </c>
      <c r="Q993" s="8">
        <f>IF($D993='[2]Beam '!Q$44,$P993*'[2]Beam '!Q$45,0)</f>
        <v>0</v>
      </c>
      <c r="R993" s="8">
        <f>IF($D993='[2]Beam '!R$44,$P993*'[2]Beam '!R$45,0)</f>
        <v>0</v>
      </c>
      <c r="S993" s="8">
        <f>IF($D993='[2]Beam '!S$44,$P993*'[2]Beam '!S$45,0)</f>
        <v>66.968125714285733</v>
      </c>
      <c r="T993" s="8">
        <f>IF($D993='[2]Beam '!T$44,$P993*'[2]Beam '!T$45,0)</f>
        <v>0</v>
      </c>
      <c r="U993" s="8">
        <f>IF($D993='[2]Beam '!U$44,$P993*'[2]Beam '!U$45,0)</f>
        <v>0</v>
      </c>
      <c r="V993" s="8">
        <f>IF($D993='[2]Beam '!V$44,$P993*'[2]Beam '!V$45,0)</f>
        <v>0</v>
      </c>
      <c r="W993" s="8">
        <f>IF($D993='[2]Beam '!W$44,$P993*'[2]Beam '!W$45,0)</f>
        <v>0</v>
      </c>
      <c r="X993" s="8">
        <f t="shared" si="190"/>
        <v>66.968125714285733</v>
      </c>
      <c r="Y993" s="8"/>
      <c r="Z993" s="8"/>
      <c r="AA993" s="8"/>
      <c r="AB993" s="8"/>
      <c r="AC993" s="8"/>
      <c r="AD993" s="8"/>
      <c r="AE993" s="8"/>
      <c r="AF993" s="8"/>
    </row>
    <row r="994" spans="1:32" s="10" customFormat="1" ht="20.100000000000001" customHeight="1" x14ac:dyDescent="0.25">
      <c r="A994" s="14"/>
      <c r="B994" s="8" t="s">
        <v>2</v>
      </c>
      <c r="C994" s="13" t="s">
        <v>9</v>
      </c>
      <c r="D994" s="8">
        <f>+D993</f>
        <v>12</v>
      </c>
      <c r="E994" s="14">
        <f>+E993</f>
        <v>0.1</v>
      </c>
      <c r="F994" s="8">
        <f>ROUNDUP(E989/E994,0)</f>
        <v>26</v>
      </c>
      <c r="H994" s="14"/>
      <c r="I994" s="14"/>
      <c r="J994" s="14"/>
      <c r="K994" s="14"/>
      <c r="L994" s="14"/>
      <c r="M994" s="14"/>
      <c r="N994" s="14"/>
      <c r="O994" s="8">
        <f>((((G989-(2*'[2]Beam '!$D$11))+(2*10*D994/1000))*D989))*1</f>
        <v>1.28</v>
      </c>
      <c r="P994" s="8">
        <f t="shared" si="189"/>
        <v>33.28</v>
      </c>
      <c r="Q994" s="8">
        <f>IF($D994='[2]Beam '!Q$44,$P994*'[2]Beam '!Q$45,0)</f>
        <v>0</v>
      </c>
      <c r="R994" s="8">
        <f>IF($D994='[2]Beam '!R$44,$P994*'[2]Beam '!R$45,0)</f>
        <v>0</v>
      </c>
      <c r="S994" s="8">
        <f>IF($D994='[2]Beam '!S$44,$P994*'[2]Beam '!S$45,0)</f>
        <v>29.558345142857149</v>
      </c>
      <c r="T994" s="8">
        <f>IF($D994='[2]Beam '!T$44,$P994*'[2]Beam '!T$45,0)</f>
        <v>0</v>
      </c>
      <c r="U994" s="8">
        <f>IF($D994='[2]Beam '!U$44,$P994*'[2]Beam '!U$45,0)</f>
        <v>0</v>
      </c>
      <c r="V994" s="8">
        <f>IF($D994='[2]Beam '!V$44,$P994*'[2]Beam '!V$45,0)</f>
        <v>0</v>
      </c>
      <c r="W994" s="8">
        <f>IF($D994='[2]Beam '!W$44,$P994*'[2]Beam '!W$45,0)</f>
        <v>0</v>
      </c>
      <c r="X994" s="8">
        <f t="shared" si="190"/>
        <v>29.558345142857149</v>
      </c>
      <c r="Y994" s="14"/>
      <c r="Z994" s="8"/>
      <c r="AA994" s="8"/>
      <c r="AB994" s="8"/>
      <c r="AC994" s="8"/>
      <c r="AD994" s="8"/>
      <c r="AE994" s="8"/>
    </row>
    <row r="995" spans="1:32" s="10" customFormat="1" ht="20.100000000000001" customHeight="1" x14ac:dyDescent="0.25">
      <c r="A995" s="7"/>
      <c r="B995" s="8" t="s">
        <v>2</v>
      </c>
      <c r="C995" s="13" t="s">
        <v>10</v>
      </c>
      <c r="D995" s="8">
        <f>+'[2]Beam '!$D$15</f>
        <v>25</v>
      </c>
      <c r="E995" s="8">
        <f>+'[2]Beam '!$E$15</f>
        <v>1</v>
      </c>
      <c r="F995" s="8">
        <f>ROUNDUP((E989)/E995,0)</f>
        <v>3</v>
      </c>
      <c r="G995" s="9"/>
      <c r="H995" s="9"/>
      <c r="I995" s="8"/>
      <c r="J995" s="8"/>
      <c r="K995" s="8"/>
      <c r="L995" s="8"/>
      <c r="M995" s="8"/>
      <c r="N995" s="8"/>
      <c r="O995" s="8">
        <f>F989-'[2]Beam '!$F$15</f>
        <v>0.28999999999999998</v>
      </c>
      <c r="P995" s="8">
        <f t="shared" si="189"/>
        <v>0.86999999999999988</v>
      </c>
      <c r="Q995" s="8">
        <f>IF($D995='[2]Beam '!Q$44,$P995*'[2]Beam '!Q$45,0)</f>
        <v>0</v>
      </c>
      <c r="R995" s="8">
        <f>IF($D995='[2]Beam '!R$44,$P995*'[2]Beam '!R$45,0)</f>
        <v>0</v>
      </c>
      <c r="S995" s="8">
        <f>IF($D995='[2]Beam '!S$44,$P995*'[2]Beam '!S$45,0)</f>
        <v>0</v>
      </c>
      <c r="T995" s="8">
        <f>IF($D995='[2]Beam '!T$44,$P995*'[2]Beam '!T$45,0)</f>
        <v>0</v>
      </c>
      <c r="U995" s="8">
        <f>IF($D995='[2]Beam '!U$44,$P995*'[2]Beam '!U$45,0)</f>
        <v>0</v>
      </c>
      <c r="V995" s="8">
        <f>IF($D995='[2]Beam '!V$44,$P995*'[2]Beam '!V$45,0)</f>
        <v>3.3537723214285715</v>
      </c>
      <c r="W995" s="8">
        <f>IF($D995='[2]Beam '!W$44,$P995*'[2]Beam '!W$45,0)</f>
        <v>0</v>
      </c>
      <c r="X995" s="8">
        <f t="shared" si="190"/>
        <v>3.3537723214285715</v>
      </c>
      <c r="Y995" s="8"/>
      <c r="Z995" s="8"/>
      <c r="AA995" s="8"/>
      <c r="AB995" s="8"/>
      <c r="AC995" s="8"/>
      <c r="AD995" s="8"/>
      <c r="AE995" s="8"/>
    </row>
    <row r="996" spans="1:32" s="10" customFormat="1" ht="20.100000000000001" customHeight="1" x14ac:dyDescent="0.25">
      <c r="A996" s="8">
        <v>1</v>
      </c>
      <c r="B996" s="8" t="s">
        <v>2</v>
      </c>
      <c r="C996" s="11" t="s">
        <v>135</v>
      </c>
      <c r="D996" s="11">
        <v>1</v>
      </c>
      <c r="E996" s="11">
        <v>3.3</v>
      </c>
      <c r="F996" s="11">
        <v>0.45</v>
      </c>
      <c r="G996" s="11">
        <v>0.6</v>
      </c>
      <c r="H996" s="8">
        <f>G996-0.2</f>
        <v>0.39999999999999997</v>
      </c>
      <c r="I996" s="8">
        <f>E996*F996*G996*D996</f>
        <v>0.8909999999999999</v>
      </c>
      <c r="J996" s="8">
        <f>(2*(E996)*H996*D996)+(E996*F996)</f>
        <v>4.125</v>
      </c>
      <c r="K996" s="12">
        <f>IF(E996=0.3,J996,0)</f>
        <v>0</v>
      </c>
      <c r="L996" s="12">
        <f>IF(AND(E996&gt;0.3,E996&lt;=0.75),J996,0)</f>
        <v>0</v>
      </c>
      <c r="M996" s="12">
        <f>IF(AND(E996&gt;0.75,E996&lt;=1.2),J996,0)</f>
        <v>0</v>
      </c>
      <c r="N996" s="12">
        <f>IF(E996&gt;1.2,J996,0)</f>
        <v>4.125</v>
      </c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>
        <f>SUM(X997:X999)/I996</f>
        <v>126.81834215167549</v>
      </c>
      <c r="Z996" s="8"/>
      <c r="AA996" s="8"/>
      <c r="AB996" s="8"/>
      <c r="AC996" s="8"/>
      <c r="AD996" s="8"/>
      <c r="AE996" s="8"/>
    </row>
    <row r="997" spans="1:32" s="14" customFormat="1" ht="20.100000000000001" customHeight="1" x14ac:dyDescent="0.3">
      <c r="A997" s="7"/>
      <c r="B997" s="8" t="s">
        <v>2</v>
      </c>
      <c r="C997" s="13" t="s">
        <v>4</v>
      </c>
      <c r="D997" s="8">
        <v>20</v>
      </c>
      <c r="E997" s="8"/>
      <c r="F997" s="8">
        <v>4</v>
      </c>
      <c r="G997" s="9">
        <f>VLOOKUP(D997,'[2]Beam '!$C$20:$H$26,3,0)</f>
        <v>0.8</v>
      </c>
      <c r="H997" s="9"/>
      <c r="I997" s="8"/>
      <c r="J997" s="8"/>
      <c r="K997" s="8"/>
      <c r="L997" s="8"/>
      <c r="M997" s="8"/>
      <c r="N997" s="8"/>
      <c r="O997" s="8">
        <f>(E996+1*(G997+(12*D997/1000))+1*(0.75/2)*D996)</f>
        <v>4.7149999999999999</v>
      </c>
      <c r="P997" s="8">
        <f>O997*F997</f>
        <v>18.86</v>
      </c>
      <c r="Q997" s="8">
        <f>IF($D997='[2]Beam '!Q$44,$P997*'[2]Beam '!Q$45,0)</f>
        <v>0</v>
      </c>
      <c r="R997" s="8">
        <f>IF($D997='[2]Beam '!R$44,$P997*'[2]Beam '!R$45,0)</f>
        <v>0</v>
      </c>
      <c r="S997" s="8">
        <f>IF($D997='[2]Beam '!S$44,$P997*'[2]Beam '!S$45,0)</f>
        <v>0</v>
      </c>
      <c r="T997" s="8">
        <f>IF($D997='[2]Beam '!T$44,$P997*'[2]Beam '!T$45,0)</f>
        <v>0</v>
      </c>
      <c r="U997" s="8">
        <f>IF($D997='[2]Beam '!U$44,$P997*'[2]Beam '!U$45,0)</f>
        <v>46.530314285714283</v>
      </c>
      <c r="V997" s="8">
        <f>IF($D997='[2]Beam '!V$44,$P997*'[2]Beam '!V$45,0)</f>
        <v>0</v>
      </c>
      <c r="W997" s="8">
        <f>IF($D997='[2]Beam '!W$44,$P997*'[2]Beam '!W$45,0)</f>
        <v>0</v>
      </c>
      <c r="X997" s="8">
        <f>SUM(Q997:W997)</f>
        <v>46.530314285714283</v>
      </c>
      <c r="Y997" s="8"/>
    </row>
    <row r="998" spans="1:32" s="10" customFormat="1" ht="21" customHeight="1" x14ac:dyDescent="0.25">
      <c r="A998" s="7"/>
      <c r="B998" s="8" t="s">
        <v>2</v>
      </c>
      <c r="C998" s="13" t="s">
        <v>6</v>
      </c>
      <c r="D998" s="8">
        <v>20</v>
      </c>
      <c r="E998" s="8"/>
      <c r="F998" s="8">
        <v>4</v>
      </c>
      <c r="G998" s="9">
        <f>VLOOKUP(D998,'[2]Beam '!$C$20:$H$26,3,0)</f>
        <v>0.8</v>
      </c>
      <c r="H998" s="8"/>
      <c r="I998" s="8"/>
      <c r="J998" s="8"/>
      <c r="K998" s="8"/>
      <c r="L998" s="8"/>
      <c r="M998" s="8"/>
      <c r="N998" s="8"/>
      <c r="O998" s="8">
        <f>(E996+1*(G998+(12*D998/1000))+1*(0.75/2)*D996)</f>
        <v>4.7149999999999999</v>
      </c>
      <c r="P998" s="8">
        <f>O998*F998</f>
        <v>18.86</v>
      </c>
      <c r="Q998" s="8">
        <f>IF($D998='[2]Beam '!Q$44,$P998*'[2]Beam '!Q$45,0)</f>
        <v>0</v>
      </c>
      <c r="R998" s="8">
        <f>IF($D998='[2]Beam '!R$44,$P998*'[2]Beam '!R$45,0)</f>
        <v>0</v>
      </c>
      <c r="S998" s="8">
        <f>IF($D998='[2]Beam '!S$44,$P998*'[2]Beam '!S$45,0)</f>
        <v>0</v>
      </c>
      <c r="T998" s="8">
        <f>IF($D998='[2]Beam '!T$44,$P998*'[2]Beam '!T$45,0)</f>
        <v>0</v>
      </c>
      <c r="U998" s="8">
        <f>IF($D998='[2]Beam '!U$44,$P998*'[2]Beam '!U$45,0)</f>
        <v>46.530314285714283</v>
      </c>
      <c r="V998" s="8">
        <f>IF($D998='[2]Beam '!V$44,$P998*'[2]Beam '!V$45,0)</f>
        <v>0</v>
      </c>
      <c r="W998" s="8">
        <f>IF($D998='[2]Beam '!W$44,$P998*'[2]Beam '!W$45,0)</f>
        <v>0</v>
      </c>
      <c r="X998" s="8">
        <f>SUM(Q998:W998)</f>
        <v>46.530314285714283</v>
      </c>
      <c r="Y998" s="8"/>
      <c r="Z998" s="8"/>
      <c r="AA998" s="8"/>
      <c r="AB998" s="8"/>
      <c r="AC998" s="8"/>
      <c r="AD998" s="8"/>
      <c r="AE998" s="8"/>
      <c r="AF998" s="8"/>
    </row>
    <row r="999" spans="1:32" s="10" customFormat="1" ht="20.100000000000001" customHeight="1" x14ac:dyDescent="0.25">
      <c r="A999" s="7"/>
      <c r="B999" s="8" t="s">
        <v>2</v>
      </c>
      <c r="C999" s="13" t="s">
        <v>8</v>
      </c>
      <c r="D999" s="8">
        <v>8</v>
      </c>
      <c r="E999" s="8">
        <v>0.1</v>
      </c>
      <c r="F999" s="8">
        <f>ROUND(IF(E996/3&gt;(2*G996),(E996/3)/E999,(2*G996)/E999),0)*2+1</f>
        <v>25</v>
      </c>
      <c r="H999" s="8"/>
      <c r="I999" s="8"/>
      <c r="J999" s="8"/>
      <c r="K999" s="8"/>
      <c r="L999" s="8"/>
      <c r="M999" s="8"/>
      <c r="N999" s="8"/>
      <c r="O999" s="8">
        <f>(2*((G996-(2*'[2]Beam '!$D$11))+(F996-(2*'[2]Beam '!$D$11)))+(2*10*D999/1000))*D996</f>
        <v>2.02</v>
      </c>
      <c r="P999" s="8">
        <f>O999*F999</f>
        <v>50.5</v>
      </c>
      <c r="Q999" s="8">
        <f>IF($D999='[2]Beam '!Q$44,$P999*'[2]Beam '!Q$45,0)</f>
        <v>19.934514285714286</v>
      </c>
      <c r="R999" s="8">
        <f>IF($D999='[2]Beam '!R$44,$P999*'[2]Beam '!R$45,0)</f>
        <v>0</v>
      </c>
      <c r="S999" s="8">
        <f>IF($D999='[2]Beam '!S$44,$P999*'[2]Beam '!S$45,0)</f>
        <v>0</v>
      </c>
      <c r="T999" s="8">
        <f>IF($D999='[2]Beam '!T$44,$P999*'[2]Beam '!T$45,0)</f>
        <v>0</v>
      </c>
      <c r="U999" s="8">
        <f>IF($D999='[2]Beam '!U$44,$P999*'[2]Beam '!U$45,0)</f>
        <v>0</v>
      </c>
      <c r="V999" s="8">
        <f>IF($D999='[2]Beam '!V$44,$P999*'[2]Beam '!V$45,0)</f>
        <v>0</v>
      </c>
      <c r="W999" s="8">
        <f>IF($D999='[2]Beam '!W$44,$P999*'[2]Beam '!W$45,0)</f>
        <v>0</v>
      </c>
      <c r="X999" s="8">
        <f>SUM(Q999:W999)</f>
        <v>19.934514285714286</v>
      </c>
      <c r="Y999" s="8"/>
      <c r="Z999" s="8"/>
      <c r="AA999" s="8"/>
      <c r="AB999" s="8"/>
      <c r="AC999" s="8"/>
      <c r="AD999" s="8"/>
      <c r="AE999" s="8"/>
    </row>
    <row r="1000" spans="1:32" s="10" customFormat="1" ht="20.100000000000001" customHeight="1" x14ac:dyDescent="0.25">
      <c r="A1000" s="14"/>
      <c r="B1000" s="8" t="s">
        <v>2</v>
      </c>
      <c r="C1000" s="13" t="s">
        <v>8</v>
      </c>
      <c r="D1000" s="14">
        <f>D999</f>
        <v>8</v>
      </c>
      <c r="E1000" s="14">
        <v>0.15</v>
      </c>
      <c r="F1000" s="14">
        <f>ROUND((E996-(IF(E996/3&gt;2*G996,E996/3*2,G996*2*2)))/E1000,0)</f>
        <v>6</v>
      </c>
      <c r="H1000" s="14"/>
      <c r="I1000" s="14"/>
      <c r="J1000" s="14"/>
      <c r="K1000" s="14"/>
      <c r="L1000" s="14"/>
      <c r="M1000" s="14"/>
      <c r="N1000" s="14"/>
      <c r="O1000" s="8">
        <f>(2*((G996-(2*'[2]Beam '!$D$11))+(F996-(2*'[2]Beam '!$D$11)))+(2*10*D1000/1000))*D996</f>
        <v>2.02</v>
      </c>
      <c r="P1000" s="8">
        <f>O1000*F1000</f>
        <v>12.120000000000001</v>
      </c>
      <c r="Q1000" s="8">
        <f>IF($D1000='[2]Beam '!Q$44,$P1000*'[2]Beam '!Q$45,0)</f>
        <v>4.7842834285714293</v>
      </c>
      <c r="R1000" s="8">
        <f>IF($D1000='[2]Beam '!R$44,$P1000*'[2]Beam '!R$45,0)</f>
        <v>0</v>
      </c>
      <c r="S1000" s="8">
        <f>IF($D1000='[2]Beam '!S$44,$P1000*'[2]Beam '!S$45,0)</f>
        <v>0</v>
      </c>
      <c r="T1000" s="8">
        <f>IF($D1000='[2]Beam '!T$44,$P1000*'[2]Beam '!T$45,0)</f>
        <v>0</v>
      </c>
      <c r="U1000" s="8">
        <f>IF($D1000='[2]Beam '!U$44,$P1000*'[2]Beam '!U$45,0)</f>
        <v>0</v>
      </c>
      <c r="V1000" s="8">
        <f>IF($D1000='[2]Beam '!V$44,$P1000*'[2]Beam '!V$45,0)</f>
        <v>0</v>
      </c>
      <c r="W1000" s="8">
        <f>IF($D1000='[2]Beam '!W$44,$P1000*'[2]Beam '!W$45,0)</f>
        <v>0</v>
      </c>
      <c r="X1000" s="8">
        <f>SUM(Q1000:W1000)</f>
        <v>4.7842834285714293</v>
      </c>
      <c r="Y1000" s="14"/>
      <c r="Z1000" s="8"/>
      <c r="AA1000" s="8"/>
      <c r="AB1000" s="8"/>
      <c r="AC1000" s="8"/>
      <c r="AD1000" s="8"/>
      <c r="AE1000" s="8"/>
    </row>
    <row r="1001" spans="1:32" s="10" customFormat="1" ht="20.100000000000001" customHeight="1" x14ac:dyDescent="0.25">
      <c r="A1001" s="8">
        <v>1</v>
      </c>
      <c r="B1001" s="8" t="s">
        <v>2</v>
      </c>
      <c r="C1001" s="11" t="s">
        <v>136</v>
      </c>
      <c r="D1001" s="11">
        <v>1</v>
      </c>
      <c r="E1001" s="11">
        <v>6</v>
      </c>
      <c r="F1001" s="11">
        <v>0.45</v>
      </c>
      <c r="G1001" s="11">
        <v>0.6</v>
      </c>
      <c r="H1001" s="8">
        <f>G1001-0.2</f>
        <v>0.39999999999999997</v>
      </c>
      <c r="I1001" s="8">
        <f>E1001*F1001*G1001*D1001</f>
        <v>1.62</v>
      </c>
      <c r="J1001" s="8">
        <f>(2*(E1001)*H1001*D1001)+(E1001*F1001)</f>
        <v>7.5</v>
      </c>
      <c r="K1001" s="12">
        <f>IF(E1001=0.3,J1001,0)</f>
        <v>0</v>
      </c>
      <c r="L1001" s="12">
        <f>IF(AND(E1001&gt;0.3,E1001&lt;=0.75),J1001,0)</f>
        <v>0</v>
      </c>
      <c r="M1001" s="12">
        <f>IF(AND(E1001&gt;0.75,E1001&lt;=1.2),J1001,0)</f>
        <v>0</v>
      </c>
      <c r="N1001" s="12">
        <f>IF(E1001&gt;1.2,J1001,0)</f>
        <v>7.5</v>
      </c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>
        <f>SUM(X1002:X1011)/I1001</f>
        <v>200.39824735449736</v>
      </c>
      <c r="Z1001" s="8"/>
      <c r="AA1001" s="8"/>
      <c r="AB1001" s="8"/>
      <c r="AC1001" s="8"/>
      <c r="AD1001" s="8"/>
      <c r="AE1001" s="8"/>
    </row>
    <row r="1002" spans="1:32" s="10" customFormat="1" ht="20.100000000000001" customHeight="1" x14ac:dyDescent="0.25">
      <c r="A1002" s="7"/>
      <c r="B1002" s="8" t="s">
        <v>2</v>
      </c>
      <c r="C1002" s="13" t="s">
        <v>4</v>
      </c>
      <c r="D1002" s="8">
        <v>20</v>
      </c>
      <c r="E1002" s="8"/>
      <c r="F1002" s="8">
        <v>4</v>
      </c>
      <c r="G1002" s="9">
        <f>VLOOKUP(D1002,'[2]Beam '!$C$20:$H$26,3,0)</f>
        <v>0.8</v>
      </c>
      <c r="H1002" s="9"/>
      <c r="I1002" s="8"/>
      <c r="J1002" s="8"/>
      <c r="K1002" s="8"/>
      <c r="L1002" s="8"/>
      <c r="M1002" s="8"/>
      <c r="N1002" s="8"/>
      <c r="O1002" s="8">
        <f>(E1001+1*(0.75/2)+(0.3/2)*D1001)</f>
        <v>6.5250000000000004</v>
      </c>
      <c r="P1002" s="8">
        <f t="shared" ref="P1002:P1011" si="191">O1002*F1002</f>
        <v>26.1</v>
      </c>
      <c r="Q1002" s="8">
        <f>IF($D1002='[2]Beam '!Q$44,$P1002*'[2]Beam '!Q$45,0)</f>
        <v>0</v>
      </c>
      <c r="R1002" s="8">
        <f>IF($D1002='[2]Beam '!R$44,$P1002*'[2]Beam '!R$45,0)</f>
        <v>0</v>
      </c>
      <c r="S1002" s="8">
        <f>IF($D1002='[2]Beam '!S$44,$P1002*'[2]Beam '!S$45,0)</f>
        <v>0</v>
      </c>
      <c r="T1002" s="8">
        <f>IF($D1002='[2]Beam '!T$44,$P1002*'[2]Beam '!T$45,0)</f>
        <v>0</v>
      </c>
      <c r="U1002" s="8">
        <f>IF($D1002='[2]Beam '!U$44,$P1002*'[2]Beam '!U$45,0)</f>
        <v>64.392428571428567</v>
      </c>
      <c r="V1002" s="8">
        <f>IF($D1002='[2]Beam '!V$44,$P1002*'[2]Beam '!V$45,0)</f>
        <v>0</v>
      </c>
      <c r="W1002" s="8">
        <f>IF($D1002='[2]Beam '!W$44,$P1002*'[2]Beam '!W$45,0)</f>
        <v>0</v>
      </c>
      <c r="X1002" s="8">
        <f t="shared" ref="X1002:X1011" si="192">SUM(Q1002:W1002)</f>
        <v>64.392428571428567</v>
      </c>
      <c r="Y1002" s="8"/>
      <c r="Z1002" s="8"/>
      <c r="AA1002" s="8"/>
      <c r="AB1002" s="8"/>
      <c r="AC1002" s="8"/>
      <c r="AD1002" s="8"/>
      <c r="AE1002" s="8"/>
    </row>
    <row r="1003" spans="1:32" s="10" customFormat="1" ht="20.100000000000001" customHeight="1" x14ac:dyDescent="0.25">
      <c r="A1003" s="7"/>
      <c r="B1003" s="8" t="s">
        <v>2</v>
      </c>
      <c r="C1003" s="13" t="s">
        <v>6</v>
      </c>
      <c r="D1003" s="8">
        <v>20</v>
      </c>
      <c r="E1003" s="8"/>
      <c r="F1003" s="8">
        <v>4</v>
      </c>
      <c r="G1003" s="9">
        <f>VLOOKUP(D1003,'[2]Beam '!$C$20:$H$26,3,0)</f>
        <v>0.8</v>
      </c>
      <c r="H1003" s="8"/>
      <c r="I1003" s="8"/>
      <c r="J1003" s="8"/>
      <c r="K1003" s="8"/>
      <c r="L1003" s="8"/>
      <c r="M1003" s="8"/>
      <c r="N1003" s="8"/>
      <c r="O1003" s="8">
        <f>(E1001+1*(0.75/2)+(0.3/2)*D1001)</f>
        <v>6.5250000000000004</v>
      </c>
      <c r="P1003" s="8">
        <f t="shared" si="191"/>
        <v>26.1</v>
      </c>
      <c r="Q1003" s="8">
        <f>IF($D1003='[2]Beam '!Q$44,$P1003*'[2]Beam '!Q$45,0)</f>
        <v>0</v>
      </c>
      <c r="R1003" s="8">
        <f>IF($D1003='[2]Beam '!R$44,$P1003*'[2]Beam '!R$45,0)</f>
        <v>0</v>
      </c>
      <c r="S1003" s="8">
        <f>IF($D1003='[2]Beam '!S$44,$P1003*'[2]Beam '!S$45,0)</f>
        <v>0</v>
      </c>
      <c r="T1003" s="8">
        <f>IF($D1003='[2]Beam '!T$44,$P1003*'[2]Beam '!T$45,0)</f>
        <v>0</v>
      </c>
      <c r="U1003" s="8">
        <f>IF($D1003='[2]Beam '!U$44,$P1003*'[2]Beam '!U$45,0)</f>
        <v>64.392428571428567</v>
      </c>
      <c r="V1003" s="8">
        <f>IF($D1003='[2]Beam '!V$44,$P1003*'[2]Beam '!V$45,0)</f>
        <v>0</v>
      </c>
      <c r="W1003" s="8">
        <f>IF($D1003='[2]Beam '!W$44,$P1003*'[2]Beam '!W$45,0)</f>
        <v>0</v>
      </c>
      <c r="X1003" s="8">
        <f t="shared" si="192"/>
        <v>64.392428571428567</v>
      </c>
      <c r="Y1003" s="8"/>
      <c r="Z1003" s="8"/>
      <c r="AA1003" s="8"/>
      <c r="AB1003" s="8"/>
      <c r="AC1003" s="8"/>
      <c r="AD1003" s="8"/>
      <c r="AE1003" s="8"/>
    </row>
    <row r="1004" spans="1:32" s="10" customFormat="1" ht="20.100000000000001" customHeight="1" x14ac:dyDescent="0.25">
      <c r="A1004" s="7"/>
      <c r="B1004" s="8" t="s">
        <v>2</v>
      </c>
      <c r="C1004" s="13" t="s">
        <v>75</v>
      </c>
      <c r="D1004" s="8">
        <v>25</v>
      </c>
      <c r="E1004" s="8"/>
      <c r="F1004" s="8">
        <v>4</v>
      </c>
      <c r="G1004" s="9">
        <f>VLOOKUP(D1004,'[2]Beam '!$C$20:$H$26,3,0)</f>
        <v>1</v>
      </c>
      <c r="H1004" s="9"/>
      <c r="I1004" s="8"/>
      <c r="J1004" s="8"/>
      <c r="K1004" s="8"/>
      <c r="L1004" s="8"/>
      <c r="M1004" s="8"/>
      <c r="N1004" s="8"/>
      <c r="O1004" s="8">
        <f>1.65+1*(0.3/2)</f>
        <v>1.7999999999999998</v>
      </c>
      <c r="P1004" s="8">
        <f t="shared" si="191"/>
        <v>7.1999999999999993</v>
      </c>
      <c r="Q1004" s="8">
        <f>IF($D1004='[2]Beam '!Q$44,$P1004*'[2]Beam '!Q$45,0)</f>
        <v>0</v>
      </c>
      <c r="R1004" s="8">
        <f>IF($D1004='[2]Beam '!R$44,$P1004*'[2]Beam '!R$45,0)</f>
        <v>0</v>
      </c>
      <c r="S1004" s="8">
        <f>IF($D1004='[2]Beam '!S$44,$P1004*'[2]Beam '!S$45,0)</f>
        <v>0</v>
      </c>
      <c r="T1004" s="8">
        <f>IF($D1004='[2]Beam '!T$44,$P1004*'[2]Beam '!T$45,0)</f>
        <v>0</v>
      </c>
      <c r="U1004" s="8">
        <f>IF($D1004='[2]Beam '!U$44,$P1004*'[2]Beam '!U$45,0)</f>
        <v>0</v>
      </c>
      <c r="V1004" s="8">
        <f>IF($D1004='[2]Beam '!V$44,$P1004*'[2]Beam '!V$45,0)</f>
        <v>27.755357142857143</v>
      </c>
      <c r="W1004" s="8">
        <f>IF($D1004='[2]Beam '!W$44,$P1004*'[2]Beam '!W$45,0)</f>
        <v>0</v>
      </c>
      <c r="X1004" s="8">
        <f t="shared" si="192"/>
        <v>27.755357142857143</v>
      </c>
      <c r="Y1004" s="8"/>
      <c r="Z1004" s="8"/>
      <c r="AA1004" s="8"/>
      <c r="AB1004" s="8"/>
      <c r="AC1004" s="8"/>
      <c r="AD1004" s="8"/>
      <c r="AE1004" s="8"/>
    </row>
    <row r="1005" spans="1:32" s="14" customFormat="1" ht="20.100000000000001" customHeight="1" x14ac:dyDescent="0.3">
      <c r="A1005" s="7"/>
      <c r="B1005" s="8" t="s">
        <v>2</v>
      </c>
      <c r="C1005" s="13" t="s">
        <v>75</v>
      </c>
      <c r="D1005" s="8">
        <v>20</v>
      </c>
      <c r="E1005" s="8"/>
      <c r="F1005" s="8">
        <v>4</v>
      </c>
      <c r="G1005" s="9">
        <f>VLOOKUP(D1005,'[2]Beam '!$C$20:$H$26,3,0)</f>
        <v>0.8</v>
      </c>
      <c r="H1005" s="9"/>
      <c r="I1005" s="8"/>
      <c r="J1005" s="8"/>
      <c r="K1005" s="8"/>
      <c r="L1005" s="8"/>
      <c r="M1005" s="8"/>
      <c r="N1005" s="8"/>
      <c r="O1005" s="8">
        <f>1.65+1*(0.3/2)</f>
        <v>1.7999999999999998</v>
      </c>
      <c r="P1005" s="8">
        <f t="shared" si="191"/>
        <v>7.1999999999999993</v>
      </c>
      <c r="Q1005" s="8">
        <f>IF($D1005='[2]Beam '!Q$44,$P1005*'[2]Beam '!Q$45,0)</f>
        <v>0</v>
      </c>
      <c r="R1005" s="8">
        <f>IF($D1005='[2]Beam '!R$44,$P1005*'[2]Beam '!R$45,0)</f>
        <v>0</v>
      </c>
      <c r="S1005" s="8">
        <f>IF($D1005='[2]Beam '!S$44,$P1005*'[2]Beam '!S$45,0)</f>
        <v>0</v>
      </c>
      <c r="T1005" s="8">
        <f>IF($D1005='[2]Beam '!T$44,$P1005*'[2]Beam '!T$45,0)</f>
        <v>0</v>
      </c>
      <c r="U1005" s="8">
        <f>IF($D1005='[2]Beam '!U$44,$P1005*'[2]Beam '!U$45,0)</f>
        <v>17.76342857142857</v>
      </c>
      <c r="V1005" s="8">
        <f>IF($D1005='[2]Beam '!V$44,$P1005*'[2]Beam '!V$45,0)</f>
        <v>0</v>
      </c>
      <c r="W1005" s="8">
        <f>IF($D1005='[2]Beam '!W$44,$P1005*'[2]Beam '!W$45,0)</f>
        <v>0</v>
      </c>
      <c r="X1005" s="8">
        <f t="shared" si="192"/>
        <v>17.76342857142857</v>
      </c>
      <c r="Y1005" s="8"/>
    </row>
    <row r="1006" spans="1:32" s="14" customFormat="1" ht="20.100000000000001" customHeight="1" x14ac:dyDescent="0.3">
      <c r="A1006" s="7"/>
      <c r="B1006" s="8" t="s">
        <v>2</v>
      </c>
      <c r="C1006" s="13" t="s">
        <v>88</v>
      </c>
      <c r="D1006" s="8">
        <v>20</v>
      </c>
      <c r="E1006" s="8"/>
      <c r="F1006" s="8">
        <v>4</v>
      </c>
      <c r="G1006" s="9">
        <f>VLOOKUP(D1006,'[2]Beam '!$C$20:$H$26,3,0)</f>
        <v>0.8</v>
      </c>
      <c r="H1006" s="9"/>
      <c r="I1006" s="8"/>
      <c r="J1006" s="8"/>
      <c r="K1006" s="8"/>
      <c r="L1006" s="8"/>
      <c r="M1006" s="8"/>
      <c r="N1006" s="8"/>
      <c r="O1006" s="8">
        <f>1.65+1*(0.3/2)</f>
        <v>1.7999999999999998</v>
      </c>
      <c r="P1006" s="8">
        <f t="shared" si="191"/>
        <v>7.1999999999999993</v>
      </c>
      <c r="Q1006" s="8">
        <f>IF($D1006='[2]Beam '!Q$44,$P1006*'[2]Beam '!Q$45,0)</f>
        <v>0</v>
      </c>
      <c r="R1006" s="8">
        <f>IF($D1006='[2]Beam '!R$44,$P1006*'[2]Beam '!R$45,0)</f>
        <v>0</v>
      </c>
      <c r="S1006" s="8">
        <f>IF($D1006='[2]Beam '!S$44,$P1006*'[2]Beam '!S$45,0)</f>
        <v>0</v>
      </c>
      <c r="T1006" s="8">
        <f>IF($D1006='[2]Beam '!T$44,$P1006*'[2]Beam '!T$45,0)</f>
        <v>0</v>
      </c>
      <c r="U1006" s="8">
        <f>IF($D1006='[2]Beam '!U$44,$P1006*'[2]Beam '!U$45,0)</f>
        <v>17.76342857142857</v>
      </c>
      <c r="V1006" s="8">
        <f>IF($D1006='[2]Beam '!V$44,$P1006*'[2]Beam '!V$45,0)</f>
        <v>0</v>
      </c>
      <c r="W1006" s="8">
        <f>IF($D1006='[2]Beam '!W$44,$P1006*'[2]Beam '!W$45,0)</f>
        <v>0</v>
      </c>
      <c r="X1006" s="8">
        <f t="shared" si="192"/>
        <v>17.76342857142857</v>
      </c>
      <c r="Y1006" s="8"/>
    </row>
    <row r="1007" spans="1:32" s="14" customFormat="1" ht="20.100000000000001" customHeight="1" x14ac:dyDescent="0.25">
      <c r="A1007" s="7"/>
      <c r="B1007" s="8" t="s">
        <v>2</v>
      </c>
      <c r="C1007" s="13" t="s">
        <v>13</v>
      </c>
      <c r="D1007" s="8">
        <v>10</v>
      </c>
      <c r="E1007" s="8">
        <v>0.1</v>
      </c>
      <c r="F1007" s="8">
        <f>ROUND(IF(E1001/3&gt;(2*G1001),(E1001/3)/E1007,(2*G1001)/E1007),0)*2+1</f>
        <v>41</v>
      </c>
      <c r="G1007" s="10"/>
      <c r="H1007" s="8"/>
      <c r="I1007" s="8"/>
      <c r="J1007" s="8"/>
      <c r="K1007" s="8"/>
      <c r="L1007" s="8"/>
      <c r="M1007" s="8"/>
      <c r="N1007" s="8"/>
      <c r="O1007" s="8">
        <f>(2*((G1001-(2*'[2]Beam '!$D$11))+(F1001-(2*'[2]Beam '!$D$11)))+(2*10*D1007/1000))*D1001</f>
        <v>2.06</v>
      </c>
      <c r="P1007" s="8">
        <f t="shared" si="191"/>
        <v>84.460000000000008</v>
      </c>
      <c r="Q1007" s="8">
        <f>IF($D1007='[2]Beam '!Q$44,$P1007*'[2]Beam '!Q$45,0)</f>
        <v>0</v>
      </c>
      <c r="R1007" s="8">
        <f>IF($D1007='[2]Beam '!R$44,$P1007*'[2]Beam '!R$45,0)</f>
        <v>52.093721428571435</v>
      </c>
      <c r="S1007" s="8">
        <f>IF($D1007='[2]Beam '!S$44,$P1007*'[2]Beam '!S$45,0)</f>
        <v>0</v>
      </c>
      <c r="T1007" s="8">
        <f>IF($D1007='[2]Beam '!T$44,$P1007*'[2]Beam '!T$45,0)</f>
        <v>0</v>
      </c>
      <c r="U1007" s="8">
        <f>IF($D1007='[2]Beam '!U$44,$P1007*'[2]Beam '!U$45,0)</f>
        <v>0</v>
      </c>
      <c r="V1007" s="8">
        <f>IF($D1007='[2]Beam '!V$44,$P1007*'[2]Beam '!V$45,0)</f>
        <v>0</v>
      </c>
      <c r="W1007" s="8">
        <f>IF($D1007='[2]Beam '!W$44,$P1007*'[2]Beam '!W$45,0)</f>
        <v>0</v>
      </c>
      <c r="X1007" s="8">
        <f t="shared" si="192"/>
        <v>52.093721428571435</v>
      </c>
      <c r="Y1007" s="8"/>
    </row>
    <row r="1008" spans="1:32" s="10" customFormat="1" ht="20.100000000000001" customHeight="1" x14ac:dyDescent="0.25">
      <c r="A1008" s="14"/>
      <c r="B1008" s="8" t="s">
        <v>2</v>
      </c>
      <c r="C1008" s="13" t="s">
        <v>14</v>
      </c>
      <c r="D1008" s="14">
        <f>D1007</f>
        <v>10</v>
      </c>
      <c r="E1008" s="14">
        <v>0.125</v>
      </c>
      <c r="F1008" s="14">
        <f>ROUND((E1001-(IF(E1001/3&gt;2*G1001,E1001/3*2,G1001*2*2)))/E1008,0)</f>
        <v>16</v>
      </c>
      <c r="H1008" s="14"/>
      <c r="I1008" s="14"/>
      <c r="J1008" s="14"/>
      <c r="K1008" s="14"/>
      <c r="L1008" s="14"/>
      <c r="M1008" s="14"/>
      <c r="N1008" s="14"/>
      <c r="O1008" s="8">
        <f>(2*((G1001-(2*'[2]Beam '!$D$11))+(F1001-(2*'[2]Beam '!$D$11)))+(2*10*D1008/1000))*D1001</f>
        <v>2.06</v>
      </c>
      <c r="P1008" s="8">
        <f t="shared" si="191"/>
        <v>32.96</v>
      </c>
      <c r="Q1008" s="8">
        <f>IF($D1008='[2]Beam '!Q$44,$P1008*'[2]Beam '!Q$45,0)</f>
        <v>0</v>
      </c>
      <c r="R1008" s="8">
        <f>IF($D1008='[2]Beam '!R$44,$P1008*'[2]Beam '!R$45,0)</f>
        <v>20.329257142857141</v>
      </c>
      <c r="S1008" s="8">
        <f>IF($D1008='[2]Beam '!S$44,$P1008*'[2]Beam '!S$45,0)</f>
        <v>0</v>
      </c>
      <c r="T1008" s="8">
        <f>IF($D1008='[2]Beam '!T$44,$P1008*'[2]Beam '!T$45,0)</f>
        <v>0</v>
      </c>
      <c r="U1008" s="8">
        <f>IF($D1008='[2]Beam '!U$44,$P1008*'[2]Beam '!U$45,0)</f>
        <v>0</v>
      </c>
      <c r="V1008" s="8">
        <f>IF($D1008='[2]Beam '!V$44,$P1008*'[2]Beam '!V$45,0)</f>
        <v>0</v>
      </c>
      <c r="W1008" s="8">
        <f>IF($D1008='[2]Beam '!W$44,$P1008*'[2]Beam '!W$45,0)</f>
        <v>0</v>
      </c>
      <c r="X1008" s="8">
        <f t="shared" si="192"/>
        <v>20.329257142857141</v>
      </c>
      <c r="Y1008" s="14"/>
      <c r="Z1008" s="8"/>
      <c r="AA1008" s="8"/>
      <c r="AB1008" s="8"/>
      <c r="AC1008" s="8"/>
      <c r="AD1008" s="8"/>
      <c r="AE1008" s="8"/>
    </row>
    <row r="1009" spans="1:32" s="10" customFormat="1" ht="21" customHeight="1" x14ac:dyDescent="0.25">
      <c r="A1009" s="14"/>
      <c r="B1009" s="8" t="s">
        <v>2</v>
      </c>
      <c r="C1009" s="13" t="s">
        <v>15</v>
      </c>
      <c r="D1009" s="14">
        <f>D1007</f>
        <v>10</v>
      </c>
      <c r="E1009" s="14">
        <f>+E1007</f>
        <v>0.1</v>
      </c>
      <c r="F1009" s="8">
        <f>ROUND(IF(E1001/3&gt;(2*G1001),(E1001/3)/E1009,(2*G1001)/E1009),0)*2+1</f>
        <v>41</v>
      </c>
      <c r="H1009" s="14"/>
      <c r="I1009" s="14"/>
      <c r="J1009" s="14"/>
      <c r="K1009" s="14"/>
      <c r="L1009" s="14"/>
      <c r="M1009" s="14"/>
      <c r="N1009" s="14"/>
      <c r="O1009" s="8">
        <f>(2*(((F1001-'[2]Beam '!$D$11*2)/(F1002-1))+(G1001-'[2]Beam '!$D$11*2))+(2*10*D1009/1000))*D1001</f>
        <v>1.54</v>
      </c>
      <c r="P1009" s="8">
        <f t="shared" si="191"/>
        <v>63.14</v>
      </c>
      <c r="Q1009" s="8">
        <f>IF($D1009='[2]Beam '!Q$44,$P1009*'[2]Beam '!Q$45,0)</f>
        <v>0</v>
      </c>
      <c r="R1009" s="8">
        <f>IF($D1009='[2]Beam '!R$44,$P1009*'[2]Beam '!R$45,0)</f>
        <v>38.943849999999998</v>
      </c>
      <c r="S1009" s="8">
        <f>IF($D1009='[2]Beam '!S$44,$P1009*'[2]Beam '!S$45,0)</f>
        <v>0</v>
      </c>
      <c r="T1009" s="8">
        <f>IF($D1009='[2]Beam '!T$44,$P1009*'[2]Beam '!T$45,0)</f>
        <v>0</v>
      </c>
      <c r="U1009" s="8">
        <f>IF($D1009='[2]Beam '!U$44,$P1009*'[2]Beam '!U$45,0)</f>
        <v>0</v>
      </c>
      <c r="V1009" s="8">
        <f>IF($D1009='[2]Beam '!V$44,$P1009*'[2]Beam '!V$45,0)</f>
        <v>0</v>
      </c>
      <c r="W1009" s="8">
        <f>IF($D1009='[2]Beam '!W$44,$P1009*'[2]Beam '!W$45,0)</f>
        <v>0</v>
      </c>
      <c r="X1009" s="8">
        <f t="shared" si="192"/>
        <v>38.943849999999998</v>
      </c>
      <c r="Y1009" s="14"/>
      <c r="Z1009" s="8"/>
      <c r="AA1009" s="8"/>
      <c r="AB1009" s="8"/>
      <c r="AC1009" s="8"/>
      <c r="AD1009" s="8"/>
      <c r="AE1009" s="8"/>
      <c r="AF1009" s="8"/>
    </row>
    <row r="1010" spans="1:32" s="10" customFormat="1" ht="20.100000000000001" customHeight="1" x14ac:dyDescent="0.25">
      <c r="A1010" s="14"/>
      <c r="B1010" s="8" t="s">
        <v>2</v>
      </c>
      <c r="C1010" s="13" t="s">
        <v>16</v>
      </c>
      <c r="D1010" s="14">
        <f>D1008</f>
        <v>10</v>
      </c>
      <c r="E1010" s="14">
        <f>+E1008</f>
        <v>0.125</v>
      </c>
      <c r="F1010" s="14">
        <f>ROUND((E1001-(IF(E1001/3&gt;2*G1001,E1001/3*2,G1001*2*2)))/E1010,0)</f>
        <v>16</v>
      </c>
      <c r="H1010" s="14"/>
      <c r="I1010" s="14"/>
      <c r="J1010" s="14"/>
      <c r="K1010" s="14"/>
      <c r="L1010" s="14"/>
      <c r="M1010" s="14"/>
      <c r="N1010" s="14"/>
      <c r="O1010" s="8">
        <f>(2*(((F1001-'[2]Beam '!$D$11*2)/(F1002-1))+(G1001-'[2]Beam '!$D$11*2))+(2*10*D1010/1000))*D1001</f>
        <v>1.54</v>
      </c>
      <c r="P1010" s="8">
        <f t="shared" si="191"/>
        <v>24.64</v>
      </c>
      <c r="Q1010" s="8">
        <f>IF($D1010='[2]Beam '!Q$44,$P1010*'[2]Beam '!Q$45,0)</f>
        <v>0</v>
      </c>
      <c r="R1010" s="8">
        <f>IF($D1010='[2]Beam '!R$44,$P1010*'[2]Beam '!R$45,0)</f>
        <v>15.1976</v>
      </c>
      <c r="S1010" s="8">
        <f>IF($D1010='[2]Beam '!S$44,$P1010*'[2]Beam '!S$45,0)</f>
        <v>0</v>
      </c>
      <c r="T1010" s="8">
        <f>IF($D1010='[2]Beam '!T$44,$P1010*'[2]Beam '!T$45,0)</f>
        <v>0</v>
      </c>
      <c r="U1010" s="8">
        <f>IF($D1010='[2]Beam '!U$44,$P1010*'[2]Beam '!U$45,0)</f>
        <v>0</v>
      </c>
      <c r="V1010" s="8">
        <f>IF($D1010='[2]Beam '!V$44,$P1010*'[2]Beam '!V$45,0)</f>
        <v>0</v>
      </c>
      <c r="W1010" s="8">
        <f>IF($D1010='[2]Beam '!W$44,$P1010*'[2]Beam '!W$45,0)</f>
        <v>0</v>
      </c>
      <c r="X1010" s="8">
        <f t="shared" si="192"/>
        <v>15.1976</v>
      </c>
      <c r="Y1010" s="14"/>
      <c r="Z1010" s="8"/>
      <c r="AA1010" s="8"/>
      <c r="AB1010" s="8"/>
      <c r="AC1010" s="8"/>
      <c r="AD1010" s="8"/>
      <c r="AE1010" s="8"/>
    </row>
    <row r="1011" spans="1:32" s="10" customFormat="1" ht="20.100000000000001" customHeight="1" x14ac:dyDescent="0.25">
      <c r="A1011" s="7"/>
      <c r="B1011" s="8" t="s">
        <v>2</v>
      </c>
      <c r="C1011" s="13" t="s">
        <v>10</v>
      </c>
      <c r="D1011" s="8">
        <f>+'[2]Beam '!$D$15</f>
        <v>25</v>
      </c>
      <c r="E1011" s="8">
        <f>+'[2]Beam '!$E$15</f>
        <v>1</v>
      </c>
      <c r="F1011" s="8">
        <f>ROUNDUP((1.65+1.65)/E1011,0)</f>
        <v>4</v>
      </c>
      <c r="G1011" s="9"/>
      <c r="H1011" s="9"/>
      <c r="I1011" s="8"/>
      <c r="J1011" s="8"/>
      <c r="K1011" s="8"/>
      <c r="L1011" s="8"/>
      <c r="M1011" s="8"/>
      <c r="N1011" s="8"/>
      <c r="O1011" s="8">
        <f>F1001-'[2]Beam '!$F$15</f>
        <v>0.39</v>
      </c>
      <c r="P1011" s="8">
        <f t="shared" si="191"/>
        <v>1.56</v>
      </c>
      <c r="Q1011" s="8">
        <f>IF($D1011='[2]Beam '!Q$44,$P1011*'[2]Beam '!Q$45,0)</f>
        <v>0</v>
      </c>
      <c r="R1011" s="8">
        <f>IF($D1011='[2]Beam '!R$44,$P1011*'[2]Beam '!R$45,0)</f>
        <v>0</v>
      </c>
      <c r="S1011" s="8">
        <f>IF($D1011='[2]Beam '!S$44,$P1011*'[2]Beam '!S$45,0)</f>
        <v>0</v>
      </c>
      <c r="T1011" s="8">
        <f>IF($D1011='[2]Beam '!T$44,$P1011*'[2]Beam '!T$45,0)</f>
        <v>0</v>
      </c>
      <c r="U1011" s="8">
        <f>IF($D1011='[2]Beam '!U$44,$P1011*'[2]Beam '!U$45,0)</f>
        <v>0</v>
      </c>
      <c r="V1011" s="8">
        <f>IF($D1011='[2]Beam '!V$44,$P1011*'[2]Beam '!V$45,0)</f>
        <v>6.0136607142857157</v>
      </c>
      <c r="W1011" s="8">
        <f>IF($D1011='[2]Beam '!W$44,$P1011*'[2]Beam '!W$45,0)</f>
        <v>0</v>
      </c>
      <c r="X1011" s="8">
        <f t="shared" si="192"/>
        <v>6.0136607142857157</v>
      </c>
      <c r="Y1011" s="8"/>
      <c r="Z1011" s="8"/>
      <c r="AA1011" s="8"/>
      <c r="AB1011" s="8"/>
      <c r="AC1011" s="8"/>
      <c r="AD1011" s="8"/>
      <c r="AE1011" s="8"/>
    </row>
    <row r="1012" spans="1:32" s="10" customFormat="1" ht="20.100000000000001" customHeight="1" x14ac:dyDescent="0.25">
      <c r="A1012" s="8">
        <v>1</v>
      </c>
      <c r="B1012" s="8" t="s">
        <v>2</v>
      </c>
      <c r="C1012" s="11" t="s">
        <v>137</v>
      </c>
      <c r="D1012" s="11">
        <v>1</v>
      </c>
      <c r="E1012" s="11">
        <v>7.6509999999999998</v>
      </c>
      <c r="F1012" s="11">
        <v>0.6</v>
      </c>
      <c r="G1012" s="11">
        <v>0.6</v>
      </c>
      <c r="H1012" s="8">
        <f>G1012-0.2</f>
        <v>0.39999999999999997</v>
      </c>
      <c r="I1012" s="8">
        <f>E1012*F1012*G1012*D1012</f>
        <v>2.7543599999999997</v>
      </c>
      <c r="J1012" s="8">
        <f>(2*(E1012)*H1012*D1012)+(E1012*F1012)</f>
        <v>10.711399999999998</v>
      </c>
      <c r="K1012" s="12">
        <f>IF(E1012=0.3,J1012,0)</f>
        <v>0</v>
      </c>
      <c r="L1012" s="12">
        <f>IF(AND(E1012&gt;0.3,E1012&lt;=0.75),J1012,0)</f>
        <v>0</v>
      </c>
      <c r="M1012" s="12">
        <f>IF(AND(E1012&gt;0.75,E1012&lt;=1.2),J1012,0)</f>
        <v>0</v>
      </c>
      <c r="N1012" s="12">
        <f>IF(E1012&gt;1.2,J1012,0)</f>
        <v>10.711399999999998</v>
      </c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>
        <f>SUM(X1013:X1019)/I1012</f>
        <v>188.26927333910083</v>
      </c>
      <c r="Z1012" s="8"/>
      <c r="AA1012" s="8"/>
      <c r="AB1012" s="8"/>
      <c r="AC1012" s="8"/>
      <c r="AD1012" s="8"/>
      <c r="AE1012" s="8"/>
    </row>
    <row r="1013" spans="1:32" s="10" customFormat="1" ht="20.100000000000001" customHeight="1" x14ac:dyDescent="0.25">
      <c r="A1013" s="7"/>
      <c r="B1013" s="8" t="s">
        <v>2</v>
      </c>
      <c r="C1013" s="13" t="s">
        <v>4</v>
      </c>
      <c r="D1013" s="8">
        <v>20</v>
      </c>
      <c r="E1013" s="8"/>
      <c r="F1013" s="8">
        <v>6</v>
      </c>
      <c r="G1013" s="9">
        <f>VLOOKUP(D1013,'[2]Beam '!$C$20:$H$26,3,0)</f>
        <v>0.8</v>
      </c>
      <c r="H1013" s="9"/>
      <c r="I1013" s="8"/>
      <c r="J1013" s="8"/>
      <c r="K1013" s="8"/>
      <c r="L1013" s="8"/>
      <c r="M1013" s="8"/>
      <c r="N1013" s="8"/>
      <c r="O1013" s="8">
        <f>(E1012+1*(G1013+(12*D1013/1000))+1*(0.3/2)*D1012)</f>
        <v>8.8409999999999993</v>
      </c>
      <c r="P1013" s="8">
        <f t="shared" ref="P1013:P1023" si="193">O1013*F1013</f>
        <v>53.045999999999992</v>
      </c>
      <c r="Q1013" s="8">
        <f>IF($D1013='[2]Beam '!Q$44,$P1013*'[2]Beam '!Q$45,0)</f>
        <v>0</v>
      </c>
      <c r="R1013" s="8">
        <f>IF($D1013='[2]Beam '!R$44,$P1013*'[2]Beam '!R$45,0)</f>
        <v>0</v>
      </c>
      <c r="S1013" s="8">
        <f>IF($D1013='[2]Beam '!S$44,$P1013*'[2]Beam '!S$45,0)</f>
        <v>0</v>
      </c>
      <c r="T1013" s="8">
        <f>IF($D1013='[2]Beam '!T$44,$P1013*'[2]Beam '!T$45,0)</f>
        <v>0</v>
      </c>
      <c r="U1013" s="8">
        <f>IF($D1013='[2]Beam '!U$44,$P1013*'[2]Beam '!U$45,0)</f>
        <v>130.87205999999998</v>
      </c>
      <c r="V1013" s="8">
        <f>IF($D1013='[2]Beam '!V$44,$P1013*'[2]Beam '!V$45,0)</f>
        <v>0</v>
      </c>
      <c r="W1013" s="8">
        <f>IF($D1013='[2]Beam '!W$44,$P1013*'[2]Beam '!W$45,0)</f>
        <v>0</v>
      </c>
      <c r="X1013" s="8">
        <f t="shared" ref="X1013:X1023" si="194">SUM(Q1013:W1013)</f>
        <v>130.87205999999998</v>
      </c>
      <c r="Y1013" s="8"/>
      <c r="Z1013" s="8"/>
      <c r="AA1013" s="8"/>
      <c r="AB1013" s="8"/>
      <c r="AC1013" s="8"/>
      <c r="AD1013" s="8"/>
      <c r="AE1013" s="8"/>
    </row>
    <row r="1014" spans="1:32" s="10" customFormat="1" ht="20.100000000000001" customHeight="1" x14ac:dyDescent="0.25">
      <c r="A1014" s="7"/>
      <c r="B1014" s="8" t="s">
        <v>2</v>
      </c>
      <c r="C1014" s="13" t="s">
        <v>6</v>
      </c>
      <c r="D1014" s="8">
        <v>20</v>
      </c>
      <c r="E1014" s="8"/>
      <c r="F1014" s="8">
        <v>6</v>
      </c>
      <c r="G1014" s="9">
        <f>VLOOKUP(D1014,'[2]Beam '!$C$20:$H$26,3,0)</f>
        <v>0.8</v>
      </c>
      <c r="H1014" s="8"/>
      <c r="I1014" s="8"/>
      <c r="J1014" s="8"/>
      <c r="K1014" s="8"/>
      <c r="L1014" s="8"/>
      <c r="M1014" s="8"/>
      <c r="N1014" s="8"/>
      <c r="O1014" s="8">
        <f>(E1012+1*(G1014+(12*D1014/1000))+1*(0.3/2)*D1012)</f>
        <v>8.8409999999999993</v>
      </c>
      <c r="P1014" s="8">
        <f t="shared" si="193"/>
        <v>53.045999999999992</v>
      </c>
      <c r="Q1014" s="8">
        <f>IF($D1014='[2]Beam '!Q$44,$P1014*'[2]Beam '!Q$45,0)</f>
        <v>0</v>
      </c>
      <c r="R1014" s="8">
        <f>IF($D1014='[2]Beam '!R$44,$P1014*'[2]Beam '!R$45,0)</f>
        <v>0</v>
      </c>
      <c r="S1014" s="8">
        <f>IF($D1014='[2]Beam '!S$44,$P1014*'[2]Beam '!S$45,0)</f>
        <v>0</v>
      </c>
      <c r="T1014" s="8">
        <f>IF($D1014='[2]Beam '!T$44,$P1014*'[2]Beam '!T$45,0)</f>
        <v>0</v>
      </c>
      <c r="U1014" s="8">
        <f>IF($D1014='[2]Beam '!U$44,$P1014*'[2]Beam '!U$45,0)</f>
        <v>130.87205999999998</v>
      </c>
      <c r="V1014" s="8">
        <f>IF($D1014='[2]Beam '!V$44,$P1014*'[2]Beam '!V$45,0)</f>
        <v>0</v>
      </c>
      <c r="W1014" s="8">
        <f>IF($D1014='[2]Beam '!W$44,$P1014*'[2]Beam '!W$45,0)</f>
        <v>0</v>
      </c>
      <c r="X1014" s="8">
        <f t="shared" si="194"/>
        <v>130.87205999999998</v>
      </c>
      <c r="Y1014" s="8"/>
      <c r="Z1014" s="8"/>
      <c r="AA1014" s="8"/>
      <c r="AB1014" s="8"/>
      <c r="AC1014" s="8"/>
      <c r="AD1014" s="8"/>
      <c r="AE1014" s="8"/>
    </row>
    <row r="1015" spans="1:32" s="10" customFormat="1" ht="19.5" customHeight="1" x14ac:dyDescent="0.25">
      <c r="A1015" s="7"/>
      <c r="B1015" s="8" t="s">
        <v>2</v>
      </c>
      <c r="C1015" s="13" t="s">
        <v>75</v>
      </c>
      <c r="D1015" s="8">
        <v>25</v>
      </c>
      <c r="E1015" s="8"/>
      <c r="F1015" s="8">
        <v>3</v>
      </c>
      <c r="G1015" s="9">
        <f>VLOOKUP(D1015,'[2]Beam '!$C$20:$H$26,3,0)</f>
        <v>1</v>
      </c>
      <c r="H1015" s="9"/>
      <c r="I1015" s="8"/>
      <c r="J1015" s="8"/>
      <c r="K1015" s="8"/>
      <c r="L1015" s="8"/>
      <c r="M1015" s="8"/>
      <c r="N1015" s="8"/>
      <c r="O1015" s="8">
        <f>(2+1*(G1015+(12*D1015/1000))*D1012)</f>
        <v>3.3</v>
      </c>
      <c r="P1015" s="8">
        <f t="shared" si="193"/>
        <v>9.8999999999999986</v>
      </c>
      <c r="Q1015" s="8">
        <f>IF($D1015='[2]Beam '!Q$44,$P1015*'[2]Beam '!Q$45,0)</f>
        <v>0</v>
      </c>
      <c r="R1015" s="8">
        <f>IF($D1015='[2]Beam '!R$44,$P1015*'[2]Beam '!R$45,0)</f>
        <v>0</v>
      </c>
      <c r="S1015" s="8">
        <f>IF($D1015='[2]Beam '!S$44,$P1015*'[2]Beam '!S$45,0)</f>
        <v>0</v>
      </c>
      <c r="T1015" s="8">
        <f>IF($D1015='[2]Beam '!T$44,$P1015*'[2]Beam '!T$45,0)</f>
        <v>0</v>
      </c>
      <c r="U1015" s="8">
        <f>IF($D1015='[2]Beam '!U$44,$P1015*'[2]Beam '!U$45,0)</f>
        <v>0</v>
      </c>
      <c r="V1015" s="8">
        <f>IF($D1015='[2]Beam '!V$44,$P1015*'[2]Beam '!V$45,0)</f>
        <v>38.163616071428571</v>
      </c>
      <c r="W1015" s="8">
        <f>IF($D1015='[2]Beam '!W$44,$P1015*'[2]Beam '!W$45,0)</f>
        <v>0</v>
      </c>
      <c r="X1015" s="8">
        <f t="shared" si="194"/>
        <v>38.163616071428571</v>
      </c>
      <c r="Y1015" s="8"/>
      <c r="Z1015" s="8"/>
      <c r="AA1015" s="8"/>
      <c r="AB1015" s="8"/>
      <c r="AC1015" s="8"/>
      <c r="AD1015" s="8"/>
      <c r="AE1015" s="8"/>
    </row>
    <row r="1016" spans="1:32" s="10" customFormat="1" ht="20.100000000000001" customHeight="1" x14ac:dyDescent="0.25">
      <c r="A1016" s="7"/>
      <c r="B1016" s="8" t="s">
        <v>2</v>
      </c>
      <c r="C1016" s="13" t="s">
        <v>75</v>
      </c>
      <c r="D1016" s="8">
        <v>25</v>
      </c>
      <c r="E1016" s="8"/>
      <c r="F1016" s="8">
        <v>4</v>
      </c>
      <c r="G1016" s="9">
        <f>VLOOKUP(D1016,'[2]Beam '!$C$20:$H$26,3,0)</f>
        <v>1</v>
      </c>
      <c r="H1016" s="9"/>
      <c r="I1016" s="8"/>
      <c r="J1016" s="8"/>
      <c r="K1016" s="8"/>
      <c r="L1016" s="8"/>
      <c r="M1016" s="8"/>
      <c r="N1016" s="8"/>
      <c r="O1016" s="8">
        <f>2+1*(0.3/2)*D1012</f>
        <v>2.15</v>
      </c>
      <c r="P1016" s="8">
        <f t="shared" si="193"/>
        <v>8.6</v>
      </c>
      <c r="Q1016" s="8">
        <f>IF($D1016='[2]Beam '!Q$44,$P1016*'[2]Beam '!Q$45,0)</f>
        <v>0</v>
      </c>
      <c r="R1016" s="8">
        <f>IF($D1016='[2]Beam '!R$44,$P1016*'[2]Beam '!R$45,0)</f>
        <v>0</v>
      </c>
      <c r="S1016" s="8">
        <f>IF($D1016='[2]Beam '!S$44,$P1016*'[2]Beam '!S$45,0)</f>
        <v>0</v>
      </c>
      <c r="T1016" s="8">
        <f>IF($D1016='[2]Beam '!T$44,$P1016*'[2]Beam '!T$45,0)</f>
        <v>0</v>
      </c>
      <c r="U1016" s="8">
        <f>IF($D1016='[2]Beam '!U$44,$P1016*'[2]Beam '!U$45,0)</f>
        <v>0</v>
      </c>
      <c r="V1016" s="8">
        <f>IF($D1016='[2]Beam '!V$44,$P1016*'[2]Beam '!V$45,0)</f>
        <v>33.152232142857144</v>
      </c>
      <c r="W1016" s="8">
        <f>IF($D1016='[2]Beam '!W$44,$P1016*'[2]Beam '!W$45,0)</f>
        <v>0</v>
      </c>
      <c r="X1016" s="8">
        <f t="shared" si="194"/>
        <v>33.152232142857144</v>
      </c>
      <c r="Y1016" s="8"/>
      <c r="Z1016" s="8"/>
      <c r="AA1016" s="8"/>
      <c r="AB1016" s="8"/>
      <c r="AC1016" s="8"/>
      <c r="AD1016" s="8"/>
      <c r="AE1016" s="8"/>
    </row>
    <row r="1017" spans="1:32" s="14" customFormat="1" ht="20.100000000000001" customHeight="1" x14ac:dyDescent="0.3">
      <c r="A1017" s="7"/>
      <c r="B1017" s="8" t="s">
        <v>2</v>
      </c>
      <c r="C1017" s="13" t="s">
        <v>75</v>
      </c>
      <c r="D1017" s="8">
        <v>20</v>
      </c>
      <c r="E1017" s="8"/>
      <c r="F1017" s="8">
        <v>4</v>
      </c>
      <c r="G1017" s="9">
        <f>VLOOKUP(D1017,'[2]Beam '!$C$20:$H$26,3,0)</f>
        <v>0.8</v>
      </c>
      <c r="H1017" s="9"/>
      <c r="I1017" s="8"/>
      <c r="J1017" s="8"/>
      <c r="K1017" s="8"/>
      <c r="L1017" s="8"/>
      <c r="M1017" s="8"/>
      <c r="N1017" s="8"/>
      <c r="O1017" s="8">
        <f>2+1*(0.3/2)*D1012</f>
        <v>2.15</v>
      </c>
      <c r="P1017" s="8">
        <f t="shared" si="193"/>
        <v>8.6</v>
      </c>
      <c r="Q1017" s="8">
        <f>IF($D1017='[2]Beam '!Q$44,$P1017*'[2]Beam '!Q$45,0)</f>
        <v>0</v>
      </c>
      <c r="R1017" s="8">
        <f>IF($D1017='[2]Beam '!R$44,$P1017*'[2]Beam '!R$45,0)</f>
        <v>0</v>
      </c>
      <c r="S1017" s="8">
        <f>IF($D1017='[2]Beam '!S$44,$P1017*'[2]Beam '!S$45,0)</f>
        <v>0</v>
      </c>
      <c r="T1017" s="8">
        <f>IF($D1017='[2]Beam '!T$44,$P1017*'[2]Beam '!T$45,0)</f>
        <v>0</v>
      </c>
      <c r="U1017" s="8">
        <f>IF($D1017='[2]Beam '!U$44,$P1017*'[2]Beam '!U$45,0)</f>
        <v>21.21742857142857</v>
      </c>
      <c r="V1017" s="8">
        <f>IF($D1017='[2]Beam '!V$44,$P1017*'[2]Beam '!V$45,0)</f>
        <v>0</v>
      </c>
      <c r="W1017" s="8">
        <f>IF($D1017='[2]Beam '!W$44,$P1017*'[2]Beam '!W$45,0)</f>
        <v>0</v>
      </c>
      <c r="X1017" s="8">
        <f t="shared" si="194"/>
        <v>21.21742857142857</v>
      </c>
      <c r="Y1017" s="8"/>
    </row>
    <row r="1018" spans="1:32" s="14" customFormat="1" ht="20.100000000000001" customHeight="1" x14ac:dyDescent="0.3">
      <c r="A1018" s="7"/>
      <c r="B1018" s="8" t="s">
        <v>2</v>
      </c>
      <c r="C1018" s="13" t="s">
        <v>88</v>
      </c>
      <c r="D1018" s="8">
        <v>25</v>
      </c>
      <c r="E1018" s="8"/>
      <c r="F1018" s="8">
        <v>4</v>
      </c>
      <c r="G1018" s="9">
        <f>VLOOKUP(D1018,'[2]Beam '!$C$20:$H$26,3,0)</f>
        <v>1</v>
      </c>
      <c r="H1018" s="9"/>
      <c r="I1018" s="8"/>
      <c r="J1018" s="8"/>
      <c r="K1018" s="8"/>
      <c r="L1018" s="8"/>
      <c r="M1018" s="8"/>
      <c r="N1018" s="8"/>
      <c r="O1018" s="8">
        <f>+E1012-2</f>
        <v>5.6509999999999998</v>
      </c>
      <c r="P1018" s="8">
        <f t="shared" si="193"/>
        <v>22.603999999999999</v>
      </c>
      <c r="Q1018" s="8">
        <f>IF($D1018='[2]Beam '!Q$44,$P1018*'[2]Beam '!Q$45,0)</f>
        <v>0</v>
      </c>
      <c r="R1018" s="8">
        <f>IF($D1018='[2]Beam '!R$44,$P1018*'[2]Beam '!R$45,0)</f>
        <v>0</v>
      </c>
      <c r="S1018" s="8">
        <f>IF($D1018='[2]Beam '!S$44,$P1018*'[2]Beam '!S$45,0)</f>
        <v>0</v>
      </c>
      <c r="T1018" s="8">
        <f>IF($D1018='[2]Beam '!T$44,$P1018*'[2]Beam '!T$45,0)</f>
        <v>0</v>
      </c>
      <c r="U1018" s="8">
        <f>IF($D1018='[2]Beam '!U$44,$P1018*'[2]Beam '!U$45,0)</f>
        <v>0</v>
      </c>
      <c r="V1018" s="8">
        <f>IF($D1018='[2]Beam '!V$44,$P1018*'[2]Beam '!V$45,0)</f>
        <v>87.136401785714298</v>
      </c>
      <c r="W1018" s="8">
        <f>IF($D1018='[2]Beam '!W$44,$P1018*'[2]Beam '!W$45,0)</f>
        <v>0</v>
      </c>
      <c r="X1018" s="8">
        <f t="shared" si="194"/>
        <v>87.136401785714298</v>
      </c>
      <c r="Y1018" s="8"/>
    </row>
    <row r="1019" spans="1:32" s="14" customFormat="1" ht="20.100000000000001" customHeight="1" x14ac:dyDescent="0.25">
      <c r="A1019" s="7"/>
      <c r="B1019" s="8" t="s">
        <v>2</v>
      </c>
      <c r="C1019" s="13" t="s">
        <v>13</v>
      </c>
      <c r="D1019" s="8">
        <v>10</v>
      </c>
      <c r="E1019" s="8">
        <v>0.1</v>
      </c>
      <c r="F1019" s="8">
        <f>ROUND(IF(E1012/3&gt;(2*G1012),(E1012/3)/E1019,(2*G1012)/E1019),0)*2+1</f>
        <v>53</v>
      </c>
      <c r="G1019" s="10"/>
      <c r="H1019" s="8"/>
      <c r="I1019" s="8"/>
      <c r="J1019" s="8"/>
      <c r="K1019" s="8"/>
      <c r="L1019" s="8"/>
      <c r="M1019" s="8"/>
      <c r="N1019" s="8"/>
      <c r="O1019" s="8">
        <f>(2*((G1012-(2*'[2]Beam '!$D$11))+(F1012-(2*'[2]Beam '!$D$11)))+(2*10*D1019/1000))*D1012</f>
        <v>2.3600000000000003</v>
      </c>
      <c r="P1019" s="8">
        <f t="shared" si="193"/>
        <v>125.08000000000001</v>
      </c>
      <c r="Q1019" s="8">
        <f>IF($D1019='[2]Beam '!Q$44,$P1019*'[2]Beam '!Q$45,0)</f>
        <v>0</v>
      </c>
      <c r="R1019" s="8">
        <f>IF($D1019='[2]Beam '!R$44,$P1019*'[2]Beam '!R$45,0)</f>
        <v>77.147557142857153</v>
      </c>
      <c r="S1019" s="8">
        <f>IF($D1019='[2]Beam '!S$44,$P1019*'[2]Beam '!S$45,0)</f>
        <v>0</v>
      </c>
      <c r="T1019" s="8">
        <f>IF($D1019='[2]Beam '!T$44,$P1019*'[2]Beam '!T$45,0)</f>
        <v>0</v>
      </c>
      <c r="U1019" s="8">
        <f>IF($D1019='[2]Beam '!U$44,$P1019*'[2]Beam '!U$45,0)</f>
        <v>0</v>
      </c>
      <c r="V1019" s="8">
        <f>IF($D1019='[2]Beam '!V$44,$P1019*'[2]Beam '!V$45,0)</f>
        <v>0</v>
      </c>
      <c r="W1019" s="8">
        <f>IF($D1019='[2]Beam '!W$44,$P1019*'[2]Beam '!W$45,0)</f>
        <v>0</v>
      </c>
      <c r="X1019" s="8">
        <f t="shared" si="194"/>
        <v>77.147557142857153</v>
      </c>
      <c r="Y1019" s="8"/>
    </row>
    <row r="1020" spans="1:32" s="10" customFormat="1" ht="20.100000000000001" customHeight="1" x14ac:dyDescent="0.25">
      <c r="A1020" s="14"/>
      <c r="B1020" s="8" t="s">
        <v>2</v>
      </c>
      <c r="C1020" s="13" t="s">
        <v>14</v>
      </c>
      <c r="D1020" s="14">
        <f>D1019</f>
        <v>10</v>
      </c>
      <c r="E1020" s="14">
        <v>0.125</v>
      </c>
      <c r="F1020" s="14">
        <f>ROUND((E1012-(IF(E1012/3&gt;2*G1012,E1012/3*2,G1012*2*2)))/E1020,0)</f>
        <v>20</v>
      </c>
      <c r="H1020" s="14"/>
      <c r="I1020" s="14"/>
      <c r="J1020" s="14"/>
      <c r="K1020" s="14"/>
      <c r="L1020" s="14"/>
      <c r="M1020" s="14"/>
      <c r="N1020" s="14"/>
      <c r="O1020" s="8">
        <f>(2*((G1012-(2*'[2]Beam '!$D$11))+(F1012-(2*'[2]Beam '!$D$11)))+(2*10*D1020/1000))*D1012</f>
        <v>2.3600000000000003</v>
      </c>
      <c r="P1020" s="8">
        <f t="shared" si="193"/>
        <v>47.2</v>
      </c>
      <c r="Q1020" s="8">
        <f>IF($D1020='[2]Beam '!Q$44,$P1020*'[2]Beam '!Q$45,0)</f>
        <v>0</v>
      </c>
      <c r="R1020" s="8">
        <f>IF($D1020='[2]Beam '!R$44,$P1020*'[2]Beam '!R$45,0)</f>
        <v>29.112285714285715</v>
      </c>
      <c r="S1020" s="8">
        <f>IF($D1020='[2]Beam '!S$44,$P1020*'[2]Beam '!S$45,0)</f>
        <v>0</v>
      </c>
      <c r="T1020" s="8">
        <f>IF($D1020='[2]Beam '!T$44,$P1020*'[2]Beam '!T$45,0)</f>
        <v>0</v>
      </c>
      <c r="U1020" s="8">
        <f>IF($D1020='[2]Beam '!U$44,$P1020*'[2]Beam '!U$45,0)</f>
        <v>0</v>
      </c>
      <c r="V1020" s="8">
        <f>IF($D1020='[2]Beam '!V$44,$P1020*'[2]Beam '!V$45,0)</f>
        <v>0</v>
      </c>
      <c r="W1020" s="8">
        <f>IF($D1020='[2]Beam '!W$44,$P1020*'[2]Beam '!W$45,0)</f>
        <v>0</v>
      </c>
      <c r="X1020" s="8">
        <f t="shared" si="194"/>
        <v>29.112285714285715</v>
      </c>
      <c r="Y1020" s="14"/>
      <c r="Z1020" s="8"/>
      <c r="AA1020" s="8"/>
      <c r="AB1020" s="8"/>
      <c r="AC1020" s="8"/>
      <c r="AD1020" s="8"/>
      <c r="AE1020" s="8"/>
    </row>
    <row r="1021" spans="1:32" s="10" customFormat="1" ht="21" customHeight="1" x14ac:dyDescent="0.25">
      <c r="A1021" s="14"/>
      <c r="B1021" s="8" t="s">
        <v>2</v>
      </c>
      <c r="C1021" s="13" t="s">
        <v>15</v>
      </c>
      <c r="D1021" s="14">
        <f>D1019</f>
        <v>10</v>
      </c>
      <c r="E1021" s="14">
        <f>+E1019</f>
        <v>0.1</v>
      </c>
      <c r="F1021" s="8">
        <f>ROUND(IF(E1012/3&gt;(2*G1012),(E1012/3)/E1021,(2*G1012)/E1021),0)*2+1</f>
        <v>53</v>
      </c>
      <c r="H1021" s="14"/>
      <c r="I1021" s="14"/>
      <c r="J1021" s="14"/>
      <c r="K1021" s="14"/>
      <c r="L1021" s="14"/>
      <c r="M1021" s="14"/>
      <c r="N1021" s="14"/>
      <c r="O1021" s="8">
        <f>(2*(((F1012-'[2]Beam '!$D$11*2)/(F1013-1))+(G1012-'[2]Beam '!$D$11*2))+(2*10*D1021/1000))*D1012</f>
        <v>1.496</v>
      </c>
      <c r="P1021" s="8">
        <f t="shared" si="193"/>
        <v>79.287999999999997</v>
      </c>
      <c r="Q1021" s="8">
        <f>IF($D1021='[2]Beam '!Q$44,$P1021*'[2]Beam '!Q$45,0)</f>
        <v>0</v>
      </c>
      <c r="R1021" s="8">
        <f>IF($D1021='[2]Beam '!R$44,$P1021*'[2]Beam '!R$45,0)</f>
        <v>48.903705714285714</v>
      </c>
      <c r="S1021" s="8">
        <f>IF($D1021='[2]Beam '!S$44,$P1021*'[2]Beam '!S$45,0)</f>
        <v>0</v>
      </c>
      <c r="T1021" s="8">
        <f>IF($D1021='[2]Beam '!T$44,$P1021*'[2]Beam '!T$45,0)</f>
        <v>0</v>
      </c>
      <c r="U1021" s="8">
        <f>IF($D1021='[2]Beam '!U$44,$P1021*'[2]Beam '!U$45,0)</f>
        <v>0</v>
      </c>
      <c r="V1021" s="8">
        <f>IF($D1021='[2]Beam '!V$44,$P1021*'[2]Beam '!V$45,0)</f>
        <v>0</v>
      </c>
      <c r="W1021" s="8">
        <f>IF($D1021='[2]Beam '!W$44,$P1021*'[2]Beam '!W$45,0)</f>
        <v>0</v>
      </c>
      <c r="X1021" s="8">
        <f t="shared" si="194"/>
        <v>48.903705714285714</v>
      </c>
      <c r="Y1021" s="14"/>
      <c r="Z1021" s="8"/>
      <c r="AA1021" s="8"/>
      <c r="AB1021" s="8"/>
      <c r="AC1021" s="8"/>
      <c r="AD1021" s="8"/>
      <c r="AE1021" s="8"/>
      <c r="AF1021" s="8"/>
    </row>
    <row r="1022" spans="1:32" s="10" customFormat="1" ht="20.100000000000001" customHeight="1" x14ac:dyDescent="0.25">
      <c r="A1022" s="14"/>
      <c r="B1022" s="8" t="s">
        <v>2</v>
      </c>
      <c r="C1022" s="13" t="s">
        <v>16</v>
      </c>
      <c r="D1022" s="14">
        <f>D1020</f>
        <v>10</v>
      </c>
      <c r="E1022" s="14">
        <f>+E1020</f>
        <v>0.125</v>
      </c>
      <c r="F1022" s="14">
        <f>ROUND((E1012-(IF(E1012/3&gt;2*G1012,E1012/3*2,G1012*2*2)))/E1022,0)</f>
        <v>20</v>
      </c>
      <c r="H1022" s="14"/>
      <c r="I1022" s="14"/>
      <c r="J1022" s="14"/>
      <c r="K1022" s="14"/>
      <c r="L1022" s="14"/>
      <c r="M1022" s="14"/>
      <c r="N1022" s="14"/>
      <c r="O1022" s="8">
        <f>(2*(((F1012-'[2]Beam '!$D$11*2)/(F1013-1))+(G1012-'[2]Beam '!$D$11*2))+(2*10*D1022/1000))*D1012</f>
        <v>1.496</v>
      </c>
      <c r="P1022" s="8">
        <f t="shared" si="193"/>
        <v>29.92</v>
      </c>
      <c r="Q1022" s="8">
        <f>IF($D1022='[2]Beam '!Q$44,$P1022*'[2]Beam '!Q$45,0)</f>
        <v>0</v>
      </c>
      <c r="R1022" s="8">
        <f>IF($D1022='[2]Beam '!R$44,$P1022*'[2]Beam '!R$45,0)</f>
        <v>18.454228571428573</v>
      </c>
      <c r="S1022" s="8">
        <f>IF($D1022='[2]Beam '!S$44,$P1022*'[2]Beam '!S$45,0)</f>
        <v>0</v>
      </c>
      <c r="T1022" s="8">
        <f>IF($D1022='[2]Beam '!T$44,$P1022*'[2]Beam '!T$45,0)</f>
        <v>0</v>
      </c>
      <c r="U1022" s="8">
        <f>IF($D1022='[2]Beam '!U$44,$P1022*'[2]Beam '!U$45,0)</f>
        <v>0</v>
      </c>
      <c r="V1022" s="8">
        <f>IF($D1022='[2]Beam '!V$44,$P1022*'[2]Beam '!V$45,0)</f>
        <v>0</v>
      </c>
      <c r="W1022" s="8">
        <f>IF($D1022='[2]Beam '!W$44,$P1022*'[2]Beam '!W$45,0)</f>
        <v>0</v>
      </c>
      <c r="X1022" s="8">
        <f t="shared" si="194"/>
        <v>18.454228571428573</v>
      </c>
      <c r="Y1022" s="14"/>
      <c r="Z1022" s="8"/>
      <c r="AA1022" s="8"/>
      <c r="AB1022" s="8"/>
      <c r="AC1022" s="8"/>
      <c r="AD1022" s="8"/>
      <c r="AE1022" s="8"/>
    </row>
    <row r="1023" spans="1:32" s="10" customFormat="1" ht="20.100000000000001" customHeight="1" x14ac:dyDescent="0.25">
      <c r="A1023" s="7"/>
      <c r="B1023" s="8" t="s">
        <v>2</v>
      </c>
      <c r="C1023" s="13" t="s">
        <v>10</v>
      </c>
      <c r="D1023" s="8">
        <f>+'[2]Beam '!$D$15</f>
        <v>25</v>
      </c>
      <c r="E1023" s="8">
        <f>+'[2]Beam '!$E$15</f>
        <v>1</v>
      </c>
      <c r="F1023" s="8">
        <f>ROUNDUP((4+O1018)/E1023,0)</f>
        <v>10</v>
      </c>
      <c r="G1023" s="9"/>
      <c r="H1023" s="9"/>
      <c r="I1023" s="8"/>
      <c r="J1023" s="8"/>
      <c r="K1023" s="8"/>
      <c r="L1023" s="8"/>
      <c r="M1023" s="8"/>
      <c r="N1023" s="8"/>
      <c r="O1023" s="8">
        <f>F1012-'[2]Beam '!$F$15</f>
        <v>0.54</v>
      </c>
      <c r="P1023" s="8">
        <f t="shared" si="193"/>
        <v>5.4</v>
      </c>
      <c r="Q1023" s="8">
        <f>IF($D1023='[2]Beam '!Q$44,$P1023*'[2]Beam '!Q$45,0)</f>
        <v>0</v>
      </c>
      <c r="R1023" s="8">
        <f>IF($D1023='[2]Beam '!R$44,$P1023*'[2]Beam '!R$45,0)</f>
        <v>0</v>
      </c>
      <c r="S1023" s="8">
        <f>IF($D1023='[2]Beam '!S$44,$P1023*'[2]Beam '!S$45,0)</f>
        <v>0</v>
      </c>
      <c r="T1023" s="8">
        <f>IF($D1023='[2]Beam '!T$44,$P1023*'[2]Beam '!T$45,0)</f>
        <v>0</v>
      </c>
      <c r="U1023" s="8">
        <f>IF($D1023='[2]Beam '!U$44,$P1023*'[2]Beam '!U$45,0)</f>
        <v>0</v>
      </c>
      <c r="V1023" s="8">
        <f>IF($D1023='[2]Beam '!V$44,$P1023*'[2]Beam '!V$45,0)</f>
        <v>20.816517857142863</v>
      </c>
      <c r="W1023" s="8">
        <f>IF($D1023='[2]Beam '!W$44,$P1023*'[2]Beam '!W$45,0)</f>
        <v>0</v>
      </c>
      <c r="X1023" s="8">
        <f t="shared" si="194"/>
        <v>20.816517857142863</v>
      </c>
      <c r="Y1023" s="8"/>
      <c r="Z1023" s="8"/>
      <c r="AA1023" s="8"/>
      <c r="AB1023" s="8"/>
      <c r="AC1023" s="8"/>
      <c r="AD1023" s="8"/>
      <c r="AE1023" s="8"/>
    </row>
    <row r="1024" spans="1:32" s="10" customFormat="1" ht="20.100000000000001" customHeight="1" x14ac:dyDescent="0.25">
      <c r="A1024" s="8">
        <v>1</v>
      </c>
      <c r="B1024" s="8" t="s">
        <v>2</v>
      </c>
      <c r="C1024" s="11" t="s">
        <v>138</v>
      </c>
      <c r="D1024" s="11">
        <v>1</v>
      </c>
      <c r="E1024" s="11">
        <v>0.9</v>
      </c>
      <c r="F1024" s="11">
        <v>0.5</v>
      </c>
      <c r="G1024" s="11">
        <v>1.2</v>
      </c>
      <c r="H1024" s="8">
        <f>G1024-0.2</f>
        <v>1</v>
      </c>
      <c r="I1024" s="8">
        <f>E1024*F1024*G1024*D1024</f>
        <v>0.54</v>
      </c>
      <c r="J1024" s="8">
        <f>(2*(E1024)*H1024*D1024)+(E1024*F1024)</f>
        <v>2.25</v>
      </c>
      <c r="K1024" s="12">
        <f>IF(E1024=0.3,J1024,0)</f>
        <v>0</v>
      </c>
      <c r="L1024" s="12">
        <f>IF(AND(E1024&gt;0.3,E1024&lt;=0.75),J1024,0)</f>
        <v>0</v>
      </c>
      <c r="M1024" s="12">
        <f>IF(AND(E1024&gt;0.75,E1024&lt;=1.2),J1024,0)</f>
        <v>2.25</v>
      </c>
      <c r="N1024" s="12">
        <f>IF(E1024&gt;1.2,J1024,0)</f>
        <v>0</v>
      </c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>
        <f>SUM(X1025:X1029)/I1024</f>
        <v>484.36410582010586</v>
      </c>
      <c r="Z1024" s="8"/>
      <c r="AA1024" s="8"/>
      <c r="AB1024" s="8"/>
      <c r="AC1024" s="8"/>
      <c r="AD1024" s="8"/>
      <c r="AE1024" s="8"/>
    </row>
    <row r="1025" spans="1:32" s="10" customFormat="1" ht="20.100000000000001" customHeight="1" x14ac:dyDescent="0.25">
      <c r="A1025" s="7"/>
      <c r="B1025" s="8" t="s">
        <v>2</v>
      </c>
      <c r="C1025" s="13" t="s">
        <v>4</v>
      </c>
      <c r="D1025" s="8">
        <v>25</v>
      </c>
      <c r="E1025" s="8"/>
      <c r="F1025" s="8">
        <v>5</v>
      </c>
      <c r="G1025" s="9">
        <f>VLOOKUP(D1025,'[2]Beam '!$C$20:$H$26,3,0)</f>
        <v>1</v>
      </c>
      <c r="H1025" s="9"/>
      <c r="I1025" s="8"/>
      <c r="J1025" s="8"/>
      <c r="K1025" s="8"/>
      <c r="L1025" s="8"/>
      <c r="M1025" s="8"/>
      <c r="N1025" s="8"/>
      <c r="O1025" s="8">
        <f>(E1024+1*(G1025+(12*D1025/1000))+1*(G1025)*D1024)</f>
        <v>3.2</v>
      </c>
      <c r="P1025" s="8">
        <f t="shared" ref="P1025:P1031" si="195">O1025*F1025</f>
        <v>16</v>
      </c>
      <c r="Q1025" s="8">
        <f>IF($D1025='[2]Beam '!Q$44,$P1025*'[2]Beam '!Q$45,0)</f>
        <v>0</v>
      </c>
      <c r="R1025" s="8">
        <f>IF($D1025='[2]Beam '!R$44,$P1025*'[2]Beam '!R$45,0)</f>
        <v>0</v>
      </c>
      <c r="S1025" s="8">
        <f>IF($D1025='[2]Beam '!S$44,$P1025*'[2]Beam '!S$45,0)</f>
        <v>0</v>
      </c>
      <c r="T1025" s="8">
        <f>IF($D1025='[2]Beam '!T$44,$P1025*'[2]Beam '!T$45,0)</f>
        <v>0</v>
      </c>
      <c r="U1025" s="8">
        <f>IF($D1025='[2]Beam '!U$44,$P1025*'[2]Beam '!U$45,0)</f>
        <v>0</v>
      </c>
      <c r="V1025" s="8">
        <f>IF($D1025='[2]Beam '!V$44,$P1025*'[2]Beam '!V$45,0)</f>
        <v>61.678571428571438</v>
      </c>
      <c r="W1025" s="8">
        <f>IF($D1025='[2]Beam '!W$44,$P1025*'[2]Beam '!W$45,0)</f>
        <v>0</v>
      </c>
      <c r="X1025" s="8">
        <f t="shared" ref="X1025:X1031" si="196">SUM(Q1025:W1025)</f>
        <v>61.678571428571438</v>
      </c>
      <c r="Y1025" s="8"/>
      <c r="Z1025" s="8"/>
      <c r="AA1025" s="8"/>
      <c r="AB1025" s="8"/>
      <c r="AC1025" s="8"/>
      <c r="AD1025" s="8"/>
      <c r="AE1025" s="8"/>
    </row>
    <row r="1026" spans="1:32" s="10" customFormat="1" ht="20.100000000000001" customHeight="1" x14ac:dyDescent="0.25">
      <c r="A1026" s="7"/>
      <c r="B1026" s="8" t="s">
        <v>2</v>
      </c>
      <c r="C1026" s="13" t="s">
        <v>4</v>
      </c>
      <c r="D1026" s="8">
        <v>25</v>
      </c>
      <c r="E1026" s="8"/>
      <c r="F1026" s="8">
        <v>5</v>
      </c>
      <c r="G1026" s="9">
        <f>VLOOKUP(D1026,'[2]Beam '!$C$20:$H$26,3,0)</f>
        <v>1</v>
      </c>
      <c r="H1026" s="9"/>
      <c r="I1026" s="8"/>
      <c r="J1026" s="8"/>
      <c r="K1026" s="8"/>
      <c r="L1026" s="8"/>
      <c r="M1026" s="8"/>
      <c r="N1026" s="8"/>
      <c r="O1026" s="8">
        <f>(E1024+1*(G1026+(12*D1026/1000))+1*(G1026)*D1024)</f>
        <v>3.2</v>
      </c>
      <c r="P1026" s="8">
        <f t="shared" si="195"/>
        <v>16</v>
      </c>
      <c r="Q1026" s="8">
        <f>IF($D1026='[2]Beam '!Q$44,$P1026*'[2]Beam '!Q$45,0)</f>
        <v>0</v>
      </c>
      <c r="R1026" s="8">
        <f>IF($D1026='[2]Beam '!R$44,$P1026*'[2]Beam '!R$45,0)</f>
        <v>0</v>
      </c>
      <c r="S1026" s="8">
        <f>IF($D1026='[2]Beam '!S$44,$P1026*'[2]Beam '!S$45,0)</f>
        <v>0</v>
      </c>
      <c r="T1026" s="8">
        <f>IF($D1026='[2]Beam '!T$44,$P1026*'[2]Beam '!T$45,0)</f>
        <v>0</v>
      </c>
      <c r="U1026" s="8">
        <f>IF($D1026='[2]Beam '!U$44,$P1026*'[2]Beam '!U$45,0)</f>
        <v>0</v>
      </c>
      <c r="V1026" s="8">
        <f>IF($D1026='[2]Beam '!V$44,$P1026*'[2]Beam '!V$45,0)</f>
        <v>61.678571428571438</v>
      </c>
      <c r="W1026" s="8">
        <f>IF($D1026='[2]Beam '!W$44,$P1026*'[2]Beam '!W$45,0)</f>
        <v>0</v>
      </c>
      <c r="X1026" s="8">
        <f t="shared" si="196"/>
        <v>61.678571428571438</v>
      </c>
      <c r="Y1026" s="8"/>
      <c r="Z1026" s="8"/>
      <c r="AA1026" s="8"/>
      <c r="AB1026" s="8"/>
      <c r="AC1026" s="8"/>
      <c r="AD1026" s="8"/>
      <c r="AE1026" s="8"/>
    </row>
    <row r="1027" spans="1:32" s="14" customFormat="1" ht="20.100000000000001" customHeight="1" x14ac:dyDescent="0.3">
      <c r="A1027" s="7"/>
      <c r="B1027" s="8" t="s">
        <v>2</v>
      </c>
      <c r="C1027" s="13" t="s">
        <v>139</v>
      </c>
      <c r="D1027" s="8">
        <v>25</v>
      </c>
      <c r="E1027" s="8"/>
      <c r="F1027" s="8">
        <v>5</v>
      </c>
      <c r="G1027" s="9">
        <f>VLOOKUP(D1027,'[2]Beam '!$C$20:$H$26,3,0)</f>
        <v>1</v>
      </c>
      <c r="H1027" s="9"/>
      <c r="I1027" s="8"/>
      <c r="J1027" s="8"/>
      <c r="K1027" s="8"/>
      <c r="L1027" s="8"/>
      <c r="M1027" s="8"/>
      <c r="N1027" s="8"/>
      <c r="O1027" s="8">
        <f>(E1024+1*(G1027+(12*D1027/1000))+1*(G1027)*D1024)</f>
        <v>3.2</v>
      </c>
      <c r="P1027" s="8">
        <f t="shared" si="195"/>
        <v>16</v>
      </c>
      <c r="Q1027" s="8">
        <f>IF($D1027='[2]Beam '!Q$44,$P1027*'[2]Beam '!Q$45,0)</f>
        <v>0</v>
      </c>
      <c r="R1027" s="8">
        <f>IF($D1027='[2]Beam '!R$44,$P1027*'[2]Beam '!R$45,0)</f>
        <v>0</v>
      </c>
      <c r="S1027" s="8">
        <f>IF($D1027='[2]Beam '!S$44,$P1027*'[2]Beam '!S$45,0)</f>
        <v>0</v>
      </c>
      <c r="T1027" s="8">
        <f>IF($D1027='[2]Beam '!T$44,$P1027*'[2]Beam '!T$45,0)</f>
        <v>0</v>
      </c>
      <c r="U1027" s="8">
        <f>IF($D1027='[2]Beam '!U$44,$P1027*'[2]Beam '!U$45,0)</f>
        <v>0</v>
      </c>
      <c r="V1027" s="8">
        <f>IF($D1027='[2]Beam '!V$44,$P1027*'[2]Beam '!V$45,0)</f>
        <v>61.678571428571438</v>
      </c>
      <c r="W1027" s="8">
        <f>IF($D1027='[2]Beam '!W$44,$P1027*'[2]Beam '!W$45,0)</f>
        <v>0</v>
      </c>
      <c r="X1027" s="8">
        <f t="shared" si="196"/>
        <v>61.678571428571438</v>
      </c>
      <c r="Y1027" s="8"/>
    </row>
    <row r="1028" spans="1:32" s="10" customFormat="1" ht="20.100000000000001" customHeight="1" x14ac:dyDescent="0.25">
      <c r="A1028" s="7"/>
      <c r="B1028" s="8" t="s">
        <v>2</v>
      </c>
      <c r="C1028" s="13" t="s">
        <v>139</v>
      </c>
      <c r="D1028" s="8">
        <v>25</v>
      </c>
      <c r="E1028" s="8"/>
      <c r="F1028" s="8">
        <v>4</v>
      </c>
      <c r="G1028" s="9">
        <f>VLOOKUP(D1028,'[2]Beam '!$C$20:$H$26,3,0)</f>
        <v>1</v>
      </c>
      <c r="H1028" s="9"/>
      <c r="I1028" s="8"/>
      <c r="J1028" s="8"/>
      <c r="K1028" s="8"/>
      <c r="L1028" s="8"/>
      <c r="M1028" s="8"/>
      <c r="N1028" s="8"/>
      <c r="O1028" s="8">
        <f>(E1024+1*(G1028+(12*D1028/1000))+1*(G1028)*D1024)</f>
        <v>3.2</v>
      </c>
      <c r="P1028" s="8">
        <f t="shared" si="195"/>
        <v>12.8</v>
      </c>
      <c r="Q1028" s="8">
        <f>IF($D1028='[2]Beam '!Q$44,$P1028*'[2]Beam '!Q$45,0)</f>
        <v>0</v>
      </c>
      <c r="R1028" s="8">
        <f>IF($D1028='[2]Beam '!R$44,$P1028*'[2]Beam '!R$45,0)</f>
        <v>0</v>
      </c>
      <c r="S1028" s="8">
        <f>IF($D1028='[2]Beam '!S$44,$P1028*'[2]Beam '!S$45,0)</f>
        <v>0</v>
      </c>
      <c r="T1028" s="8">
        <f>IF($D1028='[2]Beam '!T$44,$P1028*'[2]Beam '!T$45,0)</f>
        <v>0</v>
      </c>
      <c r="U1028" s="8">
        <f>IF($D1028='[2]Beam '!U$44,$P1028*'[2]Beam '!U$45,0)</f>
        <v>0</v>
      </c>
      <c r="V1028" s="8">
        <f>IF($D1028='[2]Beam '!V$44,$P1028*'[2]Beam '!V$45,0)</f>
        <v>49.342857142857156</v>
      </c>
      <c r="W1028" s="8">
        <f>IF($D1028='[2]Beam '!W$44,$P1028*'[2]Beam '!W$45,0)</f>
        <v>0</v>
      </c>
      <c r="X1028" s="8">
        <f t="shared" si="196"/>
        <v>49.342857142857156</v>
      </c>
      <c r="Y1028" s="8"/>
      <c r="Z1028" s="8"/>
      <c r="AA1028" s="8"/>
      <c r="AB1028" s="8"/>
      <c r="AC1028" s="8"/>
      <c r="AD1028" s="8"/>
      <c r="AE1028" s="8"/>
    </row>
    <row r="1029" spans="1:32" s="10" customFormat="1" ht="21" customHeight="1" x14ac:dyDescent="0.25">
      <c r="A1029" s="7"/>
      <c r="B1029" s="8" t="s">
        <v>2</v>
      </c>
      <c r="C1029" s="13" t="s">
        <v>8</v>
      </c>
      <c r="D1029" s="8">
        <v>12</v>
      </c>
      <c r="E1029" s="8">
        <v>0.1</v>
      </c>
      <c r="F1029" s="8">
        <f>ROUNDUP(E1024/E1029,0)</f>
        <v>9</v>
      </c>
      <c r="H1029" s="8"/>
      <c r="I1029" s="8"/>
      <c r="J1029" s="8"/>
      <c r="K1029" s="8"/>
      <c r="L1029" s="8"/>
      <c r="M1029" s="8"/>
      <c r="N1029" s="8"/>
      <c r="O1029" s="8">
        <f>(2*((G1024-(2*'[2]Beam '!$D$11))+(F1024-(2*'[2]Beam '!$D$11)))+(2*10*D1029/1000))*D1024</f>
        <v>3.3999999999999995</v>
      </c>
      <c r="P1029" s="8">
        <f t="shared" si="195"/>
        <v>30.599999999999994</v>
      </c>
      <c r="Q1029" s="8">
        <f>IF($D1029='[2]Beam '!Q$44,$P1029*'[2]Beam '!Q$45,0)</f>
        <v>0</v>
      </c>
      <c r="R1029" s="8">
        <f>IF($D1029='[2]Beam '!R$44,$P1029*'[2]Beam '!R$45,0)</f>
        <v>0</v>
      </c>
      <c r="S1029" s="8">
        <f>IF($D1029='[2]Beam '!S$44,$P1029*'[2]Beam '!S$45,0)</f>
        <v>27.178045714285712</v>
      </c>
      <c r="T1029" s="8">
        <f>IF($D1029='[2]Beam '!T$44,$P1029*'[2]Beam '!T$45,0)</f>
        <v>0</v>
      </c>
      <c r="U1029" s="8">
        <f>IF($D1029='[2]Beam '!U$44,$P1029*'[2]Beam '!U$45,0)</f>
        <v>0</v>
      </c>
      <c r="V1029" s="8">
        <f>IF($D1029='[2]Beam '!V$44,$P1029*'[2]Beam '!V$45,0)</f>
        <v>0</v>
      </c>
      <c r="W1029" s="8">
        <f>IF($D1029='[2]Beam '!W$44,$P1029*'[2]Beam '!W$45,0)</f>
        <v>0</v>
      </c>
      <c r="X1029" s="8">
        <f t="shared" si="196"/>
        <v>27.178045714285712</v>
      </c>
      <c r="Y1029" s="8"/>
      <c r="Z1029" s="8"/>
      <c r="AA1029" s="8"/>
      <c r="AB1029" s="8"/>
      <c r="AC1029" s="8"/>
      <c r="AD1029" s="8"/>
      <c r="AE1029" s="8"/>
      <c r="AF1029" s="8"/>
    </row>
    <row r="1030" spans="1:32" s="10" customFormat="1" ht="20.100000000000001" customHeight="1" x14ac:dyDescent="0.25">
      <c r="A1030" s="14"/>
      <c r="B1030" s="8" t="s">
        <v>2</v>
      </c>
      <c r="C1030" s="13" t="s">
        <v>9</v>
      </c>
      <c r="D1030" s="8">
        <f>+D1029</f>
        <v>12</v>
      </c>
      <c r="E1030" s="14">
        <f>+E1029</f>
        <v>0.1</v>
      </c>
      <c r="F1030" s="8">
        <f>ROUNDUP(E1024/E1030,0)</f>
        <v>9</v>
      </c>
      <c r="H1030" s="14"/>
      <c r="I1030" s="14"/>
      <c r="J1030" s="14"/>
      <c r="K1030" s="14"/>
      <c r="L1030" s="14"/>
      <c r="M1030" s="14"/>
      <c r="N1030" s="14"/>
      <c r="O1030" s="8">
        <f>((((G1024-(2*'[2]Beam '!$D$11))+(2*10*D1030/1000))*D1024))*1</f>
        <v>1.38</v>
      </c>
      <c r="P1030" s="8">
        <f t="shared" si="195"/>
        <v>12.419999999999998</v>
      </c>
      <c r="Q1030" s="8">
        <f>IF($D1030='[2]Beam '!Q$44,$P1030*'[2]Beam '!Q$45,0)</f>
        <v>0</v>
      </c>
      <c r="R1030" s="8">
        <f>IF($D1030='[2]Beam '!R$44,$P1030*'[2]Beam '!R$45,0)</f>
        <v>0</v>
      </c>
      <c r="S1030" s="8">
        <f>IF($D1030='[2]Beam '!S$44,$P1030*'[2]Beam '!S$45,0)</f>
        <v>11.031089142857143</v>
      </c>
      <c r="T1030" s="8">
        <f>IF($D1030='[2]Beam '!T$44,$P1030*'[2]Beam '!T$45,0)</f>
        <v>0</v>
      </c>
      <c r="U1030" s="8">
        <f>IF($D1030='[2]Beam '!U$44,$P1030*'[2]Beam '!U$45,0)</f>
        <v>0</v>
      </c>
      <c r="V1030" s="8">
        <f>IF($D1030='[2]Beam '!V$44,$P1030*'[2]Beam '!V$45,0)</f>
        <v>0</v>
      </c>
      <c r="W1030" s="8">
        <f>IF($D1030='[2]Beam '!W$44,$P1030*'[2]Beam '!W$45,0)</f>
        <v>0</v>
      </c>
      <c r="X1030" s="8">
        <f t="shared" si="196"/>
        <v>11.031089142857143</v>
      </c>
      <c r="Y1030" s="14"/>
      <c r="Z1030" s="8"/>
      <c r="AA1030" s="8"/>
      <c r="AB1030" s="8"/>
      <c r="AC1030" s="8"/>
      <c r="AD1030" s="8"/>
      <c r="AE1030" s="8"/>
    </row>
    <row r="1031" spans="1:32" s="10" customFormat="1" ht="20.100000000000001" customHeight="1" x14ac:dyDescent="0.25">
      <c r="A1031" s="7"/>
      <c r="B1031" s="8" t="s">
        <v>2</v>
      </c>
      <c r="C1031" s="13" t="s">
        <v>10</v>
      </c>
      <c r="D1031" s="8">
        <f>+'[2]Beam '!$D$15</f>
        <v>25</v>
      </c>
      <c r="E1031" s="8">
        <f>+'[2]Beam '!$E$15</f>
        <v>1</v>
      </c>
      <c r="F1031" s="8">
        <f>ROUNDUP((E1024)/E1031,0)</f>
        <v>1</v>
      </c>
      <c r="G1031" s="9"/>
      <c r="H1031" s="9"/>
      <c r="I1031" s="8"/>
      <c r="J1031" s="8"/>
      <c r="K1031" s="8"/>
      <c r="L1031" s="8"/>
      <c r="M1031" s="8"/>
      <c r="N1031" s="8"/>
      <c r="O1031" s="8">
        <f>F1024-'[2]Beam '!$F$15</f>
        <v>0.44</v>
      </c>
      <c r="P1031" s="8">
        <f t="shared" si="195"/>
        <v>0.44</v>
      </c>
      <c r="Q1031" s="8">
        <f>IF($D1031='[2]Beam '!Q$44,$P1031*'[2]Beam '!Q$45,0)</f>
        <v>0</v>
      </c>
      <c r="R1031" s="8">
        <f>IF($D1031='[2]Beam '!R$44,$P1031*'[2]Beam '!R$45,0)</f>
        <v>0</v>
      </c>
      <c r="S1031" s="8">
        <f>IF($D1031='[2]Beam '!S$44,$P1031*'[2]Beam '!S$45,0)</f>
        <v>0</v>
      </c>
      <c r="T1031" s="8">
        <f>IF($D1031='[2]Beam '!T$44,$P1031*'[2]Beam '!T$45,0)</f>
        <v>0</v>
      </c>
      <c r="U1031" s="8">
        <f>IF($D1031='[2]Beam '!U$44,$P1031*'[2]Beam '!U$45,0)</f>
        <v>0</v>
      </c>
      <c r="V1031" s="8">
        <f>IF($D1031='[2]Beam '!V$44,$P1031*'[2]Beam '!V$45,0)</f>
        <v>1.6961607142857145</v>
      </c>
      <c r="W1031" s="8">
        <f>IF($D1031='[2]Beam '!W$44,$P1031*'[2]Beam '!W$45,0)</f>
        <v>0</v>
      </c>
      <c r="X1031" s="8">
        <f t="shared" si="196"/>
        <v>1.6961607142857145</v>
      </c>
      <c r="Y1031" s="8"/>
      <c r="Z1031" s="8"/>
      <c r="AA1031" s="8"/>
      <c r="AB1031" s="8"/>
      <c r="AC1031" s="8"/>
      <c r="AD1031" s="8"/>
      <c r="AE1031" s="8"/>
    </row>
    <row r="1032" spans="1:32" s="10" customFormat="1" ht="20.100000000000001" customHeight="1" x14ac:dyDescent="0.25">
      <c r="A1032" s="8">
        <v>1</v>
      </c>
      <c r="B1032" s="8" t="s">
        <v>2</v>
      </c>
      <c r="C1032" s="11" t="s">
        <v>140</v>
      </c>
      <c r="D1032" s="11">
        <v>1</v>
      </c>
      <c r="E1032" s="11">
        <v>3.3</v>
      </c>
      <c r="F1032" s="11">
        <v>0.57499999999999996</v>
      </c>
      <c r="G1032" s="11">
        <v>1.1000000000000001</v>
      </c>
      <c r="H1032" s="8">
        <f>G1032-0.2</f>
        <v>0.90000000000000013</v>
      </c>
      <c r="I1032" s="8">
        <f>E1032*F1032*G1032*D1032</f>
        <v>2.08725</v>
      </c>
      <c r="J1032" s="8">
        <f>(2*(E1032)*H1032*D1032)+(E1032*F1032)</f>
        <v>7.8375000000000004</v>
      </c>
      <c r="K1032" s="12">
        <f>IF(E1032=0.3,J1032,0)</f>
        <v>0</v>
      </c>
      <c r="L1032" s="12">
        <f>IF(AND(E1032&gt;0.3,E1032&lt;=0.75),J1032,0)</f>
        <v>0</v>
      </c>
      <c r="M1032" s="12">
        <f>IF(AND(E1032&gt;0.75,E1032&lt;=1.2),J1032,0)</f>
        <v>0</v>
      </c>
      <c r="N1032" s="12">
        <f>IF(E1032&gt;1.2,J1032,0)</f>
        <v>7.8375000000000004</v>
      </c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>
        <f>SUM(X1033:X1037)/I1032</f>
        <v>220.83336909467346</v>
      </c>
      <c r="Z1032" s="8"/>
      <c r="AA1032" s="8"/>
      <c r="AB1032" s="8"/>
      <c r="AC1032" s="8"/>
      <c r="AD1032" s="8"/>
      <c r="AE1032" s="8"/>
    </row>
    <row r="1033" spans="1:32" s="10" customFormat="1" ht="20.100000000000001" customHeight="1" x14ac:dyDescent="0.25">
      <c r="A1033" s="7"/>
      <c r="B1033" s="8" t="s">
        <v>2</v>
      </c>
      <c r="C1033" s="13" t="s">
        <v>4</v>
      </c>
      <c r="D1033" s="8">
        <v>25</v>
      </c>
      <c r="E1033" s="8"/>
      <c r="F1033" s="8">
        <v>5</v>
      </c>
      <c r="G1033" s="9">
        <f>VLOOKUP(D1033,'[2]Beam '!$C$20:$H$26,3,0)</f>
        <v>1</v>
      </c>
      <c r="H1033" s="9"/>
      <c r="I1033" s="8"/>
      <c r="J1033" s="8"/>
      <c r="K1033" s="8"/>
      <c r="L1033" s="8"/>
      <c r="M1033" s="8"/>
      <c r="N1033" s="8"/>
      <c r="O1033" s="8">
        <f>(E1032+2*(G1033+(12*D1033/1000))*D1032)</f>
        <v>5.9</v>
      </c>
      <c r="P1033" s="8">
        <f t="shared" ref="P1033:P1039" si="197">O1033*F1033</f>
        <v>29.5</v>
      </c>
      <c r="Q1033" s="8">
        <f>IF($D1033='[2]Beam '!Q$44,$P1033*'[2]Beam '!Q$45,0)</f>
        <v>0</v>
      </c>
      <c r="R1033" s="8">
        <f>IF($D1033='[2]Beam '!R$44,$P1033*'[2]Beam '!R$45,0)</f>
        <v>0</v>
      </c>
      <c r="S1033" s="8">
        <f>IF($D1033='[2]Beam '!S$44,$P1033*'[2]Beam '!S$45,0)</f>
        <v>0</v>
      </c>
      <c r="T1033" s="8">
        <f>IF($D1033='[2]Beam '!T$44,$P1033*'[2]Beam '!T$45,0)</f>
        <v>0</v>
      </c>
      <c r="U1033" s="8">
        <f>IF($D1033='[2]Beam '!U$44,$P1033*'[2]Beam '!U$45,0)</f>
        <v>0</v>
      </c>
      <c r="V1033" s="8">
        <f>IF($D1033='[2]Beam '!V$44,$P1033*'[2]Beam '!V$45,0)</f>
        <v>113.71986607142858</v>
      </c>
      <c r="W1033" s="8">
        <f>IF($D1033='[2]Beam '!W$44,$P1033*'[2]Beam '!W$45,0)</f>
        <v>0</v>
      </c>
      <c r="X1033" s="8">
        <f t="shared" ref="X1033:X1039" si="198">SUM(Q1033:W1033)</f>
        <v>113.71986607142858</v>
      </c>
      <c r="Y1033" s="8"/>
      <c r="Z1033" s="8"/>
      <c r="AA1033" s="8"/>
      <c r="AB1033" s="8"/>
      <c r="AC1033" s="8"/>
      <c r="AD1033" s="8"/>
      <c r="AE1033" s="8"/>
    </row>
    <row r="1034" spans="1:32" s="10" customFormat="1" ht="20.100000000000001" customHeight="1" x14ac:dyDescent="0.25">
      <c r="A1034" s="7"/>
      <c r="B1034" s="8" t="s">
        <v>2</v>
      </c>
      <c r="C1034" s="13" t="s">
        <v>4</v>
      </c>
      <c r="D1034" s="8">
        <v>25</v>
      </c>
      <c r="E1034" s="8"/>
      <c r="F1034" s="8">
        <v>3</v>
      </c>
      <c r="G1034" s="9">
        <f>VLOOKUP(D1034,'[2]Beam '!$C$20:$H$26,3,0)</f>
        <v>1</v>
      </c>
      <c r="H1034" s="9"/>
      <c r="I1034" s="8"/>
      <c r="J1034" s="8"/>
      <c r="K1034" s="8"/>
      <c r="L1034" s="8"/>
      <c r="M1034" s="8"/>
      <c r="N1034" s="8"/>
      <c r="O1034" s="8">
        <f>(E1032-0.8+1*(G1034+(12*D1034/1000))+1*(G1034)*D1032)</f>
        <v>4.8</v>
      </c>
      <c r="P1034" s="8">
        <f t="shared" si="197"/>
        <v>14.399999999999999</v>
      </c>
      <c r="Q1034" s="8">
        <f>IF($D1034='[2]Beam '!Q$44,$P1034*'[2]Beam '!Q$45,0)</f>
        <v>0</v>
      </c>
      <c r="R1034" s="8">
        <f>IF($D1034='[2]Beam '!R$44,$P1034*'[2]Beam '!R$45,0)</f>
        <v>0</v>
      </c>
      <c r="S1034" s="8">
        <f>IF($D1034='[2]Beam '!S$44,$P1034*'[2]Beam '!S$45,0)</f>
        <v>0</v>
      </c>
      <c r="T1034" s="8">
        <f>IF($D1034='[2]Beam '!T$44,$P1034*'[2]Beam '!T$45,0)</f>
        <v>0</v>
      </c>
      <c r="U1034" s="8">
        <f>IF($D1034='[2]Beam '!U$44,$P1034*'[2]Beam '!U$45,0)</f>
        <v>0</v>
      </c>
      <c r="V1034" s="8">
        <f>IF($D1034='[2]Beam '!V$44,$P1034*'[2]Beam '!V$45,0)</f>
        <v>55.510714285714286</v>
      </c>
      <c r="W1034" s="8">
        <f>IF($D1034='[2]Beam '!W$44,$P1034*'[2]Beam '!W$45,0)</f>
        <v>0</v>
      </c>
      <c r="X1034" s="8">
        <f t="shared" si="198"/>
        <v>55.510714285714286</v>
      </c>
      <c r="Y1034" s="8"/>
      <c r="Z1034" s="8"/>
      <c r="AA1034" s="8"/>
      <c r="AB1034" s="8"/>
      <c r="AC1034" s="8"/>
      <c r="AD1034" s="8"/>
      <c r="AE1034" s="8"/>
    </row>
    <row r="1035" spans="1:32" s="14" customFormat="1" ht="20.100000000000001" customHeight="1" x14ac:dyDescent="0.3">
      <c r="A1035" s="7"/>
      <c r="B1035" s="8" t="s">
        <v>2</v>
      </c>
      <c r="C1035" s="13" t="s">
        <v>139</v>
      </c>
      <c r="D1035" s="8">
        <v>25</v>
      </c>
      <c r="E1035" s="8"/>
      <c r="F1035" s="8">
        <v>5</v>
      </c>
      <c r="G1035" s="9">
        <f>VLOOKUP(D1035,'[2]Beam '!$C$20:$H$26,3,0)</f>
        <v>1</v>
      </c>
      <c r="H1035" s="9"/>
      <c r="I1035" s="8"/>
      <c r="J1035" s="8"/>
      <c r="K1035" s="8"/>
      <c r="L1035" s="8"/>
      <c r="M1035" s="8"/>
      <c r="N1035" s="8"/>
      <c r="O1035" s="8">
        <f>(E1032+2*(G1035+(12*D1035/1000))*D1032)</f>
        <v>5.9</v>
      </c>
      <c r="P1035" s="8">
        <f t="shared" si="197"/>
        <v>29.5</v>
      </c>
      <c r="Q1035" s="8">
        <f>IF($D1035='[2]Beam '!Q$44,$P1035*'[2]Beam '!Q$45,0)</f>
        <v>0</v>
      </c>
      <c r="R1035" s="8">
        <f>IF($D1035='[2]Beam '!R$44,$P1035*'[2]Beam '!R$45,0)</f>
        <v>0</v>
      </c>
      <c r="S1035" s="8">
        <f>IF($D1035='[2]Beam '!S$44,$P1035*'[2]Beam '!S$45,0)</f>
        <v>0</v>
      </c>
      <c r="T1035" s="8">
        <f>IF($D1035='[2]Beam '!T$44,$P1035*'[2]Beam '!T$45,0)</f>
        <v>0</v>
      </c>
      <c r="U1035" s="8">
        <f>IF($D1035='[2]Beam '!U$44,$P1035*'[2]Beam '!U$45,0)</f>
        <v>0</v>
      </c>
      <c r="V1035" s="8">
        <f>IF($D1035='[2]Beam '!V$44,$P1035*'[2]Beam '!V$45,0)</f>
        <v>113.71986607142858</v>
      </c>
      <c r="W1035" s="8">
        <f>IF($D1035='[2]Beam '!W$44,$P1035*'[2]Beam '!W$45,0)</f>
        <v>0</v>
      </c>
      <c r="X1035" s="8">
        <f t="shared" si="198"/>
        <v>113.71986607142858</v>
      </c>
      <c r="Y1035" s="8"/>
    </row>
    <row r="1036" spans="1:32" s="10" customFormat="1" ht="20.100000000000001" customHeight="1" x14ac:dyDescent="0.25">
      <c r="A1036" s="7"/>
      <c r="B1036" s="8" t="s">
        <v>2</v>
      </c>
      <c r="C1036" s="13" t="s">
        <v>88</v>
      </c>
      <c r="D1036" s="8">
        <v>25</v>
      </c>
      <c r="E1036" s="8"/>
      <c r="F1036" s="8">
        <v>3</v>
      </c>
      <c r="G1036" s="9">
        <f>VLOOKUP(D1036,'[2]Beam '!$C$20:$H$26,3,0)</f>
        <v>1</v>
      </c>
      <c r="H1036" s="9"/>
      <c r="I1036" s="8"/>
      <c r="J1036" s="8"/>
      <c r="K1036" s="8"/>
      <c r="L1036" s="8"/>
      <c r="M1036" s="8"/>
      <c r="N1036" s="8"/>
      <c r="O1036" s="8">
        <f>(E1032+2*(G1036+(12*D1036/1000))+1*(G1036)*D1032)</f>
        <v>6.9</v>
      </c>
      <c r="P1036" s="8">
        <f t="shared" si="197"/>
        <v>20.700000000000003</v>
      </c>
      <c r="Q1036" s="8">
        <f>IF($D1036='[2]Beam '!Q$44,$P1036*'[2]Beam '!Q$45,0)</f>
        <v>0</v>
      </c>
      <c r="R1036" s="8">
        <f>IF($D1036='[2]Beam '!R$44,$P1036*'[2]Beam '!R$45,0)</f>
        <v>0</v>
      </c>
      <c r="S1036" s="8">
        <f>IF($D1036='[2]Beam '!S$44,$P1036*'[2]Beam '!S$45,0)</f>
        <v>0</v>
      </c>
      <c r="T1036" s="8">
        <f>IF($D1036='[2]Beam '!T$44,$P1036*'[2]Beam '!T$45,0)</f>
        <v>0</v>
      </c>
      <c r="U1036" s="8">
        <f>IF($D1036='[2]Beam '!U$44,$P1036*'[2]Beam '!U$45,0)</f>
        <v>0</v>
      </c>
      <c r="V1036" s="8">
        <f>IF($D1036='[2]Beam '!V$44,$P1036*'[2]Beam '!V$45,0)</f>
        <v>79.796651785714303</v>
      </c>
      <c r="W1036" s="8">
        <f>IF($D1036='[2]Beam '!W$44,$P1036*'[2]Beam '!W$45,0)</f>
        <v>0</v>
      </c>
      <c r="X1036" s="8">
        <f t="shared" si="198"/>
        <v>79.796651785714303</v>
      </c>
      <c r="Y1036" s="8"/>
      <c r="Z1036" s="8"/>
      <c r="AA1036" s="8"/>
      <c r="AB1036" s="8"/>
      <c r="AC1036" s="8"/>
      <c r="AD1036" s="8"/>
      <c r="AE1036" s="8"/>
    </row>
    <row r="1037" spans="1:32" s="10" customFormat="1" ht="21" customHeight="1" x14ac:dyDescent="0.25">
      <c r="A1037" s="7"/>
      <c r="B1037" s="8" t="s">
        <v>2</v>
      </c>
      <c r="C1037" s="13" t="s">
        <v>8</v>
      </c>
      <c r="D1037" s="8">
        <v>12</v>
      </c>
      <c r="E1037" s="8">
        <v>0.1</v>
      </c>
      <c r="F1037" s="8">
        <f>ROUNDUP(E1032/E1037,0)</f>
        <v>33</v>
      </c>
      <c r="H1037" s="8"/>
      <c r="I1037" s="8"/>
      <c r="J1037" s="8"/>
      <c r="K1037" s="8"/>
      <c r="L1037" s="8"/>
      <c r="M1037" s="8"/>
      <c r="N1037" s="8"/>
      <c r="O1037" s="8">
        <f>(2*((G1032-(2*'[2]Beam '!$D$11))+(F1032-(2*'[2]Beam '!$D$11)))+(2*10*D1037/1000))*D1032</f>
        <v>3.3499999999999996</v>
      </c>
      <c r="P1037" s="8">
        <f t="shared" si="197"/>
        <v>110.54999999999998</v>
      </c>
      <c r="Q1037" s="8">
        <f>IF($D1037='[2]Beam '!Q$44,$P1037*'[2]Beam '!Q$45,0)</f>
        <v>0</v>
      </c>
      <c r="R1037" s="8">
        <f>IF($D1037='[2]Beam '!R$44,$P1037*'[2]Beam '!R$45,0)</f>
        <v>0</v>
      </c>
      <c r="S1037" s="8">
        <f>IF($D1037='[2]Beam '!S$44,$P1037*'[2]Beam '!S$45,0)</f>
        <v>98.187351428571432</v>
      </c>
      <c r="T1037" s="8">
        <f>IF($D1037='[2]Beam '!T$44,$P1037*'[2]Beam '!T$45,0)</f>
        <v>0</v>
      </c>
      <c r="U1037" s="8">
        <f>IF($D1037='[2]Beam '!U$44,$P1037*'[2]Beam '!U$45,0)</f>
        <v>0</v>
      </c>
      <c r="V1037" s="8">
        <f>IF($D1037='[2]Beam '!V$44,$P1037*'[2]Beam '!V$45,0)</f>
        <v>0</v>
      </c>
      <c r="W1037" s="8">
        <f>IF($D1037='[2]Beam '!W$44,$P1037*'[2]Beam '!W$45,0)</f>
        <v>0</v>
      </c>
      <c r="X1037" s="8">
        <f t="shared" si="198"/>
        <v>98.187351428571432</v>
      </c>
      <c r="Y1037" s="8"/>
      <c r="Z1037" s="8"/>
      <c r="AA1037" s="8"/>
      <c r="AB1037" s="8"/>
      <c r="AC1037" s="8"/>
      <c r="AD1037" s="8"/>
      <c r="AE1037" s="8"/>
      <c r="AF1037" s="8"/>
    </row>
    <row r="1038" spans="1:32" s="10" customFormat="1" ht="20.100000000000001" customHeight="1" x14ac:dyDescent="0.25">
      <c r="A1038" s="14"/>
      <c r="B1038" s="8" t="s">
        <v>2</v>
      </c>
      <c r="C1038" s="13" t="s">
        <v>9</v>
      </c>
      <c r="D1038" s="8">
        <f>+D1037</f>
        <v>12</v>
      </c>
      <c r="E1038" s="14">
        <f>+E1037</f>
        <v>0.1</v>
      </c>
      <c r="F1038" s="8">
        <f>ROUNDUP(E1032/E1038,0)</f>
        <v>33</v>
      </c>
      <c r="H1038" s="14"/>
      <c r="I1038" s="14"/>
      <c r="J1038" s="14"/>
      <c r="K1038" s="14"/>
      <c r="L1038" s="14"/>
      <c r="M1038" s="14"/>
      <c r="N1038" s="14"/>
      <c r="O1038" s="8">
        <f>((((G1032-(2*'[2]Beam '!$D$11))+(2*10*D1038/1000))*D1032))*2</f>
        <v>2.56</v>
      </c>
      <c r="P1038" s="8">
        <f t="shared" si="197"/>
        <v>84.48</v>
      </c>
      <c r="Q1038" s="8">
        <f>IF($D1038='[2]Beam '!Q$44,$P1038*'[2]Beam '!Q$45,0)</f>
        <v>0</v>
      </c>
      <c r="R1038" s="8">
        <f>IF($D1038='[2]Beam '!R$44,$P1038*'[2]Beam '!R$45,0)</f>
        <v>0</v>
      </c>
      <c r="S1038" s="8">
        <f>IF($D1038='[2]Beam '!S$44,$P1038*'[2]Beam '!S$45,0)</f>
        <v>75.0327222857143</v>
      </c>
      <c r="T1038" s="8">
        <f>IF($D1038='[2]Beam '!T$44,$P1038*'[2]Beam '!T$45,0)</f>
        <v>0</v>
      </c>
      <c r="U1038" s="8">
        <f>IF($D1038='[2]Beam '!U$44,$P1038*'[2]Beam '!U$45,0)</f>
        <v>0</v>
      </c>
      <c r="V1038" s="8">
        <f>IF($D1038='[2]Beam '!V$44,$P1038*'[2]Beam '!V$45,0)</f>
        <v>0</v>
      </c>
      <c r="W1038" s="8">
        <f>IF($D1038='[2]Beam '!W$44,$P1038*'[2]Beam '!W$45,0)</f>
        <v>0</v>
      </c>
      <c r="X1038" s="8">
        <f t="shared" si="198"/>
        <v>75.0327222857143</v>
      </c>
      <c r="Y1038" s="14"/>
      <c r="Z1038" s="8"/>
      <c r="AA1038" s="8"/>
      <c r="AB1038" s="8"/>
      <c r="AC1038" s="8"/>
      <c r="AD1038" s="8"/>
      <c r="AE1038" s="8"/>
    </row>
    <row r="1039" spans="1:32" s="10" customFormat="1" ht="20.100000000000001" customHeight="1" x14ac:dyDescent="0.25">
      <c r="A1039" s="7"/>
      <c r="B1039" s="8" t="s">
        <v>2</v>
      </c>
      <c r="C1039" s="13" t="s">
        <v>10</v>
      </c>
      <c r="D1039" s="8">
        <f>+'[2]Beam '!$D$15</f>
        <v>25</v>
      </c>
      <c r="E1039" s="8">
        <f>+'[2]Beam '!$E$15</f>
        <v>1</v>
      </c>
      <c r="F1039" s="8">
        <f>ROUNDUP((E1032)/E1039,0)</f>
        <v>4</v>
      </c>
      <c r="G1039" s="9"/>
      <c r="H1039" s="9"/>
      <c r="I1039" s="8"/>
      <c r="J1039" s="8"/>
      <c r="K1039" s="8"/>
      <c r="L1039" s="8"/>
      <c r="M1039" s="8"/>
      <c r="N1039" s="8"/>
      <c r="O1039" s="8">
        <f>F1032-'[2]Beam '!$F$15</f>
        <v>0.5149999999999999</v>
      </c>
      <c r="P1039" s="8">
        <f t="shared" si="197"/>
        <v>2.0599999999999996</v>
      </c>
      <c r="Q1039" s="8">
        <f>IF($D1039='[2]Beam '!Q$44,$P1039*'[2]Beam '!Q$45,0)</f>
        <v>0</v>
      </c>
      <c r="R1039" s="8">
        <f>IF($D1039='[2]Beam '!R$44,$P1039*'[2]Beam '!R$45,0)</f>
        <v>0</v>
      </c>
      <c r="S1039" s="8">
        <f>IF($D1039='[2]Beam '!S$44,$P1039*'[2]Beam '!S$45,0)</f>
        <v>0</v>
      </c>
      <c r="T1039" s="8">
        <f>IF($D1039='[2]Beam '!T$44,$P1039*'[2]Beam '!T$45,0)</f>
        <v>0</v>
      </c>
      <c r="U1039" s="8">
        <f>IF($D1039='[2]Beam '!U$44,$P1039*'[2]Beam '!U$45,0)</f>
        <v>0</v>
      </c>
      <c r="V1039" s="8">
        <f>IF($D1039='[2]Beam '!V$44,$P1039*'[2]Beam '!V$45,0)</f>
        <v>7.9411160714285707</v>
      </c>
      <c r="W1039" s="8">
        <f>IF($D1039='[2]Beam '!W$44,$P1039*'[2]Beam '!W$45,0)</f>
        <v>0</v>
      </c>
      <c r="X1039" s="8">
        <f t="shared" si="198"/>
        <v>7.9411160714285707</v>
      </c>
      <c r="Y1039" s="8"/>
      <c r="Z1039" s="8"/>
      <c r="AA1039" s="8"/>
      <c r="AB1039" s="8"/>
      <c r="AC1039" s="8"/>
      <c r="AD1039" s="8"/>
      <c r="AE1039" s="8"/>
    </row>
    <row r="1040" spans="1:32" s="10" customFormat="1" ht="20.100000000000001" customHeight="1" x14ac:dyDescent="0.25">
      <c r="A1040" s="8">
        <v>1</v>
      </c>
      <c r="B1040" s="8" t="s">
        <v>2</v>
      </c>
      <c r="C1040" s="11" t="s">
        <v>141</v>
      </c>
      <c r="D1040" s="11">
        <v>1</v>
      </c>
      <c r="E1040" s="11">
        <v>8.9499999999999993</v>
      </c>
      <c r="F1040" s="11">
        <v>0.57499999999999996</v>
      </c>
      <c r="G1040" s="11">
        <v>0.6</v>
      </c>
      <c r="H1040" s="8">
        <f>G1040-0.2</f>
        <v>0.39999999999999997</v>
      </c>
      <c r="I1040" s="8">
        <f>E1040*F1040*G1040*D1040</f>
        <v>3.0877499999999993</v>
      </c>
      <c r="J1040" s="8">
        <f>(2*(E1040)*H1040*D1040)+(E1040*F1040)</f>
        <v>12.306249999999999</v>
      </c>
      <c r="K1040" s="12">
        <f>IF(E1040=0.3,J1040,0)</f>
        <v>0</v>
      </c>
      <c r="L1040" s="12">
        <f>IF(AND(E1040&gt;0.3,E1040&lt;=0.75),J1040,0)</f>
        <v>0</v>
      </c>
      <c r="M1040" s="12">
        <f>IF(AND(E1040&gt;0.75,E1040&lt;=1.2),J1040,0)</f>
        <v>0</v>
      </c>
      <c r="N1040" s="12">
        <f>IF(E1040&gt;1.2,J1040,0)</f>
        <v>12.306249999999999</v>
      </c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>
        <f>SUM(X1041:X1050)/I1040</f>
        <v>327.41598476699409</v>
      </c>
      <c r="Z1040" s="8"/>
      <c r="AA1040" s="8"/>
      <c r="AB1040" s="8"/>
      <c r="AC1040" s="8"/>
      <c r="AD1040" s="8"/>
      <c r="AE1040" s="8"/>
    </row>
    <row r="1041" spans="1:32" s="10" customFormat="1" ht="20.100000000000001" customHeight="1" x14ac:dyDescent="0.25">
      <c r="A1041" s="7"/>
      <c r="B1041" s="8" t="s">
        <v>2</v>
      </c>
      <c r="C1041" s="13" t="s">
        <v>4</v>
      </c>
      <c r="D1041" s="8">
        <v>25</v>
      </c>
      <c r="E1041" s="8"/>
      <c r="F1041" s="8">
        <v>5</v>
      </c>
      <c r="G1041" s="9">
        <f>VLOOKUP(D1041,'[2]Beam '!$C$20:$H$26,3,0)</f>
        <v>1</v>
      </c>
      <c r="H1041" s="9"/>
      <c r="I1041" s="8"/>
      <c r="J1041" s="8"/>
      <c r="K1041" s="8"/>
      <c r="L1041" s="8"/>
      <c r="M1041" s="8"/>
      <c r="N1041" s="8"/>
      <c r="O1041" s="8">
        <f>(E1040+2*(G1041)*D1040)</f>
        <v>10.95</v>
      </c>
      <c r="P1041" s="8">
        <f t="shared" ref="P1041:P1050" si="199">O1041*F1041</f>
        <v>54.75</v>
      </c>
      <c r="Q1041" s="8">
        <f>IF($D1041='[2]Beam '!Q$44,$P1041*'[2]Beam '!Q$45,0)</f>
        <v>0</v>
      </c>
      <c r="R1041" s="8">
        <f>IF($D1041='[2]Beam '!R$44,$P1041*'[2]Beam '!R$45,0)</f>
        <v>0</v>
      </c>
      <c r="S1041" s="8">
        <f>IF($D1041='[2]Beam '!S$44,$P1041*'[2]Beam '!S$45,0)</f>
        <v>0</v>
      </c>
      <c r="T1041" s="8">
        <f>IF($D1041='[2]Beam '!T$44,$P1041*'[2]Beam '!T$45,0)</f>
        <v>0</v>
      </c>
      <c r="U1041" s="8">
        <f>IF($D1041='[2]Beam '!U$44,$P1041*'[2]Beam '!U$45,0)</f>
        <v>0</v>
      </c>
      <c r="V1041" s="8">
        <f>IF($D1041='[2]Beam '!V$44,$P1041*'[2]Beam '!V$45,0)</f>
        <v>211.05636160714289</v>
      </c>
      <c r="W1041" s="8">
        <f>IF($D1041='[2]Beam '!W$44,$P1041*'[2]Beam '!W$45,0)</f>
        <v>0</v>
      </c>
      <c r="X1041" s="8">
        <f t="shared" ref="X1041:X1050" si="200">SUM(Q1041:W1041)</f>
        <v>211.05636160714289</v>
      </c>
      <c r="Y1041" s="8"/>
      <c r="Z1041" s="8"/>
      <c r="AA1041" s="8"/>
      <c r="AB1041" s="8"/>
      <c r="AC1041" s="8"/>
      <c r="AD1041" s="8"/>
      <c r="AE1041" s="8"/>
    </row>
    <row r="1042" spans="1:32" s="10" customFormat="1" ht="20.100000000000001" customHeight="1" x14ac:dyDescent="0.25">
      <c r="A1042" s="7"/>
      <c r="B1042" s="8" t="s">
        <v>2</v>
      </c>
      <c r="C1042" s="13" t="s">
        <v>4</v>
      </c>
      <c r="D1042" s="8">
        <v>32</v>
      </c>
      <c r="E1042" s="8"/>
      <c r="F1042" s="8">
        <v>5</v>
      </c>
      <c r="G1042" s="9">
        <f>VLOOKUP(D1042,'[2]Beam '!$C$20:$H$26,3,0)</f>
        <v>1.25</v>
      </c>
      <c r="H1042" s="9"/>
      <c r="I1042" s="8"/>
      <c r="J1042" s="8"/>
      <c r="K1042" s="8"/>
      <c r="L1042" s="8"/>
      <c r="M1042" s="8"/>
      <c r="N1042" s="8"/>
      <c r="O1042" s="8">
        <f>(2.35+1*(G1042)*D1040)</f>
        <v>3.6</v>
      </c>
      <c r="P1042" s="8">
        <f t="shared" si="199"/>
        <v>18</v>
      </c>
      <c r="Q1042" s="8">
        <f>IF($D1042='[2]Beam '!Q$44,$P1042*'[2]Beam '!Q$45,0)</f>
        <v>0</v>
      </c>
      <c r="R1042" s="8">
        <f>IF($D1042='[2]Beam '!R$44,$P1042*'[2]Beam '!R$45,0)</f>
        <v>0</v>
      </c>
      <c r="S1042" s="8">
        <f>IF($D1042='[2]Beam '!S$44,$P1042*'[2]Beam '!S$45,0)</f>
        <v>0</v>
      </c>
      <c r="T1042" s="8">
        <f>IF($D1042='[2]Beam '!T$44,$P1042*'[2]Beam '!T$45,0)</f>
        <v>0</v>
      </c>
      <c r="U1042" s="8">
        <f>IF($D1042='[2]Beam '!U$44,$P1042*'[2]Beam '!U$45,0)</f>
        <v>0</v>
      </c>
      <c r="V1042" s="8">
        <f>IF($D1042='[2]Beam '!V$44,$P1042*'[2]Beam '!V$45,0)</f>
        <v>0</v>
      </c>
      <c r="W1042" s="8">
        <f>IF($D1042='[2]Beam '!W$44,$P1042*'[2]Beam '!W$45,0)</f>
        <v>113.68594285714286</v>
      </c>
      <c r="X1042" s="8">
        <f t="shared" si="200"/>
        <v>113.68594285714286</v>
      </c>
      <c r="Y1042" s="8"/>
      <c r="Z1042" s="8"/>
      <c r="AA1042" s="8"/>
      <c r="AB1042" s="8"/>
      <c r="AC1042" s="8"/>
      <c r="AD1042" s="8"/>
      <c r="AE1042" s="8"/>
    </row>
    <row r="1043" spans="1:32" s="10" customFormat="1" ht="20.100000000000001" customHeight="1" x14ac:dyDescent="0.25">
      <c r="A1043" s="7"/>
      <c r="B1043" s="8" t="s">
        <v>2</v>
      </c>
      <c r="C1043" s="13" t="s">
        <v>4</v>
      </c>
      <c r="D1043" s="8">
        <v>25</v>
      </c>
      <c r="E1043" s="8"/>
      <c r="F1043" s="8">
        <v>4</v>
      </c>
      <c r="G1043" s="9">
        <f>VLOOKUP(D1043,'[2]Beam '!$C$20:$H$26,3,0)</f>
        <v>1</v>
      </c>
      <c r="H1043" s="9"/>
      <c r="I1043" s="8"/>
      <c r="J1043" s="8"/>
      <c r="K1043" s="8"/>
      <c r="L1043" s="8"/>
      <c r="M1043" s="8"/>
      <c r="N1043" s="8"/>
      <c r="O1043" s="8">
        <f>(2.35+1*(G1043)*D1040)</f>
        <v>3.35</v>
      </c>
      <c r="P1043" s="8">
        <f t="shared" si="199"/>
        <v>13.4</v>
      </c>
      <c r="Q1043" s="8">
        <f>IF($D1043='[2]Beam '!Q$44,$P1043*'[2]Beam '!Q$45,0)</f>
        <v>0</v>
      </c>
      <c r="R1043" s="8">
        <f>IF($D1043='[2]Beam '!R$44,$P1043*'[2]Beam '!R$45,0)</f>
        <v>0</v>
      </c>
      <c r="S1043" s="8">
        <f>IF($D1043='[2]Beam '!S$44,$P1043*'[2]Beam '!S$45,0)</f>
        <v>0</v>
      </c>
      <c r="T1043" s="8">
        <f>IF($D1043='[2]Beam '!T$44,$P1043*'[2]Beam '!T$45,0)</f>
        <v>0</v>
      </c>
      <c r="U1043" s="8">
        <f>IF($D1043='[2]Beam '!U$44,$P1043*'[2]Beam '!U$45,0)</f>
        <v>0</v>
      </c>
      <c r="V1043" s="8">
        <f>IF($D1043='[2]Beam '!V$44,$P1043*'[2]Beam '!V$45,0)</f>
        <v>51.655803571428578</v>
      </c>
      <c r="W1043" s="8">
        <f>IF($D1043='[2]Beam '!W$44,$P1043*'[2]Beam '!W$45,0)</f>
        <v>0</v>
      </c>
      <c r="X1043" s="8">
        <f t="shared" si="200"/>
        <v>51.655803571428578</v>
      </c>
      <c r="Y1043" s="8"/>
      <c r="Z1043" s="8"/>
      <c r="AA1043" s="8"/>
      <c r="AB1043" s="8"/>
      <c r="AC1043" s="8"/>
      <c r="AD1043" s="8"/>
      <c r="AE1043" s="8"/>
    </row>
    <row r="1044" spans="1:32" s="14" customFormat="1" ht="20.100000000000001" customHeight="1" x14ac:dyDescent="0.3">
      <c r="A1044" s="7"/>
      <c r="B1044" s="8" t="s">
        <v>2</v>
      </c>
      <c r="C1044" s="13" t="s">
        <v>139</v>
      </c>
      <c r="D1044" s="8">
        <v>25</v>
      </c>
      <c r="E1044" s="8"/>
      <c r="F1044" s="8">
        <v>5</v>
      </c>
      <c r="G1044" s="9">
        <f>VLOOKUP(D1044,'[2]Beam '!$C$20:$H$26,3,0)</f>
        <v>1</v>
      </c>
      <c r="H1044" s="9"/>
      <c r="I1044" s="8"/>
      <c r="J1044" s="8"/>
      <c r="K1044" s="8"/>
      <c r="L1044" s="8"/>
      <c r="M1044" s="8"/>
      <c r="N1044" s="8"/>
      <c r="O1044" s="8">
        <f>(E1040+2*(G1044)*D1040)</f>
        <v>10.95</v>
      </c>
      <c r="P1044" s="8">
        <f t="shared" si="199"/>
        <v>54.75</v>
      </c>
      <c r="Q1044" s="8">
        <f>IF($D1044='[2]Beam '!Q$44,$P1044*'[2]Beam '!Q$45,0)</f>
        <v>0</v>
      </c>
      <c r="R1044" s="8">
        <f>IF($D1044='[2]Beam '!R$44,$P1044*'[2]Beam '!R$45,0)</f>
        <v>0</v>
      </c>
      <c r="S1044" s="8">
        <f>IF($D1044='[2]Beam '!S$44,$P1044*'[2]Beam '!S$45,0)</f>
        <v>0</v>
      </c>
      <c r="T1044" s="8">
        <f>IF($D1044='[2]Beam '!T$44,$P1044*'[2]Beam '!T$45,0)</f>
        <v>0</v>
      </c>
      <c r="U1044" s="8">
        <f>IF($D1044='[2]Beam '!U$44,$P1044*'[2]Beam '!U$45,0)</f>
        <v>0</v>
      </c>
      <c r="V1044" s="8">
        <f>IF($D1044='[2]Beam '!V$44,$P1044*'[2]Beam '!V$45,0)</f>
        <v>211.05636160714289</v>
      </c>
      <c r="W1044" s="8">
        <f>IF($D1044='[2]Beam '!W$44,$P1044*'[2]Beam '!W$45,0)</f>
        <v>0</v>
      </c>
      <c r="X1044" s="8">
        <f t="shared" si="200"/>
        <v>211.05636160714289</v>
      </c>
      <c r="Y1044" s="8"/>
    </row>
    <row r="1045" spans="1:32" s="14" customFormat="1" ht="20.100000000000001" customHeight="1" x14ac:dyDescent="0.3">
      <c r="A1045" s="7"/>
      <c r="B1045" s="8" t="s">
        <v>2</v>
      </c>
      <c r="C1045" s="13" t="s">
        <v>88</v>
      </c>
      <c r="D1045" s="8">
        <v>25</v>
      </c>
      <c r="E1045" s="8"/>
      <c r="F1045" s="8">
        <v>4</v>
      </c>
      <c r="G1045" s="9">
        <f>VLOOKUP(D1045,'[2]Beam '!$C$20:$H$26,3,0)</f>
        <v>1</v>
      </c>
      <c r="H1045" s="9"/>
      <c r="I1045" s="8"/>
      <c r="J1045" s="8"/>
      <c r="K1045" s="8"/>
      <c r="L1045" s="8"/>
      <c r="M1045" s="8"/>
      <c r="N1045" s="8"/>
      <c r="O1045" s="8">
        <f>+E1040-1-1</f>
        <v>6.9499999999999993</v>
      </c>
      <c r="P1045" s="8">
        <f t="shared" si="199"/>
        <v>27.799999999999997</v>
      </c>
      <c r="Q1045" s="8">
        <f>IF($D1045='[2]Beam '!Q$44,$P1045*'[2]Beam '!Q$45,0)</f>
        <v>0</v>
      </c>
      <c r="R1045" s="8">
        <f>IF($D1045='[2]Beam '!R$44,$P1045*'[2]Beam '!R$45,0)</f>
        <v>0</v>
      </c>
      <c r="S1045" s="8">
        <f>IF($D1045='[2]Beam '!S$44,$P1045*'[2]Beam '!S$45,0)</f>
        <v>0</v>
      </c>
      <c r="T1045" s="8">
        <f>IF($D1045='[2]Beam '!T$44,$P1045*'[2]Beam '!T$45,0)</f>
        <v>0</v>
      </c>
      <c r="U1045" s="8">
        <f>IF($D1045='[2]Beam '!U$44,$P1045*'[2]Beam '!U$45,0)</f>
        <v>0</v>
      </c>
      <c r="V1045" s="8">
        <f>IF($D1045='[2]Beam '!V$44,$P1045*'[2]Beam '!V$45,0)</f>
        <v>107.16651785714286</v>
      </c>
      <c r="W1045" s="8">
        <f>IF($D1045='[2]Beam '!W$44,$P1045*'[2]Beam '!W$45,0)</f>
        <v>0</v>
      </c>
      <c r="X1045" s="8">
        <f t="shared" si="200"/>
        <v>107.16651785714286</v>
      </c>
      <c r="Y1045" s="8"/>
    </row>
    <row r="1046" spans="1:32" s="14" customFormat="1" ht="20.100000000000001" customHeight="1" x14ac:dyDescent="0.25">
      <c r="A1046" s="7"/>
      <c r="B1046" s="8" t="s">
        <v>2</v>
      </c>
      <c r="C1046" s="13" t="s">
        <v>13</v>
      </c>
      <c r="D1046" s="8">
        <v>12</v>
      </c>
      <c r="E1046" s="8">
        <v>0.1</v>
      </c>
      <c r="F1046" s="8">
        <f>ROUND(IF(E1040/3&gt;(2*G1040),(E1040/3)/E1046,(2*G1040)/E1046),0)*2+1</f>
        <v>61</v>
      </c>
      <c r="G1046" s="10"/>
      <c r="H1046" s="8"/>
      <c r="I1046" s="8"/>
      <c r="J1046" s="8"/>
      <c r="K1046" s="8"/>
      <c r="L1046" s="8"/>
      <c r="M1046" s="8"/>
      <c r="N1046" s="8"/>
      <c r="O1046" s="8">
        <f>(2*((G1040-(2*'[2]Beam '!$D$11))+(F1040-(2*'[2]Beam '!$D$11)))+(2*10*D1046/1000))*D1040</f>
        <v>2.3499999999999996</v>
      </c>
      <c r="P1046" s="8">
        <f t="shared" si="199"/>
        <v>143.34999999999997</v>
      </c>
      <c r="Q1046" s="8">
        <f>IF($D1046='[2]Beam '!Q$44,$P1046*'[2]Beam '!Q$45,0)</f>
        <v>0</v>
      </c>
      <c r="R1046" s="8">
        <f>IF($D1046='[2]Beam '!R$44,$P1046*'[2]Beam '!R$45,0)</f>
        <v>0</v>
      </c>
      <c r="S1046" s="8">
        <f>IF($D1046='[2]Beam '!S$44,$P1046*'[2]Beam '!S$45,0)</f>
        <v>127.31937428571428</v>
      </c>
      <c r="T1046" s="8">
        <f>IF($D1046='[2]Beam '!T$44,$P1046*'[2]Beam '!T$45,0)</f>
        <v>0</v>
      </c>
      <c r="U1046" s="8">
        <f>IF($D1046='[2]Beam '!U$44,$P1046*'[2]Beam '!U$45,0)</f>
        <v>0</v>
      </c>
      <c r="V1046" s="8">
        <f>IF($D1046='[2]Beam '!V$44,$P1046*'[2]Beam '!V$45,0)</f>
        <v>0</v>
      </c>
      <c r="W1046" s="8">
        <f>IF($D1046='[2]Beam '!W$44,$P1046*'[2]Beam '!W$45,0)</f>
        <v>0</v>
      </c>
      <c r="X1046" s="8">
        <f t="shared" si="200"/>
        <v>127.31937428571428</v>
      </c>
      <c r="Y1046" s="8"/>
    </row>
    <row r="1047" spans="1:32" s="10" customFormat="1" ht="20.100000000000001" customHeight="1" x14ac:dyDescent="0.25">
      <c r="A1047" s="14"/>
      <c r="B1047" s="8" t="s">
        <v>2</v>
      </c>
      <c r="C1047" s="13" t="s">
        <v>14</v>
      </c>
      <c r="D1047" s="14">
        <f>D1046</f>
        <v>12</v>
      </c>
      <c r="E1047" s="14">
        <v>0.125</v>
      </c>
      <c r="F1047" s="14">
        <f>ROUND((E1040-(IF(E1040/3&gt;2*G1040,E1040/3*2,G1040*2*2)))/E1047,0)</f>
        <v>24</v>
      </c>
      <c r="H1047" s="14"/>
      <c r="I1047" s="14"/>
      <c r="J1047" s="14"/>
      <c r="K1047" s="14"/>
      <c r="L1047" s="14"/>
      <c r="M1047" s="14"/>
      <c r="N1047" s="14"/>
      <c r="O1047" s="8">
        <f>(2*((G1040-(2*'[2]Beam '!$D$11))+(F1040-(2*'[2]Beam '!$D$11)))+(2*10*D1047/1000))*D1040</f>
        <v>2.3499999999999996</v>
      </c>
      <c r="P1047" s="8">
        <f t="shared" si="199"/>
        <v>56.399999999999991</v>
      </c>
      <c r="Q1047" s="8">
        <f>IF($D1047='[2]Beam '!Q$44,$P1047*'[2]Beam '!Q$45,0)</f>
        <v>0</v>
      </c>
      <c r="R1047" s="8">
        <f>IF($D1047='[2]Beam '!R$44,$P1047*'[2]Beam '!R$45,0)</f>
        <v>0</v>
      </c>
      <c r="S1047" s="8">
        <f>IF($D1047='[2]Beam '!S$44,$P1047*'[2]Beam '!S$45,0)</f>
        <v>50.092868571428575</v>
      </c>
      <c r="T1047" s="8">
        <f>IF($D1047='[2]Beam '!T$44,$P1047*'[2]Beam '!T$45,0)</f>
        <v>0</v>
      </c>
      <c r="U1047" s="8">
        <f>IF($D1047='[2]Beam '!U$44,$P1047*'[2]Beam '!U$45,0)</f>
        <v>0</v>
      </c>
      <c r="V1047" s="8">
        <f>IF($D1047='[2]Beam '!V$44,$P1047*'[2]Beam '!V$45,0)</f>
        <v>0</v>
      </c>
      <c r="W1047" s="8">
        <f>IF($D1047='[2]Beam '!W$44,$P1047*'[2]Beam '!W$45,0)</f>
        <v>0</v>
      </c>
      <c r="X1047" s="8">
        <f t="shared" si="200"/>
        <v>50.092868571428575</v>
      </c>
      <c r="Y1047" s="14"/>
      <c r="Z1047" s="8"/>
      <c r="AA1047" s="8"/>
      <c r="AB1047" s="8"/>
      <c r="AC1047" s="8"/>
      <c r="AD1047" s="8"/>
      <c r="AE1047" s="8"/>
    </row>
    <row r="1048" spans="1:32" s="10" customFormat="1" ht="21" customHeight="1" x14ac:dyDescent="0.25">
      <c r="A1048" s="14"/>
      <c r="B1048" s="8" t="s">
        <v>2</v>
      </c>
      <c r="C1048" s="13" t="s">
        <v>15</v>
      </c>
      <c r="D1048" s="14">
        <f>D1046</f>
        <v>12</v>
      </c>
      <c r="E1048" s="14">
        <f>+E1046</f>
        <v>0.1</v>
      </c>
      <c r="F1048" s="8">
        <f>ROUND(IF(E1040/3&gt;(2*G1040),(E1040/3)/E1048,(2*G1040)/E1048),0)*2+1</f>
        <v>61</v>
      </c>
      <c r="H1048" s="14"/>
      <c r="I1048" s="14"/>
      <c r="J1048" s="14"/>
      <c r="K1048" s="14"/>
      <c r="L1048" s="14"/>
      <c r="M1048" s="14"/>
      <c r="N1048" s="14"/>
      <c r="O1048" s="8">
        <f>(2*(((F1040-'[2]Beam '!$D$11*2)/(F1041-1))+(G1040-'[2]Beam '!$D$11*2))+(2*10*D1048/1000))*D1040</f>
        <v>1.5774999999999999</v>
      </c>
      <c r="P1048" s="8">
        <f t="shared" si="199"/>
        <v>96.227499999999992</v>
      </c>
      <c r="Q1048" s="8">
        <f>IF($D1048='[2]Beam '!Q$44,$P1048*'[2]Beam '!Q$45,0)</f>
        <v>0</v>
      </c>
      <c r="R1048" s="8">
        <f>IF($D1048='[2]Beam '!R$44,$P1048*'[2]Beam '!R$45,0)</f>
        <v>0</v>
      </c>
      <c r="S1048" s="8">
        <f>IF($D1048='[2]Beam '!S$44,$P1048*'[2]Beam '!S$45,0)</f>
        <v>85.466516142857145</v>
      </c>
      <c r="T1048" s="8">
        <f>IF($D1048='[2]Beam '!T$44,$P1048*'[2]Beam '!T$45,0)</f>
        <v>0</v>
      </c>
      <c r="U1048" s="8">
        <f>IF($D1048='[2]Beam '!U$44,$P1048*'[2]Beam '!U$45,0)</f>
        <v>0</v>
      </c>
      <c r="V1048" s="8">
        <f>IF($D1048='[2]Beam '!V$44,$P1048*'[2]Beam '!V$45,0)</f>
        <v>0</v>
      </c>
      <c r="W1048" s="8">
        <f>IF($D1048='[2]Beam '!W$44,$P1048*'[2]Beam '!W$45,0)</f>
        <v>0</v>
      </c>
      <c r="X1048" s="8">
        <f t="shared" si="200"/>
        <v>85.466516142857145</v>
      </c>
      <c r="Y1048" s="14"/>
      <c r="Z1048" s="8"/>
      <c r="AA1048" s="8"/>
      <c r="AB1048" s="8"/>
      <c r="AC1048" s="8"/>
      <c r="AD1048" s="8"/>
      <c r="AE1048" s="8"/>
      <c r="AF1048" s="8"/>
    </row>
    <row r="1049" spans="1:32" s="10" customFormat="1" ht="20.100000000000001" customHeight="1" x14ac:dyDescent="0.25">
      <c r="A1049" s="14"/>
      <c r="B1049" s="8" t="s">
        <v>2</v>
      </c>
      <c r="C1049" s="13" t="s">
        <v>16</v>
      </c>
      <c r="D1049" s="14">
        <f>D1047</f>
        <v>12</v>
      </c>
      <c r="E1049" s="14">
        <f>+E1047</f>
        <v>0.125</v>
      </c>
      <c r="F1049" s="14">
        <f>ROUND((E1040-(IF(E1040/3&gt;2*G1040,E1040/3*2,G1040*2*2)))/E1049,0)</f>
        <v>24</v>
      </c>
      <c r="H1049" s="14"/>
      <c r="I1049" s="14"/>
      <c r="J1049" s="14"/>
      <c r="K1049" s="14"/>
      <c r="L1049" s="14"/>
      <c r="M1049" s="14"/>
      <c r="N1049" s="14"/>
      <c r="O1049" s="8">
        <f>(2*(((F1040-'[2]Beam '!$D$11*2)/(F1041-1))+(G1040-'[2]Beam '!$D$11*2))+(2*10*D1049/1000))*D1040</f>
        <v>1.5774999999999999</v>
      </c>
      <c r="P1049" s="8">
        <f t="shared" si="199"/>
        <v>37.86</v>
      </c>
      <c r="Q1049" s="8">
        <f>IF($D1049='[2]Beam '!Q$44,$P1049*'[2]Beam '!Q$45,0)</f>
        <v>0</v>
      </c>
      <c r="R1049" s="8">
        <f>IF($D1049='[2]Beam '!R$44,$P1049*'[2]Beam '!R$45,0)</f>
        <v>0</v>
      </c>
      <c r="S1049" s="8">
        <f>IF($D1049='[2]Beam '!S$44,$P1049*'[2]Beam '!S$45,0)</f>
        <v>33.626170285714288</v>
      </c>
      <c r="T1049" s="8">
        <f>IF($D1049='[2]Beam '!T$44,$P1049*'[2]Beam '!T$45,0)</f>
        <v>0</v>
      </c>
      <c r="U1049" s="8">
        <f>IF($D1049='[2]Beam '!U$44,$P1049*'[2]Beam '!U$45,0)</f>
        <v>0</v>
      </c>
      <c r="V1049" s="8">
        <f>IF($D1049='[2]Beam '!V$44,$P1049*'[2]Beam '!V$45,0)</f>
        <v>0</v>
      </c>
      <c r="W1049" s="8">
        <f>IF($D1049='[2]Beam '!W$44,$P1049*'[2]Beam '!W$45,0)</f>
        <v>0</v>
      </c>
      <c r="X1049" s="8">
        <f t="shared" si="200"/>
        <v>33.626170285714288</v>
      </c>
      <c r="Y1049" s="14"/>
      <c r="Z1049" s="8"/>
      <c r="AA1049" s="8"/>
      <c r="AB1049" s="8"/>
      <c r="AC1049" s="8"/>
      <c r="AD1049" s="8"/>
      <c r="AE1049" s="8"/>
    </row>
    <row r="1050" spans="1:32" s="10" customFormat="1" ht="20.100000000000001" customHeight="1" x14ac:dyDescent="0.25">
      <c r="A1050" s="7"/>
      <c r="B1050" s="8" t="s">
        <v>2</v>
      </c>
      <c r="C1050" s="13" t="s">
        <v>10</v>
      </c>
      <c r="D1050" s="8">
        <f>+'[2]Beam '!$D$15</f>
        <v>25</v>
      </c>
      <c r="E1050" s="8">
        <f>+'[2]Beam '!$E$15</f>
        <v>1</v>
      </c>
      <c r="F1050" s="8">
        <f>ROUNDUP((2.35+O1045)/E1050,0)</f>
        <v>10</v>
      </c>
      <c r="G1050" s="9"/>
      <c r="H1050" s="9"/>
      <c r="I1050" s="8"/>
      <c r="J1050" s="8"/>
      <c r="K1050" s="8"/>
      <c r="L1050" s="8"/>
      <c r="M1050" s="8"/>
      <c r="N1050" s="8"/>
      <c r="O1050" s="8">
        <f>F1040-'[2]Beam '!$F$15</f>
        <v>0.5149999999999999</v>
      </c>
      <c r="P1050" s="8">
        <f t="shared" si="199"/>
        <v>5.1499999999999986</v>
      </c>
      <c r="Q1050" s="8">
        <f>IF($D1050='[2]Beam '!Q$44,$P1050*'[2]Beam '!Q$45,0)</f>
        <v>0</v>
      </c>
      <c r="R1050" s="8">
        <f>IF($D1050='[2]Beam '!R$44,$P1050*'[2]Beam '!R$45,0)</f>
        <v>0</v>
      </c>
      <c r="S1050" s="8">
        <f>IF($D1050='[2]Beam '!S$44,$P1050*'[2]Beam '!S$45,0)</f>
        <v>0</v>
      </c>
      <c r="T1050" s="8">
        <f>IF($D1050='[2]Beam '!T$44,$P1050*'[2]Beam '!T$45,0)</f>
        <v>0</v>
      </c>
      <c r="U1050" s="8">
        <f>IF($D1050='[2]Beam '!U$44,$P1050*'[2]Beam '!U$45,0)</f>
        <v>0</v>
      </c>
      <c r="V1050" s="8">
        <f>IF($D1050='[2]Beam '!V$44,$P1050*'[2]Beam '!V$45,0)</f>
        <v>19.852790178571425</v>
      </c>
      <c r="W1050" s="8">
        <f>IF($D1050='[2]Beam '!W$44,$P1050*'[2]Beam '!W$45,0)</f>
        <v>0</v>
      </c>
      <c r="X1050" s="8">
        <f t="shared" si="200"/>
        <v>19.852790178571425</v>
      </c>
      <c r="Y1050" s="8"/>
      <c r="Z1050" s="8"/>
      <c r="AA1050" s="8"/>
      <c r="AB1050" s="8"/>
      <c r="AC1050" s="8"/>
      <c r="AD1050" s="8"/>
      <c r="AE1050" s="8"/>
    </row>
    <row r="1051" spans="1:32" s="10" customFormat="1" ht="20.100000000000001" customHeight="1" x14ac:dyDescent="0.25">
      <c r="A1051" s="8">
        <v>1</v>
      </c>
      <c r="B1051" s="8" t="s">
        <v>2</v>
      </c>
      <c r="C1051" s="11" t="s">
        <v>142</v>
      </c>
      <c r="D1051" s="11">
        <v>1</v>
      </c>
      <c r="E1051" s="11">
        <v>8</v>
      </c>
      <c r="F1051" s="11">
        <v>0.45</v>
      </c>
      <c r="G1051" s="11">
        <v>0.5</v>
      </c>
      <c r="H1051" s="8">
        <f>G1051-0.2</f>
        <v>0.3</v>
      </c>
      <c r="I1051" s="8">
        <f>E1051*F1051*G1051*D1051</f>
        <v>1.8</v>
      </c>
      <c r="J1051" s="8">
        <f>(2*(E1051)*H1051*D1051)+(E1051*F1051)</f>
        <v>8.4</v>
      </c>
      <c r="K1051" s="12">
        <f>IF(E1051=0.3,J1051,0)</f>
        <v>0</v>
      </c>
      <c r="L1051" s="12">
        <f>IF(AND(E1051&gt;0.3,E1051&lt;=0.75),J1051,0)</f>
        <v>0</v>
      </c>
      <c r="M1051" s="12">
        <f>IF(AND(E1051&gt;0.75,E1051&lt;=1.2),J1051,0)</f>
        <v>0</v>
      </c>
      <c r="N1051" s="12">
        <f>IF(E1051&gt;1.2,J1051,0)</f>
        <v>8.4</v>
      </c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>
        <f>SUM(X1052:X1060)/I1051</f>
        <v>502.40639806150796</v>
      </c>
      <c r="Z1051" s="8"/>
      <c r="AA1051" s="8"/>
      <c r="AB1051" s="8"/>
      <c r="AC1051" s="8"/>
      <c r="AD1051" s="8"/>
      <c r="AE1051" s="8"/>
    </row>
    <row r="1052" spans="1:32" s="10" customFormat="1" ht="20.100000000000001" customHeight="1" x14ac:dyDescent="0.25">
      <c r="A1052" s="7"/>
      <c r="B1052" s="8" t="s">
        <v>2</v>
      </c>
      <c r="C1052" s="13" t="s">
        <v>4</v>
      </c>
      <c r="D1052" s="8">
        <v>25</v>
      </c>
      <c r="E1052" s="8"/>
      <c r="F1052" s="8">
        <v>5</v>
      </c>
      <c r="G1052" s="9">
        <f>VLOOKUP(D1052,'[2]Beam '!$C$20:$H$26,3,0)</f>
        <v>1</v>
      </c>
      <c r="H1052" s="9"/>
      <c r="I1052" s="8"/>
      <c r="J1052" s="8"/>
      <c r="K1052" s="8"/>
      <c r="L1052" s="8"/>
      <c r="M1052" s="8"/>
      <c r="N1052" s="8"/>
      <c r="O1052" s="8">
        <f>(E1051+2*(G1052+(12*D1052/1000))*D1051)</f>
        <v>10.6</v>
      </c>
      <c r="P1052" s="8">
        <f t="shared" ref="P1052:P1061" si="201">O1052*F1052</f>
        <v>53</v>
      </c>
      <c r="Q1052" s="8">
        <f>IF($D1052='[2]Beam '!Q$44,$P1052*'[2]Beam '!Q$45,0)</f>
        <v>0</v>
      </c>
      <c r="R1052" s="8">
        <f>IF($D1052='[2]Beam '!R$44,$P1052*'[2]Beam '!R$45,0)</f>
        <v>0</v>
      </c>
      <c r="S1052" s="8">
        <f>IF($D1052='[2]Beam '!S$44,$P1052*'[2]Beam '!S$45,0)</f>
        <v>0</v>
      </c>
      <c r="T1052" s="8">
        <f>IF($D1052='[2]Beam '!T$44,$P1052*'[2]Beam '!T$45,0)</f>
        <v>0</v>
      </c>
      <c r="U1052" s="8">
        <f>IF($D1052='[2]Beam '!U$44,$P1052*'[2]Beam '!U$45,0)</f>
        <v>0</v>
      </c>
      <c r="V1052" s="8">
        <f>IF($D1052='[2]Beam '!V$44,$P1052*'[2]Beam '!V$45,0)</f>
        <v>204.31026785714289</v>
      </c>
      <c r="W1052" s="8">
        <f>IF($D1052='[2]Beam '!W$44,$P1052*'[2]Beam '!W$45,0)</f>
        <v>0</v>
      </c>
      <c r="X1052" s="8">
        <f t="shared" ref="X1052:X1061" si="202">SUM(Q1052:W1052)</f>
        <v>204.31026785714289</v>
      </c>
      <c r="Y1052" s="8"/>
      <c r="Z1052" s="8"/>
      <c r="AA1052" s="8"/>
      <c r="AB1052" s="8"/>
      <c r="AC1052" s="8"/>
      <c r="AD1052" s="8"/>
      <c r="AE1052" s="8"/>
    </row>
    <row r="1053" spans="1:32" s="10" customFormat="1" ht="20.100000000000001" customHeight="1" x14ac:dyDescent="0.25">
      <c r="A1053" s="7"/>
      <c r="B1053" s="8" t="s">
        <v>2</v>
      </c>
      <c r="C1053" s="13" t="s">
        <v>4</v>
      </c>
      <c r="D1053" s="8">
        <v>25</v>
      </c>
      <c r="E1053" s="8"/>
      <c r="F1053" s="8">
        <v>4</v>
      </c>
      <c r="G1053" s="9">
        <f>VLOOKUP(D1053,'[2]Beam '!$C$20:$H$26,3,0)</f>
        <v>1</v>
      </c>
      <c r="H1053" s="9"/>
      <c r="I1053" s="8"/>
      <c r="J1053" s="8"/>
      <c r="K1053" s="8"/>
      <c r="L1053" s="8"/>
      <c r="M1053" s="8"/>
      <c r="N1053" s="8"/>
      <c r="O1053" s="8">
        <f>(2.1+1*(G1053+(12*D1053/1000))*D1051)</f>
        <v>3.4000000000000004</v>
      </c>
      <c r="P1053" s="8">
        <f t="shared" si="201"/>
        <v>13.600000000000001</v>
      </c>
      <c r="Q1053" s="8">
        <f>IF($D1053='[2]Beam '!Q$44,$P1053*'[2]Beam '!Q$45,0)</f>
        <v>0</v>
      </c>
      <c r="R1053" s="8">
        <f>IF($D1053='[2]Beam '!R$44,$P1053*'[2]Beam '!R$45,0)</f>
        <v>0</v>
      </c>
      <c r="S1053" s="8">
        <f>IF($D1053='[2]Beam '!S$44,$P1053*'[2]Beam '!S$45,0)</f>
        <v>0</v>
      </c>
      <c r="T1053" s="8">
        <f>IF($D1053='[2]Beam '!T$44,$P1053*'[2]Beam '!T$45,0)</f>
        <v>0</v>
      </c>
      <c r="U1053" s="8">
        <f>IF($D1053='[2]Beam '!U$44,$P1053*'[2]Beam '!U$45,0)</f>
        <v>0</v>
      </c>
      <c r="V1053" s="8">
        <f>IF($D1053='[2]Beam '!V$44,$P1053*'[2]Beam '!V$45,0)</f>
        <v>52.426785714285728</v>
      </c>
      <c r="W1053" s="8">
        <f>IF($D1053='[2]Beam '!W$44,$P1053*'[2]Beam '!W$45,0)</f>
        <v>0</v>
      </c>
      <c r="X1053" s="8">
        <f t="shared" si="202"/>
        <v>52.426785714285728</v>
      </c>
      <c r="Y1053" s="8"/>
      <c r="Z1053" s="8"/>
      <c r="AA1053" s="8"/>
      <c r="AB1053" s="8"/>
      <c r="AC1053" s="8"/>
      <c r="AD1053" s="8"/>
      <c r="AE1053" s="8"/>
    </row>
    <row r="1054" spans="1:32" s="10" customFormat="1" ht="20.100000000000001" customHeight="1" x14ac:dyDescent="0.25">
      <c r="A1054" s="7"/>
      <c r="B1054" s="8" t="s">
        <v>2</v>
      </c>
      <c r="C1054" s="13" t="s">
        <v>4</v>
      </c>
      <c r="D1054" s="8">
        <v>32</v>
      </c>
      <c r="E1054" s="8"/>
      <c r="F1054" s="8">
        <v>4</v>
      </c>
      <c r="G1054" s="9">
        <f>VLOOKUP(D1054,'[2]Beam '!$C$20:$H$26,3,0)</f>
        <v>1.25</v>
      </c>
      <c r="H1054" s="9"/>
      <c r="I1054" s="8"/>
      <c r="J1054" s="8"/>
      <c r="K1054" s="8"/>
      <c r="L1054" s="8"/>
      <c r="M1054" s="8"/>
      <c r="N1054" s="8"/>
      <c r="O1054" s="8">
        <f>(2.1+1*(G1054+(12*D1054/1000))*D1051)</f>
        <v>3.734</v>
      </c>
      <c r="P1054" s="8">
        <f t="shared" si="201"/>
        <v>14.936</v>
      </c>
      <c r="Q1054" s="8">
        <f>IF($D1054='[2]Beam '!Q$44,$P1054*'[2]Beam '!Q$45,0)</f>
        <v>0</v>
      </c>
      <c r="R1054" s="8">
        <f>IF($D1054='[2]Beam '!R$44,$P1054*'[2]Beam '!R$45,0)</f>
        <v>0</v>
      </c>
      <c r="S1054" s="8">
        <f>IF($D1054='[2]Beam '!S$44,$P1054*'[2]Beam '!S$45,0)</f>
        <v>0</v>
      </c>
      <c r="T1054" s="8">
        <f>IF($D1054='[2]Beam '!T$44,$P1054*'[2]Beam '!T$45,0)</f>
        <v>0</v>
      </c>
      <c r="U1054" s="8">
        <f>IF($D1054='[2]Beam '!U$44,$P1054*'[2]Beam '!U$45,0)</f>
        <v>0</v>
      </c>
      <c r="V1054" s="8">
        <f>IF($D1054='[2]Beam '!V$44,$P1054*'[2]Beam '!V$45,0)</f>
        <v>0</v>
      </c>
      <c r="W1054" s="8">
        <f>IF($D1054='[2]Beam '!W$44,$P1054*'[2]Beam '!W$45,0)</f>
        <v>94.334069028571435</v>
      </c>
      <c r="X1054" s="8">
        <f t="shared" si="202"/>
        <v>94.334069028571435</v>
      </c>
      <c r="Y1054" s="8"/>
      <c r="Z1054" s="8"/>
      <c r="AA1054" s="8"/>
      <c r="AB1054" s="8"/>
      <c r="AC1054" s="8"/>
      <c r="AD1054" s="8"/>
      <c r="AE1054" s="8"/>
    </row>
    <row r="1055" spans="1:32" s="14" customFormat="1" ht="20.100000000000001" customHeight="1" x14ac:dyDescent="0.3">
      <c r="A1055" s="7"/>
      <c r="B1055" s="8" t="s">
        <v>2</v>
      </c>
      <c r="C1055" s="13" t="s">
        <v>139</v>
      </c>
      <c r="D1055" s="8">
        <v>25</v>
      </c>
      <c r="E1055" s="8"/>
      <c r="F1055" s="8">
        <v>5</v>
      </c>
      <c r="G1055" s="9">
        <f>VLOOKUP(D1055,'[2]Beam '!$C$20:$H$26,3,0)</f>
        <v>1</v>
      </c>
      <c r="H1055" s="9"/>
      <c r="I1055" s="8"/>
      <c r="J1055" s="8"/>
      <c r="K1055" s="8"/>
      <c r="L1055" s="8"/>
      <c r="M1055" s="8"/>
      <c r="N1055" s="8"/>
      <c r="O1055" s="8">
        <f>(E1051+2*(G1055+(12*D1055/1000))*D1051)</f>
        <v>10.6</v>
      </c>
      <c r="P1055" s="8">
        <f t="shared" si="201"/>
        <v>53</v>
      </c>
      <c r="Q1055" s="8">
        <f>IF($D1055='[2]Beam '!Q$44,$P1055*'[2]Beam '!Q$45,0)</f>
        <v>0</v>
      </c>
      <c r="R1055" s="8">
        <f>IF($D1055='[2]Beam '!R$44,$P1055*'[2]Beam '!R$45,0)</f>
        <v>0</v>
      </c>
      <c r="S1055" s="8">
        <f>IF($D1055='[2]Beam '!S$44,$P1055*'[2]Beam '!S$45,0)</f>
        <v>0</v>
      </c>
      <c r="T1055" s="8">
        <f>IF($D1055='[2]Beam '!T$44,$P1055*'[2]Beam '!T$45,0)</f>
        <v>0</v>
      </c>
      <c r="U1055" s="8">
        <f>IF($D1055='[2]Beam '!U$44,$P1055*'[2]Beam '!U$45,0)</f>
        <v>0</v>
      </c>
      <c r="V1055" s="8">
        <f>IF($D1055='[2]Beam '!V$44,$P1055*'[2]Beam '!V$45,0)</f>
        <v>204.31026785714289</v>
      </c>
      <c r="W1055" s="8">
        <f>IF($D1055='[2]Beam '!W$44,$P1055*'[2]Beam '!W$45,0)</f>
        <v>0</v>
      </c>
      <c r="X1055" s="8">
        <f t="shared" si="202"/>
        <v>204.31026785714289</v>
      </c>
      <c r="Y1055" s="8"/>
    </row>
    <row r="1056" spans="1:32" s="14" customFormat="1" ht="20.100000000000001" customHeight="1" x14ac:dyDescent="0.3">
      <c r="A1056" s="7"/>
      <c r="B1056" s="8" t="s">
        <v>2</v>
      </c>
      <c r="C1056" s="13" t="s">
        <v>88</v>
      </c>
      <c r="D1056" s="8">
        <v>25</v>
      </c>
      <c r="E1056" s="8"/>
      <c r="F1056" s="8">
        <v>5</v>
      </c>
      <c r="G1056" s="9">
        <f>VLOOKUP(D1056,'[2]Beam '!$C$20:$H$26,3,0)</f>
        <v>1</v>
      </c>
      <c r="H1056" s="9"/>
      <c r="I1056" s="8"/>
      <c r="J1056" s="8"/>
      <c r="K1056" s="8"/>
      <c r="L1056" s="8"/>
      <c r="M1056" s="8"/>
      <c r="N1056" s="8"/>
      <c r="O1056" s="8">
        <f>+E1051-0.105-1.05</f>
        <v>6.8449999999999998</v>
      </c>
      <c r="P1056" s="8">
        <f t="shared" si="201"/>
        <v>34.225000000000001</v>
      </c>
      <c r="Q1056" s="8">
        <f>IF($D1056='[2]Beam '!Q$44,$P1056*'[2]Beam '!Q$45,0)</f>
        <v>0</v>
      </c>
      <c r="R1056" s="8">
        <f>IF($D1056='[2]Beam '!R$44,$P1056*'[2]Beam '!R$45,0)</f>
        <v>0</v>
      </c>
      <c r="S1056" s="8">
        <f>IF($D1056='[2]Beam '!S$44,$P1056*'[2]Beam '!S$45,0)</f>
        <v>0</v>
      </c>
      <c r="T1056" s="8">
        <f>IF($D1056='[2]Beam '!T$44,$P1056*'[2]Beam '!T$45,0)</f>
        <v>0</v>
      </c>
      <c r="U1056" s="8">
        <f>IF($D1056='[2]Beam '!U$44,$P1056*'[2]Beam '!U$45,0)</f>
        <v>0</v>
      </c>
      <c r="V1056" s="8">
        <f>IF($D1056='[2]Beam '!V$44,$P1056*'[2]Beam '!V$45,0)</f>
        <v>131.93431919642859</v>
      </c>
      <c r="W1056" s="8">
        <f>IF($D1056='[2]Beam '!W$44,$P1056*'[2]Beam '!W$45,0)</f>
        <v>0</v>
      </c>
      <c r="X1056" s="8">
        <f t="shared" si="202"/>
        <v>131.93431919642859</v>
      </c>
      <c r="Y1056" s="8"/>
    </row>
    <row r="1057" spans="1:32" s="14" customFormat="1" ht="20.100000000000001" customHeight="1" x14ac:dyDescent="0.25">
      <c r="A1057" s="7"/>
      <c r="B1057" s="8" t="s">
        <v>2</v>
      </c>
      <c r="C1057" s="13" t="s">
        <v>13</v>
      </c>
      <c r="D1057" s="8">
        <v>12</v>
      </c>
      <c r="E1057" s="8">
        <v>0.1</v>
      </c>
      <c r="F1057" s="8">
        <f>ROUND(IF(E1051/3&gt;(2*G1051),(E1051/3)/E1057,(2*G1051)/E1057),0)*2+1</f>
        <v>55</v>
      </c>
      <c r="G1057" s="10"/>
      <c r="H1057" s="8"/>
      <c r="I1057" s="8"/>
      <c r="J1057" s="8"/>
      <c r="K1057" s="8"/>
      <c r="L1057" s="8"/>
      <c r="M1057" s="8"/>
      <c r="N1057" s="8"/>
      <c r="O1057" s="8">
        <f>(2*((G1051-(2*'[2]Beam '!$D$11))+(F1051-(2*'[2]Beam '!$D$11)))+(2*10*D1057/1000))*D1051</f>
        <v>1.9000000000000001</v>
      </c>
      <c r="P1057" s="8">
        <f t="shared" si="201"/>
        <v>104.50000000000001</v>
      </c>
      <c r="Q1057" s="8">
        <f>IF($D1057='[2]Beam '!Q$44,$P1057*'[2]Beam '!Q$45,0)</f>
        <v>0</v>
      </c>
      <c r="R1057" s="8">
        <f>IF($D1057='[2]Beam '!R$44,$P1057*'[2]Beam '!R$45,0)</f>
        <v>0</v>
      </c>
      <c r="S1057" s="8">
        <f>IF($D1057='[2]Beam '!S$44,$P1057*'[2]Beam '!S$45,0)</f>
        <v>92.813914285714318</v>
      </c>
      <c r="T1057" s="8">
        <f>IF($D1057='[2]Beam '!T$44,$P1057*'[2]Beam '!T$45,0)</f>
        <v>0</v>
      </c>
      <c r="U1057" s="8">
        <f>IF($D1057='[2]Beam '!U$44,$P1057*'[2]Beam '!U$45,0)</f>
        <v>0</v>
      </c>
      <c r="V1057" s="8">
        <f>IF($D1057='[2]Beam '!V$44,$P1057*'[2]Beam '!V$45,0)</f>
        <v>0</v>
      </c>
      <c r="W1057" s="8">
        <f>IF($D1057='[2]Beam '!W$44,$P1057*'[2]Beam '!W$45,0)</f>
        <v>0</v>
      </c>
      <c r="X1057" s="8">
        <f t="shared" si="202"/>
        <v>92.813914285714318</v>
      </c>
      <c r="Y1057" s="8"/>
    </row>
    <row r="1058" spans="1:32" s="10" customFormat="1" ht="20.100000000000001" customHeight="1" x14ac:dyDescent="0.25">
      <c r="A1058" s="14"/>
      <c r="B1058" s="8" t="s">
        <v>2</v>
      </c>
      <c r="C1058" s="13" t="s">
        <v>14</v>
      </c>
      <c r="D1058" s="14">
        <f>D1057</f>
        <v>12</v>
      </c>
      <c r="E1058" s="14">
        <v>0.125</v>
      </c>
      <c r="F1058" s="14">
        <f>ROUND((E1051-(IF(E1051/3&gt;2*G1051,E1051/3*2,G1051*2*2)))/E1058,0)</f>
        <v>21</v>
      </c>
      <c r="H1058" s="14"/>
      <c r="I1058" s="14"/>
      <c r="J1058" s="14"/>
      <c r="K1058" s="14"/>
      <c r="L1058" s="14"/>
      <c r="M1058" s="14"/>
      <c r="N1058" s="14"/>
      <c r="O1058" s="8">
        <f>(2*((G1051-(2*'[2]Beam '!$D$11))+(F1051-(2*'[2]Beam '!$D$11)))+(2*10*D1058/1000))*D1051</f>
        <v>1.9000000000000001</v>
      </c>
      <c r="P1058" s="8">
        <f t="shared" si="201"/>
        <v>39.900000000000006</v>
      </c>
      <c r="Q1058" s="8">
        <f>IF($D1058='[2]Beam '!Q$44,$P1058*'[2]Beam '!Q$45,0)</f>
        <v>0</v>
      </c>
      <c r="R1058" s="8">
        <f>IF($D1058='[2]Beam '!R$44,$P1058*'[2]Beam '!R$45,0)</f>
        <v>0</v>
      </c>
      <c r="S1058" s="8">
        <f>IF($D1058='[2]Beam '!S$44,$P1058*'[2]Beam '!S$45,0)</f>
        <v>35.438040000000008</v>
      </c>
      <c r="T1058" s="8">
        <f>IF($D1058='[2]Beam '!T$44,$P1058*'[2]Beam '!T$45,0)</f>
        <v>0</v>
      </c>
      <c r="U1058" s="8">
        <f>IF($D1058='[2]Beam '!U$44,$P1058*'[2]Beam '!U$45,0)</f>
        <v>0</v>
      </c>
      <c r="V1058" s="8">
        <f>IF($D1058='[2]Beam '!V$44,$P1058*'[2]Beam '!V$45,0)</f>
        <v>0</v>
      </c>
      <c r="W1058" s="8">
        <f>IF($D1058='[2]Beam '!W$44,$P1058*'[2]Beam '!W$45,0)</f>
        <v>0</v>
      </c>
      <c r="X1058" s="8">
        <f t="shared" si="202"/>
        <v>35.438040000000008</v>
      </c>
      <c r="Y1058" s="14"/>
      <c r="Z1058" s="8"/>
      <c r="AA1058" s="8"/>
      <c r="AB1058" s="8"/>
      <c r="AC1058" s="8"/>
      <c r="AD1058" s="8"/>
      <c r="AE1058" s="8"/>
    </row>
    <row r="1059" spans="1:32" s="10" customFormat="1" ht="21" customHeight="1" x14ac:dyDescent="0.25">
      <c r="A1059" s="14"/>
      <c r="B1059" s="8" t="s">
        <v>2</v>
      </c>
      <c r="C1059" s="13" t="s">
        <v>15</v>
      </c>
      <c r="D1059" s="14">
        <f>D1057</f>
        <v>12</v>
      </c>
      <c r="E1059" s="14">
        <f>+E1057</f>
        <v>0.1</v>
      </c>
      <c r="F1059" s="8">
        <f>ROUND(IF(E1051/3&gt;(2*G1051),(E1051/3)/E1059,(2*G1051)/E1059),0)*2+1</f>
        <v>55</v>
      </c>
      <c r="H1059" s="14"/>
      <c r="I1059" s="14"/>
      <c r="J1059" s="14"/>
      <c r="K1059" s="14"/>
      <c r="L1059" s="14"/>
      <c r="M1059" s="14"/>
      <c r="N1059" s="14"/>
      <c r="O1059" s="8">
        <f>(2*(((F1051-'[2]Beam '!$D$11*2)/(F1052-1))+(G1051-'[2]Beam '!$D$11*2))+(2*10*D1059/1000))*D1051</f>
        <v>1.3149999999999999</v>
      </c>
      <c r="P1059" s="8">
        <f t="shared" si="201"/>
        <v>72.325000000000003</v>
      </c>
      <c r="Q1059" s="8">
        <f>IF($D1059='[2]Beam '!Q$44,$P1059*'[2]Beam '!Q$45,0)</f>
        <v>0</v>
      </c>
      <c r="R1059" s="8">
        <f>IF($D1059='[2]Beam '!R$44,$P1059*'[2]Beam '!R$45,0)</f>
        <v>0</v>
      </c>
      <c r="S1059" s="8">
        <f>IF($D1059='[2]Beam '!S$44,$P1059*'[2]Beam '!S$45,0)</f>
        <v>64.236998571428586</v>
      </c>
      <c r="T1059" s="8">
        <f>IF($D1059='[2]Beam '!T$44,$P1059*'[2]Beam '!T$45,0)</f>
        <v>0</v>
      </c>
      <c r="U1059" s="8">
        <f>IF($D1059='[2]Beam '!U$44,$P1059*'[2]Beam '!U$45,0)</f>
        <v>0</v>
      </c>
      <c r="V1059" s="8">
        <f>IF($D1059='[2]Beam '!V$44,$P1059*'[2]Beam '!V$45,0)</f>
        <v>0</v>
      </c>
      <c r="W1059" s="8">
        <f>IF($D1059='[2]Beam '!W$44,$P1059*'[2]Beam '!W$45,0)</f>
        <v>0</v>
      </c>
      <c r="X1059" s="8">
        <f t="shared" si="202"/>
        <v>64.236998571428586</v>
      </c>
      <c r="Y1059" s="14"/>
      <c r="Z1059" s="8"/>
      <c r="AA1059" s="8"/>
      <c r="AB1059" s="8"/>
      <c r="AC1059" s="8"/>
      <c r="AD1059" s="8"/>
      <c r="AE1059" s="8"/>
      <c r="AF1059" s="8"/>
    </row>
    <row r="1060" spans="1:32" s="10" customFormat="1" ht="20.100000000000001" customHeight="1" x14ac:dyDescent="0.25">
      <c r="A1060" s="14"/>
      <c r="B1060" s="8" t="s">
        <v>2</v>
      </c>
      <c r="C1060" s="13" t="s">
        <v>16</v>
      </c>
      <c r="D1060" s="14">
        <f>D1058</f>
        <v>12</v>
      </c>
      <c r="E1060" s="14">
        <f>+E1058</f>
        <v>0.125</v>
      </c>
      <c r="F1060" s="14">
        <f>ROUND((E1051-(IF(E1051/3&gt;2*G1051,E1051/3*2,G1051*2*2)))/E1060,0)</f>
        <v>21</v>
      </c>
      <c r="H1060" s="14"/>
      <c r="I1060" s="14"/>
      <c r="J1060" s="14"/>
      <c r="K1060" s="14"/>
      <c r="L1060" s="14"/>
      <c r="M1060" s="14"/>
      <c r="N1060" s="14"/>
      <c r="O1060" s="8">
        <f>(2*(((F1051-'[2]Beam '!$D$11*2)/(F1052-1))+(G1051-'[2]Beam '!$D$11*2))+(2*10*D1060/1000))*D1051</f>
        <v>1.3149999999999999</v>
      </c>
      <c r="P1060" s="8">
        <f t="shared" si="201"/>
        <v>27.614999999999998</v>
      </c>
      <c r="Q1060" s="8">
        <f>IF($D1060='[2]Beam '!Q$44,$P1060*'[2]Beam '!Q$45,0)</f>
        <v>0</v>
      </c>
      <c r="R1060" s="8">
        <f>IF($D1060='[2]Beam '!R$44,$P1060*'[2]Beam '!R$45,0)</f>
        <v>0</v>
      </c>
      <c r="S1060" s="8">
        <f>IF($D1060='[2]Beam '!S$44,$P1060*'[2]Beam '!S$45,0)</f>
        <v>24.526854000000004</v>
      </c>
      <c r="T1060" s="8">
        <f>IF($D1060='[2]Beam '!T$44,$P1060*'[2]Beam '!T$45,0)</f>
        <v>0</v>
      </c>
      <c r="U1060" s="8">
        <f>IF($D1060='[2]Beam '!U$44,$P1060*'[2]Beam '!U$45,0)</f>
        <v>0</v>
      </c>
      <c r="V1060" s="8">
        <f>IF($D1060='[2]Beam '!V$44,$P1060*'[2]Beam '!V$45,0)</f>
        <v>0</v>
      </c>
      <c r="W1060" s="8">
        <f>IF($D1060='[2]Beam '!W$44,$P1060*'[2]Beam '!W$45,0)</f>
        <v>0</v>
      </c>
      <c r="X1060" s="8">
        <f t="shared" si="202"/>
        <v>24.526854000000004</v>
      </c>
      <c r="Y1060" s="14"/>
      <c r="Z1060" s="8"/>
      <c r="AA1060" s="8"/>
      <c r="AB1060" s="8"/>
      <c r="AC1060" s="8"/>
      <c r="AD1060" s="8"/>
      <c r="AE1060" s="8"/>
    </row>
    <row r="1061" spans="1:32" s="10" customFormat="1" ht="20.100000000000001" customHeight="1" x14ac:dyDescent="0.25">
      <c r="A1061" s="7"/>
      <c r="B1061" s="8" t="s">
        <v>2</v>
      </c>
      <c r="C1061" s="13" t="s">
        <v>10</v>
      </c>
      <c r="D1061" s="8">
        <f>+'[2]Beam '!$D$15</f>
        <v>25</v>
      </c>
      <c r="E1061" s="8">
        <f>+'[2]Beam '!$E$15</f>
        <v>1</v>
      </c>
      <c r="F1061" s="8">
        <f>ROUNDUP((4.2+O1056)/E1061,0)</f>
        <v>12</v>
      </c>
      <c r="G1061" s="9"/>
      <c r="H1061" s="9"/>
      <c r="I1061" s="8"/>
      <c r="J1061" s="8"/>
      <c r="K1061" s="8"/>
      <c r="L1061" s="8"/>
      <c r="M1061" s="8"/>
      <c r="N1061" s="8"/>
      <c r="O1061" s="8">
        <f>F1051-'[2]Beam '!$F$15</f>
        <v>0.39</v>
      </c>
      <c r="P1061" s="8">
        <f t="shared" si="201"/>
        <v>4.68</v>
      </c>
      <c r="Q1061" s="8">
        <f>IF($D1061='[2]Beam '!Q$44,$P1061*'[2]Beam '!Q$45,0)</f>
        <v>0</v>
      </c>
      <c r="R1061" s="8">
        <f>IF($D1061='[2]Beam '!R$44,$P1061*'[2]Beam '!R$45,0)</f>
        <v>0</v>
      </c>
      <c r="S1061" s="8">
        <f>IF($D1061='[2]Beam '!S$44,$P1061*'[2]Beam '!S$45,0)</f>
        <v>0</v>
      </c>
      <c r="T1061" s="8">
        <f>IF($D1061='[2]Beam '!T$44,$P1061*'[2]Beam '!T$45,0)</f>
        <v>0</v>
      </c>
      <c r="U1061" s="8">
        <f>IF($D1061='[2]Beam '!U$44,$P1061*'[2]Beam '!U$45,0)</f>
        <v>0</v>
      </c>
      <c r="V1061" s="8">
        <f>IF($D1061='[2]Beam '!V$44,$P1061*'[2]Beam '!V$45,0)</f>
        <v>18.040982142857146</v>
      </c>
      <c r="W1061" s="8">
        <f>IF($D1061='[2]Beam '!W$44,$P1061*'[2]Beam '!W$45,0)</f>
        <v>0</v>
      </c>
      <c r="X1061" s="8">
        <f t="shared" si="202"/>
        <v>18.040982142857146</v>
      </c>
      <c r="Y1061" s="8"/>
      <c r="Z1061" s="8"/>
      <c r="AA1061" s="8"/>
      <c r="AB1061" s="8"/>
      <c r="AC1061" s="8"/>
      <c r="AD1061" s="8"/>
      <c r="AE1061" s="8"/>
    </row>
    <row r="1062" spans="1:32" s="10" customFormat="1" ht="20.100000000000001" customHeight="1" x14ac:dyDescent="0.25">
      <c r="A1062" s="8">
        <v>1</v>
      </c>
      <c r="B1062" s="8" t="s">
        <v>2</v>
      </c>
      <c r="C1062" s="11" t="s">
        <v>143</v>
      </c>
      <c r="D1062" s="11">
        <v>1</v>
      </c>
      <c r="E1062" s="11">
        <v>1.4</v>
      </c>
      <c r="F1062" s="11">
        <v>0.2</v>
      </c>
      <c r="G1062" s="11">
        <v>0.8</v>
      </c>
      <c r="H1062" s="8">
        <f>G1062-0.2</f>
        <v>0.60000000000000009</v>
      </c>
      <c r="I1062" s="8">
        <f>E1062*F1062*G1062*D1062</f>
        <v>0.22399999999999998</v>
      </c>
      <c r="J1062" s="8">
        <f>(2*(E1062)*H1062*D1062)+(E1062*F1062)</f>
        <v>1.9600000000000002</v>
      </c>
      <c r="K1062" s="12">
        <f>IF(E1062=0.3,J1062,0)</f>
        <v>0</v>
      </c>
      <c r="L1062" s="12">
        <f>IF(AND(E1062&gt;0.3,E1062&lt;=0.75),J1062,0)</f>
        <v>0</v>
      </c>
      <c r="M1062" s="12">
        <f>IF(AND(E1062&gt;0.75,E1062&lt;=1.2),J1062,0)</f>
        <v>0</v>
      </c>
      <c r="N1062" s="12">
        <f>IF(E1062&gt;1.2,J1062,0)</f>
        <v>1.9600000000000002</v>
      </c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>
        <f>SUM(X1063:X1066)/I1062</f>
        <v>495.17319387755111</v>
      </c>
      <c r="Z1062" s="8"/>
      <c r="AA1062" s="8"/>
      <c r="AB1062" s="8"/>
      <c r="AC1062" s="8"/>
      <c r="AD1062" s="8"/>
      <c r="AE1062" s="8"/>
    </row>
    <row r="1063" spans="1:32" s="14" customFormat="1" ht="20.100000000000001" customHeight="1" x14ac:dyDescent="0.3">
      <c r="A1063" s="7"/>
      <c r="B1063" s="8" t="s">
        <v>2</v>
      </c>
      <c r="C1063" s="13" t="s">
        <v>4</v>
      </c>
      <c r="D1063" s="8">
        <v>25</v>
      </c>
      <c r="E1063" s="8"/>
      <c r="F1063" s="8">
        <v>2</v>
      </c>
      <c r="G1063" s="9">
        <f>VLOOKUP(D1063,'[2]Beam '!$C$20:$H$26,3,0)</f>
        <v>1</v>
      </c>
      <c r="H1063" s="9"/>
      <c r="I1063" s="8"/>
      <c r="J1063" s="8"/>
      <c r="K1063" s="8"/>
      <c r="L1063" s="8"/>
      <c r="M1063" s="8"/>
      <c r="N1063" s="8"/>
      <c r="O1063" s="8">
        <f>(E1062+2*(G1063+(12*D1063/1000))*D1062)</f>
        <v>4</v>
      </c>
      <c r="P1063" s="8">
        <f>O1063*F1063</f>
        <v>8</v>
      </c>
      <c r="Q1063" s="8">
        <f>IF($D1063='[2]Beam '!Q$44,$P1063*'[2]Beam '!Q$45,0)</f>
        <v>0</v>
      </c>
      <c r="R1063" s="8">
        <f>IF($D1063='[2]Beam '!R$44,$P1063*'[2]Beam '!R$45,0)</f>
        <v>0</v>
      </c>
      <c r="S1063" s="8">
        <f>IF($D1063='[2]Beam '!S$44,$P1063*'[2]Beam '!S$45,0)</f>
        <v>0</v>
      </c>
      <c r="T1063" s="8">
        <f>IF($D1063='[2]Beam '!T$44,$P1063*'[2]Beam '!T$45,0)</f>
        <v>0</v>
      </c>
      <c r="U1063" s="8">
        <f>IF($D1063='[2]Beam '!U$44,$P1063*'[2]Beam '!U$45,0)</f>
        <v>0</v>
      </c>
      <c r="V1063" s="8">
        <f>IF($D1063='[2]Beam '!V$44,$P1063*'[2]Beam '!V$45,0)</f>
        <v>30.839285714285719</v>
      </c>
      <c r="W1063" s="8">
        <f>IF($D1063='[2]Beam '!W$44,$P1063*'[2]Beam '!W$45,0)</f>
        <v>0</v>
      </c>
      <c r="X1063" s="8">
        <f>SUM(Q1063:W1063)</f>
        <v>30.839285714285719</v>
      </c>
      <c r="Y1063" s="8"/>
    </row>
    <row r="1064" spans="1:32" s="10" customFormat="1" ht="20.100000000000001" customHeight="1" x14ac:dyDescent="0.25">
      <c r="A1064" s="7"/>
      <c r="B1064" s="8" t="s">
        <v>2</v>
      </c>
      <c r="C1064" s="13" t="s">
        <v>139</v>
      </c>
      <c r="D1064" s="8">
        <v>25</v>
      </c>
      <c r="E1064" s="8"/>
      <c r="F1064" s="8">
        <v>2</v>
      </c>
      <c r="G1064" s="9">
        <f>VLOOKUP(D1064,'[2]Beam '!$C$20:$H$26,3,0)</f>
        <v>1</v>
      </c>
      <c r="H1064" s="9"/>
      <c r="I1064" s="8"/>
      <c r="J1064" s="8"/>
      <c r="K1064" s="8"/>
      <c r="L1064" s="8"/>
      <c r="M1064" s="8"/>
      <c r="N1064" s="8"/>
      <c r="O1064" s="8">
        <f>(E1062+2*(G1064+(12*D1064/1000))*D1062)</f>
        <v>4</v>
      </c>
      <c r="P1064" s="8">
        <f>O1064*F1064</f>
        <v>8</v>
      </c>
      <c r="Q1064" s="8">
        <f>IF($D1064='[2]Beam '!Q$44,$P1064*'[2]Beam '!Q$45,0)</f>
        <v>0</v>
      </c>
      <c r="R1064" s="8">
        <f>IF($D1064='[2]Beam '!R$44,$P1064*'[2]Beam '!R$45,0)</f>
        <v>0</v>
      </c>
      <c r="S1064" s="8">
        <f>IF($D1064='[2]Beam '!S$44,$P1064*'[2]Beam '!S$45,0)</f>
        <v>0</v>
      </c>
      <c r="T1064" s="8">
        <f>IF($D1064='[2]Beam '!T$44,$P1064*'[2]Beam '!T$45,0)</f>
        <v>0</v>
      </c>
      <c r="U1064" s="8">
        <f>IF($D1064='[2]Beam '!U$44,$P1064*'[2]Beam '!U$45,0)</f>
        <v>0</v>
      </c>
      <c r="V1064" s="8">
        <f>IF($D1064='[2]Beam '!V$44,$P1064*'[2]Beam '!V$45,0)</f>
        <v>30.839285714285719</v>
      </c>
      <c r="W1064" s="8">
        <f>IF($D1064='[2]Beam '!W$44,$P1064*'[2]Beam '!W$45,0)</f>
        <v>0</v>
      </c>
      <c r="X1064" s="8">
        <f>SUM(Q1064:W1064)</f>
        <v>30.839285714285719</v>
      </c>
      <c r="Y1064" s="8"/>
      <c r="Z1064" s="8"/>
      <c r="AA1064" s="8"/>
      <c r="AB1064" s="8"/>
      <c r="AC1064" s="8"/>
      <c r="AD1064" s="8"/>
      <c r="AE1064" s="8"/>
    </row>
    <row r="1065" spans="1:32" s="10" customFormat="1" ht="21" customHeight="1" x14ac:dyDescent="0.25">
      <c r="A1065" s="7"/>
      <c r="B1065" s="8" t="s">
        <v>2</v>
      </c>
      <c r="C1065" s="13" t="s">
        <v>8</v>
      </c>
      <c r="D1065" s="8">
        <v>12</v>
      </c>
      <c r="E1065" s="8">
        <v>0.1</v>
      </c>
      <c r="F1065" s="8">
        <f>ROUNDUP(E1062/E1065,0)</f>
        <v>14</v>
      </c>
      <c r="H1065" s="8"/>
      <c r="I1065" s="8"/>
      <c r="J1065" s="8"/>
      <c r="K1065" s="8"/>
      <c r="L1065" s="8"/>
      <c r="M1065" s="8"/>
      <c r="N1065" s="8"/>
      <c r="O1065" s="8">
        <f>(2*((G1062-(2*'[2]Beam '!$D$11))+(F1062-(2*'[2]Beam '!$D$11)))+(2*10*D1065/1000))*D1062</f>
        <v>2</v>
      </c>
      <c r="P1065" s="8">
        <f>O1065*F1065</f>
        <v>28</v>
      </c>
      <c r="Q1065" s="8">
        <f>IF($D1065='[2]Beam '!Q$44,$P1065*'[2]Beam '!Q$45,0)</f>
        <v>0</v>
      </c>
      <c r="R1065" s="8">
        <f>IF($D1065='[2]Beam '!R$44,$P1065*'[2]Beam '!R$45,0)</f>
        <v>0</v>
      </c>
      <c r="S1065" s="8">
        <f>IF($D1065='[2]Beam '!S$44,$P1065*'[2]Beam '!S$45,0)</f>
        <v>24.868800000000004</v>
      </c>
      <c r="T1065" s="8">
        <f>IF($D1065='[2]Beam '!T$44,$P1065*'[2]Beam '!T$45,0)</f>
        <v>0</v>
      </c>
      <c r="U1065" s="8">
        <f>IF($D1065='[2]Beam '!U$44,$P1065*'[2]Beam '!U$45,0)</f>
        <v>0</v>
      </c>
      <c r="V1065" s="8">
        <f>IF($D1065='[2]Beam '!V$44,$P1065*'[2]Beam '!V$45,0)</f>
        <v>0</v>
      </c>
      <c r="W1065" s="8">
        <f>IF($D1065='[2]Beam '!W$44,$P1065*'[2]Beam '!W$45,0)</f>
        <v>0</v>
      </c>
      <c r="X1065" s="8">
        <f>SUM(Q1065:W1065)</f>
        <v>24.868800000000004</v>
      </c>
      <c r="Y1065" s="8"/>
      <c r="Z1065" s="8"/>
      <c r="AA1065" s="8"/>
      <c r="AB1065" s="8"/>
      <c r="AC1065" s="8"/>
      <c r="AD1065" s="8"/>
      <c r="AE1065" s="8"/>
      <c r="AF1065" s="8"/>
    </row>
    <row r="1066" spans="1:32" s="10" customFormat="1" ht="20.100000000000001" customHeight="1" x14ac:dyDescent="0.25">
      <c r="A1066" s="14"/>
      <c r="B1066" s="8" t="s">
        <v>2</v>
      </c>
      <c r="C1066" s="13" t="s">
        <v>9</v>
      </c>
      <c r="D1066" s="8">
        <f>+D1065</f>
        <v>12</v>
      </c>
      <c r="E1066" s="14">
        <f>+E1065</f>
        <v>0.1</v>
      </c>
      <c r="F1066" s="8">
        <f>ROUNDUP(E1062/E1066,0)</f>
        <v>14</v>
      </c>
      <c r="H1066" s="14"/>
      <c r="I1066" s="14"/>
      <c r="J1066" s="14"/>
      <c r="K1066" s="14"/>
      <c r="L1066" s="14"/>
      <c r="M1066" s="14"/>
      <c r="N1066" s="14"/>
      <c r="O1066" s="8">
        <f>((((G1062-(2*'[2]Beam '!$D$11))+(2*10*D1066/1000))*D1062))*2</f>
        <v>1.96</v>
      </c>
      <c r="P1066" s="8">
        <f>O1066*F1066</f>
        <v>27.439999999999998</v>
      </c>
      <c r="Q1066" s="8">
        <f>IF($D1066='[2]Beam '!Q$44,$P1066*'[2]Beam '!Q$45,0)</f>
        <v>0</v>
      </c>
      <c r="R1066" s="8">
        <f>IF($D1066='[2]Beam '!R$44,$P1066*'[2]Beam '!R$45,0)</f>
        <v>0</v>
      </c>
      <c r="S1066" s="8">
        <f>IF($D1066='[2]Beam '!S$44,$P1066*'[2]Beam '!S$45,0)</f>
        <v>24.371424000000001</v>
      </c>
      <c r="T1066" s="8">
        <f>IF($D1066='[2]Beam '!T$44,$P1066*'[2]Beam '!T$45,0)</f>
        <v>0</v>
      </c>
      <c r="U1066" s="8">
        <f>IF($D1066='[2]Beam '!U$44,$P1066*'[2]Beam '!U$45,0)</f>
        <v>0</v>
      </c>
      <c r="V1066" s="8">
        <f>IF($D1066='[2]Beam '!V$44,$P1066*'[2]Beam '!V$45,0)</f>
        <v>0</v>
      </c>
      <c r="W1066" s="8">
        <f>IF($D1066='[2]Beam '!W$44,$P1066*'[2]Beam '!W$45,0)</f>
        <v>0</v>
      </c>
      <c r="X1066" s="8">
        <f>SUM(Q1066:W1066)</f>
        <v>24.371424000000001</v>
      </c>
      <c r="Y1066" s="14"/>
      <c r="Z1066" s="8"/>
      <c r="AA1066" s="8"/>
      <c r="AB1066" s="8"/>
      <c r="AC1066" s="8"/>
      <c r="AD1066" s="8"/>
      <c r="AE1066" s="8"/>
    </row>
    <row r="1067" spans="1:32" s="10" customFormat="1" ht="20.100000000000001" customHeight="1" x14ac:dyDescent="0.25">
      <c r="A1067" s="7"/>
      <c r="B1067" s="8" t="s">
        <v>2</v>
      </c>
      <c r="C1067" s="13" t="s">
        <v>10</v>
      </c>
      <c r="D1067" s="8">
        <f>+'[2]Beam '!$D$15</f>
        <v>25</v>
      </c>
      <c r="E1067" s="8">
        <f>+'[2]Beam '!$E$15</f>
        <v>1</v>
      </c>
      <c r="F1067" s="8">
        <f>ROUNDUP((E1062)/E1067,0)</f>
        <v>2</v>
      </c>
      <c r="G1067" s="9"/>
      <c r="H1067" s="9"/>
      <c r="I1067" s="8"/>
      <c r="J1067" s="8"/>
      <c r="K1067" s="8"/>
      <c r="L1067" s="8"/>
      <c r="M1067" s="8"/>
      <c r="N1067" s="8"/>
      <c r="O1067" s="8">
        <f>F1062-'[2]Beam '!$F$15</f>
        <v>0.14000000000000001</v>
      </c>
      <c r="P1067" s="8">
        <f>O1067*F1067</f>
        <v>0.28000000000000003</v>
      </c>
      <c r="Q1067" s="8">
        <f>IF($D1067='[2]Beam '!Q$44,$P1067*'[2]Beam '!Q$45,0)</f>
        <v>0</v>
      </c>
      <c r="R1067" s="8">
        <f>IF($D1067='[2]Beam '!R$44,$P1067*'[2]Beam '!R$45,0)</f>
        <v>0</v>
      </c>
      <c r="S1067" s="8">
        <f>IF($D1067='[2]Beam '!S$44,$P1067*'[2]Beam '!S$45,0)</f>
        <v>0</v>
      </c>
      <c r="T1067" s="8">
        <f>IF($D1067='[2]Beam '!T$44,$P1067*'[2]Beam '!T$45,0)</f>
        <v>0</v>
      </c>
      <c r="U1067" s="8">
        <f>IF($D1067='[2]Beam '!U$44,$P1067*'[2]Beam '!U$45,0)</f>
        <v>0</v>
      </c>
      <c r="V1067" s="8">
        <f>IF($D1067='[2]Beam '!V$44,$P1067*'[2]Beam '!V$45,0)</f>
        <v>1.0793750000000002</v>
      </c>
      <c r="W1067" s="8">
        <f>IF($D1067='[2]Beam '!W$44,$P1067*'[2]Beam '!W$45,0)</f>
        <v>0</v>
      </c>
      <c r="X1067" s="8">
        <f>SUM(Q1067:W1067)</f>
        <v>1.0793750000000002</v>
      </c>
      <c r="Y1067" s="8"/>
      <c r="Z1067" s="8"/>
      <c r="AA1067" s="8"/>
      <c r="AB1067" s="8"/>
      <c r="AC1067" s="8"/>
      <c r="AD1067" s="8"/>
      <c r="AE1067" s="8"/>
    </row>
    <row r="1068" spans="1:32" s="10" customFormat="1" ht="20.100000000000001" customHeight="1" x14ac:dyDescent="0.25">
      <c r="A1068" s="8">
        <v>1</v>
      </c>
      <c r="B1068" s="8" t="s">
        <v>2</v>
      </c>
      <c r="C1068" s="11" t="s">
        <v>144</v>
      </c>
      <c r="D1068" s="11">
        <v>1</v>
      </c>
      <c r="E1068" s="11">
        <v>2</v>
      </c>
      <c r="F1068" s="11">
        <v>0.3</v>
      </c>
      <c r="G1068" s="11">
        <v>1.1000000000000001</v>
      </c>
      <c r="H1068" s="8">
        <f>G1068-0.2</f>
        <v>0.90000000000000013</v>
      </c>
      <c r="I1068" s="8">
        <f>E1068*F1068*G1068*D1068</f>
        <v>0.66</v>
      </c>
      <c r="J1068" s="8">
        <f>(2*(E1068)*H1068*D1068)+(E1068*F1068)</f>
        <v>4.2</v>
      </c>
      <c r="K1068" s="12">
        <f>IF(E1068=0.3,J1068,0)</f>
        <v>0</v>
      </c>
      <c r="L1068" s="12">
        <f>IF(AND(E1068&gt;0.3,E1068&lt;=0.75),J1068,0)</f>
        <v>0</v>
      </c>
      <c r="M1068" s="12">
        <f>IF(AND(E1068&gt;0.75,E1068&lt;=1.2),J1068,0)</f>
        <v>0</v>
      </c>
      <c r="N1068" s="12">
        <f>IF(E1068&gt;1.2,J1068,0)</f>
        <v>4.2</v>
      </c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>
        <f>SUM(X1069:X1076)/I1068</f>
        <v>596.33646428571433</v>
      </c>
      <c r="Z1068" s="8"/>
      <c r="AA1068" s="8"/>
      <c r="AB1068" s="8"/>
      <c r="AC1068" s="8"/>
      <c r="AD1068" s="8"/>
      <c r="AE1068" s="8"/>
    </row>
    <row r="1069" spans="1:32" s="10" customFormat="1" ht="20.100000000000001" customHeight="1" x14ac:dyDescent="0.25">
      <c r="A1069" s="7"/>
      <c r="B1069" s="8" t="s">
        <v>2</v>
      </c>
      <c r="C1069" s="13" t="s">
        <v>4</v>
      </c>
      <c r="D1069" s="8">
        <v>25</v>
      </c>
      <c r="E1069" s="8"/>
      <c r="F1069" s="8">
        <v>3</v>
      </c>
      <c r="G1069" s="9">
        <f>VLOOKUP(D1069,'[2]Beam '!$C$20:$H$26,3,0)</f>
        <v>1</v>
      </c>
      <c r="H1069" s="9"/>
      <c r="I1069" s="8"/>
      <c r="J1069" s="8"/>
      <c r="K1069" s="8"/>
      <c r="L1069" s="8"/>
      <c r="M1069" s="8"/>
      <c r="N1069" s="8"/>
      <c r="O1069" s="8">
        <f>(E1068+1*(G1069+(12*D1069/1000))+1*(G1069)*D1068)</f>
        <v>4.3</v>
      </c>
      <c r="P1069" s="8">
        <f t="shared" ref="P1069:P1077" si="203">O1069*F1069</f>
        <v>12.899999999999999</v>
      </c>
      <c r="Q1069" s="8">
        <f>IF($D1069='[2]Beam '!Q$44,$P1069*'[2]Beam '!Q$45,0)</f>
        <v>0</v>
      </c>
      <c r="R1069" s="8">
        <f>IF($D1069='[2]Beam '!R$44,$P1069*'[2]Beam '!R$45,0)</f>
        <v>0</v>
      </c>
      <c r="S1069" s="8">
        <f>IF($D1069='[2]Beam '!S$44,$P1069*'[2]Beam '!S$45,0)</f>
        <v>0</v>
      </c>
      <c r="T1069" s="8">
        <f>IF($D1069='[2]Beam '!T$44,$P1069*'[2]Beam '!T$45,0)</f>
        <v>0</v>
      </c>
      <c r="U1069" s="8">
        <f>IF($D1069='[2]Beam '!U$44,$P1069*'[2]Beam '!U$45,0)</f>
        <v>0</v>
      </c>
      <c r="V1069" s="8">
        <f>IF($D1069='[2]Beam '!V$44,$P1069*'[2]Beam '!V$45,0)</f>
        <v>49.728348214285717</v>
      </c>
      <c r="W1069" s="8">
        <f>IF($D1069='[2]Beam '!W$44,$P1069*'[2]Beam '!W$45,0)</f>
        <v>0</v>
      </c>
      <c r="X1069" s="8">
        <f t="shared" ref="X1069:X1077" si="204">SUM(Q1069:W1069)</f>
        <v>49.728348214285717</v>
      </c>
      <c r="Y1069" s="8"/>
      <c r="Z1069" s="8"/>
      <c r="AA1069" s="8"/>
      <c r="AB1069" s="8"/>
      <c r="AC1069" s="8"/>
      <c r="AD1069" s="8"/>
      <c r="AE1069" s="8"/>
    </row>
    <row r="1070" spans="1:32" s="10" customFormat="1" ht="20.100000000000001" customHeight="1" x14ac:dyDescent="0.25">
      <c r="A1070" s="7"/>
      <c r="B1070" s="8" t="s">
        <v>2</v>
      </c>
      <c r="C1070" s="13" t="s">
        <v>75</v>
      </c>
      <c r="D1070" s="8">
        <v>25</v>
      </c>
      <c r="E1070" s="8"/>
      <c r="F1070" s="8">
        <v>3</v>
      </c>
      <c r="G1070" s="9">
        <f>VLOOKUP(D1070,'[2]Beam '!$C$20:$H$26,3,0)</f>
        <v>1</v>
      </c>
      <c r="H1070" s="9"/>
      <c r="I1070" s="8"/>
      <c r="J1070" s="8"/>
      <c r="K1070" s="8"/>
      <c r="L1070" s="8"/>
      <c r="M1070" s="8"/>
      <c r="N1070" s="8"/>
      <c r="O1070" s="8">
        <f>(E1068+1*(G1070+(12*D1070/1000))+1*(G1070)*D1068)</f>
        <v>4.3</v>
      </c>
      <c r="P1070" s="8">
        <f t="shared" si="203"/>
        <v>12.899999999999999</v>
      </c>
      <c r="Q1070" s="8">
        <f>IF($D1070='[2]Beam '!Q$44,$P1070*'[2]Beam '!Q$45,0)</f>
        <v>0</v>
      </c>
      <c r="R1070" s="8">
        <f>IF($D1070='[2]Beam '!R$44,$P1070*'[2]Beam '!R$45,0)</f>
        <v>0</v>
      </c>
      <c r="S1070" s="8">
        <f>IF($D1070='[2]Beam '!S$44,$P1070*'[2]Beam '!S$45,0)</f>
        <v>0</v>
      </c>
      <c r="T1070" s="8">
        <f>IF($D1070='[2]Beam '!T$44,$P1070*'[2]Beam '!T$45,0)</f>
        <v>0</v>
      </c>
      <c r="U1070" s="8">
        <f>IF($D1070='[2]Beam '!U$44,$P1070*'[2]Beam '!U$45,0)</f>
        <v>0</v>
      </c>
      <c r="V1070" s="8">
        <f>IF($D1070='[2]Beam '!V$44,$P1070*'[2]Beam '!V$45,0)</f>
        <v>49.728348214285717</v>
      </c>
      <c r="W1070" s="8">
        <f>IF($D1070='[2]Beam '!W$44,$P1070*'[2]Beam '!W$45,0)</f>
        <v>0</v>
      </c>
      <c r="X1070" s="8">
        <f t="shared" si="204"/>
        <v>49.728348214285717</v>
      </c>
      <c r="Y1070" s="8"/>
      <c r="Z1070" s="8"/>
      <c r="AA1070" s="8"/>
      <c r="AB1070" s="8"/>
      <c r="AC1070" s="8"/>
      <c r="AD1070" s="8"/>
      <c r="AE1070" s="8"/>
    </row>
    <row r="1071" spans="1:32" s="10" customFormat="1" ht="20.100000000000001" customHeight="1" x14ac:dyDescent="0.25">
      <c r="A1071" s="7"/>
      <c r="B1071" s="8" t="s">
        <v>2</v>
      </c>
      <c r="C1071" s="13" t="s">
        <v>75</v>
      </c>
      <c r="D1071" s="8">
        <v>25</v>
      </c>
      <c r="E1071" s="8"/>
      <c r="F1071" s="8">
        <v>3</v>
      </c>
      <c r="G1071" s="9">
        <f>VLOOKUP(D1071,'[2]Beam '!$C$20:$H$26,3,0)</f>
        <v>1</v>
      </c>
      <c r="H1071" s="9"/>
      <c r="I1071" s="8"/>
      <c r="J1071" s="8"/>
      <c r="K1071" s="8"/>
      <c r="L1071" s="8"/>
      <c r="M1071" s="8"/>
      <c r="N1071" s="8"/>
      <c r="O1071" s="8">
        <f>(E1068+1*(G1071+(12*D1071/1000))+1*(G1071)*D1068)</f>
        <v>4.3</v>
      </c>
      <c r="P1071" s="8">
        <f t="shared" si="203"/>
        <v>12.899999999999999</v>
      </c>
      <c r="Q1071" s="8">
        <f>IF($D1071='[2]Beam '!Q$44,$P1071*'[2]Beam '!Q$45,0)</f>
        <v>0</v>
      </c>
      <c r="R1071" s="8">
        <f>IF($D1071='[2]Beam '!R$44,$P1071*'[2]Beam '!R$45,0)</f>
        <v>0</v>
      </c>
      <c r="S1071" s="8">
        <f>IF($D1071='[2]Beam '!S$44,$P1071*'[2]Beam '!S$45,0)</f>
        <v>0</v>
      </c>
      <c r="T1071" s="8">
        <f>IF($D1071='[2]Beam '!T$44,$P1071*'[2]Beam '!T$45,0)</f>
        <v>0</v>
      </c>
      <c r="U1071" s="8">
        <f>IF($D1071='[2]Beam '!U$44,$P1071*'[2]Beam '!U$45,0)</f>
        <v>0</v>
      </c>
      <c r="V1071" s="8">
        <f>IF($D1071='[2]Beam '!V$44,$P1071*'[2]Beam '!V$45,0)</f>
        <v>49.728348214285717</v>
      </c>
      <c r="W1071" s="8">
        <f>IF($D1071='[2]Beam '!W$44,$P1071*'[2]Beam '!W$45,0)</f>
        <v>0</v>
      </c>
      <c r="X1071" s="8">
        <f t="shared" si="204"/>
        <v>49.728348214285717</v>
      </c>
      <c r="Y1071" s="8"/>
      <c r="Z1071" s="8"/>
      <c r="AA1071" s="8"/>
      <c r="AB1071" s="8"/>
      <c r="AC1071" s="8"/>
      <c r="AD1071" s="8"/>
      <c r="AE1071" s="8"/>
    </row>
    <row r="1072" spans="1:32" s="10" customFormat="1" ht="20.100000000000001" customHeight="1" x14ac:dyDescent="0.25">
      <c r="A1072" s="7"/>
      <c r="B1072" s="8" t="s">
        <v>2</v>
      </c>
      <c r="C1072" s="13" t="s">
        <v>139</v>
      </c>
      <c r="D1072" s="8">
        <v>25</v>
      </c>
      <c r="E1072" s="8"/>
      <c r="F1072" s="8">
        <v>3</v>
      </c>
      <c r="G1072" s="9">
        <f>VLOOKUP(D1072,'[2]Beam '!$C$20:$H$26,3,0)</f>
        <v>1</v>
      </c>
      <c r="H1072" s="9"/>
      <c r="I1072" s="8"/>
      <c r="J1072" s="8"/>
      <c r="K1072" s="8"/>
      <c r="L1072" s="8"/>
      <c r="M1072" s="8"/>
      <c r="N1072" s="8"/>
      <c r="O1072" s="8">
        <f>(E1068+1*(G1072+(12*D1072/1000))+1*(G1072)*D1068)</f>
        <v>4.3</v>
      </c>
      <c r="P1072" s="8">
        <f t="shared" si="203"/>
        <v>12.899999999999999</v>
      </c>
      <c r="Q1072" s="8">
        <f>IF($D1072='[2]Beam '!Q$44,$P1072*'[2]Beam '!Q$45,0)</f>
        <v>0</v>
      </c>
      <c r="R1072" s="8">
        <f>IF($D1072='[2]Beam '!R$44,$P1072*'[2]Beam '!R$45,0)</f>
        <v>0</v>
      </c>
      <c r="S1072" s="8">
        <f>IF($D1072='[2]Beam '!S$44,$P1072*'[2]Beam '!S$45,0)</f>
        <v>0</v>
      </c>
      <c r="T1072" s="8">
        <f>IF($D1072='[2]Beam '!T$44,$P1072*'[2]Beam '!T$45,0)</f>
        <v>0</v>
      </c>
      <c r="U1072" s="8">
        <f>IF($D1072='[2]Beam '!U$44,$P1072*'[2]Beam '!U$45,0)</f>
        <v>0</v>
      </c>
      <c r="V1072" s="8">
        <f>IF($D1072='[2]Beam '!V$44,$P1072*'[2]Beam '!V$45,0)</f>
        <v>49.728348214285717</v>
      </c>
      <c r="W1072" s="8">
        <f>IF($D1072='[2]Beam '!W$44,$P1072*'[2]Beam '!W$45,0)</f>
        <v>0</v>
      </c>
      <c r="X1072" s="8">
        <f t="shared" si="204"/>
        <v>49.728348214285717</v>
      </c>
      <c r="Y1072" s="8"/>
      <c r="Z1072" s="8"/>
      <c r="AA1072" s="8"/>
      <c r="AB1072" s="8"/>
      <c r="AC1072" s="8"/>
      <c r="AD1072" s="8"/>
      <c r="AE1072" s="8"/>
    </row>
    <row r="1073" spans="1:32" s="14" customFormat="1" ht="20.100000000000001" customHeight="1" x14ac:dyDescent="0.3">
      <c r="A1073" s="7"/>
      <c r="B1073" s="8" t="s">
        <v>2</v>
      </c>
      <c r="C1073" s="13" t="s">
        <v>88</v>
      </c>
      <c r="D1073" s="8">
        <v>25</v>
      </c>
      <c r="E1073" s="8"/>
      <c r="F1073" s="8">
        <v>3</v>
      </c>
      <c r="G1073" s="9">
        <f>VLOOKUP(D1073,'[2]Beam '!$C$20:$H$26,3,0)</f>
        <v>1</v>
      </c>
      <c r="H1073" s="9"/>
      <c r="I1073" s="8"/>
      <c r="J1073" s="8"/>
      <c r="K1073" s="8"/>
      <c r="L1073" s="8"/>
      <c r="M1073" s="8"/>
      <c r="N1073" s="8"/>
      <c r="O1073" s="8">
        <f>(E1068+1*(G1073+(12*D1073/1000))+1*(G1073)*D1068)</f>
        <v>4.3</v>
      </c>
      <c r="P1073" s="8">
        <f t="shared" si="203"/>
        <v>12.899999999999999</v>
      </c>
      <c r="Q1073" s="8">
        <f>IF($D1073='[2]Beam '!Q$44,$P1073*'[2]Beam '!Q$45,0)</f>
        <v>0</v>
      </c>
      <c r="R1073" s="8">
        <f>IF($D1073='[2]Beam '!R$44,$P1073*'[2]Beam '!R$45,0)</f>
        <v>0</v>
      </c>
      <c r="S1073" s="8">
        <f>IF($D1073='[2]Beam '!S$44,$P1073*'[2]Beam '!S$45,0)</f>
        <v>0</v>
      </c>
      <c r="T1073" s="8">
        <f>IF($D1073='[2]Beam '!T$44,$P1073*'[2]Beam '!T$45,0)</f>
        <v>0</v>
      </c>
      <c r="U1073" s="8">
        <f>IF($D1073='[2]Beam '!U$44,$P1073*'[2]Beam '!U$45,0)</f>
        <v>0</v>
      </c>
      <c r="V1073" s="8">
        <f>IF($D1073='[2]Beam '!V$44,$P1073*'[2]Beam '!V$45,0)</f>
        <v>49.728348214285717</v>
      </c>
      <c r="W1073" s="8">
        <f>IF($D1073='[2]Beam '!W$44,$P1073*'[2]Beam '!W$45,0)</f>
        <v>0</v>
      </c>
      <c r="X1073" s="8">
        <f t="shared" si="204"/>
        <v>49.728348214285717</v>
      </c>
      <c r="Y1073" s="8"/>
    </row>
    <row r="1074" spans="1:32" s="10" customFormat="1" ht="20.100000000000001" customHeight="1" x14ac:dyDescent="0.25">
      <c r="A1074" s="7"/>
      <c r="B1074" s="8" t="s">
        <v>2</v>
      </c>
      <c r="C1074" s="13" t="s">
        <v>88</v>
      </c>
      <c r="D1074" s="8">
        <v>25</v>
      </c>
      <c r="E1074" s="8"/>
      <c r="F1074" s="8">
        <v>3</v>
      </c>
      <c r="G1074" s="9">
        <f>VLOOKUP(D1074,'[2]Beam '!$C$20:$H$26,3,0)</f>
        <v>1</v>
      </c>
      <c r="H1074" s="9"/>
      <c r="I1074" s="8"/>
      <c r="J1074" s="8"/>
      <c r="K1074" s="8"/>
      <c r="L1074" s="8"/>
      <c r="M1074" s="8"/>
      <c r="N1074" s="8"/>
      <c r="O1074" s="8">
        <f>(E1068+1*(G1074+(12*D1074/1000))+1*(G1074)*D1068)</f>
        <v>4.3</v>
      </c>
      <c r="P1074" s="8">
        <f t="shared" si="203"/>
        <v>12.899999999999999</v>
      </c>
      <c r="Q1074" s="8">
        <f>IF($D1074='[2]Beam '!Q$44,$P1074*'[2]Beam '!Q$45,0)</f>
        <v>0</v>
      </c>
      <c r="R1074" s="8">
        <f>IF($D1074='[2]Beam '!R$44,$P1074*'[2]Beam '!R$45,0)</f>
        <v>0</v>
      </c>
      <c r="S1074" s="8">
        <f>IF($D1074='[2]Beam '!S$44,$P1074*'[2]Beam '!S$45,0)</f>
        <v>0</v>
      </c>
      <c r="T1074" s="8">
        <f>IF($D1074='[2]Beam '!T$44,$P1074*'[2]Beam '!T$45,0)</f>
        <v>0</v>
      </c>
      <c r="U1074" s="8">
        <f>IF($D1074='[2]Beam '!U$44,$P1074*'[2]Beam '!U$45,0)</f>
        <v>0</v>
      </c>
      <c r="V1074" s="8">
        <f>IF($D1074='[2]Beam '!V$44,$P1074*'[2]Beam '!V$45,0)</f>
        <v>49.728348214285717</v>
      </c>
      <c r="W1074" s="8">
        <f>IF($D1074='[2]Beam '!W$44,$P1074*'[2]Beam '!W$45,0)</f>
        <v>0</v>
      </c>
      <c r="X1074" s="8">
        <f t="shared" si="204"/>
        <v>49.728348214285717</v>
      </c>
      <c r="Y1074" s="8"/>
      <c r="Z1074" s="8"/>
      <c r="AA1074" s="8"/>
      <c r="AB1074" s="8"/>
      <c r="AC1074" s="8"/>
      <c r="AD1074" s="8"/>
      <c r="AE1074" s="8"/>
    </row>
    <row r="1075" spans="1:32" s="10" customFormat="1" ht="21" customHeight="1" x14ac:dyDescent="0.25">
      <c r="A1075" s="7"/>
      <c r="B1075" s="8" t="s">
        <v>2</v>
      </c>
      <c r="C1075" s="13" t="s">
        <v>8</v>
      </c>
      <c r="D1075" s="8">
        <v>12</v>
      </c>
      <c r="E1075" s="8">
        <v>0.1</v>
      </c>
      <c r="F1075" s="8">
        <f>ROUNDUP(E1068/E1075,0)</f>
        <v>20</v>
      </c>
      <c r="H1075" s="8"/>
      <c r="I1075" s="8"/>
      <c r="J1075" s="8"/>
      <c r="K1075" s="8"/>
      <c r="L1075" s="8"/>
      <c r="M1075" s="8"/>
      <c r="N1075" s="8"/>
      <c r="O1075" s="8">
        <f>(2*((G1068-(2*'[2]Beam '!$D$11))+(F1068-(2*'[2]Beam '!$D$11)))+(2*10*D1075/1000))*D1068</f>
        <v>2.8</v>
      </c>
      <c r="P1075" s="8">
        <f t="shared" si="203"/>
        <v>56</v>
      </c>
      <c r="Q1075" s="8">
        <f>IF($D1075='[2]Beam '!Q$44,$P1075*'[2]Beam '!Q$45,0)</f>
        <v>0</v>
      </c>
      <c r="R1075" s="8">
        <f>IF($D1075='[2]Beam '!R$44,$P1075*'[2]Beam '!R$45,0)</f>
        <v>0</v>
      </c>
      <c r="S1075" s="8">
        <f>IF($D1075='[2]Beam '!S$44,$P1075*'[2]Beam '!S$45,0)</f>
        <v>49.737600000000008</v>
      </c>
      <c r="T1075" s="8">
        <f>IF($D1075='[2]Beam '!T$44,$P1075*'[2]Beam '!T$45,0)</f>
        <v>0</v>
      </c>
      <c r="U1075" s="8">
        <f>IF($D1075='[2]Beam '!U$44,$P1075*'[2]Beam '!U$45,0)</f>
        <v>0</v>
      </c>
      <c r="V1075" s="8">
        <f>IF($D1075='[2]Beam '!V$44,$P1075*'[2]Beam '!V$45,0)</f>
        <v>0</v>
      </c>
      <c r="W1075" s="8">
        <f>IF($D1075='[2]Beam '!W$44,$P1075*'[2]Beam '!W$45,0)</f>
        <v>0</v>
      </c>
      <c r="X1075" s="8">
        <f t="shared" si="204"/>
        <v>49.737600000000008</v>
      </c>
      <c r="Y1075" s="8"/>
      <c r="Z1075" s="8"/>
      <c r="AA1075" s="8"/>
      <c r="AB1075" s="8"/>
      <c r="AC1075" s="8"/>
      <c r="AD1075" s="8"/>
      <c r="AE1075" s="8"/>
      <c r="AF1075" s="8"/>
    </row>
    <row r="1076" spans="1:32" s="10" customFormat="1" ht="20.100000000000001" customHeight="1" x14ac:dyDescent="0.25">
      <c r="A1076" s="14"/>
      <c r="B1076" s="8" t="s">
        <v>2</v>
      </c>
      <c r="C1076" s="13" t="s">
        <v>9</v>
      </c>
      <c r="D1076" s="8">
        <f>+D1075</f>
        <v>12</v>
      </c>
      <c r="E1076" s="14">
        <f>+E1075</f>
        <v>0.1</v>
      </c>
      <c r="F1076" s="8">
        <f>ROUNDUP(E1068/E1076,0)</f>
        <v>20</v>
      </c>
      <c r="H1076" s="14"/>
      <c r="I1076" s="14"/>
      <c r="J1076" s="14"/>
      <c r="K1076" s="14"/>
      <c r="L1076" s="14"/>
      <c r="M1076" s="14"/>
      <c r="N1076" s="14"/>
      <c r="O1076" s="8">
        <f>((((G1068-(2*'[2]Beam '!$D$11))+(2*10*D1076/1000))*D1068))*2</f>
        <v>2.56</v>
      </c>
      <c r="P1076" s="8">
        <f t="shared" si="203"/>
        <v>51.2</v>
      </c>
      <c r="Q1076" s="8">
        <f>IF($D1076='[2]Beam '!Q$44,$P1076*'[2]Beam '!Q$45,0)</f>
        <v>0</v>
      </c>
      <c r="R1076" s="8">
        <f>IF($D1076='[2]Beam '!R$44,$P1076*'[2]Beam '!R$45,0)</f>
        <v>0</v>
      </c>
      <c r="S1076" s="8">
        <f>IF($D1076='[2]Beam '!S$44,$P1076*'[2]Beam '!S$45,0)</f>
        <v>45.474377142857151</v>
      </c>
      <c r="T1076" s="8">
        <f>IF($D1076='[2]Beam '!T$44,$P1076*'[2]Beam '!T$45,0)</f>
        <v>0</v>
      </c>
      <c r="U1076" s="8">
        <f>IF($D1076='[2]Beam '!U$44,$P1076*'[2]Beam '!U$45,0)</f>
        <v>0</v>
      </c>
      <c r="V1076" s="8">
        <f>IF($D1076='[2]Beam '!V$44,$P1076*'[2]Beam '!V$45,0)</f>
        <v>0</v>
      </c>
      <c r="W1076" s="8">
        <f>IF($D1076='[2]Beam '!W$44,$P1076*'[2]Beam '!W$45,0)</f>
        <v>0</v>
      </c>
      <c r="X1076" s="8">
        <f t="shared" si="204"/>
        <v>45.474377142857151</v>
      </c>
      <c r="Y1076" s="14"/>
      <c r="Z1076" s="8"/>
      <c r="AA1076" s="8"/>
      <c r="AB1076" s="8"/>
      <c r="AC1076" s="8"/>
      <c r="AD1076" s="8"/>
      <c r="AE1076" s="8"/>
    </row>
    <row r="1077" spans="1:32" s="10" customFormat="1" ht="20.100000000000001" customHeight="1" x14ac:dyDescent="0.25">
      <c r="A1077" s="7"/>
      <c r="B1077" s="8" t="s">
        <v>2</v>
      </c>
      <c r="C1077" s="13" t="s">
        <v>10</v>
      </c>
      <c r="D1077" s="8">
        <f>+'[2]Beam '!$D$15</f>
        <v>25</v>
      </c>
      <c r="E1077" s="8">
        <f>+'[2]Beam '!$E$15</f>
        <v>1</v>
      </c>
      <c r="F1077" s="8">
        <f>ROUNDUP((E1068)/E1077,0)</f>
        <v>2</v>
      </c>
      <c r="G1077" s="9"/>
      <c r="H1077" s="9"/>
      <c r="I1077" s="8"/>
      <c r="J1077" s="8"/>
      <c r="K1077" s="8"/>
      <c r="L1077" s="8"/>
      <c r="M1077" s="8"/>
      <c r="N1077" s="8"/>
      <c r="O1077" s="8">
        <f>F1068-'[2]Beam '!$F$15</f>
        <v>0.24</v>
      </c>
      <c r="P1077" s="8">
        <f t="shared" si="203"/>
        <v>0.48</v>
      </c>
      <c r="Q1077" s="8">
        <f>IF($D1077='[2]Beam '!Q$44,$P1077*'[2]Beam '!Q$45,0)</f>
        <v>0</v>
      </c>
      <c r="R1077" s="8">
        <f>IF($D1077='[2]Beam '!R$44,$P1077*'[2]Beam '!R$45,0)</f>
        <v>0</v>
      </c>
      <c r="S1077" s="8">
        <f>IF($D1077='[2]Beam '!S$44,$P1077*'[2]Beam '!S$45,0)</f>
        <v>0</v>
      </c>
      <c r="T1077" s="8">
        <f>IF($D1077='[2]Beam '!T$44,$P1077*'[2]Beam '!T$45,0)</f>
        <v>0</v>
      </c>
      <c r="U1077" s="8">
        <f>IF($D1077='[2]Beam '!U$44,$P1077*'[2]Beam '!U$45,0)</f>
        <v>0</v>
      </c>
      <c r="V1077" s="8">
        <f>IF($D1077='[2]Beam '!V$44,$P1077*'[2]Beam '!V$45,0)</f>
        <v>1.850357142857143</v>
      </c>
      <c r="W1077" s="8">
        <f>IF($D1077='[2]Beam '!W$44,$P1077*'[2]Beam '!W$45,0)</f>
        <v>0</v>
      </c>
      <c r="X1077" s="8">
        <f t="shared" si="204"/>
        <v>1.850357142857143</v>
      </c>
      <c r="Y1077" s="8"/>
      <c r="Z1077" s="8"/>
      <c r="AA1077" s="8"/>
      <c r="AB1077" s="8"/>
      <c r="AC1077" s="8"/>
      <c r="AD1077" s="8"/>
      <c r="AE1077" s="8"/>
    </row>
    <row r="1078" spans="1:32" s="10" customFormat="1" ht="20.100000000000001" customHeight="1" x14ac:dyDescent="0.25">
      <c r="A1078" s="8">
        <v>1</v>
      </c>
      <c r="B1078" s="8" t="s">
        <v>2</v>
      </c>
      <c r="C1078" s="11" t="s">
        <v>145</v>
      </c>
      <c r="D1078" s="11">
        <v>1</v>
      </c>
      <c r="E1078" s="11">
        <v>6.2670000000000003</v>
      </c>
      <c r="F1078" s="11">
        <v>0.5</v>
      </c>
      <c r="G1078" s="11">
        <v>0.6</v>
      </c>
      <c r="H1078" s="8">
        <f>G1078-0.2</f>
        <v>0.39999999999999997</v>
      </c>
      <c r="I1078" s="8">
        <f>E1078*F1078*G1078*D1078</f>
        <v>1.8801000000000001</v>
      </c>
      <c r="J1078" s="8">
        <f>(2*(E1078)*H1078*D1078)+(E1078*F1078)</f>
        <v>8.1471</v>
      </c>
      <c r="K1078" s="12">
        <f>IF(E1078=0.3,J1078,0)</f>
        <v>0</v>
      </c>
      <c r="L1078" s="12">
        <f>IF(AND(E1078&gt;0.3,E1078&lt;=0.75),J1078,0)</f>
        <v>0</v>
      </c>
      <c r="M1078" s="12">
        <f>IF(AND(E1078&gt;0.75,E1078&lt;=1.2),J1078,0)</f>
        <v>0</v>
      </c>
      <c r="N1078" s="12">
        <f>IF(E1078&gt;1.2,J1078,0)</f>
        <v>8.1471</v>
      </c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>
        <f>SUM(X1079:X1085)/I1078</f>
        <v>194.15479970670253</v>
      </c>
      <c r="Z1078" s="8"/>
      <c r="AA1078" s="8"/>
      <c r="AB1078" s="8"/>
      <c r="AC1078" s="8"/>
      <c r="AD1078" s="8"/>
      <c r="AE1078" s="8"/>
    </row>
    <row r="1079" spans="1:32" s="10" customFormat="1" ht="20.100000000000001" customHeight="1" x14ac:dyDescent="0.25">
      <c r="A1079" s="7"/>
      <c r="B1079" s="8" t="s">
        <v>2</v>
      </c>
      <c r="C1079" s="13" t="s">
        <v>4</v>
      </c>
      <c r="D1079" s="8">
        <v>20</v>
      </c>
      <c r="E1079" s="8"/>
      <c r="F1079" s="8">
        <v>5</v>
      </c>
      <c r="G1079" s="9">
        <f>VLOOKUP(D1079,'[2]Beam '!$C$20:$H$26,3,0)</f>
        <v>0.8</v>
      </c>
      <c r="H1079" s="9"/>
      <c r="I1079" s="8"/>
      <c r="J1079" s="8"/>
      <c r="K1079" s="8"/>
      <c r="L1079" s="8"/>
      <c r="M1079" s="8"/>
      <c r="N1079" s="8"/>
      <c r="O1079" s="8">
        <f>(E1078+1*(G1079+1*(1.5/2)*D1078))</f>
        <v>7.8170000000000002</v>
      </c>
      <c r="P1079" s="8">
        <f t="shared" ref="P1079:P1086" si="205">O1079*F1079</f>
        <v>39.085000000000001</v>
      </c>
      <c r="Q1079" s="8">
        <f>IF($D1079='[2]Beam '!Q$44,$P1079*'[2]Beam '!Q$45,0)</f>
        <v>0</v>
      </c>
      <c r="R1079" s="8">
        <f>IF($D1079='[2]Beam '!R$44,$P1079*'[2]Beam '!R$45,0)</f>
        <v>0</v>
      </c>
      <c r="S1079" s="8">
        <f>IF($D1079='[2]Beam '!S$44,$P1079*'[2]Beam '!S$45,0)</f>
        <v>0</v>
      </c>
      <c r="T1079" s="8">
        <f>IF($D1079='[2]Beam '!T$44,$P1079*'[2]Beam '!T$45,0)</f>
        <v>0</v>
      </c>
      <c r="U1079" s="8">
        <f>IF($D1079='[2]Beam '!U$44,$P1079*'[2]Beam '!U$45,0)</f>
        <v>96.428278571428578</v>
      </c>
      <c r="V1079" s="8">
        <f>IF($D1079='[2]Beam '!V$44,$P1079*'[2]Beam '!V$45,0)</f>
        <v>0</v>
      </c>
      <c r="W1079" s="8">
        <f>IF($D1079='[2]Beam '!W$44,$P1079*'[2]Beam '!W$45,0)</f>
        <v>0</v>
      </c>
      <c r="X1079" s="8">
        <f t="shared" ref="X1079:X1086" si="206">SUM(Q1079:W1079)</f>
        <v>96.428278571428578</v>
      </c>
      <c r="Y1079" s="8"/>
      <c r="Z1079" s="8"/>
      <c r="AA1079" s="8"/>
      <c r="AB1079" s="8"/>
      <c r="AC1079" s="8"/>
      <c r="AD1079" s="8"/>
      <c r="AE1079" s="8"/>
    </row>
    <row r="1080" spans="1:32" s="14" customFormat="1" ht="20.100000000000001" customHeight="1" x14ac:dyDescent="0.3">
      <c r="A1080" s="7"/>
      <c r="B1080" s="8" t="s">
        <v>2</v>
      </c>
      <c r="C1080" s="13" t="s">
        <v>139</v>
      </c>
      <c r="D1080" s="8">
        <v>20</v>
      </c>
      <c r="E1080" s="8"/>
      <c r="F1080" s="8">
        <v>5</v>
      </c>
      <c r="G1080" s="9">
        <f>VLOOKUP(D1080,'[2]Beam '!$C$20:$H$26,3,0)</f>
        <v>0.8</v>
      </c>
      <c r="H1080" s="9"/>
      <c r="I1080" s="8"/>
      <c r="J1080" s="8"/>
      <c r="K1080" s="8"/>
      <c r="L1080" s="8"/>
      <c r="M1080" s="8"/>
      <c r="N1080" s="8"/>
      <c r="O1080" s="8">
        <f>(E1078+1*(G1080+1*(1.5/2)*D1078))</f>
        <v>7.8170000000000002</v>
      </c>
      <c r="P1080" s="8">
        <f t="shared" si="205"/>
        <v>39.085000000000001</v>
      </c>
      <c r="Q1080" s="8">
        <f>IF($D1080='[2]Beam '!Q$44,$P1080*'[2]Beam '!Q$45,0)</f>
        <v>0</v>
      </c>
      <c r="R1080" s="8">
        <f>IF($D1080='[2]Beam '!R$44,$P1080*'[2]Beam '!R$45,0)</f>
        <v>0</v>
      </c>
      <c r="S1080" s="8">
        <f>IF($D1080='[2]Beam '!S$44,$P1080*'[2]Beam '!S$45,0)</f>
        <v>0</v>
      </c>
      <c r="T1080" s="8">
        <f>IF($D1080='[2]Beam '!T$44,$P1080*'[2]Beam '!T$45,0)</f>
        <v>0</v>
      </c>
      <c r="U1080" s="8">
        <f>IF($D1080='[2]Beam '!U$44,$P1080*'[2]Beam '!U$45,0)</f>
        <v>96.428278571428578</v>
      </c>
      <c r="V1080" s="8">
        <f>IF($D1080='[2]Beam '!V$44,$P1080*'[2]Beam '!V$45,0)</f>
        <v>0</v>
      </c>
      <c r="W1080" s="8">
        <f>IF($D1080='[2]Beam '!W$44,$P1080*'[2]Beam '!W$45,0)</f>
        <v>0</v>
      </c>
      <c r="X1080" s="8">
        <f t="shared" si="206"/>
        <v>96.428278571428578</v>
      </c>
      <c r="Y1080" s="8"/>
    </row>
    <row r="1081" spans="1:32" s="14" customFormat="1" ht="20.100000000000001" customHeight="1" x14ac:dyDescent="0.3">
      <c r="A1081" s="7"/>
      <c r="B1081" s="8" t="s">
        <v>2</v>
      </c>
      <c r="C1081" s="13" t="s">
        <v>88</v>
      </c>
      <c r="D1081" s="8">
        <v>25</v>
      </c>
      <c r="E1081" s="8"/>
      <c r="F1081" s="8">
        <v>4</v>
      </c>
      <c r="G1081" s="9">
        <f>VLOOKUP(D1081,'[2]Beam '!$C$20:$H$26,3,0)</f>
        <v>1</v>
      </c>
      <c r="H1081" s="9"/>
      <c r="I1081" s="8"/>
      <c r="J1081" s="8"/>
      <c r="K1081" s="8"/>
      <c r="L1081" s="8"/>
      <c r="M1081" s="8"/>
      <c r="N1081" s="8"/>
      <c r="O1081" s="8">
        <f>+E1078-0.3-0.3</f>
        <v>5.6670000000000007</v>
      </c>
      <c r="P1081" s="8">
        <f t="shared" si="205"/>
        <v>22.668000000000003</v>
      </c>
      <c r="Q1081" s="8">
        <f>IF($D1081='[2]Beam '!Q$44,$P1081*'[2]Beam '!Q$45,0)</f>
        <v>0</v>
      </c>
      <c r="R1081" s="8">
        <f>IF($D1081='[2]Beam '!R$44,$P1081*'[2]Beam '!R$45,0)</f>
        <v>0</v>
      </c>
      <c r="S1081" s="8">
        <f>IF($D1081='[2]Beam '!S$44,$P1081*'[2]Beam '!S$45,0)</f>
        <v>0</v>
      </c>
      <c r="T1081" s="8">
        <f>IF($D1081='[2]Beam '!T$44,$P1081*'[2]Beam '!T$45,0)</f>
        <v>0</v>
      </c>
      <c r="U1081" s="8">
        <f>IF($D1081='[2]Beam '!U$44,$P1081*'[2]Beam '!U$45,0)</f>
        <v>0</v>
      </c>
      <c r="V1081" s="8">
        <f>IF($D1081='[2]Beam '!V$44,$P1081*'[2]Beam '!V$45,0)</f>
        <v>87.383116071428589</v>
      </c>
      <c r="W1081" s="8">
        <f>IF($D1081='[2]Beam '!W$44,$P1081*'[2]Beam '!W$45,0)</f>
        <v>0</v>
      </c>
      <c r="X1081" s="8">
        <f t="shared" si="206"/>
        <v>87.383116071428589</v>
      </c>
      <c r="Y1081" s="8"/>
    </row>
    <row r="1082" spans="1:32" s="14" customFormat="1" ht="20.100000000000001" customHeight="1" x14ac:dyDescent="0.25">
      <c r="A1082" s="7"/>
      <c r="B1082" s="8" t="s">
        <v>2</v>
      </c>
      <c r="C1082" s="13" t="s">
        <v>13</v>
      </c>
      <c r="D1082" s="8">
        <v>8</v>
      </c>
      <c r="E1082" s="8">
        <v>0.1</v>
      </c>
      <c r="F1082" s="8">
        <f>ROUND(IF(E1078/3&gt;(2*G1078),(E1078/3)/E1082,(2*G1078)/E1082),0)*2+1</f>
        <v>43</v>
      </c>
      <c r="G1082" s="10"/>
      <c r="H1082" s="8"/>
      <c r="I1082" s="8"/>
      <c r="J1082" s="8"/>
      <c r="K1082" s="8"/>
      <c r="L1082" s="8"/>
      <c r="M1082" s="8"/>
      <c r="N1082" s="8"/>
      <c r="O1082" s="8">
        <f>(2*((G1078-(2*'[2]Beam '!$D$11))+(F1078-(2*'[2]Beam '!$D$11)))+(2*10*D1082/1000))*D1078</f>
        <v>2.12</v>
      </c>
      <c r="P1082" s="8">
        <f t="shared" si="205"/>
        <v>91.160000000000011</v>
      </c>
      <c r="Q1082" s="8">
        <f>IF($D1082='[2]Beam '!Q$44,$P1082*'[2]Beam '!Q$45,0)</f>
        <v>35.984758857142864</v>
      </c>
      <c r="R1082" s="8">
        <f>IF($D1082='[2]Beam '!R$44,$P1082*'[2]Beam '!R$45,0)</f>
        <v>0</v>
      </c>
      <c r="S1082" s="8">
        <f>IF($D1082='[2]Beam '!S$44,$P1082*'[2]Beam '!S$45,0)</f>
        <v>0</v>
      </c>
      <c r="T1082" s="8">
        <f>IF($D1082='[2]Beam '!T$44,$P1082*'[2]Beam '!T$45,0)</f>
        <v>0</v>
      </c>
      <c r="U1082" s="8">
        <f>IF($D1082='[2]Beam '!U$44,$P1082*'[2]Beam '!U$45,0)</f>
        <v>0</v>
      </c>
      <c r="V1082" s="8">
        <f>IF($D1082='[2]Beam '!V$44,$P1082*'[2]Beam '!V$45,0)</f>
        <v>0</v>
      </c>
      <c r="W1082" s="8">
        <f>IF($D1082='[2]Beam '!W$44,$P1082*'[2]Beam '!W$45,0)</f>
        <v>0</v>
      </c>
      <c r="X1082" s="8">
        <f t="shared" si="206"/>
        <v>35.984758857142864</v>
      </c>
      <c r="Y1082" s="8"/>
    </row>
    <row r="1083" spans="1:32" s="10" customFormat="1" ht="20.100000000000001" customHeight="1" x14ac:dyDescent="0.25">
      <c r="A1083" s="14"/>
      <c r="B1083" s="8" t="s">
        <v>2</v>
      </c>
      <c r="C1083" s="13" t="s">
        <v>14</v>
      </c>
      <c r="D1083" s="14">
        <f>D1082</f>
        <v>8</v>
      </c>
      <c r="E1083" s="14">
        <v>0.125</v>
      </c>
      <c r="F1083" s="14">
        <f>ROUND((E1078-(IF(E1078/3&gt;2*G1078,E1078/3*2,G1078*2*2)))/E1083,0)</f>
        <v>17</v>
      </c>
      <c r="H1083" s="14"/>
      <c r="I1083" s="14"/>
      <c r="J1083" s="14"/>
      <c r="K1083" s="14"/>
      <c r="L1083" s="14"/>
      <c r="M1083" s="14"/>
      <c r="N1083" s="14"/>
      <c r="O1083" s="8">
        <f>(2*((G1078-(2*'[2]Beam '!$D$11))+(F1078-(2*'[2]Beam '!$D$11)))+(2*10*D1083/1000))*D1078</f>
        <v>2.12</v>
      </c>
      <c r="P1083" s="8">
        <f t="shared" si="205"/>
        <v>36.04</v>
      </c>
      <c r="Q1083" s="8">
        <f>IF($D1083='[2]Beam '!Q$44,$P1083*'[2]Beam '!Q$45,0)</f>
        <v>14.226532571428573</v>
      </c>
      <c r="R1083" s="8">
        <f>IF($D1083='[2]Beam '!R$44,$P1083*'[2]Beam '!R$45,0)</f>
        <v>0</v>
      </c>
      <c r="S1083" s="8">
        <f>IF($D1083='[2]Beam '!S$44,$P1083*'[2]Beam '!S$45,0)</f>
        <v>0</v>
      </c>
      <c r="T1083" s="8">
        <f>IF($D1083='[2]Beam '!T$44,$P1083*'[2]Beam '!T$45,0)</f>
        <v>0</v>
      </c>
      <c r="U1083" s="8">
        <f>IF($D1083='[2]Beam '!U$44,$P1083*'[2]Beam '!U$45,0)</f>
        <v>0</v>
      </c>
      <c r="V1083" s="8">
        <f>IF($D1083='[2]Beam '!V$44,$P1083*'[2]Beam '!V$45,0)</f>
        <v>0</v>
      </c>
      <c r="W1083" s="8">
        <f>IF($D1083='[2]Beam '!W$44,$P1083*'[2]Beam '!W$45,0)</f>
        <v>0</v>
      </c>
      <c r="X1083" s="8">
        <f t="shared" si="206"/>
        <v>14.226532571428573</v>
      </c>
      <c r="Y1083" s="14"/>
      <c r="Z1083" s="8"/>
      <c r="AA1083" s="8"/>
      <c r="AB1083" s="8"/>
      <c r="AC1083" s="8"/>
      <c r="AD1083" s="8"/>
      <c r="AE1083" s="8"/>
    </row>
    <row r="1084" spans="1:32" s="10" customFormat="1" ht="21" customHeight="1" x14ac:dyDescent="0.25">
      <c r="A1084" s="14"/>
      <c r="B1084" s="8" t="s">
        <v>2</v>
      </c>
      <c r="C1084" s="13" t="s">
        <v>15</v>
      </c>
      <c r="D1084" s="14">
        <f>D1082</f>
        <v>8</v>
      </c>
      <c r="E1084" s="14">
        <f>+E1082</f>
        <v>0.1</v>
      </c>
      <c r="F1084" s="8">
        <f>ROUND(IF(E1078/3&gt;(2*G1078),(E1078/3)/E1084,(2*G1078)/E1084),0)*2+1</f>
        <v>43</v>
      </c>
      <c r="H1084" s="14"/>
      <c r="I1084" s="14"/>
      <c r="J1084" s="14"/>
      <c r="K1084" s="14"/>
      <c r="L1084" s="14"/>
      <c r="M1084" s="14"/>
      <c r="N1084" s="14"/>
      <c r="O1084" s="8">
        <f>(2*(((F1078-'[2]Beam '!$D$11*2)/(F1079-1))+(G1078-'[2]Beam '!$D$11*2))+(2*10*D1084/1000))*D1078</f>
        <v>1.46</v>
      </c>
      <c r="P1084" s="8">
        <f t="shared" si="205"/>
        <v>62.78</v>
      </c>
      <c r="Q1084" s="8">
        <f>IF($D1084='[2]Beam '!Q$44,$P1084*'[2]Beam '!Q$45,0)</f>
        <v>24.781956571428573</v>
      </c>
      <c r="R1084" s="8">
        <f>IF($D1084='[2]Beam '!R$44,$P1084*'[2]Beam '!R$45,0)</f>
        <v>0</v>
      </c>
      <c r="S1084" s="8">
        <f>IF($D1084='[2]Beam '!S$44,$P1084*'[2]Beam '!S$45,0)</f>
        <v>0</v>
      </c>
      <c r="T1084" s="8">
        <f>IF($D1084='[2]Beam '!T$44,$P1084*'[2]Beam '!T$45,0)</f>
        <v>0</v>
      </c>
      <c r="U1084" s="8">
        <f>IF($D1084='[2]Beam '!U$44,$P1084*'[2]Beam '!U$45,0)</f>
        <v>0</v>
      </c>
      <c r="V1084" s="8">
        <f>IF($D1084='[2]Beam '!V$44,$P1084*'[2]Beam '!V$45,0)</f>
        <v>0</v>
      </c>
      <c r="W1084" s="8">
        <f>IF($D1084='[2]Beam '!W$44,$P1084*'[2]Beam '!W$45,0)</f>
        <v>0</v>
      </c>
      <c r="X1084" s="8">
        <f t="shared" si="206"/>
        <v>24.781956571428573</v>
      </c>
      <c r="Y1084" s="14"/>
      <c r="Z1084" s="8"/>
      <c r="AA1084" s="8"/>
      <c r="AB1084" s="8"/>
      <c r="AC1084" s="8"/>
      <c r="AD1084" s="8"/>
      <c r="AE1084" s="8"/>
      <c r="AF1084" s="8"/>
    </row>
    <row r="1085" spans="1:32" s="10" customFormat="1" ht="20.100000000000001" customHeight="1" x14ac:dyDescent="0.25">
      <c r="A1085" s="14"/>
      <c r="B1085" s="8" t="s">
        <v>2</v>
      </c>
      <c r="C1085" s="13" t="s">
        <v>16</v>
      </c>
      <c r="D1085" s="14">
        <f>D1083</f>
        <v>8</v>
      </c>
      <c r="E1085" s="14">
        <f>+E1083</f>
        <v>0.125</v>
      </c>
      <c r="F1085" s="14">
        <f>ROUND((E1078-(IF(E1078/3&gt;2*G1078,E1078/3*2,G1078*2*2)))/E1085,0)</f>
        <v>17</v>
      </c>
      <c r="H1085" s="14"/>
      <c r="I1085" s="14"/>
      <c r="J1085" s="14"/>
      <c r="K1085" s="14"/>
      <c r="L1085" s="14"/>
      <c r="M1085" s="14"/>
      <c r="N1085" s="14"/>
      <c r="O1085" s="8">
        <f>(2*(((F1078-'[2]Beam '!$D$11*2)/(F1079-1))+(G1078-'[2]Beam '!$D$11*2))+(2*10*D1085/1000))*D1078</f>
        <v>1.46</v>
      </c>
      <c r="P1085" s="8">
        <f t="shared" si="205"/>
        <v>24.82</v>
      </c>
      <c r="Q1085" s="8">
        <f>IF($D1085='[2]Beam '!Q$44,$P1085*'[2]Beam '!Q$45,0)</f>
        <v>9.7975177142857159</v>
      </c>
      <c r="R1085" s="8">
        <f>IF($D1085='[2]Beam '!R$44,$P1085*'[2]Beam '!R$45,0)</f>
        <v>0</v>
      </c>
      <c r="S1085" s="8">
        <f>IF($D1085='[2]Beam '!S$44,$P1085*'[2]Beam '!S$45,0)</f>
        <v>0</v>
      </c>
      <c r="T1085" s="8">
        <f>IF($D1085='[2]Beam '!T$44,$P1085*'[2]Beam '!T$45,0)</f>
        <v>0</v>
      </c>
      <c r="U1085" s="8">
        <f>IF($D1085='[2]Beam '!U$44,$P1085*'[2]Beam '!U$45,0)</f>
        <v>0</v>
      </c>
      <c r="V1085" s="8">
        <f>IF($D1085='[2]Beam '!V$44,$P1085*'[2]Beam '!V$45,0)</f>
        <v>0</v>
      </c>
      <c r="W1085" s="8">
        <f>IF($D1085='[2]Beam '!W$44,$P1085*'[2]Beam '!W$45,0)</f>
        <v>0</v>
      </c>
      <c r="X1085" s="8">
        <f t="shared" si="206"/>
        <v>9.7975177142857159</v>
      </c>
      <c r="Y1085" s="14"/>
      <c r="Z1085" s="8"/>
      <c r="AA1085" s="8"/>
      <c r="AB1085" s="8"/>
      <c r="AC1085" s="8"/>
      <c r="AD1085" s="8"/>
      <c r="AE1085" s="8"/>
    </row>
    <row r="1086" spans="1:32" s="10" customFormat="1" ht="20.100000000000001" customHeight="1" x14ac:dyDescent="0.25">
      <c r="A1086" s="7"/>
      <c r="B1086" s="8" t="s">
        <v>2</v>
      </c>
      <c r="C1086" s="13" t="s">
        <v>10</v>
      </c>
      <c r="D1086" s="8">
        <f>+'[2]Beam '!$D$15</f>
        <v>25</v>
      </c>
      <c r="E1086" s="8">
        <f>+'[2]Beam '!$E$15</f>
        <v>1</v>
      </c>
      <c r="F1086" s="8">
        <f>ROUNDUP((4.2+O1081)/E1086,0)</f>
        <v>10</v>
      </c>
      <c r="G1086" s="9"/>
      <c r="H1086" s="9"/>
      <c r="I1086" s="8"/>
      <c r="J1086" s="8"/>
      <c r="K1086" s="8"/>
      <c r="L1086" s="8"/>
      <c r="M1086" s="8"/>
      <c r="N1086" s="8"/>
      <c r="O1086" s="8">
        <f>F1078-'[2]Beam '!$F$15</f>
        <v>0.44</v>
      </c>
      <c r="P1086" s="8">
        <f t="shared" si="205"/>
        <v>4.4000000000000004</v>
      </c>
      <c r="Q1086" s="8">
        <f>IF($D1086='[2]Beam '!Q$44,$P1086*'[2]Beam '!Q$45,0)</f>
        <v>0</v>
      </c>
      <c r="R1086" s="8">
        <f>IF($D1086='[2]Beam '!R$44,$P1086*'[2]Beam '!R$45,0)</f>
        <v>0</v>
      </c>
      <c r="S1086" s="8">
        <f>IF($D1086='[2]Beam '!S$44,$P1086*'[2]Beam '!S$45,0)</f>
        <v>0</v>
      </c>
      <c r="T1086" s="8">
        <f>IF($D1086='[2]Beam '!T$44,$P1086*'[2]Beam '!T$45,0)</f>
        <v>0</v>
      </c>
      <c r="U1086" s="8">
        <f>IF($D1086='[2]Beam '!U$44,$P1086*'[2]Beam '!U$45,0)</f>
        <v>0</v>
      </c>
      <c r="V1086" s="8">
        <f>IF($D1086='[2]Beam '!V$44,$P1086*'[2]Beam '!V$45,0)</f>
        <v>16.961607142857147</v>
      </c>
      <c r="W1086" s="8">
        <f>IF($D1086='[2]Beam '!W$44,$P1086*'[2]Beam '!W$45,0)</f>
        <v>0</v>
      </c>
      <c r="X1086" s="8">
        <f t="shared" si="206"/>
        <v>16.961607142857147</v>
      </c>
      <c r="Y1086" s="8"/>
      <c r="Z1086" s="8"/>
      <c r="AA1086" s="8"/>
      <c r="AB1086" s="8"/>
      <c r="AC1086" s="8"/>
      <c r="AD1086" s="8"/>
      <c r="AE1086" s="8"/>
    </row>
    <row r="1087" spans="1:32" s="10" customFormat="1" ht="20.100000000000001" customHeight="1" x14ac:dyDescent="0.25">
      <c r="A1087" s="8">
        <v>1</v>
      </c>
      <c r="B1087" s="8" t="s">
        <v>2</v>
      </c>
      <c r="C1087" s="11" t="s">
        <v>146</v>
      </c>
      <c r="D1087" s="11">
        <v>1</v>
      </c>
      <c r="E1087" s="11">
        <v>6</v>
      </c>
      <c r="F1087" s="11">
        <v>0.45</v>
      </c>
      <c r="G1087" s="11">
        <v>0.6</v>
      </c>
      <c r="H1087" s="8">
        <f>G1087-0.2</f>
        <v>0.39999999999999997</v>
      </c>
      <c r="I1087" s="8">
        <f>E1087*F1087*G1087*D1087</f>
        <v>1.62</v>
      </c>
      <c r="J1087" s="8">
        <f>(2*(E1087)*H1087*D1087)+(E1087*F1087)</f>
        <v>7.5</v>
      </c>
      <c r="K1087" s="12">
        <f>IF(E1087=0.3,J1087,0)</f>
        <v>0</v>
      </c>
      <c r="L1087" s="12">
        <f>IF(AND(E1087&gt;0.3,E1087&lt;=0.75),J1087,0)</f>
        <v>0</v>
      </c>
      <c r="M1087" s="12">
        <f>IF(AND(E1087&gt;0.75,E1087&lt;=1.2),J1087,0)</f>
        <v>0</v>
      </c>
      <c r="N1087" s="12">
        <f>IF(E1087&gt;1.2,J1087,0)</f>
        <v>7.5</v>
      </c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>
        <f>SUM(X1088:X1095)/I1087</f>
        <v>194.33623368606703</v>
      </c>
      <c r="Z1087" s="8"/>
      <c r="AA1087" s="8"/>
      <c r="AB1087" s="8"/>
      <c r="AC1087" s="8"/>
      <c r="AD1087" s="8"/>
      <c r="AE1087" s="8"/>
    </row>
    <row r="1088" spans="1:32" s="10" customFormat="1" ht="20.100000000000001" customHeight="1" x14ac:dyDescent="0.25">
      <c r="A1088" s="7"/>
      <c r="B1088" s="8" t="s">
        <v>2</v>
      </c>
      <c r="C1088" s="13" t="s">
        <v>4</v>
      </c>
      <c r="D1088" s="8">
        <v>20</v>
      </c>
      <c r="E1088" s="8"/>
      <c r="F1088" s="8">
        <v>4</v>
      </c>
      <c r="G1088" s="9">
        <f>VLOOKUP(D1088,'[2]Beam '!$C$20:$H$26,3,0)</f>
        <v>0.8</v>
      </c>
      <c r="H1088" s="9"/>
      <c r="I1088" s="8"/>
      <c r="J1088" s="8"/>
      <c r="K1088" s="8"/>
      <c r="L1088" s="8"/>
      <c r="M1088" s="8"/>
      <c r="N1088" s="8"/>
      <c r="O1088" s="8">
        <f>(E1087+1*(G1088+1*(0.3/2)*D1087))+G1088</f>
        <v>7.75</v>
      </c>
      <c r="P1088" s="8">
        <f t="shared" ref="P1088:P1096" si="207">O1088*F1088</f>
        <v>31</v>
      </c>
      <c r="Q1088" s="8">
        <f>IF($D1088='[2]Beam '!Q$44,$P1088*'[2]Beam '!Q$45,0)</f>
        <v>0</v>
      </c>
      <c r="R1088" s="8">
        <f>IF($D1088='[2]Beam '!R$44,$P1088*'[2]Beam '!R$45,0)</f>
        <v>0</v>
      </c>
      <c r="S1088" s="8">
        <f>IF($D1088='[2]Beam '!S$44,$P1088*'[2]Beam '!S$45,0)</f>
        <v>0</v>
      </c>
      <c r="T1088" s="8">
        <f>IF($D1088='[2]Beam '!T$44,$P1088*'[2]Beam '!T$45,0)</f>
        <v>0</v>
      </c>
      <c r="U1088" s="8">
        <f>IF($D1088='[2]Beam '!U$44,$P1088*'[2]Beam '!U$45,0)</f>
        <v>76.481428571428566</v>
      </c>
      <c r="V1088" s="8">
        <f>IF($D1088='[2]Beam '!V$44,$P1088*'[2]Beam '!V$45,0)</f>
        <v>0</v>
      </c>
      <c r="W1088" s="8">
        <f>IF($D1088='[2]Beam '!W$44,$P1088*'[2]Beam '!W$45,0)</f>
        <v>0</v>
      </c>
      <c r="X1088" s="8">
        <f t="shared" ref="X1088:X1096" si="208">SUM(Q1088:W1088)</f>
        <v>76.481428571428566</v>
      </c>
      <c r="Y1088" s="8"/>
      <c r="Z1088" s="8"/>
      <c r="AA1088" s="8"/>
      <c r="AB1088" s="8"/>
      <c r="AC1088" s="8"/>
      <c r="AD1088" s="8"/>
      <c r="AE1088" s="8"/>
    </row>
    <row r="1089" spans="1:32" s="10" customFormat="1" ht="20.100000000000001" customHeight="1" x14ac:dyDescent="0.25">
      <c r="A1089" s="7"/>
      <c r="B1089" s="8" t="s">
        <v>2</v>
      </c>
      <c r="C1089" s="13" t="s">
        <v>139</v>
      </c>
      <c r="D1089" s="8">
        <v>20</v>
      </c>
      <c r="E1089" s="8"/>
      <c r="F1089" s="8">
        <v>4</v>
      </c>
      <c r="G1089" s="9">
        <f>VLOOKUP(D1089,'[2]Beam '!$C$20:$H$26,3,0)</f>
        <v>0.8</v>
      </c>
      <c r="H1089" s="9"/>
      <c r="I1089" s="8"/>
      <c r="J1089" s="8"/>
      <c r="K1089" s="8"/>
      <c r="L1089" s="8"/>
      <c r="M1089" s="8"/>
      <c r="N1089" s="8"/>
      <c r="O1089" s="8">
        <f>(E1087+1*(G1089+1*(0.3/2)*D1087))+G1089</f>
        <v>7.75</v>
      </c>
      <c r="P1089" s="8">
        <f t="shared" si="207"/>
        <v>31</v>
      </c>
      <c r="Q1089" s="8">
        <f>IF($D1089='[2]Beam '!Q$44,$P1089*'[2]Beam '!Q$45,0)</f>
        <v>0</v>
      </c>
      <c r="R1089" s="8">
        <f>IF($D1089='[2]Beam '!R$44,$P1089*'[2]Beam '!R$45,0)</f>
        <v>0</v>
      </c>
      <c r="S1089" s="8">
        <f>IF($D1089='[2]Beam '!S$44,$P1089*'[2]Beam '!S$45,0)</f>
        <v>0</v>
      </c>
      <c r="T1089" s="8">
        <f>IF($D1089='[2]Beam '!T$44,$P1089*'[2]Beam '!T$45,0)</f>
        <v>0</v>
      </c>
      <c r="U1089" s="8">
        <f>IF($D1089='[2]Beam '!U$44,$P1089*'[2]Beam '!U$45,0)</f>
        <v>76.481428571428566</v>
      </c>
      <c r="V1089" s="8">
        <f>IF($D1089='[2]Beam '!V$44,$P1089*'[2]Beam '!V$45,0)</f>
        <v>0</v>
      </c>
      <c r="W1089" s="8">
        <f>IF($D1089='[2]Beam '!W$44,$P1089*'[2]Beam '!W$45,0)</f>
        <v>0</v>
      </c>
      <c r="X1089" s="8">
        <f t="shared" si="208"/>
        <v>76.481428571428566</v>
      </c>
      <c r="Y1089" s="8"/>
      <c r="Z1089" s="8"/>
      <c r="AA1089" s="8"/>
      <c r="AB1089" s="8"/>
      <c r="AC1089" s="8"/>
      <c r="AD1089" s="8"/>
      <c r="AE1089" s="8"/>
    </row>
    <row r="1090" spans="1:32" s="14" customFormat="1" ht="20.100000000000001" customHeight="1" x14ac:dyDescent="0.3">
      <c r="A1090" s="7"/>
      <c r="B1090" s="8" t="s">
        <v>2</v>
      </c>
      <c r="C1090" s="13" t="s">
        <v>75</v>
      </c>
      <c r="D1090" s="8">
        <v>25</v>
      </c>
      <c r="E1090" s="8"/>
      <c r="F1090" s="8">
        <v>4</v>
      </c>
      <c r="G1090" s="9">
        <f>VLOOKUP(D1090,'[2]Beam '!$C$20:$H$26,3,0)</f>
        <v>1</v>
      </c>
      <c r="H1090" s="9"/>
      <c r="I1090" s="8"/>
      <c r="J1090" s="8"/>
      <c r="K1090" s="8"/>
      <c r="L1090" s="8"/>
      <c r="M1090" s="8"/>
      <c r="N1090" s="8"/>
      <c r="O1090" s="8">
        <f>1.75+1*(0.3/2)</f>
        <v>1.9</v>
      </c>
      <c r="P1090" s="8">
        <f t="shared" si="207"/>
        <v>7.6</v>
      </c>
      <c r="Q1090" s="8">
        <f>IF($D1090='[2]Beam '!Q$44,$P1090*'[2]Beam '!Q$45,0)</f>
        <v>0</v>
      </c>
      <c r="R1090" s="8">
        <f>IF($D1090='[2]Beam '!R$44,$P1090*'[2]Beam '!R$45,0)</f>
        <v>0</v>
      </c>
      <c r="S1090" s="8">
        <f>IF($D1090='[2]Beam '!S$44,$P1090*'[2]Beam '!S$45,0)</f>
        <v>0</v>
      </c>
      <c r="T1090" s="8">
        <f>IF($D1090='[2]Beam '!T$44,$P1090*'[2]Beam '!T$45,0)</f>
        <v>0</v>
      </c>
      <c r="U1090" s="8">
        <f>IF($D1090='[2]Beam '!U$44,$P1090*'[2]Beam '!U$45,0)</f>
        <v>0</v>
      </c>
      <c r="V1090" s="8">
        <f>IF($D1090='[2]Beam '!V$44,$P1090*'[2]Beam '!V$45,0)</f>
        <v>29.297321428571433</v>
      </c>
      <c r="W1090" s="8">
        <f>IF($D1090='[2]Beam '!W$44,$P1090*'[2]Beam '!W$45,0)</f>
        <v>0</v>
      </c>
      <c r="X1090" s="8">
        <f t="shared" si="208"/>
        <v>29.297321428571433</v>
      </c>
      <c r="Y1090" s="8"/>
    </row>
    <row r="1091" spans="1:32" s="14" customFormat="1" ht="20.100000000000001" customHeight="1" x14ac:dyDescent="0.3">
      <c r="A1091" s="7"/>
      <c r="B1091" s="8" t="s">
        <v>2</v>
      </c>
      <c r="C1091" s="13" t="s">
        <v>88</v>
      </c>
      <c r="D1091" s="8">
        <v>16</v>
      </c>
      <c r="E1091" s="8"/>
      <c r="F1091" s="8">
        <v>2</v>
      </c>
      <c r="G1091" s="9">
        <f>VLOOKUP(D1091,'[2]Beam '!$C$20:$H$26,3,0)</f>
        <v>0.625</v>
      </c>
      <c r="H1091" s="9"/>
      <c r="I1091" s="8"/>
      <c r="J1091" s="8"/>
      <c r="K1091" s="8"/>
      <c r="L1091" s="8"/>
      <c r="M1091" s="8"/>
      <c r="N1091" s="8"/>
      <c r="O1091" s="8">
        <f>1.75+1*(0.3/2)</f>
        <v>1.9</v>
      </c>
      <c r="P1091" s="8">
        <f t="shared" si="207"/>
        <v>3.8</v>
      </c>
      <c r="Q1091" s="8">
        <f>IF($D1091='[2]Beam '!Q$44,$P1091*'[2]Beam '!Q$45,0)</f>
        <v>0</v>
      </c>
      <c r="R1091" s="8">
        <f>IF($D1091='[2]Beam '!R$44,$P1091*'[2]Beam '!R$45,0)</f>
        <v>0</v>
      </c>
      <c r="S1091" s="8">
        <f>IF($D1091='[2]Beam '!S$44,$P1091*'[2]Beam '!S$45,0)</f>
        <v>0</v>
      </c>
      <c r="T1091" s="8">
        <f>IF($D1091='[2]Beam '!T$44,$P1091*'[2]Beam '!T$45,0)</f>
        <v>6.0000914285714284</v>
      </c>
      <c r="U1091" s="8">
        <f>IF($D1091='[2]Beam '!U$44,$P1091*'[2]Beam '!U$45,0)</f>
        <v>0</v>
      </c>
      <c r="V1091" s="8">
        <f>IF($D1091='[2]Beam '!V$44,$P1091*'[2]Beam '!V$45,0)</f>
        <v>0</v>
      </c>
      <c r="W1091" s="8">
        <f>IF($D1091='[2]Beam '!W$44,$P1091*'[2]Beam '!W$45,0)</f>
        <v>0</v>
      </c>
      <c r="X1091" s="8">
        <f t="shared" si="208"/>
        <v>6.0000914285714284</v>
      </c>
      <c r="Y1091" s="8"/>
    </row>
    <row r="1092" spans="1:32" s="14" customFormat="1" ht="20.100000000000001" customHeight="1" x14ac:dyDescent="0.25">
      <c r="A1092" s="7"/>
      <c r="B1092" s="8" t="s">
        <v>2</v>
      </c>
      <c r="C1092" s="13" t="s">
        <v>13</v>
      </c>
      <c r="D1092" s="8">
        <v>10</v>
      </c>
      <c r="E1092" s="8">
        <v>0.1</v>
      </c>
      <c r="F1092" s="8">
        <f>ROUND(IF(E1087/3&gt;(2*G1087),(E1087/3)/E1092,(2*G1087)/E1092),0)*2+1</f>
        <v>41</v>
      </c>
      <c r="G1092" s="10"/>
      <c r="H1092" s="8"/>
      <c r="I1092" s="8"/>
      <c r="J1092" s="8"/>
      <c r="K1092" s="8"/>
      <c r="L1092" s="8"/>
      <c r="M1092" s="8"/>
      <c r="N1092" s="8"/>
      <c r="O1092" s="8">
        <f>(2*((G1087-(2*'[2]Beam '!$D$11))+(F1087-(2*'[2]Beam '!$D$11)))+(2*10*D1092/1000))*D1087</f>
        <v>2.06</v>
      </c>
      <c r="P1092" s="8">
        <f t="shared" si="207"/>
        <v>84.460000000000008</v>
      </c>
      <c r="Q1092" s="8">
        <f>IF($D1092='[2]Beam '!Q$44,$P1092*'[2]Beam '!Q$45,0)</f>
        <v>0</v>
      </c>
      <c r="R1092" s="8">
        <f>IF($D1092='[2]Beam '!R$44,$P1092*'[2]Beam '!R$45,0)</f>
        <v>52.093721428571435</v>
      </c>
      <c r="S1092" s="8">
        <f>IF($D1092='[2]Beam '!S$44,$P1092*'[2]Beam '!S$45,0)</f>
        <v>0</v>
      </c>
      <c r="T1092" s="8">
        <f>IF($D1092='[2]Beam '!T$44,$P1092*'[2]Beam '!T$45,0)</f>
        <v>0</v>
      </c>
      <c r="U1092" s="8">
        <f>IF($D1092='[2]Beam '!U$44,$P1092*'[2]Beam '!U$45,0)</f>
        <v>0</v>
      </c>
      <c r="V1092" s="8">
        <f>IF($D1092='[2]Beam '!V$44,$P1092*'[2]Beam '!V$45,0)</f>
        <v>0</v>
      </c>
      <c r="W1092" s="8">
        <f>IF($D1092='[2]Beam '!W$44,$P1092*'[2]Beam '!W$45,0)</f>
        <v>0</v>
      </c>
      <c r="X1092" s="8">
        <f t="shared" si="208"/>
        <v>52.093721428571435</v>
      </c>
      <c r="Y1092" s="8"/>
    </row>
    <row r="1093" spans="1:32" s="10" customFormat="1" ht="20.100000000000001" customHeight="1" x14ac:dyDescent="0.25">
      <c r="A1093" s="14"/>
      <c r="B1093" s="8" t="s">
        <v>2</v>
      </c>
      <c r="C1093" s="13" t="s">
        <v>14</v>
      </c>
      <c r="D1093" s="14">
        <f>D1092</f>
        <v>10</v>
      </c>
      <c r="E1093" s="14">
        <v>0.125</v>
      </c>
      <c r="F1093" s="14">
        <f>ROUND((E1087-(IF(E1087/3&gt;2*G1087,E1087/3*2,G1087*2*2)))/E1093,0)</f>
        <v>16</v>
      </c>
      <c r="H1093" s="14"/>
      <c r="I1093" s="14"/>
      <c r="J1093" s="14"/>
      <c r="K1093" s="14"/>
      <c r="L1093" s="14"/>
      <c r="M1093" s="14"/>
      <c r="N1093" s="14"/>
      <c r="O1093" s="8">
        <f>(2*((G1087-(2*'[2]Beam '!$D$11))+(F1087-(2*'[2]Beam '!$D$11)))+(2*10*D1093/1000))*D1087</f>
        <v>2.06</v>
      </c>
      <c r="P1093" s="8">
        <f t="shared" si="207"/>
        <v>32.96</v>
      </c>
      <c r="Q1093" s="8">
        <f>IF($D1093='[2]Beam '!Q$44,$P1093*'[2]Beam '!Q$45,0)</f>
        <v>0</v>
      </c>
      <c r="R1093" s="8">
        <f>IF($D1093='[2]Beam '!R$44,$P1093*'[2]Beam '!R$45,0)</f>
        <v>20.329257142857141</v>
      </c>
      <c r="S1093" s="8">
        <f>IF($D1093='[2]Beam '!S$44,$P1093*'[2]Beam '!S$45,0)</f>
        <v>0</v>
      </c>
      <c r="T1093" s="8">
        <f>IF($D1093='[2]Beam '!T$44,$P1093*'[2]Beam '!T$45,0)</f>
        <v>0</v>
      </c>
      <c r="U1093" s="8">
        <f>IF($D1093='[2]Beam '!U$44,$P1093*'[2]Beam '!U$45,0)</f>
        <v>0</v>
      </c>
      <c r="V1093" s="8">
        <f>IF($D1093='[2]Beam '!V$44,$P1093*'[2]Beam '!V$45,0)</f>
        <v>0</v>
      </c>
      <c r="W1093" s="8">
        <f>IF($D1093='[2]Beam '!W$44,$P1093*'[2]Beam '!W$45,0)</f>
        <v>0</v>
      </c>
      <c r="X1093" s="8">
        <f t="shared" si="208"/>
        <v>20.329257142857141</v>
      </c>
      <c r="Y1093" s="14"/>
      <c r="Z1093" s="8"/>
      <c r="AA1093" s="8"/>
      <c r="AB1093" s="8"/>
      <c r="AC1093" s="8"/>
      <c r="AD1093" s="8"/>
      <c r="AE1093" s="8"/>
    </row>
    <row r="1094" spans="1:32" s="10" customFormat="1" ht="21" customHeight="1" x14ac:dyDescent="0.25">
      <c r="A1094" s="14"/>
      <c r="B1094" s="8" t="s">
        <v>2</v>
      </c>
      <c r="C1094" s="13" t="s">
        <v>15</v>
      </c>
      <c r="D1094" s="14">
        <f>D1092</f>
        <v>10</v>
      </c>
      <c r="E1094" s="14">
        <f>+E1092</f>
        <v>0.1</v>
      </c>
      <c r="F1094" s="8">
        <f>ROUND(IF(E1087/3&gt;(2*G1087),(E1087/3)/E1094,(2*G1087)/E1094),0)*2+1</f>
        <v>41</v>
      </c>
      <c r="H1094" s="14"/>
      <c r="I1094" s="14"/>
      <c r="J1094" s="14"/>
      <c r="K1094" s="14"/>
      <c r="L1094" s="14"/>
      <c r="M1094" s="14"/>
      <c r="N1094" s="14"/>
      <c r="O1094" s="8">
        <f>(2*(((F1087-'[2]Beam '!$D$11*2)/(F1088-1))+(G1087-'[2]Beam '!$D$11*2))+(2*10*D1094/1000))*D1087</f>
        <v>1.54</v>
      </c>
      <c r="P1094" s="8">
        <f t="shared" si="207"/>
        <v>63.14</v>
      </c>
      <c r="Q1094" s="8">
        <f>IF($D1094='[2]Beam '!Q$44,$P1094*'[2]Beam '!Q$45,0)</f>
        <v>0</v>
      </c>
      <c r="R1094" s="8">
        <f>IF($D1094='[2]Beam '!R$44,$P1094*'[2]Beam '!R$45,0)</f>
        <v>38.943849999999998</v>
      </c>
      <c r="S1094" s="8">
        <f>IF($D1094='[2]Beam '!S$44,$P1094*'[2]Beam '!S$45,0)</f>
        <v>0</v>
      </c>
      <c r="T1094" s="8">
        <f>IF($D1094='[2]Beam '!T$44,$P1094*'[2]Beam '!T$45,0)</f>
        <v>0</v>
      </c>
      <c r="U1094" s="8">
        <f>IF($D1094='[2]Beam '!U$44,$P1094*'[2]Beam '!U$45,0)</f>
        <v>0</v>
      </c>
      <c r="V1094" s="8">
        <f>IF($D1094='[2]Beam '!V$44,$P1094*'[2]Beam '!V$45,0)</f>
        <v>0</v>
      </c>
      <c r="W1094" s="8">
        <f>IF($D1094='[2]Beam '!W$44,$P1094*'[2]Beam '!W$45,0)</f>
        <v>0</v>
      </c>
      <c r="X1094" s="8">
        <f t="shared" si="208"/>
        <v>38.943849999999998</v>
      </c>
      <c r="Y1094" s="14"/>
      <c r="Z1094" s="8"/>
      <c r="AA1094" s="8"/>
      <c r="AB1094" s="8"/>
      <c r="AC1094" s="8"/>
      <c r="AD1094" s="8"/>
      <c r="AE1094" s="8"/>
      <c r="AF1094" s="8"/>
    </row>
    <row r="1095" spans="1:32" s="10" customFormat="1" ht="20.100000000000001" customHeight="1" x14ac:dyDescent="0.25">
      <c r="A1095" s="14"/>
      <c r="B1095" s="8" t="s">
        <v>2</v>
      </c>
      <c r="C1095" s="13" t="s">
        <v>16</v>
      </c>
      <c r="D1095" s="14">
        <f>D1093</f>
        <v>10</v>
      </c>
      <c r="E1095" s="14">
        <f>+E1093</f>
        <v>0.125</v>
      </c>
      <c r="F1095" s="14">
        <f>ROUND((E1087-(IF(E1087/3&gt;2*G1087,E1087/3*2,G1087*2*2)))/E1095,0)</f>
        <v>16</v>
      </c>
      <c r="H1095" s="14"/>
      <c r="I1095" s="14"/>
      <c r="J1095" s="14"/>
      <c r="K1095" s="14"/>
      <c r="L1095" s="14"/>
      <c r="M1095" s="14"/>
      <c r="N1095" s="14"/>
      <c r="O1095" s="8">
        <f>(2*(((F1087-'[2]Beam '!$D$11*2)/(F1088-1))+(G1087-'[2]Beam '!$D$11*2))+(2*10*D1095/1000))*D1087</f>
        <v>1.54</v>
      </c>
      <c r="P1095" s="8">
        <f t="shared" si="207"/>
        <v>24.64</v>
      </c>
      <c r="Q1095" s="8">
        <f>IF($D1095='[2]Beam '!Q$44,$P1095*'[2]Beam '!Q$45,0)</f>
        <v>0</v>
      </c>
      <c r="R1095" s="8">
        <f>IF($D1095='[2]Beam '!R$44,$P1095*'[2]Beam '!R$45,0)</f>
        <v>15.1976</v>
      </c>
      <c r="S1095" s="8">
        <f>IF($D1095='[2]Beam '!S$44,$P1095*'[2]Beam '!S$45,0)</f>
        <v>0</v>
      </c>
      <c r="T1095" s="8">
        <f>IF($D1095='[2]Beam '!T$44,$P1095*'[2]Beam '!T$45,0)</f>
        <v>0</v>
      </c>
      <c r="U1095" s="8">
        <f>IF($D1095='[2]Beam '!U$44,$P1095*'[2]Beam '!U$45,0)</f>
        <v>0</v>
      </c>
      <c r="V1095" s="8">
        <f>IF($D1095='[2]Beam '!V$44,$P1095*'[2]Beam '!V$45,0)</f>
        <v>0</v>
      </c>
      <c r="W1095" s="8">
        <f>IF($D1095='[2]Beam '!W$44,$P1095*'[2]Beam '!W$45,0)</f>
        <v>0</v>
      </c>
      <c r="X1095" s="8">
        <f t="shared" si="208"/>
        <v>15.1976</v>
      </c>
      <c r="Y1095" s="14"/>
      <c r="Z1095" s="8"/>
      <c r="AA1095" s="8"/>
      <c r="AB1095" s="8"/>
      <c r="AC1095" s="8"/>
      <c r="AD1095" s="8"/>
      <c r="AE1095" s="8"/>
    </row>
    <row r="1096" spans="1:32" s="10" customFormat="1" ht="20.100000000000001" customHeight="1" x14ac:dyDescent="0.25">
      <c r="A1096" s="7"/>
      <c r="B1096" s="8" t="s">
        <v>2</v>
      </c>
      <c r="C1096" s="13" t="s">
        <v>10</v>
      </c>
      <c r="D1096" s="8">
        <f>+'[2]Beam '!$D$15</f>
        <v>25</v>
      </c>
      <c r="E1096" s="8">
        <f>+'[2]Beam '!$E$15</f>
        <v>1</v>
      </c>
      <c r="F1096" s="8">
        <f>ROUNDUP((4.2+O1090)/E1096,0)</f>
        <v>7</v>
      </c>
      <c r="G1096" s="9"/>
      <c r="H1096" s="9"/>
      <c r="I1096" s="8"/>
      <c r="J1096" s="8"/>
      <c r="K1096" s="8"/>
      <c r="L1096" s="8"/>
      <c r="M1096" s="8"/>
      <c r="N1096" s="8"/>
      <c r="O1096" s="8">
        <f>F1087-'[2]Beam '!$F$15</f>
        <v>0.39</v>
      </c>
      <c r="P1096" s="8">
        <f t="shared" si="207"/>
        <v>2.73</v>
      </c>
      <c r="Q1096" s="8">
        <f>IF($D1096='[2]Beam '!Q$44,$P1096*'[2]Beam '!Q$45,0)</f>
        <v>0</v>
      </c>
      <c r="R1096" s="8">
        <f>IF($D1096='[2]Beam '!R$44,$P1096*'[2]Beam '!R$45,0)</f>
        <v>0</v>
      </c>
      <c r="S1096" s="8">
        <f>IF($D1096='[2]Beam '!S$44,$P1096*'[2]Beam '!S$45,0)</f>
        <v>0</v>
      </c>
      <c r="T1096" s="8">
        <f>IF($D1096='[2]Beam '!T$44,$P1096*'[2]Beam '!T$45,0)</f>
        <v>0</v>
      </c>
      <c r="U1096" s="8">
        <f>IF($D1096='[2]Beam '!U$44,$P1096*'[2]Beam '!U$45,0)</f>
        <v>0</v>
      </c>
      <c r="V1096" s="8">
        <f>IF($D1096='[2]Beam '!V$44,$P1096*'[2]Beam '!V$45,0)</f>
        <v>10.523906250000001</v>
      </c>
      <c r="W1096" s="8">
        <f>IF($D1096='[2]Beam '!W$44,$P1096*'[2]Beam '!W$45,0)</f>
        <v>0</v>
      </c>
      <c r="X1096" s="8">
        <f t="shared" si="208"/>
        <v>10.523906250000001</v>
      </c>
      <c r="Y1096" s="8"/>
      <c r="Z1096" s="8"/>
      <c r="AA1096" s="8"/>
      <c r="AB1096" s="8"/>
      <c r="AC1096" s="8"/>
      <c r="AD1096" s="8"/>
      <c r="AE1096" s="8"/>
    </row>
    <row r="1097" spans="1:32" s="10" customFormat="1" ht="20.100000000000001" customHeight="1" x14ac:dyDescent="0.25">
      <c r="A1097" s="8">
        <v>1</v>
      </c>
      <c r="B1097" s="8" t="s">
        <v>2</v>
      </c>
      <c r="C1097" s="11" t="s">
        <v>147</v>
      </c>
      <c r="D1097" s="11">
        <v>1</v>
      </c>
      <c r="E1097" s="11">
        <v>7.23</v>
      </c>
      <c r="F1097" s="11">
        <v>0.6</v>
      </c>
      <c r="G1097" s="11">
        <v>0.6</v>
      </c>
      <c r="H1097" s="8">
        <f>G1097-0.2</f>
        <v>0.39999999999999997</v>
      </c>
      <c r="I1097" s="8">
        <f>E1097*F1097*G1097*D1097</f>
        <v>2.6027999999999998</v>
      </c>
      <c r="J1097" s="8">
        <f>(2*(E1097)*H1097*D1097)+(E1097*F1097)</f>
        <v>10.122</v>
      </c>
      <c r="K1097" s="12">
        <f>IF(E1097=0.3,J1097,0)</f>
        <v>0</v>
      </c>
      <c r="L1097" s="12">
        <f>IF(AND(E1097&gt;0.3,E1097&lt;=0.75),J1097,0)</f>
        <v>0</v>
      </c>
      <c r="M1097" s="12">
        <f>IF(AND(E1097&gt;0.75,E1097&lt;=1.2),J1097,0)</f>
        <v>0</v>
      </c>
      <c r="N1097" s="12">
        <f>IF(E1097&gt;1.2,J1097,0)</f>
        <v>10.122</v>
      </c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>
        <f>SUM(X1098:X1106)/I1097</f>
        <v>201.0793657050649</v>
      </c>
      <c r="Z1097" s="8"/>
      <c r="AA1097" s="8"/>
      <c r="AB1097" s="8"/>
      <c r="AC1097" s="8"/>
      <c r="AD1097" s="8"/>
      <c r="AE1097" s="8"/>
    </row>
    <row r="1098" spans="1:32" s="10" customFormat="1" ht="20.100000000000001" customHeight="1" x14ac:dyDescent="0.25">
      <c r="A1098" s="7"/>
      <c r="B1098" s="8" t="s">
        <v>2</v>
      </c>
      <c r="C1098" s="13" t="s">
        <v>4</v>
      </c>
      <c r="D1098" s="8">
        <v>20</v>
      </c>
      <c r="E1098" s="8"/>
      <c r="F1098" s="8">
        <v>6</v>
      </c>
      <c r="G1098" s="9">
        <f>VLOOKUP(D1098,'[2]Beam '!$C$20:$H$26,3,0)</f>
        <v>0.8</v>
      </c>
      <c r="H1098" s="9"/>
      <c r="I1098" s="8"/>
      <c r="J1098" s="8"/>
      <c r="K1098" s="8"/>
      <c r="L1098" s="8"/>
      <c r="M1098" s="8"/>
      <c r="N1098" s="8"/>
      <c r="O1098" s="8">
        <f>(E1097+1*(G1098+(12*D1098/1000))+1*(0.3/2)*D1097)</f>
        <v>8.42</v>
      </c>
      <c r="P1098" s="8">
        <f t="shared" ref="P1098:P1107" si="209">O1098*F1098</f>
        <v>50.519999999999996</v>
      </c>
      <c r="Q1098" s="8">
        <f>IF($D1098='[2]Beam '!Q$44,$P1098*'[2]Beam '!Q$45,0)</f>
        <v>0</v>
      </c>
      <c r="R1098" s="8">
        <f>IF($D1098='[2]Beam '!R$44,$P1098*'[2]Beam '!R$45,0)</f>
        <v>0</v>
      </c>
      <c r="S1098" s="8">
        <f>IF($D1098='[2]Beam '!S$44,$P1098*'[2]Beam '!S$45,0)</f>
        <v>0</v>
      </c>
      <c r="T1098" s="8">
        <f>IF($D1098='[2]Beam '!T$44,$P1098*'[2]Beam '!T$45,0)</f>
        <v>0</v>
      </c>
      <c r="U1098" s="8">
        <f>IF($D1098='[2]Beam '!U$44,$P1098*'[2]Beam '!U$45,0)</f>
        <v>124.64005714285713</v>
      </c>
      <c r="V1098" s="8">
        <f>IF($D1098='[2]Beam '!V$44,$P1098*'[2]Beam '!V$45,0)</f>
        <v>0</v>
      </c>
      <c r="W1098" s="8">
        <f>IF($D1098='[2]Beam '!W$44,$P1098*'[2]Beam '!W$45,0)</f>
        <v>0</v>
      </c>
      <c r="X1098" s="8">
        <f t="shared" ref="X1098:X1107" si="210">SUM(Q1098:W1098)</f>
        <v>124.64005714285713</v>
      </c>
      <c r="Y1098" s="8"/>
      <c r="Z1098" s="8"/>
      <c r="AA1098" s="8"/>
      <c r="AB1098" s="8"/>
      <c r="AC1098" s="8"/>
      <c r="AD1098" s="8"/>
      <c r="AE1098" s="8"/>
    </row>
    <row r="1099" spans="1:32" s="10" customFormat="1" ht="20.100000000000001" customHeight="1" x14ac:dyDescent="0.25">
      <c r="A1099" s="7"/>
      <c r="B1099" s="8" t="s">
        <v>2</v>
      </c>
      <c r="C1099" s="13" t="s">
        <v>139</v>
      </c>
      <c r="D1099" s="8">
        <v>20</v>
      </c>
      <c r="E1099" s="8"/>
      <c r="F1099" s="8">
        <v>6</v>
      </c>
      <c r="G1099" s="9">
        <f>VLOOKUP(D1099,'[2]Beam '!$C$20:$H$26,3,0)</f>
        <v>0.8</v>
      </c>
      <c r="H1099" s="9"/>
      <c r="I1099" s="8"/>
      <c r="J1099" s="8"/>
      <c r="K1099" s="8"/>
      <c r="L1099" s="8"/>
      <c r="M1099" s="8"/>
      <c r="N1099" s="8"/>
      <c r="O1099" s="8">
        <f>(E1097+1*(G1099+(12*D1099/1000))+1*(0.3/2)*D1097)</f>
        <v>8.42</v>
      </c>
      <c r="P1099" s="8">
        <f t="shared" si="209"/>
        <v>50.519999999999996</v>
      </c>
      <c r="Q1099" s="8">
        <f>IF($D1099='[2]Beam '!Q$44,$P1099*'[2]Beam '!Q$45,0)</f>
        <v>0</v>
      </c>
      <c r="R1099" s="8">
        <f>IF($D1099='[2]Beam '!R$44,$P1099*'[2]Beam '!R$45,0)</f>
        <v>0</v>
      </c>
      <c r="S1099" s="8">
        <f>IF($D1099='[2]Beam '!S$44,$P1099*'[2]Beam '!S$45,0)</f>
        <v>0</v>
      </c>
      <c r="T1099" s="8">
        <f>IF($D1099='[2]Beam '!T$44,$P1099*'[2]Beam '!T$45,0)</f>
        <v>0</v>
      </c>
      <c r="U1099" s="8">
        <f>IF($D1099='[2]Beam '!U$44,$P1099*'[2]Beam '!U$45,0)</f>
        <v>124.64005714285713</v>
      </c>
      <c r="V1099" s="8">
        <f>IF($D1099='[2]Beam '!V$44,$P1099*'[2]Beam '!V$45,0)</f>
        <v>0</v>
      </c>
      <c r="W1099" s="8">
        <f>IF($D1099='[2]Beam '!W$44,$P1099*'[2]Beam '!W$45,0)</f>
        <v>0</v>
      </c>
      <c r="X1099" s="8">
        <f t="shared" si="210"/>
        <v>124.64005714285713</v>
      </c>
      <c r="Y1099" s="8"/>
      <c r="Z1099" s="8"/>
      <c r="AA1099" s="8"/>
      <c r="AB1099" s="8"/>
      <c r="AC1099" s="8"/>
      <c r="AD1099" s="8"/>
      <c r="AE1099" s="8"/>
    </row>
    <row r="1100" spans="1:32" s="10" customFormat="1" ht="20.100000000000001" customHeight="1" x14ac:dyDescent="0.25">
      <c r="A1100" s="7"/>
      <c r="B1100" s="8" t="s">
        <v>2</v>
      </c>
      <c r="C1100" s="13" t="s">
        <v>75</v>
      </c>
      <c r="D1100" s="8">
        <v>25</v>
      </c>
      <c r="E1100" s="8"/>
      <c r="F1100" s="8">
        <v>4</v>
      </c>
      <c r="G1100" s="9">
        <f>VLOOKUP(D1100,'[2]Beam '!$C$20:$H$26,3,0)</f>
        <v>1</v>
      </c>
      <c r="H1100" s="9"/>
      <c r="I1100" s="8"/>
      <c r="J1100" s="8"/>
      <c r="K1100" s="8"/>
      <c r="L1100" s="8"/>
      <c r="M1100" s="8"/>
      <c r="N1100" s="8"/>
      <c r="O1100" s="8">
        <f>1.75+2*(0.3/2)+1.9</f>
        <v>3.9499999999999997</v>
      </c>
      <c r="P1100" s="8">
        <f t="shared" si="209"/>
        <v>15.799999999999999</v>
      </c>
      <c r="Q1100" s="8">
        <f>IF($D1100='[2]Beam '!Q$44,$P1100*'[2]Beam '!Q$45,0)</f>
        <v>0</v>
      </c>
      <c r="R1100" s="8">
        <f>IF($D1100='[2]Beam '!R$44,$P1100*'[2]Beam '!R$45,0)</f>
        <v>0</v>
      </c>
      <c r="S1100" s="8">
        <f>IF($D1100='[2]Beam '!S$44,$P1100*'[2]Beam '!S$45,0)</f>
        <v>0</v>
      </c>
      <c r="T1100" s="8">
        <f>IF($D1100='[2]Beam '!T$44,$P1100*'[2]Beam '!T$45,0)</f>
        <v>0</v>
      </c>
      <c r="U1100" s="8">
        <f>IF($D1100='[2]Beam '!U$44,$P1100*'[2]Beam '!U$45,0)</f>
        <v>0</v>
      </c>
      <c r="V1100" s="8">
        <f>IF($D1100='[2]Beam '!V$44,$P1100*'[2]Beam '!V$45,0)</f>
        <v>60.907589285714288</v>
      </c>
      <c r="W1100" s="8">
        <f>IF($D1100='[2]Beam '!W$44,$P1100*'[2]Beam '!W$45,0)</f>
        <v>0</v>
      </c>
      <c r="X1100" s="8">
        <f t="shared" si="210"/>
        <v>60.907589285714288</v>
      </c>
      <c r="Y1100" s="8"/>
      <c r="Z1100" s="8"/>
      <c r="AA1100" s="8"/>
      <c r="AB1100" s="8"/>
      <c r="AC1100" s="8"/>
      <c r="AD1100" s="8"/>
      <c r="AE1100" s="8"/>
    </row>
    <row r="1101" spans="1:32" s="14" customFormat="1" ht="20.100000000000001" customHeight="1" x14ac:dyDescent="0.3">
      <c r="A1101" s="7"/>
      <c r="B1101" s="8" t="s">
        <v>2</v>
      </c>
      <c r="C1101" s="13" t="s">
        <v>75</v>
      </c>
      <c r="D1101" s="8">
        <v>16</v>
      </c>
      <c r="E1101" s="8"/>
      <c r="F1101" s="8">
        <v>4</v>
      </c>
      <c r="G1101" s="9">
        <f>VLOOKUP(D1101,'[2]Beam '!$C$20:$H$26,3,0)</f>
        <v>0.625</v>
      </c>
      <c r="H1101" s="9"/>
      <c r="I1101" s="8"/>
      <c r="J1101" s="8"/>
      <c r="K1101" s="8"/>
      <c r="L1101" s="8"/>
      <c r="M1101" s="8"/>
      <c r="N1101" s="8"/>
      <c r="O1101" s="8">
        <f>(1.9+1*(G1101+(12*D1101/1000))*D1097)</f>
        <v>2.7169999999999996</v>
      </c>
      <c r="P1101" s="8">
        <f t="shared" si="209"/>
        <v>10.867999999999999</v>
      </c>
      <c r="Q1101" s="8">
        <f>IF($D1101='[2]Beam '!Q$44,$P1101*'[2]Beam '!Q$45,0)</f>
        <v>0</v>
      </c>
      <c r="R1101" s="8">
        <f>IF($D1101='[2]Beam '!R$44,$P1101*'[2]Beam '!R$45,0)</f>
        <v>0</v>
      </c>
      <c r="S1101" s="8">
        <f>IF($D1101='[2]Beam '!S$44,$P1101*'[2]Beam '!S$45,0)</f>
        <v>0</v>
      </c>
      <c r="T1101" s="8">
        <f>IF($D1101='[2]Beam '!T$44,$P1101*'[2]Beam '!T$45,0)</f>
        <v>17.160261485714283</v>
      </c>
      <c r="U1101" s="8">
        <f>IF($D1101='[2]Beam '!U$44,$P1101*'[2]Beam '!U$45,0)</f>
        <v>0</v>
      </c>
      <c r="V1101" s="8">
        <f>IF($D1101='[2]Beam '!V$44,$P1101*'[2]Beam '!V$45,0)</f>
        <v>0</v>
      </c>
      <c r="W1101" s="8">
        <f>IF($D1101='[2]Beam '!W$44,$P1101*'[2]Beam '!W$45,0)</f>
        <v>0</v>
      </c>
      <c r="X1101" s="8">
        <f t="shared" si="210"/>
        <v>17.160261485714283</v>
      </c>
      <c r="Y1101" s="8"/>
    </row>
    <row r="1102" spans="1:32" s="14" customFormat="1" ht="20.100000000000001" customHeight="1" x14ac:dyDescent="0.3">
      <c r="A1102" s="7"/>
      <c r="B1102" s="8" t="s">
        <v>2</v>
      </c>
      <c r="C1102" s="13" t="s">
        <v>88</v>
      </c>
      <c r="D1102" s="8">
        <v>16</v>
      </c>
      <c r="E1102" s="8"/>
      <c r="F1102" s="8">
        <v>4</v>
      </c>
      <c r="G1102" s="9">
        <f>VLOOKUP(D1102,'[2]Beam '!$C$20:$H$26,3,0)</f>
        <v>0.625</v>
      </c>
      <c r="H1102" s="9"/>
      <c r="I1102" s="8"/>
      <c r="J1102" s="8"/>
      <c r="K1102" s="8"/>
      <c r="L1102" s="8"/>
      <c r="M1102" s="8"/>
      <c r="N1102" s="8"/>
      <c r="O1102" s="8">
        <f>+E1097-1.05-0.75</f>
        <v>5.4300000000000006</v>
      </c>
      <c r="P1102" s="8">
        <f t="shared" si="209"/>
        <v>21.720000000000002</v>
      </c>
      <c r="Q1102" s="8">
        <f>IF($D1102='[2]Beam '!Q$44,$P1102*'[2]Beam '!Q$45,0)</f>
        <v>0</v>
      </c>
      <c r="R1102" s="8">
        <f>IF($D1102='[2]Beam '!R$44,$P1102*'[2]Beam '!R$45,0)</f>
        <v>0</v>
      </c>
      <c r="S1102" s="8">
        <f>IF($D1102='[2]Beam '!S$44,$P1102*'[2]Beam '!S$45,0)</f>
        <v>0</v>
      </c>
      <c r="T1102" s="8">
        <f>IF($D1102='[2]Beam '!T$44,$P1102*'[2]Beam '!T$45,0)</f>
        <v>34.295259428571434</v>
      </c>
      <c r="U1102" s="8">
        <f>IF($D1102='[2]Beam '!U$44,$P1102*'[2]Beam '!U$45,0)</f>
        <v>0</v>
      </c>
      <c r="V1102" s="8">
        <f>IF($D1102='[2]Beam '!V$44,$P1102*'[2]Beam '!V$45,0)</f>
        <v>0</v>
      </c>
      <c r="W1102" s="8">
        <f>IF($D1102='[2]Beam '!W$44,$P1102*'[2]Beam '!W$45,0)</f>
        <v>0</v>
      </c>
      <c r="X1102" s="8">
        <f t="shared" si="210"/>
        <v>34.295259428571434</v>
      </c>
      <c r="Y1102" s="8"/>
    </row>
    <row r="1103" spans="1:32" s="14" customFormat="1" ht="20.100000000000001" customHeight="1" x14ac:dyDescent="0.25">
      <c r="A1103" s="7"/>
      <c r="B1103" s="8" t="s">
        <v>2</v>
      </c>
      <c r="C1103" s="13" t="s">
        <v>13</v>
      </c>
      <c r="D1103" s="8">
        <v>10</v>
      </c>
      <c r="E1103" s="8">
        <v>0.1</v>
      </c>
      <c r="F1103" s="8">
        <f>ROUND(IF(E1097/3&gt;(2*G1097),(E1097/3)/E1103,(2*G1097)/E1103),0)*2+1</f>
        <v>49</v>
      </c>
      <c r="G1103" s="10"/>
      <c r="H1103" s="8"/>
      <c r="I1103" s="8"/>
      <c r="J1103" s="8"/>
      <c r="K1103" s="8"/>
      <c r="L1103" s="8"/>
      <c r="M1103" s="8"/>
      <c r="N1103" s="8"/>
      <c r="O1103" s="8">
        <f>(2*((G1097-(2*'[2]Beam '!$D$11))+(F1097-(2*'[2]Beam '!$D$11)))+(2*10*D1103/1000))*D1097</f>
        <v>2.3600000000000003</v>
      </c>
      <c r="P1103" s="8">
        <f t="shared" si="209"/>
        <v>115.64000000000001</v>
      </c>
      <c r="Q1103" s="8">
        <f>IF($D1103='[2]Beam '!Q$44,$P1103*'[2]Beam '!Q$45,0)</f>
        <v>0</v>
      </c>
      <c r="R1103" s="8">
        <f>IF($D1103='[2]Beam '!R$44,$P1103*'[2]Beam '!R$45,0)</f>
        <v>71.325100000000006</v>
      </c>
      <c r="S1103" s="8">
        <f>IF($D1103='[2]Beam '!S$44,$P1103*'[2]Beam '!S$45,0)</f>
        <v>0</v>
      </c>
      <c r="T1103" s="8">
        <f>IF($D1103='[2]Beam '!T$44,$P1103*'[2]Beam '!T$45,0)</f>
        <v>0</v>
      </c>
      <c r="U1103" s="8">
        <f>IF($D1103='[2]Beam '!U$44,$P1103*'[2]Beam '!U$45,0)</f>
        <v>0</v>
      </c>
      <c r="V1103" s="8">
        <f>IF($D1103='[2]Beam '!V$44,$P1103*'[2]Beam '!V$45,0)</f>
        <v>0</v>
      </c>
      <c r="W1103" s="8">
        <f>IF($D1103='[2]Beam '!W$44,$P1103*'[2]Beam '!W$45,0)</f>
        <v>0</v>
      </c>
      <c r="X1103" s="8">
        <f t="shared" si="210"/>
        <v>71.325100000000006</v>
      </c>
      <c r="Y1103" s="8"/>
    </row>
    <row r="1104" spans="1:32" s="10" customFormat="1" ht="20.100000000000001" customHeight="1" x14ac:dyDescent="0.25">
      <c r="A1104" s="14"/>
      <c r="B1104" s="8" t="s">
        <v>2</v>
      </c>
      <c r="C1104" s="13" t="s">
        <v>14</v>
      </c>
      <c r="D1104" s="14">
        <f>D1103</f>
        <v>10</v>
      </c>
      <c r="E1104" s="14">
        <v>0.125</v>
      </c>
      <c r="F1104" s="14">
        <f>ROUND((E1097-(IF(E1097/3&gt;2*G1097,E1097/3*2,G1097*2*2)))/E1104,0)</f>
        <v>19</v>
      </c>
      <c r="H1104" s="14"/>
      <c r="I1104" s="14"/>
      <c r="J1104" s="14"/>
      <c r="K1104" s="14"/>
      <c r="L1104" s="14"/>
      <c r="M1104" s="14"/>
      <c r="N1104" s="14"/>
      <c r="O1104" s="8">
        <f>(2*((G1097-(2*'[2]Beam '!$D$11))+(F1097-(2*'[2]Beam '!$D$11)))+(2*10*D1104/1000))*D1097</f>
        <v>2.3600000000000003</v>
      </c>
      <c r="P1104" s="8">
        <f t="shared" si="209"/>
        <v>44.84</v>
      </c>
      <c r="Q1104" s="8">
        <f>IF($D1104='[2]Beam '!Q$44,$P1104*'[2]Beam '!Q$45,0)</f>
        <v>0</v>
      </c>
      <c r="R1104" s="8">
        <f>IF($D1104='[2]Beam '!R$44,$P1104*'[2]Beam '!R$45,0)</f>
        <v>27.656671428571428</v>
      </c>
      <c r="S1104" s="8">
        <f>IF($D1104='[2]Beam '!S$44,$P1104*'[2]Beam '!S$45,0)</f>
        <v>0</v>
      </c>
      <c r="T1104" s="8">
        <f>IF($D1104='[2]Beam '!T$44,$P1104*'[2]Beam '!T$45,0)</f>
        <v>0</v>
      </c>
      <c r="U1104" s="8">
        <f>IF($D1104='[2]Beam '!U$44,$P1104*'[2]Beam '!U$45,0)</f>
        <v>0</v>
      </c>
      <c r="V1104" s="8">
        <f>IF($D1104='[2]Beam '!V$44,$P1104*'[2]Beam '!V$45,0)</f>
        <v>0</v>
      </c>
      <c r="W1104" s="8">
        <f>IF($D1104='[2]Beam '!W$44,$P1104*'[2]Beam '!W$45,0)</f>
        <v>0</v>
      </c>
      <c r="X1104" s="8">
        <f t="shared" si="210"/>
        <v>27.656671428571428</v>
      </c>
      <c r="Y1104" s="14"/>
      <c r="Z1104" s="8"/>
      <c r="AA1104" s="8"/>
      <c r="AB1104" s="8"/>
      <c r="AC1104" s="8"/>
      <c r="AD1104" s="8"/>
      <c r="AE1104" s="8"/>
    </row>
    <row r="1105" spans="1:32" s="10" customFormat="1" ht="21" customHeight="1" x14ac:dyDescent="0.25">
      <c r="A1105" s="14"/>
      <c r="B1105" s="8" t="s">
        <v>2</v>
      </c>
      <c r="C1105" s="13" t="s">
        <v>15</v>
      </c>
      <c r="D1105" s="14">
        <f>D1103</f>
        <v>10</v>
      </c>
      <c r="E1105" s="14">
        <f>+E1103</f>
        <v>0.1</v>
      </c>
      <c r="F1105" s="8">
        <f>ROUND(IF(E1097/3&gt;(2*G1097),(E1097/3)/E1105,(2*G1097)/E1105),0)*2+1</f>
        <v>49</v>
      </c>
      <c r="H1105" s="14"/>
      <c r="I1105" s="14"/>
      <c r="J1105" s="14"/>
      <c r="K1105" s="14"/>
      <c r="L1105" s="14"/>
      <c r="M1105" s="14"/>
      <c r="N1105" s="14"/>
      <c r="O1105" s="8">
        <f>(2*(((F1097-'[2]Beam '!$D$11*2)/(F1098-1))+(G1097-'[2]Beam '!$D$11*2))+(2*10*D1105/1000))*D1097</f>
        <v>1.496</v>
      </c>
      <c r="P1105" s="8">
        <f t="shared" si="209"/>
        <v>73.304000000000002</v>
      </c>
      <c r="Q1105" s="8">
        <f>IF($D1105='[2]Beam '!Q$44,$P1105*'[2]Beam '!Q$45,0)</f>
        <v>0</v>
      </c>
      <c r="R1105" s="8">
        <f>IF($D1105='[2]Beam '!R$44,$P1105*'[2]Beam '!R$45,0)</f>
        <v>45.212859999999999</v>
      </c>
      <c r="S1105" s="8">
        <f>IF($D1105='[2]Beam '!S$44,$P1105*'[2]Beam '!S$45,0)</f>
        <v>0</v>
      </c>
      <c r="T1105" s="8">
        <f>IF($D1105='[2]Beam '!T$44,$P1105*'[2]Beam '!T$45,0)</f>
        <v>0</v>
      </c>
      <c r="U1105" s="8">
        <f>IF($D1105='[2]Beam '!U$44,$P1105*'[2]Beam '!U$45,0)</f>
        <v>0</v>
      </c>
      <c r="V1105" s="8">
        <f>IF($D1105='[2]Beam '!V$44,$P1105*'[2]Beam '!V$45,0)</f>
        <v>0</v>
      </c>
      <c r="W1105" s="8">
        <f>IF($D1105='[2]Beam '!W$44,$P1105*'[2]Beam '!W$45,0)</f>
        <v>0</v>
      </c>
      <c r="X1105" s="8">
        <f t="shared" si="210"/>
        <v>45.212859999999999</v>
      </c>
      <c r="Y1105" s="14"/>
      <c r="Z1105" s="8"/>
      <c r="AA1105" s="8"/>
      <c r="AB1105" s="8"/>
      <c r="AC1105" s="8"/>
      <c r="AD1105" s="8"/>
      <c r="AE1105" s="8"/>
      <c r="AF1105" s="8"/>
    </row>
    <row r="1106" spans="1:32" s="10" customFormat="1" ht="20.100000000000001" customHeight="1" x14ac:dyDescent="0.25">
      <c r="A1106" s="14"/>
      <c r="B1106" s="8" t="s">
        <v>2</v>
      </c>
      <c r="C1106" s="13" t="s">
        <v>16</v>
      </c>
      <c r="D1106" s="14">
        <f>D1104</f>
        <v>10</v>
      </c>
      <c r="E1106" s="14">
        <f>+E1104</f>
        <v>0.125</v>
      </c>
      <c r="F1106" s="14">
        <f>ROUND((E1097-(IF(E1097/3&gt;2*G1097,E1097/3*2,G1097*2*2)))/E1106,0)</f>
        <v>19</v>
      </c>
      <c r="H1106" s="14"/>
      <c r="I1106" s="14"/>
      <c r="J1106" s="14"/>
      <c r="K1106" s="14"/>
      <c r="L1106" s="14"/>
      <c r="M1106" s="14"/>
      <c r="N1106" s="14"/>
      <c r="O1106" s="8">
        <f>(2*(((F1097-'[2]Beam '!$D$11*2)/(F1098-1))+(G1097-'[2]Beam '!$D$11*2))+(2*10*D1106/1000))*D1097</f>
        <v>1.496</v>
      </c>
      <c r="P1106" s="8">
        <f t="shared" si="209"/>
        <v>28.423999999999999</v>
      </c>
      <c r="Q1106" s="8">
        <f>IF($D1106='[2]Beam '!Q$44,$P1106*'[2]Beam '!Q$45,0)</f>
        <v>0</v>
      </c>
      <c r="R1106" s="8">
        <f>IF($D1106='[2]Beam '!R$44,$P1106*'[2]Beam '!R$45,0)</f>
        <v>17.53151714285714</v>
      </c>
      <c r="S1106" s="8">
        <f>IF($D1106='[2]Beam '!S$44,$P1106*'[2]Beam '!S$45,0)</f>
        <v>0</v>
      </c>
      <c r="T1106" s="8">
        <f>IF($D1106='[2]Beam '!T$44,$P1106*'[2]Beam '!T$45,0)</f>
        <v>0</v>
      </c>
      <c r="U1106" s="8">
        <f>IF($D1106='[2]Beam '!U$44,$P1106*'[2]Beam '!U$45,0)</f>
        <v>0</v>
      </c>
      <c r="V1106" s="8">
        <f>IF($D1106='[2]Beam '!V$44,$P1106*'[2]Beam '!V$45,0)</f>
        <v>0</v>
      </c>
      <c r="W1106" s="8">
        <f>IF($D1106='[2]Beam '!W$44,$P1106*'[2]Beam '!W$45,0)</f>
        <v>0</v>
      </c>
      <c r="X1106" s="8">
        <f t="shared" si="210"/>
        <v>17.53151714285714</v>
      </c>
      <c r="Y1106" s="14"/>
      <c r="Z1106" s="8"/>
      <c r="AA1106" s="8"/>
      <c r="AB1106" s="8"/>
      <c r="AC1106" s="8"/>
      <c r="AD1106" s="8"/>
      <c r="AE1106" s="8"/>
    </row>
    <row r="1107" spans="1:32" s="10" customFormat="1" ht="20.100000000000001" customHeight="1" x14ac:dyDescent="0.25">
      <c r="A1107" s="7"/>
      <c r="B1107" s="8" t="s">
        <v>2</v>
      </c>
      <c r="C1107" s="13" t="s">
        <v>10</v>
      </c>
      <c r="D1107" s="8">
        <f>+'[2]Beam '!$D$15</f>
        <v>25</v>
      </c>
      <c r="E1107" s="8">
        <f>+'[2]Beam '!$E$15</f>
        <v>1</v>
      </c>
      <c r="F1107" s="8">
        <f>ROUNDUP((1.9+1.9+O1102)/E1107,0)</f>
        <v>10</v>
      </c>
      <c r="G1107" s="9"/>
      <c r="H1107" s="9"/>
      <c r="I1107" s="8"/>
      <c r="J1107" s="8"/>
      <c r="K1107" s="8"/>
      <c r="L1107" s="8"/>
      <c r="M1107" s="8"/>
      <c r="N1107" s="8"/>
      <c r="O1107" s="8">
        <f>F1097-'[2]Beam '!$F$15</f>
        <v>0.54</v>
      </c>
      <c r="P1107" s="8">
        <f t="shared" si="209"/>
        <v>5.4</v>
      </c>
      <c r="Q1107" s="8">
        <f>IF($D1107='[2]Beam '!Q$44,$P1107*'[2]Beam '!Q$45,0)</f>
        <v>0</v>
      </c>
      <c r="R1107" s="8">
        <f>IF($D1107='[2]Beam '!R$44,$P1107*'[2]Beam '!R$45,0)</f>
        <v>0</v>
      </c>
      <c r="S1107" s="8">
        <f>IF($D1107='[2]Beam '!S$44,$P1107*'[2]Beam '!S$45,0)</f>
        <v>0</v>
      </c>
      <c r="T1107" s="8">
        <f>IF($D1107='[2]Beam '!T$44,$P1107*'[2]Beam '!T$45,0)</f>
        <v>0</v>
      </c>
      <c r="U1107" s="8">
        <f>IF($D1107='[2]Beam '!U$44,$P1107*'[2]Beam '!U$45,0)</f>
        <v>0</v>
      </c>
      <c r="V1107" s="8">
        <f>IF($D1107='[2]Beam '!V$44,$P1107*'[2]Beam '!V$45,0)</f>
        <v>20.816517857142863</v>
      </c>
      <c r="W1107" s="8">
        <f>IF($D1107='[2]Beam '!W$44,$P1107*'[2]Beam '!W$45,0)</f>
        <v>0</v>
      </c>
      <c r="X1107" s="8">
        <f t="shared" si="210"/>
        <v>20.816517857142863</v>
      </c>
      <c r="Y1107" s="8"/>
      <c r="Z1107" s="8"/>
      <c r="AA1107" s="8"/>
      <c r="AB1107" s="8"/>
      <c r="AC1107" s="8"/>
      <c r="AD1107" s="8"/>
      <c r="AE1107" s="8"/>
    </row>
    <row r="1108" spans="1:32" s="10" customFormat="1" ht="20.100000000000001" customHeight="1" x14ac:dyDescent="0.25">
      <c r="A1108" s="8">
        <v>1</v>
      </c>
      <c r="B1108" s="8" t="s">
        <v>2</v>
      </c>
      <c r="C1108" s="11" t="s">
        <v>144</v>
      </c>
      <c r="D1108" s="11">
        <v>1</v>
      </c>
      <c r="E1108" s="11">
        <v>7.23</v>
      </c>
      <c r="F1108" s="11">
        <v>0.3</v>
      </c>
      <c r="G1108" s="11">
        <v>1.1000000000000001</v>
      </c>
      <c r="H1108" s="8">
        <f>G1108-0.2</f>
        <v>0.90000000000000013</v>
      </c>
      <c r="I1108" s="8">
        <f>E1108*F1108*G1108*D1108</f>
        <v>2.3859000000000004</v>
      </c>
      <c r="J1108" s="8">
        <f>(2*(E1108)*H1108*D1108)+(E1108*F1108)</f>
        <v>15.183000000000003</v>
      </c>
      <c r="K1108" s="12">
        <f>IF(E1108=0.3,J1108,0)</f>
        <v>0</v>
      </c>
      <c r="L1108" s="12">
        <f>IF(AND(E1108&gt;0.3,E1108&lt;=0.75),J1108,0)</f>
        <v>0</v>
      </c>
      <c r="M1108" s="12">
        <f>IF(AND(E1108&gt;0.75,E1108&lt;=1.2),J1108,0)</f>
        <v>0</v>
      </c>
      <c r="N1108" s="12">
        <f>IF(E1108&gt;1.2,J1108,0)</f>
        <v>15.183000000000003</v>
      </c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>
        <f>SUM(X1109:X1117)/I1108</f>
        <v>237.98257090166632</v>
      </c>
      <c r="Z1108" s="8"/>
      <c r="AA1108" s="8"/>
      <c r="AB1108" s="8"/>
      <c r="AC1108" s="8"/>
      <c r="AD1108" s="8"/>
      <c r="AE1108" s="8"/>
    </row>
    <row r="1109" spans="1:32" s="10" customFormat="1" ht="20.100000000000001" customHeight="1" x14ac:dyDescent="0.25">
      <c r="A1109" s="7"/>
      <c r="B1109" s="8" t="s">
        <v>2</v>
      </c>
      <c r="C1109" s="13" t="s">
        <v>4</v>
      </c>
      <c r="D1109" s="8">
        <v>20</v>
      </c>
      <c r="E1109" s="8"/>
      <c r="F1109" s="8">
        <v>6</v>
      </c>
      <c r="G1109" s="9">
        <f>VLOOKUP(D1109,'[2]Beam '!$C$20:$H$26,3,0)</f>
        <v>0.8</v>
      </c>
      <c r="H1109" s="9"/>
      <c r="I1109" s="8"/>
      <c r="J1109" s="8"/>
      <c r="K1109" s="8"/>
      <c r="L1109" s="8"/>
      <c r="M1109" s="8"/>
      <c r="N1109" s="8"/>
      <c r="O1109" s="8">
        <f>(E1108+1*(G1109+(12*D1109/1000))+1*(0.3/2)*D1108)</f>
        <v>8.42</v>
      </c>
      <c r="P1109" s="8">
        <f t="shared" ref="P1109:P1118" si="211">O1109*F1109</f>
        <v>50.519999999999996</v>
      </c>
      <c r="Q1109" s="8">
        <f>IF($D1109='[2]Beam '!Q$44,$P1109*'[2]Beam '!Q$45,0)</f>
        <v>0</v>
      </c>
      <c r="R1109" s="8">
        <f>IF($D1109='[2]Beam '!R$44,$P1109*'[2]Beam '!R$45,0)</f>
        <v>0</v>
      </c>
      <c r="S1109" s="8">
        <f>IF($D1109='[2]Beam '!S$44,$P1109*'[2]Beam '!S$45,0)</f>
        <v>0</v>
      </c>
      <c r="T1109" s="8">
        <f>IF($D1109='[2]Beam '!T$44,$P1109*'[2]Beam '!T$45,0)</f>
        <v>0</v>
      </c>
      <c r="U1109" s="8">
        <f>IF($D1109='[2]Beam '!U$44,$P1109*'[2]Beam '!U$45,0)</f>
        <v>124.64005714285713</v>
      </c>
      <c r="V1109" s="8">
        <f>IF($D1109='[2]Beam '!V$44,$P1109*'[2]Beam '!V$45,0)</f>
        <v>0</v>
      </c>
      <c r="W1109" s="8">
        <f>IF($D1109='[2]Beam '!W$44,$P1109*'[2]Beam '!W$45,0)</f>
        <v>0</v>
      </c>
      <c r="X1109" s="8">
        <f t="shared" ref="X1109:X1118" si="212">SUM(Q1109:W1109)</f>
        <v>124.64005714285713</v>
      </c>
      <c r="Y1109" s="8"/>
      <c r="Z1109" s="8"/>
      <c r="AA1109" s="8"/>
      <c r="AB1109" s="8"/>
      <c r="AC1109" s="8"/>
      <c r="AD1109" s="8"/>
      <c r="AE1109" s="8"/>
    </row>
    <row r="1110" spans="1:32" s="10" customFormat="1" ht="20.100000000000001" customHeight="1" x14ac:dyDescent="0.25">
      <c r="A1110" s="7"/>
      <c r="B1110" s="8" t="s">
        <v>2</v>
      </c>
      <c r="C1110" s="13" t="s">
        <v>75</v>
      </c>
      <c r="D1110" s="8">
        <v>25</v>
      </c>
      <c r="E1110" s="8"/>
      <c r="F1110" s="8">
        <v>4</v>
      </c>
      <c r="G1110" s="9">
        <f>VLOOKUP(D1110,'[2]Beam '!$C$20:$H$26,3,0)</f>
        <v>1</v>
      </c>
      <c r="H1110" s="9"/>
      <c r="I1110" s="8"/>
      <c r="J1110" s="8"/>
      <c r="K1110" s="8"/>
      <c r="L1110" s="8"/>
      <c r="M1110" s="8"/>
      <c r="N1110" s="8"/>
      <c r="O1110" s="8">
        <f>(1.9+1*(G1110+(12*D1110/1000))+1*(0.3/2)*D1108)</f>
        <v>3.35</v>
      </c>
      <c r="P1110" s="8">
        <f t="shared" si="211"/>
        <v>13.4</v>
      </c>
      <c r="Q1110" s="8">
        <f>IF($D1110='[2]Beam '!Q$44,$P1110*'[2]Beam '!Q$45,0)</f>
        <v>0</v>
      </c>
      <c r="R1110" s="8">
        <f>IF($D1110='[2]Beam '!R$44,$P1110*'[2]Beam '!R$45,0)</f>
        <v>0</v>
      </c>
      <c r="S1110" s="8">
        <f>IF($D1110='[2]Beam '!S$44,$P1110*'[2]Beam '!S$45,0)</f>
        <v>0</v>
      </c>
      <c r="T1110" s="8">
        <f>IF($D1110='[2]Beam '!T$44,$P1110*'[2]Beam '!T$45,0)</f>
        <v>0</v>
      </c>
      <c r="U1110" s="8">
        <f>IF($D1110='[2]Beam '!U$44,$P1110*'[2]Beam '!U$45,0)</f>
        <v>0</v>
      </c>
      <c r="V1110" s="8">
        <f>IF($D1110='[2]Beam '!V$44,$P1110*'[2]Beam '!V$45,0)</f>
        <v>51.655803571428578</v>
      </c>
      <c r="W1110" s="8">
        <f>IF($D1110='[2]Beam '!W$44,$P1110*'[2]Beam '!W$45,0)</f>
        <v>0</v>
      </c>
      <c r="X1110" s="8">
        <f t="shared" si="212"/>
        <v>51.655803571428578</v>
      </c>
      <c r="Y1110" s="8"/>
      <c r="Z1110" s="8"/>
      <c r="AA1110" s="8"/>
      <c r="AB1110" s="8"/>
      <c r="AC1110" s="8"/>
      <c r="AD1110" s="8"/>
      <c r="AE1110" s="8"/>
    </row>
    <row r="1111" spans="1:32" s="10" customFormat="1" ht="20.100000000000001" customHeight="1" x14ac:dyDescent="0.25">
      <c r="A1111" s="7"/>
      <c r="B1111" s="8" t="s">
        <v>2</v>
      </c>
      <c r="C1111" s="13" t="s">
        <v>75</v>
      </c>
      <c r="D1111" s="8">
        <v>16</v>
      </c>
      <c r="E1111" s="8"/>
      <c r="F1111" s="8">
        <v>4</v>
      </c>
      <c r="G1111" s="9">
        <f>VLOOKUP(D1111,'[2]Beam '!$C$20:$H$26,3,0)</f>
        <v>0.625</v>
      </c>
      <c r="H1111" s="9"/>
      <c r="I1111" s="8"/>
      <c r="J1111" s="8"/>
      <c r="K1111" s="8"/>
      <c r="L1111" s="8"/>
      <c r="M1111" s="8"/>
      <c r="N1111" s="8"/>
      <c r="O1111" s="8">
        <f>(1.9+1*(G1111+(12*D1111/1000))*D1108)</f>
        <v>2.7169999999999996</v>
      </c>
      <c r="P1111" s="8">
        <f t="shared" si="211"/>
        <v>10.867999999999999</v>
      </c>
      <c r="Q1111" s="8">
        <f>IF($D1111='[2]Beam '!Q$44,$P1111*'[2]Beam '!Q$45,0)</f>
        <v>0</v>
      </c>
      <c r="R1111" s="8">
        <f>IF($D1111='[2]Beam '!R$44,$P1111*'[2]Beam '!R$45,0)</f>
        <v>0</v>
      </c>
      <c r="S1111" s="8">
        <f>IF($D1111='[2]Beam '!S$44,$P1111*'[2]Beam '!S$45,0)</f>
        <v>0</v>
      </c>
      <c r="T1111" s="8">
        <f>IF($D1111='[2]Beam '!T$44,$P1111*'[2]Beam '!T$45,0)</f>
        <v>17.160261485714283</v>
      </c>
      <c r="U1111" s="8">
        <f>IF($D1111='[2]Beam '!U$44,$P1111*'[2]Beam '!U$45,0)</f>
        <v>0</v>
      </c>
      <c r="V1111" s="8">
        <f>IF($D1111='[2]Beam '!V$44,$P1111*'[2]Beam '!V$45,0)</f>
        <v>0</v>
      </c>
      <c r="W1111" s="8">
        <f>IF($D1111='[2]Beam '!W$44,$P1111*'[2]Beam '!W$45,0)</f>
        <v>0</v>
      </c>
      <c r="X1111" s="8">
        <f t="shared" si="212"/>
        <v>17.160261485714283</v>
      </c>
      <c r="Y1111" s="8"/>
      <c r="Z1111" s="8"/>
      <c r="AA1111" s="8"/>
      <c r="AB1111" s="8"/>
      <c r="AC1111" s="8"/>
      <c r="AD1111" s="8"/>
      <c r="AE1111" s="8"/>
    </row>
    <row r="1112" spans="1:32" s="14" customFormat="1" ht="20.100000000000001" customHeight="1" x14ac:dyDescent="0.3">
      <c r="A1112" s="7"/>
      <c r="B1112" s="8" t="s">
        <v>2</v>
      </c>
      <c r="C1112" s="13" t="s">
        <v>139</v>
      </c>
      <c r="D1112" s="8">
        <v>20</v>
      </c>
      <c r="E1112" s="8"/>
      <c r="F1112" s="8">
        <v>6</v>
      </c>
      <c r="G1112" s="9">
        <f>VLOOKUP(D1112,'[2]Beam '!$C$20:$H$26,3,0)</f>
        <v>0.8</v>
      </c>
      <c r="H1112" s="9"/>
      <c r="I1112" s="8"/>
      <c r="J1112" s="8"/>
      <c r="K1112" s="8"/>
      <c r="L1112" s="8"/>
      <c r="M1112" s="8"/>
      <c r="N1112" s="8"/>
      <c r="O1112" s="8">
        <f>(E1108+1*(G1112+(12*D1112/1000))+1*(0.3/2)*D1108)</f>
        <v>8.42</v>
      </c>
      <c r="P1112" s="8">
        <f t="shared" si="211"/>
        <v>50.519999999999996</v>
      </c>
      <c r="Q1112" s="8">
        <f>IF($D1112='[2]Beam '!Q$44,$P1112*'[2]Beam '!Q$45,0)</f>
        <v>0</v>
      </c>
      <c r="R1112" s="8">
        <f>IF($D1112='[2]Beam '!R$44,$P1112*'[2]Beam '!R$45,0)</f>
        <v>0</v>
      </c>
      <c r="S1112" s="8">
        <f>IF($D1112='[2]Beam '!S$44,$P1112*'[2]Beam '!S$45,0)</f>
        <v>0</v>
      </c>
      <c r="T1112" s="8">
        <f>IF($D1112='[2]Beam '!T$44,$P1112*'[2]Beam '!T$45,0)</f>
        <v>0</v>
      </c>
      <c r="U1112" s="8">
        <f>IF($D1112='[2]Beam '!U$44,$P1112*'[2]Beam '!U$45,0)</f>
        <v>124.64005714285713</v>
      </c>
      <c r="V1112" s="8">
        <f>IF($D1112='[2]Beam '!V$44,$P1112*'[2]Beam '!V$45,0)</f>
        <v>0</v>
      </c>
      <c r="W1112" s="8">
        <f>IF($D1112='[2]Beam '!W$44,$P1112*'[2]Beam '!W$45,0)</f>
        <v>0</v>
      </c>
      <c r="X1112" s="8">
        <f t="shared" si="212"/>
        <v>124.64005714285713</v>
      </c>
      <c r="Y1112" s="8"/>
    </row>
    <row r="1113" spans="1:32" s="14" customFormat="1" ht="20.100000000000001" customHeight="1" x14ac:dyDescent="0.3">
      <c r="A1113" s="7"/>
      <c r="B1113" s="8" t="s">
        <v>2</v>
      </c>
      <c r="C1113" s="13" t="s">
        <v>88</v>
      </c>
      <c r="D1113" s="8">
        <v>16</v>
      </c>
      <c r="E1113" s="8"/>
      <c r="F1113" s="8">
        <v>4</v>
      </c>
      <c r="G1113" s="9">
        <f>VLOOKUP(D1113,'[2]Beam '!$C$20:$H$26,3,0)</f>
        <v>0.625</v>
      </c>
      <c r="H1113" s="9"/>
      <c r="I1113" s="8"/>
      <c r="J1113" s="8"/>
      <c r="K1113" s="8"/>
      <c r="L1113" s="8"/>
      <c r="M1113" s="8"/>
      <c r="N1113" s="8"/>
      <c r="O1113" s="8">
        <f>+E1108-1.05-0.75</f>
        <v>5.4300000000000006</v>
      </c>
      <c r="P1113" s="8">
        <f t="shared" si="211"/>
        <v>21.720000000000002</v>
      </c>
      <c r="Q1113" s="8">
        <f>IF($D1113='[2]Beam '!Q$44,$P1113*'[2]Beam '!Q$45,0)</f>
        <v>0</v>
      </c>
      <c r="R1113" s="8">
        <f>IF($D1113='[2]Beam '!R$44,$P1113*'[2]Beam '!R$45,0)</f>
        <v>0</v>
      </c>
      <c r="S1113" s="8">
        <f>IF($D1113='[2]Beam '!S$44,$P1113*'[2]Beam '!S$45,0)</f>
        <v>0</v>
      </c>
      <c r="T1113" s="8">
        <f>IF($D1113='[2]Beam '!T$44,$P1113*'[2]Beam '!T$45,0)</f>
        <v>34.295259428571434</v>
      </c>
      <c r="U1113" s="8">
        <f>IF($D1113='[2]Beam '!U$44,$P1113*'[2]Beam '!U$45,0)</f>
        <v>0</v>
      </c>
      <c r="V1113" s="8">
        <f>IF($D1113='[2]Beam '!V$44,$P1113*'[2]Beam '!V$45,0)</f>
        <v>0</v>
      </c>
      <c r="W1113" s="8">
        <f>IF($D1113='[2]Beam '!W$44,$P1113*'[2]Beam '!W$45,0)</f>
        <v>0</v>
      </c>
      <c r="X1113" s="8">
        <f t="shared" si="212"/>
        <v>34.295259428571434</v>
      </c>
      <c r="Y1113" s="8"/>
    </row>
    <row r="1114" spans="1:32" s="14" customFormat="1" ht="20.100000000000001" customHeight="1" x14ac:dyDescent="0.25">
      <c r="A1114" s="7"/>
      <c r="B1114" s="8" t="s">
        <v>2</v>
      </c>
      <c r="C1114" s="13" t="s">
        <v>13</v>
      </c>
      <c r="D1114" s="8">
        <v>10</v>
      </c>
      <c r="E1114" s="8">
        <v>0.1</v>
      </c>
      <c r="F1114" s="8">
        <f>ROUND(IF(E1108/3&gt;(2*G1108),(E1108/3)/E1114,(2*G1108)/E1114),0)*2+1</f>
        <v>49</v>
      </c>
      <c r="G1114" s="10"/>
      <c r="H1114" s="8"/>
      <c r="I1114" s="8"/>
      <c r="J1114" s="8"/>
      <c r="K1114" s="8"/>
      <c r="L1114" s="8"/>
      <c r="M1114" s="8"/>
      <c r="N1114" s="8"/>
      <c r="O1114" s="8">
        <f>(2*((G1108-(2*'[2]Beam '!$D$11))+(F1108-(2*'[2]Beam '!$D$11)))+(2*10*D1114/1000))*D1108</f>
        <v>2.7600000000000002</v>
      </c>
      <c r="P1114" s="8">
        <f t="shared" si="211"/>
        <v>135.24</v>
      </c>
      <c r="Q1114" s="8">
        <f>IF($D1114='[2]Beam '!Q$44,$P1114*'[2]Beam '!Q$45,0)</f>
        <v>0</v>
      </c>
      <c r="R1114" s="8">
        <f>IF($D1114='[2]Beam '!R$44,$P1114*'[2]Beam '!R$45,0)</f>
        <v>83.414100000000005</v>
      </c>
      <c r="S1114" s="8">
        <f>IF($D1114='[2]Beam '!S$44,$P1114*'[2]Beam '!S$45,0)</f>
        <v>0</v>
      </c>
      <c r="T1114" s="8">
        <f>IF($D1114='[2]Beam '!T$44,$P1114*'[2]Beam '!T$45,0)</f>
        <v>0</v>
      </c>
      <c r="U1114" s="8">
        <f>IF($D1114='[2]Beam '!U$44,$P1114*'[2]Beam '!U$45,0)</f>
        <v>0</v>
      </c>
      <c r="V1114" s="8">
        <f>IF($D1114='[2]Beam '!V$44,$P1114*'[2]Beam '!V$45,0)</f>
        <v>0</v>
      </c>
      <c r="W1114" s="8">
        <f>IF($D1114='[2]Beam '!W$44,$P1114*'[2]Beam '!W$45,0)</f>
        <v>0</v>
      </c>
      <c r="X1114" s="8">
        <f t="shared" si="212"/>
        <v>83.414100000000005</v>
      </c>
      <c r="Y1114" s="8"/>
    </row>
    <row r="1115" spans="1:32" s="10" customFormat="1" ht="20.100000000000001" customHeight="1" x14ac:dyDescent="0.25">
      <c r="A1115" s="14"/>
      <c r="B1115" s="8" t="s">
        <v>2</v>
      </c>
      <c r="C1115" s="13" t="s">
        <v>14</v>
      </c>
      <c r="D1115" s="14">
        <f>D1114</f>
        <v>10</v>
      </c>
      <c r="E1115" s="14">
        <v>0.125</v>
      </c>
      <c r="F1115" s="14">
        <f>ROUND((E1108-(IF(E1108/3&gt;2*G1108,E1108/3*2,G1108*2*2)))/E1115,0)</f>
        <v>19</v>
      </c>
      <c r="H1115" s="14"/>
      <c r="I1115" s="14"/>
      <c r="J1115" s="14"/>
      <c r="K1115" s="14"/>
      <c r="L1115" s="14"/>
      <c r="M1115" s="14"/>
      <c r="N1115" s="14"/>
      <c r="O1115" s="8">
        <f>(2*((G1108-(2*'[2]Beam '!$D$11))+(F1108-(2*'[2]Beam '!$D$11)))+(2*10*D1115/1000))*D1108</f>
        <v>2.7600000000000002</v>
      </c>
      <c r="P1115" s="8">
        <f t="shared" si="211"/>
        <v>52.440000000000005</v>
      </c>
      <c r="Q1115" s="8">
        <f>IF($D1115='[2]Beam '!Q$44,$P1115*'[2]Beam '!Q$45,0)</f>
        <v>0</v>
      </c>
      <c r="R1115" s="8">
        <f>IF($D1115='[2]Beam '!R$44,$P1115*'[2]Beam '!R$45,0)</f>
        <v>32.344242857142859</v>
      </c>
      <c r="S1115" s="8">
        <f>IF($D1115='[2]Beam '!S$44,$P1115*'[2]Beam '!S$45,0)</f>
        <v>0</v>
      </c>
      <c r="T1115" s="8">
        <f>IF($D1115='[2]Beam '!T$44,$P1115*'[2]Beam '!T$45,0)</f>
        <v>0</v>
      </c>
      <c r="U1115" s="8">
        <f>IF($D1115='[2]Beam '!U$44,$P1115*'[2]Beam '!U$45,0)</f>
        <v>0</v>
      </c>
      <c r="V1115" s="8">
        <f>IF($D1115='[2]Beam '!V$44,$P1115*'[2]Beam '!V$45,0)</f>
        <v>0</v>
      </c>
      <c r="W1115" s="8">
        <f>IF($D1115='[2]Beam '!W$44,$P1115*'[2]Beam '!W$45,0)</f>
        <v>0</v>
      </c>
      <c r="X1115" s="8">
        <f t="shared" si="212"/>
        <v>32.344242857142859</v>
      </c>
      <c r="Y1115" s="14"/>
      <c r="Z1115" s="8"/>
      <c r="AA1115" s="8"/>
      <c r="AB1115" s="8"/>
      <c r="AC1115" s="8"/>
      <c r="AD1115" s="8"/>
      <c r="AE1115" s="8"/>
    </row>
    <row r="1116" spans="1:32" s="10" customFormat="1" ht="21" customHeight="1" x14ac:dyDescent="0.25">
      <c r="A1116" s="14"/>
      <c r="B1116" s="8" t="s">
        <v>2</v>
      </c>
      <c r="C1116" s="13" t="s">
        <v>15</v>
      </c>
      <c r="D1116" s="14">
        <f>D1114</f>
        <v>10</v>
      </c>
      <c r="E1116" s="14">
        <f>+E1114</f>
        <v>0.1</v>
      </c>
      <c r="F1116" s="8">
        <f>ROUND(IF(E1108/3&gt;(2*G1108),(E1108/3)/E1116,(2*G1108)/E1116),0)*2+1</f>
        <v>49</v>
      </c>
      <c r="H1116" s="14"/>
      <c r="I1116" s="14"/>
      <c r="J1116" s="14"/>
      <c r="K1116" s="14"/>
      <c r="L1116" s="14"/>
      <c r="M1116" s="14"/>
      <c r="N1116" s="14"/>
      <c r="O1116" s="8">
        <f>(2*(((F1108-'[2]Beam '!$D$11*2)/(F1109-1))+(G1108-'[2]Beam '!$D$11*2))+(2*10*D1116/1000))*D1108</f>
        <v>2.3760000000000003</v>
      </c>
      <c r="P1116" s="8">
        <f t="shared" si="211"/>
        <v>116.42400000000002</v>
      </c>
      <c r="Q1116" s="8">
        <f>IF($D1116='[2]Beam '!Q$44,$P1116*'[2]Beam '!Q$45,0)</f>
        <v>0</v>
      </c>
      <c r="R1116" s="8">
        <f>IF($D1116='[2]Beam '!R$44,$P1116*'[2]Beam '!R$45,0)</f>
        <v>71.808660000000017</v>
      </c>
      <c r="S1116" s="8">
        <f>IF($D1116='[2]Beam '!S$44,$P1116*'[2]Beam '!S$45,0)</f>
        <v>0</v>
      </c>
      <c r="T1116" s="8">
        <f>IF($D1116='[2]Beam '!T$44,$P1116*'[2]Beam '!T$45,0)</f>
        <v>0</v>
      </c>
      <c r="U1116" s="8">
        <f>IF($D1116='[2]Beam '!U$44,$P1116*'[2]Beam '!U$45,0)</f>
        <v>0</v>
      </c>
      <c r="V1116" s="8">
        <f>IF($D1116='[2]Beam '!V$44,$P1116*'[2]Beam '!V$45,0)</f>
        <v>0</v>
      </c>
      <c r="W1116" s="8">
        <f>IF($D1116='[2]Beam '!W$44,$P1116*'[2]Beam '!W$45,0)</f>
        <v>0</v>
      </c>
      <c r="X1116" s="8">
        <f t="shared" si="212"/>
        <v>71.808660000000017</v>
      </c>
      <c r="Y1116" s="14"/>
      <c r="Z1116" s="8"/>
      <c r="AA1116" s="8"/>
      <c r="AB1116" s="8"/>
      <c r="AC1116" s="8"/>
      <c r="AD1116" s="8"/>
      <c r="AE1116" s="8"/>
      <c r="AF1116" s="8"/>
    </row>
    <row r="1117" spans="1:32" s="10" customFormat="1" ht="20.100000000000001" customHeight="1" x14ac:dyDescent="0.25">
      <c r="A1117" s="14"/>
      <c r="B1117" s="8" t="s">
        <v>2</v>
      </c>
      <c r="C1117" s="13" t="s">
        <v>16</v>
      </c>
      <c r="D1117" s="14">
        <f>D1115</f>
        <v>10</v>
      </c>
      <c r="E1117" s="14">
        <f>+E1115</f>
        <v>0.125</v>
      </c>
      <c r="F1117" s="14">
        <f>ROUND((E1108-(IF(E1108/3&gt;2*G1108,E1108/3*2,G1108*2*2)))/E1117,0)</f>
        <v>19</v>
      </c>
      <c r="H1117" s="14"/>
      <c r="I1117" s="14"/>
      <c r="J1117" s="14"/>
      <c r="K1117" s="14"/>
      <c r="L1117" s="14"/>
      <c r="M1117" s="14"/>
      <c r="N1117" s="14"/>
      <c r="O1117" s="8">
        <f>(2*(((F1108-'[2]Beam '!$D$11*2)/(F1109-1))+(G1108-'[2]Beam '!$D$11*2))+(2*10*D1117/1000))*D1108</f>
        <v>2.3760000000000003</v>
      </c>
      <c r="P1117" s="8">
        <f t="shared" si="211"/>
        <v>45.144000000000005</v>
      </c>
      <c r="Q1117" s="8">
        <f>IF($D1117='[2]Beam '!Q$44,$P1117*'[2]Beam '!Q$45,0)</f>
        <v>0</v>
      </c>
      <c r="R1117" s="8">
        <f>IF($D1117='[2]Beam '!R$44,$P1117*'[2]Beam '!R$45,0)</f>
        <v>27.844174285714288</v>
      </c>
      <c r="S1117" s="8">
        <f>IF($D1117='[2]Beam '!S$44,$P1117*'[2]Beam '!S$45,0)</f>
        <v>0</v>
      </c>
      <c r="T1117" s="8">
        <f>IF($D1117='[2]Beam '!T$44,$P1117*'[2]Beam '!T$45,0)</f>
        <v>0</v>
      </c>
      <c r="U1117" s="8">
        <f>IF($D1117='[2]Beam '!U$44,$P1117*'[2]Beam '!U$45,0)</f>
        <v>0</v>
      </c>
      <c r="V1117" s="8">
        <f>IF($D1117='[2]Beam '!V$44,$P1117*'[2]Beam '!V$45,0)</f>
        <v>0</v>
      </c>
      <c r="W1117" s="8">
        <f>IF($D1117='[2]Beam '!W$44,$P1117*'[2]Beam '!W$45,0)</f>
        <v>0</v>
      </c>
      <c r="X1117" s="8">
        <f t="shared" si="212"/>
        <v>27.844174285714288</v>
      </c>
      <c r="Y1117" s="14"/>
      <c r="Z1117" s="8"/>
      <c r="AA1117" s="8"/>
      <c r="AB1117" s="8"/>
      <c r="AC1117" s="8"/>
      <c r="AD1117" s="8"/>
      <c r="AE1117" s="8"/>
    </row>
    <row r="1118" spans="1:32" s="10" customFormat="1" ht="20.100000000000001" customHeight="1" x14ac:dyDescent="0.25">
      <c r="A1118" s="7"/>
      <c r="B1118" s="8" t="s">
        <v>2</v>
      </c>
      <c r="C1118" s="13" t="s">
        <v>10</v>
      </c>
      <c r="D1118" s="8">
        <f>+'[2]Beam '!$D$15</f>
        <v>25</v>
      </c>
      <c r="E1118" s="8">
        <f>+'[2]Beam '!$E$15</f>
        <v>1</v>
      </c>
      <c r="F1118" s="8">
        <f>ROUNDUP((E1108)/E1118,0)</f>
        <v>8</v>
      </c>
      <c r="G1118" s="9"/>
      <c r="H1118" s="9"/>
      <c r="I1118" s="8"/>
      <c r="J1118" s="8"/>
      <c r="K1118" s="8"/>
      <c r="L1118" s="8"/>
      <c r="M1118" s="8"/>
      <c r="N1118" s="8"/>
      <c r="O1118" s="8">
        <f>F1108-'[2]Beam '!$F$15</f>
        <v>0.24</v>
      </c>
      <c r="P1118" s="8">
        <f t="shared" si="211"/>
        <v>1.92</v>
      </c>
      <c r="Q1118" s="8">
        <f>IF($D1118='[2]Beam '!Q$44,$P1118*'[2]Beam '!Q$45,0)</f>
        <v>0</v>
      </c>
      <c r="R1118" s="8">
        <f>IF($D1118='[2]Beam '!R$44,$P1118*'[2]Beam '!R$45,0)</f>
        <v>0</v>
      </c>
      <c r="S1118" s="8">
        <f>IF($D1118='[2]Beam '!S$44,$P1118*'[2]Beam '!S$45,0)</f>
        <v>0</v>
      </c>
      <c r="T1118" s="8">
        <f>IF($D1118='[2]Beam '!T$44,$P1118*'[2]Beam '!T$45,0)</f>
        <v>0</v>
      </c>
      <c r="U1118" s="8">
        <f>IF($D1118='[2]Beam '!U$44,$P1118*'[2]Beam '!U$45,0)</f>
        <v>0</v>
      </c>
      <c r="V1118" s="8">
        <f>IF($D1118='[2]Beam '!V$44,$P1118*'[2]Beam '!V$45,0)</f>
        <v>7.4014285714285721</v>
      </c>
      <c r="W1118" s="8">
        <f>IF($D1118='[2]Beam '!W$44,$P1118*'[2]Beam '!W$45,0)</f>
        <v>0</v>
      </c>
      <c r="X1118" s="8">
        <f t="shared" si="212"/>
        <v>7.4014285714285721</v>
      </c>
      <c r="Y1118" s="8"/>
      <c r="Z1118" s="8"/>
      <c r="AA1118" s="8"/>
      <c r="AB1118" s="8"/>
      <c r="AC1118" s="8"/>
      <c r="AD1118" s="8"/>
      <c r="AE1118" s="8"/>
    </row>
    <row r="1119" spans="1:32" s="10" customFormat="1" ht="20.100000000000001" customHeight="1" x14ac:dyDescent="0.25">
      <c r="A1119" s="8">
        <v>1</v>
      </c>
      <c r="B1119" s="8" t="s">
        <v>2</v>
      </c>
      <c r="C1119" s="11" t="s">
        <v>148</v>
      </c>
      <c r="D1119" s="11">
        <v>1</v>
      </c>
      <c r="E1119" s="11">
        <v>1.4</v>
      </c>
      <c r="F1119" s="11">
        <v>0.5</v>
      </c>
      <c r="G1119" s="11">
        <v>0.5</v>
      </c>
      <c r="H1119" s="8">
        <f>G1119-0.2</f>
        <v>0.3</v>
      </c>
      <c r="I1119" s="8">
        <f>E1119*F1119*G1119*D1119</f>
        <v>0.35</v>
      </c>
      <c r="J1119" s="8">
        <f>(2*(E1119)*H1119*D1119)+(E1119*F1119)</f>
        <v>1.54</v>
      </c>
      <c r="K1119" s="12">
        <f>IF(E1119=0.3,J1119,0)</f>
        <v>0</v>
      </c>
      <c r="L1119" s="12">
        <f>IF(AND(E1119&gt;0.3,E1119&lt;=0.75),J1119,0)</f>
        <v>0</v>
      </c>
      <c r="M1119" s="12">
        <f>IF(AND(E1119&gt;0.75,E1119&lt;=1.2),J1119,0)</f>
        <v>0</v>
      </c>
      <c r="N1119" s="12">
        <f>IF(E1119&gt;1.2,J1119,0)</f>
        <v>1.54</v>
      </c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>
        <f>SUM(X1120:X1123)/I1119</f>
        <v>382.72293714285723</v>
      </c>
      <c r="Z1119" s="8"/>
      <c r="AA1119" s="8"/>
      <c r="AB1119" s="8"/>
      <c r="AC1119" s="8"/>
      <c r="AD1119" s="8"/>
      <c r="AE1119" s="8"/>
    </row>
    <row r="1120" spans="1:32" s="14" customFormat="1" ht="20.100000000000001" customHeight="1" x14ac:dyDescent="0.3">
      <c r="A1120" s="7"/>
      <c r="B1120" s="8" t="s">
        <v>2</v>
      </c>
      <c r="C1120" s="13" t="s">
        <v>4</v>
      </c>
      <c r="D1120" s="8">
        <v>25</v>
      </c>
      <c r="E1120" s="8"/>
      <c r="F1120" s="8">
        <v>5</v>
      </c>
      <c r="G1120" s="9">
        <f>VLOOKUP(D1120,'[2]Beam '!$C$20:$H$26,3,0)</f>
        <v>1</v>
      </c>
      <c r="H1120" s="9"/>
      <c r="I1120" s="8"/>
      <c r="J1120" s="8"/>
      <c r="K1120" s="8"/>
      <c r="L1120" s="8"/>
      <c r="M1120" s="8"/>
      <c r="N1120" s="8"/>
      <c r="O1120" s="8">
        <f>(E1119+2*(G1120+(12*D1120/1000))*D1119)</f>
        <v>4</v>
      </c>
      <c r="P1120" s="8">
        <f>O1120*F1120</f>
        <v>20</v>
      </c>
      <c r="Q1120" s="8">
        <f>IF($D1120='[2]Beam '!Q$44,$P1120*'[2]Beam '!Q$45,0)</f>
        <v>0</v>
      </c>
      <c r="R1120" s="8">
        <f>IF($D1120='[2]Beam '!R$44,$P1120*'[2]Beam '!R$45,0)</f>
        <v>0</v>
      </c>
      <c r="S1120" s="8">
        <f>IF($D1120='[2]Beam '!S$44,$P1120*'[2]Beam '!S$45,0)</f>
        <v>0</v>
      </c>
      <c r="T1120" s="8">
        <f>IF($D1120='[2]Beam '!T$44,$P1120*'[2]Beam '!T$45,0)</f>
        <v>0</v>
      </c>
      <c r="U1120" s="8">
        <f>IF($D1120='[2]Beam '!U$44,$P1120*'[2]Beam '!U$45,0)</f>
        <v>0</v>
      </c>
      <c r="V1120" s="8">
        <f>IF($D1120='[2]Beam '!V$44,$P1120*'[2]Beam '!V$45,0)</f>
        <v>77.098214285714292</v>
      </c>
      <c r="W1120" s="8">
        <f>IF($D1120='[2]Beam '!W$44,$P1120*'[2]Beam '!W$45,0)</f>
        <v>0</v>
      </c>
      <c r="X1120" s="8">
        <f>SUM(Q1120:W1120)</f>
        <v>77.098214285714292</v>
      </c>
      <c r="Y1120" s="8"/>
    </row>
    <row r="1121" spans="1:32" s="10" customFormat="1" ht="21" customHeight="1" x14ac:dyDescent="0.25">
      <c r="A1121" s="7"/>
      <c r="B1121" s="8" t="s">
        <v>2</v>
      </c>
      <c r="C1121" s="13" t="s">
        <v>139</v>
      </c>
      <c r="D1121" s="8">
        <v>20</v>
      </c>
      <c r="E1121" s="8"/>
      <c r="F1121" s="8">
        <v>5</v>
      </c>
      <c r="G1121" s="9">
        <f>VLOOKUP(D1121,'[2]Beam '!$C$20:$H$26,3,0)</f>
        <v>0.8</v>
      </c>
      <c r="H1121" s="9"/>
      <c r="I1121" s="8"/>
      <c r="J1121" s="8"/>
      <c r="K1121" s="8"/>
      <c r="L1121" s="8"/>
      <c r="M1121" s="8"/>
      <c r="N1121" s="8"/>
      <c r="O1121" s="8">
        <f>(E1119+2*(G1121+(12*D1121/1000))*D1119)</f>
        <v>3.48</v>
      </c>
      <c r="P1121" s="8">
        <f>O1121*F1121</f>
        <v>17.399999999999999</v>
      </c>
      <c r="Q1121" s="8">
        <f>IF($D1121='[2]Beam '!Q$44,$P1121*'[2]Beam '!Q$45,0)</f>
        <v>0</v>
      </c>
      <c r="R1121" s="8">
        <f>IF($D1121='[2]Beam '!R$44,$P1121*'[2]Beam '!R$45,0)</f>
        <v>0</v>
      </c>
      <c r="S1121" s="8">
        <f>IF($D1121='[2]Beam '!S$44,$P1121*'[2]Beam '!S$45,0)</f>
        <v>0</v>
      </c>
      <c r="T1121" s="8">
        <f>IF($D1121='[2]Beam '!T$44,$P1121*'[2]Beam '!T$45,0)</f>
        <v>0</v>
      </c>
      <c r="U1121" s="8">
        <f>IF($D1121='[2]Beam '!U$44,$P1121*'[2]Beam '!U$45,0)</f>
        <v>42.928285714285707</v>
      </c>
      <c r="V1121" s="8">
        <f>IF($D1121='[2]Beam '!V$44,$P1121*'[2]Beam '!V$45,0)</f>
        <v>0</v>
      </c>
      <c r="W1121" s="8">
        <f>IF($D1121='[2]Beam '!W$44,$P1121*'[2]Beam '!W$45,0)</f>
        <v>0</v>
      </c>
      <c r="X1121" s="8">
        <f>SUM(Q1121:W1121)</f>
        <v>42.928285714285707</v>
      </c>
      <c r="Y1121" s="8"/>
      <c r="Z1121" s="8"/>
      <c r="AA1121" s="8"/>
      <c r="AB1121" s="8"/>
      <c r="AC1121" s="8"/>
      <c r="AD1121" s="8"/>
      <c r="AE1121" s="8"/>
      <c r="AF1121" s="8"/>
    </row>
    <row r="1122" spans="1:32" s="10" customFormat="1" ht="20.100000000000001" customHeight="1" x14ac:dyDescent="0.25">
      <c r="A1122" s="7"/>
      <c r="B1122" s="8" t="s">
        <v>2</v>
      </c>
      <c r="C1122" s="13" t="s">
        <v>8</v>
      </c>
      <c r="D1122" s="8">
        <v>8</v>
      </c>
      <c r="E1122" s="8">
        <v>0.1</v>
      </c>
      <c r="F1122" s="8">
        <f>ROUNDUP(E1119/E1122,0)</f>
        <v>14</v>
      </c>
      <c r="H1122" s="8"/>
      <c r="I1122" s="8"/>
      <c r="J1122" s="8"/>
      <c r="K1122" s="8"/>
      <c r="L1122" s="8"/>
      <c r="M1122" s="8"/>
      <c r="N1122" s="8"/>
      <c r="O1122" s="8">
        <f>(2*((G1119-(2*'[2]Beam '!$D$11))+(F1119-(2*'[2]Beam '!$D$11)))+(2*10*D1122/1000))*D1119</f>
        <v>1.92</v>
      </c>
      <c r="P1122" s="8">
        <f>O1122*F1122</f>
        <v>26.88</v>
      </c>
      <c r="Q1122" s="8">
        <f>IF($D1122='[2]Beam '!Q$44,$P1122*'[2]Beam '!Q$45,0)</f>
        <v>10.610688</v>
      </c>
      <c r="R1122" s="8">
        <f>IF($D1122='[2]Beam '!R$44,$P1122*'[2]Beam '!R$45,0)</f>
        <v>0</v>
      </c>
      <c r="S1122" s="8">
        <f>IF($D1122='[2]Beam '!S$44,$P1122*'[2]Beam '!S$45,0)</f>
        <v>0</v>
      </c>
      <c r="T1122" s="8">
        <f>IF($D1122='[2]Beam '!T$44,$P1122*'[2]Beam '!T$45,0)</f>
        <v>0</v>
      </c>
      <c r="U1122" s="8">
        <f>IF($D1122='[2]Beam '!U$44,$P1122*'[2]Beam '!U$45,0)</f>
        <v>0</v>
      </c>
      <c r="V1122" s="8">
        <f>IF($D1122='[2]Beam '!V$44,$P1122*'[2]Beam '!V$45,0)</f>
        <v>0</v>
      </c>
      <c r="W1122" s="8">
        <f>IF($D1122='[2]Beam '!W$44,$P1122*'[2]Beam '!W$45,0)</f>
        <v>0</v>
      </c>
      <c r="X1122" s="8">
        <f>SUM(Q1122:W1122)</f>
        <v>10.610688</v>
      </c>
      <c r="Y1122" s="8"/>
      <c r="Z1122" s="8"/>
      <c r="AA1122" s="8"/>
      <c r="AB1122" s="8"/>
      <c r="AC1122" s="8"/>
      <c r="AD1122" s="8"/>
      <c r="AE1122" s="8"/>
    </row>
    <row r="1123" spans="1:32" s="10" customFormat="1" ht="20.100000000000001" customHeight="1" x14ac:dyDescent="0.25">
      <c r="A1123" s="14"/>
      <c r="B1123" s="8" t="s">
        <v>2</v>
      </c>
      <c r="C1123" s="13" t="s">
        <v>9</v>
      </c>
      <c r="D1123" s="8">
        <f>+D1122</f>
        <v>8</v>
      </c>
      <c r="E1123" s="14">
        <f>+E1122</f>
        <v>0.1</v>
      </c>
      <c r="F1123" s="8">
        <f>ROUNDUP(E1119/E1123,0)</f>
        <v>14</v>
      </c>
      <c r="H1123" s="14"/>
      <c r="I1123" s="14"/>
      <c r="J1123" s="14"/>
      <c r="K1123" s="14"/>
      <c r="L1123" s="14"/>
      <c r="M1123" s="14"/>
      <c r="N1123" s="14"/>
      <c r="O1123" s="8">
        <f>((((G1119-(2*'[2]Beam '!$D$11))+(2*10*D1123/1000))*D1119))*1</f>
        <v>0.6</v>
      </c>
      <c r="P1123" s="8">
        <f>O1123*F1123</f>
        <v>8.4</v>
      </c>
      <c r="Q1123" s="8">
        <f>IF($D1123='[2]Beam '!Q$44,$P1123*'[2]Beam '!Q$45,0)</f>
        <v>3.3158400000000006</v>
      </c>
      <c r="R1123" s="8">
        <f>IF($D1123='[2]Beam '!R$44,$P1123*'[2]Beam '!R$45,0)</f>
        <v>0</v>
      </c>
      <c r="S1123" s="8">
        <f>IF($D1123='[2]Beam '!S$44,$P1123*'[2]Beam '!S$45,0)</f>
        <v>0</v>
      </c>
      <c r="T1123" s="8">
        <f>IF($D1123='[2]Beam '!T$44,$P1123*'[2]Beam '!T$45,0)</f>
        <v>0</v>
      </c>
      <c r="U1123" s="8">
        <f>IF($D1123='[2]Beam '!U$44,$P1123*'[2]Beam '!U$45,0)</f>
        <v>0</v>
      </c>
      <c r="V1123" s="8">
        <f>IF($D1123='[2]Beam '!V$44,$P1123*'[2]Beam '!V$45,0)</f>
        <v>0</v>
      </c>
      <c r="W1123" s="8">
        <f>IF($D1123='[2]Beam '!W$44,$P1123*'[2]Beam '!W$45,0)</f>
        <v>0</v>
      </c>
      <c r="X1123" s="8">
        <f>SUM(Q1123:W1123)</f>
        <v>3.3158400000000006</v>
      </c>
      <c r="Y1123" s="14"/>
      <c r="Z1123" s="8"/>
      <c r="AA1123" s="8"/>
      <c r="AB1123" s="8"/>
      <c r="AC1123" s="8"/>
      <c r="AD1123" s="8"/>
      <c r="AE1123" s="8"/>
    </row>
    <row r="1124" spans="1:32" s="10" customFormat="1" ht="20.100000000000001" customHeight="1" x14ac:dyDescent="0.25">
      <c r="A1124" s="8">
        <v>1</v>
      </c>
      <c r="B1124" s="8" t="s">
        <v>2</v>
      </c>
      <c r="C1124" s="11" t="s">
        <v>149</v>
      </c>
      <c r="D1124" s="11">
        <v>1</v>
      </c>
      <c r="E1124" s="11">
        <v>2.4</v>
      </c>
      <c r="F1124" s="11">
        <v>0.4</v>
      </c>
      <c r="G1124" s="11">
        <v>0.6</v>
      </c>
      <c r="H1124" s="8">
        <f>G1124-0.2</f>
        <v>0.39999999999999997</v>
      </c>
      <c r="I1124" s="8">
        <f>E1124*F1124*G1124*D1124</f>
        <v>0.57599999999999996</v>
      </c>
      <c r="J1124" s="8">
        <f>(2*(E1124)*H1124*D1124)+(E1124*F1124)</f>
        <v>2.88</v>
      </c>
      <c r="K1124" s="12">
        <f>IF(E1124=0.3,J1124,0)</f>
        <v>0</v>
      </c>
      <c r="L1124" s="12">
        <f>IF(AND(E1124&gt;0.3,E1124&lt;=0.75),J1124,0)</f>
        <v>0</v>
      </c>
      <c r="M1124" s="12">
        <f>IF(AND(E1124&gt;0.75,E1124&lt;=1.2),J1124,0)</f>
        <v>0</v>
      </c>
      <c r="N1124" s="12">
        <f>IF(E1124&gt;1.2,J1124,0)</f>
        <v>2.88</v>
      </c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>
        <f>SUM(X1125:X1127)/I1124</f>
        <v>120.04568888888892</v>
      </c>
      <c r="Z1124" s="8"/>
      <c r="AA1124" s="8"/>
      <c r="AB1124" s="8"/>
      <c r="AC1124" s="8"/>
      <c r="AD1124" s="8"/>
      <c r="AE1124" s="8"/>
    </row>
    <row r="1125" spans="1:32" s="10" customFormat="1" ht="20.100000000000001" customHeight="1" x14ac:dyDescent="0.25">
      <c r="A1125" s="7"/>
      <c r="B1125" s="8" t="s">
        <v>2</v>
      </c>
      <c r="C1125" s="13" t="s">
        <v>4</v>
      </c>
      <c r="D1125" s="8">
        <v>16</v>
      </c>
      <c r="E1125" s="8"/>
      <c r="F1125" s="8">
        <v>4</v>
      </c>
      <c r="G1125" s="9">
        <f>VLOOKUP(D1125,'[2]Beam '!$C$20:$H$26,3,0)</f>
        <v>0.625</v>
      </c>
      <c r="H1125" s="9"/>
      <c r="I1125" s="8"/>
      <c r="J1125" s="8"/>
      <c r="K1125" s="8"/>
      <c r="L1125" s="8"/>
      <c r="M1125" s="8"/>
      <c r="N1125" s="8"/>
      <c r="O1125" s="8">
        <f>(E1124+2*(G1125+(12*D1125/1000))*D1124)</f>
        <v>4.0339999999999998</v>
      </c>
      <c r="P1125" s="8">
        <f>O1125*F1125</f>
        <v>16.135999999999999</v>
      </c>
      <c r="Q1125" s="8">
        <f>IF($D1125='[2]Beam '!Q$44,$P1125*'[2]Beam '!Q$45,0)</f>
        <v>0</v>
      </c>
      <c r="R1125" s="8">
        <f>IF($D1125='[2]Beam '!R$44,$P1125*'[2]Beam '!R$45,0)</f>
        <v>0</v>
      </c>
      <c r="S1125" s="8">
        <f>IF($D1125='[2]Beam '!S$44,$P1125*'[2]Beam '!S$45,0)</f>
        <v>0</v>
      </c>
      <c r="T1125" s="8">
        <f>IF($D1125='[2]Beam '!T$44,$P1125*'[2]Beam '!T$45,0)</f>
        <v>25.478282971428573</v>
      </c>
      <c r="U1125" s="8">
        <f>IF($D1125='[2]Beam '!U$44,$P1125*'[2]Beam '!U$45,0)</f>
        <v>0</v>
      </c>
      <c r="V1125" s="8">
        <f>IF($D1125='[2]Beam '!V$44,$P1125*'[2]Beam '!V$45,0)</f>
        <v>0</v>
      </c>
      <c r="W1125" s="8">
        <f>IF($D1125='[2]Beam '!W$44,$P1125*'[2]Beam '!W$45,0)</f>
        <v>0</v>
      </c>
      <c r="X1125" s="8">
        <f>SUM(Q1125:W1125)</f>
        <v>25.478282971428573</v>
      </c>
      <c r="Y1125" s="8"/>
      <c r="Z1125" s="8"/>
      <c r="AA1125" s="8"/>
      <c r="AB1125" s="8"/>
      <c r="AC1125" s="8"/>
      <c r="AD1125" s="8"/>
      <c r="AE1125" s="8"/>
    </row>
    <row r="1126" spans="1:32" s="10" customFormat="1" ht="21" customHeight="1" x14ac:dyDescent="0.25">
      <c r="A1126" s="7"/>
      <c r="B1126" s="8" t="s">
        <v>2</v>
      </c>
      <c r="C1126" s="13" t="s">
        <v>139</v>
      </c>
      <c r="D1126" s="8">
        <v>16</v>
      </c>
      <c r="E1126" s="8"/>
      <c r="F1126" s="8">
        <v>4</v>
      </c>
      <c r="G1126" s="9">
        <f>VLOOKUP(D1126,'[2]Beam '!$C$20:$H$26,3,0)</f>
        <v>0.625</v>
      </c>
      <c r="H1126" s="9"/>
      <c r="I1126" s="8"/>
      <c r="J1126" s="8"/>
      <c r="K1126" s="8"/>
      <c r="L1126" s="8"/>
      <c r="M1126" s="8"/>
      <c r="N1126" s="8"/>
      <c r="O1126" s="8">
        <f>(E1124+2*(G1126+(12*D1126/1000))*D1124)</f>
        <v>4.0339999999999998</v>
      </c>
      <c r="P1126" s="8">
        <f>O1126*F1126</f>
        <v>16.135999999999999</v>
      </c>
      <c r="Q1126" s="8">
        <f>IF($D1126='[2]Beam '!Q$44,$P1126*'[2]Beam '!Q$45,0)</f>
        <v>0</v>
      </c>
      <c r="R1126" s="8">
        <f>IF($D1126='[2]Beam '!R$44,$P1126*'[2]Beam '!R$45,0)</f>
        <v>0</v>
      </c>
      <c r="S1126" s="8">
        <f>IF($D1126='[2]Beam '!S$44,$P1126*'[2]Beam '!S$45,0)</f>
        <v>0</v>
      </c>
      <c r="T1126" s="8">
        <f>IF($D1126='[2]Beam '!T$44,$P1126*'[2]Beam '!T$45,0)</f>
        <v>25.478282971428573</v>
      </c>
      <c r="U1126" s="8">
        <f>IF($D1126='[2]Beam '!U$44,$P1126*'[2]Beam '!U$45,0)</f>
        <v>0</v>
      </c>
      <c r="V1126" s="8">
        <f>IF($D1126='[2]Beam '!V$44,$P1126*'[2]Beam '!V$45,0)</f>
        <v>0</v>
      </c>
      <c r="W1126" s="8">
        <f>IF($D1126='[2]Beam '!W$44,$P1126*'[2]Beam '!W$45,0)</f>
        <v>0</v>
      </c>
      <c r="X1126" s="8">
        <f>SUM(Q1126:W1126)</f>
        <v>25.478282971428573</v>
      </c>
      <c r="Y1126" s="8"/>
      <c r="Z1126" s="8"/>
      <c r="AA1126" s="8"/>
      <c r="AB1126" s="8"/>
      <c r="AC1126" s="8"/>
      <c r="AD1126" s="8"/>
      <c r="AE1126" s="8"/>
      <c r="AF1126" s="8"/>
    </row>
    <row r="1127" spans="1:32" s="10" customFormat="1" ht="20.100000000000001" customHeight="1" x14ac:dyDescent="0.25">
      <c r="A1127" s="7"/>
      <c r="B1127" s="8" t="s">
        <v>2</v>
      </c>
      <c r="C1127" s="13" t="s">
        <v>8</v>
      </c>
      <c r="D1127" s="8">
        <v>8</v>
      </c>
      <c r="E1127" s="8">
        <v>0.1</v>
      </c>
      <c r="F1127" s="8">
        <f>ROUNDUP(E1124/E1127,0)</f>
        <v>24</v>
      </c>
      <c r="H1127" s="8"/>
      <c r="I1127" s="8"/>
      <c r="J1127" s="8"/>
      <c r="K1127" s="8"/>
      <c r="L1127" s="8"/>
      <c r="M1127" s="8"/>
      <c r="N1127" s="8"/>
      <c r="O1127" s="8">
        <f>(2*((G1124-(2*'[2]Beam '!$D$11))+(F1124-(2*'[2]Beam '!$D$11)))+(2*10*D1127/1000))*D1124</f>
        <v>1.9200000000000002</v>
      </c>
      <c r="P1127" s="8">
        <f>O1127*F1127</f>
        <v>46.080000000000005</v>
      </c>
      <c r="Q1127" s="8">
        <f>IF($D1127='[2]Beam '!Q$44,$P1127*'[2]Beam '!Q$45,0)</f>
        <v>18.189750857142862</v>
      </c>
      <c r="R1127" s="8">
        <f>IF($D1127='[2]Beam '!R$44,$P1127*'[2]Beam '!R$45,0)</f>
        <v>0</v>
      </c>
      <c r="S1127" s="8">
        <f>IF($D1127='[2]Beam '!S$44,$P1127*'[2]Beam '!S$45,0)</f>
        <v>0</v>
      </c>
      <c r="T1127" s="8">
        <f>IF($D1127='[2]Beam '!T$44,$P1127*'[2]Beam '!T$45,0)</f>
        <v>0</v>
      </c>
      <c r="U1127" s="8">
        <f>IF($D1127='[2]Beam '!U$44,$P1127*'[2]Beam '!U$45,0)</f>
        <v>0</v>
      </c>
      <c r="V1127" s="8">
        <f>IF($D1127='[2]Beam '!V$44,$P1127*'[2]Beam '!V$45,0)</f>
        <v>0</v>
      </c>
      <c r="W1127" s="8">
        <f>IF($D1127='[2]Beam '!W$44,$P1127*'[2]Beam '!W$45,0)</f>
        <v>0</v>
      </c>
      <c r="X1127" s="8">
        <f>SUM(Q1127:W1127)</f>
        <v>18.189750857142862</v>
      </c>
      <c r="Y1127" s="8"/>
      <c r="Z1127" s="8"/>
      <c r="AA1127" s="8"/>
      <c r="AB1127" s="8"/>
      <c r="AC1127" s="8"/>
      <c r="AD1127" s="8"/>
      <c r="AE1127" s="8"/>
    </row>
    <row r="1128" spans="1:32" s="10" customFormat="1" ht="20.100000000000001" customHeight="1" x14ac:dyDescent="0.25">
      <c r="A1128" s="7"/>
      <c r="B1128" s="8" t="s">
        <v>2</v>
      </c>
      <c r="C1128" s="13" t="s">
        <v>10</v>
      </c>
      <c r="D1128" s="8">
        <f>+'[2]Beam '!$D$15</f>
        <v>25</v>
      </c>
      <c r="E1128" s="8">
        <f>+'[2]Beam '!$E$15</f>
        <v>1</v>
      </c>
      <c r="F1128" s="8">
        <f>ROUNDUP((E1124)/E1128,0)</f>
        <v>3</v>
      </c>
      <c r="G1128" s="9"/>
      <c r="H1128" s="9"/>
      <c r="I1128" s="8"/>
      <c r="J1128" s="8"/>
      <c r="K1128" s="8"/>
      <c r="L1128" s="8"/>
      <c r="M1128" s="8"/>
      <c r="N1128" s="8"/>
      <c r="O1128" s="8">
        <f>F1124-'[2]Beam '!$F$15</f>
        <v>0.34</v>
      </c>
      <c r="P1128" s="8">
        <f>O1128*F1128</f>
        <v>1.02</v>
      </c>
      <c r="Q1128" s="8">
        <f>IF($D1128='[2]Beam '!Q$44,$P1128*'[2]Beam '!Q$45,0)</f>
        <v>0</v>
      </c>
      <c r="R1128" s="8">
        <f>IF($D1128='[2]Beam '!R$44,$P1128*'[2]Beam '!R$45,0)</f>
        <v>0</v>
      </c>
      <c r="S1128" s="8">
        <f>IF($D1128='[2]Beam '!S$44,$P1128*'[2]Beam '!S$45,0)</f>
        <v>0</v>
      </c>
      <c r="T1128" s="8">
        <f>IF($D1128='[2]Beam '!T$44,$P1128*'[2]Beam '!T$45,0)</f>
        <v>0</v>
      </c>
      <c r="U1128" s="8">
        <f>IF($D1128='[2]Beam '!U$44,$P1128*'[2]Beam '!U$45,0)</f>
        <v>0</v>
      </c>
      <c r="V1128" s="8">
        <f>IF($D1128='[2]Beam '!V$44,$P1128*'[2]Beam '!V$45,0)</f>
        <v>3.9320089285714293</v>
      </c>
      <c r="W1128" s="8">
        <f>IF($D1128='[2]Beam '!W$44,$P1128*'[2]Beam '!W$45,0)</f>
        <v>0</v>
      </c>
      <c r="X1128" s="8">
        <f>SUM(Q1128:W1128)</f>
        <v>3.9320089285714293</v>
      </c>
      <c r="Y1128" s="8"/>
      <c r="Z1128" s="8"/>
      <c r="AA1128" s="8"/>
      <c r="AB1128" s="8"/>
      <c r="AC1128" s="8"/>
      <c r="AD1128" s="8"/>
      <c r="AE1128" s="8"/>
    </row>
    <row r="1129" spans="1:32" s="10" customFormat="1" ht="20.100000000000001" customHeight="1" x14ac:dyDescent="0.25">
      <c r="A1129" s="8">
        <v>1</v>
      </c>
      <c r="B1129" s="8" t="s">
        <v>2</v>
      </c>
      <c r="C1129" s="11" t="s">
        <v>150</v>
      </c>
      <c r="D1129" s="11">
        <v>1</v>
      </c>
      <c r="E1129" s="11">
        <v>1</v>
      </c>
      <c r="F1129" s="11">
        <v>0.3</v>
      </c>
      <c r="G1129" s="11">
        <v>1.1000000000000001</v>
      </c>
      <c r="H1129" s="8">
        <f>G1129-0.2</f>
        <v>0.90000000000000013</v>
      </c>
      <c r="I1129" s="8">
        <f>E1129*F1129*G1129*D1129</f>
        <v>0.33</v>
      </c>
      <c r="J1129" s="8">
        <f>(2*(E1129)*H1129*D1129)+(E1129*F1129)</f>
        <v>2.1</v>
      </c>
      <c r="K1129" s="12">
        <f>IF(E1129=0.3,J1129,0)</f>
        <v>0</v>
      </c>
      <c r="L1129" s="12">
        <f>IF(AND(E1129&gt;0.3,E1129&lt;=0.75),J1129,0)</f>
        <v>0</v>
      </c>
      <c r="M1129" s="12">
        <f>IF(AND(E1129&gt;0.75,E1129&lt;=1.2),J1129,0)</f>
        <v>2.1</v>
      </c>
      <c r="N1129" s="12">
        <f>IF(E1129&gt;1.2,J1129,0)</f>
        <v>0</v>
      </c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>
        <f>SUM(X1130:X1132)/I1129</f>
        <v>191.98857142857142</v>
      </c>
      <c r="Z1129" s="8"/>
      <c r="AA1129" s="8"/>
      <c r="AB1129" s="8"/>
      <c r="AC1129" s="8"/>
      <c r="AD1129" s="8"/>
      <c r="AE1129" s="8"/>
    </row>
    <row r="1130" spans="1:32" s="10" customFormat="1" ht="20.100000000000001" customHeight="1" x14ac:dyDescent="0.25">
      <c r="A1130" s="7"/>
      <c r="B1130" s="8" t="s">
        <v>2</v>
      </c>
      <c r="C1130" s="13" t="s">
        <v>4</v>
      </c>
      <c r="D1130" s="8">
        <v>20</v>
      </c>
      <c r="E1130" s="8"/>
      <c r="F1130" s="8">
        <v>3</v>
      </c>
      <c r="G1130" s="9">
        <f>VLOOKUP(D1130,'[2]Beam '!$C$20:$H$26,3,0)</f>
        <v>0.8</v>
      </c>
      <c r="H1130" s="9"/>
      <c r="I1130" s="8"/>
      <c r="J1130" s="8"/>
      <c r="K1130" s="8"/>
      <c r="L1130" s="8"/>
      <c r="M1130" s="8"/>
      <c r="N1130" s="8"/>
      <c r="O1130" s="8">
        <f>(E1129+2*(G1130)*D1129)</f>
        <v>2.6</v>
      </c>
      <c r="P1130" s="8">
        <f>O1130*F1130</f>
        <v>7.8000000000000007</v>
      </c>
      <c r="Q1130" s="8">
        <f>IF($D1130='[2]Beam '!Q$44,$P1130*'[2]Beam '!Q$45,0)</f>
        <v>0</v>
      </c>
      <c r="R1130" s="8">
        <f>IF($D1130='[2]Beam '!R$44,$P1130*'[2]Beam '!R$45,0)</f>
        <v>0</v>
      </c>
      <c r="S1130" s="8">
        <f>IF($D1130='[2]Beam '!S$44,$P1130*'[2]Beam '!S$45,0)</f>
        <v>0</v>
      </c>
      <c r="T1130" s="8">
        <f>IF($D1130='[2]Beam '!T$44,$P1130*'[2]Beam '!T$45,0)</f>
        <v>0</v>
      </c>
      <c r="U1130" s="8">
        <f>IF($D1130='[2]Beam '!U$44,$P1130*'[2]Beam '!U$45,0)</f>
        <v>19.243714285714287</v>
      </c>
      <c r="V1130" s="8">
        <f>IF($D1130='[2]Beam '!V$44,$P1130*'[2]Beam '!V$45,0)</f>
        <v>0</v>
      </c>
      <c r="W1130" s="8">
        <f>IF($D1130='[2]Beam '!W$44,$P1130*'[2]Beam '!W$45,0)</f>
        <v>0</v>
      </c>
      <c r="X1130" s="8">
        <f>SUM(Q1130:W1130)</f>
        <v>19.243714285714287</v>
      </c>
      <c r="Y1130" s="8"/>
      <c r="Z1130" s="8"/>
      <c r="AA1130" s="8"/>
      <c r="AB1130" s="8"/>
      <c r="AC1130" s="8"/>
      <c r="AD1130" s="8"/>
      <c r="AE1130" s="8"/>
    </row>
    <row r="1131" spans="1:32" s="10" customFormat="1" ht="21" customHeight="1" x14ac:dyDescent="0.25">
      <c r="A1131" s="7"/>
      <c r="B1131" s="8" t="s">
        <v>2</v>
      </c>
      <c r="C1131" s="13" t="s">
        <v>139</v>
      </c>
      <c r="D1131" s="8">
        <v>20</v>
      </c>
      <c r="E1131" s="8"/>
      <c r="F1131" s="8">
        <v>3</v>
      </c>
      <c r="G1131" s="9">
        <f>VLOOKUP(D1131,'[2]Beam '!$C$20:$H$26,3,0)</f>
        <v>0.8</v>
      </c>
      <c r="H1131" s="9"/>
      <c r="I1131" s="8"/>
      <c r="J1131" s="8"/>
      <c r="K1131" s="8"/>
      <c r="L1131" s="8"/>
      <c r="M1131" s="8"/>
      <c r="N1131" s="8"/>
      <c r="O1131" s="8">
        <f>(E1129+2*(G1131)*D1129)</f>
        <v>2.6</v>
      </c>
      <c r="P1131" s="8">
        <f>O1131*F1131</f>
        <v>7.8000000000000007</v>
      </c>
      <c r="Q1131" s="8">
        <f>IF($D1131='[2]Beam '!Q$44,$P1131*'[2]Beam '!Q$45,0)</f>
        <v>0</v>
      </c>
      <c r="R1131" s="8">
        <f>IF($D1131='[2]Beam '!R$44,$P1131*'[2]Beam '!R$45,0)</f>
        <v>0</v>
      </c>
      <c r="S1131" s="8">
        <f>IF($D1131='[2]Beam '!S$44,$P1131*'[2]Beam '!S$45,0)</f>
        <v>0</v>
      </c>
      <c r="T1131" s="8">
        <f>IF($D1131='[2]Beam '!T$44,$P1131*'[2]Beam '!T$45,0)</f>
        <v>0</v>
      </c>
      <c r="U1131" s="8">
        <f>IF($D1131='[2]Beam '!U$44,$P1131*'[2]Beam '!U$45,0)</f>
        <v>19.243714285714287</v>
      </c>
      <c r="V1131" s="8">
        <f>IF($D1131='[2]Beam '!V$44,$P1131*'[2]Beam '!V$45,0)</f>
        <v>0</v>
      </c>
      <c r="W1131" s="8">
        <f>IF($D1131='[2]Beam '!W$44,$P1131*'[2]Beam '!W$45,0)</f>
        <v>0</v>
      </c>
      <c r="X1131" s="8">
        <f>SUM(Q1131:W1131)</f>
        <v>19.243714285714287</v>
      </c>
      <c r="Y1131" s="8"/>
      <c r="Z1131" s="8"/>
      <c r="AA1131" s="8"/>
      <c r="AB1131" s="8"/>
      <c r="AC1131" s="8"/>
      <c r="AD1131" s="8"/>
      <c r="AE1131" s="8"/>
      <c r="AF1131" s="8"/>
    </row>
    <row r="1132" spans="1:32" s="10" customFormat="1" ht="20.100000000000001" customHeight="1" x14ac:dyDescent="0.25">
      <c r="A1132" s="7"/>
      <c r="B1132" s="8" t="s">
        <v>2</v>
      </c>
      <c r="C1132" s="13" t="s">
        <v>8</v>
      </c>
      <c r="D1132" s="8">
        <v>12</v>
      </c>
      <c r="E1132" s="8">
        <v>0.1</v>
      </c>
      <c r="F1132" s="8">
        <f>ROUNDUP(E1129/E1132,0)</f>
        <v>10</v>
      </c>
      <c r="H1132" s="8"/>
      <c r="I1132" s="8"/>
      <c r="J1132" s="8"/>
      <c r="K1132" s="8"/>
      <c r="L1132" s="8"/>
      <c r="M1132" s="8"/>
      <c r="N1132" s="8"/>
      <c r="O1132" s="8">
        <f>(2*((G1129-(2*'[2]Beam '!$D$11))+(F1129-(2*'[2]Beam '!$D$11)))+(2*10*D1132/1000))*D1129</f>
        <v>2.8</v>
      </c>
      <c r="P1132" s="8">
        <f>O1132*F1132</f>
        <v>28</v>
      </c>
      <c r="Q1132" s="8">
        <f>IF($D1132='[2]Beam '!Q$44,$P1132*'[2]Beam '!Q$45,0)</f>
        <v>0</v>
      </c>
      <c r="R1132" s="8">
        <f>IF($D1132='[2]Beam '!R$44,$P1132*'[2]Beam '!R$45,0)</f>
        <v>0</v>
      </c>
      <c r="S1132" s="8">
        <f>IF($D1132='[2]Beam '!S$44,$P1132*'[2]Beam '!S$45,0)</f>
        <v>24.868800000000004</v>
      </c>
      <c r="T1132" s="8">
        <f>IF($D1132='[2]Beam '!T$44,$P1132*'[2]Beam '!T$45,0)</f>
        <v>0</v>
      </c>
      <c r="U1132" s="8">
        <f>IF($D1132='[2]Beam '!U$44,$P1132*'[2]Beam '!U$45,0)</f>
        <v>0</v>
      </c>
      <c r="V1132" s="8">
        <f>IF($D1132='[2]Beam '!V$44,$P1132*'[2]Beam '!V$45,0)</f>
        <v>0</v>
      </c>
      <c r="W1132" s="8">
        <f>IF($D1132='[2]Beam '!W$44,$P1132*'[2]Beam '!W$45,0)</f>
        <v>0</v>
      </c>
      <c r="X1132" s="8">
        <f>SUM(Q1132:W1132)</f>
        <v>24.868800000000004</v>
      </c>
      <c r="Y1132" s="8"/>
      <c r="Z1132" s="8"/>
      <c r="AA1132" s="8"/>
      <c r="AB1132" s="8"/>
      <c r="AC1132" s="8"/>
      <c r="AD1132" s="8"/>
      <c r="AE1132" s="8"/>
    </row>
    <row r="1133" spans="1:32" s="10" customFormat="1" ht="20.100000000000001" customHeight="1" x14ac:dyDescent="0.25">
      <c r="A1133" s="7"/>
      <c r="B1133" s="8" t="s">
        <v>2</v>
      </c>
      <c r="C1133" s="13" t="s">
        <v>10</v>
      </c>
      <c r="D1133" s="8">
        <f>+'[2]Beam '!$D$15</f>
        <v>25</v>
      </c>
      <c r="E1133" s="8">
        <f>+'[2]Beam '!$E$15</f>
        <v>1</v>
      </c>
      <c r="F1133" s="8">
        <f>ROUNDUP((E1129)/E1133,0)</f>
        <v>1</v>
      </c>
      <c r="G1133" s="9"/>
      <c r="H1133" s="9"/>
      <c r="I1133" s="8"/>
      <c r="J1133" s="8"/>
      <c r="K1133" s="8"/>
      <c r="L1133" s="8"/>
      <c r="M1133" s="8"/>
      <c r="N1133" s="8"/>
      <c r="O1133" s="8">
        <f>F1129-'[2]Beam '!$F$15</f>
        <v>0.24</v>
      </c>
      <c r="P1133" s="8">
        <f>O1133*F1133</f>
        <v>0.24</v>
      </c>
      <c r="Q1133" s="8">
        <f>IF($D1133='[2]Beam '!Q$44,$P1133*'[2]Beam '!Q$45,0)</f>
        <v>0</v>
      </c>
      <c r="R1133" s="8">
        <f>IF($D1133='[2]Beam '!R$44,$P1133*'[2]Beam '!R$45,0)</f>
        <v>0</v>
      </c>
      <c r="S1133" s="8">
        <f>IF($D1133='[2]Beam '!S$44,$P1133*'[2]Beam '!S$45,0)</f>
        <v>0</v>
      </c>
      <c r="T1133" s="8">
        <f>IF($D1133='[2]Beam '!T$44,$P1133*'[2]Beam '!T$45,0)</f>
        <v>0</v>
      </c>
      <c r="U1133" s="8">
        <f>IF($D1133='[2]Beam '!U$44,$P1133*'[2]Beam '!U$45,0)</f>
        <v>0</v>
      </c>
      <c r="V1133" s="8">
        <f>IF($D1133='[2]Beam '!V$44,$P1133*'[2]Beam '!V$45,0)</f>
        <v>0.92517857142857152</v>
      </c>
      <c r="W1133" s="8">
        <f>IF($D1133='[2]Beam '!W$44,$P1133*'[2]Beam '!W$45,0)</f>
        <v>0</v>
      </c>
      <c r="X1133" s="8">
        <f>SUM(Q1133:W1133)</f>
        <v>0.92517857142857152</v>
      </c>
      <c r="Y1133" s="8"/>
      <c r="Z1133" s="8"/>
      <c r="AA1133" s="8"/>
      <c r="AB1133" s="8"/>
      <c r="AC1133" s="8"/>
      <c r="AD1133" s="8"/>
      <c r="AE1133" s="8"/>
    </row>
    <row r="1134" spans="1:32" s="10" customFormat="1" ht="20.100000000000001" customHeight="1" x14ac:dyDescent="0.25">
      <c r="A1134" s="8">
        <v>1</v>
      </c>
      <c r="B1134" s="8" t="s">
        <v>2</v>
      </c>
      <c r="C1134" s="11" t="s">
        <v>151</v>
      </c>
      <c r="D1134" s="11">
        <v>1</v>
      </c>
      <c r="E1134" s="11">
        <v>8</v>
      </c>
      <c r="F1134" s="11">
        <v>0.45</v>
      </c>
      <c r="G1134" s="11">
        <v>0.5</v>
      </c>
      <c r="H1134" s="8">
        <f>G1134-0.2</f>
        <v>0.3</v>
      </c>
      <c r="I1134" s="8">
        <f>E1134*F1134*G1134*D1134</f>
        <v>1.8</v>
      </c>
      <c r="J1134" s="8">
        <f>(2*(E1134)*H1134*D1134)+(E1134*F1134)</f>
        <v>8.4</v>
      </c>
      <c r="K1134" s="12">
        <f>IF(E1134=0.3,J1134,0)</f>
        <v>0</v>
      </c>
      <c r="L1134" s="12">
        <f>IF(AND(E1134&gt;0.3,E1134&lt;=0.75),J1134,0)</f>
        <v>0</v>
      </c>
      <c r="M1134" s="12">
        <f>IF(AND(E1134&gt;0.75,E1134&lt;=1.2),J1134,0)</f>
        <v>0</v>
      </c>
      <c r="N1134" s="12">
        <f>IF(E1134&gt;1.2,J1134,0)</f>
        <v>8.4</v>
      </c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>
        <f>SUM(X1135:X1143)/I1134</f>
        <v>414.23701384126986</v>
      </c>
      <c r="Z1134" s="8"/>
      <c r="AA1134" s="8"/>
      <c r="AB1134" s="8"/>
      <c r="AC1134" s="8"/>
      <c r="AD1134" s="8"/>
      <c r="AE1134" s="8"/>
    </row>
    <row r="1135" spans="1:32" s="10" customFormat="1" ht="20.100000000000001" customHeight="1" x14ac:dyDescent="0.25">
      <c r="A1135" s="7"/>
      <c r="B1135" s="8" t="s">
        <v>2</v>
      </c>
      <c r="C1135" s="13" t="s">
        <v>4</v>
      </c>
      <c r="D1135" s="8">
        <v>25</v>
      </c>
      <c r="E1135" s="8"/>
      <c r="F1135" s="8">
        <v>4</v>
      </c>
      <c r="G1135" s="9">
        <f>VLOOKUP(D1135,'[2]Beam '!$C$20:$H$26,3,0)</f>
        <v>1</v>
      </c>
      <c r="H1135" s="9"/>
      <c r="I1135" s="8"/>
      <c r="J1135" s="8"/>
      <c r="K1135" s="8"/>
      <c r="L1135" s="8"/>
      <c r="M1135" s="8"/>
      <c r="N1135" s="8"/>
      <c r="O1135" s="8">
        <f>(E1134+2*(G1135+(12*D1135/1000))*D1134)</f>
        <v>10.6</v>
      </c>
      <c r="P1135" s="8">
        <f t="shared" ref="P1135:P1144" si="213">O1135*F1135</f>
        <v>42.4</v>
      </c>
      <c r="Q1135" s="8">
        <f>IF($D1135='[2]Beam '!Q$44,$P1135*'[2]Beam '!Q$45,0)</f>
        <v>0</v>
      </c>
      <c r="R1135" s="8">
        <f>IF($D1135='[2]Beam '!R$44,$P1135*'[2]Beam '!R$45,0)</f>
        <v>0</v>
      </c>
      <c r="S1135" s="8">
        <f>IF($D1135='[2]Beam '!S$44,$P1135*'[2]Beam '!S$45,0)</f>
        <v>0</v>
      </c>
      <c r="T1135" s="8">
        <f>IF($D1135='[2]Beam '!T$44,$P1135*'[2]Beam '!T$45,0)</f>
        <v>0</v>
      </c>
      <c r="U1135" s="8">
        <f>IF($D1135='[2]Beam '!U$44,$P1135*'[2]Beam '!U$45,0)</f>
        <v>0</v>
      </c>
      <c r="V1135" s="8">
        <f>IF($D1135='[2]Beam '!V$44,$P1135*'[2]Beam '!V$45,0)</f>
        <v>163.4482142857143</v>
      </c>
      <c r="W1135" s="8">
        <f>IF($D1135='[2]Beam '!W$44,$P1135*'[2]Beam '!W$45,0)</f>
        <v>0</v>
      </c>
      <c r="X1135" s="8">
        <f t="shared" ref="X1135:X1144" si="214">SUM(Q1135:W1135)</f>
        <v>163.4482142857143</v>
      </c>
      <c r="Y1135" s="8"/>
      <c r="Z1135" s="8"/>
      <c r="AA1135" s="8"/>
      <c r="AB1135" s="8"/>
      <c r="AC1135" s="8"/>
      <c r="AD1135" s="8"/>
      <c r="AE1135" s="8"/>
    </row>
    <row r="1136" spans="1:32" s="10" customFormat="1" ht="20.100000000000001" customHeight="1" x14ac:dyDescent="0.25">
      <c r="A1136" s="7"/>
      <c r="B1136" s="8" t="s">
        <v>2</v>
      </c>
      <c r="C1136" s="13" t="s">
        <v>4</v>
      </c>
      <c r="D1136" s="8">
        <v>16</v>
      </c>
      <c r="E1136" s="8"/>
      <c r="F1136" s="8">
        <v>2</v>
      </c>
      <c r="G1136" s="9">
        <f>VLOOKUP(D1136,'[2]Beam '!$C$20:$H$26,3,0)</f>
        <v>0.625</v>
      </c>
      <c r="H1136" s="9"/>
      <c r="I1136" s="8"/>
      <c r="J1136" s="8"/>
      <c r="K1136" s="8"/>
      <c r="L1136" s="8"/>
      <c r="M1136" s="8"/>
      <c r="N1136" s="8"/>
      <c r="O1136" s="8">
        <f>(2.1+1*(G1136+(12*D1136/1000))*D1134)</f>
        <v>2.9169999999999998</v>
      </c>
      <c r="P1136" s="8">
        <f t="shared" si="213"/>
        <v>5.8339999999999996</v>
      </c>
      <c r="Q1136" s="8">
        <f>IF($D1136='[2]Beam '!Q$44,$P1136*'[2]Beam '!Q$45,0)</f>
        <v>0</v>
      </c>
      <c r="R1136" s="8">
        <f>IF($D1136='[2]Beam '!R$44,$P1136*'[2]Beam '!R$45,0)</f>
        <v>0</v>
      </c>
      <c r="S1136" s="8">
        <f>IF($D1136='[2]Beam '!S$44,$P1136*'[2]Beam '!S$45,0)</f>
        <v>0</v>
      </c>
      <c r="T1136" s="8">
        <f>IF($D1136='[2]Beam '!T$44,$P1136*'[2]Beam '!T$45,0)</f>
        <v>9.2117193142857143</v>
      </c>
      <c r="U1136" s="8">
        <f>IF($D1136='[2]Beam '!U$44,$P1136*'[2]Beam '!U$45,0)</f>
        <v>0</v>
      </c>
      <c r="V1136" s="8">
        <f>IF($D1136='[2]Beam '!V$44,$P1136*'[2]Beam '!V$45,0)</f>
        <v>0</v>
      </c>
      <c r="W1136" s="8">
        <f>IF($D1136='[2]Beam '!W$44,$P1136*'[2]Beam '!W$45,0)</f>
        <v>0</v>
      </c>
      <c r="X1136" s="8">
        <f t="shared" si="214"/>
        <v>9.2117193142857143</v>
      </c>
      <c r="Y1136" s="8"/>
      <c r="Z1136" s="8"/>
      <c r="AA1136" s="8"/>
      <c r="AB1136" s="8"/>
      <c r="AC1136" s="8"/>
      <c r="AD1136" s="8"/>
      <c r="AE1136" s="8"/>
    </row>
    <row r="1137" spans="1:32" s="10" customFormat="1" ht="20.100000000000001" customHeight="1" x14ac:dyDescent="0.25">
      <c r="A1137" s="7"/>
      <c r="B1137" s="8" t="s">
        <v>2</v>
      </c>
      <c r="C1137" s="13" t="s">
        <v>4</v>
      </c>
      <c r="D1137" s="8">
        <v>32</v>
      </c>
      <c r="E1137" s="8"/>
      <c r="F1137" s="8">
        <v>4</v>
      </c>
      <c r="G1137" s="9">
        <f>VLOOKUP(D1137,'[2]Beam '!$C$20:$H$26,3,0)</f>
        <v>1.25</v>
      </c>
      <c r="H1137" s="9"/>
      <c r="I1137" s="8"/>
      <c r="J1137" s="8"/>
      <c r="K1137" s="8"/>
      <c r="L1137" s="8"/>
      <c r="M1137" s="8"/>
      <c r="N1137" s="8"/>
      <c r="O1137" s="8">
        <f>(2.15+1*(G1137+(12*D1137/1000))*D1134)</f>
        <v>3.7839999999999998</v>
      </c>
      <c r="P1137" s="8">
        <f t="shared" si="213"/>
        <v>15.135999999999999</v>
      </c>
      <c r="Q1137" s="8">
        <f>IF($D1137='[2]Beam '!Q$44,$P1137*'[2]Beam '!Q$45,0)</f>
        <v>0</v>
      </c>
      <c r="R1137" s="8">
        <f>IF($D1137='[2]Beam '!R$44,$P1137*'[2]Beam '!R$45,0)</f>
        <v>0</v>
      </c>
      <c r="S1137" s="8">
        <f>IF($D1137='[2]Beam '!S$44,$P1137*'[2]Beam '!S$45,0)</f>
        <v>0</v>
      </c>
      <c r="T1137" s="8">
        <f>IF($D1137='[2]Beam '!T$44,$P1137*'[2]Beam '!T$45,0)</f>
        <v>0</v>
      </c>
      <c r="U1137" s="8">
        <f>IF($D1137='[2]Beam '!U$44,$P1137*'[2]Beam '!U$45,0)</f>
        <v>0</v>
      </c>
      <c r="V1137" s="8">
        <f>IF($D1137='[2]Beam '!V$44,$P1137*'[2]Beam '!V$45,0)</f>
        <v>0</v>
      </c>
      <c r="W1137" s="8">
        <f>IF($D1137='[2]Beam '!W$44,$P1137*'[2]Beam '!W$45,0)</f>
        <v>95.59724617142858</v>
      </c>
      <c r="X1137" s="8">
        <f t="shared" si="214"/>
        <v>95.59724617142858</v>
      </c>
      <c r="Y1137" s="8"/>
      <c r="Z1137" s="8"/>
      <c r="AA1137" s="8"/>
      <c r="AB1137" s="8"/>
      <c r="AC1137" s="8"/>
      <c r="AD1137" s="8"/>
      <c r="AE1137" s="8"/>
    </row>
    <row r="1138" spans="1:32" s="14" customFormat="1" ht="20.100000000000001" customHeight="1" x14ac:dyDescent="0.3">
      <c r="A1138" s="7"/>
      <c r="B1138" s="8" t="s">
        <v>2</v>
      </c>
      <c r="C1138" s="13" t="s">
        <v>139</v>
      </c>
      <c r="D1138" s="8">
        <v>25</v>
      </c>
      <c r="E1138" s="8"/>
      <c r="F1138" s="8">
        <v>4</v>
      </c>
      <c r="G1138" s="9">
        <f>VLOOKUP(D1138,'[2]Beam '!$C$20:$H$26,3,0)</f>
        <v>1</v>
      </c>
      <c r="H1138" s="9"/>
      <c r="I1138" s="8"/>
      <c r="J1138" s="8"/>
      <c r="K1138" s="8"/>
      <c r="L1138" s="8"/>
      <c r="M1138" s="8"/>
      <c r="N1138" s="8"/>
      <c r="O1138" s="8">
        <f>(E1134+2*(G1138+(12*D1138/1000))*D1134)</f>
        <v>10.6</v>
      </c>
      <c r="P1138" s="8">
        <f t="shared" si="213"/>
        <v>42.4</v>
      </c>
      <c r="Q1138" s="8">
        <f>IF($D1138='[2]Beam '!Q$44,$P1138*'[2]Beam '!Q$45,0)</f>
        <v>0</v>
      </c>
      <c r="R1138" s="8">
        <f>IF($D1138='[2]Beam '!R$44,$P1138*'[2]Beam '!R$45,0)</f>
        <v>0</v>
      </c>
      <c r="S1138" s="8">
        <f>IF($D1138='[2]Beam '!S$44,$P1138*'[2]Beam '!S$45,0)</f>
        <v>0</v>
      </c>
      <c r="T1138" s="8">
        <f>IF($D1138='[2]Beam '!T$44,$P1138*'[2]Beam '!T$45,0)</f>
        <v>0</v>
      </c>
      <c r="U1138" s="8">
        <f>IF($D1138='[2]Beam '!U$44,$P1138*'[2]Beam '!U$45,0)</f>
        <v>0</v>
      </c>
      <c r="V1138" s="8">
        <f>IF($D1138='[2]Beam '!V$44,$P1138*'[2]Beam '!V$45,0)</f>
        <v>163.4482142857143</v>
      </c>
      <c r="W1138" s="8">
        <f>IF($D1138='[2]Beam '!W$44,$P1138*'[2]Beam '!W$45,0)</f>
        <v>0</v>
      </c>
      <c r="X1138" s="8">
        <f t="shared" si="214"/>
        <v>163.4482142857143</v>
      </c>
      <c r="Y1138" s="8"/>
    </row>
    <row r="1139" spans="1:32" s="14" customFormat="1" ht="20.100000000000001" customHeight="1" x14ac:dyDescent="0.3">
      <c r="A1139" s="7"/>
      <c r="B1139" s="8" t="s">
        <v>2</v>
      </c>
      <c r="C1139" s="13" t="s">
        <v>88</v>
      </c>
      <c r="D1139" s="8">
        <v>25</v>
      </c>
      <c r="E1139" s="8"/>
      <c r="F1139" s="8">
        <v>4</v>
      </c>
      <c r="G1139" s="9">
        <f>VLOOKUP(D1139,'[2]Beam '!$C$20:$H$26,3,0)</f>
        <v>1</v>
      </c>
      <c r="H1139" s="9"/>
      <c r="I1139" s="8"/>
      <c r="J1139" s="8"/>
      <c r="K1139" s="8"/>
      <c r="L1139" s="8"/>
      <c r="M1139" s="8"/>
      <c r="N1139" s="8"/>
      <c r="O1139" s="8">
        <f>+E1134-1-1</f>
        <v>6</v>
      </c>
      <c r="P1139" s="8">
        <f t="shared" si="213"/>
        <v>24</v>
      </c>
      <c r="Q1139" s="8">
        <f>IF($D1139='[2]Beam '!Q$44,$P1139*'[2]Beam '!Q$45,0)</f>
        <v>0</v>
      </c>
      <c r="R1139" s="8">
        <f>IF($D1139='[2]Beam '!R$44,$P1139*'[2]Beam '!R$45,0)</f>
        <v>0</v>
      </c>
      <c r="S1139" s="8">
        <f>IF($D1139='[2]Beam '!S$44,$P1139*'[2]Beam '!S$45,0)</f>
        <v>0</v>
      </c>
      <c r="T1139" s="8">
        <f>IF($D1139='[2]Beam '!T$44,$P1139*'[2]Beam '!T$45,0)</f>
        <v>0</v>
      </c>
      <c r="U1139" s="8">
        <f>IF($D1139='[2]Beam '!U$44,$P1139*'[2]Beam '!U$45,0)</f>
        <v>0</v>
      </c>
      <c r="V1139" s="8">
        <f>IF($D1139='[2]Beam '!V$44,$P1139*'[2]Beam '!V$45,0)</f>
        <v>92.517857142857153</v>
      </c>
      <c r="W1139" s="8">
        <f>IF($D1139='[2]Beam '!W$44,$P1139*'[2]Beam '!W$45,0)</f>
        <v>0</v>
      </c>
      <c r="X1139" s="8">
        <f t="shared" si="214"/>
        <v>92.517857142857153</v>
      </c>
      <c r="Y1139" s="8"/>
    </row>
    <row r="1140" spans="1:32" s="14" customFormat="1" ht="20.100000000000001" customHeight="1" x14ac:dyDescent="0.25">
      <c r="A1140" s="7"/>
      <c r="B1140" s="8" t="s">
        <v>2</v>
      </c>
      <c r="C1140" s="13" t="s">
        <v>13</v>
      </c>
      <c r="D1140" s="8">
        <v>12</v>
      </c>
      <c r="E1140" s="8">
        <v>0.1</v>
      </c>
      <c r="F1140" s="8">
        <f>ROUND(IF(E1134/3&gt;(2*G1134),(E1134/3)/E1140,(2*G1134)/E1140),0)*2+1</f>
        <v>55</v>
      </c>
      <c r="G1140" s="10"/>
      <c r="H1140" s="8"/>
      <c r="I1140" s="8"/>
      <c r="J1140" s="8"/>
      <c r="K1140" s="8"/>
      <c r="L1140" s="8"/>
      <c r="M1140" s="8"/>
      <c r="N1140" s="8"/>
      <c r="O1140" s="8">
        <f>(2*((G1134-(2*'[2]Beam '!$D$11))+(F1134-(2*'[2]Beam '!$D$11)))+(2*10*D1140/1000))*D1134</f>
        <v>1.9000000000000001</v>
      </c>
      <c r="P1140" s="8">
        <f t="shared" si="213"/>
        <v>104.50000000000001</v>
      </c>
      <c r="Q1140" s="8">
        <f>IF($D1140='[2]Beam '!Q$44,$P1140*'[2]Beam '!Q$45,0)</f>
        <v>0</v>
      </c>
      <c r="R1140" s="8">
        <f>IF($D1140='[2]Beam '!R$44,$P1140*'[2]Beam '!R$45,0)</f>
        <v>0</v>
      </c>
      <c r="S1140" s="8">
        <f>IF($D1140='[2]Beam '!S$44,$P1140*'[2]Beam '!S$45,0)</f>
        <v>92.813914285714318</v>
      </c>
      <c r="T1140" s="8">
        <f>IF($D1140='[2]Beam '!T$44,$P1140*'[2]Beam '!T$45,0)</f>
        <v>0</v>
      </c>
      <c r="U1140" s="8">
        <f>IF($D1140='[2]Beam '!U$44,$P1140*'[2]Beam '!U$45,0)</f>
        <v>0</v>
      </c>
      <c r="V1140" s="8">
        <f>IF($D1140='[2]Beam '!V$44,$P1140*'[2]Beam '!V$45,0)</f>
        <v>0</v>
      </c>
      <c r="W1140" s="8">
        <f>IF($D1140='[2]Beam '!W$44,$P1140*'[2]Beam '!W$45,0)</f>
        <v>0</v>
      </c>
      <c r="X1140" s="8">
        <f t="shared" si="214"/>
        <v>92.813914285714318</v>
      </c>
      <c r="Y1140" s="8"/>
    </row>
    <row r="1141" spans="1:32" s="10" customFormat="1" ht="20.100000000000001" customHeight="1" x14ac:dyDescent="0.25">
      <c r="A1141" s="14"/>
      <c r="B1141" s="8" t="s">
        <v>2</v>
      </c>
      <c r="C1141" s="13" t="s">
        <v>14</v>
      </c>
      <c r="D1141" s="14">
        <f>D1140</f>
        <v>12</v>
      </c>
      <c r="E1141" s="14">
        <v>0.125</v>
      </c>
      <c r="F1141" s="14">
        <f>ROUND((E1134-(IF(E1134/3&gt;2*G1134,E1134/3*2,G1134*2*2)))/E1141,0)</f>
        <v>21</v>
      </c>
      <c r="H1141" s="14"/>
      <c r="I1141" s="14"/>
      <c r="J1141" s="14"/>
      <c r="K1141" s="14"/>
      <c r="L1141" s="14"/>
      <c r="M1141" s="14"/>
      <c r="N1141" s="14"/>
      <c r="O1141" s="8">
        <f>(2*((G1134-(2*'[2]Beam '!$D$11))+(F1134-(2*'[2]Beam '!$D$11)))+(2*10*D1141/1000))*D1134</f>
        <v>1.9000000000000001</v>
      </c>
      <c r="P1141" s="8">
        <f t="shared" si="213"/>
        <v>39.900000000000006</v>
      </c>
      <c r="Q1141" s="8">
        <f>IF($D1141='[2]Beam '!Q$44,$P1141*'[2]Beam '!Q$45,0)</f>
        <v>0</v>
      </c>
      <c r="R1141" s="8">
        <f>IF($D1141='[2]Beam '!R$44,$P1141*'[2]Beam '!R$45,0)</f>
        <v>0</v>
      </c>
      <c r="S1141" s="8">
        <f>IF($D1141='[2]Beam '!S$44,$P1141*'[2]Beam '!S$45,0)</f>
        <v>35.438040000000008</v>
      </c>
      <c r="T1141" s="8">
        <f>IF($D1141='[2]Beam '!T$44,$P1141*'[2]Beam '!T$45,0)</f>
        <v>0</v>
      </c>
      <c r="U1141" s="8">
        <f>IF($D1141='[2]Beam '!U$44,$P1141*'[2]Beam '!U$45,0)</f>
        <v>0</v>
      </c>
      <c r="V1141" s="8">
        <f>IF($D1141='[2]Beam '!V$44,$P1141*'[2]Beam '!V$45,0)</f>
        <v>0</v>
      </c>
      <c r="W1141" s="8">
        <f>IF($D1141='[2]Beam '!W$44,$P1141*'[2]Beam '!W$45,0)</f>
        <v>0</v>
      </c>
      <c r="X1141" s="8">
        <f t="shared" si="214"/>
        <v>35.438040000000008</v>
      </c>
      <c r="Y1141" s="14"/>
      <c r="Z1141" s="8"/>
      <c r="AA1141" s="8"/>
      <c r="AB1141" s="8"/>
      <c r="AC1141" s="8"/>
      <c r="AD1141" s="8"/>
      <c r="AE1141" s="8"/>
    </row>
    <row r="1142" spans="1:32" s="10" customFormat="1" ht="21" customHeight="1" x14ac:dyDescent="0.25">
      <c r="A1142" s="14"/>
      <c r="B1142" s="8" t="s">
        <v>2</v>
      </c>
      <c r="C1142" s="13" t="s">
        <v>15</v>
      </c>
      <c r="D1142" s="14">
        <f>D1140</f>
        <v>12</v>
      </c>
      <c r="E1142" s="14">
        <f>+E1140</f>
        <v>0.1</v>
      </c>
      <c r="F1142" s="8">
        <f>ROUND(IF(E1134/3&gt;(2*G1134),(E1134/3)/E1142,(2*G1134)/E1142),0)*2+1</f>
        <v>55</v>
      </c>
      <c r="H1142" s="14"/>
      <c r="I1142" s="14"/>
      <c r="J1142" s="14"/>
      <c r="K1142" s="14"/>
      <c r="L1142" s="14"/>
      <c r="M1142" s="14"/>
      <c r="N1142" s="14"/>
      <c r="O1142" s="8">
        <f>(2*(((F1134-'[2]Beam '!$D$11*2)/(F1135-1))+(G1134-'[2]Beam '!$D$11*2))+(2*10*D1142/1000))*D1134</f>
        <v>1.3800000000000001</v>
      </c>
      <c r="P1142" s="8">
        <f t="shared" si="213"/>
        <v>75.900000000000006</v>
      </c>
      <c r="Q1142" s="8">
        <f>IF($D1142='[2]Beam '!Q$44,$P1142*'[2]Beam '!Q$45,0)</f>
        <v>0</v>
      </c>
      <c r="R1142" s="8">
        <f>IF($D1142='[2]Beam '!R$44,$P1142*'[2]Beam '!R$45,0)</f>
        <v>0</v>
      </c>
      <c r="S1142" s="8">
        <f>IF($D1142='[2]Beam '!S$44,$P1142*'[2]Beam '!S$45,0)</f>
        <v>67.412211428571439</v>
      </c>
      <c r="T1142" s="8">
        <f>IF($D1142='[2]Beam '!T$44,$P1142*'[2]Beam '!T$45,0)</f>
        <v>0</v>
      </c>
      <c r="U1142" s="8">
        <f>IF($D1142='[2]Beam '!U$44,$P1142*'[2]Beam '!U$45,0)</f>
        <v>0</v>
      </c>
      <c r="V1142" s="8">
        <f>IF($D1142='[2]Beam '!V$44,$P1142*'[2]Beam '!V$45,0)</f>
        <v>0</v>
      </c>
      <c r="W1142" s="8">
        <f>IF($D1142='[2]Beam '!W$44,$P1142*'[2]Beam '!W$45,0)</f>
        <v>0</v>
      </c>
      <c r="X1142" s="8">
        <f t="shared" si="214"/>
        <v>67.412211428571439</v>
      </c>
      <c r="Y1142" s="14"/>
      <c r="Z1142" s="8"/>
      <c r="AA1142" s="8"/>
      <c r="AB1142" s="8"/>
      <c r="AC1142" s="8"/>
      <c r="AD1142" s="8"/>
      <c r="AE1142" s="8"/>
      <c r="AF1142" s="8"/>
    </row>
    <row r="1143" spans="1:32" s="10" customFormat="1" ht="20.100000000000001" customHeight="1" x14ac:dyDescent="0.25">
      <c r="A1143" s="14"/>
      <c r="B1143" s="8" t="s">
        <v>2</v>
      </c>
      <c r="C1143" s="13" t="s">
        <v>16</v>
      </c>
      <c r="D1143" s="14">
        <f>D1141</f>
        <v>12</v>
      </c>
      <c r="E1143" s="14">
        <f>+E1141</f>
        <v>0.125</v>
      </c>
      <c r="F1143" s="14">
        <f>ROUND((E1134-(IF(E1134/3&gt;2*G1134,E1134/3*2,G1134*2*2)))/E1143,0)</f>
        <v>21</v>
      </c>
      <c r="H1143" s="14"/>
      <c r="I1143" s="14"/>
      <c r="J1143" s="14"/>
      <c r="K1143" s="14"/>
      <c r="L1143" s="14"/>
      <c r="M1143" s="14"/>
      <c r="N1143" s="14"/>
      <c r="O1143" s="8">
        <f>(2*(((F1134-'[2]Beam '!$D$11*2)/(F1135-1))+(G1134-'[2]Beam '!$D$11*2))+(2*10*D1143/1000))*D1134</f>
        <v>1.3800000000000001</v>
      </c>
      <c r="P1143" s="8">
        <f t="shared" si="213"/>
        <v>28.980000000000004</v>
      </c>
      <c r="Q1143" s="8">
        <f>IF($D1143='[2]Beam '!Q$44,$P1143*'[2]Beam '!Q$45,0)</f>
        <v>0</v>
      </c>
      <c r="R1143" s="8">
        <f>IF($D1143='[2]Beam '!R$44,$P1143*'[2]Beam '!R$45,0)</f>
        <v>0</v>
      </c>
      <c r="S1143" s="8">
        <f>IF($D1143='[2]Beam '!S$44,$P1143*'[2]Beam '!S$45,0)</f>
        <v>25.739208000000009</v>
      </c>
      <c r="T1143" s="8">
        <f>IF($D1143='[2]Beam '!T$44,$P1143*'[2]Beam '!T$45,0)</f>
        <v>0</v>
      </c>
      <c r="U1143" s="8">
        <f>IF($D1143='[2]Beam '!U$44,$P1143*'[2]Beam '!U$45,0)</f>
        <v>0</v>
      </c>
      <c r="V1143" s="8">
        <f>IF($D1143='[2]Beam '!V$44,$P1143*'[2]Beam '!V$45,0)</f>
        <v>0</v>
      </c>
      <c r="W1143" s="8">
        <f>IF($D1143='[2]Beam '!W$44,$P1143*'[2]Beam '!W$45,0)</f>
        <v>0</v>
      </c>
      <c r="X1143" s="8">
        <f t="shared" si="214"/>
        <v>25.739208000000009</v>
      </c>
      <c r="Y1143" s="14"/>
      <c r="Z1143" s="8"/>
      <c r="AA1143" s="8"/>
      <c r="AB1143" s="8"/>
      <c r="AC1143" s="8"/>
      <c r="AD1143" s="8"/>
      <c r="AE1143" s="8"/>
    </row>
    <row r="1144" spans="1:32" s="10" customFormat="1" ht="20.100000000000001" customHeight="1" x14ac:dyDescent="0.25">
      <c r="A1144" s="7"/>
      <c r="B1144" s="8" t="s">
        <v>2</v>
      </c>
      <c r="C1144" s="13" t="s">
        <v>10</v>
      </c>
      <c r="D1144" s="8">
        <f>+'[2]Beam '!$D$15</f>
        <v>25</v>
      </c>
      <c r="E1144" s="8">
        <f>+'[2]Beam '!$E$15</f>
        <v>1</v>
      </c>
      <c r="F1144" s="8">
        <f>ROUNDUP((4.25+O1139)/E1144,0)</f>
        <v>11</v>
      </c>
      <c r="G1144" s="9"/>
      <c r="H1144" s="9"/>
      <c r="I1144" s="8"/>
      <c r="J1144" s="8"/>
      <c r="K1144" s="8"/>
      <c r="L1144" s="8"/>
      <c r="M1144" s="8"/>
      <c r="N1144" s="8"/>
      <c r="O1144" s="8">
        <f>F1134-'[2]Beam '!$F$15</f>
        <v>0.39</v>
      </c>
      <c r="P1144" s="8">
        <f t="shared" si="213"/>
        <v>4.29</v>
      </c>
      <c r="Q1144" s="8">
        <f>IF($D1144='[2]Beam '!Q$44,$P1144*'[2]Beam '!Q$45,0)</f>
        <v>0</v>
      </c>
      <c r="R1144" s="8">
        <f>IF($D1144='[2]Beam '!R$44,$P1144*'[2]Beam '!R$45,0)</f>
        <v>0</v>
      </c>
      <c r="S1144" s="8">
        <f>IF($D1144='[2]Beam '!S$44,$P1144*'[2]Beam '!S$45,0)</f>
        <v>0</v>
      </c>
      <c r="T1144" s="8">
        <f>IF($D1144='[2]Beam '!T$44,$P1144*'[2]Beam '!T$45,0)</f>
        <v>0</v>
      </c>
      <c r="U1144" s="8">
        <f>IF($D1144='[2]Beam '!U$44,$P1144*'[2]Beam '!U$45,0)</f>
        <v>0</v>
      </c>
      <c r="V1144" s="8">
        <f>IF($D1144='[2]Beam '!V$44,$P1144*'[2]Beam '!V$45,0)</f>
        <v>16.537566964285716</v>
      </c>
      <c r="W1144" s="8">
        <f>IF($D1144='[2]Beam '!W$44,$P1144*'[2]Beam '!W$45,0)</f>
        <v>0</v>
      </c>
      <c r="X1144" s="8">
        <f t="shared" si="214"/>
        <v>16.537566964285716</v>
      </c>
      <c r="Y1144" s="8"/>
      <c r="Z1144" s="8"/>
      <c r="AA1144" s="8"/>
      <c r="AB1144" s="8"/>
      <c r="AC1144" s="8"/>
      <c r="AD1144" s="8"/>
      <c r="AE1144" s="8"/>
    </row>
    <row r="1145" spans="1:32" s="10" customFormat="1" ht="20.100000000000001" customHeight="1" x14ac:dyDescent="0.25">
      <c r="A1145" s="8">
        <v>1</v>
      </c>
      <c r="B1145" s="8" t="s">
        <v>2</v>
      </c>
      <c r="C1145" s="11" t="s">
        <v>152</v>
      </c>
      <c r="D1145" s="11">
        <v>1</v>
      </c>
      <c r="E1145" s="11">
        <v>6</v>
      </c>
      <c r="F1145" s="11">
        <v>0.45</v>
      </c>
      <c r="G1145" s="11">
        <v>0.6</v>
      </c>
      <c r="H1145" s="8">
        <f>G1145-0.2</f>
        <v>0.39999999999999997</v>
      </c>
      <c r="I1145" s="8">
        <f>E1145*F1145*G1145*D1145</f>
        <v>1.62</v>
      </c>
      <c r="J1145" s="8">
        <f>(2*(E1145)*H1145*D1145)+(E1145*F1145)</f>
        <v>7.5</v>
      </c>
      <c r="K1145" s="12">
        <f>IF(E1145=0.3,J1145,0)</f>
        <v>0</v>
      </c>
      <c r="L1145" s="12">
        <f>IF(AND(E1145&gt;0.3,E1145&lt;=0.75),J1145,0)</f>
        <v>0</v>
      </c>
      <c r="M1145" s="12">
        <f>IF(AND(E1145&gt;0.75,E1145&lt;=1.2),J1145,0)</f>
        <v>0</v>
      </c>
      <c r="N1145" s="12">
        <f>IF(E1145&gt;1.2,J1145,0)</f>
        <v>7.5</v>
      </c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>
        <f>SUM(X1146:X1149)/I1145</f>
        <v>152.62781305114635</v>
      </c>
      <c r="Z1145" s="8"/>
      <c r="AA1145" s="8"/>
      <c r="AB1145" s="8"/>
      <c r="AC1145" s="8"/>
      <c r="AD1145" s="8"/>
      <c r="AE1145" s="8"/>
    </row>
    <row r="1146" spans="1:32" s="10" customFormat="1" ht="20.100000000000001" customHeight="1" x14ac:dyDescent="0.25">
      <c r="A1146" s="7"/>
      <c r="B1146" s="8" t="s">
        <v>2</v>
      </c>
      <c r="C1146" s="13" t="s">
        <v>4</v>
      </c>
      <c r="D1146" s="8">
        <v>20</v>
      </c>
      <c r="E1146" s="8"/>
      <c r="F1146" s="8">
        <v>4</v>
      </c>
      <c r="G1146" s="9">
        <f>VLOOKUP(D1146,'[2]Beam '!$C$20:$H$26,3,0)</f>
        <v>0.8</v>
      </c>
      <c r="H1146" s="9"/>
      <c r="I1146" s="8"/>
      <c r="J1146" s="8"/>
      <c r="K1146" s="8"/>
      <c r="L1146" s="8"/>
      <c r="M1146" s="8"/>
      <c r="N1146" s="8"/>
      <c r="O1146" s="8">
        <f>(E1145+1*(G1146+(12*D1146/1000))+1*(0.3/2)*D1145)</f>
        <v>7.19</v>
      </c>
      <c r="P1146" s="8">
        <f>O1146*F1146</f>
        <v>28.76</v>
      </c>
      <c r="Q1146" s="8">
        <f>IF($D1146='[2]Beam '!Q$44,$P1146*'[2]Beam '!Q$45,0)</f>
        <v>0</v>
      </c>
      <c r="R1146" s="8">
        <f>IF($D1146='[2]Beam '!R$44,$P1146*'[2]Beam '!R$45,0)</f>
        <v>0</v>
      </c>
      <c r="S1146" s="8">
        <f>IF($D1146='[2]Beam '!S$44,$P1146*'[2]Beam '!S$45,0)</f>
        <v>0</v>
      </c>
      <c r="T1146" s="8">
        <f>IF($D1146='[2]Beam '!T$44,$P1146*'[2]Beam '!T$45,0)</f>
        <v>0</v>
      </c>
      <c r="U1146" s="8">
        <f>IF($D1146='[2]Beam '!U$44,$P1146*'[2]Beam '!U$45,0)</f>
        <v>70.955028571428571</v>
      </c>
      <c r="V1146" s="8">
        <f>IF($D1146='[2]Beam '!V$44,$P1146*'[2]Beam '!V$45,0)</f>
        <v>0</v>
      </c>
      <c r="W1146" s="8">
        <f>IF($D1146='[2]Beam '!W$44,$P1146*'[2]Beam '!W$45,0)</f>
        <v>0</v>
      </c>
      <c r="X1146" s="8">
        <f>SUM(Q1146:W1146)</f>
        <v>70.955028571428571</v>
      </c>
      <c r="Y1146" s="8"/>
      <c r="Z1146" s="8"/>
      <c r="AA1146" s="8"/>
      <c r="AB1146" s="8"/>
      <c r="AC1146" s="8"/>
      <c r="AD1146" s="8"/>
      <c r="AE1146" s="8"/>
    </row>
    <row r="1147" spans="1:32" s="10" customFormat="1" ht="20.100000000000001" customHeight="1" x14ac:dyDescent="0.25">
      <c r="A1147" s="7"/>
      <c r="B1147" s="8" t="s">
        <v>2</v>
      </c>
      <c r="C1147" s="13" t="s">
        <v>139</v>
      </c>
      <c r="D1147" s="8">
        <v>20</v>
      </c>
      <c r="E1147" s="8"/>
      <c r="F1147" s="8">
        <v>4</v>
      </c>
      <c r="G1147" s="9">
        <f>VLOOKUP(D1147,'[2]Beam '!$C$20:$H$26,3,0)</f>
        <v>0.8</v>
      </c>
      <c r="H1147" s="9"/>
      <c r="I1147" s="8"/>
      <c r="J1147" s="8"/>
      <c r="K1147" s="8"/>
      <c r="L1147" s="8"/>
      <c r="M1147" s="8"/>
      <c r="N1147" s="8"/>
      <c r="O1147" s="8">
        <f>(E1145+1*(G1147+(12*D1147/1000))+1*(G1147)*D1145)</f>
        <v>7.84</v>
      </c>
      <c r="P1147" s="8">
        <f>O1147*F1147</f>
        <v>31.36</v>
      </c>
      <c r="Q1147" s="8">
        <f>IF($D1147='[2]Beam '!Q$44,$P1147*'[2]Beam '!Q$45,0)</f>
        <v>0</v>
      </c>
      <c r="R1147" s="8">
        <f>IF($D1147='[2]Beam '!R$44,$P1147*'[2]Beam '!R$45,0)</f>
        <v>0</v>
      </c>
      <c r="S1147" s="8">
        <f>IF($D1147='[2]Beam '!S$44,$P1147*'[2]Beam '!S$45,0)</f>
        <v>0</v>
      </c>
      <c r="T1147" s="8">
        <f>IF($D1147='[2]Beam '!T$44,$P1147*'[2]Beam '!T$45,0)</f>
        <v>0</v>
      </c>
      <c r="U1147" s="8">
        <f>IF($D1147='[2]Beam '!U$44,$P1147*'[2]Beam '!U$45,0)</f>
        <v>77.369599999999991</v>
      </c>
      <c r="V1147" s="8">
        <f>IF($D1147='[2]Beam '!V$44,$P1147*'[2]Beam '!V$45,0)</f>
        <v>0</v>
      </c>
      <c r="W1147" s="8">
        <f>IF($D1147='[2]Beam '!W$44,$P1147*'[2]Beam '!W$45,0)</f>
        <v>0</v>
      </c>
      <c r="X1147" s="8">
        <f>SUM(Q1147:W1147)</f>
        <v>77.369599999999991</v>
      </c>
      <c r="Y1147" s="8"/>
      <c r="Z1147" s="8"/>
      <c r="AA1147" s="8"/>
      <c r="AB1147" s="8"/>
      <c r="AC1147" s="8"/>
      <c r="AD1147" s="8"/>
      <c r="AE1147" s="8"/>
    </row>
    <row r="1148" spans="1:32" s="10" customFormat="1" ht="21" customHeight="1" x14ac:dyDescent="0.25">
      <c r="A1148" s="7"/>
      <c r="B1148" s="8" t="s">
        <v>2</v>
      </c>
      <c r="C1148" s="13" t="s">
        <v>88</v>
      </c>
      <c r="D1148" s="8">
        <v>20</v>
      </c>
      <c r="E1148" s="8"/>
      <c r="F1148" s="8">
        <v>2</v>
      </c>
      <c r="G1148" s="9">
        <f>VLOOKUP(D1148,'[2]Beam '!$C$20:$H$26,3,0)</f>
        <v>0.8</v>
      </c>
      <c r="H1148" s="9"/>
      <c r="I1148" s="8"/>
      <c r="J1148" s="8"/>
      <c r="K1148" s="8"/>
      <c r="L1148" s="8"/>
      <c r="M1148" s="8"/>
      <c r="N1148" s="8"/>
      <c r="O1148" s="8">
        <f>+E1145-0.7-0.7</f>
        <v>4.5999999999999996</v>
      </c>
      <c r="P1148" s="8">
        <f>O1148*F1148</f>
        <v>9.1999999999999993</v>
      </c>
      <c r="Q1148" s="8">
        <f>IF($D1148='[2]Beam '!Q$44,$P1148*'[2]Beam '!Q$45,0)</f>
        <v>0</v>
      </c>
      <c r="R1148" s="8">
        <f>IF($D1148='[2]Beam '!R$44,$P1148*'[2]Beam '!R$45,0)</f>
        <v>0</v>
      </c>
      <c r="S1148" s="8">
        <f>IF($D1148='[2]Beam '!S$44,$P1148*'[2]Beam '!S$45,0)</f>
        <v>0</v>
      </c>
      <c r="T1148" s="8">
        <f>IF($D1148='[2]Beam '!T$44,$P1148*'[2]Beam '!T$45,0)</f>
        <v>0</v>
      </c>
      <c r="U1148" s="8">
        <f>IF($D1148='[2]Beam '!U$44,$P1148*'[2]Beam '!U$45,0)</f>
        <v>22.697714285714284</v>
      </c>
      <c r="V1148" s="8">
        <f>IF($D1148='[2]Beam '!V$44,$P1148*'[2]Beam '!V$45,0)</f>
        <v>0</v>
      </c>
      <c r="W1148" s="8">
        <f>IF($D1148='[2]Beam '!W$44,$P1148*'[2]Beam '!W$45,0)</f>
        <v>0</v>
      </c>
      <c r="X1148" s="8">
        <f>SUM(Q1148:W1148)</f>
        <v>22.697714285714284</v>
      </c>
      <c r="Y1148" s="8"/>
      <c r="Z1148" s="8"/>
      <c r="AA1148" s="8"/>
      <c r="AB1148" s="8"/>
      <c r="AC1148" s="8"/>
      <c r="AD1148" s="8"/>
      <c r="AE1148" s="8"/>
      <c r="AF1148" s="8"/>
    </row>
    <row r="1149" spans="1:32" s="10" customFormat="1" ht="20.100000000000001" customHeight="1" x14ac:dyDescent="0.25">
      <c r="A1149" s="7"/>
      <c r="B1149" s="8" t="s">
        <v>2</v>
      </c>
      <c r="C1149" s="13" t="s">
        <v>8</v>
      </c>
      <c r="D1149" s="8">
        <v>10</v>
      </c>
      <c r="E1149" s="8">
        <v>0.1</v>
      </c>
      <c r="F1149" s="8">
        <f>ROUNDUP(E1145/E1149,0)</f>
        <v>60</v>
      </c>
      <c r="H1149" s="8"/>
      <c r="I1149" s="8"/>
      <c r="J1149" s="8"/>
      <c r="K1149" s="8"/>
      <c r="L1149" s="8"/>
      <c r="M1149" s="8"/>
      <c r="N1149" s="8"/>
      <c r="O1149" s="8">
        <f>(2*((G1145-(2*'[2]Beam '!$D$11))+(F1145-(2*'[2]Beam '!$D$11)))+(2*10*D1149/1000))*D1145</f>
        <v>2.06</v>
      </c>
      <c r="P1149" s="8">
        <f>O1149*F1149</f>
        <v>123.60000000000001</v>
      </c>
      <c r="Q1149" s="8">
        <f>IF($D1149='[2]Beam '!Q$44,$P1149*'[2]Beam '!Q$45,0)</f>
        <v>0</v>
      </c>
      <c r="R1149" s="8">
        <f>IF($D1149='[2]Beam '!R$44,$P1149*'[2]Beam '!R$45,0)</f>
        <v>76.23471428571429</v>
      </c>
      <c r="S1149" s="8">
        <f>IF($D1149='[2]Beam '!S$44,$P1149*'[2]Beam '!S$45,0)</f>
        <v>0</v>
      </c>
      <c r="T1149" s="8">
        <f>IF($D1149='[2]Beam '!T$44,$P1149*'[2]Beam '!T$45,0)</f>
        <v>0</v>
      </c>
      <c r="U1149" s="8">
        <f>IF($D1149='[2]Beam '!U$44,$P1149*'[2]Beam '!U$45,0)</f>
        <v>0</v>
      </c>
      <c r="V1149" s="8">
        <f>IF($D1149='[2]Beam '!V$44,$P1149*'[2]Beam '!V$45,0)</f>
        <v>0</v>
      </c>
      <c r="W1149" s="8">
        <f>IF($D1149='[2]Beam '!W$44,$P1149*'[2]Beam '!W$45,0)</f>
        <v>0</v>
      </c>
      <c r="X1149" s="8">
        <f>SUM(Q1149:W1149)</f>
        <v>76.23471428571429</v>
      </c>
      <c r="Y1149" s="8"/>
      <c r="Z1149" s="8"/>
      <c r="AA1149" s="8"/>
      <c r="AB1149" s="8"/>
      <c r="AC1149" s="8"/>
      <c r="AD1149" s="8"/>
      <c r="AE1149" s="8"/>
    </row>
    <row r="1150" spans="1:32" s="10" customFormat="1" ht="20.100000000000001" customHeight="1" x14ac:dyDescent="0.25">
      <c r="A1150" s="7"/>
      <c r="B1150" s="8" t="s">
        <v>2</v>
      </c>
      <c r="C1150" s="13" t="s">
        <v>10</v>
      </c>
      <c r="D1150" s="8">
        <f>+'[2]Beam '!$D$15</f>
        <v>25</v>
      </c>
      <c r="E1150" s="8">
        <f>+'[2]Beam '!$E$15</f>
        <v>1</v>
      </c>
      <c r="F1150" s="8">
        <f>ROUNDUP((O1148)/E1150,0)</f>
        <v>5</v>
      </c>
      <c r="G1150" s="9"/>
      <c r="H1150" s="9"/>
      <c r="I1150" s="8"/>
      <c r="J1150" s="8"/>
      <c r="K1150" s="8"/>
      <c r="L1150" s="8"/>
      <c r="M1150" s="8"/>
      <c r="N1150" s="8"/>
      <c r="O1150" s="8">
        <f>F1145-'[2]Beam '!$F$15</f>
        <v>0.39</v>
      </c>
      <c r="P1150" s="8">
        <f>O1150*F1150</f>
        <v>1.9500000000000002</v>
      </c>
      <c r="Q1150" s="8">
        <f>IF($D1150='[2]Beam '!Q$44,$P1150*'[2]Beam '!Q$45,0)</f>
        <v>0</v>
      </c>
      <c r="R1150" s="8">
        <f>IF($D1150='[2]Beam '!R$44,$P1150*'[2]Beam '!R$45,0)</f>
        <v>0</v>
      </c>
      <c r="S1150" s="8">
        <f>IF($D1150='[2]Beam '!S$44,$P1150*'[2]Beam '!S$45,0)</f>
        <v>0</v>
      </c>
      <c r="T1150" s="8">
        <f>IF($D1150='[2]Beam '!T$44,$P1150*'[2]Beam '!T$45,0)</f>
        <v>0</v>
      </c>
      <c r="U1150" s="8">
        <f>IF($D1150='[2]Beam '!U$44,$P1150*'[2]Beam '!U$45,0)</f>
        <v>0</v>
      </c>
      <c r="V1150" s="8">
        <f>IF($D1150='[2]Beam '!V$44,$P1150*'[2]Beam '!V$45,0)</f>
        <v>7.5170758928571448</v>
      </c>
      <c r="W1150" s="8">
        <f>IF($D1150='[2]Beam '!W$44,$P1150*'[2]Beam '!W$45,0)</f>
        <v>0</v>
      </c>
      <c r="X1150" s="8">
        <f>SUM(Q1150:W1150)</f>
        <v>7.5170758928571448</v>
      </c>
      <c r="Y1150" s="8"/>
      <c r="Z1150" s="8"/>
      <c r="AA1150" s="8"/>
      <c r="AB1150" s="8"/>
      <c r="AC1150" s="8"/>
      <c r="AD1150" s="8"/>
      <c r="AE1150" s="8"/>
    </row>
    <row r="1151" spans="1:32" s="10" customFormat="1" ht="20.100000000000001" customHeight="1" x14ac:dyDescent="0.25">
      <c r="A1151" s="8">
        <v>1</v>
      </c>
      <c r="B1151" s="8" t="s">
        <v>2</v>
      </c>
      <c r="C1151" s="11" t="s">
        <v>153</v>
      </c>
      <c r="D1151" s="11">
        <v>1</v>
      </c>
      <c r="E1151" s="11">
        <v>1.2509999999999999</v>
      </c>
      <c r="F1151" s="11">
        <v>0.3</v>
      </c>
      <c r="G1151" s="11">
        <v>1.1000000000000001</v>
      </c>
      <c r="H1151" s="8">
        <f>G1151-0.2</f>
        <v>0.90000000000000013</v>
      </c>
      <c r="I1151" s="8">
        <f>E1151*F1151*G1151*D1151</f>
        <v>0.41282999999999997</v>
      </c>
      <c r="J1151" s="8">
        <f>(2*(E1151)*H1151*D1151)+(E1151*F1151)</f>
        <v>2.6271000000000004</v>
      </c>
      <c r="K1151" s="12">
        <f>IF(E1151=0.3,J1151,0)</f>
        <v>0</v>
      </c>
      <c r="L1151" s="12">
        <f>IF(AND(E1151&gt;0.3,E1151&lt;=0.75),J1151,0)</f>
        <v>0</v>
      </c>
      <c r="M1151" s="12">
        <f>IF(AND(E1151&gt;0.75,E1151&lt;=1.2),J1151,0)</f>
        <v>0</v>
      </c>
      <c r="N1151" s="12">
        <f>IF(E1151&gt;1.2,J1151,0)</f>
        <v>2.6271000000000004</v>
      </c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>
        <f>SUM(X1152:X1157)/I1151</f>
        <v>179.70299722127061</v>
      </c>
      <c r="Z1151" s="8"/>
      <c r="AA1151" s="8"/>
      <c r="AB1151" s="8"/>
      <c r="AC1151" s="8"/>
      <c r="AD1151" s="8"/>
      <c r="AE1151" s="8"/>
    </row>
    <row r="1152" spans="1:32" s="10" customFormat="1" ht="20.100000000000001" customHeight="1" x14ac:dyDescent="0.25">
      <c r="A1152" s="7"/>
      <c r="B1152" s="8" t="s">
        <v>2</v>
      </c>
      <c r="C1152" s="13" t="s">
        <v>4</v>
      </c>
      <c r="D1152" s="8">
        <v>20</v>
      </c>
      <c r="E1152" s="8"/>
      <c r="F1152" s="8">
        <v>3</v>
      </c>
      <c r="G1152" s="9">
        <f>VLOOKUP(D1152,'[2]Beam '!$C$20:$H$26,3,0)</f>
        <v>0.8</v>
      </c>
      <c r="H1152" s="9"/>
      <c r="I1152" s="8"/>
      <c r="J1152" s="8"/>
      <c r="K1152" s="8"/>
      <c r="L1152" s="8"/>
      <c r="M1152" s="8"/>
      <c r="N1152" s="8"/>
      <c r="O1152" s="8">
        <f>(E1151+1*(0.3/2)+G1152*D1151)</f>
        <v>2.2009999999999996</v>
      </c>
      <c r="P1152" s="8">
        <f t="shared" ref="P1152:P1158" si="215">O1152*F1152</f>
        <v>6.6029999999999989</v>
      </c>
      <c r="Q1152" s="8">
        <f>IF($D1152='[2]Beam '!Q$44,$P1152*'[2]Beam '!Q$45,0)</f>
        <v>0</v>
      </c>
      <c r="R1152" s="8">
        <f>IF($D1152='[2]Beam '!R$44,$P1152*'[2]Beam '!R$45,0)</f>
        <v>0</v>
      </c>
      <c r="S1152" s="8">
        <f>IF($D1152='[2]Beam '!S$44,$P1152*'[2]Beam '!S$45,0)</f>
        <v>0</v>
      </c>
      <c r="T1152" s="8">
        <f>IF($D1152='[2]Beam '!T$44,$P1152*'[2]Beam '!T$45,0)</f>
        <v>0</v>
      </c>
      <c r="U1152" s="8">
        <f>IF($D1152='[2]Beam '!U$44,$P1152*'[2]Beam '!U$45,0)</f>
        <v>16.290544285714283</v>
      </c>
      <c r="V1152" s="8">
        <f>IF($D1152='[2]Beam '!V$44,$P1152*'[2]Beam '!V$45,0)</f>
        <v>0</v>
      </c>
      <c r="W1152" s="8">
        <f>IF($D1152='[2]Beam '!W$44,$P1152*'[2]Beam '!W$45,0)</f>
        <v>0</v>
      </c>
      <c r="X1152" s="8">
        <f t="shared" ref="X1152:X1158" si="216">SUM(Q1152:W1152)</f>
        <v>16.290544285714283</v>
      </c>
      <c r="Y1152" s="8"/>
      <c r="Z1152" s="8"/>
      <c r="AA1152" s="8"/>
      <c r="AB1152" s="8"/>
      <c r="AC1152" s="8"/>
      <c r="AD1152" s="8"/>
      <c r="AE1152" s="8"/>
    </row>
    <row r="1153" spans="1:32" s="10" customFormat="1" ht="20.100000000000001" customHeight="1" x14ac:dyDescent="0.25">
      <c r="A1153" s="7"/>
      <c r="B1153" s="8" t="s">
        <v>2</v>
      </c>
      <c r="C1153" s="13" t="s">
        <v>75</v>
      </c>
      <c r="D1153" s="8">
        <v>16</v>
      </c>
      <c r="E1153" s="8"/>
      <c r="F1153" s="8">
        <v>2</v>
      </c>
      <c r="G1153" s="9">
        <f>VLOOKUP(D1153,'[2]Beam '!$C$20:$H$26,3,0)</f>
        <v>0.625</v>
      </c>
      <c r="H1153" s="9"/>
      <c r="I1153" s="8"/>
      <c r="J1153" s="8"/>
      <c r="K1153" s="8"/>
      <c r="L1153" s="8"/>
      <c r="M1153" s="8"/>
      <c r="N1153" s="8"/>
      <c r="O1153" s="8">
        <f>(E1151+1*(0.3/2)+G1153*D1151)</f>
        <v>2.0259999999999998</v>
      </c>
      <c r="P1153" s="8">
        <f t="shared" si="215"/>
        <v>4.0519999999999996</v>
      </c>
      <c r="Q1153" s="8">
        <f>IF($D1153='[2]Beam '!Q$44,$P1153*'[2]Beam '!Q$45,0)</f>
        <v>0</v>
      </c>
      <c r="R1153" s="8">
        <f>IF($D1153='[2]Beam '!R$44,$P1153*'[2]Beam '!R$45,0)</f>
        <v>0</v>
      </c>
      <c r="S1153" s="8">
        <f>IF($D1153='[2]Beam '!S$44,$P1153*'[2]Beam '!S$45,0)</f>
        <v>0</v>
      </c>
      <c r="T1153" s="8">
        <f>IF($D1153='[2]Beam '!T$44,$P1153*'[2]Beam '!T$45,0)</f>
        <v>6.3979922285714288</v>
      </c>
      <c r="U1153" s="8">
        <f>IF($D1153='[2]Beam '!U$44,$P1153*'[2]Beam '!U$45,0)</f>
        <v>0</v>
      </c>
      <c r="V1153" s="8">
        <f>IF($D1153='[2]Beam '!V$44,$P1153*'[2]Beam '!V$45,0)</f>
        <v>0</v>
      </c>
      <c r="W1153" s="8">
        <f>IF($D1153='[2]Beam '!W$44,$P1153*'[2]Beam '!W$45,0)</f>
        <v>0</v>
      </c>
      <c r="X1153" s="8">
        <f t="shared" si="216"/>
        <v>6.3979922285714288</v>
      </c>
      <c r="Y1153" s="8"/>
      <c r="Z1153" s="8"/>
      <c r="AA1153" s="8"/>
      <c r="AB1153" s="8"/>
      <c r="AC1153" s="8"/>
      <c r="AD1153" s="8"/>
      <c r="AE1153" s="8"/>
    </row>
    <row r="1154" spans="1:32" s="14" customFormat="1" ht="20.100000000000001" customHeight="1" x14ac:dyDescent="0.3">
      <c r="A1154" s="7"/>
      <c r="B1154" s="8" t="s">
        <v>2</v>
      </c>
      <c r="C1154" s="13" t="s">
        <v>139</v>
      </c>
      <c r="D1154" s="8">
        <v>20</v>
      </c>
      <c r="E1154" s="8"/>
      <c r="F1154" s="8">
        <v>3</v>
      </c>
      <c r="G1154" s="9">
        <f>VLOOKUP(D1154,'[2]Beam '!$C$20:$H$26,3,0)</f>
        <v>0.8</v>
      </c>
      <c r="H1154" s="9"/>
      <c r="I1154" s="8"/>
      <c r="J1154" s="8"/>
      <c r="K1154" s="8"/>
      <c r="L1154" s="8"/>
      <c r="M1154" s="8"/>
      <c r="N1154" s="8"/>
      <c r="O1154" s="8">
        <f>(E1151+1*(G1154+(12*D1154/1000))+1*(G1154)*D1151)</f>
        <v>3.0910000000000002</v>
      </c>
      <c r="P1154" s="8">
        <f t="shared" si="215"/>
        <v>9.2729999999999997</v>
      </c>
      <c r="Q1154" s="8">
        <f>IF($D1154='[2]Beam '!Q$44,$P1154*'[2]Beam '!Q$45,0)</f>
        <v>0</v>
      </c>
      <c r="R1154" s="8">
        <f>IF($D1154='[2]Beam '!R$44,$P1154*'[2]Beam '!R$45,0)</f>
        <v>0</v>
      </c>
      <c r="S1154" s="8">
        <f>IF($D1154='[2]Beam '!S$44,$P1154*'[2]Beam '!S$45,0)</f>
        <v>0</v>
      </c>
      <c r="T1154" s="8">
        <f>IF($D1154='[2]Beam '!T$44,$P1154*'[2]Beam '!T$45,0)</f>
        <v>0</v>
      </c>
      <c r="U1154" s="8">
        <f>IF($D1154='[2]Beam '!U$44,$P1154*'[2]Beam '!U$45,0)</f>
        <v>22.877815714285713</v>
      </c>
      <c r="V1154" s="8">
        <f>IF($D1154='[2]Beam '!V$44,$P1154*'[2]Beam '!V$45,0)</f>
        <v>0</v>
      </c>
      <c r="W1154" s="8">
        <f>IF($D1154='[2]Beam '!W$44,$P1154*'[2]Beam '!W$45,0)</f>
        <v>0</v>
      </c>
      <c r="X1154" s="8">
        <f t="shared" si="216"/>
        <v>22.877815714285713</v>
      </c>
      <c r="Y1154" s="8"/>
    </row>
    <row r="1155" spans="1:32" s="10" customFormat="1" ht="20.100000000000001" customHeight="1" x14ac:dyDescent="0.25">
      <c r="A1155" s="7"/>
      <c r="B1155" s="8" t="s">
        <v>2</v>
      </c>
      <c r="C1155" s="13" t="s">
        <v>88</v>
      </c>
      <c r="D1155" s="8">
        <v>16</v>
      </c>
      <c r="E1155" s="8"/>
      <c r="F1155" s="8">
        <v>2</v>
      </c>
      <c r="G1155" s="9">
        <f>VLOOKUP(D1155,'[2]Beam '!$C$20:$H$26,3,0)</f>
        <v>0.625</v>
      </c>
      <c r="H1155" s="9"/>
      <c r="I1155" s="8"/>
      <c r="J1155" s="8"/>
      <c r="K1155" s="8"/>
      <c r="L1155" s="8"/>
      <c r="M1155" s="8"/>
      <c r="N1155" s="8"/>
      <c r="O1155" s="8">
        <f>(E1151+1*(G1155+(12*D1155/1000))+1*(G1155)*D1151)</f>
        <v>2.6929999999999996</v>
      </c>
      <c r="P1155" s="8">
        <f t="shared" si="215"/>
        <v>5.3859999999999992</v>
      </c>
      <c r="Q1155" s="8">
        <f>IF($D1155='[2]Beam '!Q$44,$P1155*'[2]Beam '!Q$45,0)</f>
        <v>0</v>
      </c>
      <c r="R1155" s="8">
        <f>IF($D1155='[2]Beam '!R$44,$P1155*'[2]Beam '!R$45,0)</f>
        <v>0</v>
      </c>
      <c r="S1155" s="8">
        <f>IF($D1155='[2]Beam '!S$44,$P1155*'[2]Beam '!S$45,0)</f>
        <v>0</v>
      </c>
      <c r="T1155" s="8">
        <f>IF($D1155='[2]Beam '!T$44,$P1155*'[2]Beam '!T$45,0)</f>
        <v>8.5043401142857142</v>
      </c>
      <c r="U1155" s="8">
        <f>IF($D1155='[2]Beam '!U$44,$P1155*'[2]Beam '!U$45,0)</f>
        <v>0</v>
      </c>
      <c r="V1155" s="8">
        <f>IF($D1155='[2]Beam '!V$44,$P1155*'[2]Beam '!V$45,0)</f>
        <v>0</v>
      </c>
      <c r="W1155" s="8">
        <f>IF($D1155='[2]Beam '!W$44,$P1155*'[2]Beam '!W$45,0)</f>
        <v>0</v>
      </c>
      <c r="X1155" s="8">
        <f t="shared" si="216"/>
        <v>8.5043401142857142</v>
      </c>
      <c r="Y1155" s="8"/>
      <c r="Z1155" s="8"/>
      <c r="AA1155" s="8"/>
      <c r="AB1155" s="8"/>
      <c r="AC1155" s="8"/>
      <c r="AD1155" s="8"/>
      <c r="AE1155" s="8"/>
    </row>
    <row r="1156" spans="1:32" s="10" customFormat="1" ht="21" customHeight="1" x14ac:dyDescent="0.25">
      <c r="A1156" s="7"/>
      <c r="B1156" s="8" t="s">
        <v>2</v>
      </c>
      <c r="C1156" s="13" t="s">
        <v>8</v>
      </c>
      <c r="D1156" s="8">
        <v>8</v>
      </c>
      <c r="E1156" s="8">
        <v>0.1</v>
      </c>
      <c r="F1156" s="8">
        <f>ROUNDUP(E1151/E1156,0)</f>
        <v>13</v>
      </c>
      <c r="H1156" s="8"/>
      <c r="I1156" s="8"/>
      <c r="J1156" s="8"/>
      <c r="K1156" s="8"/>
      <c r="L1156" s="8"/>
      <c r="M1156" s="8"/>
      <c r="N1156" s="8"/>
      <c r="O1156" s="8">
        <f>(2*((G1151-(2*'[2]Beam '!$D$11))+(F1151-(2*'[2]Beam '!$D$11)))+(2*10*D1156/1000))*D1151</f>
        <v>2.72</v>
      </c>
      <c r="P1156" s="8">
        <f t="shared" si="215"/>
        <v>35.36</v>
      </c>
      <c r="Q1156" s="8">
        <f>IF($D1156='[2]Beam '!Q$44,$P1156*'[2]Beam '!Q$45,0)</f>
        <v>13.958107428571429</v>
      </c>
      <c r="R1156" s="8">
        <f>IF($D1156='[2]Beam '!R$44,$P1156*'[2]Beam '!R$45,0)</f>
        <v>0</v>
      </c>
      <c r="S1156" s="8">
        <f>IF($D1156='[2]Beam '!S$44,$P1156*'[2]Beam '!S$45,0)</f>
        <v>0</v>
      </c>
      <c r="T1156" s="8">
        <f>IF($D1156='[2]Beam '!T$44,$P1156*'[2]Beam '!T$45,0)</f>
        <v>0</v>
      </c>
      <c r="U1156" s="8">
        <f>IF($D1156='[2]Beam '!U$44,$P1156*'[2]Beam '!U$45,0)</f>
        <v>0</v>
      </c>
      <c r="V1156" s="8">
        <f>IF($D1156='[2]Beam '!V$44,$P1156*'[2]Beam '!V$45,0)</f>
        <v>0</v>
      </c>
      <c r="W1156" s="8">
        <f>IF($D1156='[2]Beam '!W$44,$P1156*'[2]Beam '!W$45,0)</f>
        <v>0</v>
      </c>
      <c r="X1156" s="8">
        <f t="shared" si="216"/>
        <v>13.958107428571429</v>
      </c>
      <c r="Y1156" s="8"/>
      <c r="Z1156" s="8"/>
      <c r="AA1156" s="8"/>
      <c r="AB1156" s="8"/>
      <c r="AC1156" s="8"/>
      <c r="AD1156" s="8"/>
      <c r="AE1156" s="8"/>
      <c r="AF1156" s="8"/>
    </row>
    <row r="1157" spans="1:32" s="10" customFormat="1" ht="20.100000000000001" customHeight="1" x14ac:dyDescent="0.25">
      <c r="A1157" s="14"/>
      <c r="B1157" s="8" t="s">
        <v>2</v>
      </c>
      <c r="C1157" s="13" t="s">
        <v>9</v>
      </c>
      <c r="D1157" s="8">
        <f>+D1156</f>
        <v>8</v>
      </c>
      <c r="E1157" s="14">
        <f>+E1156</f>
        <v>0.1</v>
      </c>
      <c r="F1157" s="8">
        <f>ROUNDUP(E1151/E1157,0)</f>
        <v>13</v>
      </c>
      <c r="H1157" s="14"/>
      <c r="I1157" s="14"/>
      <c r="J1157" s="14"/>
      <c r="K1157" s="14"/>
      <c r="L1157" s="14"/>
      <c r="M1157" s="14"/>
      <c r="N1157" s="14"/>
      <c r="O1157" s="8">
        <f>((((G1151-(2*'[2]Beam '!$D$11))+(2*10*D1157/1000))*D1151))*1</f>
        <v>1.2</v>
      </c>
      <c r="P1157" s="8">
        <f t="shared" si="215"/>
        <v>15.6</v>
      </c>
      <c r="Q1157" s="8">
        <f>IF($D1157='[2]Beam '!Q$44,$P1157*'[2]Beam '!Q$45,0)</f>
        <v>6.1579885714285716</v>
      </c>
      <c r="R1157" s="8">
        <f>IF($D1157='[2]Beam '!R$44,$P1157*'[2]Beam '!R$45,0)</f>
        <v>0</v>
      </c>
      <c r="S1157" s="8">
        <f>IF($D1157='[2]Beam '!S$44,$P1157*'[2]Beam '!S$45,0)</f>
        <v>0</v>
      </c>
      <c r="T1157" s="8">
        <f>IF($D1157='[2]Beam '!T$44,$P1157*'[2]Beam '!T$45,0)</f>
        <v>0</v>
      </c>
      <c r="U1157" s="8">
        <f>IF($D1157='[2]Beam '!U$44,$P1157*'[2]Beam '!U$45,0)</f>
        <v>0</v>
      </c>
      <c r="V1157" s="8">
        <f>IF($D1157='[2]Beam '!V$44,$P1157*'[2]Beam '!V$45,0)</f>
        <v>0</v>
      </c>
      <c r="W1157" s="8">
        <f>IF($D1157='[2]Beam '!W$44,$P1157*'[2]Beam '!W$45,0)</f>
        <v>0</v>
      </c>
      <c r="X1157" s="8">
        <f t="shared" si="216"/>
        <v>6.1579885714285716</v>
      </c>
      <c r="Y1157" s="14"/>
      <c r="Z1157" s="8"/>
      <c r="AA1157" s="8"/>
      <c r="AB1157" s="8"/>
      <c r="AC1157" s="8"/>
      <c r="AD1157" s="8"/>
      <c r="AE1157" s="8"/>
    </row>
    <row r="1158" spans="1:32" s="10" customFormat="1" ht="20.100000000000001" customHeight="1" x14ac:dyDescent="0.25">
      <c r="A1158" s="7"/>
      <c r="B1158" s="8" t="s">
        <v>2</v>
      </c>
      <c r="C1158" s="13" t="s">
        <v>10</v>
      </c>
      <c r="D1158" s="8">
        <f>+'[2]Beam '!$D$15</f>
        <v>25</v>
      </c>
      <c r="E1158" s="8">
        <f>+'[2]Beam '!$E$15</f>
        <v>1</v>
      </c>
      <c r="F1158" s="8">
        <f>ROUNDUP((O1155)/E1158,0)</f>
        <v>3</v>
      </c>
      <c r="G1158" s="9"/>
      <c r="H1158" s="9"/>
      <c r="I1158" s="8"/>
      <c r="J1158" s="8"/>
      <c r="K1158" s="8"/>
      <c r="L1158" s="8"/>
      <c r="M1158" s="8"/>
      <c r="N1158" s="8"/>
      <c r="O1158" s="8">
        <f>F1151-'[2]Beam '!$F$15</f>
        <v>0.24</v>
      </c>
      <c r="P1158" s="8">
        <f t="shared" si="215"/>
        <v>0.72</v>
      </c>
      <c r="Q1158" s="8">
        <f>IF($D1158='[2]Beam '!Q$44,$P1158*'[2]Beam '!Q$45,0)</f>
        <v>0</v>
      </c>
      <c r="R1158" s="8">
        <f>IF($D1158='[2]Beam '!R$44,$P1158*'[2]Beam '!R$45,0)</f>
        <v>0</v>
      </c>
      <c r="S1158" s="8">
        <f>IF($D1158='[2]Beam '!S$44,$P1158*'[2]Beam '!S$45,0)</f>
        <v>0</v>
      </c>
      <c r="T1158" s="8">
        <f>IF($D1158='[2]Beam '!T$44,$P1158*'[2]Beam '!T$45,0)</f>
        <v>0</v>
      </c>
      <c r="U1158" s="8">
        <f>IF($D1158='[2]Beam '!U$44,$P1158*'[2]Beam '!U$45,0)</f>
        <v>0</v>
      </c>
      <c r="V1158" s="8">
        <f>IF($D1158='[2]Beam '!V$44,$P1158*'[2]Beam '!V$45,0)</f>
        <v>2.7755357142857147</v>
      </c>
      <c r="W1158" s="8">
        <f>IF($D1158='[2]Beam '!W$44,$P1158*'[2]Beam '!W$45,0)</f>
        <v>0</v>
      </c>
      <c r="X1158" s="8">
        <f t="shared" si="216"/>
        <v>2.7755357142857147</v>
      </c>
      <c r="Y1158" s="8"/>
      <c r="Z1158" s="8"/>
      <c r="AA1158" s="8"/>
      <c r="AB1158" s="8"/>
      <c r="AC1158" s="8"/>
      <c r="AD1158" s="8"/>
      <c r="AE1158" s="8"/>
    </row>
    <row r="1159" spans="1:32" s="10" customFormat="1" ht="20.100000000000001" customHeight="1" x14ac:dyDescent="0.25">
      <c r="A1159" s="8">
        <v>1</v>
      </c>
      <c r="B1159" s="8" t="s">
        <v>2</v>
      </c>
      <c r="C1159" s="11" t="s">
        <v>154</v>
      </c>
      <c r="D1159" s="11">
        <v>1</v>
      </c>
      <c r="E1159" s="11">
        <v>8</v>
      </c>
      <c r="F1159" s="11">
        <v>0.45</v>
      </c>
      <c r="G1159" s="11">
        <v>0.5</v>
      </c>
      <c r="H1159" s="8">
        <f>G1159-0.2</f>
        <v>0.3</v>
      </c>
      <c r="I1159" s="8">
        <f>E1159*F1159*G1159*D1159</f>
        <v>1.8</v>
      </c>
      <c r="J1159" s="8">
        <f>(2*(E1159)*H1159*D1159)+(E1159*F1159)</f>
        <v>8.4</v>
      </c>
      <c r="K1159" s="12">
        <f>IF(E1159=0.3,J1159,0)</f>
        <v>0</v>
      </c>
      <c r="L1159" s="12">
        <f>IF(AND(E1159&gt;0.3,E1159&lt;=0.75),J1159,0)</f>
        <v>0</v>
      </c>
      <c r="M1159" s="12">
        <f>IF(AND(E1159&gt;0.75,E1159&lt;=1.2),J1159,0)</f>
        <v>0</v>
      </c>
      <c r="N1159" s="12">
        <f>IF(E1159&gt;1.2,J1159,0)</f>
        <v>8.4</v>
      </c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>
        <f>SUM(X1160:X1168)/I1159</f>
        <v>369.70087742063498</v>
      </c>
      <c r="Z1159" s="8"/>
      <c r="AA1159" s="8"/>
      <c r="AB1159" s="8"/>
      <c r="AC1159" s="8"/>
      <c r="AD1159" s="8"/>
      <c r="AE1159" s="8"/>
    </row>
    <row r="1160" spans="1:32" s="10" customFormat="1" ht="20.100000000000001" customHeight="1" x14ac:dyDescent="0.25">
      <c r="A1160" s="7"/>
      <c r="B1160" s="8" t="s">
        <v>2</v>
      </c>
      <c r="C1160" s="13" t="s">
        <v>4</v>
      </c>
      <c r="D1160" s="8">
        <v>25</v>
      </c>
      <c r="E1160" s="8"/>
      <c r="F1160" s="8">
        <v>4</v>
      </c>
      <c r="G1160" s="9">
        <f>VLOOKUP(D1160,'[2]Beam '!$C$20:$H$26,3,0)</f>
        <v>1</v>
      </c>
      <c r="H1160" s="9"/>
      <c r="I1160" s="8"/>
      <c r="J1160" s="8"/>
      <c r="K1160" s="8"/>
      <c r="L1160" s="8"/>
      <c r="M1160" s="8"/>
      <c r="N1160" s="8"/>
      <c r="O1160" s="8">
        <f>(E1159+1*(G1160+(12*D1160/1000))+1*(0.95/2)*D1159)</f>
        <v>9.7750000000000004</v>
      </c>
      <c r="P1160" s="8">
        <f t="shared" ref="P1160:P1169" si="217">O1160*F1160</f>
        <v>39.1</v>
      </c>
      <c r="Q1160" s="8">
        <f>IF($D1160='[2]Beam '!Q$44,$P1160*'[2]Beam '!Q$45,0)</f>
        <v>0</v>
      </c>
      <c r="R1160" s="8">
        <f>IF($D1160='[2]Beam '!R$44,$P1160*'[2]Beam '!R$45,0)</f>
        <v>0</v>
      </c>
      <c r="S1160" s="8">
        <f>IF($D1160='[2]Beam '!S$44,$P1160*'[2]Beam '!S$45,0)</f>
        <v>0</v>
      </c>
      <c r="T1160" s="8">
        <f>IF($D1160='[2]Beam '!T$44,$P1160*'[2]Beam '!T$45,0)</f>
        <v>0</v>
      </c>
      <c r="U1160" s="8">
        <f>IF($D1160='[2]Beam '!U$44,$P1160*'[2]Beam '!U$45,0)</f>
        <v>0</v>
      </c>
      <c r="V1160" s="8">
        <f>IF($D1160='[2]Beam '!V$44,$P1160*'[2]Beam '!V$45,0)</f>
        <v>150.72700892857145</v>
      </c>
      <c r="W1160" s="8">
        <f>IF($D1160='[2]Beam '!W$44,$P1160*'[2]Beam '!W$45,0)</f>
        <v>0</v>
      </c>
      <c r="X1160" s="8">
        <f t="shared" ref="X1160:X1169" si="218">SUM(Q1160:W1160)</f>
        <v>150.72700892857145</v>
      </c>
      <c r="Y1160" s="8"/>
      <c r="Z1160" s="8"/>
      <c r="AA1160" s="8"/>
      <c r="AB1160" s="8"/>
      <c r="AC1160" s="8"/>
      <c r="AD1160" s="8"/>
      <c r="AE1160" s="8"/>
    </row>
    <row r="1161" spans="1:32" s="10" customFormat="1" ht="20.100000000000001" customHeight="1" x14ac:dyDescent="0.25">
      <c r="A1161" s="7"/>
      <c r="B1161" s="8" t="s">
        <v>2</v>
      </c>
      <c r="C1161" s="13" t="s">
        <v>75</v>
      </c>
      <c r="D1161" s="8">
        <v>25</v>
      </c>
      <c r="E1161" s="8"/>
      <c r="F1161" s="8">
        <v>4</v>
      </c>
      <c r="G1161" s="9">
        <f>VLOOKUP(D1161,'[2]Beam '!$C$20:$H$26,3,0)</f>
        <v>1</v>
      </c>
      <c r="H1161" s="9"/>
      <c r="I1161" s="8"/>
      <c r="J1161" s="8"/>
      <c r="K1161" s="8"/>
      <c r="L1161" s="8"/>
      <c r="M1161" s="8"/>
      <c r="N1161" s="8"/>
      <c r="O1161" s="8">
        <f>(2.1+1*(G1161+(12*D1161/1000))*D1159)</f>
        <v>3.4000000000000004</v>
      </c>
      <c r="P1161" s="8">
        <f t="shared" si="217"/>
        <v>13.600000000000001</v>
      </c>
      <c r="Q1161" s="8">
        <f>IF($D1161='[2]Beam '!Q$44,$P1161*'[2]Beam '!Q$45,0)</f>
        <v>0</v>
      </c>
      <c r="R1161" s="8">
        <f>IF($D1161='[2]Beam '!R$44,$P1161*'[2]Beam '!R$45,0)</f>
        <v>0</v>
      </c>
      <c r="S1161" s="8">
        <f>IF($D1161='[2]Beam '!S$44,$P1161*'[2]Beam '!S$45,0)</f>
        <v>0</v>
      </c>
      <c r="T1161" s="8">
        <f>IF($D1161='[2]Beam '!T$44,$P1161*'[2]Beam '!T$45,0)</f>
        <v>0</v>
      </c>
      <c r="U1161" s="8">
        <f>IF($D1161='[2]Beam '!U$44,$P1161*'[2]Beam '!U$45,0)</f>
        <v>0</v>
      </c>
      <c r="V1161" s="8">
        <f>IF($D1161='[2]Beam '!V$44,$P1161*'[2]Beam '!V$45,0)</f>
        <v>52.426785714285728</v>
      </c>
      <c r="W1161" s="8">
        <f>IF($D1161='[2]Beam '!W$44,$P1161*'[2]Beam '!W$45,0)</f>
        <v>0</v>
      </c>
      <c r="X1161" s="8">
        <f t="shared" si="218"/>
        <v>52.426785714285728</v>
      </c>
      <c r="Y1161" s="8"/>
      <c r="Z1161" s="8"/>
      <c r="AA1161" s="8"/>
      <c r="AB1161" s="8"/>
      <c r="AC1161" s="8"/>
      <c r="AD1161" s="8"/>
      <c r="AE1161" s="8"/>
    </row>
    <row r="1162" spans="1:32" s="10" customFormat="1" ht="20.100000000000001" customHeight="1" x14ac:dyDescent="0.25">
      <c r="A1162" s="7"/>
      <c r="B1162" s="8" t="s">
        <v>2</v>
      </c>
      <c r="C1162" s="13" t="s">
        <v>75</v>
      </c>
      <c r="D1162" s="8">
        <v>25</v>
      </c>
      <c r="E1162" s="8"/>
      <c r="F1162" s="8">
        <v>4</v>
      </c>
      <c r="G1162" s="9">
        <f>VLOOKUP(D1162,'[2]Beam '!$C$20:$H$26,3,0)</f>
        <v>1</v>
      </c>
      <c r="H1162" s="9"/>
      <c r="I1162" s="8"/>
      <c r="J1162" s="8"/>
      <c r="K1162" s="8"/>
      <c r="L1162" s="8"/>
      <c r="M1162" s="8"/>
      <c r="N1162" s="8"/>
      <c r="O1162" s="8">
        <f>(2.1+1*(0.95/2)*D1159)</f>
        <v>2.5750000000000002</v>
      </c>
      <c r="P1162" s="8">
        <f t="shared" si="217"/>
        <v>10.3</v>
      </c>
      <c r="Q1162" s="8">
        <f>IF($D1162='[2]Beam '!Q$44,$P1162*'[2]Beam '!Q$45,0)</f>
        <v>0</v>
      </c>
      <c r="R1162" s="8">
        <f>IF($D1162='[2]Beam '!R$44,$P1162*'[2]Beam '!R$45,0)</f>
        <v>0</v>
      </c>
      <c r="S1162" s="8">
        <f>IF($D1162='[2]Beam '!S$44,$P1162*'[2]Beam '!S$45,0)</f>
        <v>0</v>
      </c>
      <c r="T1162" s="8">
        <f>IF($D1162='[2]Beam '!T$44,$P1162*'[2]Beam '!T$45,0)</f>
        <v>0</v>
      </c>
      <c r="U1162" s="8">
        <f>IF($D1162='[2]Beam '!U$44,$P1162*'[2]Beam '!U$45,0)</f>
        <v>0</v>
      </c>
      <c r="V1162" s="8">
        <f>IF($D1162='[2]Beam '!V$44,$P1162*'[2]Beam '!V$45,0)</f>
        <v>39.705580357142864</v>
      </c>
      <c r="W1162" s="8">
        <f>IF($D1162='[2]Beam '!W$44,$P1162*'[2]Beam '!W$45,0)</f>
        <v>0</v>
      </c>
      <c r="X1162" s="8">
        <f t="shared" si="218"/>
        <v>39.705580357142864</v>
      </c>
      <c r="Y1162" s="8"/>
      <c r="Z1162" s="8"/>
      <c r="AA1162" s="8"/>
      <c r="AB1162" s="8"/>
      <c r="AC1162" s="8"/>
      <c r="AD1162" s="8"/>
      <c r="AE1162" s="8"/>
    </row>
    <row r="1163" spans="1:32" s="14" customFormat="1" ht="20.100000000000001" customHeight="1" x14ac:dyDescent="0.3">
      <c r="A1163" s="7"/>
      <c r="B1163" s="8" t="s">
        <v>2</v>
      </c>
      <c r="C1163" s="13" t="s">
        <v>139</v>
      </c>
      <c r="D1163" s="8">
        <v>25</v>
      </c>
      <c r="E1163" s="8"/>
      <c r="F1163" s="8">
        <v>4</v>
      </c>
      <c r="G1163" s="9">
        <f>VLOOKUP(D1163,'[2]Beam '!$C$20:$H$26,3,0)</f>
        <v>1</v>
      </c>
      <c r="H1163" s="9"/>
      <c r="I1163" s="8"/>
      <c r="J1163" s="8"/>
      <c r="K1163" s="8"/>
      <c r="L1163" s="8"/>
      <c r="M1163" s="8"/>
      <c r="N1163" s="8"/>
      <c r="O1163" s="8">
        <f>(E1159+1*(G1163+(12*D1163/1000))+1*(0.95/2)*D1159)</f>
        <v>9.7750000000000004</v>
      </c>
      <c r="P1163" s="8">
        <f t="shared" si="217"/>
        <v>39.1</v>
      </c>
      <c r="Q1163" s="8">
        <f>IF($D1163='[2]Beam '!Q$44,$P1163*'[2]Beam '!Q$45,0)</f>
        <v>0</v>
      </c>
      <c r="R1163" s="8">
        <f>IF($D1163='[2]Beam '!R$44,$P1163*'[2]Beam '!R$45,0)</f>
        <v>0</v>
      </c>
      <c r="S1163" s="8">
        <f>IF($D1163='[2]Beam '!S$44,$P1163*'[2]Beam '!S$45,0)</f>
        <v>0</v>
      </c>
      <c r="T1163" s="8">
        <f>IF($D1163='[2]Beam '!T$44,$P1163*'[2]Beam '!T$45,0)</f>
        <v>0</v>
      </c>
      <c r="U1163" s="8">
        <f>IF($D1163='[2]Beam '!U$44,$P1163*'[2]Beam '!U$45,0)</f>
        <v>0</v>
      </c>
      <c r="V1163" s="8">
        <f>IF($D1163='[2]Beam '!V$44,$P1163*'[2]Beam '!V$45,0)</f>
        <v>150.72700892857145</v>
      </c>
      <c r="W1163" s="8">
        <f>IF($D1163='[2]Beam '!W$44,$P1163*'[2]Beam '!W$45,0)</f>
        <v>0</v>
      </c>
      <c r="X1163" s="8">
        <f t="shared" si="218"/>
        <v>150.72700892857145</v>
      </c>
      <c r="Y1163" s="8"/>
    </row>
    <row r="1164" spans="1:32" s="14" customFormat="1" ht="20.100000000000001" customHeight="1" x14ac:dyDescent="0.3">
      <c r="A1164" s="7"/>
      <c r="B1164" s="8" t="s">
        <v>2</v>
      </c>
      <c r="C1164" s="13" t="s">
        <v>88</v>
      </c>
      <c r="D1164" s="8">
        <v>20</v>
      </c>
      <c r="E1164" s="8"/>
      <c r="F1164" s="8">
        <v>4</v>
      </c>
      <c r="G1164" s="9">
        <f>VLOOKUP(D1164,'[2]Beam '!$C$20:$H$26,3,0)</f>
        <v>0.8</v>
      </c>
      <c r="H1164" s="9"/>
      <c r="I1164" s="8"/>
      <c r="J1164" s="8"/>
      <c r="K1164" s="8"/>
      <c r="L1164" s="8"/>
      <c r="M1164" s="8"/>
      <c r="N1164" s="8"/>
      <c r="O1164" s="8">
        <f>+E1159-1-1</f>
        <v>6</v>
      </c>
      <c r="P1164" s="8">
        <f t="shared" si="217"/>
        <v>24</v>
      </c>
      <c r="Q1164" s="8">
        <f>IF($D1164='[2]Beam '!Q$44,$P1164*'[2]Beam '!Q$45,0)</f>
        <v>0</v>
      </c>
      <c r="R1164" s="8">
        <f>IF($D1164='[2]Beam '!R$44,$P1164*'[2]Beam '!R$45,0)</f>
        <v>0</v>
      </c>
      <c r="S1164" s="8">
        <f>IF($D1164='[2]Beam '!S$44,$P1164*'[2]Beam '!S$45,0)</f>
        <v>0</v>
      </c>
      <c r="T1164" s="8">
        <f>IF($D1164='[2]Beam '!T$44,$P1164*'[2]Beam '!T$45,0)</f>
        <v>0</v>
      </c>
      <c r="U1164" s="8">
        <f>IF($D1164='[2]Beam '!U$44,$P1164*'[2]Beam '!U$45,0)</f>
        <v>59.21142857142857</v>
      </c>
      <c r="V1164" s="8">
        <f>IF($D1164='[2]Beam '!V$44,$P1164*'[2]Beam '!V$45,0)</f>
        <v>0</v>
      </c>
      <c r="W1164" s="8">
        <f>IF($D1164='[2]Beam '!W$44,$P1164*'[2]Beam '!W$45,0)</f>
        <v>0</v>
      </c>
      <c r="X1164" s="8">
        <f t="shared" si="218"/>
        <v>59.21142857142857</v>
      </c>
      <c r="Y1164" s="8"/>
    </row>
    <row r="1165" spans="1:32" s="14" customFormat="1" ht="20.100000000000001" customHeight="1" x14ac:dyDescent="0.25">
      <c r="A1165" s="7"/>
      <c r="B1165" s="8" t="s">
        <v>2</v>
      </c>
      <c r="C1165" s="13" t="s">
        <v>13</v>
      </c>
      <c r="D1165" s="8">
        <v>12</v>
      </c>
      <c r="E1165" s="8">
        <v>0.1</v>
      </c>
      <c r="F1165" s="8">
        <f>ROUND(IF(E1159/3&gt;(2*G1159),(E1159/3)/E1165,(2*G1159)/E1165),0)*2+1</f>
        <v>55</v>
      </c>
      <c r="G1165" s="10"/>
      <c r="H1165" s="8"/>
      <c r="I1165" s="8"/>
      <c r="J1165" s="8"/>
      <c r="K1165" s="8"/>
      <c r="L1165" s="8"/>
      <c r="M1165" s="8"/>
      <c r="N1165" s="8"/>
      <c r="O1165" s="8">
        <f>(2*((G1159-(2*'[2]Beam '!$D$11))+(F1159-(2*'[2]Beam '!$D$11)))+(2*10*D1165/1000))*D1159</f>
        <v>1.9000000000000001</v>
      </c>
      <c r="P1165" s="8">
        <f t="shared" si="217"/>
        <v>104.50000000000001</v>
      </c>
      <c r="Q1165" s="8">
        <f>IF($D1165='[2]Beam '!Q$44,$P1165*'[2]Beam '!Q$45,0)</f>
        <v>0</v>
      </c>
      <c r="R1165" s="8">
        <f>IF($D1165='[2]Beam '!R$44,$P1165*'[2]Beam '!R$45,0)</f>
        <v>0</v>
      </c>
      <c r="S1165" s="8">
        <f>IF($D1165='[2]Beam '!S$44,$P1165*'[2]Beam '!S$45,0)</f>
        <v>92.813914285714318</v>
      </c>
      <c r="T1165" s="8">
        <f>IF($D1165='[2]Beam '!T$44,$P1165*'[2]Beam '!T$45,0)</f>
        <v>0</v>
      </c>
      <c r="U1165" s="8">
        <f>IF($D1165='[2]Beam '!U$44,$P1165*'[2]Beam '!U$45,0)</f>
        <v>0</v>
      </c>
      <c r="V1165" s="8">
        <f>IF($D1165='[2]Beam '!V$44,$P1165*'[2]Beam '!V$45,0)</f>
        <v>0</v>
      </c>
      <c r="W1165" s="8">
        <f>IF($D1165='[2]Beam '!W$44,$P1165*'[2]Beam '!W$45,0)</f>
        <v>0</v>
      </c>
      <c r="X1165" s="8">
        <f t="shared" si="218"/>
        <v>92.813914285714318</v>
      </c>
      <c r="Y1165" s="8"/>
    </row>
    <row r="1166" spans="1:32" s="10" customFormat="1" ht="20.100000000000001" customHeight="1" x14ac:dyDescent="0.25">
      <c r="A1166" s="14"/>
      <c r="B1166" s="8" t="s">
        <v>2</v>
      </c>
      <c r="C1166" s="13" t="s">
        <v>14</v>
      </c>
      <c r="D1166" s="14">
        <f>D1165</f>
        <v>12</v>
      </c>
      <c r="E1166" s="14">
        <v>0.15</v>
      </c>
      <c r="F1166" s="14">
        <f>ROUND((E1159-(IF(E1159/3&gt;2*G1159,E1159/3*2,G1159*2*2)))/E1166,0)</f>
        <v>18</v>
      </c>
      <c r="H1166" s="14"/>
      <c r="I1166" s="14"/>
      <c r="J1166" s="14"/>
      <c r="K1166" s="14"/>
      <c r="L1166" s="14"/>
      <c r="M1166" s="14"/>
      <c r="N1166" s="14"/>
      <c r="O1166" s="8">
        <f>(2*((G1159-(2*'[2]Beam '!$D$11))+(F1159-(2*'[2]Beam '!$D$11)))+(2*10*D1166/1000))*D1159</f>
        <v>1.9000000000000001</v>
      </c>
      <c r="P1166" s="8">
        <f t="shared" si="217"/>
        <v>34.200000000000003</v>
      </c>
      <c r="Q1166" s="8">
        <f>IF($D1166='[2]Beam '!Q$44,$P1166*'[2]Beam '!Q$45,0)</f>
        <v>0</v>
      </c>
      <c r="R1166" s="8">
        <f>IF($D1166='[2]Beam '!R$44,$P1166*'[2]Beam '!R$45,0)</f>
        <v>0</v>
      </c>
      <c r="S1166" s="8">
        <f>IF($D1166='[2]Beam '!S$44,$P1166*'[2]Beam '!S$45,0)</f>
        <v>30.375462857142864</v>
      </c>
      <c r="T1166" s="8">
        <f>IF($D1166='[2]Beam '!T$44,$P1166*'[2]Beam '!T$45,0)</f>
        <v>0</v>
      </c>
      <c r="U1166" s="8">
        <f>IF($D1166='[2]Beam '!U$44,$P1166*'[2]Beam '!U$45,0)</f>
        <v>0</v>
      </c>
      <c r="V1166" s="8">
        <f>IF($D1166='[2]Beam '!V$44,$P1166*'[2]Beam '!V$45,0)</f>
        <v>0</v>
      </c>
      <c r="W1166" s="8">
        <f>IF($D1166='[2]Beam '!W$44,$P1166*'[2]Beam '!W$45,0)</f>
        <v>0</v>
      </c>
      <c r="X1166" s="8">
        <f t="shared" si="218"/>
        <v>30.375462857142864</v>
      </c>
      <c r="Y1166" s="14"/>
      <c r="Z1166" s="8"/>
      <c r="AA1166" s="8"/>
      <c r="AB1166" s="8"/>
      <c r="AC1166" s="8"/>
      <c r="AD1166" s="8"/>
      <c r="AE1166" s="8"/>
    </row>
    <row r="1167" spans="1:32" s="10" customFormat="1" ht="21" customHeight="1" x14ac:dyDescent="0.25">
      <c r="A1167" s="14"/>
      <c r="B1167" s="8" t="s">
        <v>2</v>
      </c>
      <c r="C1167" s="13" t="s">
        <v>15</v>
      </c>
      <c r="D1167" s="14">
        <f>D1165</f>
        <v>12</v>
      </c>
      <c r="E1167" s="14">
        <f>+E1165</f>
        <v>0.1</v>
      </c>
      <c r="F1167" s="8">
        <f>ROUND(IF(E1159/3&gt;(2*G1159),(E1159/3)/E1167,(2*G1159)/E1167),0)*2+1</f>
        <v>55</v>
      </c>
      <c r="H1167" s="14"/>
      <c r="I1167" s="14"/>
      <c r="J1167" s="14"/>
      <c r="K1167" s="14"/>
      <c r="L1167" s="14"/>
      <c r="M1167" s="14"/>
      <c r="N1167" s="14"/>
      <c r="O1167" s="8">
        <f>(2*(((F1159-'[2]Beam '!$D$11*2)/(F1160-1))+(G1159-'[2]Beam '!$D$11*2))+(2*10*D1167/1000))*D1159</f>
        <v>1.3800000000000001</v>
      </c>
      <c r="P1167" s="8">
        <f t="shared" si="217"/>
        <v>75.900000000000006</v>
      </c>
      <c r="Q1167" s="8">
        <f>IF($D1167='[2]Beam '!Q$44,$P1167*'[2]Beam '!Q$45,0)</f>
        <v>0</v>
      </c>
      <c r="R1167" s="8">
        <f>IF($D1167='[2]Beam '!R$44,$P1167*'[2]Beam '!R$45,0)</f>
        <v>0</v>
      </c>
      <c r="S1167" s="8">
        <f>IF($D1167='[2]Beam '!S$44,$P1167*'[2]Beam '!S$45,0)</f>
        <v>67.412211428571439</v>
      </c>
      <c r="T1167" s="8">
        <f>IF($D1167='[2]Beam '!T$44,$P1167*'[2]Beam '!T$45,0)</f>
        <v>0</v>
      </c>
      <c r="U1167" s="8">
        <f>IF($D1167='[2]Beam '!U$44,$P1167*'[2]Beam '!U$45,0)</f>
        <v>0</v>
      </c>
      <c r="V1167" s="8">
        <f>IF($D1167='[2]Beam '!V$44,$P1167*'[2]Beam '!V$45,0)</f>
        <v>0</v>
      </c>
      <c r="W1167" s="8">
        <f>IF($D1167='[2]Beam '!W$44,$P1167*'[2]Beam '!W$45,0)</f>
        <v>0</v>
      </c>
      <c r="X1167" s="8">
        <f t="shared" si="218"/>
        <v>67.412211428571439</v>
      </c>
      <c r="Y1167" s="14"/>
      <c r="Z1167" s="8"/>
      <c r="AA1167" s="8"/>
      <c r="AB1167" s="8"/>
      <c r="AC1167" s="8"/>
      <c r="AD1167" s="8"/>
      <c r="AE1167" s="8"/>
      <c r="AF1167" s="8"/>
    </row>
    <row r="1168" spans="1:32" s="10" customFormat="1" ht="20.100000000000001" customHeight="1" x14ac:dyDescent="0.25">
      <c r="A1168" s="14"/>
      <c r="B1168" s="8" t="s">
        <v>2</v>
      </c>
      <c r="C1168" s="13" t="s">
        <v>16</v>
      </c>
      <c r="D1168" s="14">
        <f>D1166</f>
        <v>12</v>
      </c>
      <c r="E1168" s="14">
        <f>+E1166</f>
        <v>0.15</v>
      </c>
      <c r="F1168" s="14">
        <f>ROUND((E1159-(IF(E1159/3&gt;2*G1159,E1159/3*2,G1159*2*2)))/E1168,0)</f>
        <v>18</v>
      </c>
      <c r="H1168" s="14"/>
      <c r="I1168" s="14"/>
      <c r="J1168" s="14"/>
      <c r="K1168" s="14"/>
      <c r="L1168" s="14"/>
      <c r="M1168" s="14"/>
      <c r="N1168" s="14"/>
      <c r="O1168" s="8">
        <f>(2*(((F1159-'[2]Beam '!$D$11*2)/(F1160-1))+(G1159-'[2]Beam '!$D$11*2))+(2*10*D1168/1000))*D1159</f>
        <v>1.3800000000000001</v>
      </c>
      <c r="P1168" s="8">
        <f t="shared" si="217"/>
        <v>24.840000000000003</v>
      </c>
      <c r="Q1168" s="8">
        <f>IF($D1168='[2]Beam '!Q$44,$P1168*'[2]Beam '!Q$45,0)</f>
        <v>0</v>
      </c>
      <c r="R1168" s="8">
        <f>IF($D1168='[2]Beam '!R$44,$P1168*'[2]Beam '!R$45,0)</f>
        <v>0</v>
      </c>
      <c r="S1168" s="8">
        <f>IF($D1168='[2]Beam '!S$44,$P1168*'[2]Beam '!S$45,0)</f>
        <v>22.062178285714293</v>
      </c>
      <c r="T1168" s="8">
        <f>IF($D1168='[2]Beam '!T$44,$P1168*'[2]Beam '!T$45,0)</f>
        <v>0</v>
      </c>
      <c r="U1168" s="8">
        <f>IF($D1168='[2]Beam '!U$44,$P1168*'[2]Beam '!U$45,0)</f>
        <v>0</v>
      </c>
      <c r="V1168" s="8">
        <f>IF($D1168='[2]Beam '!V$44,$P1168*'[2]Beam '!V$45,0)</f>
        <v>0</v>
      </c>
      <c r="W1168" s="8">
        <f>IF($D1168='[2]Beam '!W$44,$P1168*'[2]Beam '!W$45,0)</f>
        <v>0</v>
      </c>
      <c r="X1168" s="8">
        <f t="shared" si="218"/>
        <v>22.062178285714293</v>
      </c>
      <c r="Y1168" s="14"/>
      <c r="Z1168" s="8"/>
      <c r="AA1168" s="8"/>
      <c r="AB1168" s="8"/>
      <c r="AC1168" s="8"/>
      <c r="AD1168" s="8"/>
      <c r="AE1168" s="8"/>
    </row>
    <row r="1169" spans="1:32" s="10" customFormat="1" ht="20.100000000000001" customHeight="1" x14ac:dyDescent="0.25">
      <c r="A1169" s="7"/>
      <c r="B1169" s="8" t="s">
        <v>2</v>
      </c>
      <c r="C1169" s="13" t="s">
        <v>10</v>
      </c>
      <c r="D1169" s="8">
        <f>+'[2]Beam '!$D$15</f>
        <v>25</v>
      </c>
      <c r="E1169" s="8">
        <f>+'[2]Beam '!$E$15</f>
        <v>1</v>
      </c>
      <c r="F1169" s="8">
        <f>ROUNDUP((O1164)/E1169,0)</f>
        <v>6</v>
      </c>
      <c r="G1169" s="9"/>
      <c r="H1169" s="9"/>
      <c r="I1169" s="8"/>
      <c r="J1169" s="8"/>
      <c r="K1169" s="8"/>
      <c r="L1169" s="8"/>
      <c r="M1169" s="8"/>
      <c r="N1169" s="8"/>
      <c r="O1169" s="8">
        <f>F1159-'[2]Beam '!$F$15</f>
        <v>0.39</v>
      </c>
      <c r="P1169" s="8">
        <f t="shared" si="217"/>
        <v>2.34</v>
      </c>
      <c r="Q1169" s="8">
        <f>IF($D1169='[2]Beam '!Q$44,$P1169*'[2]Beam '!Q$45,0)</f>
        <v>0</v>
      </c>
      <c r="R1169" s="8">
        <f>IF($D1169='[2]Beam '!R$44,$P1169*'[2]Beam '!R$45,0)</f>
        <v>0</v>
      </c>
      <c r="S1169" s="8">
        <f>IF($D1169='[2]Beam '!S$44,$P1169*'[2]Beam '!S$45,0)</f>
        <v>0</v>
      </c>
      <c r="T1169" s="8">
        <f>IF($D1169='[2]Beam '!T$44,$P1169*'[2]Beam '!T$45,0)</f>
        <v>0</v>
      </c>
      <c r="U1169" s="8">
        <f>IF($D1169='[2]Beam '!U$44,$P1169*'[2]Beam '!U$45,0)</f>
        <v>0</v>
      </c>
      <c r="V1169" s="8">
        <f>IF($D1169='[2]Beam '!V$44,$P1169*'[2]Beam '!V$45,0)</f>
        <v>9.0204910714285731</v>
      </c>
      <c r="W1169" s="8">
        <f>IF($D1169='[2]Beam '!W$44,$P1169*'[2]Beam '!W$45,0)</f>
        <v>0</v>
      </c>
      <c r="X1169" s="8">
        <f t="shared" si="218"/>
        <v>9.0204910714285731</v>
      </c>
      <c r="Y1169" s="8"/>
      <c r="Z1169" s="8"/>
      <c r="AA1169" s="8"/>
      <c r="AB1169" s="8"/>
      <c r="AC1169" s="8"/>
      <c r="AD1169" s="8"/>
      <c r="AE1169" s="8"/>
    </row>
    <row r="1170" spans="1:32" s="10" customFormat="1" ht="20.100000000000001" customHeight="1" x14ac:dyDescent="0.25">
      <c r="A1170" s="8">
        <v>1</v>
      </c>
      <c r="B1170" s="8" t="s">
        <v>2</v>
      </c>
      <c r="C1170" s="11" t="s">
        <v>155</v>
      </c>
      <c r="D1170" s="11">
        <v>1</v>
      </c>
      <c r="E1170" s="11">
        <v>1.399</v>
      </c>
      <c r="F1170" s="11">
        <v>0.4</v>
      </c>
      <c r="G1170" s="11">
        <v>1.1000000000000001</v>
      </c>
      <c r="H1170" s="8">
        <f>G1170-0.2</f>
        <v>0.90000000000000013</v>
      </c>
      <c r="I1170" s="8">
        <f>E1170*F1170*G1170*D1170</f>
        <v>0.61556</v>
      </c>
      <c r="J1170" s="8">
        <f>(2*(E1170)*H1170*D1170)+(E1170*F1170)</f>
        <v>3.0778000000000003</v>
      </c>
      <c r="K1170" s="12">
        <f>IF(E1170=0.3,J1170,0)</f>
        <v>0</v>
      </c>
      <c r="L1170" s="12">
        <f>IF(AND(E1170&gt;0.3,E1170&lt;=0.75),J1170,0)</f>
        <v>0</v>
      </c>
      <c r="M1170" s="12">
        <f>IF(AND(E1170&gt;0.75,E1170&lt;=1.2),J1170,0)</f>
        <v>0</v>
      </c>
      <c r="N1170" s="12">
        <f>IF(E1170&gt;1.2,J1170,0)</f>
        <v>3.0778000000000003</v>
      </c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>
        <f>SUM(X1171:X1174)/I1170</f>
        <v>251.10881879914228</v>
      </c>
      <c r="Z1170" s="8"/>
      <c r="AA1170" s="8"/>
      <c r="AB1170" s="8"/>
      <c r="AC1170" s="8"/>
      <c r="AD1170" s="8"/>
      <c r="AE1170" s="8"/>
    </row>
    <row r="1171" spans="1:32" s="14" customFormat="1" ht="20.100000000000001" customHeight="1" x14ac:dyDescent="0.3">
      <c r="A1171" s="7"/>
      <c r="B1171" s="8" t="s">
        <v>2</v>
      </c>
      <c r="C1171" s="13" t="s">
        <v>4</v>
      </c>
      <c r="D1171" s="8">
        <v>25</v>
      </c>
      <c r="E1171" s="8"/>
      <c r="F1171" s="8">
        <v>4</v>
      </c>
      <c r="G1171" s="9">
        <f>VLOOKUP(D1171,'[2]Beam '!$C$20:$H$26,3,0)</f>
        <v>1</v>
      </c>
      <c r="H1171" s="9"/>
      <c r="I1171" s="8"/>
      <c r="J1171" s="8"/>
      <c r="K1171" s="8"/>
      <c r="L1171" s="8"/>
      <c r="M1171" s="8"/>
      <c r="N1171" s="8"/>
      <c r="O1171" s="8">
        <f>(E1170+1*(G1171)+1*(0.95/2)*D1170)</f>
        <v>2.8740000000000001</v>
      </c>
      <c r="P1171" s="8">
        <f>O1171*F1171</f>
        <v>11.496</v>
      </c>
      <c r="Q1171" s="8">
        <f>IF($D1171='[2]Beam '!Q$44,$P1171*'[2]Beam '!Q$45,0)</f>
        <v>0</v>
      </c>
      <c r="R1171" s="8">
        <f>IF($D1171='[2]Beam '!R$44,$P1171*'[2]Beam '!R$45,0)</f>
        <v>0</v>
      </c>
      <c r="S1171" s="8">
        <f>IF($D1171='[2]Beam '!S$44,$P1171*'[2]Beam '!S$45,0)</f>
        <v>0</v>
      </c>
      <c r="T1171" s="8">
        <f>IF($D1171='[2]Beam '!T$44,$P1171*'[2]Beam '!T$45,0)</f>
        <v>0</v>
      </c>
      <c r="U1171" s="8">
        <f>IF($D1171='[2]Beam '!U$44,$P1171*'[2]Beam '!U$45,0)</f>
        <v>0</v>
      </c>
      <c r="V1171" s="8">
        <f>IF($D1171='[2]Beam '!V$44,$P1171*'[2]Beam '!V$45,0)</f>
        <v>44.316053571428583</v>
      </c>
      <c r="W1171" s="8">
        <f>IF($D1171='[2]Beam '!W$44,$P1171*'[2]Beam '!W$45,0)</f>
        <v>0</v>
      </c>
      <c r="X1171" s="8">
        <f>SUM(Q1171:W1171)</f>
        <v>44.316053571428583</v>
      </c>
      <c r="Y1171" s="8"/>
    </row>
    <row r="1172" spans="1:32" s="10" customFormat="1" ht="20.100000000000001" customHeight="1" x14ac:dyDescent="0.25">
      <c r="A1172" s="7"/>
      <c r="B1172" s="8" t="s">
        <v>2</v>
      </c>
      <c r="C1172" s="13" t="s">
        <v>139</v>
      </c>
      <c r="D1172" s="8">
        <v>25</v>
      </c>
      <c r="E1172" s="8"/>
      <c r="F1172" s="8">
        <v>4</v>
      </c>
      <c r="G1172" s="9">
        <f>VLOOKUP(D1172,'[2]Beam '!$C$20:$H$26,3,0)</f>
        <v>1</v>
      </c>
      <c r="H1172" s="9"/>
      <c r="I1172" s="8"/>
      <c r="J1172" s="8"/>
      <c r="K1172" s="8"/>
      <c r="L1172" s="8"/>
      <c r="M1172" s="8"/>
      <c r="N1172" s="8"/>
      <c r="O1172" s="8">
        <f>(E1170+1*(G1172+(12*D1172/1000))+1*(G1172)*D1170)</f>
        <v>3.6989999999999998</v>
      </c>
      <c r="P1172" s="8">
        <f>O1172*F1172</f>
        <v>14.795999999999999</v>
      </c>
      <c r="Q1172" s="8">
        <f>IF($D1172='[2]Beam '!Q$44,$P1172*'[2]Beam '!Q$45,0)</f>
        <v>0</v>
      </c>
      <c r="R1172" s="8">
        <f>IF($D1172='[2]Beam '!R$44,$P1172*'[2]Beam '!R$45,0)</f>
        <v>0</v>
      </c>
      <c r="S1172" s="8">
        <f>IF($D1172='[2]Beam '!S$44,$P1172*'[2]Beam '!S$45,0)</f>
        <v>0</v>
      </c>
      <c r="T1172" s="8">
        <f>IF($D1172='[2]Beam '!T$44,$P1172*'[2]Beam '!T$45,0)</f>
        <v>0</v>
      </c>
      <c r="U1172" s="8">
        <f>IF($D1172='[2]Beam '!U$44,$P1172*'[2]Beam '!U$45,0)</f>
        <v>0</v>
      </c>
      <c r="V1172" s="8">
        <f>IF($D1172='[2]Beam '!V$44,$P1172*'[2]Beam '!V$45,0)</f>
        <v>57.037258928571433</v>
      </c>
      <c r="W1172" s="8">
        <f>IF($D1172='[2]Beam '!W$44,$P1172*'[2]Beam '!W$45,0)</f>
        <v>0</v>
      </c>
      <c r="X1172" s="8">
        <f>SUM(Q1172:W1172)</f>
        <v>57.037258928571433</v>
      </c>
      <c r="Y1172" s="8"/>
      <c r="Z1172" s="8"/>
      <c r="AA1172" s="8"/>
      <c r="AB1172" s="8"/>
      <c r="AC1172" s="8"/>
      <c r="AD1172" s="8"/>
      <c r="AE1172" s="8"/>
    </row>
    <row r="1173" spans="1:32" s="10" customFormat="1" ht="21" customHeight="1" x14ac:dyDescent="0.25">
      <c r="A1173" s="7"/>
      <c r="B1173" s="8" t="s">
        <v>2</v>
      </c>
      <c r="C1173" s="13" t="s">
        <v>8</v>
      </c>
      <c r="D1173" s="8">
        <v>12</v>
      </c>
      <c r="E1173" s="8">
        <v>0.1</v>
      </c>
      <c r="F1173" s="8">
        <f>ROUNDUP(E1170/E1173,0)</f>
        <v>14</v>
      </c>
      <c r="H1173" s="8"/>
      <c r="I1173" s="8"/>
      <c r="J1173" s="8"/>
      <c r="K1173" s="8"/>
      <c r="L1173" s="8"/>
      <c r="M1173" s="8"/>
      <c r="N1173" s="8"/>
      <c r="O1173" s="8">
        <f>(2*((G1170-(2*'[2]Beam '!$D$11))+(F1170-(2*'[2]Beam '!$D$11)))+(2*10*D1173/1000))*D1170</f>
        <v>3</v>
      </c>
      <c r="P1173" s="8">
        <f>O1173*F1173</f>
        <v>42</v>
      </c>
      <c r="Q1173" s="8">
        <f>IF($D1173='[2]Beam '!Q$44,$P1173*'[2]Beam '!Q$45,0)</f>
        <v>0</v>
      </c>
      <c r="R1173" s="8">
        <f>IF($D1173='[2]Beam '!R$44,$P1173*'[2]Beam '!R$45,0)</f>
        <v>0</v>
      </c>
      <c r="S1173" s="8">
        <f>IF($D1173='[2]Beam '!S$44,$P1173*'[2]Beam '!S$45,0)</f>
        <v>37.303200000000004</v>
      </c>
      <c r="T1173" s="8">
        <f>IF($D1173='[2]Beam '!T$44,$P1173*'[2]Beam '!T$45,0)</f>
        <v>0</v>
      </c>
      <c r="U1173" s="8">
        <f>IF($D1173='[2]Beam '!U$44,$P1173*'[2]Beam '!U$45,0)</f>
        <v>0</v>
      </c>
      <c r="V1173" s="8">
        <f>IF($D1173='[2]Beam '!V$44,$P1173*'[2]Beam '!V$45,0)</f>
        <v>0</v>
      </c>
      <c r="W1173" s="8">
        <f>IF($D1173='[2]Beam '!W$44,$P1173*'[2]Beam '!W$45,0)</f>
        <v>0</v>
      </c>
      <c r="X1173" s="8">
        <f>SUM(Q1173:W1173)</f>
        <v>37.303200000000004</v>
      </c>
      <c r="Y1173" s="8"/>
      <c r="Z1173" s="8"/>
      <c r="AA1173" s="8"/>
      <c r="AB1173" s="8"/>
      <c r="AC1173" s="8"/>
      <c r="AD1173" s="8"/>
      <c r="AE1173" s="8"/>
      <c r="AF1173" s="8"/>
    </row>
    <row r="1174" spans="1:32" s="10" customFormat="1" ht="20.100000000000001" customHeight="1" x14ac:dyDescent="0.25">
      <c r="A1174" s="14"/>
      <c r="B1174" s="8" t="s">
        <v>2</v>
      </c>
      <c r="C1174" s="13" t="s">
        <v>9</v>
      </c>
      <c r="D1174" s="8">
        <f>+D1173</f>
        <v>12</v>
      </c>
      <c r="E1174" s="14">
        <f>+E1173</f>
        <v>0.1</v>
      </c>
      <c r="F1174" s="8">
        <f>ROUNDUP(E1170/E1174,0)</f>
        <v>14</v>
      </c>
      <c r="H1174" s="14"/>
      <c r="I1174" s="14"/>
      <c r="J1174" s="14"/>
      <c r="K1174" s="14"/>
      <c r="L1174" s="14"/>
      <c r="M1174" s="14"/>
      <c r="N1174" s="14"/>
      <c r="O1174" s="8">
        <f>((((G1170-(2*'[2]Beam '!$D$11))+(2*10*D1174/1000))*D1170))*1</f>
        <v>1.28</v>
      </c>
      <c r="P1174" s="8">
        <f>O1174*F1174</f>
        <v>17.920000000000002</v>
      </c>
      <c r="Q1174" s="8">
        <f>IF($D1174='[2]Beam '!Q$44,$P1174*'[2]Beam '!Q$45,0)</f>
        <v>0</v>
      </c>
      <c r="R1174" s="8">
        <f>IF($D1174='[2]Beam '!R$44,$P1174*'[2]Beam '!R$45,0)</f>
        <v>0</v>
      </c>
      <c r="S1174" s="8">
        <f>IF($D1174='[2]Beam '!S$44,$P1174*'[2]Beam '!S$45,0)</f>
        <v>15.916032000000005</v>
      </c>
      <c r="T1174" s="8">
        <f>IF($D1174='[2]Beam '!T$44,$P1174*'[2]Beam '!T$45,0)</f>
        <v>0</v>
      </c>
      <c r="U1174" s="8">
        <f>IF($D1174='[2]Beam '!U$44,$P1174*'[2]Beam '!U$45,0)</f>
        <v>0</v>
      </c>
      <c r="V1174" s="8">
        <f>IF($D1174='[2]Beam '!V$44,$P1174*'[2]Beam '!V$45,0)</f>
        <v>0</v>
      </c>
      <c r="W1174" s="8">
        <f>IF($D1174='[2]Beam '!W$44,$P1174*'[2]Beam '!W$45,0)</f>
        <v>0</v>
      </c>
      <c r="X1174" s="8">
        <f>SUM(Q1174:W1174)</f>
        <v>15.916032000000005</v>
      </c>
      <c r="Y1174" s="14"/>
      <c r="Z1174" s="8"/>
      <c r="AA1174" s="8"/>
      <c r="AB1174" s="8"/>
      <c r="AC1174" s="8"/>
      <c r="AD1174" s="8"/>
      <c r="AE1174" s="8"/>
    </row>
    <row r="1175" spans="1:32" s="10" customFormat="1" ht="20.100000000000001" customHeight="1" x14ac:dyDescent="0.25">
      <c r="A1175" s="7"/>
      <c r="B1175" s="8" t="s">
        <v>2</v>
      </c>
      <c r="C1175" s="13" t="s">
        <v>10</v>
      </c>
      <c r="D1175" s="8">
        <f>+'[2]Beam '!$D$15</f>
        <v>25</v>
      </c>
      <c r="E1175" s="8">
        <f>+'[2]Beam '!$E$15</f>
        <v>1</v>
      </c>
      <c r="F1175" s="8">
        <f>ROUNDUP((E1170)/E1175,0)</f>
        <v>2</v>
      </c>
      <c r="G1175" s="9"/>
      <c r="H1175" s="9"/>
      <c r="I1175" s="8"/>
      <c r="J1175" s="8"/>
      <c r="K1175" s="8"/>
      <c r="L1175" s="8"/>
      <c r="M1175" s="8"/>
      <c r="N1175" s="8"/>
      <c r="O1175" s="8">
        <f>F1170-'[2]Beam '!$F$15</f>
        <v>0.34</v>
      </c>
      <c r="P1175" s="8">
        <f>O1175*F1175</f>
        <v>0.68</v>
      </c>
      <c r="Q1175" s="8">
        <f>IF($D1175='[2]Beam '!Q$44,$P1175*'[2]Beam '!Q$45,0)</f>
        <v>0</v>
      </c>
      <c r="R1175" s="8">
        <f>IF($D1175='[2]Beam '!R$44,$P1175*'[2]Beam '!R$45,0)</f>
        <v>0</v>
      </c>
      <c r="S1175" s="8">
        <f>IF($D1175='[2]Beam '!S$44,$P1175*'[2]Beam '!S$45,0)</f>
        <v>0</v>
      </c>
      <c r="T1175" s="8">
        <f>IF($D1175='[2]Beam '!T$44,$P1175*'[2]Beam '!T$45,0)</f>
        <v>0</v>
      </c>
      <c r="U1175" s="8">
        <f>IF($D1175='[2]Beam '!U$44,$P1175*'[2]Beam '!U$45,0)</f>
        <v>0</v>
      </c>
      <c r="V1175" s="8">
        <f>IF($D1175='[2]Beam '!V$44,$P1175*'[2]Beam '!V$45,0)</f>
        <v>2.6213392857142863</v>
      </c>
      <c r="W1175" s="8">
        <f>IF($D1175='[2]Beam '!W$44,$P1175*'[2]Beam '!W$45,0)</f>
        <v>0</v>
      </c>
      <c r="X1175" s="8">
        <f>SUM(Q1175:W1175)</f>
        <v>2.6213392857142863</v>
      </c>
      <c r="Y1175" s="8"/>
      <c r="Z1175" s="8"/>
      <c r="AA1175" s="8"/>
      <c r="AB1175" s="8"/>
      <c r="AC1175" s="8"/>
      <c r="AD1175" s="8"/>
      <c r="AE1175" s="8"/>
    </row>
    <row r="1176" spans="1:32" s="10" customFormat="1" ht="20.100000000000001" customHeight="1" x14ac:dyDescent="0.25">
      <c r="A1176" s="8">
        <v>1</v>
      </c>
      <c r="B1176" s="8" t="s">
        <v>2</v>
      </c>
      <c r="C1176" s="11" t="s">
        <v>156</v>
      </c>
      <c r="D1176" s="11">
        <v>1</v>
      </c>
      <c r="E1176" s="11">
        <v>2.4</v>
      </c>
      <c r="F1176" s="11">
        <v>0.4</v>
      </c>
      <c r="G1176" s="11">
        <v>0.6</v>
      </c>
      <c r="H1176" s="8">
        <f>G1176-0.2</f>
        <v>0.39999999999999997</v>
      </c>
      <c r="I1176" s="8">
        <f>E1176*F1176*G1176*D1176</f>
        <v>0.57599999999999996</v>
      </c>
      <c r="J1176" s="8">
        <f>(2*(E1176)*H1176*D1176)+(E1176*F1176)</f>
        <v>2.88</v>
      </c>
      <c r="K1176" s="12">
        <f>IF(E1176=0.3,J1176,0)</f>
        <v>0</v>
      </c>
      <c r="L1176" s="12">
        <f>IF(AND(E1176&gt;0.3,E1176&lt;=0.75),J1176,0)</f>
        <v>0</v>
      </c>
      <c r="M1176" s="12">
        <f>IF(AND(E1176&gt;0.75,E1176&lt;=1.2),J1176,0)</f>
        <v>0</v>
      </c>
      <c r="N1176" s="12">
        <f>IF(E1176&gt;1.2,J1176,0)</f>
        <v>2.88</v>
      </c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>
        <f>SUM(X1177:X1179)/I1176</f>
        <v>120.04568888888892</v>
      </c>
      <c r="Z1176" s="8"/>
      <c r="AA1176" s="8"/>
      <c r="AB1176" s="8"/>
      <c r="AC1176" s="8"/>
      <c r="AD1176" s="8"/>
      <c r="AE1176" s="8"/>
    </row>
    <row r="1177" spans="1:32" s="10" customFormat="1" ht="21" customHeight="1" x14ac:dyDescent="0.25">
      <c r="A1177" s="7"/>
      <c r="B1177" s="8" t="s">
        <v>2</v>
      </c>
      <c r="C1177" s="13" t="s">
        <v>4</v>
      </c>
      <c r="D1177" s="8">
        <v>16</v>
      </c>
      <c r="E1177" s="8"/>
      <c r="F1177" s="8">
        <v>4</v>
      </c>
      <c r="G1177" s="9">
        <f>VLOOKUP(D1177,'[2]Beam '!$C$20:$H$26,3,0)</f>
        <v>0.625</v>
      </c>
      <c r="H1177" s="9"/>
      <c r="I1177" s="8"/>
      <c r="J1177" s="8"/>
      <c r="K1177" s="8"/>
      <c r="L1177" s="8"/>
      <c r="M1177" s="8"/>
      <c r="N1177" s="8"/>
      <c r="O1177" s="8">
        <f>(E1176+2*(G1177+(12*D1177/1000))*D1176)</f>
        <v>4.0339999999999998</v>
      </c>
      <c r="P1177" s="8">
        <f>O1177*F1177</f>
        <v>16.135999999999999</v>
      </c>
      <c r="Q1177" s="8">
        <f>IF($D1177='[2]Beam '!Q$44,$P1177*'[2]Beam '!Q$45,0)</f>
        <v>0</v>
      </c>
      <c r="R1177" s="8">
        <f>IF($D1177='[2]Beam '!R$44,$P1177*'[2]Beam '!R$45,0)</f>
        <v>0</v>
      </c>
      <c r="S1177" s="8">
        <f>IF($D1177='[2]Beam '!S$44,$P1177*'[2]Beam '!S$45,0)</f>
        <v>0</v>
      </c>
      <c r="T1177" s="8">
        <f>IF($D1177='[2]Beam '!T$44,$P1177*'[2]Beam '!T$45,0)</f>
        <v>25.478282971428573</v>
      </c>
      <c r="U1177" s="8">
        <f>IF($D1177='[2]Beam '!U$44,$P1177*'[2]Beam '!U$45,0)</f>
        <v>0</v>
      </c>
      <c r="V1177" s="8">
        <f>IF($D1177='[2]Beam '!V$44,$P1177*'[2]Beam '!V$45,0)</f>
        <v>0</v>
      </c>
      <c r="W1177" s="8">
        <f>IF($D1177='[2]Beam '!W$44,$P1177*'[2]Beam '!W$45,0)</f>
        <v>0</v>
      </c>
      <c r="X1177" s="8">
        <f>SUM(Q1177:W1177)</f>
        <v>25.478282971428573</v>
      </c>
      <c r="Y1177" s="8"/>
      <c r="Z1177" s="8"/>
      <c r="AA1177" s="8"/>
      <c r="AB1177" s="8"/>
      <c r="AC1177" s="8"/>
      <c r="AD1177" s="8"/>
      <c r="AE1177" s="8"/>
      <c r="AF1177" s="8"/>
    </row>
    <row r="1178" spans="1:32" s="10" customFormat="1" ht="20.100000000000001" customHeight="1" x14ac:dyDescent="0.25">
      <c r="A1178" s="7"/>
      <c r="B1178" s="8" t="s">
        <v>2</v>
      </c>
      <c r="C1178" s="13" t="s">
        <v>139</v>
      </c>
      <c r="D1178" s="8">
        <v>16</v>
      </c>
      <c r="E1178" s="8"/>
      <c r="F1178" s="8">
        <v>4</v>
      </c>
      <c r="G1178" s="9">
        <f>VLOOKUP(D1178,'[2]Beam '!$C$20:$H$26,3,0)</f>
        <v>0.625</v>
      </c>
      <c r="H1178" s="9"/>
      <c r="I1178" s="8"/>
      <c r="J1178" s="8"/>
      <c r="K1178" s="8"/>
      <c r="L1178" s="8"/>
      <c r="M1178" s="8"/>
      <c r="N1178" s="8"/>
      <c r="O1178" s="8">
        <f>(E1176+2*(G1178+(12*D1178/1000))*D1176)</f>
        <v>4.0339999999999998</v>
      </c>
      <c r="P1178" s="8">
        <f>O1178*F1178</f>
        <v>16.135999999999999</v>
      </c>
      <c r="Q1178" s="8">
        <f>IF($D1178='[2]Beam '!Q$44,$P1178*'[2]Beam '!Q$45,0)</f>
        <v>0</v>
      </c>
      <c r="R1178" s="8">
        <f>IF($D1178='[2]Beam '!R$44,$P1178*'[2]Beam '!R$45,0)</f>
        <v>0</v>
      </c>
      <c r="S1178" s="8">
        <f>IF($D1178='[2]Beam '!S$44,$P1178*'[2]Beam '!S$45,0)</f>
        <v>0</v>
      </c>
      <c r="T1178" s="8">
        <f>IF($D1178='[2]Beam '!T$44,$P1178*'[2]Beam '!T$45,0)</f>
        <v>25.478282971428573</v>
      </c>
      <c r="U1178" s="8">
        <f>IF($D1178='[2]Beam '!U$44,$P1178*'[2]Beam '!U$45,0)</f>
        <v>0</v>
      </c>
      <c r="V1178" s="8">
        <f>IF($D1178='[2]Beam '!V$44,$P1178*'[2]Beam '!V$45,0)</f>
        <v>0</v>
      </c>
      <c r="W1178" s="8">
        <f>IF($D1178='[2]Beam '!W$44,$P1178*'[2]Beam '!W$45,0)</f>
        <v>0</v>
      </c>
      <c r="X1178" s="8">
        <f>SUM(Q1178:W1178)</f>
        <v>25.478282971428573</v>
      </c>
      <c r="Y1178" s="8"/>
      <c r="Z1178" s="8"/>
      <c r="AA1178" s="8"/>
      <c r="AB1178" s="8"/>
      <c r="AC1178" s="8"/>
      <c r="AD1178" s="8"/>
      <c r="AE1178" s="8"/>
    </row>
    <row r="1179" spans="1:32" s="10" customFormat="1" ht="20.100000000000001" customHeight="1" x14ac:dyDescent="0.25">
      <c r="A1179" s="7"/>
      <c r="B1179" s="8" t="s">
        <v>2</v>
      </c>
      <c r="C1179" s="13" t="s">
        <v>8</v>
      </c>
      <c r="D1179" s="8">
        <v>8</v>
      </c>
      <c r="E1179" s="8">
        <v>0.1</v>
      </c>
      <c r="F1179" s="8">
        <f>ROUNDUP(E1176/E1179,0)</f>
        <v>24</v>
      </c>
      <c r="H1179" s="8"/>
      <c r="I1179" s="8"/>
      <c r="J1179" s="8"/>
      <c r="K1179" s="8"/>
      <c r="L1179" s="8"/>
      <c r="M1179" s="8"/>
      <c r="N1179" s="8"/>
      <c r="O1179" s="8">
        <f>(2*((G1176-(2*'[2]Beam '!$D$11))+(F1176-(2*'[2]Beam '!$D$11)))+(2*10*D1179/1000))*D1176</f>
        <v>1.9200000000000002</v>
      </c>
      <c r="P1179" s="8">
        <f>O1179*F1179</f>
        <v>46.080000000000005</v>
      </c>
      <c r="Q1179" s="8">
        <f>IF($D1179='[2]Beam '!Q$44,$P1179*'[2]Beam '!Q$45,0)</f>
        <v>18.189750857142862</v>
      </c>
      <c r="R1179" s="8">
        <f>IF($D1179='[2]Beam '!R$44,$P1179*'[2]Beam '!R$45,0)</f>
        <v>0</v>
      </c>
      <c r="S1179" s="8">
        <f>IF($D1179='[2]Beam '!S$44,$P1179*'[2]Beam '!S$45,0)</f>
        <v>0</v>
      </c>
      <c r="T1179" s="8">
        <f>IF($D1179='[2]Beam '!T$44,$P1179*'[2]Beam '!T$45,0)</f>
        <v>0</v>
      </c>
      <c r="U1179" s="8">
        <f>IF($D1179='[2]Beam '!U$44,$P1179*'[2]Beam '!U$45,0)</f>
        <v>0</v>
      </c>
      <c r="V1179" s="8">
        <f>IF($D1179='[2]Beam '!V$44,$P1179*'[2]Beam '!V$45,0)</f>
        <v>0</v>
      </c>
      <c r="W1179" s="8">
        <f>IF($D1179='[2]Beam '!W$44,$P1179*'[2]Beam '!W$45,0)</f>
        <v>0</v>
      </c>
      <c r="X1179" s="8">
        <f>SUM(Q1179:W1179)</f>
        <v>18.189750857142862</v>
      </c>
      <c r="Y1179" s="8"/>
      <c r="Z1179" s="8"/>
      <c r="AA1179" s="8"/>
      <c r="AB1179" s="8"/>
      <c r="AC1179" s="8"/>
      <c r="AD1179" s="8"/>
      <c r="AE1179" s="8"/>
    </row>
    <row r="1180" spans="1:32" s="10" customFormat="1" ht="20.100000000000001" customHeight="1" x14ac:dyDescent="0.25">
      <c r="A1180" s="8">
        <v>1</v>
      </c>
      <c r="B1180" s="8" t="s">
        <v>2</v>
      </c>
      <c r="C1180" s="11" t="s">
        <v>157</v>
      </c>
      <c r="D1180" s="11">
        <v>1</v>
      </c>
      <c r="E1180" s="11">
        <v>6.1970000000000001</v>
      </c>
      <c r="F1180" s="11">
        <v>0.5</v>
      </c>
      <c r="G1180" s="11">
        <v>0.6</v>
      </c>
      <c r="H1180" s="8">
        <f>G1180-0.2</f>
        <v>0.39999999999999997</v>
      </c>
      <c r="I1180" s="8">
        <f>E1180*F1180*G1180*D1180</f>
        <v>1.8591</v>
      </c>
      <c r="J1180" s="8">
        <f>(2*(E1180)*H1180*D1180)+(E1180*F1180)</f>
        <v>8.0560999999999989</v>
      </c>
      <c r="K1180" s="12">
        <f>IF(E1180=0.3,J1180,0)</f>
        <v>0</v>
      </c>
      <c r="L1180" s="12">
        <f>IF(AND(E1180&gt;0.3,E1180&lt;=0.75),J1180,0)</f>
        <v>0</v>
      </c>
      <c r="M1180" s="12">
        <f>IF(AND(E1180&gt;0.75,E1180&lt;=1.2),J1180,0)</f>
        <v>0</v>
      </c>
      <c r="N1180" s="12">
        <f>IF(E1180&gt;1.2,J1180,0)</f>
        <v>8.0560999999999989</v>
      </c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>
        <f>SUM(X1181:X1187)/I1180</f>
        <v>249.43600902318332</v>
      </c>
      <c r="Z1180" s="8"/>
      <c r="AA1180" s="8"/>
      <c r="AB1180" s="8"/>
      <c r="AC1180" s="8"/>
      <c r="AD1180" s="8"/>
      <c r="AE1180" s="8"/>
    </row>
    <row r="1181" spans="1:32" s="10" customFormat="1" ht="20.100000000000001" customHeight="1" x14ac:dyDescent="0.25">
      <c r="A1181" s="7"/>
      <c r="B1181" s="8" t="s">
        <v>2</v>
      </c>
      <c r="C1181" s="13" t="s">
        <v>4</v>
      </c>
      <c r="D1181" s="8">
        <v>20</v>
      </c>
      <c r="E1181" s="8"/>
      <c r="F1181" s="8">
        <v>5</v>
      </c>
      <c r="G1181" s="9">
        <f>VLOOKUP(D1181,'[2]Beam '!$C$20:$H$26,3,0)</f>
        <v>0.8</v>
      </c>
      <c r="H1181" s="9"/>
      <c r="I1181" s="8"/>
      <c r="J1181" s="8"/>
      <c r="K1181" s="8"/>
      <c r="L1181" s="8"/>
      <c r="M1181" s="8"/>
      <c r="N1181" s="8"/>
      <c r="O1181" s="8">
        <f>(E1180+1*(1.5/2)+G1181*D1180)</f>
        <v>7.7469999999999999</v>
      </c>
      <c r="P1181" s="8">
        <f t="shared" ref="P1181:P1188" si="219">O1181*F1181</f>
        <v>38.734999999999999</v>
      </c>
      <c r="Q1181" s="8">
        <f>IF($D1181='[2]Beam '!Q$44,$P1181*'[2]Beam '!Q$45,0)</f>
        <v>0</v>
      </c>
      <c r="R1181" s="8">
        <f>IF($D1181='[2]Beam '!R$44,$P1181*'[2]Beam '!R$45,0)</f>
        <v>0</v>
      </c>
      <c r="S1181" s="8">
        <f>IF($D1181='[2]Beam '!S$44,$P1181*'[2]Beam '!S$45,0)</f>
        <v>0</v>
      </c>
      <c r="T1181" s="8">
        <f>IF($D1181='[2]Beam '!T$44,$P1181*'[2]Beam '!T$45,0)</f>
        <v>0</v>
      </c>
      <c r="U1181" s="8">
        <f>IF($D1181='[2]Beam '!U$44,$P1181*'[2]Beam '!U$45,0)</f>
        <v>95.564778571428562</v>
      </c>
      <c r="V1181" s="8">
        <f>IF($D1181='[2]Beam '!V$44,$P1181*'[2]Beam '!V$45,0)</f>
        <v>0</v>
      </c>
      <c r="W1181" s="8">
        <f>IF($D1181='[2]Beam '!W$44,$P1181*'[2]Beam '!W$45,0)</f>
        <v>0</v>
      </c>
      <c r="X1181" s="8">
        <f t="shared" ref="X1181:X1188" si="220">SUM(Q1181:W1181)</f>
        <v>95.564778571428562</v>
      </c>
      <c r="Y1181" s="8"/>
      <c r="Z1181" s="8"/>
      <c r="AA1181" s="8"/>
      <c r="AB1181" s="8"/>
      <c r="AC1181" s="8"/>
      <c r="AD1181" s="8"/>
      <c r="AE1181" s="8"/>
    </row>
    <row r="1182" spans="1:32" s="14" customFormat="1" ht="20.100000000000001" customHeight="1" x14ac:dyDescent="0.3">
      <c r="A1182" s="7"/>
      <c r="B1182" s="8" t="s">
        <v>2</v>
      </c>
      <c r="C1182" s="13" t="s">
        <v>139</v>
      </c>
      <c r="D1182" s="8">
        <v>25</v>
      </c>
      <c r="E1182" s="8"/>
      <c r="F1182" s="8">
        <v>5</v>
      </c>
      <c r="G1182" s="9">
        <f>VLOOKUP(D1182,'[2]Beam '!$C$20:$H$26,3,0)</f>
        <v>1</v>
      </c>
      <c r="H1182" s="9"/>
      <c r="I1182" s="8"/>
      <c r="J1182" s="8"/>
      <c r="K1182" s="8"/>
      <c r="L1182" s="8"/>
      <c r="M1182" s="8"/>
      <c r="N1182" s="8"/>
      <c r="O1182" s="8">
        <f>(E1180+1*(1.5/2)+G1182*D1180)</f>
        <v>7.9470000000000001</v>
      </c>
      <c r="P1182" s="8">
        <f t="shared" si="219"/>
        <v>39.734999999999999</v>
      </c>
      <c r="Q1182" s="8">
        <f>IF($D1182='[2]Beam '!Q$44,$P1182*'[2]Beam '!Q$45,0)</f>
        <v>0</v>
      </c>
      <c r="R1182" s="8">
        <f>IF($D1182='[2]Beam '!R$44,$P1182*'[2]Beam '!R$45,0)</f>
        <v>0</v>
      </c>
      <c r="S1182" s="8">
        <f>IF($D1182='[2]Beam '!S$44,$P1182*'[2]Beam '!S$45,0)</f>
        <v>0</v>
      </c>
      <c r="T1182" s="8">
        <f>IF($D1182='[2]Beam '!T$44,$P1182*'[2]Beam '!T$45,0)</f>
        <v>0</v>
      </c>
      <c r="U1182" s="8">
        <f>IF($D1182='[2]Beam '!U$44,$P1182*'[2]Beam '!U$45,0)</f>
        <v>0</v>
      </c>
      <c r="V1182" s="8">
        <f>IF($D1182='[2]Beam '!V$44,$P1182*'[2]Beam '!V$45,0)</f>
        <v>153.17487723214288</v>
      </c>
      <c r="W1182" s="8">
        <f>IF($D1182='[2]Beam '!W$44,$P1182*'[2]Beam '!W$45,0)</f>
        <v>0</v>
      </c>
      <c r="X1182" s="8">
        <f t="shared" si="220"/>
        <v>153.17487723214288</v>
      </c>
      <c r="Y1182" s="8"/>
    </row>
    <row r="1183" spans="1:32" s="14" customFormat="1" ht="20.100000000000001" customHeight="1" x14ac:dyDescent="0.3">
      <c r="A1183" s="7"/>
      <c r="B1183" s="8" t="s">
        <v>2</v>
      </c>
      <c r="C1183" s="13" t="s">
        <v>88</v>
      </c>
      <c r="D1183" s="8">
        <v>20</v>
      </c>
      <c r="E1183" s="8"/>
      <c r="F1183" s="8">
        <v>5</v>
      </c>
      <c r="G1183" s="9">
        <f>VLOOKUP(D1183,'[2]Beam '!$C$20:$H$26,3,0)</f>
        <v>0.8</v>
      </c>
      <c r="H1183" s="9"/>
      <c r="I1183" s="8"/>
      <c r="J1183" s="8"/>
      <c r="K1183" s="8"/>
      <c r="L1183" s="8"/>
      <c r="M1183" s="8"/>
      <c r="N1183" s="8"/>
      <c r="O1183" s="8">
        <f>(E1180+G1183*D1180)</f>
        <v>6.9969999999999999</v>
      </c>
      <c r="P1183" s="8">
        <f t="shared" si="219"/>
        <v>34.984999999999999</v>
      </c>
      <c r="Q1183" s="8">
        <f>IF($D1183='[2]Beam '!Q$44,$P1183*'[2]Beam '!Q$45,0)</f>
        <v>0</v>
      </c>
      <c r="R1183" s="8">
        <f>IF($D1183='[2]Beam '!R$44,$P1183*'[2]Beam '!R$45,0)</f>
        <v>0</v>
      </c>
      <c r="S1183" s="8">
        <f>IF($D1183='[2]Beam '!S$44,$P1183*'[2]Beam '!S$45,0)</f>
        <v>0</v>
      </c>
      <c r="T1183" s="8">
        <f>IF($D1183='[2]Beam '!T$44,$P1183*'[2]Beam '!T$45,0)</f>
        <v>0</v>
      </c>
      <c r="U1183" s="8">
        <f>IF($D1183='[2]Beam '!U$44,$P1183*'[2]Beam '!U$45,0)</f>
        <v>86.312992857142859</v>
      </c>
      <c r="V1183" s="8">
        <f>IF($D1183='[2]Beam '!V$44,$P1183*'[2]Beam '!V$45,0)</f>
        <v>0</v>
      </c>
      <c r="W1183" s="8">
        <f>IF($D1183='[2]Beam '!W$44,$P1183*'[2]Beam '!W$45,0)</f>
        <v>0</v>
      </c>
      <c r="X1183" s="8">
        <f t="shared" si="220"/>
        <v>86.312992857142859</v>
      </c>
      <c r="Y1183" s="8"/>
    </row>
    <row r="1184" spans="1:32" s="14" customFormat="1" ht="20.100000000000001" customHeight="1" x14ac:dyDescent="0.25">
      <c r="A1184" s="7"/>
      <c r="B1184" s="8" t="s">
        <v>2</v>
      </c>
      <c r="C1184" s="13" t="s">
        <v>13</v>
      </c>
      <c r="D1184" s="8">
        <v>10</v>
      </c>
      <c r="E1184" s="8">
        <v>0.1</v>
      </c>
      <c r="F1184" s="8">
        <f>ROUND(IF(E1180/3&gt;(2*G1180),(E1180/3)/E1184,(2*G1180)/E1184),0)*2+1</f>
        <v>43</v>
      </c>
      <c r="G1184" s="10"/>
      <c r="H1184" s="8"/>
      <c r="I1184" s="8"/>
      <c r="J1184" s="8"/>
      <c r="K1184" s="8"/>
      <c r="L1184" s="8"/>
      <c r="M1184" s="8"/>
      <c r="N1184" s="8"/>
      <c r="O1184" s="8">
        <f>(2*((G1180-(2*'[2]Beam '!$D$11))+(F1180-(2*'[2]Beam '!$D$11)))+(2*10*D1184/1000))*D1180</f>
        <v>2.16</v>
      </c>
      <c r="P1184" s="8">
        <f t="shared" si="219"/>
        <v>92.88000000000001</v>
      </c>
      <c r="Q1184" s="8">
        <f>IF($D1184='[2]Beam '!Q$44,$P1184*'[2]Beam '!Q$45,0)</f>
        <v>0</v>
      </c>
      <c r="R1184" s="8">
        <f>IF($D1184='[2]Beam '!R$44,$P1184*'[2]Beam '!R$45,0)</f>
        <v>57.287057142857151</v>
      </c>
      <c r="S1184" s="8">
        <f>IF($D1184='[2]Beam '!S$44,$P1184*'[2]Beam '!S$45,0)</f>
        <v>0</v>
      </c>
      <c r="T1184" s="8">
        <f>IF($D1184='[2]Beam '!T$44,$P1184*'[2]Beam '!T$45,0)</f>
        <v>0</v>
      </c>
      <c r="U1184" s="8">
        <f>IF($D1184='[2]Beam '!U$44,$P1184*'[2]Beam '!U$45,0)</f>
        <v>0</v>
      </c>
      <c r="V1184" s="8">
        <f>IF($D1184='[2]Beam '!V$44,$P1184*'[2]Beam '!V$45,0)</f>
        <v>0</v>
      </c>
      <c r="W1184" s="8">
        <f>IF($D1184='[2]Beam '!W$44,$P1184*'[2]Beam '!W$45,0)</f>
        <v>0</v>
      </c>
      <c r="X1184" s="8">
        <f t="shared" si="220"/>
        <v>57.287057142857151</v>
      </c>
      <c r="Y1184" s="8"/>
    </row>
    <row r="1185" spans="1:32" s="10" customFormat="1" ht="20.100000000000001" customHeight="1" x14ac:dyDescent="0.25">
      <c r="A1185" s="14"/>
      <c r="B1185" s="8" t="s">
        <v>2</v>
      </c>
      <c r="C1185" s="13" t="s">
        <v>14</v>
      </c>
      <c r="D1185" s="14">
        <f>D1184</f>
        <v>10</v>
      </c>
      <c r="E1185" s="14">
        <v>0.15</v>
      </c>
      <c r="F1185" s="14">
        <f>ROUND((E1180-(IF(E1180/3&gt;2*G1180,E1180/3*2,G1180*2*2)))/E1185,0)</f>
        <v>14</v>
      </c>
      <c r="H1185" s="14"/>
      <c r="I1185" s="14"/>
      <c r="J1185" s="14"/>
      <c r="K1185" s="14"/>
      <c r="L1185" s="14"/>
      <c r="M1185" s="14"/>
      <c r="N1185" s="14"/>
      <c r="O1185" s="8">
        <f>(2*((G1180-(2*'[2]Beam '!$D$11))+(F1180-(2*'[2]Beam '!$D$11)))+(2*10*D1185/1000))*D1180</f>
        <v>2.16</v>
      </c>
      <c r="P1185" s="8">
        <f t="shared" si="219"/>
        <v>30.240000000000002</v>
      </c>
      <c r="Q1185" s="8">
        <f>IF($D1185='[2]Beam '!Q$44,$P1185*'[2]Beam '!Q$45,0)</f>
        <v>0</v>
      </c>
      <c r="R1185" s="8">
        <f>IF($D1185='[2]Beam '!R$44,$P1185*'[2]Beam '!R$45,0)</f>
        <v>18.651600000000002</v>
      </c>
      <c r="S1185" s="8">
        <f>IF($D1185='[2]Beam '!S$44,$P1185*'[2]Beam '!S$45,0)</f>
        <v>0</v>
      </c>
      <c r="T1185" s="8">
        <f>IF($D1185='[2]Beam '!T$44,$P1185*'[2]Beam '!T$45,0)</f>
        <v>0</v>
      </c>
      <c r="U1185" s="8">
        <f>IF($D1185='[2]Beam '!U$44,$P1185*'[2]Beam '!U$45,0)</f>
        <v>0</v>
      </c>
      <c r="V1185" s="8">
        <f>IF($D1185='[2]Beam '!V$44,$P1185*'[2]Beam '!V$45,0)</f>
        <v>0</v>
      </c>
      <c r="W1185" s="8">
        <f>IF($D1185='[2]Beam '!W$44,$P1185*'[2]Beam '!W$45,0)</f>
        <v>0</v>
      </c>
      <c r="X1185" s="8">
        <f t="shared" si="220"/>
        <v>18.651600000000002</v>
      </c>
      <c r="Y1185" s="14"/>
      <c r="Z1185" s="8"/>
      <c r="AA1185" s="8"/>
      <c r="AB1185" s="8"/>
      <c r="AC1185" s="8"/>
      <c r="AD1185" s="8"/>
      <c r="AE1185" s="8"/>
    </row>
    <row r="1186" spans="1:32" s="10" customFormat="1" ht="21" customHeight="1" x14ac:dyDescent="0.25">
      <c r="A1186" s="14"/>
      <c r="B1186" s="8" t="s">
        <v>2</v>
      </c>
      <c r="C1186" s="13" t="s">
        <v>15</v>
      </c>
      <c r="D1186" s="14">
        <f>D1184</f>
        <v>10</v>
      </c>
      <c r="E1186" s="14">
        <f>+E1184</f>
        <v>0.1</v>
      </c>
      <c r="F1186" s="8">
        <f>ROUND(IF(E1180/3&gt;(2*G1180),(E1180/3)/E1186,(2*G1180)/E1186),0)*2+1</f>
        <v>43</v>
      </c>
      <c r="H1186" s="14"/>
      <c r="I1186" s="14"/>
      <c r="J1186" s="14"/>
      <c r="K1186" s="14"/>
      <c r="L1186" s="14"/>
      <c r="M1186" s="14"/>
      <c r="N1186" s="14"/>
      <c r="O1186" s="8">
        <f>(2*(((F1180-'[2]Beam '!$D$11*2)/(F1181-1))+(G1180-'[2]Beam '!$D$11*2))+(2*10*D1186/1000))*D1180</f>
        <v>1.5</v>
      </c>
      <c r="P1186" s="8">
        <f t="shared" si="219"/>
        <v>64.5</v>
      </c>
      <c r="Q1186" s="8">
        <f>IF($D1186='[2]Beam '!Q$44,$P1186*'[2]Beam '!Q$45,0)</f>
        <v>0</v>
      </c>
      <c r="R1186" s="8">
        <f>IF($D1186='[2]Beam '!R$44,$P1186*'[2]Beam '!R$45,0)</f>
        <v>39.782678571428569</v>
      </c>
      <c r="S1186" s="8">
        <f>IF($D1186='[2]Beam '!S$44,$P1186*'[2]Beam '!S$45,0)</f>
        <v>0</v>
      </c>
      <c r="T1186" s="8">
        <f>IF($D1186='[2]Beam '!T$44,$P1186*'[2]Beam '!T$45,0)</f>
        <v>0</v>
      </c>
      <c r="U1186" s="8">
        <f>IF($D1186='[2]Beam '!U$44,$P1186*'[2]Beam '!U$45,0)</f>
        <v>0</v>
      </c>
      <c r="V1186" s="8">
        <f>IF($D1186='[2]Beam '!V$44,$P1186*'[2]Beam '!V$45,0)</f>
        <v>0</v>
      </c>
      <c r="W1186" s="8">
        <f>IF($D1186='[2]Beam '!W$44,$P1186*'[2]Beam '!W$45,0)</f>
        <v>0</v>
      </c>
      <c r="X1186" s="8">
        <f t="shared" si="220"/>
        <v>39.782678571428569</v>
      </c>
      <c r="Y1186" s="14"/>
      <c r="Z1186" s="8"/>
      <c r="AA1186" s="8"/>
      <c r="AB1186" s="8"/>
      <c r="AC1186" s="8"/>
      <c r="AD1186" s="8"/>
      <c r="AE1186" s="8"/>
      <c r="AF1186" s="8"/>
    </row>
    <row r="1187" spans="1:32" s="10" customFormat="1" ht="20.100000000000001" customHeight="1" x14ac:dyDescent="0.25">
      <c r="A1187" s="14"/>
      <c r="B1187" s="8" t="s">
        <v>2</v>
      </c>
      <c r="C1187" s="13" t="s">
        <v>16</v>
      </c>
      <c r="D1187" s="14">
        <f>D1185</f>
        <v>10</v>
      </c>
      <c r="E1187" s="14">
        <f>+E1185</f>
        <v>0.15</v>
      </c>
      <c r="F1187" s="14">
        <f>ROUND((E1180-(IF(E1180/3&gt;2*G1180,E1180/3*2,G1180*2*2)))/E1187,0)</f>
        <v>14</v>
      </c>
      <c r="H1187" s="14"/>
      <c r="I1187" s="14"/>
      <c r="J1187" s="14"/>
      <c r="K1187" s="14"/>
      <c r="L1187" s="14"/>
      <c r="M1187" s="14"/>
      <c r="N1187" s="14"/>
      <c r="O1187" s="8">
        <f>(2*(((F1180-'[2]Beam '!$D$11*2)/(F1181-1))+(G1180-'[2]Beam '!$D$11*2))+(2*10*D1187/1000))*D1180</f>
        <v>1.5</v>
      </c>
      <c r="P1187" s="8">
        <f t="shared" si="219"/>
        <v>21</v>
      </c>
      <c r="Q1187" s="8">
        <f>IF($D1187='[2]Beam '!Q$44,$P1187*'[2]Beam '!Q$45,0)</f>
        <v>0</v>
      </c>
      <c r="R1187" s="8">
        <f>IF($D1187='[2]Beam '!R$44,$P1187*'[2]Beam '!R$45,0)</f>
        <v>12.952500000000001</v>
      </c>
      <c r="S1187" s="8">
        <f>IF($D1187='[2]Beam '!S$44,$P1187*'[2]Beam '!S$45,0)</f>
        <v>0</v>
      </c>
      <c r="T1187" s="8">
        <f>IF($D1187='[2]Beam '!T$44,$P1187*'[2]Beam '!T$45,0)</f>
        <v>0</v>
      </c>
      <c r="U1187" s="8">
        <f>IF($D1187='[2]Beam '!U$44,$P1187*'[2]Beam '!U$45,0)</f>
        <v>0</v>
      </c>
      <c r="V1187" s="8">
        <f>IF($D1187='[2]Beam '!V$44,$P1187*'[2]Beam '!V$45,0)</f>
        <v>0</v>
      </c>
      <c r="W1187" s="8">
        <f>IF($D1187='[2]Beam '!W$44,$P1187*'[2]Beam '!W$45,0)</f>
        <v>0</v>
      </c>
      <c r="X1187" s="8">
        <f t="shared" si="220"/>
        <v>12.952500000000001</v>
      </c>
      <c r="Y1187" s="14"/>
      <c r="Z1187" s="8"/>
      <c r="AA1187" s="8"/>
      <c r="AB1187" s="8"/>
      <c r="AC1187" s="8"/>
      <c r="AD1187" s="8"/>
      <c r="AE1187" s="8"/>
    </row>
    <row r="1188" spans="1:32" s="10" customFormat="1" ht="20.100000000000001" customHeight="1" x14ac:dyDescent="0.25">
      <c r="A1188" s="7"/>
      <c r="B1188" s="8" t="s">
        <v>2</v>
      </c>
      <c r="C1188" s="13" t="s">
        <v>10</v>
      </c>
      <c r="D1188" s="8">
        <f>+'[2]Beam '!$D$15</f>
        <v>25</v>
      </c>
      <c r="E1188" s="8">
        <f>+'[2]Beam '!$E$15</f>
        <v>1</v>
      </c>
      <c r="F1188" s="8">
        <f>ROUNDUP((O1183)/E1188,0)</f>
        <v>7</v>
      </c>
      <c r="G1188" s="9"/>
      <c r="H1188" s="9"/>
      <c r="I1188" s="8"/>
      <c r="J1188" s="8"/>
      <c r="K1188" s="8"/>
      <c r="L1188" s="8"/>
      <c r="M1188" s="8"/>
      <c r="N1188" s="8"/>
      <c r="O1188" s="8">
        <f>F1180-'[2]Beam '!$F$15</f>
        <v>0.44</v>
      </c>
      <c r="P1188" s="8">
        <f t="shared" si="219"/>
        <v>3.08</v>
      </c>
      <c r="Q1188" s="8">
        <f>IF($D1188='[2]Beam '!Q$44,$P1188*'[2]Beam '!Q$45,0)</f>
        <v>0</v>
      </c>
      <c r="R1188" s="8">
        <f>IF($D1188='[2]Beam '!R$44,$P1188*'[2]Beam '!R$45,0)</f>
        <v>0</v>
      </c>
      <c r="S1188" s="8">
        <f>IF($D1188='[2]Beam '!S$44,$P1188*'[2]Beam '!S$45,0)</f>
        <v>0</v>
      </c>
      <c r="T1188" s="8">
        <f>IF($D1188='[2]Beam '!T$44,$P1188*'[2]Beam '!T$45,0)</f>
        <v>0</v>
      </c>
      <c r="U1188" s="8">
        <f>IF($D1188='[2]Beam '!U$44,$P1188*'[2]Beam '!U$45,0)</f>
        <v>0</v>
      </c>
      <c r="V1188" s="8">
        <f>IF($D1188='[2]Beam '!V$44,$P1188*'[2]Beam '!V$45,0)</f>
        <v>11.873125000000002</v>
      </c>
      <c r="W1188" s="8">
        <f>IF($D1188='[2]Beam '!W$44,$P1188*'[2]Beam '!W$45,0)</f>
        <v>0</v>
      </c>
      <c r="X1188" s="8">
        <f t="shared" si="220"/>
        <v>11.873125000000002</v>
      </c>
      <c r="Y1188" s="8"/>
      <c r="Z1188" s="8"/>
      <c r="AA1188" s="8"/>
      <c r="AB1188" s="8"/>
      <c r="AC1188" s="8"/>
      <c r="AD1188" s="8"/>
      <c r="AE1188" s="8"/>
    </row>
    <row r="1189" spans="1:32" s="10" customFormat="1" ht="20.100000000000001" customHeight="1" x14ac:dyDescent="0.25">
      <c r="A1189" s="8">
        <v>1</v>
      </c>
      <c r="B1189" s="8" t="s">
        <v>2</v>
      </c>
      <c r="C1189" s="11" t="s">
        <v>158</v>
      </c>
      <c r="D1189" s="11">
        <v>1</v>
      </c>
      <c r="E1189" s="11">
        <v>8</v>
      </c>
      <c r="F1189" s="11">
        <v>0.45</v>
      </c>
      <c r="G1189" s="11">
        <v>0.5</v>
      </c>
      <c r="H1189" s="8">
        <f>G1189-0.2</f>
        <v>0.3</v>
      </c>
      <c r="I1189" s="8">
        <f>E1189*F1189*G1189*D1189</f>
        <v>1.8</v>
      </c>
      <c r="J1189" s="8">
        <f>(2*(E1189)*H1189*D1189)+(E1189*F1189)</f>
        <v>8.4</v>
      </c>
      <c r="K1189" s="12">
        <f>IF(E1189=0.3,J1189,0)</f>
        <v>0</v>
      </c>
      <c r="L1189" s="12">
        <f>IF(AND(E1189&gt;0.3,E1189&lt;=0.75),J1189,0)</f>
        <v>0</v>
      </c>
      <c r="M1189" s="12">
        <f>IF(AND(E1189&gt;0.75,E1189&lt;=1.2),J1189,0)</f>
        <v>0</v>
      </c>
      <c r="N1189" s="12">
        <f>IF(E1189&gt;1.2,J1189,0)</f>
        <v>8.4</v>
      </c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>
        <f>SUM(X1190:X1198)/I1189</f>
        <v>357.54752611111115</v>
      </c>
      <c r="Z1189" s="8"/>
      <c r="AA1189" s="8"/>
      <c r="AB1189" s="8"/>
      <c r="AC1189" s="8"/>
      <c r="AD1189" s="8"/>
      <c r="AE1189" s="8"/>
    </row>
    <row r="1190" spans="1:32" s="10" customFormat="1" ht="20.100000000000001" customHeight="1" x14ac:dyDescent="0.25">
      <c r="A1190" s="7"/>
      <c r="B1190" s="8" t="s">
        <v>2</v>
      </c>
      <c r="C1190" s="13" t="s">
        <v>4</v>
      </c>
      <c r="D1190" s="8">
        <v>20</v>
      </c>
      <c r="E1190" s="8"/>
      <c r="F1190" s="8">
        <v>5</v>
      </c>
      <c r="G1190" s="9">
        <f>VLOOKUP(D1190,'[2]Beam '!$C$20:$H$26,3,0)</f>
        <v>0.8</v>
      </c>
      <c r="H1190" s="9"/>
      <c r="I1190" s="8"/>
      <c r="J1190" s="8"/>
      <c r="K1190" s="8"/>
      <c r="L1190" s="8"/>
      <c r="M1190" s="8"/>
      <c r="N1190" s="8"/>
      <c r="O1190" s="8">
        <f>(E1189+2*(G1190+(12*D1190/1000))*D1189)</f>
        <v>10.08</v>
      </c>
      <c r="P1190" s="8">
        <f t="shared" ref="P1190:P1199" si="221">O1190*F1190</f>
        <v>50.4</v>
      </c>
      <c r="Q1190" s="8">
        <f>IF($D1190='[2]Beam '!Q$44,$P1190*'[2]Beam '!Q$45,0)</f>
        <v>0</v>
      </c>
      <c r="R1190" s="8">
        <f>IF($D1190='[2]Beam '!R$44,$P1190*'[2]Beam '!R$45,0)</f>
        <v>0</v>
      </c>
      <c r="S1190" s="8">
        <f>IF($D1190='[2]Beam '!S$44,$P1190*'[2]Beam '!S$45,0)</f>
        <v>0</v>
      </c>
      <c r="T1190" s="8">
        <f>IF($D1190='[2]Beam '!T$44,$P1190*'[2]Beam '!T$45,0)</f>
        <v>0</v>
      </c>
      <c r="U1190" s="8">
        <f>IF($D1190='[2]Beam '!U$44,$P1190*'[2]Beam '!U$45,0)</f>
        <v>124.34399999999999</v>
      </c>
      <c r="V1190" s="8">
        <f>IF($D1190='[2]Beam '!V$44,$P1190*'[2]Beam '!V$45,0)</f>
        <v>0</v>
      </c>
      <c r="W1190" s="8">
        <f>IF($D1190='[2]Beam '!W$44,$P1190*'[2]Beam '!W$45,0)</f>
        <v>0</v>
      </c>
      <c r="X1190" s="8">
        <f t="shared" ref="X1190:X1199" si="222">SUM(Q1190:W1190)</f>
        <v>124.34399999999999</v>
      </c>
      <c r="Y1190" s="8"/>
      <c r="Z1190" s="8"/>
      <c r="AA1190" s="8"/>
      <c r="AB1190" s="8"/>
      <c r="AC1190" s="8"/>
      <c r="AD1190" s="8"/>
      <c r="AE1190" s="8"/>
    </row>
    <row r="1191" spans="1:32" s="10" customFormat="1" ht="20.100000000000001" customHeight="1" x14ac:dyDescent="0.25">
      <c r="A1191" s="7"/>
      <c r="B1191" s="8" t="s">
        <v>2</v>
      </c>
      <c r="C1191" s="13" t="s">
        <v>75</v>
      </c>
      <c r="D1191" s="8">
        <v>25</v>
      </c>
      <c r="E1191" s="8"/>
      <c r="F1191" s="8">
        <v>5</v>
      </c>
      <c r="G1191" s="9">
        <f>VLOOKUP(D1191,'[2]Beam '!$C$20:$H$26,3,0)</f>
        <v>1</v>
      </c>
      <c r="H1191" s="9"/>
      <c r="I1191" s="8"/>
      <c r="J1191" s="8"/>
      <c r="K1191" s="8"/>
      <c r="L1191" s="8"/>
      <c r="M1191" s="8"/>
      <c r="N1191" s="8"/>
      <c r="O1191" s="8">
        <f>(2.1+1*(G1191+(12*D1191/1000))*D1189)</f>
        <v>3.4000000000000004</v>
      </c>
      <c r="P1191" s="8">
        <f t="shared" si="221"/>
        <v>17</v>
      </c>
      <c r="Q1191" s="8">
        <f>IF($D1191='[2]Beam '!Q$44,$P1191*'[2]Beam '!Q$45,0)</f>
        <v>0</v>
      </c>
      <c r="R1191" s="8">
        <f>IF($D1191='[2]Beam '!R$44,$P1191*'[2]Beam '!R$45,0)</f>
        <v>0</v>
      </c>
      <c r="S1191" s="8">
        <f>IF($D1191='[2]Beam '!S$44,$P1191*'[2]Beam '!S$45,0)</f>
        <v>0</v>
      </c>
      <c r="T1191" s="8">
        <f>IF($D1191='[2]Beam '!T$44,$P1191*'[2]Beam '!T$45,0)</f>
        <v>0</v>
      </c>
      <c r="U1191" s="8">
        <f>IF($D1191='[2]Beam '!U$44,$P1191*'[2]Beam '!U$45,0)</f>
        <v>0</v>
      </c>
      <c r="V1191" s="8">
        <f>IF($D1191='[2]Beam '!V$44,$P1191*'[2]Beam '!V$45,0)</f>
        <v>65.533482142857153</v>
      </c>
      <c r="W1191" s="8">
        <f>IF($D1191='[2]Beam '!W$44,$P1191*'[2]Beam '!W$45,0)</f>
        <v>0</v>
      </c>
      <c r="X1191" s="8">
        <f t="shared" si="222"/>
        <v>65.533482142857153</v>
      </c>
      <c r="Y1191" s="8"/>
      <c r="Z1191" s="8"/>
      <c r="AA1191" s="8"/>
      <c r="AB1191" s="8"/>
      <c r="AC1191" s="8"/>
      <c r="AD1191" s="8"/>
      <c r="AE1191" s="8"/>
    </row>
    <row r="1192" spans="1:32" s="10" customFormat="1" ht="20.100000000000001" customHeight="1" x14ac:dyDescent="0.25">
      <c r="A1192" s="7"/>
      <c r="B1192" s="8" t="s">
        <v>2</v>
      </c>
      <c r="C1192" s="13" t="s">
        <v>75</v>
      </c>
      <c r="D1192" s="8">
        <v>20</v>
      </c>
      <c r="E1192" s="8"/>
      <c r="F1192" s="8">
        <v>4</v>
      </c>
      <c r="G1192" s="9">
        <f>VLOOKUP(D1192,'[2]Beam '!$C$20:$H$26,3,0)</f>
        <v>0.8</v>
      </c>
      <c r="H1192" s="9"/>
      <c r="I1192" s="8"/>
      <c r="J1192" s="8"/>
      <c r="K1192" s="8"/>
      <c r="L1192" s="8"/>
      <c r="M1192" s="8"/>
      <c r="N1192" s="8"/>
      <c r="O1192" s="8">
        <f>(1.25+1*(G1192+(12*D1192/1000))*D1189)</f>
        <v>2.29</v>
      </c>
      <c r="P1192" s="8">
        <f t="shared" si="221"/>
        <v>9.16</v>
      </c>
      <c r="Q1192" s="8">
        <f>IF($D1192='[2]Beam '!Q$44,$P1192*'[2]Beam '!Q$45,0)</f>
        <v>0</v>
      </c>
      <c r="R1192" s="8">
        <f>IF($D1192='[2]Beam '!R$44,$P1192*'[2]Beam '!R$45,0)</f>
        <v>0</v>
      </c>
      <c r="S1192" s="8">
        <f>IF($D1192='[2]Beam '!S$44,$P1192*'[2]Beam '!S$45,0)</f>
        <v>0</v>
      </c>
      <c r="T1192" s="8">
        <f>IF($D1192='[2]Beam '!T$44,$P1192*'[2]Beam '!T$45,0)</f>
        <v>0</v>
      </c>
      <c r="U1192" s="8">
        <f>IF($D1192='[2]Beam '!U$44,$P1192*'[2]Beam '!U$45,0)</f>
        <v>22.599028571428573</v>
      </c>
      <c r="V1192" s="8">
        <f>IF($D1192='[2]Beam '!V$44,$P1192*'[2]Beam '!V$45,0)</f>
        <v>0</v>
      </c>
      <c r="W1192" s="8">
        <f>IF($D1192='[2]Beam '!W$44,$P1192*'[2]Beam '!W$45,0)</f>
        <v>0</v>
      </c>
      <c r="X1192" s="8">
        <f t="shared" si="222"/>
        <v>22.599028571428573</v>
      </c>
      <c r="Y1192" s="8"/>
      <c r="Z1192" s="8"/>
      <c r="AA1192" s="8"/>
      <c r="AB1192" s="8"/>
      <c r="AC1192" s="8"/>
      <c r="AD1192" s="8"/>
      <c r="AE1192" s="8"/>
    </row>
    <row r="1193" spans="1:32" s="14" customFormat="1" ht="20.100000000000001" customHeight="1" x14ac:dyDescent="0.3">
      <c r="A1193" s="7"/>
      <c r="B1193" s="8" t="s">
        <v>2</v>
      </c>
      <c r="C1193" s="13" t="s">
        <v>139</v>
      </c>
      <c r="D1193" s="8">
        <v>25</v>
      </c>
      <c r="E1193" s="8"/>
      <c r="F1193" s="8">
        <v>4</v>
      </c>
      <c r="G1193" s="9">
        <f>VLOOKUP(D1193,'[2]Beam '!$C$20:$H$26,3,0)</f>
        <v>1</v>
      </c>
      <c r="H1193" s="9"/>
      <c r="I1193" s="8"/>
      <c r="J1193" s="8"/>
      <c r="K1193" s="8"/>
      <c r="L1193" s="8"/>
      <c r="M1193" s="8"/>
      <c r="N1193" s="8"/>
      <c r="O1193" s="8">
        <f>(E1189+2*(G1193+(12*D1193/1000))*D1189)</f>
        <v>10.6</v>
      </c>
      <c r="P1193" s="8">
        <f t="shared" si="221"/>
        <v>42.4</v>
      </c>
      <c r="Q1193" s="8">
        <f>IF($D1193='[2]Beam '!Q$44,$P1193*'[2]Beam '!Q$45,0)</f>
        <v>0</v>
      </c>
      <c r="R1193" s="8">
        <f>IF($D1193='[2]Beam '!R$44,$P1193*'[2]Beam '!R$45,0)</f>
        <v>0</v>
      </c>
      <c r="S1193" s="8">
        <f>IF($D1193='[2]Beam '!S$44,$P1193*'[2]Beam '!S$45,0)</f>
        <v>0</v>
      </c>
      <c r="T1193" s="8">
        <f>IF($D1193='[2]Beam '!T$44,$P1193*'[2]Beam '!T$45,0)</f>
        <v>0</v>
      </c>
      <c r="U1193" s="8">
        <f>IF($D1193='[2]Beam '!U$44,$P1193*'[2]Beam '!U$45,0)</f>
        <v>0</v>
      </c>
      <c r="V1193" s="8">
        <f>IF($D1193='[2]Beam '!V$44,$P1193*'[2]Beam '!V$45,0)</f>
        <v>163.4482142857143</v>
      </c>
      <c r="W1193" s="8">
        <f>IF($D1193='[2]Beam '!W$44,$P1193*'[2]Beam '!W$45,0)</f>
        <v>0</v>
      </c>
      <c r="X1193" s="8">
        <f t="shared" si="222"/>
        <v>163.4482142857143</v>
      </c>
      <c r="Y1193" s="8"/>
    </row>
    <row r="1194" spans="1:32" s="14" customFormat="1" ht="20.100000000000001" customHeight="1" x14ac:dyDescent="0.3">
      <c r="A1194" s="7"/>
      <c r="B1194" s="8" t="s">
        <v>2</v>
      </c>
      <c r="C1194" s="13" t="s">
        <v>88</v>
      </c>
      <c r="D1194" s="8">
        <v>20</v>
      </c>
      <c r="E1194" s="8"/>
      <c r="F1194" s="8">
        <v>4</v>
      </c>
      <c r="G1194" s="9">
        <f>VLOOKUP(D1194,'[2]Beam '!$C$20:$H$26,3,0)</f>
        <v>0.8</v>
      </c>
      <c r="H1194" s="9"/>
      <c r="I1194" s="8"/>
      <c r="J1194" s="8"/>
      <c r="K1194" s="8"/>
      <c r="L1194" s="8"/>
      <c r="M1194" s="8"/>
      <c r="N1194" s="8"/>
      <c r="O1194" s="8">
        <f>+E1189-1-1</f>
        <v>6</v>
      </c>
      <c r="P1194" s="8">
        <f t="shared" si="221"/>
        <v>24</v>
      </c>
      <c r="Q1194" s="8">
        <f>IF($D1194='[2]Beam '!Q$44,$P1194*'[2]Beam '!Q$45,0)</f>
        <v>0</v>
      </c>
      <c r="R1194" s="8">
        <f>IF($D1194='[2]Beam '!R$44,$P1194*'[2]Beam '!R$45,0)</f>
        <v>0</v>
      </c>
      <c r="S1194" s="8">
        <f>IF($D1194='[2]Beam '!S$44,$P1194*'[2]Beam '!S$45,0)</f>
        <v>0</v>
      </c>
      <c r="T1194" s="8">
        <f>IF($D1194='[2]Beam '!T$44,$P1194*'[2]Beam '!T$45,0)</f>
        <v>0</v>
      </c>
      <c r="U1194" s="8">
        <f>IF($D1194='[2]Beam '!U$44,$P1194*'[2]Beam '!U$45,0)</f>
        <v>59.21142857142857</v>
      </c>
      <c r="V1194" s="8">
        <f>IF($D1194='[2]Beam '!V$44,$P1194*'[2]Beam '!V$45,0)</f>
        <v>0</v>
      </c>
      <c r="W1194" s="8">
        <f>IF($D1194='[2]Beam '!W$44,$P1194*'[2]Beam '!W$45,0)</f>
        <v>0</v>
      </c>
      <c r="X1194" s="8">
        <f t="shared" si="222"/>
        <v>59.21142857142857</v>
      </c>
      <c r="Y1194" s="8"/>
    </row>
    <row r="1195" spans="1:32" s="14" customFormat="1" ht="20.100000000000001" customHeight="1" x14ac:dyDescent="0.25">
      <c r="A1195" s="7"/>
      <c r="B1195" s="8" t="s">
        <v>2</v>
      </c>
      <c r="C1195" s="13" t="s">
        <v>13</v>
      </c>
      <c r="D1195" s="8">
        <v>12</v>
      </c>
      <c r="E1195" s="8">
        <v>0.1</v>
      </c>
      <c r="F1195" s="8">
        <f>ROUND(IF(E1189/3&gt;(2*G1189),(E1189/3)/E1195,(2*G1189)/E1195),0)*2+1</f>
        <v>55</v>
      </c>
      <c r="G1195" s="10"/>
      <c r="H1195" s="8"/>
      <c r="I1195" s="8"/>
      <c r="J1195" s="8"/>
      <c r="K1195" s="8"/>
      <c r="L1195" s="8"/>
      <c r="M1195" s="8"/>
      <c r="N1195" s="8"/>
      <c r="O1195" s="8">
        <f>(2*((G1189-(2*'[2]Beam '!$D$11))+(F1189-(2*'[2]Beam '!$D$11)))+(2*10*D1195/1000))*D1189</f>
        <v>1.9000000000000001</v>
      </c>
      <c r="P1195" s="8">
        <f t="shared" si="221"/>
        <v>104.50000000000001</v>
      </c>
      <c r="Q1195" s="8">
        <f>IF($D1195='[2]Beam '!Q$44,$P1195*'[2]Beam '!Q$45,0)</f>
        <v>0</v>
      </c>
      <c r="R1195" s="8">
        <f>IF($D1195='[2]Beam '!R$44,$P1195*'[2]Beam '!R$45,0)</f>
        <v>0</v>
      </c>
      <c r="S1195" s="8">
        <f>IF($D1195='[2]Beam '!S$44,$P1195*'[2]Beam '!S$45,0)</f>
        <v>92.813914285714318</v>
      </c>
      <c r="T1195" s="8">
        <f>IF($D1195='[2]Beam '!T$44,$P1195*'[2]Beam '!T$45,0)</f>
        <v>0</v>
      </c>
      <c r="U1195" s="8">
        <f>IF($D1195='[2]Beam '!U$44,$P1195*'[2]Beam '!U$45,0)</f>
        <v>0</v>
      </c>
      <c r="V1195" s="8">
        <f>IF($D1195='[2]Beam '!V$44,$P1195*'[2]Beam '!V$45,0)</f>
        <v>0</v>
      </c>
      <c r="W1195" s="8">
        <f>IF($D1195='[2]Beam '!W$44,$P1195*'[2]Beam '!W$45,0)</f>
        <v>0</v>
      </c>
      <c r="X1195" s="8">
        <f t="shared" si="222"/>
        <v>92.813914285714318</v>
      </c>
      <c r="Y1195" s="8"/>
    </row>
    <row r="1196" spans="1:32" s="10" customFormat="1" ht="20.100000000000001" customHeight="1" x14ac:dyDescent="0.25">
      <c r="A1196" s="14"/>
      <c r="B1196" s="8" t="s">
        <v>2</v>
      </c>
      <c r="C1196" s="13" t="s">
        <v>14</v>
      </c>
      <c r="D1196" s="14">
        <f>D1195</f>
        <v>12</v>
      </c>
      <c r="E1196" s="14">
        <v>0.15</v>
      </c>
      <c r="F1196" s="14">
        <f>ROUND((E1189-(IF(E1189/3&gt;2*G1189,E1189/3*2,G1189*2*2)))/E1196,0)</f>
        <v>18</v>
      </c>
      <c r="H1196" s="14"/>
      <c r="I1196" s="14"/>
      <c r="J1196" s="14"/>
      <c r="K1196" s="14"/>
      <c r="L1196" s="14"/>
      <c r="M1196" s="14"/>
      <c r="N1196" s="14"/>
      <c r="O1196" s="8">
        <f>(2*((G1189-(2*'[2]Beam '!$D$11))+(F1189-(2*'[2]Beam '!$D$11)))+(2*10*D1196/1000))*D1189</f>
        <v>1.9000000000000001</v>
      </c>
      <c r="P1196" s="8">
        <f t="shared" si="221"/>
        <v>34.200000000000003</v>
      </c>
      <c r="Q1196" s="8">
        <f>IF($D1196='[2]Beam '!Q$44,$P1196*'[2]Beam '!Q$45,0)</f>
        <v>0</v>
      </c>
      <c r="R1196" s="8">
        <f>IF($D1196='[2]Beam '!R$44,$P1196*'[2]Beam '!R$45,0)</f>
        <v>0</v>
      </c>
      <c r="S1196" s="8">
        <f>IF($D1196='[2]Beam '!S$44,$P1196*'[2]Beam '!S$45,0)</f>
        <v>30.375462857142864</v>
      </c>
      <c r="T1196" s="8">
        <f>IF($D1196='[2]Beam '!T$44,$P1196*'[2]Beam '!T$45,0)</f>
        <v>0</v>
      </c>
      <c r="U1196" s="8">
        <f>IF($D1196='[2]Beam '!U$44,$P1196*'[2]Beam '!U$45,0)</f>
        <v>0</v>
      </c>
      <c r="V1196" s="8">
        <f>IF($D1196='[2]Beam '!V$44,$P1196*'[2]Beam '!V$45,0)</f>
        <v>0</v>
      </c>
      <c r="W1196" s="8">
        <f>IF($D1196='[2]Beam '!W$44,$P1196*'[2]Beam '!W$45,0)</f>
        <v>0</v>
      </c>
      <c r="X1196" s="8">
        <f t="shared" si="222"/>
        <v>30.375462857142864</v>
      </c>
      <c r="Y1196" s="14"/>
      <c r="Z1196" s="8"/>
      <c r="AA1196" s="8"/>
      <c r="AB1196" s="8"/>
      <c r="AC1196" s="8"/>
      <c r="AD1196" s="8"/>
      <c r="AE1196" s="8"/>
    </row>
    <row r="1197" spans="1:32" s="10" customFormat="1" ht="21" customHeight="1" x14ac:dyDescent="0.25">
      <c r="A1197" s="14"/>
      <c r="B1197" s="8" t="s">
        <v>2</v>
      </c>
      <c r="C1197" s="13" t="s">
        <v>15</v>
      </c>
      <c r="D1197" s="14">
        <f>D1195</f>
        <v>12</v>
      </c>
      <c r="E1197" s="14">
        <f>+E1195</f>
        <v>0.1</v>
      </c>
      <c r="F1197" s="8">
        <f>ROUND(IF(E1189/3&gt;(2*G1189),(E1189/3)/E1197,(2*G1189)/E1197),0)*2+1</f>
        <v>55</v>
      </c>
      <c r="H1197" s="14"/>
      <c r="I1197" s="14"/>
      <c r="J1197" s="14"/>
      <c r="K1197" s="14"/>
      <c r="L1197" s="14"/>
      <c r="M1197" s="14"/>
      <c r="N1197" s="14"/>
      <c r="O1197" s="8">
        <f>(2*(((F1189-'[2]Beam '!$D$11*2)/(F1190-1))+(G1189-'[2]Beam '!$D$11*2))+(2*10*D1197/1000))*D1189</f>
        <v>1.3149999999999999</v>
      </c>
      <c r="P1197" s="8">
        <f t="shared" si="221"/>
        <v>72.325000000000003</v>
      </c>
      <c r="Q1197" s="8">
        <f>IF($D1197='[2]Beam '!Q$44,$P1197*'[2]Beam '!Q$45,0)</f>
        <v>0</v>
      </c>
      <c r="R1197" s="8">
        <f>IF($D1197='[2]Beam '!R$44,$P1197*'[2]Beam '!R$45,0)</f>
        <v>0</v>
      </c>
      <c r="S1197" s="8">
        <f>IF($D1197='[2]Beam '!S$44,$P1197*'[2]Beam '!S$45,0)</f>
        <v>64.236998571428586</v>
      </c>
      <c r="T1197" s="8">
        <f>IF($D1197='[2]Beam '!T$44,$P1197*'[2]Beam '!T$45,0)</f>
        <v>0</v>
      </c>
      <c r="U1197" s="8">
        <f>IF($D1197='[2]Beam '!U$44,$P1197*'[2]Beam '!U$45,0)</f>
        <v>0</v>
      </c>
      <c r="V1197" s="8">
        <f>IF($D1197='[2]Beam '!V$44,$P1197*'[2]Beam '!V$45,0)</f>
        <v>0</v>
      </c>
      <c r="W1197" s="8">
        <f>IF($D1197='[2]Beam '!W$44,$P1197*'[2]Beam '!W$45,0)</f>
        <v>0</v>
      </c>
      <c r="X1197" s="8">
        <f t="shared" si="222"/>
        <v>64.236998571428586</v>
      </c>
      <c r="Y1197" s="14"/>
      <c r="Z1197" s="8"/>
      <c r="AA1197" s="8"/>
      <c r="AB1197" s="8"/>
      <c r="AC1197" s="8"/>
      <c r="AD1197" s="8"/>
      <c r="AE1197" s="8"/>
      <c r="AF1197" s="8"/>
    </row>
    <row r="1198" spans="1:32" s="10" customFormat="1" ht="20.100000000000001" customHeight="1" x14ac:dyDescent="0.25">
      <c r="A1198" s="14"/>
      <c r="B1198" s="8" t="s">
        <v>2</v>
      </c>
      <c r="C1198" s="13" t="s">
        <v>16</v>
      </c>
      <c r="D1198" s="14">
        <f>D1196</f>
        <v>12</v>
      </c>
      <c r="E1198" s="14">
        <f>+E1196</f>
        <v>0.15</v>
      </c>
      <c r="F1198" s="14">
        <f>ROUND((E1189-(IF(E1189/3&gt;2*G1189,E1189/3*2,G1189*2*2)))/E1198,0)</f>
        <v>18</v>
      </c>
      <c r="H1198" s="14"/>
      <c r="I1198" s="14"/>
      <c r="J1198" s="14"/>
      <c r="K1198" s="14"/>
      <c r="L1198" s="14"/>
      <c r="M1198" s="14"/>
      <c r="N1198" s="14"/>
      <c r="O1198" s="8">
        <f>(2*(((F1189-'[2]Beam '!$D$11*2)/(F1190-1))+(G1189-'[2]Beam '!$D$11*2))+(2*10*D1198/1000))*D1189</f>
        <v>1.3149999999999999</v>
      </c>
      <c r="P1198" s="8">
        <f t="shared" si="221"/>
        <v>23.669999999999998</v>
      </c>
      <c r="Q1198" s="8">
        <f>IF($D1198='[2]Beam '!Q$44,$P1198*'[2]Beam '!Q$45,0)</f>
        <v>0</v>
      </c>
      <c r="R1198" s="8">
        <f>IF($D1198='[2]Beam '!R$44,$P1198*'[2]Beam '!R$45,0)</f>
        <v>0</v>
      </c>
      <c r="S1198" s="8">
        <f>IF($D1198='[2]Beam '!S$44,$P1198*'[2]Beam '!S$45,0)</f>
        <v>21.023017714285718</v>
      </c>
      <c r="T1198" s="8">
        <f>IF($D1198='[2]Beam '!T$44,$P1198*'[2]Beam '!T$45,0)</f>
        <v>0</v>
      </c>
      <c r="U1198" s="8">
        <f>IF($D1198='[2]Beam '!U$44,$P1198*'[2]Beam '!U$45,0)</f>
        <v>0</v>
      </c>
      <c r="V1198" s="8">
        <f>IF($D1198='[2]Beam '!V$44,$P1198*'[2]Beam '!V$45,0)</f>
        <v>0</v>
      </c>
      <c r="W1198" s="8">
        <f>IF($D1198='[2]Beam '!W$44,$P1198*'[2]Beam '!W$45,0)</f>
        <v>0</v>
      </c>
      <c r="X1198" s="8">
        <f t="shared" si="222"/>
        <v>21.023017714285718</v>
      </c>
      <c r="Y1198" s="14"/>
      <c r="Z1198" s="8"/>
      <c r="AA1198" s="8"/>
      <c r="AB1198" s="8"/>
      <c r="AC1198" s="8"/>
      <c r="AD1198" s="8"/>
      <c r="AE1198" s="8"/>
    </row>
    <row r="1199" spans="1:32" s="10" customFormat="1" ht="20.100000000000001" customHeight="1" x14ac:dyDescent="0.25">
      <c r="A1199" s="7"/>
      <c r="B1199" s="8" t="s">
        <v>2</v>
      </c>
      <c r="C1199" s="13" t="s">
        <v>10</v>
      </c>
      <c r="D1199" s="8">
        <f>+'[2]Beam '!$D$15</f>
        <v>25</v>
      </c>
      <c r="E1199" s="8">
        <f>+'[2]Beam '!$E$15</f>
        <v>1</v>
      </c>
      <c r="F1199" s="8">
        <f>ROUNDUP((4.3+O1194)/E1199,0)</f>
        <v>11</v>
      </c>
      <c r="G1199" s="9"/>
      <c r="H1199" s="9"/>
      <c r="I1199" s="8"/>
      <c r="J1199" s="8"/>
      <c r="K1199" s="8"/>
      <c r="L1199" s="8"/>
      <c r="M1199" s="8"/>
      <c r="N1199" s="8"/>
      <c r="O1199" s="8">
        <f>F1189-'[2]Beam '!$F$15</f>
        <v>0.39</v>
      </c>
      <c r="P1199" s="8">
        <f t="shared" si="221"/>
        <v>4.29</v>
      </c>
      <c r="Q1199" s="8">
        <f>IF($D1199='[2]Beam '!Q$44,$P1199*'[2]Beam '!Q$45,0)</f>
        <v>0</v>
      </c>
      <c r="R1199" s="8">
        <f>IF($D1199='[2]Beam '!R$44,$P1199*'[2]Beam '!R$45,0)</f>
        <v>0</v>
      </c>
      <c r="S1199" s="8">
        <f>IF($D1199='[2]Beam '!S$44,$P1199*'[2]Beam '!S$45,0)</f>
        <v>0</v>
      </c>
      <c r="T1199" s="8">
        <f>IF($D1199='[2]Beam '!T$44,$P1199*'[2]Beam '!T$45,0)</f>
        <v>0</v>
      </c>
      <c r="U1199" s="8">
        <f>IF($D1199='[2]Beam '!U$44,$P1199*'[2]Beam '!U$45,0)</f>
        <v>0</v>
      </c>
      <c r="V1199" s="8">
        <f>IF($D1199='[2]Beam '!V$44,$P1199*'[2]Beam '!V$45,0)</f>
        <v>16.537566964285716</v>
      </c>
      <c r="W1199" s="8">
        <f>IF($D1199='[2]Beam '!W$44,$P1199*'[2]Beam '!W$45,0)</f>
        <v>0</v>
      </c>
      <c r="X1199" s="8">
        <f t="shared" si="222"/>
        <v>16.537566964285716</v>
      </c>
      <c r="Y1199" s="8"/>
      <c r="Z1199" s="8"/>
      <c r="AA1199" s="8"/>
      <c r="AB1199" s="8"/>
      <c r="AC1199" s="8"/>
      <c r="AD1199" s="8"/>
      <c r="AE1199" s="8"/>
    </row>
    <row r="1200" spans="1:32" s="10" customFormat="1" ht="20.100000000000001" customHeight="1" x14ac:dyDescent="0.25">
      <c r="A1200" s="8">
        <v>1</v>
      </c>
      <c r="B1200" s="8" t="s">
        <v>2</v>
      </c>
      <c r="C1200" s="11" t="s">
        <v>159</v>
      </c>
      <c r="D1200" s="11">
        <v>1</v>
      </c>
      <c r="E1200" s="11">
        <v>6</v>
      </c>
      <c r="F1200" s="11">
        <v>0.45</v>
      </c>
      <c r="G1200" s="11">
        <v>0.6</v>
      </c>
      <c r="H1200" s="8">
        <f>G1200-0.2</f>
        <v>0.39999999999999997</v>
      </c>
      <c r="I1200" s="8">
        <f>E1200*F1200*G1200*D1200</f>
        <v>1.62</v>
      </c>
      <c r="J1200" s="8">
        <f>(2*(E1200)*H1200*D1200)+(E1200*F1200)</f>
        <v>7.5</v>
      </c>
      <c r="K1200" s="12">
        <f>IF(E1200=0.3,J1200,0)</f>
        <v>0</v>
      </c>
      <c r="L1200" s="12">
        <f>IF(AND(E1200&gt;0.3,E1200&lt;=0.75),J1200,0)</f>
        <v>0</v>
      </c>
      <c r="M1200" s="12">
        <f>IF(AND(E1200&gt;0.75,E1200&lt;=1.2),J1200,0)</f>
        <v>0</v>
      </c>
      <c r="N1200" s="12">
        <f>IF(E1200&gt;1.2,J1200,0)</f>
        <v>7.5</v>
      </c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>
        <f>SUM(X1201:X1207)/I1200</f>
        <v>150.80151816578481</v>
      </c>
      <c r="Z1200" s="8"/>
      <c r="AA1200" s="8"/>
      <c r="AB1200" s="8"/>
      <c r="AC1200" s="8"/>
      <c r="AD1200" s="8"/>
      <c r="AE1200" s="8"/>
    </row>
    <row r="1201" spans="1:32" s="10" customFormat="1" ht="20.100000000000001" customHeight="1" x14ac:dyDescent="0.25">
      <c r="A1201" s="7"/>
      <c r="B1201" s="8" t="s">
        <v>2</v>
      </c>
      <c r="C1201" s="13" t="s">
        <v>4</v>
      </c>
      <c r="D1201" s="8">
        <v>20</v>
      </c>
      <c r="E1201" s="8"/>
      <c r="F1201" s="8">
        <v>4</v>
      </c>
      <c r="G1201" s="9">
        <f>VLOOKUP(D1201,'[2]Beam '!$C$20:$H$26,3,0)</f>
        <v>0.8</v>
      </c>
      <c r="H1201" s="9"/>
      <c r="I1201" s="8"/>
      <c r="J1201" s="8"/>
      <c r="K1201" s="8"/>
      <c r="L1201" s="8"/>
      <c r="M1201" s="8"/>
      <c r="N1201" s="8"/>
      <c r="O1201" s="8">
        <f>(E1200+1*(G1201+(12*D1201/1000))+G1201*D1200)</f>
        <v>7.84</v>
      </c>
      <c r="P1201" s="8">
        <f t="shared" ref="P1201:P1208" si="223">O1201*F1201</f>
        <v>31.36</v>
      </c>
      <c r="Q1201" s="8">
        <f>IF($D1201='[2]Beam '!Q$44,$P1201*'[2]Beam '!Q$45,0)</f>
        <v>0</v>
      </c>
      <c r="R1201" s="8">
        <f>IF($D1201='[2]Beam '!R$44,$P1201*'[2]Beam '!R$45,0)</f>
        <v>0</v>
      </c>
      <c r="S1201" s="8">
        <f>IF($D1201='[2]Beam '!S$44,$P1201*'[2]Beam '!S$45,0)</f>
        <v>0</v>
      </c>
      <c r="T1201" s="8">
        <f>IF($D1201='[2]Beam '!T$44,$P1201*'[2]Beam '!T$45,0)</f>
        <v>0</v>
      </c>
      <c r="U1201" s="8">
        <f>IF($D1201='[2]Beam '!U$44,$P1201*'[2]Beam '!U$45,0)</f>
        <v>77.369599999999991</v>
      </c>
      <c r="V1201" s="8">
        <f>IF($D1201='[2]Beam '!V$44,$P1201*'[2]Beam '!V$45,0)</f>
        <v>0</v>
      </c>
      <c r="W1201" s="8">
        <f>IF($D1201='[2]Beam '!W$44,$P1201*'[2]Beam '!W$45,0)</f>
        <v>0</v>
      </c>
      <c r="X1201" s="8">
        <f t="shared" ref="X1201:X1208" si="224">SUM(Q1201:W1201)</f>
        <v>77.369599999999991</v>
      </c>
      <c r="Y1201" s="8"/>
      <c r="Z1201" s="8"/>
      <c r="AA1201" s="8"/>
      <c r="AB1201" s="8"/>
      <c r="AC1201" s="8"/>
      <c r="AD1201" s="8"/>
      <c r="AE1201" s="8"/>
    </row>
    <row r="1202" spans="1:32" s="14" customFormat="1" ht="20.100000000000001" customHeight="1" x14ac:dyDescent="0.3">
      <c r="A1202" s="7"/>
      <c r="B1202" s="8" t="s">
        <v>2</v>
      </c>
      <c r="C1202" s="13" t="s">
        <v>139</v>
      </c>
      <c r="D1202" s="8">
        <v>20</v>
      </c>
      <c r="E1202" s="8"/>
      <c r="F1202" s="8">
        <v>4</v>
      </c>
      <c r="G1202" s="9">
        <f>VLOOKUP(D1202,'[2]Beam '!$C$20:$H$26,3,0)</f>
        <v>0.8</v>
      </c>
      <c r="H1202" s="9"/>
      <c r="I1202" s="8"/>
      <c r="J1202" s="8"/>
      <c r="K1202" s="8"/>
      <c r="L1202" s="8"/>
      <c r="M1202" s="8"/>
      <c r="N1202" s="8"/>
      <c r="O1202" s="8">
        <f>(E1200+1*(G1202+(12*D1202/1000))+G1202*D1200)</f>
        <v>7.84</v>
      </c>
      <c r="P1202" s="8">
        <f t="shared" si="223"/>
        <v>31.36</v>
      </c>
      <c r="Q1202" s="8">
        <f>IF($D1202='[2]Beam '!Q$44,$P1202*'[2]Beam '!Q$45,0)</f>
        <v>0</v>
      </c>
      <c r="R1202" s="8">
        <f>IF($D1202='[2]Beam '!R$44,$P1202*'[2]Beam '!R$45,0)</f>
        <v>0</v>
      </c>
      <c r="S1202" s="8">
        <f>IF($D1202='[2]Beam '!S$44,$P1202*'[2]Beam '!S$45,0)</f>
        <v>0</v>
      </c>
      <c r="T1202" s="8">
        <f>IF($D1202='[2]Beam '!T$44,$P1202*'[2]Beam '!T$45,0)</f>
        <v>0</v>
      </c>
      <c r="U1202" s="8">
        <f>IF($D1202='[2]Beam '!U$44,$P1202*'[2]Beam '!U$45,0)</f>
        <v>77.369599999999991</v>
      </c>
      <c r="V1202" s="8">
        <f>IF($D1202='[2]Beam '!V$44,$P1202*'[2]Beam '!V$45,0)</f>
        <v>0</v>
      </c>
      <c r="W1202" s="8">
        <f>IF($D1202='[2]Beam '!W$44,$P1202*'[2]Beam '!W$45,0)</f>
        <v>0</v>
      </c>
      <c r="X1202" s="8">
        <f t="shared" si="224"/>
        <v>77.369599999999991</v>
      </c>
      <c r="Y1202" s="8"/>
    </row>
    <row r="1203" spans="1:32" s="14" customFormat="1" ht="20.100000000000001" customHeight="1" x14ac:dyDescent="0.3">
      <c r="A1203" s="7"/>
      <c r="B1203" s="8" t="s">
        <v>2</v>
      </c>
      <c r="C1203" s="13" t="s">
        <v>88</v>
      </c>
      <c r="D1203" s="8">
        <v>16</v>
      </c>
      <c r="E1203" s="8"/>
      <c r="F1203" s="8">
        <v>2</v>
      </c>
      <c r="G1203" s="9">
        <f>VLOOKUP(D1203,'[2]Beam '!$C$20:$H$26,3,0)</f>
        <v>0.625</v>
      </c>
      <c r="H1203" s="9"/>
      <c r="I1203" s="8"/>
      <c r="J1203" s="8"/>
      <c r="K1203" s="8"/>
      <c r="L1203" s="8"/>
      <c r="M1203" s="8"/>
      <c r="N1203" s="8"/>
      <c r="O1203" s="8">
        <f>+E1200-0.7-0.7</f>
        <v>4.5999999999999996</v>
      </c>
      <c r="P1203" s="8">
        <f t="shared" si="223"/>
        <v>9.1999999999999993</v>
      </c>
      <c r="Q1203" s="8">
        <f>IF($D1203='[2]Beam '!Q$44,$P1203*'[2]Beam '!Q$45,0)</f>
        <v>0</v>
      </c>
      <c r="R1203" s="8">
        <f>IF($D1203='[2]Beam '!R$44,$P1203*'[2]Beam '!R$45,0)</f>
        <v>0</v>
      </c>
      <c r="S1203" s="8">
        <f>IF($D1203='[2]Beam '!S$44,$P1203*'[2]Beam '!S$45,0)</f>
        <v>0</v>
      </c>
      <c r="T1203" s="8">
        <f>IF($D1203='[2]Beam '!T$44,$P1203*'[2]Beam '!T$45,0)</f>
        <v>14.526537142857142</v>
      </c>
      <c r="U1203" s="8">
        <f>IF($D1203='[2]Beam '!U$44,$P1203*'[2]Beam '!U$45,0)</f>
        <v>0</v>
      </c>
      <c r="V1203" s="8">
        <f>IF($D1203='[2]Beam '!V$44,$P1203*'[2]Beam '!V$45,0)</f>
        <v>0</v>
      </c>
      <c r="W1203" s="8">
        <f>IF($D1203='[2]Beam '!W$44,$P1203*'[2]Beam '!W$45,0)</f>
        <v>0</v>
      </c>
      <c r="X1203" s="8">
        <f t="shared" si="224"/>
        <v>14.526537142857142</v>
      </c>
      <c r="Y1203" s="8"/>
    </row>
    <row r="1204" spans="1:32" s="14" customFormat="1" ht="20.100000000000001" customHeight="1" x14ac:dyDescent="0.25">
      <c r="A1204" s="7"/>
      <c r="B1204" s="8" t="s">
        <v>2</v>
      </c>
      <c r="C1204" s="13" t="s">
        <v>13</v>
      </c>
      <c r="D1204" s="8">
        <v>8</v>
      </c>
      <c r="E1204" s="8">
        <v>0.1</v>
      </c>
      <c r="F1204" s="8">
        <f>ROUND(IF(E1200/3&gt;(2*G1200),(E1200/3)/E1204,(2*G1200)/E1204),0)*2+1</f>
        <v>41</v>
      </c>
      <c r="G1204" s="10"/>
      <c r="H1204" s="8"/>
      <c r="I1204" s="8"/>
      <c r="J1204" s="8"/>
      <c r="K1204" s="8"/>
      <c r="L1204" s="8"/>
      <c r="M1204" s="8"/>
      <c r="N1204" s="8"/>
      <c r="O1204" s="8">
        <f>(2*((G1200-(2*'[2]Beam '!$D$11))+(F1200-(2*'[2]Beam '!$D$11)))+(2*10*D1204/1000))*D1200</f>
        <v>2.02</v>
      </c>
      <c r="P1204" s="8">
        <f t="shared" si="223"/>
        <v>82.820000000000007</v>
      </c>
      <c r="Q1204" s="8">
        <f>IF($D1204='[2]Beam '!Q$44,$P1204*'[2]Beam '!Q$45,0)</f>
        <v>32.692603428571431</v>
      </c>
      <c r="R1204" s="8">
        <f>IF($D1204='[2]Beam '!R$44,$P1204*'[2]Beam '!R$45,0)</f>
        <v>0</v>
      </c>
      <c r="S1204" s="8">
        <f>IF($D1204='[2]Beam '!S$44,$P1204*'[2]Beam '!S$45,0)</f>
        <v>0</v>
      </c>
      <c r="T1204" s="8">
        <f>IF($D1204='[2]Beam '!T$44,$P1204*'[2]Beam '!T$45,0)</f>
        <v>0</v>
      </c>
      <c r="U1204" s="8">
        <f>IF($D1204='[2]Beam '!U$44,$P1204*'[2]Beam '!U$45,0)</f>
        <v>0</v>
      </c>
      <c r="V1204" s="8">
        <f>IF($D1204='[2]Beam '!V$44,$P1204*'[2]Beam '!V$45,0)</f>
        <v>0</v>
      </c>
      <c r="W1204" s="8">
        <f>IF($D1204='[2]Beam '!W$44,$P1204*'[2]Beam '!W$45,0)</f>
        <v>0</v>
      </c>
      <c r="X1204" s="8">
        <f t="shared" si="224"/>
        <v>32.692603428571431</v>
      </c>
      <c r="Y1204" s="8"/>
    </row>
    <row r="1205" spans="1:32" s="10" customFormat="1" ht="20.100000000000001" customHeight="1" x14ac:dyDescent="0.25">
      <c r="A1205" s="14"/>
      <c r="B1205" s="8" t="s">
        <v>2</v>
      </c>
      <c r="C1205" s="13" t="s">
        <v>14</v>
      </c>
      <c r="D1205" s="14">
        <f>D1204</f>
        <v>8</v>
      </c>
      <c r="E1205" s="14">
        <v>0.15</v>
      </c>
      <c r="F1205" s="14">
        <f>ROUND((E1200-(IF(E1200/3&gt;2*G1200,E1200/3*2,G1200*2*2)))/E1205,0)</f>
        <v>13</v>
      </c>
      <c r="H1205" s="14"/>
      <c r="I1205" s="14"/>
      <c r="J1205" s="14"/>
      <c r="K1205" s="14"/>
      <c r="L1205" s="14"/>
      <c r="M1205" s="14"/>
      <c r="N1205" s="14"/>
      <c r="O1205" s="8">
        <f>(2*((G1200-(2*'[2]Beam '!$D$11))+(F1200-(2*'[2]Beam '!$D$11)))+(2*10*D1205/1000))*D1200</f>
        <v>2.02</v>
      </c>
      <c r="P1205" s="8">
        <f t="shared" si="223"/>
        <v>26.26</v>
      </c>
      <c r="Q1205" s="8">
        <f>IF($D1205='[2]Beam '!Q$44,$P1205*'[2]Beam '!Q$45,0)</f>
        <v>10.365947428571429</v>
      </c>
      <c r="R1205" s="8">
        <f>IF($D1205='[2]Beam '!R$44,$P1205*'[2]Beam '!R$45,0)</f>
        <v>0</v>
      </c>
      <c r="S1205" s="8">
        <f>IF($D1205='[2]Beam '!S$44,$P1205*'[2]Beam '!S$45,0)</f>
        <v>0</v>
      </c>
      <c r="T1205" s="8">
        <f>IF($D1205='[2]Beam '!T$44,$P1205*'[2]Beam '!T$45,0)</f>
        <v>0</v>
      </c>
      <c r="U1205" s="8">
        <f>IF($D1205='[2]Beam '!U$44,$P1205*'[2]Beam '!U$45,0)</f>
        <v>0</v>
      </c>
      <c r="V1205" s="8">
        <f>IF($D1205='[2]Beam '!V$44,$P1205*'[2]Beam '!V$45,0)</f>
        <v>0</v>
      </c>
      <c r="W1205" s="8">
        <f>IF($D1205='[2]Beam '!W$44,$P1205*'[2]Beam '!W$45,0)</f>
        <v>0</v>
      </c>
      <c r="X1205" s="8">
        <f t="shared" si="224"/>
        <v>10.365947428571429</v>
      </c>
      <c r="Y1205" s="14"/>
      <c r="Z1205" s="8"/>
      <c r="AA1205" s="8"/>
      <c r="AB1205" s="8"/>
      <c r="AC1205" s="8"/>
      <c r="AD1205" s="8"/>
      <c r="AE1205" s="8"/>
    </row>
    <row r="1206" spans="1:32" s="10" customFormat="1" ht="21" customHeight="1" x14ac:dyDescent="0.25">
      <c r="A1206" s="14"/>
      <c r="B1206" s="8" t="s">
        <v>2</v>
      </c>
      <c r="C1206" s="13" t="s">
        <v>15</v>
      </c>
      <c r="D1206" s="14">
        <f>D1204</f>
        <v>8</v>
      </c>
      <c r="E1206" s="14">
        <f>+E1204</f>
        <v>0.1</v>
      </c>
      <c r="F1206" s="8">
        <f>ROUND(IF(E1200/3&gt;(2*G1200),(E1200/3)/E1206,(2*G1200)/E1206),0)*2+1</f>
        <v>41</v>
      </c>
      <c r="H1206" s="14"/>
      <c r="I1206" s="14"/>
      <c r="J1206" s="14"/>
      <c r="K1206" s="14"/>
      <c r="L1206" s="14"/>
      <c r="M1206" s="14"/>
      <c r="N1206" s="14"/>
      <c r="O1206" s="8">
        <f>(2*(((F1200-'[2]Beam '!$D$11*2)/(F1201-1))+(G1200-'[2]Beam '!$D$11*2))+(2*10*D1206/1000))*D1200</f>
        <v>1.5</v>
      </c>
      <c r="P1206" s="8">
        <f t="shared" si="223"/>
        <v>61.5</v>
      </c>
      <c r="Q1206" s="8">
        <f>IF($D1206='[2]Beam '!Q$44,$P1206*'[2]Beam '!Q$45,0)</f>
        <v>24.276685714285716</v>
      </c>
      <c r="R1206" s="8">
        <f>IF($D1206='[2]Beam '!R$44,$P1206*'[2]Beam '!R$45,0)</f>
        <v>0</v>
      </c>
      <c r="S1206" s="8">
        <f>IF($D1206='[2]Beam '!S$44,$P1206*'[2]Beam '!S$45,0)</f>
        <v>0</v>
      </c>
      <c r="T1206" s="8">
        <f>IF($D1206='[2]Beam '!T$44,$P1206*'[2]Beam '!T$45,0)</f>
        <v>0</v>
      </c>
      <c r="U1206" s="8">
        <f>IF($D1206='[2]Beam '!U$44,$P1206*'[2]Beam '!U$45,0)</f>
        <v>0</v>
      </c>
      <c r="V1206" s="8">
        <f>IF($D1206='[2]Beam '!V$44,$P1206*'[2]Beam '!V$45,0)</f>
        <v>0</v>
      </c>
      <c r="W1206" s="8">
        <f>IF($D1206='[2]Beam '!W$44,$P1206*'[2]Beam '!W$45,0)</f>
        <v>0</v>
      </c>
      <c r="X1206" s="8">
        <f t="shared" si="224"/>
        <v>24.276685714285716</v>
      </c>
      <c r="Y1206" s="14"/>
      <c r="Z1206" s="8"/>
      <c r="AA1206" s="8"/>
      <c r="AB1206" s="8"/>
      <c r="AC1206" s="8"/>
      <c r="AD1206" s="8"/>
      <c r="AE1206" s="8"/>
      <c r="AF1206" s="8"/>
    </row>
    <row r="1207" spans="1:32" s="10" customFormat="1" ht="20.100000000000001" customHeight="1" x14ac:dyDescent="0.25">
      <c r="A1207" s="14"/>
      <c r="B1207" s="8" t="s">
        <v>2</v>
      </c>
      <c r="C1207" s="13" t="s">
        <v>16</v>
      </c>
      <c r="D1207" s="14">
        <f>D1205</f>
        <v>8</v>
      </c>
      <c r="E1207" s="14">
        <f>+E1205</f>
        <v>0.15</v>
      </c>
      <c r="F1207" s="14">
        <f>ROUND((E1200-(IF(E1200/3&gt;2*G1200,E1200/3*2,G1200*2*2)))/E1207,0)</f>
        <v>13</v>
      </c>
      <c r="H1207" s="14"/>
      <c r="I1207" s="14"/>
      <c r="J1207" s="14"/>
      <c r="K1207" s="14"/>
      <c r="L1207" s="14"/>
      <c r="M1207" s="14"/>
      <c r="N1207" s="14"/>
      <c r="O1207" s="8">
        <f>(2*(((F1200-'[2]Beam '!$D$11*2)/(F1201-1))+(G1200-'[2]Beam '!$D$11*2))+(2*10*D1207/1000))*D1200</f>
        <v>1.5</v>
      </c>
      <c r="P1207" s="8">
        <f t="shared" si="223"/>
        <v>19.5</v>
      </c>
      <c r="Q1207" s="8">
        <f>IF($D1207='[2]Beam '!Q$44,$P1207*'[2]Beam '!Q$45,0)</f>
        <v>7.6974857142857145</v>
      </c>
      <c r="R1207" s="8">
        <f>IF($D1207='[2]Beam '!R$44,$P1207*'[2]Beam '!R$45,0)</f>
        <v>0</v>
      </c>
      <c r="S1207" s="8">
        <f>IF($D1207='[2]Beam '!S$44,$P1207*'[2]Beam '!S$45,0)</f>
        <v>0</v>
      </c>
      <c r="T1207" s="8">
        <f>IF($D1207='[2]Beam '!T$44,$P1207*'[2]Beam '!T$45,0)</f>
        <v>0</v>
      </c>
      <c r="U1207" s="8">
        <f>IF($D1207='[2]Beam '!U$44,$P1207*'[2]Beam '!U$45,0)</f>
        <v>0</v>
      </c>
      <c r="V1207" s="8">
        <f>IF($D1207='[2]Beam '!V$44,$P1207*'[2]Beam '!V$45,0)</f>
        <v>0</v>
      </c>
      <c r="W1207" s="8">
        <f>IF($D1207='[2]Beam '!W$44,$P1207*'[2]Beam '!W$45,0)</f>
        <v>0</v>
      </c>
      <c r="X1207" s="8">
        <f t="shared" si="224"/>
        <v>7.6974857142857145</v>
      </c>
      <c r="Y1207" s="14"/>
      <c r="Z1207" s="8"/>
      <c r="AA1207" s="8"/>
      <c r="AB1207" s="8"/>
      <c r="AC1207" s="8"/>
      <c r="AD1207" s="8"/>
      <c r="AE1207" s="8"/>
    </row>
    <row r="1208" spans="1:32" s="10" customFormat="1" ht="20.100000000000001" customHeight="1" x14ac:dyDescent="0.25">
      <c r="A1208" s="7"/>
      <c r="B1208" s="8" t="s">
        <v>2</v>
      </c>
      <c r="C1208" s="13" t="s">
        <v>10</v>
      </c>
      <c r="D1208" s="8">
        <f>+'[2]Beam '!$D$15</f>
        <v>25</v>
      </c>
      <c r="E1208" s="8">
        <f>+'[2]Beam '!$E$15</f>
        <v>1</v>
      </c>
      <c r="F1208" s="8">
        <f>ROUNDUP((O1203)/E1208,0)</f>
        <v>5</v>
      </c>
      <c r="G1208" s="9"/>
      <c r="H1208" s="9"/>
      <c r="I1208" s="8"/>
      <c r="J1208" s="8"/>
      <c r="K1208" s="8"/>
      <c r="L1208" s="8"/>
      <c r="M1208" s="8"/>
      <c r="N1208" s="8"/>
      <c r="O1208" s="8">
        <f>F1200-'[2]Beam '!$F$15</f>
        <v>0.39</v>
      </c>
      <c r="P1208" s="8">
        <f t="shared" si="223"/>
        <v>1.9500000000000002</v>
      </c>
      <c r="Q1208" s="8">
        <f>IF($D1208='[2]Beam '!Q$44,$P1208*'[2]Beam '!Q$45,0)</f>
        <v>0</v>
      </c>
      <c r="R1208" s="8">
        <f>IF($D1208='[2]Beam '!R$44,$P1208*'[2]Beam '!R$45,0)</f>
        <v>0</v>
      </c>
      <c r="S1208" s="8">
        <f>IF($D1208='[2]Beam '!S$44,$P1208*'[2]Beam '!S$45,0)</f>
        <v>0</v>
      </c>
      <c r="T1208" s="8">
        <f>IF($D1208='[2]Beam '!T$44,$P1208*'[2]Beam '!T$45,0)</f>
        <v>0</v>
      </c>
      <c r="U1208" s="8">
        <f>IF($D1208='[2]Beam '!U$44,$P1208*'[2]Beam '!U$45,0)</f>
        <v>0</v>
      </c>
      <c r="V1208" s="8">
        <f>IF($D1208='[2]Beam '!V$44,$P1208*'[2]Beam '!V$45,0)</f>
        <v>7.5170758928571448</v>
      </c>
      <c r="W1208" s="8">
        <f>IF($D1208='[2]Beam '!W$44,$P1208*'[2]Beam '!W$45,0)</f>
        <v>0</v>
      </c>
      <c r="X1208" s="8">
        <f t="shared" si="224"/>
        <v>7.5170758928571448</v>
      </c>
      <c r="Y1208" s="8"/>
      <c r="Z1208" s="8"/>
      <c r="AA1208" s="8"/>
      <c r="AB1208" s="8"/>
      <c r="AC1208" s="8"/>
      <c r="AD1208" s="8"/>
      <c r="AE1208" s="8"/>
    </row>
    <row r="1209" spans="1:32" s="10" customFormat="1" ht="20.100000000000001" customHeight="1" x14ac:dyDescent="0.25">
      <c r="A1209" s="8">
        <v>1</v>
      </c>
      <c r="B1209" s="8" t="s">
        <v>2</v>
      </c>
      <c r="C1209" s="11" t="s">
        <v>160</v>
      </c>
      <c r="D1209" s="11">
        <v>1</v>
      </c>
      <c r="E1209" s="11">
        <v>2.4</v>
      </c>
      <c r="F1209" s="11">
        <v>0.3</v>
      </c>
      <c r="G1209" s="11">
        <v>1.1000000000000001</v>
      </c>
      <c r="H1209" s="8">
        <f>G1209-0.2</f>
        <v>0.90000000000000013</v>
      </c>
      <c r="I1209" s="8">
        <f>E1209*F1209*G1209*D1209</f>
        <v>0.79200000000000004</v>
      </c>
      <c r="J1209" s="8">
        <f>(2*(E1209)*H1209*D1209)+(E1209*F1209)</f>
        <v>5.04</v>
      </c>
      <c r="K1209" s="12">
        <f>IF(E1209=0.3,J1209,0)</f>
        <v>0</v>
      </c>
      <c r="L1209" s="12">
        <f>IF(AND(E1209&gt;0.3,E1209&lt;=0.75),J1209,0)</f>
        <v>0</v>
      </c>
      <c r="M1209" s="12">
        <f>IF(AND(E1209&gt;0.75,E1209&lt;=1.2),J1209,0)</f>
        <v>0</v>
      </c>
      <c r="N1209" s="12">
        <f>IF(E1209&gt;1.2,J1209,0)</f>
        <v>5.04</v>
      </c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>
        <f>SUM(X1210:X1212)/I1209</f>
        <v>80.790704761904777</v>
      </c>
      <c r="Z1209" s="8"/>
      <c r="AA1209" s="8"/>
      <c r="AB1209" s="8"/>
      <c r="AC1209" s="8"/>
      <c r="AD1209" s="8"/>
      <c r="AE1209" s="8"/>
    </row>
    <row r="1210" spans="1:32" s="10" customFormat="1" ht="21" customHeight="1" x14ac:dyDescent="0.25">
      <c r="A1210" s="7"/>
      <c r="B1210" s="8" t="s">
        <v>2</v>
      </c>
      <c r="C1210" s="13" t="s">
        <v>4</v>
      </c>
      <c r="D1210" s="8">
        <v>16</v>
      </c>
      <c r="E1210" s="8"/>
      <c r="F1210" s="8">
        <v>3</v>
      </c>
      <c r="G1210" s="9">
        <f>VLOOKUP(D1210,'[2]Beam '!$C$20:$H$26,3,0)</f>
        <v>0.625</v>
      </c>
      <c r="H1210" s="9"/>
      <c r="I1210" s="8"/>
      <c r="J1210" s="8"/>
      <c r="K1210" s="8"/>
      <c r="L1210" s="8"/>
      <c r="M1210" s="8"/>
      <c r="N1210" s="8"/>
      <c r="O1210" s="8">
        <f>(E1209+2*(G1210+(12*D1210/1000))*D1209)</f>
        <v>4.0339999999999998</v>
      </c>
      <c r="P1210" s="8">
        <f>O1210*F1210</f>
        <v>12.102</v>
      </c>
      <c r="Q1210" s="8">
        <f>IF($D1210='[2]Beam '!Q$44,$P1210*'[2]Beam '!Q$45,0)</f>
        <v>0</v>
      </c>
      <c r="R1210" s="8">
        <f>IF($D1210='[2]Beam '!R$44,$P1210*'[2]Beam '!R$45,0)</f>
        <v>0</v>
      </c>
      <c r="S1210" s="8">
        <f>IF($D1210='[2]Beam '!S$44,$P1210*'[2]Beam '!S$45,0)</f>
        <v>0</v>
      </c>
      <c r="T1210" s="8">
        <f>IF($D1210='[2]Beam '!T$44,$P1210*'[2]Beam '!T$45,0)</f>
        <v>19.108712228571431</v>
      </c>
      <c r="U1210" s="8">
        <f>IF($D1210='[2]Beam '!U$44,$P1210*'[2]Beam '!U$45,0)</f>
        <v>0</v>
      </c>
      <c r="V1210" s="8">
        <f>IF($D1210='[2]Beam '!V$44,$P1210*'[2]Beam '!V$45,0)</f>
        <v>0</v>
      </c>
      <c r="W1210" s="8">
        <f>IF($D1210='[2]Beam '!W$44,$P1210*'[2]Beam '!W$45,0)</f>
        <v>0</v>
      </c>
      <c r="X1210" s="8">
        <f>SUM(Q1210:W1210)</f>
        <v>19.108712228571431</v>
      </c>
      <c r="Y1210" s="8"/>
      <c r="Z1210" s="8"/>
      <c r="AA1210" s="8"/>
      <c r="AB1210" s="8"/>
      <c r="AC1210" s="8"/>
      <c r="AD1210" s="8"/>
      <c r="AE1210" s="8"/>
      <c r="AF1210" s="8"/>
    </row>
    <row r="1211" spans="1:32" s="10" customFormat="1" ht="20.100000000000001" customHeight="1" x14ac:dyDescent="0.25">
      <c r="A1211" s="7"/>
      <c r="B1211" s="8" t="s">
        <v>2</v>
      </c>
      <c r="C1211" s="13" t="s">
        <v>139</v>
      </c>
      <c r="D1211" s="8">
        <v>16</v>
      </c>
      <c r="E1211" s="8"/>
      <c r="F1211" s="8">
        <v>3</v>
      </c>
      <c r="G1211" s="9">
        <f>VLOOKUP(D1211,'[2]Beam '!$C$20:$H$26,3,0)</f>
        <v>0.625</v>
      </c>
      <c r="H1211" s="9"/>
      <c r="I1211" s="8"/>
      <c r="J1211" s="8"/>
      <c r="K1211" s="8"/>
      <c r="L1211" s="8"/>
      <c r="M1211" s="8"/>
      <c r="N1211" s="8"/>
      <c r="O1211" s="8">
        <f>(E1209+2*(G1211+(12*D1211/1000))*D1209)</f>
        <v>4.0339999999999998</v>
      </c>
      <c r="P1211" s="8">
        <f>O1211*F1211</f>
        <v>12.102</v>
      </c>
      <c r="Q1211" s="8">
        <f>IF($D1211='[2]Beam '!Q$44,$P1211*'[2]Beam '!Q$45,0)</f>
        <v>0</v>
      </c>
      <c r="R1211" s="8">
        <f>IF($D1211='[2]Beam '!R$44,$P1211*'[2]Beam '!R$45,0)</f>
        <v>0</v>
      </c>
      <c r="S1211" s="8">
        <f>IF($D1211='[2]Beam '!S$44,$P1211*'[2]Beam '!S$45,0)</f>
        <v>0</v>
      </c>
      <c r="T1211" s="8">
        <f>IF($D1211='[2]Beam '!T$44,$P1211*'[2]Beam '!T$45,0)</f>
        <v>19.108712228571431</v>
      </c>
      <c r="U1211" s="8">
        <f>IF($D1211='[2]Beam '!U$44,$P1211*'[2]Beam '!U$45,0)</f>
        <v>0</v>
      </c>
      <c r="V1211" s="8">
        <f>IF($D1211='[2]Beam '!V$44,$P1211*'[2]Beam '!V$45,0)</f>
        <v>0</v>
      </c>
      <c r="W1211" s="8">
        <f>IF($D1211='[2]Beam '!W$44,$P1211*'[2]Beam '!W$45,0)</f>
        <v>0</v>
      </c>
      <c r="X1211" s="8">
        <f>SUM(Q1211:W1211)</f>
        <v>19.108712228571431</v>
      </c>
      <c r="Y1211" s="8"/>
      <c r="Z1211" s="8"/>
      <c r="AA1211" s="8"/>
      <c r="AB1211" s="8"/>
      <c r="AC1211" s="8"/>
      <c r="AD1211" s="8"/>
      <c r="AE1211" s="8"/>
    </row>
    <row r="1212" spans="1:32" s="10" customFormat="1" ht="20.100000000000001" customHeight="1" x14ac:dyDescent="0.25">
      <c r="A1212" s="7"/>
      <c r="B1212" s="8" t="s">
        <v>2</v>
      </c>
      <c r="C1212" s="13" t="s">
        <v>8</v>
      </c>
      <c r="D1212" s="8">
        <v>8</v>
      </c>
      <c r="E1212" s="8">
        <v>0.1</v>
      </c>
      <c r="F1212" s="8">
        <f>ROUNDUP(E1209/E1212,0)</f>
        <v>24</v>
      </c>
      <c r="H1212" s="8"/>
      <c r="I1212" s="8"/>
      <c r="J1212" s="8"/>
      <c r="K1212" s="8"/>
      <c r="L1212" s="8"/>
      <c r="M1212" s="8"/>
      <c r="N1212" s="8"/>
      <c r="O1212" s="8">
        <f>(2*((G1209-(2*'[2]Beam '!$D$11))+(F1209-(2*'[2]Beam '!$D$11)))+(2*10*D1212/1000))*D1209</f>
        <v>2.72</v>
      </c>
      <c r="P1212" s="8">
        <f>O1212*F1212</f>
        <v>65.28</v>
      </c>
      <c r="Q1212" s="8">
        <f>IF($D1212='[2]Beam '!Q$44,$P1212*'[2]Beam '!Q$45,0)</f>
        <v>25.768813714285717</v>
      </c>
      <c r="R1212" s="8">
        <f>IF($D1212='[2]Beam '!R$44,$P1212*'[2]Beam '!R$45,0)</f>
        <v>0</v>
      </c>
      <c r="S1212" s="8">
        <f>IF($D1212='[2]Beam '!S$44,$P1212*'[2]Beam '!S$45,0)</f>
        <v>0</v>
      </c>
      <c r="T1212" s="8">
        <f>IF($D1212='[2]Beam '!T$44,$P1212*'[2]Beam '!T$45,0)</f>
        <v>0</v>
      </c>
      <c r="U1212" s="8">
        <f>IF($D1212='[2]Beam '!U$44,$P1212*'[2]Beam '!U$45,0)</f>
        <v>0</v>
      </c>
      <c r="V1212" s="8">
        <f>IF($D1212='[2]Beam '!V$44,$P1212*'[2]Beam '!V$45,0)</f>
        <v>0</v>
      </c>
      <c r="W1212" s="8">
        <f>IF($D1212='[2]Beam '!W$44,$P1212*'[2]Beam '!W$45,0)</f>
        <v>0</v>
      </c>
      <c r="X1212" s="8">
        <f>SUM(Q1212:W1212)</f>
        <v>25.768813714285717</v>
      </c>
      <c r="Y1212" s="8"/>
      <c r="Z1212" s="8"/>
      <c r="AA1212" s="8"/>
      <c r="AB1212" s="8"/>
      <c r="AC1212" s="8"/>
      <c r="AD1212" s="8"/>
      <c r="AE1212" s="8"/>
    </row>
    <row r="1213" spans="1:32" s="10" customFormat="1" ht="20.100000000000001" customHeight="1" x14ac:dyDescent="0.25">
      <c r="A1213" s="8">
        <v>1</v>
      </c>
      <c r="B1213" s="8" t="s">
        <v>2</v>
      </c>
      <c r="C1213" s="11" t="s">
        <v>161</v>
      </c>
      <c r="D1213" s="11">
        <v>1</v>
      </c>
      <c r="E1213" s="11">
        <v>1.41</v>
      </c>
      <c r="F1213" s="11">
        <v>0.3</v>
      </c>
      <c r="G1213" s="11">
        <v>0.5</v>
      </c>
      <c r="H1213" s="8">
        <f>G1213-0.2</f>
        <v>0.3</v>
      </c>
      <c r="I1213" s="8">
        <f>E1213*F1213*G1213*D1213</f>
        <v>0.21149999999999999</v>
      </c>
      <c r="J1213" s="8">
        <f>(2*(E1213)*H1213*D1213)+(E1213*F1213)</f>
        <v>1.2689999999999999</v>
      </c>
      <c r="K1213" s="12">
        <f>IF(E1213=0.3,J1213,0)</f>
        <v>0</v>
      </c>
      <c r="L1213" s="12">
        <f>IF(AND(E1213&gt;0.3,E1213&lt;=0.75),J1213,0)</f>
        <v>0</v>
      </c>
      <c r="M1213" s="12">
        <f>IF(AND(E1213&gt;0.75,E1213&lt;=1.2),J1213,0)</f>
        <v>0</v>
      </c>
      <c r="N1213" s="12">
        <f>IF(E1213&gt;1.2,J1213,0)</f>
        <v>1.2689999999999999</v>
      </c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>
        <f>SUM(X1214:X1220)/I1213</f>
        <v>760.88534613306331</v>
      </c>
      <c r="Z1213" s="8"/>
      <c r="AA1213" s="8"/>
      <c r="AB1213" s="8"/>
      <c r="AC1213" s="8"/>
      <c r="AD1213" s="8"/>
      <c r="AE1213" s="8"/>
    </row>
    <row r="1214" spans="1:32" s="10" customFormat="1" ht="20.100000000000001" customHeight="1" x14ac:dyDescent="0.25">
      <c r="A1214" s="7"/>
      <c r="B1214" s="8" t="s">
        <v>2</v>
      </c>
      <c r="C1214" s="13" t="s">
        <v>4</v>
      </c>
      <c r="D1214" s="8">
        <v>25</v>
      </c>
      <c r="E1214" s="8"/>
      <c r="F1214" s="8">
        <v>3</v>
      </c>
      <c r="G1214" s="9">
        <f>VLOOKUP(D1214,'[2]Beam '!$C$20:$H$26,3,0)</f>
        <v>1</v>
      </c>
      <c r="H1214" s="9"/>
      <c r="I1214" s="8"/>
      <c r="J1214" s="8"/>
      <c r="K1214" s="8"/>
      <c r="L1214" s="8"/>
      <c r="M1214" s="8"/>
      <c r="N1214" s="8"/>
      <c r="O1214" s="8">
        <f>(E1213+1*(G1214+(12*D1214/1000))+G1214*D1213)</f>
        <v>3.71</v>
      </c>
      <c r="P1214" s="8">
        <f t="shared" ref="P1214:P1221" si="225">O1214*F1214</f>
        <v>11.129999999999999</v>
      </c>
      <c r="Q1214" s="8">
        <f>IF($D1214='[2]Beam '!Q$44,$P1214*'[2]Beam '!Q$45,0)</f>
        <v>0</v>
      </c>
      <c r="R1214" s="8">
        <f>IF($D1214='[2]Beam '!R$44,$P1214*'[2]Beam '!R$45,0)</f>
        <v>0</v>
      </c>
      <c r="S1214" s="8">
        <f>IF($D1214='[2]Beam '!S$44,$P1214*'[2]Beam '!S$45,0)</f>
        <v>0</v>
      </c>
      <c r="T1214" s="8">
        <f>IF($D1214='[2]Beam '!T$44,$P1214*'[2]Beam '!T$45,0)</f>
        <v>0</v>
      </c>
      <c r="U1214" s="8">
        <f>IF($D1214='[2]Beam '!U$44,$P1214*'[2]Beam '!U$45,0)</f>
        <v>0</v>
      </c>
      <c r="V1214" s="8">
        <f>IF($D1214='[2]Beam '!V$44,$P1214*'[2]Beam '!V$45,0)</f>
        <v>42.905156250000005</v>
      </c>
      <c r="W1214" s="8">
        <f>IF($D1214='[2]Beam '!W$44,$P1214*'[2]Beam '!W$45,0)</f>
        <v>0</v>
      </c>
      <c r="X1214" s="8">
        <f t="shared" ref="X1214:X1221" si="226">SUM(Q1214:W1214)</f>
        <v>42.905156250000005</v>
      </c>
      <c r="Y1214" s="8"/>
      <c r="Z1214" s="8"/>
      <c r="AA1214" s="8"/>
      <c r="AB1214" s="8"/>
      <c r="AC1214" s="8"/>
      <c r="AD1214" s="8"/>
      <c r="AE1214" s="8"/>
    </row>
    <row r="1215" spans="1:32" s="10" customFormat="1" ht="20.100000000000001" customHeight="1" x14ac:dyDescent="0.25">
      <c r="A1215" s="7"/>
      <c r="B1215" s="8" t="s">
        <v>2</v>
      </c>
      <c r="C1215" s="13" t="s">
        <v>75</v>
      </c>
      <c r="D1215" s="8">
        <v>20</v>
      </c>
      <c r="E1215" s="8"/>
      <c r="F1215" s="8">
        <v>3</v>
      </c>
      <c r="G1215" s="9">
        <f>VLOOKUP(D1215,'[2]Beam '!$C$20:$H$26,3,0)</f>
        <v>0.8</v>
      </c>
      <c r="H1215" s="9"/>
      <c r="I1215" s="8"/>
      <c r="J1215" s="8"/>
      <c r="K1215" s="8"/>
      <c r="L1215" s="8"/>
      <c r="M1215" s="8"/>
      <c r="N1215" s="8"/>
      <c r="O1215" s="8">
        <f>(E1213+1*(G1215+(12*D1215/1000))+G1215*D1213)</f>
        <v>3.25</v>
      </c>
      <c r="P1215" s="8">
        <f t="shared" si="225"/>
        <v>9.75</v>
      </c>
      <c r="Q1215" s="8">
        <f>IF($D1215='[2]Beam '!Q$44,$P1215*'[2]Beam '!Q$45,0)</f>
        <v>0</v>
      </c>
      <c r="R1215" s="8">
        <f>IF($D1215='[2]Beam '!R$44,$P1215*'[2]Beam '!R$45,0)</f>
        <v>0</v>
      </c>
      <c r="S1215" s="8">
        <f>IF($D1215='[2]Beam '!S$44,$P1215*'[2]Beam '!S$45,0)</f>
        <v>0</v>
      </c>
      <c r="T1215" s="8">
        <f>IF($D1215='[2]Beam '!T$44,$P1215*'[2]Beam '!T$45,0)</f>
        <v>0</v>
      </c>
      <c r="U1215" s="8">
        <f>IF($D1215='[2]Beam '!U$44,$P1215*'[2]Beam '!U$45,0)</f>
        <v>24.054642857142856</v>
      </c>
      <c r="V1215" s="8">
        <f>IF($D1215='[2]Beam '!V$44,$P1215*'[2]Beam '!V$45,0)</f>
        <v>0</v>
      </c>
      <c r="W1215" s="8">
        <f>IF($D1215='[2]Beam '!W$44,$P1215*'[2]Beam '!W$45,0)</f>
        <v>0</v>
      </c>
      <c r="X1215" s="8">
        <f t="shared" si="226"/>
        <v>24.054642857142856</v>
      </c>
      <c r="Y1215" s="8"/>
      <c r="Z1215" s="8"/>
      <c r="AA1215" s="8"/>
      <c r="AB1215" s="8"/>
      <c r="AC1215" s="8"/>
      <c r="AD1215" s="8"/>
      <c r="AE1215" s="8"/>
    </row>
    <row r="1216" spans="1:32" s="10" customFormat="1" ht="20.100000000000001" customHeight="1" x14ac:dyDescent="0.25">
      <c r="A1216" s="7"/>
      <c r="B1216" s="8" t="s">
        <v>2</v>
      </c>
      <c r="C1216" s="13" t="s">
        <v>75</v>
      </c>
      <c r="D1216" s="8">
        <v>25</v>
      </c>
      <c r="E1216" s="8"/>
      <c r="F1216" s="8">
        <v>3</v>
      </c>
      <c r="G1216" s="9">
        <f>VLOOKUP(D1216,'[2]Beam '!$C$20:$H$26,3,0)</f>
        <v>1</v>
      </c>
      <c r="H1216" s="9"/>
      <c r="I1216" s="8"/>
      <c r="J1216" s="8"/>
      <c r="K1216" s="8"/>
      <c r="L1216" s="8"/>
      <c r="M1216" s="8"/>
      <c r="N1216" s="8"/>
      <c r="O1216" s="8">
        <f>+E1213-0.4</f>
        <v>1.0099999999999998</v>
      </c>
      <c r="P1216" s="8">
        <f t="shared" si="225"/>
        <v>3.0299999999999994</v>
      </c>
      <c r="Q1216" s="8">
        <f>IF($D1216='[2]Beam '!Q$44,$P1216*'[2]Beam '!Q$45,0)</f>
        <v>0</v>
      </c>
      <c r="R1216" s="8">
        <f>IF($D1216='[2]Beam '!R$44,$P1216*'[2]Beam '!R$45,0)</f>
        <v>0</v>
      </c>
      <c r="S1216" s="8">
        <f>IF($D1216='[2]Beam '!S$44,$P1216*'[2]Beam '!S$45,0)</f>
        <v>0</v>
      </c>
      <c r="T1216" s="8">
        <f>IF($D1216='[2]Beam '!T$44,$P1216*'[2]Beam '!T$45,0)</f>
        <v>0</v>
      </c>
      <c r="U1216" s="8">
        <f>IF($D1216='[2]Beam '!U$44,$P1216*'[2]Beam '!U$45,0)</f>
        <v>0</v>
      </c>
      <c r="V1216" s="8">
        <f>IF($D1216='[2]Beam '!V$44,$P1216*'[2]Beam '!V$45,0)</f>
        <v>11.680379464285714</v>
      </c>
      <c r="W1216" s="8">
        <f>IF($D1216='[2]Beam '!W$44,$P1216*'[2]Beam '!W$45,0)</f>
        <v>0</v>
      </c>
      <c r="X1216" s="8">
        <f t="shared" si="226"/>
        <v>11.680379464285714</v>
      </c>
      <c r="Y1216" s="8"/>
      <c r="Z1216" s="8"/>
      <c r="AA1216" s="8"/>
      <c r="AB1216" s="8"/>
      <c r="AC1216" s="8"/>
      <c r="AD1216" s="8"/>
      <c r="AE1216" s="8"/>
    </row>
    <row r="1217" spans="1:32" s="14" customFormat="1" ht="20.100000000000001" customHeight="1" x14ac:dyDescent="0.3">
      <c r="A1217" s="7"/>
      <c r="B1217" s="8" t="s">
        <v>2</v>
      </c>
      <c r="C1217" s="13" t="s">
        <v>139</v>
      </c>
      <c r="D1217" s="8">
        <v>25</v>
      </c>
      <c r="E1217" s="8"/>
      <c r="F1217" s="8">
        <v>3</v>
      </c>
      <c r="G1217" s="9">
        <f>VLOOKUP(D1217,'[2]Beam '!$C$20:$H$26,3,0)</f>
        <v>1</v>
      </c>
      <c r="H1217" s="9"/>
      <c r="I1217" s="8"/>
      <c r="J1217" s="8"/>
      <c r="K1217" s="8"/>
      <c r="L1217" s="8"/>
      <c r="M1217" s="8"/>
      <c r="N1217" s="8"/>
      <c r="O1217" s="8">
        <f>(E1213+1*(G1217+(12*D1217/1000))+G1217*D1213)</f>
        <v>3.71</v>
      </c>
      <c r="P1217" s="8">
        <f t="shared" si="225"/>
        <v>11.129999999999999</v>
      </c>
      <c r="Q1217" s="8">
        <f>IF($D1217='[2]Beam '!Q$44,$P1217*'[2]Beam '!Q$45,0)</f>
        <v>0</v>
      </c>
      <c r="R1217" s="8">
        <f>IF($D1217='[2]Beam '!R$44,$P1217*'[2]Beam '!R$45,0)</f>
        <v>0</v>
      </c>
      <c r="S1217" s="8">
        <f>IF($D1217='[2]Beam '!S$44,$P1217*'[2]Beam '!S$45,0)</f>
        <v>0</v>
      </c>
      <c r="T1217" s="8">
        <f>IF($D1217='[2]Beam '!T$44,$P1217*'[2]Beam '!T$45,0)</f>
        <v>0</v>
      </c>
      <c r="U1217" s="8">
        <f>IF($D1217='[2]Beam '!U$44,$P1217*'[2]Beam '!U$45,0)</f>
        <v>0</v>
      </c>
      <c r="V1217" s="8">
        <f>IF($D1217='[2]Beam '!V$44,$P1217*'[2]Beam '!V$45,0)</f>
        <v>42.905156250000005</v>
      </c>
      <c r="W1217" s="8">
        <f>IF($D1217='[2]Beam '!W$44,$P1217*'[2]Beam '!W$45,0)</f>
        <v>0</v>
      </c>
      <c r="X1217" s="8">
        <f t="shared" si="226"/>
        <v>42.905156250000005</v>
      </c>
      <c r="Y1217" s="8"/>
    </row>
    <row r="1218" spans="1:32" s="10" customFormat="1" ht="20.100000000000001" customHeight="1" x14ac:dyDescent="0.25">
      <c r="A1218" s="7"/>
      <c r="B1218" s="8" t="s">
        <v>2</v>
      </c>
      <c r="C1218" s="13" t="s">
        <v>88</v>
      </c>
      <c r="D1218" s="8">
        <v>16</v>
      </c>
      <c r="E1218" s="8"/>
      <c r="F1218" s="8">
        <v>2</v>
      </c>
      <c r="G1218" s="9">
        <f>VLOOKUP(D1218,'[2]Beam '!$C$20:$H$26,3,0)</f>
        <v>0.625</v>
      </c>
      <c r="H1218" s="9"/>
      <c r="I1218" s="8"/>
      <c r="J1218" s="8"/>
      <c r="K1218" s="8"/>
      <c r="L1218" s="8"/>
      <c r="M1218" s="8"/>
      <c r="N1218" s="8"/>
      <c r="O1218" s="8">
        <f>(E1213+1*(G1218+(12*D1218/1000))+G1218*D1213)</f>
        <v>2.8519999999999999</v>
      </c>
      <c r="P1218" s="8">
        <f t="shared" si="225"/>
        <v>5.7039999999999997</v>
      </c>
      <c r="Q1218" s="8">
        <f>IF($D1218='[2]Beam '!Q$44,$P1218*'[2]Beam '!Q$45,0)</f>
        <v>0</v>
      </c>
      <c r="R1218" s="8">
        <f>IF($D1218='[2]Beam '!R$44,$P1218*'[2]Beam '!R$45,0)</f>
        <v>0</v>
      </c>
      <c r="S1218" s="8">
        <f>IF($D1218='[2]Beam '!S$44,$P1218*'[2]Beam '!S$45,0)</f>
        <v>0</v>
      </c>
      <c r="T1218" s="8">
        <f>IF($D1218='[2]Beam '!T$44,$P1218*'[2]Beam '!T$45,0)</f>
        <v>9.0064530285714284</v>
      </c>
      <c r="U1218" s="8">
        <f>IF($D1218='[2]Beam '!U$44,$P1218*'[2]Beam '!U$45,0)</f>
        <v>0</v>
      </c>
      <c r="V1218" s="8">
        <f>IF($D1218='[2]Beam '!V$44,$P1218*'[2]Beam '!V$45,0)</f>
        <v>0</v>
      </c>
      <c r="W1218" s="8">
        <f>IF($D1218='[2]Beam '!W$44,$P1218*'[2]Beam '!W$45,0)</f>
        <v>0</v>
      </c>
      <c r="X1218" s="8">
        <f t="shared" si="226"/>
        <v>9.0064530285714284</v>
      </c>
      <c r="Y1218" s="8"/>
      <c r="Z1218" s="8"/>
      <c r="AA1218" s="8"/>
      <c r="AB1218" s="8"/>
      <c r="AC1218" s="8"/>
      <c r="AD1218" s="8"/>
      <c r="AE1218" s="8"/>
    </row>
    <row r="1219" spans="1:32" s="10" customFormat="1" ht="21" customHeight="1" x14ac:dyDescent="0.25">
      <c r="A1219" s="7"/>
      <c r="B1219" s="8" t="s">
        <v>2</v>
      </c>
      <c r="C1219" s="13" t="s">
        <v>8</v>
      </c>
      <c r="D1219" s="8">
        <v>12</v>
      </c>
      <c r="E1219" s="8">
        <v>0.1</v>
      </c>
      <c r="F1219" s="8">
        <f>ROUNDUP(E1213/E1219,0)</f>
        <v>15</v>
      </c>
      <c r="H1219" s="8"/>
      <c r="I1219" s="8"/>
      <c r="J1219" s="8"/>
      <c r="K1219" s="8"/>
      <c r="L1219" s="8"/>
      <c r="M1219" s="8"/>
      <c r="N1219" s="8"/>
      <c r="O1219" s="8">
        <f>(2*((G1213-(2*'[2]Beam '!$D$11))+(F1213-(2*'[2]Beam '!$D$11)))+(2*10*D1219/1000))*D1213</f>
        <v>1.5999999999999999</v>
      </c>
      <c r="P1219" s="8">
        <f t="shared" si="225"/>
        <v>23.999999999999996</v>
      </c>
      <c r="Q1219" s="8">
        <f>IF($D1219='[2]Beam '!Q$44,$P1219*'[2]Beam '!Q$45,0)</f>
        <v>0</v>
      </c>
      <c r="R1219" s="8">
        <f>IF($D1219='[2]Beam '!R$44,$P1219*'[2]Beam '!R$45,0)</f>
        <v>0</v>
      </c>
      <c r="S1219" s="8">
        <f>IF($D1219='[2]Beam '!S$44,$P1219*'[2]Beam '!S$45,0)</f>
        <v>21.316114285714285</v>
      </c>
      <c r="T1219" s="8">
        <f>IF($D1219='[2]Beam '!T$44,$P1219*'[2]Beam '!T$45,0)</f>
        <v>0</v>
      </c>
      <c r="U1219" s="8">
        <f>IF($D1219='[2]Beam '!U$44,$P1219*'[2]Beam '!U$45,0)</f>
        <v>0</v>
      </c>
      <c r="V1219" s="8">
        <f>IF($D1219='[2]Beam '!V$44,$P1219*'[2]Beam '!V$45,0)</f>
        <v>0</v>
      </c>
      <c r="W1219" s="8">
        <f>IF($D1219='[2]Beam '!W$44,$P1219*'[2]Beam '!W$45,0)</f>
        <v>0</v>
      </c>
      <c r="X1219" s="8">
        <f t="shared" si="226"/>
        <v>21.316114285714285</v>
      </c>
      <c r="Y1219" s="8"/>
      <c r="Z1219" s="8"/>
      <c r="AA1219" s="8"/>
      <c r="AB1219" s="8"/>
      <c r="AC1219" s="8"/>
      <c r="AD1219" s="8"/>
      <c r="AE1219" s="8"/>
      <c r="AF1219" s="8"/>
    </row>
    <row r="1220" spans="1:32" s="10" customFormat="1" ht="20.100000000000001" customHeight="1" x14ac:dyDescent="0.25">
      <c r="A1220" s="14"/>
      <c r="B1220" s="8" t="s">
        <v>2</v>
      </c>
      <c r="C1220" s="13" t="s">
        <v>9</v>
      </c>
      <c r="D1220" s="8">
        <f>+D1219</f>
        <v>12</v>
      </c>
      <c r="E1220" s="14">
        <f>+E1219</f>
        <v>0.1</v>
      </c>
      <c r="F1220" s="8">
        <f>ROUNDUP(E1213/E1220,0)</f>
        <v>15</v>
      </c>
      <c r="H1220" s="14"/>
      <c r="I1220" s="14"/>
      <c r="J1220" s="14"/>
      <c r="K1220" s="14"/>
      <c r="L1220" s="14"/>
      <c r="M1220" s="14"/>
      <c r="N1220" s="14"/>
      <c r="O1220" s="8">
        <f>((((G1213-(2*'[2]Beam '!$D$11))+(2*10*D1220/1000))*D1213))*1</f>
        <v>0.67999999999999994</v>
      </c>
      <c r="P1220" s="8">
        <f t="shared" si="225"/>
        <v>10.199999999999999</v>
      </c>
      <c r="Q1220" s="8">
        <f>IF($D1220='[2]Beam '!Q$44,$P1220*'[2]Beam '!Q$45,0)</f>
        <v>0</v>
      </c>
      <c r="R1220" s="8">
        <f>IF($D1220='[2]Beam '!R$44,$P1220*'[2]Beam '!R$45,0)</f>
        <v>0</v>
      </c>
      <c r="S1220" s="8">
        <f>IF($D1220='[2]Beam '!S$44,$P1220*'[2]Beam '!S$45,0)</f>
        <v>9.059348571428572</v>
      </c>
      <c r="T1220" s="8">
        <f>IF($D1220='[2]Beam '!T$44,$P1220*'[2]Beam '!T$45,0)</f>
        <v>0</v>
      </c>
      <c r="U1220" s="8">
        <f>IF($D1220='[2]Beam '!U$44,$P1220*'[2]Beam '!U$45,0)</f>
        <v>0</v>
      </c>
      <c r="V1220" s="8">
        <f>IF($D1220='[2]Beam '!V$44,$P1220*'[2]Beam '!V$45,0)</f>
        <v>0</v>
      </c>
      <c r="W1220" s="8">
        <f>IF($D1220='[2]Beam '!W$44,$P1220*'[2]Beam '!W$45,0)</f>
        <v>0</v>
      </c>
      <c r="X1220" s="8">
        <f t="shared" si="226"/>
        <v>9.059348571428572</v>
      </c>
      <c r="Y1220" s="14"/>
      <c r="Z1220" s="8"/>
      <c r="AA1220" s="8"/>
      <c r="AB1220" s="8"/>
      <c r="AC1220" s="8"/>
      <c r="AD1220" s="8"/>
      <c r="AE1220" s="8"/>
    </row>
    <row r="1221" spans="1:32" s="10" customFormat="1" ht="20.100000000000001" customHeight="1" x14ac:dyDescent="0.25">
      <c r="A1221" s="7"/>
      <c r="B1221" s="8" t="s">
        <v>2</v>
      </c>
      <c r="C1221" s="13" t="s">
        <v>10</v>
      </c>
      <c r="D1221" s="8">
        <f>+'[2]Beam '!$D$15</f>
        <v>25</v>
      </c>
      <c r="E1221" s="8">
        <f>+'[2]Beam '!$E$15</f>
        <v>1</v>
      </c>
      <c r="F1221" s="8">
        <f>ROUNDUP((E1213)/E1221,0)</f>
        <v>2</v>
      </c>
      <c r="G1221" s="9"/>
      <c r="H1221" s="9"/>
      <c r="I1221" s="8"/>
      <c r="J1221" s="8"/>
      <c r="K1221" s="8"/>
      <c r="L1221" s="8"/>
      <c r="M1221" s="8"/>
      <c r="N1221" s="8"/>
      <c r="O1221" s="8">
        <f>F1213-'[2]Beam '!$F$15</f>
        <v>0.24</v>
      </c>
      <c r="P1221" s="8">
        <f t="shared" si="225"/>
        <v>0.48</v>
      </c>
      <c r="Q1221" s="8">
        <f>IF($D1221='[2]Beam '!Q$44,$P1221*'[2]Beam '!Q$45,0)</f>
        <v>0</v>
      </c>
      <c r="R1221" s="8">
        <f>IF($D1221='[2]Beam '!R$44,$P1221*'[2]Beam '!R$45,0)</f>
        <v>0</v>
      </c>
      <c r="S1221" s="8">
        <f>IF($D1221='[2]Beam '!S$44,$P1221*'[2]Beam '!S$45,0)</f>
        <v>0</v>
      </c>
      <c r="T1221" s="8">
        <f>IF($D1221='[2]Beam '!T$44,$P1221*'[2]Beam '!T$45,0)</f>
        <v>0</v>
      </c>
      <c r="U1221" s="8">
        <f>IF($D1221='[2]Beam '!U$44,$P1221*'[2]Beam '!U$45,0)</f>
        <v>0</v>
      </c>
      <c r="V1221" s="8">
        <f>IF($D1221='[2]Beam '!V$44,$P1221*'[2]Beam '!V$45,0)</f>
        <v>1.850357142857143</v>
      </c>
      <c r="W1221" s="8">
        <f>IF($D1221='[2]Beam '!W$44,$P1221*'[2]Beam '!W$45,0)</f>
        <v>0</v>
      </c>
      <c r="X1221" s="8">
        <f t="shared" si="226"/>
        <v>1.850357142857143</v>
      </c>
      <c r="Y1221" s="8"/>
      <c r="Z1221" s="8"/>
      <c r="AA1221" s="8"/>
      <c r="AB1221" s="8"/>
      <c r="AC1221" s="8"/>
      <c r="AD1221" s="8"/>
      <c r="AE1221" s="8"/>
    </row>
    <row r="1222" spans="1:32" s="10" customFormat="1" ht="20.100000000000001" customHeight="1" x14ac:dyDescent="0.25">
      <c r="A1222" s="8">
        <v>1</v>
      </c>
      <c r="B1222" s="8" t="s">
        <v>2</v>
      </c>
      <c r="C1222" s="11" t="s">
        <v>162</v>
      </c>
      <c r="D1222" s="11">
        <v>1</v>
      </c>
      <c r="E1222" s="11">
        <v>6.5</v>
      </c>
      <c r="F1222" s="11">
        <v>0.5</v>
      </c>
      <c r="G1222" s="11">
        <v>0.6</v>
      </c>
      <c r="H1222" s="8">
        <f>G1222-0.2</f>
        <v>0.39999999999999997</v>
      </c>
      <c r="I1222" s="8">
        <f>E1222*F1222*G1222*D1222</f>
        <v>1.95</v>
      </c>
      <c r="J1222" s="8">
        <f>(2*(E1222)*H1222*D1222)+(E1222*F1222)</f>
        <v>8.4499999999999993</v>
      </c>
      <c r="K1222" s="12">
        <f>IF(E1222=0.3,J1222,0)</f>
        <v>0</v>
      </c>
      <c r="L1222" s="12">
        <f>IF(AND(E1222&gt;0.3,E1222&lt;=0.75),J1222,0)</f>
        <v>0</v>
      </c>
      <c r="M1222" s="12">
        <f>IF(AND(E1222&gt;0.75,E1222&lt;=1.2),J1222,0)</f>
        <v>0</v>
      </c>
      <c r="N1222" s="12">
        <f>IF(E1222&gt;1.2,J1222,0)</f>
        <v>8.4499999999999993</v>
      </c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>
        <f>SUM(X1223:X1227)/I1222</f>
        <v>208.64579697802202</v>
      </c>
      <c r="Z1222" s="8"/>
      <c r="AA1222" s="8"/>
      <c r="AB1222" s="8"/>
      <c r="AC1222" s="8"/>
      <c r="AD1222" s="8"/>
      <c r="AE1222" s="8"/>
    </row>
    <row r="1223" spans="1:32" s="10" customFormat="1" ht="20.100000000000001" customHeight="1" x14ac:dyDescent="0.25">
      <c r="A1223" s="7"/>
      <c r="B1223" s="8" t="s">
        <v>2</v>
      </c>
      <c r="C1223" s="13" t="s">
        <v>4</v>
      </c>
      <c r="D1223" s="8">
        <v>20</v>
      </c>
      <c r="E1223" s="8"/>
      <c r="F1223" s="8">
        <v>5</v>
      </c>
      <c r="G1223" s="9">
        <f>VLOOKUP(D1223,'[2]Beam '!$C$20:$H$26,3,0)</f>
        <v>0.8</v>
      </c>
      <c r="H1223" s="9"/>
      <c r="I1223" s="8"/>
      <c r="J1223" s="8"/>
      <c r="K1223" s="8"/>
      <c r="L1223" s="8"/>
      <c r="M1223" s="8"/>
      <c r="N1223" s="8"/>
      <c r="O1223" s="8">
        <f>(E1222+1*(1.5/2)+G1223*D1222)</f>
        <v>8.0500000000000007</v>
      </c>
      <c r="P1223" s="8">
        <f t="shared" ref="P1223:P1228" si="227">O1223*F1223</f>
        <v>40.25</v>
      </c>
      <c r="Q1223" s="8">
        <f>IF($D1223='[2]Beam '!Q$44,$P1223*'[2]Beam '!Q$45,0)</f>
        <v>0</v>
      </c>
      <c r="R1223" s="8">
        <f>IF($D1223='[2]Beam '!R$44,$P1223*'[2]Beam '!R$45,0)</f>
        <v>0</v>
      </c>
      <c r="S1223" s="8">
        <f>IF($D1223='[2]Beam '!S$44,$P1223*'[2]Beam '!S$45,0)</f>
        <v>0</v>
      </c>
      <c r="T1223" s="8">
        <f>IF($D1223='[2]Beam '!T$44,$P1223*'[2]Beam '!T$45,0)</f>
        <v>0</v>
      </c>
      <c r="U1223" s="8">
        <f>IF($D1223='[2]Beam '!U$44,$P1223*'[2]Beam '!U$45,0)</f>
        <v>99.302499999999995</v>
      </c>
      <c r="V1223" s="8">
        <f>IF($D1223='[2]Beam '!V$44,$P1223*'[2]Beam '!V$45,0)</f>
        <v>0</v>
      </c>
      <c r="W1223" s="8">
        <f>IF($D1223='[2]Beam '!W$44,$P1223*'[2]Beam '!W$45,0)</f>
        <v>0</v>
      </c>
      <c r="X1223" s="8">
        <f t="shared" ref="X1223:X1228" si="228">SUM(Q1223:W1223)</f>
        <v>99.302499999999995</v>
      </c>
      <c r="Y1223" s="8"/>
      <c r="Z1223" s="8"/>
      <c r="AA1223" s="8"/>
      <c r="AB1223" s="8"/>
      <c r="AC1223" s="8"/>
      <c r="AD1223" s="8"/>
      <c r="AE1223" s="8"/>
    </row>
    <row r="1224" spans="1:32" s="14" customFormat="1" ht="20.100000000000001" customHeight="1" x14ac:dyDescent="0.3">
      <c r="A1224" s="7"/>
      <c r="B1224" s="8" t="s">
        <v>2</v>
      </c>
      <c r="C1224" s="13" t="s">
        <v>139</v>
      </c>
      <c r="D1224" s="8">
        <v>25</v>
      </c>
      <c r="E1224" s="8"/>
      <c r="F1224" s="8">
        <v>5</v>
      </c>
      <c r="G1224" s="9">
        <f>VLOOKUP(D1224,'[2]Beam '!$C$20:$H$26,3,0)</f>
        <v>1</v>
      </c>
      <c r="H1224" s="9"/>
      <c r="I1224" s="8"/>
      <c r="J1224" s="8"/>
      <c r="K1224" s="8"/>
      <c r="L1224" s="8"/>
      <c r="M1224" s="8"/>
      <c r="N1224" s="8"/>
      <c r="O1224" s="8">
        <f>(E1222+1*(1.5/2)+G1224*D1222)</f>
        <v>8.25</v>
      </c>
      <c r="P1224" s="8">
        <f t="shared" si="227"/>
        <v>41.25</v>
      </c>
      <c r="Q1224" s="8">
        <f>IF($D1224='[2]Beam '!Q$44,$P1224*'[2]Beam '!Q$45,0)</f>
        <v>0</v>
      </c>
      <c r="R1224" s="8">
        <f>IF($D1224='[2]Beam '!R$44,$P1224*'[2]Beam '!R$45,0)</f>
        <v>0</v>
      </c>
      <c r="S1224" s="8">
        <f>IF($D1224='[2]Beam '!S$44,$P1224*'[2]Beam '!S$45,0)</f>
        <v>0</v>
      </c>
      <c r="T1224" s="8">
        <f>IF($D1224='[2]Beam '!T$44,$P1224*'[2]Beam '!T$45,0)</f>
        <v>0</v>
      </c>
      <c r="U1224" s="8">
        <f>IF($D1224='[2]Beam '!U$44,$P1224*'[2]Beam '!U$45,0)</f>
        <v>0</v>
      </c>
      <c r="V1224" s="8">
        <f>IF($D1224='[2]Beam '!V$44,$P1224*'[2]Beam '!V$45,0)</f>
        <v>159.01506696428575</v>
      </c>
      <c r="W1224" s="8">
        <f>IF($D1224='[2]Beam '!W$44,$P1224*'[2]Beam '!W$45,0)</f>
        <v>0</v>
      </c>
      <c r="X1224" s="8">
        <f t="shared" si="228"/>
        <v>159.01506696428575</v>
      </c>
      <c r="Y1224" s="8"/>
    </row>
    <row r="1225" spans="1:32" s="10" customFormat="1" ht="20.100000000000001" customHeight="1" x14ac:dyDescent="0.25">
      <c r="A1225" s="7"/>
      <c r="B1225" s="8" t="s">
        <v>2</v>
      </c>
      <c r="C1225" s="13" t="s">
        <v>88</v>
      </c>
      <c r="D1225" s="8">
        <v>20</v>
      </c>
      <c r="E1225" s="8"/>
      <c r="F1225" s="8">
        <v>4</v>
      </c>
      <c r="G1225" s="9">
        <f>VLOOKUP(D1225,'[2]Beam '!$C$20:$H$26,3,0)</f>
        <v>0.8</v>
      </c>
      <c r="H1225" s="9"/>
      <c r="I1225" s="8"/>
      <c r="J1225" s="8"/>
      <c r="K1225" s="8"/>
      <c r="L1225" s="8"/>
      <c r="M1225" s="8"/>
      <c r="N1225" s="8"/>
      <c r="O1225" s="8">
        <f>+E1222-0.3-0.3</f>
        <v>5.9</v>
      </c>
      <c r="P1225" s="8">
        <f t="shared" si="227"/>
        <v>23.6</v>
      </c>
      <c r="Q1225" s="8">
        <f>IF($D1225='[2]Beam '!Q$44,$P1225*'[2]Beam '!Q$45,0)</f>
        <v>0</v>
      </c>
      <c r="R1225" s="8">
        <f>IF($D1225='[2]Beam '!R$44,$P1225*'[2]Beam '!R$45,0)</f>
        <v>0</v>
      </c>
      <c r="S1225" s="8">
        <f>IF($D1225='[2]Beam '!S$44,$P1225*'[2]Beam '!S$45,0)</f>
        <v>0</v>
      </c>
      <c r="T1225" s="8">
        <f>IF($D1225='[2]Beam '!T$44,$P1225*'[2]Beam '!T$45,0)</f>
        <v>0</v>
      </c>
      <c r="U1225" s="8">
        <f>IF($D1225='[2]Beam '!U$44,$P1225*'[2]Beam '!U$45,0)</f>
        <v>58.22457142857143</v>
      </c>
      <c r="V1225" s="8">
        <f>IF($D1225='[2]Beam '!V$44,$P1225*'[2]Beam '!V$45,0)</f>
        <v>0</v>
      </c>
      <c r="W1225" s="8">
        <f>IF($D1225='[2]Beam '!W$44,$P1225*'[2]Beam '!W$45,0)</f>
        <v>0</v>
      </c>
      <c r="X1225" s="8">
        <f t="shared" si="228"/>
        <v>58.22457142857143</v>
      </c>
      <c r="Y1225" s="8"/>
      <c r="Z1225" s="8"/>
      <c r="AA1225" s="8"/>
      <c r="AB1225" s="8"/>
      <c r="AC1225" s="8"/>
      <c r="AD1225" s="8"/>
      <c r="AE1225" s="8"/>
    </row>
    <row r="1226" spans="1:32" s="10" customFormat="1" ht="21" customHeight="1" x14ac:dyDescent="0.25">
      <c r="A1226" s="7"/>
      <c r="B1226" s="8" t="s">
        <v>2</v>
      </c>
      <c r="C1226" s="13" t="s">
        <v>8</v>
      </c>
      <c r="D1226" s="8">
        <v>8</v>
      </c>
      <c r="E1226" s="8">
        <v>0.1</v>
      </c>
      <c r="F1226" s="8">
        <f>ROUNDUP(E1222/E1226,0)</f>
        <v>65</v>
      </c>
      <c r="H1226" s="8"/>
      <c r="I1226" s="8"/>
      <c r="J1226" s="8"/>
      <c r="K1226" s="8"/>
      <c r="L1226" s="8"/>
      <c r="M1226" s="8"/>
      <c r="N1226" s="8"/>
      <c r="O1226" s="8">
        <f>(2*((G1222-(2*'[2]Beam '!$D$11))+(F1222-(2*'[2]Beam '!$D$11)))+(2*10*D1226/1000))*D1222</f>
        <v>2.12</v>
      </c>
      <c r="P1226" s="8">
        <f t="shared" si="227"/>
        <v>137.80000000000001</v>
      </c>
      <c r="Q1226" s="8">
        <f>IF($D1226='[2]Beam '!Q$44,$P1226*'[2]Beam '!Q$45,0)</f>
        <v>54.395565714285723</v>
      </c>
      <c r="R1226" s="8">
        <f>IF($D1226='[2]Beam '!R$44,$P1226*'[2]Beam '!R$45,0)</f>
        <v>0</v>
      </c>
      <c r="S1226" s="8">
        <f>IF($D1226='[2]Beam '!S$44,$P1226*'[2]Beam '!S$45,0)</f>
        <v>0</v>
      </c>
      <c r="T1226" s="8">
        <f>IF($D1226='[2]Beam '!T$44,$P1226*'[2]Beam '!T$45,0)</f>
        <v>0</v>
      </c>
      <c r="U1226" s="8">
        <f>IF($D1226='[2]Beam '!U$44,$P1226*'[2]Beam '!U$45,0)</f>
        <v>0</v>
      </c>
      <c r="V1226" s="8">
        <f>IF($D1226='[2]Beam '!V$44,$P1226*'[2]Beam '!V$45,0)</f>
        <v>0</v>
      </c>
      <c r="W1226" s="8">
        <f>IF($D1226='[2]Beam '!W$44,$P1226*'[2]Beam '!W$45,0)</f>
        <v>0</v>
      </c>
      <c r="X1226" s="8">
        <f t="shared" si="228"/>
        <v>54.395565714285723</v>
      </c>
      <c r="Y1226" s="8"/>
      <c r="Z1226" s="8"/>
      <c r="AA1226" s="8"/>
      <c r="AB1226" s="8"/>
      <c r="AC1226" s="8"/>
      <c r="AD1226" s="8"/>
      <c r="AE1226" s="8"/>
      <c r="AF1226" s="8"/>
    </row>
    <row r="1227" spans="1:32" s="10" customFormat="1" ht="20.100000000000001" customHeight="1" x14ac:dyDescent="0.25">
      <c r="A1227" s="14"/>
      <c r="B1227" s="8" t="s">
        <v>2</v>
      </c>
      <c r="C1227" s="13" t="s">
        <v>9</v>
      </c>
      <c r="D1227" s="8">
        <f>+D1226</f>
        <v>8</v>
      </c>
      <c r="E1227" s="14">
        <f>+E1226</f>
        <v>0.1</v>
      </c>
      <c r="F1227" s="8">
        <f>ROUNDUP(E1222/E1227,0)</f>
        <v>65</v>
      </c>
      <c r="H1227" s="14"/>
      <c r="I1227" s="14"/>
      <c r="J1227" s="14"/>
      <c r="K1227" s="14"/>
      <c r="L1227" s="14"/>
      <c r="M1227" s="14"/>
      <c r="N1227" s="14"/>
      <c r="O1227" s="8">
        <f>((((G1222-(2*'[2]Beam '!$D$11))+(2*10*D1227/1000))*D1222))*2</f>
        <v>1.4000000000000001</v>
      </c>
      <c r="P1227" s="8">
        <f t="shared" si="227"/>
        <v>91.000000000000014</v>
      </c>
      <c r="Q1227" s="8">
        <f>IF($D1227='[2]Beam '!Q$44,$P1227*'[2]Beam '!Q$45,0)</f>
        <v>35.921600000000005</v>
      </c>
      <c r="R1227" s="8">
        <f>IF($D1227='[2]Beam '!R$44,$P1227*'[2]Beam '!R$45,0)</f>
        <v>0</v>
      </c>
      <c r="S1227" s="8">
        <f>IF($D1227='[2]Beam '!S$44,$P1227*'[2]Beam '!S$45,0)</f>
        <v>0</v>
      </c>
      <c r="T1227" s="8">
        <f>IF($D1227='[2]Beam '!T$44,$P1227*'[2]Beam '!T$45,0)</f>
        <v>0</v>
      </c>
      <c r="U1227" s="8">
        <f>IF($D1227='[2]Beam '!U$44,$P1227*'[2]Beam '!U$45,0)</f>
        <v>0</v>
      </c>
      <c r="V1227" s="8">
        <f>IF($D1227='[2]Beam '!V$44,$P1227*'[2]Beam '!V$45,0)</f>
        <v>0</v>
      </c>
      <c r="W1227" s="8">
        <f>IF($D1227='[2]Beam '!W$44,$P1227*'[2]Beam '!W$45,0)</f>
        <v>0</v>
      </c>
      <c r="X1227" s="8">
        <f t="shared" si="228"/>
        <v>35.921600000000005</v>
      </c>
      <c r="Y1227" s="14"/>
      <c r="Z1227" s="8"/>
      <c r="AA1227" s="8"/>
      <c r="AB1227" s="8"/>
      <c r="AC1227" s="8"/>
      <c r="AD1227" s="8"/>
      <c r="AE1227" s="8"/>
    </row>
    <row r="1228" spans="1:32" s="10" customFormat="1" ht="20.100000000000001" customHeight="1" x14ac:dyDescent="0.25">
      <c r="A1228" s="7"/>
      <c r="B1228" s="8" t="s">
        <v>2</v>
      </c>
      <c r="C1228" s="13" t="s">
        <v>10</v>
      </c>
      <c r="D1228" s="8">
        <f>+'[2]Beam '!$D$15</f>
        <v>25</v>
      </c>
      <c r="E1228" s="8">
        <f>+'[2]Beam '!$E$15</f>
        <v>1</v>
      </c>
      <c r="F1228" s="8">
        <f>ROUNDUP((O1225)/E1228,0)</f>
        <v>6</v>
      </c>
      <c r="G1228" s="9"/>
      <c r="H1228" s="9"/>
      <c r="I1228" s="8"/>
      <c r="J1228" s="8"/>
      <c r="K1228" s="8"/>
      <c r="L1228" s="8"/>
      <c r="M1228" s="8"/>
      <c r="N1228" s="8"/>
      <c r="O1228" s="8">
        <f>F1222-'[2]Beam '!$F$15</f>
        <v>0.44</v>
      </c>
      <c r="P1228" s="8">
        <f t="shared" si="227"/>
        <v>2.64</v>
      </c>
      <c r="Q1228" s="8">
        <f>IF($D1228='[2]Beam '!Q$44,$P1228*'[2]Beam '!Q$45,0)</f>
        <v>0</v>
      </c>
      <c r="R1228" s="8">
        <f>IF($D1228='[2]Beam '!R$44,$P1228*'[2]Beam '!R$45,0)</f>
        <v>0</v>
      </c>
      <c r="S1228" s="8">
        <f>IF($D1228='[2]Beam '!S$44,$P1228*'[2]Beam '!S$45,0)</f>
        <v>0</v>
      </c>
      <c r="T1228" s="8">
        <f>IF($D1228='[2]Beam '!T$44,$P1228*'[2]Beam '!T$45,0)</f>
        <v>0</v>
      </c>
      <c r="U1228" s="8">
        <f>IF($D1228='[2]Beam '!U$44,$P1228*'[2]Beam '!U$45,0)</f>
        <v>0</v>
      </c>
      <c r="V1228" s="8">
        <f>IF($D1228='[2]Beam '!V$44,$P1228*'[2]Beam '!V$45,0)</f>
        <v>10.176964285714288</v>
      </c>
      <c r="W1228" s="8">
        <f>IF($D1228='[2]Beam '!W$44,$P1228*'[2]Beam '!W$45,0)</f>
        <v>0</v>
      </c>
      <c r="X1228" s="8">
        <f t="shared" si="228"/>
        <v>10.176964285714288</v>
      </c>
      <c r="Y1228" s="8"/>
      <c r="Z1228" s="8"/>
      <c r="AA1228" s="8"/>
      <c r="AB1228" s="8"/>
      <c r="AC1228" s="8"/>
      <c r="AD1228" s="8"/>
      <c r="AE1228" s="8"/>
    </row>
    <row r="1229" spans="1:32" s="10" customFormat="1" ht="20.100000000000001" customHeight="1" x14ac:dyDescent="0.25">
      <c r="A1229" s="8">
        <v>1</v>
      </c>
      <c r="B1229" s="8" t="s">
        <v>2</v>
      </c>
      <c r="C1229" s="11" t="s">
        <v>163</v>
      </c>
      <c r="D1229" s="11">
        <v>1</v>
      </c>
      <c r="E1229" s="11">
        <v>6</v>
      </c>
      <c r="F1229" s="11">
        <v>0.45</v>
      </c>
      <c r="G1229" s="11">
        <v>0.6</v>
      </c>
      <c r="H1229" s="8">
        <f>G1229-0.2</f>
        <v>0.39999999999999997</v>
      </c>
      <c r="I1229" s="8">
        <f>E1229*F1229*G1229*D1229</f>
        <v>1.62</v>
      </c>
      <c r="J1229" s="8">
        <f>(2*(E1229)*H1229*D1229)+(E1229*F1229)</f>
        <v>7.5</v>
      </c>
      <c r="K1229" s="12">
        <f>IF(E1229=0.3,J1229,0)</f>
        <v>0</v>
      </c>
      <c r="L1229" s="12">
        <f>IF(AND(E1229&gt;0.3,E1229&lt;=0.75),J1229,0)</f>
        <v>0</v>
      </c>
      <c r="M1229" s="12">
        <f>IF(AND(E1229&gt;0.75,E1229&lt;=1.2),J1229,0)</f>
        <v>0</v>
      </c>
      <c r="N1229" s="12">
        <f>IF(E1229&gt;1.2,J1229,0)</f>
        <v>7.5</v>
      </c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>
        <f>SUM(X1230:X1232)/I1229</f>
        <v>131.50176014109346</v>
      </c>
      <c r="Z1229" s="8"/>
      <c r="AA1229" s="8"/>
      <c r="AB1229" s="8"/>
      <c r="AC1229" s="8"/>
      <c r="AD1229" s="8"/>
      <c r="AE1229" s="8"/>
    </row>
    <row r="1230" spans="1:32" s="10" customFormat="1" ht="20.100000000000001" customHeight="1" x14ac:dyDescent="0.25">
      <c r="A1230" s="7"/>
      <c r="B1230" s="8" t="s">
        <v>2</v>
      </c>
      <c r="C1230" s="13" t="s">
        <v>4</v>
      </c>
      <c r="D1230" s="8">
        <v>20</v>
      </c>
      <c r="E1230" s="8"/>
      <c r="F1230" s="8">
        <v>5</v>
      </c>
      <c r="G1230" s="9">
        <f>VLOOKUP(D1230,'[2]Beam '!$C$20:$H$26,3,0)</f>
        <v>0.8</v>
      </c>
      <c r="H1230" s="9"/>
      <c r="I1230" s="8"/>
      <c r="J1230" s="8"/>
      <c r="K1230" s="8"/>
      <c r="L1230" s="8"/>
      <c r="M1230" s="8"/>
      <c r="N1230" s="8"/>
      <c r="O1230" s="8">
        <f>(E1229+1*(G1230+(12*D1230/1000))+1*(1.5/2)*D1229)</f>
        <v>7.79</v>
      </c>
      <c r="P1230" s="8">
        <f t="shared" ref="P1230:P1237" si="229">O1230*F1230</f>
        <v>38.950000000000003</v>
      </c>
      <c r="Q1230" s="8">
        <f>IF($D1230='[2]Beam '!Q$44,$P1230*'[2]Beam '!Q$45,0)</f>
        <v>0</v>
      </c>
      <c r="R1230" s="8">
        <f>IF($D1230='[2]Beam '!R$44,$P1230*'[2]Beam '!R$45,0)</f>
        <v>0</v>
      </c>
      <c r="S1230" s="8">
        <f>IF($D1230='[2]Beam '!S$44,$P1230*'[2]Beam '!S$45,0)</f>
        <v>0</v>
      </c>
      <c r="T1230" s="8">
        <f>IF($D1230='[2]Beam '!T$44,$P1230*'[2]Beam '!T$45,0)</f>
        <v>0</v>
      </c>
      <c r="U1230" s="8">
        <f>IF($D1230='[2]Beam '!U$44,$P1230*'[2]Beam '!U$45,0)</f>
        <v>96.095214285714292</v>
      </c>
      <c r="V1230" s="8">
        <f>IF($D1230='[2]Beam '!V$44,$P1230*'[2]Beam '!V$45,0)</f>
        <v>0</v>
      </c>
      <c r="W1230" s="8">
        <f>IF($D1230='[2]Beam '!W$44,$P1230*'[2]Beam '!W$45,0)</f>
        <v>0</v>
      </c>
      <c r="X1230" s="8">
        <f t="shared" ref="X1230:X1237" si="230">SUM(Q1230:W1230)</f>
        <v>96.095214285714292</v>
      </c>
      <c r="Y1230" s="8"/>
      <c r="Z1230" s="8"/>
      <c r="AA1230" s="8"/>
      <c r="AB1230" s="8"/>
      <c r="AC1230" s="8"/>
      <c r="AD1230" s="8"/>
      <c r="AE1230" s="8"/>
    </row>
    <row r="1231" spans="1:32" s="14" customFormat="1" ht="20.100000000000001" customHeight="1" x14ac:dyDescent="0.3">
      <c r="A1231" s="7"/>
      <c r="B1231" s="8" t="s">
        <v>2</v>
      </c>
      <c r="C1231" s="13" t="s">
        <v>139</v>
      </c>
      <c r="D1231" s="8">
        <v>20</v>
      </c>
      <c r="E1231" s="8"/>
      <c r="F1231" s="8">
        <v>5</v>
      </c>
      <c r="G1231" s="9">
        <f>VLOOKUP(D1231,'[2]Beam '!$C$20:$H$26,3,0)</f>
        <v>0.8</v>
      </c>
      <c r="H1231" s="9"/>
      <c r="I1231" s="8"/>
      <c r="J1231" s="8"/>
      <c r="K1231" s="8"/>
      <c r="L1231" s="8"/>
      <c r="M1231" s="8"/>
      <c r="N1231" s="8"/>
      <c r="O1231" s="8">
        <f>(E1229+1*(G1231+(12*D1231/1000))+1*(1.5/2)*D1229)</f>
        <v>7.79</v>
      </c>
      <c r="P1231" s="8">
        <f t="shared" si="229"/>
        <v>38.950000000000003</v>
      </c>
      <c r="Q1231" s="8">
        <f>IF($D1231='[2]Beam '!Q$44,$P1231*'[2]Beam '!Q$45,0)</f>
        <v>0</v>
      </c>
      <c r="R1231" s="8">
        <f>IF($D1231='[2]Beam '!R$44,$P1231*'[2]Beam '!R$45,0)</f>
        <v>0</v>
      </c>
      <c r="S1231" s="8">
        <f>IF($D1231='[2]Beam '!S$44,$P1231*'[2]Beam '!S$45,0)</f>
        <v>0</v>
      </c>
      <c r="T1231" s="8">
        <f>IF($D1231='[2]Beam '!T$44,$P1231*'[2]Beam '!T$45,0)</f>
        <v>0</v>
      </c>
      <c r="U1231" s="8">
        <f>IF($D1231='[2]Beam '!U$44,$P1231*'[2]Beam '!U$45,0)</f>
        <v>96.095214285714292</v>
      </c>
      <c r="V1231" s="8">
        <f>IF($D1231='[2]Beam '!V$44,$P1231*'[2]Beam '!V$45,0)</f>
        <v>0</v>
      </c>
      <c r="W1231" s="8">
        <f>IF($D1231='[2]Beam '!W$44,$P1231*'[2]Beam '!W$45,0)</f>
        <v>0</v>
      </c>
      <c r="X1231" s="8">
        <f t="shared" si="230"/>
        <v>96.095214285714292</v>
      </c>
      <c r="Y1231" s="8"/>
    </row>
    <row r="1232" spans="1:32" s="14" customFormat="1" ht="20.100000000000001" customHeight="1" x14ac:dyDescent="0.3">
      <c r="A1232" s="7"/>
      <c r="B1232" s="8" t="s">
        <v>2</v>
      </c>
      <c r="C1232" s="13" t="s">
        <v>88</v>
      </c>
      <c r="D1232" s="8">
        <v>16</v>
      </c>
      <c r="E1232" s="8"/>
      <c r="F1232" s="8">
        <v>3</v>
      </c>
      <c r="G1232" s="9">
        <f>VLOOKUP(D1232,'[2]Beam '!$C$20:$H$26,3,0)</f>
        <v>0.625</v>
      </c>
      <c r="H1232" s="9"/>
      <c r="I1232" s="8"/>
      <c r="J1232" s="8"/>
      <c r="K1232" s="8"/>
      <c r="L1232" s="8"/>
      <c r="M1232" s="8"/>
      <c r="N1232" s="8"/>
      <c r="O1232" s="8">
        <f>+E1229-0.8-0.8</f>
        <v>4.4000000000000004</v>
      </c>
      <c r="P1232" s="8">
        <f t="shared" si="229"/>
        <v>13.200000000000001</v>
      </c>
      <c r="Q1232" s="8">
        <f>IF($D1232='[2]Beam '!Q$44,$P1232*'[2]Beam '!Q$45,0)</f>
        <v>0</v>
      </c>
      <c r="R1232" s="8">
        <f>IF($D1232='[2]Beam '!R$44,$P1232*'[2]Beam '!R$45,0)</f>
        <v>0</v>
      </c>
      <c r="S1232" s="8">
        <f>IF($D1232='[2]Beam '!S$44,$P1232*'[2]Beam '!S$45,0)</f>
        <v>0</v>
      </c>
      <c r="T1232" s="8">
        <f>IF($D1232='[2]Beam '!T$44,$P1232*'[2]Beam '!T$45,0)</f>
        <v>20.842422857142861</v>
      </c>
      <c r="U1232" s="8">
        <f>IF($D1232='[2]Beam '!U$44,$P1232*'[2]Beam '!U$45,0)</f>
        <v>0</v>
      </c>
      <c r="V1232" s="8">
        <f>IF($D1232='[2]Beam '!V$44,$P1232*'[2]Beam '!V$45,0)</f>
        <v>0</v>
      </c>
      <c r="W1232" s="8">
        <f>IF($D1232='[2]Beam '!W$44,$P1232*'[2]Beam '!W$45,0)</f>
        <v>0</v>
      </c>
      <c r="X1232" s="8">
        <f t="shared" si="230"/>
        <v>20.842422857142861</v>
      </c>
      <c r="Y1232" s="8"/>
    </row>
    <row r="1233" spans="1:32" s="14" customFormat="1" ht="20.100000000000001" customHeight="1" x14ac:dyDescent="0.25">
      <c r="A1233" s="7"/>
      <c r="B1233" s="8" t="s">
        <v>2</v>
      </c>
      <c r="C1233" s="13" t="s">
        <v>13</v>
      </c>
      <c r="D1233" s="8">
        <v>8</v>
      </c>
      <c r="E1233" s="8">
        <v>0.1</v>
      </c>
      <c r="F1233" s="8">
        <f>ROUND(IF(E1229/3&gt;(2*G1229),(E1229/3)/E1233,(2*G1229)/E1233),0)*2+1</f>
        <v>41</v>
      </c>
      <c r="G1233" s="10"/>
      <c r="H1233" s="8"/>
      <c r="I1233" s="8"/>
      <c r="J1233" s="8"/>
      <c r="K1233" s="8"/>
      <c r="L1233" s="8"/>
      <c r="M1233" s="8"/>
      <c r="N1233" s="8"/>
      <c r="O1233" s="8">
        <f>(2*((G1229-(2*'[2]Beam '!$D$11))+(F1229-(2*'[2]Beam '!$D$11)))+(2*10*D1233/1000))*D1229</f>
        <v>2.02</v>
      </c>
      <c r="P1233" s="8">
        <f t="shared" si="229"/>
        <v>82.820000000000007</v>
      </c>
      <c r="Q1233" s="8">
        <f>IF($D1233='[2]Beam '!Q$44,$P1233*'[2]Beam '!Q$45,0)</f>
        <v>32.692603428571431</v>
      </c>
      <c r="R1233" s="8">
        <f>IF($D1233='[2]Beam '!R$44,$P1233*'[2]Beam '!R$45,0)</f>
        <v>0</v>
      </c>
      <c r="S1233" s="8">
        <f>IF($D1233='[2]Beam '!S$44,$P1233*'[2]Beam '!S$45,0)</f>
        <v>0</v>
      </c>
      <c r="T1233" s="8">
        <f>IF($D1233='[2]Beam '!T$44,$P1233*'[2]Beam '!T$45,0)</f>
        <v>0</v>
      </c>
      <c r="U1233" s="8">
        <f>IF($D1233='[2]Beam '!U$44,$P1233*'[2]Beam '!U$45,0)</f>
        <v>0</v>
      </c>
      <c r="V1233" s="8">
        <f>IF($D1233='[2]Beam '!V$44,$P1233*'[2]Beam '!V$45,0)</f>
        <v>0</v>
      </c>
      <c r="W1233" s="8">
        <f>IF($D1233='[2]Beam '!W$44,$P1233*'[2]Beam '!W$45,0)</f>
        <v>0</v>
      </c>
      <c r="X1233" s="8">
        <f t="shared" si="230"/>
        <v>32.692603428571431</v>
      </c>
      <c r="Y1233" s="8"/>
    </row>
    <row r="1234" spans="1:32" s="10" customFormat="1" ht="20.100000000000001" customHeight="1" x14ac:dyDescent="0.25">
      <c r="A1234" s="14"/>
      <c r="B1234" s="8" t="s">
        <v>2</v>
      </c>
      <c r="C1234" s="13" t="s">
        <v>14</v>
      </c>
      <c r="D1234" s="14">
        <f>D1233</f>
        <v>8</v>
      </c>
      <c r="E1234" s="14">
        <v>0.125</v>
      </c>
      <c r="F1234" s="14">
        <f>ROUND((E1229-(IF(E1229/3&gt;2*G1229,E1229/3*2,G1229*2*2)))/E1234,0)</f>
        <v>16</v>
      </c>
      <c r="H1234" s="14"/>
      <c r="I1234" s="14"/>
      <c r="J1234" s="14"/>
      <c r="K1234" s="14"/>
      <c r="L1234" s="14"/>
      <c r="M1234" s="14"/>
      <c r="N1234" s="14"/>
      <c r="O1234" s="8">
        <f>(2*((G1229-(2*'[2]Beam '!$D$11))+(F1229-(2*'[2]Beam '!$D$11)))+(2*10*D1234/1000))*D1229</f>
        <v>2.02</v>
      </c>
      <c r="P1234" s="8">
        <f t="shared" si="229"/>
        <v>32.32</v>
      </c>
      <c r="Q1234" s="8">
        <f>IF($D1234='[2]Beam '!Q$44,$P1234*'[2]Beam '!Q$45,0)</f>
        <v>12.758089142857145</v>
      </c>
      <c r="R1234" s="8">
        <f>IF($D1234='[2]Beam '!R$44,$P1234*'[2]Beam '!R$45,0)</f>
        <v>0</v>
      </c>
      <c r="S1234" s="8">
        <f>IF($D1234='[2]Beam '!S$44,$P1234*'[2]Beam '!S$45,0)</f>
        <v>0</v>
      </c>
      <c r="T1234" s="8">
        <f>IF($D1234='[2]Beam '!T$44,$P1234*'[2]Beam '!T$45,0)</f>
        <v>0</v>
      </c>
      <c r="U1234" s="8">
        <f>IF($D1234='[2]Beam '!U$44,$P1234*'[2]Beam '!U$45,0)</f>
        <v>0</v>
      </c>
      <c r="V1234" s="8">
        <f>IF($D1234='[2]Beam '!V$44,$P1234*'[2]Beam '!V$45,0)</f>
        <v>0</v>
      </c>
      <c r="W1234" s="8">
        <f>IF($D1234='[2]Beam '!W$44,$P1234*'[2]Beam '!W$45,0)</f>
        <v>0</v>
      </c>
      <c r="X1234" s="8">
        <f t="shared" si="230"/>
        <v>12.758089142857145</v>
      </c>
      <c r="Y1234" s="14"/>
      <c r="Z1234" s="8"/>
      <c r="AA1234" s="8"/>
      <c r="AB1234" s="8"/>
      <c r="AC1234" s="8"/>
      <c r="AD1234" s="8"/>
      <c r="AE1234" s="8"/>
    </row>
    <row r="1235" spans="1:32" s="10" customFormat="1" ht="21" customHeight="1" x14ac:dyDescent="0.25">
      <c r="A1235" s="14"/>
      <c r="B1235" s="8" t="s">
        <v>2</v>
      </c>
      <c r="C1235" s="13" t="s">
        <v>15</v>
      </c>
      <c r="D1235" s="14">
        <f>D1233</f>
        <v>8</v>
      </c>
      <c r="E1235" s="14">
        <f>+E1233</f>
        <v>0.1</v>
      </c>
      <c r="F1235" s="8">
        <f>ROUND(IF(E1229/3&gt;(2*G1229),(E1229/3)/E1235,(2*G1229)/E1235),0)*2+1</f>
        <v>41</v>
      </c>
      <c r="H1235" s="14"/>
      <c r="I1235" s="14"/>
      <c r="J1235" s="14"/>
      <c r="K1235" s="14"/>
      <c r="L1235" s="14"/>
      <c r="M1235" s="14"/>
      <c r="N1235" s="14"/>
      <c r="O1235" s="8">
        <f>(2*(((F1229-'[2]Beam '!$D$11*2)/(F1230-1))+(G1229-'[2]Beam '!$D$11*2))+(2*10*D1235/1000))*D1229</f>
        <v>1.4350000000000001</v>
      </c>
      <c r="P1235" s="8">
        <f t="shared" si="229"/>
        <v>58.835000000000001</v>
      </c>
      <c r="Q1235" s="8">
        <f>IF($D1235='[2]Beam '!Q$44,$P1235*'[2]Beam '!Q$45,0)</f>
        <v>23.224696000000002</v>
      </c>
      <c r="R1235" s="8">
        <f>IF($D1235='[2]Beam '!R$44,$P1235*'[2]Beam '!R$45,0)</f>
        <v>0</v>
      </c>
      <c r="S1235" s="8">
        <f>IF($D1235='[2]Beam '!S$44,$P1235*'[2]Beam '!S$45,0)</f>
        <v>0</v>
      </c>
      <c r="T1235" s="8">
        <f>IF($D1235='[2]Beam '!T$44,$P1235*'[2]Beam '!T$45,0)</f>
        <v>0</v>
      </c>
      <c r="U1235" s="8">
        <f>IF($D1235='[2]Beam '!U$44,$P1235*'[2]Beam '!U$45,0)</f>
        <v>0</v>
      </c>
      <c r="V1235" s="8">
        <f>IF($D1235='[2]Beam '!V$44,$P1235*'[2]Beam '!V$45,0)</f>
        <v>0</v>
      </c>
      <c r="W1235" s="8">
        <f>IF($D1235='[2]Beam '!W$44,$P1235*'[2]Beam '!W$45,0)</f>
        <v>0</v>
      </c>
      <c r="X1235" s="8">
        <f t="shared" si="230"/>
        <v>23.224696000000002</v>
      </c>
      <c r="Y1235" s="14"/>
      <c r="Z1235" s="8"/>
      <c r="AA1235" s="8"/>
      <c r="AB1235" s="8"/>
      <c r="AC1235" s="8"/>
      <c r="AD1235" s="8"/>
      <c r="AE1235" s="8"/>
      <c r="AF1235" s="8"/>
    </row>
    <row r="1236" spans="1:32" s="10" customFormat="1" ht="20.100000000000001" customHeight="1" x14ac:dyDescent="0.25">
      <c r="A1236" s="14"/>
      <c r="B1236" s="8" t="s">
        <v>2</v>
      </c>
      <c r="C1236" s="13" t="s">
        <v>16</v>
      </c>
      <c r="D1236" s="14">
        <f>D1234</f>
        <v>8</v>
      </c>
      <c r="E1236" s="14">
        <f>+E1234</f>
        <v>0.125</v>
      </c>
      <c r="F1236" s="14">
        <f>ROUND((E1229-(IF(E1229/3&gt;2*G1229,E1229/3*2,G1229*2*2)))/E1236,0)</f>
        <v>16</v>
      </c>
      <c r="H1236" s="14"/>
      <c r="I1236" s="14"/>
      <c r="J1236" s="14"/>
      <c r="K1236" s="14"/>
      <c r="L1236" s="14"/>
      <c r="M1236" s="14"/>
      <c r="N1236" s="14"/>
      <c r="O1236" s="8">
        <f>(2*(((F1229-'[2]Beam '!$D$11*2)/(F1230-1))+(G1229-'[2]Beam '!$D$11*2))+(2*10*D1236/1000))*D1229</f>
        <v>1.4350000000000001</v>
      </c>
      <c r="P1236" s="8">
        <f t="shared" si="229"/>
        <v>22.96</v>
      </c>
      <c r="Q1236" s="8">
        <f>IF($D1236='[2]Beam '!Q$44,$P1236*'[2]Beam '!Q$45,0)</f>
        <v>9.0632960000000011</v>
      </c>
      <c r="R1236" s="8">
        <f>IF($D1236='[2]Beam '!R$44,$P1236*'[2]Beam '!R$45,0)</f>
        <v>0</v>
      </c>
      <c r="S1236" s="8">
        <f>IF($D1236='[2]Beam '!S$44,$P1236*'[2]Beam '!S$45,0)</f>
        <v>0</v>
      </c>
      <c r="T1236" s="8">
        <f>IF($D1236='[2]Beam '!T$44,$P1236*'[2]Beam '!T$45,0)</f>
        <v>0</v>
      </c>
      <c r="U1236" s="8">
        <f>IF($D1236='[2]Beam '!U$44,$P1236*'[2]Beam '!U$45,0)</f>
        <v>0</v>
      </c>
      <c r="V1236" s="8">
        <f>IF($D1236='[2]Beam '!V$44,$P1236*'[2]Beam '!V$45,0)</f>
        <v>0</v>
      </c>
      <c r="W1236" s="8">
        <f>IF($D1236='[2]Beam '!W$44,$P1236*'[2]Beam '!W$45,0)</f>
        <v>0</v>
      </c>
      <c r="X1236" s="8">
        <f t="shared" si="230"/>
        <v>9.0632960000000011</v>
      </c>
      <c r="Y1236" s="14"/>
      <c r="Z1236" s="8"/>
      <c r="AA1236" s="8"/>
      <c r="AB1236" s="8"/>
      <c r="AC1236" s="8"/>
      <c r="AD1236" s="8"/>
      <c r="AE1236" s="8"/>
    </row>
    <row r="1237" spans="1:32" s="10" customFormat="1" ht="20.100000000000001" customHeight="1" x14ac:dyDescent="0.25">
      <c r="A1237" s="7"/>
      <c r="B1237" s="8" t="s">
        <v>2</v>
      </c>
      <c r="C1237" s="13" t="s">
        <v>10</v>
      </c>
      <c r="D1237" s="8">
        <f>+'[2]Beam '!$D$15</f>
        <v>25</v>
      </c>
      <c r="E1237" s="8">
        <f>+'[2]Beam '!$E$15</f>
        <v>1</v>
      </c>
      <c r="F1237" s="8">
        <f>ROUNDUP((O1232)/E1237,0)</f>
        <v>5</v>
      </c>
      <c r="G1237" s="9"/>
      <c r="H1237" s="9"/>
      <c r="I1237" s="8"/>
      <c r="J1237" s="8"/>
      <c r="K1237" s="8"/>
      <c r="L1237" s="8"/>
      <c r="M1237" s="8"/>
      <c r="N1237" s="8"/>
      <c r="O1237" s="8">
        <f>F1229-'[2]Beam '!$F$15</f>
        <v>0.39</v>
      </c>
      <c r="P1237" s="8">
        <f t="shared" si="229"/>
        <v>1.9500000000000002</v>
      </c>
      <c r="Q1237" s="8">
        <f>IF($D1237='[2]Beam '!Q$44,$P1237*'[2]Beam '!Q$45,0)</f>
        <v>0</v>
      </c>
      <c r="R1237" s="8">
        <f>IF($D1237='[2]Beam '!R$44,$P1237*'[2]Beam '!R$45,0)</f>
        <v>0</v>
      </c>
      <c r="S1237" s="8">
        <f>IF($D1237='[2]Beam '!S$44,$P1237*'[2]Beam '!S$45,0)</f>
        <v>0</v>
      </c>
      <c r="T1237" s="8">
        <f>IF($D1237='[2]Beam '!T$44,$P1237*'[2]Beam '!T$45,0)</f>
        <v>0</v>
      </c>
      <c r="U1237" s="8">
        <f>IF($D1237='[2]Beam '!U$44,$P1237*'[2]Beam '!U$45,0)</f>
        <v>0</v>
      </c>
      <c r="V1237" s="8">
        <f>IF($D1237='[2]Beam '!V$44,$P1237*'[2]Beam '!V$45,0)</f>
        <v>7.5170758928571448</v>
      </c>
      <c r="W1237" s="8">
        <f>IF($D1237='[2]Beam '!W$44,$P1237*'[2]Beam '!W$45,0)</f>
        <v>0</v>
      </c>
      <c r="X1237" s="8">
        <f t="shared" si="230"/>
        <v>7.5170758928571448</v>
      </c>
      <c r="Y1237" s="8"/>
      <c r="Z1237" s="8"/>
      <c r="AA1237" s="8"/>
      <c r="AB1237" s="8"/>
      <c r="AC1237" s="8"/>
      <c r="AD1237" s="8"/>
      <c r="AE1237" s="8"/>
    </row>
    <row r="1238" spans="1:32" s="10" customFormat="1" ht="20.100000000000001" customHeight="1" x14ac:dyDescent="0.25">
      <c r="A1238" s="8">
        <v>1</v>
      </c>
      <c r="B1238" s="8" t="s">
        <v>2</v>
      </c>
      <c r="C1238" s="11" t="s">
        <v>164</v>
      </c>
      <c r="D1238" s="11">
        <v>1</v>
      </c>
      <c r="E1238" s="11">
        <v>4.3250000000000002</v>
      </c>
      <c r="F1238" s="11">
        <v>0.3</v>
      </c>
      <c r="G1238" s="11">
        <v>1.1000000000000001</v>
      </c>
      <c r="H1238" s="8">
        <f>G1238-0.2</f>
        <v>0.90000000000000013</v>
      </c>
      <c r="I1238" s="8">
        <f>E1238*F1238*G1238*D1238</f>
        <v>1.4272500000000001</v>
      </c>
      <c r="J1238" s="8">
        <f>(2*(E1238)*H1238*D1238)+(E1238*F1238)</f>
        <v>9.0825000000000014</v>
      </c>
      <c r="K1238" s="12">
        <f>IF(E1238=0.3,J1238,0)</f>
        <v>0</v>
      </c>
      <c r="L1238" s="12">
        <f>IF(AND(E1238&gt;0.3,E1238&lt;=0.75),J1238,0)</f>
        <v>0</v>
      </c>
      <c r="M1238" s="12">
        <f>IF(AND(E1238&gt;0.75,E1238&lt;=1.2),J1238,0)</f>
        <v>0</v>
      </c>
      <c r="N1238" s="12">
        <f>IF(E1238&gt;1.2,J1238,0)</f>
        <v>9.0825000000000014</v>
      </c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>
        <f>SUM(X1239:X1240)/I1238</f>
        <v>107.36220066061107</v>
      </c>
      <c r="Z1238" s="8"/>
      <c r="AA1238" s="8"/>
      <c r="AB1238" s="8"/>
      <c r="AC1238" s="8"/>
      <c r="AD1238" s="8"/>
      <c r="AE1238" s="8"/>
    </row>
    <row r="1239" spans="1:32" s="14" customFormat="1" ht="20.100000000000001" customHeight="1" x14ac:dyDescent="0.3">
      <c r="A1239" s="7"/>
      <c r="B1239" s="8" t="s">
        <v>2</v>
      </c>
      <c r="C1239" s="13" t="s">
        <v>4</v>
      </c>
      <c r="D1239" s="8">
        <v>25</v>
      </c>
      <c r="E1239" s="8"/>
      <c r="F1239" s="8">
        <v>3</v>
      </c>
      <c r="G1239" s="9">
        <f>VLOOKUP(D1239,'[2]Beam '!$C$20:$H$26,3,0)</f>
        <v>1</v>
      </c>
      <c r="H1239" s="9"/>
      <c r="I1239" s="8"/>
      <c r="J1239" s="8"/>
      <c r="K1239" s="8"/>
      <c r="L1239" s="8"/>
      <c r="M1239" s="8"/>
      <c r="N1239" s="8"/>
      <c r="O1239" s="8">
        <f>(E1238+1*(G1239+(12*D1239/1000))+1*(G1239)*D1238)</f>
        <v>6.625</v>
      </c>
      <c r="P1239" s="8">
        <f t="shared" ref="P1239:P1244" si="231">O1239*F1239</f>
        <v>19.875</v>
      </c>
      <c r="Q1239" s="8">
        <f>IF($D1239='[2]Beam '!Q$44,$P1239*'[2]Beam '!Q$45,0)</f>
        <v>0</v>
      </c>
      <c r="R1239" s="8">
        <f>IF($D1239='[2]Beam '!R$44,$P1239*'[2]Beam '!R$45,0)</f>
        <v>0</v>
      </c>
      <c r="S1239" s="8">
        <f>IF($D1239='[2]Beam '!S$44,$P1239*'[2]Beam '!S$45,0)</f>
        <v>0</v>
      </c>
      <c r="T1239" s="8">
        <f>IF($D1239='[2]Beam '!T$44,$P1239*'[2]Beam '!T$45,0)</f>
        <v>0</v>
      </c>
      <c r="U1239" s="8">
        <f>IF($D1239='[2]Beam '!U$44,$P1239*'[2]Beam '!U$45,0)</f>
        <v>0</v>
      </c>
      <c r="V1239" s="8">
        <f>IF($D1239='[2]Beam '!V$44,$P1239*'[2]Beam '!V$45,0)</f>
        <v>76.616350446428584</v>
      </c>
      <c r="W1239" s="8">
        <f>IF($D1239='[2]Beam '!W$44,$P1239*'[2]Beam '!W$45,0)</f>
        <v>0</v>
      </c>
      <c r="X1239" s="8">
        <f t="shared" ref="X1239:X1244" si="232">SUM(Q1239:W1239)</f>
        <v>76.616350446428584</v>
      </c>
      <c r="Y1239" s="8"/>
    </row>
    <row r="1240" spans="1:32" s="14" customFormat="1" ht="20.100000000000001" customHeight="1" x14ac:dyDescent="0.3">
      <c r="A1240" s="7"/>
      <c r="B1240" s="8" t="s">
        <v>2</v>
      </c>
      <c r="C1240" s="13" t="s">
        <v>139</v>
      </c>
      <c r="D1240" s="8">
        <v>25</v>
      </c>
      <c r="E1240" s="8"/>
      <c r="F1240" s="8">
        <v>3</v>
      </c>
      <c r="G1240" s="9">
        <f>VLOOKUP(D1240,'[2]Beam '!$C$20:$H$26,3,0)</f>
        <v>1</v>
      </c>
      <c r="H1240" s="9"/>
      <c r="I1240" s="8"/>
      <c r="J1240" s="8"/>
      <c r="K1240" s="8"/>
      <c r="L1240" s="8"/>
      <c r="M1240" s="8"/>
      <c r="N1240" s="8"/>
      <c r="O1240" s="8">
        <f>(E1238+1*(G1240+(12*D1240/1000))+1*(G1240)*D1238)</f>
        <v>6.625</v>
      </c>
      <c r="P1240" s="8">
        <f t="shared" si="231"/>
        <v>19.875</v>
      </c>
      <c r="Q1240" s="8">
        <f>IF($D1240='[2]Beam '!Q$44,$P1240*'[2]Beam '!Q$45,0)</f>
        <v>0</v>
      </c>
      <c r="R1240" s="8">
        <f>IF($D1240='[2]Beam '!R$44,$P1240*'[2]Beam '!R$45,0)</f>
        <v>0</v>
      </c>
      <c r="S1240" s="8">
        <f>IF($D1240='[2]Beam '!S$44,$P1240*'[2]Beam '!S$45,0)</f>
        <v>0</v>
      </c>
      <c r="T1240" s="8">
        <f>IF($D1240='[2]Beam '!T$44,$P1240*'[2]Beam '!T$45,0)</f>
        <v>0</v>
      </c>
      <c r="U1240" s="8">
        <f>IF($D1240='[2]Beam '!U$44,$P1240*'[2]Beam '!U$45,0)</f>
        <v>0</v>
      </c>
      <c r="V1240" s="8">
        <f>IF($D1240='[2]Beam '!V$44,$P1240*'[2]Beam '!V$45,0)</f>
        <v>76.616350446428584</v>
      </c>
      <c r="W1240" s="8">
        <f>IF($D1240='[2]Beam '!W$44,$P1240*'[2]Beam '!W$45,0)</f>
        <v>0</v>
      </c>
      <c r="X1240" s="8">
        <f t="shared" si="232"/>
        <v>76.616350446428584</v>
      </c>
      <c r="Y1240" s="8"/>
    </row>
    <row r="1241" spans="1:32" s="14" customFormat="1" ht="20.100000000000001" customHeight="1" x14ac:dyDescent="0.25">
      <c r="A1241" s="7"/>
      <c r="B1241" s="8" t="s">
        <v>2</v>
      </c>
      <c r="C1241" s="13" t="s">
        <v>13</v>
      </c>
      <c r="D1241" s="8">
        <v>10</v>
      </c>
      <c r="E1241" s="8">
        <v>0.1</v>
      </c>
      <c r="F1241" s="8">
        <f>ROUNDUP((E1238/3*2)/E1241,0)+1</f>
        <v>30</v>
      </c>
      <c r="G1241" s="10"/>
      <c r="H1241" s="8"/>
      <c r="I1241" s="8"/>
      <c r="J1241" s="8"/>
      <c r="K1241" s="8"/>
      <c r="L1241" s="8"/>
      <c r="M1241" s="8"/>
      <c r="N1241" s="8"/>
      <c r="O1241" s="8">
        <f>(2*((G1238-(2*'[2]Beam '!$D$11))+(F1238-(2*'[2]Beam '!$D$11)))+(2*10*D1241/1000))*D1238</f>
        <v>2.7600000000000002</v>
      </c>
      <c r="P1241" s="8">
        <f t="shared" si="231"/>
        <v>82.800000000000011</v>
      </c>
      <c r="Q1241" s="8">
        <f>IF($D1241='[2]Beam '!Q$44,$P1241*'[2]Beam '!Q$45,0)</f>
        <v>0</v>
      </c>
      <c r="R1241" s="8">
        <f>IF($D1241='[2]Beam '!R$44,$P1241*'[2]Beam '!R$45,0)</f>
        <v>51.069857142857146</v>
      </c>
      <c r="S1241" s="8">
        <f>IF($D1241='[2]Beam '!S$44,$P1241*'[2]Beam '!S$45,0)</f>
        <v>0</v>
      </c>
      <c r="T1241" s="8">
        <f>IF($D1241='[2]Beam '!T$44,$P1241*'[2]Beam '!T$45,0)</f>
        <v>0</v>
      </c>
      <c r="U1241" s="8">
        <f>IF($D1241='[2]Beam '!U$44,$P1241*'[2]Beam '!U$45,0)</f>
        <v>0</v>
      </c>
      <c r="V1241" s="8">
        <f>IF($D1241='[2]Beam '!V$44,$P1241*'[2]Beam '!V$45,0)</f>
        <v>0</v>
      </c>
      <c r="W1241" s="8">
        <f>IF($D1241='[2]Beam '!W$44,$P1241*'[2]Beam '!W$45,0)</f>
        <v>0</v>
      </c>
      <c r="X1241" s="8">
        <f t="shared" si="232"/>
        <v>51.069857142857146</v>
      </c>
      <c r="Y1241" s="8"/>
    </row>
    <row r="1242" spans="1:32" s="10" customFormat="1" ht="21" customHeight="1" x14ac:dyDescent="0.25">
      <c r="A1242" s="14"/>
      <c r="B1242" s="8" t="s">
        <v>2</v>
      </c>
      <c r="C1242" s="13" t="s">
        <v>14</v>
      </c>
      <c r="D1242" s="14">
        <f>D1241</f>
        <v>10</v>
      </c>
      <c r="E1242" s="14">
        <v>0.15</v>
      </c>
      <c r="F1242" s="8">
        <f>ROUNDUP((E1238/3)/E1242,0)+1</f>
        <v>11</v>
      </c>
      <c r="H1242" s="14"/>
      <c r="I1242" s="14"/>
      <c r="J1242" s="14"/>
      <c r="K1242" s="14"/>
      <c r="L1242" s="14"/>
      <c r="M1242" s="14"/>
      <c r="N1242" s="14"/>
      <c r="O1242" s="8">
        <f>(2*((G1238-(2*'[2]Beam '!$D$11))+(F1238-(2*'[2]Beam '!$D$11)))+(2*10*D1242/1000))*D1238</f>
        <v>2.7600000000000002</v>
      </c>
      <c r="P1242" s="8">
        <f t="shared" si="231"/>
        <v>30.360000000000003</v>
      </c>
      <c r="Q1242" s="8">
        <f>IF($D1242='[2]Beam '!Q$44,$P1242*'[2]Beam '!Q$45,0)</f>
        <v>0</v>
      </c>
      <c r="R1242" s="8">
        <f>IF($D1242='[2]Beam '!R$44,$P1242*'[2]Beam '!R$45,0)</f>
        <v>18.725614285714286</v>
      </c>
      <c r="S1242" s="8">
        <f>IF($D1242='[2]Beam '!S$44,$P1242*'[2]Beam '!S$45,0)</f>
        <v>0</v>
      </c>
      <c r="T1242" s="8">
        <f>IF($D1242='[2]Beam '!T$44,$P1242*'[2]Beam '!T$45,0)</f>
        <v>0</v>
      </c>
      <c r="U1242" s="8">
        <f>IF($D1242='[2]Beam '!U$44,$P1242*'[2]Beam '!U$45,0)</f>
        <v>0</v>
      </c>
      <c r="V1242" s="8">
        <f>IF($D1242='[2]Beam '!V$44,$P1242*'[2]Beam '!V$45,0)</f>
        <v>0</v>
      </c>
      <c r="W1242" s="8">
        <f>IF($D1242='[2]Beam '!W$44,$P1242*'[2]Beam '!W$45,0)</f>
        <v>0</v>
      </c>
      <c r="X1242" s="8">
        <f t="shared" si="232"/>
        <v>18.725614285714286</v>
      </c>
      <c r="Y1242" s="14"/>
      <c r="Z1242" s="8"/>
      <c r="AA1242" s="8"/>
      <c r="AB1242" s="8"/>
      <c r="AC1242" s="8"/>
      <c r="AD1242" s="8"/>
      <c r="AE1242" s="8"/>
      <c r="AF1242" s="8"/>
    </row>
    <row r="1243" spans="1:32" s="10" customFormat="1" ht="20.100000000000001" customHeight="1" x14ac:dyDescent="0.25">
      <c r="A1243" s="14"/>
      <c r="B1243" s="8" t="s">
        <v>2</v>
      </c>
      <c r="C1243" s="13" t="s">
        <v>15</v>
      </c>
      <c r="D1243" s="14">
        <f>D1241</f>
        <v>10</v>
      </c>
      <c r="E1243" s="14">
        <f>+E1241</f>
        <v>0.1</v>
      </c>
      <c r="F1243" s="8">
        <f>ROUNDUP((E1238/3*2)/E1243,0)+1</f>
        <v>30</v>
      </c>
      <c r="H1243" s="14"/>
      <c r="I1243" s="14"/>
      <c r="J1243" s="14"/>
      <c r="K1243" s="14"/>
      <c r="L1243" s="14"/>
      <c r="M1243" s="14"/>
      <c r="N1243" s="14"/>
      <c r="O1243" s="8">
        <f>(2*(((F1238-'[2]Beam '!$D$11*2)/(F1239-1))+(G1238-'[2]Beam '!$D$11*2))+(2*10*D1243/1000))*D1238</f>
        <v>2.5200000000000005</v>
      </c>
      <c r="P1243" s="8">
        <f t="shared" si="231"/>
        <v>75.600000000000009</v>
      </c>
      <c r="Q1243" s="8">
        <f>IF($D1243='[2]Beam '!Q$44,$P1243*'[2]Beam '!Q$45,0)</f>
        <v>0</v>
      </c>
      <c r="R1243" s="8">
        <f>IF($D1243='[2]Beam '!R$44,$P1243*'[2]Beam '!R$45,0)</f>
        <v>46.629000000000005</v>
      </c>
      <c r="S1243" s="8">
        <f>IF($D1243='[2]Beam '!S$44,$P1243*'[2]Beam '!S$45,0)</f>
        <v>0</v>
      </c>
      <c r="T1243" s="8">
        <f>IF($D1243='[2]Beam '!T$44,$P1243*'[2]Beam '!T$45,0)</f>
        <v>0</v>
      </c>
      <c r="U1243" s="8">
        <f>IF($D1243='[2]Beam '!U$44,$P1243*'[2]Beam '!U$45,0)</f>
        <v>0</v>
      </c>
      <c r="V1243" s="8">
        <f>IF($D1243='[2]Beam '!V$44,$P1243*'[2]Beam '!V$45,0)</f>
        <v>0</v>
      </c>
      <c r="W1243" s="8">
        <f>IF($D1243='[2]Beam '!W$44,$P1243*'[2]Beam '!W$45,0)</f>
        <v>0</v>
      </c>
      <c r="X1243" s="8">
        <f t="shared" si="232"/>
        <v>46.629000000000005</v>
      </c>
      <c r="Y1243" s="14"/>
      <c r="Z1243" s="8"/>
      <c r="AA1243" s="8"/>
      <c r="AB1243" s="8"/>
      <c r="AC1243" s="8"/>
      <c r="AD1243" s="8"/>
      <c r="AE1243" s="8"/>
    </row>
    <row r="1244" spans="1:32" s="10" customFormat="1" ht="20.100000000000001" customHeight="1" x14ac:dyDescent="0.25">
      <c r="A1244" s="14"/>
      <c r="B1244" s="8" t="s">
        <v>2</v>
      </c>
      <c r="C1244" s="13" t="s">
        <v>16</v>
      </c>
      <c r="D1244" s="14">
        <f>D1242</f>
        <v>10</v>
      </c>
      <c r="E1244" s="14">
        <f>+E1242</f>
        <v>0.15</v>
      </c>
      <c r="F1244" s="8">
        <f>ROUNDUP((E1238/3)/E1244,0)+1</f>
        <v>11</v>
      </c>
      <c r="H1244" s="14"/>
      <c r="I1244" s="14"/>
      <c r="J1244" s="14"/>
      <c r="K1244" s="14"/>
      <c r="L1244" s="14"/>
      <c r="M1244" s="14"/>
      <c r="N1244" s="14"/>
      <c r="O1244" s="8">
        <f>(2*(((F1238-'[2]Beam '!$D$11*2)/(F1239-1))+(G1238-'[2]Beam '!$D$11*2))+(2*10*D1244/1000))*D1238</f>
        <v>2.5200000000000005</v>
      </c>
      <c r="P1244" s="8">
        <f t="shared" si="231"/>
        <v>27.720000000000006</v>
      </c>
      <c r="Q1244" s="8">
        <f>IF($D1244='[2]Beam '!Q$44,$P1244*'[2]Beam '!Q$45,0)</f>
        <v>0</v>
      </c>
      <c r="R1244" s="8">
        <f>IF($D1244='[2]Beam '!R$44,$P1244*'[2]Beam '!R$45,0)</f>
        <v>17.097300000000004</v>
      </c>
      <c r="S1244" s="8">
        <f>IF($D1244='[2]Beam '!S$44,$P1244*'[2]Beam '!S$45,0)</f>
        <v>0</v>
      </c>
      <c r="T1244" s="8">
        <f>IF($D1244='[2]Beam '!T$44,$P1244*'[2]Beam '!T$45,0)</f>
        <v>0</v>
      </c>
      <c r="U1244" s="8">
        <f>IF($D1244='[2]Beam '!U$44,$P1244*'[2]Beam '!U$45,0)</f>
        <v>0</v>
      </c>
      <c r="V1244" s="8">
        <f>IF($D1244='[2]Beam '!V$44,$P1244*'[2]Beam '!V$45,0)</f>
        <v>0</v>
      </c>
      <c r="W1244" s="8">
        <f>IF($D1244='[2]Beam '!W$44,$P1244*'[2]Beam '!W$45,0)</f>
        <v>0</v>
      </c>
      <c r="X1244" s="8">
        <f t="shared" si="232"/>
        <v>17.097300000000004</v>
      </c>
      <c r="Y1244" s="14"/>
      <c r="Z1244" s="8"/>
      <c r="AA1244" s="8"/>
      <c r="AB1244" s="8"/>
      <c r="AC1244" s="8"/>
      <c r="AD1244" s="8"/>
      <c r="AE1244" s="8"/>
    </row>
    <row r="1245" spans="1:32" s="10" customFormat="1" ht="20.100000000000001" customHeight="1" x14ac:dyDescent="0.25">
      <c r="A1245" s="8">
        <v>1</v>
      </c>
      <c r="B1245" s="8" t="s">
        <v>2</v>
      </c>
      <c r="C1245" s="11" t="s">
        <v>165</v>
      </c>
      <c r="D1245" s="11">
        <v>1</v>
      </c>
      <c r="E1245" s="11">
        <v>7.8760000000000003</v>
      </c>
      <c r="F1245" s="11">
        <v>0.45</v>
      </c>
      <c r="G1245" s="11">
        <v>0.5</v>
      </c>
      <c r="H1245" s="8">
        <f>G1245-0.2</f>
        <v>0.3</v>
      </c>
      <c r="I1245" s="8">
        <f>E1245*F1245*G1245*D1245</f>
        <v>1.7721</v>
      </c>
      <c r="J1245" s="8">
        <f>(2*(E1245)*H1245*D1245)+(E1245*F1245)</f>
        <v>8.2698</v>
      </c>
      <c r="K1245" s="12">
        <f>IF(E1245=0.3,J1245,0)</f>
        <v>0</v>
      </c>
      <c r="L1245" s="12">
        <f>IF(AND(E1245&gt;0.3,E1245&lt;=0.75),J1245,0)</f>
        <v>0</v>
      </c>
      <c r="M1245" s="12">
        <f>IF(AND(E1245&gt;0.75,E1245&lt;=1.2),J1245,0)</f>
        <v>0</v>
      </c>
      <c r="N1245" s="12">
        <f>IF(E1245&gt;1.2,J1245,0)</f>
        <v>8.2698</v>
      </c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>
        <f>SUM(X1246:X1250)/I1245</f>
        <v>233.22546998315156</v>
      </c>
      <c r="Z1245" s="8"/>
      <c r="AA1245" s="8"/>
      <c r="AB1245" s="8"/>
      <c r="AC1245" s="8"/>
      <c r="AD1245" s="8"/>
      <c r="AE1245" s="8"/>
    </row>
    <row r="1246" spans="1:32" s="10" customFormat="1" ht="20.100000000000001" customHeight="1" x14ac:dyDescent="0.25">
      <c r="A1246" s="7"/>
      <c r="B1246" s="8" t="s">
        <v>2</v>
      </c>
      <c r="C1246" s="13" t="s">
        <v>4</v>
      </c>
      <c r="D1246" s="8">
        <v>20</v>
      </c>
      <c r="E1246" s="8"/>
      <c r="F1246" s="8">
        <v>5</v>
      </c>
      <c r="G1246" s="9">
        <f>VLOOKUP(D1246,'[2]Beam '!$C$20:$H$26,3,0)</f>
        <v>0.8</v>
      </c>
      <c r="H1246" s="9"/>
      <c r="I1246" s="8"/>
      <c r="J1246" s="8"/>
      <c r="K1246" s="8"/>
      <c r="L1246" s="8"/>
      <c r="M1246" s="8"/>
      <c r="N1246" s="8"/>
      <c r="O1246" s="8">
        <f>(E1245+1*(G1246+(12*D1246/1000))+1*(G1246)*D1245)</f>
        <v>9.7160000000000011</v>
      </c>
      <c r="P1246" s="8">
        <f t="shared" ref="P1246:P1255" si="233">O1246*F1246</f>
        <v>48.580000000000005</v>
      </c>
      <c r="Q1246" s="8">
        <f>IF($D1246='[2]Beam '!Q$44,$P1246*'[2]Beam '!Q$45,0)</f>
        <v>0</v>
      </c>
      <c r="R1246" s="8">
        <f>IF($D1246='[2]Beam '!R$44,$P1246*'[2]Beam '!R$45,0)</f>
        <v>0</v>
      </c>
      <c r="S1246" s="8">
        <f>IF($D1246='[2]Beam '!S$44,$P1246*'[2]Beam '!S$45,0)</f>
        <v>0</v>
      </c>
      <c r="T1246" s="8">
        <f>IF($D1246='[2]Beam '!T$44,$P1246*'[2]Beam '!T$45,0)</f>
        <v>0</v>
      </c>
      <c r="U1246" s="8">
        <f>IF($D1246='[2]Beam '!U$44,$P1246*'[2]Beam '!U$45,0)</f>
        <v>119.85380000000001</v>
      </c>
      <c r="V1246" s="8">
        <f>IF($D1246='[2]Beam '!V$44,$P1246*'[2]Beam '!V$45,0)</f>
        <v>0</v>
      </c>
      <c r="W1246" s="8">
        <f>IF($D1246='[2]Beam '!W$44,$P1246*'[2]Beam '!W$45,0)</f>
        <v>0</v>
      </c>
      <c r="X1246" s="8">
        <f t="shared" ref="X1246:X1255" si="234">SUM(Q1246:W1246)</f>
        <v>119.85380000000001</v>
      </c>
      <c r="Y1246" s="8"/>
      <c r="Z1246" s="8"/>
      <c r="AA1246" s="8"/>
      <c r="AB1246" s="8"/>
      <c r="AC1246" s="8"/>
      <c r="AD1246" s="8"/>
      <c r="AE1246" s="8"/>
    </row>
    <row r="1247" spans="1:32" s="10" customFormat="1" ht="20.100000000000001" customHeight="1" x14ac:dyDescent="0.25">
      <c r="A1247" s="7"/>
      <c r="B1247" s="8" t="s">
        <v>2</v>
      </c>
      <c r="C1247" s="13" t="s">
        <v>139</v>
      </c>
      <c r="D1247" s="8">
        <v>20</v>
      </c>
      <c r="E1247" s="8"/>
      <c r="F1247" s="8">
        <v>5</v>
      </c>
      <c r="G1247" s="9">
        <f>VLOOKUP(D1247,'[2]Beam '!$C$20:$H$26,3,0)</f>
        <v>0.8</v>
      </c>
      <c r="H1247" s="9"/>
      <c r="I1247" s="8"/>
      <c r="J1247" s="8"/>
      <c r="K1247" s="8"/>
      <c r="L1247" s="8"/>
      <c r="M1247" s="8"/>
      <c r="N1247" s="8"/>
      <c r="O1247" s="8">
        <f>(E1245+1*(G1247+(12*D1247/1000))+1*(G1247)*D1245)</f>
        <v>9.7160000000000011</v>
      </c>
      <c r="P1247" s="8">
        <f t="shared" si="233"/>
        <v>48.580000000000005</v>
      </c>
      <c r="Q1247" s="8">
        <f>IF($D1247='[2]Beam '!Q$44,$P1247*'[2]Beam '!Q$45,0)</f>
        <v>0</v>
      </c>
      <c r="R1247" s="8">
        <f>IF($D1247='[2]Beam '!R$44,$P1247*'[2]Beam '!R$45,0)</f>
        <v>0</v>
      </c>
      <c r="S1247" s="8">
        <f>IF($D1247='[2]Beam '!S$44,$P1247*'[2]Beam '!S$45,0)</f>
        <v>0</v>
      </c>
      <c r="T1247" s="8">
        <f>IF($D1247='[2]Beam '!T$44,$P1247*'[2]Beam '!T$45,0)</f>
        <v>0</v>
      </c>
      <c r="U1247" s="8">
        <f>IF($D1247='[2]Beam '!U$44,$P1247*'[2]Beam '!U$45,0)</f>
        <v>119.85380000000001</v>
      </c>
      <c r="V1247" s="8">
        <f>IF($D1247='[2]Beam '!V$44,$P1247*'[2]Beam '!V$45,0)</f>
        <v>0</v>
      </c>
      <c r="W1247" s="8">
        <f>IF($D1247='[2]Beam '!W$44,$P1247*'[2]Beam '!W$45,0)</f>
        <v>0</v>
      </c>
      <c r="X1247" s="8">
        <f t="shared" si="234"/>
        <v>119.85380000000001</v>
      </c>
      <c r="Y1247" s="8"/>
      <c r="Z1247" s="8"/>
      <c r="AA1247" s="8"/>
      <c r="AB1247" s="8"/>
      <c r="AC1247" s="8"/>
      <c r="AD1247" s="8"/>
      <c r="AE1247" s="8"/>
    </row>
    <row r="1248" spans="1:32" s="10" customFormat="1" ht="20.100000000000001" customHeight="1" x14ac:dyDescent="0.25">
      <c r="A1248" s="7"/>
      <c r="B1248" s="8" t="s">
        <v>2</v>
      </c>
      <c r="C1248" s="13" t="s">
        <v>75</v>
      </c>
      <c r="D1248" s="8">
        <v>20</v>
      </c>
      <c r="E1248" s="8"/>
      <c r="F1248" s="8">
        <v>5</v>
      </c>
      <c r="G1248" s="9">
        <f>VLOOKUP(D1248,'[2]Beam '!$C$20:$H$26,3,0)</f>
        <v>0.8</v>
      </c>
      <c r="H1248" s="9"/>
      <c r="I1248" s="8"/>
      <c r="J1248" s="8"/>
      <c r="K1248" s="8"/>
      <c r="L1248" s="8"/>
      <c r="M1248" s="8"/>
      <c r="N1248" s="8"/>
      <c r="O1248" s="8">
        <f>(2+1*(G1248+(12*D1248/1000))*D1245)</f>
        <v>3.04</v>
      </c>
      <c r="P1248" s="8">
        <f t="shared" si="233"/>
        <v>15.2</v>
      </c>
      <c r="Q1248" s="8">
        <f>IF($D1248='[2]Beam '!Q$44,$P1248*'[2]Beam '!Q$45,0)</f>
        <v>0</v>
      </c>
      <c r="R1248" s="8">
        <f>IF($D1248='[2]Beam '!R$44,$P1248*'[2]Beam '!R$45,0)</f>
        <v>0</v>
      </c>
      <c r="S1248" s="8">
        <f>IF($D1248='[2]Beam '!S$44,$P1248*'[2]Beam '!S$45,0)</f>
        <v>0</v>
      </c>
      <c r="T1248" s="8">
        <f>IF($D1248='[2]Beam '!T$44,$P1248*'[2]Beam '!T$45,0)</f>
        <v>0</v>
      </c>
      <c r="U1248" s="8">
        <f>IF($D1248='[2]Beam '!U$44,$P1248*'[2]Beam '!U$45,0)</f>
        <v>37.500571428571426</v>
      </c>
      <c r="V1248" s="8">
        <f>IF($D1248='[2]Beam '!V$44,$P1248*'[2]Beam '!V$45,0)</f>
        <v>0</v>
      </c>
      <c r="W1248" s="8">
        <f>IF($D1248='[2]Beam '!W$44,$P1248*'[2]Beam '!W$45,0)</f>
        <v>0</v>
      </c>
      <c r="X1248" s="8">
        <f t="shared" si="234"/>
        <v>37.500571428571426</v>
      </c>
      <c r="Y1248" s="8"/>
      <c r="Z1248" s="8"/>
      <c r="AA1248" s="8"/>
      <c r="AB1248" s="8"/>
      <c r="AC1248" s="8"/>
      <c r="AD1248" s="8"/>
      <c r="AE1248" s="8"/>
    </row>
    <row r="1249" spans="1:32" s="14" customFormat="1" ht="20.100000000000001" customHeight="1" x14ac:dyDescent="0.3">
      <c r="A1249" s="7"/>
      <c r="B1249" s="8" t="s">
        <v>2</v>
      </c>
      <c r="C1249" s="13" t="s">
        <v>75</v>
      </c>
      <c r="D1249" s="8">
        <v>25</v>
      </c>
      <c r="E1249" s="8"/>
      <c r="F1249" s="8">
        <v>5</v>
      </c>
      <c r="G1249" s="9">
        <f>VLOOKUP(D1249,'[2]Beam '!$C$20:$H$26,3,0)</f>
        <v>1</v>
      </c>
      <c r="H1249" s="9"/>
      <c r="I1249" s="8"/>
      <c r="J1249" s="8"/>
      <c r="K1249" s="8"/>
      <c r="L1249" s="8"/>
      <c r="M1249" s="8"/>
      <c r="N1249" s="8"/>
      <c r="O1249" s="8">
        <f>(2+1*(G1249+(12*D1249/1000))*D1245)</f>
        <v>3.3</v>
      </c>
      <c r="P1249" s="8">
        <f t="shared" si="233"/>
        <v>16.5</v>
      </c>
      <c r="Q1249" s="8">
        <f>IF($D1249='[2]Beam '!Q$44,$P1249*'[2]Beam '!Q$45,0)</f>
        <v>0</v>
      </c>
      <c r="R1249" s="8">
        <f>IF($D1249='[2]Beam '!R$44,$P1249*'[2]Beam '!R$45,0)</f>
        <v>0</v>
      </c>
      <c r="S1249" s="8">
        <f>IF($D1249='[2]Beam '!S$44,$P1249*'[2]Beam '!S$45,0)</f>
        <v>0</v>
      </c>
      <c r="T1249" s="8">
        <f>IF($D1249='[2]Beam '!T$44,$P1249*'[2]Beam '!T$45,0)</f>
        <v>0</v>
      </c>
      <c r="U1249" s="8">
        <f>IF($D1249='[2]Beam '!U$44,$P1249*'[2]Beam '!U$45,0)</f>
        <v>0</v>
      </c>
      <c r="V1249" s="8">
        <f>IF($D1249='[2]Beam '!V$44,$P1249*'[2]Beam '!V$45,0)</f>
        <v>63.606026785714292</v>
      </c>
      <c r="W1249" s="8">
        <f>IF($D1249='[2]Beam '!W$44,$P1249*'[2]Beam '!W$45,0)</f>
        <v>0</v>
      </c>
      <c r="X1249" s="8">
        <f t="shared" si="234"/>
        <v>63.606026785714292</v>
      </c>
      <c r="Y1249" s="8"/>
    </row>
    <row r="1250" spans="1:32" s="14" customFormat="1" ht="20.100000000000001" customHeight="1" x14ac:dyDescent="0.3">
      <c r="A1250" s="7"/>
      <c r="B1250" s="8" t="s">
        <v>2</v>
      </c>
      <c r="C1250" s="13" t="s">
        <v>88</v>
      </c>
      <c r="D1250" s="8">
        <v>20</v>
      </c>
      <c r="E1250" s="8"/>
      <c r="F1250" s="8">
        <v>5</v>
      </c>
      <c r="G1250" s="9">
        <f>VLOOKUP(D1250,'[2]Beam '!$C$20:$H$26,3,0)</f>
        <v>0.8</v>
      </c>
      <c r="H1250" s="9"/>
      <c r="I1250" s="8"/>
      <c r="J1250" s="8"/>
      <c r="K1250" s="8"/>
      <c r="L1250" s="8"/>
      <c r="M1250" s="8"/>
      <c r="N1250" s="8"/>
      <c r="O1250" s="8">
        <f>+E1245-1-1</f>
        <v>5.8760000000000003</v>
      </c>
      <c r="P1250" s="8">
        <f t="shared" si="233"/>
        <v>29.380000000000003</v>
      </c>
      <c r="Q1250" s="8">
        <f>IF($D1250='[2]Beam '!Q$44,$P1250*'[2]Beam '!Q$45,0)</f>
        <v>0</v>
      </c>
      <c r="R1250" s="8">
        <f>IF($D1250='[2]Beam '!R$44,$P1250*'[2]Beam '!R$45,0)</f>
        <v>0</v>
      </c>
      <c r="S1250" s="8">
        <f>IF($D1250='[2]Beam '!S$44,$P1250*'[2]Beam '!S$45,0)</f>
        <v>0</v>
      </c>
      <c r="T1250" s="8">
        <f>IF($D1250='[2]Beam '!T$44,$P1250*'[2]Beam '!T$45,0)</f>
        <v>0</v>
      </c>
      <c r="U1250" s="8">
        <f>IF($D1250='[2]Beam '!U$44,$P1250*'[2]Beam '!U$45,0)</f>
        <v>72.484657142857145</v>
      </c>
      <c r="V1250" s="8">
        <f>IF($D1250='[2]Beam '!V$44,$P1250*'[2]Beam '!V$45,0)</f>
        <v>0</v>
      </c>
      <c r="W1250" s="8">
        <f>IF($D1250='[2]Beam '!W$44,$P1250*'[2]Beam '!W$45,0)</f>
        <v>0</v>
      </c>
      <c r="X1250" s="8">
        <f t="shared" si="234"/>
        <v>72.484657142857145</v>
      </c>
      <c r="Y1250" s="8"/>
    </row>
    <row r="1251" spans="1:32" s="14" customFormat="1" ht="20.100000000000001" customHeight="1" x14ac:dyDescent="0.25">
      <c r="A1251" s="7"/>
      <c r="B1251" s="8" t="s">
        <v>2</v>
      </c>
      <c r="C1251" s="13" t="s">
        <v>13</v>
      </c>
      <c r="D1251" s="8">
        <v>12</v>
      </c>
      <c r="E1251" s="8">
        <v>0.1</v>
      </c>
      <c r="F1251" s="8">
        <f>ROUND(IF(E1245/3&gt;(2*G1245),(E1245/3)/E1251,(2*G1245)/E1251),0)*2+1</f>
        <v>53</v>
      </c>
      <c r="G1251" s="10"/>
      <c r="H1251" s="8"/>
      <c r="I1251" s="8"/>
      <c r="J1251" s="8"/>
      <c r="K1251" s="8"/>
      <c r="L1251" s="8"/>
      <c r="M1251" s="8"/>
      <c r="N1251" s="8"/>
      <c r="O1251" s="8">
        <f>(2*((G1245-(2*'[2]Beam '!$D$11))+(F1245-(2*'[2]Beam '!$D$11)))+(2*10*D1251/1000))*D1245</f>
        <v>1.9000000000000001</v>
      </c>
      <c r="P1251" s="8">
        <f t="shared" si="233"/>
        <v>100.7</v>
      </c>
      <c r="Q1251" s="8">
        <f>IF($D1251='[2]Beam '!Q$44,$P1251*'[2]Beam '!Q$45,0)</f>
        <v>0</v>
      </c>
      <c r="R1251" s="8">
        <f>IF($D1251='[2]Beam '!R$44,$P1251*'[2]Beam '!R$45,0)</f>
        <v>0</v>
      </c>
      <c r="S1251" s="8">
        <f>IF($D1251='[2]Beam '!S$44,$P1251*'[2]Beam '!S$45,0)</f>
        <v>89.43886285714288</v>
      </c>
      <c r="T1251" s="8">
        <f>IF($D1251='[2]Beam '!T$44,$P1251*'[2]Beam '!T$45,0)</f>
        <v>0</v>
      </c>
      <c r="U1251" s="8">
        <f>IF($D1251='[2]Beam '!U$44,$P1251*'[2]Beam '!U$45,0)</f>
        <v>0</v>
      </c>
      <c r="V1251" s="8">
        <f>IF($D1251='[2]Beam '!V$44,$P1251*'[2]Beam '!V$45,0)</f>
        <v>0</v>
      </c>
      <c r="W1251" s="8">
        <f>IF($D1251='[2]Beam '!W$44,$P1251*'[2]Beam '!W$45,0)</f>
        <v>0</v>
      </c>
      <c r="X1251" s="8">
        <f t="shared" si="234"/>
        <v>89.43886285714288</v>
      </c>
      <c r="Y1251" s="8"/>
    </row>
    <row r="1252" spans="1:32" s="10" customFormat="1" ht="20.100000000000001" customHeight="1" x14ac:dyDescent="0.25">
      <c r="A1252" s="14"/>
      <c r="B1252" s="8" t="s">
        <v>2</v>
      </c>
      <c r="C1252" s="13" t="s">
        <v>14</v>
      </c>
      <c r="D1252" s="14">
        <f>D1251</f>
        <v>12</v>
      </c>
      <c r="E1252" s="14">
        <v>0.15</v>
      </c>
      <c r="F1252" s="14">
        <f>ROUND((E1245-(IF(E1245/3&gt;2*G1245,E1245/3*2,G1245*2*2)))/E1252,0)</f>
        <v>18</v>
      </c>
      <c r="H1252" s="14"/>
      <c r="I1252" s="14"/>
      <c r="J1252" s="14"/>
      <c r="K1252" s="14"/>
      <c r="L1252" s="14"/>
      <c r="M1252" s="14"/>
      <c r="N1252" s="14"/>
      <c r="O1252" s="8">
        <f>(2*((G1245-(2*'[2]Beam '!$D$11))+(F1245-(2*'[2]Beam '!$D$11)))+(2*10*D1252/1000))*D1245</f>
        <v>1.9000000000000001</v>
      </c>
      <c r="P1252" s="8">
        <f t="shared" si="233"/>
        <v>34.200000000000003</v>
      </c>
      <c r="Q1252" s="8">
        <f>IF($D1252='[2]Beam '!Q$44,$P1252*'[2]Beam '!Q$45,0)</f>
        <v>0</v>
      </c>
      <c r="R1252" s="8">
        <f>IF($D1252='[2]Beam '!R$44,$P1252*'[2]Beam '!R$45,0)</f>
        <v>0</v>
      </c>
      <c r="S1252" s="8">
        <f>IF($D1252='[2]Beam '!S$44,$P1252*'[2]Beam '!S$45,0)</f>
        <v>30.375462857142864</v>
      </c>
      <c r="T1252" s="8">
        <f>IF($D1252='[2]Beam '!T$44,$P1252*'[2]Beam '!T$45,0)</f>
        <v>0</v>
      </c>
      <c r="U1252" s="8">
        <f>IF($D1252='[2]Beam '!U$44,$P1252*'[2]Beam '!U$45,0)</f>
        <v>0</v>
      </c>
      <c r="V1252" s="8">
        <f>IF($D1252='[2]Beam '!V$44,$P1252*'[2]Beam '!V$45,0)</f>
        <v>0</v>
      </c>
      <c r="W1252" s="8">
        <f>IF($D1252='[2]Beam '!W$44,$P1252*'[2]Beam '!W$45,0)</f>
        <v>0</v>
      </c>
      <c r="X1252" s="8">
        <f t="shared" si="234"/>
        <v>30.375462857142864</v>
      </c>
      <c r="Y1252" s="14"/>
      <c r="Z1252" s="8"/>
      <c r="AA1252" s="8"/>
      <c r="AB1252" s="8"/>
      <c r="AC1252" s="8"/>
      <c r="AD1252" s="8"/>
      <c r="AE1252" s="8"/>
    </row>
    <row r="1253" spans="1:32" s="10" customFormat="1" ht="21" customHeight="1" x14ac:dyDescent="0.25">
      <c r="A1253" s="14"/>
      <c r="B1253" s="8" t="s">
        <v>2</v>
      </c>
      <c r="C1253" s="13" t="s">
        <v>15</v>
      </c>
      <c r="D1253" s="14">
        <f>D1251</f>
        <v>12</v>
      </c>
      <c r="E1253" s="14">
        <f>+E1251</f>
        <v>0.1</v>
      </c>
      <c r="F1253" s="8">
        <f>ROUND(IF(E1245/3&gt;(2*G1245),(E1245/3)/E1253,(2*G1245)/E1253),0)*2+1</f>
        <v>53</v>
      </c>
      <c r="H1253" s="14"/>
      <c r="I1253" s="14"/>
      <c r="J1253" s="14"/>
      <c r="K1253" s="14"/>
      <c r="L1253" s="14"/>
      <c r="M1253" s="14"/>
      <c r="N1253" s="14"/>
      <c r="O1253" s="8">
        <f>(2*(((F1245-'[2]Beam '!$D$11*2)/(F1246-1))+(G1245-'[2]Beam '!$D$11*2))+(2*10*D1253/1000))*D1245</f>
        <v>1.3149999999999999</v>
      </c>
      <c r="P1253" s="8">
        <f t="shared" si="233"/>
        <v>69.694999999999993</v>
      </c>
      <c r="Q1253" s="8">
        <f>IF($D1253='[2]Beam '!Q$44,$P1253*'[2]Beam '!Q$45,0)</f>
        <v>0</v>
      </c>
      <c r="R1253" s="8">
        <f>IF($D1253='[2]Beam '!R$44,$P1253*'[2]Beam '!R$45,0)</f>
        <v>0</v>
      </c>
      <c r="S1253" s="8">
        <f>IF($D1253='[2]Beam '!S$44,$P1253*'[2]Beam '!S$45,0)</f>
        <v>61.901107714285722</v>
      </c>
      <c r="T1253" s="8">
        <f>IF($D1253='[2]Beam '!T$44,$P1253*'[2]Beam '!T$45,0)</f>
        <v>0</v>
      </c>
      <c r="U1253" s="8">
        <f>IF($D1253='[2]Beam '!U$44,$P1253*'[2]Beam '!U$45,0)</f>
        <v>0</v>
      </c>
      <c r="V1253" s="8">
        <f>IF($D1253='[2]Beam '!V$44,$P1253*'[2]Beam '!V$45,0)</f>
        <v>0</v>
      </c>
      <c r="W1253" s="8">
        <f>IF($D1253='[2]Beam '!W$44,$P1253*'[2]Beam '!W$45,0)</f>
        <v>0</v>
      </c>
      <c r="X1253" s="8">
        <f t="shared" si="234"/>
        <v>61.901107714285722</v>
      </c>
      <c r="Y1253" s="14"/>
      <c r="Z1253" s="8"/>
      <c r="AA1253" s="8"/>
      <c r="AB1253" s="8"/>
      <c r="AC1253" s="8"/>
      <c r="AD1253" s="8"/>
      <c r="AE1253" s="8"/>
      <c r="AF1253" s="8"/>
    </row>
    <row r="1254" spans="1:32" s="10" customFormat="1" ht="20.100000000000001" customHeight="1" x14ac:dyDescent="0.25">
      <c r="A1254" s="14"/>
      <c r="B1254" s="8" t="s">
        <v>2</v>
      </c>
      <c r="C1254" s="13" t="s">
        <v>16</v>
      </c>
      <c r="D1254" s="14">
        <f>D1252</f>
        <v>12</v>
      </c>
      <c r="E1254" s="14">
        <f>+E1252</f>
        <v>0.15</v>
      </c>
      <c r="F1254" s="14">
        <f>ROUND((E1245-(IF(E1245/3&gt;2*G1245,E1245/3*2,G1245*2*2)))/E1254,0)</f>
        <v>18</v>
      </c>
      <c r="H1254" s="14"/>
      <c r="I1254" s="14"/>
      <c r="J1254" s="14"/>
      <c r="K1254" s="14"/>
      <c r="L1254" s="14"/>
      <c r="M1254" s="14"/>
      <c r="N1254" s="14"/>
      <c r="O1254" s="8">
        <f>(2*(((F1245-'[2]Beam '!$D$11*2)/(F1246-1))+(G1245-'[2]Beam '!$D$11*2))+(2*10*D1254/1000))*D1245</f>
        <v>1.3149999999999999</v>
      </c>
      <c r="P1254" s="8">
        <f t="shared" si="233"/>
        <v>23.669999999999998</v>
      </c>
      <c r="Q1254" s="8">
        <f>IF($D1254='[2]Beam '!Q$44,$P1254*'[2]Beam '!Q$45,0)</f>
        <v>0</v>
      </c>
      <c r="R1254" s="8">
        <f>IF($D1254='[2]Beam '!R$44,$P1254*'[2]Beam '!R$45,0)</f>
        <v>0</v>
      </c>
      <c r="S1254" s="8">
        <f>IF($D1254='[2]Beam '!S$44,$P1254*'[2]Beam '!S$45,0)</f>
        <v>21.023017714285718</v>
      </c>
      <c r="T1254" s="8">
        <f>IF($D1254='[2]Beam '!T$44,$P1254*'[2]Beam '!T$45,0)</f>
        <v>0</v>
      </c>
      <c r="U1254" s="8">
        <f>IF($D1254='[2]Beam '!U$44,$P1254*'[2]Beam '!U$45,0)</f>
        <v>0</v>
      </c>
      <c r="V1254" s="8">
        <f>IF($D1254='[2]Beam '!V$44,$P1254*'[2]Beam '!V$45,0)</f>
        <v>0</v>
      </c>
      <c r="W1254" s="8">
        <f>IF($D1254='[2]Beam '!W$44,$P1254*'[2]Beam '!W$45,0)</f>
        <v>0</v>
      </c>
      <c r="X1254" s="8">
        <f t="shared" si="234"/>
        <v>21.023017714285718</v>
      </c>
      <c r="Y1254" s="14"/>
      <c r="Z1254" s="8"/>
      <c r="AA1254" s="8"/>
      <c r="AB1254" s="8"/>
      <c r="AC1254" s="8"/>
      <c r="AD1254" s="8"/>
      <c r="AE1254" s="8"/>
    </row>
    <row r="1255" spans="1:32" s="10" customFormat="1" ht="20.100000000000001" customHeight="1" x14ac:dyDescent="0.25">
      <c r="A1255" s="7"/>
      <c r="B1255" s="8" t="s">
        <v>2</v>
      </c>
      <c r="C1255" s="13" t="s">
        <v>10</v>
      </c>
      <c r="D1255" s="8">
        <f>+'[2]Beam '!$D$15</f>
        <v>25</v>
      </c>
      <c r="E1255" s="8">
        <f>+'[2]Beam '!$E$15</f>
        <v>1</v>
      </c>
      <c r="F1255" s="8">
        <f>ROUNDUP((O1250+4)/E1255,0)</f>
        <v>10</v>
      </c>
      <c r="G1255" s="9"/>
      <c r="H1255" s="9"/>
      <c r="I1255" s="8"/>
      <c r="J1255" s="8"/>
      <c r="K1255" s="8"/>
      <c r="L1255" s="8"/>
      <c r="M1255" s="8"/>
      <c r="N1255" s="8"/>
      <c r="O1255" s="8">
        <f>F1245-'[2]Beam '!$F$15</f>
        <v>0.39</v>
      </c>
      <c r="P1255" s="8">
        <f t="shared" si="233"/>
        <v>3.9000000000000004</v>
      </c>
      <c r="Q1255" s="8">
        <f>IF($D1255='[2]Beam '!Q$44,$P1255*'[2]Beam '!Q$45,0)</f>
        <v>0</v>
      </c>
      <c r="R1255" s="8">
        <f>IF($D1255='[2]Beam '!R$44,$P1255*'[2]Beam '!R$45,0)</f>
        <v>0</v>
      </c>
      <c r="S1255" s="8">
        <f>IF($D1255='[2]Beam '!S$44,$P1255*'[2]Beam '!S$45,0)</f>
        <v>0</v>
      </c>
      <c r="T1255" s="8">
        <f>IF($D1255='[2]Beam '!T$44,$P1255*'[2]Beam '!T$45,0)</f>
        <v>0</v>
      </c>
      <c r="U1255" s="8">
        <f>IF($D1255='[2]Beam '!U$44,$P1255*'[2]Beam '!U$45,0)</f>
        <v>0</v>
      </c>
      <c r="V1255" s="8">
        <f>IF($D1255='[2]Beam '!V$44,$P1255*'[2]Beam '!V$45,0)</f>
        <v>15.03415178571429</v>
      </c>
      <c r="W1255" s="8">
        <f>IF($D1255='[2]Beam '!W$44,$P1255*'[2]Beam '!W$45,0)</f>
        <v>0</v>
      </c>
      <c r="X1255" s="8">
        <f t="shared" si="234"/>
        <v>15.03415178571429</v>
      </c>
      <c r="Y1255" s="8"/>
      <c r="Z1255" s="8"/>
      <c r="AA1255" s="8"/>
      <c r="AB1255" s="8"/>
      <c r="AC1255" s="8"/>
      <c r="AD1255" s="8"/>
      <c r="AE1255" s="8"/>
    </row>
    <row r="1256" spans="1:32" s="10" customFormat="1" ht="20.100000000000001" customHeight="1" x14ac:dyDescent="0.25">
      <c r="A1256" s="8">
        <v>1</v>
      </c>
      <c r="B1256" s="8" t="s">
        <v>2</v>
      </c>
      <c r="C1256" s="11" t="s">
        <v>166</v>
      </c>
      <c r="D1256" s="11">
        <v>1</v>
      </c>
      <c r="E1256" s="11">
        <v>2</v>
      </c>
      <c r="F1256" s="11">
        <v>0.45</v>
      </c>
      <c r="G1256" s="11">
        <v>0.5</v>
      </c>
      <c r="H1256" s="8">
        <f>G1256-0.2</f>
        <v>0.3</v>
      </c>
      <c r="I1256" s="8">
        <f>E1256*F1256*G1256*D1256</f>
        <v>0.45</v>
      </c>
      <c r="J1256" s="8">
        <f>(2*(E1256)*H1256*D1256)+(E1256*F1256)</f>
        <v>2.1</v>
      </c>
      <c r="K1256" s="12">
        <f>IF(E1256=0.3,J1256,0)</f>
        <v>0</v>
      </c>
      <c r="L1256" s="12">
        <f>IF(AND(E1256&gt;0.3,E1256&lt;=0.75),J1256,0)</f>
        <v>0</v>
      </c>
      <c r="M1256" s="12">
        <f>IF(AND(E1256&gt;0.75,E1256&lt;=1.2),J1256,0)</f>
        <v>0</v>
      </c>
      <c r="N1256" s="12">
        <f>IF(E1256&gt;1.2,J1256,0)</f>
        <v>2.1</v>
      </c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>
        <f>SUM(X1257:X1261)/I1256</f>
        <v>369.91791746031748</v>
      </c>
      <c r="Z1256" s="8"/>
      <c r="AA1256" s="8"/>
      <c r="AB1256" s="8"/>
      <c r="AC1256" s="8"/>
      <c r="AD1256" s="8"/>
      <c r="AE1256" s="8"/>
    </row>
    <row r="1257" spans="1:32" s="10" customFormat="1" ht="20.100000000000001" customHeight="1" x14ac:dyDescent="0.25">
      <c r="A1257" s="7"/>
      <c r="B1257" s="8" t="s">
        <v>2</v>
      </c>
      <c r="C1257" s="13" t="s">
        <v>4</v>
      </c>
      <c r="D1257" s="8">
        <v>20</v>
      </c>
      <c r="E1257" s="8"/>
      <c r="F1257" s="8">
        <v>4</v>
      </c>
      <c r="G1257" s="9">
        <f>VLOOKUP(D1257,'[2]Beam '!$C$20:$H$26,3,0)</f>
        <v>0.8</v>
      </c>
      <c r="H1257" s="9"/>
      <c r="I1257" s="8"/>
      <c r="J1257" s="8"/>
      <c r="K1257" s="8"/>
      <c r="L1257" s="8"/>
      <c r="M1257" s="8"/>
      <c r="N1257" s="8"/>
      <c r="O1257" s="8">
        <f>(E1256+1*(0.4/2)+G1257*D1256)</f>
        <v>3</v>
      </c>
      <c r="P1257" s="8">
        <f t="shared" ref="P1257:P1262" si="235">O1257*F1257</f>
        <v>12</v>
      </c>
      <c r="Q1257" s="8">
        <f>IF($D1257='[2]Beam '!Q$44,$P1257*'[2]Beam '!Q$45,0)</f>
        <v>0</v>
      </c>
      <c r="R1257" s="8">
        <f>IF($D1257='[2]Beam '!R$44,$P1257*'[2]Beam '!R$45,0)</f>
        <v>0</v>
      </c>
      <c r="S1257" s="8">
        <f>IF($D1257='[2]Beam '!S$44,$P1257*'[2]Beam '!S$45,0)</f>
        <v>0</v>
      </c>
      <c r="T1257" s="8">
        <f>IF($D1257='[2]Beam '!T$44,$P1257*'[2]Beam '!T$45,0)</f>
        <v>0</v>
      </c>
      <c r="U1257" s="8">
        <f>IF($D1257='[2]Beam '!U$44,$P1257*'[2]Beam '!U$45,0)</f>
        <v>29.605714285714285</v>
      </c>
      <c r="V1257" s="8">
        <f>IF($D1257='[2]Beam '!V$44,$P1257*'[2]Beam '!V$45,0)</f>
        <v>0</v>
      </c>
      <c r="W1257" s="8">
        <f>IF($D1257='[2]Beam '!W$44,$P1257*'[2]Beam '!W$45,0)</f>
        <v>0</v>
      </c>
      <c r="X1257" s="8">
        <f t="shared" ref="X1257:X1262" si="236">SUM(Q1257:W1257)</f>
        <v>29.605714285714285</v>
      </c>
      <c r="Y1257" s="8"/>
      <c r="Z1257" s="8"/>
      <c r="AA1257" s="8"/>
      <c r="AB1257" s="8"/>
      <c r="AC1257" s="8"/>
      <c r="AD1257" s="8"/>
      <c r="AE1257" s="8"/>
    </row>
    <row r="1258" spans="1:32" s="14" customFormat="1" ht="20.100000000000001" customHeight="1" x14ac:dyDescent="0.3">
      <c r="A1258" s="7"/>
      <c r="B1258" s="8" t="s">
        <v>2</v>
      </c>
      <c r="C1258" s="13" t="s">
        <v>139</v>
      </c>
      <c r="D1258" s="8">
        <v>25</v>
      </c>
      <c r="E1258" s="8"/>
      <c r="F1258" s="8">
        <v>4</v>
      </c>
      <c r="G1258" s="9">
        <f>VLOOKUP(D1258,'[2]Beam '!$C$20:$H$26,3,0)</f>
        <v>1</v>
      </c>
      <c r="H1258" s="9"/>
      <c r="I1258" s="8"/>
      <c r="J1258" s="8"/>
      <c r="K1258" s="8"/>
      <c r="L1258" s="8"/>
      <c r="M1258" s="8"/>
      <c r="N1258" s="8"/>
      <c r="O1258" s="8">
        <f>(E1256+1*(0.4/2)+G1258*D1256)</f>
        <v>3.2</v>
      </c>
      <c r="P1258" s="8">
        <f t="shared" si="235"/>
        <v>12.8</v>
      </c>
      <c r="Q1258" s="8">
        <f>IF($D1258='[2]Beam '!Q$44,$P1258*'[2]Beam '!Q$45,0)</f>
        <v>0</v>
      </c>
      <c r="R1258" s="8">
        <f>IF($D1258='[2]Beam '!R$44,$P1258*'[2]Beam '!R$45,0)</f>
        <v>0</v>
      </c>
      <c r="S1258" s="8">
        <f>IF($D1258='[2]Beam '!S$44,$P1258*'[2]Beam '!S$45,0)</f>
        <v>0</v>
      </c>
      <c r="T1258" s="8">
        <f>IF($D1258='[2]Beam '!T$44,$P1258*'[2]Beam '!T$45,0)</f>
        <v>0</v>
      </c>
      <c r="U1258" s="8">
        <f>IF($D1258='[2]Beam '!U$44,$P1258*'[2]Beam '!U$45,0)</f>
        <v>0</v>
      </c>
      <c r="V1258" s="8">
        <f>IF($D1258='[2]Beam '!V$44,$P1258*'[2]Beam '!V$45,0)</f>
        <v>49.342857142857156</v>
      </c>
      <c r="W1258" s="8">
        <f>IF($D1258='[2]Beam '!W$44,$P1258*'[2]Beam '!W$45,0)</f>
        <v>0</v>
      </c>
      <c r="X1258" s="8">
        <f t="shared" si="236"/>
        <v>49.342857142857156</v>
      </c>
      <c r="Y1258" s="8"/>
    </row>
    <row r="1259" spans="1:32" s="10" customFormat="1" ht="20.100000000000001" customHeight="1" x14ac:dyDescent="0.25">
      <c r="A1259" s="7"/>
      <c r="B1259" s="8" t="s">
        <v>2</v>
      </c>
      <c r="C1259" s="13" t="s">
        <v>88</v>
      </c>
      <c r="D1259" s="8">
        <v>20</v>
      </c>
      <c r="E1259" s="8"/>
      <c r="F1259" s="8">
        <v>4</v>
      </c>
      <c r="G1259" s="9">
        <f>VLOOKUP(D1259,'[2]Beam '!$C$20:$H$26,3,0)</f>
        <v>0.8</v>
      </c>
      <c r="H1259" s="9"/>
      <c r="I1259" s="8"/>
      <c r="J1259" s="8"/>
      <c r="K1259" s="8"/>
      <c r="L1259" s="8"/>
      <c r="M1259" s="8"/>
      <c r="N1259" s="8"/>
      <c r="O1259" s="8">
        <f>(E1256+1*(0.4/2)+G1259*D1256)</f>
        <v>3</v>
      </c>
      <c r="P1259" s="8">
        <f t="shared" si="235"/>
        <v>12</v>
      </c>
      <c r="Q1259" s="8">
        <f>IF($D1259='[2]Beam '!Q$44,$P1259*'[2]Beam '!Q$45,0)</f>
        <v>0</v>
      </c>
      <c r="R1259" s="8">
        <f>IF($D1259='[2]Beam '!R$44,$P1259*'[2]Beam '!R$45,0)</f>
        <v>0</v>
      </c>
      <c r="S1259" s="8">
        <f>IF($D1259='[2]Beam '!S$44,$P1259*'[2]Beam '!S$45,0)</f>
        <v>0</v>
      </c>
      <c r="T1259" s="8">
        <f>IF($D1259='[2]Beam '!T$44,$P1259*'[2]Beam '!T$45,0)</f>
        <v>0</v>
      </c>
      <c r="U1259" s="8">
        <f>IF($D1259='[2]Beam '!U$44,$P1259*'[2]Beam '!U$45,0)</f>
        <v>29.605714285714285</v>
      </c>
      <c r="V1259" s="8">
        <f>IF($D1259='[2]Beam '!V$44,$P1259*'[2]Beam '!V$45,0)</f>
        <v>0</v>
      </c>
      <c r="W1259" s="8">
        <f>IF($D1259='[2]Beam '!W$44,$P1259*'[2]Beam '!W$45,0)</f>
        <v>0</v>
      </c>
      <c r="X1259" s="8">
        <f t="shared" si="236"/>
        <v>29.605714285714285</v>
      </c>
      <c r="Y1259" s="8"/>
      <c r="Z1259" s="8"/>
      <c r="AA1259" s="8"/>
      <c r="AB1259" s="8"/>
      <c r="AC1259" s="8"/>
      <c r="AD1259" s="8"/>
      <c r="AE1259" s="8"/>
    </row>
    <row r="1260" spans="1:32" s="10" customFormat="1" ht="21" customHeight="1" x14ac:dyDescent="0.25">
      <c r="A1260" s="7"/>
      <c r="B1260" s="8" t="s">
        <v>2</v>
      </c>
      <c r="C1260" s="13" t="s">
        <v>8</v>
      </c>
      <c r="D1260" s="8">
        <v>12</v>
      </c>
      <c r="E1260" s="8">
        <v>0.1</v>
      </c>
      <c r="F1260" s="8">
        <f>ROUNDUP(E1256/E1260,0)</f>
        <v>20</v>
      </c>
      <c r="H1260" s="8"/>
      <c r="I1260" s="8"/>
      <c r="J1260" s="8"/>
      <c r="K1260" s="8"/>
      <c r="L1260" s="8"/>
      <c r="M1260" s="8"/>
      <c r="N1260" s="8"/>
      <c r="O1260" s="8">
        <f>(2*((G1256-(2*'[2]Beam '!$D$11))+(F1256-(2*'[2]Beam '!$D$11)))+(2*10*D1260/1000))*D1256</f>
        <v>1.9000000000000001</v>
      </c>
      <c r="P1260" s="8">
        <f t="shared" si="235"/>
        <v>38</v>
      </c>
      <c r="Q1260" s="8">
        <f>IF($D1260='[2]Beam '!Q$44,$P1260*'[2]Beam '!Q$45,0)</f>
        <v>0</v>
      </c>
      <c r="R1260" s="8">
        <f>IF($D1260='[2]Beam '!R$44,$P1260*'[2]Beam '!R$45,0)</f>
        <v>0</v>
      </c>
      <c r="S1260" s="8">
        <f>IF($D1260='[2]Beam '!S$44,$P1260*'[2]Beam '!S$45,0)</f>
        <v>33.750514285714289</v>
      </c>
      <c r="T1260" s="8">
        <f>IF($D1260='[2]Beam '!T$44,$P1260*'[2]Beam '!T$45,0)</f>
        <v>0</v>
      </c>
      <c r="U1260" s="8">
        <f>IF($D1260='[2]Beam '!U$44,$P1260*'[2]Beam '!U$45,0)</f>
        <v>0</v>
      </c>
      <c r="V1260" s="8">
        <f>IF($D1260='[2]Beam '!V$44,$P1260*'[2]Beam '!V$45,0)</f>
        <v>0</v>
      </c>
      <c r="W1260" s="8">
        <f>IF($D1260='[2]Beam '!W$44,$P1260*'[2]Beam '!W$45,0)</f>
        <v>0</v>
      </c>
      <c r="X1260" s="8">
        <f t="shared" si="236"/>
        <v>33.750514285714289</v>
      </c>
      <c r="Y1260" s="8"/>
      <c r="Z1260" s="8"/>
      <c r="AA1260" s="8"/>
      <c r="AB1260" s="8"/>
      <c r="AC1260" s="8"/>
      <c r="AD1260" s="8"/>
      <c r="AE1260" s="8"/>
      <c r="AF1260" s="8"/>
    </row>
    <row r="1261" spans="1:32" s="10" customFormat="1" ht="20.100000000000001" customHeight="1" x14ac:dyDescent="0.25">
      <c r="A1261" s="14"/>
      <c r="B1261" s="8" t="s">
        <v>2</v>
      </c>
      <c r="C1261" s="13" t="s">
        <v>9</v>
      </c>
      <c r="D1261" s="8">
        <f>+D1260</f>
        <v>12</v>
      </c>
      <c r="E1261" s="14">
        <f>+E1260</f>
        <v>0.1</v>
      </c>
      <c r="F1261" s="8">
        <f>ROUNDUP(E1256/E1261,0)</f>
        <v>20</v>
      </c>
      <c r="H1261" s="14"/>
      <c r="I1261" s="14"/>
      <c r="J1261" s="14"/>
      <c r="K1261" s="14"/>
      <c r="L1261" s="14"/>
      <c r="M1261" s="14"/>
      <c r="N1261" s="14"/>
      <c r="O1261" s="8">
        <f>((((G1256-(2*'[2]Beam '!$D$11))+(2*10*D1261/1000))*D1256))*2</f>
        <v>1.3599999999999999</v>
      </c>
      <c r="P1261" s="8">
        <f t="shared" si="235"/>
        <v>27.199999999999996</v>
      </c>
      <c r="Q1261" s="8">
        <f>IF($D1261='[2]Beam '!Q$44,$P1261*'[2]Beam '!Q$45,0)</f>
        <v>0</v>
      </c>
      <c r="R1261" s="8">
        <f>IF($D1261='[2]Beam '!R$44,$P1261*'[2]Beam '!R$45,0)</f>
        <v>0</v>
      </c>
      <c r="S1261" s="8">
        <f>IF($D1261='[2]Beam '!S$44,$P1261*'[2]Beam '!S$45,0)</f>
        <v>24.158262857142859</v>
      </c>
      <c r="T1261" s="8">
        <f>IF($D1261='[2]Beam '!T$44,$P1261*'[2]Beam '!T$45,0)</f>
        <v>0</v>
      </c>
      <c r="U1261" s="8">
        <f>IF($D1261='[2]Beam '!U$44,$P1261*'[2]Beam '!U$45,0)</f>
        <v>0</v>
      </c>
      <c r="V1261" s="8">
        <f>IF($D1261='[2]Beam '!V$44,$P1261*'[2]Beam '!V$45,0)</f>
        <v>0</v>
      </c>
      <c r="W1261" s="8">
        <f>IF($D1261='[2]Beam '!W$44,$P1261*'[2]Beam '!W$45,0)</f>
        <v>0</v>
      </c>
      <c r="X1261" s="8">
        <f t="shared" si="236"/>
        <v>24.158262857142859</v>
      </c>
      <c r="Y1261" s="14"/>
      <c r="Z1261" s="8"/>
      <c r="AA1261" s="8"/>
      <c r="AB1261" s="8"/>
      <c r="AC1261" s="8"/>
      <c r="AD1261" s="8"/>
      <c r="AE1261" s="8"/>
    </row>
    <row r="1262" spans="1:32" s="10" customFormat="1" ht="20.100000000000001" customHeight="1" x14ac:dyDescent="0.25">
      <c r="A1262" s="7"/>
      <c r="B1262" s="8" t="s">
        <v>2</v>
      </c>
      <c r="C1262" s="13" t="s">
        <v>10</v>
      </c>
      <c r="D1262" s="8">
        <f>+'[2]Beam '!$D$15</f>
        <v>25</v>
      </c>
      <c r="E1262" s="8">
        <f>+'[2]Beam '!$E$15</f>
        <v>1</v>
      </c>
      <c r="F1262" s="8">
        <f>ROUNDUP((O1259)/E1262,0)</f>
        <v>3</v>
      </c>
      <c r="G1262" s="9"/>
      <c r="H1262" s="9"/>
      <c r="I1262" s="8"/>
      <c r="J1262" s="8"/>
      <c r="K1262" s="8"/>
      <c r="L1262" s="8"/>
      <c r="M1262" s="8"/>
      <c r="N1262" s="8"/>
      <c r="O1262" s="8">
        <f>F1256-'[2]Beam '!$F$15</f>
        <v>0.39</v>
      </c>
      <c r="P1262" s="8">
        <f t="shared" si="235"/>
        <v>1.17</v>
      </c>
      <c r="Q1262" s="8">
        <f>IF($D1262='[2]Beam '!Q$44,$P1262*'[2]Beam '!Q$45,0)</f>
        <v>0</v>
      </c>
      <c r="R1262" s="8">
        <f>IF($D1262='[2]Beam '!R$44,$P1262*'[2]Beam '!R$45,0)</f>
        <v>0</v>
      </c>
      <c r="S1262" s="8">
        <f>IF($D1262='[2]Beam '!S$44,$P1262*'[2]Beam '!S$45,0)</f>
        <v>0</v>
      </c>
      <c r="T1262" s="8">
        <f>IF($D1262='[2]Beam '!T$44,$P1262*'[2]Beam '!T$45,0)</f>
        <v>0</v>
      </c>
      <c r="U1262" s="8">
        <f>IF($D1262='[2]Beam '!U$44,$P1262*'[2]Beam '!U$45,0)</f>
        <v>0</v>
      </c>
      <c r="V1262" s="8">
        <f>IF($D1262='[2]Beam '!V$44,$P1262*'[2]Beam '!V$45,0)</f>
        <v>4.5102455357142865</v>
      </c>
      <c r="W1262" s="8">
        <f>IF($D1262='[2]Beam '!W$44,$P1262*'[2]Beam '!W$45,0)</f>
        <v>0</v>
      </c>
      <c r="X1262" s="8">
        <f t="shared" si="236"/>
        <v>4.5102455357142865</v>
      </c>
      <c r="Y1262" s="8"/>
      <c r="Z1262" s="8"/>
      <c r="AA1262" s="8"/>
      <c r="AB1262" s="8"/>
      <c r="AC1262" s="8"/>
      <c r="AD1262" s="8"/>
      <c r="AE1262" s="8"/>
    </row>
    <row r="1263" spans="1:32" s="10" customFormat="1" ht="20.100000000000001" customHeight="1" x14ac:dyDescent="0.25">
      <c r="A1263" s="8">
        <v>1</v>
      </c>
      <c r="B1263" s="8" t="s">
        <v>2</v>
      </c>
      <c r="C1263" s="11" t="s">
        <v>167</v>
      </c>
      <c r="D1263" s="11">
        <v>1</v>
      </c>
      <c r="E1263" s="11">
        <v>2</v>
      </c>
      <c r="F1263" s="11">
        <v>0.45</v>
      </c>
      <c r="G1263" s="11">
        <v>0.5</v>
      </c>
      <c r="H1263" s="8">
        <f>G1263-0.2</f>
        <v>0.3</v>
      </c>
      <c r="I1263" s="8">
        <f>E1263*F1263*G1263*D1263</f>
        <v>0.45</v>
      </c>
      <c r="J1263" s="8">
        <f>(2*(E1263)*H1263*D1263)+(E1263*F1263)</f>
        <v>2.1</v>
      </c>
      <c r="K1263" s="12">
        <f>IF(E1263=0.3,J1263,0)</f>
        <v>0</v>
      </c>
      <c r="L1263" s="12">
        <f>IF(AND(E1263&gt;0.3,E1263&lt;=0.75),J1263,0)</f>
        <v>0</v>
      </c>
      <c r="M1263" s="12">
        <f>IF(AND(E1263&gt;0.75,E1263&lt;=1.2),J1263,0)</f>
        <v>0</v>
      </c>
      <c r="N1263" s="12">
        <f>IF(E1263&gt;1.2,J1263,0)</f>
        <v>2.1</v>
      </c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>
        <f>SUM(X1264:X1268)/I1263</f>
        <v>369.91791746031748</v>
      </c>
      <c r="Z1263" s="8"/>
      <c r="AA1263" s="8"/>
      <c r="AB1263" s="8"/>
      <c r="AC1263" s="8"/>
      <c r="AD1263" s="8"/>
      <c r="AE1263" s="8"/>
    </row>
    <row r="1264" spans="1:32" s="10" customFormat="1" ht="20.100000000000001" customHeight="1" x14ac:dyDescent="0.25">
      <c r="A1264" s="7"/>
      <c r="B1264" s="8" t="s">
        <v>2</v>
      </c>
      <c r="C1264" s="13" t="s">
        <v>4</v>
      </c>
      <c r="D1264" s="8">
        <v>20</v>
      </c>
      <c r="E1264" s="8"/>
      <c r="F1264" s="8">
        <v>4</v>
      </c>
      <c r="G1264" s="9">
        <f>VLOOKUP(D1264,'[2]Beam '!$C$20:$H$26,3,0)</f>
        <v>0.8</v>
      </c>
      <c r="H1264" s="9"/>
      <c r="I1264" s="8"/>
      <c r="J1264" s="8"/>
      <c r="K1264" s="8"/>
      <c r="L1264" s="8"/>
      <c r="M1264" s="8"/>
      <c r="N1264" s="8"/>
      <c r="O1264" s="8">
        <f>(E1263+1*(0.4/2)+G1264*D1263)</f>
        <v>3</v>
      </c>
      <c r="P1264" s="8">
        <f t="shared" ref="P1264:P1269" si="237">O1264*F1264</f>
        <v>12</v>
      </c>
      <c r="Q1264" s="8">
        <f>IF($D1264='[2]Beam '!Q$44,$P1264*'[2]Beam '!Q$45,0)</f>
        <v>0</v>
      </c>
      <c r="R1264" s="8">
        <f>IF($D1264='[2]Beam '!R$44,$P1264*'[2]Beam '!R$45,0)</f>
        <v>0</v>
      </c>
      <c r="S1264" s="8">
        <f>IF($D1264='[2]Beam '!S$44,$P1264*'[2]Beam '!S$45,0)</f>
        <v>0</v>
      </c>
      <c r="T1264" s="8">
        <f>IF($D1264='[2]Beam '!T$44,$P1264*'[2]Beam '!T$45,0)</f>
        <v>0</v>
      </c>
      <c r="U1264" s="8">
        <f>IF($D1264='[2]Beam '!U$44,$P1264*'[2]Beam '!U$45,0)</f>
        <v>29.605714285714285</v>
      </c>
      <c r="V1264" s="8">
        <f>IF($D1264='[2]Beam '!V$44,$P1264*'[2]Beam '!V$45,0)</f>
        <v>0</v>
      </c>
      <c r="W1264" s="8">
        <f>IF($D1264='[2]Beam '!W$44,$P1264*'[2]Beam '!W$45,0)</f>
        <v>0</v>
      </c>
      <c r="X1264" s="8">
        <f t="shared" ref="X1264:X1269" si="238">SUM(Q1264:W1264)</f>
        <v>29.605714285714285</v>
      </c>
      <c r="Y1264" s="8"/>
      <c r="Z1264" s="8"/>
      <c r="AA1264" s="8"/>
      <c r="AB1264" s="8"/>
      <c r="AC1264" s="8"/>
      <c r="AD1264" s="8"/>
      <c r="AE1264" s="8"/>
    </row>
    <row r="1265" spans="1:32" s="14" customFormat="1" ht="20.100000000000001" customHeight="1" x14ac:dyDescent="0.3">
      <c r="A1265" s="7"/>
      <c r="B1265" s="8" t="s">
        <v>2</v>
      </c>
      <c r="C1265" s="13" t="s">
        <v>139</v>
      </c>
      <c r="D1265" s="8">
        <v>25</v>
      </c>
      <c r="E1265" s="8"/>
      <c r="F1265" s="8">
        <v>4</v>
      </c>
      <c r="G1265" s="9">
        <f>VLOOKUP(D1265,'[2]Beam '!$C$20:$H$26,3,0)</f>
        <v>1</v>
      </c>
      <c r="H1265" s="9"/>
      <c r="I1265" s="8"/>
      <c r="J1265" s="8"/>
      <c r="K1265" s="8"/>
      <c r="L1265" s="8"/>
      <c r="M1265" s="8"/>
      <c r="N1265" s="8"/>
      <c r="O1265" s="8">
        <f>(E1263+1*(0.4/2)+G1265*D1263)</f>
        <v>3.2</v>
      </c>
      <c r="P1265" s="8">
        <f t="shared" si="237"/>
        <v>12.8</v>
      </c>
      <c r="Q1265" s="8">
        <f>IF($D1265='[2]Beam '!Q$44,$P1265*'[2]Beam '!Q$45,0)</f>
        <v>0</v>
      </c>
      <c r="R1265" s="8">
        <f>IF($D1265='[2]Beam '!R$44,$P1265*'[2]Beam '!R$45,0)</f>
        <v>0</v>
      </c>
      <c r="S1265" s="8">
        <f>IF($D1265='[2]Beam '!S$44,$P1265*'[2]Beam '!S$45,0)</f>
        <v>0</v>
      </c>
      <c r="T1265" s="8">
        <f>IF($D1265='[2]Beam '!T$44,$P1265*'[2]Beam '!T$45,0)</f>
        <v>0</v>
      </c>
      <c r="U1265" s="8">
        <f>IF($D1265='[2]Beam '!U$44,$P1265*'[2]Beam '!U$45,0)</f>
        <v>0</v>
      </c>
      <c r="V1265" s="8">
        <f>IF($D1265='[2]Beam '!V$44,$P1265*'[2]Beam '!V$45,0)</f>
        <v>49.342857142857156</v>
      </c>
      <c r="W1265" s="8">
        <f>IF($D1265='[2]Beam '!W$44,$P1265*'[2]Beam '!W$45,0)</f>
        <v>0</v>
      </c>
      <c r="X1265" s="8">
        <f t="shared" si="238"/>
        <v>49.342857142857156</v>
      </c>
      <c r="Y1265" s="8"/>
    </row>
    <row r="1266" spans="1:32" s="10" customFormat="1" ht="20.100000000000001" customHeight="1" x14ac:dyDescent="0.25">
      <c r="A1266" s="7"/>
      <c r="B1266" s="8" t="s">
        <v>2</v>
      </c>
      <c r="C1266" s="13" t="s">
        <v>88</v>
      </c>
      <c r="D1266" s="8">
        <v>20</v>
      </c>
      <c r="E1266" s="8"/>
      <c r="F1266" s="8">
        <v>4</v>
      </c>
      <c r="G1266" s="9">
        <f>VLOOKUP(D1266,'[2]Beam '!$C$20:$H$26,3,0)</f>
        <v>0.8</v>
      </c>
      <c r="H1266" s="9"/>
      <c r="I1266" s="8"/>
      <c r="J1266" s="8"/>
      <c r="K1266" s="8"/>
      <c r="L1266" s="8"/>
      <c r="M1266" s="8"/>
      <c r="N1266" s="8"/>
      <c r="O1266" s="8">
        <f>(E1263+1*(0.4/2)+G1266*D1263)</f>
        <v>3</v>
      </c>
      <c r="P1266" s="8">
        <f t="shared" si="237"/>
        <v>12</v>
      </c>
      <c r="Q1266" s="8">
        <f>IF($D1266='[2]Beam '!Q$44,$P1266*'[2]Beam '!Q$45,0)</f>
        <v>0</v>
      </c>
      <c r="R1266" s="8">
        <f>IF($D1266='[2]Beam '!R$44,$P1266*'[2]Beam '!R$45,0)</f>
        <v>0</v>
      </c>
      <c r="S1266" s="8">
        <f>IF($D1266='[2]Beam '!S$44,$P1266*'[2]Beam '!S$45,0)</f>
        <v>0</v>
      </c>
      <c r="T1266" s="8">
        <f>IF($D1266='[2]Beam '!T$44,$P1266*'[2]Beam '!T$45,0)</f>
        <v>0</v>
      </c>
      <c r="U1266" s="8">
        <f>IF($D1266='[2]Beam '!U$44,$P1266*'[2]Beam '!U$45,0)</f>
        <v>29.605714285714285</v>
      </c>
      <c r="V1266" s="8">
        <f>IF($D1266='[2]Beam '!V$44,$P1266*'[2]Beam '!V$45,0)</f>
        <v>0</v>
      </c>
      <c r="W1266" s="8">
        <f>IF($D1266='[2]Beam '!W$44,$P1266*'[2]Beam '!W$45,0)</f>
        <v>0</v>
      </c>
      <c r="X1266" s="8">
        <f t="shared" si="238"/>
        <v>29.605714285714285</v>
      </c>
      <c r="Y1266" s="8"/>
      <c r="Z1266" s="8"/>
      <c r="AA1266" s="8"/>
      <c r="AB1266" s="8"/>
      <c r="AC1266" s="8"/>
      <c r="AD1266" s="8"/>
      <c r="AE1266" s="8"/>
    </row>
    <row r="1267" spans="1:32" s="10" customFormat="1" ht="21" customHeight="1" x14ac:dyDescent="0.25">
      <c r="A1267" s="7"/>
      <c r="B1267" s="8" t="s">
        <v>2</v>
      </c>
      <c r="C1267" s="13" t="s">
        <v>8</v>
      </c>
      <c r="D1267" s="8">
        <v>12</v>
      </c>
      <c r="E1267" s="8">
        <v>0.1</v>
      </c>
      <c r="F1267" s="8">
        <f>ROUNDUP(E1263/E1267,0)</f>
        <v>20</v>
      </c>
      <c r="H1267" s="8"/>
      <c r="I1267" s="8"/>
      <c r="J1267" s="8"/>
      <c r="K1267" s="8"/>
      <c r="L1267" s="8"/>
      <c r="M1267" s="8"/>
      <c r="N1267" s="8"/>
      <c r="O1267" s="8">
        <f>(2*((G1263-(2*'[2]Beam '!$D$11))+(F1263-(2*'[2]Beam '!$D$11)))+(2*10*D1267/1000))*D1263</f>
        <v>1.9000000000000001</v>
      </c>
      <c r="P1267" s="8">
        <f t="shared" si="237"/>
        <v>38</v>
      </c>
      <c r="Q1267" s="8">
        <f>IF($D1267='[2]Beam '!Q$44,$P1267*'[2]Beam '!Q$45,0)</f>
        <v>0</v>
      </c>
      <c r="R1267" s="8">
        <f>IF($D1267='[2]Beam '!R$44,$P1267*'[2]Beam '!R$45,0)</f>
        <v>0</v>
      </c>
      <c r="S1267" s="8">
        <f>IF($D1267='[2]Beam '!S$44,$P1267*'[2]Beam '!S$45,0)</f>
        <v>33.750514285714289</v>
      </c>
      <c r="T1267" s="8">
        <f>IF($D1267='[2]Beam '!T$44,$P1267*'[2]Beam '!T$45,0)</f>
        <v>0</v>
      </c>
      <c r="U1267" s="8">
        <f>IF($D1267='[2]Beam '!U$44,$P1267*'[2]Beam '!U$45,0)</f>
        <v>0</v>
      </c>
      <c r="V1267" s="8">
        <f>IF($D1267='[2]Beam '!V$44,$P1267*'[2]Beam '!V$45,0)</f>
        <v>0</v>
      </c>
      <c r="W1267" s="8">
        <f>IF($D1267='[2]Beam '!W$44,$P1267*'[2]Beam '!W$45,0)</f>
        <v>0</v>
      </c>
      <c r="X1267" s="8">
        <f t="shared" si="238"/>
        <v>33.750514285714289</v>
      </c>
      <c r="Y1267" s="8"/>
      <c r="Z1267" s="8"/>
      <c r="AA1267" s="8"/>
      <c r="AB1267" s="8"/>
      <c r="AC1267" s="8"/>
      <c r="AD1267" s="8"/>
      <c r="AE1267" s="8"/>
      <c r="AF1267" s="8"/>
    </row>
    <row r="1268" spans="1:32" s="10" customFormat="1" ht="20.100000000000001" customHeight="1" x14ac:dyDescent="0.25">
      <c r="A1268" s="14"/>
      <c r="B1268" s="8" t="s">
        <v>2</v>
      </c>
      <c r="C1268" s="13" t="s">
        <v>9</v>
      </c>
      <c r="D1268" s="8">
        <f>+D1267</f>
        <v>12</v>
      </c>
      <c r="E1268" s="14">
        <f>+E1267</f>
        <v>0.1</v>
      </c>
      <c r="F1268" s="8">
        <f>ROUNDUP(E1263/E1268,0)</f>
        <v>20</v>
      </c>
      <c r="H1268" s="14"/>
      <c r="I1268" s="14"/>
      <c r="J1268" s="14"/>
      <c r="K1268" s="14"/>
      <c r="L1268" s="14"/>
      <c r="M1268" s="14"/>
      <c r="N1268" s="14"/>
      <c r="O1268" s="8">
        <f>((((G1263-(2*'[2]Beam '!$D$11))+(2*10*D1268/1000))*D1263))*2</f>
        <v>1.3599999999999999</v>
      </c>
      <c r="P1268" s="8">
        <f t="shared" si="237"/>
        <v>27.199999999999996</v>
      </c>
      <c r="Q1268" s="8">
        <f>IF($D1268='[2]Beam '!Q$44,$P1268*'[2]Beam '!Q$45,0)</f>
        <v>0</v>
      </c>
      <c r="R1268" s="8">
        <f>IF($D1268='[2]Beam '!R$44,$P1268*'[2]Beam '!R$45,0)</f>
        <v>0</v>
      </c>
      <c r="S1268" s="8">
        <f>IF($D1268='[2]Beam '!S$44,$P1268*'[2]Beam '!S$45,0)</f>
        <v>24.158262857142859</v>
      </c>
      <c r="T1268" s="8">
        <f>IF($D1268='[2]Beam '!T$44,$P1268*'[2]Beam '!T$45,0)</f>
        <v>0</v>
      </c>
      <c r="U1268" s="8">
        <f>IF($D1268='[2]Beam '!U$44,$P1268*'[2]Beam '!U$45,0)</f>
        <v>0</v>
      </c>
      <c r="V1268" s="8">
        <f>IF($D1268='[2]Beam '!V$44,$P1268*'[2]Beam '!V$45,0)</f>
        <v>0</v>
      </c>
      <c r="W1268" s="8">
        <f>IF($D1268='[2]Beam '!W$44,$P1268*'[2]Beam '!W$45,0)</f>
        <v>0</v>
      </c>
      <c r="X1268" s="8">
        <f t="shared" si="238"/>
        <v>24.158262857142859</v>
      </c>
      <c r="Y1268" s="14"/>
      <c r="Z1268" s="8"/>
      <c r="AA1268" s="8"/>
      <c r="AB1268" s="8"/>
      <c r="AC1268" s="8"/>
      <c r="AD1268" s="8"/>
      <c r="AE1268" s="8"/>
    </row>
    <row r="1269" spans="1:32" s="10" customFormat="1" ht="20.100000000000001" customHeight="1" x14ac:dyDescent="0.25">
      <c r="A1269" s="7"/>
      <c r="B1269" s="8" t="s">
        <v>2</v>
      </c>
      <c r="C1269" s="13" t="s">
        <v>10</v>
      </c>
      <c r="D1269" s="8">
        <f>+'[2]Beam '!$D$15</f>
        <v>25</v>
      </c>
      <c r="E1269" s="8">
        <f>+'[2]Beam '!$E$15</f>
        <v>1</v>
      </c>
      <c r="F1269" s="8">
        <f>ROUNDUP((O1266)/E1269,0)</f>
        <v>3</v>
      </c>
      <c r="G1269" s="9"/>
      <c r="H1269" s="9"/>
      <c r="I1269" s="8"/>
      <c r="J1269" s="8"/>
      <c r="K1269" s="8"/>
      <c r="L1269" s="8"/>
      <c r="M1269" s="8"/>
      <c r="N1269" s="8"/>
      <c r="O1269" s="8">
        <f>F1263-'[2]Beam '!$F$15</f>
        <v>0.39</v>
      </c>
      <c r="P1269" s="8">
        <f t="shared" si="237"/>
        <v>1.17</v>
      </c>
      <c r="Q1269" s="8">
        <f>IF($D1269='[2]Beam '!Q$44,$P1269*'[2]Beam '!Q$45,0)</f>
        <v>0</v>
      </c>
      <c r="R1269" s="8">
        <f>IF($D1269='[2]Beam '!R$44,$P1269*'[2]Beam '!R$45,0)</f>
        <v>0</v>
      </c>
      <c r="S1269" s="8">
        <f>IF($D1269='[2]Beam '!S$44,$P1269*'[2]Beam '!S$45,0)</f>
        <v>0</v>
      </c>
      <c r="T1269" s="8">
        <f>IF($D1269='[2]Beam '!T$44,$P1269*'[2]Beam '!T$45,0)</f>
        <v>0</v>
      </c>
      <c r="U1269" s="8">
        <f>IF($D1269='[2]Beam '!U$44,$P1269*'[2]Beam '!U$45,0)</f>
        <v>0</v>
      </c>
      <c r="V1269" s="8">
        <f>IF($D1269='[2]Beam '!V$44,$P1269*'[2]Beam '!V$45,0)</f>
        <v>4.5102455357142865</v>
      </c>
      <c r="W1269" s="8">
        <f>IF($D1269='[2]Beam '!W$44,$P1269*'[2]Beam '!W$45,0)</f>
        <v>0</v>
      </c>
      <c r="X1269" s="8">
        <f t="shared" si="238"/>
        <v>4.5102455357142865</v>
      </c>
      <c r="Y1269" s="8"/>
      <c r="Z1269" s="8"/>
      <c r="AA1269" s="8"/>
      <c r="AB1269" s="8"/>
      <c r="AC1269" s="8"/>
      <c r="AD1269" s="8"/>
      <c r="AE1269" s="8"/>
    </row>
    <row r="1270" spans="1:32" s="10" customFormat="1" ht="20.100000000000001" customHeight="1" x14ac:dyDescent="0.25">
      <c r="A1270" s="8">
        <v>1</v>
      </c>
      <c r="B1270" s="8" t="s">
        <v>2</v>
      </c>
      <c r="C1270" s="11" t="s">
        <v>168</v>
      </c>
      <c r="D1270" s="11">
        <v>1</v>
      </c>
      <c r="E1270" s="11">
        <v>1.1000000000000001</v>
      </c>
      <c r="F1270" s="11">
        <v>0.45</v>
      </c>
      <c r="G1270" s="11">
        <v>1.1000000000000001</v>
      </c>
      <c r="H1270" s="8">
        <f>G1270-0.2</f>
        <v>0.90000000000000013</v>
      </c>
      <c r="I1270" s="8">
        <f>E1270*F1270*G1270*D1270</f>
        <v>0.5445000000000001</v>
      </c>
      <c r="J1270" s="8">
        <f>(2*(E1270)*H1270*D1270)+(E1270*F1270)</f>
        <v>2.4750000000000005</v>
      </c>
      <c r="K1270" s="12">
        <f>IF(E1270=0.3,J1270,0)</f>
        <v>0</v>
      </c>
      <c r="L1270" s="12">
        <f>IF(AND(E1270&gt;0.3,E1270&lt;=0.75),J1270,0)</f>
        <v>0</v>
      </c>
      <c r="M1270" s="12">
        <f>IF(AND(E1270&gt;0.75,E1270&lt;=1.2),J1270,0)</f>
        <v>2.4750000000000005</v>
      </c>
      <c r="N1270" s="12">
        <f>IF(E1270&gt;1.2,J1270,0)</f>
        <v>0</v>
      </c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>
        <f>SUM(X1271:X1275)/I1270</f>
        <v>453.65415064935064</v>
      </c>
      <c r="Z1270" s="8"/>
      <c r="AA1270" s="8"/>
      <c r="AB1270" s="8"/>
      <c r="AC1270" s="8"/>
      <c r="AD1270" s="8"/>
      <c r="AE1270" s="8"/>
    </row>
    <row r="1271" spans="1:32" s="10" customFormat="1" ht="20.100000000000001" customHeight="1" x14ac:dyDescent="0.25">
      <c r="A1271" s="7"/>
      <c r="B1271" s="8" t="s">
        <v>2</v>
      </c>
      <c r="C1271" s="13" t="s">
        <v>4</v>
      </c>
      <c r="D1271" s="8">
        <v>32</v>
      </c>
      <c r="E1271" s="8"/>
      <c r="F1271" s="8">
        <v>4</v>
      </c>
      <c r="G1271" s="9">
        <f>VLOOKUP(D1271,'[2]Beam '!$C$20:$H$26,3,0)</f>
        <v>1.25</v>
      </c>
      <c r="H1271" s="9"/>
      <c r="I1271" s="8"/>
      <c r="J1271" s="8"/>
      <c r="K1271" s="8"/>
      <c r="L1271" s="8"/>
      <c r="M1271" s="8"/>
      <c r="N1271" s="8"/>
      <c r="O1271" s="8">
        <f>(E1270+1*(0.4/2)+G1271*D1270)</f>
        <v>2.5499999999999998</v>
      </c>
      <c r="P1271" s="8">
        <f t="shared" ref="P1271:P1276" si="239">O1271*F1271</f>
        <v>10.199999999999999</v>
      </c>
      <c r="Q1271" s="8">
        <f>IF($D1271='[2]Beam '!Q$44,$P1271*'[2]Beam '!Q$45,0)</f>
        <v>0</v>
      </c>
      <c r="R1271" s="8">
        <f>IF($D1271='[2]Beam '!R$44,$P1271*'[2]Beam '!R$45,0)</f>
        <v>0</v>
      </c>
      <c r="S1271" s="8">
        <f>IF($D1271='[2]Beam '!S$44,$P1271*'[2]Beam '!S$45,0)</f>
        <v>0</v>
      </c>
      <c r="T1271" s="8">
        <f>IF($D1271='[2]Beam '!T$44,$P1271*'[2]Beam '!T$45,0)</f>
        <v>0</v>
      </c>
      <c r="U1271" s="8">
        <f>IF($D1271='[2]Beam '!U$44,$P1271*'[2]Beam '!U$45,0)</f>
        <v>0</v>
      </c>
      <c r="V1271" s="8">
        <f>IF($D1271='[2]Beam '!V$44,$P1271*'[2]Beam '!V$45,0)</f>
        <v>0</v>
      </c>
      <c r="W1271" s="8">
        <f>IF($D1271='[2]Beam '!W$44,$P1271*'[2]Beam '!W$45,0)</f>
        <v>64.42203428571429</v>
      </c>
      <c r="X1271" s="8">
        <f t="shared" ref="X1271:X1276" si="240">SUM(Q1271:W1271)</f>
        <v>64.42203428571429</v>
      </c>
      <c r="Y1271" s="8"/>
      <c r="Z1271" s="8"/>
      <c r="AA1271" s="8"/>
      <c r="AB1271" s="8"/>
      <c r="AC1271" s="8"/>
      <c r="AD1271" s="8"/>
      <c r="AE1271" s="8"/>
    </row>
    <row r="1272" spans="1:32" s="14" customFormat="1" ht="20.100000000000001" customHeight="1" x14ac:dyDescent="0.3">
      <c r="A1272" s="7"/>
      <c r="B1272" s="8" t="s">
        <v>2</v>
      </c>
      <c r="C1272" s="13" t="s">
        <v>4</v>
      </c>
      <c r="D1272" s="8">
        <v>20</v>
      </c>
      <c r="E1272" s="8"/>
      <c r="F1272" s="8">
        <v>4</v>
      </c>
      <c r="G1272" s="9">
        <f>VLOOKUP(D1272,'[2]Beam '!$C$20:$H$26,3,0)</f>
        <v>0.8</v>
      </c>
      <c r="H1272" s="9"/>
      <c r="I1272" s="8"/>
      <c r="J1272" s="8"/>
      <c r="K1272" s="8"/>
      <c r="L1272" s="8"/>
      <c r="M1272" s="8"/>
      <c r="N1272" s="8"/>
      <c r="O1272" s="8">
        <f>(E1270+0.6+1*(0.4/2)+G1272*D1270)</f>
        <v>2.7</v>
      </c>
      <c r="P1272" s="8">
        <f t="shared" si="239"/>
        <v>10.8</v>
      </c>
      <c r="Q1272" s="8">
        <f>IF($D1272='[2]Beam '!Q$44,$P1272*'[2]Beam '!Q$45,0)</f>
        <v>0</v>
      </c>
      <c r="R1272" s="8">
        <f>IF($D1272='[2]Beam '!R$44,$P1272*'[2]Beam '!R$45,0)</f>
        <v>0</v>
      </c>
      <c r="S1272" s="8">
        <f>IF($D1272='[2]Beam '!S$44,$P1272*'[2]Beam '!S$45,0)</f>
        <v>0</v>
      </c>
      <c r="T1272" s="8">
        <f>IF($D1272='[2]Beam '!T$44,$P1272*'[2]Beam '!T$45,0)</f>
        <v>0</v>
      </c>
      <c r="U1272" s="8">
        <f>IF($D1272='[2]Beam '!U$44,$P1272*'[2]Beam '!U$45,0)</f>
        <v>26.645142857142858</v>
      </c>
      <c r="V1272" s="8">
        <f>IF($D1272='[2]Beam '!V$44,$P1272*'[2]Beam '!V$45,0)</f>
        <v>0</v>
      </c>
      <c r="W1272" s="8">
        <f>IF($D1272='[2]Beam '!W$44,$P1272*'[2]Beam '!W$45,0)</f>
        <v>0</v>
      </c>
      <c r="X1272" s="8">
        <f t="shared" si="240"/>
        <v>26.645142857142858</v>
      </c>
      <c r="Y1272" s="8"/>
    </row>
    <row r="1273" spans="1:32" s="10" customFormat="1" ht="20.100000000000001" customHeight="1" x14ac:dyDescent="0.25">
      <c r="A1273" s="7"/>
      <c r="B1273" s="8" t="s">
        <v>2</v>
      </c>
      <c r="C1273" s="13" t="s">
        <v>139</v>
      </c>
      <c r="D1273" s="8">
        <v>32</v>
      </c>
      <c r="E1273" s="8"/>
      <c r="F1273" s="8">
        <v>4</v>
      </c>
      <c r="G1273" s="9">
        <f>VLOOKUP(D1273,'[2]Beam '!$C$20:$H$26,3,0)</f>
        <v>1.25</v>
      </c>
      <c r="H1273" s="9"/>
      <c r="I1273" s="8"/>
      <c r="J1273" s="8"/>
      <c r="K1273" s="8"/>
      <c r="L1273" s="8"/>
      <c r="M1273" s="8"/>
      <c r="N1273" s="8"/>
      <c r="O1273" s="8">
        <f>(E1270+1*(G1273+(12*D1273/1000))+1*(G1273)*D1270)</f>
        <v>3.984</v>
      </c>
      <c r="P1273" s="8">
        <f t="shared" si="239"/>
        <v>15.936</v>
      </c>
      <c r="Q1273" s="8">
        <f>IF($D1273='[2]Beam '!Q$44,$P1273*'[2]Beam '!Q$45,0)</f>
        <v>0</v>
      </c>
      <c r="R1273" s="8">
        <f>IF($D1273='[2]Beam '!R$44,$P1273*'[2]Beam '!R$45,0)</f>
        <v>0</v>
      </c>
      <c r="S1273" s="8">
        <f>IF($D1273='[2]Beam '!S$44,$P1273*'[2]Beam '!S$45,0)</f>
        <v>0</v>
      </c>
      <c r="T1273" s="8">
        <f>IF($D1273='[2]Beam '!T$44,$P1273*'[2]Beam '!T$45,0)</f>
        <v>0</v>
      </c>
      <c r="U1273" s="8">
        <f>IF($D1273='[2]Beam '!U$44,$P1273*'[2]Beam '!U$45,0)</f>
        <v>0</v>
      </c>
      <c r="V1273" s="8">
        <f>IF($D1273='[2]Beam '!V$44,$P1273*'[2]Beam '!V$45,0)</f>
        <v>0</v>
      </c>
      <c r="W1273" s="8">
        <f>IF($D1273='[2]Beam '!W$44,$P1273*'[2]Beam '!W$45,0)</f>
        <v>100.64995474285715</v>
      </c>
      <c r="X1273" s="8">
        <f t="shared" si="240"/>
        <v>100.64995474285715</v>
      </c>
      <c r="Y1273" s="8"/>
      <c r="Z1273" s="8"/>
      <c r="AA1273" s="8"/>
      <c r="AB1273" s="8"/>
      <c r="AC1273" s="8"/>
      <c r="AD1273" s="8"/>
      <c r="AE1273" s="8"/>
    </row>
    <row r="1274" spans="1:32" s="10" customFormat="1" ht="21" customHeight="1" x14ac:dyDescent="0.25">
      <c r="A1274" s="7"/>
      <c r="B1274" s="8" t="s">
        <v>2</v>
      </c>
      <c r="C1274" s="13" t="s">
        <v>8</v>
      </c>
      <c r="D1274" s="8">
        <v>12</v>
      </c>
      <c r="E1274" s="8">
        <v>0.1</v>
      </c>
      <c r="F1274" s="8">
        <f>ROUNDUP(E1270/E1274,0)</f>
        <v>11</v>
      </c>
      <c r="H1274" s="8"/>
      <c r="I1274" s="8"/>
      <c r="J1274" s="8"/>
      <c r="K1274" s="8"/>
      <c r="L1274" s="8"/>
      <c r="M1274" s="8"/>
      <c r="N1274" s="8"/>
      <c r="O1274" s="8">
        <f>(2*((G1270-(2*'[2]Beam '!$D$11))+(F1270-(2*'[2]Beam '!$D$11)))+(2*10*D1274/1000))*D1270</f>
        <v>3.1000000000000005</v>
      </c>
      <c r="P1274" s="8">
        <f t="shared" si="239"/>
        <v>34.100000000000009</v>
      </c>
      <c r="Q1274" s="8">
        <f>IF($D1274='[2]Beam '!Q$44,$P1274*'[2]Beam '!Q$45,0)</f>
        <v>0</v>
      </c>
      <c r="R1274" s="8">
        <f>IF($D1274='[2]Beam '!R$44,$P1274*'[2]Beam '!R$45,0)</f>
        <v>0</v>
      </c>
      <c r="S1274" s="8">
        <f>IF($D1274='[2]Beam '!S$44,$P1274*'[2]Beam '!S$45,0)</f>
        <v>30.286645714285726</v>
      </c>
      <c r="T1274" s="8">
        <f>IF($D1274='[2]Beam '!T$44,$P1274*'[2]Beam '!T$45,0)</f>
        <v>0</v>
      </c>
      <c r="U1274" s="8">
        <f>IF($D1274='[2]Beam '!U$44,$P1274*'[2]Beam '!U$45,0)</f>
        <v>0</v>
      </c>
      <c r="V1274" s="8">
        <f>IF($D1274='[2]Beam '!V$44,$P1274*'[2]Beam '!V$45,0)</f>
        <v>0</v>
      </c>
      <c r="W1274" s="8">
        <f>IF($D1274='[2]Beam '!W$44,$P1274*'[2]Beam '!W$45,0)</f>
        <v>0</v>
      </c>
      <c r="X1274" s="8">
        <f t="shared" si="240"/>
        <v>30.286645714285726</v>
      </c>
      <c r="Y1274" s="8"/>
      <c r="Z1274" s="8"/>
      <c r="AA1274" s="8"/>
      <c r="AB1274" s="8"/>
      <c r="AC1274" s="8"/>
      <c r="AD1274" s="8"/>
      <c r="AE1274" s="8"/>
      <c r="AF1274" s="8"/>
    </row>
    <row r="1275" spans="1:32" s="10" customFormat="1" ht="20.100000000000001" customHeight="1" x14ac:dyDescent="0.25">
      <c r="A1275" s="14"/>
      <c r="B1275" s="8" t="s">
        <v>2</v>
      </c>
      <c r="C1275" s="13" t="s">
        <v>9</v>
      </c>
      <c r="D1275" s="8">
        <f>+D1274</f>
        <v>12</v>
      </c>
      <c r="E1275" s="14">
        <f>+E1274</f>
        <v>0.1</v>
      </c>
      <c r="F1275" s="8">
        <f>ROUNDUP(E1270/E1275,0)</f>
        <v>11</v>
      </c>
      <c r="H1275" s="14"/>
      <c r="I1275" s="14"/>
      <c r="J1275" s="14"/>
      <c r="K1275" s="14"/>
      <c r="L1275" s="14"/>
      <c r="M1275" s="14"/>
      <c r="N1275" s="14"/>
      <c r="O1275" s="8">
        <f>((((G1270-(2*'[2]Beam '!$D$11))+(2*10*D1275/1000))*D1270))*2</f>
        <v>2.56</v>
      </c>
      <c r="P1275" s="8">
        <f t="shared" si="239"/>
        <v>28.16</v>
      </c>
      <c r="Q1275" s="8">
        <f>IF($D1275='[2]Beam '!Q$44,$P1275*'[2]Beam '!Q$45,0)</f>
        <v>0</v>
      </c>
      <c r="R1275" s="8">
        <f>IF($D1275='[2]Beam '!R$44,$P1275*'[2]Beam '!R$45,0)</f>
        <v>0</v>
      </c>
      <c r="S1275" s="8">
        <f>IF($D1275='[2]Beam '!S$44,$P1275*'[2]Beam '!S$45,0)</f>
        <v>25.010907428571432</v>
      </c>
      <c r="T1275" s="8">
        <f>IF($D1275='[2]Beam '!T$44,$P1275*'[2]Beam '!T$45,0)</f>
        <v>0</v>
      </c>
      <c r="U1275" s="8">
        <f>IF($D1275='[2]Beam '!U$44,$P1275*'[2]Beam '!U$45,0)</f>
        <v>0</v>
      </c>
      <c r="V1275" s="8">
        <f>IF($D1275='[2]Beam '!V$44,$P1275*'[2]Beam '!V$45,0)</f>
        <v>0</v>
      </c>
      <c r="W1275" s="8">
        <f>IF($D1275='[2]Beam '!W$44,$P1275*'[2]Beam '!W$45,0)</f>
        <v>0</v>
      </c>
      <c r="X1275" s="8">
        <f t="shared" si="240"/>
        <v>25.010907428571432</v>
      </c>
      <c r="Y1275" s="14"/>
      <c r="Z1275" s="8"/>
      <c r="AA1275" s="8"/>
      <c r="AB1275" s="8"/>
      <c r="AC1275" s="8"/>
      <c r="AD1275" s="8"/>
      <c r="AE1275" s="8"/>
    </row>
    <row r="1276" spans="1:32" s="10" customFormat="1" ht="20.100000000000001" customHeight="1" x14ac:dyDescent="0.25">
      <c r="A1276" s="7"/>
      <c r="B1276" s="8" t="s">
        <v>2</v>
      </c>
      <c r="C1276" s="13" t="s">
        <v>10</v>
      </c>
      <c r="D1276" s="8">
        <f>+'[2]Beam '!$D$15</f>
        <v>25</v>
      </c>
      <c r="E1276" s="8">
        <f>+'[2]Beam '!$E$15</f>
        <v>1</v>
      </c>
      <c r="F1276" s="8">
        <f>ROUNDUP((O1272)/E1276,0)</f>
        <v>3</v>
      </c>
      <c r="G1276" s="9"/>
      <c r="H1276" s="9"/>
      <c r="I1276" s="8"/>
      <c r="J1276" s="8"/>
      <c r="K1276" s="8"/>
      <c r="L1276" s="8"/>
      <c r="M1276" s="8"/>
      <c r="N1276" s="8"/>
      <c r="O1276" s="8">
        <f>F1270-'[2]Beam '!$F$15</f>
        <v>0.39</v>
      </c>
      <c r="P1276" s="8">
        <f t="shared" si="239"/>
        <v>1.17</v>
      </c>
      <c r="Q1276" s="8">
        <f>IF($D1276='[2]Beam '!Q$44,$P1276*'[2]Beam '!Q$45,0)</f>
        <v>0</v>
      </c>
      <c r="R1276" s="8">
        <f>IF($D1276='[2]Beam '!R$44,$P1276*'[2]Beam '!R$45,0)</f>
        <v>0</v>
      </c>
      <c r="S1276" s="8">
        <f>IF($D1276='[2]Beam '!S$44,$P1276*'[2]Beam '!S$45,0)</f>
        <v>0</v>
      </c>
      <c r="T1276" s="8">
        <f>IF($D1276='[2]Beam '!T$44,$P1276*'[2]Beam '!T$45,0)</f>
        <v>0</v>
      </c>
      <c r="U1276" s="8">
        <f>IF($D1276='[2]Beam '!U$44,$P1276*'[2]Beam '!U$45,0)</f>
        <v>0</v>
      </c>
      <c r="V1276" s="8">
        <f>IF($D1276='[2]Beam '!V$44,$P1276*'[2]Beam '!V$45,0)</f>
        <v>4.5102455357142865</v>
      </c>
      <c r="W1276" s="8">
        <f>IF($D1276='[2]Beam '!W$44,$P1276*'[2]Beam '!W$45,0)</f>
        <v>0</v>
      </c>
      <c r="X1276" s="8">
        <f t="shared" si="240"/>
        <v>4.5102455357142865</v>
      </c>
      <c r="Y1276" s="8"/>
      <c r="Z1276" s="8"/>
      <c r="AA1276" s="8"/>
      <c r="AB1276" s="8"/>
      <c r="AC1276" s="8"/>
      <c r="AD1276" s="8"/>
      <c r="AE1276" s="8"/>
    </row>
    <row r="1277" spans="1:32" s="10" customFormat="1" ht="20.100000000000001" customHeight="1" x14ac:dyDescent="0.25">
      <c r="A1277" s="8">
        <v>1</v>
      </c>
      <c r="B1277" s="8" t="s">
        <v>2</v>
      </c>
      <c r="C1277" s="11" t="s">
        <v>169</v>
      </c>
      <c r="D1277" s="11">
        <v>1</v>
      </c>
      <c r="E1277" s="11">
        <v>1.1000000000000001</v>
      </c>
      <c r="F1277" s="11">
        <v>0.45</v>
      </c>
      <c r="G1277" s="11">
        <v>1.1000000000000001</v>
      </c>
      <c r="H1277" s="8">
        <f>G1277-0.2</f>
        <v>0.90000000000000013</v>
      </c>
      <c r="I1277" s="8">
        <f>E1277*F1277*G1277*D1277</f>
        <v>0.5445000000000001</v>
      </c>
      <c r="J1277" s="8">
        <f>(2*(E1277)*H1277*D1277)+(E1277*F1277)</f>
        <v>2.4750000000000005</v>
      </c>
      <c r="K1277" s="12">
        <f>IF(E1277=0.3,J1277,0)</f>
        <v>0</v>
      </c>
      <c r="L1277" s="12">
        <f>IF(AND(E1277&gt;0.3,E1277&lt;=0.75),J1277,0)</f>
        <v>0</v>
      </c>
      <c r="M1277" s="12">
        <f>IF(AND(E1277&gt;0.75,E1277&lt;=1.2),J1277,0)</f>
        <v>2.4750000000000005</v>
      </c>
      <c r="N1277" s="12">
        <f>IF(E1277&gt;1.2,J1277,0)</f>
        <v>0</v>
      </c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>
        <f>SUM(X1278:X1282)/I1277</f>
        <v>453.65415064935064</v>
      </c>
      <c r="Z1277" s="8"/>
      <c r="AA1277" s="8"/>
      <c r="AB1277" s="8"/>
      <c r="AC1277" s="8"/>
      <c r="AD1277" s="8"/>
      <c r="AE1277" s="8"/>
    </row>
    <row r="1278" spans="1:32" s="10" customFormat="1" ht="20.100000000000001" customHeight="1" x14ac:dyDescent="0.25">
      <c r="A1278" s="7"/>
      <c r="B1278" s="8" t="s">
        <v>2</v>
      </c>
      <c r="C1278" s="13" t="s">
        <v>4</v>
      </c>
      <c r="D1278" s="8">
        <v>32</v>
      </c>
      <c r="E1278" s="8"/>
      <c r="F1278" s="8">
        <v>4</v>
      </c>
      <c r="G1278" s="9">
        <f>VLOOKUP(D1278,'[2]Beam '!$C$20:$H$26,3,0)</f>
        <v>1.25</v>
      </c>
      <c r="H1278" s="9"/>
      <c r="I1278" s="8"/>
      <c r="J1278" s="8"/>
      <c r="K1278" s="8"/>
      <c r="L1278" s="8"/>
      <c r="M1278" s="8"/>
      <c r="N1278" s="8"/>
      <c r="O1278" s="8">
        <f>(E1277+1*(0.4/2)+G1278*D1277)</f>
        <v>2.5499999999999998</v>
      </c>
      <c r="P1278" s="8">
        <f t="shared" ref="P1278:P1283" si="241">O1278*F1278</f>
        <v>10.199999999999999</v>
      </c>
      <c r="Q1278" s="8">
        <f>IF($D1278='[2]Beam '!Q$44,$P1278*'[2]Beam '!Q$45,0)</f>
        <v>0</v>
      </c>
      <c r="R1278" s="8">
        <f>IF($D1278='[2]Beam '!R$44,$P1278*'[2]Beam '!R$45,0)</f>
        <v>0</v>
      </c>
      <c r="S1278" s="8">
        <f>IF($D1278='[2]Beam '!S$44,$P1278*'[2]Beam '!S$45,0)</f>
        <v>0</v>
      </c>
      <c r="T1278" s="8">
        <f>IF($D1278='[2]Beam '!T$44,$P1278*'[2]Beam '!T$45,0)</f>
        <v>0</v>
      </c>
      <c r="U1278" s="8">
        <f>IF($D1278='[2]Beam '!U$44,$P1278*'[2]Beam '!U$45,0)</f>
        <v>0</v>
      </c>
      <c r="V1278" s="8">
        <f>IF($D1278='[2]Beam '!V$44,$P1278*'[2]Beam '!V$45,0)</f>
        <v>0</v>
      </c>
      <c r="W1278" s="8">
        <f>IF($D1278='[2]Beam '!W$44,$P1278*'[2]Beam '!W$45,0)</f>
        <v>64.42203428571429</v>
      </c>
      <c r="X1278" s="8">
        <f t="shared" ref="X1278:X1283" si="242">SUM(Q1278:W1278)</f>
        <v>64.42203428571429</v>
      </c>
      <c r="Y1278" s="8"/>
      <c r="Z1278" s="8"/>
      <c r="AA1278" s="8"/>
      <c r="AB1278" s="8"/>
      <c r="AC1278" s="8"/>
      <c r="AD1278" s="8"/>
      <c r="AE1278" s="8"/>
    </row>
    <row r="1279" spans="1:32" s="14" customFormat="1" ht="20.100000000000001" customHeight="1" x14ac:dyDescent="0.3">
      <c r="A1279" s="7"/>
      <c r="B1279" s="8" t="s">
        <v>2</v>
      </c>
      <c r="C1279" s="13" t="s">
        <v>4</v>
      </c>
      <c r="D1279" s="8">
        <v>20</v>
      </c>
      <c r="E1279" s="8"/>
      <c r="F1279" s="8">
        <v>4</v>
      </c>
      <c r="G1279" s="9">
        <f>VLOOKUP(D1279,'[2]Beam '!$C$20:$H$26,3,0)</f>
        <v>0.8</v>
      </c>
      <c r="H1279" s="9"/>
      <c r="I1279" s="8"/>
      <c r="J1279" s="8"/>
      <c r="K1279" s="8"/>
      <c r="L1279" s="8"/>
      <c r="M1279" s="8"/>
      <c r="N1279" s="8"/>
      <c r="O1279" s="8">
        <f>(E1277+0.6+1*(0.4/2)+G1279*D1277)</f>
        <v>2.7</v>
      </c>
      <c r="P1279" s="8">
        <f t="shared" si="241"/>
        <v>10.8</v>
      </c>
      <c r="Q1279" s="8">
        <f>IF($D1279='[2]Beam '!Q$44,$P1279*'[2]Beam '!Q$45,0)</f>
        <v>0</v>
      </c>
      <c r="R1279" s="8">
        <f>IF($D1279='[2]Beam '!R$44,$P1279*'[2]Beam '!R$45,0)</f>
        <v>0</v>
      </c>
      <c r="S1279" s="8">
        <f>IF($D1279='[2]Beam '!S$44,$P1279*'[2]Beam '!S$45,0)</f>
        <v>0</v>
      </c>
      <c r="T1279" s="8">
        <f>IF($D1279='[2]Beam '!T$44,$P1279*'[2]Beam '!T$45,0)</f>
        <v>0</v>
      </c>
      <c r="U1279" s="8">
        <f>IF($D1279='[2]Beam '!U$44,$P1279*'[2]Beam '!U$45,0)</f>
        <v>26.645142857142858</v>
      </c>
      <c r="V1279" s="8">
        <f>IF($D1279='[2]Beam '!V$44,$P1279*'[2]Beam '!V$45,0)</f>
        <v>0</v>
      </c>
      <c r="W1279" s="8">
        <f>IF($D1279='[2]Beam '!W$44,$P1279*'[2]Beam '!W$45,0)</f>
        <v>0</v>
      </c>
      <c r="X1279" s="8">
        <f t="shared" si="242"/>
        <v>26.645142857142858</v>
      </c>
      <c r="Y1279" s="8"/>
    </row>
    <row r="1280" spans="1:32" s="10" customFormat="1" ht="20.100000000000001" customHeight="1" x14ac:dyDescent="0.25">
      <c r="A1280" s="7"/>
      <c r="B1280" s="8" t="s">
        <v>2</v>
      </c>
      <c r="C1280" s="13" t="s">
        <v>139</v>
      </c>
      <c r="D1280" s="8">
        <v>32</v>
      </c>
      <c r="E1280" s="8"/>
      <c r="F1280" s="8">
        <v>4</v>
      </c>
      <c r="G1280" s="9">
        <f>VLOOKUP(D1280,'[2]Beam '!$C$20:$H$26,3,0)</f>
        <v>1.25</v>
      </c>
      <c r="H1280" s="9"/>
      <c r="I1280" s="8"/>
      <c r="J1280" s="8"/>
      <c r="K1280" s="8"/>
      <c r="L1280" s="8"/>
      <c r="M1280" s="8"/>
      <c r="N1280" s="8"/>
      <c r="O1280" s="8">
        <f>(E1277+1*(G1280+(12*D1280/1000))+1*(G1280)*D1277)</f>
        <v>3.984</v>
      </c>
      <c r="P1280" s="8">
        <f t="shared" si="241"/>
        <v>15.936</v>
      </c>
      <c r="Q1280" s="8">
        <f>IF($D1280='[2]Beam '!Q$44,$P1280*'[2]Beam '!Q$45,0)</f>
        <v>0</v>
      </c>
      <c r="R1280" s="8">
        <f>IF($D1280='[2]Beam '!R$44,$P1280*'[2]Beam '!R$45,0)</f>
        <v>0</v>
      </c>
      <c r="S1280" s="8">
        <f>IF($D1280='[2]Beam '!S$44,$P1280*'[2]Beam '!S$45,0)</f>
        <v>0</v>
      </c>
      <c r="T1280" s="8">
        <f>IF($D1280='[2]Beam '!T$44,$P1280*'[2]Beam '!T$45,0)</f>
        <v>0</v>
      </c>
      <c r="U1280" s="8">
        <f>IF($D1280='[2]Beam '!U$44,$P1280*'[2]Beam '!U$45,0)</f>
        <v>0</v>
      </c>
      <c r="V1280" s="8">
        <f>IF($D1280='[2]Beam '!V$44,$P1280*'[2]Beam '!V$45,0)</f>
        <v>0</v>
      </c>
      <c r="W1280" s="8">
        <f>IF($D1280='[2]Beam '!W$44,$P1280*'[2]Beam '!W$45,0)</f>
        <v>100.64995474285715</v>
      </c>
      <c r="X1280" s="8">
        <f t="shared" si="242"/>
        <v>100.64995474285715</v>
      </c>
      <c r="Y1280" s="8"/>
      <c r="Z1280" s="8"/>
      <c r="AA1280" s="8"/>
      <c r="AB1280" s="8"/>
      <c r="AC1280" s="8"/>
      <c r="AD1280" s="8"/>
      <c r="AE1280" s="8"/>
    </row>
    <row r="1281" spans="1:32" s="10" customFormat="1" ht="21" customHeight="1" x14ac:dyDescent="0.25">
      <c r="A1281" s="7"/>
      <c r="B1281" s="8" t="s">
        <v>2</v>
      </c>
      <c r="C1281" s="13" t="s">
        <v>8</v>
      </c>
      <c r="D1281" s="8">
        <v>12</v>
      </c>
      <c r="E1281" s="8">
        <v>0.1</v>
      </c>
      <c r="F1281" s="8">
        <f>ROUNDUP(E1277/E1281,0)</f>
        <v>11</v>
      </c>
      <c r="H1281" s="8"/>
      <c r="I1281" s="8"/>
      <c r="J1281" s="8"/>
      <c r="K1281" s="8"/>
      <c r="L1281" s="8"/>
      <c r="M1281" s="8"/>
      <c r="N1281" s="8"/>
      <c r="O1281" s="8">
        <f>(2*((G1277-(2*'[2]Beam '!$D$11))+(F1277-(2*'[2]Beam '!$D$11)))+(2*10*D1281/1000))*D1277</f>
        <v>3.1000000000000005</v>
      </c>
      <c r="P1281" s="8">
        <f t="shared" si="241"/>
        <v>34.100000000000009</v>
      </c>
      <c r="Q1281" s="8">
        <f>IF($D1281='[2]Beam '!Q$44,$P1281*'[2]Beam '!Q$45,0)</f>
        <v>0</v>
      </c>
      <c r="R1281" s="8">
        <f>IF($D1281='[2]Beam '!R$44,$P1281*'[2]Beam '!R$45,0)</f>
        <v>0</v>
      </c>
      <c r="S1281" s="8">
        <f>IF($D1281='[2]Beam '!S$44,$P1281*'[2]Beam '!S$45,0)</f>
        <v>30.286645714285726</v>
      </c>
      <c r="T1281" s="8">
        <f>IF($D1281='[2]Beam '!T$44,$P1281*'[2]Beam '!T$45,0)</f>
        <v>0</v>
      </c>
      <c r="U1281" s="8">
        <f>IF($D1281='[2]Beam '!U$44,$P1281*'[2]Beam '!U$45,0)</f>
        <v>0</v>
      </c>
      <c r="V1281" s="8">
        <f>IF($D1281='[2]Beam '!V$44,$P1281*'[2]Beam '!V$45,0)</f>
        <v>0</v>
      </c>
      <c r="W1281" s="8">
        <f>IF($D1281='[2]Beam '!W$44,$P1281*'[2]Beam '!W$45,0)</f>
        <v>0</v>
      </c>
      <c r="X1281" s="8">
        <f t="shared" si="242"/>
        <v>30.286645714285726</v>
      </c>
      <c r="Y1281" s="8"/>
      <c r="Z1281" s="8"/>
      <c r="AA1281" s="8"/>
      <c r="AB1281" s="8"/>
      <c r="AC1281" s="8"/>
      <c r="AD1281" s="8"/>
      <c r="AE1281" s="8"/>
      <c r="AF1281" s="8"/>
    </row>
    <row r="1282" spans="1:32" s="10" customFormat="1" ht="20.100000000000001" customHeight="1" x14ac:dyDescent="0.25">
      <c r="A1282" s="14"/>
      <c r="B1282" s="8" t="s">
        <v>2</v>
      </c>
      <c r="C1282" s="13" t="s">
        <v>9</v>
      </c>
      <c r="D1282" s="8">
        <f>+D1281</f>
        <v>12</v>
      </c>
      <c r="E1282" s="14">
        <f>+E1281</f>
        <v>0.1</v>
      </c>
      <c r="F1282" s="8">
        <f>ROUNDUP(E1277/E1282,0)</f>
        <v>11</v>
      </c>
      <c r="H1282" s="14"/>
      <c r="I1282" s="14"/>
      <c r="J1282" s="14"/>
      <c r="K1282" s="14"/>
      <c r="L1282" s="14"/>
      <c r="M1282" s="14"/>
      <c r="N1282" s="14"/>
      <c r="O1282" s="8">
        <f>((((G1277-(2*'[2]Beam '!$D$11))+(2*10*D1282/1000))*D1277))*2</f>
        <v>2.56</v>
      </c>
      <c r="P1282" s="8">
        <f t="shared" si="241"/>
        <v>28.16</v>
      </c>
      <c r="Q1282" s="8">
        <f>IF($D1282='[2]Beam '!Q$44,$P1282*'[2]Beam '!Q$45,0)</f>
        <v>0</v>
      </c>
      <c r="R1282" s="8">
        <f>IF($D1282='[2]Beam '!R$44,$P1282*'[2]Beam '!R$45,0)</f>
        <v>0</v>
      </c>
      <c r="S1282" s="8">
        <f>IF($D1282='[2]Beam '!S$44,$P1282*'[2]Beam '!S$45,0)</f>
        <v>25.010907428571432</v>
      </c>
      <c r="T1282" s="8">
        <f>IF($D1282='[2]Beam '!T$44,$P1282*'[2]Beam '!T$45,0)</f>
        <v>0</v>
      </c>
      <c r="U1282" s="8">
        <f>IF($D1282='[2]Beam '!U$44,$P1282*'[2]Beam '!U$45,0)</f>
        <v>0</v>
      </c>
      <c r="V1282" s="8">
        <f>IF($D1282='[2]Beam '!V$44,$P1282*'[2]Beam '!V$45,0)</f>
        <v>0</v>
      </c>
      <c r="W1282" s="8">
        <f>IF($D1282='[2]Beam '!W$44,$P1282*'[2]Beam '!W$45,0)</f>
        <v>0</v>
      </c>
      <c r="X1282" s="8">
        <f t="shared" si="242"/>
        <v>25.010907428571432</v>
      </c>
      <c r="Y1282" s="14"/>
      <c r="Z1282" s="8"/>
      <c r="AA1282" s="8"/>
      <c r="AB1282" s="8"/>
      <c r="AC1282" s="8"/>
      <c r="AD1282" s="8"/>
      <c r="AE1282" s="8"/>
    </row>
    <row r="1283" spans="1:32" s="10" customFormat="1" ht="20.100000000000001" customHeight="1" x14ac:dyDescent="0.25">
      <c r="A1283" s="7"/>
      <c r="B1283" s="8" t="s">
        <v>2</v>
      </c>
      <c r="C1283" s="13" t="s">
        <v>10</v>
      </c>
      <c r="D1283" s="8">
        <f>+'[2]Beam '!$D$15</f>
        <v>25</v>
      </c>
      <c r="E1283" s="8">
        <f>+'[2]Beam '!$E$15</f>
        <v>1</v>
      </c>
      <c r="F1283" s="8">
        <f>ROUNDUP((O1279)/E1283,0)</f>
        <v>3</v>
      </c>
      <c r="G1283" s="9"/>
      <c r="H1283" s="9"/>
      <c r="I1283" s="8"/>
      <c r="J1283" s="8"/>
      <c r="K1283" s="8"/>
      <c r="L1283" s="8"/>
      <c r="M1283" s="8"/>
      <c r="N1283" s="8"/>
      <c r="O1283" s="8">
        <f>F1277-'[2]Beam '!$F$15</f>
        <v>0.39</v>
      </c>
      <c r="P1283" s="8">
        <f t="shared" si="241"/>
        <v>1.17</v>
      </c>
      <c r="Q1283" s="8">
        <f>IF($D1283='[2]Beam '!Q$44,$P1283*'[2]Beam '!Q$45,0)</f>
        <v>0</v>
      </c>
      <c r="R1283" s="8">
        <f>IF($D1283='[2]Beam '!R$44,$P1283*'[2]Beam '!R$45,0)</f>
        <v>0</v>
      </c>
      <c r="S1283" s="8">
        <f>IF($D1283='[2]Beam '!S$44,$P1283*'[2]Beam '!S$45,0)</f>
        <v>0</v>
      </c>
      <c r="T1283" s="8">
        <f>IF($D1283='[2]Beam '!T$44,$P1283*'[2]Beam '!T$45,0)</f>
        <v>0</v>
      </c>
      <c r="U1283" s="8">
        <f>IF($D1283='[2]Beam '!U$44,$P1283*'[2]Beam '!U$45,0)</f>
        <v>0</v>
      </c>
      <c r="V1283" s="8">
        <f>IF($D1283='[2]Beam '!V$44,$P1283*'[2]Beam '!V$45,0)</f>
        <v>4.5102455357142865</v>
      </c>
      <c r="W1283" s="8">
        <f>IF($D1283='[2]Beam '!W$44,$P1283*'[2]Beam '!W$45,0)</f>
        <v>0</v>
      </c>
      <c r="X1283" s="8">
        <f t="shared" si="242"/>
        <v>4.5102455357142865</v>
      </c>
      <c r="Y1283" s="8"/>
      <c r="Z1283" s="8"/>
      <c r="AA1283" s="8"/>
      <c r="AB1283" s="8"/>
      <c r="AC1283" s="8"/>
      <c r="AD1283" s="8"/>
      <c r="AE1283" s="8"/>
    </row>
    <row r="1284" spans="1:32" s="10" customFormat="1" ht="20.100000000000001" customHeight="1" x14ac:dyDescent="0.25">
      <c r="A1284" s="8">
        <v>1</v>
      </c>
      <c r="B1284" s="8" t="s">
        <v>2</v>
      </c>
      <c r="C1284" s="11" t="s">
        <v>170</v>
      </c>
      <c r="D1284" s="11">
        <v>1</v>
      </c>
      <c r="E1284" s="11">
        <v>1.36</v>
      </c>
      <c r="F1284" s="11">
        <v>0.2</v>
      </c>
      <c r="G1284" s="11">
        <v>0.8</v>
      </c>
      <c r="H1284" s="8">
        <f>G1284-0.2</f>
        <v>0.60000000000000009</v>
      </c>
      <c r="I1284" s="8">
        <f>E1284*F1284*G1284*D1284</f>
        <v>0.21760000000000002</v>
      </c>
      <c r="J1284" s="8">
        <f>(2*(E1284)*H1284*D1284)+(E1284*F1284)</f>
        <v>1.9040000000000004</v>
      </c>
      <c r="K1284" s="12">
        <f>IF(E1284=0.3,J1284,0)</f>
        <v>0</v>
      </c>
      <c r="L1284" s="12">
        <f>IF(AND(E1284&gt;0.3,E1284&lt;=0.75),J1284,0)</f>
        <v>0</v>
      </c>
      <c r="M1284" s="12">
        <f>IF(AND(E1284&gt;0.75,E1284&lt;=1.2),J1284,0)</f>
        <v>0</v>
      </c>
      <c r="N1284" s="12">
        <f>IF(E1284&gt;1.2,J1284,0)</f>
        <v>1.9040000000000004</v>
      </c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>
        <f>SUM(X1285:X1287)/I1284</f>
        <v>135.66383193277309</v>
      </c>
      <c r="Z1284" s="8"/>
      <c r="AA1284" s="8"/>
      <c r="AB1284" s="8"/>
      <c r="AC1284" s="8"/>
      <c r="AD1284" s="8"/>
      <c r="AE1284" s="8"/>
    </row>
    <row r="1285" spans="1:32" s="10" customFormat="1" ht="21" customHeight="1" x14ac:dyDescent="0.25">
      <c r="A1285" s="7"/>
      <c r="B1285" s="8" t="s">
        <v>2</v>
      </c>
      <c r="C1285" s="13" t="s">
        <v>4</v>
      </c>
      <c r="D1285" s="8">
        <v>16</v>
      </c>
      <c r="E1285" s="8"/>
      <c r="F1285" s="8">
        <v>2</v>
      </c>
      <c r="G1285" s="9">
        <f>VLOOKUP(D1285,'[2]Beam '!$C$20:$H$26,3,0)</f>
        <v>0.625</v>
      </c>
      <c r="H1285" s="9"/>
      <c r="I1285" s="8"/>
      <c r="J1285" s="8"/>
      <c r="K1285" s="8"/>
      <c r="L1285" s="8"/>
      <c r="M1285" s="8"/>
      <c r="N1285" s="8"/>
      <c r="O1285" s="8">
        <f>(E1284+2*(G1285+(12*D1285/1000))*D1284)</f>
        <v>2.9939999999999998</v>
      </c>
      <c r="P1285" s="8">
        <f>O1285*F1285</f>
        <v>5.9879999999999995</v>
      </c>
      <c r="Q1285" s="8">
        <f>IF($D1285='[2]Beam '!Q$44,$P1285*'[2]Beam '!Q$45,0)</f>
        <v>0</v>
      </c>
      <c r="R1285" s="8">
        <f>IF($D1285='[2]Beam '!R$44,$P1285*'[2]Beam '!R$45,0)</f>
        <v>0</v>
      </c>
      <c r="S1285" s="8">
        <f>IF($D1285='[2]Beam '!S$44,$P1285*'[2]Beam '!S$45,0)</f>
        <v>0</v>
      </c>
      <c r="T1285" s="8">
        <f>IF($D1285='[2]Beam '!T$44,$P1285*'[2]Beam '!T$45,0)</f>
        <v>9.4548809142857149</v>
      </c>
      <c r="U1285" s="8">
        <f>IF($D1285='[2]Beam '!U$44,$P1285*'[2]Beam '!U$45,0)</f>
        <v>0</v>
      </c>
      <c r="V1285" s="8">
        <f>IF($D1285='[2]Beam '!V$44,$P1285*'[2]Beam '!V$45,0)</f>
        <v>0</v>
      </c>
      <c r="W1285" s="8">
        <f>IF($D1285='[2]Beam '!W$44,$P1285*'[2]Beam '!W$45,0)</f>
        <v>0</v>
      </c>
      <c r="X1285" s="8">
        <f>SUM(Q1285:W1285)</f>
        <v>9.4548809142857149</v>
      </c>
      <c r="Y1285" s="8"/>
      <c r="Z1285" s="8"/>
      <c r="AA1285" s="8"/>
      <c r="AB1285" s="8"/>
      <c r="AC1285" s="8"/>
      <c r="AD1285" s="8"/>
      <c r="AE1285" s="8"/>
      <c r="AF1285" s="8"/>
    </row>
    <row r="1286" spans="1:32" s="10" customFormat="1" ht="20.100000000000001" customHeight="1" x14ac:dyDescent="0.25">
      <c r="A1286" s="7"/>
      <c r="B1286" s="8" t="s">
        <v>2</v>
      </c>
      <c r="C1286" s="13" t="s">
        <v>139</v>
      </c>
      <c r="D1286" s="8">
        <v>16</v>
      </c>
      <c r="E1286" s="8"/>
      <c r="F1286" s="8">
        <v>2</v>
      </c>
      <c r="G1286" s="9">
        <f>VLOOKUP(D1286,'[2]Beam '!$C$20:$H$26,3,0)</f>
        <v>0.625</v>
      </c>
      <c r="H1286" s="9"/>
      <c r="I1286" s="8"/>
      <c r="J1286" s="8"/>
      <c r="K1286" s="8"/>
      <c r="L1286" s="8"/>
      <c r="M1286" s="8"/>
      <c r="N1286" s="8"/>
      <c r="O1286" s="8">
        <f>(E1284+2*(G1286+(12*D1286/1000))*D1284)</f>
        <v>2.9939999999999998</v>
      </c>
      <c r="P1286" s="8">
        <f>O1286*F1286</f>
        <v>5.9879999999999995</v>
      </c>
      <c r="Q1286" s="8">
        <f>IF($D1286='[2]Beam '!Q$44,$P1286*'[2]Beam '!Q$45,0)</f>
        <v>0</v>
      </c>
      <c r="R1286" s="8">
        <f>IF($D1286='[2]Beam '!R$44,$P1286*'[2]Beam '!R$45,0)</f>
        <v>0</v>
      </c>
      <c r="S1286" s="8">
        <f>IF($D1286='[2]Beam '!S$44,$P1286*'[2]Beam '!S$45,0)</f>
        <v>0</v>
      </c>
      <c r="T1286" s="8">
        <f>IF($D1286='[2]Beam '!T$44,$P1286*'[2]Beam '!T$45,0)</f>
        <v>9.4548809142857149</v>
      </c>
      <c r="U1286" s="8">
        <f>IF($D1286='[2]Beam '!U$44,$P1286*'[2]Beam '!U$45,0)</f>
        <v>0</v>
      </c>
      <c r="V1286" s="8">
        <f>IF($D1286='[2]Beam '!V$44,$P1286*'[2]Beam '!V$45,0)</f>
        <v>0</v>
      </c>
      <c r="W1286" s="8">
        <f>IF($D1286='[2]Beam '!W$44,$P1286*'[2]Beam '!W$45,0)</f>
        <v>0</v>
      </c>
      <c r="X1286" s="8">
        <f>SUM(Q1286:W1286)</f>
        <v>9.4548809142857149</v>
      </c>
      <c r="Y1286" s="8"/>
      <c r="Z1286" s="8"/>
      <c r="AA1286" s="8"/>
      <c r="AB1286" s="8"/>
      <c r="AC1286" s="8"/>
      <c r="AD1286" s="8"/>
      <c r="AE1286" s="8"/>
    </row>
    <row r="1287" spans="1:32" s="10" customFormat="1" ht="20.100000000000001" customHeight="1" x14ac:dyDescent="0.25">
      <c r="A1287" s="7"/>
      <c r="B1287" s="8" t="s">
        <v>2</v>
      </c>
      <c r="C1287" s="13" t="s">
        <v>8</v>
      </c>
      <c r="D1287" s="8">
        <v>8</v>
      </c>
      <c r="E1287" s="8">
        <v>0.1</v>
      </c>
      <c r="F1287" s="8">
        <f>ROUNDUP(E1284/E1287,0)</f>
        <v>14</v>
      </c>
      <c r="H1287" s="8"/>
      <c r="I1287" s="8"/>
      <c r="J1287" s="8"/>
      <c r="K1287" s="8"/>
      <c r="L1287" s="8"/>
      <c r="M1287" s="8"/>
      <c r="N1287" s="8"/>
      <c r="O1287" s="8">
        <f>(2*((G1284-(2*'[2]Beam '!$D$11))+(F1284-(2*'[2]Beam '!$D$11)))+(2*10*D1287/1000))*D1284</f>
        <v>1.92</v>
      </c>
      <c r="P1287" s="8">
        <f>O1287*F1287</f>
        <v>26.88</v>
      </c>
      <c r="Q1287" s="8">
        <f>IF($D1287='[2]Beam '!Q$44,$P1287*'[2]Beam '!Q$45,0)</f>
        <v>10.610688</v>
      </c>
      <c r="R1287" s="8">
        <f>IF($D1287='[2]Beam '!R$44,$P1287*'[2]Beam '!R$45,0)</f>
        <v>0</v>
      </c>
      <c r="S1287" s="8">
        <f>IF($D1287='[2]Beam '!S$44,$P1287*'[2]Beam '!S$45,0)</f>
        <v>0</v>
      </c>
      <c r="T1287" s="8">
        <f>IF($D1287='[2]Beam '!T$44,$P1287*'[2]Beam '!T$45,0)</f>
        <v>0</v>
      </c>
      <c r="U1287" s="8">
        <f>IF($D1287='[2]Beam '!U$44,$P1287*'[2]Beam '!U$45,0)</f>
        <v>0</v>
      </c>
      <c r="V1287" s="8">
        <f>IF($D1287='[2]Beam '!V$44,$P1287*'[2]Beam '!V$45,0)</f>
        <v>0</v>
      </c>
      <c r="W1287" s="8">
        <f>IF($D1287='[2]Beam '!W$44,$P1287*'[2]Beam '!W$45,0)</f>
        <v>0</v>
      </c>
      <c r="X1287" s="8">
        <f>SUM(Q1287:W1287)</f>
        <v>10.610688</v>
      </c>
      <c r="Y1287" s="8"/>
      <c r="Z1287" s="8"/>
      <c r="AA1287" s="8"/>
      <c r="AB1287" s="8"/>
      <c r="AC1287" s="8"/>
      <c r="AD1287" s="8"/>
      <c r="AE1287" s="8"/>
    </row>
    <row r="1288" spans="1:32" s="10" customFormat="1" ht="20.100000000000001" customHeight="1" x14ac:dyDescent="0.25">
      <c r="A1288" s="8">
        <v>1</v>
      </c>
      <c r="B1288" s="8" t="s">
        <v>2</v>
      </c>
      <c r="C1288" s="11" t="s">
        <v>171</v>
      </c>
      <c r="D1288" s="11">
        <v>1</v>
      </c>
      <c r="E1288" s="11">
        <v>6.1470000000000002</v>
      </c>
      <c r="F1288" s="11">
        <v>0.45</v>
      </c>
      <c r="G1288" s="11">
        <v>0.5</v>
      </c>
      <c r="H1288" s="8">
        <f>G1288-0.2</f>
        <v>0.3</v>
      </c>
      <c r="I1288" s="8">
        <f>E1288*F1288*G1288*D1288</f>
        <v>1.3830750000000001</v>
      </c>
      <c r="J1288" s="8">
        <f>(2*(E1288)*H1288*D1288)+(E1288*F1288)</f>
        <v>6.4543499999999998</v>
      </c>
      <c r="K1288" s="12">
        <f>IF(E1288=0.3,J1288,0)</f>
        <v>0</v>
      </c>
      <c r="L1288" s="12">
        <f>IF(AND(E1288&gt;0.3,E1288&lt;=0.75),J1288,0)</f>
        <v>0</v>
      </c>
      <c r="M1288" s="12">
        <f>IF(AND(E1288&gt;0.75,E1288&lt;=1.2),J1288,0)</f>
        <v>0</v>
      </c>
      <c r="N1288" s="12">
        <f>IF(E1288&gt;1.2,J1288,0)</f>
        <v>6.4543499999999998</v>
      </c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>
        <f>SUM(X1289:X1293)/I1288</f>
        <v>207.85589603910543</v>
      </c>
      <c r="Z1288" s="8"/>
      <c r="AA1288" s="8"/>
      <c r="AB1288" s="8"/>
      <c r="AC1288" s="8"/>
      <c r="AD1288" s="8"/>
      <c r="AE1288" s="8"/>
    </row>
    <row r="1289" spans="1:32" s="10" customFormat="1" ht="20.100000000000001" customHeight="1" x14ac:dyDescent="0.25">
      <c r="A1289" s="7"/>
      <c r="B1289" s="8" t="s">
        <v>2</v>
      </c>
      <c r="C1289" s="13" t="s">
        <v>4</v>
      </c>
      <c r="D1289" s="8">
        <v>20</v>
      </c>
      <c r="E1289" s="8"/>
      <c r="F1289" s="8">
        <v>5</v>
      </c>
      <c r="G1289" s="9">
        <f>VLOOKUP(D1289,'[2]Beam '!$C$20:$H$26,3,0)</f>
        <v>0.8</v>
      </c>
      <c r="H1289" s="9"/>
      <c r="I1289" s="8"/>
      <c r="J1289" s="8"/>
      <c r="K1289" s="8"/>
      <c r="L1289" s="8"/>
      <c r="M1289" s="8"/>
      <c r="N1289" s="8"/>
      <c r="O1289" s="8">
        <f>(E1288+1*(G1289+(12*D1289/1000))+1*(G1289)*D1288)</f>
        <v>7.9870000000000001</v>
      </c>
      <c r="P1289" s="8">
        <f t="shared" ref="P1289:P1298" si="243">O1289*F1289</f>
        <v>39.935000000000002</v>
      </c>
      <c r="Q1289" s="8">
        <f>IF($D1289='[2]Beam '!Q$44,$P1289*'[2]Beam '!Q$45,0)</f>
        <v>0</v>
      </c>
      <c r="R1289" s="8">
        <f>IF($D1289='[2]Beam '!R$44,$P1289*'[2]Beam '!R$45,0)</f>
        <v>0</v>
      </c>
      <c r="S1289" s="8">
        <f>IF($D1289='[2]Beam '!S$44,$P1289*'[2]Beam '!S$45,0)</f>
        <v>0</v>
      </c>
      <c r="T1289" s="8">
        <f>IF($D1289='[2]Beam '!T$44,$P1289*'[2]Beam '!T$45,0)</f>
        <v>0</v>
      </c>
      <c r="U1289" s="8">
        <f>IF($D1289='[2]Beam '!U$44,$P1289*'[2]Beam '!U$45,0)</f>
        <v>98.525350000000003</v>
      </c>
      <c r="V1289" s="8">
        <f>IF($D1289='[2]Beam '!V$44,$P1289*'[2]Beam '!V$45,0)</f>
        <v>0</v>
      </c>
      <c r="W1289" s="8">
        <f>IF($D1289='[2]Beam '!W$44,$P1289*'[2]Beam '!W$45,0)</f>
        <v>0</v>
      </c>
      <c r="X1289" s="8">
        <f t="shared" ref="X1289:X1298" si="244">SUM(Q1289:W1289)</f>
        <v>98.525350000000003</v>
      </c>
      <c r="Y1289" s="8"/>
      <c r="Z1289" s="8"/>
      <c r="AA1289" s="8"/>
      <c r="AB1289" s="8"/>
      <c r="AC1289" s="8"/>
      <c r="AD1289" s="8"/>
      <c r="AE1289" s="8"/>
    </row>
    <row r="1290" spans="1:32" s="10" customFormat="1" ht="20.100000000000001" customHeight="1" x14ac:dyDescent="0.25">
      <c r="A1290" s="7"/>
      <c r="B1290" s="8" t="s">
        <v>2</v>
      </c>
      <c r="C1290" s="13" t="s">
        <v>139</v>
      </c>
      <c r="D1290" s="8">
        <v>20</v>
      </c>
      <c r="E1290" s="8"/>
      <c r="F1290" s="8">
        <v>5</v>
      </c>
      <c r="G1290" s="9">
        <f>VLOOKUP(D1290,'[2]Beam '!$C$20:$H$26,3,0)</f>
        <v>0.8</v>
      </c>
      <c r="H1290" s="9"/>
      <c r="I1290" s="8"/>
      <c r="J1290" s="8"/>
      <c r="K1290" s="8"/>
      <c r="L1290" s="8"/>
      <c r="M1290" s="8"/>
      <c r="N1290" s="8"/>
      <c r="O1290" s="8">
        <f>(E1288+1*(G1290+(12*D1290/1000))+1*(G1290)*D1288)</f>
        <v>7.9870000000000001</v>
      </c>
      <c r="P1290" s="8">
        <f t="shared" si="243"/>
        <v>39.935000000000002</v>
      </c>
      <c r="Q1290" s="8">
        <f>IF($D1290='[2]Beam '!Q$44,$P1290*'[2]Beam '!Q$45,0)</f>
        <v>0</v>
      </c>
      <c r="R1290" s="8">
        <f>IF($D1290='[2]Beam '!R$44,$P1290*'[2]Beam '!R$45,0)</f>
        <v>0</v>
      </c>
      <c r="S1290" s="8">
        <f>IF($D1290='[2]Beam '!S$44,$P1290*'[2]Beam '!S$45,0)</f>
        <v>0</v>
      </c>
      <c r="T1290" s="8">
        <f>IF($D1290='[2]Beam '!T$44,$P1290*'[2]Beam '!T$45,0)</f>
        <v>0</v>
      </c>
      <c r="U1290" s="8">
        <f>IF($D1290='[2]Beam '!U$44,$P1290*'[2]Beam '!U$45,0)</f>
        <v>98.525350000000003</v>
      </c>
      <c r="V1290" s="8">
        <f>IF($D1290='[2]Beam '!V$44,$P1290*'[2]Beam '!V$45,0)</f>
        <v>0</v>
      </c>
      <c r="W1290" s="8">
        <f>IF($D1290='[2]Beam '!W$44,$P1290*'[2]Beam '!W$45,0)</f>
        <v>0</v>
      </c>
      <c r="X1290" s="8">
        <f t="shared" si="244"/>
        <v>98.525350000000003</v>
      </c>
      <c r="Y1290" s="8"/>
      <c r="Z1290" s="8"/>
      <c r="AA1290" s="8"/>
      <c r="AB1290" s="8"/>
      <c r="AC1290" s="8"/>
      <c r="AD1290" s="8"/>
      <c r="AE1290" s="8"/>
    </row>
    <row r="1291" spans="1:32" s="10" customFormat="1" ht="20.100000000000001" customHeight="1" x14ac:dyDescent="0.25">
      <c r="A1291" s="7"/>
      <c r="B1291" s="8" t="s">
        <v>2</v>
      </c>
      <c r="C1291" s="13" t="s">
        <v>75</v>
      </c>
      <c r="D1291" s="8">
        <v>25</v>
      </c>
      <c r="E1291" s="8"/>
      <c r="F1291" s="8">
        <v>3</v>
      </c>
      <c r="G1291" s="9">
        <f>VLOOKUP(D1291,'[2]Beam '!$C$20:$H$26,3,0)</f>
        <v>1</v>
      </c>
      <c r="H1291" s="9"/>
      <c r="I1291" s="8"/>
      <c r="J1291" s="8"/>
      <c r="K1291" s="8"/>
      <c r="L1291" s="8"/>
      <c r="M1291" s="8"/>
      <c r="N1291" s="8"/>
      <c r="O1291" s="8">
        <f>(1.6+1*(G1291+(12*D1291/1000))*D1288)</f>
        <v>2.9000000000000004</v>
      </c>
      <c r="P1291" s="8">
        <f t="shared" si="243"/>
        <v>8.7000000000000011</v>
      </c>
      <c r="Q1291" s="8">
        <f>IF($D1291='[2]Beam '!Q$44,$P1291*'[2]Beam '!Q$45,0)</f>
        <v>0</v>
      </c>
      <c r="R1291" s="8">
        <f>IF($D1291='[2]Beam '!R$44,$P1291*'[2]Beam '!R$45,0)</f>
        <v>0</v>
      </c>
      <c r="S1291" s="8">
        <f>IF($D1291='[2]Beam '!S$44,$P1291*'[2]Beam '!S$45,0)</f>
        <v>0</v>
      </c>
      <c r="T1291" s="8">
        <f>IF($D1291='[2]Beam '!T$44,$P1291*'[2]Beam '!T$45,0)</f>
        <v>0</v>
      </c>
      <c r="U1291" s="8">
        <f>IF($D1291='[2]Beam '!U$44,$P1291*'[2]Beam '!U$45,0)</f>
        <v>0</v>
      </c>
      <c r="V1291" s="8">
        <f>IF($D1291='[2]Beam '!V$44,$P1291*'[2]Beam '!V$45,0)</f>
        <v>33.537723214285727</v>
      </c>
      <c r="W1291" s="8">
        <f>IF($D1291='[2]Beam '!W$44,$P1291*'[2]Beam '!W$45,0)</f>
        <v>0</v>
      </c>
      <c r="X1291" s="8">
        <f t="shared" si="244"/>
        <v>33.537723214285727</v>
      </c>
      <c r="Y1291" s="8"/>
      <c r="Z1291" s="8"/>
      <c r="AA1291" s="8"/>
      <c r="AB1291" s="8"/>
      <c r="AC1291" s="8"/>
      <c r="AD1291" s="8"/>
      <c r="AE1291" s="8"/>
    </row>
    <row r="1292" spans="1:32" s="14" customFormat="1" ht="20.100000000000001" customHeight="1" x14ac:dyDescent="0.3">
      <c r="A1292" s="7"/>
      <c r="B1292" s="8" t="s">
        <v>2</v>
      </c>
      <c r="C1292" s="13" t="s">
        <v>75</v>
      </c>
      <c r="D1292" s="8">
        <v>25</v>
      </c>
      <c r="E1292" s="8"/>
      <c r="F1292" s="8">
        <v>3</v>
      </c>
      <c r="G1292" s="9">
        <f>VLOOKUP(D1292,'[2]Beam '!$C$20:$H$26,3,0)</f>
        <v>1</v>
      </c>
      <c r="H1292" s="9"/>
      <c r="I1292" s="8"/>
      <c r="J1292" s="8"/>
      <c r="K1292" s="8"/>
      <c r="L1292" s="8"/>
      <c r="M1292" s="8"/>
      <c r="N1292" s="8"/>
      <c r="O1292" s="8">
        <f>(1.6+1*(G1292*D1288))</f>
        <v>2.6</v>
      </c>
      <c r="P1292" s="8">
        <f t="shared" si="243"/>
        <v>7.8000000000000007</v>
      </c>
      <c r="Q1292" s="8">
        <f>IF($D1292='[2]Beam '!Q$44,$P1292*'[2]Beam '!Q$45,0)</f>
        <v>0</v>
      </c>
      <c r="R1292" s="8">
        <f>IF($D1292='[2]Beam '!R$44,$P1292*'[2]Beam '!R$45,0)</f>
        <v>0</v>
      </c>
      <c r="S1292" s="8">
        <f>IF($D1292='[2]Beam '!S$44,$P1292*'[2]Beam '!S$45,0)</f>
        <v>0</v>
      </c>
      <c r="T1292" s="8">
        <f>IF($D1292='[2]Beam '!T$44,$P1292*'[2]Beam '!T$45,0)</f>
        <v>0</v>
      </c>
      <c r="U1292" s="8">
        <f>IF($D1292='[2]Beam '!U$44,$P1292*'[2]Beam '!U$45,0)</f>
        <v>0</v>
      </c>
      <c r="V1292" s="8">
        <f>IF($D1292='[2]Beam '!V$44,$P1292*'[2]Beam '!V$45,0)</f>
        <v>30.068303571428579</v>
      </c>
      <c r="W1292" s="8">
        <f>IF($D1292='[2]Beam '!W$44,$P1292*'[2]Beam '!W$45,0)</f>
        <v>0</v>
      </c>
      <c r="X1292" s="8">
        <f t="shared" si="244"/>
        <v>30.068303571428579</v>
      </c>
      <c r="Y1292" s="8"/>
    </row>
    <row r="1293" spans="1:32" s="14" customFormat="1" ht="20.100000000000001" customHeight="1" x14ac:dyDescent="0.3">
      <c r="A1293" s="7"/>
      <c r="B1293" s="8" t="s">
        <v>2</v>
      </c>
      <c r="C1293" s="13" t="s">
        <v>88</v>
      </c>
      <c r="D1293" s="8">
        <v>16</v>
      </c>
      <c r="E1293" s="8"/>
      <c r="F1293" s="8">
        <v>4</v>
      </c>
      <c r="G1293" s="9">
        <f>VLOOKUP(D1293,'[2]Beam '!$C$20:$H$26,3,0)</f>
        <v>0.625</v>
      </c>
      <c r="H1293" s="9"/>
      <c r="I1293" s="8"/>
      <c r="J1293" s="8"/>
      <c r="K1293" s="8"/>
      <c r="L1293" s="8"/>
      <c r="M1293" s="8"/>
      <c r="N1293" s="8"/>
      <c r="O1293" s="8">
        <f>+E1288-0.95-0.95</f>
        <v>4.2469999999999999</v>
      </c>
      <c r="P1293" s="8">
        <f t="shared" si="243"/>
        <v>16.988</v>
      </c>
      <c r="Q1293" s="8">
        <f>IF($D1293='[2]Beam '!Q$44,$P1293*'[2]Beam '!Q$45,0)</f>
        <v>0</v>
      </c>
      <c r="R1293" s="8">
        <f>IF($D1293='[2]Beam '!R$44,$P1293*'[2]Beam '!R$45,0)</f>
        <v>0</v>
      </c>
      <c r="S1293" s="8">
        <f>IF($D1293='[2]Beam '!S$44,$P1293*'[2]Beam '!S$45,0)</f>
        <v>0</v>
      </c>
      <c r="T1293" s="8">
        <f>IF($D1293='[2]Beam '!T$44,$P1293*'[2]Beam '!T$45,0)</f>
        <v>26.823566628571431</v>
      </c>
      <c r="U1293" s="8">
        <f>IF($D1293='[2]Beam '!U$44,$P1293*'[2]Beam '!U$45,0)</f>
        <v>0</v>
      </c>
      <c r="V1293" s="8">
        <f>IF($D1293='[2]Beam '!V$44,$P1293*'[2]Beam '!V$45,0)</f>
        <v>0</v>
      </c>
      <c r="W1293" s="8">
        <f>IF($D1293='[2]Beam '!W$44,$P1293*'[2]Beam '!W$45,0)</f>
        <v>0</v>
      </c>
      <c r="X1293" s="8">
        <f t="shared" si="244"/>
        <v>26.823566628571431</v>
      </c>
      <c r="Y1293" s="8"/>
    </row>
    <row r="1294" spans="1:32" s="14" customFormat="1" ht="20.100000000000001" customHeight="1" x14ac:dyDescent="0.25">
      <c r="A1294" s="7"/>
      <c r="B1294" s="8" t="s">
        <v>2</v>
      </c>
      <c r="C1294" s="13" t="s">
        <v>13</v>
      </c>
      <c r="D1294" s="8">
        <v>10</v>
      </c>
      <c r="E1294" s="8">
        <v>0.1</v>
      </c>
      <c r="F1294" s="8">
        <f>ROUND(IF(E1288/3&gt;(2*G1288),(E1288/3)/E1294,(2*G1288)/E1294),0)*2+1</f>
        <v>41</v>
      </c>
      <c r="G1294" s="10"/>
      <c r="H1294" s="8"/>
      <c r="I1294" s="8"/>
      <c r="J1294" s="8"/>
      <c r="K1294" s="8"/>
      <c r="L1294" s="8"/>
      <c r="M1294" s="8"/>
      <c r="N1294" s="8"/>
      <c r="O1294" s="8">
        <f>(2*((G1288-(2*'[2]Beam '!$D$11))+(F1288-(2*'[2]Beam '!$D$11)))+(2*10*D1294/1000))*D1288</f>
        <v>1.86</v>
      </c>
      <c r="P1294" s="8">
        <f t="shared" si="243"/>
        <v>76.260000000000005</v>
      </c>
      <c r="Q1294" s="8">
        <f>IF($D1294='[2]Beam '!Q$44,$P1294*'[2]Beam '!Q$45,0)</f>
        <v>0</v>
      </c>
      <c r="R1294" s="8">
        <f>IF($D1294='[2]Beam '!R$44,$P1294*'[2]Beam '!R$45,0)</f>
        <v>47.036078571428575</v>
      </c>
      <c r="S1294" s="8">
        <f>IF($D1294='[2]Beam '!S$44,$P1294*'[2]Beam '!S$45,0)</f>
        <v>0</v>
      </c>
      <c r="T1294" s="8">
        <f>IF($D1294='[2]Beam '!T$44,$P1294*'[2]Beam '!T$45,0)</f>
        <v>0</v>
      </c>
      <c r="U1294" s="8">
        <f>IF($D1294='[2]Beam '!U$44,$P1294*'[2]Beam '!U$45,0)</f>
        <v>0</v>
      </c>
      <c r="V1294" s="8">
        <f>IF($D1294='[2]Beam '!V$44,$P1294*'[2]Beam '!V$45,0)</f>
        <v>0</v>
      </c>
      <c r="W1294" s="8">
        <f>IF($D1294='[2]Beam '!W$44,$P1294*'[2]Beam '!W$45,0)</f>
        <v>0</v>
      </c>
      <c r="X1294" s="8">
        <f t="shared" si="244"/>
        <v>47.036078571428575</v>
      </c>
      <c r="Y1294" s="8"/>
    </row>
    <row r="1295" spans="1:32" s="10" customFormat="1" ht="20.100000000000001" customHeight="1" x14ac:dyDescent="0.25">
      <c r="A1295" s="14"/>
      <c r="B1295" s="8" t="s">
        <v>2</v>
      </c>
      <c r="C1295" s="13" t="s">
        <v>14</v>
      </c>
      <c r="D1295" s="14">
        <f>D1294</f>
        <v>10</v>
      </c>
      <c r="E1295" s="14">
        <v>0.125</v>
      </c>
      <c r="F1295" s="14">
        <f>ROUND((E1288-(IF(E1288/3&gt;2*G1288,E1288/3*2,G1288*2*2)))/E1295,0)</f>
        <v>16</v>
      </c>
      <c r="H1295" s="14"/>
      <c r="I1295" s="14"/>
      <c r="J1295" s="14"/>
      <c r="K1295" s="14"/>
      <c r="L1295" s="14"/>
      <c r="M1295" s="14"/>
      <c r="N1295" s="14"/>
      <c r="O1295" s="8">
        <f>(2*((G1288-(2*'[2]Beam '!$D$11))+(F1288-(2*'[2]Beam '!$D$11)))+(2*10*D1295/1000))*D1288</f>
        <v>1.86</v>
      </c>
      <c r="P1295" s="8">
        <f t="shared" si="243"/>
        <v>29.76</v>
      </c>
      <c r="Q1295" s="8">
        <f>IF($D1295='[2]Beam '!Q$44,$P1295*'[2]Beam '!Q$45,0)</f>
        <v>0</v>
      </c>
      <c r="R1295" s="8">
        <f>IF($D1295='[2]Beam '!R$44,$P1295*'[2]Beam '!R$45,0)</f>
        <v>18.355542857142858</v>
      </c>
      <c r="S1295" s="8">
        <f>IF($D1295='[2]Beam '!S$44,$P1295*'[2]Beam '!S$45,0)</f>
        <v>0</v>
      </c>
      <c r="T1295" s="8">
        <f>IF($D1295='[2]Beam '!T$44,$P1295*'[2]Beam '!T$45,0)</f>
        <v>0</v>
      </c>
      <c r="U1295" s="8">
        <f>IF($D1295='[2]Beam '!U$44,$P1295*'[2]Beam '!U$45,0)</f>
        <v>0</v>
      </c>
      <c r="V1295" s="8">
        <f>IF($D1295='[2]Beam '!V$44,$P1295*'[2]Beam '!V$45,0)</f>
        <v>0</v>
      </c>
      <c r="W1295" s="8">
        <f>IF($D1295='[2]Beam '!W$44,$P1295*'[2]Beam '!W$45,0)</f>
        <v>0</v>
      </c>
      <c r="X1295" s="8">
        <f t="shared" si="244"/>
        <v>18.355542857142858</v>
      </c>
      <c r="Y1295" s="14"/>
      <c r="Z1295" s="8"/>
      <c r="AA1295" s="8"/>
      <c r="AB1295" s="8"/>
      <c r="AC1295" s="8"/>
      <c r="AD1295" s="8"/>
      <c r="AE1295" s="8"/>
    </row>
    <row r="1296" spans="1:32" s="10" customFormat="1" ht="21" customHeight="1" x14ac:dyDescent="0.25">
      <c r="A1296" s="14"/>
      <c r="B1296" s="8" t="s">
        <v>2</v>
      </c>
      <c r="C1296" s="13" t="s">
        <v>15</v>
      </c>
      <c r="D1296" s="14">
        <f>D1294</f>
        <v>10</v>
      </c>
      <c r="E1296" s="14">
        <f>+E1294</f>
        <v>0.1</v>
      </c>
      <c r="F1296" s="8">
        <f>ROUND(IF(E1288/3&gt;(2*G1288),(E1288/3)/E1296,(2*G1288)/E1296),0)*2+1</f>
        <v>41</v>
      </c>
      <c r="H1296" s="14"/>
      <c r="I1296" s="14"/>
      <c r="J1296" s="14"/>
      <c r="K1296" s="14"/>
      <c r="L1296" s="14"/>
      <c r="M1296" s="14"/>
      <c r="N1296" s="14"/>
      <c r="O1296" s="8">
        <f>(2*(((F1288-'[2]Beam '!$D$11*2)/(F1289-1))+(G1288-'[2]Beam '!$D$11*2))+(2*10*D1296/1000))*D1288</f>
        <v>1.2749999999999999</v>
      </c>
      <c r="P1296" s="8">
        <f t="shared" si="243"/>
        <v>52.274999999999999</v>
      </c>
      <c r="Q1296" s="8">
        <f>IF($D1296='[2]Beam '!Q$44,$P1296*'[2]Beam '!Q$45,0)</f>
        <v>0</v>
      </c>
      <c r="R1296" s="8">
        <f>IF($D1296='[2]Beam '!R$44,$P1296*'[2]Beam '!R$45,0)</f>
        <v>32.24247321428571</v>
      </c>
      <c r="S1296" s="8">
        <f>IF($D1296='[2]Beam '!S$44,$P1296*'[2]Beam '!S$45,0)</f>
        <v>0</v>
      </c>
      <c r="T1296" s="8">
        <f>IF($D1296='[2]Beam '!T$44,$P1296*'[2]Beam '!T$45,0)</f>
        <v>0</v>
      </c>
      <c r="U1296" s="8">
        <f>IF($D1296='[2]Beam '!U$44,$P1296*'[2]Beam '!U$45,0)</f>
        <v>0</v>
      </c>
      <c r="V1296" s="8">
        <f>IF($D1296='[2]Beam '!V$44,$P1296*'[2]Beam '!V$45,0)</f>
        <v>0</v>
      </c>
      <c r="W1296" s="8">
        <f>IF($D1296='[2]Beam '!W$44,$P1296*'[2]Beam '!W$45,0)</f>
        <v>0</v>
      </c>
      <c r="X1296" s="8">
        <f t="shared" si="244"/>
        <v>32.24247321428571</v>
      </c>
      <c r="Y1296" s="14"/>
      <c r="Z1296" s="8"/>
      <c r="AA1296" s="8"/>
      <c r="AB1296" s="8"/>
      <c r="AC1296" s="8"/>
      <c r="AD1296" s="8"/>
      <c r="AE1296" s="8"/>
      <c r="AF1296" s="8"/>
    </row>
    <row r="1297" spans="1:32" s="10" customFormat="1" ht="20.100000000000001" customHeight="1" x14ac:dyDescent="0.25">
      <c r="A1297" s="14"/>
      <c r="B1297" s="8" t="s">
        <v>2</v>
      </c>
      <c r="C1297" s="13" t="s">
        <v>16</v>
      </c>
      <c r="D1297" s="14">
        <f>D1295</f>
        <v>10</v>
      </c>
      <c r="E1297" s="14">
        <f>+E1295</f>
        <v>0.125</v>
      </c>
      <c r="F1297" s="14">
        <f>ROUND((E1288-(IF(E1288/3&gt;2*G1288,E1288/3*2,G1288*2*2)))/E1297,0)</f>
        <v>16</v>
      </c>
      <c r="H1297" s="14"/>
      <c r="I1297" s="14"/>
      <c r="J1297" s="14"/>
      <c r="K1297" s="14"/>
      <c r="L1297" s="14"/>
      <c r="M1297" s="14"/>
      <c r="N1297" s="14"/>
      <c r="O1297" s="8">
        <f>(2*(((F1288-'[2]Beam '!$D$11*2)/(F1289-1))+(G1288-'[2]Beam '!$D$11*2))+(2*10*D1297/1000))*D1288</f>
        <v>1.2749999999999999</v>
      </c>
      <c r="P1297" s="8">
        <f t="shared" si="243"/>
        <v>20.399999999999999</v>
      </c>
      <c r="Q1297" s="8">
        <f>IF($D1297='[2]Beam '!Q$44,$P1297*'[2]Beam '!Q$45,0)</f>
        <v>0</v>
      </c>
      <c r="R1297" s="8">
        <f>IF($D1297='[2]Beam '!R$44,$P1297*'[2]Beam '!R$45,0)</f>
        <v>12.58242857142857</v>
      </c>
      <c r="S1297" s="8">
        <f>IF($D1297='[2]Beam '!S$44,$P1297*'[2]Beam '!S$45,0)</f>
        <v>0</v>
      </c>
      <c r="T1297" s="8">
        <f>IF($D1297='[2]Beam '!T$44,$P1297*'[2]Beam '!T$45,0)</f>
        <v>0</v>
      </c>
      <c r="U1297" s="8">
        <f>IF($D1297='[2]Beam '!U$44,$P1297*'[2]Beam '!U$45,0)</f>
        <v>0</v>
      </c>
      <c r="V1297" s="8">
        <f>IF($D1297='[2]Beam '!V$44,$P1297*'[2]Beam '!V$45,0)</f>
        <v>0</v>
      </c>
      <c r="W1297" s="8">
        <f>IF($D1297='[2]Beam '!W$44,$P1297*'[2]Beam '!W$45,0)</f>
        <v>0</v>
      </c>
      <c r="X1297" s="8">
        <f t="shared" si="244"/>
        <v>12.58242857142857</v>
      </c>
      <c r="Y1297" s="14"/>
      <c r="Z1297" s="8"/>
      <c r="AA1297" s="8"/>
      <c r="AB1297" s="8"/>
      <c r="AC1297" s="8"/>
      <c r="AD1297" s="8"/>
      <c r="AE1297" s="8"/>
    </row>
    <row r="1298" spans="1:32" s="10" customFormat="1" ht="20.100000000000001" customHeight="1" x14ac:dyDescent="0.25">
      <c r="A1298" s="7"/>
      <c r="B1298" s="8" t="s">
        <v>2</v>
      </c>
      <c r="C1298" s="13" t="s">
        <v>10</v>
      </c>
      <c r="D1298" s="8">
        <f>+'[2]Beam '!$D$15</f>
        <v>25</v>
      </c>
      <c r="E1298" s="8">
        <f>+'[2]Beam '!$E$15</f>
        <v>1</v>
      </c>
      <c r="F1298" s="8">
        <f>ROUNDUP((O1293+3.2)/E1298,0)</f>
        <v>8</v>
      </c>
      <c r="G1298" s="9"/>
      <c r="H1298" s="9"/>
      <c r="I1298" s="8"/>
      <c r="J1298" s="8"/>
      <c r="K1298" s="8"/>
      <c r="L1298" s="8"/>
      <c r="M1298" s="8"/>
      <c r="N1298" s="8"/>
      <c r="O1298" s="8">
        <f>F1288-'[2]Beam '!$F$15</f>
        <v>0.39</v>
      </c>
      <c r="P1298" s="8">
        <f t="shared" si="243"/>
        <v>3.12</v>
      </c>
      <c r="Q1298" s="8">
        <f>IF($D1298='[2]Beam '!Q$44,$P1298*'[2]Beam '!Q$45,0)</f>
        <v>0</v>
      </c>
      <c r="R1298" s="8">
        <f>IF($D1298='[2]Beam '!R$44,$P1298*'[2]Beam '!R$45,0)</f>
        <v>0</v>
      </c>
      <c r="S1298" s="8">
        <f>IF($D1298='[2]Beam '!S$44,$P1298*'[2]Beam '!S$45,0)</f>
        <v>0</v>
      </c>
      <c r="T1298" s="8">
        <f>IF($D1298='[2]Beam '!T$44,$P1298*'[2]Beam '!T$45,0)</f>
        <v>0</v>
      </c>
      <c r="U1298" s="8">
        <f>IF($D1298='[2]Beam '!U$44,$P1298*'[2]Beam '!U$45,0)</f>
        <v>0</v>
      </c>
      <c r="V1298" s="8">
        <f>IF($D1298='[2]Beam '!V$44,$P1298*'[2]Beam '!V$45,0)</f>
        <v>12.027321428571431</v>
      </c>
      <c r="W1298" s="8">
        <f>IF($D1298='[2]Beam '!W$44,$P1298*'[2]Beam '!W$45,0)</f>
        <v>0</v>
      </c>
      <c r="X1298" s="8">
        <f t="shared" si="244"/>
        <v>12.027321428571431</v>
      </c>
      <c r="Y1298" s="8"/>
      <c r="Z1298" s="8"/>
      <c r="AA1298" s="8"/>
      <c r="AB1298" s="8"/>
      <c r="AC1298" s="8"/>
      <c r="AD1298" s="8"/>
      <c r="AE1298" s="8"/>
    </row>
    <row r="1299" spans="1:32" s="10" customFormat="1" ht="20.100000000000001" customHeight="1" x14ac:dyDescent="0.25">
      <c r="A1299" s="8">
        <v>1</v>
      </c>
      <c r="B1299" s="8" t="s">
        <v>2</v>
      </c>
      <c r="C1299" s="11" t="s">
        <v>172</v>
      </c>
      <c r="D1299" s="11">
        <v>1</v>
      </c>
      <c r="E1299" s="11">
        <v>6.22</v>
      </c>
      <c r="F1299" s="11">
        <v>0.5</v>
      </c>
      <c r="G1299" s="11">
        <v>0.6</v>
      </c>
      <c r="H1299" s="8">
        <f>G1299-0.2</f>
        <v>0.39999999999999997</v>
      </c>
      <c r="I1299" s="8">
        <f>E1299*F1299*G1299*D1299</f>
        <v>1.8659999999999999</v>
      </c>
      <c r="J1299" s="8">
        <f>(2*(E1299)*H1299*D1299)+(E1299*F1299)</f>
        <v>8.0859999999999985</v>
      </c>
      <c r="K1299" s="12">
        <f>IF(E1299=0.3,J1299,0)</f>
        <v>0</v>
      </c>
      <c r="L1299" s="12">
        <f>IF(AND(E1299&gt;0.3,E1299&lt;=0.75),J1299,0)</f>
        <v>0</v>
      </c>
      <c r="M1299" s="12">
        <f>IF(AND(E1299&gt;0.75,E1299&lt;=1.2),J1299,0)</f>
        <v>0</v>
      </c>
      <c r="N1299" s="12">
        <f>IF(E1299&gt;1.2,J1299,0)</f>
        <v>8.0859999999999985</v>
      </c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>
        <f>SUM(X1300:X1302)/I1299</f>
        <v>139.88409125708162</v>
      </c>
      <c r="Z1299" s="8"/>
      <c r="AA1299" s="8"/>
      <c r="AB1299" s="8"/>
      <c r="AC1299" s="8"/>
      <c r="AD1299" s="8"/>
      <c r="AE1299" s="8"/>
    </row>
    <row r="1300" spans="1:32" s="10" customFormat="1" ht="20.100000000000001" customHeight="1" x14ac:dyDescent="0.25">
      <c r="A1300" s="7"/>
      <c r="B1300" s="8" t="s">
        <v>2</v>
      </c>
      <c r="C1300" s="13" t="s">
        <v>4</v>
      </c>
      <c r="D1300" s="8">
        <v>20</v>
      </c>
      <c r="E1300" s="8"/>
      <c r="F1300" s="8">
        <v>5</v>
      </c>
      <c r="G1300" s="9">
        <f>VLOOKUP(D1300,'[2]Beam '!$C$20:$H$26,3,0)</f>
        <v>0.8</v>
      </c>
      <c r="H1300" s="9"/>
      <c r="I1300" s="8"/>
      <c r="J1300" s="8"/>
      <c r="K1300" s="8"/>
      <c r="L1300" s="8"/>
      <c r="M1300" s="8"/>
      <c r="N1300" s="8"/>
      <c r="O1300" s="8">
        <f>(E1299+1*(G1300+1*(1.5/2))*D1299)</f>
        <v>7.77</v>
      </c>
      <c r="P1300" s="8">
        <f t="shared" ref="P1300:P1307" si="245">O1300*F1300</f>
        <v>38.849999999999994</v>
      </c>
      <c r="Q1300" s="8">
        <f>IF($D1300='[2]Beam '!Q$44,$P1300*'[2]Beam '!Q$45,0)</f>
        <v>0</v>
      </c>
      <c r="R1300" s="8">
        <f>IF($D1300='[2]Beam '!R$44,$P1300*'[2]Beam '!R$45,0)</f>
        <v>0</v>
      </c>
      <c r="S1300" s="8">
        <f>IF($D1300='[2]Beam '!S$44,$P1300*'[2]Beam '!S$45,0)</f>
        <v>0</v>
      </c>
      <c r="T1300" s="8">
        <f>IF($D1300='[2]Beam '!T$44,$P1300*'[2]Beam '!T$45,0)</f>
        <v>0</v>
      </c>
      <c r="U1300" s="8">
        <f>IF($D1300='[2]Beam '!U$44,$P1300*'[2]Beam '!U$45,0)</f>
        <v>95.848499999999987</v>
      </c>
      <c r="V1300" s="8">
        <f>IF($D1300='[2]Beam '!V$44,$P1300*'[2]Beam '!V$45,0)</f>
        <v>0</v>
      </c>
      <c r="W1300" s="8">
        <f>IF($D1300='[2]Beam '!W$44,$P1300*'[2]Beam '!W$45,0)</f>
        <v>0</v>
      </c>
      <c r="X1300" s="8">
        <f t="shared" ref="X1300:X1307" si="246">SUM(Q1300:W1300)</f>
        <v>95.848499999999987</v>
      </c>
      <c r="Y1300" s="8"/>
      <c r="Z1300" s="8"/>
      <c r="AA1300" s="8"/>
      <c r="AB1300" s="8"/>
      <c r="AC1300" s="8"/>
      <c r="AD1300" s="8"/>
      <c r="AE1300" s="8"/>
    </row>
    <row r="1301" spans="1:32" s="14" customFormat="1" ht="20.100000000000001" customHeight="1" x14ac:dyDescent="0.3">
      <c r="A1301" s="7"/>
      <c r="B1301" s="8" t="s">
        <v>2</v>
      </c>
      <c r="C1301" s="13" t="s">
        <v>139</v>
      </c>
      <c r="D1301" s="8">
        <v>20</v>
      </c>
      <c r="E1301" s="8"/>
      <c r="F1301" s="8">
        <v>5</v>
      </c>
      <c r="G1301" s="9">
        <f>VLOOKUP(D1301,'[2]Beam '!$C$20:$H$26,3,0)</f>
        <v>0.8</v>
      </c>
      <c r="H1301" s="9"/>
      <c r="I1301" s="8"/>
      <c r="J1301" s="8"/>
      <c r="K1301" s="8"/>
      <c r="L1301" s="8"/>
      <c r="M1301" s="8"/>
      <c r="N1301" s="8"/>
      <c r="O1301" s="8">
        <f>(E1299+1*(G1301+1*(1.5/2))*D1299)</f>
        <v>7.77</v>
      </c>
      <c r="P1301" s="8">
        <f t="shared" si="245"/>
        <v>38.849999999999994</v>
      </c>
      <c r="Q1301" s="8">
        <f>IF($D1301='[2]Beam '!Q$44,$P1301*'[2]Beam '!Q$45,0)</f>
        <v>0</v>
      </c>
      <c r="R1301" s="8">
        <f>IF($D1301='[2]Beam '!R$44,$P1301*'[2]Beam '!R$45,0)</f>
        <v>0</v>
      </c>
      <c r="S1301" s="8">
        <f>IF($D1301='[2]Beam '!S$44,$P1301*'[2]Beam '!S$45,0)</f>
        <v>0</v>
      </c>
      <c r="T1301" s="8">
        <f>IF($D1301='[2]Beam '!T$44,$P1301*'[2]Beam '!T$45,0)</f>
        <v>0</v>
      </c>
      <c r="U1301" s="8">
        <f>IF($D1301='[2]Beam '!U$44,$P1301*'[2]Beam '!U$45,0)</f>
        <v>95.848499999999987</v>
      </c>
      <c r="V1301" s="8">
        <f>IF($D1301='[2]Beam '!V$44,$P1301*'[2]Beam '!V$45,0)</f>
        <v>0</v>
      </c>
      <c r="W1301" s="8">
        <f>IF($D1301='[2]Beam '!W$44,$P1301*'[2]Beam '!W$45,0)</f>
        <v>0</v>
      </c>
      <c r="X1301" s="8">
        <f t="shared" si="246"/>
        <v>95.848499999999987</v>
      </c>
      <c r="Y1301" s="8"/>
    </row>
    <row r="1302" spans="1:32" s="14" customFormat="1" ht="20.100000000000001" customHeight="1" x14ac:dyDescent="0.3">
      <c r="A1302" s="7"/>
      <c r="B1302" s="8" t="s">
        <v>2</v>
      </c>
      <c r="C1302" s="13" t="s">
        <v>88</v>
      </c>
      <c r="D1302" s="8">
        <v>20</v>
      </c>
      <c r="E1302" s="8"/>
      <c r="F1302" s="8">
        <v>5</v>
      </c>
      <c r="G1302" s="9">
        <f>VLOOKUP(D1302,'[2]Beam '!$C$20:$H$26,3,0)</f>
        <v>0.8</v>
      </c>
      <c r="H1302" s="9"/>
      <c r="I1302" s="8"/>
      <c r="J1302" s="8"/>
      <c r="K1302" s="8"/>
      <c r="L1302" s="8"/>
      <c r="M1302" s="8"/>
      <c r="N1302" s="8"/>
      <c r="O1302" s="8">
        <f>+E1299-0.3-0.3</f>
        <v>5.62</v>
      </c>
      <c r="P1302" s="8">
        <f t="shared" si="245"/>
        <v>28.1</v>
      </c>
      <c r="Q1302" s="8">
        <f>IF($D1302='[2]Beam '!Q$44,$P1302*'[2]Beam '!Q$45,0)</f>
        <v>0</v>
      </c>
      <c r="R1302" s="8">
        <f>IF($D1302='[2]Beam '!R$44,$P1302*'[2]Beam '!R$45,0)</f>
        <v>0</v>
      </c>
      <c r="S1302" s="8">
        <f>IF($D1302='[2]Beam '!S$44,$P1302*'[2]Beam '!S$45,0)</f>
        <v>0</v>
      </c>
      <c r="T1302" s="8">
        <f>IF($D1302='[2]Beam '!T$44,$P1302*'[2]Beam '!T$45,0)</f>
        <v>0</v>
      </c>
      <c r="U1302" s="8">
        <f>IF($D1302='[2]Beam '!U$44,$P1302*'[2]Beam '!U$45,0)</f>
        <v>69.326714285714289</v>
      </c>
      <c r="V1302" s="8">
        <f>IF($D1302='[2]Beam '!V$44,$P1302*'[2]Beam '!V$45,0)</f>
        <v>0</v>
      </c>
      <c r="W1302" s="8">
        <f>IF($D1302='[2]Beam '!W$44,$P1302*'[2]Beam '!W$45,0)</f>
        <v>0</v>
      </c>
      <c r="X1302" s="8">
        <f t="shared" si="246"/>
        <v>69.326714285714289</v>
      </c>
      <c r="Y1302" s="8"/>
    </row>
    <row r="1303" spans="1:32" s="14" customFormat="1" ht="20.100000000000001" customHeight="1" x14ac:dyDescent="0.25">
      <c r="A1303" s="7"/>
      <c r="B1303" s="8" t="s">
        <v>2</v>
      </c>
      <c r="C1303" s="13" t="s">
        <v>13</v>
      </c>
      <c r="D1303" s="8">
        <v>8</v>
      </c>
      <c r="E1303" s="8">
        <v>0.1</v>
      </c>
      <c r="F1303" s="8">
        <f>ROUND(IF(E1299/3&gt;(2*G1299),(E1299/3)/E1303,(2*G1299)/E1303),0)*2+1</f>
        <v>43</v>
      </c>
      <c r="G1303" s="10"/>
      <c r="H1303" s="8"/>
      <c r="I1303" s="8"/>
      <c r="J1303" s="8"/>
      <c r="K1303" s="8"/>
      <c r="L1303" s="8"/>
      <c r="M1303" s="8"/>
      <c r="N1303" s="8"/>
      <c r="O1303" s="8">
        <f>(2*((G1299-(2*'[2]Beam '!$D$11))+(F1299-(2*'[2]Beam '!$D$11)))+(2*10*D1303/1000))*D1299</f>
        <v>2.12</v>
      </c>
      <c r="P1303" s="8">
        <f t="shared" si="245"/>
        <v>91.160000000000011</v>
      </c>
      <c r="Q1303" s="8">
        <f>IF($D1303='[2]Beam '!Q$44,$P1303*'[2]Beam '!Q$45,0)</f>
        <v>35.984758857142864</v>
      </c>
      <c r="R1303" s="8">
        <f>IF($D1303='[2]Beam '!R$44,$P1303*'[2]Beam '!R$45,0)</f>
        <v>0</v>
      </c>
      <c r="S1303" s="8">
        <f>IF($D1303='[2]Beam '!S$44,$P1303*'[2]Beam '!S$45,0)</f>
        <v>0</v>
      </c>
      <c r="T1303" s="8">
        <f>IF($D1303='[2]Beam '!T$44,$P1303*'[2]Beam '!T$45,0)</f>
        <v>0</v>
      </c>
      <c r="U1303" s="8">
        <f>IF($D1303='[2]Beam '!U$44,$P1303*'[2]Beam '!U$45,0)</f>
        <v>0</v>
      </c>
      <c r="V1303" s="8">
        <f>IF($D1303='[2]Beam '!V$44,$P1303*'[2]Beam '!V$45,0)</f>
        <v>0</v>
      </c>
      <c r="W1303" s="8">
        <f>IF($D1303='[2]Beam '!W$44,$P1303*'[2]Beam '!W$45,0)</f>
        <v>0</v>
      </c>
      <c r="X1303" s="8">
        <f t="shared" si="246"/>
        <v>35.984758857142864</v>
      </c>
      <c r="Y1303" s="8"/>
    </row>
    <row r="1304" spans="1:32" s="10" customFormat="1" ht="20.100000000000001" customHeight="1" x14ac:dyDescent="0.25">
      <c r="A1304" s="14"/>
      <c r="B1304" s="8" t="s">
        <v>2</v>
      </c>
      <c r="C1304" s="13" t="s">
        <v>14</v>
      </c>
      <c r="D1304" s="14">
        <f>D1303</f>
        <v>8</v>
      </c>
      <c r="E1304" s="14">
        <v>0.125</v>
      </c>
      <c r="F1304" s="14">
        <f>ROUND((E1299-(IF(E1299/3&gt;2*G1299,E1299/3*2,G1299*2*2)))/E1304,0)</f>
        <v>17</v>
      </c>
      <c r="H1304" s="14"/>
      <c r="I1304" s="14"/>
      <c r="J1304" s="14"/>
      <c r="K1304" s="14"/>
      <c r="L1304" s="14"/>
      <c r="M1304" s="14"/>
      <c r="N1304" s="14"/>
      <c r="O1304" s="8">
        <f>(2*((G1299-(2*'[2]Beam '!$D$11))+(F1299-(2*'[2]Beam '!$D$11)))+(2*10*D1304/1000))*D1299</f>
        <v>2.12</v>
      </c>
      <c r="P1304" s="8">
        <f t="shared" si="245"/>
        <v>36.04</v>
      </c>
      <c r="Q1304" s="8">
        <f>IF($D1304='[2]Beam '!Q$44,$P1304*'[2]Beam '!Q$45,0)</f>
        <v>14.226532571428573</v>
      </c>
      <c r="R1304" s="8">
        <f>IF($D1304='[2]Beam '!R$44,$P1304*'[2]Beam '!R$45,0)</f>
        <v>0</v>
      </c>
      <c r="S1304" s="8">
        <f>IF($D1304='[2]Beam '!S$44,$P1304*'[2]Beam '!S$45,0)</f>
        <v>0</v>
      </c>
      <c r="T1304" s="8">
        <f>IF($D1304='[2]Beam '!T$44,$P1304*'[2]Beam '!T$45,0)</f>
        <v>0</v>
      </c>
      <c r="U1304" s="8">
        <f>IF($D1304='[2]Beam '!U$44,$P1304*'[2]Beam '!U$45,0)</f>
        <v>0</v>
      </c>
      <c r="V1304" s="8">
        <f>IF($D1304='[2]Beam '!V$44,$P1304*'[2]Beam '!V$45,0)</f>
        <v>0</v>
      </c>
      <c r="W1304" s="8">
        <f>IF($D1304='[2]Beam '!W$44,$P1304*'[2]Beam '!W$45,0)</f>
        <v>0</v>
      </c>
      <c r="X1304" s="8">
        <f t="shared" si="246"/>
        <v>14.226532571428573</v>
      </c>
      <c r="Y1304" s="14"/>
      <c r="Z1304" s="8"/>
      <c r="AA1304" s="8"/>
      <c r="AB1304" s="8"/>
      <c r="AC1304" s="8"/>
      <c r="AD1304" s="8"/>
      <c r="AE1304" s="8"/>
    </row>
    <row r="1305" spans="1:32" s="10" customFormat="1" ht="21" customHeight="1" x14ac:dyDescent="0.25">
      <c r="A1305" s="14"/>
      <c r="B1305" s="8" t="s">
        <v>2</v>
      </c>
      <c r="C1305" s="13" t="s">
        <v>15</v>
      </c>
      <c r="D1305" s="14">
        <f>D1303</f>
        <v>8</v>
      </c>
      <c r="E1305" s="14">
        <f>+E1303</f>
        <v>0.1</v>
      </c>
      <c r="F1305" s="8">
        <f>ROUND(IF(E1299/3&gt;(2*G1299),(E1299/3)/E1305,(2*G1299)/E1305),0)*2+1</f>
        <v>43</v>
      </c>
      <c r="H1305" s="14"/>
      <c r="I1305" s="14"/>
      <c r="J1305" s="14"/>
      <c r="K1305" s="14"/>
      <c r="L1305" s="14"/>
      <c r="M1305" s="14"/>
      <c r="N1305" s="14"/>
      <c r="O1305" s="8">
        <f>(2*(((F1299-'[2]Beam '!$D$11*2)/(F1300-1))+(G1299-'[2]Beam '!$D$11*2))+(2*10*D1305/1000))*D1299</f>
        <v>1.46</v>
      </c>
      <c r="P1305" s="8">
        <f t="shared" si="245"/>
        <v>62.78</v>
      </c>
      <c r="Q1305" s="8">
        <f>IF($D1305='[2]Beam '!Q$44,$P1305*'[2]Beam '!Q$45,0)</f>
        <v>24.781956571428573</v>
      </c>
      <c r="R1305" s="8">
        <f>IF($D1305='[2]Beam '!R$44,$P1305*'[2]Beam '!R$45,0)</f>
        <v>0</v>
      </c>
      <c r="S1305" s="8">
        <f>IF($D1305='[2]Beam '!S$44,$P1305*'[2]Beam '!S$45,0)</f>
        <v>0</v>
      </c>
      <c r="T1305" s="8">
        <f>IF($D1305='[2]Beam '!T$44,$P1305*'[2]Beam '!T$45,0)</f>
        <v>0</v>
      </c>
      <c r="U1305" s="8">
        <f>IF($D1305='[2]Beam '!U$44,$P1305*'[2]Beam '!U$45,0)</f>
        <v>0</v>
      </c>
      <c r="V1305" s="8">
        <f>IF($D1305='[2]Beam '!V$44,$P1305*'[2]Beam '!V$45,0)</f>
        <v>0</v>
      </c>
      <c r="W1305" s="8">
        <f>IF($D1305='[2]Beam '!W$44,$P1305*'[2]Beam '!W$45,0)</f>
        <v>0</v>
      </c>
      <c r="X1305" s="8">
        <f t="shared" si="246"/>
        <v>24.781956571428573</v>
      </c>
      <c r="Y1305" s="14"/>
      <c r="Z1305" s="8"/>
      <c r="AA1305" s="8"/>
      <c r="AB1305" s="8"/>
      <c r="AC1305" s="8"/>
      <c r="AD1305" s="8"/>
      <c r="AE1305" s="8"/>
      <c r="AF1305" s="8"/>
    </row>
    <row r="1306" spans="1:32" s="10" customFormat="1" ht="20.100000000000001" customHeight="1" x14ac:dyDescent="0.25">
      <c r="A1306" s="14"/>
      <c r="B1306" s="8" t="s">
        <v>2</v>
      </c>
      <c r="C1306" s="13" t="s">
        <v>16</v>
      </c>
      <c r="D1306" s="14">
        <f>D1304</f>
        <v>8</v>
      </c>
      <c r="E1306" s="14">
        <f>+E1304</f>
        <v>0.125</v>
      </c>
      <c r="F1306" s="14">
        <f>ROUND((E1299-(IF(E1299/3&gt;2*G1299,E1299/3*2,G1299*2*2)))/E1306,0)</f>
        <v>17</v>
      </c>
      <c r="H1306" s="14"/>
      <c r="I1306" s="14"/>
      <c r="J1306" s="14"/>
      <c r="K1306" s="14"/>
      <c r="L1306" s="14"/>
      <c r="M1306" s="14"/>
      <c r="N1306" s="14"/>
      <c r="O1306" s="8">
        <f>(2*(((F1299-'[2]Beam '!$D$11*2)/(F1300-1))+(G1299-'[2]Beam '!$D$11*2))+(2*10*D1306/1000))*D1299</f>
        <v>1.46</v>
      </c>
      <c r="P1306" s="8">
        <f t="shared" si="245"/>
        <v>24.82</v>
      </c>
      <c r="Q1306" s="8">
        <f>IF($D1306='[2]Beam '!Q$44,$P1306*'[2]Beam '!Q$45,0)</f>
        <v>9.7975177142857159</v>
      </c>
      <c r="R1306" s="8">
        <f>IF($D1306='[2]Beam '!R$44,$P1306*'[2]Beam '!R$45,0)</f>
        <v>0</v>
      </c>
      <c r="S1306" s="8">
        <f>IF($D1306='[2]Beam '!S$44,$P1306*'[2]Beam '!S$45,0)</f>
        <v>0</v>
      </c>
      <c r="T1306" s="8">
        <f>IF($D1306='[2]Beam '!T$44,$P1306*'[2]Beam '!T$45,0)</f>
        <v>0</v>
      </c>
      <c r="U1306" s="8">
        <f>IF($D1306='[2]Beam '!U$44,$P1306*'[2]Beam '!U$45,0)</f>
        <v>0</v>
      </c>
      <c r="V1306" s="8">
        <f>IF($D1306='[2]Beam '!V$44,$P1306*'[2]Beam '!V$45,0)</f>
        <v>0</v>
      </c>
      <c r="W1306" s="8">
        <f>IF($D1306='[2]Beam '!W$44,$P1306*'[2]Beam '!W$45,0)</f>
        <v>0</v>
      </c>
      <c r="X1306" s="8">
        <f t="shared" si="246"/>
        <v>9.7975177142857159</v>
      </c>
      <c r="Y1306" s="14"/>
      <c r="Z1306" s="8"/>
      <c r="AA1306" s="8"/>
      <c r="AB1306" s="8"/>
      <c r="AC1306" s="8"/>
      <c r="AD1306" s="8"/>
      <c r="AE1306" s="8"/>
    </row>
    <row r="1307" spans="1:32" s="10" customFormat="1" ht="20.100000000000001" customHeight="1" x14ac:dyDescent="0.25">
      <c r="A1307" s="7"/>
      <c r="B1307" s="8" t="s">
        <v>2</v>
      </c>
      <c r="C1307" s="13" t="s">
        <v>10</v>
      </c>
      <c r="D1307" s="8">
        <f>+'[2]Beam '!$D$15</f>
        <v>25</v>
      </c>
      <c r="E1307" s="8">
        <f>+'[2]Beam '!$E$15</f>
        <v>1</v>
      </c>
      <c r="F1307" s="8">
        <f>ROUNDUP((O1302)/E1307,0)</f>
        <v>6</v>
      </c>
      <c r="G1307" s="9"/>
      <c r="H1307" s="9"/>
      <c r="I1307" s="8"/>
      <c r="J1307" s="8"/>
      <c r="K1307" s="8"/>
      <c r="L1307" s="8"/>
      <c r="M1307" s="8"/>
      <c r="N1307" s="8"/>
      <c r="O1307" s="8">
        <f>F1299-'[2]Beam '!$F$15</f>
        <v>0.44</v>
      </c>
      <c r="P1307" s="8">
        <f t="shared" si="245"/>
        <v>2.64</v>
      </c>
      <c r="Q1307" s="8">
        <f>IF($D1307='[2]Beam '!Q$44,$P1307*'[2]Beam '!Q$45,0)</f>
        <v>0</v>
      </c>
      <c r="R1307" s="8">
        <f>IF($D1307='[2]Beam '!R$44,$P1307*'[2]Beam '!R$45,0)</f>
        <v>0</v>
      </c>
      <c r="S1307" s="8">
        <f>IF($D1307='[2]Beam '!S$44,$P1307*'[2]Beam '!S$45,0)</f>
        <v>0</v>
      </c>
      <c r="T1307" s="8">
        <f>IF($D1307='[2]Beam '!T$44,$P1307*'[2]Beam '!T$45,0)</f>
        <v>0</v>
      </c>
      <c r="U1307" s="8">
        <f>IF($D1307='[2]Beam '!U$44,$P1307*'[2]Beam '!U$45,0)</f>
        <v>0</v>
      </c>
      <c r="V1307" s="8">
        <f>IF($D1307='[2]Beam '!V$44,$P1307*'[2]Beam '!V$45,0)</f>
        <v>10.176964285714288</v>
      </c>
      <c r="W1307" s="8">
        <f>IF($D1307='[2]Beam '!W$44,$P1307*'[2]Beam '!W$45,0)</f>
        <v>0</v>
      </c>
      <c r="X1307" s="8">
        <f t="shared" si="246"/>
        <v>10.176964285714288</v>
      </c>
      <c r="Y1307" s="8"/>
      <c r="Z1307" s="8"/>
      <c r="AA1307" s="8"/>
      <c r="AB1307" s="8"/>
      <c r="AC1307" s="8"/>
      <c r="AD1307" s="8"/>
      <c r="AE1307" s="8"/>
    </row>
    <row r="1308" spans="1:32" s="10" customFormat="1" ht="20.100000000000001" customHeight="1" x14ac:dyDescent="0.25">
      <c r="A1308" s="8">
        <v>1</v>
      </c>
      <c r="B1308" s="8" t="s">
        <v>2</v>
      </c>
      <c r="C1308" s="11" t="s">
        <v>173</v>
      </c>
      <c r="D1308" s="11">
        <v>1</v>
      </c>
      <c r="E1308" s="11">
        <v>2.23</v>
      </c>
      <c r="F1308" s="11">
        <v>0.3</v>
      </c>
      <c r="G1308" s="11">
        <v>0.6</v>
      </c>
      <c r="H1308" s="8">
        <f>G1308-0.2</f>
        <v>0.39999999999999997</v>
      </c>
      <c r="I1308" s="8">
        <f>E1308*F1308*G1308*D1308</f>
        <v>0.40139999999999992</v>
      </c>
      <c r="J1308" s="8">
        <f>(2*(E1308)*H1308*D1308)+(E1308*F1308)</f>
        <v>2.4529999999999998</v>
      </c>
      <c r="K1308" s="12">
        <f>IF(E1308=0.3,J1308,0)</f>
        <v>0</v>
      </c>
      <c r="L1308" s="12">
        <f>IF(AND(E1308&gt;0.3,E1308&lt;=0.75),J1308,0)</f>
        <v>0</v>
      </c>
      <c r="M1308" s="12">
        <f>IF(AND(E1308&gt;0.75,E1308&lt;=1.2),J1308,0)</f>
        <v>0</v>
      </c>
      <c r="N1308" s="12">
        <f>IF(E1308&gt;1.2,J1308,0)</f>
        <v>2.4529999999999998</v>
      </c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>
        <f>SUM(X1309:X1310)/I1308</f>
        <v>150.09374332692721</v>
      </c>
      <c r="Z1308" s="8"/>
      <c r="AA1308" s="8"/>
      <c r="AB1308" s="8"/>
      <c r="AC1308" s="8"/>
      <c r="AD1308" s="8"/>
      <c r="AE1308" s="8"/>
    </row>
    <row r="1309" spans="1:32" s="14" customFormat="1" ht="20.100000000000001" customHeight="1" x14ac:dyDescent="0.3">
      <c r="A1309" s="7"/>
      <c r="B1309" s="8" t="s">
        <v>2</v>
      </c>
      <c r="C1309" s="13" t="s">
        <v>4</v>
      </c>
      <c r="D1309" s="8">
        <v>20</v>
      </c>
      <c r="E1309" s="8"/>
      <c r="F1309" s="8">
        <v>3</v>
      </c>
      <c r="G1309" s="9">
        <f>VLOOKUP(D1309,'[2]Beam '!$C$20:$H$26,3,0)</f>
        <v>0.8</v>
      </c>
      <c r="H1309" s="9"/>
      <c r="I1309" s="8"/>
      <c r="J1309" s="8"/>
      <c r="K1309" s="8"/>
      <c r="L1309" s="8"/>
      <c r="M1309" s="8"/>
      <c r="N1309" s="8"/>
      <c r="O1309" s="8">
        <f>(E1308+1*(G1309+(12*D1309/1000))+1*(G1309)*D1308)</f>
        <v>4.07</v>
      </c>
      <c r="P1309" s="8">
        <f t="shared" ref="P1309:P1315" si="247">O1309*F1309</f>
        <v>12.21</v>
      </c>
      <c r="Q1309" s="8">
        <f>IF($D1309='[2]Beam '!Q$44,$P1309*'[2]Beam '!Q$45,0)</f>
        <v>0</v>
      </c>
      <c r="R1309" s="8">
        <f>IF($D1309='[2]Beam '!R$44,$P1309*'[2]Beam '!R$45,0)</f>
        <v>0</v>
      </c>
      <c r="S1309" s="8">
        <f>IF($D1309='[2]Beam '!S$44,$P1309*'[2]Beam '!S$45,0)</f>
        <v>0</v>
      </c>
      <c r="T1309" s="8">
        <f>IF($D1309='[2]Beam '!T$44,$P1309*'[2]Beam '!T$45,0)</f>
        <v>0</v>
      </c>
      <c r="U1309" s="8">
        <f>IF($D1309='[2]Beam '!U$44,$P1309*'[2]Beam '!U$45,0)</f>
        <v>30.123814285714285</v>
      </c>
      <c r="V1309" s="8">
        <f>IF($D1309='[2]Beam '!V$44,$P1309*'[2]Beam '!V$45,0)</f>
        <v>0</v>
      </c>
      <c r="W1309" s="8">
        <f>IF($D1309='[2]Beam '!W$44,$P1309*'[2]Beam '!W$45,0)</f>
        <v>0</v>
      </c>
      <c r="X1309" s="8">
        <f t="shared" ref="X1309:X1315" si="248">SUM(Q1309:W1309)</f>
        <v>30.123814285714285</v>
      </c>
      <c r="Y1309" s="8"/>
    </row>
    <row r="1310" spans="1:32" s="14" customFormat="1" ht="20.100000000000001" customHeight="1" x14ac:dyDescent="0.3">
      <c r="A1310" s="7"/>
      <c r="B1310" s="8" t="s">
        <v>2</v>
      </c>
      <c r="C1310" s="13" t="s">
        <v>139</v>
      </c>
      <c r="D1310" s="8">
        <v>20</v>
      </c>
      <c r="E1310" s="8"/>
      <c r="F1310" s="8">
        <v>3</v>
      </c>
      <c r="G1310" s="9">
        <f>VLOOKUP(D1310,'[2]Beam '!$C$20:$H$26,3,0)</f>
        <v>0.8</v>
      </c>
      <c r="H1310" s="9"/>
      <c r="I1310" s="8"/>
      <c r="J1310" s="8"/>
      <c r="K1310" s="8"/>
      <c r="L1310" s="8"/>
      <c r="M1310" s="8"/>
      <c r="N1310" s="8"/>
      <c r="O1310" s="8">
        <f>(E1308+1*(G1310+(12*D1310/1000))+1*(G1310)*D1308)</f>
        <v>4.07</v>
      </c>
      <c r="P1310" s="8">
        <f t="shared" si="247"/>
        <v>12.21</v>
      </c>
      <c r="Q1310" s="8">
        <f>IF($D1310='[2]Beam '!Q$44,$P1310*'[2]Beam '!Q$45,0)</f>
        <v>0</v>
      </c>
      <c r="R1310" s="8">
        <f>IF($D1310='[2]Beam '!R$44,$P1310*'[2]Beam '!R$45,0)</f>
        <v>0</v>
      </c>
      <c r="S1310" s="8">
        <f>IF($D1310='[2]Beam '!S$44,$P1310*'[2]Beam '!S$45,0)</f>
        <v>0</v>
      </c>
      <c r="T1310" s="8">
        <f>IF($D1310='[2]Beam '!T$44,$P1310*'[2]Beam '!T$45,0)</f>
        <v>0</v>
      </c>
      <c r="U1310" s="8">
        <f>IF($D1310='[2]Beam '!U$44,$P1310*'[2]Beam '!U$45,0)</f>
        <v>30.123814285714285</v>
      </c>
      <c r="V1310" s="8">
        <f>IF($D1310='[2]Beam '!V$44,$P1310*'[2]Beam '!V$45,0)</f>
        <v>0</v>
      </c>
      <c r="W1310" s="8">
        <f>IF($D1310='[2]Beam '!W$44,$P1310*'[2]Beam '!W$45,0)</f>
        <v>0</v>
      </c>
      <c r="X1310" s="8">
        <f t="shared" si="248"/>
        <v>30.123814285714285</v>
      </c>
      <c r="Y1310" s="8"/>
    </row>
    <row r="1311" spans="1:32" s="14" customFormat="1" ht="20.100000000000001" customHeight="1" x14ac:dyDescent="0.25">
      <c r="A1311" s="7"/>
      <c r="B1311" s="8" t="s">
        <v>2</v>
      </c>
      <c r="C1311" s="13" t="s">
        <v>13</v>
      </c>
      <c r="D1311" s="8">
        <v>8</v>
      </c>
      <c r="E1311" s="8">
        <v>0.1</v>
      </c>
      <c r="F1311" s="8">
        <f>ROUNDUP((E1308/3*2)/E1311,0)+1</f>
        <v>16</v>
      </c>
      <c r="G1311" s="10"/>
      <c r="H1311" s="8"/>
      <c r="I1311" s="8"/>
      <c r="J1311" s="8"/>
      <c r="K1311" s="8"/>
      <c r="L1311" s="8"/>
      <c r="M1311" s="8"/>
      <c r="N1311" s="8"/>
      <c r="O1311" s="8">
        <f>(2*((G1308-(2*'[2]Beam '!$D$11))+(F1308-(2*'[2]Beam '!$D$11)))+(2*10*D1311/1000))*D1308</f>
        <v>1.72</v>
      </c>
      <c r="P1311" s="8">
        <f t="shared" si="247"/>
        <v>27.52</v>
      </c>
      <c r="Q1311" s="8">
        <f>IF($D1311='[2]Beam '!Q$44,$P1311*'[2]Beam '!Q$45,0)</f>
        <v>10.863323428571428</v>
      </c>
      <c r="R1311" s="8">
        <f>IF($D1311='[2]Beam '!R$44,$P1311*'[2]Beam '!R$45,0)</f>
        <v>0</v>
      </c>
      <c r="S1311" s="8">
        <f>IF($D1311='[2]Beam '!S$44,$P1311*'[2]Beam '!S$45,0)</f>
        <v>0</v>
      </c>
      <c r="T1311" s="8">
        <f>IF($D1311='[2]Beam '!T$44,$P1311*'[2]Beam '!T$45,0)</f>
        <v>0</v>
      </c>
      <c r="U1311" s="8">
        <f>IF($D1311='[2]Beam '!U$44,$P1311*'[2]Beam '!U$45,0)</f>
        <v>0</v>
      </c>
      <c r="V1311" s="8">
        <f>IF($D1311='[2]Beam '!V$44,$P1311*'[2]Beam '!V$45,0)</f>
        <v>0</v>
      </c>
      <c r="W1311" s="8">
        <f>IF($D1311='[2]Beam '!W$44,$P1311*'[2]Beam '!W$45,0)</f>
        <v>0</v>
      </c>
      <c r="X1311" s="8">
        <f t="shared" si="248"/>
        <v>10.863323428571428</v>
      </c>
      <c r="Y1311" s="8"/>
    </row>
    <row r="1312" spans="1:32" s="10" customFormat="1" ht="20.100000000000001" customHeight="1" x14ac:dyDescent="0.25">
      <c r="A1312" s="14"/>
      <c r="B1312" s="8" t="s">
        <v>2</v>
      </c>
      <c r="C1312" s="13" t="s">
        <v>14</v>
      </c>
      <c r="D1312" s="14">
        <f>D1311</f>
        <v>8</v>
      </c>
      <c r="E1312" s="14">
        <v>0.125</v>
      </c>
      <c r="F1312" s="8">
        <f>ROUNDUP((E1308/3)/E1312,0)+1</f>
        <v>7</v>
      </c>
      <c r="H1312" s="14"/>
      <c r="I1312" s="14"/>
      <c r="J1312" s="14"/>
      <c r="K1312" s="14"/>
      <c r="L1312" s="14"/>
      <c r="M1312" s="14"/>
      <c r="N1312" s="14"/>
      <c r="O1312" s="8">
        <f>(2*((G1308-(2*'[2]Beam '!$D$11))+(F1308-(2*'[2]Beam '!$D$11)))+(2*10*D1312/1000))*D1308</f>
        <v>1.72</v>
      </c>
      <c r="P1312" s="8">
        <f t="shared" si="247"/>
        <v>12.04</v>
      </c>
      <c r="Q1312" s="8">
        <f>IF($D1312='[2]Beam '!Q$44,$P1312*'[2]Beam '!Q$45,0)</f>
        <v>4.7527039999999996</v>
      </c>
      <c r="R1312" s="8">
        <f>IF($D1312='[2]Beam '!R$44,$P1312*'[2]Beam '!R$45,0)</f>
        <v>0</v>
      </c>
      <c r="S1312" s="8">
        <f>IF($D1312='[2]Beam '!S$44,$P1312*'[2]Beam '!S$45,0)</f>
        <v>0</v>
      </c>
      <c r="T1312" s="8">
        <f>IF($D1312='[2]Beam '!T$44,$P1312*'[2]Beam '!T$45,0)</f>
        <v>0</v>
      </c>
      <c r="U1312" s="8">
        <f>IF($D1312='[2]Beam '!U$44,$P1312*'[2]Beam '!U$45,0)</f>
        <v>0</v>
      </c>
      <c r="V1312" s="8">
        <f>IF($D1312='[2]Beam '!V$44,$P1312*'[2]Beam '!V$45,0)</f>
        <v>0</v>
      </c>
      <c r="W1312" s="8">
        <f>IF($D1312='[2]Beam '!W$44,$P1312*'[2]Beam '!W$45,0)</f>
        <v>0</v>
      </c>
      <c r="X1312" s="8">
        <f t="shared" si="248"/>
        <v>4.7527039999999996</v>
      </c>
      <c r="Y1312" s="14"/>
      <c r="Z1312" s="8"/>
      <c r="AA1312" s="8"/>
      <c r="AB1312" s="8"/>
      <c r="AC1312" s="8"/>
      <c r="AD1312" s="8"/>
      <c r="AE1312" s="8"/>
    </row>
    <row r="1313" spans="1:32" s="10" customFormat="1" ht="21" customHeight="1" x14ac:dyDescent="0.25">
      <c r="A1313" s="14"/>
      <c r="B1313" s="8" t="s">
        <v>2</v>
      </c>
      <c r="C1313" s="13" t="s">
        <v>15</v>
      </c>
      <c r="D1313" s="14">
        <f>D1311</f>
        <v>8</v>
      </c>
      <c r="E1313" s="14">
        <f>+E1311</f>
        <v>0.1</v>
      </c>
      <c r="F1313" s="8">
        <f>ROUNDUP((E1308/3*2)/E1313,0)+1</f>
        <v>16</v>
      </c>
      <c r="H1313" s="14"/>
      <c r="I1313" s="14"/>
      <c r="J1313" s="14"/>
      <c r="K1313" s="14"/>
      <c r="L1313" s="14"/>
      <c r="M1313" s="14"/>
      <c r="N1313" s="14"/>
      <c r="O1313" s="8">
        <f>(2*(((F1308-'[2]Beam '!$D$11*2)/(F1309-1))+(G1308-'[2]Beam '!$D$11*2))+(2*10*D1313/1000))*D1308</f>
        <v>1.48</v>
      </c>
      <c r="P1313" s="8">
        <f t="shared" si="247"/>
        <v>23.68</v>
      </c>
      <c r="Q1313" s="8">
        <f>IF($D1313='[2]Beam '!Q$44,$P1313*'[2]Beam '!Q$45,0)</f>
        <v>9.3475108571428578</v>
      </c>
      <c r="R1313" s="8">
        <f>IF($D1313='[2]Beam '!R$44,$P1313*'[2]Beam '!R$45,0)</f>
        <v>0</v>
      </c>
      <c r="S1313" s="8">
        <f>IF($D1313='[2]Beam '!S$44,$P1313*'[2]Beam '!S$45,0)</f>
        <v>0</v>
      </c>
      <c r="T1313" s="8">
        <f>IF($D1313='[2]Beam '!T$44,$P1313*'[2]Beam '!T$45,0)</f>
        <v>0</v>
      </c>
      <c r="U1313" s="8">
        <f>IF($D1313='[2]Beam '!U$44,$P1313*'[2]Beam '!U$45,0)</f>
        <v>0</v>
      </c>
      <c r="V1313" s="8">
        <f>IF($D1313='[2]Beam '!V$44,$P1313*'[2]Beam '!V$45,0)</f>
        <v>0</v>
      </c>
      <c r="W1313" s="8">
        <f>IF($D1313='[2]Beam '!W$44,$P1313*'[2]Beam '!W$45,0)</f>
        <v>0</v>
      </c>
      <c r="X1313" s="8">
        <f t="shared" si="248"/>
        <v>9.3475108571428578</v>
      </c>
      <c r="Y1313" s="14"/>
      <c r="Z1313" s="8"/>
      <c r="AA1313" s="8"/>
      <c r="AB1313" s="8"/>
      <c r="AC1313" s="8"/>
      <c r="AD1313" s="8"/>
      <c r="AE1313" s="8"/>
      <c r="AF1313" s="8"/>
    </row>
    <row r="1314" spans="1:32" s="10" customFormat="1" ht="20.100000000000001" customHeight="1" x14ac:dyDescent="0.25">
      <c r="A1314" s="14"/>
      <c r="B1314" s="8" t="s">
        <v>2</v>
      </c>
      <c r="C1314" s="13" t="s">
        <v>16</v>
      </c>
      <c r="D1314" s="14">
        <f>D1312</f>
        <v>8</v>
      </c>
      <c r="E1314" s="14">
        <f>+E1312</f>
        <v>0.125</v>
      </c>
      <c r="F1314" s="8">
        <f>ROUNDUP((E1308/3)/E1314,0)+1</f>
        <v>7</v>
      </c>
      <c r="H1314" s="14"/>
      <c r="I1314" s="14"/>
      <c r="J1314" s="14"/>
      <c r="K1314" s="14"/>
      <c r="L1314" s="14"/>
      <c r="M1314" s="14"/>
      <c r="N1314" s="14"/>
      <c r="O1314" s="8">
        <f>(2*(((F1308-'[2]Beam '!$D$11*2)/(F1309-1))+(G1308-'[2]Beam '!$D$11*2))+(2*10*D1314/1000))*D1308</f>
        <v>1.48</v>
      </c>
      <c r="P1314" s="8">
        <f t="shared" si="247"/>
        <v>10.36</v>
      </c>
      <c r="Q1314" s="8">
        <f>IF($D1314='[2]Beam '!Q$44,$P1314*'[2]Beam '!Q$45,0)</f>
        <v>4.0895359999999998</v>
      </c>
      <c r="R1314" s="8">
        <f>IF($D1314='[2]Beam '!R$44,$P1314*'[2]Beam '!R$45,0)</f>
        <v>0</v>
      </c>
      <c r="S1314" s="8">
        <f>IF($D1314='[2]Beam '!S$44,$P1314*'[2]Beam '!S$45,0)</f>
        <v>0</v>
      </c>
      <c r="T1314" s="8">
        <f>IF($D1314='[2]Beam '!T$44,$P1314*'[2]Beam '!T$45,0)</f>
        <v>0</v>
      </c>
      <c r="U1314" s="8">
        <f>IF($D1314='[2]Beam '!U$44,$P1314*'[2]Beam '!U$45,0)</f>
        <v>0</v>
      </c>
      <c r="V1314" s="8">
        <f>IF($D1314='[2]Beam '!V$44,$P1314*'[2]Beam '!V$45,0)</f>
        <v>0</v>
      </c>
      <c r="W1314" s="8">
        <f>IF($D1314='[2]Beam '!W$44,$P1314*'[2]Beam '!W$45,0)</f>
        <v>0</v>
      </c>
      <c r="X1314" s="8">
        <f t="shared" si="248"/>
        <v>4.0895359999999998</v>
      </c>
      <c r="Y1314" s="14"/>
      <c r="Z1314" s="8"/>
      <c r="AA1314" s="8"/>
      <c r="AB1314" s="8"/>
      <c r="AC1314" s="8"/>
      <c r="AD1314" s="8"/>
      <c r="AE1314" s="8"/>
    </row>
    <row r="1315" spans="1:32" s="10" customFormat="1" ht="20.100000000000001" customHeight="1" x14ac:dyDescent="0.25">
      <c r="A1315" s="7"/>
      <c r="B1315" s="8" t="s">
        <v>2</v>
      </c>
      <c r="C1315" s="13" t="s">
        <v>10</v>
      </c>
      <c r="D1315" s="8">
        <f>+'[2]Beam '!$D$15</f>
        <v>25</v>
      </c>
      <c r="E1315" s="8">
        <f>+'[2]Beam '!$E$15</f>
        <v>1</v>
      </c>
      <c r="F1315" s="8">
        <f>ROUNDUP((E1308)/E1315,0)</f>
        <v>3</v>
      </c>
      <c r="G1315" s="9"/>
      <c r="H1315" s="9"/>
      <c r="I1315" s="8"/>
      <c r="J1315" s="8"/>
      <c r="K1315" s="8"/>
      <c r="L1315" s="8"/>
      <c r="M1315" s="8"/>
      <c r="N1315" s="8"/>
      <c r="O1315" s="8">
        <f>F1308-'[2]Beam '!$F$15</f>
        <v>0.24</v>
      </c>
      <c r="P1315" s="8">
        <f t="shared" si="247"/>
        <v>0.72</v>
      </c>
      <c r="Q1315" s="8">
        <f>IF($D1315='[2]Beam '!Q$44,$P1315*'[2]Beam '!Q$45,0)</f>
        <v>0</v>
      </c>
      <c r="R1315" s="8">
        <f>IF($D1315='[2]Beam '!R$44,$P1315*'[2]Beam '!R$45,0)</f>
        <v>0</v>
      </c>
      <c r="S1315" s="8">
        <f>IF($D1315='[2]Beam '!S$44,$P1315*'[2]Beam '!S$45,0)</f>
        <v>0</v>
      </c>
      <c r="T1315" s="8">
        <f>IF($D1315='[2]Beam '!T$44,$P1315*'[2]Beam '!T$45,0)</f>
        <v>0</v>
      </c>
      <c r="U1315" s="8">
        <f>IF($D1315='[2]Beam '!U$44,$P1315*'[2]Beam '!U$45,0)</f>
        <v>0</v>
      </c>
      <c r="V1315" s="8">
        <f>IF($D1315='[2]Beam '!V$44,$P1315*'[2]Beam '!V$45,0)</f>
        <v>2.7755357142857147</v>
      </c>
      <c r="W1315" s="8">
        <f>IF($D1315='[2]Beam '!W$44,$P1315*'[2]Beam '!W$45,0)</f>
        <v>0</v>
      </c>
      <c r="X1315" s="8">
        <f t="shared" si="248"/>
        <v>2.7755357142857147</v>
      </c>
      <c r="Y1315" s="8"/>
      <c r="Z1315" s="8"/>
      <c r="AA1315" s="8"/>
      <c r="AB1315" s="8"/>
      <c r="AC1315" s="8"/>
      <c r="AD1315" s="8"/>
      <c r="AE1315" s="8"/>
    </row>
    <row r="1316" spans="1:32" s="10" customFormat="1" ht="20.100000000000001" customHeight="1" x14ac:dyDescent="0.25">
      <c r="A1316" s="8">
        <v>1</v>
      </c>
      <c r="B1316" s="8" t="s">
        <v>2</v>
      </c>
      <c r="C1316" s="11" t="s">
        <v>174</v>
      </c>
      <c r="D1316" s="11">
        <v>1</v>
      </c>
      <c r="E1316" s="11">
        <v>4.4249999999999998</v>
      </c>
      <c r="F1316" s="11">
        <v>0.3</v>
      </c>
      <c r="G1316" s="11">
        <v>1.1000000000000001</v>
      </c>
      <c r="H1316" s="8">
        <f>G1316-0.2</f>
        <v>0.90000000000000013</v>
      </c>
      <c r="I1316" s="8">
        <f>E1316*F1316*G1316*D1316</f>
        <v>1.46025</v>
      </c>
      <c r="J1316" s="8">
        <f>(2*(E1316)*H1316*D1316)+(E1316*F1316)</f>
        <v>9.2925000000000004</v>
      </c>
      <c r="K1316" s="12">
        <f>IF(E1316=0.3,J1316,0)</f>
        <v>0</v>
      </c>
      <c r="L1316" s="12">
        <f>IF(AND(E1316&gt;0.3,E1316&lt;=0.75),J1316,0)</f>
        <v>0</v>
      </c>
      <c r="M1316" s="12">
        <f>IF(AND(E1316&gt;0.75,E1316&lt;=1.2),J1316,0)</f>
        <v>0</v>
      </c>
      <c r="N1316" s="12">
        <f>IF(E1316&gt;1.2,J1316,0)</f>
        <v>9.2925000000000004</v>
      </c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>
        <f>SUM(X1317:X1320)/I1316</f>
        <v>75.648302179176753</v>
      </c>
      <c r="Z1316" s="8"/>
      <c r="AA1316" s="8"/>
      <c r="AB1316" s="8"/>
      <c r="AC1316" s="8"/>
      <c r="AD1316" s="8"/>
      <c r="AE1316" s="8"/>
    </row>
    <row r="1317" spans="1:32" s="10" customFormat="1" ht="20.100000000000001" customHeight="1" x14ac:dyDescent="0.25">
      <c r="A1317" s="7"/>
      <c r="B1317" s="8" t="s">
        <v>2</v>
      </c>
      <c r="C1317" s="13" t="s">
        <v>4</v>
      </c>
      <c r="D1317" s="8">
        <v>20</v>
      </c>
      <c r="E1317" s="8"/>
      <c r="F1317" s="8">
        <v>3</v>
      </c>
      <c r="G1317" s="9">
        <f>VLOOKUP(D1317,'[2]Beam '!$C$20:$H$26,3,0)</f>
        <v>0.8</v>
      </c>
      <c r="H1317" s="9"/>
      <c r="I1317" s="8"/>
      <c r="J1317" s="8"/>
      <c r="K1317" s="8"/>
      <c r="L1317" s="8"/>
      <c r="M1317" s="8"/>
      <c r="N1317" s="8"/>
      <c r="O1317" s="8">
        <f>(E1316+1*(G1317+(12*D1317/1000))+1*(G1317)*D1316)</f>
        <v>6.2649999999999997</v>
      </c>
      <c r="P1317" s="8">
        <f t="shared" ref="P1317:P1324" si="249">O1317*F1317</f>
        <v>18.794999999999998</v>
      </c>
      <c r="Q1317" s="8">
        <f>IF($D1317='[2]Beam '!Q$44,$P1317*'[2]Beam '!Q$45,0)</f>
        <v>0</v>
      </c>
      <c r="R1317" s="8">
        <f>IF($D1317='[2]Beam '!R$44,$P1317*'[2]Beam '!R$45,0)</f>
        <v>0</v>
      </c>
      <c r="S1317" s="8">
        <f>IF($D1317='[2]Beam '!S$44,$P1317*'[2]Beam '!S$45,0)</f>
        <v>0</v>
      </c>
      <c r="T1317" s="8">
        <f>IF($D1317='[2]Beam '!T$44,$P1317*'[2]Beam '!T$45,0)</f>
        <v>0</v>
      </c>
      <c r="U1317" s="8">
        <f>IF($D1317='[2]Beam '!U$44,$P1317*'[2]Beam '!U$45,0)</f>
        <v>46.369949999999996</v>
      </c>
      <c r="V1317" s="8">
        <f>IF($D1317='[2]Beam '!V$44,$P1317*'[2]Beam '!V$45,0)</f>
        <v>0</v>
      </c>
      <c r="W1317" s="8">
        <f>IF($D1317='[2]Beam '!W$44,$P1317*'[2]Beam '!W$45,0)</f>
        <v>0</v>
      </c>
      <c r="X1317" s="8">
        <f t="shared" ref="X1317:X1324" si="250">SUM(Q1317:W1317)</f>
        <v>46.369949999999996</v>
      </c>
      <c r="Y1317" s="8"/>
      <c r="Z1317" s="8"/>
      <c r="AA1317" s="8"/>
      <c r="AB1317" s="8"/>
      <c r="AC1317" s="8"/>
      <c r="AD1317" s="8"/>
      <c r="AE1317" s="8"/>
    </row>
    <row r="1318" spans="1:32" s="10" customFormat="1" ht="20.100000000000001" customHeight="1" x14ac:dyDescent="0.25">
      <c r="A1318" s="7"/>
      <c r="B1318" s="8" t="s">
        <v>2</v>
      </c>
      <c r="C1318" s="13" t="s">
        <v>4</v>
      </c>
      <c r="D1318" s="8">
        <v>16</v>
      </c>
      <c r="E1318" s="8"/>
      <c r="F1318" s="8">
        <v>3</v>
      </c>
      <c r="G1318" s="9">
        <f>VLOOKUP(D1318,'[2]Beam '!$C$20:$H$26,3,0)</f>
        <v>0.625</v>
      </c>
      <c r="H1318" s="9"/>
      <c r="I1318" s="8"/>
      <c r="J1318" s="8"/>
      <c r="K1318" s="8"/>
      <c r="L1318" s="8"/>
      <c r="M1318" s="8"/>
      <c r="N1318" s="8"/>
      <c r="O1318" s="8">
        <f>(1.15+1*(G1318))</f>
        <v>1.7749999999999999</v>
      </c>
      <c r="P1318" s="8">
        <f t="shared" si="249"/>
        <v>5.3249999999999993</v>
      </c>
      <c r="Q1318" s="8">
        <f>IF($D1318='[2]Beam '!Q$44,$P1318*'[2]Beam '!Q$45,0)</f>
        <v>0</v>
      </c>
      <c r="R1318" s="8">
        <f>IF($D1318='[2]Beam '!R$44,$P1318*'[2]Beam '!R$45,0)</f>
        <v>0</v>
      </c>
      <c r="S1318" s="8">
        <f>IF($D1318='[2]Beam '!S$44,$P1318*'[2]Beam '!S$45,0)</f>
        <v>0</v>
      </c>
      <c r="T1318" s="8">
        <f>IF($D1318='[2]Beam '!T$44,$P1318*'[2]Beam '!T$45,0)</f>
        <v>8.408022857142857</v>
      </c>
      <c r="U1318" s="8">
        <f>IF($D1318='[2]Beam '!U$44,$P1318*'[2]Beam '!U$45,0)</f>
        <v>0</v>
      </c>
      <c r="V1318" s="8">
        <f>IF($D1318='[2]Beam '!V$44,$P1318*'[2]Beam '!V$45,0)</f>
        <v>0</v>
      </c>
      <c r="W1318" s="8">
        <f>IF($D1318='[2]Beam '!W$44,$P1318*'[2]Beam '!W$45,0)</f>
        <v>0</v>
      </c>
      <c r="X1318" s="8">
        <f t="shared" si="250"/>
        <v>8.408022857142857</v>
      </c>
      <c r="Y1318" s="8"/>
      <c r="Z1318" s="8"/>
      <c r="AA1318" s="8"/>
      <c r="AB1318" s="8"/>
      <c r="AC1318" s="8"/>
      <c r="AD1318" s="8"/>
      <c r="AE1318" s="8"/>
    </row>
    <row r="1319" spans="1:32" s="10" customFormat="1" ht="20.100000000000001" customHeight="1" x14ac:dyDescent="0.25">
      <c r="A1319" s="7"/>
      <c r="B1319" s="8" t="s">
        <v>2</v>
      </c>
      <c r="C1319" s="13" t="s">
        <v>4</v>
      </c>
      <c r="D1319" s="8">
        <v>16</v>
      </c>
      <c r="E1319" s="8"/>
      <c r="F1319" s="8">
        <v>3</v>
      </c>
      <c r="G1319" s="9">
        <f>VLOOKUP(D1319,'[2]Beam '!$C$20:$H$26,3,0)</f>
        <v>0.625</v>
      </c>
      <c r="H1319" s="9"/>
      <c r="I1319" s="8"/>
      <c r="J1319" s="8"/>
      <c r="K1319" s="8"/>
      <c r="L1319" s="8"/>
      <c r="M1319" s="8"/>
      <c r="N1319" s="8"/>
      <c r="O1319" s="8">
        <f>(1.15+1*(G1319+(12*D1319/1000)))</f>
        <v>1.9669999999999999</v>
      </c>
      <c r="P1319" s="8">
        <f t="shared" si="249"/>
        <v>5.9009999999999998</v>
      </c>
      <c r="Q1319" s="8">
        <f>IF($D1319='[2]Beam '!Q$44,$P1319*'[2]Beam '!Q$45,0)</f>
        <v>0</v>
      </c>
      <c r="R1319" s="8">
        <f>IF($D1319='[2]Beam '!R$44,$P1319*'[2]Beam '!R$45,0)</f>
        <v>0</v>
      </c>
      <c r="S1319" s="8">
        <f>IF($D1319='[2]Beam '!S$44,$P1319*'[2]Beam '!S$45,0)</f>
        <v>0</v>
      </c>
      <c r="T1319" s="8">
        <f>IF($D1319='[2]Beam '!T$44,$P1319*'[2]Beam '!T$45,0)</f>
        <v>9.3175103999999997</v>
      </c>
      <c r="U1319" s="8">
        <f>IF($D1319='[2]Beam '!U$44,$P1319*'[2]Beam '!U$45,0)</f>
        <v>0</v>
      </c>
      <c r="V1319" s="8">
        <f>IF($D1319='[2]Beam '!V$44,$P1319*'[2]Beam '!V$45,0)</f>
        <v>0</v>
      </c>
      <c r="W1319" s="8">
        <f>IF($D1319='[2]Beam '!W$44,$P1319*'[2]Beam '!W$45,0)</f>
        <v>0</v>
      </c>
      <c r="X1319" s="8">
        <f t="shared" si="250"/>
        <v>9.3175103999999997</v>
      </c>
      <c r="Y1319" s="8"/>
      <c r="Z1319" s="8"/>
      <c r="AA1319" s="8"/>
      <c r="AB1319" s="8"/>
      <c r="AC1319" s="8"/>
      <c r="AD1319" s="8"/>
      <c r="AE1319" s="8"/>
    </row>
    <row r="1320" spans="1:32" s="14" customFormat="1" ht="20.100000000000001" customHeight="1" x14ac:dyDescent="0.3">
      <c r="A1320" s="7"/>
      <c r="B1320" s="8" t="s">
        <v>2</v>
      </c>
      <c r="C1320" s="13" t="s">
        <v>139</v>
      </c>
      <c r="D1320" s="8">
        <v>20</v>
      </c>
      <c r="E1320" s="8"/>
      <c r="F1320" s="8">
        <v>3</v>
      </c>
      <c r="G1320" s="9">
        <f>VLOOKUP(D1320,'[2]Beam '!$C$20:$H$26,3,0)</f>
        <v>0.8</v>
      </c>
      <c r="H1320" s="9"/>
      <c r="I1320" s="8"/>
      <c r="J1320" s="8"/>
      <c r="K1320" s="8"/>
      <c r="L1320" s="8"/>
      <c r="M1320" s="8"/>
      <c r="N1320" s="8"/>
      <c r="O1320" s="8">
        <f>(E1316+1*(G1320+(12*D1320/1000))+1*(G1320)*D1316)</f>
        <v>6.2649999999999997</v>
      </c>
      <c r="P1320" s="8">
        <f t="shared" si="249"/>
        <v>18.794999999999998</v>
      </c>
      <c r="Q1320" s="8">
        <f>IF($D1320='[2]Beam '!Q$44,$P1320*'[2]Beam '!Q$45,0)</f>
        <v>0</v>
      </c>
      <c r="R1320" s="8">
        <f>IF($D1320='[2]Beam '!R$44,$P1320*'[2]Beam '!R$45,0)</f>
        <v>0</v>
      </c>
      <c r="S1320" s="8">
        <f>IF($D1320='[2]Beam '!S$44,$P1320*'[2]Beam '!S$45,0)</f>
        <v>0</v>
      </c>
      <c r="T1320" s="8">
        <f>IF($D1320='[2]Beam '!T$44,$P1320*'[2]Beam '!T$45,0)</f>
        <v>0</v>
      </c>
      <c r="U1320" s="8">
        <f>IF($D1320='[2]Beam '!U$44,$P1320*'[2]Beam '!U$45,0)</f>
        <v>46.369949999999996</v>
      </c>
      <c r="V1320" s="8">
        <f>IF($D1320='[2]Beam '!V$44,$P1320*'[2]Beam '!V$45,0)</f>
        <v>0</v>
      </c>
      <c r="W1320" s="8">
        <f>IF($D1320='[2]Beam '!W$44,$P1320*'[2]Beam '!W$45,0)</f>
        <v>0</v>
      </c>
      <c r="X1320" s="8">
        <f t="shared" si="250"/>
        <v>46.369949999999996</v>
      </c>
      <c r="Y1320" s="8"/>
    </row>
    <row r="1321" spans="1:32" s="10" customFormat="1" ht="20.100000000000001" customHeight="1" x14ac:dyDescent="0.25">
      <c r="A1321" s="7"/>
      <c r="B1321" s="8" t="s">
        <v>2</v>
      </c>
      <c r="C1321" s="13" t="s">
        <v>88</v>
      </c>
      <c r="D1321" s="8">
        <v>16</v>
      </c>
      <c r="E1321" s="8"/>
      <c r="F1321" s="8">
        <v>2</v>
      </c>
      <c r="G1321" s="9">
        <f>VLOOKUP(D1321,'[2]Beam '!$C$20:$H$26,3,0)</f>
        <v>0.625</v>
      </c>
      <c r="H1321" s="9"/>
      <c r="I1321" s="8"/>
      <c r="J1321" s="8"/>
      <c r="K1321" s="8"/>
      <c r="L1321" s="8"/>
      <c r="M1321" s="8"/>
      <c r="N1321" s="8"/>
      <c r="O1321" s="8">
        <f>(E1316+1*(G1321+(12*D1321/1000))+1*(G1321)*D1316)</f>
        <v>5.867</v>
      </c>
      <c r="P1321" s="8">
        <f t="shared" si="249"/>
        <v>11.734</v>
      </c>
      <c r="Q1321" s="8">
        <f>IF($D1321='[2]Beam '!Q$44,$P1321*'[2]Beam '!Q$45,0)</f>
        <v>0</v>
      </c>
      <c r="R1321" s="8">
        <f>IF($D1321='[2]Beam '!R$44,$P1321*'[2]Beam '!R$45,0)</f>
        <v>0</v>
      </c>
      <c r="S1321" s="8">
        <f>IF($D1321='[2]Beam '!S$44,$P1321*'[2]Beam '!S$45,0)</f>
        <v>0</v>
      </c>
      <c r="T1321" s="8">
        <f>IF($D1321='[2]Beam '!T$44,$P1321*'[2]Beam '!T$45,0)</f>
        <v>18.527650742857144</v>
      </c>
      <c r="U1321" s="8">
        <f>IF($D1321='[2]Beam '!U$44,$P1321*'[2]Beam '!U$45,0)</f>
        <v>0</v>
      </c>
      <c r="V1321" s="8">
        <f>IF($D1321='[2]Beam '!V$44,$P1321*'[2]Beam '!V$45,0)</f>
        <v>0</v>
      </c>
      <c r="W1321" s="8">
        <f>IF($D1321='[2]Beam '!W$44,$P1321*'[2]Beam '!W$45,0)</f>
        <v>0</v>
      </c>
      <c r="X1321" s="8">
        <f t="shared" si="250"/>
        <v>18.527650742857144</v>
      </c>
      <c r="Y1321" s="8"/>
      <c r="Z1321" s="8"/>
      <c r="AA1321" s="8"/>
      <c r="AB1321" s="8"/>
      <c r="AC1321" s="8"/>
      <c r="AD1321" s="8"/>
      <c r="AE1321" s="8"/>
    </row>
    <row r="1322" spans="1:32" s="10" customFormat="1" ht="21" customHeight="1" x14ac:dyDescent="0.25">
      <c r="A1322" s="7"/>
      <c r="B1322" s="8" t="s">
        <v>2</v>
      </c>
      <c r="C1322" s="13" t="s">
        <v>8</v>
      </c>
      <c r="D1322" s="8">
        <v>10</v>
      </c>
      <c r="E1322" s="8">
        <v>0.1</v>
      </c>
      <c r="F1322" s="8">
        <f>ROUNDUP(E1316/E1322,0)</f>
        <v>45</v>
      </c>
      <c r="H1322" s="8"/>
      <c r="I1322" s="8"/>
      <c r="J1322" s="8"/>
      <c r="K1322" s="8"/>
      <c r="L1322" s="8"/>
      <c r="M1322" s="8"/>
      <c r="N1322" s="8"/>
      <c r="O1322" s="8">
        <f>(2*((G1316-(2*'[2]Beam '!$D$11))+(F1316-(2*'[2]Beam '!$D$11)))+(2*10*D1322/1000))*D1316</f>
        <v>2.7600000000000002</v>
      </c>
      <c r="P1322" s="8">
        <f t="shared" si="249"/>
        <v>124.20000000000002</v>
      </c>
      <c r="Q1322" s="8">
        <f>IF($D1322='[2]Beam '!Q$44,$P1322*'[2]Beam '!Q$45,0)</f>
        <v>0</v>
      </c>
      <c r="R1322" s="8">
        <f>IF($D1322='[2]Beam '!R$44,$P1322*'[2]Beam '!R$45,0)</f>
        <v>76.604785714285725</v>
      </c>
      <c r="S1322" s="8">
        <f>IF($D1322='[2]Beam '!S$44,$P1322*'[2]Beam '!S$45,0)</f>
        <v>0</v>
      </c>
      <c r="T1322" s="8">
        <f>IF($D1322='[2]Beam '!T$44,$P1322*'[2]Beam '!T$45,0)</f>
        <v>0</v>
      </c>
      <c r="U1322" s="8">
        <f>IF($D1322='[2]Beam '!U$44,$P1322*'[2]Beam '!U$45,0)</f>
        <v>0</v>
      </c>
      <c r="V1322" s="8">
        <f>IF($D1322='[2]Beam '!V$44,$P1322*'[2]Beam '!V$45,0)</f>
        <v>0</v>
      </c>
      <c r="W1322" s="8">
        <f>IF($D1322='[2]Beam '!W$44,$P1322*'[2]Beam '!W$45,0)</f>
        <v>0</v>
      </c>
      <c r="X1322" s="8">
        <f t="shared" si="250"/>
        <v>76.604785714285725</v>
      </c>
      <c r="Y1322" s="8"/>
      <c r="Z1322" s="8"/>
      <c r="AA1322" s="8"/>
      <c r="AB1322" s="8"/>
      <c r="AC1322" s="8"/>
      <c r="AD1322" s="8"/>
      <c r="AE1322" s="8"/>
      <c r="AF1322" s="8"/>
    </row>
    <row r="1323" spans="1:32" s="10" customFormat="1" ht="20.100000000000001" customHeight="1" x14ac:dyDescent="0.25">
      <c r="A1323" s="14"/>
      <c r="B1323" s="8" t="s">
        <v>2</v>
      </c>
      <c r="C1323" s="13" t="s">
        <v>9</v>
      </c>
      <c r="D1323" s="8">
        <f>+D1322</f>
        <v>10</v>
      </c>
      <c r="E1323" s="14">
        <f>+E1322</f>
        <v>0.1</v>
      </c>
      <c r="F1323" s="8">
        <f>ROUNDUP(E1316/E1323,0)</f>
        <v>45</v>
      </c>
      <c r="H1323" s="14"/>
      <c r="I1323" s="14"/>
      <c r="J1323" s="14"/>
      <c r="K1323" s="14"/>
      <c r="L1323" s="14"/>
      <c r="M1323" s="14"/>
      <c r="N1323" s="14"/>
      <c r="O1323" s="8">
        <f>((((G1316-(2*'[2]Beam '!$D$11))+(2*10*D1323/1000))*D1316))*1</f>
        <v>1.24</v>
      </c>
      <c r="P1323" s="8">
        <f t="shared" si="249"/>
        <v>55.8</v>
      </c>
      <c r="Q1323" s="8">
        <f>IF($D1323='[2]Beam '!Q$44,$P1323*'[2]Beam '!Q$45,0)</f>
        <v>0</v>
      </c>
      <c r="R1323" s="8">
        <f>IF($D1323='[2]Beam '!R$44,$P1323*'[2]Beam '!R$45,0)</f>
        <v>34.416642857142854</v>
      </c>
      <c r="S1323" s="8">
        <f>IF($D1323='[2]Beam '!S$44,$P1323*'[2]Beam '!S$45,0)</f>
        <v>0</v>
      </c>
      <c r="T1323" s="8">
        <f>IF($D1323='[2]Beam '!T$44,$P1323*'[2]Beam '!T$45,0)</f>
        <v>0</v>
      </c>
      <c r="U1323" s="8">
        <f>IF($D1323='[2]Beam '!U$44,$P1323*'[2]Beam '!U$45,0)</f>
        <v>0</v>
      </c>
      <c r="V1323" s="8">
        <f>IF($D1323='[2]Beam '!V$44,$P1323*'[2]Beam '!V$45,0)</f>
        <v>0</v>
      </c>
      <c r="W1323" s="8">
        <f>IF($D1323='[2]Beam '!W$44,$P1323*'[2]Beam '!W$45,0)</f>
        <v>0</v>
      </c>
      <c r="X1323" s="8">
        <f t="shared" si="250"/>
        <v>34.416642857142854</v>
      </c>
      <c r="Y1323" s="14"/>
      <c r="Z1323" s="8"/>
      <c r="AA1323" s="8"/>
      <c r="AB1323" s="8"/>
      <c r="AC1323" s="8"/>
      <c r="AD1323" s="8"/>
      <c r="AE1323" s="8"/>
    </row>
    <row r="1324" spans="1:32" s="10" customFormat="1" ht="20.100000000000001" customHeight="1" x14ac:dyDescent="0.25">
      <c r="A1324" s="7"/>
      <c r="B1324" s="8" t="s">
        <v>2</v>
      </c>
      <c r="C1324" s="13" t="s">
        <v>10</v>
      </c>
      <c r="D1324" s="8">
        <f>+'[2]Beam '!$D$15</f>
        <v>25</v>
      </c>
      <c r="E1324" s="8">
        <f>+'[2]Beam '!$E$15</f>
        <v>1</v>
      </c>
      <c r="F1324" s="8">
        <f>ROUNDUP((O1321+1.15+1.15)/E1324,0)</f>
        <v>9</v>
      </c>
      <c r="G1324" s="9"/>
      <c r="H1324" s="9"/>
      <c r="I1324" s="8"/>
      <c r="J1324" s="8"/>
      <c r="K1324" s="8"/>
      <c r="L1324" s="8"/>
      <c r="M1324" s="8"/>
      <c r="N1324" s="8"/>
      <c r="O1324" s="8">
        <f>F1316-'[2]Beam '!$F$15</f>
        <v>0.24</v>
      </c>
      <c r="P1324" s="8">
        <f t="shared" si="249"/>
        <v>2.16</v>
      </c>
      <c r="Q1324" s="8">
        <f>IF($D1324='[2]Beam '!Q$44,$P1324*'[2]Beam '!Q$45,0)</f>
        <v>0</v>
      </c>
      <c r="R1324" s="8">
        <f>IF($D1324='[2]Beam '!R$44,$P1324*'[2]Beam '!R$45,0)</f>
        <v>0</v>
      </c>
      <c r="S1324" s="8">
        <f>IF($D1324='[2]Beam '!S$44,$P1324*'[2]Beam '!S$45,0)</f>
        <v>0</v>
      </c>
      <c r="T1324" s="8">
        <f>IF($D1324='[2]Beam '!T$44,$P1324*'[2]Beam '!T$45,0)</f>
        <v>0</v>
      </c>
      <c r="U1324" s="8">
        <f>IF($D1324='[2]Beam '!U$44,$P1324*'[2]Beam '!U$45,0)</f>
        <v>0</v>
      </c>
      <c r="V1324" s="8">
        <f>IF($D1324='[2]Beam '!V$44,$P1324*'[2]Beam '!V$45,0)</f>
        <v>8.326607142857144</v>
      </c>
      <c r="W1324" s="8">
        <f>IF($D1324='[2]Beam '!W$44,$P1324*'[2]Beam '!W$45,0)</f>
        <v>0</v>
      </c>
      <c r="X1324" s="8">
        <f t="shared" si="250"/>
        <v>8.326607142857144</v>
      </c>
      <c r="Y1324" s="8"/>
      <c r="Z1324" s="8"/>
      <c r="AA1324" s="8"/>
      <c r="AB1324" s="8"/>
      <c r="AC1324" s="8"/>
      <c r="AD1324" s="8"/>
      <c r="AE1324" s="8"/>
    </row>
    <row r="1325" spans="1:32" s="10" customFormat="1" ht="20.100000000000001" customHeight="1" x14ac:dyDescent="0.25">
      <c r="A1325" s="8">
        <v>1</v>
      </c>
      <c r="B1325" s="8" t="s">
        <v>2</v>
      </c>
      <c r="C1325" s="11" t="s">
        <v>175</v>
      </c>
      <c r="D1325" s="11">
        <v>1</v>
      </c>
      <c r="E1325" s="11">
        <v>1.349</v>
      </c>
      <c r="F1325" s="11">
        <v>0.3</v>
      </c>
      <c r="G1325" s="11">
        <v>1.1000000000000001</v>
      </c>
      <c r="H1325" s="8">
        <f>G1325-0.2</f>
        <v>0.90000000000000013</v>
      </c>
      <c r="I1325" s="8">
        <f>E1325*F1325*G1325*D1325</f>
        <v>0.44517000000000007</v>
      </c>
      <c r="J1325" s="8">
        <f>(2*(E1325)*H1325*D1325)+(E1325*F1325)</f>
        <v>2.8329000000000004</v>
      </c>
      <c r="K1325" s="12">
        <f>IF(E1325=0.3,J1325,0)</f>
        <v>0</v>
      </c>
      <c r="L1325" s="12">
        <f>IF(AND(E1325&gt;0.3,E1325&lt;=0.75),J1325,0)</f>
        <v>0</v>
      </c>
      <c r="M1325" s="12">
        <f>IF(AND(E1325&gt;0.75,E1325&lt;=1.2),J1325,0)</f>
        <v>0</v>
      </c>
      <c r="N1325" s="12">
        <f>IF(E1325&gt;1.2,J1325,0)</f>
        <v>2.8329000000000004</v>
      </c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>
        <f>SUM(X1326:X1329)/I1325</f>
        <v>228.14487503971193</v>
      </c>
      <c r="Z1325" s="8"/>
      <c r="AA1325" s="8"/>
      <c r="AB1325" s="8"/>
      <c r="AC1325" s="8"/>
      <c r="AD1325" s="8"/>
      <c r="AE1325" s="8"/>
    </row>
    <row r="1326" spans="1:32" s="10" customFormat="1" ht="20.100000000000001" customHeight="1" x14ac:dyDescent="0.25">
      <c r="A1326" s="7"/>
      <c r="B1326" s="8" t="s">
        <v>2</v>
      </c>
      <c r="C1326" s="13" t="s">
        <v>4</v>
      </c>
      <c r="D1326" s="8">
        <v>20</v>
      </c>
      <c r="E1326" s="8"/>
      <c r="F1326" s="8">
        <v>3</v>
      </c>
      <c r="G1326" s="9">
        <f>VLOOKUP(D1326,'[2]Beam '!$C$20:$H$26,3,0)</f>
        <v>0.8</v>
      </c>
      <c r="H1326" s="9"/>
      <c r="I1326" s="8"/>
      <c r="J1326" s="8"/>
      <c r="K1326" s="8"/>
      <c r="L1326" s="8"/>
      <c r="M1326" s="8"/>
      <c r="N1326" s="8"/>
      <c r="O1326" s="8">
        <f>(E1325+1*(G1326+(12*D1326/1000))+1*(G1326)*D1325)</f>
        <v>3.1890000000000001</v>
      </c>
      <c r="P1326" s="8">
        <f t="shared" ref="P1326:P1333" si="251">O1326*F1326</f>
        <v>9.5670000000000002</v>
      </c>
      <c r="Q1326" s="8">
        <f>IF($D1326='[2]Beam '!Q$44,$P1326*'[2]Beam '!Q$45,0)</f>
        <v>0</v>
      </c>
      <c r="R1326" s="8">
        <f>IF($D1326='[2]Beam '!R$44,$P1326*'[2]Beam '!R$45,0)</f>
        <v>0</v>
      </c>
      <c r="S1326" s="8">
        <f>IF($D1326='[2]Beam '!S$44,$P1326*'[2]Beam '!S$45,0)</f>
        <v>0</v>
      </c>
      <c r="T1326" s="8">
        <f>IF($D1326='[2]Beam '!T$44,$P1326*'[2]Beam '!T$45,0)</f>
        <v>0</v>
      </c>
      <c r="U1326" s="8">
        <f>IF($D1326='[2]Beam '!U$44,$P1326*'[2]Beam '!U$45,0)</f>
        <v>23.603155714285712</v>
      </c>
      <c r="V1326" s="8">
        <f>IF($D1326='[2]Beam '!V$44,$P1326*'[2]Beam '!V$45,0)</f>
        <v>0</v>
      </c>
      <c r="W1326" s="8">
        <f>IF($D1326='[2]Beam '!W$44,$P1326*'[2]Beam '!W$45,0)</f>
        <v>0</v>
      </c>
      <c r="X1326" s="8">
        <f t="shared" ref="X1326:X1333" si="252">SUM(Q1326:W1326)</f>
        <v>23.603155714285712</v>
      </c>
      <c r="Y1326" s="8"/>
      <c r="Z1326" s="8"/>
      <c r="AA1326" s="8"/>
      <c r="AB1326" s="8"/>
      <c r="AC1326" s="8"/>
      <c r="AD1326" s="8"/>
      <c r="AE1326" s="8"/>
    </row>
    <row r="1327" spans="1:32" s="10" customFormat="1" ht="20.100000000000001" customHeight="1" x14ac:dyDescent="0.25">
      <c r="A1327" s="7"/>
      <c r="B1327" s="8" t="s">
        <v>2</v>
      </c>
      <c r="C1327" s="13" t="s">
        <v>4</v>
      </c>
      <c r="D1327" s="8">
        <v>25</v>
      </c>
      <c r="E1327" s="8"/>
      <c r="F1327" s="8">
        <v>3</v>
      </c>
      <c r="G1327" s="9">
        <f>VLOOKUP(D1327,'[2]Beam '!$C$20:$H$26,3,0)</f>
        <v>1</v>
      </c>
      <c r="H1327" s="9"/>
      <c r="I1327" s="8"/>
      <c r="J1327" s="8"/>
      <c r="K1327" s="8"/>
      <c r="L1327" s="8"/>
      <c r="M1327" s="8"/>
      <c r="N1327" s="8"/>
      <c r="O1327" s="8">
        <f>(E1325+1*(G1327+(12*D1327/1000))+1*(G1327)*D1325)</f>
        <v>3.649</v>
      </c>
      <c r="P1327" s="8">
        <f t="shared" si="251"/>
        <v>10.946999999999999</v>
      </c>
      <c r="Q1327" s="8">
        <f>IF($D1327='[2]Beam '!Q$44,$P1327*'[2]Beam '!Q$45,0)</f>
        <v>0</v>
      </c>
      <c r="R1327" s="8">
        <f>IF($D1327='[2]Beam '!R$44,$P1327*'[2]Beam '!R$45,0)</f>
        <v>0</v>
      </c>
      <c r="S1327" s="8">
        <f>IF($D1327='[2]Beam '!S$44,$P1327*'[2]Beam '!S$45,0)</f>
        <v>0</v>
      </c>
      <c r="T1327" s="8">
        <f>IF($D1327='[2]Beam '!T$44,$P1327*'[2]Beam '!T$45,0)</f>
        <v>0</v>
      </c>
      <c r="U1327" s="8">
        <f>IF($D1327='[2]Beam '!U$44,$P1327*'[2]Beam '!U$45,0)</f>
        <v>0</v>
      </c>
      <c r="V1327" s="8">
        <f>IF($D1327='[2]Beam '!V$44,$P1327*'[2]Beam '!V$45,0)</f>
        <v>42.199707589285715</v>
      </c>
      <c r="W1327" s="8">
        <f>IF($D1327='[2]Beam '!W$44,$P1327*'[2]Beam '!W$45,0)</f>
        <v>0</v>
      </c>
      <c r="X1327" s="8">
        <f t="shared" si="252"/>
        <v>42.199707589285715</v>
      </c>
      <c r="Y1327" s="8"/>
      <c r="Z1327" s="8"/>
      <c r="AA1327" s="8"/>
      <c r="AB1327" s="8"/>
      <c r="AC1327" s="8"/>
      <c r="AD1327" s="8"/>
      <c r="AE1327" s="8"/>
    </row>
    <row r="1328" spans="1:32" s="10" customFormat="1" ht="20.100000000000001" customHeight="1" x14ac:dyDescent="0.25">
      <c r="A1328" s="7"/>
      <c r="B1328" s="8" t="s">
        <v>2</v>
      </c>
      <c r="C1328" s="13" t="s">
        <v>4</v>
      </c>
      <c r="D1328" s="8">
        <v>25</v>
      </c>
      <c r="E1328" s="8"/>
      <c r="F1328" s="8">
        <v>3</v>
      </c>
      <c r="G1328" s="9">
        <f>VLOOKUP(D1328,'[2]Beam '!$C$20:$H$26,3,0)</f>
        <v>1</v>
      </c>
      <c r="H1328" s="9"/>
      <c r="I1328" s="8"/>
      <c r="J1328" s="8"/>
      <c r="K1328" s="8"/>
      <c r="L1328" s="8"/>
      <c r="M1328" s="8"/>
      <c r="N1328" s="8"/>
      <c r="O1328" s="8">
        <f>+E1325-0.4+1*(G1328)*D1325</f>
        <v>1.9489999999999998</v>
      </c>
      <c r="P1328" s="8">
        <f t="shared" si="251"/>
        <v>5.8469999999999995</v>
      </c>
      <c r="Q1328" s="8">
        <f>IF($D1328='[2]Beam '!Q$44,$P1328*'[2]Beam '!Q$45,0)</f>
        <v>0</v>
      </c>
      <c r="R1328" s="8">
        <f>IF($D1328='[2]Beam '!R$44,$P1328*'[2]Beam '!R$45,0)</f>
        <v>0</v>
      </c>
      <c r="S1328" s="8">
        <f>IF($D1328='[2]Beam '!S$44,$P1328*'[2]Beam '!S$45,0)</f>
        <v>0</v>
      </c>
      <c r="T1328" s="8">
        <f>IF($D1328='[2]Beam '!T$44,$P1328*'[2]Beam '!T$45,0)</f>
        <v>0</v>
      </c>
      <c r="U1328" s="8">
        <f>IF($D1328='[2]Beam '!U$44,$P1328*'[2]Beam '!U$45,0)</f>
        <v>0</v>
      </c>
      <c r="V1328" s="8">
        <f>IF($D1328='[2]Beam '!V$44,$P1328*'[2]Beam '!V$45,0)</f>
        <v>22.539662946428574</v>
      </c>
      <c r="W1328" s="8">
        <f>IF($D1328='[2]Beam '!W$44,$P1328*'[2]Beam '!W$45,0)</f>
        <v>0</v>
      </c>
      <c r="X1328" s="8">
        <f t="shared" si="252"/>
        <v>22.539662946428574</v>
      </c>
      <c r="Y1328" s="8"/>
      <c r="Z1328" s="8"/>
      <c r="AA1328" s="8"/>
      <c r="AB1328" s="8"/>
      <c r="AC1328" s="8"/>
      <c r="AD1328" s="8"/>
      <c r="AE1328" s="8"/>
    </row>
    <row r="1329" spans="1:32" s="14" customFormat="1" ht="20.100000000000001" customHeight="1" x14ac:dyDescent="0.3">
      <c r="A1329" s="7"/>
      <c r="B1329" s="8" t="s">
        <v>2</v>
      </c>
      <c r="C1329" s="13" t="s">
        <v>139</v>
      </c>
      <c r="D1329" s="8">
        <v>16</v>
      </c>
      <c r="E1329" s="8"/>
      <c r="F1329" s="8">
        <v>3</v>
      </c>
      <c r="G1329" s="9">
        <f>VLOOKUP(D1329,'[2]Beam '!$C$20:$H$26,3,0)</f>
        <v>0.625</v>
      </c>
      <c r="H1329" s="9"/>
      <c r="I1329" s="8"/>
      <c r="J1329" s="8"/>
      <c r="K1329" s="8"/>
      <c r="L1329" s="8"/>
      <c r="M1329" s="8"/>
      <c r="N1329" s="8"/>
      <c r="O1329" s="8">
        <f>(E1325+1*(G1329+(12*D1329/1000))+1*(G1329)*D1325)</f>
        <v>2.7909999999999999</v>
      </c>
      <c r="P1329" s="8">
        <f t="shared" si="251"/>
        <v>8.3729999999999993</v>
      </c>
      <c r="Q1329" s="8">
        <f>IF($D1329='[2]Beam '!Q$44,$P1329*'[2]Beam '!Q$45,0)</f>
        <v>0</v>
      </c>
      <c r="R1329" s="8">
        <f>IF($D1329='[2]Beam '!R$44,$P1329*'[2]Beam '!R$45,0)</f>
        <v>0</v>
      </c>
      <c r="S1329" s="8">
        <f>IF($D1329='[2]Beam '!S$44,$P1329*'[2]Beam '!S$45,0)</f>
        <v>0</v>
      </c>
      <c r="T1329" s="8">
        <f>IF($D1329='[2]Beam '!T$44,$P1329*'[2]Beam '!T$45,0)</f>
        <v>13.220727771428571</v>
      </c>
      <c r="U1329" s="8">
        <f>IF($D1329='[2]Beam '!U$44,$P1329*'[2]Beam '!U$45,0)</f>
        <v>0</v>
      </c>
      <c r="V1329" s="8">
        <f>IF($D1329='[2]Beam '!V$44,$P1329*'[2]Beam '!V$45,0)</f>
        <v>0</v>
      </c>
      <c r="W1329" s="8">
        <f>IF($D1329='[2]Beam '!W$44,$P1329*'[2]Beam '!W$45,0)</f>
        <v>0</v>
      </c>
      <c r="X1329" s="8">
        <f t="shared" si="252"/>
        <v>13.220727771428571</v>
      </c>
      <c r="Y1329" s="8"/>
    </row>
    <row r="1330" spans="1:32" s="10" customFormat="1" ht="20.100000000000001" customHeight="1" x14ac:dyDescent="0.25">
      <c r="A1330" s="7"/>
      <c r="B1330" s="8" t="s">
        <v>2</v>
      </c>
      <c r="C1330" s="13" t="s">
        <v>88</v>
      </c>
      <c r="D1330" s="8">
        <v>16</v>
      </c>
      <c r="E1330" s="8"/>
      <c r="F1330" s="8">
        <v>3</v>
      </c>
      <c r="G1330" s="9">
        <f>VLOOKUP(D1330,'[2]Beam '!$C$20:$H$26,3,0)</f>
        <v>0.625</v>
      </c>
      <c r="H1330" s="9"/>
      <c r="I1330" s="8"/>
      <c r="J1330" s="8"/>
      <c r="K1330" s="8"/>
      <c r="L1330" s="8"/>
      <c r="M1330" s="8"/>
      <c r="N1330" s="8"/>
      <c r="O1330" s="8">
        <f>(E1325+1*(G1330+(12*D1330/1000))+1*(G1330)*D1325)</f>
        <v>2.7909999999999999</v>
      </c>
      <c r="P1330" s="8">
        <f t="shared" si="251"/>
        <v>8.3729999999999993</v>
      </c>
      <c r="Q1330" s="8">
        <f>IF($D1330='[2]Beam '!Q$44,$P1330*'[2]Beam '!Q$45,0)</f>
        <v>0</v>
      </c>
      <c r="R1330" s="8">
        <f>IF($D1330='[2]Beam '!R$44,$P1330*'[2]Beam '!R$45,0)</f>
        <v>0</v>
      </c>
      <c r="S1330" s="8">
        <f>IF($D1330='[2]Beam '!S$44,$P1330*'[2]Beam '!S$45,0)</f>
        <v>0</v>
      </c>
      <c r="T1330" s="8">
        <f>IF($D1330='[2]Beam '!T$44,$P1330*'[2]Beam '!T$45,0)</f>
        <v>13.220727771428571</v>
      </c>
      <c r="U1330" s="8">
        <f>IF($D1330='[2]Beam '!U$44,$P1330*'[2]Beam '!U$45,0)</f>
        <v>0</v>
      </c>
      <c r="V1330" s="8">
        <f>IF($D1330='[2]Beam '!V$44,$P1330*'[2]Beam '!V$45,0)</f>
        <v>0</v>
      </c>
      <c r="W1330" s="8">
        <f>IF($D1330='[2]Beam '!W$44,$P1330*'[2]Beam '!W$45,0)</f>
        <v>0</v>
      </c>
      <c r="X1330" s="8">
        <f t="shared" si="252"/>
        <v>13.220727771428571</v>
      </c>
      <c r="Y1330" s="8"/>
      <c r="Z1330" s="8"/>
      <c r="AA1330" s="8"/>
      <c r="AB1330" s="8"/>
      <c r="AC1330" s="8"/>
      <c r="AD1330" s="8"/>
      <c r="AE1330" s="8"/>
    </row>
    <row r="1331" spans="1:32" s="10" customFormat="1" ht="21" customHeight="1" x14ac:dyDescent="0.25">
      <c r="A1331" s="7"/>
      <c r="B1331" s="8" t="s">
        <v>2</v>
      </c>
      <c r="C1331" s="13" t="s">
        <v>8</v>
      </c>
      <c r="D1331" s="8">
        <v>12</v>
      </c>
      <c r="E1331" s="8">
        <v>0.1</v>
      </c>
      <c r="F1331" s="8">
        <f>ROUNDUP(E1325/E1331,0)</f>
        <v>14</v>
      </c>
      <c r="H1331" s="8"/>
      <c r="I1331" s="8"/>
      <c r="J1331" s="8"/>
      <c r="K1331" s="8"/>
      <c r="L1331" s="8"/>
      <c r="M1331" s="8"/>
      <c r="N1331" s="8"/>
      <c r="O1331" s="8">
        <f>(2*((G1325-(2*'[2]Beam '!$D$11))+(F1325-(2*'[2]Beam '!$D$11)))+(2*10*D1331/1000))*D1325</f>
        <v>2.8</v>
      </c>
      <c r="P1331" s="8">
        <f t="shared" si="251"/>
        <v>39.199999999999996</v>
      </c>
      <c r="Q1331" s="8">
        <f>IF($D1331='[2]Beam '!Q$44,$P1331*'[2]Beam '!Q$45,0)</f>
        <v>0</v>
      </c>
      <c r="R1331" s="8">
        <f>IF($D1331='[2]Beam '!R$44,$P1331*'[2]Beam '!R$45,0)</f>
        <v>0</v>
      </c>
      <c r="S1331" s="8">
        <f>IF($D1331='[2]Beam '!S$44,$P1331*'[2]Beam '!S$45,0)</f>
        <v>34.816320000000005</v>
      </c>
      <c r="T1331" s="8">
        <f>IF($D1331='[2]Beam '!T$44,$P1331*'[2]Beam '!T$45,0)</f>
        <v>0</v>
      </c>
      <c r="U1331" s="8">
        <f>IF($D1331='[2]Beam '!U$44,$P1331*'[2]Beam '!U$45,0)</f>
        <v>0</v>
      </c>
      <c r="V1331" s="8">
        <f>IF($D1331='[2]Beam '!V$44,$P1331*'[2]Beam '!V$45,0)</f>
        <v>0</v>
      </c>
      <c r="W1331" s="8">
        <f>IF($D1331='[2]Beam '!W$44,$P1331*'[2]Beam '!W$45,0)</f>
        <v>0</v>
      </c>
      <c r="X1331" s="8">
        <f t="shared" si="252"/>
        <v>34.816320000000005</v>
      </c>
      <c r="Y1331" s="8"/>
      <c r="Z1331" s="8"/>
      <c r="AA1331" s="8"/>
      <c r="AB1331" s="8"/>
      <c r="AC1331" s="8"/>
      <c r="AD1331" s="8"/>
      <c r="AE1331" s="8"/>
      <c r="AF1331" s="8"/>
    </row>
    <row r="1332" spans="1:32" s="10" customFormat="1" ht="20.100000000000001" customHeight="1" x14ac:dyDescent="0.25">
      <c r="A1332" s="14"/>
      <c r="B1332" s="8" t="s">
        <v>2</v>
      </c>
      <c r="C1332" s="13" t="s">
        <v>9</v>
      </c>
      <c r="D1332" s="8">
        <f>+D1331</f>
        <v>12</v>
      </c>
      <c r="E1332" s="14">
        <f>+E1331</f>
        <v>0.1</v>
      </c>
      <c r="F1332" s="8">
        <f>ROUNDUP(E1325/E1332,0)</f>
        <v>14</v>
      </c>
      <c r="H1332" s="14"/>
      <c r="I1332" s="14"/>
      <c r="J1332" s="14"/>
      <c r="K1332" s="14"/>
      <c r="L1332" s="14"/>
      <c r="M1332" s="14"/>
      <c r="N1332" s="14"/>
      <c r="O1332" s="8">
        <f>((((G1325-(2*'[2]Beam '!$D$11))+(2*10*D1332/1000))*D1325))*1</f>
        <v>1.28</v>
      </c>
      <c r="P1332" s="8">
        <f t="shared" si="251"/>
        <v>17.920000000000002</v>
      </c>
      <c r="Q1332" s="8">
        <f>IF($D1332='[2]Beam '!Q$44,$P1332*'[2]Beam '!Q$45,0)</f>
        <v>0</v>
      </c>
      <c r="R1332" s="8">
        <f>IF($D1332='[2]Beam '!R$44,$P1332*'[2]Beam '!R$45,0)</f>
        <v>0</v>
      </c>
      <c r="S1332" s="8">
        <f>IF($D1332='[2]Beam '!S$44,$P1332*'[2]Beam '!S$45,0)</f>
        <v>15.916032000000005</v>
      </c>
      <c r="T1332" s="8">
        <f>IF($D1332='[2]Beam '!T$44,$P1332*'[2]Beam '!T$45,0)</f>
        <v>0</v>
      </c>
      <c r="U1332" s="8">
        <f>IF($D1332='[2]Beam '!U$44,$P1332*'[2]Beam '!U$45,0)</f>
        <v>0</v>
      </c>
      <c r="V1332" s="8">
        <f>IF($D1332='[2]Beam '!V$44,$P1332*'[2]Beam '!V$45,0)</f>
        <v>0</v>
      </c>
      <c r="W1332" s="8">
        <f>IF($D1332='[2]Beam '!W$44,$P1332*'[2]Beam '!W$45,0)</f>
        <v>0</v>
      </c>
      <c r="X1332" s="8">
        <f t="shared" si="252"/>
        <v>15.916032000000005</v>
      </c>
      <c r="Y1332" s="14"/>
      <c r="Z1332" s="8"/>
      <c r="AA1332" s="8"/>
      <c r="AB1332" s="8"/>
      <c r="AC1332" s="8"/>
      <c r="AD1332" s="8"/>
      <c r="AE1332" s="8"/>
    </row>
    <row r="1333" spans="1:32" s="10" customFormat="1" ht="20.100000000000001" customHeight="1" x14ac:dyDescent="0.25">
      <c r="A1333" s="7"/>
      <c r="B1333" s="8" t="s">
        <v>2</v>
      </c>
      <c r="C1333" s="13" t="s">
        <v>10</v>
      </c>
      <c r="D1333" s="8">
        <f>+'[2]Beam '!$D$15</f>
        <v>25</v>
      </c>
      <c r="E1333" s="8">
        <f>+'[2]Beam '!$E$15</f>
        <v>1</v>
      </c>
      <c r="F1333" s="8">
        <f>ROUNDUP((E1325)/E1333,0)</f>
        <v>2</v>
      </c>
      <c r="G1333" s="9"/>
      <c r="H1333" s="9"/>
      <c r="I1333" s="8"/>
      <c r="J1333" s="8"/>
      <c r="K1333" s="8"/>
      <c r="L1333" s="8"/>
      <c r="M1333" s="8"/>
      <c r="N1333" s="8"/>
      <c r="O1333" s="8">
        <f>F1325-'[2]Beam '!$F$15</f>
        <v>0.24</v>
      </c>
      <c r="P1333" s="8">
        <f t="shared" si="251"/>
        <v>0.48</v>
      </c>
      <c r="Q1333" s="8">
        <f>IF($D1333='[2]Beam '!Q$44,$P1333*'[2]Beam '!Q$45,0)</f>
        <v>0</v>
      </c>
      <c r="R1333" s="8">
        <f>IF($D1333='[2]Beam '!R$44,$P1333*'[2]Beam '!R$45,0)</f>
        <v>0</v>
      </c>
      <c r="S1333" s="8">
        <f>IF($D1333='[2]Beam '!S$44,$P1333*'[2]Beam '!S$45,0)</f>
        <v>0</v>
      </c>
      <c r="T1333" s="8">
        <f>IF($D1333='[2]Beam '!T$44,$P1333*'[2]Beam '!T$45,0)</f>
        <v>0</v>
      </c>
      <c r="U1333" s="8">
        <f>IF($D1333='[2]Beam '!U$44,$P1333*'[2]Beam '!U$45,0)</f>
        <v>0</v>
      </c>
      <c r="V1333" s="8">
        <f>IF($D1333='[2]Beam '!V$44,$P1333*'[2]Beam '!V$45,0)</f>
        <v>1.850357142857143</v>
      </c>
      <c r="W1333" s="8">
        <f>IF($D1333='[2]Beam '!W$44,$P1333*'[2]Beam '!W$45,0)</f>
        <v>0</v>
      </c>
      <c r="X1333" s="8">
        <f t="shared" si="252"/>
        <v>1.850357142857143</v>
      </c>
      <c r="Y1333" s="8"/>
      <c r="Z1333" s="8"/>
      <c r="AA1333" s="8"/>
      <c r="AB1333" s="8"/>
      <c r="AC1333" s="8"/>
      <c r="AD1333" s="8"/>
      <c r="AE1333" s="8"/>
    </row>
    <row r="1334" spans="1:32" s="10" customFormat="1" ht="20.100000000000001" customHeight="1" x14ac:dyDescent="0.25">
      <c r="A1334" s="8">
        <v>1</v>
      </c>
      <c r="B1334" s="8" t="s">
        <v>2</v>
      </c>
      <c r="C1334" s="11" t="s">
        <v>176</v>
      </c>
      <c r="D1334" s="11">
        <v>1</v>
      </c>
      <c r="E1334" s="11">
        <v>2.4</v>
      </c>
      <c r="F1334" s="11">
        <v>0.3</v>
      </c>
      <c r="G1334" s="11">
        <v>1.1000000000000001</v>
      </c>
      <c r="H1334" s="8">
        <f>G1334-0.2</f>
        <v>0.90000000000000013</v>
      </c>
      <c r="I1334" s="8">
        <f>E1334*F1334*G1334*D1334</f>
        <v>0.79200000000000004</v>
      </c>
      <c r="J1334" s="8">
        <f>(2*(E1334)*H1334*D1334)+(E1334*F1334)</f>
        <v>5.04</v>
      </c>
      <c r="K1334" s="12">
        <f>IF(E1334=0.3,J1334,0)</f>
        <v>0</v>
      </c>
      <c r="L1334" s="12">
        <f>IF(AND(E1334&gt;0.3,E1334&lt;=0.75),J1334,0)</f>
        <v>0</v>
      </c>
      <c r="M1334" s="12">
        <f>IF(AND(E1334&gt;0.75,E1334&lt;=1.2),J1334,0)</f>
        <v>0</v>
      </c>
      <c r="N1334" s="12">
        <f>IF(E1334&gt;1.2,J1334,0)</f>
        <v>5.04</v>
      </c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>
        <f>SUM(X1335:X1337)/I1334</f>
        <v>80.790704761904777</v>
      </c>
      <c r="Z1334" s="8"/>
      <c r="AA1334" s="8"/>
      <c r="AB1334" s="8"/>
      <c r="AC1334" s="8"/>
      <c r="AD1334" s="8"/>
      <c r="AE1334" s="8"/>
    </row>
    <row r="1335" spans="1:32" s="10" customFormat="1" ht="21" customHeight="1" x14ac:dyDescent="0.25">
      <c r="A1335" s="7"/>
      <c r="B1335" s="8" t="s">
        <v>2</v>
      </c>
      <c r="C1335" s="13" t="s">
        <v>4</v>
      </c>
      <c r="D1335" s="8">
        <v>16</v>
      </c>
      <c r="E1335" s="8"/>
      <c r="F1335" s="8">
        <v>3</v>
      </c>
      <c r="G1335" s="9">
        <f>VLOOKUP(D1335,'[2]Beam '!$C$20:$H$26,3,0)</f>
        <v>0.625</v>
      </c>
      <c r="H1335" s="9"/>
      <c r="I1335" s="8"/>
      <c r="J1335" s="8"/>
      <c r="K1335" s="8"/>
      <c r="L1335" s="8"/>
      <c r="M1335" s="8"/>
      <c r="N1335" s="8"/>
      <c r="O1335" s="8">
        <f>(E1334+2*(G1335+(12*D1335/1000))*D1334)</f>
        <v>4.0339999999999998</v>
      </c>
      <c r="P1335" s="8">
        <f>O1335*F1335</f>
        <v>12.102</v>
      </c>
      <c r="Q1335" s="8">
        <f>IF($D1335='[2]Beam '!Q$44,$P1335*'[2]Beam '!Q$45,0)</f>
        <v>0</v>
      </c>
      <c r="R1335" s="8">
        <f>IF($D1335='[2]Beam '!R$44,$P1335*'[2]Beam '!R$45,0)</f>
        <v>0</v>
      </c>
      <c r="S1335" s="8">
        <f>IF($D1335='[2]Beam '!S$44,$P1335*'[2]Beam '!S$45,0)</f>
        <v>0</v>
      </c>
      <c r="T1335" s="8">
        <f>IF($D1335='[2]Beam '!T$44,$P1335*'[2]Beam '!T$45,0)</f>
        <v>19.108712228571431</v>
      </c>
      <c r="U1335" s="8">
        <f>IF($D1335='[2]Beam '!U$44,$P1335*'[2]Beam '!U$45,0)</f>
        <v>0</v>
      </c>
      <c r="V1335" s="8">
        <f>IF($D1335='[2]Beam '!V$44,$P1335*'[2]Beam '!V$45,0)</f>
        <v>0</v>
      </c>
      <c r="W1335" s="8">
        <f>IF($D1335='[2]Beam '!W$44,$P1335*'[2]Beam '!W$45,0)</f>
        <v>0</v>
      </c>
      <c r="X1335" s="8">
        <f>SUM(Q1335:W1335)</f>
        <v>19.108712228571431</v>
      </c>
      <c r="Y1335" s="8"/>
      <c r="Z1335" s="8"/>
      <c r="AA1335" s="8"/>
      <c r="AB1335" s="8"/>
      <c r="AC1335" s="8"/>
      <c r="AD1335" s="8"/>
      <c r="AE1335" s="8"/>
      <c r="AF1335" s="8"/>
    </row>
    <row r="1336" spans="1:32" s="10" customFormat="1" ht="20.100000000000001" customHeight="1" x14ac:dyDescent="0.25">
      <c r="A1336" s="7"/>
      <c r="B1336" s="8" t="s">
        <v>2</v>
      </c>
      <c r="C1336" s="13" t="s">
        <v>139</v>
      </c>
      <c r="D1336" s="8">
        <v>16</v>
      </c>
      <c r="E1336" s="8"/>
      <c r="F1336" s="8">
        <v>3</v>
      </c>
      <c r="G1336" s="9">
        <f>VLOOKUP(D1336,'[2]Beam '!$C$20:$H$26,3,0)</f>
        <v>0.625</v>
      </c>
      <c r="H1336" s="9"/>
      <c r="I1336" s="8"/>
      <c r="J1336" s="8"/>
      <c r="K1336" s="8"/>
      <c r="L1336" s="8"/>
      <c r="M1336" s="8"/>
      <c r="N1336" s="8"/>
      <c r="O1336" s="8">
        <f>(E1334+2*(G1336+(12*D1336/1000))*D1334)</f>
        <v>4.0339999999999998</v>
      </c>
      <c r="P1336" s="8">
        <f>O1336*F1336</f>
        <v>12.102</v>
      </c>
      <c r="Q1336" s="8">
        <f>IF($D1336='[2]Beam '!Q$44,$P1336*'[2]Beam '!Q$45,0)</f>
        <v>0</v>
      </c>
      <c r="R1336" s="8">
        <f>IF($D1336='[2]Beam '!R$44,$P1336*'[2]Beam '!R$45,0)</f>
        <v>0</v>
      </c>
      <c r="S1336" s="8">
        <f>IF($D1336='[2]Beam '!S$44,$P1336*'[2]Beam '!S$45,0)</f>
        <v>0</v>
      </c>
      <c r="T1336" s="8">
        <f>IF($D1336='[2]Beam '!T$44,$P1336*'[2]Beam '!T$45,0)</f>
        <v>19.108712228571431</v>
      </c>
      <c r="U1336" s="8">
        <f>IF($D1336='[2]Beam '!U$44,$P1336*'[2]Beam '!U$45,0)</f>
        <v>0</v>
      </c>
      <c r="V1336" s="8">
        <f>IF($D1336='[2]Beam '!V$44,$P1336*'[2]Beam '!V$45,0)</f>
        <v>0</v>
      </c>
      <c r="W1336" s="8">
        <f>IF($D1336='[2]Beam '!W$44,$P1336*'[2]Beam '!W$45,0)</f>
        <v>0</v>
      </c>
      <c r="X1336" s="8">
        <f>SUM(Q1336:W1336)</f>
        <v>19.108712228571431</v>
      </c>
      <c r="Y1336" s="8"/>
      <c r="Z1336" s="8"/>
      <c r="AA1336" s="8"/>
      <c r="AB1336" s="8"/>
      <c r="AC1336" s="8"/>
      <c r="AD1336" s="8"/>
      <c r="AE1336" s="8"/>
    </row>
    <row r="1337" spans="1:32" s="10" customFormat="1" ht="20.100000000000001" customHeight="1" x14ac:dyDescent="0.25">
      <c r="A1337" s="7"/>
      <c r="B1337" s="8" t="s">
        <v>2</v>
      </c>
      <c r="C1337" s="13" t="s">
        <v>8</v>
      </c>
      <c r="D1337" s="8">
        <v>8</v>
      </c>
      <c r="E1337" s="8">
        <v>0.1</v>
      </c>
      <c r="F1337" s="8">
        <f>ROUNDUP(E1334/E1337,0)</f>
        <v>24</v>
      </c>
      <c r="H1337" s="8"/>
      <c r="I1337" s="8"/>
      <c r="J1337" s="8"/>
      <c r="K1337" s="8"/>
      <c r="L1337" s="8"/>
      <c r="M1337" s="8"/>
      <c r="N1337" s="8"/>
      <c r="O1337" s="8">
        <f>(2*((G1334-(2*'[2]Beam '!$D$11))+(F1334-(2*'[2]Beam '!$D$11)))+(2*10*D1337/1000))*D1334</f>
        <v>2.72</v>
      </c>
      <c r="P1337" s="8">
        <f>O1337*F1337</f>
        <v>65.28</v>
      </c>
      <c r="Q1337" s="8">
        <f>IF($D1337='[2]Beam '!Q$44,$P1337*'[2]Beam '!Q$45,0)</f>
        <v>25.768813714285717</v>
      </c>
      <c r="R1337" s="8">
        <f>IF($D1337='[2]Beam '!R$44,$P1337*'[2]Beam '!R$45,0)</f>
        <v>0</v>
      </c>
      <c r="S1337" s="8">
        <f>IF($D1337='[2]Beam '!S$44,$P1337*'[2]Beam '!S$45,0)</f>
        <v>0</v>
      </c>
      <c r="T1337" s="8">
        <f>IF($D1337='[2]Beam '!T$44,$P1337*'[2]Beam '!T$45,0)</f>
        <v>0</v>
      </c>
      <c r="U1337" s="8">
        <f>IF($D1337='[2]Beam '!U$44,$P1337*'[2]Beam '!U$45,0)</f>
        <v>0</v>
      </c>
      <c r="V1337" s="8">
        <f>IF($D1337='[2]Beam '!V$44,$P1337*'[2]Beam '!V$45,0)</f>
        <v>0</v>
      </c>
      <c r="W1337" s="8">
        <f>IF($D1337='[2]Beam '!W$44,$P1337*'[2]Beam '!W$45,0)</f>
        <v>0</v>
      </c>
      <c r="X1337" s="8">
        <f>SUM(Q1337:W1337)</f>
        <v>25.768813714285717</v>
      </c>
      <c r="Y1337" s="8"/>
      <c r="Z1337" s="8"/>
      <c r="AA1337" s="8"/>
      <c r="AB1337" s="8"/>
      <c r="AC1337" s="8"/>
      <c r="AD1337" s="8"/>
      <c r="AE1337" s="8"/>
    </row>
    <row r="1338" spans="1:32" s="10" customFormat="1" ht="20.100000000000001" customHeight="1" x14ac:dyDescent="0.25">
      <c r="A1338" s="8">
        <v>1</v>
      </c>
      <c r="B1338" s="8" t="s">
        <v>2</v>
      </c>
      <c r="C1338" s="11" t="s">
        <v>177</v>
      </c>
      <c r="D1338" s="11">
        <v>1</v>
      </c>
      <c r="E1338" s="11">
        <v>2.4</v>
      </c>
      <c r="F1338" s="11">
        <v>0.4</v>
      </c>
      <c r="G1338" s="11">
        <v>0.6</v>
      </c>
      <c r="H1338" s="8">
        <f>G1338-0.2</f>
        <v>0.39999999999999997</v>
      </c>
      <c r="I1338" s="8">
        <f>E1338*F1338*G1338*D1338</f>
        <v>0.57599999999999996</v>
      </c>
      <c r="J1338" s="8">
        <f>(2*(E1338)*H1338*D1338)+(E1338*F1338)</f>
        <v>2.88</v>
      </c>
      <c r="K1338" s="12">
        <f>IF(E1338=0.3,J1338,0)</f>
        <v>0</v>
      </c>
      <c r="L1338" s="12">
        <f>IF(AND(E1338&gt;0.3,E1338&lt;=0.75),J1338,0)</f>
        <v>0</v>
      </c>
      <c r="M1338" s="12">
        <f>IF(AND(E1338&gt;0.75,E1338&lt;=1.2),J1338,0)</f>
        <v>0</v>
      </c>
      <c r="N1338" s="12">
        <f>IF(E1338&gt;1.2,J1338,0)</f>
        <v>2.88</v>
      </c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>
        <f>SUM(X1339:X1341)/I1338</f>
        <v>120.04568888888892</v>
      </c>
      <c r="Z1338" s="8"/>
      <c r="AA1338" s="8"/>
      <c r="AB1338" s="8"/>
      <c r="AC1338" s="8"/>
      <c r="AD1338" s="8"/>
      <c r="AE1338" s="8"/>
    </row>
    <row r="1339" spans="1:32" s="10" customFormat="1" ht="21" customHeight="1" x14ac:dyDescent="0.25">
      <c r="A1339" s="7"/>
      <c r="B1339" s="8" t="s">
        <v>2</v>
      </c>
      <c r="C1339" s="13" t="s">
        <v>4</v>
      </c>
      <c r="D1339" s="8">
        <v>16</v>
      </c>
      <c r="E1339" s="8"/>
      <c r="F1339" s="8">
        <v>4</v>
      </c>
      <c r="G1339" s="9">
        <f>VLOOKUP(D1339,'[2]Beam '!$C$20:$H$26,3,0)</f>
        <v>0.625</v>
      </c>
      <c r="H1339" s="9"/>
      <c r="I1339" s="8"/>
      <c r="J1339" s="8"/>
      <c r="K1339" s="8"/>
      <c r="L1339" s="8"/>
      <c r="M1339" s="8"/>
      <c r="N1339" s="8"/>
      <c r="O1339" s="8">
        <f>(E1338+2*(G1339+(12*D1339/1000))*D1338)</f>
        <v>4.0339999999999998</v>
      </c>
      <c r="P1339" s="8">
        <f>O1339*F1339</f>
        <v>16.135999999999999</v>
      </c>
      <c r="Q1339" s="8">
        <f>IF($D1339='[2]Beam '!Q$44,$P1339*'[2]Beam '!Q$45,0)</f>
        <v>0</v>
      </c>
      <c r="R1339" s="8">
        <f>IF($D1339='[2]Beam '!R$44,$P1339*'[2]Beam '!R$45,0)</f>
        <v>0</v>
      </c>
      <c r="S1339" s="8">
        <f>IF($D1339='[2]Beam '!S$44,$P1339*'[2]Beam '!S$45,0)</f>
        <v>0</v>
      </c>
      <c r="T1339" s="8">
        <f>IF($D1339='[2]Beam '!T$44,$P1339*'[2]Beam '!T$45,0)</f>
        <v>25.478282971428573</v>
      </c>
      <c r="U1339" s="8">
        <f>IF($D1339='[2]Beam '!U$44,$P1339*'[2]Beam '!U$45,0)</f>
        <v>0</v>
      </c>
      <c r="V1339" s="8">
        <f>IF($D1339='[2]Beam '!V$44,$P1339*'[2]Beam '!V$45,0)</f>
        <v>0</v>
      </c>
      <c r="W1339" s="8">
        <f>IF($D1339='[2]Beam '!W$44,$P1339*'[2]Beam '!W$45,0)</f>
        <v>0</v>
      </c>
      <c r="X1339" s="8">
        <f>SUM(Q1339:W1339)</f>
        <v>25.478282971428573</v>
      </c>
      <c r="Y1339" s="8"/>
      <c r="Z1339" s="8"/>
      <c r="AA1339" s="8"/>
      <c r="AB1339" s="8"/>
      <c r="AC1339" s="8"/>
      <c r="AD1339" s="8"/>
      <c r="AE1339" s="8"/>
      <c r="AF1339" s="8"/>
    </row>
    <row r="1340" spans="1:32" s="10" customFormat="1" ht="20.100000000000001" customHeight="1" x14ac:dyDescent="0.25">
      <c r="A1340" s="7"/>
      <c r="B1340" s="8" t="s">
        <v>2</v>
      </c>
      <c r="C1340" s="13" t="s">
        <v>139</v>
      </c>
      <c r="D1340" s="8">
        <v>16</v>
      </c>
      <c r="E1340" s="8"/>
      <c r="F1340" s="8">
        <v>4</v>
      </c>
      <c r="G1340" s="9">
        <f>VLOOKUP(D1340,'[2]Beam '!$C$20:$H$26,3,0)</f>
        <v>0.625</v>
      </c>
      <c r="H1340" s="9"/>
      <c r="I1340" s="8"/>
      <c r="J1340" s="8"/>
      <c r="K1340" s="8"/>
      <c r="L1340" s="8"/>
      <c r="M1340" s="8"/>
      <c r="N1340" s="8"/>
      <c r="O1340" s="8">
        <f>(E1338+2*(G1340+(12*D1340/1000))*D1338)</f>
        <v>4.0339999999999998</v>
      </c>
      <c r="P1340" s="8">
        <f>O1340*F1340</f>
        <v>16.135999999999999</v>
      </c>
      <c r="Q1340" s="8">
        <f>IF($D1340='[2]Beam '!Q$44,$P1340*'[2]Beam '!Q$45,0)</f>
        <v>0</v>
      </c>
      <c r="R1340" s="8">
        <f>IF($D1340='[2]Beam '!R$44,$P1340*'[2]Beam '!R$45,0)</f>
        <v>0</v>
      </c>
      <c r="S1340" s="8">
        <f>IF($D1340='[2]Beam '!S$44,$P1340*'[2]Beam '!S$45,0)</f>
        <v>0</v>
      </c>
      <c r="T1340" s="8">
        <f>IF($D1340='[2]Beam '!T$44,$P1340*'[2]Beam '!T$45,0)</f>
        <v>25.478282971428573</v>
      </c>
      <c r="U1340" s="8">
        <f>IF($D1340='[2]Beam '!U$44,$P1340*'[2]Beam '!U$45,0)</f>
        <v>0</v>
      </c>
      <c r="V1340" s="8">
        <f>IF($D1340='[2]Beam '!V$44,$P1340*'[2]Beam '!V$45,0)</f>
        <v>0</v>
      </c>
      <c r="W1340" s="8">
        <f>IF($D1340='[2]Beam '!W$44,$P1340*'[2]Beam '!W$45,0)</f>
        <v>0</v>
      </c>
      <c r="X1340" s="8">
        <f>SUM(Q1340:W1340)</f>
        <v>25.478282971428573</v>
      </c>
      <c r="Y1340" s="8"/>
      <c r="Z1340" s="8"/>
      <c r="AA1340" s="8"/>
      <c r="AB1340" s="8"/>
      <c r="AC1340" s="8"/>
      <c r="AD1340" s="8"/>
      <c r="AE1340" s="8"/>
    </row>
    <row r="1341" spans="1:32" s="10" customFormat="1" ht="20.100000000000001" customHeight="1" x14ac:dyDescent="0.25">
      <c r="A1341" s="7"/>
      <c r="B1341" s="8" t="s">
        <v>2</v>
      </c>
      <c r="C1341" s="13" t="s">
        <v>8</v>
      </c>
      <c r="D1341" s="8">
        <v>8</v>
      </c>
      <c r="E1341" s="8">
        <v>0.1</v>
      </c>
      <c r="F1341" s="8">
        <f>ROUNDUP(E1338/E1341,0)</f>
        <v>24</v>
      </c>
      <c r="H1341" s="8"/>
      <c r="I1341" s="8"/>
      <c r="J1341" s="8"/>
      <c r="K1341" s="8"/>
      <c r="L1341" s="8"/>
      <c r="M1341" s="8"/>
      <c r="N1341" s="8"/>
      <c r="O1341" s="8">
        <f>(2*((G1338-(2*'[2]Beam '!$D$11))+(F1338-(2*'[2]Beam '!$D$11)))+(2*10*D1341/1000))*D1338</f>
        <v>1.9200000000000002</v>
      </c>
      <c r="P1341" s="8">
        <f>O1341*F1341</f>
        <v>46.080000000000005</v>
      </c>
      <c r="Q1341" s="8">
        <f>IF($D1341='[2]Beam '!Q$44,$P1341*'[2]Beam '!Q$45,0)</f>
        <v>18.189750857142862</v>
      </c>
      <c r="R1341" s="8">
        <f>IF($D1341='[2]Beam '!R$44,$P1341*'[2]Beam '!R$45,0)</f>
        <v>0</v>
      </c>
      <c r="S1341" s="8">
        <f>IF($D1341='[2]Beam '!S$44,$P1341*'[2]Beam '!S$45,0)</f>
        <v>0</v>
      </c>
      <c r="T1341" s="8">
        <f>IF($D1341='[2]Beam '!T$44,$P1341*'[2]Beam '!T$45,0)</f>
        <v>0</v>
      </c>
      <c r="U1341" s="8">
        <f>IF($D1341='[2]Beam '!U$44,$P1341*'[2]Beam '!U$45,0)</f>
        <v>0</v>
      </c>
      <c r="V1341" s="8">
        <f>IF($D1341='[2]Beam '!V$44,$P1341*'[2]Beam '!V$45,0)</f>
        <v>0</v>
      </c>
      <c r="W1341" s="8">
        <f>IF($D1341='[2]Beam '!W$44,$P1341*'[2]Beam '!W$45,0)</f>
        <v>0</v>
      </c>
      <c r="X1341" s="8">
        <f>SUM(Q1341:W1341)</f>
        <v>18.189750857142862</v>
      </c>
      <c r="Y1341" s="8"/>
      <c r="Z1341" s="8"/>
      <c r="AA1341" s="8"/>
      <c r="AB1341" s="8"/>
      <c r="AC1341" s="8"/>
      <c r="AD1341" s="8"/>
      <c r="AE1341" s="8"/>
    </row>
    <row r="1342" spans="1:32" s="10" customFormat="1" ht="20.100000000000001" customHeight="1" x14ac:dyDescent="0.25">
      <c r="A1342" s="8">
        <v>1</v>
      </c>
      <c r="B1342" s="8" t="s">
        <v>2</v>
      </c>
      <c r="C1342" s="11" t="s">
        <v>178</v>
      </c>
      <c r="D1342" s="11">
        <v>1</v>
      </c>
      <c r="E1342" s="11">
        <v>1.4</v>
      </c>
      <c r="F1342" s="11">
        <v>0.4</v>
      </c>
      <c r="G1342" s="11">
        <v>1.1000000000000001</v>
      </c>
      <c r="H1342" s="8">
        <f>G1342-0.2</f>
        <v>0.90000000000000013</v>
      </c>
      <c r="I1342" s="8">
        <f>E1342*F1342*G1342*D1342</f>
        <v>0.61599999999999999</v>
      </c>
      <c r="J1342" s="8">
        <f>(2*(E1342)*H1342*D1342)+(E1342*F1342)</f>
        <v>3.08</v>
      </c>
      <c r="K1342" s="12">
        <f>IF(E1342=0.3,J1342,0)</f>
        <v>0</v>
      </c>
      <c r="L1342" s="12">
        <f>IF(AND(E1342&gt;0.3,E1342&lt;=0.75),J1342,0)</f>
        <v>0</v>
      </c>
      <c r="M1342" s="12">
        <f>IF(AND(E1342&gt;0.75,E1342&lt;=1.2),J1342,0)</f>
        <v>0</v>
      </c>
      <c r="N1342" s="12">
        <f>IF(E1342&gt;1.2,J1342,0)</f>
        <v>3.08</v>
      </c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>
        <f>SUM(X1343:X1344)/I1342</f>
        <v>185.23596938775512</v>
      </c>
      <c r="Z1342" s="8"/>
      <c r="AA1342" s="8"/>
      <c r="AB1342" s="8"/>
      <c r="AC1342" s="8"/>
      <c r="AD1342" s="8"/>
      <c r="AE1342" s="8"/>
    </row>
    <row r="1343" spans="1:32" s="14" customFormat="1" ht="20.100000000000001" customHeight="1" x14ac:dyDescent="0.3">
      <c r="A1343" s="7"/>
      <c r="B1343" s="8" t="s">
        <v>2</v>
      </c>
      <c r="C1343" s="13" t="s">
        <v>4</v>
      </c>
      <c r="D1343" s="8">
        <v>25</v>
      </c>
      <c r="E1343" s="8"/>
      <c r="F1343" s="8">
        <v>4</v>
      </c>
      <c r="G1343" s="9">
        <f>VLOOKUP(D1343,'[2]Beam '!$C$20:$H$26,3,0)</f>
        <v>1</v>
      </c>
      <c r="H1343" s="9"/>
      <c r="I1343" s="8"/>
      <c r="J1343" s="8"/>
      <c r="K1343" s="8"/>
      <c r="L1343" s="8"/>
      <c r="M1343" s="8"/>
      <c r="N1343" s="8"/>
      <c r="O1343" s="8">
        <f>(E1342+1*(G1343+(12*D1343/1000))+1*(G1343)*D1342)</f>
        <v>3.7</v>
      </c>
      <c r="P1343" s="8">
        <f>O1343*F1343</f>
        <v>14.8</v>
      </c>
      <c r="Q1343" s="8">
        <f>IF($D1343='[2]Beam '!Q$44,$P1343*'[2]Beam '!Q$45,0)</f>
        <v>0</v>
      </c>
      <c r="R1343" s="8">
        <f>IF($D1343='[2]Beam '!R$44,$P1343*'[2]Beam '!R$45,0)</f>
        <v>0</v>
      </c>
      <c r="S1343" s="8">
        <f>IF($D1343='[2]Beam '!S$44,$P1343*'[2]Beam '!S$45,0)</f>
        <v>0</v>
      </c>
      <c r="T1343" s="8">
        <f>IF($D1343='[2]Beam '!T$44,$P1343*'[2]Beam '!T$45,0)</f>
        <v>0</v>
      </c>
      <c r="U1343" s="8">
        <f>IF($D1343='[2]Beam '!U$44,$P1343*'[2]Beam '!U$45,0)</f>
        <v>0</v>
      </c>
      <c r="V1343" s="8">
        <f>IF($D1343='[2]Beam '!V$44,$P1343*'[2]Beam '!V$45,0)</f>
        <v>57.052678571428579</v>
      </c>
      <c r="W1343" s="8">
        <f>IF($D1343='[2]Beam '!W$44,$P1343*'[2]Beam '!W$45,0)</f>
        <v>0</v>
      </c>
      <c r="X1343" s="8">
        <f>SUM(Q1343:W1343)</f>
        <v>57.052678571428579</v>
      </c>
      <c r="Y1343" s="8"/>
    </row>
    <row r="1344" spans="1:32" s="10" customFormat="1" ht="20.100000000000001" customHeight="1" x14ac:dyDescent="0.25">
      <c r="A1344" s="7"/>
      <c r="B1344" s="8" t="s">
        <v>2</v>
      </c>
      <c r="C1344" s="13" t="s">
        <v>139</v>
      </c>
      <c r="D1344" s="8">
        <v>25</v>
      </c>
      <c r="E1344" s="8"/>
      <c r="F1344" s="8">
        <v>4</v>
      </c>
      <c r="G1344" s="9">
        <f>VLOOKUP(D1344,'[2]Beam '!$C$20:$H$26,3,0)</f>
        <v>1</v>
      </c>
      <c r="H1344" s="9"/>
      <c r="I1344" s="8"/>
      <c r="J1344" s="8"/>
      <c r="K1344" s="8"/>
      <c r="L1344" s="8"/>
      <c r="M1344" s="8"/>
      <c r="N1344" s="8"/>
      <c r="O1344" s="8">
        <f>(E1342+1*(G1344+(12*D1344/1000))+1*(G1344)*D1342)</f>
        <v>3.7</v>
      </c>
      <c r="P1344" s="8">
        <f>O1344*F1344</f>
        <v>14.8</v>
      </c>
      <c r="Q1344" s="8">
        <f>IF($D1344='[2]Beam '!Q$44,$P1344*'[2]Beam '!Q$45,0)</f>
        <v>0</v>
      </c>
      <c r="R1344" s="8">
        <f>IF($D1344='[2]Beam '!R$44,$P1344*'[2]Beam '!R$45,0)</f>
        <v>0</v>
      </c>
      <c r="S1344" s="8">
        <f>IF($D1344='[2]Beam '!S$44,$P1344*'[2]Beam '!S$45,0)</f>
        <v>0</v>
      </c>
      <c r="T1344" s="8">
        <f>IF($D1344='[2]Beam '!T$44,$P1344*'[2]Beam '!T$45,0)</f>
        <v>0</v>
      </c>
      <c r="U1344" s="8">
        <f>IF($D1344='[2]Beam '!U$44,$P1344*'[2]Beam '!U$45,0)</f>
        <v>0</v>
      </c>
      <c r="V1344" s="8">
        <f>IF($D1344='[2]Beam '!V$44,$P1344*'[2]Beam '!V$45,0)</f>
        <v>57.052678571428579</v>
      </c>
      <c r="W1344" s="8">
        <f>IF($D1344='[2]Beam '!W$44,$P1344*'[2]Beam '!W$45,0)</f>
        <v>0</v>
      </c>
      <c r="X1344" s="8">
        <f>SUM(Q1344:W1344)</f>
        <v>57.052678571428579</v>
      </c>
      <c r="Y1344" s="8"/>
      <c r="Z1344" s="8"/>
      <c r="AA1344" s="8"/>
      <c r="AB1344" s="8"/>
      <c r="AC1344" s="8"/>
      <c r="AD1344" s="8"/>
      <c r="AE1344" s="8"/>
    </row>
    <row r="1345" spans="1:32" s="10" customFormat="1" ht="21" customHeight="1" x14ac:dyDescent="0.25">
      <c r="A1345" s="7"/>
      <c r="B1345" s="8" t="s">
        <v>2</v>
      </c>
      <c r="C1345" s="13" t="s">
        <v>8</v>
      </c>
      <c r="D1345" s="8">
        <v>10</v>
      </c>
      <c r="E1345" s="8">
        <v>0.1</v>
      </c>
      <c r="F1345" s="8">
        <f>ROUNDUP(E1342/E1345,0)</f>
        <v>14</v>
      </c>
      <c r="H1345" s="8"/>
      <c r="I1345" s="8"/>
      <c r="J1345" s="8"/>
      <c r="K1345" s="8"/>
      <c r="L1345" s="8"/>
      <c r="M1345" s="8"/>
      <c r="N1345" s="8"/>
      <c r="O1345" s="8">
        <f>(2*((G1342-(2*'[2]Beam '!$D$11))+(F1342-(2*'[2]Beam '!$D$11)))+(2*10*D1345/1000))*D1342</f>
        <v>2.9600000000000004</v>
      </c>
      <c r="P1345" s="8">
        <f>O1345*F1345</f>
        <v>41.440000000000005</v>
      </c>
      <c r="Q1345" s="8">
        <f>IF($D1345='[2]Beam '!Q$44,$P1345*'[2]Beam '!Q$45,0)</f>
        <v>0</v>
      </c>
      <c r="R1345" s="8">
        <f>IF($D1345='[2]Beam '!R$44,$P1345*'[2]Beam '!R$45,0)</f>
        <v>25.559600000000003</v>
      </c>
      <c r="S1345" s="8">
        <f>IF($D1345='[2]Beam '!S$44,$P1345*'[2]Beam '!S$45,0)</f>
        <v>0</v>
      </c>
      <c r="T1345" s="8">
        <f>IF($D1345='[2]Beam '!T$44,$P1345*'[2]Beam '!T$45,0)</f>
        <v>0</v>
      </c>
      <c r="U1345" s="8">
        <f>IF($D1345='[2]Beam '!U$44,$P1345*'[2]Beam '!U$45,0)</f>
        <v>0</v>
      </c>
      <c r="V1345" s="8">
        <f>IF($D1345='[2]Beam '!V$44,$P1345*'[2]Beam '!V$45,0)</f>
        <v>0</v>
      </c>
      <c r="W1345" s="8">
        <f>IF($D1345='[2]Beam '!W$44,$P1345*'[2]Beam '!W$45,0)</f>
        <v>0</v>
      </c>
      <c r="X1345" s="8">
        <f>SUM(Q1345:W1345)</f>
        <v>25.559600000000003</v>
      </c>
      <c r="Y1345" s="8"/>
      <c r="Z1345" s="8"/>
      <c r="AA1345" s="8"/>
      <c r="AB1345" s="8"/>
      <c r="AC1345" s="8"/>
      <c r="AD1345" s="8"/>
      <c r="AE1345" s="8"/>
      <c r="AF1345" s="8"/>
    </row>
    <row r="1346" spans="1:32" s="10" customFormat="1" ht="20.100000000000001" customHeight="1" x14ac:dyDescent="0.25">
      <c r="A1346" s="14"/>
      <c r="B1346" s="8" t="s">
        <v>2</v>
      </c>
      <c r="C1346" s="13" t="s">
        <v>9</v>
      </c>
      <c r="D1346" s="8">
        <f>+D1345</f>
        <v>10</v>
      </c>
      <c r="E1346" s="14">
        <f>+E1345</f>
        <v>0.1</v>
      </c>
      <c r="F1346" s="8">
        <f>ROUNDUP(E1342/E1346,0)</f>
        <v>14</v>
      </c>
      <c r="H1346" s="14"/>
      <c r="I1346" s="14"/>
      <c r="J1346" s="14"/>
      <c r="K1346" s="14"/>
      <c r="L1346" s="14"/>
      <c r="M1346" s="14"/>
      <c r="N1346" s="14"/>
      <c r="O1346" s="8">
        <f>((((G1342-(2*'[2]Beam '!$D$11))+(2*10*D1346/1000))*D1342))*2</f>
        <v>2.48</v>
      </c>
      <c r="P1346" s="8">
        <f>O1346*F1346</f>
        <v>34.72</v>
      </c>
      <c r="Q1346" s="8">
        <f>IF($D1346='[2]Beam '!Q$44,$P1346*'[2]Beam '!Q$45,0)</f>
        <v>0</v>
      </c>
      <c r="R1346" s="8">
        <f>IF($D1346='[2]Beam '!R$44,$P1346*'[2]Beam '!R$45,0)</f>
        <v>21.4148</v>
      </c>
      <c r="S1346" s="8">
        <f>IF($D1346='[2]Beam '!S$44,$P1346*'[2]Beam '!S$45,0)</f>
        <v>0</v>
      </c>
      <c r="T1346" s="8">
        <f>IF($D1346='[2]Beam '!T$44,$P1346*'[2]Beam '!T$45,0)</f>
        <v>0</v>
      </c>
      <c r="U1346" s="8">
        <f>IF($D1346='[2]Beam '!U$44,$P1346*'[2]Beam '!U$45,0)</f>
        <v>0</v>
      </c>
      <c r="V1346" s="8">
        <f>IF($D1346='[2]Beam '!V$44,$P1346*'[2]Beam '!V$45,0)</f>
        <v>0</v>
      </c>
      <c r="W1346" s="8">
        <f>IF($D1346='[2]Beam '!W$44,$P1346*'[2]Beam '!W$45,0)</f>
        <v>0</v>
      </c>
      <c r="X1346" s="8">
        <f>SUM(Q1346:W1346)</f>
        <v>21.4148</v>
      </c>
      <c r="Y1346" s="14"/>
      <c r="Z1346" s="8"/>
      <c r="AA1346" s="8"/>
      <c r="AB1346" s="8"/>
      <c r="AC1346" s="8"/>
      <c r="AD1346" s="8"/>
      <c r="AE1346" s="8"/>
    </row>
    <row r="1347" spans="1:32" s="10" customFormat="1" ht="20.100000000000001" customHeight="1" x14ac:dyDescent="0.25">
      <c r="A1347" s="7"/>
      <c r="B1347" s="8" t="s">
        <v>2</v>
      </c>
      <c r="C1347" s="13" t="s">
        <v>10</v>
      </c>
      <c r="D1347" s="8">
        <f>+'[2]Beam '!$D$15</f>
        <v>25</v>
      </c>
      <c r="E1347" s="8">
        <f>+'[2]Beam '!$E$15</f>
        <v>1</v>
      </c>
      <c r="F1347" s="8">
        <f>ROUNDUP((E1342)/E1347,0)</f>
        <v>2</v>
      </c>
      <c r="G1347" s="9"/>
      <c r="H1347" s="9"/>
      <c r="I1347" s="8"/>
      <c r="J1347" s="8"/>
      <c r="K1347" s="8"/>
      <c r="L1347" s="8"/>
      <c r="M1347" s="8"/>
      <c r="N1347" s="8"/>
      <c r="O1347" s="8">
        <f>F1342-'[2]Beam '!$F$15</f>
        <v>0.34</v>
      </c>
      <c r="P1347" s="8">
        <f>O1347*F1347</f>
        <v>0.68</v>
      </c>
      <c r="Q1347" s="8">
        <f>IF($D1347='[2]Beam '!Q$44,$P1347*'[2]Beam '!Q$45,0)</f>
        <v>0</v>
      </c>
      <c r="R1347" s="8">
        <f>IF($D1347='[2]Beam '!R$44,$P1347*'[2]Beam '!R$45,0)</f>
        <v>0</v>
      </c>
      <c r="S1347" s="8">
        <f>IF($D1347='[2]Beam '!S$44,$P1347*'[2]Beam '!S$45,0)</f>
        <v>0</v>
      </c>
      <c r="T1347" s="8">
        <f>IF($D1347='[2]Beam '!T$44,$P1347*'[2]Beam '!T$45,0)</f>
        <v>0</v>
      </c>
      <c r="U1347" s="8">
        <f>IF($D1347='[2]Beam '!U$44,$P1347*'[2]Beam '!U$45,0)</f>
        <v>0</v>
      </c>
      <c r="V1347" s="8">
        <f>IF($D1347='[2]Beam '!V$44,$P1347*'[2]Beam '!V$45,0)</f>
        <v>2.6213392857142863</v>
      </c>
      <c r="W1347" s="8">
        <f>IF($D1347='[2]Beam '!W$44,$P1347*'[2]Beam '!W$45,0)</f>
        <v>0</v>
      </c>
      <c r="X1347" s="8">
        <f>SUM(Q1347:W1347)</f>
        <v>2.6213392857142863</v>
      </c>
      <c r="Y1347" s="8"/>
      <c r="Z1347" s="8"/>
      <c r="AA1347" s="8"/>
      <c r="AB1347" s="8"/>
      <c r="AC1347" s="8"/>
      <c r="AD1347" s="8"/>
      <c r="AE1347" s="8"/>
    </row>
    <row r="1348" spans="1:32" s="10" customFormat="1" ht="20.100000000000001" customHeight="1" x14ac:dyDescent="0.25">
      <c r="A1348" s="8">
        <v>1</v>
      </c>
      <c r="B1348" s="8" t="s">
        <v>2</v>
      </c>
      <c r="C1348" s="11" t="s">
        <v>179</v>
      </c>
      <c r="D1348" s="11">
        <v>1</v>
      </c>
      <c r="E1348" s="11">
        <v>6.15</v>
      </c>
      <c r="F1348" s="11">
        <v>0.5</v>
      </c>
      <c r="G1348" s="11">
        <v>0.6</v>
      </c>
      <c r="H1348" s="8">
        <f>G1348-0.2</f>
        <v>0.39999999999999997</v>
      </c>
      <c r="I1348" s="8">
        <f>E1348*F1348*G1348*D1348</f>
        <v>1.845</v>
      </c>
      <c r="J1348" s="8">
        <f>(2*(E1348)*H1348*D1348)+(E1348*F1348)</f>
        <v>7.9950000000000001</v>
      </c>
      <c r="K1348" s="12">
        <f>IF(E1348=0.3,J1348,0)</f>
        <v>0</v>
      </c>
      <c r="L1348" s="12">
        <f>IF(AND(E1348&gt;0.3,E1348&lt;=0.75),J1348,0)</f>
        <v>0</v>
      </c>
      <c r="M1348" s="12">
        <f>IF(AND(E1348&gt;0.75,E1348&lt;=1.2),J1348,0)</f>
        <v>0</v>
      </c>
      <c r="N1348" s="12">
        <f>IF(E1348&gt;1.2,J1348,0)</f>
        <v>7.9950000000000001</v>
      </c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>
        <f>SUM(X1349:X1350)/I1348</f>
        <v>124.04246031746032</v>
      </c>
      <c r="Z1348" s="8"/>
      <c r="AA1348" s="8"/>
      <c r="AB1348" s="8"/>
      <c r="AC1348" s="8"/>
      <c r="AD1348" s="8"/>
      <c r="AE1348" s="8"/>
    </row>
    <row r="1349" spans="1:32" s="10" customFormat="1" ht="20.100000000000001" customHeight="1" x14ac:dyDescent="0.25">
      <c r="A1349" s="7"/>
      <c r="B1349" s="8" t="s">
        <v>2</v>
      </c>
      <c r="C1349" s="13" t="s">
        <v>4</v>
      </c>
      <c r="D1349" s="8">
        <v>20</v>
      </c>
      <c r="E1349" s="8"/>
      <c r="F1349" s="8">
        <v>5</v>
      </c>
      <c r="G1349" s="9">
        <f>VLOOKUP(D1349,'[2]Beam '!$C$20:$H$26,3,0)</f>
        <v>0.8</v>
      </c>
      <c r="H1349" s="9"/>
      <c r="I1349" s="8"/>
      <c r="J1349" s="8"/>
      <c r="K1349" s="8"/>
      <c r="L1349" s="8"/>
      <c r="M1349" s="8"/>
      <c r="N1349" s="8"/>
      <c r="O1349" s="8">
        <f>(E1348+1*(G1349+(12*D1349/1000))+1*(G1349)*D1348)</f>
        <v>7.99</v>
      </c>
      <c r="P1349" s="8">
        <f t="shared" ref="P1349:P1356" si="253">O1349*F1349</f>
        <v>39.950000000000003</v>
      </c>
      <c r="Q1349" s="8">
        <f>IF($D1349='[2]Beam '!Q$44,$P1349*'[2]Beam '!Q$45,0)</f>
        <v>0</v>
      </c>
      <c r="R1349" s="8">
        <f>IF($D1349='[2]Beam '!R$44,$P1349*'[2]Beam '!R$45,0)</f>
        <v>0</v>
      </c>
      <c r="S1349" s="8">
        <f>IF($D1349='[2]Beam '!S$44,$P1349*'[2]Beam '!S$45,0)</f>
        <v>0</v>
      </c>
      <c r="T1349" s="8">
        <f>IF($D1349='[2]Beam '!T$44,$P1349*'[2]Beam '!T$45,0)</f>
        <v>0</v>
      </c>
      <c r="U1349" s="8">
        <f>IF($D1349='[2]Beam '!U$44,$P1349*'[2]Beam '!U$45,0)</f>
        <v>98.562357142857152</v>
      </c>
      <c r="V1349" s="8">
        <f>IF($D1349='[2]Beam '!V$44,$P1349*'[2]Beam '!V$45,0)</f>
        <v>0</v>
      </c>
      <c r="W1349" s="8">
        <f>IF($D1349='[2]Beam '!W$44,$P1349*'[2]Beam '!W$45,0)</f>
        <v>0</v>
      </c>
      <c r="X1349" s="8">
        <f t="shared" ref="X1349:X1356" si="254">SUM(Q1349:W1349)</f>
        <v>98.562357142857152</v>
      </c>
      <c r="Y1349" s="8"/>
      <c r="Z1349" s="8"/>
      <c r="AA1349" s="8"/>
      <c r="AB1349" s="8"/>
      <c r="AC1349" s="8"/>
      <c r="AD1349" s="8"/>
      <c r="AE1349" s="8"/>
    </row>
    <row r="1350" spans="1:32" s="14" customFormat="1" ht="20.100000000000001" customHeight="1" x14ac:dyDescent="0.3">
      <c r="A1350" s="7"/>
      <c r="B1350" s="8" t="s">
        <v>2</v>
      </c>
      <c r="C1350" s="13" t="s">
        <v>139</v>
      </c>
      <c r="D1350" s="8">
        <v>25</v>
      </c>
      <c r="E1350" s="8"/>
      <c r="F1350" s="8">
        <v>4</v>
      </c>
      <c r="G1350" s="9">
        <f>VLOOKUP(D1350,'[2]Beam '!$C$20:$H$26,3,0)</f>
        <v>1</v>
      </c>
      <c r="H1350" s="9"/>
      <c r="I1350" s="8"/>
      <c r="J1350" s="8"/>
      <c r="K1350" s="8"/>
      <c r="L1350" s="8"/>
      <c r="M1350" s="8"/>
      <c r="N1350" s="8"/>
      <c r="O1350" s="8">
        <f>(E1348+1*(G1350+(12*D1350/1000))+1*(G1350)*D1348)</f>
        <v>8.4499999999999993</v>
      </c>
      <c r="P1350" s="8">
        <f t="shared" si="253"/>
        <v>33.799999999999997</v>
      </c>
      <c r="Q1350" s="8">
        <f>IF($D1350='[2]Beam '!Q$44,$P1350*'[2]Beam '!Q$45,0)</f>
        <v>0</v>
      </c>
      <c r="R1350" s="8">
        <f>IF($D1350='[2]Beam '!R$44,$P1350*'[2]Beam '!R$45,0)</f>
        <v>0</v>
      </c>
      <c r="S1350" s="8">
        <f>IF($D1350='[2]Beam '!S$44,$P1350*'[2]Beam '!S$45,0)</f>
        <v>0</v>
      </c>
      <c r="T1350" s="8">
        <f>IF($D1350='[2]Beam '!T$44,$P1350*'[2]Beam '!T$45,0)</f>
        <v>0</v>
      </c>
      <c r="U1350" s="8">
        <f>IF($D1350='[2]Beam '!U$44,$P1350*'[2]Beam '!U$45,0)</f>
        <v>0</v>
      </c>
      <c r="V1350" s="8">
        <f>IF($D1350='[2]Beam '!V$44,$P1350*'[2]Beam '!V$45,0)</f>
        <v>130.29598214285716</v>
      </c>
      <c r="W1350" s="8">
        <f>IF($D1350='[2]Beam '!W$44,$P1350*'[2]Beam '!W$45,0)</f>
        <v>0</v>
      </c>
      <c r="X1350" s="8">
        <f t="shared" si="254"/>
        <v>130.29598214285716</v>
      </c>
      <c r="Y1350" s="8"/>
    </row>
    <row r="1351" spans="1:32" s="14" customFormat="1" ht="20.100000000000001" customHeight="1" x14ac:dyDescent="0.3">
      <c r="A1351" s="7"/>
      <c r="B1351" s="8" t="s">
        <v>2</v>
      </c>
      <c r="C1351" s="13" t="s">
        <v>88</v>
      </c>
      <c r="D1351" s="8">
        <v>20</v>
      </c>
      <c r="E1351" s="8"/>
      <c r="F1351" s="8">
        <v>4</v>
      </c>
      <c r="G1351" s="9">
        <f>VLOOKUP(D1351,'[2]Beam '!$C$20:$H$26,3,0)</f>
        <v>0.8</v>
      </c>
      <c r="H1351" s="9"/>
      <c r="I1351" s="8"/>
      <c r="J1351" s="8"/>
      <c r="K1351" s="8"/>
      <c r="L1351" s="8"/>
      <c r="M1351" s="8"/>
      <c r="N1351" s="8"/>
      <c r="O1351" s="8">
        <f>(E1348-0.95-0.95*D1348)</f>
        <v>4.25</v>
      </c>
      <c r="P1351" s="8">
        <f t="shared" si="253"/>
        <v>17</v>
      </c>
      <c r="Q1351" s="8">
        <f>IF($D1351='[2]Beam '!Q$44,$P1351*'[2]Beam '!Q$45,0)</f>
        <v>0</v>
      </c>
      <c r="R1351" s="8">
        <f>IF($D1351='[2]Beam '!R$44,$P1351*'[2]Beam '!R$45,0)</f>
        <v>0</v>
      </c>
      <c r="S1351" s="8">
        <f>IF($D1351='[2]Beam '!S$44,$P1351*'[2]Beam '!S$45,0)</f>
        <v>0</v>
      </c>
      <c r="T1351" s="8">
        <f>IF($D1351='[2]Beam '!T$44,$P1351*'[2]Beam '!T$45,0)</f>
        <v>0</v>
      </c>
      <c r="U1351" s="8">
        <f>IF($D1351='[2]Beam '!U$44,$P1351*'[2]Beam '!U$45,0)</f>
        <v>41.941428571428574</v>
      </c>
      <c r="V1351" s="8">
        <f>IF($D1351='[2]Beam '!V$44,$P1351*'[2]Beam '!V$45,0)</f>
        <v>0</v>
      </c>
      <c r="W1351" s="8">
        <f>IF($D1351='[2]Beam '!W$44,$P1351*'[2]Beam '!W$45,0)</f>
        <v>0</v>
      </c>
      <c r="X1351" s="8">
        <f t="shared" si="254"/>
        <v>41.941428571428574</v>
      </c>
      <c r="Y1351" s="8"/>
    </row>
    <row r="1352" spans="1:32" s="14" customFormat="1" ht="20.100000000000001" customHeight="1" x14ac:dyDescent="0.25">
      <c r="A1352" s="7"/>
      <c r="B1352" s="8" t="s">
        <v>2</v>
      </c>
      <c r="C1352" s="13" t="s">
        <v>13</v>
      </c>
      <c r="D1352" s="8">
        <v>10</v>
      </c>
      <c r="E1352" s="8">
        <v>0.1</v>
      </c>
      <c r="F1352" s="8">
        <f>ROUNDUP((E1348/3*2)/E1352,0)+1</f>
        <v>42</v>
      </c>
      <c r="G1352" s="10"/>
      <c r="H1352" s="8"/>
      <c r="I1352" s="8"/>
      <c r="J1352" s="8"/>
      <c r="K1352" s="8"/>
      <c r="L1352" s="8"/>
      <c r="M1352" s="8"/>
      <c r="N1352" s="8"/>
      <c r="O1352" s="8">
        <f>(2*((G1348-(2*'[2]Beam '!$D$11))+(F1348-(2*'[2]Beam '!$D$11)))+(2*10*D1352/1000))*D1348</f>
        <v>2.16</v>
      </c>
      <c r="P1352" s="8">
        <f t="shared" si="253"/>
        <v>90.72</v>
      </c>
      <c r="Q1352" s="8">
        <f>IF($D1352='[2]Beam '!Q$44,$P1352*'[2]Beam '!Q$45,0)</f>
        <v>0</v>
      </c>
      <c r="R1352" s="8">
        <f>IF($D1352='[2]Beam '!R$44,$P1352*'[2]Beam '!R$45,0)</f>
        <v>55.954799999999999</v>
      </c>
      <c r="S1352" s="8">
        <f>IF($D1352='[2]Beam '!S$44,$P1352*'[2]Beam '!S$45,0)</f>
        <v>0</v>
      </c>
      <c r="T1352" s="8">
        <f>IF($D1352='[2]Beam '!T$44,$P1352*'[2]Beam '!T$45,0)</f>
        <v>0</v>
      </c>
      <c r="U1352" s="8">
        <f>IF($D1352='[2]Beam '!U$44,$P1352*'[2]Beam '!U$45,0)</f>
        <v>0</v>
      </c>
      <c r="V1352" s="8">
        <f>IF($D1352='[2]Beam '!V$44,$P1352*'[2]Beam '!V$45,0)</f>
        <v>0</v>
      </c>
      <c r="W1352" s="8">
        <f>IF($D1352='[2]Beam '!W$44,$P1352*'[2]Beam '!W$45,0)</f>
        <v>0</v>
      </c>
      <c r="X1352" s="8">
        <f t="shared" si="254"/>
        <v>55.954799999999999</v>
      </c>
      <c r="Y1352" s="8"/>
    </row>
    <row r="1353" spans="1:32" s="10" customFormat="1" ht="20.100000000000001" customHeight="1" x14ac:dyDescent="0.25">
      <c r="A1353" s="14"/>
      <c r="B1353" s="8" t="s">
        <v>2</v>
      </c>
      <c r="C1353" s="13" t="s">
        <v>14</v>
      </c>
      <c r="D1353" s="14">
        <f>D1352</f>
        <v>10</v>
      </c>
      <c r="E1353" s="14">
        <v>0.15</v>
      </c>
      <c r="F1353" s="8">
        <f>ROUNDUP((E1348/3)/E1353,0)+1</f>
        <v>15</v>
      </c>
      <c r="H1353" s="14"/>
      <c r="I1353" s="14"/>
      <c r="J1353" s="14"/>
      <c r="K1353" s="14"/>
      <c r="L1353" s="14"/>
      <c r="M1353" s="14"/>
      <c r="N1353" s="14"/>
      <c r="O1353" s="8">
        <f>(2*((G1348-(2*'[2]Beam '!$D$11))+(F1348-(2*'[2]Beam '!$D$11)))+(2*10*D1353/1000))*D1348</f>
        <v>2.16</v>
      </c>
      <c r="P1353" s="8">
        <f t="shared" si="253"/>
        <v>32.400000000000006</v>
      </c>
      <c r="Q1353" s="8">
        <f>IF($D1353='[2]Beam '!Q$44,$P1353*'[2]Beam '!Q$45,0)</f>
        <v>0</v>
      </c>
      <c r="R1353" s="8">
        <f>IF($D1353='[2]Beam '!R$44,$P1353*'[2]Beam '!R$45,0)</f>
        <v>19.983857142857147</v>
      </c>
      <c r="S1353" s="8">
        <f>IF($D1353='[2]Beam '!S$44,$P1353*'[2]Beam '!S$45,0)</f>
        <v>0</v>
      </c>
      <c r="T1353" s="8">
        <f>IF($D1353='[2]Beam '!T$44,$P1353*'[2]Beam '!T$45,0)</f>
        <v>0</v>
      </c>
      <c r="U1353" s="8">
        <f>IF($D1353='[2]Beam '!U$44,$P1353*'[2]Beam '!U$45,0)</f>
        <v>0</v>
      </c>
      <c r="V1353" s="8">
        <f>IF($D1353='[2]Beam '!V$44,$P1353*'[2]Beam '!V$45,0)</f>
        <v>0</v>
      </c>
      <c r="W1353" s="8">
        <f>IF($D1353='[2]Beam '!W$44,$P1353*'[2]Beam '!W$45,0)</f>
        <v>0</v>
      </c>
      <c r="X1353" s="8">
        <f t="shared" si="254"/>
        <v>19.983857142857147</v>
      </c>
      <c r="Y1353" s="14"/>
      <c r="Z1353" s="8"/>
      <c r="AA1353" s="8"/>
      <c r="AB1353" s="8"/>
      <c r="AC1353" s="8"/>
      <c r="AD1353" s="8"/>
      <c r="AE1353" s="8"/>
    </row>
    <row r="1354" spans="1:32" s="10" customFormat="1" ht="21" customHeight="1" x14ac:dyDescent="0.25">
      <c r="A1354" s="14"/>
      <c r="B1354" s="8" t="s">
        <v>2</v>
      </c>
      <c r="C1354" s="13" t="s">
        <v>15</v>
      </c>
      <c r="D1354" s="14">
        <f>D1352</f>
        <v>10</v>
      </c>
      <c r="E1354" s="14">
        <f>+E1352</f>
        <v>0.1</v>
      </c>
      <c r="F1354" s="8">
        <f>ROUNDUP((E1348/3*2)/E1354,0)+1</f>
        <v>42</v>
      </c>
      <c r="H1354" s="14"/>
      <c r="I1354" s="14"/>
      <c r="J1354" s="14"/>
      <c r="K1354" s="14"/>
      <c r="L1354" s="14"/>
      <c r="M1354" s="14"/>
      <c r="N1354" s="14"/>
      <c r="O1354" s="8">
        <f>(2*(((F1348-'[2]Beam '!$D$11*2)/(F1349-1))+(G1348-'[2]Beam '!$D$11*2))+(2*10*D1354/1000))*D1348</f>
        <v>1.5</v>
      </c>
      <c r="P1354" s="8">
        <f t="shared" si="253"/>
        <v>63</v>
      </c>
      <c r="Q1354" s="8">
        <f>IF($D1354='[2]Beam '!Q$44,$P1354*'[2]Beam '!Q$45,0)</f>
        <v>0</v>
      </c>
      <c r="R1354" s="8">
        <f>IF($D1354='[2]Beam '!R$44,$P1354*'[2]Beam '!R$45,0)</f>
        <v>38.857500000000002</v>
      </c>
      <c r="S1354" s="8">
        <f>IF($D1354='[2]Beam '!S$44,$P1354*'[2]Beam '!S$45,0)</f>
        <v>0</v>
      </c>
      <c r="T1354" s="8">
        <f>IF($D1354='[2]Beam '!T$44,$P1354*'[2]Beam '!T$45,0)</f>
        <v>0</v>
      </c>
      <c r="U1354" s="8">
        <f>IF($D1354='[2]Beam '!U$44,$P1354*'[2]Beam '!U$45,0)</f>
        <v>0</v>
      </c>
      <c r="V1354" s="8">
        <f>IF($D1354='[2]Beam '!V$44,$P1354*'[2]Beam '!V$45,0)</f>
        <v>0</v>
      </c>
      <c r="W1354" s="8">
        <f>IF($D1354='[2]Beam '!W$44,$P1354*'[2]Beam '!W$45,0)</f>
        <v>0</v>
      </c>
      <c r="X1354" s="8">
        <f t="shared" si="254"/>
        <v>38.857500000000002</v>
      </c>
      <c r="Y1354" s="14"/>
      <c r="Z1354" s="8"/>
      <c r="AA1354" s="8"/>
      <c r="AB1354" s="8"/>
      <c r="AC1354" s="8"/>
      <c r="AD1354" s="8"/>
      <c r="AE1354" s="8"/>
      <c r="AF1354" s="8"/>
    </row>
    <row r="1355" spans="1:32" s="10" customFormat="1" ht="20.100000000000001" customHeight="1" x14ac:dyDescent="0.25">
      <c r="A1355" s="14"/>
      <c r="B1355" s="8" t="s">
        <v>2</v>
      </c>
      <c r="C1355" s="13" t="s">
        <v>16</v>
      </c>
      <c r="D1355" s="14">
        <f>D1353</f>
        <v>10</v>
      </c>
      <c r="E1355" s="14">
        <f>+E1353</f>
        <v>0.15</v>
      </c>
      <c r="F1355" s="8">
        <f>ROUNDUP((E1348/3)/E1355,0)+1</f>
        <v>15</v>
      </c>
      <c r="H1355" s="14"/>
      <c r="I1355" s="14"/>
      <c r="J1355" s="14"/>
      <c r="K1355" s="14"/>
      <c r="L1355" s="14"/>
      <c r="M1355" s="14"/>
      <c r="N1355" s="14"/>
      <c r="O1355" s="8">
        <f>(2*(((F1348-'[2]Beam '!$D$11*2)/(F1349-1))+(G1348-'[2]Beam '!$D$11*2))+(2*10*D1355/1000))*D1348</f>
        <v>1.5</v>
      </c>
      <c r="P1355" s="8">
        <f t="shared" si="253"/>
        <v>22.5</v>
      </c>
      <c r="Q1355" s="8">
        <f>IF($D1355='[2]Beam '!Q$44,$P1355*'[2]Beam '!Q$45,0)</f>
        <v>0</v>
      </c>
      <c r="R1355" s="8">
        <f>IF($D1355='[2]Beam '!R$44,$P1355*'[2]Beam '!R$45,0)</f>
        <v>13.877678571428572</v>
      </c>
      <c r="S1355" s="8">
        <f>IF($D1355='[2]Beam '!S$44,$P1355*'[2]Beam '!S$45,0)</f>
        <v>0</v>
      </c>
      <c r="T1355" s="8">
        <f>IF($D1355='[2]Beam '!T$44,$P1355*'[2]Beam '!T$45,0)</f>
        <v>0</v>
      </c>
      <c r="U1355" s="8">
        <f>IF($D1355='[2]Beam '!U$44,$P1355*'[2]Beam '!U$45,0)</f>
        <v>0</v>
      </c>
      <c r="V1355" s="8">
        <f>IF($D1355='[2]Beam '!V$44,$P1355*'[2]Beam '!V$45,0)</f>
        <v>0</v>
      </c>
      <c r="W1355" s="8">
        <f>IF($D1355='[2]Beam '!W$44,$P1355*'[2]Beam '!W$45,0)</f>
        <v>0</v>
      </c>
      <c r="X1355" s="8">
        <f t="shared" si="254"/>
        <v>13.877678571428572</v>
      </c>
      <c r="Y1355" s="14"/>
      <c r="Z1355" s="8"/>
      <c r="AA1355" s="8"/>
      <c r="AB1355" s="8"/>
      <c r="AC1355" s="8"/>
      <c r="AD1355" s="8"/>
      <c r="AE1355" s="8"/>
    </row>
    <row r="1356" spans="1:32" s="10" customFormat="1" ht="20.100000000000001" customHeight="1" x14ac:dyDescent="0.25">
      <c r="A1356" s="7"/>
      <c r="B1356" s="8" t="s">
        <v>2</v>
      </c>
      <c r="C1356" s="13" t="s">
        <v>10</v>
      </c>
      <c r="D1356" s="8">
        <f>+'[2]Beam '!$D$15</f>
        <v>25</v>
      </c>
      <c r="E1356" s="8">
        <f>+'[2]Beam '!$E$15</f>
        <v>1</v>
      </c>
      <c r="F1356" s="8">
        <f>ROUNDUP((E1348)/E1356,0)</f>
        <v>7</v>
      </c>
      <c r="G1356" s="9"/>
      <c r="H1356" s="9"/>
      <c r="I1356" s="8"/>
      <c r="J1356" s="8"/>
      <c r="K1356" s="8"/>
      <c r="L1356" s="8"/>
      <c r="M1356" s="8"/>
      <c r="N1356" s="8"/>
      <c r="O1356" s="8">
        <f>F1348-'[2]Beam '!$F$15</f>
        <v>0.44</v>
      </c>
      <c r="P1356" s="8">
        <f t="shared" si="253"/>
        <v>3.08</v>
      </c>
      <c r="Q1356" s="8">
        <f>IF($D1356='[2]Beam '!Q$44,$P1356*'[2]Beam '!Q$45,0)</f>
        <v>0</v>
      </c>
      <c r="R1356" s="8">
        <f>IF($D1356='[2]Beam '!R$44,$P1356*'[2]Beam '!R$45,0)</f>
        <v>0</v>
      </c>
      <c r="S1356" s="8">
        <f>IF($D1356='[2]Beam '!S$44,$P1356*'[2]Beam '!S$45,0)</f>
        <v>0</v>
      </c>
      <c r="T1356" s="8">
        <f>IF($D1356='[2]Beam '!T$44,$P1356*'[2]Beam '!T$45,0)</f>
        <v>0</v>
      </c>
      <c r="U1356" s="8">
        <f>IF($D1356='[2]Beam '!U$44,$P1356*'[2]Beam '!U$45,0)</f>
        <v>0</v>
      </c>
      <c r="V1356" s="8">
        <f>IF($D1356='[2]Beam '!V$44,$P1356*'[2]Beam '!V$45,0)</f>
        <v>11.873125000000002</v>
      </c>
      <c r="W1356" s="8">
        <f>IF($D1356='[2]Beam '!W$44,$P1356*'[2]Beam '!W$45,0)</f>
        <v>0</v>
      </c>
      <c r="X1356" s="8">
        <f t="shared" si="254"/>
        <v>11.873125000000002</v>
      </c>
      <c r="Y1356" s="8"/>
      <c r="Z1356" s="8"/>
      <c r="AA1356" s="8"/>
      <c r="AB1356" s="8"/>
      <c r="AC1356" s="8"/>
      <c r="AD1356" s="8"/>
      <c r="AE1356" s="8"/>
    </row>
    <row r="1357" spans="1:32" s="10" customFormat="1" ht="20.100000000000001" customHeight="1" x14ac:dyDescent="0.25">
      <c r="A1357" s="8">
        <v>1</v>
      </c>
      <c r="B1357" s="8" t="s">
        <v>2</v>
      </c>
      <c r="C1357" s="11" t="s">
        <v>180</v>
      </c>
      <c r="D1357" s="11">
        <v>1</v>
      </c>
      <c r="E1357" s="11">
        <v>6.15</v>
      </c>
      <c r="F1357" s="11">
        <v>0.5</v>
      </c>
      <c r="G1357" s="11">
        <v>0.6</v>
      </c>
      <c r="H1357" s="8">
        <f>G1357-0.2</f>
        <v>0.39999999999999997</v>
      </c>
      <c r="I1357" s="8">
        <f>E1357*F1357*G1357*D1357</f>
        <v>1.845</v>
      </c>
      <c r="J1357" s="8">
        <f>(2*(E1357)*H1357*D1357)+(E1357*F1357)</f>
        <v>7.9950000000000001</v>
      </c>
      <c r="K1357" s="12">
        <f>IF(E1357=0.3,J1357,0)</f>
        <v>0</v>
      </c>
      <c r="L1357" s="12">
        <f>IF(AND(E1357&gt;0.3,E1357&lt;=0.75),J1357,0)</f>
        <v>0</v>
      </c>
      <c r="M1357" s="12">
        <f>IF(AND(E1357&gt;0.75,E1357&lt;=1.2),J1357,0)</f>
        <v>0</v>
      </c>
      <c r="N1357" s="12">
        <f>IF(E1357&gt;1.2,J1357,0)</f>
        <v>7.9950000000000001</v>
      </c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>
        <f>SUM(X1358:X1359)/I1357</f>
        <v>141.6977424506388</v>
      </c>
      <c r="Z1357" s="8"/>
      <c r="AA1357" s="8"/>
      <c r="AB1357" s="8"/>
      <c r="AC1357" s="8"/>
      <c r="AD1357" s="8"/>
      <c r="AE1357" s="8"/>
    </row>
    <row r="1358" spans="1:32" s="10" customFormat="1" ht="20.100000000000001" customHeight="1" x14ac:dyDescent="0.25">
      <c r="A1358" s="7"/>
      <c r="B1358" s="8" t="s">
        <v>2</v>
      </c>
      <c r="C1358" s="13" t="s">
        <v>4</v>
      </c>
      <c r="D1358" s="8">
        <v>20</v>
      </c>
      <c r="E1358" s="8"/>
      <c r="F1358" s="8">
        <v>5</v>
      </c>
      <c r="G1358" s="9">
        <f>VLOOKUP(D1358,'[2]Beam '!$C$20:$H$26,3,0)</f>
        <v>0.8</v>
      </c>
      <c r="H1358" s="9"/>
      <c r="I1358" s="8"/>
      <c r="J1358" s="8"/>
      <c r="K1358" s="8"/>
      <c r="L1358" s="8"/>
      <c r="M1358" s="8"/>
      <c r="N1358" s="8"/>
      <c r="O1358" s="8">
        <f>(E1357+1*(G1358+(12*D1358/1000))+1*(G1358)*D1357)</f>
        <v>7.99</v>
      </c>
      <c r="P1358" s="8">
        <f t="shared" ref="P1358:P1365" si="255">O1358*F1358</f>
        <v>39.950000000000003</v>
      </c>
      <c r="Q1358" s="8">
        <f>IF($D1358='[2]Beam '!Q$44,$P1358*'[2]Beam '!Q$45,0)</f>
        <v>0</v>
      </c>
      <c r="R1358" s="8">
        <f>IF($D1358='[2]Beam '!R$44,$P1358*'[2]Beam '!R$45,0)</f>
        <v>0</v>
      </c>
      <c r="S1358" s="8">
        <f>IF($D1358='[2]Beam '!S$44,$P1358*'[2]Beam '!S$45,0)</f>
        <v>0</v>
      </c>
      <c r="T1358" s="8">
        <f>IF($D1358='[2]Beam '!T$44,$P1358*'[2]Beam '!T$45,0)</f>
        <v>0</v>
      </c>
      <c r="U1358" s="8">
        <f>IF($D1358='[2]Beam '!U$44,$P1358*'[2]Beam '!U$45,0)</f>
        <v>98.562357142857152</v>
      </c>
      <c r="V1358" s="8">
        <f>IF($D1358='[2]Beam '!V$44,$P1358*'[2]Beam '!V$45,0)</f>
        <v>0</v>
      </c>
      <c r="W1358" s="8">
        <f>IF($D1358='[2]Beam '!W$44,$P1358*'[2]Beam '!W$45,0)</f>
        <v>0</v>
      </c>
      <c r="X1358" s="8">
        <f t="shared" ref="X1358:X1365" si="256">SUM(Q1358:W1358)</f>
        <v>98.562357142857152</v>
      </c>
      <c r="Y1358" s="8"/>
      <c r="Z1358" s="8"/>
      <c r="AA1358" s="8"/>
      <c r="AB1358" s="8"/>
      <c r="AC1358" s="8"/>
      <c r="AD1358" s="8"/>
      <c r="AE1358" s="8"/>
    </row>
    <row r="1359" spans="1:32" s="14" customFormat="1" ht="20.100000000000001" customHeight="1" x14ac:dyDescent="0.3">
      <c r="A1359" s="7"/>
      <c r="B1359" s="8" t="s">
        <v>2</v>
      </c>
      <c r="C1359" s="13" t="s">
        <v>139</v>
      </c>
      <c r="D1359" s="8">
        <v>25</v>
      </c>
      <c r="E1359" s="8"/>
      <c r="F1359" s="8">
        <v>5</v>
      </c>
      <c r="G1359" s="9">
        <f>VLOOKUP(D1359,'[2]Beam '!$C$20:$H$26,3,0)</f>
        <v>1</v>
      </c>
      <c r="H1359" s="9"/>
      <c r="I1359" s="8"/>
      <c r="J1359" s="8"/>
      <c r="K1359" s="8"/>
      <c r="L1359" s="8"/>
      <c r="M1359" s="8"/>
      <c r="N1359" s="8"/>
      <c r="O1359" s="8">
        <f>(E1357+1*(G1359+(12*D1359/1000))+1*(G1359)*D1357)</f>
        <v>8.4499999999999993</v>
      </c>
      <c r="P1359" s="8">
        <f t="shared" si="255"/>
        <v>42.25</v>
      </c>
      <c r="Q1359" s="8">
        <f>IF($D1359='[2]Beam '!Q$44,$P1359*'[2]Beam '!Q$45,0)</f>
        <v>0</v>
      </c>
      <c r="R1359" s="8">
        <f>IF($D1359='[2]Beam '!R$44,$P1359*'[2]Beam '!R$45,0)</f>
        <v>0</v>
      </c>
      <c r="S1359" s="8">
        <f>IF($D1359='[2]Beam '!S$44,$P1359*'[2]Beam '!S$45,0)</f>
        <v>0</v>
      </c>
      <c r="T1359" s="8">
        <f>IF($D1359='[2]Beam '!T$44,$P1359*'[2]Beam '!T$45,0)</f>
        <v>0</v>
      </c>
      <c r="U1359" s="8">
        <f>IF($D1359='[2]Beam '!U$44,$P1359*'[2]Beam '!U$45,0)</f>
        <v>0</v>
      </c>
      <c r="V1359" s="8">
        <f>IF($D1359='[2]Beam '!V$44,$P1359*'[2]Beam '!V$45,0)</f>
        <v>162.86997767857144</v>
      </c>
      <c r="W1359" s="8">
        <f>IF($D1359='[2]Beam '!W$44,$P1359*'[2]Beam '!W$45,0)</f>
        <v>0</v>
      </c>
      <c r="X1359" s="8">
        <f t="shared" si="256"/>
        <v>162.86997767857144</v>
      </c>
      <c r="Y1359" s="8"/>
    </row>
    <row r="1360" spans="1:32" s="14" customFormat="1" ht="20.100000000000001" customHeight="1" x14ac:dyDescent="0.3">
      <c r="A1360" s="7"/>
      <c r="B1360" s="8" t="s">
        <v>2</v>
      </c>
      <c r="C1360" s="13" t="s">
        <v>88</v>
      </c>
      <c r="D1360" s="8">
        <v>25</v>
      </c>
      <c r="E1360" s="8"/>
      <c r="F1360" s="8">
        <v>4</v>
      </c>
      <c r="G1360" s="9">
        <f>VLOOKUP(D1360,'[2]Beam '!$C$20:$H$26,3,0)</f>
        <v>1</v>
      </c>
      <c r="H1360" s="9"/>
      <c r="I1360" s="8"/>
      <c r="J1360" s="8"/>
      <c r="K1360" s="8"/>
      <c r="L1360" s="8"/>
      <c r="M1360" s="8"/>
      <c r="N1360" s="8"/>
      <c r="O1360" s="8">
        <f>(E1357-1.95+1*(G1360)*D1357)</f>
        <v>5.2</v>
      </c>
      <c r="P1360" s="8">
        <f t="shared" si="255"/>
        <v>20.8</v>
      </c>
      <c r="Q1360" s="8">
        <f>IF($D1360='[2]Beam '!Q$44,$P1360*'[2]Beam '!Q$45,0)</f>
        <v>0</v>
      </c>
      <c r="R1360" s="8">
        <f>IF($D1360='[2]Beam '!R$44,$P1360*'[2]Beam '!R$45,0)</f>
        <v>0</v>
      </c>
      <c r="S1360" s="8">
        <f>IF($D1360='[2]Beam '!S$44,$P1360*'[2]Beam '!S$45,0)</f>
        <v>0</v>
      </c>
      <c r="T1360" s="8">
        <f>IF($D1360='[2]Beam '!T$44,$P1360*'[2]Beam '!T$45,0)</f>
        <v>0</v>
      </c>
      <c r="U1360" s="8">
        <f>IF($D1360='[2]Beam '!U$44,$P1360*'[2]Beam '!U$45,0)</f>
        <v>0</v>
      </c>
      <c r="V1360" s="8">
        <f>IF($D1360='[2]Beam '!V$44,$P1360*'[2]Beam '!V$45,0)</f>
        <v>80.182142857142878</v>
      </c>
      <c r="W1360" s="8">
        <f>IF($D1360='[2]Beam '!W$44,$P1360*'[2]Beam '!W$45,0)</f>
        <v>0</v>
      </c>
      <c r="X1360" s="8">
        <f t="shared" si="256"/>
        <v>80.182142857142878</v>
      </c>
      <c r="Y1360" s="8"/>
    </row>
    <row r="1361" spans="1:32" s="14" customFormat="1" ht="20.100000000000001" customHeight="1" x14ac:dyDescent="0.25">
      <c r="A1361" s="7"/>
      <c r="B1361" s="8" t="s">
        <v>2</v>
      </c>
      <c r="C1361" s="13" t="s">
        <v>13</v>
      </c>
      <c r="D1361" s="8">
        <v>12</v>
      </c>
      <c r="E1361" s="8">
        <v>0.1</v>
      </c>
      <c r="F1361" s="8">
        <f>ROUNDUP((E1357/3*2)/E1361,0)+1</f>
        <v>42</v>
      </c>
      <c r="G1361" s="10"/>
      <c r="H1361" s="8"/>
      <c r="I1361" s="8"/>
      <c r="J1361" s="8"/>
      <c r="K1361" s="8"/>
      <c r="L1361" s="8"/>
      <c r="M1361" s="8"/>
      <c r="N1361" s="8"/>
      <c r="O1361" s="8">
        <f>(2*((G1357-(2*'[2]Beam '!$D$11))+(F1357-(2*'[2]Beam '!$D$11)))+(2*10*D1361/1000))*D1357</f>
        <v>2.2000000000000002</v>
      </c>
      <c r="P1361" s="8">
        <f t="shared" si="255"/>
        <v>92.4</v>
      </c>
      <c r="Q1361" s="8">
        <f>IF($D1361='[2]Beam '!Q$44,$P1361*'[2]Beam '!Q$45,0)</f>
        <v>0</v>
      </c>
      <c r="R1361" s="8">
        <f>IF($D1361='[2]Beam '!R$44,$P1361*'[2]Beam '!R$45,0)</f>
        <v>0</v>
      </c>
      <c r="S1361" s="8">
        <f>IF($D1361='[2]Beam '!S$44,$P1361*'[2]Beam '!S$45,0)</f>
        <v>82.06704000000002</v>
      </c>
      <c r="T1361" s="8">
        <f>IF($D1361='[2]Beam '!T$44,$P1361*'[2]Beam '!T$45,0)</f>
        <v>0</v>
      </c>
      <c r="U1361" s="8">
        <f>IF($D1361='[2]Beam '!U$44,$P1361*'[2]Beam '!U$45,0)</f>
        <v>0</v>
      </c>
      <c r="V1361" s="8">
        <f>IF($D1361='[2]Beam '!V$44,$P1361*'[2]Beam '!V$45,0)</f>
        <v>0</v>
      </c>
      <c r="W1361" s="8">
        <f>IF($D1361='[2]Beam '!W$44,$P1361*'[2]Beam '!W$45,0)</f>
        <v>0</v>
      </c>
      <c r="X1361" s="8">
        <f t="shared" si="256"/>
        <v>82.06704000000002</v>
      </c>
      <c r="Y1361" s="8"/>
    </row>
    <row r="1362" spans="1:32" s="10" customFormat="1" ht="20.100000000000001" customHeight="1" x14ac:dyDescent="0.25">
      <c r="A1362" s="14"/>
      <c r="B1362" s="8" t="s">
        <v>2</v>
      </c>
      <c r="C1362" s="13" t="s">
        <v>14</v>
      </c>
      <c r="D1362" s="14">
        <f>D1361</f>
        <v>12</v>
      </c>
      <c r="E1362" s="14">
        <v>0.17499999999999999</v>
      </c>
      <c r="F1362" s="8">
        <f>ROUNDUP((E1357/3)/E1362,0)+1</f>
        <v>13</v>
      </c>
      <c r="H1362" s="14"/>
      <c r="I1362" s="14"/>
      <c r="J1362" s="14"/>
      <c r="K1362" s="14"/>
      <c r="L1362" s="14"/>
      <c r="M1362" s="14"/>
      <c r="N1362" s="14"/>
      <c r="O1362" s="8">
        <f>(2*((G1357-(2*'[2]Beam '!$D$11))+(F1357-(2*'[2]Beam '!$D$11)))+(2*10*D1362/1000))*D1357</f>
        <v>2.2000000000000002</v>
      </c>
      <c r="P1362" s="8">
        <f t="shared" si="255"/>
        <v>28.6</v>
      </c>
      <c r="Q1362" s="8">
        <f>IF($D1362='[2]Beam '!Q$44,$P1362*'[2]Beam '!Q$45,0)</f>
        <v>0</v>
      </c>
      <c r="R1362" s="8">
        <f>IF($D1362='[2]Beam '!R$44,$P1362*'[2]Beam '!R$45,0)</f>
        <v>0</v>
      </c>
      <c r="S1362" s="8">
        <f>IF($D1362='[2]Beam '!S$44,$P1362*'[2]Beam '!S$45,0)</f>
        <v>25.401702857142862</v>
      </c>
      <c r="T1362" s="8">
        <f>IF($D1362='[2]Beam '!T$44,$P1362*'[2]Beam '!T$45,0)</f>
        <v>0</v>
      </c>
      <c r="U1362" s="8">
        <f>IF($D1362='[2]Beam '!U$44,$P1362*'[2]Beam '!U$45,0)</f>
        <v>0</v>
      </c>
      <c r="V1362" s="8">
        <f>IF($D1362='[2]Beam '!V$44,$P1362*'[2]Beam '!V$45,0)</f>
        <v>0</v>
      </c>
      <c r="W1362" s="8">
        <f>IF($D1362='[2]Beam '!W$44,$P1362*'[2]Beam '!W$45,0)</f>
        <v>0</v>
      </c>
      <c r="X1362" s="8">
        <f t="shared" si="256"/>
        <v>25.401702857142862</v>
      </c>
      <c r="Y1362" s="14"/>
      <c r="Z1362" s="8"/>
      <c r="AA1362" s="8"/>
      <c r="AB1362" s="8"/>
      <c r="AC1362" s="8"/>
      <c r="AD1362" s="8"/>
      <c r="AE1362" s="8"/>
    </row>
    <row r="1363" spans="1:32" s="10" customFormat="1" ht="21" customHeight="1" x14ac:dyDescent="0.25">
      <c r="A1363" s="14"/>
      <c r="B1363" s="8" t="s">
        <v>2</v>
      </c>
      <c r="C1363" s="13" t="s">
        <v>15</v>
      </c>
      <c r="D1363" s="14">
        <f>D1361</f>
        <v>12</v>
      </c>
      <c r="E1363" s="14">
        <f>+E1361</f>
        <v>0.1</v>
      </c>
      <c r="F1363" s="8">
        <f>ROUNDUP((E1357/3*2)/E1363,0)+1</f>
        <v>42</v>
      </c>
      <c r="H1363" s="14"/>
      <c r="I1363" s="14"/>
      <c r="J1363" s="14"/>
      <c r="K1363" s="14"/>
      <c r="L1363" s="14"/>
      <c r="M1363" s="14"/>
      <c r="N1363" s="14"/>
      <c r="O1363" s="8">
        <f>(2*(((F1357-'[2]Beam '!$D$11*2)/(F1358-1))+(G1357-'[2]Beam '!$D$11*2))+(2*10*D1363/1000))*D1357</f>
        <v>1.54</v>
      </c>
      <c r="P1363" s="8">
        <f t="shared" si="255"/>
        <v>64.680000000000007</v>
      </c>
      <c r="Q1363" s="8">
        <f>IF($D1363='[2]Beam '!Q$44,$P1363*'[2]Beam '!Q$45,0)</f>
        <v>0</v>
      </c>
      <c r="R1363" s="8">
        <f>IF($D1363='[2]Beam '!R$44,$P1363*'[2]Beam '!R$45,0)</f>
        <v>0</v>
      </c>
      <c r="S1363" s="8">
        <f>IF($D1363='[2]Beam '!S$44,$P1363*'[2]Beam '!S$45,0)</f>
        <v>57.446928000000014</v>
      </c>
      <c r="T1363" s="8">
        <f>IF($D1363='[2]Beam '!T$44,$P1363*'[2]Beam '!T$45,0)</f>
        <v>0</v>
      </c>
      <c r="U1363" s="8">
        <f>IF($D1363='[2]Beam '!U$44,$P1363*'[2]Beam '!U$45,0)</f>
        <v>0</v>
      </c>
      <c r="V1363" s="8">
        <f>IF($D1363='[2]Beam '!V$44,$P1363*'[2]Beam '!V$45,0)</f>
        <v>0</v>
      </c>
      <c r="W1363" s="8">
        <f>IF($D1363='[2]Beam '!W$44,$P1363*'[2]Beam '!W$45,0)</f>
        <v>0</v>
      </c>
      <c r="X1363" s="8">
        <f t="shared" si="256"/>
        <v>57.446928000000014</v>
      </c>
      <c r="Y1363" s="14"/>
      <c r="Z1363" s="8"/>
      <c r="AA1363" s="8"/>
      <c r="AB1363" s="8"/>
      <c r="AC1363" s="8"/>
      <c r="AD1363" s="8"/>
      <c r="AE1363" s="8"/>
      <c r="AF1363" s="8"/>
    </row>
    <row r="1364" spans="1:32" s="10" customFormat="1" ht="20.100000000000001" customHeight="1" x14ac:dyDescent="0.25">
      <c r="A1364" s="14"/>
      <c r="B1364" s="8" t="s">
        <v>2</v>
      </c>
      <c r="C1364" s="13" t="s">
        <v>16</v>
      </c>
      <c r="D1364" s="14">
        <f>D1362</f>
        <v>12</v>
      </c>
      <c r="E1364" s="14">
        <f>+E1362</f>
        <v>0.17499999999999999</v>
      </c>
      <c r="F1364" s="8">
        <f>ROUNDUP((E1357/3)/E1364,0)+1</f>
        <v>13</v>
      </c>
      <c r="H1364" s="14"/>
      <c r="I1364" s="14"/>
      <c r="J1364" s="14"/>
      <c r="K1364" s="14"/>
      <c r="L1364" s="14"/>
      <c r="M1364" s="14"/>
      <c r="N1364" s="14"/>
      <c r="O1364" s="8">
        <f>(2*(((F1357-'[2]Beam '!$D$11*2)/(F1358-1))+(G1357-'[2]Beam '!$D$11*2))+(2*10*D1364/1000))*D1357</f>
        <v>1.54</v>
      </c>
      <c r="P1364" s="8">
        <f t="shared" si="255"/>
        <v>20.02</v>
      </c>
      <c r="Q1364" s="8">
        <f>IF($D1364='[2]Beam '!Q$44,$P1364*'[2]Beam '!Q$45,0)</f>
        <v>0</v>
      </c>
      <c r="R1364" s="8">
        <f>IF($D1364='[2]Beam '!R$44,$P1364*'[2]Beam '!R$45,0)</f>
        <v>0</v>
      </c>
      <c r="S1364" s="8">
        <f>IF($D1364='[2]Beam '!S$44,$P1364*'[2]Beam '!S$45,0)</f>
        <v>17.781192000000004</v>
      </c>
      <c r="T1364" s="8">
        <f>IF($D1364='[2]Beam '!T$44,$P1364*'[2]Beam '!T$45,0)</f>
        <v>0</v>
      </c>
      <c r="U1364" s="8">
        <f>IF($D1364='[2]Beam '!U$44,$P1364*'[2]Beam '!U$45,0)</f>
        <v>0</v>
      </c>
      <c r="V1364" s="8">
        <f>IF($D1364='[2]Beam '!V$44,$P1364*'[2]Beam '!V$45,0)</f>
        <v>0</v>
      </c>
      <c r="W1364" s="8">
        <f>IF($D1364='[2]Beam '!W$44,$P1364*'[2]Beam '!W$45,0)</f>
        <v>0</v>
      </c>
      <c r="X1364" s="8">
        <f t="shared" si="256"/>
        <v>17.781192000000004</v>
      </c>
      <c r="Y1364" s="14"/>
      <c r="Z1364" s="8"/>
      <c r="AA1364" s="8"/>
      <c r="AB1364" s="8"/>
      <c r="AC1364" s="8"/>
      <c r="AD1364" s="8"/>
      <c r="AE1364" s="8"/>
    </row>
    <row r="1365" spans="1:32" s="10" customFormat="1" ht="20.100000000000001" customHeight="1" x14ac:dyDescent="0.25">
      <c r="A1365" s="7"/>
      <c r="B1365" s="8" t="s">
        <v>2</v>
      </c>
      <c r="C1365" s="13" t="s">
        <v>10</v>
      </c>
      <c r="D1365" s="8">
        <f>+'[2]Beam '!$D$15</f>
        <v>25</v>
      </c>
      <c r="E1365" s="8">
        <f>+'[2]Beam '!$E$15</f>
        <v>1</v>
      </c>
      <c r="F1365" s="8">
        <f>ROUNDUP((O1360)/E1365,0)</f>
        <v>6</v>
      </c>
      <c r="G1365" s="9"/>
      <c r="H1365" s="9"/>
      <c r="I1365" s="8"/>
      <c r="J1365" s="8"/>
      <c r="K1365" s="8"/>
      <c r="L1365" s="8"/>
      <c r="M1365" s="8"/>
      <c r="N1365" s="8"/>
      <c r="O1365" s="8">
        <f>F1357-'[2]Beam '!$F$15</f>
        <v>0.44</v>
      </c>
      <c r="P1365" s="8">
        <f t="shared" si="255"/>
        <v>2.64</v>
      </c>
      <c r="Q1365" s="8">
        <f>IF($D1365='[2]Beam '!Q$44,$P1365*'[2]Beam '!Q$45,0)</f>
        <v>0</v>
      </c>
      <c r="R1365" s="8">
        <f>IF($D1365='[2]Beam '!R$44,$P1365*'[2]Beam '!R$45,0)</f>
        <v>0</v>
      </c>
      <c r="S1365" s="8">
        <f>IF($D1365='[2]Beam '!S$44,$P1365*'[2]Beam '!S$45,0)</f>
        <v>0</v>
      </c>
      <c r="T1365" s="8">
        <f>IF($D1365='[2]Beam '!T$44,$P1365*'[2]Beam '!T$45,0)</f>
        <v>0</v>
      </c>
      <c r="U1365" s="8">
        <f>IF($D1365='[2]Beam '!U$44,$P1365*'[2]Beam '!U$45,0)</f>
        <v>0</v>
      </c>
      <c r="V1365" s="8">
        <f>IF($D1365='[2]Beam '!V$44,$P1365*'[2]Beam '!V$45,0)</f>
        <v>10.176964285714288</v>
      </c>
      <c r="W1365" s="8">
        <f>IF($D1365='[2]Beam '!W$44,$P1365*'[2]Beam '!W$45,0)</f>
        <v>0</v>
      </c>
      <c r="X1365" s="8">
        <f t="shared" si="256"/>
        <v>10.176964285714288</v>
      </c>
      <c r="Y1365" s="8"/>
      <c r="Z1365" s="8"/>
      <c r="AA1365" s="8"/>
      <c r="AB1365" s="8"/>
      <c r="AC1365" s="8"/>
      <c r="AD1365" s="8"/>
      <c r="AE1365" s="8"/>
    </row>
    <row r="1366" spans="1:32" s="10" customFormat="1" ht="20.100000000000001" customHeight="1" x14ac:dyDescent="0.25">
      <c r="A1366" s="8">
        <v>1</v>
      </c>
      <c r="B1366" s="8" t="s">
        <v>2</v>
      </c>
      <c r="C1366" s="11" t="s">
        <v>181</v>
      </c>
      <c r="D1366" s="11">
        <v>1</v>
      </c>
      <c r="E1366" s="11">
        <v>2.4</v>
      </c>
      <c r="F1366" s="11">
        <v>0.4</v>
      </c>
      <c r="G1366" s="11">
        <v>0.6</v>
      </c>
      <c r="H1366" s="8">
        <f>G1366-0.2</f>
        <v>0.39999999999999997</v>
      </c>
      <c r="I1366" s="8">
        <f>E1366*F1366*G1366*D1366</f>
        <v>0.57599999999999996</v>
      </c>
      <c r="J1366" s="8">
        <f>(2*(E1366)*H1366*D1366)+(E1366*F1366)</f>
        <v>2.88</v>
      </c>
      <c r="K1366" s="12">
        <f>IF(E1366=0.3,J1366,0)</f>
        <v>0</v>
      </c>
      <c r="L1366" s="12">
        <f>IF(AND(E1366&gt;0.3,E1366&lt;=0.75),J1366,0)</f>
        <v>0</v>
      </c>
      <c r="M1366" s="12">
        <f>IF(AND(E1366&gt;0.75,E1366&lt;=1.2),J1366,0)</f>
        <v>0</v>
      </c>
      <c r="N1366" s="12">
        <f>IF(E1366&gt;1.2,J1366,0)</f>
        <v>2.88</v>
      </c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>
        <f>SUM(X1367:X1369)/I1366</f>
        <v>120.04568888888892</v>
      </c>
      <c r="Z1366" s="8"/>
      <c r="AA1366" s="8"/>
      <c r="AB1366" s="8"/>
      <c r="AC1366" s="8"/>
      <c r="AD1366" s="8"/>
      <c r="AE1366" s="8"/>
    </row>
    <row r="1367" spans="1:32" s="10" customFormat="1" ht="21" customHeight="1" x14ac:dyDescent="0.25">
      <c r="A1367" s="7"/>
      <c r="B1367" s="8" t="s">
        <v>2</v>
      </c>
      <c r="C1367" s="13" t="s">
        <v>4</v>
      </c>
      <c r="D1367" s="8">
        <v>16</v>
      </c>
      <c r="E1367" s="8"/>
      <c r="F1367" s="8">
        <v>4</v>
      </c>
      <c r="G1367" s="9">
        <f>VLOOKUP(D1367,'[2]Beam '!$C$20:$H$26,3,0)</f>
        <v>0.625</v>
      </c>
      <c r="H1367" s="9"/>
      <c r="I1367" s="8"/>
      <c r="J1367" s="8"/>
      <c r="K1367" s="8"/>
      <c r="L1367" s="8"/>
      <c r="M1367" s="8"/>
      <c r="N1367" s="8"/>
      <c r="O1367" s="8">
        <f>(E1366+2*(G1367+(12*D1367/1000))*D1366)</f>
        <v>4.0339999999999998</v>
      </c>
      <c r="P1367" s="8">
        <f>O1367*F1367</f>
        <v>16.135999999999999</v>
      </c>
      <c r="Q1367" s="8">
        <f>IF($D1367='[2]Beam '!Q$44,$P1367*'[2]Beam '!Q$45,0)</f>
        <v>0</v>
      </c>
      <c r="R1367" s="8">
        <f>IF($D1367='[2]Beam '!R$44,$P1367*'[2]Beam '!R$45,0)</f>
        <v>0</v>
      </c>
      <c r="S1367" s="8">
        <f>IF($D1367='[2]Beam '!S$44,$P1367*'[2]Beam '!S$45,0)</f>
        <v>0</v>
      </c>
      <c r="T1367" s="8">
        <f>IF($D1367='[2]Beam '!T$44,$P1367*'[2]Beam '!T$45,0)</f>
        <v>25.478282971428573</v>
      </c>
      <c r="U1367" s="8">
        <f>IF($D1367='[2]Beam '!U$44,$P1367*'[2]Beam '!U$45,0)</f>
        <v>0</v>
      </c>
      <c r="V1367" s="8">
        <f>IF($D1367='[2]Beam '!V$44,$P1367*'[2]Beam '!V$45,0)</f>
        <v>0</v>
      </c>
      <c r="W1367" s="8">
        <f>IF($D1367='[2]Beam '!W$44,$P1367*'[2]Beam '!W$45,0)</f>
        <v>0</v>
      </c>
      <c r="X1367" s="8">
        <f>SUM(Q1367:W1367)</f>
        <v>25.478282971428573</v>
      </c>
      <c r="Y1367" s="8"/>
      <c r="Z1367" s="8"/>
      <c r="AA1367" s="8"/>
      <c r="AB1367" s="8"/>
      <c r="AC1367" s="8"/>
      <c r="AD1367" s="8"/>
      <c r="AE1367" s="8"/>
      <c r="AF1367" s="8"/>
    </row>
    <row r="1368" spans="1:32" s="10" customFormat="1" ht="20.100000000000001" customHeight="1" x14ac:dyDescent="0.25">
      <c r="A1368" s="7"/>
      <c r="B1368" s="8" t="s">
        <v>2</v>
      </c>
      <c r="C1368" s="13" t="s">
        <v>139</v>
      </c>
      <c r="D1368" s="8">
        <v>16</v>
      </c>
      <c r="E1368" s="8"/>
      <c r="F1368" s="8">
        <v>4</v>
      </c>
      <c r="G1368" s="9">
        <f>VLOOKUP(D1368,'[2]Beam '!$C$20:$H$26,3,0)</f>
        <v>0.625</v>
      </c>
      <c r="H1368" s="9"/>
      <c r="I1368" s="8"/>
      <c r="J1368" s="8"/>
      <c r="K1368" s="8"/>
      <c r="L1368" s="8"/>
      <c r="M1368" s="8"/>
      <c r="N1368" s="8"/>
      <c r="O1368" s="8">
        <f>(E1366+2*(G1368+(12*D1368/1000))*D1366)</f>
        <v>4.0339999999999998</v>
      </c>
      <c r="P1368" s="8">
        <f>O1368*F1368</f>
        <v>16.135999999999999</v>
      </c>
      <c r="Q1368" s="8">
        <f>IF($D1368='[2]Beam '!Q$44,$P1368*'[2]Beam '!Q$45,0)</f>
        <v>0</v>
      </c>
      <c r="R1368" s="8">
        <f>IF($D1368='[2]Beam '!R$44,$P1368*'[2]Beam '!R$45,0)</f>
        <v>0</v>
      </c>
      <c r="S1368" s="8">
        <f>IF($D1368='[2]Beam '!S$44,$P1368*'[2]Beam '!S$45,0)</f>
        <v>0</v>
      </c>
      <c r="T1368" s="8">
        <f>IF($D1368='[2]Beam '!T$44,$P1368*'[2]Beam '!T$45,0)</f>
        <v>25.478282971428573</v>
      </c>
      <c r="U1368" s="8">
        <f>IF($D1368='[2]Beam '!U$44,$P1368*'[2]Beam '!U$45,0)</f>
        <v>0</v>
      </c>
      <c r="V1368" s="8">
        <f>IF($D1368='[2]Beam '!V$44,$P1368*'[2]Beam '!V$45,0)</f>
        <v>0</v>
      </c>
      <c r="W1368" s="8">
        <f>IF($D1368='[2]Beam '!W$44,$P1368*'[2]Beam '!W$45,0)</f>
        <v>0</v>
      </c>
      <c r="X1368" s="8">
        <f>SUM(Q1368:W1368)</f>
        <v>25.478282971428573</v>
      </c>
      <c r="Y1368" s="8"/>
      <c r="Z1368" s="8"/>
      <c r="AA1368" s="8"/>
      <c r="AB1368" s="8"/>
      <c r="AC1368" s="8"/>
      <c r="AD1368" s="8"/>
      <c r="AE1368" s="8"/>
    </row>
    <row r="1369" spans="1:32" s="10" customFormat="1" ht="20.100000000000001" customHeight="1" x14ac:dyDescent="0.25">
      <c r="A1369" s="7"/>
      <c r="B1369" s="8" t="s">
        <v>2</v>
      </c>
      <c r="C1369" s="13" t="s">
        <v>8</v>
      </c>
      <c r="D1369" s="8">
        <v>8</v>
      </c>
      <c r="E1369" s="8">
        <v>0.1</v>
      </c>
      <c r="F1369" s="8">
        <f>ROUNDUP(E1366/E1369,0)</f>
        <v>24</v>
      </c>
      <c r="H1369" s="8"/>
      <c r="I1369" s="8"/>
      <c r="J1369" s="8"/>
      <c r="K1369" s="8"/>
      <c r="L1369" s="8"/>
      <c r="M1369" s="8"/>
      <c r="N1369" s="8"/>
      <c r="O1369" s="8">
        <f>(2*((G1366-(2*'[2]Beam '!$D$11))+(F1366-(2*'[2]Beam '!$D$11)))+(2*10*D1369/1000))*D1366</f>
        <v>1.9200000000000002</v>
      </c>
      <c r="P1369" s="8">
        <f>O1369*F1369</f>
        <v>46.080000000000005</v>
      </c>
      <c r="Q1369" s="8">
        <f>IF($D1369='[2]Beam '!Q$44,$P1369*'[2]Beam '!Q$45,0)</f>
        <v>18.189750857142862</v>
      </c>
      <c r="R1369" s="8">
        <f>IF($D1369='[2]Beam '!R$44,$P1369*'[2]Beam '!R$45,0)</f>
        <v>0</v>
      </c>
      <c r="S1369" s="8">
        <f>IF($D1369='[2]Beam '!S$44,$P1369*'[2]Beam '!S$45,0)</f>
        <v>0</v>
      </c>
      <c r="T1369" s="8">
        <f>IF($D1369='[2]Beam '!T$44,$P1369*'[2]Beam '!T$45,0)</f>
        <v>0</v>
      </c>
      <c r="U1369" s="8">
        <f>IF($D1369='[2]Beam '!U$44,$P1369*'[2]Beam '!U$45,0)</f>
        <v>0</v>
      </c>
      <c r="V1369" s="8">
        <f>IF($D1369='[2]Beam '!V$44,$P1369*'[2]Beam '!V$45,0)</f>
        <v>0</v>
      </c>
      <c r="W1369" s="8">
        <f>IF($D1369='[2]Beam '!W$44,$P1369*'[2]Beam '!W$45,0)</f>
        <v>0</v>
      </c>
      <c r="X1369" s="8">
        <f>SUM(Q1369:W1369)</f>
        <v>18.189750857142862</v>
      </c>
      <c r="Y1369" s="8"/>
      <c r="Z1369" s="8"/>
      <c r="AA1369" s="8"/>
      <c r="AB1369" s="8"/>
      <c r="AC1369" s="8"/>
      <c r="AD1369" s="8"/>
      <c r="AE1369" s="8"/>
    </row>
    <row r="1370" spans="1:32" s="10" customFormat="1" ht="20.100000000000001" customHeight="1" x14ac:dyDescent="0.25">
      <c r="A1370" s="8">
        <v>1</v>
      </c>
      <c r="B1370" s="8" t="s">
        <v>2</v>
      </c>
      <c r="C1370" s="11" t="s">
        <v>182</v>
      </c>
      <c r="D1370" s="11">
        <v>1</v>
      </c>
      <c r="E1370" s="11">
        <v>1.4</v>
      </c>
      <c r="F1370" s="11">
        <v>0.3</v>
      </c>
      <c r="G1370" s="11">
        <v>0.5</v>
      </c>
      <c r="H1370" s="8">
        <f>G1370-0.2</f>
        <v>0.3</v>
      </c>
      <c r="I1370" s="8">
        <f>E1370*F1370*G1370*D1370</f>
        <v>0.21</v>
      </c>
      <c r="J1370" s="8">
        <f>(2*(E1370)*H1370*D1370)+(E1370*F1370)</f>
        <v>1.26</v>
      </c>
      <c r="K1370" s="12">
        <f>IF(E1370=0.3,J1370,0)</f>
        <v>0</v>
      </c>
      <c r="L1370" s="12">
        <f>IF(AND(E1370&gt;0.3,E1370&lt;=0.75),J1370,0)</f>
        <v>0</v>
      </c>
      <c r="M1370" s="12">
        <f>IF(AND(E1370&gt;0.75,E1370&lt;=1.2),J1370,0)</f>
        <v>0</v>
      </c>
      <c r="N1370" s="12">
        <f>IF(E1370&gt;1.2,J1370,0)</f>
        <v>1.26</v>
      </c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>
        <f>SUM(X1371:X1373)/I1370</f>
        <v>774.26931700680279</v>
      </c>
      <c r="Z1370" s="8"/>
      <c r="AA1370" s="8"/>
      <c r="AB1370" s="8"/>
      <c r="AC1370" s="8"/>
      <c r="AD1370" s="8"/>
      <c r="AE1370" s="8"/>
    </row>
    <row r="1371" spans="1:32" s="10" customFormat="1" ht="21" customHeight="1" x14ac:dyDescent="0.25">
      <c r="A1371" s="7"/>
      <c r="B1371" s="8" t="s">
        <v>2</v>
      </c>
      <c r="C1371" s="13" t="s">
        <v>4</v>
      </c>
      <c r="D1371" s="8">
        <v>25</v>
      </c>
      <c r="E1371" s="8"/>
      <c r="F1371" s="8">
        <v>5</v>
      </c>
      <c r="G1371" s="9">
        <f>VLOOKUP(D1371,'[2]Beam '!$C$20:$H$26,3,0)</f>
        <v>1</v>
      </c>
      <c r="H1371" s="9"/>
      <c r="I1371" s="8"/>
      <c r="J1371" s="8"/>
      <c r="K1371" s="8"/>
      <c r="L1371" s="8"/>
      <c r="M1371" s="8"/>
      <c r="N1371" s="8"/>
      <c r="O1371" s="8">
        <f>(E1370+2*(G1371+(12*D1371/1000))*D1370)</f>
        <v>4</v>
      </c>
      <c r="P1371" s="8">
        <f>O1371*F1371</f>
        <v>20</v>
      </c>
      <c r="Q1371" s="8">
        <f>IF($D1371='[2]Beam '!Q$44,$P1371*'[2]Beam '!Q$45,0)</f>
        <v>0</v>
      </c>
      <c r="R1371" s="8">
        <f>IF($D1371='[2]Beam '!R$44,$P1371*'[2]Beam '!R$45,0)</f>
        <v>0</v>
      </c>
      <c r="S1371" s="8">
        <f>IF($D1371='[2]Beam '!S$44,$P1371*'[2]Beam '!S$45,0)</f>
        <v>0</v>
      </c>
      <c r="T1371" s="8">
        <f>IF($D1371='[2]Beam '!T$44,$P1371*'[2]Beam '!T$45,0)</f>
        <v>0</v>
      </c>
      <c r="U1371" s="8">
        <f>IF($D1371='[2]Beam '!U$44,$P1371*'[2]Beam '!U$45,0)</f>
        <v>0</v>
      </c>
      <c r="V1371" s="8">
        <f>IF($D1371='[2]Beam '!V$44,$P1371*'[2]Beam '!V$45,0)</f>
        <v>77.098214285714292</v>
      </c>
      <c r="W1371" s="8">
        <f>IF($D1371='[2]Beam '!W$44,$P1371*'[2]Beam '!W$45,0)</f>
        <v>0</v>
      </c>
      <c r="X1371" s="8">
        <f>SUM(Q1371:W1371)</f>
        <v>77.098214285714292</v>
      </c>
      <c r="Y1371" s="8"/>
      <c r="Z1371" s="8"/>
      <c r="AA1371" s="8"/>
      <c r="AB1371" s="8"/>
      <c r="AC1371" s="8"/>
      <c r="AD1371" s="8"/>
      <c r="AE1371" s="8"/>
      <c r="AF1371" s="8"/>
    </row>
    <row r="1372" spans="1:32" s="10" customFormat="1" ht="20.100000000000001" customHeight="1" x14ac:dyDescent="0.25">
      <c r="A1372" s="7"/>
      <c r="B1372" s="8" t="s">
        <v>2</v>
      </c>
      <c r="C1372" s="13" t="s">
        <v>139</v>
      </c>
      <c r="D1372" s="8">
        <v>25</v>
      </c>
      <c r="E1372" s="8"/>
      <c r="F1372" s="8">
        <v>5</v>
      </c>
      <c r="G1372" s="9">
        <f>VLOOKUP(D1372,'[2]Beam '!$C$20:$H$26,3,0)</f>
        <v>1</v>
      </c>
      <c r="H1372" s="9"/>
      <c r="I1372" s="8"/>
      <c r="J1372" s="8"/>
      <c r="K1372" s="8"/>
      <c r="L1372" s="8"/>
      <c r="M1372" s="8"/>
      <c r="N1372" s="8"/>
      <c r="O1372" s="8">
        <f>(E1370+2*(G1372+(12*D1372/1000))*D1370)</f>
        <v>4</v>
      </c>
      <c r="P1372" s="8">
        <f>O1372*F1372</f>
        <v>20</v>
      </c>
      <c r="Q1372" s="8">
        <f>IF($D1372='[2]Beam '!Q$44,$P1372*'[2]Beam '!Q$45,0)</f>
        <v>0</v>
      </c>
      <c r="R1372" s="8">
        <f>IF($D1372='[2]Beam '!R$44,$P1372*'[2]Beam '!R$45,0)</f>
        <v>0</v>
      </c>
      <c r="S1372" s="8">
        <f>IF($D1372='[2]Beam '!S$44,$P1372*'[2]Beam '!S$45,0)</f>
        <v>0</v>
      </c>
      <c r="T1372" s="8">
        <f>IF($D1372='[2]Beam '!T$44,$P1372*'[2]Beam '!T$45,0)</f>
        <v>0</v>
      </c>
      <c r="U1372" s="8">
        <f>IF($D1372='[2]Beam '!U$44,$P1372*'[2]Beam '!U$45,0)</f>
        <v>0</v>
      </c>
      <c r="V1372" s="8">
        <f>IF($D1372='[2]Beam '!V$44,$P1372*'[2]Beam '!V$45,0)</f>
        <v>77.098214285714292</v>
      </c>
      <c r="W1372" s="8">
        <f>IF($D1372='[2]Beam '!W$44,$P1372*'[2]Beam '!W$45,0)</f>
        <v>0</v>
      </c>
      <c r="X1372" s="8">
        <f>SUM(Q1372:W1372)</f>
        <v>77.098214285714292</v>
      </c>
      <c r="Y1372" s="8"/>
      <c r="Z1372" s="8"/>
      <c r="AA1372" s="8"/>
      <c r="AB1372" s="8"/>
      <c r="AC1372" s="8"/>
      <c r="AD1372" s="8"/>
      <c r="AE1372" s="8"/>
    </row>
    <row r="1373" spans="1:32" s="10" customFormat="1" ht="20.100000000000001" customHeight="1" x14ac:dyDescent="0.25">
      <c r="A1373" s="7"/>
      <c r="B1373" s="8" t="s">
        <v>2</v>
      </c>
      <c r="C1373" s="13" t="s">
        <v>8</v>
      </c>
      <c r="D1373" s="8">
        <v>8</v>
      </c>
      <c r="E1373" s="8">
        <v>0.1</v>
      </c>
      <c r="F1373" s="8">
        <f>ROUNDUP(E1370/E1373,0)</f>
        <v>14</v>
      </c>
      <c r="H1373" s="8"/>
      <c r="I1373" s="8"/>
      <c r="J1373" s="8"/>
      <c r="K1373" s="8"/>
      <c r="L1373" s="8"/>
      <c r="M1373" s="8"/>
      <c r="N1373" s="8"/>
      <c r="O1373" s="8">
        <f>(2*((G1370-(2*'[2]Beam '!$D$11))+(F1370-(2*'[2]Beam '!$D$11)))+(2*10*D1373/1000))*D1370</f>
        <v>1.5199999999999998</v>
      </c>
      <c r="P1373" s="8">
        <f>O1373*F1373</f>
        <v>21.279999999999998</v>
      </c>
      <c r="Q1373" s="8">
        <f>IF($D1373='[2]Beam '!Q$44,$P1373*'[2]Beam '!Q$45,0)</f>
        <v>8.4001280000000005</v>
      </c>
      <c r="R1373" s="8">
        <f>IF($D1373='[2]Beam '!R$44,$P1373*'[2]Beam '!R$45,0)</f>
        <v>0</v>
      </c>
      <c r="S1373" s="8">
        <f>IF($D1373='[2]Beam '!S$44,$P1373*'[2]Beam '!S$45,0)</f>
        <v>0</v>
      </c>
      <c r="T1373" s="8">
        <f>IF($D1373='[2]Beam '!T$44,$P1373*'[2]Beam '!T$45,0)</f>
        <v>0</v>
      </c>
      <c r="U1373" s="8">
        <f>IF($D1373='[2]Beam '!U$44,$P1373*'[2]Beam '!U$45,0)</f>
        <v>0</v>
      </c>
      <c r="V1373" s="8">
        <f>IF($D1373='[2]Beam '!V$44,$P1373*'[2]Beam '!V$45,0)</f>
        <v>0</v>
      </c>
      <c r="W1373" s="8">
        <f>IF($D1373='[2]Beam '!W$44,$P1373*'[2]Beam '!W$45,0)</f>
        <v>0</v>
      </c>
      <c r="X1373" s="8">
        <f>SUM(Q1373:W1373)</f>
        <v>8.4001280000000005</v>
      </c>
      <c r="Y1373" s="8"/>
      <c r="Z1373" s="8"/>
      <c r="AA1373" s="8"/>
      <c r="AB1373" s="8"/>
      <c r="AC1373" s="8"/>
      <c r="AD1373" s="8"/>
      <c r="AE1373" s="8"/>
    </row>
    <row r="1374" spans="1:32" s="10" customFormat="1" ht="20.100000000000001" customHeight="1" x14ac:dyDescent="0.25">
      <c r="A1374" s="8">
        <v>1</v>
      </c>
      <c r="B1374" s="8" t="s">
        <v>2</v>
      </c>
      <c r="C1374" s="11" t="s">
        <v>183</v>
      </c>
      <c r="D1374" s="11">
        <v>1</v>
      </c>
      <c r="E1374" s="11">
        <v>1</v>
      </c>
      <c r="F1374" s="11">
        <v>0.5</v>
      </c>
      <c r="G1374" s="11">
        <v>1.2</v>
      </c>
      <c r="H1374" s="8">
        <f>G1374-0.2</f>
        <v>1</v>
      </c>
      <c r="I1374" s="8">
        <f>E1374*F1374*G1374*D1374</f>
        <v>0.6</v>
      </c>
      <c r="J1374" s="8">
        <f>(2*(E1374)*H1374*D1374)+(E1374*F1374)</f>
        <v>2.5</v>
      </c>
      <c r="K1374" s="12">
        <f>IF(E1374=0.3,J1374,0)</f>
        <v>0</v>
      </c>
      <c r="L1374" s="12">
        <f>IF(AND(E1374&gt;0.3,E1374&lt;=0.75),J1374,0)</f>
        <v>0</v>
      </c>
      <c r="M1374" s="12">
        <f>IF(AND(E1374&gt;0.75,E1374&lt;=1.2),J1374,0)</f>
        <v>2.5</v>
      </c>
      <c r="N1374" s="12">
        <f>IF(E1374&gt;1.2,J1374,0)</f>
        <v>0</v>
      </c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>
        <f>SUM(X1375:X1376)/I1374</f>
        <v>310.43421226190475</v>
      </c>
      <c r="Z1374" s="8"/>
      <c r="AA1374" s="8"/>
      <c r="AB1374" s="8"/>
      <c r="AC1374" s="8"/>
      <c r="AD1374" s="8"/>
      <c r="AE1374" s="8"/>
    </row>
    <row r="1375" spans="1:32" s="10" customFormat="1" ht="19.5" customHeight="1" x14ac:dyDescent="0.25">
      <c r="A1375" s="7"/>
      <c r="B1375" s="8" t="s">
        <v>2</v>
      </c>
      <c r="C1375" s="13" t="s">
        <v>4</v>
      </c>
      <c r="D1375" s="8">
        <v>32</v>
      </c>
      <c r="E1375" s="8"/>
      <c r="F1375" s="8">
        <v>5</v>
      </c>
      <c r="G1375" s="9">
        <f>VLOOKUP(D1375,'[2]Beam '!$C$20:$H$26,3,0)</f>
        <v>1.25</v>
      </c>
      <c r="H1375" s="9"/>
      <c r="I1375" s="8"/>
      <c r="J1375" s="8"/>
      <c r="K1375" s="8"/>
      <c r="L1375" s="8"/>
      <c r="M1375" s="8"/>
      <c r="N1375" s="8"/>
      <c r="O1375" s="8">
        <f>(E1374+1*(G1375+(12*D1375/1000))+1*(G1375)*D1374)</f>
        <v>3.8839999999999999</v>
      </c>
      <c r="P1375" s="8">
        <f t="shared" ref="P1375:P1381" si="257">O1375*F1375</f>
        <v>19.419999999999998</v>
      </c>
      <c r="Q1375" s="8">
        <f>IF($D1375='[2]Beam '!Q$44,$P1375*'[2]Beam '!Q$45,0)</f>
        <v>0</v>
      </c>
      <c r="R1375" s="8">
        <f>IF($D1375='[2]Beam '!R$44,$P1375*'[2]Beam '!R$45,0)</f>
        <v>0</v>
      </c>
      <c r="S1375" s="8">
        <f>IF($D1375='[2]Beam '!S$44,$P1375*'[2]Beam '!S$45,0)</f>
        <v>0</v>
      </c>
      <c r="T1375" s="8">
        <f>IF($D1375='[2]Beam '!T$44,$P1375*'[2]Beam '!T$45,0)</f>
        <v>0</v>
      </c>
      <c r="U1375" s="8">
        <f>IF($D1375='[2]Beam '!U$44,$P1375*'[2]Beam '!U$45,0)</f>
        <v>0</v>
      </c>
      <c r="V1375" s="8">
        <f>IF($D1375='[2]Beam '!V$44,$P1375*'[2]Beam '!V$45,0)</f>
        <v>0</v>
      </c>
      <c r="W1375" s="8">
        <f>IF($D1375='[2]Beam '!W$44,$P1375*'[2]Beam '!W$45,0)</f>
        <v>122.65450057142857</v>
      </c>
      <c r="X1375" s="8">
        <f t="shared" ref="X1375:X1381" si="258">SUM(Q1375:W1375)</f>
        <v>122.65450057142857</v>
      </c>
      <c r="Y1375" s="8"/>
      <c r="Z1375" s="8"/>
      <c r="AA1375" s="8"/>
      <c r="AB1375" s="8"/>
      <c r="AC1375" s="8"/>
      <c r="AD1375" s="8"/>
      <c r="AE1375" s="8"/>
    </row>
    <row r="1376" spans="1:32" s="10" customFormat="1" ht="20.100000000000001" customHeight="1" x14ac:dyDescent="0.25">
      <c r="A1376" s="7"/>
      <c r="B1376" s="8" t="s">
        <v>2</v>
      </c>
      <c r="C1376" s="13" t="s">
        <v>139</v>
      </c>
      <c r="D1376" s="8">
        <v>25</v>
      </c>
      <c r="E1376" s="8"/>
      <c r="F1376" s="8">
        <v>5</v>
      </c>
      <c r="G1376" s="9">
        <f>VLOOKUP(D1376,'[2]Beam '!$C$20:$H$26,3,0)</f>
        <v>1</v>
      </c>
      <c r="H1376" s="9"/>
      <c r="I1376" s="8"/>
      <c r="J1376" s="8"/>
      <c r="K1376" s="8"/>
      <c r="L1376" s="8"/>
      <c r="M1376" s="8"/>
      <c r="N1376" s="8"/>
      <c r="O1376" s="8">
        <f>(E1374+1*(G1376+(12*D1376/1000))+1*(G1376)*D1374)</f>
        <v>3.3</v>
      </c>
      <c r="P1376" s="8">
        <f t="shared" si="257"/>
        <v>16.5</v>
      </c>
      <c r="Q1376" s="8">
        <f>IF($D1376='[2]Beam '!Q$44,$P1376*'[2]Beam '!Q$45,0)</f>
        <v>0</v>
      </c>
      <c r="R1376" s="8">
        <f>IF($D1376='[2]Beam '!R$44,$P1376*'[2]Beam '!R$45,0)</f>
        <v>0</v>
      </c>
      <c r="S1376" s="8">
        <f>IF($D1376='[2]Beam '!S$44,$P1376*'[2]Beam '!S$45,0)</f>
        <v>0</v>
      </c>
      <c r="T1376" s="8">
        <f>IF($D1376='[2]Beam '!T$44,$P1376*'[2]Beam '!T$45,0)</f>
        <v>0</v>
      </c>
      <c r="U1376" s="8">
        <f>IF($D1376='[2]Beam '!U$44,$P1376*'[2]Beam '!U$45,0)</f>
        <v>0</v>
      </c>
      <c r="V1376" s="8">
        <f>IF($D1376='[2]Beam '!V$44,$P1376*'[2]Beam '!V$45,0)</f>
        <v>63.606026785714292</v>
      </c>
      <c r="W1376" s="8">
        <f>IF($D1376='[2]Beam '!W$44,$P1376*'[2]Beam '!W$45,0)</f>
        <v>0</v>
      </c>
      <c r="X1376" s="8">
        <f t="shared" si="258"/>
        <v>63.606026785714292</v>
      </c>
      <c r="Y1376" s="8"/>
      <c r="Z1376" s="8"/>
      <c r="AA1376" s="8"/>
      <c r="AB1376" s="8"/>
      <c r="AC1376" s="8"/>
      <c r="AD1376" s="8"/>
      <c r="AE1376" s="8"/>
    </row>
    <row r="1377" spans="1:32" s="14" customFormat="1" ht="20.100000000000001" customHeight="1" x14ac:dyDescent="0.3">
      <c r="A1377" s="7"/>
      <c r="B1377" s="8" t="s">
        <v>2</v>
      </c>
      <c r="C1377" s="13" t="s">
        <v>75</v>
      </c>
      <c r="D1377" s="8">
        <v>25</v>
      </c>
      <c r="E1377" s="8"/>
      <c r="F1377" s="8">
        <v>4</v>
      </c>
      <c r="G1377" s="9">
        <f>VLOOKUP(D1377,'[2]Beam '!$C$20:$H$26,3,0)</f>
        <v>1</v>
      </c>
      <c r="H1377" s="9"/>
      <c r="I1377" s="8"/>
      <c r="J1377" s="8"/>
      <c r="K1377" s="8"/>
      <c r="L1377" s="8"/>
      <c r="M1377" s="8"/>
      <c r="N1377" s="8"/>
      <c r="O1377" s="8">
        <f>(E1374+1*(G1377+(12*D1377/1000))+1*(G1377)*D1374)</f>
        <v>3.3</v>
      </c>
      <c r="P1377" s="8">
        <f t="shared" si="257"/>
        <v>13.2</v>
      </c>
      <c r="Q1377" s="8">
        <f>IF($D1377='[2]Beam '!Q$44,$P1377*'[2]Beam '!Q$45,0)</f>
        <v>0</v>
      </c>
      <c r="R1377" s="8">
        <f>IF($D1377='[2]Beam '!R$44,$P1377*'[2]Beam '!R$45,0)</f>
        <v>0</v>
      </c>
      <c r="S1377" s="8">
        <f>IF($D1377='[2]Beam '!S$44,$P1377*'[2]Beam '!S$45,0)</f>
        <v>0</v>
      </c>
      <c r="T1377" s="8">
        <f>IF($D1377='[2]Beam '!T$44,$P1377*'[2]Beam '!T$45,0)</f>
        <v>0</v>
      </c>
      <c r="U1377" s="8">
        <f>IF($D1377='[2]Beam '!U$44,$P1377*'[2]Beam '!U$45,0)</f>
        <v>0</v>
      </c>
      <c r="V1377" s="8">
        <f>IF($D1377='[2]Beam '!V$44,$P1377*'[2]Beam '!V$45,0)</f>
        <v>50.884821428571435</v>
      </c>
      <c r="W1377" s="8">
        <f>IF($D1377='[2]Beam '!W$44,$P1377*'[2]Beam '!W$45,0)</f>
        <v>0</v>
      </c>
      <c r="X1377" s="8">
        <f t="shared" si="258"/>
        <v>50.884821428571435</v>
      </c>
      <c r="Y1377" s="8"/>
    </row>
    <row r="1378" spans="1:32" s="10" customFormat="1" ht="20.100000000000001" customHeight="1" x14ac:dyDescent="0.25">
      <c r="A1378" s="7"/>
      <c r="B1378" s="8" t="s">
        <v>2</v>
      </c>
      <c r="C1378" s="13" t="s">
        <v>88</v>
      </c>
      <c r="D1378" s="8">
        <v>25</v>
      </c>
      <c r="E1378" s="8"/>
      <c r="F1378" s="8">
        <v>5</v>
      </c>
      <c r="G1378" s="9">
        <f>VLOOKUP(D1378,'[2]Beam '!$C$20:$H$26,3,0)</f>
        <v>1</v>
      </c>
      <c r="H1378" s="9"/>
      <c r="I1378" s="8"/>
      <c r="J1378" s="8"/>
      <c r="K1378" s="8"/>
      <c r="L1378" s="8"/>
      <c r="M1378" s="8"/>
      <c r="N1378" s="8"/>
      <c r="O1378" s="8">
        <f>(E1374+1*(G1378+(12*D1378/1000))+1*(G1378)*D1374)</f>
        <v>3.3</v>
      </c>
      <c r="P1378" s="8">
        <f t="shared" si="257"/>
        <v>16.5</v>
      </c>
      <c r="Q1378" s="8">
        <f>IF($D1378='[2]Beam '!Q$44,$P1378*'[2]Beam '!Q$45,0)</f>
        <v>0</v>
      </c>
      <c r="R1378" s="8">
        <f>IF($D1378='[2]Beam '!R$44,$P1378*'[2]Beam '!R$45,0)</f>
        <v>0</v>
      </c>
      <c r="S1378" s="8">
        <f>IF($D1378='[2]Beam '!S$44,$P1378*'[2]Beam '!S$45,0)</f>
        <v>0</v>
      </c>
      <c r="T1378" s="8">
        <f>IF($D1378='[2]Beam '!T$44,$P1378*'[2]Beam '!T$45,0)</f>
        <v>0</v>
      </c>
      <c r="U1378" s="8">
        <f>IF($D1378='[2]Beam '!U$44,$P1378*'[2]Beam '!U$45,0)</f>
        <v>0</v>
      </c>
      <c r="V1378" s="8">
        <f>IF($D1378='[2]Beam '!V$44,$P1378*'[2]Beam '!V$45,0)</f>
        <v>63.606026785714292</v>
      </c>
      <c r="W1378" s="8">
        <f>IF($D1378='[2]Beam '!W$44,$P1378*'[2]Beam '!W$45,0)</f>
        <v>0</v>
      </c>
      <c r="X1378" s="8">
        <f t="shared" si="258"/>
        <v>63.606026785714292</v>
      </c>
      <c r="Y1378" s="8"/>
      <c r="Z1378" s="8"/>
      <c r="AA1378" s="8"/>
      <c r="AB1378" s="8"/>
      <c r="AC1378" s="8"/>
      <c r="AD1378" s="8"/>
      <c r="AE1378" s="8"/>
    </row>
    <row r="1379" spans="1:32" s="10" customFormat="1" ht="21" customHeight="1" x14ac:dyDescent="0.25">
      <c r="A1379" s="7"/>
      <c r="B1379" s="8" t="s">
        <v>2</v>
      </c>
      <c r="C1379" s="13" t="s">
        <v>8</v>
      </c>
      <c r="D1379" s="8">
        <v>12</v>
      </c>
      <c r="E1379" s="8">
        <v>0.1</v>
      </c>
      <c r="F1379" s="8">
        <f>ROUNDUP(E1374/E1379,0)</f>
        <v>10</v>
      </c>
      <c r="H1379" s="8"/>
      <c r="I1379" s="8"/>
      <c r="J1379" s="8"/>
      <c r="K1379" s="8"/>
      <c r="L1379" s="8"/>
      <c r="M1379" s="8"/>
      <c r="N1379" s="8"/>
      <c r="O1379" s="8">
        <f>(2*((G1374-(2*'[2]Beam '!$D$11))+(F1374-(2*'[2]Beam '!$D$11)))+(2*10*D1379/1000))*D1374</f>
        <v>3.3999999999999995</v>
      </c>
      <c r="P1379" s="8">
        <f t="shared" si="257"/>
        <v>33.999999999999993</v>
      </c>
      <c r="Q1379" s="8">
        <f>IF($D1379='[2]Beam '!Q$44,$P1379*'[2]Beam '!Q$45,0)</f>
        <v>0</v>
      </c>
      <c r="R1379" s="8">
        <f>IF($D1379='[2]Beam '!R$44,$P1379*'[2]Beam '!R$45,0)</f>
        <v>0</v>
      </c>
      <c r="S1379" s="8">
        <f>IF($D1379='[2]Beam '!S$44,$P1379*'[2]Beam '!S$45,0)</f>
        <v>30.19782857142857</v>
      </c>
      <c r="T1379" s="8">
        <f>IF($D1379='[2]Beam '!T$44,$P1379*'[2]Beam '!T$45,0)</f>
        <v>0</v>
      </c>
      <c r="U1379" s="8">
        <f>IF($D1379='[2]Beam '!U$44,$P1379*'[2]Beam '!U$45,0)</f>
        <v>0</v>
      </c>
      <c r="V1379" s="8">
        <f>IF($D1379='[2]Beam '!V$44,$P1379*'[2]Beam '!V$45,0)</f>
        <v>0</v>
      </c>
      <c r="W1379" s="8">
        <f>IF($D1379='[2]Beam '!W$44,$P1379*'[2]Beam '!W$45,0)</f>
        <v>0</v>
      </c>
      <c r="X1379" s="8">
        <f t="shared" si="258"/>
        <v>30.19782857142857</v>
      </c>
      <c r="Y1379" s="8"/>
      <c r="Z1379" s="8"/>
      <c r="AA1379" s="8"/>
      <c r="AB1379" s="8"/>
      <c r="AC1379" s="8"/>
      <c r="AD1379" s="8"/>
      <c r="AE1379" s="8"/>
      <c r="AF1379" s="8"/>
    </row>
    <row r="1380" spans="1:32" s="10" customFormat="1" ht="20.100000000000001" customHeight="1" x14ac:dyDescent="0.25">
      <c r="A1380" s="14"/>
      <c r="B1380" s="8" t="s">
        <v>2</v>
      </c>
      <c r="C1380" s="13" t="s">
        <v>9</v>
      </c>
      <c r="D1380" s="8">
        <f>+D1379</f>
        <v>12</v>
      </c>
      <c r="E1380" s="14">
        <f>+E1379</f>
        <v>0.1</v>
      </c>
      <c r="F1380" s="8">
        <f>ROUNDUP(E1374/E1380,0)</f>
        <v>10</v>
      </c>
      <c r="H1380" s="14"/>
      <c r="I1380" s="14"/>
      <c r="J1380" s="14"/>
      <c r="K1380" s="14"/>
      <c r="L1380" s="14"/>
      <c r="M1380" s="14"/>
      <c r="N1380" s="14"/>
      <c r="O1380" s="8">
        <f>((((G1374-(2*'[2]Beam '!$D$11))+(2*10*D1380/1000))*D1374))*2</f>
        <v>2.76</v>
      </c>
      <c r="P1380" s="8">
        <f t="shared" si="257"/>
        <v>27.599999999999998</v>
      </c>
      <c r="Q1380" s="8">
        <f>IF($D1380='[2]Beam '!Q$44,$P1380*'[2]Beam '!Q$45,0)</f>
        <v>0</v>
      </c>
      <c r="R1380" s="8">
        <f>IF($D1380='[2]Beam '!R$44,$P1380*'[2]Beam '!R$45,0)</f>
        <v>0</v>
      </c>
      <c r="S1380" s="8">
        <f>IF($D1380='[2]Beam '!S$44,$P1380*'[2]Beam '!S$45,0)</f>
        <v>24.513531428571429</v>
      </c>
      <c r="T1380" s="8">
        <f>IF($D1380='[2]Beam '!T$44,$P1380*'[2]Beam '!T$45,0)</f>
        <v>0</v>
      </c>
      <c r="U1380" s="8">
        <f>IF($D1380='[2]Beam '!U$44,$P1380*'[2]Beam '!U$45,0)</f>
        <v>0</v>
      </c>
      <c r="V1380" s="8">
        <f>IF($D1380='[2]Beam '!V$44,$P1380*'[2]Beam '!V$45,0)</f>
        <v>0</v>
      </c>
      <c r="W1380" s="8">
        <f>IF($D1380='[2]Beam '!W$44,$P1380*'[2]Beam '!W$45,0)</f>
        <v>0</v>
      </c>
      <c r="X1380" s="8">
        <f t="shared" si="258"/>
        <v>24.513531428571429</v>
      </c>
      <c r="Y1380" s="14"/>
      <c r="Z1380" s="8"/>
      <c r="AA1380" s="8"/>
      <c r="AB1380" s="8"/>
      <c r="AC1380" s="8"/>
      <c r="AD1380" s="8"/>
      <c r="AE1380" s="8"/>
    </row>
    <row r="1381" spans="1:32" s="10" customFormat="1" ht="20.100000000000001" customHeight="1" x14ac:dyDescent="0.25">
      <c r="A1381" s="7"/>
      <c r="B1381" s="8" t="s">
        <v>2</v>
      </c>
      <c r="C1381" s="13" t="s">
        <v>10</v>
      </c>
      <c r="D1381" s="8">
        <f>+'[2]Beam '!$D$15</f>
        <v>25</v>
      </c>
      <c r="E1381" s="8">
        <f>+'[2]Beam '!$E$15</f>
        <v>1</v>
      </c>
      <c r="F1381" s="8">
        <f>ROUNDUP((E1374)/E1381,0)</f>
        <v>1</v>
      </c>
      <c r="G1381" s="9"/>
      <c r="H1381" s="9"/>
      <c r="I1381" s="8"/>
      <c r="J1381" s="8"/>
      <c r="K1381" s="8"/>
      <c r="L1381" s="8"/>
      <c r="M1381" s="8"/>
      <c r="N1381" s="8"/>
      <c r="O1381" s="8">
        <f>F1374-'[2]Beam '!$F$15</f>
        <v>0.44</v>
      </c>
      <c r="P1381" s="8">
        <f t="shared" si="257"/>
        <v>0.44</v>
      </c>
      <c r="Q1381" s="8">
        <f>IF($D1381='[2]Beam '!Q$44,$P1381*'[2]Beam '!Q$45,0)</f>
        <v>0</v>
      </c>
      <c r="R1381" s="8">
        <f>IF($D1381='[2]Beam '!R$44,$P1381*'[2]Beam '!R$45,0)</f>
        <v>0</v>
      </c>
      <c r="S1381" s="8">
        <f>IF($D1381='[2]Beam '!S$44,$P1381*'[2]Beam '!S$45,0)</f>
        <v>0</v>
      </c>
      <c r="T1381" s="8">
        <f>IF($D1381='[2]Beam '!T$44,$P1381*'[2]Beam '!T$45,0)</f>
        <v>0</v>
      </c>
      <c r="U1381" s="8">
        <f>IF($D1381='[2]Beam '!U$44,$P1381*'[2]Beam '!U$45,0)</f>
        <v>0</v>
      </c>
      <c r="V1381" s="8">
        <f>IF($D1381='[2]Beam '!V$44,$P1381*'[2]Beam '!V$45,0)</f>
        <v>1.6961607142857145</v>
      </c>
      <c r="W1381" s="8">
        <f>IF($D1381='[2]Beam '!W$44,$P1381*'[2]Beam '!W$45,0)</f>
        <v>0</v>
      </c>
      <c r="X1381" s="8">
        <f t="shared" si="258"/>
        <v>1.6961607142857145</v>
      </c>
      <c r="Y1381" s="8"/>
      <c r="Z1381" s="8"/>
      <c r="AA1381" s="8"/>
      <c r="AB1381" s="8"/>
      <c r="AC1381" s="8"/>
      <c r="AD1381" s="8"/>
      <c r="AE1381" s="8"/>
    </row>
    <row r="1382" spans="1:32" s="10" customFormat="1" ht="20.100000000000001" customHeight="1" x14ac:dyDescent="0.25">
      <c r="A1382" s="8">
        <v>1</v>
      </c>
      <c r="B1382" s="8" t="s">
        <v>2</v>
      </c>
      <c r="C1382" s="11" t="s">
        <v>184</v>
      </c>
      <c r="D1382" s="11">
        <v>1</v>
      </c>
      <c r="E1382" s="11">
        <v>2</v>
      </c>
      <c r="F1382" s="11">
        <v>0.3</v>
      </c>
      <c r="G1382" s="11">
        <v>1.1000000000000001</v>
      </c>
      <c r="H1382" s="8">
        <f>G1382-0.2</f>
        <v>0.90000000000000013</v>
      </c>
      <c r="I1382" s="8">
        <f>E1382*F1382*G1382*D1382</f>
        <v>0.66</v>
      </c>
      <c r="J1382" s="8">
        <f>(2*(E1382)*H1382*D1382)+(E1382*F1382)</f>
        <v>4.2</v>
      </c>
      <c r="K1382" s="12">
        <f>IF(E1382=0.3,J1382,0)</f>
        <v>0</v>
      </c>
      <c r="L1382" s="12">
        <f>IF(AND(E1382&gt;0.3,E1382&lt;=0.75),J1382,0)</f>
        <v>0</v>
      </c>
      <c r="M1382" s="12">
        <f>IF(AND(E1382&gt;0.75,E1382&lt;=1.2),J1382,0)</f>
        <v>0</v>
      </c>
      <c r="N1382" s="12">
        <f>IF(E1382&gt;1.2,J1382,0)</f>
        <v>4.2</v>
      </c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>
        <f>SUM(X1383:X1384)/I1382</f>
        <v>150.69196428571428</v>
      </c>
      <c r="Z1382" s="8"/>
      <c r="AA1382" s="8"/>
      <c r="AB1382" s="8"/>
      <c r="AC1382" s="8"/>
      <c r="AD1382" s="8"/>
      <c r="AE1382" s="8"/>
    </row>
    <row r="1383" spans="1:32" s="10" customFormat="1" ht="20.100000000000001" customHeight="1" x14ac:dyDescent="0.25">
      <c r="A1383" s="7"/>
      <c r="B1383" s="8" t="s">
        <v>2</v>
      </c>
      <c r="C1383" s="13" t="s">
        <v>4</v>
      </c>
      <c r="D1383" s="8">
        <v>25</v>
      </c>
      <c r="E1383" s="8"/>
      <c r="F1383" s="8">
        <v>3</v>
      </c>
      <c r="G1383" s="9">
        <f>VLOOKUP(D1383,'[2]Beam '!$C$20:$H$26,3,0)</f>
        <v>1</v>
      </c>
      <c r="H1383" s="9"/>
      <c r="I1383" s="8"/>
      <c r="J1383" s="8"/>
      <c r="K1383" s="8"/>
      <c r="L1383" s="8"/>
      <c r="M1383" s="8"/>
      <c r="N1383" s="8"/>
      <c r="O1383" s="8">
        <f>(E1382+1*(G1383+(12*D1383/1000))+1*(G1383)*D1382)</f>
        <v>4.3</v>
      </c>
      <c r="P1383" s="8">
        <f t="shared" ref="P1383:P1391" si="259">O1383*F1383</f>
        <v>12.899999999999999</v>
      </c>
      <c r="Q1383" s="8">
        <f>IF($D1383='[2]Beam '!Q$44,$P1383*'[2]Beam '!Q$45,0)</f>
        <v>0</v>
      </c>
      <c r="R1383" s="8">
        <f>IF($D1383='[2]Beam '!R$44,$P1383*'[2]Beam '!R$45,0)</f>
        <v>0</v>
      </c>
      <c r="S1383" s="8">
        <f>IF($D1383='[2]Beam '!S$44,$P1383*'[2]Beam '!S$45,0)</f>
        <v>0</v>
      </c>
      <c r="T1383" s="8">
        <f>IF($D1383='[2]Beam '!T$44,$P1383*'[2]Beam '!T$45,0)</f>
        <v>0</v>
      </c>
      <c r="U1383" s="8">
        <f>IF($D1383='[2]Beam '!U$44,$P1383*'[2]Beam '!U$45,0)</f>
        <v>0</v>
      </c>
      <c r="V1383" s="8">
        <f>IF($D1383='[2]Beam '!V$44,$P1383*'[2]Beam '!V$45,0)</f>
        <v>49.728348214285717</v>
      </c>
      <c r="W1383" s="8">
        <f>IF($D1383='[2]Beam '!W$44,$P1383*'[2]Beam '!W$45,0)</f>
        <v>0</v>
      </c>
      <c r="X1383" s="8">
        <f t="shared" ref="X1383:X1391" si="260">SUM(Q1383:W1383)</f>
        <v>49.728348214285717</v>
      </c>
      <c r="Y1383" s="8"/>
      <c r="Z1383" s="8"/>
      <c r="AA1383" s="8"/>
      <c r="AB1383" s="8"/>
      <c r="AC1383" s="8"/>
      <c r="AD1383" s="8"/>
      <c r="AE1383" s="8"/>
    </row>
    <row r="1384" spans="1:32" s="10" customFormat="1" ht="19.5" customHeight="1" x14ac:dyDescent="0.25">
      <c r="A1384" s="7"/>
      <c r="B1384" s="8" t="s">
        <v>2</v>
      </c>
      <c r="C1384" s="13" t="s">
        <v>139</v>
      </c>
      <c r="D1384" s="8">
        <v>25</v>
      </c>
      <c r="E1384" s="8"/>
      <c r="F1384" s="8">
        <v>3</v>
      </c>
      <c r="G1384" s="9">
        <f>VLOOKUP(D1384,'[2]Beam '!$C$20:$H$26,3,0)</f>
        <v>1</v>
      </c>
      <c r="H1384" s="9"/>
      <c r="I1384" s="8"/>
      <c r="J1384" s="8"/>
      <c r="K1384" s="8"/>
      <c r="L1384" s="8"/>
      <c r="M1384" s="8"/>
      <c r="N1384" s="8"/>
      <c r="O1384" s="8">
        <f>(E1382+1*(G1384+(12*D1384/1000))+1*(G1384)*D1382)</f>
        <v>4.3</v>
      </c>
      <c r="P1384" s="8">
        <f t="shared" si="259"/>
        <v>12.899999999999999</v>
      </c>
      <c r="Q1384" s="8">
        <f>IF($D1384='[2]Beam '!Q$44,$P1384*'[2]Beam '!Q$45,0)</f>
        <v>0</v>
      </c>
      <c r="R1384" s="8">
        <f>IF($D1384='[2]Beam '!R$44,$P1384*'[2]Beam '!R$45,0)</f>
        <v>0</v>
      </c>
      <c r="S1384" s="8">
        <f>IF($D1384='[2]Beam '!S$44,$P1384*'[2]Beam '!S$45,0)</f>
        <v>0</v>
      </c>
      <c r="T1384" s="8">
        <f>IF($D1384='[2]Beam '!T$44,$P1384*'[2]Beam '!T$45,0)</f>
        <v>0</v>
      </c>
      <c r="U1384" s="8">
        <f>IF($D1384='[2]Beam '!U$44,$P1384*'[2]Beam '!U$45,0)</f>
        <v>0</v>
      </c>
      <c r="V1384" s="8">
        <f>IF($D1384='[2]Beam '!V$44,$P1384*'[2]Beam '!V$45,0)</f>
        <v>49.728348214285717</v>
      </c>
      <c r="W1384" s="8">
        <f>IF($D1384='[2]Beam '!W$44,$P1384*'[2]Beam '!W$45,0)</f>
        <v>0</v>
      </c>
      <c r="X1384" s="8">
        <f t="shared" si="260"/>
        <v>49.728348214285717</v>
      </c>
      <c r="Y1384" s="8"/>
      <c r="Z1384" s="8"/>
      <c r="AA1384" s="8"/>
      <c r="AB1384" s="8"/>
      <c r="AC1384" s="8"/>
      <c r="AD1384" s="8"/>
      <c r="AE1384" s="8"/>
    </row>
    <row r="1385" spans="1:32" s="10" customFormat="1" ht="19.5" customHeight="1" x14ac:dyDescent="0.25">
      <c r="A1385" s="7"/>
      <c r="B1385" s="8" t="s">
        <v>2</v>
      </c>
      <c r="C1385" s="13" t="s">
        <v>75</v>
      </c>
      <c r="D1385" s="8">
        <v>25</v>
      </c>
      <c r="E1385" s="8"/>
      <c r="F1385" s="8">
        <v>3</v>
      </c>
      <c r="G1385" s="9">
        <f>VLOOKUP(D1385,'[2]Beam '!$C$20:$H$26,3,0)</f>
        <v>1</v>
      </c>
      <c r="H1385" s="9"/>
      <c r="I1385" s="8"/>
      <c r="J1385" s="8"/>
      <c r="K1385" s="8"/>
      <c r="L1385" s="8"/>
      <c r="M1385" s="8"/>
      <c r="N1385" s="8"/>
      <c r="O1385" s="8">
        <f>(1+1*(G1385+(12*D1385/1000))*D1382)</f>
        <v>2.2999999999999998</v>
      </c>
      <c r="P1385" s="8">
        <f t="shared" si="259"/>
        <v>6.8999999999999995</v>
      </c>
      <c r="Q1385" s="8">
        <f>IF($D1385='[2]Beam '!Q$44,$P1385*'[2]Beam '!Q$45,0)</f>
        <v>0</v>
      </c>
      <c r="R1385" s="8">
        <f>IF($D1385='[2]Beam '!R$44,$P1385*'[2]Beam '!R$45,0)</f>
        <v>0</v>
      </c>
      <c r="S1385" s="8">
        <f>IF($D1385='[2]Beam '!S$44,$P1385*'[2]Beam '!S$45,0)</f>
        <v>0</v>
      </c>
      <c r="T1385" s="8">
        <f>IF($D1385='[2]Beam '!T$44,$P1385*'[2]Beam '!T$45,0)</f>
        <v>0</v>
      </c>
      <c r="U1385" s="8">
        <f>IF($D1385='[2]Beam '!U$44,$P1385*'[2]Beam '!U$45,0)</f>
        <v>0</v>
      </c>
      <c r="V1385" s="8">
        <f>IF($D1385='[2]Beam '!V$44,$P1385*'[2]Beam '!V$45,0)</f>
        <v>26.598883928571432</v>
      </c>
      <c r="W1385" s="8">
        <f>IF($D1385='[2]Beam '!W$44,$P1385*'[2]Beam '!W$45,0)</f>
        <v>0</v>
      </c>
      <c r="X1385" s="8">
        <f t="shared" si="260"/>
        <v>26.598883928571432</v>
      </c>
      <c r="Y1385" s="8"/>
      <c r="Z1385" s="8"/>
      <c r="AA1385" s="8"/>
      <c r="AB1385" s="8"/>
      <c r="AC1385" s="8"/>
      <c r="AD1385" s="8"/>
      <c r="AE1385" s="8"/>
    </row>
    <row r="1386" spans="1:32" s="10" customFormat="1" ht="20.100000000000001" customHeight="1" x14ac:dyDescent="0.25">
      <c r="A1386" s="7"/>
      <c r="B1386" s="8" t="s">
        <v>2</v>
      </c>
      <c r="C1386" s="13" t="s">
        <v>75</v>
      </c>
      <c r="D1386" s="8">
        <v>25</v>
      </c>
      <c r="E1386" s="8"/>
      <c r="F1386" s="8">
        <v>3</v>
      </c>
      <c r="G1386" s="9">
        <f>VLOOKUP(D1386,'[2]Beam '!$C$20:$H$26,3,0)</f>
        <v>1</v>
      </c>
      <c r="H1386" s="9"/>
      <c r="I1386" s="8"/>
      <c r="J1386" s="8"/>
      <c r="K1386" s="8"/>
      <c r="L1386" s="8"/>
      <c r="M1386" s="8"/>
      <c r="N1386" s="8"/>
      <c r="O1386" s="8">
        <f>(0.5+1*(G1386+(12*D1386/1000))*D1382)</f>
        <v>1.8</v>
      </c>
      <c r="P1386" s="8">
        <f t="shared" si="259"/>
        <v>5.4</v>
      </c>
      <c r="Q1386" s="8">
        <f>IF($D1386='[2]Beam '!Q$44,$P1386*'[2]Beam '!Q$45,0)</f>
        <v>0</v>
      </c>
      <c r="R1386" s="8">
        <f>IF($D1386='[2]Beam '!R$44,$P1386*'[2]Beam '!R$45,0)</f>
        <v>0</v>
      </c>
      <c r="S1386" s="8">
        <f>IF($D1386='[2]Beam '!S$44,$P1386*'[2]Beam '!S$45,0)</f>
        <v>0</v>
      </c>
      <c r="T1386" s="8">
        <f>IF($D1386='[2]Beam '!T$44,$P1386*'[2]Beam '!T$45,0)</f>
        <v>0</v>
      </c>
      <c r="U1386" s="8">
        <f>IF($D1386='[2]Beam '!U$44,$P1386*'[2]Beam '!U$45,0)</f>
        <v>0</v>
      </c>
      <c r="V1386" s="8">
        <f>IF($D1386='[2]Beam '!V$44,$P1386*'[2]Beam '!V$45,0)</f>
        <v>20.816517857142863</v>
      </c>
      <c r="W1386" s="8">
        <f>IF($D1386='[2]Beam '!W$44,$P1386*'[2]Beam '!W$45,0)</f>
        <v>0</v>
      </c>
      <c r="X1386" s="8">
        <f t="shared" si="260"/>
        <v>20.816517857142863</v>
      </c>
      <c r="Y1386" s="8"/>
      <c r="Z1386" s="8"/>
      <c r="AA1386" s="8"/>
      <c r="AB1386" s="8"/>
      <c r="AC1386" s="8"/>
      <c r="AD1386" s="8"/>
      <c r="AE1386" s="8"/>
    </row>
    <row r="1387" spans="1:32" s="14" customFormat="1" ht="20.100000000000001" customHeight="1" x14ac:dyDescent="0.3">
      <c r="A1387" s="7"/>
      <c r="B1387" s="8" t="s">
        <v>2</v>
      </c>
      <c r="C1387" s="13" t="s">
        <v>88</v>
      </c>
      <c r="D1387" s="8">
        <v>25</v>
      </c>
      <c r="E1387" s="8"/>
      <c r="F1387" s="8">
        <v>3</v>
      </c>
      <c r="G1387" s="9">
        <f>VLOOKUP(D1387,'[2]Beam '!$C$20:$H$26,3,0)</f>
        <v>1</v>
      </c>
      <c r="H1387" s="9"/>
      <c r="I1387" s="8"/>
      <c r="J1387" s="8"/>
      <c r="K1387" s="8"/>
      <c r="L1387" s="8"/>
      <c r="M1387" s="8"/>
      <c r="N1387" s="8"/>
      <c r="O1387" s="8">
        <f>(E1382+1*(G1387+(12*D1387/1000))+1*(G1387)*D1382)</f>
        <v>4.3</v>
      </c>
      <c r="P1387" s="8">
        <f t="shared" si="259"/>
        <v>12.899999999999999</v>
      </c>
      <c r="Q1387" s="8">
        <f>IF($D1387='[2]Beam '!Q$44,$P1387*'[2]Beam '!Q$45,0)</f>
        <v>0</v>
      </c>
      <c r="R1387" s="8">
        <f>IF($D1387='[2]Beam '!R$44,$P1387*'[2]Beam '!R$45,0)</f>
        <v>0</v>
      </c>
      <c r="S1387" s="8">
        <f>IF($D1387='[2]Beam '!S$44,$P1387*'[2]Beam '!S$45,0)</f>
        <v>0</v>
      </c>
      <c r="T1387" s="8">
        <f>IF($D1387='[2]Beam '!T$44,$P1387*'[2]Beam '!T$45,0)</f>
        <v>0</v>
      </c>
      <c r="U1387" s="8">
        <f>IF($D1387='[2]Beam '!U$44,$P1387*'[2]Beam '!U$45,0)</f>
        <v>0</v>
      </c>
      <c r="V1387" s="8">
        <f>IF($D1387='[2]Beam '!V$44,$P1387*'[2]Beam '!V$45,0)</f>
        <v>49.728348214285717</v>
      </c>
      <c r="W1387" s="8">
        <f>IF($D1387='[2]Beam '!W$44,$P1387*'[2]Beam '!W$45,0)</f>
        <v>0</v>
      </c>
      <c r="X1387" s="8">
        <f t="shared" si="260"/>
        <v>49.728348214285717</v>
      </c>
      <c r="Y1387" s="8"/>
    </row>
    <row r="1388" spans="1:32" s="10" customFormat="1" ht="20.100000000000001" customHeight="1" x14ac:dyDescent="0.25">
      <c r="A1388" s="7"/>
      <c r="B1388" s="8" t="s">
        <v>2</v>
      </c>
      <c r="C1388" s="13" t="s">
        <v>88</v>
      </c>
      <c r="D1388" s="8">
        <v>25</v>
      </c>
      <c r="E1388" s="8"/>
      <c r="F1388" s="8">
        <v>3</v>
      </c>
      <c r="G1388" s="9">
        <f>VLOOKUP(D1388,'[2]Beam '!$C$20:$H$26,3,0)</f>
        <v>1</v>
      </c>
      <c r="H1388" s="9"/>
      <c r="I1388" s="8"/>
      <c r="J1388" s="8"/>
      <c r="K1388" s="8"/>
      <c r="L1388" s="8"/>
      <c r="M1388" s="8"/>
      <c r="N1388" s="8"/>
      <c r="O1388" s="8">
        <f>(1+1*(G1388)*D1382)</f>
        <v>2</v>
      </c>
      <c r="P1388" s="8">
        <f t="shared" si="259"/>
        <v>6</v>
      </c>
      <c r="Q1388" s="8">
        <f>IF($D1388='[2]Beam '!Q$44,$P1388*'[2]Beam '!Q$45,0)</f>
        <v>0</v>
      </c>
      <c r="R1388" s="8">
        <f>IF($D1388='[2]Beam '!R$44,$P1388*'[2]Beam '!R$45,0)</f>
        <v>0</v>
      </c>
      <c r="S1388" s="8">
        <f>IF($D1388='[2]Beam '!S$44,$P1388*'[2]Beam '!S$45,0)</f>
        <v>0</v>
      </c>
      <c r="T1388" s="8">
        <f>IF($D1388='[2]Beam '!T$44,$P1388*'[2]Beam '!T$45,0)</f>
        <v>0</v>
      </c>
      <c r="U1388" s="8">
        <f>IF($D1388='[2]Beam '!U$44,$P1388*'[2]Beam '!U$45,0)</f>
        <v>0</v>
      </c>
      <c r="V1388" s="8">
        <f>IF($D1388='[2]Beam '!V$44,$P1388*'[2]Beam '!V$45,0)</f>
        <v>23.129464285714288</v>
      </c>
      <c r="W1388" s="8">
        <f>IF($D1388='[2]Beam '!W$44,$P1388*'[2]Beam '!W$45,0)</f>
        <v>0</v>
      </c>
      <c r="X1388" s="8">
        <f t="shared" si="260"/>
        <v>23.129464285714288</v>
      </c>
      <c r="Y1388" s="8"/>
      <c r="Z1388" s="8"/>
      <c r="AA1388" s="8"/>
      <c r="AB1388" s="8"/>
      <c r="AC1388" s="8"/>
      <c r="AD1388" s="8"/>
      <c r="AE1388" s="8"/>
    </row>
    <row r="1389" spans="1:32" s="10" customFormat="1" ht="21" customHeight="1" x14ac:dyDescent="0.25">
      <c r="A1389" s="7"/>
      <c r="B1389" s="8" t="s">
        <v>2</v>
      </c>
      <c r="C1389" s="13" t="s">
        <v>8</v>
      </c>
      <c r="D1389" s="8">
        <v>12</v>
      </c>
      <c r="E1389" s="8">
        <v>0.1</v>
      </c>
      <c r="F1389" s="8">
        <f>ROUNDUP(E1382/E1389,0)</f>
        <v>20</v>
      </c>
      <c r="H1389" s="8"/>
      <c r="I1389" s="8"/>
      <c r="J1389" s="8"/>
      <c r="K1389" s="8"/>
      <c r="L1389" s="8"/>
      <c r="M1389" s="8"/>
      <c r="N1389" s="8"/>
      <c r="O1389" s="8">
        <f>(2*((G1382-(2*'[2]Beam '!$D$11))+(F1382-(2*'[2]Beam '!$D$11)))+(2*10*D1389/1000))*D1382</f>
        <v>2.8</v>
      </c>
      <c r="P1389" s="8">
        <f t="shared" si="259"/>
        <v>56</v>
      </c>
      <c r="Q1389" s="8">
        <f>IF($D1389='[2]Beam '!Q$44,$P1389*'[2]Beam '!Q$45,0)</f>
        <v>0</v>
      </c>
      <c r="R1389" s="8">
        <f>IF($D1389='[2]Beam '!R$44,$P1389*'[2]Beam '!R$45,0)</f>
        <v>0</v>
      </c>
      <c r="S1389" s="8">
        <f>IF($D1389='[2]Beam '!S$44,$P1389*'[2]Beam '!S$45,0)</f>
        <v>49.737600000000008</v>
      </c>
      <c r="T1389" s="8">
        <f>IF($D1389='[2]Beam '!T$44,$P1389*'[2]Beam '!T$45,0)</f>
        <v>0</v>
      </c>
      <c r="U1389" s="8">
        <f>IF($D1389='[2]Beam '!U$44,$P1389*'[2]Beam '!U$45,0)</f>
        <v>0</v>
      </c>
      <c r="V1389" s="8">
        <f>IF($D1389='[2]Beam '!V$44,$P1389*'[2]Beam '!V$45,0)</f>
        <v>0</v>
      </c>
      <c r="W1389" s="8">
        <f>IF($D1389='[2]Beam '!W$44,$P1389*'[2]Beam '!W$45,0)</f>
        <v>0</v>
      </c>
      <c r="X1389" s="8">
        <f t="shared" si="260"/>
        <v>49.737600000000008</v>
      </c>
      <c r="Y1389" s="8"/>
      <c r="Z1389" s="8"/>
      <c r="AA1389" s="8"/>
      <c r="AB1389" s="8"/>
      <c r="AC1389" s="8"/>
      <c r="AD1389" s="8"/>
      <c r="AE1389" s="8"/>
      <c r="AF1389" s="8"/>
    </row>
    <row r="1390" spans="1:32" s="10" customFormat="1" ht="20.100000000000001" customHeight="1" x14ac:dyDescent="0.25">
      <c r="A1390" s="14"/>
      <c r="B1390" s="8" t="s">
        <v>2</v>
      </c>
      <c r="C1390" s="13" t="s">
        <v>9</v>
      </c>
      <c r="D1390" s="8">
        <f>+D1389</f>
        <v>12</v>
      </c>
      <c r="E1390" s="14">
        <f>+E1389</f>
        <v>0.1</v>
      </c>
      <c r="F1390" s="8">
        <f>ROUNDUP(E1382/E1390,0)</f>
        <v>20</v>
      </c>
      <c r="H1390" s="14"/>
      <c r="I1390" s="14"/>
      <c r="J1390" s="14"/>
      <c r="K1390" s="14"/>
      <c r="L1390" s="14"/>
      <c r="M1390" s="14"/>
      <c r="N1390" s="14"/>
      <c r="O1390" s="8">
        <f>((((G1382-(2*'[2]Beam '!$D$11))+(2*10*D1390/1000))*D1382))*1</f>
        <v>1.28</v>
      </c>
      <c r="P1390" s="8">
        <f t="shared" si="259"/>
        <v>25.6</v>
      </c>
      <c r="Q1390" s="8">
        <f>IF($D1390='[2]Beam '!Q$44,$P1390*'[2]Beam '!Q$45,0)</f>
        <v>0</v>
      </c>
      <c r="R1390" s="8">
        <f>IF($D1390='[2]Beam '!R$44,$P1390*'[2]Beam '!R$45,0)</f>
        <v>0</v>
      </c>
      <c r="S1390" s="8">
        <f>IF($D1390='[2]Beam '!S$44,$P1390*'[2]Beam '!S$45,0)</f>
        <v>22.737188571428575</v>
      </c>
      <c r="T1390" s="8">
        <f>IF($D1390='[2]Beam '!T$44,$P1390*'[2]Beam '!T$45,0)</f>
        <v>0</v>
      </c>
      <c r="U1390" s="8">
        <f>IF($D1390='[2]Beam '!U$44,$P1390*'[2]Beam '!U$45,0)</f>
        <v>0</v>
      </c>
      <c r="V1390" s="8">
        <f>IF($D1390='[2]Beam '!V$44,$P1390*'[2]Beam '!V$45,0)</f>
        <v>0</v>
      </c>
      <c r="W1390" s="8">
        <f>IF($D1390='[2]Beam '!W$44,$P1390*'[2]Beam '!W$45,0)</f>
        <v>0</v>
      </c>
      <c r="X1390" s="8">
        <f t="shared" si="260"/>
        <v>22.737188571428575</v>
      </c>
      <c r="Y1390" s="14"/>
      <c r="Z1390" s="8"/>
      <c r="AA1390" s="8"/>
      <c r="AB1390" s="8"/>
      <c r="AC1390" s="8"/>
      <c r="AD1390" s="8"/>
      <c r="AE1390" s="8"/>
    </row>
    <row r="1391" spans="1:32" s="10" customFormat="1" ht="20.100000000000001" customHeight="1" x14ac:dyDescent="0.25">
      <c r="A1391" s="7"/>
      <c r="B1391" s="8" t="s">
        <v>2</v>
      </c>
      <c r="C1391" s="13" t="s">
        <v>10</v>
      </c>
      <c r="D1391" s="8">
        <f>+'[2]Beam '!$D$15</f>
        <v>25</v>
      </c>
      <c r="E1391" s="8">
        <f>+'[2]Beam '!$E$15</f>
        <v>1</v>
      </c>
      <c r="F1391" s="8">
        <f>ROUNDUP((E1382)/E1391,0)</f>
        <v>2</v>
      </c>
      <c r="G1391" s="9"/>
      <c r="H1391" s="9"/>
      <c r="I1391" s="8"/>
      <c r="J1391" s="8"/>
      <c r="K1391" s="8"/>
      <c r="L1391" s="8"/>
      <c r="M1391" s="8"/>
      <c r="N1391" s="8"/>
      <c r="O1391" s="8">
        <f>F1382-'[2]Beam '!$F$15</f>
        <v>0.24</v>
      </c>
      <c r="P1391" s="8">
        <f t="shared" si="259"/>
        <v>0.48</v>
      </c>
      <c r="Q1391" s="8">
        <f>IF($D1391='[2]Beam '!Q$44,$P1391*'[2]Beam '!Q$45,0)</f>
        <v>0</v>
      </c>
      <c r="R1391" s="8">
        <f>IF($D1391='[2]Beam '!R$44,$P1391*'[2]Beam '!R$45,0)</f>
        <v>0</v>
      </c>
      <c r="S1391" s="8">
        <f>IF($D1391='[2]Beam '!S$44,$P1391*'[2]Beam '!S$45,0)</f>
        <v>0</v>
      </c>
      <c r="T1391" s="8">
        <f>IF($D1391='[2]Beam '!T$44,$P1391*'[2]Beam '!T$45,0)</f>
        <v>0</v>
      </c>
      <c r="U1391" s="8">
        <f>IF($D1391='[2]Beam '!U$44,$P1391*'[2]Beam '!U$45,0)</f>
        <v>0</v>
      </c>
      <c r="V1391" s="8">
        <f>IF($D1391='[2]Beam '!V$44,$P1391*'[2]Beam '!V$45,0)</f>
        <v>1.850357142857143</v>
      </c>
      <c r="W1391" s="8">
        <f>IF($D1391='[2]Beam '!W$44,$P1391*'[2]Beam '!W$45,0)</f>
        <v>0</v>
      </c>
      <c r="X1391" s="8">
        <f t="shared" si="260"/>
        <v>1.850357142857143</v>
      </c>
      <c r="Y1391" s="8"/>
      <c r="Z1391" s="8"/>
      <c r="AA1391" s="8"/>
      <c r="AB1391" s="8"/>
      <c r="AC1391" s="8"/>
      <c r="AD1391" s="8"/>
      <c r="AE1391" s="8"/>
    </row>
    <row r="1392" spans="1:32" s="10" customFormat="1" ht="20.100000000000001" customHeight="1" x14ac:dyDescent="0.25">
      <c r="A1392" s="8">
        <v>1</v>
      </c>
      <c r="B1392" s="8" t="s">
        <v>2</v>
      </c>
      <c r="C1392" s="11" t="s">
        <v>185</v>
      </c>
      <c r="D1392" s="11">
        <v>1</v>
      </c>
      <c r="E1392" s="11">
        <v>1.4</v>
      </c>
      <c r="F1392" s="11">
        <v>0.2</v>
      </c>
      <c r="G1392" s="11">
        <v>0.8</v>
      </c>
      <c r="H1392" s="8">
        <f>G1392-0.2</f>
        <v>0.60000000000000009</v>
      </c>
      <c r="I1392" s="8">
        <f>E1392*F1392*G1392*D1392</f>
        <v>0.22399999999999998</v>
      </c>
      <c r="J1392" s="8">
        <f>(2*(E1392)*H1392*D1392)+(E1392*F1392)</f>
        <v>1.9600000000000002</v>
      </c>
      <c r="K1392" s="12">
        <f>IF(E1392=0.3,J1392,0)</f>
        <v>0</v>
      </c>
      <c r="L1392" s="12">
        <f>IF(AND(E1392&gt;0.3,E1392&lt;=0.75),J1392,0)</f>
        <v>0</v>
      </c>
      <c r="M1392" s="12">
        <f>IF(AND(E1392&gt;0.75,E1392&lt;=1.2),J1392,0)</f>
        <v>0</v>
      </c>
      <c r="N1392" s="12">
        <f>IF(E1392&gt;1.2,J1392,0)</f>
        <v>1.9600000000000002</v>
      </c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>
        <f>SUM(X1393:X1394)/I1392</f>
        <v>275.35076530612253</v>
      </c>
      <c r="Z1392" s="8"/>
      <c r="AA1392" s="8"/>
      <c r="AB1392" s="8"/>
      <c r="AC1392" s="8"/>
      <c r="AD1392" s="8"/>
      <c r="AE1392" s="8"/>
    </row>
    <row r="1393" spans="1:32" s="10" customFormat="1" ht="20.100000000000001" customHeight="1" x14ac:dyDescent="0.25">
      <c r="A1393" s="7"/>
      <c r="B1393" s="8" t="s">
        <v>2</v>
      </c>
      <c r="C1393" s="13" t="s">
        <v>4</v>
      </c>
      <c r="D1393" s="8">
        <v>25</v>
      </c>
      <c r="E1393" s="8"/>
      <c r="F1393" s="8">
        <v>2</v>
      </c>
      <c r="G1393" s="9">
        <f>VLOOKUP(D1393,'[2]Beam '!$C$20:$H$26,3,0)</f>
        <v>1</v>
      </c>
      <c r="H1393" s="9"/>
      <c r="I1393" s="8"/>
      <c r="J1393" s="8"/>
      <c r="K1393" s="8"/>
      <c r="L1393" s="8"/>
      <c r="M1393" s="8"/>
      <c r="N1393" s="8"/>
      <c r="O1393" s="8">
        <f>(E1392+2*(G1393+(12*D1393/1000))*D1392)</f>
        <v>4</v>
      </c>
      <c r="P1393" s="8">
        <f t="shared" ref="P1393:P1400" si="261">O1393*F1393</f>
        <v>8</v>
      </c>
      <c r="Q1393" s="8">
        <f>IF($D1393='[2]Beam '!Q$44,$P1393*'[2]Beam '!Q$45,0)</f>
        <v>0</v>
      </c>
      <c r="R1393" s="8">
        <f>IF($D1393='[2]Beam '!R$44,$P1393*'[2]Beam '!R$45,0)</f>
        <v>0</v>
      </c>
      <c r="S1393" s="8">
        <f>IF($D1393='[2]Beam '!S$44,$P1393*'[2]Beam '!S$45,0)</f>
        <v>0</v>
      </c>
      <c r="T1393" s="8">
        <f>IF($D1393='[2]Beam '!T$44,$P1393*'[2]Beam '!T$45,0)</f>
        <v>0</v>
      </c>
      <c r="U1393" s="8">
        <f>IF($D1393='[2]Beam '!U$44,$P1393*'[2]Beam '!U$45,0)</f>
        <v>0</v>
      </c>
      <c r="V1393" s="8">
        <f>IF($D1393='[2]Beam '!V$44,$P1393*'[2]Beam '!V$45,0)</f>
        <v>30.839285714285719</v>
      </c>
      <c r="W1393" s="8">
        <f>IF($D1393='[2]Beam '!W$44,$P1393*'[2]Beam '!W$45,0)</f>
        <v>0</v>
      </c>
      <c r="X1393" s="8">
        <f t="shared" ref="X1393:X1400" si="262">SUM(Q1393:W1393)</f>
        <v>30.839285714285719</v>
      </c>
      <c r="Y1393" s="8"/>
      <c r="Z1393" s="8"/>
      <c r="AA1393" s="8"/>
      <c r="AB1393" s="8"/>
      <c r="AC1393" s="8"/>
      <c r="AD1393" s="8"/>
      <c r="AE1393" s="8"/>
    </row>
    <row r="1394" spans="1:32" s="10" customFormat="1" ht="19.5" customHeight="1" x14ac:dyDescent="0.25">
      <c r="A1394" s="7"/>
      <c r="B1394" s="8" t="s">
        <v>2</v>
      </c>
      <c r="C1394" s="13" t="s">
        <v>139</v>
      </c>
      <c r="D1394" s="8">
        <v>25</v>
      </c>
      <c r="E1394" s="8"/>
      <c r="F1394" s="8">
        <v>2</v>
      </c>
      <c r="G1394" s="9">
        <f>VLOOKUP(D1394,'[2]Beam '!$C$20:$H$26,3,0)</f>
        <v>1</v>
      </c>
      <c r="H1394" s="9"/>
      <c r="I1394" s="8"/>
      <c r="J1394" s="8"/>
      <c r="K1394" s="8"/>
      <c r="L1394" s="8"/>
      <c r="M1394" s="8"/>
      <c r="N1394" s="8"/>
      <c r="O1394" s="8">
        <f>(E1392+2*(G1394+(12*D1394/1000))*D1392)</f>
        <v>4</v>
      </c>
      <c r="P1394" s="8">
        <f t="shared" si="261"/>
        <v>8</v>
      </c>
      <c r="Q1394" s="8">
        <f>IF($D1394='[2]Beam '!Q$44,$P1394*'[2]Beam '!Q$45,0)</f>
        <v>0</v>
      </c>
      <c r="R1394" s="8">
        <f>IF($D1394='[2]Beam '!R$44,$P1394*'[2]Beam '!R$45,0)</f>
        <v>0</v>
      </c>
      <c r="S1394" s="8">
        <f>IF($D1394='[2]Beam '!S$44,$P1394*'[2]Beam '!S$45,0)</f>
        <v>0</v>
      </c>
      <c r="T1394" s="8">
        <f>IF($D1394='[2]Beam '!T$44,$P1394*'[2]Beam '!T$45,0)</f>
        <v>0</v>
      </c>
      <c r="U1394" s="8">
        <f>IF($D1394='[2]Beam '!U$44,$P1394*'[2]Beam '!U$45,0)</f>
        <v>0</v>
      </c>
      <c r="V1394" s="8">
        <f>IF($D1394='[2]Beam '!V$44,$P1394*'[2]Beam '!V$45,0)</f>
        <v>30.839285714285719</v>
      </c>
      <c r="W1394" s="8">
        <f>IF($D1394='[2]Beam '!W$44,$P1394*'[2]Beam '!W$45,0)</f>
        <v>0</v>
      </c>
      <c r="X1394" s="8">
        <f t="shared" si="262"/>
        <v>30.839285714285719</v>
      </c>
      <c r="Y1394" s="8"/>
      <c r="Z1394" s="8"/>
      <c r="AA1394" s="8"/>
      <c r="AB1394" s="8"/>
      <c r="AC1394" s="8"/>
      <c r="AD1394" s="8"/>
      <c r="AE1394" s="8"/>
    </row>
    <row r="1395" spans="1:32" s="10" customFormat="1" ht="19.5" customHeight="1" x14ac:dyDescent="0.25">
      <c r="A1395" s="7"/>
      <c r="B1395" s="8" t="s">
        <v>2</v>
      </c>
      <c r="C1395" s="13" t="s">
        <v>75</v>
      </c>
      <c r="D1395" s="8">
        <v>25</v>
      </c>
      <c r="E1395" s="8"/>
      <c r="F1395" s="8">
        <v>2</v>
      </c>
      <c r="G1395" s="9">
        <f>VLOOKUP(D1395,'[2]Beam '!$C$20:$H$26,3,0)</f>
        <v>1</v>
      </c>
      <c r="H1395" s="9"/>
      <c r="I1395" s="8"/>
      <c r="J1395" s="8"/>
      <c r="K1395" s="8"/>
      <c r="L1395" s="8"/>
      <c r="M1395" s="8"/>
      <c r="N1395" s="8"/>
      <c r="O1395" s="8">
        <f>(E1392+2*(G1395+(12*D1395/1000))*D1392)</f>
        <v>4</v>
      </c>
      <c r="P1395" s="8">
        <f t="shared" si="261"/>
        <v>8</v>
      </c>
      <c r="Q1395" s="8">
        <f>IF($D1395='[2]Beam '!Q$44,$P1395*'[2]Beam '!Q$45,0)</f>
        <v>0</v>
      </c>
      <c r="R1395" s="8">
        <f>IF($D1395='[2]Beam '!R$44,$P1395*'[2]Beam '!R$45,0)</f>
        <v>0</v>
      </c>
      <c r="S1395" s="8">
        <f>IF($D1395='[2]Beam '!S$44,$P1395*'[2]Beam '!S$45,0)</f>
        <v>0</v>
      </c>
      <c r="T1395" s="8">
        <f>IF($D1395='[2]Beam '!T$44,$P1395*'[2]Beam '!T$45,0)</f>
        <v>0</v>
      </c>
      <c r="U1395" s="8">
        <f>IF($D1395='[2]Beam '!U$44,$P1395*'[2]Beam '!U$45,0)</f>
        <v>0</v>
      </c>
      <c r="V1395" s="8">
        <f>IF($D1395='[2]Beam '!V$44,$P1395*'[2]Beam '!V$45,0)</f>
        <v>30.839285714285719</v>
      </c>
      <c r="W1395" s="8">
        <f>IF($D1395='[2]Beam '!W$44,$P1395*'[2]Beam '!W$45,0)</f>
        <v>0</v>
      </c>
      <c r="X1395" s="8">
        <f t="shared" si="262"/>
        <v>30.839285714285719</v>
      </c>
      <c r="Y1395" s="8"/>
      <c r="Z1395" s="8"/>
      <c r="AA1395" s="8"/>
      <c r="AB1395" s="8"/>
      <c r="AC1395" s="8"/>
      <c r="AD1395" s="8"/>
      <c r="AE1395" s="8"/>
    </row>
    <row r="1396" spans="1:32" s="10" customFormat="1" ht="20.100000000000001" customHeight="1" x14ac:dyDescent="0.25">
      <c r="A1396" s="7"/>
      <c r="B1396" s="8" t="s">
        <v>2</v>
      </c>
      <c r="C1396" s="13" t="s">
        <v>75</v>
      </c>
      <c r="D1396" s="8">
        <v>20</v>
      </c>
      <c r="E1396" s="8"/>
      <c r="F1396" s="8">
        <v>2</v>
      </c>
      <c r="G1396" s="9">
        <f>VLOOKUP(D1396,'[2]Beam '!$C$20:$H$26,3,0)</f>
        <v>0.8</v>
      </c>
      <c r="H1396" s="9"/>
      <c r="I1396" s="8"/>
      <c r="J1396" s="8"/>
      <c r="K1396" s="8"/>
      <c r="L1396" s="8"/>
      <c r="M1396" s="8"/>
      <c r="N1396" s="8"/>
      <c r="O1396" s="8">
        <f>(0.45+1*(G1396+(12*D1396/1000))*D1392)</f>
        <v>1.49</v>
      </c>
      <c r="P1396" s="8">
        <f t="shared" si="261"/>
        <v>2.98</v>
      </c>
      <c r="Q1396" s="8">
        <f>IF($D1396='[2]Beam '!Q$44,$P1396*'[2]Beam '!Q$45,0)</f>
        <v>0</v>
      </c>
      <c r="R1396" s="8">
        <f>IF($D1396='[2]Beam '!R$44,$P1396*'[2]Beam '!R$45,0)</f>
        <v>0</v>
      </c>
      <c r="S1396" s="8">
        <f>IF($D1396='[2]Beam '!S$44,$P1396*'[2]Beam '!S$45,0)</f>
        <v>0</v>
      </c>
      <c r="T1396" s="8">
        <f>IF($D1396='[2]Beam '!T$44,$P1396*'[2]Beam '!T$45,0)</f>
        <v>0</v>
      </c>
      <c r="U1396" s="8">
        <f>IF($D1396='[2]Beam '!U$44,$P1396*'[2]Beam '!U$45,0)</f>
        <v>7.3520857142857139</v>
      </c>
      <c r="V1396" s="8">
        <f>IF($D1396='[2]Beam '!V$44,$P1396*'[2]Beam '!V$45,0)</f>
        <v>0</v>
      </c>
      <c r="W1396" s="8">
        <f>IF($D1396='[2]Beam '!W$44,$P1396*'[2]Beam '!W$45,0)</f>
        <v>0</v>
      </c>
      <c r="X1396" s="8">
        <f t="shared" si="262"/>
        <v>7.3520857142857139</v>
      </c>
      <c r="Y1396" s="8"/>
      <c r="Z1396" s="8"/>
      <c r="AA1396" s="8"/>
      <c r="AB1396" s="8"/>
      <c r="AC1396" s="8"/>
      <c r="AD1396" s="8"/>
      <c r="AE1396" s="8"/>
    </row>
    <row r="1397" spans="1:32" s="10" customFormat="1" ht="20.100000000000001" customHeight="1" x14ac:dyDescent="0.25">
      <c r="A1397" s="7"/>
      <c r="B1397" s="8" t="s">
        <v>2</v>
      </c>
      <c r="C1397" s="13" t="s">
        <v>88</v>
      </c>
      <c r="D1397" s="8">
        <v>25</v>
      </c>
      <c r="E1397" s="8"/>
      <c r="F1397" s="8">
        <v>2</v>
      </c>
      <c r="G1397" s="9">
        <f>VLOOKUP(D1397,'[2]Beam '!$C$20:$H$26,3,0)</f>
        <v>1</v>
      </c>
      <c r="H1397" s="9"/>
      <c r="I1397" s="8"/>
      <c r="J1397" s="8"/>
      <c r="K1397" s="8"/>
      <c r="L1397" s="8"/>
      <c r="M1397" s="8"/>
      <c r="N1397" s="8"/>
      <c r="O1397" s="8">
        <f>(E1392+2*(G1397+(12*D1397/1000))*D1392)</f>
        <v>4</v>
      </c>
      <c r="P1397" s="8">
        <f t="shared" si="261"/>
        <v>8</v>
      </c>
      <c r="Q1397" s="8">
        <f>IF($D1397='[2]Beam '!Q$44,$P1397*'[2]Beam '!Q$45,0)</f>
        <v>0</v>
      </c>
      <c r="R1397" s="8">
        <f>IF($D1397='[2]Beam '!R$44,$P1397*'[2]Beam '!R$45,0)</f>
        <v>0</v>
      </c>
      <c r="S1397" s="8">
        <f>IF($D1397='[2]Beam '!S$44,$P1397*'[2]Beam '!S$45,0)</f>
        <v>0</v>
      </c>
      <c r="T1397" s="8">
        <f>IF($D1397='[2]Beam '!T$44,$P1397*'[2]Beam '!T$45,0)</f>
        <v>0</v>
      </c>
      <c r="U1397" s="8">
        <f>IF($D1397='[2]Beam '!U$44,$P1397*'[2]Beam '!U$45,0)</f>
        <v>0</v>
      </c>
      <c r="V1397" s="8">
        <f>IF($D1397='[2]Beam '!V$44,$P1397*'[2]Beam '!V$45,0)</f>
        <v>30.839285714285719</v>
      </c>
      <c r="W1397" s="8">
        <f>IF($D1397='[2]Beam '!W$44,$P1397*'[2]Beam '!W$45,0)</f>
        <v>0</v>
      </c>
      <c r="X1397" s="8">
        <f t="shared" si="262"/>
        <v>30.839285714285719</v>
      </c>
      <c r="Y1397" s="8"/>
      <c r="Z1397" s="8"/>
      <c r="AA1397" s="8"/>
      <c r="AB1397" s="8"/>
      <c r="AC1397" s="8"/>
      <c r="AD1397" s="8"/>
      <c r="AE1397" s="8"/>
    </row>
    <row r="1398" spans="1:32" s="10" customFormat="1" ht="21" customHeight="1" x14ac:dyDescent="0.25">
      <c r="A1398" s="7"/>
      <c r="B1398" s="8" t="s">
        <v>2</v>
      </c>
      <c r="C1398" s="13" t="s">
        <v>88</v>
      </c>
      <c r="D1398" s="8">
        <v>25</v>
      </c>
      <c r="E1398" s="8"/>
      <c r="F1398" s="8">
        <v>2</v>
      </c>
      <c r="G1398" s="9">
        <f>VLOOKUP(D1398,'[2]Beam '!$C$20:$H$26,3,0)</f>
        <v>1</v>
      </c>
      <c r="H1398" s="9"/>
      <c r="I1398" s="8"/>
      <c r="J1398" s="8"/>
      <c r="K1398" s="8"/>
      <c r="L1398" s="8"/>
      <c r="M1398" s="8"/>
      <c r="N1398" s="8"/>
      <c r="O1398" s="8">
        <f>(E1392+2*(G1398+(12*D1398/1000))*D1392)</f>
        <v>4</v>
      </c>
      <c r="P1398" s="8">
        <f t="shared" si="261"/>
        <v>8</v>
      </c>
      <c r="Q1398" s="8">
        <f>IF($D1398='[2]Beam '!Q$44,$P1398*'[2]Beam '!Q$45,0)</f>
        <v>0</v>
      </c>
      <c r="R1398" s="8">
        <f>IF($D1398='[2]Beam '!R$44,$P1398*'[2]Beam '!R$45,0)</f>
        <v>0</v>
      </c>
      <c r="S1398" s="8">
        <f>IF($D1398='[2]Beam '!S$44,$P1398*'[2]Beam '!S$45,0)</f>
        <v>0</v>
      </c>
      <c r="T1398" s="8">
        <f>IF($D1398='[2]Beam '!T$44,$P1398*'[2]Beam '!T$45,0)</f>
        <v>0</v>
      </c>
      <c r="U1398" s="8">
        <f>IF($D1398='[2]Beam '!U$44,$P1398*'[2]Beam '!U$45,0)</f>
        <v>0</v>
      </c>
      <c r="V1398" s="8">
        <f>IF($D1398='[2]Beam '!V$44,$P1398*'[2]Beam '!V$45,0)</f>
        <v>30.839285714285719</v>
      </c>
      <c r="W1398" s="8">
        <f>IF($D1398='[2]Beam '!W$44,$P1398*'[2]Beam '!W$45,0)</f>
        <v>0</v>
      </c>
      <c r="X1398" s="8">
        <f t="shared" si="262"/>
        <v>30.839285714285719</v>
      </c>
      <c r="Y1398" s="8"/>
      <c r="Z1398" s="8"/>
      <c r="AA1398" s="8"/>
      <c r="AB1398" s="8"/>
      <c r="AC1398" s="8"/>
      <c r="AD1398" s="8"/>
      <c r="AE1398" s="8"/>
      <c r="AF1398" s="8"/>
    </row>
    <row r="1399" spans="1:32" s="10" customFormat="1" ht="20.100000000000001" customHeight="1" x14ac:dyDescent="0.25">
      <c r="A1399" s="7"/>
      <c r="B1399" s="8" t="s">
        <v>2</v>
      </c>
      <c r="C1399" s="13" t="s">
        <v>8</v>
      </c>
      <c r="D1399" s="8">
        <v>12</v>
      </c>
      <c r="E1399" s="8">
        <v>0.1</v>
      </c>
      <c r="F1399" s="8">
        <f>ROUNDUP(E1392/E1399,0)</f>
        <v>14</v>
      </c>
      <c r="H1399" s="8"/>
      <c r="I1399" s="8"/>
      <c r="J1399" s="8"/>
      <c r="K1399" s="8"/>
      <c r="L1399" s="8"/>
      <c r="M1399" s="8"/>
      <c r="N1399" s="8"/>
      <c r="O1399" s="8">
        <f>(2*((G1392-(2*'[2]Beam '!$D$11))+(F1392-(2*'[2]Beam '!$D$11)))+(2*10*D1399/1000))*D1392</f>
        <v>2</v>
      </c>
      <c r="P1399" s="8">
        <f t="shared" si="261"/>
        <v>28</v>
      </c>
      <c r="Q1399" s="8">
        <f>IF($D1399='[2]Beam '!Q$44,$P1399*'[2]Beam '!Q$45,0)</f>
        <v>0</v>
      </c>
      <c r="R1399" s="8">
        <f>IF($D1399='[2]Beam '!R$44,$P1399*'[2]Beam '!R$45,0)</f>
        <v>0</v>
      </c>
      <c r="S1399" s="8">
        <f>IF($D1399='[2]Beam '!S$44,$P1399*'[2]Beam '!S$45,0)</f>
        <v>24.868800000000004</v>
      </c>
      <c r="T1399" s="8">
        <f>IF($D1399='[2]Beam '!T$44,$P1399*'[2]Beam '!T$45,0)</f>
        <v>0</v>
      </c>
      <c r="U1399" s="8">
        <f>IF($D1399='[2]Beam '!U$44,$P1399*'[2]Beam '!U$45,0)</f>
        <v>0</v>
      </c>
      <c r="V1399" s="8">
        <f>IF($D1399='[2]Beam '!V$44,$P1399*'[2]Beam '!V$45,0)</f>
        <v>0</v>
      </c>
      <c r="W1399" s="8">
        <f>IF($D1399='[2]Beam '!W$44,$P1399*'[2]Beam '!W$45,0)</f>
        <v>0</v>
      </c>
      <c r="X1399" s="8">
        <f t="shared" si="262"/>
        <v>24.868800000000004</v>
      </c>
      <c r="Y1399" s="8"/>
      <c r="Z1399" s="8"/>
      <c r="AA1399" s="8"/>
      <c r="AB1399" s="8"/>
      <c r="AC1399" s="8"/>
      <c r="AD1399" s="8"/>
      <c r="AE1399" s="8"/>
    </row>
    <row r="1400" spans="1:32" s="10" customFormat="1" ht="20.100000000000001" customHeight="1" x14ac:dyDescent="0.25">
      <c r="A1400" s="7"/>
      <c r="B1400" s="8" t="s">
        <v>2</v>
      </c>
      <c r="C1400" s="13" t="s">
        <v>10</v>
      </c>
      <c r="D1400" s="8">
        <f>+'[2]Beam '!$D$15</f>
        <v>25</v>
      </c>
      <c r="E1400" s="8">
        <f>+'[2]Beam '!$E$15</f>
        <v>1</v>
      </c>
      <c r="F1400" s="8">
        <f>ROUNDUP((E1392)/E1400,0)</f>
        <v>2</v>
      </c>
      <c r="G1400" s="9"/>
      <c r="H1400" s="9"/>
      <c r="I1400" s="8"/>
      <c r="J1400" s="8"/>
      <c r="K1400" s="8"/>
      <c r="L1400" s="8"/>
      <c r="M1400" s="8"/>
      <c r="N1400" s="8"/>
      <c r="O1400" s="8">
        <f>F1392-'[2]Beam '!$F$15</f>
        <v>0.14000000000000001</v>
      </c>
      <c r="P1400" s="8">
        <f t="shared" si="261"/>
        <v>0.28000000000000003</v>
      </c>
      <c r="Q1400" s="8">
        <f>IF($D1400='[2]Beam '!Q$44,$P1400*'[2]Beam '!Q$45,0)</f>
        <v>0</v>
      </c>
      <c r="R1400" s="8">
        <f>IF($D1400='[2]Beam '!R$44,$P1400*'[2]Beam '!R$45,0)</f>
        <v>0</v>
      </c>
      <c r="S1400" s="8">
        <f>IF($D1400='[2]Beam '!S$44,$P1400*'[2]Beam '!S$45,0)</f>
        <v>0</v>
      </c>
      <c r="T1400" s="8">
        <f>IF($D1400='[2]Beam '!T$44,$P1400*'[2]Beam '!T$45,0)</f>
        <v>0</v>
      </c>
      <c r="U1400" s="8">
        <f>IF($D1400='[2]Beam '!U$44,$P1400*'[2]Beam '!U$45,0)</f>
        <v>0</v>
      </c>
      <c r="V1400" s="8">
        <f>IF($D1400='[2]Beam '!V$44,$P1400*'[2]Beam '!V$45,0)</f>
        <v>1.0793750000000002</v>
      </c>
      <c r="W1400" s="8">
        <f>IF($D1400='[2]Beam '!W$44,$P1400*'[2]Beam '!W$45,0)</f>
        <v>0</v>
      </c>
      <c r="X1400" s="8">
        <f t="shared" si="262"/>
        <v>1.0793750000000002</v>
      </c>
      <c r="Y1400" s="8"/>
      <c r="Z1400" s="8"/>
      <c r="AA1400" s="8"/>
      <c r="AB1400" s="8"/>
      <c r="AC1400" s="8"/>
      <c r="AD1400" s="8"/>
      <c r="AE1400" s="8"/>
    </row>
    <row r="1401" spans="1:32" s="10" customFormat="1" ht="20.100000000000001" customHeight="1" x14ac:dyDescent="0.25">
      <c r="A1401" s="8">
        <v>1</v>
      </c>
      <c r="B1401" s="8" t="s">
        <v>2</v>
      </c>
      <c r="C1401" s="11" t="s">
        <v>186</v>
      </c>
      <c r="D1401" s="11">
        <v>1</v>
      </c>
      <c r="E1401" s="11">
        <v>2</v>
      </c>
      <c r="F1401" s="11">
        <v>0.4</v>
      </c>
      <c r="G1401" s="11">
        <v>1.1000000000000001</v>
      </c>
      <c r="H1401" s="8">
        <f>G1401-0.2</f>
        <v>0.90000000000000013</v>
      </c>
      <c r="I1401" s="8">
        <f>E1401*F1401*G1401*D1401</f>
        <v>0.88000000000000012</v>
      </c>
      <c r="J1401" s="8">
        <f>(2*(E1401)*H1401*D1401)+(E1401*F1401)</f>
        <v>4.4000000000000004</v>
      </c>
      <c r="K1401" s="12">
        <f>IF(E1401=0.3,J1401,0)</f>
        <v>0</v>
      </c>
      <c r="L1401" s="12">
        <f>IF(AND(E1401&gt;0.3,E1401&lt;=0.75),J1401,0)</f>
        <v>0</v>
      </c>
      <c r="M1401" s="12">
        <f>IF(AND(E1401&gt;0.75,E1401&lt;=1.2),J1401,0)</f>
        <v>0</v>
      </c>
      <c r="N1401" s="12">
        <f>IF(E1401&gt;1.2,J1401,0)</f>
        <v>4.4000000000000004</v>
      </c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>
        <f>SUM(X1402:X1404)/I1401</f>
        <v>202.69821428571427</v>
      </c>
      <c r="Z1401" s="8"/>
      <c r="AA1401" s="8"/>
      <c r="AB1401" s="8"/>
      <c r="AC1401" s="8"/>
      <c r="AD1401" s="8"/>
      <c r="AE1401" s="8"/>
    </row>
    <row r="1402" spans="1:32" s="10" customFormat="1" ht="21" customHeight="1" x14ac:dyDescent="0.25">
      <c r="A1402" s="7"/>
      <c r="B1402" s="8" t="s">
        <v>2</v>
      </c>
      <c r="C1402" s="13" t="s">
        <v>4</v>
      </c>
      <c r="D1402" s="8">
        <v>25</v>
      </c>
      <c r="E1402" s="8"/>
      <c r="F1402" s="8">
        <v>4</v>
      </c>
      <c r="G1402" s="9">
        <f>VLOOKUP(D1402,'[2]Beam '!$C$20:$H$26,3,0)</f>
        <v>1</v>
      </c>
      <c r="H1402" s="9"/>
      <c r="I1402" s="8"/>
      <c r="J1402" s="8"/>
      <c r="K1402" s="8"/>
      <c r="L1402" s="8"/>
      <c r="M1402" s="8"/>
      <c r="N1402" s="8"/>
      <c r="O1402" s="8">
        <f>(E1401+2*(G1402+(12*D1402/1000))*D1401)</f>
        <v>4.5999999999999996</v>
      </c>
      <c r="P1402" s="8">
        <f>O1402*F1402</f>
        <v>18.399999999999999</v>
      </c>
      <c r="Q1402" s="8">
        <f>IF($D1402='[2]Beam '!Q$44,$P1402*'[2]Beam '!Q$45,0)</f>
        <v>0</v>
      </c>
      <c r="R1402" s="8">
        <f>IF($D1402='[2]Beam '!R$44,$P1402*'[2]Beam '!R$45,0)</f>
        <v>0</v>
      </c>
      <c r="S1402" s="8">
        <f>IF($D1402='[2]Beam '!S$44,$P1402*'[2]Beam '!S$45,0)</f>
        <v>0</v>
      </c>
      <c r="T1402" s="8">
        <f>IF($D1402='[2]Beam '!T$44,$P1402*'[2]Beam '!T$45,0)</f>
        <v>0</v>
      </c>
      <c r="U1402" s="8">
        <f>IF($D1402='[2]Beam '!U$44,$P1402*'[2]Beam '!U$45,0)</f>
        <v>0</v>
      </c>
      <c r="V1402" s="8">
        <f>IF($D1402='[2]Beam '!V$44,$P1402*'[2]Beam '!V$45,0)</f>
        <v>70.930357142857147</v>
      </c>
      <c r="W1402" s="8">
        <f>IF($D1402='[2]Beam '!W$44,$P1402*'[2]Beam '!W$45,0)</f>
        <v>0</v>
      </c>
      <c r="X1402" s="8">
        <f>SUM(Q1402:W1402)</f>
        <v>70.930357142857147</v>
      </c>
      <c r="Y1402" s="8"/>
      <c r="Z1402" s="8"/>
      <c r="AA1402" s="8"/>
      <c r="AB1402" s="8"/>
      <c r="AC1402" s="8"/>
      <c r="AD1402" s="8"/>
      <c r="AE1402" s="8"/>
      <c r="AF1402" s="8"/>
    </row>
    <row r="1403" spans="1:32" s="10" customFormat="1" ht="20.100000000000001" customHeight="1" x14ac:dyDescent="0.25">
      <c r="A1403" s="7"/>
      <c r="B1403" s="8" t="s">
        <v>2</v>
      </c>
      <c r="C1403" s="13" t="s">
        <v>139</v>
      </c>
      <c r="D1403" s="8">
        <v>25</v>
      </c>
      <c r="E1403" s="8"/>
      <c r="F1403" s="8">
        <v>4</v>
      </c>
      <c r="G1403" s="9">
        <f>VLOOKUP(D1403,'[2]Beam '!$C$20:$H$26,3,0)</f>
        <v>1</v>
      </c>
      <c r="H1403" s="9"/>
      <c r="I1403" s="8"/>
      <c r="J1403" s="8"/>
      <c r="K1403" s="8"/>
      <c r="L1403" s="8"/>
      <c r="M1403" s="8"/>
      <c r="N1403" s="8"/>
      <c r="O1403" s="8">
        <f>(E1401+2*(G1403+(12*D1403/1000))*D1401)</f>
        <v>4.5999999999999996</v>
      </c>
      <c r="P1403" s="8">
        <f>O1403*F1403</f>
        <v>18.399999999999999</v>
      </c>
      <c r="Q1403" s="8">
        <f>IF($D1403='[2]Beam '!Q$44,$P1403*'[2]Beam '!Q$45,0)</f>
        <v>0</v>
      </c>
      <c r="R1403" s="8">
        <f>IF($D1403='[2]Beam '!R$44,$P1403*'[2]Beam '!R$45,0)</f>
        <v>0</v>
      </c>
      <c r="S1403" s="8">
        <f>IF($D1403='[2]Beam '!S$44,$P1403*'[2]Beam '!S$45,0)</f>
        <v>0</v>
      </c>
      <c r="T1403" s="8">
        <f>IF($D1403='[2]Beam '!T$44,$P1403*'[2]Beam '!T$45,0)</f>
        <v>0</v>
      </c>
      <c r="U1403" s="8">
        <f>IF($D1403='[2]Beam '!U$44,$P1403*'[2]Beam '!U$45,0)</f>
        <v>0</v>
      </c>
      <c r="V1403" s="8">
        <f>IF($D1403='[2]Beam '!V$44,$P1403*'[2]Beam '!V$45,0)</f>
        <v>70.930357142857147</v>
      </c>
      <c r="W1403" s="8">
        <f>IF($D1403='[2]Beam '!W$44,$P1403*'[2]Beam '!W$45,0)</f>
        <v>0</v>
      </c>
      <c r="X1403" s="8">
        <f>SUM(Q1403:W1403)</f>
        <v>70.930357142857147</v>
      </c>
      <c r="Y1403" s="8"/>
      <c r="Z1403" s="8"/>
      <c r="AA1403" s="8"/>
      <c r="AB1403" s="8"/>
      <c r="AC1403" s="8"/>
      <c r="AD1403" s="8"/>
      <c r="AE1403" s="8"/>
    </row>
    <row r="1404" spans="1:32" s="10" customFormat="1" ht="20.100000000000001" customHeight="1" x14ac:dyDescent="0.25">
      <c r="A1404" s="7"/>
      <c r="B1404" s="8" t="s">
        <v>2</v>
      </c>
      <c r="C1404" s="13" t="s">
        <v>8</v>
      </c>
      <c r="D1404" s="8">
        <v>10</v>
      </c>
      <c r="E1404" s="8">
        <v>0.1</v>
      </c>
      <c r="F1404" s="8">
        <f>ROUNDUP(E1401/E1404,0)</f>
        <v>20</v>
      </c>
      <c r="H1404" s="8"/>
      <c r="I1404" s="8"/>
      <c r="J1404" s="8"/>
      <c r="K1404" s="8"/>
      <c r="L1404" s="8"/>
      <c r="M1404" s="8"/>
      <c r="N1404" s="8"/>
      <c r="O1404" s="8">
        <f>(2*((G1401-(2*'[2]Beam '!$D$11))+(F1401-(2*'[2]Beam '!$D$11)))+(2*10*D1404/1000))*D1401</f>
        <v>2.9600000000000004</v>
      </c>
      <c r="P1404" s="8">
        <f>O1404*F1404</f>
        <v>59.20000000000001</v>
      </c>
      <c r="Q1404" s="8">
        <f>IF($D1404='[2]Beam '!Q$44,$P1404*'[2]Beam '!Q$45,0)</f>
        <v>0</v>
      </c>
      <c r="R1404" s="8">
        <f>IF($D1404='[2]Beam '!R$44,$P1404*'[2]Beam '!R$45,0)</f>
        <v>36.513714285714293</v>
      </c>
      <c r="S1404" s="8">
        <f>IF($D1404='[2]Beam '!S$44,$P1404*'[2]Beam '!S$45,0)</f>
        <v>0</v>
      </c>
      <c r="T1404" s="8">
        <f>IF($D1404='[2]Beam '!T$44,$P1404*'[2]Beam '!T$45,0)</f>
        <v>0</v>
      </c>
      <c r="U1404" s="8">
        <f>IF($D1404='[2]Beam '!U$44,$P1404*'[2]Beam '!U$45,0)</f>
        <v>0</v>
      </c>
      <c r="V1404" s="8">
        <f>IF($D1404='[2]Beam '!V$44,$P1404*'[2]Beam '!V$45,0)</f>
        <v>0</v>
      </c>
      <c r="W1404" s="8">
        <f>IF($D1404='[2]Beam '!W$44,$P1404*'[2]Beam '!W$45,0)</f>
        <v>0</v>
      </c>
      <c r="X1404" s="8">
        <f>SUM(Q1404:W1404)</f>
        <v>36.513714285714293</v>
      </c>
      <c r="Y1404" s="8"/>
      <c r="Z1404" s="8"/>
      <c r="AA1404" s="8"/>
      <c r="AB1404" s="8"/>
      <c r="AC1404" s="8"/>
      <c r="AD1404" s="8"/>
      <c r="AE1404" s="8"/>
    </row>
    <row r="1405" spans="1:32" s="10" customFormat="1" ht="20.100000000000001" customHeight="1" x14ac:dyDescent="0.25">
      <c r="A1405" s="8">
        <v>1</v>
      </c>
      <c r="B1405" s="8" t="s">
        <v>2</v>
      </c>
      <c r="C1405" s="11" t="s">
        <v>187</v>
      </c>
      <c r="D1405" s="11">
        <v>1</v>
      </c>
      <c r="E1405" s="11">
        <v>4.5999999999999996</v>
      </c>
      <c r="F1405" s="11">
        <v>0.5</v>
      </c>
      <c r="G1405" s="11">
        <v>0.6</v>
      </c>
      <c r="H1405" s="8">
        <f>G1405-0.2</f>
        <v>0.39999999999999997</v>
      </c>
      <c r="I1405" s="8">
        <f>E1405*F1405*G1405*D1405</f>
        <v>1.38</v>
      </c>
      <c r="J1405" s="8">
        <f>(2*(E1405)*H1405*D1405)+(E1405*F1405)</f>
        <v>5.9799999999999986</v>
      </c>
      <c r="K1405" s="12">
        <f>IF(E1405=0.3,J1405,0)</f>
        <v>0</v>
      </c>
      <c r="L1405" s="12">
        <f>IF(AND(E1405&gt;0.3,E1405&lt;=0.75),J1405,0)</f>
        <v>0</v>
      </c>
      <c r="M1405" s="12">
        <f>IF(AND(E1405&gt;0.75,E1405&lt;=1.2),J1405,0)</f>
        <v>0</v>
      </c>
      <c r="N1405" s="12">
        <f>IF(E1405&gt;1.2,J1405,0)</f>
        <v>5.9799999999999986</v>
      </c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>
        <f>SUM(X1406:X1407)/I1405</f>
        <v>115.13333333333333</v>
      </c>
      <c r="Z1405" s="8"/>
      <c r="AA1405" s="8"/>
      <c r="AB1405" s="8"/>
      <c r="AC1405" s="8"/>
      <c r="AD1405" s="8"/>
      <c r="AE1405" s="8"/>
    </row>
    <row r="1406" spans="1:32" s="14" customFormat="1" ht="20.100000000000001" customHeight="1" x14ac:dyDescent="0.3">
      <c r="A1406" s="7"/>
      <c r="B1406" s="8" t="s">
        <v>2</v>
      </c>
      <c r="C1406" s="13" t="s">
        <v>4</v>
      </c>
      <c r="D1406" s="8">
        <v>20</v>
      </c>
      <c r="E1406" s="8"/>
      <c r="F1406" s="8">
        <v>5</v>
      </c>
      <c r="G1406" s="9">
        <f>VLOOKUP(D1406,'[2]Beam '!$C$20:$H$26,3,0)</f>
        <v>0.8</v>
      </c>
      <c r="H1406" s="9"/>
      <c r="I1406" s="8"/>
      <c r="J1406" s="8"/>
      <c r="K1406" s="8"/>
      <c r="L1406" s="8"/>
      <c r="M1406" s="8"/>
      <c r="N1406" s="8"/>
      <c r="O1406" s="8">
        <f>(E1405+1*(G1406+(12*D1406/1000))+1*(G1406)*D1405)</f>
        <v>6.4399999999999995</v>
      </c>
      <c r="P1406" s="8">
        <f t="shared" ref="P1406:P1412" si="263">O1406*F1406</f>
        <v>32.199999999999996</v>
      </c>
      <c r="Q1406" s="8">
        <f>IF($D1406='[2]Beam '!Q$44,$P1406*'[2]Beam '!Q$45,0)</f>
        <v>0</v>
      </c>
      <c r="R1406" s="8">
        <f>IF($D1406='[2]Beam '!R$44,$P1406*'[2]Beam '!R$45,0)</f>
        <v>0</v>
      </c>
      <c r="S1406" s="8">
        <f>IF($D1406='[2]Beam '!S$44,$P1406*'[2]Beam '!S$45,0)</f>
        <v>0</v>
      </c>
      <c r="T1406" s="8">
        <f>IF($D1406='[2]Beam '!T$44,$P1406*'[2]Beam '!T$45,0)</f>
        <v>0</v>
      </c>
      <c r="U1406" s="8">
        <f>IF($D1406='[2]Beam '!U$44,$P1406*'[2]Beam '!U$45,0)</f>
        <v>79.441999999999993</v>
      </c>
      <c r="V1406" s="8">
        <f>IF($D1406='[2]Beam '!V$44,$P1406*'[2]Beam '!V$45,0)</f>
        <v>0</v>
      </c>
      <c r="W1406" s="8">
        <f>IF($D1406='[2]Beam '!W$44,$P1406*'[2]Beam '!W$45,0)</f>
        <v>0</v>
      </c>
      <c r="X1406" s="8">
        <f t="shared" ref="X1406:X1412" si="264">SUM(Q1406:W1406)</f>
        <v>79.441999999999993</v>
      </c>
      <c r="Y1406" s="8"/>
    </row>
    <row r="1407" spans="1:32" s="14" customFormat="1" ht="20.100000000000001" customHeight="1" x14ac:dyDescent="0.3">
      <c r="A1407" s="7"/>
      <c r="B1407" s="8" t="s">
        <v>2</v>
      </c>
      <c r="C1407" s="13" t="s">
        <v>139</v>
      </c>
      <c r="D1407" s="8">
        <v>20</v>
      </c>
      <c r="E1407" s="8"/>
      <c r="F1407" s="8">
        <v>5</v>
      </c>
      <c r="G1407" s="9">
        <f>VLOOKUP(D1407,'[2]Beam '!$C$20:$H$26,3,0)</f>
        <v>0.8</v>
      </c>
      <c r="H1407" s="9"/>
      <c r="I1407" s="8"/>
      <c r="J1407" s="8"/>
      <c r="K1407" s="8"/>
      <c r="L1407" s="8"/>
      <c r="M1407" s="8"/>
      <c r="N1407" s="8"/>
      <c r="O1407" s="8">
        <f>(E1405+1*(G1407+(12*D1407/1000))+1*(G1407)*D1405)</f>
        <v>6.4399999999999995</v>
      </c>
      <c r="P1407" s="8">
        <f t="shared" si="263"/>
        <v>32.199999999999996</v>
      </c>
      <c r="Q1407" s="8">
        <f>IF($D1407='[2]Beam '!Q$44,$P1407*'[2]Beam '!Q$45,0)</f>
        <v>0</v>
      </c>
      <c r="R1407" s="8">
        <f>IF($D1407='[2]Beam '!R$44,$P1407*'[2]Beam '!R$45,0)</f>
        <v>0</v>
      </c>
      <c r="S1407" s="8">
        <f>IF($D1407='[2]Beam '!S$44,$P1407*'[2]Beam '!S$45,0)</f>
        <v>0</v>
      </c>
      <c r="T1407" s="8">
        <f>IF($D1407='[2]Beam '!T$44,$P1407*'[2]Beam '!T$45,0)</f>
        <v>0</v>
      </c>
      <c r="U1407" s="8">
        <f>IF($D1407='[2]Beam '!U$44,$P1407*'[2]Beam '!U$45,0)</f>
        <v>79.441999999999993</v>
      </c>
      <c r="V1407" s="8">
        <f>IF($D1407='[2]Beam '!V$44,$P1407*'[2]Beam '!V$45,0)</f>
        <v>0</v>
      </c>
      <c r="W1407" s="8">
        <f>IF($D1407='[2]Beam '!W$44,$P1407*'[2]Beam '!W$45,0)</f>
        <v>0</v>
      </c>
      <c r="X1407" s="8">
        <f t="shared" si="264"/>
        <v>79.441999999999993</v>
      </c>
      <c r="Y1407" s="8"/>
    </row>
    <row r="1408" spans="1:32" s="14" customFormat="1" ht="20.100000000000001" customHeight="1" x14ac:dyDescent="0.25">
      <c r="A1408" s="7"/>
      <c r="B1408" s="8" t="s">
        <v>2</v>
      </c>
      <c r="C1408" s="13" t="s">
        <v>13</v>
      </c>
      <c r="D1408" s="8">
        <v>8</v>
      </c>
      <c r="E1408" s="8">
        <v>0.1</v>
      </c>
      <c r="F1408" s="8">
        <f>ROUNDUP((E1404/3*2)/E1408,0)+1</f>
        <v>2</v>
      </c>
      <c r="G1408" s="10"/>
      <c r="H1408" s="8"/>
      <c r="I1408" s="8"/>
      <c r="J1408" s="8"/>
      <c r="K1408" s="8"/>
      <c r="L1408" s="8"/>
      <c r="M1408" s="8"/>
      <c r="N1408" s="8"/>
      <c r="O1408" s="8">
        <f>(2*((G1405-(2*'[2]Beam '!$D$11))+(F1405-(2*'[2]Beam '!$D$11)))+(2*10*D1408/1000))*D1405</f>
        <v>2.12</v>
      </c>
      <c r="P1408" s="8">
        <f t="shared" si="263"/>
        <v>4.24</v>
      </c>
      <c r="Q1408" s="8">
        <f>IF($D1408='[2]Beam '!Q$44,$P1408*'[2]Beam '!Q$45,0)</f>
        <v>1.6737097142857145</v>
      </c>
      <c r="R1408" s="8">
        <f>IF($D1408='[2]Beam '!R$44,$P1408*'[2]Beam '!R$45,0)</f>
        <v>0</v>
      </c>
      <c r="S1408" s="8">
        <f>IF($D1408='[2]Beam '!S$44,$P1408*'[2]Beam '!S$45,0)</f>
        <v>0</v>
      </c>
      <c r="T1408" s="8">
        <f>IF($D1408='[2]Beam '!T$44,$P1408*'[2]Beam '!T$45,0)</f>
        <v>0</v>
      </c>
      <c r="U1408" s="8">
        <f>IF($D1408='[2]Beam '!U$44,$P1408*'[2]Beam '!U$45,0)</f>
        <v>0</v>
      </c>
      <c r="V1408" s="8">
        <f>IF($D1408='[2]Beam '!V$44,$P1408*'[2]Beam '!V$45,0)</f>
        <v>0</v>
      </c>
      <c r="W1408" s="8">
        <f>IF($D1408='[2]Beam '!W$44,$P1408*'[2]Beam '!W$45,0)</f>
        <v>0</v>
      </c>
      <c r="X1408" s="8">
        <f t="shared" si="264"/>
        <v>1.6737097142857145</v>
      </c>
      <c r="Y1408" s="8"/>
    </row>
    <row r="1409" spans="1:32" s="10" customFormat="1" ht="20.100000000000001" customHeight="1" x14ac:dyDescent="0.25">
      <c r="A1409" s="14"/>
      <c r="B1409" s="8" t="s">
        <v>2</v>
      </c>
      <c r="C1409" s="13" t="s">
        <v>14</v>
      </c>
      <c r="D1409" s="14">
        <f>D1408</f>
        <v>8</v>
      </c>
      <c r="E1409" s="14">
        <v>0.125</v>
      </c>
      <c r="F1409" s="8">
        <f>ROUNDUP((E1405/3)/E1409,0)+1</f>
        <v>14</v>
      </c>
      <c r="H1409" s="14"/>
      <c r="I1409" s="14"/>
      <c r="J1409" s="14"/>
      <c r="K1409" s="14"/>
      <c r="L1409" s="14"/>
      <c r="M1409" s="14"/>
      <c r="N1409" s="14"/>
      <c r="O1409" s="8">
        <f>(2*((G1405-(2*'[2]Beam '!$D$11))+(F1405-(2*'[2]Beam '!$D$11)))+(2*10*D1409/1000))*D1405</f>
        <v>2.12</v>
      </c>
      <c r="P1409" s="8">
        <f t="shared" si="263"/>
        <v>29.68</v>
      </c>
      <c r="Q1409" s="8">
        <f>IF($D1409='[2]Beam '!Q$44,$P1409*'[2]Beam '!Q$45,0)</f>
        <v>11.715968</v>
      </c>
      <c r="R1409" s="8">
        <f>IF($D1409='[2]Beam '!R$44,$P1409*'[2]Beam '!R$45,0)</f>
        <v>0</v>
      </c>
      <c r="S1409" s="8">
        <f>IF($D1409='[2]Beam '!S$44,$P1409*'[2]Beam '!S$45,0)</f>
        <v>0</v>
      </c>
      <c r="T1409" s="8">
        <f>IF($D1409='[2]Beam '!T$44,$P1409*'[2]Beam '!T$45,0)</f>
        <v>0</v>
      </c>
      <c r="U1409" s="8">
        <f>IF($D1409='[2]Beam '!U$44,$P1409*'[2]Beam '!U$45,0)</f>
        <v>0</v>
      </c>
      <c r="V1409" s="8">
        <f>IF($D1409='[2]Beam '!V$44,$P1409*'[2]Beam '!V$45,0)</f>
        <v>0</v>
      </c>
      <c r="W1409" s="8">
        <f>IF($D1409='[2]Beam '!W$44,$P1409*'[2]Beam '!W$45,0)</f>
        <v>0</v>
      </c>
      <c r="X1409" s="8">
        <f t="shared" si="264"/>
        <v>11.715968</v>
      </c>
      <c r="Y1409" s="14"/>
      <c r="Z1409" s="8"/>
      <c r="AA1409" s="8"/>
      <c r="AB1409" s="8"/>
      <c r="AC1409" s="8"/>
      <c r="AD1409" s="8"/>
      <c r="AE1409" s="8"/>
    </row>
    <row r="1410" spans="1:32" s="10" customFormat="1" ht="21" customHeight="1" x14ac:dyDescent="0.25">
      <c r="A1410" s="14"/>
      <c r="B1410" s="8" t="s">
        <v>2</v>
      </c>
      <c r="C1410" s="13" t="s">
        <v>15</v>
      </c>
      <c r="D1410" s="14">
        <f>D1408</f>
        <v>8</v>
      </c>
      <c r="E1410" s="14">
        <f>+E1408</f>
        <v>0.1</v>
      </c>
      <c r="F1410" s="8">
        <f>ROUNDUP((E1405/3*2)/E1410,0)+1</f>
        <v>32</v>
      </c>
      <c r="H1410" s="14"/>
      <c r="I1410" s="14"/>
      <c r="J1410" s="14"/>
      <c r="K1410" s="14"/>
      <c r="L1410" s="14"/>
      <c r="M1410" s="14"/>
      <c r="N1410" s="14"/>
      <c r="O1410" s="8">
        <f>(2*(((F1405-'[2]Beam '!$D$11*2)/(F1406-1))+(G1405-'[2]Beam '!$D$11*2))+(2*10*D1410/1000))*D1405</f>
        <v>1.46</v>
      </c>
      <c r="P1410" s="8">
        <f t="shared" si="263"/>
        <v>46.72</v>
      </c>
      <c r="Q1410" s="8">
        <f>IF($D1410='[2]Beam '!Q$44,$P1410*'[2]Beam '!Q$45,0)</f>
        <v>18.442386285714285</v>
      </c>
      <c r="R1410" s="8">
        <f>IF($D1410='[2]Beam '!R$44,$P1410*'[2]Beam '!R$45,0)</f>
        <v>0</v>
      </c>
      <c r="S1410" s="8">
        <f>IF($D1410='[2]Beam '!S$44,$P1410*'[2]Beam '!S$45,0)</f>
        <v>0</v>
      </c>
      <c r="T1410" s="8">
        <f>IF($D1410='[2]Beam '!T$44,$P1410*'[2]Beam '!T$45,0)</f>
        <v>0</v>
      </c>
      <c r="U1410" s="8">
        <f>IF($D1410='[2]Beam '!U$44,$P1410*'[2]Beam '!U$45,0)</f>
        <v>0</v>
      </c>
      <c r="V1410" s="8">
        <f>IF($D1410='[2]Beam '!V$44,$P1410*'[2]Beam '!V$45,0)</f>
        <v>0</v>
      </c>
      <c r="W1410" s="8">
        <f>IF($D1410='[2]Beam '!W$44,$P1410*'[2]Beam '!W$45,0)</f>
        <v>0</v>
      </c>
      <c r="X1410" s="8">
        <f t="shared" si="264"/>
        <v>18.442386285714285</v>
      </c>
      <c r="Y1410" s="14"/>
      <c r="Z1410" s="8"/>
      <c r="AA1410" s="8"/>
      <c r="AB1410" s="8"/>
      <c r="AC1410" s="8"/>
      <c r="AD1410" s="8"/>
      <c r="AE1410" s="8"/>
      <c r="AF1410" s="8"/>
    </row>
    <row r="1411" spans="1:32" s="10" customFormat="1" ht="20.100000000000001" customHeight="1" x14ac:dyDescent="0.25">
      <c r="A1411" s="14"/>
      <c r="B1411" s="8" t="s">
        <v>2</v>
      </c>
      <c r="C1411" s="13" t="s">
        <v>16</v>
      </c>
      <c r="D1411" s="14">
        <f>D1409</f>
        <v>8</v>
      </c>
      <c r="E1411" s="14">
        <f>+E1409</f>
        <v>0.125</v>
      </c>
      <c r="F1411" s="8">
        <f>ROUNDUP((E1405/3)/E1411,0)+1</f>
        <v>14</v>
      </c>
      <c r="H1411" s="14"/>
      <c r="I1411" s="14"/>
      <c r="J1411" s="14"/>
      <c r="K1411" s="14"/>
      <c r="L1411" s="14"/>
      <c r="M1411" s="14"/>
      <c r="N1411" s="14"/>
      <c r="O1411" s="8">
        <f>(2*(((F1405-'[2]Beam '!$D$11*2)/(F1406-1))+(G1405-'[2]Beam '!$D$11*2))+(2*10*D1411/1000))*D1405</f>
        <v>1.46</v>
      </c>
      <c r="P1411" s="8">
        <f t="shared" si="263"/>
        <v>20.439999999999998</v>
      </c>
      <c r="Q1411" s="8">
        <f>IF($D1411='[2]Beam '!Q$44,$P1411*'[2]Beam '!Q$45,0)</f>
        <v>8.0685439999999993</v>
      </c>
      <c r="R1411" s="8">
        <f>IF($D1411='[2]Beam '!R$44,$P1411*'[2]Beam '!R$45,0)</f>
        <v>0</v>
      </c>
      <c r="S1411" s="8">
        <f>IF($D1411='[2]Beam '!S$44,$P1411*'[2]Beam '!S$45,0)</f>
        <v>0</v>
      </c>
      <c r="T1411" s="8">
        <f>IF($D1411='[2]Beam '!T$44,$P1411*'[2]Beam '!T$45,0)</f>
        <v>0</v>
      </c>
      <c r="U1411" s="8">
        <f>IF($D1411='[2]Beam '!U$44,$P1411*'[2]Beam '!U$45,0)</f>
        <v>0</v>
      </c>
      <c r="V1411" s="8">
        <f>IF($D1411='[2]Beam '!V$44,$P1411*'[2]Beam '!V$45,0)</f>
        <v>0</v>
      </c>
      <c r="W1411" s="8">
        <f>IF($D1411='[2]Beam '!W$44,$P1411*'[2]Beam '!W$45,0)</f>
        <v>0</v>
      </c>
      <c r="X1411" s="8">
        <f t="shared" si="264"/>
        <v>8.0685439999999993</v>
      </c>
      <c r="Y1411" s="14"/>
      <c r="Z1411" s="8"/>
      <c r="AA1411" s="8"/>
      <c r="AB1411" s="8"/>
      <c r="AC1411" s="8"/>
      <c r="AD1411" s="8"/>
      <c r="AE1411" s="8"/>
    </row>
    <row r="1412" spans="1:32" s="10" customFormat="1" ht="20.100000000000001" customHeight="1" x14ac:dyDescent="0.25">
      <c r="A1412" s="7"/>
      <c r="B1412" s="8" t="s">
        <v>2</v>
      </c>
      <c r="C1412" s="13" t="s">
        <v>10</v>
      </c>
      <c r="D1412" s="8">
        <f>+'[2]Beam '!$D$15</f>
        <v>25</v>
      </c>
      <c r="E1412" s="8">
        <f>+'[2]Beam '!$E$15</f>
        <v>1</v>
      </c>
      <c r="F1412" s="8">
        <f>ROUNDUP((E1405)/E1412,0)</f>
        <v>5</v>
      </c>
      <c r="G1412" s="9"/>
      <c r="H1412" s="9"/>
      <c r="I1412" s="8"/>
      <c r="J1412" s="8"/>
      <c r="K1412" s="8"/>
      <c r="L1412" s="8"/>
      <c r="M1412" s="8"/>
      <c r="N1412" s="8"/>
      <c r="O1412" s="8">
        <f>F1405-'[2]Beam '!$F$15</f>
        <v>0.44</v>
      </c>
      <c r="P1412" s="8">
        <f t="shared" si="263"/>
        <v>2.2000000000000002</v>
      </c>
      <c r="Q1412" s="8">
        <f>IF($D1412='[2]Beam '!Q$44,$P1412*'[2]Beam '!Q$45,0)</f>
        <v>0</v>
      </c>
      <c r="R1412" s="8">
        <f>IF($D1412='[2]Beam '!R$44,$P1412*'[2]Beam '!R$45,0)</f>
        <v>0</v>
      </c>
      <c r="S1412" s="8">
        <f>IF($D1412='[2]Beam '!S$44,$P1412*'[2]Beam '!S$45,0)</f>
        <v>0</v>
      </c>
      <c r="T1412" s="8">
        <f>IF($D1412='[2]Beam '!T$44,$P1412*'[2]Beam '!T$45,0)</f>
        <v>0</v>
      </c>
      <c r="U1412" s="8">
        <f>IF($D1412='[2]Beam '!U$44,$P1412*'[2]Beam '!U$45,0)</f>
        <v>0</v>
      </c>
      <c r="V1412" s="8">
        <f>IF($D1412='[2]Beam '!V$44,$P1412*'[2]Beam '!V$45,0)</f>
        <v>8.4808035714285737</v>
      </c>
      <c r="W1412" s="8">
        <f>IF($D1412='[2]Beam '!W$44,$P1412*'[2]Beam '!W$45,0)</f>
        <v>0</v>
      </c>
      <c r="X1412" s="8">
        <f t="shared" si="264"/>
        <v>8.4808035714285737</v>
      </c>
      <c r="Y1412" s="8"/>
      <c r="Z1412" s="8"/>
      <c r="AA1412" s="8"/>
      <c r="AB1412" s="8"/>
      <c r="AC1412" s="8"/>
      <c r="AD1412" s="8"/>
      <c r="AE1412" s="8"/>
    </row>
    <row r="1413" spans="1:32" s="10" customFormat="1" ht="20.100000000000001" customHeight="1" x14ac:dyDescent="0.25">
      <c r="A1413" s="8">
        <v>1</v>
      </c>
      <c r="B1413" s="8" t="s">
        <v>2</v>
      </c>
      <c r="C1413" s="11" t="s">
        <v>188</v>
      </c>
      <c r="D1413" s="11">
        <v>1</v>
      </c>
      <c r="E1413" s="11">
        <v>1.127</v>
      </c>
      <c r="F1413" s="11">
        <v>0.4</v>
      </c>
      <c r="G1413" s="11">
        <v>1.1000000000000001</v>
      </c>
      <c r="H1413" s="8">
        <f>G1413-0.2</f>
        <v>0.90000000000000013</v>
      </c>
      <c r="I1413" s="8">
        <f>E1413*F1413*G1413*D1413</f>
        <v>0.4958800000000001</v>
      </c>
      <c r="J1413" s="8">
        <f>(2*(E1413)*H1413*D1413)+(E1413*F1413)</f>
        <v>2.4794000000000005</v>
      </c>
      <c r="K1413" s="12">
        <f>IF(E1413=0.3,J1413,0)</f>
        <v>0</v>
      </c>
      <c r="L1413" s="12">
        <f>IF(AND(E1413&gt;0.3,E1413&lt;=0.75),J1413,0)</f>
        <v>0</v>
      </c>
      <c r="M1413" s="12">
        <f>IF(AND(E1413&gt;0.75,E1413&lt;=1.2),J1413,0)</f>
        <v>2.4794000000000005</v>
      </c>
      <c r="N1413" s="12">
        <f>IF(E1413&gt;1.2,J1413,0)</f>
        <v>0</v>
      </c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>
        <f>SUM(X1414:X1415)/I1413</f>
        <v>213.12864431486881</v>
      </c>
      <c r="Z1413" s="8"/>
      <c r="AA1413" s="8"/>
      <c r="AB1413" s="8"/>
      <c r="AC1413" s="8"/>
      <c r="AD1413" s="8"/>
      <c r="AE1413" s="8"/>
    </row>
    <row r="1414" spans="1:32" s="14" customFormat="1" ht="20.100000000000001" customHeight="1" x14ac:dyDescent="0.3">
      <c r="A1414" s="7"/>
      <c r="B1414" s="8" t="s">
        <v>2</v>
      </c>
      <c r="C1414" s="13" t="s">
        <v>4</v>
      </c>
      <c r="D1414" s="8">
        <v>25</v>
      </c>
      <c r="E1414" s="8"/>
      <c r="F1414" s="8">
        <v>4</v>
      </c>
      <c r="G1414" s="9">
        <f>VLOOKUP(D1414,'[2]Beam '!$C$20:$H$26,3,0)</f>
        <v>1</v>
      </c>
      <c r="H1414" s="9"/>
      <c r="I1414" s="8"/>
      <c r="J1414" s="8"/>
      <c r="K1414" s="8"/>
      <c r="L1414" s="8"/>
      <c r="M1414" s="8"/>
      <c r="N1414" s="8"/>
      <c r="O1414" s="8">
        <f>(E1413+1*(G1414+(12*D1414/1000))+1*(G1414)*D1413)</f>
        <v>3.427</v>
      </c>
      <c r="P1414" s="8">
        <f>O1414*F1414</f>
        <v>13.708</v>
      </c>
      <c r="Q1414" s="8">
        <f>IF($D1414='[2]Beam '!Q$44,$P1414*'[2]Beam '!Q$45,0)</f>
        <v>0</v>
      </c>
      <c r="R1414" s="8">
        <f>IF($D1414='[2]Beam '!R$44,$P1414*'[2]Beam '!R$45,0)</f>
        <v>0</v>
      </c>
      <c r="S1414" s="8">
        <f>IF($D1414='[2]Beam '!S$44,$P1414*'[2]Beam '!S$45,0)</f>
        <v>0</v>
      </c>
      <c r="T1414" s="8">
        <f>IF($D1414='[2]Beam '!T$44,$P1414*'[2]Beam '!T$45,0)</f>
        <v>0</v>
      </c>
      <c r="U1414" s="8">
        <f>IF($D1414='[2]Beam '!U$44,$P1414*'[2]Beam '!U$45,0)</f>
        <v>0</v>
      </c>
      <c r="V1414" s="8">
        <f>IF($D1414='[2]Beam '!V$44,$P1414*'[2]Beam '!V$45,0)</f>
        <v>52.843116071428582</v>
      </c>
      <c r="W1414" s="8">
        <f>IF($D1414='[2]Beam '!W$44,$P1414*'[2]Beam '!W$45,0)</f>
        <v>0</v>
      </c>
      <c r="X1414" s="8">
        <f>SUM(Q1414:W1414)</f>
        <v>52.843116071428582</v>
      </c>
      <c r="Y1414" s="8"/>
    </row>
    <row r="1415" spans="1:32" s="10" customFormat="1" ht="20.100000000000001" customHeight="1" x14ac:dyDescent="0.25">
      <c r="A1415" s="7"/>
      <c r="B1415" s="8" t="s">
        <v>2</v>
      </c>
      <c r="C1415" s="13" t="s">
        <v>139</v>
      </c>
      <c r="D1415" s="8">
        <v>25</v>
      </c>
      <c r="E1415" s="8"/>
      <c r="F1415" s="8">
        <v>4</v>
      </c>
      <c r="G1415" s="9">
        <f>VLOOKUP(D1415,'[2]Beam '!$C$20:$H$26,3,0)</f>
        <v>1</v>
      </c>
      <c r="H1415" s="9"/>
      <c r="I1415" s="8"/>
      <c r="J1415" s="8"/>
      <c r="K1415" s="8"/>
      <c r="L1415" s="8"/>
      <c r="M1415" s="8"/>
      <c r="N1415" s="8"/>
      <c r="O1415" s="8">
        <f>(E1413+1*(G1415+(12*D1415/1000))+1*(G1415)*D1413)</f>
        <v>3.427</v>
      </c>
      <c r="P1415" s="8">
        <f>O1415*F1415</f>
        <v>13.708</v>
      </c>
      <c r="Q1415" s="8">
        <f>IF($D1415='[2]Beam '!Q$44,$P1415*'[2]Beam '!Q$45,0)</f>
        <v>0</v>
      </c>
      <c r="R1415" s="8">
        <f>IF($D1415='[2]Beam '!R$44,$P1415*'[2]Beam '!R$45,0)</f>
        <v>0</v>
      </c>
      <c r="S1415" s="8">
        <f>IF($D1415='[2]Beam '!S$44,$P1415*'[2]Beam '!S$45,0)</f>
        <v>0</v>
      </c>
      <c r="T1415" s="8">
        <f>IF($D1415='[2]Beam '!T$44,$P1415*'[2]Beam '!T$45,0)</f>
        <v>0</v>
      </c>
      <c r="U1415" s="8">
        <f>IF($D1415='[2]Beam '!U$44,$P1415*'[2]Beam '!U$45,0)</f>
        <v>0</v>
      </c>
      <c r="V1415" s="8">
        <f>IF($D1415='[2]Beam '!V$44,$P1415*'[2]Beam '!V$45,0)</f>
        <v>52.843116071428582</v>
      </c>
      <c r="W1415" s="8">
        <f>IF($D1415='[2]Beam '!W$44,$P1415*'[2]Beam '!W$45,0)</f>
        <v>0</v>
      </c>
      <c r="X1415" s="8">
        <f>SUM(Q1415:W1415)</f>
        <v>52.843116071428582</v>
      </c>
      <c r="Y1415" s="8"/>
      <c r="Z1415" s="8"/>
      <c r="AA1415" s="8"/>
      <c r="AB1415" s="8"/>
      <c r="AC1415" s="8"/>
      <c r="AD1415" s="8"/>
      <c r="AE1415" s="8"/>
    </row>
    <row r="1416" spans="1:32" s="10" customFormat="1" ht="21" customHeight="1" x14ac:dyDescent="0.25">
      <c r="A1416" s="7"/>
      <c r="B1416" s="8" t="s">
        <v>2</v>
      </c>
      <c r="C1416" s="13" t="s">
        <v>8</v>
      </c>
      <c r="D1416" s="8">
        <v>12</v>
      </c>
      <c r="E1416" s="8">
        <v>0.1</v>
      </c>
      <c r="F1416" s="8">
        <f>ROUNDUP(E1413/E1416,0)</f>
        <v>12</v>
      </c>
      <c r="H1416" s="8"/>
      <c r="I1416" s="8"/>
      <c r="J1416" s="8"/>
      <c r="K1416" s="8"/>
      <c r="L1416" s="8"/>
      <c r="M1416" s="8"/>
      <c r="N1416" s="8"/>
      <c r="O1416" s="8">
        <f>(2*((G1413-(2*'[2]Beam '!$D$11))+(F1413-(2*'[2]Beam '!$D$11)))+(2*10*D1416/1000))*D1413</f>
        <v>3</v>
      </c>
      <c r="P1416" s="8">
        <f>O1416*F1416</f>
        <v>36</v>
      </c>
      <c r="Q1416" s="8">
        <f>IF($D1416='[2]Beam '!Q$44,$P1416*'[2]Beam '!Q$45,0)</f>
        <v>0</v>
      </c>
      <c r="R1416" s="8">
        <f>IF($D1416='[2]Beam '!R$44,$P1416*'[2]Beam '!R$45,0)</f>
        <v>0</v>
      </c>
      <c r="S1416" s="8">
        <f>IF($D1416='[2]Beam '!S$44,$P1416*'[2]Beam '!S$45,0)</f>
        <v>31.974171428571434</v>
      </c>
      <c r="T1416" s="8">
        <f>IF($D1416='[2]Beam '!T$44,$P1416*'[2]Beam '!T$45,0)</f>
        <v>0</v>
      </c>
      <c r="U1416" s="8">
        <f>IF($D1416='[2]Beam '!U$44,$P1416*'[2]Beam '!U$45,0)</f>
        <v>0</v>
      </c>
      <c r="V1416" s="8">
        <f>IF($D1416='[2]Beam '!V$44,$P1416*'[2]Beam '!V$45,0)</f>
        <v>0</v>
      </c>
      <c r="W1416" s="8">
        <f>IF($D1416='[2]Beam '!W$44,$P1416*'[2]Beam '!W$45,0)</f>
        <v>0</v>
      </c>
      <c r="X1416" s="8">
        <f>SUM(Q1416:W1416)</f>
        <v>31.974171428571434</v>
      </c>
      <c r="Y1416" s="8"/>
      <c r="Z1416" s="8"/>
      <c r="AA1416" s="8"/>
      <c r="AB1416" s="8"/>
      <c r="AC1416" s="8"/>
      <c r="AD1416" s="8"/>
      <c r="AE1416" s="8"/>
      <c r="AF1416" s="8"/>
    </row>
    <row r="1417" spans="1:32" s="10" customFormat="1" ht="20.100000000000001" customHeight="1" x14ac:dyDescent="0.25">
      <c r="A1417" s="14"/>
      <c r="B1417" s="8" t="s">
        <v>2</v>
      </c>
      <c r="C1417" s="13" t="s">
        <v>9</v>
      </c>
      <c r="D1417" s="8">
        <f>+D1416</f>
        <v>12</v>
      </c>
      <c r="E1417" s="14">
        <f>+E1416</f>
        <v>0.1</v>
      </c>
      <c r="F1417" s="8">
        <f>ROUNDUP(E1413/E1417,0)</f>
        <v>12</v>
      </c>
      <c r="H1417" s="14"/>
      <c r="I1417" s="14"/>
      <c r="J1417" s="14"/>
      <c r="K1417" s="14"/>
      <c r="L1417" s="14"/>
      <c r="M1417" s="14"/>
      <c r="N1417" s="14"/>
      <c r="O1417" s="8">
        <f>((((G1413-(2*'[2]Beam '!$D$11))+(2*10*D1417/1000))*D1413))*2</f>
        <v>2.56</v>
      </c>
      <c r="P1417" s="8">
        <f>O1417*F1417</f>
        <v>30.72</v>
      </c>
      <c r="Q1417" s="8">
        <f>IF($D1417='[2]Beam '!Q$44,$P1417*'[2]Beam '!Q$45,0)</f>
        <v>0</v>
      </c>
      <c r="R1417" s="8">
        <f>IF($D1417='[2]Beam '!R$44,$P1417*'[2]Beam '!R$45,0)</f>
        <v>0</v>
      </c>
      <c r="S1417" s="8">
        <f>IF($D1417='[2]Beam '!S$44,$P1417*'[2]Beam '!S$45,0)</f>
        <v>27.284626285714289</v>
      </c>
      <c r="T1417" s="8">
        <f>IF($D1417='[2]Beam '!T$44,$P1417*'[2]Beam '!T$45,0)</f>
        <v>0</v>
      </c>
      <c r="U1417" s="8">
        <f>IF($D1417='[2]Beam '!U$44,$P1417*'[2]Beam '!U$45,0)</f>
        <v>0</v>
      </c>
      <c r="V1417" s="8">
        <f>IF($D1417='[2]Beam '!V$44,$P1417*'[2]Beam '!V$45,0)</f>
        <v>0</v>
      </c>
      <c r="W1417" s="8">
        <f>IF($D1417='[2]Beam '!W$44,$P1417*'[2]Beam '!W$45,0)</f>
        <v>0</v>
      </c>
      <c r="X1417" s="8">
        <f>SUM(Q1417:W1417)</f>
        <v>27.284626285714289</v>
      </c>
      <c r="Y1417" s="14"/>
      <c r="Z1417" s="8"/>
      <c r="AA1417" s="8"/>
      <c r="AB1417" s="8"/>
      <c r="AC1417" s="8"/>
      <c r="AD1417" s="8"/>
      <c r="AE1417" s="8"/>
    </row>
    <row r="1418" spans="1:32" s="10" customFormat="1" ht="20.100000000000001" customHeight="1" x14ac:dyDescent="0.25">
      <c r="A1418" s="7"/>
      <c r="B1418" s="8" t="s">
        <v>2</v>
      </c>
      <c r="C1418" s="13" t="s">
        <v>10</v>
      </c>
      <c r="D1418" s="8">
        <f>+'[2]Beam '!$D$15</f>
        <v>25</v>
      </c>
      <c r="E1418" s="8">
        <f>+'[2]Beam '!$E$15</f>
        <v>1</v>
      </c>
      <c r="F1418" s="8">
        <f>ROUNDUP((E1413)/E1418,0)</f>
        <v>2</v>
      </c>
      <c r="G1418" s="9"/>
      <c r="H1418" s="9"/>
      <c r="I1418" s="8"/>
      <c r="J1418" s="8"/>
      <c r="K1418" s="8"/>
      <c r="L1418" s="8"/>
      <c r="M1418" s="8"/>
      <c r="N1418" s="8"/>
      <c r="O1418" s="8">
        <f>F1413-'[2]Beam '!$F$15</f>
        <v>0.34</v>
      </c>
      <c r="P1418" s="8">
        <f>O1418*F1418</f>
        <v>0.68</v>
      </c>
      <c r="Q1418" s="8">
        <f>IF($D1418='[2]Beam '!Q$44,$P1418*'[2]Beam '!Q$45,0)</f>
        <v>0</v>
      </c>
      <c r="R1418" s="8">
        <f>IF($D1418='[2]Beam '!R$44,$P1418*'[2]Beam '!R$45,0)</f>
        <v>0</v>
      </c>
      <c r="S1418" s="8">
        <f>IF($D1418='[2]Beam '!S$44,$P1418*'[2]Beam '!S$45,0)</f>
        <v>0</v>
      </c>
      <c r="T1418" s="8">
        <f>IF($D1418='[2]Beam '!T$44,$P1418*'[2]Beam '!T$45,0)</f>
        <v>0</v>
      </c>
      <c r="U1418" s="8">
        <f>IF($D1418='[2]Beam '!U$44,$P1418*'[2]Beam '!U$45,0)</f>
        <v>0</v>
      </c>
      <c r="V1418" s="8">
        <f>IF($D1418='[2]Beam '!V$44,$P1418*'[2]Beam '!V$45,0)</f>
        <v>2.6213392857142863</v>
      </c>
      <c r="W1418" s="8">
        <f>IF($D1418='[2]Beam '!W$44,$P1418*'[2]Beam '!W$45,0)</f>
        <v>0</v>
      </c>
      <c r="X1418" s="8">
        <f>SUM(Q1418:W1418)</f>
        <v>2.6213392857142863</v>
      </c>
      <c r="Y1418" s="8"/>
      <c r="Z1418" s="8"/>
      <c r="AA1418" s="8"/>
      <c r="AB1418" s="8"/>
      <c r="AC1418" s="8"/>
      <c r="AD1418" s="8"/>
      <c r="AE1418" s="8"/>
    </row>
    <row r="1419" spans="1:32" s="10" customFormat="1" ht="20.100000000000001" customHeight="1" x14ac:dyDescent="0.25">
      <c r="A1419" s="8">
        <v>1</v>
      </c>
      <c r="B1419" s="8" t="s">
        <v>2</v>
      </c>
      <c r="C1419" s="11" t="s">
        <v>189</v>
      </c>
      <c r="D1419" s="11">
        <v>1</v>
      </c>
      <c r="E1419" s="11">
        <v>2.4500000000000002</v>
      </c>
      <c r="F1419" s="11">
        <v>0.3</v>
      </c>
      <c r="G1419" s="11">
        <v>0.8</v>
      </c>
      <c r="H1419" s="8">
        <f>G1419-0.2</f>
        <v>0.60000000000000009</v>
      </c>
      <c r="I1419" s="8">
        <f>E1419*F1419*G1419*D1419</f>
        <v>0.58799999999999997</v>
      </c>
      <c r="J1419" s="8">
        <f>(2*(E1419)*H1419*D1419)+(E1419*F1419)</f>
        <v>3.6750000000000007</v>
      </c>
      <c r="K1419" s="12">
        <f>IF(E1419=0.3,J1419,0)</f>
        <v>0</v>
      </c>
      <c r="L1419" s="12">
        <f>IF(AND(E1419&gt;0.3,E1419&lt;=0.75),J1419,0)</f>
        <v>0</v>
      </c>
      <c r="M1419" s="12">
        <f>IF(AND(E1419&gt;0.75,E1419&lt;=1.2),J1419,0)</f>
        <v>0</v>
      </c>
      <c r="N1419" s="12">
        <f>IF(E1419&gt;1.2,J1419,0)</f>
        <v>3.6750000000000007</v>
      </c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>
        <f>SUM(X1420:X1422)/I1419</f>
        <v>101.38178114674442</v>
      </c>
      <c r="Z1419" s="8"/>
      <c r="AA1419" s="8"/>
      <c r="AB1419" s="8"/>
      <c r="AC1419" s="8"/>
      <c r="AD1419" s="8"/>
      <c r="AE1419" s="8"/>
    </row>
    <row r="1420" spans="1:32" s="10" customFormat="1" ht="21" customHeight="1" x14ac:dyDescent="0.25">
      <c r="A1420" s="7"/>
      <c r="B1420" s="8" t="s">
        <v>2</v>
      </c>
      <c r="C1420" s="13" t="s">
        <v>4</v>
      </c>
      <c r="D1420" s="8">
        <v>16</v>
      </c>
      <c r="E1420" s="8"/>
      <c r="F1420" s="8">
        <v>3</v>
      </c>
      <c r="G1420" s="9">
        <f>VLOOKUP(D1420,'[2]Beam '!$C$20:$H$26,3,0)</f>
        <v>0.625</v>
      </c>
      <c r="H1420" s="9"/>
      <c r="I1420" s="8"/>
      <c r="J1420" s="8"/>
      <c r="K1420" s="8"/>
      <c r="L1420" s="8"/>
      <c r="M1420" s="8"/>
      <c r="N1420" s="8"/>
      <c r="O1420" s="8">
        <f>(E1419+2*(G1420+(12*D1420/1000))*D1419)</f>
        <v>4.0839999999999996</v>
      </c>
      <c r="P1420" s="8">
        <f>O1420*F1420</f>
        <v>12.251999999999999</v>
      </c>
      <c r="Q1420" s="8">
        <f>IF($D1420='[2]Beam '!Q$44,$P1420*'[2]Beam '!Q$45,0)</f>
        <v>0</v>
      </c>
      <c r="R1420" s="8">
        <f>IF($D1420='[2]Beam '!R$44,$P1420*'[2]Beam '!R$45,0)</f>
        <v>0</v>
      </c>
      <c r="S1420" s="8">
        <f>IF($D1420='[2]Beam '!S$44,$P1420*'[2]Beam '!S$45,0)</f>
        <v>0</v>
      </c>
      <c r="T1420" s="8">
        <f>IF($D1420='[2]Beam '!T$44,$P1420*'[2]Beam '!T$45,0)</f>
        <v>19.345557942857141</v>
      </c>
      <c r="U1420" s="8">
        <f>IF($D1420='[2]Beam '!U$44,$P1420*'[2]Beam '!U$45,0)</f>
        <v>0</v>
      </c>
      <c r="V1420" s="8">
        <f>IF($D1420='[2]Beam '!V$44,$P1420*'[2]Beam '!V$45,0)</f>
        <v>0</v>
      </c>
      <c r="W1420" s="8">
        <f>IF($D1420='[2]Beam '!W$44,$P1420*'[2]Beam '!W$45,0)</f>
        <v>0</v>
      </c>
      <c r="X1420" s="8">
        <f>SUM(Q1420:W1420)</f>
        <v>19.345557942857141</v>
      </c>
      <c r="Y1420" s="8"/>
      <c r="Z1420" s="8"/>
      <c r="AA1420" s="8"/>
      <c r="AB1420" s="8"/>
      <c r="AC1420" s="8"/>
      <c r="AD1420" s="8"/>
      <c r="AE1420" s="8"/>
      <c r="AF1420" s="8"/>
    </row>
    <row r="1421" spans="1:32" s="10" customFormat="1" ht="20.100000000000001" customHeight="1" x14ac:dyDescent="0.25">
      <c r="A1421" s="7"/>
      <c r="B1421" s="8" t="s">
        <v>2</v>
      </c>
      <c r="C1421" s="13" t="s">
        <v>139</v>
      </c>
      <c r="D1421" s="8">
        <v>16</v>
      </c>
      <c r="E1421" s="8"/>
      <c r="F1421" s="8">
        <v>3</v>
      </c>
      <c r="G1421" s="9">
        <f>VLOOKUP(D1421,'[2]Beam '!$C$20:$H$26,3,0)</f>
        <v>0.625</v>
      </c>
      <c r="H1421" s="9"/>
      <c r="I1421" s="8"/>
      <c r="J1421" s="8"/>
      <c r="K1421" s="8"/>
      <c r="L1421" s="8"/>
      <c r="M1421" s="8"/>
      <c r="N1421" s="8"/>
      <c r="O1421" s="8">
        <f>(E1419+2*(G1421+(12*D1421/1000))*D1419)</f>
        <v>4.0839999999999996</v>
      </c>
      <c r="P1421" s="8">
        <f>O1421*F1421</f>
        <v>12.251999999999999</v>
      </c>
      <c r="Q1421" s="8">
        <f>IF($D1421='[2]Beam '!Q$44,$P1421*'[2]Beam '!Q$45,0)</f>
        <v>0</v>
      </c>
      <c r="R1421" s="8">
        <f>IF($D1421='[2]Beam '!R$44,$P1421*'[2]Beam '!R$45,0)</f>
        <v>0</v>
      </c>
      <c r="S1421" s="8">
        <f>IF($D1421='[2]Beam '!S$44,$P1421*'[2]Beam '!S$45,0)</f>
        <v>0</v>
      </c>
      <c r="T1421" s="8">
        <f>IF($D1421='[2]Beam '!T$44,$P1421*'[2]Beam '!T$45,0)</f>
        <v>19.345557942857141</v>
      </c>
      <c r="U1421" s="8">
        <f>IF($D1421='[2]Beam '!U$44,$P1421*'[2]Beam '!U$45,0)</f>
        <v>0</v>
      </c>
      <c r="V1421" s="8">
        <f>IF($D1421='[2]Beam '!V$44,$P1421*'[2]Beam '!V$45,0)</f>
        <v>0</v>
      </c>
      <c r="W1421" s="8">
        <f>IF($D1421='[2]Beam '!W$44,$P1421*'[2]Beam '!W$45,0)</f>
        <v>0</v>
      </c>
      <c r="X1421" s="8">
        <f>SUM(Q1421:W1421)</f>
        <v>19.345557942857141</v>
      </c>
      <c r="Y1421" s="8"/>
      <c r="Z1421" s="8"/>
      <c r="AA1421" s="8"/>
      <c r="AB1421" s="8"/>
      <c r="AC1421" s="8"/>
      <c r="AD1421" s="8"/>
      <c r="AE1421" s="8"/>
    </row>
    <row r="1422" spans="1:32" s="10" customFormat="1" ht="20.100000000000001" customHeight="1" x14ac:dyDescent="0.25">
      <c r="A1422" s="7"/>
      <c r="B1422" s="8" t="s">
        <v>2</v>
      </c>
      <c r="C1422" s="13" t="s">
        <v>8</v>
      </c>
      <c r="D1422" s="8">
        <v>8</v>
      </c>
      <c r="E1422" s="8">
        <v>0.1</v>
      </c>
      <c r="F1422" s="8">
        <f>ROUNDUP(E1419/E1422,0)</f>
        <v>25</v>
      </c>
      <c r="H1422" s="8"/>
      <c r="I1422" s="8"/>
      <c r="J1422" s="8"/>
      <c r="K1422" s="8"/>
      <c r="L1422" s="8"/>
      <c r="M1422" s="8"/>
      <c r="N1422" s="8"/>
      <c r="O1422" s="8">
        <f>(2*((G1419-(2*'[2]Beam '!$D$11))+(F1419-(2*'[2]Beam '!$D$11)))+(2*10*D1422/1000))*D1419</f>
        <v>2.12</v>
      </c>
      <c r="P1422" s="8">
        <f>O1422*F1422</f>
        <v>53</v>
      </c>
      <c r="Q1422" s="8">
        <f>IF($D1422='[2]Beam '!Q$44,$P1422*'[2]Beam '!Q$45,0)</f>
        <v>20.92137142857143</v>
      </c>
      <c r="R1422" s="8">
        <f>IF($D1422='[2]Beam '!R$44,$P1422*'[2]Beam '!R$45,0)</f>
        <v>0</v>
      </c>
      <c r="S1422" s="8">
        <f>IF($D1422='[2]Beam '!S$44,$P1422*'[2]Beam '!S$45,0)</f>
        <v>0</v>
      </c>
      <c r="T1422" s="8">
        <f>IF($D1422='[2]Beam '!T$44,$P1422*'[2]Beam '!T$45,0)</f>
        <v>0</v>
      </c>
      <c r="U1422" s="8">
        <f>IF($D1422='[2]Beam '!U$44,$P1422*'[2]Beam '!U$45,0)</f>
        <v>0</v>
      </c>
      <c r="V1422" s="8">
        <f>IF($D1422='[2]Beam '!V$44,$P1422*'[2]Beam '!V$45,0)</f>
        <v>0</v>
      </c>
      <c r="W1422" s="8">
        <f>IF($D1422='[2]Beam '!W$44,$P1422*'[2]Beam '!W$45,0)</f>
        <v>0</v>
      </c>
      <c r="X1422" s="8">
        <f>SUM(Q1422:W1422)</f>
        <v>20.92137142857143</v>
      </c>
      <c r="Y1422" s="8"/>
      <c r="Z1422" s="8"/>
      <c r="AA1422" s="8"/>
      <c r="AB1422" s="8"/>
      <c r="AC1422" s="8"/>
      <c r="AD1422" s="8"/>
      <c r="AE1422" s="8"/>
    </row>
    <row r="1423" spans="1:32" s="10" customFormat="1" ht="20.100000000000001" customHeight="1" x14ac:dyDescent="0.25">
      <c r="A1423" s="8">
        <v>1</v>
      </c>
      <c r="B1423" s="8" t="s">
        <v>2</v>
      </c>
      <c r="C1423" s="11" t="s">
        <v>190</v>
      </c>
      <c r="D1423" s="11">
        <v>1</v>
      </c>
      <c r="E1423" s="11">
        <v>4.5</v>
      </c>
      <c r="F1423" s="11">
        <v>0.45</v>
      </c>
      <c r="G1423" s="11">
        <v>0.5</v>
      </c>
      <c r="H1423" s="8">
        <f>G1423-0.2</f>
        <v>0.3</v>
      </c>
      <c r="I1423" s="8">
        <f>E1423*F1423*G1423*D1423</f>
        <v>1.0125</v>
      </c>
      <c r="J1423" s="8">
        <f>(2*(E1423)*H1423*D1423)+(E1423*F1423)</f>
        <v>4.7249999999999996</v>
      </c>
      <c r="K1423" s="12">
        <f>IF(E1423=0.3,J1423,0)</f>
        <v>0</v>
      </c>
      <c r="L1423" s="12">
        <f>IF(AND(E1423&gt;0.3,E1423&lt;=0.75),J1423,0)</f>
        <v>0</v>
      </c>
      <c r="M1423" s="12">
        <f>IF(AND(E1423&gt;0.75,E1423&lt;=1.2),J1423,0)</f>
        <v>0</v>
      </c>
      <c r="N1423" s="12">
        <f>IF(E1423&gt;1.2,J1423,0)</f>
        <v>4.7249999999999996</v>
      </c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>
        <f>SUM(X1424:X1427)/I1423</f>
        <v>226.51173615520284</v>
      </c>
      <c r="Z1423" s="8"/>
      <c r="AA1423" s="8"/>
      <c r="AB1423" s="8"/>
      <c r="AC1423" s="8"/>
      <c r="AD1423" s="8"/>
      <c r="AE1423" s="8"/>
    </row>
    <row r="1424" spans="1:32" s="10" customFormat="1" ht="20.100000000000001" customHeight="1" x14ac:dyDescent="0.25">
      <c r="A1424" s="7"/>
      <c r="B1424" s="8" t="s">
        <v>2</v>
      </c>
      <c r="C1424" s="13" t="s">
        <v>4</v>
      </c>
      <c r="D1424" s="8">
        <v>20</v>
      </c>
      <c r="E1424" s="8"/>
      <c r="F1424" s="8">
        <v>4</v>
      </c>
      <c r="G1424" s="9">
        <f>VLOOKUP(D1424,'[2]Beam '!$C$20:$H$26,3,0)</f>
        <v>0.8</v>
      </c>
      <c r="H1424" s="9"/>
      <c r="I1424" s="8"/>
      <c r="J1424" s="8"/>
      <c r="K1424" s="8"/>
      <c r="L1424" s="8"/>
      <c r="M1424" s="8"/>
      <c r="N1424" s="8"/>
      <c r="O1424" s="8">
        <f>(E1423+2*(G1424+(12*D1424/1000))*D1423)</f>
        <v>6.58</v>
      </c>
      <c r="P1424" s="8">
        <f>O1424*F1424</f>
        <v>26.32</v>
      </c>
      <c r="Q1424" s="8">
        <f>IF($D1424='[2]Beam '!Q$44,$P1424*'[2]Beam '!Q$45,0)</f>
        <v>0</v>
      </c>
      <c r="R1424" s="8">
        <f>IF($D1424='[2]Beam '!R$44,$P1424*'[2]Beam '!R$45,0)</f>
        <v>0</v>
      </c>
      <c r="S1424" s="8">
        <f>IF($D1424='[2]Beam '!S$44,$P1424*'[2]Beam '!S$45,0)</f>
        <v>0</v>
      </c>
      <c r="T1424" s="8">
        <f>IF($D1424='[2]Beam '!T$44,$P1424*'[2]Beam '!T$45,0)</f>
        <v>0</v>
      </c>
      <c r="U1424" s="8">
        <f>IF($D1424='[2]Beam '!U$44,$P1424*'[2]Beam '!U$45,0)</f>
        <v>64.935199999999995</v>
      </c>
      <c r="V1424" s="8">
        <f>IF($D1424='[2]Beam '!V$44,$P1424*'[2]Beam '!V$45,0)</f>
        <v>0</v>
      </c>
      <c r="W1424" s="8">
        <f>IF($D1424='[2]Beam '!W$44,$P1424*'[2]Beam '!W$45,0)</f>
        <v>0</v>
      </c>
      <c r="X1424" s="8">
        <f>SUM(Q1424:W1424)</f>
        <v>64.935199999999995</v>
      </c>
      <c r="Y1424" s="8"/>
      <c r="Z1424" s="8"/>
      <c r="AA1424" s="8"/>
      <c r="AB1424" s="8"/>
      <c r="AC1424" s="8"/>
      <c r="AD1424" s="8"/>
      <c r="AE1424" s="8"/>
    </row>
    <row r="1425" spans="1:32" s="14" customFormat="1" ht="20.100000000000001" customHeight="1" x14ac:dyDescent="0.3">
      <c r="A1425" s="7"/>
      <c r="B1425" s="8" t="s">
        <v>2</v>
      </c>
      <c r="C1425" s="13" t="s">
        <v>139</v>
      </c>
      <c r="D1425" s="8">
        <v>25</v>
      </c>
      <c r="E1425" s="8"/>
      <c r="F1425" s="8">
        <v>4</v>
      </c>
      <c r="G1425" s="9">
        <f>VLOOKUP(D1425,'[2]Beam '!$C$20:$H$26,3,0)</f>
        <v>1</v>
      </c>
      <c r="H1425" s="9"/>
      <c r="I1425" s="8"/>
      <c r="J1425" s="8"/>
      <c r="K1425" s="8"/>
      <c r="L1425" s="8"/>
      <c r="M1425" s="8"/>
      <c r="N1425" s="8"/>
      <c r="O1425" s="8">
        <f>(E1423+2*(G1425+(12*D1425/1000))*D1423)</f>
        <v>7.1</v>
      </c>
      <c r="P1425" s="8">
        <f>O1425*F1425</f>
        <v>28.4</v>
      </c>
      <c r="Q1425" s="8">
        <f>IF($D1425='[2]Beam '!Q$44,$P1425*'[2]Beam '!Q$45,0)</f>
        <v>0</v>
      </c>
      <c r="R1425" s="8">
        <f>IF($D1425='[2]Beam '!R$44,$P1425*'[2]Beam '!R$45,0)</f>
        <v>0</v>
      </c>
      <c r="S1425" s="8">
        <f>IF($D1425='[2]Beam '!S$44,$P1425*'[2]Beam '!S$45,0)</f>
        <v>0</v>
      </c>
      <c r="T1425" s="8">
        <f>IF($D1425='[2]Beam '!T$44,$P1425*'[2]Beam '!T$45,0)</f>
        <v>0</v>
      </c>
      <c r="U1425" s="8">
        <f>IF($D1425='[2]Beam '!U$44,$P1425*'[2]Beam '!U$45,0)</f>
        <v>0</v>
      </c>
      <c r="V1425" s="8">
        <f>IF($D1425='[2]Beam '!V$44,$P1425*'[2]Beam '!V$45,0)</f>
        <v>109.4794642857143</v>
      </c>
      <c r="W1425" s="8">
        <f>IF($D1425='[2]Beam '!W$44,$P1425*'[2]Beam '!W$45,0)</f>
        <v>0</v>
      </c>
      <c r="X1425" s="8">
        <f>SUM(Q1425:W1425)</f>
        <v>109.4794642857143</v>
      </c>
      <c r="Y1425" s="8"/>
    </row>
    <row r="1426" spans="1:32" s="10" customFormat="1" ht="21" customHeight="1" x14ac:dyDescent="0.25">
      <c r="A1426" s="7"/>
      <c r="B1426" s="8" t="s">
        <v>2</v>
      </c>
      <c r="C1426" s="13" t="s">
        <v>75</v>
      </c>
      <c r="D1426" s="8">
        <v>20</v>
      </c>
      <c r="E1426" s="8"/>
      <c r="F1426" s="8">
        <v>4</v>
      </c>
      <c r="G1426" s="9">
        <f>VLOOKUP(D1426,'[2]Beam '!$C$20:$H$26,3,0)</f>
        <v>0.8</v>
      </c>
      <c r="H1426" s="9"/>
      <c r="I1426" s="8"/>
      <c r="J1426" s="8"/>
      <c r="K1426" s="8"/>
      <c r="L1426" s="8"/>
      <c r="M1426" s="8"/>
      <c r="N1426" s="8"/>
      <c r="O1426" s="8">
        <f>(1.25+1*(G1426+(12*D1426/1000))*D1423)</f>
        <v>2.29</v>
      </c>
      <c r="P1426" s="8">
        <f>O1426*F1426</f>
        <v>9.16</v>
      </c>
      <c r="Q1426" s="8">
        <f>IF($D1426='[2]Beam '!Q$44,$P1426*'[2]Beam '!Q$45,0)</f>
        <v>0</v>
      </c>
      <c r="R1426" s="8">
        <f>IF($D1426='[2]Beam '!R$44,$P1426*'[2]Beam '!R$45,0)</f>
        <v>0</v>
      </c>
      <c r="S1426" s="8">
        <f>IF($D1426='[2]Beam '!S$44,$P1426*'[2]Beam '!S$45,0)</f>
        <v>0</v>
      </c>
      <c r="T1426" s="8">
        <f>IF($D1426='[2]Beam '!T$44,$P1426*'[2]Beam '!T$45,0)</f>
        <v>0</v>
      </c>
      <c r="U1426" s="8">
        <f>IF($D1426='[2]Beam '!U$44,$P1426*'[2]Beam '!U$45,0)</f>
        <v>22.599028571428573</v>
      </c>
      <c r="V1426" s="8">
        <f>IF($D1426='[2]Beam '!V$44,$P1426*'[2]Beam '!V$45,0)</f>
        <v>0</v>
      </c>
      <c r="W1426" s="8">
        <f>IF($D1426='[2]Beam '!W$44,$P1426*'[2]Beam '!W$45,0)</f>
        <v>0</v>
      </c>
      <c r="X1426" s="8">
        <f>SUM(Q1426:W1426)</f>
        <v>22.599028571428573</v>
      </c>
      <c r="Y1426" s="8"/>
      <c r="Z1426" s="8"/>
      <c r="AA1426" s="8"/>
      <c r="AB1426" s="8"/>
      <c r="AC1426" s="8"/>
      <c r="AD1426" s="8"/>
      <c r="AE1426" s="8"/>
      <c r="AF1426" s="8"/>
    </row>
    <row r="1427" spans="1:32" s="10" customFormat="1" ht="20.100000000000001" customHeight="1" x14ac:dyDescent="0.25">
      <c r="A1427" s="7"/>
      <c r="B1427" s="8" t="s">
        <v>2</v>
      </c>
      <c r="C1427" s="13" t="s">
        <v>8</v>
      </c>
      <c r="D1427" s="8">
        <v>8</v>
      </c>
      <c r="E1427" s="8">
        <v>0.1</v>
      </c>
      <c r="F1427" s="8">
        <f>ROUNDUP(E1423/E1427,0)</f>
        <v>45</v>
      </c>
      <c r="H1427" s="8"/>
      <c r="I1427" s="8"/>
      <c r="J1427" s="8"/>
      <c r="K1427" s="8"/>
      <c r="L1427" s="8"/>
      <c r="M1427" s="8"/>
      <c r="N1427" s="8"/>
      <c r="O1427" s="8">
        <f>(2*((G1423-(2*'[2]Beam '!$D$11))+(F1423-(2*'[2]Beam '!$D$11)))+(2*10*D1427/1000))*D1423</f>
        <v>1.82</v>
      </c>
      <c r="P1427" s="8">
        <f>O1427*F1427</f>
        <v>81.900000000000006</v>
      </c>
      <c r="Q1427" s="8">
        <f>IF($D1427='[2]Beam '!Q$44,$P1427*'[2]Beam '!Q$45,0)</f>
        <v>32.329440000000005</v>
      </c>
      <c r="R1427" s="8">
        <f>IF($D1427='[2]Beam '!R$44,$P1427*'[2]Beam '!R$45,0)</f>
        <v>0</v>
      </c>
      <c r="S1427" s="8">
        <f>IF($D1427='[2]Beam '!S$44,$P1427*'[2]Beam '!S$45,0)</f>
        <v>0</v>
      </c>
      <c r="T1427" s="8">
        <f>IF($D1427='[2]Beam '!T$44,$P1427*'[2]Beam '!T$45,0)</f>
        <v>0</v>
      </c>
      <c r="U1427" s="8">
        <f>IF($D1427='[2]Beam '!U$44,$P1427*'[2]Beam '!U$45,0)</f>
        <v>0</v>
      </c>
      <c r="V1427" s="8">
        <f>IF($D1427='[2]Beam '!V$44,$P1427*'[2]Beam '!V$45,0)</f>
        <v>0</v>
      </c>
      <c r="W1427" s="8">
        <f>IF($D1427='[2]Beam '!W$44,$P1427*'[2]Beam '!W$45,0)</f>
        <v>0</v>
      </c>
      <c r="X1427" s="8">
        <f>SUM(Q1427:W1427)</f>
        <v>32.329440000000005</v>
      </c>
      <c r="Y1427" s="8"/>
      <c r="Z1427" s="8"/>
      <c r="AA1427" s="8"/>
      <c r="AB1427" s="8"/>
      <c r="AC1427" s="8"/>
      <c r="AD1427" s="8"/>
      <c r="AE1427" s="8"/>
    </row>
    <row r="1428" spans="1:32" s="10" customFormat="1" ht="20.100000000000001" customHeight="1" x14ac:dyDescent="0.25">
      <c r="A1428" s="14"/>
      <c r="B1428" s="8" t="s">
        <v>2</v>
      </c>
      <c r="C1428" s="13" t="s">
        <v>9</v>
      </c>
      <c r="D1428" s="8">
        <f>+D1427</f>
        <v>8</v>
      </c>
      <c r="E1428" s="14">
        <f>+E1427</f>
        <v>0.1</v>
      </c>
      <c r="F1428" s="8">
        <f>ROUNDUP(E1423/E1428,0)</f>
        <v>45</v>
      </c>
      <c r="H1428" s="14"/>
      <c r="I1428" s="14"/>
      <c r="J1428" s="14"/>
      <c r="K1428" s="14"/>
      <c r="L1428" s="14"/>
      <c r="M1428" s="14"/>
      <c r="N1428" s="14"/>
      <c r="O1428" s="8">
        <f>((((G1423-(2*'[2]Beam '!$D$11))+(2*10*D1428/1000))*D1423))*2</f>
        <v>1.2</v>
      </c>
      <c r="P1428" s="8">
        <f>O1428*F1428</f>
        <v>54</v>
      </c>
      <c r="Q1428" s="8">
        <f>IF($D1428='[2]Beam '!Q$44,$P1428*'[2]Beam '!Q$45,0)</f>
        <v>21.316114285714288</v>
      </c>
      <c r="R1428" s="8">
        <f>IF($D1428='[2]Beam '!R$44,$P1428*'[2]Beam '!R$45,0)</f>
        <v>0</v>
      </c>
      <c r="S1428" s="8">
        <f>IF($D1428='[2]Beam '!S$44,$P1428*'[2]Beam '!S$45,0)</f>
        <v>0</v>
      </c>
      <c r="T1428" s="8">
        <f>IF($D1428='[2]Beam '!T$44,$P1428*'[2]Beam '!T$45,0)</f>
        <v>0</v>
      </c>
      <c r="U1428" s="8">
        <f>IF($D1428='[2]Beam '!U$44,$P1428*'[2]Beam '!U$45,0)</f>
        <v>0</v>
      </c>
      <c r="V1428" s="8">
        <f>IF($D1428='[2]Beam '!V$44,$P1428*'[2]Beam '!V$45,0)</f>
        <v>0</v>
      </c>
      <c r="W1428" s="8">
        <f>IF($D1428='[2]Beam '!W$44,$P1428*'[2]Beam '!W$45,0)</f>
        <v>0</v>
      </c>
      <c r="X1428" s="8">
        <f>SUM(Q1428:W1428)</f>
        <v>21.316114285714288</v>
      </c>
      <c r="Y1428" s="14"/>
      <c r="Z1428" s="8"/>
      <c r="AA1428" s="8"/>
      <c r="AB1428" s="8"/>
      <c r="AC1428" s="8"/>
      <c r="AD1428" s="8"/>
      <c r="AE1428" s="8"/>
    </row>
    <row r="1429" spans="1:32" s="10" customFormat="1" ht="20.100000000000001" customHeight="1" x14ac:dyDescent="0.25">
      <c r="A1429" s="8">
        <v>1</v>
      </c>
      <c r="B1429" s="8" t="s">
        <v>2</v>
      </c>
      <c r="C1429" s="11" t="s">
        <v>191</v>
      </c>
      <c r="D1429" s="11">
        <v>1</v>
      </c>
      <c r="E1429" s="11">
        <v>3.3</v>
      </c>
      <c r="F1429" s="11">
        <v>0.57499999999999996</v>
      </c>
      <c r="G1429" s="11">
        <v>1.1000000000000001</v>
      </c>
      <c r="H1429" s="8">
        <f>G1429-0.2</f>
        <v>0.90000000000000013</v>
      </c>
      <c r="I1429" s="8">
        <f>E1429*F1429*G1429*D1429</f>
        <v>2.08725</v>
      </c>
      <c r="J1429" s="8">
        <f>(2*(E1429)*H1429*D1429)+(E1429*F1429)</f>
        <v>7.8375000000000004</v>
      </c>
      <c r="K1429" s="12">
        <f>IF(E1429=0.3,J1429,0)</f>
        <v>0</v>
      </c>
      <c r="L1429" s="12">
        <f>IF(AND(E1429&gt;0.3,E1429&lt;=0.75),J1429,0)</f>
        <v>0</v>
      </c>
      <c r="M1429" s="12">
        <f>IF(AND(E1429&gt;0.75,E1429&lt;=1.2),J1429,0)</f>
        <v>0</v>
      </c>
      <c r="N1429" s="12">
        <f>IF(E1429&gt;1.2,J1429,0)</f>
        <v>7.8375000000000004</v>
      </c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>
        <f>SUM(X1430:X1431)/I1429</f>
        <v>108.96621494447582</v>
      </c>
      <c r="Z1429" s="8"/>
      <c r="AA1429" s="8"/>
      <c r="AB1429" s="8"/>
      <c r="AC1429" s="8"/>
      <c r="AD1429" s="8"/>
      <c r="AE1429" s="8"/>
    </row>
    <row r="1430" spans="1:32" s="10" customFormat="1" ht="19.5" customHeight="1" x14ac:dyDescent="0.25">
      <c r="A1430" s="7"/>
      <c r="B1430" s="8" t="s">
        <v>2</v>
      </c>
      <c r="C1430" s="13" t="s">
        <v>4</v>
      </c>
      <c r="D1430" s="8">
        <v>25</v>
      </c>
      <c r="E1430" s="8"/>
      <c r="F1430" s="8">
        <v>5</v>
      </c>
      <c r="G1430" s="9">
        <f>VLOOKUP(D1430,'[2]Beam '!$C$20:$H$26,3,0)</f>
        <v>1</v>
      </c>
      <c r="H1430" s="9"/>
      <c r="I1430" s="8"/>
      <c r="J1430" s="8"/>
      <c r="K1430" s="8"/>
      <c r="L1430" s="8"/>
      <c r="M1430" s="8"/>
      <c r="N1430" s="8"/>
      <c r="O1430" s="8">
        <f>(E1429+2*(G1430+(12*D1430/1000))*D1429)</f>
        <v>5.9</v>
      </c>
      <c r="P1430" s="8">
        <f t="shared" ref="P1430:P1436" si="265">O1430*F1430</f>
        <v>29.5</v>
      </c>
      <c r="Q1430" s="8">
        <f>IF($D1430='[2]Beam '!Q$44,$P1430*'[2]Beam '!Q$45,0)</f>
        <v>0</v>
      </c>
      <c r="R1430" s="8">
        <f>IF($D1430='[2]Beam '!R$44,$P1430*'[2]Beam '!R$45,0)</f>
        <v>0</v>
      </c>
      <c r="S1430" s="8">
        <f>IF($D1430='[2]Beam '!S$44,$P1430*'[2]Beam '!S$45,0)</f>
        <v>0</v>
      </c>
      <c r="T1430" s="8">
        <f>IF($D1430='[2]Beam '!T$44,$P1430*'[2]Beam '!T$45,0)</f>
        <v>0</v>
      </c>
      <c r="U1430" s="8">
        <f>IF($D1430='[2]Beam '!U$44,$P1430*'[2]Beam '!U$45,0)</f>
        <v>0</v>
      </c>
      <c r="V1430" s="8">
        <f>IF($D1430='[2]Beam '!V$44,$P1430*'[2]Beam '!V$45,0)</f>
        <v>113.71986607142858</v>
      </c>
      <c r="W1430" s="8">
        <f>IF($D1430='[2]Beam '!W$44,$P1430*'[2]Beam '!W$45,0)</f>
        <v>0</v>
      </c>
      <c r="X1430" s="8">
        <f t="shared" ref="X1430:X1436" si="266">SUM(Q1430:W1430)</f>
        <v>113.71986607142858</v>
      </c>
      <c r="Y1430" s="8"/>
      <c r="Z1430" s="8"/>
      <c r="AA1430" s="8"/>
      <c r="AB1430" s="8"/>
      <c r="AC1430" s="8"/>
      <c r="AD1430" s="8"/>
      <c r="AE1430" s="8"/>
    </row>
    <row r="1431" spans="1:32" s="10" customFormat="1" ht="20.100000000000001" customHeight="1" x14ac:dyDescent="0.25">
      <c r="A1431" s="7"/>
      <c r="B1431" s="8" t="s">
        <v>2</v>
      </c>
      <c r="C1431" s="13" t="s">
        <v>139</v>
      </c>
      <c r="D1431" s="8">
        <v>25</v>
      </c>
      <c r="E1431" s="8"/>
      <c r="F1431" s="8">
        <v>5</v>
      </c>
      <c r="G1431" s="9">
        <f>VLOOKUP(D1431,'[2]Beam '!$C$20:$H$26,3,0)</f>
        <v>1</v>
      </c>
      <c r="H1431" s="9"/>
      <c r="I1431" s="8"/>
      <c r="J1431" s="8"/>
      <c r="K1431" s="8"/>
      <c r="L1431" s="8"/>
      <c r="M1431" s="8"/>
      <c r="N1431" s="8"/>
      <c r="O1431" s="8">
        <f>(E1429+2*(G1431+(12*D1431/1000))*D1429)</f>
        <v>5.9</v>
      </c>
      <c r="P1431" s="8">
        <f t="shared" si="265"/>
        <v>29.5</v>
      </c>
      <c r="Q1431" s="8">
        <f>IF($D1431='[2]Beam '!Q$44,$P1431*'[2]Beam '!Q$45,0)</f>
        <v>0</v>
      </c>
      <c r="R1431" s="8">
        <f>IF($D1431='[2]Beam '!R$44,$P1431*'[2]Beam '!R$45,0)</f>
        <v>0</v>
      </c>
      <c r="S1431" s="8">
        <f>IF($D1431='[2]Beam '!S$44,$P1431*'[2]Beam '!S$45,0)</f>
        <v>0</v>
      </c>
      <c r="T1431" s="8">
        <f>IF($D1431='[2]Beam '!T$44,$P1431*'[2]Beam '!T$45,0)</f>
        <v>0</v>
      </c>
      <c r="U1431" s="8">
        <f>IF($D1431='[2]Beam '!U$44,$P1431*'[2]Beam '!U$45,0)</f>
        <v>0</v>
      </c>
      <c r="V1431" s="8">
        <f>IF($D1431='[2]Beam '!V$44,$P1431*'[2]Beam '!V$45,0)</f>
        <v>113.71986607142858</v>
      </c>
      <c r="W1431" s="8">
        <f>IF($D1431='[2]Beam '!W$44,$P1431*'[2]Beam '!W$45,0)</f>
        <v>0</v>
      </c>
      <c r="X1431" s="8">
        <f t="shared" si="266"/>
        <v>113.71986607142858</v>
      </c>
      <c r="Y1431" s="8"/>
      <c r="Z1431" s="8"/>
      <c r="AA1431" s="8"/>
      <c r="AB1431" s="8"/>
      <c r="AC1431" s="8"/>
      <c r="AD1431" s="8"/>
      <c r="AE1431" s="8"/>
    </row>
    <row r="1432" spans="1:32" s="14" customFormat="1" ht="20.100000000000001" customHeight="1" x14ac:dyDescent="0.3">
      <c r="A1432" s="7"/>
      <c r="B1432" s="8" t="s">
        <v>2</v>
      </c>
      <c r="C1432" s="13" t="s">
        <v>75</v>
      </c>
      <c r="D1432" s="8">
        <v>20</v>
      </c>
      <c r="E1432" s="8"/>
      <c r="F1432" s="8">
        <v>3</v>
      </c>
      <c r="G1432" s="9">
        <f>VLOOKUP(D1432,'[2]Beam '!$C$20:$H$26,3,0)</f>
        <v>0.8</v>
      </c>
      <c r="H1432" s="9"/>
      <c r="I1432" s="8"/>
      <c r="J1432" s="8"/>
      <c r="K1432" s="8"/>
      <c r="L1432" s="8"/>
      <c r="M1432" s="8"/>
      <c r="N1432" s="8"/>
      <c r="O1432" s="8">
        <f>(E1429-1+1*(G1432+(12*D1432/1000))*D1429)</f>
        <v>3.34</v>
      </c>
      <c r="P1432" s="8">
        <f t="shared" si="265"/>
        <v>10.02</v>
      </c>
      <c r="Q1432" s="8">
        <f>IF($D1432='[2]Beam '!Q$44,$P1432*'[2]Beam '!Q$45,0)</f>
        <v>0</v>
      </c>
      <c r="R1432" s="8">
        <f>IF($D1432='[2]Beam '!R$44,$P1432*'[2]Beam '!R$45,0)</f>
        <v>0</v>
      </c>
      <c r="S1432" s="8">
        <f>IF($D1432='[2]Beam '!S$44,$P1432*'[2]Beam '!S$45,0)</f>
        <v>0</v>
      </c>
      <c r="T1432" s="8">
        <f>IF($D1432='[2]Beam '!T$44,$P1432*'[2]Beam '!T$45,0)</f>
        <v>0</v>
      </c>
      <c r="U1432" s="8">
        <f>IF($D1432='[2]Beam '!U$44,$P1432*'[2]Beam '!U$45,0)</f>
        <v>24.720771428571428</v>
      </c>
      <c r="V1432" s="8">
        <f>IF($D1432='[2]Beam '!V$44,$P1432*'[2]Beam '!V$45,0)</f>
        <v>0</v>
      </c>
      <c r="W1432" s="8">
        <f>IF($D1432='[2]Beam '!W$44,$P1432*'[2]Beam '!W$45,0)</f>
        <v>0</v>
      </c>
      <c r="X1432" s="8">
        <f t="shared" si="266"/>
        <v>24.720771428571428</v>
      </c>
      <c r="Y1432" s="8"/>
    </row>
    <row r="1433" spans="1:32" s="10" customFormat="1" ht="20.100000000000001" customHeight="1" x14ac:dyDescent="0.25">
      <c r="A1433" s="7"/>
      <c r="B1433" s="8" t="s">
        <v>2</v>
      </c>
      <c r="C1433" s="13" t="s">
        <v>88</v>
      </c>
      <c r="D1433" s="8">
        <v>16</v>
      </c>
      <c r="E1433" s="8"/>
      <c r="F1433" s="8">
        <v>5</v>
      </c>
      <c r="G1433" s="9">
        <f>VLOOKUP(D1433,'[2]Beam '!$C$20:$H$26,3,0)</f>
        <v>0.625</v>
      </c>
      <c r="H1433" s="9"/>
      <c r="I1433" s="8"/>
      <c r="J1433" s="8"/>
      <c r="K1433" s="8"/>
      <c r="L1433" s="8"/>
      <c r="M1433" s="8"/>
      <c r="N1433" s="8"/>
      <c r="O1433" s="8">
        <f>(E1429-0.55+1*(G1433+(12*D1433/1000))*D1429)</f>
        <v>3.5670000000000002</v>
      </c>
      <c r="P1433" s="8">
        <f t="shared" si="265"/>
        <v>17.835000000000001</v>
      </c>
      <c r="Q1433" s="8">
        <f>IF($D1433='[2]Beam '!Q$44,$P1433*'[2]Beam '!Q$45,0)</f>
        <v>0</v>
      </c>
      <c r="R1433" s="8">
        <f>IF($D1433='[2]Beam '!R$44,$P1433*'[2]Beam '!R$45,0)</f>
        <v>0</v>
      </c>
      <c r="S1433" s="8">
        <f>IF($D1433='[2]Beam '!S$44,$P1433*'[2]Beam '!S$45,0)</f>
        <v>0</v>
      </c>
      <c r="T1433" s="8">
        <f>IF($D1433='[2]Beam '!T$44,$P1433*'[2]Beam '!T$45,0)</f>
        <v>28.16095542857143</v>
      </c>
      <c r="U1433" s="8">
        <f>IF($D1433='[2]Beam '!U$44,$P1433*'[2]Beam '!U$45,0)</f>
        <v>0</v>
      </c>
      <c r="V1433" s="8">
        <f>IF($D1433='[2]Beam '!V$44,$P1433*'[2]Beam '!V$45,0)</f>
        <v>0</v>
      </c>
      <c r="W1433" s="8">
        <f>IF($D1433='[2]Beam '!W$44,$P1433*'[2]Beam '!W$45,0)</f>
        <v>0</v>
      </c>
      <c r="X1433" s="8">
        <f t="shared" si="266"/>
        <v>28.16095542857143</v>
      </c>
      <c r="Y1433" s="8"/>
      <c r="Z1433" s="8"/>
      <c r="AA1433" s="8"/>
      <c r="AB1433" s="8"/>
      <c r="AC1433" s="8"/>
      <c r="AD1433" s="8"/>
      <c r="AE1433" s="8"/>
    </row>
    <row r="1434" spans="1:32" s="10" customFormat="1" ht="21" customHeight="1" x14ac:dyDescent="0.25">
      <c r="A1434" s="7"/>
      <c r="B1434" s="8" t="s">
        <v>2</v>
      </c>
      <c r="C1434" s="13" t="s">
        <v>8</v>
      </c>
      <c r="D1434" s="8">
        <v>10</v>
      </c>
      <c r="E1434" s="8">
        <v>0.1</v>
      </c>
      <c r="F1434" s="8">
        <f>ROUNDUP(E1429/E1434,0)</f>
        <v>33</v>
      </c>
      <c r="H1434" s="8"/>
      <c r="I1434" s="8"/>
      <c r="J1434" s="8"/>
      <c r="K1434" s="8"/>
      <c r="L1434" s="8"/>
      <c r="M1434" s="8"/>
      <c r="N1434" s="8"/>
      <c r="O1434" s="8">
        <f>(2*((G1429-(2*'[2]Beam '!$D$11))+(F1429-(2*'[2]Beam '!$D$11)))+(2*10*D1434/1000))*D1429</f>
        <v>3.31</v>
      </c>
      <c r="P1434" s="8">
        <f t="shared" si="265"/>
        <v>109.23</v>
      </c>
      <c r="Q1434" s="8">
        <f>IF($D1434='[2]Beam '!Q$44,$P1434*'[2]Beam '!Q$45,0)</f>
        <v>0</v>
      </c>
      <c r="R1434" s="8">
        <f>IF($D1434='[2]Beam '!R$44,$P1434*'[2]Beam '!R$45,0)</f>
        <v>67.371503571428576</v>
      </c>
      <c r="S1434" s="8">
        <f>IF($D1434='[2]Beam '!S$44,$P1434*'[2]Beam '!S$45,0)</f>
        <v>0</v>
      </c>
      <c r="T1434" s="8">
        <f>IF($D1434='[2]Beam '!T$44,$P1434*'[2]Beam '!T$45,0)</f>
        <v>0</v>
      </c>
      <c r="U1434" s="8">
        <f>IF($D1434='[2]Beam '!U$44,$P1434*'[2]Beam '!U$45,0)</f>
        <v>0</v>
      </c>
      <c r="V1434" s="8">
        <f>IF($D1434='[2]Beam '!V$44,$P1434*'[2]Beam '!V$45,0)</f>
        <v>0</v>
      </c>
      <c r="W1434" s="8">
        <f>IF($D1434='[2]Beam '!W$44,$P1434*'[2]Beam '!W$45,0)</f>
        <v>0</v>
      </c>
      <c r="X1434" s="8">
        <f t="shared" si="266"/>
        <v>67.371503571428576</v>
      </c>
      <c r="Y1434" s="8"/>
      <c r="Z1434" s="8"/>
      <c r="AA1434" s="8"/>
      <c r="AB1434" s="8"/>
      <c r="AC1434" s="8"/>
      <c r="AD1434" s="8"/>
      <c r="AE1434" s="8"/>
      <c r="AF1434" s="8"/>
    </row>
    <row r="1435" spans="1:32" s="10" customFormat="1" ht="20.100000000000001" customHeight="1" x14ac:dyDescent="0.25">
      <c r="A1435" s="14"/>
      <c r="B1435" s="8" t="s">
        <v>2</v>
      </c>
      <c r="C1435" s="13" t="s">
        <v>9</v>
      </c>
      <c r="D1435" s="8">
        <f>+D1434</f>
        <v>10</v>
      </c>
      <c r="E1435" s="14">
        <f>+E1434</f>
        <v>0.1</v>
      </c>
      <c r="F1435" s="8">
        <f>ROUNDUP(E1429/E1435,0)</f>
        <v>33</v>
      </c>
      <c r="H1435" s="14"/>
      <c r="I1435" s="14"/>
      <c r="J1435" s="14"/>
      <c r="K1435" s="14"/>
      <c r="L1435" s="14"/>
      <c r="M1435" s="14"/>
      <c r="N1435" s="14"/>
      <c r="O1435" s="8">
        <f>((((G1429-(2*'[2]Beam '!$D$11))+(2*10*D1435/1000))*D1429))*2</f>
        <v>2.48</v>
      </c>
      <c r="P1435" s="8">
        <f t="shared" si="265"/>
        <v>81.84</v>
      </c>
      <c r="Q1435" s="8">
        <f>IF($D1435='[2]Beam '!Q$44,$P1435*'[2]Beam '!Q$45,0)</f>
        <v>0</v>
      </c>
      <c r="R1435" s="8">
        <f>IF($D1435='[2]Beam '!R$44,$P1435*'[2]Beam '!R$45,0)</f>
        <v>50.477742857142857</v>
      </c>
      <c r="S1435" s="8">
        <f>IF($D1435='[2]Beam '!S$44,$P1435*'[2]Beam '!S$45,0)</f>
        <v>0</v>
      </c>
      <c r="T1435" s="8">
        <f>IF($D1435='[2]Beam '!T$44,$P1435*'[2]Beam '!T$45,0)</f>
        <v>0</v>
      </c>
      <c r="U1435" s="8">
        <f>IF($D1435='[2]Beam '!U$44,$P1435*'[2]Beam '!U$45,0)</f>
        <v>0</v>
      </c>
      <c r="V1435" s="8">
        <f>IF($D1435='[2]Beam '!V$44,$P1435*'[2]Beam '!V$45,0)</f>
        <v>0</v>
      </c>
      <c r="W1435" s="8">
        <f>IF($D1435='[2]Beam '!W$44,$P1435*'[2]Beam '!W$45,0)</f>
        <v>0</v>
      </c>
      <c r="X1435" s="8">
        <f t="shared" si="266"/>
        <v>50.477742857142857</v>
      </c>
      <c r="Y1435" s="14"/>
      <c r="Z1435" s="8"/>
      <c r="AA1435" s="8"/>
      <c r="AB1435" s="8"/>
      <c r="AC1435" s="8"/>
      <c r="AD1435" s="8"/>
      <c r="AE1435" s="8"/>
    </row>
    <row r="1436" spans="1:32" s="10" customFormat="1" ht="20.100000000000001" customHeight="1" x14ac:dyDescent="0.25">
      <c r="A1436" s="7"/>
      <c r="B1436" s="8" t="s">
        <v>2</v>
      </c>
      <c r="C1436" s="13" t="s">
        <v>10</v>
      </c>
      <c r="D1436" s="8">
        <f>+'[2]Beam '!$D$15</f>
        <v>25</v>
      </c>
      <c r="E1436" s="8">
        <f>+'[2]Beam '!$E$15</f>
        <v>1</v>
      </c>
      <c r="F1436" s="8">
        <f>ROUNDUP((E1429)/E1436,0)</f>
        <v>4</v>
      </c>
      <c r="G1436" s="9"/>
      <c r="H1436" s="9"/>
      <c r="I1436" s="8"/>
      <c r="J1436" s="8"/>
      <c r="K1436" s="8"/>
      <c r="L1436" s="8"/>
      <c r="M1436" s="8"/>
      <c r="N1436" s="8"/>
      <c r="O1436" s="8">
        <f>F1429-'[2]Beam '!$F$15</f>
        <v>0.5149999999999999</v>
      </c>
      <c r="P1436" s="8">
        <f t="shared" si="265"/>
        <v>2.0599999999999996</v>
      </c>
      <c r="Q1436" s="8">
        <f>IF($D1436='[2]Beam '!Q$44,$P1436*'[2]Beam '!Q$45,0)</f>
        <v>0</v>
      </c>
      <c r="R1436" s="8">
        <f>IF($D1436='[2]Beam '!R$44,$P1436*'[2]Beam '!R$45,0)</f>
        <v>0</v>
      </c>
      <c r="S1436" s="8">
        <f>IF($D1436='[2]Beam '!S$44,$P1436*'[2]Beam '!S$45,0)</f>
        <v>0</v>
      </c>
      <c r="T1436" s="8">
        <f>IF($D1436='[2]Beam '!T$44,$P1436*'[2]Beam '!T$45,0)</f>
        <v>0</v>
      </c>
      <c r="U1436" s="8">
        <f>IF($D1436='[2]Beam '!U$44,$P1436*'[2]Beam '!U$45,0)</f>
        <v>0</v>
      </c>
      <c r="V1436" s="8">
        <f>IF($D1436='[2]Beam '!V$44,$P1436*'[2]Beam '!V$45,0)</f>
        <v>7.9411160714285707</v>
      </c>
      <c r="W1436" s="8">
        <f>IF($D1436='[2]Beam '!W$44,$P1436*'[2]Beam '!W$45,0)</f>
        <v>0</v>
      </c>
      <c r="X1436" s="8">
        <f t="shared" si="266"/>
        <v>7.9411160714285707</v>
      </c>
      <c r="Y1436" s="8"/>
      <c r="Z1436" s="8"/>
      <c r="AA1436" s="8"/>
      <c r="AB1436" s="8"/>
      <c r="AC1436" s="8"/>
      <c r="AD1436" s="8"/>
      <c r="AE1436" s="8"/>
    </row>
    <row r="1437" spans="1:32" s="10" customFormat="1" ht="20.100000000000001" customHeight="1" x14ac:dyDescent="0.25">
      <c r="A1437" s="8">
        <v>1</v>
      </c>
      <c r="B1437" s="8" t="s">
        <v>2</v>
      </c>
      <c r="C1437" s="11" t="s">
        <v>192</v>
      </c>
      <c r="D1437" s="11">
        <v>1</v>
      </c>
      <c r="E1437" s="11">
        <v>5.7930000000000001</v>
      </c>
      <c r="F1437" s="11">
        <v>0.5</v>
      </c>
      <c r="G1437" s="11">
        <v>0.6</v>
      </c>
      <c r="H1437" s="8">
        <f>G1437-0.2</f>
        <v>0.39999999999999997</v>
      </c>
      <c r="I1437" s="8">
        <f>E1437*F1437*G1437*D1437</f>
        <v>1.7379</v>
      </c>
      <c r="J1437" s="8">
        <f>(2*(E1437)*H1437*D1437)+(E1437*F1437)</f>
        <v>7.530899999999999</v>
      </c>
      <c r="K1437" s="12">
        <f>IF(E1437=0.3,J1437,0)</f>
        <v>0</v>
      </c>
      <c r="L1437" s="12">
        <f>IF(AND(E1437&gt;0.3,E1437&lt;=0.75),J1437,0)</f>
        <v>0</v>
      </c>
      <c r="M1437" s="12">
        <f>IF(AND(E1437&gt;0.75,E1437&lt;=1.2),J1437,0)</f>
        <v>0</v>
      </c>
      <c r="N1437" s="12">
        <f>IF(E1437&gt;1.2,J1437,0)</f>
        <v>7.530899999999999</v>
      </c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>
        <f>SUM(X1438:X1439)/I1437</f>
        <v>179.51431273786923</v>
      </c>
      <c r="Z1437" s="8"/>
      <c r="AA1437" s="8"/>
      <c r="AB1437" s="8"/>
      <c r="AC1437" s="8"/>
      <c r="AD1437" s="8"/>
      <c r="AE1437" s="8"/>
    </row>
    <row r="1438" spans="1:32" s="10" customFormat="1" ht="20.100000000000001" customHeight="1" x14ac:dyDescent="0.25">
      <c r="A1438" s="7"/>
      <c r="B1438" s="8" t="s">
        <v>2</v>
      </c>
      <c r="C1438" s="13" t="s">
        <v>4</v>
      </c>
      <c r="D1438" s="8">
        <v>25</v>
      </c>
      <c r="E1438" s="8"/>
      <c r="F1438" s="8">
        <v>5</v>
      </c>
      <c r="G1438" s="9">
        <f>VLOOKUP(D1438,'[2]Beam '!$C$20:$H$26,3,0)</f>
        <v>1</v>
      </c>
      <c r="H1438" s="9"/>
      <c r="I1438" s="8"/>
      <c r="J1438" s="8"/>
      <c r="K1438" s="8"/>
      <c r="L1438" s="8"/>
      <c r="M1438" s="8"/>
      <c r="N1438" s="8"/>
      <c r="O1438" s="8">
        <f>(E1437+1*(G1438+(12*D1438/1000))+1*(G1438)*D1437)</f>
        <v>8.093</v>
      </c>
      <c r="P1438" s="8">
        <f t="shared" ref="P1438:P1445" si="267">O1438*F1438</f>
        <v>40.465000000000003</v>
      </c>
      <c r="Q1438" s="8">
        <f>IF($D1438='[2]Beam '!Q$44,$P1438*'[2]Beam '!Q$45,0)</f>
        <v>0</v>
      </c>
      <c r="R1438" s="8">
        <f>IF($D1438='[2]Beam '!R$44,$P1438*'[2]Beam '!R$45,0)</f>
        <v>0</v>
      </c>
      <c r="S1438" s="8">
        <f>IF($D1438='[2]Beam '!S$44,$P1438*'[2]Beam '!S$45,0)</f>
        <v>0</v>
      </c>
      <c r="T1438" s="8">
        <f>IF($D1438='[2]Beam '!T$44,$P1438*'[2]Beam '!T$45,0)</f>
        <v>0</v>
      </c>
      <c r="U1438" s="8">
        <f>IF($D1438='[2]Beam '!U$44,$P1438*'[2]Beam '!U$45,0)</f>
        <v>0</v>
      </c>
      <c r="V1438" s="8">
        <f>IF($D1438='[2]Beam '!V$44,$P1438*'[2]Beam '!V$45,0)</f>
        <v>155.98896205357147</v>
      </c>
      <c r="W1438" s="8">
        <f>IF($D1438='[2]Beam '!W$44,$P1438*'[2]Beam '!W$45,0)</f>
        <v>0</v>
      </c>
      <c r="X1438" s="8">
        <f t="shared" ref="X1438:X1445" si="268">SUM(Q1438:W1438)</f>
        <v>155.98896205357147</v>
      </c>
      <c r="Y1438" s="8"/>
      <c r="Z1438" s="8"/>
      <c r="AA1438" s="8"/>
      <c r="AB1438" s="8"/>
      <c r="AC1438" s="8"/>
      <c r="AD1438" s="8"/>
      <c r="AE1438" s="8"/>
    </row>
    <row r="1439" spans="1:32" s="14" customFormat="1" ht="20.100000000000001" customHeight="1" x14ac:dyDescent="0.3">
      <c r="A1439" s="7"/>
      <c r="B1439" s="8" t="s">
        <v>2</v>
      </c>
      <c r="C1439" s="13" t="s">
        <v>139</v>
      </c>
      <c r="D1439" s="8">
        <v>25</v>
      </c>
      <c r="E1439" s="8"/>
      <c r="F1439" s="8">
        <v>5</v>
      </c>
      <c r="G1439" s="9">
        <f>VLOOKUP(D1439,'[2]Beam '!$C$20:$H$26,3,0)</f>
        <v>1</v>
      </c>
      <c r="H1439" s="9"/>
      <c r="I1439" s="8"/>
      <c r="J1439" s="8"/>
      <c r="K1439" s="8"/>
      <c r="L1439" s="8"/>
      <c r="M1439" s="8"/>
      <c r="N1439" s="8"/>
      <c r="O1439" s="8">
        <f>(E1437+1*(G1439+(12*D1439/1000))+1*(G1439)*D1437)</f>
        <v>8.093</v>
      </c>
      <c r="P1439" s="8">
        <f t="shared" si="267"/>
        <v>40.465000000000003</v>
      </c>
      <c r="Q1439" s="8">
        <f>IF($D1439='[2]Beam '!Q$44,$P1439*'[2]Beam '!Q$45,0)</f>
        <v>0</v>
      </c>
      <c r="R1439" s="8">
        <f>IF($D1439='[2]Beam '!R$44,$P1439*'[2]Beam '!R$45,0)</f>
        <v>0</v>
      </c>
      <c r="S1439" s="8">
        <f>IF($D1439='[2]Beam '!S$44,$P1439*'[2]Beam '!S$45,0)</f>
        <v>0</v>
      </c>
      <c r="T1439" s="8">
        <f>IF($D1439='[2]Beam '!T$44,$P1439*'[2]Beam '!T$45,0)</f>
        <v>0</v>
      </c>
      <c r="U1439" s="8">
        <f>IF($D1439='[2]Beam '!U$44,$P1439*'[2]Beam '!U$45,0)</f>
        <v>0</v>
      </c>
      <c r="V1439" s="8">
        <f>IF($D1439='[2]Beam '!V$44,$P1439*'[2]Beam '!V$45,0)</f>
        <v>155.98896205357147</v>
      </c>
      <c r="W1439" s="8">
        <f>IF($D1439='[2]Beam '!W$44,$P1439*'[2]Beam '!W$45,0)</f>
        <v>0</v>
      </c>
      <c r="X1439" s="8">
        <f t="shared" si="268"/>
        <v>155.98896205357147</v>
      </c>
      <c r="Y1439" s="8"/>
    </row>
    <row r="1440" spans="1:32" s="14" customFormat="1" ht="20.100000000000001" customHeight="1" x14ac:dyDescent="0.3">
      <c r="A1440" s="7"/>
      <c r="B1440" s="8" t="s">
        <v>2</v>
      </c>
      <c r="C1440" s="13" t="s">
        <v>88</v>
      </c>
      <c r="D1440" s="8">
        <v>25</v>
      </c>
      <c r="E1440" s="8"/>
      <c r="F1440" s="8">
        <v>5</v>
      </c>
      <c r="G1440" s="9">
        <f>VLOOKUP(D1440,'[2]Beam '!$C$20:$H$26,3,0)</f>
        <v>1</v>
      </c>
      <c r="H1440" s="9"/>
      <c r="I1440" s="8"/>
      <c r="J1440" s="8"/>
      <c r="K1440" s="8"/>
      <c r="L1440" s="8"/>
      <c r="M1440" s="8"/>
      <c r="N1440" s="8"/>
      <c r="O1440" s="8">
        <f>(E1437+1*(G1440+(12*D1440/1000))+1*(G1440)*D1437)</f>
        <v>8.093</v>
      </c>
      <c r="P1440" s="8">
        <f t="shared" si="267"/>
        <v>40.465000000000003</v>
      </c>
      <c r="Q1440" s="8">
        <f>IF($D1440='[2]Beam '!Q$44,$P1440*'[2]Beam '!Q$45,0)</f>
        <v>0</v>
      </c>
      <c r="R1440" s="8">
        <f>IF($D1440='[2]Beam '!R$44,$P1440*'[2]Beam '!R$45,0)</f>
        <v>0</v>
      </c>
      <c r="S1440" s="8">
        <f>IF($D1440='[2]Beam '!S$44,$P1440*'[2]Beam '!S$45,0)</f>
        <v>0</v>
      </c>
      <c r="T1440" s="8">
        <f>IF($D1440='[2]Beam '!T$44,$P1440*'[2]Beam '!T$45,0)</f>
        <v>0</v>
      </c>
      <c r="U1440" s="8">
        <f>IF($D1440='[2]Beam '!U$44,$P1440*'[2]Beam '!U$45,0)</f>
        <v>0</v>
      </c>
      <c r="V1440" s="8">
        <f>IF($D1440='[2]Beam '!V$44,$P1440*'[2]Beam '!V$45,0)</f>
        <v>155.98896205357147</v>
      </c>
      <c r="W1440" s="8">
        <f>IF($D1440='[2]Beam '!W$44,$P1440*'[2]Beam '!W$45,0)</f>
        <v>0</v>
      </c>
      <c r="X1440" s="8">
        <f t="shared" si="268"/>
        <v>155.98896205357147</v>
      </c>
      <c r="Y1440" s="8"/>
    </row>
    <row r="1441" spans="1:32" s="14" customFormat="1" ht="20.100000000000001" customHeight="1" x14ac:dyDescent="0.25">
      <c r="A1441" s="7"/>
      <c r="B1441" s="8" t="s">
        <v>2</v>
      </c>
      <c r="C1441" s="13" t="s">
        <v>13</v>
      </c>
      <c r="D1441" s="8">
        <v>10</v>
      </c>
      <c r="E1441" s="8">
        <v>0.1</v>
      </c>
      <c r="F1441" s="8">
        <f>ROUNDUP((E1436/3*2)/E1441,0)+1</f>
        <v>8</v>
      </c>
      <c r="G1441" s="10"/>
      <c r="H1441" s="8"/>
      <c r="I1441" s="8"/>
      <c r="J1441" s="8"/>
      <c r="K1441" s="8"/>
      <c r="L1441" s="8"/>
      <c r="M1441" s="8"/>
      <c r="N1441" s="8"/>
      <c r="O1441" s="8">
        <f>(2*((G1437-(2*'[2]Beam '!$D$11))+(F1437-(2*'[2]Beam '!$D$11)))+(2*10*D1441/1000))*D1437</f>
        <v>2.16</v>
      </c>
      <c r="P1441" s="8">
        <f t="shared" si="267"/>
        <v>17.28</v>
      </c>
      <c r="Q1441" s="8">
        <f>IF($D1441='[2]Beam '!Q$44,$P1441*'[2]Beam '!Q$45,0)</f>
        <v>0</v>
      </c>
      <c r="R1441" s="8">
        <f>IF($D1441='[2]Beam '!R$44,$P1441*'[2]Beam '!R$45,0)</f>
        <v>10.658057142857142</v>
      </c>
      <c r="S1441" s="8">
        <f>IF($D1441='[2]Beam '!S$44,$P1441*'[2]Beam '!S$45,0)</f>
        <v>0</v>
      </c>
      <c r="T1441" s="8">
        <f>IF($D1441='[2]Beam '!T$44,$P1441*'[2]Beam '!T$45,0)</f>
        <v>0</v>
      </c>
      <c r="U1441" s="8">
        <f>IF($D1441='[2]Beam '!U$44,$P1441*'[2]Beam '!U$45,0)</f>
        <v>0</v>
      </c>
      <c r="V1441" s="8">
        <f>IF($D1441='[2]Beam '!V$44,$P1441*'[2]Beam '!V$45,0)</f>
        <v>0</v>
      </c>
      <c r="W1441" s="8">
        <f>IF($D1441='[2]Beam '!W$44,$P1441*'[2]Beam '!W$45,0)</f>
        <v>0</v>
      </c>
      <c r="X1441" s="8">
        <f t="shared" si="268"/>
        <v>10.658057142857142</v>
      </c>
      <c r="Y1441" s="8"/>
    </row>
    <row r="1442" spans="1:32" s="10" customFormat="1" ht="20.100000000000001" customHeight="1" x14ac:dyDescent="0.25">
      <c r="A1442" s="14"/>
      <c r="B1442" s="8" t="s">
        <v>2</v>
      </c>
      <c r="C1442" s="13" t="s">
        <v>14</v>
      </c>
      <c r="D1442" s="14">
        <f>D1441</f>
        <v>10</v>
      </c>
      <c r="E1442" s="14">
        <v>0.17499999999999999</v>
      </c>
      <c r="F1442" s="8">
        <f>ROUNDUP((E1437/3)/E1442,0)+1</f>
        <v>13</v>
      </c>
      <c r="H1442" s="14"/>
      <c r="I1442" s="14"/>
      <c r="J1442" s="14"/>
      <c r="K1442" s="14"/>
      <c r="L1442" s="14"/>
      <c r="M1442" s="14"/>
      <c r="N1442" s="14"/>
      <c r="O1442" s="8">
        <f>(2*((G1437-(2*'[2]Beam '!$D$11))+(F1437-(2*'[2]Beam '!$D$11)))+(2*10*D1442/1000))*D1437</f>
        <v>2.16</v>
      </c>
      <c r="P1442" s="8">
        <f t="shared" si="267"/>
        <v>28.080000000000002</v>
      </c>
      <c r="Q1442" s="8">
        <f>IF($D1442='[2]Beam '!Q$44,$P1442*'[2]Beam '!Q$45,0)</f>
        <v>0</v>
      </c>
      <c r="R1442" s="8">
        <f>IF($D1442='[2]Beam '!R$44,$P1442*'[2]Beam '!R$45,0)</f>
        <v>17.319342857142857</v>
      </c>
      <c r="S1442" s="8">
        <f>IF($D1442='[2]Beam '!S$44,$P1442*'[2]Beam '!S$45,0)</f>
        <v>0</v>
      </c>
      <c r="T1442" s="8">
        <f>IF($D1442='[2]Beam '!T$44,$P1442*'[2]Beam '!T$45,0)</f>
        <v>0</v>
      </c>
      <c r="U1442" s="8">
        <f>IF($D1442='[2]Beam '!U$44,$P1442*'[2]Beam '!U$45,0)</f>
        <v>0</v>
      </c>
      <c r="V1442" s="8">
        <f>IF($D1442='[2]Beam '!V$44,$P1442*'[2]Beam '!V$45,0)</f>
        <v>0</v>
      </c>
      <c r="W1442" s="8">
        <f>IF($D1442='[2]Beam '!W$44,$P1442*'[2]Beam '!W$45,0)</f>
        <v>0</v>
      </c>
      <c r="X1442" s="8">
        <f t="shared" si="268"/>
        <v>17.319342857142857</v>
      </c>
      <c r="Y1442" s="14"/>
      <c r="Z1442" s="8"/>
      <c r="AA1442" s="8"/>
      <c r="AB1442" s="8"/>
      <c r="AC1442" s="8"/>
      <c r="AD1442" s="8"/>
      <c r="AE1442" s="8"/>
    </row>
    <row r="1443" spans="1:32" s="10" customFormat="1" ht="21" customHeight="1" x14ac:dyDescent="0.25">
      <c r="A1443" s="14"/>
      <c r="B1443" s="8" t="s">
        <v>2</v>
      </c>
      <c r="C1443" s="13" t="s">
        <v>15</v>
      </c>
      <c r="D1443" s="14">
        <f>D1441</f>
        <v>10</v>
      </c>
      <c r="E1443" s="14">
        <f>+E1441</f>
        <v>0.1</v>
      </c>
      <c r="F1443" s="8">
        <f>ROUNDUP((E1437/3*2)/E1443,0)+1</f>
        <v>40</v>
      </c>
      <c r="H1443" s="14"/>
      <c r="I1443" s="14"/>
      <c r="J1443" s="14"/>
      <c r="K1443" s="14"/>
      <c r="L1443" s="14"/>
      <c r="M1443" s="14"/>
      <c r="N1443" s="14"/>
      <c r="O1443" s="8">
        <f>(2*(((F1437-'[2]Beam '!$D$11*2)/(F1438-1))+(G1437-'[2]Beam '!$D$11*2))+(2*10*D1443/1000))*D1437</f>
        <v>1.5</v>
      </c>
      <c r="P1443" s="8">
        <f t="shared" si="267"/>
        <v>60</v>
      </c>
      <c r="Q1443" s="8">
        <f>IF($D1443='[2]Beam '!Q$44,$P1443*'[2]Beam '!Q$45,0)</f>
        <v>0</v>
      </c>
      <c r="R1443" s="8">
        <f>IF($D1443='[2]Beam '!R$44,$P1443*'[2]Beam '!R$45,0)</f>
        <v>37.007142857142853</v>
      </c>
      <c r="S1443" s="8">
        <f>IF($D1443='[2]Beam '!S$44,$P1443*'[2]Beam '!S$45,0)</f>
        <v>0</v>
      </c>
      <c r="T1443" s="8">
        <f>IF($D1443='[2]Beam '!T$44,$P1443*'[2]Beam '!T$45,0)</f>
        <v>0</v>
      </c>
      <c r="U1443" s="8">
        <f>IF($D1443='[2]Beam '!U$44,$P1443*'[2]Beam '!U$45,0)</f>
        <v>0</v>
      </c>
      <c r="V1443" s="8">
        <f>IF($D1443='[2]Beam '!V$44,$P1443*'[2]Beam '!V$45,0)</f>
        <v>0</v>
      </c>
      <c r="W1443" s="8">
        <f>IF($D1443='[2]Beam '!W$44,$P1443*'[2]Beam '!W$45,0)</f>
        <v>0</v>
      </c>
      <c r="X1443" s="8">
        <f t="shared" si="268"/>
        <v>37.007142857142853</v>
      </c>
      <c r="Y1443" s="14"/>
      <c r="Z1443" s="8"/>
      <c r="AA1443" s="8"/>
      <c r="AB1443" s="8"/>
      <c r="AC1443" s="8"/>
      <c r="AD1443" s="8"/>
      <c r="AE1443" s="8"/>
      <c r="AF1443" s="8"/>
    </row>
    <row r="1444" spans="1:32" s="10" customFormat="1" ht="20.100000000000001" customHeight="1" x14ac:dyDescent="0.25">
      <c r="A1444" s="14"/>
      <c r="B1444" s="8" t="s">
        <v>2</v>
      </c>
      <c r="C1444" s="13" t="s">
        <v>16</v>
      </c>
      <c r="D1444" s="14">
        <f>D1442</f>
        <v>10</v>
      </c>
      <c r="E1444" s="14">
        <f>+E1442</f>
        <v>0.17499999999999999</v>
      </c>
      <c r="F1444" s="8">
        <f>ROUNDUP((E1437/3)/E1444,0)+1</f>
        <v>13</v>
      </c>
      <c r="H1444" s="14"/>
      <c r="I1444" s="14"/>
      <c r="J1444" s="14"/>
      <c r="K1444" s="14"/>
      <c r="L1444" s="14"/>
      <c r="M1444" s="14"/>
      <c r="N1444" s="14"/>
      <c r="O1444" s="8">
        <f>(2*(((F1437-'[2]Beam '!$D$11*2)/(F1438-1))+(G1437-'[2]Beam '!$D$11*2))+(2*10*D1444/1000))*D1437</f>
        <v>1.5</v>
      </c>
      <c r="P1444" s="8">
        <f t="shared" si="267"/>
        <v>19.5</v>
      </c>
      <c r="Q1444" s="8">
        <f>IF($D1444='[2]Beam '!Q$44,$P1444*'[2]Beam '!Q$45,0)</f>
        <v>0</v>
      </c>
      <c r="R1444" s="8">
        <f>IF($D1444='[2]Beam '!R$44,$P1444*'[2]Beam '!R$45,0)</f>
        <v>12.027321428571428</v>
      </c>
      <c r="S1444" s="8">
        <f>IF($D1444='[2]Beam '!S$44,$P1444*'[2]Beam '!S$45,0)</f>
        <v>0</v>
      </c>
      <c r="T1444" s="8">
        <f>IF($D1444='[2]Beam '!T$44,$P1444*'[2]Beam '!T$45,0)</f>
        <v>0</v>
      </c>
      <c r="U1444" s="8">
        <f>IF($D1444='[2]Beam '!U$44,$P1444*'[2]Beam '!U$45,0)</f>
        <v>0</v>
      </c>
      <c r="V1444" s="8">
        <f>IF($D1444='[2]Beam '!V$44,$P1444*'[2]Beam '!V$45,0)</f>
        <v>0</v>
      </c>
      <c r="W1444" s="8">
        <f>IF($D1444='[2]Beam '!W$44,$P1444*'[2]Beam '!W$45,0)</f>
        <v>0</v>
      </c>
      <c r="X1444" s="8">
        <f t="shared" si="268"/>
        <v>12.027321428571428</v>
      </c>
      <c r="Y1444" s="14"/>
      <c r="Z1444" s="8"/>
      <c r="AA1444" s="8"/>
      <c r="AB1444" s="8"/>
      <c r="AC1444" s="8"/>
      <c r="AD1444" s="8"/>
      <c r="AE1444" s="8"/>
    </row>
    <row r="1445" spans="1:32" s="10" customFormat="1" ht="20.100000000000001" customHeight="1" x14ac:dyDescent="0.25">
      <c r="A1445" s="7"/>
      <c r="B1445" s="8" t="s">
        <v>2</v>
      </c>
      <c r="C1445" s="13" t="s">
        <v>10</v>
      </c>
      <c r="D1445" s="8">
        <f>+'[2]Beam '!$D$15</f>
        <v>25</v>
      </c>
      <c r="E1445" s="8">
        <f>+'[2]Beam '!$E$15</f>
        <v>1</v>
      </c>
      <c r="F1445" s="8">
        <f>ROUNDUP((E1437)/E1445,0)</f>
        <v>6</v>
      </c>
      <c r="G1445" s="9"/>
      <c r="H1445" s="9"/>
      <c r="I1445" s="8"/>
      <c r="J1445" s="8"/>
      <c r="K1445" s="8"/>
      <c r="L1445" s="8"/>
      <c r="M1445" s="8"/>
      <c r="N1445" s="8"/>
      <c r="O1445" s="8">
        <f>F1437-'[2]Beam '!$F$15</f>
        <v>0.44</v>
      </c>
      <c r="P1445" s="8">
        <f t="shared" si="267"/>
        <v>2.64</v>
      </c>
      <c r="Q1445" s="8">
        <f>IF($D1445='[2]Beam '!Q$44,$P1445*'[2]Beam '!Q$45,0)</f>
        <v>0</v>
      </c>
      <c r="R1445" s="8">
        <f>IF($D1445='[2]Beam '!R$44,$P1445*'[2]Beam '!R$45,0)</f>
        <v>0</v>
      </c>
      <c r="S1445" s="8">
        <f>IF($D1445='[2]Beam '!S$44,$P1445*'[2]Beam '!S$45,0)</f>
        <v>0</v>
      </c>
      <c r="T1445" s="8">
        <f>IF($D1445='[2]Beam '!T$44,$P1445*'[2]Beam '!T$45,0)</f>
        <v>0</v>
      </c>
      <c r="U1445" s="8">
        <f>IF($D1445='[2]Beam '!U$44,$P1445*'[2]Beam '!U$45,0)</f>
        <v>0</v>
      </c>
      <c r="V1445" s="8">
        <f>IF($D1445='[2]Beam '!V$44,$P1445*'[2]Beam '!V$45,0)</f>
        <v>10.176964285714288</v>
      </c>
      <c r="W1445" s="8">
        <f>IF($D1445='[2]Beam '!W$44,$P1445*'[2]Beam '!W$45,0)</f>
        <v>0</v>
      </c>
      <c r="X1445" s="8">
        <f t="shared" si="268"/>
        <v>10.176964285714288</v>
      </c>
      <c r="Y1445" s="8"/>
      <c r="Z1445" s="8"/>
      <c r="AA1445" s="8"/>
      <c r="AB1445" s="8"/>
      <c r="AC1445" s="8"/>
      <c r="AD1445" s="8"/>
      <c r="AE1445" s="8"/>
    </row>
    <row r="1446" spans="1:32" s="10" customFormat="1" ht="20.100000000000001" customHeight="1" x14ac:dyDescent="0.25">
      <c r="A1446" s="15">
        <v>1</v>
      </c>
      <c r="B1446" s="8" t="s">
        <v>2</v>
      </c>
      <c r="C1446" s="11" t="s">
        <v>193</v>
      </c>
      <c r="D1446" s="11">
        <v>1</v>
      </c>
      <c r="E1446" s="11">
        <v>4.5199999999999996</v>
      </c>
      <c r="F1446" s="11">
        <v>0.2</v>
      </c>
      <c r="G1446" s="11">
        <v>1.1000000000000001</v>
      </c>
      <c r="H1446" s="8">
        <f>G1446-0.2</f>
        <v>0.90000000000000013</v>
      </c>
      <c r="I1446" s="8">
        <f>E1446*F1446*G1446*D1446</f>
        <v>0.99439999999999995</v>
      </c>
      <c r="J1446" s="8">
        <f>(2*(E1446)*H1446*D1446)+(E1446*F1446)</f>
        <v>9.0400000000000009</v>
      </c>
      <c r="K1446" s="12">
        <f>IF(E1446=0.3,J1446,0)</f>
        <v>0</v>
      </c>
      <c r="L1446" s="12">
        <f>IF(AND(E1446&gt;0.3,E1446&lt;=0.75),J1446,0)</f>
        <v>0</v>
      </c>
      <c r="M1446" s="12">
        <f>IF(AND(E1446&gt;0.75,E1446&lt;=1.2),J1446,0)</f>
        <v>0</v>
      </c>
      <c r="N1446" s="12">
        <f>IF(E1446&gt;1.2,J1446,0)</f>
        <v>9.0400000000000009</v>
      </c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>
        <f>SUM(X1447:X1449)/I1446</f>
        <v>133.96903286978511</v>
      </c>
      <c r="Z1446" s="8"/>
      <c r="AA1446" s="8"/>
      <c r="AB1446" s="8"/>
      <c r="AC1446" s="8"/>
      <c r="AD1446" s="8"/>
      <c r="AE1446" s="8"/>
    </row>
    <row r="1447" spans="1:32" s="10" customFormat="1" ht="21" customHeight="1" x14ac:dyDescent="0.25">
      <c r="A1447" s="7"/>
      <c r="B1447" s="8" t="s">
        <v>2</v>
      </c>
      <c r="C1447" s="13" t="s">
        <v>4</v>
      </c>
      <c r="D1447" s="8">
        <v>20</v>
      </c>
      <c r="E1447" s="8"/>
      <c r="F1447" s="8">
        <v>2</v>
      </c>
      <c r="G1447" s="9">
        <f>VLOOKUP(D1447,'[2]Beam '!$C$20:$H$26,3,0)</f>
        <v>0.8</v>
      </c>
      <c r="H1447" s="9"/>
      <c r="I1447" s="8"/>
      <c r="J1447" s="8"/>
      <c r="K1447" s="8"/>
      <c r="L1447" s="8"/>
      <c r="M1447" s="8"/>
      <c r="N1447" s="8"/>
      <c r="O1447" s="8">
        <f>(E1446+2*(G1447+(12*D1447/1000))*D1446)</f>
        <v>6.6</v>
      </c>
      <c r="P1447" s="8">
        <f>O1447*F1447</f>
        <v>13.2</v>
      </c>
      <c r="Q1447" s="8">
        <f>IF($D1447='[2]Beam '!Q$44,$P1447*'[2]Beam '!Q$45,0)</f>
        <v>0</v>
      </c>
      <c r="R1447" s="8">
        <f>IF($D1447='[2]Beam '!R$44,$P1447*'[2]Beam '!R$45,0)</f>
        <v>0</v>
      </c>
      <c r="S1447" s="8">
        <f>IF($D1447='[2]Beam '!S$44,$P1447*'[2]Beam '!S$45,0)</f>
        <v>0</v>
      </c>
      <c r="T1447" s="8">
        <f>IF($D1447='[2]Beam '!T$44,$P1447*'[2]Beam '!T$45,0)</f>
        <v>0</v>
      </c>
      <c r="U1447" s="8">
        <f>IF($D1447='[2]Beam '!U$44,$P1447*'[2]Beam '!U$45,0)</f>
        <v>32.566285714285712</v>
      </c>
      <c r="V1447" s="8">
        <f>IF($D1447='[2]Beam '!V$44,$P1447*'[2]Beam '!V$45,0)</f>
        <v>0</v>
      </c>
      <c r="W1447" s="8">
        <f>IF($D1447='[2]Beam '!W$44,$P1447*'[2]Beam '!W$45,0)</f>
        <v>0</v>
      </c>
      <c r="X1447" s="8">
        <f>SUM(Q1447:W1447)</f>
        <v>32.566285714285712</v>
      </c>
      <c r="Y1447" s="8"/>
      <c r="Z1447" s="8"/>
      <c r="AA1447" s="8"/>
      <c r="AB1447" s="8"/>
      <c r="AC1447" s="8"/>
      <c r="AD1447" s="8"/>
      <c r="AE1447" s="8"/>
      <c r="AF1447" s="8"/>
    </row>
    <row r="1448" spans="1:32" s="10" customFormat="1" ht="20.100000000000001" customHeight="1" x14ac:dyDescent="0.25">
      <c r="A1448" s="7"/>
      <c r="B1448" s="8" t="s">
        <v>2</v>
      </c>
      <c r="C1448" s="13" t="s">
        <v>139</v>
      </c>
      <c r="D1448" s="8">
        <v>25</v>
      </c>
      <c r="E1448" s="8"/>
      <c r="F1448" s="8">
        <v>2</v>
      </c>
      <c r="G1448" s="9">
        <f>VLOOKUP(D1448,'[2]Beam '!$C$20:$H$26,3,0)</f>
        <v>1</v>
      </c>
      <c r="H1448" s="9"/>
      <c r="I1448" s="8"/>
      <c r="J1448" s="8"/>
      <c r="K1448" s="8"/>
      <c r="L1448" s="8"/>
      <c r="M1448" s="8"/>
      <c r="N1448" s="8"/>
      <c r="O1448" s="8">
        <f>(E1446+2*(G1448+(12*D1448/1000))*D1446)</f>
        <v>7.1199999999999992</v>
      </c>
      <c r="P1448" s="8">
        <f>O1448*F1448</f>
        <v>14.239999999999998</v>
      </c>
      <c r="Q1448" s="8">
        <f>IF($D1448='[2]Beam '!Q$44,$P1448*'[2]Beam '!Q$45,0)</f>
        <v>0</v>
      </c>
      <c r="R1448" s="8">
        <f>IF($D1448='[2]Beam '!R$44,$P1448*'[2]Beam '!R$45,0)</f>
        <v>0</v>
      </c>
      <c r="S1448" s="8">
        <f>IF($D1448='[2]Beam '!S$44,$P1448*'[2]Beam '!S$45,0)</f>
        <v>0</v>
      </c>
      <c r="T1448" s="8">
        <f>IF($D1448='[2]Beam '!T$44,$P1448*'[2]Beam '!T$45,0)</f>
        <v>0</v>
      </c>
      <c r="U1448" s="8">
        <f>IF($D1448='[2]Beam '!U$44,$P1448*'[2]Beam '!U$45,0)</f>
        <v>0</v>
      </c>
      <c r="V1448" s="8">
        <f>IF($D1448='[2]Beam '!V$44,$P1448*'[2]Beam '!V$45,0)</f>
        <v>54.893928571428575</v>
      </c>
      <c r="W1448" s="8">
        <f>IF($D1448='[2]Beam '!W$44,$P1448*'[2]Beam '!W$45,0)</f>
        <v>0</v>
      </c>
      <c r="X1448" s="8">
        <f>SUM(Q1448:W1448)</f>
        <v>54.893928571428575</v>
      </c>
      <c r="Y1448" s="8"/>
      <c r="Z1448" s="8"/>
      <c r="AA1448" s="8"/>
      <c r="AB1448" s="8"/>
      <c r="AC1448" s="8"/>
      <c r="AD1448" s="8"/>
      <c r="AE1448" s="8"/>
    </row>
    <row r="1449" spans="1:32" s="10" customFormat="1" ht="20.100000000000001" customHeight="1" x14ac:dyDescent="0.25">
      <c r="A1449" s="7"/>
      <c r="B1449" s="8" t="s">
        <v>2</v>
      </c>
      <c r="C1449" s="13" t="s">
        <v>8</v>
      </c>
      <c r="D1449" s="8">
        <v>8</v>
      </c>
      <c r="E1449" s="8">
        <v>0.1</v>
      </c>
      <c r="F1449" s="8">
        <f>ROUNDUP(E1446/E1449,0)</f>
        <v>46</v>
      </c>
      <c r="H1449" s="8"/>
      <c r="I1449" s="8"/>
      <c r="J1449" s="8"/>
      <c r="K1449" s="8"/>
      <c r="L1449" s="8"/>
      <c r="M1449" s="8"/>
      <c r="N1449" s="8"/>
      <c r="O1449" s="8">
        <f>(2*((G1446-(2*'[2]Beam '!$D$11))+(F1446-(2*'[2]Beam '!$D$11)))+(2*10*D1449/1000))*D1446</f>
        <v>2.5200000000000005</v>
      </c>
      <c r="P1449" s="8">
        <f>O1449*F1449</f>
        <v>115.92000000000002</v>
      </c>
      <c r="Q1449" s="8">
        <f>IF($D1449='[2]Beam '!Q$44,$P1449*'[2]Beam '!Q$45,0)</f>
        <v>45.758592000000007</v>
      </c>
      <c r="R1449" s="8">
        <f>IF($D1449='[2]Beam '!R$44,$P1449*'[2]Beam '!R$45,0)</f>
        <v>0</v>
      </c>
      <c r="S1449" s="8">
        <f>IF($D1449='[2]Beam '!S$44,$P1449*'[2]Beam '!S$45,0)</f>
        <v>0</v>
      </c>
      <c r="T1449" s="8">
        <f>IF($D1449='[2]Beam '!T$44,$P1449*'[2]Beam '!T$45,0)</f>
        <v>0</v>
      </c>
      <c r="U1449" s="8">
        <f>IF($D1449='[2]Beam '!U$44,$P1449*'[2]Beam '!U$45,0)</f>
        <v>0</v>
      </c>
      <c r="V1449" s="8">
        <f>IF($D1449='[2]Beam '!V$44,$P1449*'[2]Beam '!V$45,0)</f>
        <v>0</v>
      </c>
      <c r="W1449" s="8">
        <f>IF($D1449='[2]Beam '!W$44,$P1449*'[2]Beam '!W$45,0)</f>
        <v>0</v>
      </c>
      <c r="X1449" s="8">
        <f>SUM(Q1449:W1449)</f>
        <v>45.758592000000007</v>
      </c>
      <c r="Y1449" s="8"/>
      <c r="Z1449" s="8"/>
      <c r="AA1449" s="8"/>
      <c r="AB1449" s="8"/>
      <c r="AC1449" s="8"/>
      <c r="AD1449" s="8"/>
      <c r="AE1449" s="8"/>
    </row>
    <row r="1450" spans="1:32" s="10" customFormat="1" ht="20.100000000000001" customHeight="1" x14ac:dyDescent="0.25">
      <c r="A1450" s="8">
        <v>1</v>
      </c>
      <c r="B1450" s="8" t="s">
        <v>2</v>
      </c>
      <c r="C1450" s="11" t="s">
        <v>194</v>
      </c>
      <c r="D1450" s="11">
        <v>1</v>
      </c>
      <c r="E1450" s="11">
        <v>2.9460000000000002</v>
      </c>
      <c r="F1450" s="11">
        <v>0.2</v>
      </c>
      <c r="G1450" s="11">
        <v>0.6</v>
      </c>
      <c r="H1450" s="8">
        <f>G1450-0.2</f>
        <v>0.39999999999999997</v>
      </c>
      <c r="I1450" s="8">
        <f>E1450*F1450*G1450*D1450</f>
        <v>0.35352</v>
      </c>
      <c r="J1450" s="8">
        <f>(2*(E1450)*H1450*D1450)+(E1450*F1450)</f>
        <v>2.9459999999999997</v>
      </c>
      <c r="K1450" s="12">
        <f>IF(E1450=0.3,J1450,0)</f>
        <v>0</v>
      </c>
      <c r="L1450" s="12">
        <f>IF(AND(E1450&gt;0.3,E1450&lt;=0.75),J1450,0)</f>
        <v>0</v>
      </c>
      <c r="M1450" s="12">
        <f>IF(AND(E1450&gt;0.75,E1450&lt;=1.2),J1450,0)</f>
        <v>0</v>
      </c>
      <c r="N1450" s="12">
        <f>IF(E1450&gt;1.2,J1450,0)</f>
        <v>2.9459999999999997</v>
      </c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>
        <f>SUM(X1451:X1454)/I1450</f>
        <v>140.16375101024798</v>
      </c>
      <c r="Z1450" s="8"/>
      <c r="AA1450" s="8"/>
      <c r="AB1450" s="8"/>
      <c r="AC1450" s="8"/>
      <c r="AD1450" s="8"/>
      <c r="AE1450" s="8"/>
    </row>
    <row r="1451" spans="1:32" s="10" customFormat="1" ht="20.100000000000001" customHeight="1" x14ac:dyDescent="0.25">
      <c r="A1451" s="7"/>
      <c r="B1451" s="8" t="s">
        <v>2</v>
      </c>
      <c r="C1451" s="13" t="s">
        <v>4</v>
      </c>
      <c r="D1451" s="8">
        <v>16</v>
      </c>
      <c r="E1451" s="8"/>
      <c r="F1451" s="8">
        <v>2</v>
      </c>
      <c r="G1451" s="9">
        <f>VLOOKUP(D1451,'[2]Beam '!$C$20:$H$26,3,0)</f>
        <v>0.625</v>
      </c>
      <c r="H1451" s="9"/>
      <c r="I1451" s="8"/>
      <c r="J1451" s="8"/>
      <c r="K1451" s="8"/>
      <c r="L1451" s="8"/>
      <c r="M1451" s="8"/>
      <c r="N1451" s="8"/>
      <c r="O1451" s="8">
        <f>(E1450+2*(G1451+(12*D1451/1000))*D1450)</f>
        <v>4.58</v>
      </c>
      <c r="P1451" s="8">
        <f>O1451*F1451</f>
        <v>9.16</v>
      </c>
      <c r="Q1451" s="8">
        <f>IF($D1451='[2]Beam '!Q$44,$P1451*'[2]Beam '!Q$45,0)</f>
        <v>0</v>
      </c>
      <c r="R1451" s="8">
        <f>IF($D1451='[2]Beam '!R$44,$P1451*'[2]Beam '!R$45,0)</f>
        <v>0</v>
      </c>
      <c r="S1451" s="8">
        <f>IF($D1451='[2]Beam '!S$44,$P1451*'[2]Beam '!S$45,0)</f>
        <v>0</v>
      </c>
      <c r="T1451" s="8">
        <f>IF($D1451='[2]Beam '!T$44,$P1451*'[2]Beam '!T$45,0)</f>
        <v>14.463378285714287</v>
      </c>
      <c r="U1451" s="8">
        <f>IF($D1451='[2]Beam '!U$44,$P1451*'[2]Beam '!U$45,0)</f>
        <v>0</v>
      </c>
      <c r="V1451" s="8">
        <f>IF($D1451='[2]Beam '!V$44,$P1451*'[2]Beam '!V$45,0)</f>
        <v>0</v>
      </c>
      <c r="W1451" s="8">
        <f>IF($D1451='[2]Beam '!W$44,$P1451*'[2]Beam '!W$45,0)</f>
        <v>0</v>
      </c>
      <c r="X1451" s="8">
        <f>SUM(Q1451:W1451)</f>
        <v>14.463378285714287</v>
      </c>
      <c r="Y1451" s="8"/>
      <c r="Z1451" s="8"/>
      <c r="AA1451" s="8"/>
      <c r="AB1451" s="8"/>
      <c r="AC1451" s="8"/>
      <c r="AD1451" s="8"/>
      <c r="AE1451" s="8"/>
    </row>
    <row r="1452" spans="1:32" s="10" customFormat="1" ht="21" customHeight="1" x14ac:dyDescent="0.25">
      <c r="A1452" s="7"/>
      <c r="B1452" s="8" t="s">
        <v>2</v>
      </c>
      <c r="C1452" s="13" t="s">
        <v>139</v>
      </c>
      <c r="D1452" s="8">
        <v>16</v>
      </c>
      <c r="E1452" s="8"/>
      <c r="F1452" s="8">
        <v>2</v>
      </c>
      <c r="G1452" s="9">
        <f>VLOOKUP(D1452,'[2]Beam '!$C$20:$H$26,3,0)</f>
        <v>0.625</v>
      </c>
      <c r="H1452" s="9"/>
      <c r="I1452" s="8"/>
      <c r="J1452" s="8"/>
      <c r="K1452" s="8"/>
      <c r="L1452" s="8"/>
      <c r="M1452" s="8"/>
      <c r="N1452" s="8"/>
      <c r="O1452" s="8">
        <f>(E1450+2*(G1452+(12*D1452/1000))*D1450)</f>
        <v>4.58</v>
      </c>
      <c r="P1452" s="8">
        <f>O1452*F1452</f>
        <v>9.16</v>
      </c>
      <c r="Q1452" s="8">
        <f>IF($D1452='[2]Beam '!Q$44,$P1452*'[2]Beam '!Q$45,0)</f>
        <v>0</v>
      </c>
      <c r="R1452" s="8">
        <f>IF($D1452='[2]Beam '!R$44,$P1452*'[2]Beam '!R$45,0)</f>
        <v>0</v>
      </c>
      <c r="S1452" s="8">
        <f>IF($D1452='[2]Beam '!S$44,$P1452*'[2]Beam '!S$45,0)</f>
        <v>0</v>
      </c>
      <c r="T1452" s="8">
        <f>IF($D1452='[2]Beam '!T$44,$P1452*'[2]Beam '!T$45,0)</f>
        <v>14.463378285714287</v>
      </c>
      <c r="U1452" s="8">
        <f>IF($D1452='[2]Beam '!U$44,$P1452*'[2]Beam '!U$45,0)</f>
        <v>0</v>
      </c>
      <c r="V1452" s="8">
        <f>IF($D1452='[2]Beam '!V$44,$P1452*'[2]Beam '!V$45,0)</f>
        <v>0</v>
      </c>
      <c r="W1452" s="8">
        <f>IF($D1452='[2]Beam '!W$44,$P1452*'[2]Beam '!W$45,0)</f>
        <v>0</v>
      </c>
      <c r="X1452" s="8">
        <f>SUM(Q1452:W1452)</f>
        <v>14.463378285714287</v>
      </c>
      <c r="Y1452" s="8"/>
      <c r="Z1452" s="8"/>
      <c r="AA1452" s="8"/>
      <c r="AB1452" s="8"/>
      <c r="AC1452" s="8"/>
      <c r="AD1452" s="8"/>
      <c r="AE1452" s="8"/>
      <c r="AF1452" s="8"/>
    </row>
    <row r="1453" spans="1:32" s="10" customFormat="1" ht="20.100000000000001" customHeight="1" x14ac:dyDescent="0.25">
      <c r="A1453" s="7"/>
      <c r="B1453" s="8" t="s">
        <v>2</v>
      </c>
      <c r="C1453" s="13" t="s">
        <v>75</v>
      </c>
      <c r="D1453" s="8">
        <v>12</v>
      </c>
      <c r="E1453" s="8"/>
      <c r="F1453" s="8">
        <v>2</v>
      </c>
      <c r="G1453" s="9">
        <f>VLOOKUP(D1453,'[2]Beam '!$C$20:$H$26,3,0)</f>
        <v>0.47499999999999998</v>
      </c>
      <c r="H1453" s="9"/>
      <c r="I1453" s="8"/>
      <c r="J1453" s="8"/>
      <c r="K1453" s="8"/>
      <c r="L1453" s="8"/>
      <c r="M1453" s="8"/>
      <c r="N1453" s="8"/>
      <c r="O1453" s="8">
        <f>(0.858+1*(G1453+(12*D1453/1000))*D1450)</f>
        <v>1.4769999999999999</v>
      </c>
      <c r="P1453" s="8">
        <f>O1453*F1453</f>
        <v>2.9539999999999997</v>
      </c>
      <c r="Q1453" s="8">
        <f>IF($D1453='[2]Beam '!Q$44,$P1453*'[2]Beam '!Q$45,0)</f>
        <v>0</v>
      </c>
      <c r="R1453" s="8">
        <f>IF($D1453='[2]Beam '!R$44,$P1453*'[2]Beam '!R$45,0)</f>
        <v>0</v>
      </c>
      <c r="S1453" s="8">
        <f>IF($D1453='[2]Beam '!S$44,$P1453*'[2]Beam '!S$45,0)</f>
        <v>2.6236584000000001</v>
      </c>
      <c r="T1453" s="8">
        <f>IF($D1453='[2]Beam '!T$44,$P1453*'[2]Beam '!T$45,0)</f>
        <v>0</v>
      </c>
      <c r="U1453" s="8">
        <f>IF($D1453='[2]Beam '!U$44,$P1453*'[2]Beam '!U$45,0)</f>
        <v>0</v>
      </c>
      <c r="V1453" s="8">
        <f>IF($D1453='[2]Beam '!V$44,$P1453*'[2]Beam '!V$45,0)</f>
        <v>0</v>
      </c>
      <c r="W1453" s="8">
        <f>IF($D1453='[2]Beam '!W$44,$P1453*'[2]Beam '!W$45,0)</f>
        <v>0</v>
      </c>
      <c r="X1453" s="8">
        <f>SUM(Q1453:W1453)</f>
        <v>2.6236584000000001</v>
      </c>
      <c r="Y1453" s="8"/>
      <c r="Z1453" s="8"/>
      <c r="AA1453" s="8"/>
      <c r="AB1453" s="8"/>
      <c r="AC1453" s="8"/>
      <c r="AD1453" s="8"/>
      <c r="AE1453" s="8"/>
    </row>
    <row r="1454" spans="1:32" s="10" customFormat="1" ht="20.100000000000001" customHeight="1" x14ac:dyDescent="0.25">
      <c r="A1454" s="7"/>
      <c r="B1454" s="8" t="s">
        <v>2</v>
      </c>
      <c r="C1454" s="13" t="s">
        <v>8</v>
      </c>
      <c r="D1454" s="8">
        <v>8</v>
      </c>
      <c r="E1454" s="8">
        <v>0.1</v>
      </c>
      <c r="F1454" s="8">
        <f>ROUNDUP(E1450/E1454,0)</f>
        <v>30</v>
      </c>
      <c r="H1454" s="8"/>
      <c r="I1454" s="8"/>
      <c r="J1454" s="8"/>
      <c r="K1454" s="8"/>
      <c r="L1454" s="8"/>
      <c r="M1454" s="8"/>
      <c r="N1454" s="8"/>
      <c r="O1454" s="8">
        <f>(2*((G1450-(2*'[2]Beam '!$D$11))+(F1450-(2*'[2]Beam '!$D$11)))+(2*10*D1454/1000))*D1450</f>
        <v>1.52</v>
      </c>
      <c r="P1454" s="8">
        <f>O1454*F1454</f>
        <v>45.6</v>
      </c>
      <c r="Q1454" s="8">
        <f>IF($D1454='[2]Beam '!Q$44,$P1454*'[2]Beam '!Q$45,0)</f>
        <v>18.000274285714287</v>
      </c>
      <c r="R1454" s="8">
        <f>IF($D1454='[2]Beam '!R$44,$P1454*'[2]Beam '!R$45,0)</f>
        <v>0</v>
      </c>
      <c r="S1454" s="8">
        <f>IF($D1454='[2]Beam '!S$44,$P1454*'[2]Beam '!S$45,0)</f>
        <v>0</v>
      </c>
      <c r="T1454" s="8">
        <f>IF($D1454='[2]Beam '!T$44,$P1454*'[2]Beam '!T$45,0)</f>
        <v>0</v>
      </c>
      <c r="U1454" s="8">
        <f>IF($D1454='[2]Beam '!U$44,$P1454*'[2]Beam '!U$45,0)</f>
        <v>0</v>
      </c>
      <c r="V1454" s="8">
        <f>IF($D1454='[2]Beam '!V$44,$P1454*'[2]Beam '!V$45,0)</f>
        <v>0</v>
      </c>
      <c r="W1454" s="8">
        <f>IF($D1454='[2]Beam '!W$44,$P1454*'[2]Beam '!W$45,0)</f>
        <v>0</v>
      </c>
      <c r="X1454" s="8">
        <f>SUM(Q1454:W1454)</f>
        <v>18.000274285714287</v>
      </c>
      <c r="Y1454" s="8"/>
      <c r="Z1454" s="8"/>
      <c r="AA1454" s="8"/>
      <c r="AB1454" s="8"/>
      <c r="AC1454" s="8"/>
      <c r="AD1454" s="8"/>
      <c r="AE1454" s="8"/>
    </row>
    <row r="1455" spans="1:32" s="10" customFormat="1" ht="20.100000000000001" customHeight="1" x14ac:dyDescent="0.25">
      <c r="A1455" s="8">
        <v>1</v>
      </c>
      <c r="B1455" s="8" t="s">
        <v>2</v>
      </c>
      <c r="C1455" s="11" t="s">
        <v>195</v>
      </c>
      <c r="D1455" s="11">
        <v>1</v>
      </c>
      <c r="E1455" s="11">
        <v>2.19</v>
      </c>
      <c r="F1455" s="11">
        <v>0.2</v>
      </c>
      <c r="G1455" s="11">
        <v>0.6</v>
      </c>
      <c r="H1455" s="8">
        <f>G1455-0.2</f>
        <v>0.39999999999999997</v>
      </c>
      <c r="I1455" s="8">
        <f>E1455*F1455*G1455*D1455</f>
        <v>0.26279999999999998</v>
      </c>
      <c r="J1455" s="8">
        <f>(2*(E1455)*H1455*D1455)+(E1455*F1455)</f>
        <v>2.19</v>
      </c>
      <c r="K1455" s="12">
        <f>IF(E1455=0.3,J1455,0)</f>
        <v>0</v>
      </c>
      <c r="L1455" s="12">
        <f>IF(AND(E1455&gt;0.3,E1455&lt;=0.75),J1455,0)</f>
        <v>0</v>
      </c>
      <c r="M1455" s="12">
        <f>IF(AND(E1455&gt;0.75,E1455&lt;=1.2),J1455,0)</f>
        <v>0</v>
      </c>
      <c r="N1455" s="12">
        <f>IF(E1455&gt;1.2,J1455,0)</f>
        <v>2.19</v>
      </c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>
        <f>SUM(X1456:X1459)/I1455</f>
        <v>220.55806523157207</v>
      </c>
      <c r="Z1455" s="8"/>
      <c r="AA1455" s="8"/>
      <c r="AB1455" s="8"/>
      <c r="AC1455" s="8"/>
      <c r="AD1455" s="8"/>
      <c r="AE1455" s="8"/>
    </row>
    <row r="1456" spans="1:32" s="10" customFormat="1" ht="20.100000000000001" customHeight="1" x14ac:dyDescent="0.25">
      <c r="A1456" s="7"/>
      <c r="B1456" s="8" t="s">
        <v>2</v>
      </c>
      <c r="C1456" s="13" t="s">
        <v>4</v>
      </c>
      <c r="D1456" s="8">
        <v>20</v>
      </c>
      <c r="E1456" s="8"/>
      <c r="F1456" s="8">
        <v>2</v>
      </c>
      <c r="G1456" s="9">
        <f>VLOOKUP(D1456,'[2]Beam '!$C$20:$H$26,3,0)</f>
        <v>0.8</v>
      </c>
      <c r="H1456" s="9"/>
      <c r="I1456" s="8"/>
      <c r="J1456" s="8"/>
      <c r="K1456" s="8"/>
      <c r="L1456" s="8"/>
      <c r="M1456" s="8"/>
      <c r="N1456" s="8"/>
      <c r="O1456" s="8">
        <f>(E1455+2*(G1456+(12*D1456/1000))*D1455)</f>
        <v>4.2699999999999996</v>
      </c>
      <c r="P1456" s="8">
        <f>O1456*F1456</f>
        <v>8.5399999999999991</v>
      </c>
      <c r="Q1456" s="8">
        <f>IF($D1456='[2]Beam '!Q$44,$P1456*'[2]Beam '!Q$45,0)</f>
        <v>0</v>
      </c>
      <c r="R1456" s="8">
        <f>IF($D1456='[2]Beam '!R$44,$P1456*'[2]Beam '!R$45,0)</f>
        <v>0</v>
      </c>
      <c r="S1456" s="8">
        <f>IF($D1456='[2]Beam '!S$44,$P1456*'[2]Beam '!S$45,0)</f>
        <v>0</v>
      </c>
      <c r="T1456" s="8">
        <f>IF($D1456='[2]Beam '!T$44,$P1456*'[2]Beam '!T$45,0)</f>
        <v>0</v>
      </c>
      <c r="U1456" s="8">
        <f>IF($D1456='[2]Beam '!U$44,$P1456*'[2]Beam '!U$45,0)</f>
        <v>21.069399999999998</v>
      </c>
      <c r="V1456" s="8">
        <f>IF($D1456='[2]Beam '!V$44,$P1456*'[2]Beam '!V$45,0)</f>
        <v>0</v>
      </c>
      <c r="W1456" s="8">
        <f>IF($D1456='[2]Beam '!W$44,$P1456*'[2]Beam '!W$45,0)</f>
        <v>0</v>
      </c>
      <c r="X1456" s="8">
        <f>SUM(Q1456:W1456)</f>
        <v>21.069399999999998</v>
      </c>
      <c r="Y1456" s="8"/>
      <c r="Z1456" s="8"/>
      <c r="AA1456" s="8"/>
      <c r="AB1456" s="8"/>
      <c r="AC1456" s="8"/>
      <c r="AD1456" s="8"/>
      <c r="AE1456" s="8"/>
    </row>
    <row r="1457" spans="1:32" s="10" customFormat="1" ht="21" customHeight="1" x14ac:dyDescent="0.25">
      <c r="A1457" s="7"/>
      <c r="B1457" s="8" t="s">
        <v>2</v>
      </c>
      <c r="C1457" s="13" t="s">
        <v>139</v>
      </c>
      <c r="D1457" s="8">
        <v>20</v>
      </c>
      <c r="E1457" s="8"/>
      <c r="F1457" s="8">
        <v>2</v>
      </c>
      <c r="G1457" s="9">
        <f>VLOOKUP(D1457,'[2]Beam '!$C$20:$H$26,3,0)</f>
        <v>0.8</v>
      </c>
      <c r="H1457" s="9"/>
      <c r="I1457" s="8"/>
      <c r="J1457" s="8"/>
      <c r="K1457" s="8"/>
      <c r="L1457" s="8"/>
      <c r="M1457" s="8"/>
      <c r="N1457" s="8"/>
      <c r="O1457" s="8">
        <f>(E1455+2*(G1457+(12*D1457/1000))*D1455)</f>
        <v>4.2699999999999996</v>
      </c>
      <c r="P1457" s="8">
        <f>O1457*F1457</f>
        <v>8.5399999999999991</v>
      </c>
      <c r="Q1457" s="8">
        <f>IF($D1457='[2]Beam '!Q$44,$P1457*'[2]Beam '!Q$45,0)</f>
        <v>0</v>
      </c>
      <c r="R1457" s="8">
        <f>IF($D1457='[2]Beam '!R$44,$P1457*'[2]Beam '!R$45,0)</f>
        <v>0</v>
      </c>
      <c r="S1457" s="8">
        <f>IF($D1457='[2]Beam '!S$44,$P1457*'[2]Beam '!S$45,0)</f>
        <v>0</v>
      </c>
      <c r="T1457" s="8">
        <f>IF($D1457='[2]Beam '!T$44,$P1457*'[2]Beam '!T$45,0)</f>
        <v>0</v>
      </c>
      <c r="U1457" s="8">
        <f>IF($D1457='[2]Beam '!U$44,$P1457*'[2]Beam '!U$45,0)</f>
        <v>21.069399999999998</v>
      </c>
      <c r="V1457" s="8">
        <f>IF($D1457='[2]Beam '!V$44,$P1457*'[2]Beam '!V$45,0)</f>
        <v>0</v>
      </c>
      <c r="W1457" s="8">
        <f>IF($D1457='[2]Beam '!W$44,$P1457*'[2]Beam '!W$45,0)</f>
        <v>0</v>
      </c>
      <c r="X1457" s="8">
        <f>SUM(Q1457:W1457)</f>
        <v>21.069399999999998</v>
      </c>
      <c r="Y1457" s="8"/>
      <c r="Z1457" s="8"/>
      <c r="AA1457" s="8"/>
      <c r="AB1457" s="8"/>
      <c r="AC1457" s="8"/>
      <c r="AD1457" s="8"/>
      <c r="AE1457" s="8"/>
      <c r="AF1457" s="8"/>
    </row>
    <row r="1458" spans="1:32" s="10" customFormat="1" ht="20.100000000000001" customHeight="1" x14ac:dyDescent="0.25">
      <c r="A1458" s="7"/>
      <c r="B1458" s="8" t="s">
        <v>2</v>
      </c>
      <c r="C1458" s="13" t="s">
        <v>75</v>
      </c>
      <c r="D1458" s="8">
        <v>12</v>
      </c>
      <c r="E1458" s="8"/>
      <c r="F1458" s="8">
        <v>2</v>
      </c>
      <c r="G1458" s="9">
        <f>VLOOKUP(D1458,'[2]Beam '!$C$20:$H$26,3,0)</f>
        <v>0.47499999999999998</v>
      </c>
      <c r="H1458" s="9"/>
      <c r="I1458" s="8"/>
      <c r="J1458" s="8"/>
      <c r="K1458" s="8"/>
      <c r="L1458" s="8"/>
      <c r="M1458" s="8"/>
      <c r="N1458" s="8"/>
      <c r="O1458" s="8">
        <f>(0.858+1*(G1458+(12*D1458/1000))*D1455)</f>
        <v>1.4769999999999999</v>
      </c>
      <c r="P1458" s="8">
        <f>O1458*F1458</f>
        <v>2.9539999999999997</v>
      </c>
      <c r="Q1458" s="8">
        <f>IF($D1458='[2]Beam '!Q$44,$P1458*'[2]Beam '!Q$45,0)</f>
        <v>0</v>
      </c>
      <c r="R1458" s="8">
        <f>IF($D1458='[2]Beam '!R$44,$P1458*'[2]Beam '!R$45,0)</f>
        <v>0</v>
      </c>
      <c r="S1458" s="8">
        <f>IF($D1458='[2]Beam '!S$44,$P1458*'[2]Beam '!S$45,0)</f>
        <v>2.6236584000000001</v>
      </c>
      <c r="T1458" s="8">
        <f>IF($D1458='[2]Beam '!T$44,$P1458*'[2]Beam '!T$45,0)</f>
        <v>0</v>
      </c>
      <c r="U1458" s="8">
        <f>IF($D1458='[2]Beam '!U$44,$P1458*'[2]Beam '!U$45,0)</f>
        <v>0</v>
      </c>
      <c r="V1458" s="8">
        <f>IF($D1458='[2]Beam '!V$44,$P1458*'[2]Beam '!V$45,0)</f>
        <v>0</v>
      </c>
      <c r="W1458" s="8">
        <f>IF($D1458='[2]Beam '!W$44,$P1458*'[2]Beam '!W$45,0)</f>
        <v>0</v>
      </c>
      <c r="X1458" s="8">
        <f>SUM(Q1458:W1458)</f>
        <v>2.6236584000000001</v>
      </c>
      <c r="Y1458" s="8"/>
      <c r="Z1458" s="8"/>
      <c r="AA1458" s="8"/>
      <c r="AB1458" s="8"/>
      <c r="AC1458" s="8"/>
      <c r="AD1458" s="8"/>
      <c r="AE1458" s="8"/>
    </row>
    <row r="1459" spans="1:32" s="10" customFormat="1" ht="20.100000000000001" customHeight="1" x14ac:dyDescent="0.25">
      <c r="A1459" s="7"/>
      <c r="B1459" s="8" t="s">
        <v>2</v>
      </c>
      <c r="C1459" s="13" t="s">
        <v>8</v>
      </c>
      <c r="D1459" s="8">
        <v>8</v>
      </c>
      <c r="E1459" s="8">
        <v>0.1</v>
      </c>
      <c r="F1459" s="8">
        <f>ROUNDUP(E1455/E1459,0)</f>
        <v>22</v>
      </c>
      <c r="H1459" s="8"/>
      <c r="I1459" s="8"/>
      <c r="J1459" s="8"/>
      <c r="K1459" s="8"/>
      <c r="L1459" s="8"/>
      <c r="M1459" s="8"/>
      <c r="N1459" s="8"/>
      <c r="O1459" s="8">
        <f>(2*((G1455-(2*'[2]Beam '!$D$11))+(F1455-(2*'[2]Beam '!$D$11)))+(2*10*D1459/1000))*D1455</f>
        <v>1.52</v>
      </c>
      <c r="P1459" s="8">
        <f>O1459*F1459</f>
        <v>33.44</v>
      </c>
      <c r="Q1459" s="8">
        <f>IF($D1459='[2]Beam '!Q$44,$P1459*'[2]Beam '!Q$45,0)</f>
        <v>13.200201142857143</v>
      </c>
      <c r="R1459" s="8">
        <f>IF($D1459='[2]Beam '!R$44,$P1459*'[2]Beam '!R$45,0)</f>
        <v>0</v>
      </c>
      <c r="S1459" s="8">
        <f>IF($D1459='[2]Beam '!S$44,$P1459*'[2]Beam '!S$45,0)</f>
        <v>0</v>
      </c>
      <c r="T1459" s="8">
        <f>IF($D1459='[2]Beam '!T$44,$P1459*'[2]Beam '!T$45,0)</f>
        <v>0</v>
      </c>
      <c r="U1459" s="8">
        <f>IF($D1459='[2]Beam '!U$44,$P1459*'[2]Beam '!U$45,0)</f>
        <v>0</v>
      </c>
      <c r="V1459" s="8">
        <f>IF($D1459='[2]Beam '!V$44,$P1459*'[2]Beam '!V$45,0)</f>
        <v>0</v>
      </c>
      <c r="W1459" s="8">
        <f>IF($D1459='[2]Beam '!W$44,$P1459*'[2]Beam '!W$45,0)</f>
        <v>0</v>
      </c>
      <c r="X1459" s="8">
        <f>SUM(Q1459:W1459)</f>
        <v>13.200201142857143</v>
      </c>
      <c r="Y1459" s="8"/>
      <c r="Z1459" s="8"/>
      <c r="AA1459" s="8"/>
      <c r="AB1459" s="8"/>
      <c r="AC1459" s="8"/>
      <c r="AD1459" s="8"/>
      <c r="AE1459" s="8"/>
    </row>
    <row r="1460" spans="1:32" s="10" customFormat="1" ht="20.100000000000001" customHeight="1" x14ac:dyDescent="0.25">
      <c r="A1460" s="8">
        <v>1</v>
      </c>
      <c r="B1460" s="8" t="s">
        <v>2</v>
      </c>
      <c r="C1460" s="11" t="s">
        <v>196</v>
      </c>
      <c r="D1460" s="11">
        <v>1</v>
      </c>
      <c r="E1460" s="11">
        <v>2.6970000000000001</v>
      </c>
      <c r="F1460" s="11">
        <v>0.35</v>
      </c>
      <c r="G1460" s="11">
        <v>1.1000000000000001</v>
      </c>
      <c r="H1460" s="8">
        <f>G1460-0.2</f>
        <v>0.90000000000000013</v>
      </c>
      <c r="I1460" s="8">
        <f>E1460*F1460*G1460*D1460</f>
        <v>1.0383450000000001</v>
      </c>
      <c r="J1460" s="8">
        <f>(2*(E1460)*H1460*D1460)+(E1460*F1460)</f>
        <v>5.7985500000000005</v>
      </c>
      <c r="K1460" s="12">
        <f>IF(E1460=0.3,J1460,0)</f>
        <v>0</v>
      </c>
      <c r="L1460" s="12">
        <f>IF(AND(E1460&gt;0.3,E1460&lt;=0.75),J1460,0)</f>
        <v>0</v>
      </c>
      <c r="M1460" s="12">
        <f>IF(AND(E1460&gt;0.75,E1460&lt;=1.2),J1460,0)</f>
        <v>0</v>
      </c>
      <c r="N1460" s="12">
        <f>IF(E1460&gt;1.2,J1460,0)</f>
        <v>5.7985500000000005</v>
      </c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>
        <f>SUM(X1461:X1462)/I1460</f>
        <v>157.71162213494964</v>
      </c>
      <c r="Z1460" s="8"/>
      <c r="AA1460" s="8"/>
      <c r="AB1460" s="8"/>
      <c r="AC1460" s="8"/>
      <c r="AD1460" s="8"/>
      <c r="AE1460" s="8"/>
    </row>
    <row r="1461" spans="1:32" s="10" customFormat="1" ht="19.5" customHeight="1" x14ac:dyDescent="0.25">
      <c r="A1461" s="7"/>
      <c r="B1461" s="8" t="s">
        <v>2</v>
      </c>
      <c r="C1461" s="13" t="s">
        <v>4</v>
      </c>
      <c r="D1461" s="8">
        <v>20</v>
      </c>
      <c r="E1461" s="8"/>
      <c r="F1461" s="8">
        <v>4</v>
      </c>
      <c r="G1461" s="9">
        <f>VLOOKUP(D1461,'[2]Beam '!$C$20:$H$26,3,0)</f>
        <v>0.8</v>
      </c>
      <c r="H1461" s="9"/>
      <c r="I1461" s="8"/>
      <c r="J1461" s="8"/>
      <c r="K1461" s="8"/>
      <c r="L1461" s="8"/>
      <c r="M1461" s="8"/>
      <c r="N1461" s="8"/>
      <c r="O1461" s="8">
        <f>(E1460+2*(G1461+2*(2/2)*D1460))</f>
        <v>8.2970000000000006</v>
      </c>
      <c r="P1461" s="8">
        <f t="shared" ref="P1461:P1467" si="269">O1461*F1461</f>
        <v>33.188000000000002</v>
      </c>
      <c r="Q1461" s="8">
        <f>IF($D1461='[2]Beam '!Q$44,$P1461*'[2]Beam '!Q$45,0)</f>
        <v>0</v>
      </c>
      <c r="R1461" s="8">
        <f>IF($D1461='[2]Beam '!R$44,$P1461*'[2]Beam '!R$45,0)</f>
        <v>0</v>
      </c>
      <c r="S1461" s="8">
        <f>IF($D1461='[2]Beam '!S$44,$P1461*'[2]Beam '!S$45,0)</f>
        <v>0</v>
      </c>
      <c r="T1461" s="8">
        <f>IF($D1461='[2]Beam '!T$44,$P1461*'[2]Beam '!T$45,0)</f>
        <v>0</v>
      </c>
      <c r="U1461" s="8">
        <f>IF($D1461='[2]Beam '!U$44,$P1461*'[2]Beam '!U$45,0)</f>
        <v>81.879537142857146</v>
      </c>
      <c r="V1461" s="8">
        <f>IF($D1461='[2]Beam '!V$44,$P1461*'[2]Beam '!V$45,0)</f>
        <v>0</v>
      </c>
      <c r="W1461" s="8">
        <f>IF($D1461='[2]Beam '!W$44,$P1461*'[2]Beam '!W$45,0)</f>
        <v>0</v>
      </c>
      <c r="X1461" s="8">
        <f t="shared" ref="X1461:X1467" si="270">SUM(Q1461:W1461)</f>
        <v>81.879537142857146</v>
      </c>
      <c r="Y1461" s="8"/>
      <c r="Z1461" s="8"/>
      <c r="AA1461" s="8"/>
      <c r="AB1461" s="8"/>
      <c r="AC1461" s="8"/>
      <c r="AD1461" s="8"/>
      <c r="AE1461" s="8"/>
    </row>
    <row r="1462" spans="1:32" s="10" customFormat="1" ht="20.100000000000001" customHeight="1" x14ac:dyDescent="0.25">
      <c r="A1462" s="7"/>
      <c r="B1462" s="8" t="s">
        <v>2</v>
      </c>
      <c r="C1462" s="13" t="s">
        <v>139</v>
      </c>
      <c r="D1462" s="8">
        <v>20</v>
      </c>
      <c r="E1462" s="8"/>
      <c r="F1462" s="8">
        <v>4</v>
      </c>
      <c r="G1462" s="9">
        <f>VLOOKUP(D1462,'[2]Beam '!$C$20:$H$26,3,0)</f>
        <v>0.8</v>
      </c>
      <c r="H1462" s="9"/>
      <c r="I1462" s="8"/>
      <c r="J1462" s="8"/>
      <c r="K1462" s="8"/>
      <c r="L1462" s="8"/>
      <c r="M1462" s="8"/>
      <c r="N1462" s="8"/>
      <c r="O1462" s="8">
        <f>(E1460+2*(G1462+2*(2/2)*D1460))</f>
        <v>8.2970000000000006</v>
      </c>
      <c r="P1462" s="8">
        <f t="shared" si="269"/>
        <v>33.188000000000002</v>
      </c>
      <c r="Q1462" s="8">
        <f>IF($D1462='[2]Beam '!Q$44,$P1462*'[2]Beam '!Q$45,0)</f>
        <v>0</v>
      </c>
      <c r="R1462" s="8">
        <f>IF($D1462='[2]Beam '!R$44,$P1462*'[2]Beam '!R$45,0)</f>
        <v>0</v>
      </c>
      <c r="S1462" s="8">
        <f>IF($D1462='[2]Beam '!S$44,$P1462*'[2]Beam '!S$45,0)</f>
        <v>0</v>
      </c>
      <c r="T1462" s="8">
        <f>IF($D1462='[2]Beam '!T$44,$P1462*'[2]Beam '!T$45,0)</f>
        <v>0</v>
      </c>
      <c r="U1462" s="8">
        <f>IF($D1462='[2]Beam '!U$44,$P1462*'[2]Beam '!U$45,0)</f>
        <v>81.879537142857146</v>
      </c>
      <c r="V1462" s="8">
        <f>IF($D1462='[2]Beam '!V$44,$P1462*'[2]Beam '!V$45,0)</f>
        <v>0</v>
      </c>
      <c r="W1462" s="8">
        <f>IF($D1462='[2]Beam '!W$44,$P1462*'[2]Beam '!W$45,0)</f>
        <v>0</v>
      </c>
      <c r="X1462" s="8">
        <f t="shared" si="270"/>
        <v>81.879537142857146</v>
      </c>
      <c r="Y1462" s="8"/>
      <c r="Z1462" s="8"/>
      <c r="AA1462" s="8"/>
      <c r="AB1462" s="8"/>
      <c r="AC1462" s="8"/>
      <c r="AD1462" s="8"/>
      <c r="AE1462" s="8"/>
    </row>
    <row r="1463" spans="1:32" s="14" customFormat="1" ht="20.100000000000001" customHeight="1" x14ac:dyDescent="0.3">
      <c r="A1463" s="7"/>
      <c r="B1463" s="8" t="s">
        <v>2</v>
      </c>
      <c r="C1463" s="13" t="s">
        <v>75</v>
      </c>
      <c r="D1463" s="8">
        <v>16</v>
      </c>
      <c r="E1463" s="8"/>
      <c r="F1463" s="8">
        <v>4</v>
      </c>
      <c r="G1463" s="9">
        <f>VLOOKUP(D1463,'[2]Beam '!$C$20:$H$26,3,0)</f>
        <v>0.625</v>
      </c>
      <c r="H1463" s="9"/>
      <c r="I1463" s="8"/>
      <c r="J1463" s="8"/>
      <c r="K1463" s="8"/>
      <c r="L1463" s="8"/>
      <c r="M1463" s="8"/>
      <c r="N1463" s="8"/>
      <c r="O1463" s="8">
        <f>(1.2+1*(1*(2/2)*D1460))</f>
        <v>2.2000000000000002</v>
      </c>
      <c r="P1463" s="8">
        <f t="shared" si="269"/>
        <v>8.8000000000000007</v>
      </c>
      <c r="Q1463" s="8">
        <f>IF($D1463='[2]Beam '!Q$44,$P1463*'[2]Beam '!Q$45,0)</f>
        <v>0</v>
      </c>
      <c r="R1463" s="8">
        <f>IF($D1463='[2]Beam '!R$44,$P1463*'[2]Beam '!R$45,0)</f>
        <v>0</v>
      </c>
      <c r="S1463" s="8">
        <f>IF($D1463='[2]Beam '!S$44,$P1463*'[2]Beam '!S$45,0)</f>
        <v>0</v>
      </c>
      <c r="T1463" s="8">
        <f>IF($D1463='[2]Beam '!T$44,$P1463*'[2]Beam '!T$45,0)</f>
        <v>13.894948571428573</v>
      </c>
      <c r="U1463" s="8">
        <f>IF($D1463='[2]Beam '!U$44,$P1463*'[2]Beam '!U$45,0)</f>
        <v>0</v>
      </c>
      <c r="V1463" s="8">
        <f>IF($D1463='[2]Beam '!V$44,$P1463*'[2]Beam '!V$45,0)</f>
        <v>0</v>
      </c>
      <c r="W1463" s="8">
        <f>IF($D1463='[2]Beam '!W$44,$P1463*'[2]Beam '!W$45,0)</f>
        <v>0</v>
      </c>
      <c r="X1463" s="8">
        <f t="shared" si="270"/>
        <v>13.894948571428573</v>
      </c>
      <c r="Y1463" s="8"/>
    </row>
    <row r="1464" spans="1:32" s="10" customFormat="1" ht="20.100000000000001" customHeight="1" x14ac:dyDescent="0.25">
      <c r="A1464" s="7"/>
      <c r="B1464" s="8" t="s">
        <v>2</v>
      </c>
      <c r="C1464" s="13" t="s">
        <v>88</v>
      </c>
      <c r="D1464" s="8">
        <v>16</v>
      </c>
      <c r="E1464" s="8"/>
      <c r="F1464" s="8">
        <v>4</v>
      </c>
      <c r="G1464" s="9">
        <f>VLOOKUP(D1464,'[2]Beam '!$C$20:$H$26,3,0)</f>
        <v>0.625</v>
      </c>
      <c r="H1464" s="9"/>
      <c r="I1464" s="8"/>
      <c r="J1464" s="8"/>
      <c r="K1464" s="8"/>
      <c r="L1464" s="8"/>
      <c r="M1464" s="8"/>
      <c r="N1464" s="8"/>
      <c r="O1464" s="8">
        <f>(E1460+2*(G1464)*D1460)</f>
        <v>3.9470000000000001</v>
      </c>
      <c r="P1464" s="8">
        <f t="shared" si="269"/>
        <v>15.788</v>
      </c>
      <c r="Q1464" s="8">
        <f>IF($D1464='[2]Beam '!Q$44,$P1464*'[2]Beam '!Q$45,0)</f>
        <v>0</v>
      </c>
      <c r="R1464" s="8">
        <f>IF($D1464='[2]Beam '!R$44,$P1464*'[2]Beam '!R$45,0)</f>
        <v>0</v>
      </c>
      <c r="S1464" s="8">
        <f>IF($D1464='[2]Beam '!S$44,$P1464*'[2]Beam '!S$45,0)</f>
        <v>0</v>
      </c>
      <c r="T1464" s="8">
        <f>IF($D1464='[2]Beam '!T$44,$P1464*'[2]Beam '!T$45,0)</f>
        <v>24.928800914285716</v>
      </c>
      <c r="U1464" s="8">
        <f>IF($D1464='[2]Beam '!U$44,$P1464*'[2]Beam '!U$45,0)</f>
        <v>0</v>
      </c>
      <c r="V1464" s="8">
        <f>IF($D1464='[2]Beam '!V$44,$P1464*'[2]Beam '!V$45,0)</f>
        <v>0</v>
      </c>
      <c r="W1464" s="8">
        <f>IF($D1464='[2]Beam '!W$44,$P1464*'[2]Beam '!W$45,0)</f>
        <v>0</v>
      </c>
      <c r="X1464" s="8">
        <f t="shared" si="270"/>
        <v>24.928800914285716</v>
      </c>
      <c r="Y1464" s="8"/>
      <c r="Z1464" s="8"/>
      <c r="AA1464" s="8"/>
      <c r="AB1464" s="8"/>
      <c r="AC1464" s="8"/>
      <c r="AD1464" s="8"/>
      <c r="AE1464" s="8"/>
    </row>
    <row r="1465" spans="1:32" s="10" customFormat="1" ht="21" customHeight="1" x14ac:dyDescent="0.25">
      <c r="A1465" s="7"/>
      <c r="B1465" s="8" t="s">
        <v>2</v>
      </c>
      <c r="C1465" s="13" t="s">
        <v>8</v>
      </c>
      <c r="D1465" s="8">
        <v>12</v>
      </c>
      <c r="E1465" s="8">
        <v>0.1</v>
      </c>
      <c r="F1465" s="8">
        <f>ROUNDUP(E1460/E1465,0)</f>
        <v>27</v>
      </c>
      <c r="H1465" s="8"/>
      <c r="I1465" s="8"/>
      <c r="J1465" s="8"/>
      <c r="K1465" s="8"/>
      <c r="L1465" s="8"/>
      <c r="M1465" s="8"/>
      <c r="N1465" s="8"/>
      <c r="O1465" s="8">
        <f>(2*((G1460-(2*'[2]Beam '!$D$11))+(F1460-(2*'[2]Beam '!$D$11)))+(2*10*D1465/1000))*D1460</f>
        <v>2.9000000000000004</v>
      </c>
      <c r="P1465" s="8">
        <f t="shared" si="269"/>
        <v>78.300000000000011</v>
      </c>
      <c r="Q1465" s="8">
        <f>IF($D1465='[2]Beam '!Q$44,$P1465*'[2]Beam '!Q$45,0)</f>
        <v>0</v>
      </c>
      <c r="R1465" s="8">
        <f>IF($D1465='[2]Beam '!R$44,$P1465*'[2]Beam '!R$45,0)</f>
        <v>0</v>
      </c>
      <c r="S1465" s="8">
        <f>IF($D1465='[2]Beam '!S$44,$P1465*'[2]Beam '!S$45,0)</f>
        <v>69.543822857142885</v>
      </c>
      <c r="T1465" s="8">
        <f>IF($D1465='[2]Beam '!T$44,$P1465*'[2]Beam '!T$45,0)</f>
        <v>0</v>
      </c>
      <c r="U1465" s="8">
        <f>IF($D1465='[2]Beam '!U$44,$P1465*'[2]Beam '!U$45,0)</f>
        <v>0</v>
      </c>
      <c r="V1465" s="8">
        <f>IF($D1465='[2]Beam '!V$44,$P1465*'[2]Beam '!V$45,0)</f>
        <v>0</v>
      </c>
      <c r="W1465" s="8">
        <f>IF($D1465='[2]Beam '!W$44,$P1465*'[2]Beam '!W$45,0)</f>
        <v>0</v>
      </c>
      <c r="X1465" s="8">
        <f t="shared" si="270"/>
        <v>69.543822857142885</v>
      </c>
      <c r="Y1465" s="8"/>
      <c r="Z1465" s="8"/>
      <c r="AA1465" s="8"/>
      <c r="AB1465" s="8"/>
      <c r="AC1465" s="8"/>
      <c r="AD1465" s="8"/>
      <c r="AE1465" s="8"/>
      <c r="AF1465" s="8"/>
    </row>
    <row r="1466" spans="1:32" s="10" customFormat="1" ht="20.100000000000001" customHeight="1" x14ac:dyDescent="0.25">
      <c r="A1466" s="14"/>
      <c r="B1466" s="8" t="s">
        <v>2</v>
      </c>
      <c r="C1466" s="13" t="s">
        <v>9</v>
      </c>
      <c r="D1466" s="8">
        <f>+D1465</f>
        <v>12</v>
      </c>
      <c r="E1466" s="14">
        <f>+E1465</f>
        <v>0.1</v>
      </c>
      <c r="F1466" s="8">
        <f>ROUNDUP(E1460/E1466,0)</f>
        <v>27</v>
      </c>
      <c r="H1466" s="14"/>
      <c r="I1466" s="14"/>
      <c r="J1466" s="14"/>
      <c r="K1466" s="14"/>
      <c r="L1466" s="14"/>
      <c r="M1466" s="14"/>
      <c r="N1466" s="14"/>
      <c r="O1466" s="8">
        <f>((((G1460-(2*'[2]Beam '!$D$11))+(2*10*D1466/1000))*D1460))*2</f>
        <v>2.56</v>
      </c>
      <c r="P1466" s="8">
        <f t="shared" si="269"/>
        <v>69.12</v>
      </c>
      <c r="Q1466" s="8">
        <f>IF($D1466='[2]Beam '!Q$44,$P1466*'[2]Beam '!Q$45,0)</f>
        <v>0</v>
      </c>
      <c r="R1466" s="8">
        <f>IF($D1466='[2]Beam '!R$44,$P1466*'[2]Beam '!R$45,0)</f>
        <v>0</v>
      </c>
      <c r="S1466" s="8">
        <f>IF($D1466='[2]Beam '!S$44,$P1466*'[2]Beam '!S$45,0)</f>
        <v>61.390409142857159</v>
      </c>
      <c r="T1466" s="8">
        <f>IF($D1466='[2]Beam '!T$44,$P1466*'[2]Beam '!T$45,0)</f>
        <v>0</v>
      </c>
      <c r="U1466" s="8">
        <f>IF($D1466='[2]Beam '!U$44,$P1466*'[2]Beam '!U$45,0)</f>
        <v>0</v>
      </c>
      <c r="V1466" s="8">
        <f>IF($D1466='[2]Beam '!V$44,$P1466*'[2]Beam '!V$45,0)</f>
        <v>0</v>
      </c>
      <c r="W1466" s="8">
        <f>IF($D1466='[2]Beam '!W$44,$P1466*'[2]Beam '!W$45,0)</f>
        <v>0</v>
      </c>
      <c r="X1466" s="8">
        <f t="shared" si="270"/>
        <v>61.390409142857159</v>
      </c>
      <c r="Y1466" s="14"/>
      <c r="Z1466" s="8"/>
      <c r="AA1466" s="8"/>
      <c r="AB1466" s="8"/>
      <c r="AC1466" s="8"/>
      <c r="AD1466" s="8"/>
      <c r="AE1466" s="8"/>
    </row>
    <row r="1467" spans="1:32" s="10" customFormat="1" ht="20.100000000000001" customHeight="1" x14ac:dyDescent="0.25">
      <c r="A1467" s="7"/>
      <c r="B1467" s="8" t="s">
        <v>2</v>
      </c>
      <c r="C1467" s="13" t="s">
        <v>10</v>
      </c>
      <c r="D1467" s="8">
        <f>+'[2]Beam '!$D$15</f>
        <v>25</v>
      </c>
      <c r="E1467" s="8">
        <f>+'[2]Beam '!$E$15</f>
        <v>1</v>
      </c>
      <c r="F1467" s="8">
        <f>ROUNDUP((E1460)/E1467,0)</f>
        <v>3</v>
      </c>
      <c r="G1467" s="9"/>
      <c r="H1467" s="9"/>
      <c r="I1467" s="8"/>
      <c r="J1467" s="8"/>
      <c r="K1467" s="8"/>
      <c r="L1467" s="8"/>
      <c r="M1467" s="8"/>
      <c r="N1467" s="8"/>
      <c r="O1467" s="8">
        <f>F1460-'[2]Beam '!$F$15</f>
        <v>0.28999999999999998</v>
      </c>
      <c r="P1467" s="8">
        <f t="shared" si="269"/>
        <v>0.86999999999999988</v>
      </c>
      <c r="Q1467" s="8">
        <f>IF($D1467='[2]Beam '!Q$44,$P1467*'[2]Beam '!Q$45,0)</f>
        <v>0</v>
      </c>
      <c r="R1467" s="8">
        <f>IF($D1467='[2]Beam '!R$44,$P1467*'[2]Beam '!R$45,0)</f>
        <v>0</v>
      </c>
      <c r="S1467" s="8">
        <f>IF($D1467='[2]Beam '!S$44,$P1467*'[2]Beam '!S$45,0)</f>
        <v>0</v>
      </c>
      <c r="T1467" s="8">
        <f>IF($D1467='[2]Beam '!T$44,$P1467*'[2]Beam '!T$45,0)</f>
        <v>0</v>
      </c>
      <c r="U1467" s="8">
        <f>IF($D1467='[2]Beam '!U$44,$P1467*'[2]Beam '!U$45,0)</f>
        <v>0</v>
      </c>
      <c r="V1467" s="8">
        <f>IF($D1467='[2]Beam '!V$44,$P1467*'[2]Beam '!V$45,0)</f>
        <v>3.3537723214285715</v>
      </c>
      <c r="W1467" s="8">
        <f>IF($D1467='[2]Beam '!W$44,$P1467*'[2]Beam '!W$45,0)</f>
        <v>0</v>
      </c>
      <c r="X1467" s="8">
        <f t="shared" si="270"/>
        <v>3.3537723214285715</v>
      </c>
      <c r="Y1467" s="8"/>
      <c r="Z1467" s="8"/>
      <c r="AA1467" s="8"/>
      <c r="AB1467" s="8"/>
      <c r="AC1467" s="8"/>
      <c r="AD1467" s="8"/>
      <c r="AE1467" s="8"/>
    </row>
    <row r="1468" spans="1:32" s="10" customFormat="1" ht="20.100000000000001" customHeight="1" x14ac:dyDescent="0.25">
      <c r="A1468" s="8">
        <v>1</v>
      </c>
      <c r="B1468" s="8" t="s">
        <v>2</v>
      </c>
      <c r="C1468" s="11" t="s">
        <v>197</v>
      </c>
      <c r="D1468" s="11">
        <v>1</v>
      </c>
      <c r="E1468" s="11">
        <v>2.9929999999999999</v>
      </c>
      <c r="F1468" s="11">
        <v>0.35</v>
      </c>
      <c r="G1468" s="11">
        <v>1.1000000000000001</v>
      </c>
      <c r="H1468" s="8">
        <f>G1468-0.2</f>
        <v>0.90000000000000013</v>
      </c>
      <c r="I1468" s="8">
        <f>E1468*F1468*G1468*D1468</f>
        <v>1.1523050000000001</v>
      </c>
      <c r="J1468" s="8">
        <f>(2*(E1468)*H1468*D1468)+(E1468*F1468)</f>
        <v>6.4349500000000006</v>
      </c>
      <c r="K1468" s="12">
        <f>IF(E1468=0.3,J1468,0)</f>
        <v>0</v>
      </c>
      <c r="L1468" s="12">
        <f>IF(AND(E1468&gt;0.3,E1468&lt;=0.75),J1468,0)</f>
        <v>0</v>
      </c>
      <c r="M1468" s="12">
        <f>IF(AND(E1468&gt;0.75,E1468&lt;=1.2),J1468,0)</f>
        <v>0</v>
      </c>
      <c r="N1468" s="12">
        <f>IF(E1468&gt;1.2,J1468,0)</f>
        <v>6.4349500000000006</v>
      </c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>
        <f>SUM(X1469:X1470)/I1468</f>
        <v>147.18435533251053</v>
      </c>
      <c r="Z1468" s="8"/>
      <c r="AA1468" s="8"/>
      <c r="AB1468" s="8"/>
      <c r="AC1468" s="8"/>
      <c r="AD1468" s="8"/>
      <c r="AE1468" s="8"/>
    </row>
    <row r="1469" spans="1:32" s="10" customFormat="1" ht="20.100000000000001" customHeight="1" x14ac:dyDescent="0.25">
      <c r="A1469" s="7"/>
      <c r="B1469" s="8" t="s">
        <v>2</v>
      </c>
      <c r="C1469" s="13" t="s">
        <v>4</v>
      </c>
      <c r="D1469" s="8">
        <v>20</v>
      </c>
      <c r="E1469" s="8"/>
      <c r="F1469" s="8">
        <v>4</v>
      </c>
      <c r="G1469" s="9">
        <f>VLOOKUP(D1469,'[2]Beam '!$C$20:$H$26,3,0)</f>
        <v>0.8</v>
      </c>
      <c r="H1469" s="9"/>
      <c r="I1469" s="8"/>
      <c r="J1469" s="8"/>
      <c r="K1469" s="8"/>
      <c r="L1469" s="8"/>
      <c r="M1469" s="8"/>
      <c r="N1469" s="8"/>
      <c r="O1469" s="8">
        <f>(E1468+2*(G1469+2*(2/2)*D1468))</f>
        <v>8.593</v>
      </c>
      <c r="P1469" s="8">
        <f t="shared" ref="P1469:P1476" si="271">O1469*F1469</f>
        <v>34.372</v>
      </c>
      <c r="Q1469" s="8">
        <f>IF($D1469='[2]Beam '!Q$44,$P1469*'[2]Beam '!Q$45,0)</f>
        <v>0</v>
      </c>
      <c r="R1469" s="8">
        <f>IF($D1469='[2]Beam '!R$44,$P1469*'[2]Beam '!R$45,0)</f>
        <v>0</v>
      </c>
      <c r="S1469" s="8">
        <f>IF($D1469='[2]Beam '!S$44,$P1469*'[2]Beam '!S$45,0)</f>
        <v>0</v>
      </c>
      <c r="T1469" s="8">
        <f>IF($D1469='[2]Beam '!T$44,$P1469*'[2]Beam '!T$45,0)</f>
        <v>0</v>
      </c>
      <c r="U1469" s="8">
        <f>IF($D1469='[2]Beam '!U$44,$P1469*'[2]Beam '!U$45,0)</f>
        <v>84.800634285714281</v>
      </c>
      <c r="V1469" s="8">
        <f>IF($D1469='[2]Beam '!V$44,$P1469*'[2]Beam '!V$45,0)</f>
        <v>0</v>
      </c>
      <c r="W1469" s="8">
        <f>IF($D1469='[2]Beam '!W$44,$P1469*'[2]Beam '!W$45,0)</f>
        <v>0</v>
      </c>
      <c r="X1469" s="8">
        <f t="shared" ref="X1469:X1476" si="272">SUM(Q1469:W1469)</f>
        <v>84.800634285714281</v>
      </c>
      <c r="Y1469" s="8"/>
      <c r="Z1469" s="8"/>
      <c r="AA1469" s="8"/>
      <c r="AB1469" s="8"/>
      <c r="AC1469" s="8"/>
      <c r="AD1469" s="8"/>
      <c r="AE1469" s="8"/>
    </row>
    <row r="1470" spans="1:32" s="10" customFormat="1" ht="19.5" customHeight="1" x14ac:dyDescent="0.25">
      <c r="A1470" s="7"/>
      <c r="B1470" s="8" t="s">
        <v>2</v>
      </c>
      <c r="C1470" s="13" t="s">
        <v>139</v>
      </c>
      <c r="D1470" s="8">
        <v>20</v>
      </c>
      <c r="E1470" s="8"/>
      <c r="F1470" s="8">
        <v>4</v>
      </c>
      <c r="G1470" s="9">
        <f>VLOOKUP(D1470,'[2]Beam '!$C$20:$H$26,3,0)</f>
        <v>0.8</v>
      </c>
      <c r="H1470" s="9"/>
      <c r="I1470" s="8"/>
      <c r="J1470" s="8"/>
      <c r="K1470" s="8"/>
      <c r="L1470" s="8"/>
      <c r="M1470" s="8"/>
      <c r="N1470" s="8"/>
      <c r="O1470" s="8">
        <f>(E1468+2*(G1470+2*(2/2)*D1468))</f>
        <v>8.593</v>
      </c>
      <c r="P1470" s="8">
        <f t="shared" si="271"/>
        <v>34.372</v>
      </c>
      <c r="Q1470" s="8">
        <f>IF($D1470='[2]Beam '!Q$44,$P1470*'[2]Beam '!Q$45,0)</f>
        <v>0</v>
      </c>
      <c r="R1470" s="8">
        <f>IF($D1470='[2]Beam '!R$44,$P1470*'[2]Beam '!R$45,0)</f>
        <v>0</v>
      </c>
      <c r="S1470" s="8">
        <f>IF($D1470='[2]Beam '!S$44,$P1470*'[2]Beam '!S$45,0)</f>
        <v>0</v>
      </c>
      <c r="T1470" s="8">
        <f>IF($D1470='[2]Beam '!T$44,$P1470*'[2]Beam '!T$45,0)</f>
        <v>0</v>
      </c>
      <c r="U1470" s="8">
        <f>IF($D1470='[2]Beam '!U$44,$P1470*'[2]Beam '!U$45,0)</f>
        <v>84.800634285714281</v>
      </c>
      <c r="V1470" s="8">
        <f>IF($D1470='[2]Beam '!V$44,$P1470*'[2]Beam '!V$45,0)</f>
        <v>0</v>
      </c>
      <c r="W1470" s="8">
        <f>IF($D1470='[2]Beam '!W$44,$P1470*'[2]Beam '!W$45,0)</f>
        <v>0</v>
      </c>
      <c r="X1470" s="8">
        <f t="shared" si="272"/>
        <v>84.800634285714281</v>
      </c>
      <c r="Y1470" s="8"/>
      <c r="Z1470" s="8"/>
      <c r="AA1470" s="8"/>
      <c r="AB1470" s="8"/>
      <c r="AC1470" s="8"/>
      <c r="AD1470" s="8"/>
      <c r="AE1470" s="8"/>
    </row>
    <row r="1471" spans="1:32" s="10" customFormat="1" ht="20.100000000000001" customHeight="1" x14ac:dyDescent="0.25">
      <c r="A1471" s="7"/>
      <c r="B1471" s="8" t="s">
        <v>2</v>
      </c>
      <c r="C1471" s="13" t="s">
        <v>75</v>
      </c>
      <c r="D1471" s="8">
        <v>16</v>
      </c>
      <c r="E1471" s="8"/>
      <c r="F1471" s="8">
        <v>4</v>
      </c>
      <c r="G1471" s="9">
        <f>VLOOKUP(D1471,'[2]Beam '!$C$20:$H$26,3,0)</f>
        <v>0.625</v>
      </c>
      <c r="H1471" s="9"/>
      <c r="I1471" s="8"/>
      <c r="J1471" s="8"/>
      <c r="K1471" s="8"/>
      <c r="L1471" s="8"/>
      <c r="M1471" s="8"/>
      <c r="N1471" s="8"/>
      <c r="O1471" s="8">
        <f>(1.25+1*(1*(2/2)*D1468))</f>
        <v>2.25</v>
      </c>
      <c r="P1471" s="8">
        <f t="shared" si="271"/>
        <v>9</v>
      </c>
      <c r="Q1471" s="8">
        <f>IF($D1471='[2]Beam '!Q$44,$P1471*'[2]Beam '!Q$45,0)</f>
        <v>0</v>
      </c>
      <c r="R1471" s="8">
        <f>IF($D1471='[2]Beam '!R$44,$P1471*'[2]Beam '!R$45,0)</f>
        <v>0</v>
      </c>
      <c r="S1471" s="8">
        <f>IF($D1471='[2]Beam '!S$44,$P1471*'[2]Beam '!S$45,0)</f>
        <v>0</v>
      </c>
      <c r="T1471" s="8">
        <f>IF($D1471='[2]Beam '!T$44,$P1471*'[2]Beam '!T$45,0)</f>
        <v>14.210742857142858</v>
      </c>
      <c r="U1471" s="8">
        <f>IF($D1471='[2]Beam '!U$44,$P1471*'[2]Beam '!U$45,0)</f>
        <v>0</v>
      </c>
      <c r="V1471" s="8">
        <f>IF($D1471='[2]Beam '!V$44,$P1471*'[2]Beam '!V$45,0)</f>
        <v>0</v>
      </c>
      <c r="W1471" s="8">
        <f>IF($D1471='[2]Beam '!W$44,$P1471*'[2]Beam '!W$45,0)</f>
        <v>0</v>
      </c>
      <c r="X1471" s="8">
        <f t="shared" si="272"/>
        <v>14.210742857142858</v>
      </c>
      <c r="Y1471" s="8"/>
      <c r="Z1471" s="8"/>
      <c r="AA1471" s="8"/>
      <c r="AB1471" s="8"/>
      <c r="AC1471" s="8"/>
      <c r="AD1471" s="8"/>
      <c r="AE1471" s="8"/>
    </row>
    <row r="1472" spans="1:32" s="14" customFormat="1" ht="20.100000000000001" customHeight="1" x14ac:dyDescent="0.3">
      <c r="A1472" s="7"/>
      <c r="B1472" s="8" t="s">
        <v>2</v>
      </c>
      <c r="C1472" s="13" t="s">
        <v>75</v>
      </c>
      <c r="D1472" s="8">
        <v>20</v>
      </c>
      <c r="E1472" s="8"/>
      <c r="F1472" s="8">
        <v>4</v>
      </c>
      <c r="G1472" s="9">
        <f>VLOOKUP(D1472,'[2]Beam '!$C$20:$H$26,3,0)</f>
        <v>0.8</v>
      </c>
      <c r="H1472" s="9"/>
      <c r="I1472" s="8"/>
      <c r="J1472" s="8"/>
      <c r="K1472" s="8"/>
      <c r="L1472" s="8"/>
      <c r="M1472" s="8"/>
      <c r="N1472" s="8"/>
      <c r="O1472" s="8">
        <f>(1.25+1*(1*(2/2)*D1468))</f>
        <v>2.25</v>
      </c>
      <c r="P1472" s="8">
        <f t="shared" si="271"/>
        <v>9</v>
      </c>
      <c r="Q1472" s="8">
        <f>IF($D1472='[2]Beam '!Q$44,$P1472*'[2]Beam '!Q$45,0)</f>
        <v>0</v>
      </c>
      <c r="R1472" s="8">
        <f>IF($D1472='[2]Beam '!R$44,$P1472*'[2]Beam '!R$45,0)</f>
        <v>0</v>
      </c>
      <c r="S1472" s="8">
        <f>IF($D1472='[2]Beam '!S$44,$P1472*'[2]Beam '!S$45,0)</f>
        <v>0</v>
      </c>
      <c r="T1472" s="8">
        <f>IF($D1472='[2]Beam '!T$44,$P1472*'[2]Beam '!T$45,0)</f>
        <v>0</v>
      </c>
      <c r="U1472" s="8">
        <f>IF($D1472='[2]Beam '!U$44,$P1472*'[2]Beam '!U$45,0)</f>
        <v>22.204285714285714</v>
      </c>
      <c r="V1472" s="8">
        <f>IF($D1472='[2]Beam '!V$44,$P1472*'[2]Beam '!V$45,0)</f>
        <v>0</v>
      </c>
      <c r="W1472" s="8">
        <f>IF($D1472='[2]Beam '!W$44,$P1472*'[2]Beam '!W$45,0)</f>
        <v>0</v>
      </c>
      <c r="X1472" s="8">
        <f t="shared" si="272"/>
        <v>22.204285714285714</v>
      </c>
      <c r="Y1472" s="8"/>
    </row>
    <row r="1473" spans="1:32" s="10" customFormat="1" ht="20.100000000000001" customHeight="1" x14ac:dyDescent="0.25">
      <c r="A1473" s="7"/>
      <c r="B1473" s="8" t="s">
        <v>2</v>
      </c>
      <c r="C1473" s="13" t="s">
        <v>88</v>
      </c>
      <c r="D1473" s="8">
        <v>20</v>
      </c>
      <c r="E1473" s="8"/>
      <c r="F1473" s="8">
        <v>4</v>
      </c>
      <c r="G1473" s="9">
        <f>VLOOKUP(D1473,'[2]Beam '!$C$20:$H$26,3,0)</f>
        <v>0.8</v>
      </c>
      <c r="H1473" s="9"/>
      <c r="I1473" s="8"/>
      <c r="J1473" s="8"/>
      <c r="K1473" s="8"/>
      <c r="L1473" s="8"/>
      <c r="M1473" s="8"/>
      <c r="N1473" s="8"/>
      <c r="O1473" s="8">
        <f>(E1468+2*(G1473)*D1468)</f>
        <v>4.593</v>
      </c>
      <c r="P1473" s="8">
        <f t="shared" si="271"/>
        <v>18.372</v>
      </c>
      <c r="Q1473" s="8">
        <f>IF($D1473='[2]Beam '!Q$44,$P1473*'[2]Beam '!Q$45,0)</f>
        <v>0</v>
      </c>
      <c r="R1473" s="8">
        <f>IF($D1473='[2]Beam '!R$44,$P1473*'[2]Beam '!R$45,0)</f>
        <v>0</v>
      </c>
      <c r="S1473" s="8">
        <f>IF($D1473='[2]Beam '!S$44,$P1473*'[2]Beam '!S$45,0)</f>
        <v>0</v>
      </c>
      <c r="T1473" s="8">
        <f>IF($D1473='[2]Beam '!T$44,$P1473*'[2]Beam '!T$45,0)</f>
        <v>0</v>
      </c>
      <c r="U1473" s="8">
        <f>IF($D1473='[2]Beam '!U$44,$P1473*'[2]Beam '!U$45,0)</f>
        <v>45.326348571428568</v>
      </c>
      <c r="V1473" s="8">
        <f>IF($D1473='[2]Beam '!V$44,$P1473*'[2]Beam '!V$45,0)</f>
        <v>0</v>
      </c>
      <c r="W1473" s="8">
        <f>IF($D1473='[2]Beam '!W$44,$P1473*'[2]Beam '!W$45,0)</f>
        <v>0</v>
      </c>
      <c r="X1473" s="8">
        <f t="shared" si="272"/>
        <v>45.326348571428568</v>
      </c>
      <c r="Y1473" s="8"/>
      <c r="Z1473" s="8"/>
      <c r="AA1473" s="8"/>
      <c r="AB1473" s="8"/>
      <c r="AC1473" s="8"/>
      <c r="AD1473" s="8"/>
      <c r="AE1473" s="8"/>
    </row>
    <row r="1474" spans="1:32" s="10" customFormat="1" ht="21" customHeight="1" x14ac:dyDescent="0.25">
      <c r="A1474" s="7"/>
      <c r="B1474" s="8" t="s">
        <v>2</v>
      </c>
      <c r="C1474" s="13" t="s">
        <v>8</v>
      </c>
      <c r="D1474" s="8">
        <v>12</v>
      </c>
      <c r="E1474" s="8">
        <v>0.1</v>
      </c>
      <c r="F1474" s="8">
        <f>ROUNDUP(E1468/E1474,0)</f>
        <v>30</v>
      </c>
      <c r="H1474" s="8"/>
      <c r="I1474" s="8"/>
      <c r="J1474" s="8"/>
      <c r="K1474" s="8"/>
      <c r="L1474" s="8"/>
      <c r="M1474" s="8"/>
      <c r="N1474" s="8"/>
      <c r="O1474" s="8">
        <f>(2*((G1468-(2*'[2]Beam '!$D$11))+(F1468-(2*'[2]Beam '!$D$11)))+(2*10*D1474/1000))*D1468</f>
        <v>2.9000000000000004</v>
      </c>
      <c r="P1474" s="8">
        <f t="shared" si="271"/>
        <v>87.000000000000014</v>
      </c>
      <c r="Q1474" s="8">
        <f>IF($D1474='[2]Beam '!Q$44,$P1474*'[2]Beam '!Q$45,0)</f>
        <v>0</v>
      </c>
      <c r="R1474" s="8">
        <f>IF($D1474='[2]Beam '!R$44,$P1474*'[2]Beam '!R$45,0)</f>
        <v>0</v>
      </c>
      <c r="S1474" s="8">
        <f>IF($D1474='[2]Beam '!S$44,$P1474*'[2]Beam '!S$45,0)</f>
        <v>77.270914285714312</v>
      </c>
      <c r="T1474" s="8">
        <f>IF($D1474='[2]Beam '!T$44,$P1474*'[2]Beam '!T$45,0)</f>
        <v>0</v>
      </c>
      <c r="U1474" s="8">
        <f>IF($D1474='[2]Beam '!U$44,$P1474*'[2]Beam '!U$45,0)</f>
        <v>0</v>
      </c>
      <c r="V1474" s="8">
        <f>IF($D1474='[2]Beam '!V$44,$P1474*'[2]Beam '!V$45,0)</f>
        <v>0</v>
      </c>
      <c r="W1474" s="8">
        <f>IF($D1474='[2]Beam '!W$44,$P1474*'[2]Beam '!W$45,0)</f>
        <v>0</v>
      </c>
      <c r="X1474" s="8">
        <f t="shared" si="272"/>
        <v>77.270914285714312</v>
      </c>
      <c r="Y1474" s="8"/>
      <c r="Z1474" s="8"/>
      <c r="AA1474" s="8"/>
      <c r="AB1474" s="8"/>
      <c r="AC1474" s="8"/>
      <c r="AD1474" s="8"/>
      <c r="AE1474" s="8"/>
      <c r="AF1474" s="8"/>
    </row>
    <row r="1475" spans="1:32" s="10" customFormat="1" ht="20.100000000000001" customHeight="1" x14ac:dyDescent="0.25">
      <c r="A1475" s="14"/>
      <c r="B1475" s="8" t="s">
        <v>2</v>
      </c>
      <c r="C1475" s="13" t="s">
        <v>9</v>
      </c>
      <c r="D1475" s="8">
        <f>+D1474</f>
        <v>12</v>
      </c>
      <c r="E1475" s="14">
        <f>+E1474</f>
        <v>0.1</v>
      </c>
      <c r="F1475" s="8">
        <f>ROUNDUP(E1468/E1475,0)</f>
        <v>30</v>
      </c>
      <c r="H1475" s="14"/>
      <c r="I1475" s="14"/>
      <c r="J1475" s="14"/>
      <c r="K1475" s="14"/>
      <c r="L1475" s="14"/>
      <c r="M1475" s="14"/>
      <c r="N1475" s="14"/>
      <c r="O1475" s="8">
        <f>((((G1468-(2*'[2]Beam '!$D$11))+(2*10*D1475/1000))*D1468))*2</f>
        <v>2.56</v>
      </c>
      <c r="P1475" s="8">
        <f t="shared" si="271"/>
        <v>76.8</v>
      </c>
      <c r="Q1475" s="8">
        <f>IF($D1475='[2]Beam '!Q$44,$P1475*'[2]Beam '!Q$45,0)</f>
        <v>0</v>
      </c>
      <c r="R1475" s="8">
        <f>IF($D1475='[2]Beam '!R$44,$P1475*'[2]Beam '!R$45,0)</f>
        <v>0</v>
      </c>
      <c r="S1475" s="8">
        <f>IF($D1475='[2]Beam '!S$44,$P1475*'[2]Beam '!S$45,0)</f>
        <v>68.211565714285726</v>
      </c>
      <c r="T1475" s="8">
        <f>IF($D1475='[2]Beam '!T$44,$P1475*'[2]Beam '!T$45,0)</f>
        <v>0</v>
      </c>
      <c r="U1475" s="8">
        <f>IF($D1475='[2]Beam '!U$44,$P1475*'[2]Beam '!U$45,0)</f>
        <v>0</v>
      </c>
      <c r="V1475" s="8">
        <f>IF($D1475='[2]Beam '!V$44,$P1475*'[2]Beam '!V$45,0)</f>
        <v>0</v>
      </c>
      <c r="W1475" s="8">
        <f>IF($D1475='[2]Beam '!W$44,$P1475*'[2]Beam '!W$45,0)</f>
        <v>0</v>
      </c>
      <c r="X1475" s="8">
        <f t="shared" si="272"/>
        <v>68.211565714285726</v>
      </c>
      <c r="Y1475" s="14"/>
      <c r="Z1475" s="8"/>
      <c r="AA1475" s="8"/>
      <c r="AB1475" s="8"/>
      <c r="AC1475" s="8"/>
      <c r="AD1475" s="8"/>
      <c r="AE1475" s="8"/>
    </row>
    <row r="1476" spans="1:32" s="10" customFormat="1" ht="20.100000000000001" customHeight="1" x14ac:dyDescent="0.25">
      <c r="A1476" s="7"/>
      <c r="B1476" s="8" t="s">
        <v>2</v>
      </c>
      <c r="C1476" s="13" t="s">
        <v>10</v>
      </c>
      <c r="D1476" s="8">
        <f>+'[2]Beam '!$D$15</f>
        <v>25</v>
      </c>
      <c r="E1476" s="8">
        <f>+'[2]Beam '!$E$15</f>
        <v>1</v>
      </c>
      <c r="F1476" s="8">
        <f>ROUNDUP((E1468)/E1476,0)</f>
        <v>3</v>
      </c>
      <c r="G1476" s="9"/>
      <c r="H1476" s="9"/>
      <c r="I1476" s="8"/>
      <c r="J1476" s="8"/>
      <c r="K1476" s="8"/>
      <c r="L1476" s="8"/>
      <c r="M1476" s="8"/>
      <c r="N1476" s="8"/>
      <c r="O1476" s="8">
        <f>F1468-'[2]Beam '!$F$15</f>
        <v>0.28999999999999998</v>
      </c>
      <c r="P1476" s="8">
        <f t="shared" si="271"/>
        <v>0.86999999999999988</v>
      </c>
      <c r="Q1476" s="8">
        <f>IF($D1476='[2]Beam '!Q$44,$P1476*'[2]Beam '!Q$45,0)</f>
        <v>0</v>
      </c>
      <c r="R1476" s="8">
        <f>IF($D1476='[2]Beam '!R$44,$P1476*'[2]Beam '!R$45,0)</f>
        <v>0</v>
      </c>
      <c r="S1476" s="8">
        <f>IF($D1476='[2]Beam '!S$44,$P1476*'[2]Beam '!S$45,0)</f>
        <v>0</v>
      </c>
      <c r="T1476" s="8">
        <f>IF($D1476='[2]Beam '!T$44,$P1476*'[2]Beam '!T$45,0)</f>
        <v>0</v>
      </c>
      <c r="U1476" s="8">
        <f>IF($D1476='[2]Beam '!U$44,$P1476*'[2]Beam '!U$45,0)</f>
        <v>0</v>
      </c>
      <c r="V1476" s="8">
        <f>IF($D1476='[2]Beam '!V$44,$P1476*'[2]Beam '!V$45,0)</f>
        <v>3.3537723214285715</v>
      </c>
      <c r="W1476" s="8">
        <f>IF($D1476='[2]Beam '!W$44,$P1476*'[2]Beam '!W$45,0)</f>
        <v>0</v>
      </c>
      <c r="X1476" s="8">
        <f t="shared" si="272"/>
        <v>3.3537723214285715</v>
      </c>
      <c r="Y1476" s="8"/>
      <c r="Z1476" s="8"/>
      <c r="AA1476" s="8"/>
      <c r="AB1476" s="8"/>
      <c r="AC1476" s="8"/>
      <c r="AD1476" s="8"/>
      <c r="AE1476" s="8"/>
    </row>
    <row r="1477" spans="1:32" s="10" customFormat="1" ht="20.100000000000001" customHeight="1" x14ac:dyDescent="0.25">
      <c r="A1477" s="8">
        <v>1</v>
      </c>
      <c r="B1477" s="8" t="s">
        <v>2</v>
      </c>
      <c r="C1477" s="11" t="s">
        <v>198</v>
      </c>
      <c r="D1477" s="11">
        <v>1</v>
      </c>
      <c r="E1477" s="11">
        <v>3</v>
      </c>
      <c r="F1477" s="11">
        <v>0.35</v>
      </c>
      <c r="G1477" s="11">
        <v>1.1000000000000001</v>
      </c>
      <c r="H1477" s="8">
        <f>G1477-0.2</f>
        <v>0.90000000000000013</v>
      </c>
      <c r="I1477" s="8">
        <f>E1477*F1477*G1477*D1477</f>
        <v>1.1549999999999998</v>
      </c>
      <c r="J1477" s="8">
        <f>(2*(E1477)*H1477*D1477)+(E1477*F1477)</f>
        <v>6.45</v>
      </c>
      <c r="K1477" s="12">
        <f>IF(E1477=0.3,J1477,0)</f>
        <v>0</v>
      </c>
      <c r="L1477" s="12">
        <f>IF(AND(E1477&gt;0.3,E1477&lt;=0.75),J1477,0)</f>
        <v>0</v>
      </c>
      <c r="M1477" s="12">
        <f>IF(AND(E1477&gt;0.75,E1477&lt;=1.2),J1477,0)</f>
        <v>0</v>
      </c>
      <c r="N1477" s="12">
        <f>IF(E1477&gt;1.2,J1477,0)</f>
        <v>6.45</v>
      </c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>
        <f>SUM(X1478:X1479)/I1477</f>
        <v>146.9605442176871</v>
      </c>
      <c r="Z1477" s="8"/>
      <c r="AA1477" s="8"/>
      <c r="AB1477" s="8"/>
      <c r="AC1477" s="8"/>
      <c r="AD1477" s="8"/>
      <c r="AE1477" s="8"/>
    </row>
    <row r="1478" spans="1:32" s="10" customFormat="1" ht="20.100000000000001" customHeight="1" x14ac:dyDescent="0.25">
      <c r="A1478" s="7"/>
      <c r="B1478" s="8" t="s">
        <v>2</v>
      </c>
      <c r="C1478" s="13" t="s">
        <v>4</v>
      </c>
      <c r="D1478" s="8">
        <v>20</v>
      </c>
      <c r="E1478" s="8"/>
      <c r="F1478" s="8">
        <v>4</v>
      </c>
      <c r="G1478" s="9">
        <f>VLOOKUP(D1478,'[2]Beam '!$C$20:$H$26,3,0)</f>
        <v>0.8</v>
      </c>
      <c r="H1478" s="9"/>
      <c r="I1478" s="8"/>
      <c r="J1478" s="8"/>
      <c r="K1478" s="8"/>
      <c r="L1478" s="8"/>
      <c r="M1478" s="8"/>
      <c r="N1478" s="8"/>
      <c r="O1478" s="8">
        <f>(E1477+2*(G1478+2*(2/2)*D1477))</f>
        <v>8.6</v>
      </c>
      <c r="P1478" s="8">
        <f t="shared" ref="P1478:P1485" si="273">O1478*F1478</f>
        <v>34.4</v>
      </c>
      <c r="Q1478" s="8">
        <f>IF($D1478='[2]Beam '!Q$44,$P1478*'[2]Beam '!Q$45,0)</f>
        <v>0</v>
      </c>
      <c r="R1478" s="8">
        <f>IF($D1478='[2]Beam '!R$44,$P1478*'[2]Beam '!R$45,0)</f>
        <v>0</v>
      </c>
      <c r="S1478" s="8">
        <f>IF($D1478='[2]Beam '!S$44,$P1478*'[2]Beam '!S$45,0)</f>
        <v>0</v>
      </c>
      <c r="T1478" s="8">
        <f>IF($D1478='[2]Beam '!T$44,$P1478*'[2]Beam '!T$45,0)</f>
        <v>0</v>
      </c>
      <c r="U1478" s="8">
        <f>IF($D1478='[2]Beam '!U$44,$P1478*'[2]Beam '!U$45,0)</f>
        <v>84.869714285714281</v>
      </c>
      <c r="V1478" s="8">
        <f>IF($D1478='[2]Beam '!V$44,$P1478*'[2]Beam '!V$45,0)</f>
        <v>0</v>
      </c>
      <c r="W1478" s="8">
        <f>IF($D1478='[2]Beam '!W$44,$P1478*'[2]Beam '!W$45,0)</f>
        <v>0</v>
      </c>
      <c r="X1478" s="8">
        <f t="shared" ref="X1478:X1485" si="274">SUM(Q1478:W1478)</f>
        <v>84.869714285714281</v>
      </c>
      <c r="Y1478" s="8"/>
      <c r="Z1478" s="8"/>
      <c r="AA1478" s="8"/>
      <c r="AB1478" s="8"/>
      <c r="AC1478" s="8"/>
      <c r="AD1478" s="8"/>
      <c r="AE1478" s="8"/>
    </row>
    <row r="1479" spans="1:32" s="10" customFormat="1" ht="19.5" customHeight="1" x14ac:dyDescent="0.25">
      <c r="A1479" s="7"/>
      <c r="B1479" s="8" t="s">
        <v>2</v>
      </c>
      <c r="C1479" s="13" t="s">
        <v>139</v>
      </c>
      <c r="D1479" s="8">
        <v>20</v>
      </c>
      <c r="E1479" s="8"/>
      <c r="F1479" s="8">
        <v>4</v>
      </c>
      <c r="G1479" s="9">
        <f>VLOOKUP(D1479,'[2]Beam '!$C$20:$H$26,3,0)</f>
        <v>0.8</v>
      </c>
      <c r="H1479" s="9"/>
      <c r="I1479" s="8"/>
      <c r="J1479" s="8"/>
      <c r="K1479" s="8"/>
      <c r="L1479" s="8"/>
      <c r="M1479" s="8"/>
      <c r="N1479" s="8"/>
      <c r="O1479" s="8">
        <f>(E1477+2*(G1479+2*(2/2)*D1477))</f>
        <v>8.6</v>
      </c>
      <c r="P1479" s="8">
        <f t="shared" si="273"/>
        <v>34.4</v>
      </c>
      <c r="Q1479" s="8">
        <f>IF($D1479='[2]Beam '!Q$44,$P1479*'[2]Beam '!Q$45,0)</f>
        <v>0</v>
      </c>
      <c r="R1479" s="8">
        <f>IF($D1479='[2]Beam '!R$44,$P1479*'[2]Beam '!R$45,0)</f>
        <v>0</v>
      </c>
      <c r="S1479" s="8">
        <f>IF($D1479='[2]Beam '!S$44,$P1479*'[2]Beam '!S$45,0)</f>
        <v>0</v>
      </c>
      <c r="T1479" s="8">
        <f>IF($D1479='[2]Beam '!T$44,$P1479*'[2]Beam '!T$45,0)</f>
        <v>0</v>
      </c>
      <c r="U1479" s="8">
        <f>IF($D1479='[2]Beam '!U$44,$P1479*'[2]Beam '!U$45,0)</f>
        <v>84.869714285714281</v>
      </c>
      <c r="V1479" s="8">
        <f>IF($D1479='[2]Beam '!V$44,$P1479*'[2]Beam '!V$45,0)</f>
        <v>0</v>
      </c>
      <c r="W1479" s="8">
        <f>IF($D1479='[2]Beam '!W$44,$P1479*'[2]Beam '!W$45,0)</f>
        <v>0</v>
      </c>
      <c r="X1479" s="8">
        <f t="shared" si="274"/>
        <v>84.869714285714281</v>
      </c>
      <c r="Y1479" s="8"/>
      <c r="Z1479" s="8"/>
      <c r="AA1479" s="8"/>
      <c r="AB1479" s="8"/>
      <c r="AC1479" s="8"/>
      <c r="AD1479" s="8"/>
      <c r="AE1479" s="8"/>
    </row>
    <row r="1480" spans="1:32" s="10" customFormat="1" ht="20.100000000000001" customHeight="1" x14ac:dyDescent="0.25">
      <c r="A1480" s="7"/>
      <c r="B1480" s="8" t="s">
        <v>2</v>
      </c>
      <c r="C1480" s="13" t="s">
        <v>75</v>
      </c>
      <c r="D1480" s="8">
        <v>20</v>
      </c>
      <c r="E1480" s="8"/>
      <c r="F1480" s="8">
        <v>4</v>
      </c>
      <c r="G1480" s="9">
        <f>VLOOKUP(D1480,'[2]Beam '!$C$20:$H$26,3,0)</f>
        <v>0.8</v>
      </c>
      <c r="H1480" s="9"/>
      <c r="I1480" s="8"/>
      <c r="J1480" s="8"/>
      <c r="K1480" s="8"/>
      <c r="L1480" s="8"/>
      <c r="M1480" s="8"/>
      <c r="N1480" s="8"/>
      <c r="O1480" s="8">
        <f>(1.25+1*(1*(2/2)*D1477))</f>
        <v>2.25</v>
      </c>
      <c r="P1480" s="8">
        <f t="shared" si="273"/>
        <v>9</v>
      </c>
      <c r="Q1480" s="8">
        <f>IF($D1480='[2]Beam '!Q$44,$P1480*'[2]Beam '!Q$45,0)</f>
        <v>0</v>
      </c>
      <c r="R1480" s="8">
        <f>IF($D1480='[2]Beam '!R$44,$P1480*'[2]Beam '!R$45,0)</f>
        <v>0</v>
      </c>
      <c r="S1480" s="8">
        <f>IF($D1480='[2]Beam '!S$44,$P1480*'[2]Beam '!S$45,0)</f>
        <v>0</v>
      </c>
      <c r="T1480" s="8">
        <f>IF($D1480='[2]Beam '!T$44,$P1480*'[2]Beam '!T$45,0)</f>
        <v>0</v>
      </c>
      <c r="U1480" s="8">
        <f>IF($D1480='[2]Beam '!U$44,$P1480*'[2]Beam '!U$45,0)</f>
        <v>22.204285714285714</v>
      </c>
      <c r="V1480" s="8">
        <f>IF($D1480='[2]Beam '!V$44,$P1480*'[2]Beam '!V$45,0)</f>
        <v>0</v>
      </c>
      <c r="W1480" s="8">
        <f>IF($D1480='[2]Beam '!W$44,$P1480*'[2]Beam '!W$45,0)</f>
        <v>0</v>
      </c>
      <c r="X1480" s="8">
        <f t="shared" si="274"/>
        <v>22.204285714285714</v>
      </c>
      <c r="Y1480" s="8"/>
      <c r="Z1480" s="8"/>
      <c r="AA1480" s="8"/>
      <c r="AB1480" s="8"/>
      <c r="AC1480" s="8"/>
      <c r="AD1480" s="8"/>
      <c r="AE1480" s="8"/>
    </row>
    <row r="1481" spans="1:32" s="14" customFormat="1" ht="20.100000000000001" customHeight="1" x14ac:dyDescent="0.3">
      <c r="A1481" s="7"/>
      <c r="B1481" s="8" t="s">
        <v>2</v>
      </c>
      <c r="C1481" s="13" t="s">
        <v>75</v>
      </c>
      <c r="D1481" s="8">
        <v>20</v>
      </c>
      <c r="E1481" s="8"/>
      <c r="F1481" s="8">
        <v>4</v>
      </c>
      <c r="G1481" s="9">
        <f>VLOOKUP(D1481,'[2]Beam '!$C$20:$H$26,3,0)</f>
        <v>0.8</v>
      </c>
      <c r="H1481" s="9"/>
      <c r="I1481" s="8"/>
      <c r="J1481" s="8"/>
      <c r="K1481" s="8"/>
      <c r="L1481" s="8"/>
      <c r="M1481" s="8"/>
      <c r="N1481" s="8"/>
      <c r="O1481" s="8">
        <f>(1.25+1*(1*(2/2)*D1477))</f>
        <v>2.25</v>
      </c>
      <c r="P1481" s="8">
        <f t="shared" si="273"/>
        <v>9</v>
      </c>
      <c r="Q1481" s="8">
        <f>IF($D1481='[2]Beam '!Q$44,$P1481*'[2]Beam '!Q$45,0)</f>
        <v>0</v>
      </c>
      <c r="R1481" s="8">
        <f>IF($D1481='[2]Beam '!R$44,$P1481*'[2]Beam '!R$45,0)</f>
        <v>0</v>
      </c>
      <c r="S1481" s="8">
        <f>IF($D1481='[2]Beam '!S$44,$P1481*'[2]Beam '!S$45,0)</f>
        <v>0</v>
      </c>
      <c r="T1481" s="8">
        <f>IF($D1481='[2]Beam '!T$44,$P1481*'[2]Beam '!T$45,0)</f>
        <v>0</v>
      </c>
      <c r="U1481" s="8">
        <f>IF($D1481='[2]Beam '!U$44,$P1481*'[2]Beam '!U$45,0)</f>
        <v>22.204285714285714</v>
      </c>
      <c r="V1481" s="8">
        <f>IF($D1481='[2]Beam '!V$44,$P1481*'[2]Beam '!V$45,0)</f>
        <v>0</v>
      </c>
      <c r="W1481" s="8">
        <f>IF($D1481='[2]Beam '!W$44,$P1481*'[2]Beam '!W$45,0)</f>
        <v>0</v>
      </c>
      <c r="X1481" s="8">
        <f t="shared" si="274"/>
        <v>22.204285714285714</v>
      </c>
      <c r="Y1481" s="8"/>
    </row>
    <row r="1482" spans="1:32" s="10" customFormat="1" ht="20.100000000000001" customHeight="1" x14ac:dyDescent="0.25">
      <c r="A1482" s="7"/>
      <c r="B1482" s="8" t="s">
        <v>2</v>
      </c>
      <c r="C1482" s="13" t="s">
        <v>88</v>
      </c>
      <c r="D1482" s="8">
        <v>16</v>
      </c>
      <c r="E1482" s="8"/>
      <c r="F1482" s="8">
        <v>4</v>
      </c>
      <c r="G1482" s="9">
        <f>VLOOKUP(D1482,'[2]Beam '!$C$20:$H$26,3,0)</f>
        <v>0.625</v>
      </c>
      <c r="H1482" s="9"/>
      <c r="I1482" s="8"/>
      <c r="J1482" s="8"/>
      <c r="K1482" s="8"/>
      <c r="L1482" s="8"/>
      <c r="M1482" s="8"/>
      <c r="N1482" s="8"/>
      <c r="O1482" s="8">
        <f>(E1477+2*(G1482)*D1477)</f>
        <v>4.25</v>
      </c>
      <c r="P1482" s="8">
        <f t="shared" si="273"/>
        <v>17</v>
      </c>
      <c r="Q1482" s="8">
        <f>IF($D1482='[2]Beam '!Q$44,$P1482*'[2]Beam '!Q$45,0)</f>
        <v>0</v>
      </c>
      <c r="R1482" s="8">
        <f>IF($D1482='[2]Beam '!R$44,$P1482*'[2]Beam '!R$45,0)</f>
        <v>0</v>
      </c>
      <c r="S1482" s="8">
        <f>IF($D1482='[2]Beam '!S$44,$P1482*'[2]Beam '!S$45,0)</f>
        <v>0</v>
      </c>
      <c r="T1482" s="8">
        <f>IF($D1482='[2]Beam '!T$44,$P1482*'[2]Beam '!T$45,0)</f>
        <v>26.842514285714287</v>
      </c>
      <c r="U1482" s="8">
        <f>IF($D1482='[2]Beam '!U$44,$P1482*'[2]Beam '!U$45,0)</f>
        <v>0</v>
      </c>
      <c r="V1482" s="8">
        <f>IF($D1482='[2]Beam '!V$44,$P1482*'[2]Beam '!V$45,0)</f>
        <v>0</v>
      </c>
      <c r="W1482" s="8">
        <f>IF($D1482='[2]Beam '!W$44,$P1482*'[2]Beam '!W$45,0)</f>
        <v>0</v>
      </c>
      <c r="X1482" s="8">
        <f t="shared" si="274"/>
        <v>26.842514285714287</v>
      </c>
      <c r="Y1482" s="8"/>
      <c r="Z1482" s="8"/>
      <c r="AA1482" s="8"/>
      <c r="AB1482" s="8"/>
      <c r="AC1482" s="8"/>
      <c r="AD1482" s="8"/>
      <c r="AE1482" s="8"/>
    </row>
    <row r="1483" spans="1:32" s="10" customFormat="1" ht="21" customHeight="1" x14ac:dyDescent="0.25">
      <c r="A1483" s="7"/>
      <c r="B1483" s="8" t="s">
        <v>2</v>
      </c>
      <c r="C1483" s="13" t="s">
        <v>8</v>
      </c>
      <c r="D1483" s="8">
        <v>12</v>
      </c>
      <c r="E1483" s="8">
        <v>0.1</v>
      </c>
      <c r="F1483" s="8">
        <f>ROUNDUP(E1477/E1483,0)</f>
        <v>30</v>
      </c>
      <c r="H1483" s="8"/>
      <c r="I1483" s="8"/>
      <c r="J1483" s="8"/>
      <c r="K1483" s="8"/>
      <c r="L1483" s="8"/>
      <c r="M1483" s="8"/>
      <c r="N1483" s="8"/>
      <c r="O1483" s="8">
        <f>(2*((G1477-(2*'[2]Beam '!$D$11))+(F1477-(2*'[2]Beam '!$D$11)))+(2*10*D1483/1000))*D1477</f>
        <v>2.9000000000000004</v>
      </c>
      <c r="P1483" s="8">
        <f t="shared" si="273"/>
        <v>87.000000000000014</v>
      </c>
      <c r="Q1483" s="8">
        <f>IF($D1483='[2]Beam '!Q$44,$P1483*'[2]Beam '!Q$45,0)</f>
        <v>0</v>
      </c>
      <c r="R1483" s="8">
        <f>IF($D1483='[2]Beam '!R$44,$P1483*'[2]Beam '!R$45,0)</f>
        <v>0</v>
      </c>
      <c r="S1483" s="8">
        <f>IF($D1483='[2]Beam '!S$44,$P1483*'[2]Beam '!S$45,0)</f>
        <v>77.270914285714312</v>
      </c>
      <c r="T1483" s="8">
        <f>IF($D1483='[2]Beam '!T$44,$P1483*'[2]Beam '!T$45,0)</f>
        <v>0</v>
      </c>
      <c r="U1483" s="8">
        <f>IF($D1483='[2]Beam '!U$44,$P1483*'[2]Beam '!U$45,0)</f>
        <v>0</v>
      </c>
      <c r="V1483" s="8">
        <f>IF($D1483='[2]Beam '!V$44,$P1483*'[2]Beam '!V$45,0)</f>
        <v>0</v>
      </c>
      <c r="W1483" s="8">
        <f>IF($D1483='[2]Beam '!W$44,$P1483*'[2]Beam '!W$45,0)</f>
        <v>0</v>
      </c>
      <c r="X1483" s="8">
        <f t="shared" si="274"/>
        <v>77.270914285714312</v>
      </c>
      <c r="Y1483" s="8"/>
      <c r="Z1483" s="8"/>
      <c r="AA1483" s="8"/>
      <c r="AB1483" s="8"/>
      <c r="AC1483" s="8"/>
      <c r="AD1483" s="8"/>
      <c r="AE1483" s="8"/>
      <c r="AF1483" s="8"/>
    </row>
    <row r="1484" spans="1:32" s="10" customFormat="1" ht="20.100000000000001" customHeight="1" x14ac:dyDescent="0.25">
      <c r="A1484" s="14"/>
      <c r="B1484" s="8" t="s">
        <v>2</v>
      </c>
      <c r="C1484" s="13" t="s">
        <v>9</v>
      </c>
      <c r="D1484" s="8">
        <f>+D1483</f>
        <v>12</v>
      </c>
      <c r="E1484" s="14">
        <f>+E1483</f>
        <v>0.1</v>
      </c>
      <c r="F1484" s="8">
        <f>ROUNDUP(E1477/E1484,0)</f>
        <v>30</v>
      </c>
      <c r="H1484" s="14"/>
      <c r="I1484" s="14"/>
      <c r="J1484" s="14"/>
      <c r="K1484" s="14"/>
      <c r="L1484" s="14"/>
      <c r="M1484" s="14"/>
      <c r="N1484" s="14"/>
      <c r="O1484" s="8">
        <f>((((G1477-(2*'[2]Beam '!$D$11))+(2*10*D1484/1000))*D1477))*2</f>
        <v>2.56</v>
      </c>
      <c r="P1484" s="8">
        <f t="shared" si="273"/>
        <v>76.8</v>
      </c>
      <c r="Q1484" s="8">
        <f>IF($D1484='[2]Beam '!Q$44,$P1484*'[2]Beam '!Q$45,0)</f>
        <v>0</v>
      </c>
      <c r="R1484" s="8">
        <f>IF($D1484='[2]Beam '!R$44,$P1484*'[2]Beam '!R$45,0)</f>
        <v>0</v>
      </c>
      <c r="S1484" s="8">
        <f>IF($D1484='[2]Beam '!S$44,$P1484*'[2]Beam '!S$45,0)</f>
        <v>68.211565714285726</v>
      </c>
      <c r="T1484" s="8">
        <f>IF($D1484='[2]Beam '!T$44,$P1484*'[2]Beam '!T$45,0)</f>
        <v>0</v>
      </c>
      <c r="U1484" s="8">
        <f>IF($D1484='[2]Beam '!U$44,$P1484*'[2]Beam '!U$45,0)</f>
        <v>0</v>
      </c>
      <c r="V1484" s="8">
        <f>IF($D1484='[2]Beam '!V$44,$P1484*'[2]Beam '!V$45,0)</f>
        <v>0</v>
      </c>
      <c r="W1484" s="8">
        <f>IF($D1484='[2]Beam '!W$44,$P1484*'[2]Beam '!W$45,0)</f>
        <v>0</v>
      </c>
      <c r="X1484" s="8">
        <f t="shared" si="274"/>
        <v>68.211565714285726</v>
      </c>
      <c r="Y1484" s="14"/>
      <c r="Z1484" s="8"/>
      <c r="AA1484" s="8"/>
      <c r="AB1484" s="8"/>
      <c r="AC1484" s="8"/>
      <c r="AD1484" s="8"/>
      <c r="AE1484" s="8"/>
    </row>
    <row r="1485" spans="1:32" s="10" customFormat="1" ht="20.100000000000001" customHeight="1" x14ac:dyDescent="0.25">
      <c r="A1485" s="7"/>
      <c r="B1485" s="8" t="s">
        <v>2</v>
      </c>
      <c r="C1485" s="13" t="s">
        <v>10</v>
      </c>
      <c r="D1485" s="8">
        <f>+'[2]Beam '!$D$15</f>
        <v>25</v>
      </c>
      <c r="E1485" s="8">
        <f>+'[2]Beam '!$E$15</f>
        <v>1</v>
      </c>
      <c r="F1485" s="8">
        <f>ROUNDUP((E1477)/E1485,0)</f>
        <v>3</v>
      </c>
      <c r="G1485" s="9"/>
      <c r="H1485" s="9"/>
      <c r="I1485" s="8"/>
      <c r="J1485" s="8"/>
      <c r="K1485" s="8"/>
      <c r="L1485" s="8"/>
      <c r="M1485" s="8"/>
      <c r="N1485" s="8"/>
      <c r="O1485" s="8">
        <f>F1477-'[2]Beam '!$F$15</f>
        <v>0.28999999999999998</v>
      </c>
      <c r="P1485" s="8">
        <f t="shared" si="273"/>
        <v>0.86999999999999988</v>
      </c>
      <c r="Q1485" s="8">
        <f>IF($D1485='[2]Beam '!Q$44,$P1485*'[2]Beam '!Q$45,0)</f>
        <v>0</v>
      </c>
      <c r="R1485" s="8">
        <f>IF($D1485='[2]Beam '!R$44,$P1485*'[2]Beam '!R$45,0)</f>
        <v>0</v>
      </c>
      <c r="S1485" s="8">
        <f>IF($D1485='[2]Beam '!S$44,$P1485*'[2]Beam '!S$45,0)</f>
        <v>0</v>
      </c>
      <c r="T1485" s="8">
        <f>IF($D1485='[2]Beam '!T$44,$P1485*'[2]Beam '!T$45,0)</f>
        <v>0</v>
      </c>
      <c r="U1485" s="8">
        <f>IF($D1485='[2]Beam '!U$44,$P1485*'[2]Beam '!U$45,0)</f>
        <v>0</v>
      </c>
      <c r="V1485" s="8">
        <f>IF($D1485='[2]Beam '!V$44,$P1485*'[2]Beam '!V$45,0)</f>
        <v>3.3537723214285715</v>
      </c>
      <c r="W1485" s="8">
        <f>IF($D1485='[2]Beam '!W$44,$P1485*'[2]Beam '!W$45,0)</f>
        <v>0</v>
      </c>
      <c r="X1485" s="8">
        <f t="shared" si="274"/>
        <v>3.3537723214285715</v>
      </c>
      <c r="Y1485" s="8"/>
      <c r="Z1485" s="8"/>
      <c r="AA1485" s="8"/>
      <c r="AB1485" s="8"/>
      <c r="AC1485" s="8"/>
      <c r="AD1485" s="8"/>
      <c r="AE1485" s="8"/>
    </row>
    <row r="1486" spans="1:32" s="10" customFormat="1" ht="20.100000000000001" customHeight="1" x14ac:dyDescent="0.25">
      <c r="A1486" s="8">
        <v>1</v>
      </c>
      <c r="B1486" s="8" t="s">
        <v>2</v>
      </c>
      <c r="C1486" s="11" t="s">
        <v>199</v>
      </c>
      <c r="D1486" s="11">
        <v>1</v>
      </c>
      <c r="E1486" s="11">
        <v>3</v>
      </c>
      <c r="F1486" s="11">
        <v>0.35</v>
      </c>
      <c r="G1486" s="11">
        <v>1.1000000000000001</v>
      </c>
      <c r="H1486" s="8">
        <f>G1486-0.2</f>
        <v>0.90000000000000013</v>
      </c>
      <c r="I1486" s="8">
        <f>E1486*F1486*G1486*D1486</f>
        <v>1.1549999999999998</v>
      </c>
      <c r="J1486" s="8">
        <f>(2*(E1486)*H1486*D1486)+(E1486*F1486)</f>
        <v>6.45</v>
      </c>
      <c r="K1486" s="12">
        <f>IF(E1486=0.3,J1486,0)</f>
        <v>0</v>
      </c>
      <c r="L1486" s="12">
        <f>IF(AND(E1486&gt;0.3,E1486&lt;=0.75),J1486,0)</f>
        <v>0</v>
      </c>
      <c r="M1486" s="12">
        <f>IF(AND(E1486&gt;0.75,E1486&lt;=1.2),J1486,0)</f>
        <v>0</v>
      </c>
      <c r="N1486" s="12">
        <f>IF(E1486&gt;1.2,J1486,0)</f>
        <v>6.45</v>
      </c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>
        <f>SUM(X1487:X1488)/I1486</f>
        <v>146.9605442176871</v>
      </c>
      <c r="Z1486" s="8"/>
      <c r="AA1486" s="8"/>
      <c r="AB1486" s="8"/>
      <c r="AC1486" s="8"/>
      <c r="AD1486" s="8"/>
      <c r="AE1486" s="8"/>
    </row>
    <row r="1487" spans="1:32" s="10" customFormat="1" ht="20.100000000000001" customHeight="1" x14ac:dyDescent="0.25">
      <c r="A1487" s="7"/>
      <c r="B1487" s="8" t="s">
        <v>2</v>
      </c>
      <c r="C1487" s="13" t="s">
        <v>4</v>
      </c>
      <c r="D1487" s="8">
        <v>20</v>
      </c>
      <c r="E1487" s="8"/>
      <c r="F1487" s="8">
        <v>4</v>
      </c>
      <c r="G1487" s="9">
        <f>VLOOKUP(D1487,'[2]Beam '!$C$20:$H$26,3,0)</f>
        <v>0.8</v>
      </c>
      <c r="H1487" s="9"/>
      <c r="I1487" s="8"/>
      <c r="J1487" s="8"/>
      <c r="K1487" s="8"/>
      <c r="L1487" s="8"/>
      <c r="M1487" s="8"/>
      <c r="N1487" s="8"/>
      <c r="O1487" s="8">
        <f>(E1486+2*(G1487+2*(2/2)*D1486))</f>
        <v>8.6</v>
      </c>
      <c r="P1487" s="8">
        <f t="shared" ref="P1487:P1494" si="275">O1487*F1487</f>
        <v>34.4</v>
      </c>
      <c r="Q1487" s="8">
        <f>IF($D1487='[2]Beam '!Q$44,$P1487*'[2]Beam '!Q$45,0)</f>
        <v>0</v>
      </c>
      <c r="R1487" s="8">
        <f>IF($D1487='[2]Beam '!R$44,$P1487*'[2]Beam '!R$45,0)</f>
        <v>0</v>
      </c>
      <c r="S1487" s="8">
        <f>IF($D1487='[2]Beam '!S$44,$P1487*'[2]Beam '!S$45,0)</f>
        <v>0</v>
      </c>
      <c r="T1487" s="8">
        <f>IF($D1487='[2]Beam '!T$44,$P1487*'[2]Beam '!T$45,0)</f>
        <v>0</v>
      </c>
      <c r="U1487" s="8">
        <f>IF($D1487='[2]Beam '!U$44,$P1487*'[2]Beam '!U$45,0)</f>
        <v>84.869714285714281</v>
      </c>
      <c r="V1487" s="8">
        <f>IF($D1487='[2]Beam '!V$44,$P1487*'[2]Beam '!V$45,0)</f>
        <v>0</v>
      </c>
      <c r="W1487" s="8">
        <f>IF($D1487='[2]Beam '!W$44,$P1487*'[2]Beam '!W$45,0)</f>
        <v>0</v>
      </c>
      <c r="X1487" s="8">
        <f t="shared" ref="X1487:X1494" si="276">SUM(Q1487:W1487)</f>
        <v>84.869714285714281</v>
      </c>
      <c r="Y1487" s="8"/>
      <c r="Z1487" s="8"/>
      <c r="AA1487" s="8"/>
      <c r="AB1487" s="8"/>
      <c r="AC1487" s="8"/>
      <c r="AD1487" s="8"/>
      <c r="AE1487" s="8"/>
    </row>
    <row r="1488" spans="1:32" s="10" customFormat="1" ht="19.5" customHeight="1" x14ac:dyDescent="0.25">
      <c r="A1488" s="7"/>
      <c r="B1488" s="8" t="s">
        <v>2</v>
      </c>
      <c r="C1488" s="13" t="s">
        <v>139</v>
      </c>
      <c r="D1488" s="8">
        <v>20</v>
      </c>
      <c r="E1488" s="8"/>
      <c r="F1488" s="8">
        <v>4</v>
      </c>
      <c r="G1488" s="9">
        <f>VLOOKUP(D1488,'[2]Beam '!$C$20:$H$26,3,0)</f>
        <v>0.8</v>
      </c>
      <c r="H1488" s="9"/>
      <c r="I1488" s="8"/>
      <c r="J1488" s="8"/>
      <c r="K1488" s="8"/>
      <c r="L1488" s="8"/>
      <c r="M1488" s="8"/>
      <c r="N1488" s="8"/>
      <c r="O1488" s="8">
        <f>(E1486+2*(G1488+2*(2/2)*D1486))</f>
        <v>8.6</v>
      </c>
      <c r="P1488" s="8">
        <f t="shared" si="275"/>
        <v>34.4</v>
      </c>
      <c r="Q1488" s="8">
        <f>IF($D1488='[2]Beam '!Q$44,$P1488*'[2]Beam '!Q$45,0)</f>
        <v>0</v>
      </c>
      <c r="R1488" s="8">
        <f>IF($D1488='[2]Beam '!R$44,$P1488*'[2]Beam '!R$45,0)</f>
        <v>0</v>
      </c>
      <c r="S1488" s="8">
        <f>IF($D1488='[2]Beam '!S$44,$P1488*'[2]Beam '!S$45,0)</f>
        <v>0</v>
      </c>
      <c r="T1488" s="8">
        <f>IF($D1488='[2]Beam '!T$44,$P1488*'[2]Beam '!T$45,0)</f>
        <v>0</v>
      </c>
      <c r="U1488" s="8">
        <f>IF($D1488='[2]Beam '!U$44,$P1488*'[2]Beam '!U$45,0)</f>
        <v>84.869714285714281</v>
      </c>
      <c r="V1488" s="8">
        <f>IF($D1488='[2]Beam '!V$44,$P1488*'[2]Beam '!V$45,0)</f>
        <v>0</v>
      </c>
      <c r="W1488" s="8">
        <f>IF($D1488='[2]Beam '!W$44,$P1488*'[2]Beam '!W$45,0)</f>
        <v>0</v>
      </c>
      <c r="X1488" s="8">
        <f t="shared" si="276"/>
        <v>84.869714285714281</v>
      </c>
      <c r="Y1488" s="8"/>
      <c r="Z1488" s="8"/>
      <c r="AA1488" s="8"/>
      <c r="AB1488" s="8"/>
      <c r="AC1488" s="8"/>
      <c r="AD1488" s="8"/>
      <c r="AE1488" s="8"/>
    </row>
    <row r="1489" spans="1:32" s="10" customFormat="1" ht="20.100000000000001" customHeight="1" x14ac:dyDescent="0.25">
      <c r="A1489" s="7"/>
      <c r="B1489" s="8" t="s">
        <v>2</v>
      </c>
      <c r="C1489" s="13" t="s">
        <v>75</v>
      </c>
      <c r="D1489" s="8">
        <v>20</v>
      </c>
      <c r="E1489" s="8"/>
      <c r="F1489" s="8">
        <v>4</v>
      </c>
      <c r="G1489" s="9">
        <f>VLOOKUP(D1489,'[2]Beam '!$C$20:$H$26,3,0)</f>
        <v>0.8</v>
      </c>
      <c r="H1489" s="9"/>
      <c r="I1489" s="8"/>
      <c r="J1489" s="8"/>
      <c r="K1489" s="8"/>
      <c r="L1489" s="8"/>
      <c r="M1489" s="8"/>
      <c r="N1489" s="8"/>
      <c r="O1489" s="8">
        <f>(1.25+1*(1*(2/2)*D1486))</f>
        <v>2.25</v>
      </c>
      <c r="P1489" s="8">
        <f t="shared" si="275"/>
        <v>9</v>
      </c>
      <c r="Q1489" s="8">
        <f>IF($D1489='[2]Beam '!Q$44,$P1489*'[2]Beam '!Q$45,0)</f>
        <v>0</v>
      </c>
      <c r="R1489" s="8">
        <f>IF($D1489='[2]Beam '!R$44,$P1489*'[2]Beam '!R$45,0)</f>
        <v>0</v>
      </c>
      <c r="S1489" s="8">
        <f>IF($D1489='[2]Beam '!S$44,$P1489*'[2]Beam '!S$45,0)</f>
        <v>0</v>
      </c>
      <c r="T1489" s="8">
        <f>IF($D1489='[2]Beam '!T$44,$P1489*'[2]Beam '!T$45,0)</f>
        <v>0</v>
      </c>
      <c r="U1489" s="8">
        <f>IF($D1489='[2]Beam '!U$44,$P1489*'[2]Beam '!U$45,0)</f>
        <v>22.204285714285714</v>
      </c>
      <c r="V1489" s="8">
        <f>IF($D1489='[2]Beam '!V$44,$P1489*'[2]Beam '!V$45,0)</f>
        <v>0</v>
      </c>
      <c r="W1489" s="8">
        <f>IF($D1489='[2]Beam '!W$44,$P1489*'[2]Beam '!W$45,0)</f>
        <v>0</v>
      </c>
      <c r="X1489" s="8">
        <f t="shared" si="276"/>
        <v>22.204285714285714</v>
      </c>
      <c r="Y1489" s="8"/>
      <c r="Z1489" s="8"/>
      <c r="AA1489" s="8"/>
      <c r="AB1489" s="8"/>
      <c r="AC1489" s="8"/>
      <c r="AD1489" s="8"/>
      <c r="AE1489" s="8"/>
    </row>
    <row r="1490" spans="1:32" s="14" customFormat="1" ht="20.100000000000001" customHeight="1" x14ac:dyDescent="0.3">
      <c r="A1490" s="7"/>
      <c r="B1490" s="8" t="s">
        <v>2</v>
      </c>
      <c r="C1490" s="13" t="s">
        <v>75</v>
      </c>
      <c r="D1490" s="8">
        <v>20</v>
      </c>
      <c r="E1490" s="8"/>
      <c r="F1490" s="8">
        <v>4</v>
      </c>
      <c r="G1490" s="9">
        <f>VLOOKUP(D1490,'[2]Beam '!$C$20:$H$26,3,0)</f>
        <v>0.8</v>
      </c>
      <c r="H1490" s="9"/>
      <c r="I1490" s="8"/>
      <c r="J1490" s="8"/>
      <c r="K1490" s="8"/>
      <c r="L1490" s="8"/>
      <c r="M1490" s="8"/>
      <c r="N1490" s="8"/>
      <c r="O1490" s="8">
        <f>(1.25+1*(1*(2/2)*D1486))</f>
        <v>2.25</v>
      </c>
      <c r="P1490" s="8">
        <f t="shared" si="275"/>
        <v>9</v>
      </c>
      <c r="Q1490" s="8">
        <f>IF($D1490='[2]Beam '!Q$44,$P1490*'[2]Beam '!Q$45,0)</f>
        <v>0</v>
      </c>
      <c r="R1490" s="8">
        <f>IF($D1490='[2]Beam '!R$44,$P1490*'[2]Beam '!R$45,0)</f>
        <v>0</v>
      </c>
      <c r="S1490" s="8">
        <f>IF($D1490='[2]Beam '!S$44,$P1490*'[2]Beam '!S$45,0)</f>
        <v>0</v>
      </c>
      <c r="T1490" s="8">
        <f>IF($D1490='[2]Beam '!T$44,$P1490*'[2]Beam '!T$45,0)</f>
        <v>0</v>
      </c>
      <c r="U1490" s="8">
        <f>IF($D1490='[2]Beam '!U$44,$P1490*'[2]Beam '!U$45,0)</f>
        <v>22.204285714285714</v>
      </c>
      <c r="V1490" s="8">
        <f>IF($D1490='[2]Beam '!V$44,$P1490*'[2]Beam '!V$45,0)</f>
        <v>0</v>
      </c>
      <c r="W1490" s="8">
        <f>IF($D1490='[2]Beam '!W$44,$P1490*'[2]Beam '!W$45,0)</f>
        <v>0</v>
      </c>
      <c r="X1490" s="8">
        <f t="shared" si="276"/>
        <v>22.204285714285714</v>
      </c>
      <c r="Y1490" s="8"/>
    </row>
    <row r="1491" spans="1:32" s="10" customFormat="1" ht="20.100000000000001" customHeight="1" x14ac:dyDescent="0.25">
      <c r="A1491" s="7"/>
      <c r="B1491" s="8" t="s">
        <v>2</v>
      </c>
      <c r="C1491" s="13" t="s">
        <v>88</v>
      </c>
      <c r="D1491" s="8">
        <v>16</v>
      </c>
      <c r="E1491" s="8"/>
      <c r="F1491" s="8">
        <v>4</v>
      </c>
      <c r="G1491" s="9">
        <f>VLOOKUP(D1491,'[2]Beam '!$C$20:$H$26,3,0)</f>
        <v>0.625</v>
      </c>
      <c r="H1491" s="9"/>
      <c r="I1491" s="8"/>
      <c r="J1491" s="8"/>
      <c r="K1491" s="8"/>
      <c r="L1491" s="8"/>
      <c r="M1491" s="8"/>
      <c r="N1491" s="8"/>
      <c r="O1491" s="8">
        <f>(E1486+2*(G1491)*D1486)</f>
        <v>4.25</v>
      </c>
      <c r="P1491" s="8">
        <f t="shared" si="275"/>
        <v>17</v>
      </c>
      <c r="Q1491" s="8">
        <f>IF($D1491='[2]Beam '!Q$44,$P1491*'[2]Beam '!Q$45,0)</f>
        <v>0</v>
      </c>
      <c r="R1491" s="8">
        <f>IF($D1491='[2]Beam '!R$44,$P1491*'[2]Beam '!R$45,0)</f>
        <v>0</v>
      </c>
      <c r="S1491" s="8">
        <f>IF($D1491='[2]Beam '!S$44,$P1491*'[2]Beam '!S$45,0)</f>
        <v>0</v>
      </c>
      <c r="T1491" s="8">
        <f>IF($D1491='[2]Beam '!T$44,$P1491*'[2]Beam '!T$45,0)</f>
        <v>26.842514285714287</v>
      </c>
      <c r="U1491" s="8">
        <f>IF($D1491='[2]Beam '!U$44,$P1491*'[2]Beam '!U$45,0)</f>
        <v>0</v>
      </c>
      <c r="V1491" s="8">
        <f>IF($D1491='[2]Beam '!V$44,$P1491*'[2]Beam '!V$45,0)</f>
        <v>0</v>
      </c>
      <c r="W1491" s="8">
        <f>IF($D1491='[2]Beam '!W$44,$P1491*'[2]Beam '!W$45,0)</f>
        <v>0</v>
      </c>
      <c r="X1491" s="8">
        <f t="shared" si="276"/>
        <v>26.842514285714287</v>
      </c>
      <c r="Y1491" s="8"/>
      <c r="Z1491" s="8"/>
      <c r="AA1491" s="8"/>
      <c r="AB1491" s="8"/>
      <c r="AC1491" s="8"/>
      <c r="AD1491" s="8"/>
      <c r="AE1491" s="8"/>
    </row>
    <row r="1492" spans="1:32" s="10" customFormat="1" ht="21" customHeight="1" x14ac:dyDescent="0.25">
      <c r="A1492" s="7"/>
      <c r="B1492" s="8" t="s">
        <v>2</v>
      </c>
      <c r="C1492" s="13" t="s">
        <v>8</v>
      </c>
      <c r="D1492" s="8">
        <v>12</v>
      </c>
      <c r="E1492" s="8">
        <v>0.1</v>
      </c>
      <c r="F1492" s="8">
        <f>ROUNDUP(E1486/E1492,0)</f>
        <v>30</v>
      </c>
      <c r="H1492" s="8"/>
      <c r="I1492" s="8"/>
      <c r="J1492" s="8"/>
      <c r="K1492" s="8"/>
      <c r="L1492" s="8"/>
      <c r="M1492" s="8"/>
      <c r="N1492" s="8"/>
      <c r="O1492" s="8">
        <f>(2*((G1486-(2*'[2]Beam '!$D$11))+(F1486-(2*'[2]Beam '!$D$11)))+(2*10*D1492/1000))*D1486</f>
        <v>2.9000000000000004</v>
      </c>
      <c r="P1492" s="8">
        <f t="shared" si="275"/>
        <v>87.000000000000014</v>
      </c>
      <c r="Q1492" s="8">
        <f>IF($D1492='[2]Beam '!Q$44,$P1492*'[2]Beam '!Q$45,0)</f>
        <v>0</v>
      </c>
      <c r="R1492" s="8">
        <f>IF($D1492='[2]Beam '!R$44,$P1492*'[2]Beam '!R$45,0)</f>
        <v>0</v>
      </c>
      <c r="S1492" s="8">
        <f>IF($D1492='[2]Beam '!S$44,$P1492*'[2]Beam '!S$45,0)</f>
        <v>77.270914285714312</v>
      </c>
      <c r="T1492" s="8">
        <f>IF($D1492='[2]Beam '!T$44,$P1492*'[2]Beam '!T$45,0)</f>
        <v>0</v>
      </c>
      <c r="U1492" s="8">
        <f>IF($D1492='[2]Beam '!U$44,$P1492*'[2]Beam '!U$45,0)</f>
        <v>0</v>
      </c>
      <c r="V1492" s="8">
        <f>IF($D1492='[2]Beam '!V$44,$P1492*'[2]Beam '!V$45,0)</f>
        <v>0</v>
      </c>
      <c r="W1492" s="8">
        <f>IF($D1492='[2]Beam '!W$44,$P1492*'[2]Beam '!W$45,0)</f>
        <v>0</v>
      </c>
      <c r="X1492" s="8">
        <f t="shared" si="276"/>
        <v>77.270914285714312</v>
      </c>
      <c r="Y1492" s="8"/>
      <c r="Z1492" s="8"/>
      <c r="AA1492" s="8"/>
      <c r="AB1492" s="8"/>
      <c r="AC1492" s="8"/>
      <c r="AD1492" s="8"/>
      <c r="AE1492" s="8"/>
      <c r="AF1492" s="8"/>
    </row>
    <row r="1493" spans="1:32" s="10" customFormat="1" ht="20.100000000000001" customHeight="1" x14ac:dyDescent="0.25">
      <c r="A1493" s="14"/>
      <c r="B1493" s="8" t="s">
        <v>2</v>
      </c>
      <c r="C1493" s="13" t="s">
        <v>9</v>
      </c>
      <c r="D1493" s="8">
        <f>+D1492</f>
        <v>12</v>
      </c>
      <c r="E1493" s="14">
        <f>+E1492</f>
        <v>0.1</v>
      </c>
      <c r="F1493" s="8">
        <f>ROUNDUP(E1486/E1493,0)</f>
        <v>30</v>
      </c>
      <c r="H1493" s="14"/>
      <c r="I1493" s="14"/>
      <c r="J1493" s="14"/>
      <c r="K1493" s="14"/>
      <c r="L1493" s="14"/>
      <c r="M1493" s="14"/>
      <c r="N1493" s="14"/>
      <c r="O1493" s="8">
        <f>((((G1486-(2*'[2]Beam '!$D$11))+(2*10*D1493/1000))*D1486))*2</f>
        <v>2.56</v>
      </c>
      <c r="P1493" s="8">
        <f t="shared" si="275"/>
        <v>76.8</v>
      </c>
      <c r="Q1493" s="8">
        <f>IF($D1493='[2]Beam '!Q$44,$P1493*'[2]Beam '!Q$45,0)</f>
        <v>0</v>
      </c>
      <c r="R1493" s="8">
        <f>IF($D1493='[2]Beam '!R$44,$P1493*'[2]Beam '!R$45,0)</f>
        <v>0</v>
      </c>
      <c r="S1493" s="8">
        <f>IF($D1493='[2]Beam '!S$44,$P1493*'[2]Beam '!S$45,0)</f>
        <v>68.211565714285726</v>
      </c>
      <c r="T1493" s="8">
        <f>IF($D1493='[2]Beam '!T$44,$P1493*'[2]Beam '!T$45,0)</f>
        <v>0</v>
      </c>
      <c r="U1493" s="8">
        <f>IF($D1493='[2]Beam '!U$44,$P1493*'[2]Beam '!U$45,0)</f>
        <v>0</v>
      </c>
      <c r="V1493" s="8">
        <f>IF($D1493='[2]Beam '!V$44,$P1493*'[2]Beam '!V$45,0)</f>
        <v>0</v>
      </c>
      <c r="W1493" s="8">
        <f>IF($D1493='[2]Beam '!W$44,$P1493*'[2]Beam '!W$45,0)</f>
        <v>0</v>
      </c>
      <c r="X1493" s="8">
        <f t="shared" si="276"/>
        <v>68.211565714285726</v>
      </c>
      <c r="Y1493" s="14"/>
      <c r="Z1493" s="8"/>
      <c r="AA1493" s="8"/>
      <c r="AB1493" s="8"/>
      <c r="AC1493" s="8"/>
      <c r="AD1493" s="8"/>
      <c r="AE1493" s="8"/>
    </row>
    <row r="1494" spans="1:32" s="10" customFormat="1" ht="20.100000000000001" customHeight="1" x14ac:dyDescent="0.25">
      <c r="A1494" s="7"/>
      <c r="B1494" s="8" t="s">
        <v>2</v>
      </c>
      <c r="C1494" s="13" t="s">
        <v>10</v>
      </c>
      <c r="D1494" s="8">
        <f>+'[2]Beam '!$D$15</f>
        <v>25</v>
      </c>
      <c r="E1494" s="8">
        <f>+'[2]Beam '!$E$15</f>
        <v>1</v>
      </c>
      <c r="F1494" s="8">
        <f>ROUNDUP((E1486)/E1494,0)</f>
        <v>3</v>
      </c>
      <c r="G1494" s="9"/>
      <c r="H1494" s="9"/>
      <c r="I1494" s="8"/>
      <c r="J1494" s="8"/>
      <c r="K1494" s="8"/>
      <c r="L1494" s="8"/>
      <c r="M1494" s="8"/>
      <c r="N1494" s="8"/>
      <c r="O1494" s="8">
        <f>F1486-'[2]Beam '!$F$15</f>
        <v>0.28999999999999998</v>
      </c>
      <c r="P1494" s="8">
        <f t="shared" si="275"/>
        <v>0.86999999999999988</v>
      </c>
      <c r="Q1494" s="8">
        <f>IF($D1494='[2]Beam '!Q$44,$P1494*'[2]Beam '!Q$45,0)</f>
        <v>0</v>
      </c>
      <c r="R1494" s="8">
        <f>IF($D1494='[2]Beam '!R$44,$P1494*'[2]Beam '!R$45,0)</f>
        <v>0</v>
      </c>
      <c r="S1494" s="8">
        <f>IF($D1494='[2]Beam '!S$44,$P1494*'[2]Beam '!S$45,0)</f>
        <v>0</v>
      </c>
      <c r="T1494" s="8">
        <f>IF($D1494='[2]Beam '!T$44,$P1494*'[2]Beam '!T$45,0)</f>
        <v>0</v>
      </c>
      <c r="U1494" s="8">
        <f>IF($D1494='[2]Beam '!U$44,$P1494*'[2]Beam '!U$45,0)</f>
        <v>0</v>
      </c>
      <c r="V1494" s="8">
        <f>IF($D1494='[2]Beam '!V$44,$P1494*'[2]Beam '!V$45,0)</f>
        <v>3.3537723214285715</v>
      </c>
      <c r="W1494" s="8">
        <f>IF($D1494='[2]Beam '!W$44,$P1494*'[2]Beam '!W$45,0)</f>
        <v>0</v>
      </c>
      <c r="X1494" s="8">
        <f t="shared" si="276"/>
        <v>3.3537723214285715</v>
      </c>
      <c r="Y1494" s="8"/>
      <c r="Z1494" s="8"/>
      <c r="AA1494" s="8"/>
      <c r="AB1494" s="8"/>
      <c r="AC1494" s="8"/>
      <c r="AD1494" s="8"/>
      <c r="AE1494" s="8"/>
    </row>
    <row r="1495" spans="1:32" s="10" customFormat="1" ht="20.100000000000001" customHeight="1" x14ac:dyDescent="0.25">
      <c r="A1495" s="8">
        <v>1</v>
      </c>
      <c r="B1495" s="8" t="s">
        <v>2</v>
      </c>
      <c r="C1495" s="11" t="s">
        <v>200</v>
      </c>
      <c r="D1495" s="11">
        <v>1</v>
      </c>
      <c r="E1495" s="11">
        <v>3</v>
      </c>
      <c r="F1495" s="11">
        <v>0.35</v>
      </c>
      <c r="G1495" s="11">
        <v>1.1000000000000001</v>
      </c>
      <c r="H1495" s="8">
        <f>G1495-0.2</f>
        <v>0.90000000000000013</v>
      </c>
      <c r="I1495" s="8">
        <f>E1495*F1495*G1495*D1495</f>
        <v>1.1549999999999998</v>
      </c>
      <c r="J1495" s="8">
        <f>(2*(E1495)*H1495*D1495)+(E1495*F1495)</f>
        <v>6.45</v>
      </c>
      <c r="K1495" s="12">
        <f>IF(E1495=0.3,J1495,0)</f>
        <v>0</v>
      </c>
      <c r="L1495" s="12">
        <f>IF(AND(E1495&gt;0.3,E1495&lt;=0.75),J1495,0)</f>
        <v>0</v>
      </c>
      <c r="M1495" s="12">
        <f>IF(AND(E1495&gt;0.75,E1495&lt;=1.2),J1495,0)</f>
        <v>0</v>
      </c>
      <c r="N1495" s="12">
        <f>IF(E1495&gt;1.2,J1495,0)</f>
        <v>6.45</v>
      </c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>
        <f>SUM(X1496:X1497)/I1495</f>
        <v>146.9605442176871</v>
      </c>
      <c r="Z1495" s="8"/>
      <c r="AA1495" s="8"/>
      <c r="AB1495" s="8"/>
      <c r="AC1495" s="8"/>
      <c r="AD1495" s="8"/>
      <c r="AE1495" s="8"/>
    </row>
    <row r="1496" spans="1:32" s="10" customFormat="1" ht="20.100000000000001" customHeight="1" x14ac:dyDescent="0.25">
      <c r="A1496" s="7"/>
      <c r="B1496" s="8" t="s">
        <v>2</v>
      </c>
      <c r="C1496" s="13" t="s">
        <v>4</v>
      </c>
      <c r="D1496" s="8">
        <v>20</v>
      </c>
      <c r="E1496" s="8"/>
      <c r="F1496" s="8">
        <v>4</v>
      </c>
      <c r="G1496" s="9">
        <f>VLOOKUP(D1496,'[2]Beam '!$C$20:$H$26,3,0)</f>
        <v>0.8</v>
      </c>
      <c r="H1496" s="9"/>
      <c r="I1496" s="8"/>
      <c r="J1496" s="8"/>
      <c r="K1496" s="8"/>
      <c r="L1496" s="8"/>
      <c r="M1496" s="8"/>
      <c r="N1496" s="8"/>
      <c r="O1496" s="8">
        <f>(E1495+2*(G1496+2*(2/2)*D1495))</f>
        <v>8.6</v>
      </c>
      <c r="P1496" s="8">
        <f t="shared" ref="P1496:P1503" si="277">O1496*F1496</f>
        <v>34.4</v>
      </c>
      <c r="Q1496" s="8">
        <f>IF($D1496='[2]Beam '!Q$44,$P1496*'[2]Beam '!Q$45,0)</f>
        <v>0</v>
      </c>
      <c r="R1496" s="8">
        <f>IF($D1496='[2]Beam '!R$44,$P1496*'[2]Beam '!R$45,0)</f>
        <v>0</v>
      </c>
      <c r="S1496" s="8">
        <f>IF($D1496='[2]Beam '!S$44,$P1496*'[2]Beam '!S$45,0)</f>
        <v>0</v>
      </c>
      <c r="T1496" s="8">
        <f>IF($D1496='[2]Beam '!T$44,$P1496*'[2]Beam '!T$45,0)</f>
        <v>0</v>
      </c>
      <c r="U1496" s="8">
        <f>IF($D1496='[2]Beam '!U$44,$P1496*'[2]Beam '!U$45,0)</f>
        <v>84.869714285714281</v>
      </c>
      <c r="V1496" s="8">
        <f>IF($D1496='[2]Beam '!V$44,$P1496*'[2]Beam '!V$45,0)</f>
        <v>0</v>
      </c>
      <c r="W1496" s="8">
        <f>IF($D1496='[2]Beam '!W$44,$P1496*'[2]Beam '!W$45,0)</f>
        <v>0</v>
      </c>
      <c r="X1496" s="8">
        <f t="shared" ref="X1496:X1503" si="278">SUM(Q1496:W1496)</f>
        <v>84.869714285714281</v>
      </c>
      <c r="Y1496" s="8"/>
      <c r="Z1496" s="8"/>
      <c r="AA1496" s="8"/>
      <c r="AB1496" s="8"/>
      <c r="AC1496" s="8"/>
      <c r="AD1496" s="8"/>
      <c r="AE1496" s="8"/>
    </row>
    <row r="1497" spans="1:32" s="10" customFormat="1" ht="19.5" customHeight="1" x14ac:dyDescent="0.25">
      <c r="A1497" s="7"/>
      <c r="B1497" s="8" t="s">
        <v>2</v>
      </c>
      <c r="C1497" s="13" t="s">
        <v>139</v>
      </c>
      <c r="D1497" s="8">
        <v>20</v>
      </c>
      <c r="E1497" s="8"/>
      <c r="F1497" s="8">
        <v>4</v>
      </c>
      <c r="G1497" s="9">
        <f>VLOOKUP(D1497,'[2]Beam '!$C$20:$H$26,3,0)</f>
        <v>0.8</v>
      </c>
      <c r="H1497" s="9"/>
      <c r="I1497" s="8"/>
      <c r="J1497" s="8"/>
      <c r="K1497" s="8"/>
      <c r="L1497" s="8"/>
      <c r="M1497" s="8"/>
      <c r="N1497" s="8"/>
      <c r="O1497" s="8">
        <f>(E1495+2*(G1497+2*(2/2)*D1495))</f>
        <v>8.6</v>
      </c>
      <c r="P1497" s="8">
        <f t="shared" si="277"/>
        <v>34.4</v>
      </c>
      <c r="Q1497" s="8">
        <f>IF($D1497='[2]Beam '!Q$44,$P1497*'[2]Beam '!Q$45,0)</f>
        <v>0</v>
      </c>
      <c r="R1497" s="8">
        <f>IF($D1497='[2]Beam '!R$44,$P1497*'[2]Beam '!R$45,0)</f>
        <v>0</v>
      </c>
      <c r="S1497" s="8">
        <f>IF($D1497='[2]Beam '!S$44,$P1497*'[2]Beam '!S$45,0)</f>
        <v>0</v>
      </c>
      <c r="T1497" s="8">
        <f>IF($D1497='[2]Beam '!T$44,$P1497*'[2]Beam '!T$45,0)</f>
        <v>0</v>
      </c>
      <c r="U1497" s="8">
        <f>IF($D1497='[2]Beam '!U$44,$P1497*'[2]Beam '!U$45,0)</f>
        <v>84.869714285714281</v>
      </c>
      <c r="V1497" s="8">
        <f>IF($D1497='[2]Beam '!V$44,$P1497*'[2]Beam '!V$45,0)</f>
        <v>0</v>
      </c>
      <c r="W1497" s="8">
        <f>IF($D1497='[2]Beam '!W$44,$P1497*'[2]Beam '!W$45,0)</f>
        <v>0</v>
      </c>
      <c r="X1497" s="8">
        <f t="shared" si="278"/>
        <v>84.869714285714281</v>
      </c>
      <c r="Y1497" s="8"/>
      <c r="Z1497" s="8"/>
      <c r="AA1497" s="8"/>
      <c r="AB1497" s="8"/>
      <c r="AC1497" s="8"/>
      <c r="AD1497" s="8"/>
      <c r="AE1497" s="8"/>
    </row>
    <row r="1498" spans="1:32" s="10" customFormat="1" ht="20.100000000000001" customHeight="1" x14ac:dyDescent="0.25">
      <c r="A1498" s="7"/>
      <c r="B1498" s="8" t="s">
        <v>2</v>
      </c>
      <c r="C1498" s="13" t="s">
        <v>75</v>
      </c>
      <c r="D1498" s="8">
        <v>20</v>
      </c>
      <c r="E1498" s="8"/>
      <c r="F1498" s="8">
        <v>4</v>
      </c>
      <c r="G1498" s="9">
        <f>VLOOKUP(D1498,'[2]Beam '!$C$20:$H$26,3,0)</f>
        <v>0.8</v>
      </c>
      <c r="H1498" s="9"/>
      <c r="I1498" s="8"/>
      <c r="J1498" s="8"/>
      <c r="K1498" s="8"/>
      <c r="L1498" s="8"/>
      <c r="M1498" s="8"/>
      <c r="N1498" s="8"/>
      <c r="O1498" s="8">
        <f>(1.25+1*(1*(2/2)*D1495))</f>
        <v>2.25</v>
      </c>
      <c r="P1498" s="8">
        <f t="shared" si="277"/>
        <v>9</v>
      </c>
      <c r="Q1498" s="8">
        <f>IF($D1498='[2]Beam '!Q$44,$P1498*'[2]Beam '!Q$45,0)</f>
        <v>0</v>
      </c>
      <c r="R1498" s="8">
        <f>IF($D1498='[2]Beam '!R$44,$P1498*'[2]Beam '!R$45,0)</f>
        <v>0</v>
      </c>
      <c r="S1498" s="8">
        <f>IF($D1498='[2]Beam '!S$44,$P1498*'[2]Beam '!S$45,0)</f>
        <v>0</v>
      </c>
      <c r="T1498" s="8">
        <f>IF($D1498='[2]Beam '!T$44,$P1498*'[2]Beam '!T$45,0)</f>
        <v>0</v>
      </c>
      <c r="U1498" s="8">
        <f>IF($D1498='[2]Beam '!U$44,$P1498*'[2]Beam '!U$45,0)</f>
        <v>22.204285714285714</v>
      </c>
      <c r="V1498" s="8">
        <f>IF($D1498='[2]Beam '!V$44,$P1498*'[2]Beam '!V$45,0)</f>
        <v>0</v>
      </c>
      <c r="W1498" s="8">
        <f>IF($D1498='[2]Beam '!W$44,$P1498*'[2]Beam '!W$45,0)</f>
        <v>0</v>
      </c>
      <c r="X1498" s="8">
        <f t="shared" si="278"/>
        <v>22.204285714285714</v>
      </c>
      <c r="Y1498" s="8"/>
      <c r="Z1498" s="8"/>
      <c r="AA1498" s="8"/>
      <c r="AB1498" s="8"/>
      <c r="AC1498" s="8"/>
      <c r="AD1498" s="8"/>
      <c r="AE1498" s="8"/>
    </row>
    <row r="1499" spans="1:32" s="14" customFormat="1" ht="20.100000000000001" customHeight="1" x14ac:dyDescent="0.3">
      <c r="A1499" s="7"/>
      <c r="B1499" s="8" t="s">
        <v>2</v>
      </c>
      <c r="C1499" s="13" t="s">
        <v>75</v>
      </c>
      <c r="D1499" s="8">
        <v>20</v>
      </c>
      <c r="E1499" s="8"/>
      <c r="F1499" s="8">
        <v>4</v>
      </c>
      <c r="G1499" s="9">
        <f>VLOOKUP(D1499,'[2]Beam '!$C$20:$H$26,3,0)</f>
        <v>0.8</v>
      </c>
      <c r="H1499" s="9"/>
      <c r="I1499" s="8"/>
      <c r="J1499" s="8"/>
      <c r="K1499" s="8"/>
      <c r="L1499" s="8"/>
      <c r="M1499" s="8"/>
      <c r="N1499" s="8"/>
      <c r="O1499" s="8">
        <f>(1.25+1*(1*(2/2)*D1495))</f>
        <v>2.25</v>
      </c>
      <c r="P1499" s="8">
        <f t="shared" si="277"/>
        <v>9</v>
      </c>
      <c r="Q1499" s="8">
        <f>IF($D1499='[2]Beam '!Q$44,$P1499*'[2]Beam '!Q$45,0)</f>
        <v>0</v>
      </c>
      <c r="R1499" s="8">
        <f>IF($D1499='[2]Beam '!R$44,$P1499*'[2]Beam '!R$45,0)</f>
        <v>0</v>
      </c>
      <c r="S1499" s="8">
        <f>IF($D1499='[2]Beam '!S$44,$P1499*'[2]Beam '!S$45,0)</f>
        <v>0</v>
      </c>
      <c r="T1499" s="8">
        <f>IF($D1499='[2]Beam '!T$44,$P1499*'[2]Beam '!T$45,0)</f>
        <v>0</v>
      </c>
      <c r="U1499" s="8">
        <f>IF($D1499='[2]Beam '!U$44,$P1499*'[2]Beam '!U$45,0)</f>
        <v>22.204285714285714</v>
      </c>
      <c r="V1499" s="8">
        <f>IF($D1499='[2]Beam '!V$44,$P1499*'[2]Beam '!V$45,0)</f>
        <v>0</v>
      </c>
      <c r="W1499" s="8">
        <f>IF($D1499='[2]Beam '!W$44,$P1499*'[2]Beam '!W$45,0)</f>
        <v>0</v>
      </c>
      <c r="X1499" s="8">
        <f t="shared" si="278"/>
        <v>22.204285714285714</v>
      </c>
      <c r="Y1499" s="8"/>
    </row>
    <row r="1500" spans="1:32" s="10" customFormat="1" ht="20.100000000000001" customHeight="1" x14ac:dyDescent="0.25">
      <c r="A1500" s="7"/>
      <c r="B1500" s="8" t="s">
        <v>2</v>
      </c>
      <c r="C1500" s="13" t="s">
        <v>88</v>
      </c>
      <c r="D1500" s="8">
        <v>16</v>
      </c>
      <c r="E1500" s="8"/>
      <c r="F1500" s="8">
        <v>4</v>
      </c>
      <c r="G1500" s="9">
        <f>VLOOKUP(D1500,'[2]Beam '!$C$20:$H$26,3,0)</f>
        <v>0.625</v>
      </c>
      <c r="H1500" s="9"/>
      <c r="I1500" s="8"/>
      <c r="J1500" s="8"/>
      <c r="K1500" s="8"/>
      <c r="L1500" s="8"/>
      <c r="M1500" s="8"/>
      <c r="N1500" s="8"/>
      <c r="O1500" s="8">
        <f>(E1495+2*(G1500)*D1495)</f>
        <v>4.25</v>
      </c>
      <c r="P1500" s="8">
        <f t="shared" si="277"/>
        <v>17</v>
      </c>
      <c r="Q1500" s="8">
        <f>IF($D1500='[2]Beam '!Q$44,$P1500*'[2]Beam '!Q$45,0)</f>
        <v>0</v>
      </c>
      <c r="R1500" s="8">
        <f>IF($D1500='[2]Beam '!R$44,$P1500*'[2]Beam '!R$45,0)</f>
        <v>0</v>
      </c>
      <c r="S1500" s="8">
        <f>IF($D1500='[2]Beam '!S$44,$P1500*'[2]Beam '!S$45,0)</f>
        <v>0</v>
      </c>
      <c r="T1500" s="8">
        <f>IF($D1500='[2]Beam '!T$44,$P1500*'[2]Beam '!T$45,0)</f>
        <v>26.842514285714287</v>
      </c>
      <c r="U1500" s="8">
        <f>IF($D1500='[2]Beam '!U$44,$P1500*'[2]Beam '!U$45,0)</f>
        <v>0</v>
      </c>
      <c r="V1500" s="8">
        <f>IF($D1500='[2]Beam '!V$44,$P1500*'[2]Beam '!V$45,0)</f>
        <v>0</v>
      </c>
      <c r="W1500" s="8">
        <f>IF($D1500='[2]Beam '!W$44,$P1500*'[2]Beam '!W$45,0)</f>
        <v>0</v>
      </c>
      <c r="X1500" s="8">
        <f t="shared" si="278"/>
        <v>26.842514285714287</v>
      </c>
      <c r="Y1500" s="8"/>
      <c r="Z1500" s="8"/>
      <c r="AA1500" s="8"/>
      <c r="AB1500" s="8"/>
      <c r="AC1500" s="8"/>
      <c r="AD1500" s="8"/>
      <c r="AE1500" s="8"/>
    </row>
    <row r="1501" spans="1:32" s="10" customFormat="1" ht="21" customHeight="1" x14ac:dyDescent="0.25">
      <c r="A1501" s="7"/>
      <c r="B1501" s="8" t="s">
        <v>2</v>
      </c>
      <c r="C1501" s="13" t="s">
        <v>8</v>
      </c>
      <c r="D1501" s="8">
        <v>12</v>
      </c>
      <c r="E1501" s="8">
        <v>0.1</v>
      </c>
      <c r="F1501" s="8">
        <f>ROUNDUP(E1495/E1501,0)</f>
        <v>30</v>
      </c>
      <c r="H1501" s="8"/>
      <c r="I1501" s="8"/>
      <c r="J1501" s="8"/>
      <c r="K1501" s="8"/>
      <c r="L1501" s="8"/>
      <c r="M1501" s="8"/>
      <c r="N1501" s="8"/>
      <c r="O1501" s="8">
        <f>(2*((G1495-(2*'[2]Beam '!$D$11))+(F1495-(2*'[2]Beam '!$D$11)))+(2*10*D1501/1000))*D1495</f>
        <v>2.9000000000000004</v>
      </c>
      <c r="P1501" s="8">
        <f t="shared" si="277"/>
        <v>87.000000000000014</v>
      </c>
      <c r="Q1501" s="8">
        <f>IF($D1501='[2]Beam '!Q$44,$P1501*'[2]Beam '!Q$45,0)</f>
        <v>0</v>
      </c>
      <c r="R1501" s="8">
        <f>IF($D1501='[2]Beam '!R$44,$P1501*'[2]Beam '!R$45,0)</f>
        <v>0</v>
      </c>
      <c r="S1501" s="8">
        <f>IF($D1501='[2]Beam '!S$44,$P1501*'[2]Beam '!S$45,0)</f>
        <v>77.270914285714312</v>
      </c>
      <c r="T1501" s="8">
        <f>IF($D1501='[2]Beam '!T$44,$P1501*'[2]Beam '!T$45,0)</f>
        <v>0</v>
      </c>
      <c r="U1501" s="8">
        <f>IF($D1501='[2]Beam '!U$44,$P1501*'[2]Beam '!U$45,0)</f>
        <v>0</v>
      </c>
      <c r="V1501" s="8">
        <f>IF($D1501='[2]Beam '!V$44,$P1501*'[2]Beam '!V$45,0)</f>
        <v>0</v>
      </c>
      <c r="W1501" s="8">
        <f>IF($D1501='[2]Beam '!W$44,$P1501*'[2]Beam '!W$45,0)</f>
        <v>0</v>
      </c>
      <c r="X1501" s="8">
        <f t="shared" si="278"/>
        <v>77.270914285714312</v>
      </c>
      <c r="Y1501" s="8"/>
      <c r="Z1501" s="8"/>
      <c r="AA1501" s="8"/>
      <c r="AB1501" s="8"/>
      <c r="AC1501" s="8"/>
      <c r="AD1501" s="8"/>
      <c r="AE1501" s="8"/>
      <c r="AF1501" s="8"/>
    </row>
    <row r="1502" spans="1:32" s="10" customFormat="1" ht="20.100000000000001" customHeight="1" x14ac:dyDescent="0.25">
      <c r="A1502" s="14"/>
      <c r="B1502" s="8" t="s">
        <v>2</v>
      </c>
      <c r="C1502" s="13" t="s">
        <v>9</v>
      </c>
      <c r="D1502" s="8">
        <f>+D1501</f>
        <v>12</v>
      </c>
      <c r="E1502" s="14">
        <f>+E1501</f>
        <v>0.1</v>
      </c>
      <c r="F1502" s="8">
        <f>ROUNDUP(E1495/E1502,0)</f>
        <v>30</v>
      </c>
      <c r="H1502" s="14"/>
      <c r="I1502" s="14"/>
      <c r="J1502" s="14"/>
      <c r="K1502" s="14"/>
      <c r="L1502" s="14"/>
      <c r="M1502" s="14"/>
      <c r="N1502" s="14"/>
      <c r="O1502" s="8">
        <f>((((G1495-(2*'[2]Beam '!$D$11))+(2*10*D1502/1000))*D1495))*2</f>
        <v>2.56</v>
      </c>
      <c r="P1502" s="8">
        <f t="shared" si="277"/>
        <v>76.8</v>
      </c>
      <c r="Q1502" s="8">
        <f>IF($D1502='[2]Beam '!Q$44,$P1502*'[2]Beam '!Q$45,0)</f>
        <v>0</v>
      </c>
      <c r="R1502" s="8">
        <f>IF($D1502='[2]Beam '!R$44,$P1502*'[2]Beam '!R$45,0)</f>
        <v>0</v>
      </c>
      <c r="S1502" s="8">
        <f>IF($D1502='[2]Beam '!S$44,$P1502*'[2]Beam '!S$45,0)</f>
        <v>68.211565714285726</v>
      </c>
      <c r="T1502" s="8">
        <f>IF($D1502='[2]Beam '!T$44,$P1502*'[2]Beam '!T$45,0)</f>
        <v>0</v>
      </c>
      <c r="U1502" s="8">
        <f>IF($D1502='[2]Beam '!U$44,$P1502*'[2]Beam '!U$45,0)</f>
        <v>0</v>
      </c>
      <c r="V1502" s="8">
        <f>IF($D1502='[2]Beam '!V$44,$P1502*'[2]Beam '!V$45,0)</f>
        <v>0</v>
      </c>
      <c r="W1502" s="8">
        <f>IF($D1502='[2]Beam '!W$44,$P1502*'[2]Beam '!W$45,0)</f>
        <v>0</v>
      </c>
      <c r="X1502" s="8">
        <f t="shared" si="278"/>
        <v>68.211565714285726</v>
      </c>
      <c r="Y1502" s="14"/>
      <c r="Z1502" s="8"/>
      <c r="AA1502" s="8"/>
      <c r="AB1502" s="8"/>
      <c r="AC1502" s="8"/>
      <c r="AD1502" s="8"/>
      <c r="AE1502" s="8"/>
    </row>
    <row r="1503" spans="1:32" s="10" customFormat="1" ht="20.100000000000001" customHeight="1" x14ac:dyDescent="0.25">
      <c r="A1503" s="7"/>
      <c r="B1503" s="8" t="s">
        <v>2</v>
      </c>
      <c r="C1503" s="13" t="s">
        <v>10</v>
      </c>
      <c r="D1503" s="8">
        <f>+'[2]Beam '!$D$15</f>
        <v>25</v>
      </c>
      <c r="E1503" s="8">
        <f>+'[2]Beam '!$E$15</f>
        <v>1</v>
      </c>
      <c r="F1503" s="8">
        <f>ROUNDUP((E1495)/E1503,0)</f>
        <v>3</v>
      </c>
      <c r="G1503" s="9"/>
      <c r="H1503" s="9"/>
      <c r="I1503" s="8"/>
      <c r="J1503" s="8"/>
      <c r="K1503" s="8"/>
      <c r="L1503" s="8"/>
      <c r="M1503" s="8"/>
      <c r="N1503" s="8"/>
      <c r="O1503" s="8">
        <f>F1495-'[2]Beam '!$F$15</f>
        <v>0.28999999999999998</v>
      </c>
      <c r="P1503" s="8">
        <f t="shared" si="277"/>
        <v>0.86999999999999988</v>
      </c>
      <c r="Q1503" s="8">
        <f>IF($D1503='[2]Beam '!Q$44,$P1503*'[2]Beam '!Q$45,0)</f>
        <v>0</v>
      </c>
      <c r="R1503" s="8">
        <f>IF($D1503='[2]Beam '!R$44,$P1503*'[2]Beam '!R$45,0)</f>
        <v>0</v>
      </c>
      <c r="S1503" s="8">
        <f>IF($D1503='[2]Beam '!S$44,$P1503*'[2]Beam '!S$45,0)</f>
        <v>0</v>
      </c>
      <c r="T1503" s="8">
        <f>IF($D1503='[2]Beam '!T$44,$P1503*'[2]Beam '!T$45,0)</f>
        <v>0</v>
      </c>
      <c r="U1503" s="8">
        <f>IF($D1503='[2]Beam '!U$44,$P1503*'[2]Beam '!U$45,0)</f>
        <v>0</v>
      </c>
      <c r="V1503" s="8">
        <f>IF($D1503='[2]Beam '!V$44,$P1503*'[2]Beam '!V$45,0)</f>
        <v>3.3537723214285715</v>
      </c>
      <c r="W1503" s="8">
        <f>IF($D1503='[2]Beam '!W$44,$P1503*'[2]Beam '!W$45,0)</f>
        <v>0</v>
      </c>
      <c r="X1503" s="8">
        <f t="shared" si="278"/>
        <v>3.3537723214285715</v>
      </c>
      <c r="Y1503" s="8"/>
      <c r="Z1503" s="8"/>
      <c r="AA1503" s="8"/>
      <c r="AB1503" s="8"/>
      <c r="AC1503" s="8"/>
      <c r="AD1503" s="8"/>
      <c r="AE1503" s="8"/>
    </row>
    <row r="1504" spans="1:32" s="10" customFormat="1" ht="20.100000000000001" customHeight="1" x14ac:dyDescent="0.25">
      <c r="A1504" s="8">
        <v>1</v>
      </c>
      <c r="B1504" s="8" t="s">
        <v>2</v>
      </c>
      <c r="C1504" s="11" t="s">
        <v>201</v>
      </c>
      <c r="D1504" s="11">
        <v>1</v>
      </c>
      <c r="E1504" s="11">
        <v>2.0939999999999999</v>
      </c>
      <c r="F1504" s="11">
        <v>0.35</v>
      </c>
      <c r="G1504" s="11">
        <v>1.1000000000000001</v>
      </c>
      <c r="H1504" s="8">
        <f>G1504-0.2</f>
        <v>0.90000000000000013</v>
      </c>
      <c r="I1504" s="8">
        <f>E1504*F1504*G1504*D1504</f>
        <v>0.80618999999999996</v>
      </c>
      <c r="J1504" s="8">
        <f>(2*(E1504)*H1504*D1504)+(E1504*F1504)</f>
        <v>4.5021000000000004</v>
      </c>
      <c r="K1504" s="12">
        <f>IF(E1504=0.3,J1504,0)</f>
        <v>0</v>
      </c>
      <c r="L1504" s="12">
        <f>IF(AND(E1504&gt;0.3,E1504&lt;=0.75),J1504,0)</f>
        <v>0</v>
      </c>
      <c r="M1504" s="12">
        <f>IF(AND(E1504&gt;0.75,E1504&lt;=1.2),J1504,0)</f>
        <v>0</v>
      </c>
      <c r="N1504" s="12">
        <f>IF(E1504&gt;1.2,J1504,0)</f>
        <v>4.5021000000000004</v>
      </c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>
        <f>SUM(X1505:X1508)/I1504</f>
        <v>144.09798647252597</v>
      </c>
      <c r="Z1504" s="8"/>
      <c r="AA1504" s="8"/>
      <c r="AB1504" s="8"/>
      <c r="AC1504" s="8"/>
      <c r="AD1504" s="8"/>
      <c r="AE1504" s="8"/>
    </row>
    <row r="1505" spans="1:32" s="10" customFormat="1" ht="20.100000000000001" customHeight="1" x14ac:dyDescent="0.25">
      <c r="A1505" s="7"/>
      <c r="B1505" s="8" t="s">
        <v>2</v>
      </c>
      <c r="C1505" s="13" t="s">
        <v>4</v>
      </c>
      <c r="D1505" s="8">
        <v>20</v>
      </c>
      <c r="E1505" s="8"/>
      <c r="F1505" s="8">
        <v>4</v>
      </c>
      <c r="G1505" s="9">
        <f>VLOOKUP(D1505,'[2]Beam '!$C$20:$H$26,3,0)</f>
        <v>0.8</v>
      </c>
      <c r="H1505" s="9"/>
      <c r="I1505" s="8"/>
      <c r="J1505" s="8"/>
      <c r="K1505" s="8"/>
      <c r="L1505" s="8"/>
      <c r="M1505" s="8"/>
      <c r="N1505" s="8"/>
      <c r="O1505" s="8">
        <f>(E1504+1*(G1505+(12*D1505/1000))*D1504)</f>
        <v>3.1339999999999999</v>
      </c>
      <c r="P1505" s="8">
        <f t="shared" ref="P1505:P1510" si="279">O1505*F1505</f>
        <v>12.536</v>
      </c>
      <c r="Q1505" s="8">
        <f>IF($D1505='[2]Beam '!Q$44,$P1505*'[2]Beam '!Q$45,0)</f>
        <v>0</v>
      </c>
      <c r="R1505" s="8">
        <f>IF($D1505='[2]Beam '!R$44,$P1505*'[2]Beam '!R$45,0)</f>
        <v>0</v>
      </c>
      <c r="S1505" s="8">
        <f>IF($D1505='[2]Beam '!S$44,$P1505*'[2]Beam '!S$45,0)</f>
        <v>0</v>
      </c>
      <c r="T1505" s="8">
        <f>IF($D1505='[2]Beam '!T$44,$P1505*'[2]Beam '!T$45,0)</f>
        <v>0</v>
      </c>
      <c r="U1505" s="8">
        <f>IF($D1505='[2]Beam '!U$44,$P1505*'[2]Beam '!U$45,0)</f>
        <v>30.928102857142857</v>
      </c>
      <c r="V1505" s="8">
        <f>IF($D1505='[2]Beam '!V$44,$P1505*'[2]Beam '!V$45,0)</f>
        <v>0</v>
      </c>
      <c r="W1505" s="8">
        <f>IF($D1505='[2]Beam '!W$44,$P1505*'[2]Beam '!W$45,0)</f>
        <v>0</v>
      </c>
      <c r="X1505" s="8">
        <f t="shared" ref="X1505:X1510" si="280">SUM(Q1505:W1505)</f>
        <v>30.928102857142857</v>
      </c>
      <c r="Y1505" s="8"/>
      <c r="Z1505" s="8"/>
      <c r="AA1505" s="8"/>
      <c r="AB1505" s="8"/>
      <c r="AC1505" s="8"/>
      <c r="AD1505" s="8"/>
      <c r="AE1505" s="8"/>
    </row>
    <row r="1506" spans="1:32" s="14" customFormat="1" ht="20.100000000000001" customHeight="1" x14ac:dyDescent="0.3">
      <c r="A1506" s="7"/>
      <c r="B1506" s="8" t="s">
        <v>2</v>
      </c>
      <c r="C1506" s="13" t="s">
        <v>139</v>
      </c>
      <c r="D1506" s="8">
        <v>20</v>
      </c>
      <c r="E1506" s="8"/>
      <c r="F1506" s="8">
        <v>4</v>
      </c>
      <c r="G1506" s="9">
        <f>VLOOKUP(D1506,'[2]Beam '!$C$20:$H$26,3,0)</f>
        <v>0.8</v>
      </c>
      <c r="H1506" s="9"/>
      <c r="I1506" s="8"/>
      <c r="J1506" s="8"/>
      <c r="K1506" s="8"/>
      <c r="L1506" s="8"/>
      <c r="M1506" s="8"/>
      <c r="N1506" s="8"/>
      <c r="O1506" s="8">
        <f>(E1504+1*(G1506+(12*D1506/1000))*D1504)</f>
        <v>3.1339999999999999</v>
      </c>
      <c r="P1506" s="8">
        <f t="shared" si="279"/>
        <v>12.536</v>
      </c>
      <c r="Q1506" s="8">
        <f>IF($D1506='[2]Beam '!Q$44,$P1506*'[2]Beam '!Q$45,0)</f>
        <v>0</v>
      </c>
      <c r="R1506" s="8">
        <f>IF($D1506='[2]Beam '!R$44,$P1506*'[2]Beam '!R$45,0)</f>
        <v>0</v>
      </c>
      <c r="S1506" s="8">
        <f>IF($D1506='[2]Beam '!S$44,$P1506*'[2]Beam '!S$45,0)</f>
        <v>0</v>
      </c>
      <c r="T1506" s="8">
        <f>IF($D1506='[2]Beam '!T$44,$P1506*'[2]Beam '!T$45,0)</f>
        <v>0</v>
      </c>
      <c r="U1506" s="8">
        <f>IF($D1506='[2]Beam '!U$44,$P1506*'[2]Beam '!U$45,0)</f>
        <v>30.928102857142857</v>
      </c>
      <c r="V1506" s="8">
        <f>IF($D1506='[2]Beam '!V$44,$P1506*'[2]Beam '!V$45,0)</f>
        <v>0</v>
      </c>
      <c r="W1506" s="8">
        <f>IF($D1506='[2]Beam '!W$44,$P1506*'[2]Beam '!W$45,0)</f>
        <v>0</v>
      </c>
      <c r="X1506" s="8">
        <f t="shared" si="280"/>
        <v>30.928102857142857</v>
      </c>
      <c r="Y1506" s="8"/>
    </row>
    <row r="1507" spans="1:32" s="10" customFormat="1" ht="20.100000000000001" customHeight="1" x14ac:dyDescent="0.25">
      <c r="A1507" s="7"/>
      <c r="B1507" s="8" t="s">
        <v>2</v>
      </c>
      <c r="C1507" s="13" t="s">
        <v>75</v>
      </c>
      <c r="D1507" s="8">
        <v>20</v>
      </c>
      <c r="E1507" s="8"/>
      <c r="F1507" s="8">
        <v>4</v>
      </c>
      <c r="G1507" s="9">
        <f>VLOOKUP(D1507,'[2]Beam '!$C$20:$H$26,3,0)</f>
        <v>0.8</v>
      </c>
      <c r="H1507" s="9"/>
      <c r="I1507" s="8"/>
      <c r="J1507" s="8"/>
      <c r="K1507" s="8"/>
      <c r="L1507" s="8"/>
      <c r="M1507" s="8"/>
      <c r="N1507" s="8"/>
      <c r="O1507" s="8">
        <f>(0.75+1*(1*(2/2)*D1504))</f>
        <v>1.75</v>
      </c>
      <c r="P1507" s="8">
        <f t="shared" si="279"/>
        <v>7</v>
      </c>
      <c r="Q1507" s="8">
        <f>IF($D1507='[2]Beam '!Q$44,$P1507*'[2]Beam '!Q$45,0)</f>
        <v>0</v>
      </c>
      <c r="R1507" s="8">
        <f>IF($D1507='[2]Beam '!R$44,$P1507*'[2]Beam '!R$45,0)</f>
        <v>0</v>
      </c>
      <c r="S1507" s="8">
        <f>IF($D1507='[2]Beam '!S$44,$P1507*'[2]Beam '!S$45,0)</f>
        <v>0</v>
      </c>
      <c r="T1507" s="8">
        <f>IF($D1507='[2]Beam '!T$44,$P1507*'[2]Beam '!T$45,0)</f>
        <v>0</v>
      </c>
      <c r="U1507" s="8">
        <f>IF($D1507='[2]Beam '!U$44,$P1507*'[2]Beam '!U$45,0)</f>
        <v>17.27</v>
      </c>
      <c r="V1507" s="8">
        <f>IF($D1507='[2]Beam '!V$44,$P1507*'[2]Beam '!V$45,0)</f>
        <v>0</v>
      </c>
      <c r="W1507" s="8">
        <f>IF($D1507='[2]Beam '!W$44,$P1507*'[2]Beam '!W$45,0)</f>
        <v>0</v>
      </c>
      <c r="X1507" s="8">
        <f t="shared" si="280"/>
        <v>17.27</v>
      </c>
      <c r="Y1507" s="8"/>
      <c r="Z1507" s="8"/>
      <c r="AA1507" s="8"/>
      <c r="AB1507" s="8"/>
      <c r="AC1507" s="8"/>
      <c r="AD1507" s="8"/>
      <c r="AE1507" s="8"/>
    </row>
    <row r="1508" spans="1:32" s="10" customFormat="1" ht="21" customHeight="1" x14ac:dyDescent="0.25">
      <c r="A1508" s="7"/>
      <c r="B1508" s="8" t="s">
        <v>2</v>
      </c>
      <c r="C1508" s="13" t="s">
        <v>8</v>
      </c>
      <c r="D1508" s="8">
        <v>10</v>
      </c>
      <c r="E1508" s="8">
        <v>0.1</v>
      </c>
      <c r="F1508" s="8">
        <f>ROUNDUP(E1504/E1508,0)</f>
        <v>21</v>
      </c>
      <c r="H1508" s="8"/>
      <c r="I1508" s="8"/>
      <c r="J1508" s="8"/>
      <c r="K1508" s="8"/>
      <c r="L1508" s="8"/>
      <c r="M1508" s="8"/>
      <c r="N1508" s="8"/>
      <c r="O1508" s="8">
        <f>(2*((G1504-(2*'[2]Beam '!$D$11))+(F1504-(2*'[2]Beam '!$D$11)))+(2*10*D1508/1000))*D1504</f>
        <v>2.8600000000000003</v>
      </c>
      <c r="P1508" s="8">
        <f t="shared" si="279"/>
        <v>60.060000000000009</v>
      </c>
      <c r="Q1508" s="8">
        <f>IF($D1508='[2]Beam '!Q$44,$P1508*'[2]Beam '!Q$45,0)</f>
        <v>0</v>
      </c>
      <c r="R1508" s="8">
        <f>IF($D1508='[2]Beam '!R$44,$P1508*'[2]Beam '!R$45,0)</f>
        <v>37.044150000000002</v>
      </c>
      <c r="S1508" s="8">
        <f>IF($D1508='[2]Beam '!S$44,$P1508*'[2]Beam '!S$45,0)</f>
        <v>0</v>
      </c>
      <c r="T1508" s="8">
        <f>IF($D1508='[2]Beam '!T$44,$P1508*'[2]Beam '!T$45,0)</f>
        <v>0</v>
      </c>
      <c r="U1508" s="8">
        <f>IF($D1508='[2]Beam '!U$44,$P1508*'[2]Beam '!U$45,0)</f>
        <v>0</v>
      </c>
      <c r="V1508" s="8">
        <f>IF($D1508='[2]Beam '!V$44,$P1508*'[2]Beam '!V$45,0)</f>
        <v>0</v>
      </c>
      <c r="W1508" s="8">
        <f>IF($D1508='[2]Beam '!W$44,$P1508*'[2]Beam '!W$45,0)</f>
        <v>0</v>
      </c>
      <c r="X1508" s="8">
        <f t="shared" si="280"/>
        <v>37.044150000000002</v>
      </c>
      <c r="Y1508" s="8"/>
      <c r="Z1508" s="8"/>
      <c r="AA1508" s="8"/>
      <c r="AB1508" s="8"/>
      <c r="AC1508" s="8"/>
      <c r="AD1508" s="8"/>
      <c r="AE1508" s="8"/>
      <c r="AF1508" s="8"/>
    </row>
    <row r="1509" spans="1:32" s="10" customFormat="1" ht="20.100000000000001" customHeight="1" x14ac:dyDescent="0.25">
      <c r="A1509" s="14"/>
      <c r="B1509" s="8" t="s">
        <v>2</v>
      </c>
      <c r="C1509" s="13" t="s">
        <v>9</v>
      </c>
      <c r="D1509" s="8">
        <f>+D1508</f>
        <v>10</v>
      </c>
      <c r="E1509" s="14">
        <f>+E1508</f>
        <v>0.1</v>
      </c>
      <c r="F1509" s="8">
        <f>ROUNDUP(E1504/E1509,0)</f>
        <v>21</v>
      </c>
      <c r="H1509" s="14"/>
      <c r="I1509" s="14"/>
      <c r="J1509" s="14"/>
      <c r="K1509" s="14"/>
      <c r="L1509" s="14"/>
      <c r="M1509" s="14"/>
      <c r="N1509" s="14"/>
      <c r="O1509" s="8">
        <f>((((G1504-(2*'[2]Beam '!$D$11))+(2*10*D1509/1000))*D1504))*2</f>
        <v>2.48</v>
      </c>
      <c r="P1509" s="8">
        <f t="shared" si="279"/>
        <v>52.08</v>
      </c>
      <c r="Q1509" s="8">
        <f>IF($D1509='[2]Beam '!Q$44,$P1509*'[2]Beam '!Q$45,0)</f>
        <v>0</v>
      </c>
      <c r="R1509" s="8">
        <f>IF($D1509='[2]Beam '!R$44,$P1509*'[2]Beam '!R$45,0)</f>
        <v>32.122199999999999</v>
      </c>
      <c r="S1509" s="8">
        <f>IF($D1509='[2]Beam '!S$44,$P1509*'[2]Beam '!S$45,0)</f>
        <v>0</v>
      </c>
      <c r="T1509" s="8">
        <f>IF($D1509='[2]Beam '!T$44,$P1509*'[2]Beam '!T$45,0)</f>
        <v>0</v>
      </c>
      <c r="U1509" s="8">
        <f>IF($D1509='[2]Beam '!U$44,$P1509*'[2]Beam '!U$45,0)</f>
        <v>0</v>
      </c>
      <c r="V1509" s="8">
        <f>IF($D1509='[2]Beam '!V$44,$P1509*'[2]Beam '!V$45,0)</f>
        <v>0</v>
      </c>
      <c r="W1509" s="8">
        <f>IF($D1509='[2]Beam '!W$44,$P1509*'[2]Beam '!W$45,0)</f>
        <v>0</v>
      </c>
      <c r="X1509" s="8">
        <f t="shared" si="280"/>
        <v>32.122199999999999</v>
      </c>
      <c r="Y1509" s="14"/>
      <c r="Z1509" s="8"/>
      <c r="AA1509" s="8"/>
      <c r="AB1509" s="8"/>
      <c r="AC1509" s="8"/>
      <c r="AD1509" s="8"/>
      <c r="AE1509" s="8"/>
    </row>
    <row r="1510" spans="1:32" s="10" customFormat="1" ht="20.100000000000001" customHeight="1" x14ac:dyDescent="0.25">
      <c r="A1510" s="7"/>
      <c r="B1510" s="8" t="s">
        <v>2</v>
      </c>
      <c r="C1510" s="13" t="s">
        <v>10</v>
      </c>
      <c r="D1510" s="8">
        <f>+'[2]Beam '!$D$15</f>
        <v>25</v>
      </c>
      <c r="E1510" s="8">
        <f>+'[2]Beam '!$E$15</f>
        <v>1</v>
      </c>
      <c r="F1510" s="8">
        <f>ROUNDUP((E1504)/E1510,0)</f>
        <v>3</v>
      </c>
      <c r="G1510" s="9"/>
      <c r="H1510" s="9"/>
      <c r="I1510" s="8"/>
      <c r="J1510" s="8"/>
      <c r="K1510" s="8"/>
      <c r="L1510" s="8"/>
      <c r="M1510" s="8"/>
      <c r="N1510" s="8"/>
      <c r="O1510" s="8">
        <f>F1504-'[2]Beam '!$F$15</f>
        <v>0.28999999999999998</v>
      </c>
      <c r="P1510" s="8">
        <f t="shared" si="279"/>
        <v>0.86999999999999988</v>
      </c>
      <c r="Q1510" s="8">
        <f>IF($D1510='[2]Beam '!Q$44,$P1510*'[2]Beam '!Q$45,0)</f>
        <v>0</v>
      </c>
      <c r="R1510" s="8">
        <f>IF($D1510='[2]Beam '!R$44,$P1510*'[2]Beam '!R$45,0)</f>
        <v>0</v>
      </c>
      <c r="S1510" s="8">
        <f>IF($D1510='[2]Beam '!S$44,$P1510*'[2]Beam '!S$45,0)</f>
        <v>0</v>
      </c>
      <c r="T1510" s="8">
        <f>IF($D1510='[2]Beam '!T$44,$P1510*'[2]Beam '!T$45,0)</f>
        <v>0</v>
      </c>
      <c r="U1510" s="8">
        <f>IF($D1510='[2]Beam '!U$44,$P1510*'[2]Beam '!U$45,0)</f>
        <v>0</v>
      </c>
      <c r="V1510" s="8">
        <f>IF($D1510='[2]Beam '!V$44,$P1510*'[2]Beam '!V$45,0)</f>
        <v>3.3537723214285715</v>
      </c>
      <c r="W1510" s="8">
        <f>IF($D1510='[2]Beam '!W$44,$P1510*'[2]Beam '!W$45,0)</f>
        <v>0</v>
      </c>
      <c r="X1510" s="8">
        <f t="shared" si="280"/>
        <v>3.3537723214285715</v>
      </c>
      <c r="Y1510" s="8"/>
      <c r="Z1510" s="8"/>
      <c r="AA1510" s="8"/>
      <c r="AB1510" s="8"/>
      <c r="AC1510" s="8"/>
      <c r="AD1510" s="8"/>
      <c r="AE1510" s="8"/>
    </row>
    <row r="1511" spans="1:32" s="10" customFormat="1" ht="20.100000000000001" customHeight="1" x14ac:dyDescent="0.25">
      <c r="A1511" s="8">
        <v>1</v>
      </c>
      <c r="B1511" s="8" t="s">
        <v>2</v>
      </c>
      <c r="C1511" s="11" t="s">
        <v>202</v>
      </c>
      <c r="D1511" s="11">
        <v>1</v>
      </c>
      <c r="E1511" s="11">
        <v>4.3650000000000002</v>
      </c>
      <c r="F1511" s="11">
        <v>0.35</v>
      </c>
      <c r="G1511" s="11">
        <v>1.1000000000000001</v>
      </c>
      <c r="H1511" s="8">
        <f>G1511-0.2</f>
        <v>0.90000000000000013</v>
      </c>
      <c r="I1511" s="8">
        <f>E1511*F1511*G1511*D1511</f>
        <v>1.680525</v>
      </c>
      <c r="J1511" s="8">
        <f>(2*(E1511)*H1511*D1511)+(E1511*F1511)</f>
        <v>9.3847500000000021</v>
      </c>
      <c r="K1511" s="12">
        <f>IF(E1511=0.3,J1511,0)</f>
        <v>0</v>
      </c>
      <c r="L1511" s="12">
        <f>IF(AND(E1511&gt;0.3,E1511&lt;=0.75),J1511,0)</f>
        <v>0</v>
      </c>
      <c r="M1511" s="12">
        <f>IF(AND(E1511&gt;0.75,E1511&lt;=1.2),J1511,0)</f>
        <v>0</v>
      </c>
      <c r="N1511" s="12">
        <f>IF(E1511&gt;1.2,J1511,0)</f>
        <v>9.3847500000000021</v>
      </c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>
        <f>SUM(X1512:X1519)/I1511</f>
        <v>133.80785150898848</v>
      </c>
      <c r="Z1511" s="8"/>
      <c r="AA1511" s="8"/>
      <c r="AB1511" s="8"/>
      <c r="AC1511" s="8"/>
      <c r="AD1511" s="8"/>
      <c r="AE1511" s="8"/>
    </row>
    <row r="1512" spans="1:32" s="10" customFormat="1" ht="20.100000000000001" customHeight="1" x14ac:dyDescent="0.25">
      <c r="A1512" s="7"/>
      <c r="B1512" s="8" t="s">
        <v>2</v>
      </c>
      <c r="C1512" s="13" t="s">
        <v>4</v>
      </c>
      <c r="D1512" s="8">
        <v>20</v>
      </c>
      <c r="E1512" s="8"/>
      <c r="F1512" s="8">
        <v>3</v>
      </c>
      <c r="G1512" s="9">
        <f>VLOOKUP(D1512,'[2]Beam '!$C$20:$H$26,3,0)</f>
        <v>0.8</v>
      </c>
      <c r="H1512" s="9"/>
      <c r="I1512" s="8"/>
      <c r="J1512" s="8"/>
      <c r="K1512" s="8"/>
      <c r="L1512" s="8"/>
      <c r="M1512" s="8"/>
      <c r="N1512" s="8"/>
      <c r="O1512" s="8">
        <f>(E1511+1*(G1512+(12*D1512/1000))*1*(2/2)*D1511)</f>
        <v>5.4050000000000002</v>
      </c>
      <c r="P1512" s="8">
        <f t="shared" ref="P1512:P1520" si="281">O1512*F1512</f>
        <v>16.215</v>
      </c>
      <c r="Q1512" s="8">
        <f>IF($D1512='[2]Beam '!Q$44,$P1512*'[2]Beam '!Q$45,0)</f>
        <v>0</v>
      </c>
      <c r="R1512" s="8">
        <f>IF($D1512='[2]Beam '!R$44,$P1512*'[2]Beam '!R$45,0)</f>
        <v>0</v>
      </c>
      <c r="S1512" s="8">
        <f>IF($D1512='[2]Beam '!S$44,$P1512*'[2]Beam '!S$45,0)</f>
        <v>0</v>
      </c>
      <c r="T1512" s="8">
        <f>IF($D1512='[2]Beam '!T$44,$P1512*'[2]Beam '!T$45,0)</f>
        <v>0</v>
      </c>
      <c r="U1512" s="8">
        <f>IF($D1512='[2]Beam '!U$44,$P1512*'[2]Beam '!U$45,0)</f>
        <v>40.004721428571429</v>
      </c>
      <c r="V1512" s="8">
        <f>IF($D1512='[2]Beam '!V$44,$P1512*'[2]Beam '!V$45,0)</f>
        <v>0</v>
      </c>
      <c r="W1512" s="8">
        <f>IF($D1512='[2]Beam '!W$44,$P1512*'[2]Beam '!W$45,0)</f>
        <v>0</v>
      </c>
      <c r="X1512" s="8">
        <f t="shared" ref="X1512:X1520" si="282">SUM(Q1512:W1512)</f>
        <v>40.004721428571429</v>
      </c>
      <c r="Y1512" s="8"/>
      <c r="Z1512" s="8"/>
      <c r="AA1512" s="8"/>
      <c r="AB1512" s="8"/>
      <c r="AC1512" s="8"/>
      <c r="AD1512" s="8"/>
      <c r="AE1512" s="8"/>
    </row>
    <row r="1513" spans="1:32" s="10" customFormat="1" ht="20.100000000000001" customHeight="1" x14ac:dyDescent="0.25">
      <c r="A1513" s="7"/>
      <c r="B1513" s="8" t="s">
        <v>2</v>
      </c>
      <c r="C1513" s="13" t="s">
        <v>139</v>
      </c>
      <c r="D1513" s="8">
        <v>20</v>
      </c>
      <c r="E1513" s="8"/>
      <c r="F1513" s="8">
        <v>3</v>
      </c>
      <c r="G1513" s="9">
        <f>VLOOKUP(D1513,'[2]Beam '!$C$20:$H$26,3,0)</f>
        <v>0.8</v>
      </c>
      <c r="H1513" s="9"/>
      <c r="I1513" s="8"/>
      <c r="J1513" s="8"/>
      <c r="K1513" s="8"/>
      <c r="L1513" s="8"/>
      <c r="M1513" s="8"/>
      <c r="N1513" s="8"/>
      <c r="O1513" s="8">
        <f>(E1511+1*(G1513+(12*D1513/1000))*(1*(2/2))*D1511)</f>
        <v>5.4050000000000002</v>
      </c>
      <c r="P1513" s="8">
        <f t="shared" si="281"/>
        <v>16.215</v>
      </c>
      <c r="Q1513" s="8">
        <f>IF($D1513='[2]Beam '!Q$44,$P1513*'[2]Beam '!Q$45,0)</f>
        <v>0</v>
      </c>
      <c r="R1513" s="8">
        <f>IF($D1513='[2]Beam '!R$44,$P1513*'[2]Beam '!R$45,0)</f>
        <v>0</v>
      </c>
      <c r="S1513" s="8">
        <f>IF($D1513='[2]Beam '!S$44,$P1513*'[2]Beam '!S$45,0)</f>
        <v>0</v>
      </c>
      <c r="T1513" s="8">
        <f>IF($D1513='[2]Beam '!T$44,$P1513*'[2]Beam '!T$45,0)</f>
        <v>0</v>
      </c>
      <c r="U1513" s="8">
        <f>IF($D1513='[2]Beam '!U$44,$P1513*'[2]Beam '!U$45,0)</f>
        <v>40.004721428571429</v>
      </c>
      <c r="V1513" s="8">
        <f>IF($D1513='[2]Beam '!V$44,$P1513*'[2]Beam '!V$45,0)</f>
        <v>0</v>
      </c>
      <c r="W1513" s="8">
        <f>IF($D1513='[2]Beam '!W$44,$P1513*'[2]Beam '!W$45,0)</f>
        <v>0</v>
      </c>
      <c r="X1513" s="8">
        <f t="shared" si="282"/>
        <v>40.004721428571429</v>
      </c>
      <c r="Y1513" s="8"/>
      <c r="Z1513" s="8"/>
      <c r="AA1513" s="8"/>
      <c r="AB1513" s="8"/>
      <c r="AC1513" s="8"/>
      <c r="AD1513" s="8"/>
      <c r="AE1513" s="8"/>
    </row>
    <row r="1514" spans="1:32" s="14" customFormat="1" ht="20.100000000000001" customHeight="1" x14ac:dyDescent="0.3">
      <c r="A1514" s="7"/>
      <c r="B1514" s="8" t="s">
        <v>2</v>
      </c>
      <c r="C1514" s="13" t="s">
        <v>75</v>
      </c>
      <c r="D1514" s="8">
        <v>16</v>
      </c>
      <c r="E1514" s="8"/>
      <c r="F1514" s="8">
        <v>3</v>
      </c>
      <c r="G1514" s="9">
        <f>VLOOKUP(D1514,'[2]Beam '!$C$20:$H$26,3,0)</f>
        <v>0.625</v>
      </c>
      <c r="H1514" s="9"/>
      <c r="I1514" s="8"/>
      <c r="J1514" s="8"/>
      <c r="K1514" s="8"/>
      <c r="L1514" s="8"/>
      <c r="M1514" s="8"/>
      <c r="N1514" s="8"/>
      <c r="O1514" s="8">
        <f>(E1511+1*(G1514+(12*D1514/1000))*(1*(2/2))*D1511)</f>
        <v>5.1820000000000004</v>
      </c>
      <c r="P1514" s="8">
        <f t="shared" si="281"/>
        <v>15.546000000000001</v>
      </c>
      <c r="Q1514" s="8">
        <f>IF($D1514='[2]Beam '!Q$44,$P1514*'[2]Beam '!Q$45,0)</f>
        <v>0</v>
      </c>
      <c r="R1514" s="8">
        <f>IF($D1514='[2]Beam '!R$44,$P1514*'[2]Beam '!R$45,0)</f>
        <v>0</v>
      </c>
      <c r="S1514" s="8">
        <f>IF($D1514='[2]Beam '!S$44,$P1514*'[2]Beam '!S$45,0)</f>
        <v>0</v>
      </c>
      <c r="T1514" s="8">
        <f>IF($D1514='[2]Beam '!T$44,$P1514*'[2]Beam '!T$45,0)</f>
        <v>24.546689828571431</v>
      </c>
      <c r="U1514" s="8">
        <f>IF($D1514='[2]Beam '!U$44,$P1514*'[2]Beam '!U$45,0)</f>
        <v>0</v>
      </c>
      <c r="V1514" s="8">
        <f>IF($D1514='[2]Beam '!V$44,$P1514*'[2]Beam '!V$45,0)</f>
        <v>0</v>
      </c>
      <c r="W1514" s="8">
        <f>IF($D1514='[2]Beam '!W$44,$P1514*'[2]Beam '!W$45,0)</f>
        <v>0</v>
      </c>
      <c r="X1514" s="8">
        <f t="shared" si="282"/>
        <v>24.546689828571431</v>
      </c>
      <c r="Y1514" s="8"/>
    </row>
    <row r="1515" spans="1:32" s="14" customFormat="1" ht="20.100000000000001" customHeight="1" x14ac:dyDescent="0.3">
      <c r="A1515" s="7"/>
      <c r="B1515" s="8" t="s">
        <v>2</v>
      </c>
      <c r="C1515" s="13" t="s">
        <v>88</v>
      </c>
      <c r="D1515" s="8">
        <v>16</v>
      </c>
      <c r="E1515" s="8"/>
      <c r="F1515" s="8">
        <v>3</v>
      </c>
      <c r="G1515" s="9">
        <f>VLOOKUP(D1515,'[2]Beam '!$C$20:$H$26,3,0)</f>
        <v>0.625</v>
      </c>
      <c r="H1515" s="9"/>
      <c r="I1515" s="8"/>
      <c r="J1515" s="8"/>
      <c r="K1515" s="8"/>
      <c r="L1515" s="8"/>
      <c r="M1515" s="8"/>
      <c r="N1515" s="8"/>
      <c r="O1515" s="8">
        <f>(E1511+0.6+1*(G1515+(12*D1515/1000)))*D1511</f>
        <v>5.782</v>
      </c>
      <c r="P1515" s="8">
        <f t="shared" si="281"/>
        <v>17.346</v>
      </c>
      <c r="Q1515" s="8">
        <f>IF($D1515='[2]Beam '!Q$44,$P1515*'[2]Beam '!Q$45,0)</f>
        <v>0</v>
      </c>
      <c r="R1515" s="8">
        <f>IF($D1515='[2]Beam '!R$44,$P1515*'[2]Beam '!R$45,0)</f>
        <v>0</v>
      </c>
      <c r="S1515" s="8">
        <f>IF($D1515='[2]Beam '!S$44,$P1515*'[2]Beam '!S$45,0)</f>
        <v>0</v>
      </c>
      <c r="T1515" s="8">
        <f>IF($D1515='[2]Beam '!T$44,$P1515*'[2]Beam '!T$45,0)</f>
        <v>27.388838400000001</v>
      </c>
      <c r="U1515" s="8">
        <f>IF($D1515='[2]Beam '!U$44,$P1515*'[2]Beam '!U$45,0)</f>
        <v>0</v>
      </c>
      <c r="V1515" s="8">
        <f>IF($D1515='[2]Beam '!V$44,$P1515*'[2]Beam '!V$45,0)</f>
        <v>0</v>
      </c>
      <c r="W1515" s="8">
        <f>IF($D1515='[2]Beam '!W$44,$P1515*'[2]Beam '!W$45,0)</f>
        <v>0</v>
      </c>
      <c r="X1515" s="8">
        <f t="shared" si="282"/>
        <v>27.388838400000001</v>
      </c>
      <c r="Y1515" s="8"/>
    </row>
    <row r="1516" spans="1:32" s="14" customFormat="1" ht="20.100000000000001" customHeight="1" x14ac:dyDescent="0.25">
      <c r="A1516" s="7"/>
      <c r="B1516" s="8" t="s">
        <v>2</v>
      </c>
      <c r="C1516" s="13" t="s">
        <v>13</v>
      </c>
      <c r="D1516" s="8">
        <v>8</v>
      </c>
      <c r="E1516" s="8">
        <v>0.1</v>
      </c>
      <c r="F1516" s="8">
        <f>ROUNDUP((E1511/3*2)/E1516,0)+1</f>
        <v>31</v>
      </c>
      <c r="G1516" s="10"/>
      <c r="H1516" s="8"/>
      <c r="I1516" s="8"/>
      <c r="J1516" s="8"/>
      <c r="K1516" s="8"/>
      <c r="L1516" s="8"/>
      <c r="M1516" s="8"/>
      <c r="N1516" s="8"/>
      <c r="O1516" s="8">
        <f>(2*((G1511-(2*'[2]Beam '!$D$11))+(F1511-(2*'[2]Beam '!$D$11)))+(2*10*D1516/1000))*D1511</f>
        <v>2.8200000000000003</v>
      </c>
      <c r="P1516" s="8">
        <f t="shared" si="281"/>
        <v>87.420000000000016</v>
      </c>
      <c r="Q1516" s="8">
        <f>IF($D1516='[2]Beam '!Q$44,$P1516*'[2]Beam '!Q$45,0)</f>
        <v>34.50842057142858</v>
      </c>
      <c r="R1516" s="8">
        <f>IF($D1516='[2]Beam '!R$44,$P1516*'[2]Beam '!R$45,0)</f>
        <v>0</v>
      </c>
      <c r="S1516" s="8">
        <f>IF($D1516='[2]Beam '!S$44,$P1516*'[2]Beam '!S$45,0)</f>
        <v>0</v>
      </c>
      <c r="T1516" s="8">
        <f>IF($D1516='[2]Beam '!T$44,$P1516*'[2]Beam '!T$45,0)</f>
        <v>0</v>
      </c>
      <c r="U1516" s="8">
        <f>IF($D1516='[2]Beam '!U$44,$P1516*'[2]Beam '!U$45,0)</f>
        <v>0</v>
      </c>
      <c r="V1516" s="8">
        <f>IF($D1516='[2]Beam '!V$44,$P1516*'[2]Beam '!V$45,0)</f>
        <v>0</v>
      </c>
      <c r="W1516" s="8">
        <f>IF($D1516='[2]Beam '!W$44,$P1516*'[2]Beam '!W$45,0)</f>
        <v>0</v>
      </c>
      <c r="X1516" s="8">
        <f t="shared" si="282"/>
        <v>34.50842057142858</v>
      </c>
      <c r="Y1516" s="8"/>
    </row>
    <row r="1517" spans="1:32" s="10" customFormat="1" ht="20.100000000000001" customHeight="1" x14ac:dyDescent="0.25">
      <c r="A1517" s="14"/>
      <c r="B1517" s="8" t="s">
        <v>2</v>
      </c>
      <c r="C1517" s="13" t="s">
        <v>14</v>
      </c>
      <c r="D1517" s="14">
        <f>D1516</f>
        <v>8</v>
      </c>
      <c r="E1517" s="14">
        <v>0.125</v>
      </c>
      <c r="F1517" s="8">
        <f>ROUNDUP((E1511/3)/E1517,0)+1</f>
        <v>13</v>
      </c>
      <c r="H1517" s="14"/>
      <c r="I1517" s="14"/>
      <c r="J1517" s="14"/>
      <c r="K1517" s="14"/>
      <c r="L1517" s="14"/>
      <c r="M1517" s="14"/>
      <c r="N1517" s="14"/>
      <c r="O1517" s="8">
        <f>(2*((G1511-(2*'[2]Beam '!$D$11))+(F1511-(2*'[2]Beam '!$D$11)))+(2*10*D1517/1000))*D1511</f>
        <v>2.8200000000000003</v>
      </c>
      <c r="P1517" s="8">
        <f t="shared" si="281"/>
        <v>36.660000000000004</v>
      </c>
      <c r="Q1517" s="8">
        <f>IF($D1517='[2]Beam '!Q$44,$P1517*'[2]Beam '!Q$45,0)</f>
        <v>14.471273142857145</v>
      </c>
      <c r="R1517" s="8">
        <f>IF($D1517='[2]Beam '!R$44,$P1517*'[2]Beam '!R$45,0)</f>
        <v>0</v>
      </c>
      <c r="S1517" s="8">
        <f>IF($D1517='[2]Beam '!S$44,$P1517*'[2]Beam '!S$45,0)</f>
        <v>0</v>
      </c>
      <c r="T1517" s="8">
        <f>IF($D1517='[2]Beam '!T$44,$P1517*'[2]Beam '!T$45,0)</f>
        <v>0</v>
      </c>
      <c r="U1517" s="8">
        <f>IF($D1517='[2]Beam '!U$44,$P1517*'[2]Beam '!U$45,0)</f>
        <v>0</v>
      </c>
      <c r="V1517" s="8">
        <f>IF($D1517='[2]Beam '!V$44,$P1517*'[2]Beam '!V$45,0)</f>
        <v>0</v>
      </c>
      <c r="W1517" s="8">
        <f>IF($D1517='[2]Beam '!W$44,$P1517*'[2]Beam '!W$45,0)</f>
        <v>0</v>
      </c>
      <c r="X1517" s="8">
        <f t="shared" si="282"/>
        <v>14.471273142857145</v>
      </c>
      <c r="Y1517" s="14"/>
      <c r="Z1517" s="8"/>
      <c r="AA1517" s="8"/>
      <c r="AB1517" s="8"/>
      <c r="AC1517" s="8"/>
      <c r="AD1517" s="8"/>
      <c r="AE1517" s="8"/>
    </row>
    <row r="1518" spans="1:32" s="10" customFormat="1" ht="21" customHeight="1" x14ac:dyDescent="0.25">
      <c r="A1518" s="14"/>
      <c r="B1518" s="8" t="s">
        <v>2</v>
      </c>
      <c r="C1518" s="13" t="s">
        <v>15</v>
      </c>
      <c r="D1518" s="14">
        <f>D1516</f>
        <v>8</v>
      </c>
      <c r="E1518" s="14">
        <f>+E1516</f>
        <v>0.1</v>
      </c>
      <c r="F1518" s="8">
        <f>ROUNDUP((E1511/3*2)/E1518,0)+1</f>
        <v>31</v>
      </c>
      <c r="H1518" s="14"/>
      <c r="I1518" s="14"/>
      <c r="J1518" s="14"/>
      <c r="K1518" s="14"/>
      <c r="L1518" s="14"/>
      <c r="M1518" s="14"/>
      <c r="N1518" s="14"/>
      <c r="O1518" s="8">
        <f>(2*(((F1511-'[2]Beam '!$D$11*2)/(F1512-1))+(G1511-'[2]Beam '!$D$11*2))+(2*10*D1518/1000))*D1511</f>
        <v>2.5300000000000002</v>
      </c>
      <c r="P1518" s="8">
        <f t="shared" si="281"/>
        <v>78.430000000000007</v>
      </c>
      <c r="Q1518" s="8">
        <f>IF($D1518='[2]Beam '!Q$44,$P1518*'[2]Beam '!Q$45,0)</f>
        <v>30.95968228571429</v>
      </c>
      <c r="R1518" s="8">
        <f>IF($D1518='[2]Beam '!R$44,$P1518*'[2]Beam '!R$45,0)</f>
        <v>0</v>
      </c>
      <c r="S1518" s="8">
        <f>IF($D1518='[2]Beam '!S$44,$P1518*'[2]Beam '!S$45,0)</f>
        <v>0</v>
      </c>
      <c r="T1518" s="8">
        <f>IF($D1518='[2]Beam '!T$44,$P1518*'[2]Beam '!T$45,0)</f>
        <v>0</v>
      </c>
      <c r="U1518" s="8">
        <f>IF($D1518='[2]Beam '!U$44,$P1518*'[2]Beam '!U$45,0)</f>
        <v>0</v>
      </c>
      <c r="V1518" s="8">
        <f>IF($D1518='[2]Beam '!V$44,$P1518*'[2]Beam '!V$45,0)</f>
        <v>0</v>
      </c>
      <c r="W1518" s="8">
        <f>IF($D1518='[2]Beam '!W$44,$P1518*'[2]Beam '!W$45,0)</f>
        <v>0</v>
      </c>
      <c r="X1518" s="8">
        <f t="shared" si="282"/>
        <v>30.95968228571429</v>
      </c>
      <c r="Y1518" s="14"/>
      <c r="Z1518" s="8"/>
      <c r="AA1518" s="8"/>
      <c r="AB1518" s="8"/>
      <c r="AC1518" s="8"/>
      <c r="AD1518" s="8"/>
      <c r="AE1518" s="8"/>
      <c r="AF1518" s="8"/>
    </row>
    <row r="1519" spans="1:32" s="10" customFormat="1" ht="20.100000000000001" customHeight="1" x14ac:dyDescent="0.25">
      <c r="A1519" s="14"/>
      <c r="B1519" s="8" t="s">
        <v>2</v>
      </c>
      <c r="C1519" s="13" t="s">
        <v>16</v>
      </c>
      <c r="D1519" s="14">
        <f>D1517</f>
        <v>8</v>
      </c>
      <c r="E1519" s="14">
        <f>+E1517</f>
        <v>0.125</v>
      </c>
      <c r="F1519" s="8">
        <f>ROUNDUP((E1511/3)/E1519,0)+1</f>
        <v>13</v>
      </c>
      <c r="H1519" s="14"/>
      <c r="I1519" s="14"/>
      <c r="J1519" s="14"/>
      <c r="K1519" s="14"/>
      <c r="L1519" s="14"/>
      <c r="M1519" s="14"/>
      <c r="N1519" s="14"/>
      <c r="O1519" s="8">
        <f>(2*(((F1511-'[2]Beam '!$D$11*2)/(F1512-1))+(G1511-'[2]Beam '!$D$11*2))+(2*10*D1519/1000))*D1511</f>
        <v>2.5300000000000002</v>
      </c>
      <c r="P1519" s="8">
        <f t="shared" si="281"/>
        <v>32.89</v>
      </c>
      <c r="Q1519" s="8">
        <f>IF($D1519='[2]Beam '!Q$44,$P1519*'[2]Beam '!Q$45,0)</f>
        <v>12.983092571428573</v>
      </c>
      <c r="R1519" s="8">
        <f>IF($D1519='[2]Beam '!R$44,$P1519*'[2]Beam '!R$45,0)</f>
        <v>0</v>
      </c>
      <c r="S1519" s="8">
        <f>IF($D1519='[2]Beam '!S$44,$P1519*'[2]Beam '!S$45,0)</f>
        <v>0</v>
      </c>
      <c r="T1519" s="8">
        <f>IF($D1519='[2]Beam '!T$44,$P1519*'[2]Beam '!T$45,0)</f>
        <v>0</v>
      </c>
      <c r="U1519" s="8">
        <f>IF($D1519='[2]Beam '!U$44,$P1519*'[2]Beam '!U$45,0)</f>
        <v>0</v>
      </c>
      <c r="V1519" s="8">
        <f>IF($D1519='[2]Beam '!V$44,$P1519*'[2]Beam '!V$45,0)</f>
        <v>0</v>
      </c>
      <c r="W1519" s="8">
        <f>IF($D1519='[2]Beam '!W$44,$P1519*'[2]Beam '!W$45,0)</f>
        <v>0</v>
      </c>
      <c r="X1519" s="8">
        <f t="shared" si="282"/>
        <v>12.983092571428573</v>
      </c>
      <c r="Y1519" s="14"/>
      <c r="Z1519" s="8"/>
      <c r="AA1519" s="8"/>
      <c r="AB1519" s="8"/>
      <c r="AC1519" s="8"/>
      <c r="AD1519" s="8"/>
      <c r="AE1519" s="8"/>
    </row>
    <row r="1520" spans="1:32" s="10" customFormat="1" ht="20.100000000000001" customHeight="1" x14ac:dyDescent="0.25">
      <c r="A1520" s="7"/>
      <c r="B1520" s="8" t="s">
        <v>2</v>
      </c>
      <c r="C1520" s="13" t="s">
        <v>10</v>
      </c>
      <c r="D1520" s="8">
        <f>+'[2]Beam '!$D$15</f>
        <v>25</v>
      </c>
      <c r="E1520" s="8">
        <f>+'[2]Beam '!$E$15</f>
        <v>1</v>
      </c>
      <c r="F1520" s="8">
        <f>ROUNDUP((E1511)/E1520,0)</f>
        <v>5</v>
      </c>
      <c r="G1520" s="9"/>
      <c r="H1520" s="9"/>
      <c r="I1520" s="8"/>
      <c r="J1520" s="8"/>
      <c r="K1520" s="8"/>
      <c r="L1520" s="8"/>
      <c r="M1520" s="8"/>
      <c r="N1520" s="8"/>
      <c r="O1520" s="8">
        <f>F1511-'[2]Beam '!$F$15</f>
        <v>0.28999999999999998</v>
      </c>
      <c r="P1520" s="8">
        <f t="shared" si="281"/>
        <v>1.45</v>
      </c>
      <c r="Q1520" s="8">
        <f>IF($D1520='[2]Beam '!Q$44,$P1520*'[2]Beam '!Q$45,0)</f>
        <v>0</v>
      </c>
      <c r="R1520" s="8">
        <f>IF($D1520='[2]Beam '!R$44,$P1520*'[2]Beam '!R$45,0)</f>
        <v>0</v>
      </c>
      <c r="S1520" s="8">
        <f>IF($D1520='[2]Beam '!S$44,$P1520*'[2]Beam '!S$45,0)</f>
        <v>0</v>
      </c>
      <c r="T1520" s="8">
        <f>IF($D1520='[2]Beam '!T$44,$P1520*'[2]Beam '!T$45,0)</f>
        <v>0</v>
      </c>
      <c r="U1520" s="8">
        <f>IF($D1520='[2]Beam '!U$44,$P1520*'[2]Beam '!U$45,0)</f>
        <v>0</v>
      </c>
      <c r="V1520" s="8">
        <f>IF($D1520='[2]Beam '!V$44,$P1520*'[2]Beam '!V$45,0)</f>
        <v>5.5896205357142863</v>
      </c>
      <c r="W1520" s="8">
        <f>IF($D1520='[2]Beam '!W$44,$P1520*'[2]Beam '!W$45,0)</f>
        <v>0</v>
      </c>
      <c r="X1520" s="8">
        <f t="shared" si="282"/>
        <v>5.5896205357142863</v>
      </c>
      <c r="Y1520" s="8"/>
      <c r="Z1520" s="8"/>
      <c r="AA1520" s="8"/>
      <c r="AB1520" s="8"/>
      <c r="AC1520" s="8"/>
      <c r="AD1520" s="8"/>
      <c r="AE1520" s="8"/>
    </row>
    <row r="1521" spans="1:32" s="10" customFormat="1" ht="20.100000000000001" customHeight="1" x14ac:dyDescent="0.25">
      <c r="A1521" s="8">
        <v>1</v>
      </c>
      <c r="B1521" s="8" t="s">
        <v>2</v>
      </c>
      <c r="C1521" s="11" t="s">
        <v>203</v>
      </c>
      <c r="D1521" s="11">
        <v>1</v>
      </c>
      <c r="E1521" s="11">
        <v>3.7959999999999998</v>
      </c>
      <c r="F1521" s="11">
        <v>0.35</v>
      </c>
      <c r="G1521" s="11">
        <v>1.1000000000000001</v>
      </c>
      <c r="H1521" s="8">
        <f>G1521-0.2</f>
        <v>0.90000000000000013</v>
      </c>
      <c r="I1521" s="8">
        <f>E1521*F1521*G1521*D1521</f>
        <v>1.46146</v>
      </c>
      <c r="J1521" s="8">
        <f>(2*(E1521)*H1521*D1521)+(E1521*F1521)</f>
        <v>8.1614000000000004</v>
      </c>
      <c r="K1521" s="12">
        <f>IF(E1521=0.3,J1521,0)</f>
        <v>0</v>
      </c>
      <c r="L1521" s="12">
        <f>IF(AND(E1521&gt;0.3,E1521&lt;=0.75),J1521,0)</f>
        <v>0</v>
      </c>
      <c r="M1521" s="12">
        <f>IF(AND(E1521&gt;0.75,E1521&lt;=1.2),J1521,0)</f>
        <v>0</v>
      </c>
      <c r="N1521" s="12">
        <f>IF(E1521&gt;1.2,J1521,0)</f>
        <v>8.1614000000000004</v>
      </c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>
        <f>SUM(X1522:X1523)/I1521</f>
        <v>66.809660007311678</v>
      </c>
      <c r="Z1521" s="8"/>
      <c r="AA1521" s="8"/>
      <c r="AB1521" s="8"/>
      <c r="AC1521" s="8"/>
      <c r="AD1521" s="8"/>
      <c r="AE1521" s="8"/>
    </row>
    <row r="1522" spans="1:32" s="10" customFormat="1" ht="20.100000000000001" customHeight="1" x14ac:dyDescent="0.25">
      <c r="A1522" s="7"/>
      <c r="B1522" s="8" t="s">
        <v>2</v>
      </c>
      <c r="C1522" s="13" t="s">
        <v>4</v>
      </c>
      <c r="D1522" s="8">
        <v>20</v>
      </c>
      <c r="E1522" s="8"/>
      <c r="F1522" s="8">
        <v>3</v>
      </c>
      <c r="G1522" s="9">
        <f>VLOOKUP(D1522,'[2]Beam '!$C$20:$H$26,3,0)</f>
        <v>0.8</v>
      </c>
      <c r="H1522" s="9"/>
      <c r="I1522" s="8"/>
      <c r="J1522" s="8"/>
      <c r="K1522" s="8"/>
      <c r="L1522" s="8"/>
      <c r="M1522" s="8"/>
      <c r="N1522" s="8"/>
      <c r="O1522" s="8">
        <f>(E1521+1*(G1522+2*(2/2)*D1521))</f>
        <v>6.5960000000000001</v>
      </c>
      <c r="P1522" s="8">
        <f t="shared" ref="P1522:P1532" si="283">O1522*F1522</f>
        <v>19.788</v>
      </c>
      <c r="Q1522" s="8">
        <f>IF($D1522='[2]Beam '!Q$44,$P1522*'[2]Beam '!Q$45,0)</f>
        <v>0</v>
      </c>
      <c r="R1522" s="8">
        <f>IF($D1522='[2]Beam '!R$44,$P1522*'[2]Beam '!R$45,0)</f>
        <v>0</v>
      </c>
      <c r="S1522" s="8">
        <f>IF($D1522='[2]Beam '!S$44,$P1522*'[2]Beam '!S$45,0)</f>
        <v>0</v>
      </c>
      <c r="T1522" s="8">
        <f>IF($D1522='[2]Beam '!T$44,$P1522*'[2]Beam '!T$45,0)</f>
        <v>0</v>
      </c>
      <c r="U1522" s="8">
        <f>IF($D1522='[2]Beam '!U$44,$P1522*'[2]Beam '!U$45,0)</f>
        <v>48.81982285714286</v>
      </c>
      <c r="V1522" s="8">
        <f>IF($D1522='[2]Beam '!V$44,$P1522*'[2]Beam '!V$45,0)</f>
        <v>0</v>
      </c>
      <c r="W1522" s="8">
        <f>IF($D1522='[2]Beam '!W$44,$P1522*'[2]Beam '!W$45,0)</f>
        <v>0</v>
      </c>
      <c r="X1522" s="8">
        <f t="shared" ref="X1522:X1532" si="284">SUM(Q1522:W1522)</f>
        <v>48.81982285714286</v>
      </c>
      <c r="Y1522" s="8"/>
      <c r="Z1522" s="8"/>
      <c r="AA1522" s="8"/>
      <c r="AB1522" s="8"/>
      <c r="AC1522" s="8"/>
      <c r="AD1522" s="8"/>
      <c r="AE1522" s="8"/>
    </row>
    <row r="1523" spans="1:32" s="10" customFormat="1" ht="20.100000000000001" customHeight="1" x14ac:dyDescent="0.25">
      <c r="A1523" s="7"/>
      <c r="B1523" s="8" t="s">
        <v>2</v>
      </c>
      <c r="C1523" s="13" t="s">
        <v>139</v>
      </c>
      <c r="D1523" s="8">
        <v>20</v>
      </c>
      <c r="E1523" s="8"/>
      <c r="F1523" s="8">
        <v>3</v>
      </c>
      <c r="G1523" s="9">
        <f>VLOOKUP(D1523,'[2]Beam '!$C$20:$H$26,3,0)</f>
        <v>0.8</v>
      </c>
      <c r="H1523" s="9"/>
      <c r="I1523" s="8"/>
      <c r="J1523" s="8"/>
      <c r="K1523" s="8"/>
      <c r="L1523" s="8"/>
      <c r="M1523" s="8"/>
      <c r="N1523" s="8"/>
      <c r="O1523" s="8">
        <f>(E1521+1*(G1523+2*(2/2)*D1521))</f>
        <v>6.5960000000000001</v>
      </c>
      <c r="P1523" s="8">
        <f t="shared" si="283"/>
        <v>19.788</v>
      </c>
      <c r="Q1523" s="8">
        <f>IF($D1523='[2]Beam '!Q$44,$P1523*'[2]Beam '!Q$45,0)</f>
        <v>0</v>
      </c>
      <c r="R1523" s="8">
        <f>IF($D1523='[2]Beam '!R$44,$P1523*'[2]Beam '!R$45,0)</f>
        <v>0</v>
      </c>
      <c r="S1523" s="8">
        <f>IF($D1523='[2]Beam '!S$44,$P1523*'[2]Beam '!S$45,0)</f>
        <v>0</v>
      </c>
      <c r="T1523" s="8">
        <f>IF($D1523='[2]Beam '!T$44,$P1523*'[2]Beam '!T$45,0)</f>
        <v>0</v>
      </c>
      <c r="U1523" s="8">
        <f>IF($D1523='[2]Beam '!U$44,$P1523*'[2]Beam '!U$45,0)</f>
        <v>48.81982285714286</v>
      </c>
      <c r="V1523" s="8">
        <f>IF($D1523='[2]Beam '!V$44,$P1523*'[2]Beam '!V$45,0)</f>
        <v>0</v>
      </c>
      <c r="W1523" s="8">
        <f>IF($D1523='[2]Beam '!W$44,$P1523*'[2]Beam '!W$45,0)</f>
        <v>0</v>
      </c>
      <c r="X1523" s="8">
        <f t="shared" si="284"/>
        <v>48.81982285714286</v>
      </c>
      <c r="Y1523" s="8"/>
      <c r="Z1523" s="8"/>
      <c r="AA1523" s="8"/>
      <c r="AB1523" s="8"/>
      <c r="AC1523" s="8"/>
      <c r="AD1523" s="8"/>
      <c r="AE1523" s="8"/>
    </row>
    <row r="1524" spans="1:32" s="10" customFormat="1" ht="19.5" customHeight="1" x14ac:dyDescent="0.25">
      <c r="A1524" s="7"/>
      <c r="B1524" s="8" t="s">
        <v>2</v>
      </c>
      <c r="C1524" s="13" t="s">
        <v>75</v>
      </c>
      <c r="D1524" s="8">
        <v>16</v>
      </c>
      <c r="E1524" s="8"/>
      <c r="F1524" s="8">
        <v>3</v>
      </c>
      <c r="G1524" s="9">
        <f>VLOOKUP(D1524,'[2]Beam '!$C$20:$H$26,3,0)</f>
        <v>0.625</v>
      </c>
      <c r="H1524" s="9"/>
      <c r="I1524" s="8"/>
      <c r="J1524" s="8"/>
      <c r="K1524" s="8"/>
      <c r="L1524" s="8"/>
      <c r="M1524" s="8"/>
      <c r="N1524" s="8"/>
      <c r="O1524" s="8">
        <f>(1.85+1*(1*(2/2)*D1521))</f>
        <v>2.85</v>
      </c>
      <c r="P1524" s="8">
        <f t="shared" si="283"/>
        <v>8.5500000000000007</v>
      </c>
      <c r="Q1524" s="8">
        <f>IF($D1524='[2]Beam '!Q$44,$P1524*'[2]Beam '!Q$45,0)</f>
        <v>0</v>
      </c>
      <c r="R1524" s="8">
        <f>IF($D1524='[2]Beam '!R$44,$P1524*'[2]Beam '!R$45,0)</f>
        <v>0</v>
      </c>
      <c r="S1524" s="8">
        <f>IF($D1524='[2]Beam '!S$44,$P1524*'[2]Beam '!S$45,0)</f>
        <v>0</v>
      </c>
      <c r="T1524" s="8">
        <f>IF($D1524='[2]Beam '!T$44,$P1524*'[2]Beam '!T$45,0)</f>
        <v>13.500205714285716</v>
      </c>
      <c r="U1524" s="8">
        <f>IF($D1524='[2]Beam '!U$44,$P1524*'[2]Beam '!U$45,0)</f>
        <v>0</v>
      </c>
      <c r="V1524" s="8">
        <f>IF($D1524='[2]Beam '!V$44,$P1524*'[2]Beam '!V$45,0)</f>
        <v>0</v>
      </c>
      <c r="W1524" s="8">
        <f>IF($D1524='[2]Beam '!W$44,$P1524*'[2]Beam '!W$45,0)</f>
        <v>0</v>
      </c>
      <c r="X1524" s="8">
        <f t="shared" si="284"/>
        <v>13.500205714285716</v>
      </c>
      <c r="Y1524" s="8"/>
      <c r="Z1524" s="8"/>
      <c r="AA1524" s="8"/>
      <c r="AB1524" s="8"/>
      <c r="AC1524" s="8"/>
      <c r="AD1524" s="8"/>
      <c r="AE1524" s="8"/>
    </row>
    <row r="1525" spans="1:32" s="10" customFormat="1" ht="20.100000000000001" customHeight="1" x14ac:dyDescent="0.25">
      <c r="A1525" s="7"/>
      <c r="B1525" s="8" t="s">
        <v>2</v>
      </c>
      <c r="C1525" s="13" t="s">
        <v>75</v>
      </c>
      <c r="D1525" s="8">
        <v>20</v>
      </c>
      <c r="E1525" s="8"/>
      <c r="F1525" s="8">
        <v>2</v>
      </c>
      <c r="G1525" s="9">
        <f>VLOOKUP(D1525,'[2]Beam '!$C$20:$H$26,3,0)</f>
        <v>0.8</v>
      </c>
      <c r="H1525" s="9"/>
      <c r="I1525" s="8"/>
      <c r="J1525" s="8"/>
      <c r="K1525" s="8"/>
      <c r="L1525" s="8"/>
      <c r="M1525" s="8"/>
      <c r="N1525" s="8"/>
      <c r="O1525" s="8">
        <f>(2.068+1*(1*(G1525)*D1521))</f>
        <v>2.8680000000000003</v>
      </c>
      <c r="P1525" s="8">
        <f t="shared" si="283"/>
        <v>5.7360000000000007</v>
      </c>
      <c r="Q1525" s="8">
        <f>IF($D1525='[2]Beam '!Q$44,$P1525*'[2]Beam '!Q$45,0)</f>
        <v>0</v>
      </c>
      <c r="R1525" s="8">
        <f>IF($D1525='[2]Beam '!R$44,$P1525*'[2]Beam '!R$45,0)</f>
        <v>0</v>
      </c>
      <c r="S1525" s="8">
        <f>IF($D1525='[2]Beam '!S$44,$P1525*'[2]Beam '!S$45,0)</f>
        <v>0</v>
      </c>
      <c r="T1525" s="8">
        <f>IF($D1525='[2]Beam '!T$44,$P1525*'[2]Beam '!T$45,0)</f>
        <v>0</v>
      </c>
      <c r="U1525" s="8">
        <f>IF($D1525='[2]Beam '!U$44,$P1525*'[2]Beam '!U$45,0)</f>
        <v>14.151531428571429</v>
      </c>
      <c r="V1525" s="8">
        <f>IF($D1525='[2]Beam '!V$44,$P1525*'[2]Beam '!V$45,0)</f>
        <v>0</v>
      </c>
      <c r="W1525" s="8">
        <f>IF($D1525='[2]Beam '!W$44,$P1525*'[2]Beam '!W$45,0)</f>
        <v>0</v>
      </c>
      <c r="X1525" s="8">
        <f t="shared" si="284"/>
        <v>14.151531428571429</v>
      </c>
      <c r="Y1525" s="8"/>
      <c r="Z1525" s="8"/>
      <c r="AA1525" s="8"/>
      <c r="AB1525" s="8"/>
      <c r="AC1525" s="8"/>
      <c r="AD1525" s="8"/>
      <c r="AE1525" s="8"/>
    </row>
    <row r="1526" spans="1:32" s="14" customFormat="1" ht="20.100000000000001" customHeight="1" x14ac:dyDescent="0.3">
      <c r="A1526" s="7"/>
      <c r="B1526" s="8" t="s">
        <v>2</v>
      </c>
      <c r="C1526" s="13" t="s">
        <v>75</v>
      </c>
      <c r="D1526" s="8">
        <v>16</v>
      </c>
      <c r="E1526" s="8"/>
      <c r="F1526" s="8">
        <v>1</v>
      </c>
      <c r="G1526" s="9">
        <f>VLOOKUP(D1526,'[2]Beam '!$C$20:$H$26,3,0)</f>
        <v>0.625</v>
      </c>
      <c r="H1526" s="9"/>
      <c r="I1526" s="8"/>
      <c r="J1526" s="8"/>
      <c r="K1526" s="8"/>
      <c r="L1526" s="8"/>
      <c r="M1526" s="8"/>
      <c r="N1526" s="8"/>
      <c r="O1526" s="8">
        <f>(2.068+1*(1*(G1526)*D1521))</f>
        <v>2.6930000000000001</v>
      </c>
      <c r="P1526" s="8">
        <f t="shared" si="283"/>
        <v>2.6930000000000001</v>
      </c>
      <c r="Q1526" s="8">
        <f>IF($D1526='[2]Beam '!Q$44,$P1526*'[2]Beam '!Q$45,0)</f>
        <v>0</v>
      </c>
      <c r="R1526" s="8">
        <f>IF($D1526='[2]Beam '!R$44,$P1526*'[2]Beam '!R$45,0)</f>
        <v>0</v>
      </c>
      <c r="S1526" s="8">
        <f>IF($D1526='[2]Beam '!S$44,$P1526*'[2]Beam '!S$45,0)</f>
        <v>0</v>
      </c>
      <c r="T1526" s="8">
        <f>IF($D1526='[2]Beam '!T$44,$P1526*'[2]Beam '!T$45,0)</f>
        <v>4.252170057142858</v>
      </c>
      <c r="U1526" s="8">
        <f>IF($D1526='[2]Beam '!U$44,$P1526*'[2]Beam '!U$45,0)</f>
        <v>0</v>
      </c>
      <c r="V1526" s="8">
        <f>IF($D1526='[2]Beam '!V$44,$P1526*'[2]Beam '!V$45,0)</f>
        <v>0</v>
      </c>
      <c r="W1526" s="8">
        <f>IF($D1526='[2]Beam '!W$44,$P1526*'[2]Beam '!W$45,0)</f>
        <v>0</v>
      </c>
      <c r="X1526" s="8">
        <f t="shared" si="284"/>
        <v>4.252170057142858</v>
      </c>
      <c r="Y1526" s="8"/>
    </row>
    <row r="1527" spans="1:32" s="14" customFormat="1" ht="20.100000000000001" customHeight="1" x14ac:dyDescent="0.3">
      <c r="A1527" s="7"/>
      <c r="B1527" s="8" t="s">
        <v>2</v>
      </c>
      <c r="C1527" s="13" t="s">
        <v>88</v>
      </c>
      <c r="D1527" s="8">
        <v>16</v>
      </c>
      <c r="E1527" s="8"/>
      <c r="F1527" s="8">
        <v>3</v>
      </c>
      <c r="G1527" s="9">
        <f>VLOOKUP(D1527,'[2]Beam '!$C$20:$H$26,3,0)</f>
        <v>0.625</v>
      </c>
      <c r="H1527" s="9"/>
      <c r="I1527" s="8"/>
      <c r="J1527" s="8"/>
      <c r="K1527" s="8"/>
      <c r="L1527" s="8"/>
      <c r="M1527" s="8"/>
      <c r="N1527" s="8"/>
      <c r="O1527" s="8">
        <f>(E1521+2*(G1527)*D1521)</f>
        <v>5.0459999999999994</v>
      </c>
      <c r="P1527" s="8">
        <f t="shared" si="283"/>
        <v>15.137999999999998</v>
      </c>
      <c r="Q1527" s="8">
        <f>IF($D1527='[2]Beam '!Q$44,$P1527*'[2]Beam '!Q$45,0)</f>
        <v>0</v>
      </c>
      <c r="R1527" s="8">
        <f>IF($D1527='[2]Beam '!R$44,$P1527*'[2]Beam '!R$45,0)</f>
        <v>0</v>
      </c>
      <c r="S1527" s="8">
        <f>IF($D1527='[2]Beam '!S$44,$P1527*'[2]Beam '!S$45,0)</f>
        <v>0</v>
      </c>
      <c r="T1527" s="8">
        <f>IF($D1527='[2]Beam '!T$44,$P1527*'[2]Beam '!T$45,0)</f>
        <v>23.902469485714285</v>
      </c>
      <c r="U1527" s="8">
        <f>IF($D1527='[2]Beam '!U$44,$P1527*'[2]Beam '!U$45,0)</f>
        <v>0</v>
      </c>
      <c r="V1527" s="8">
        <f>IF($D1527='[2]Beam '!V$44,$P1527*'[2]Beam '!V$45,0)</f>
        <v>0</v>
      </c>
      <c r="W1527" s="8">
        <f>IF($D1527='[2]Beam '!W$44,$P1527*'[2]Beam '!W$45,0)</f>
        <v>0</v>
      </c>
      <c r="X1527" s="8">
        <f t="shared" si="284"/>
        <v>23.902469485714285</v>
      </c>
      <c r="Y1527" s="8"/>
    </row>
    <row r="1528" spans="1:32" s="14" customFormat="1" ht="20.100000000000001" customHeight="1" x14ac:dyDescent="0.25">
      <c r="A1528" s="7"/>
      <c r="B1528" s="8" t="s">
        <v>2</v>
      </c>
      <c r="C1528" s="13" t="s">
        <v>13</v>
      </c>
      <c r="D1528" s="8">
        <v>10</v>
      </c>
      <c r="E1528" s="8">
        <v>0.1</v>
      </c>
      <c r="F1528" s="8">
        <f>ROUNDUP((E1523/3*2)/E1528,0)+1</f>
        <v>1</v>
      </c>
      <c r="G1528" s="10"/>
      <c r="H1528" s="8"/>
      <c r="I1528" s="8"/>
      <c r="J1528" s="8"/>
      <c r="K1528" s="8"/>
      <c r="L1528" s="8"/>
      <c r="M1528" s="8"/>
      <c r="N1528" s="8"/>
      <c r="O1528" s="8">
        <f>(2*((G1521-(2*'[2]Beam '!$D$11))+(F1521-(2*'[2]Beam '!$D$11)))+(2*10*D1528/1000))*D1521</f>
        <v>2.8600000000000003</v>
      </c>
      <c r="P1528" s="8">
        <f t="shared" si="283"/>
        <v>2.8600000000000003</v>
      </c>
      <c r="Q1528" s="8">
        <f>IF($D1528='[2]Beam '!Q$44,$P1528*'[2]Beam '!Q$45,0)</f>
        <v>0</v>
      </c>
      <c r="R1528" s="8">
        <f>IF($D1528='[2]Beam '!R$44,$P1528*'[2]Beam '!R$45,0)</f>
        <v>1.7640071428571431</v>
      </c>
      <c r="S1528" s="8">
        <f>IF($D1528='[2]Beam '!S$44,$P1528*'[2]Beam '!S$45,0)</f>
        <v>0</v>
      </c>
      <c r="T1528" s="8">
        <f>IF($D1528='[2]Beam '!T$44,$P1528*'[2]Beam '!T$45,0)</f>
        <v>0</v>
      </c>
      <c r="U1528" s="8">
        <f>IF($D1528='[2]Beam '!U$44,$P1528*'[2]Beam '!U$45,0)</f>
        <v>0</v>
      </c>
      <c r="V1528" s="8">
        <f>IF($D1528='[2]Beam '!V$44,$P1528*'[2]Beam '!V$45,0)</f>
        <v>0</v>
      </c>
      <c r="W1528" s="8">
        <f>IF($D1528='[2]Beam '!W$44,$P1528*'[2]Beam '!W$45,0)</f>
        <v>0</v>
      </c>
      <c r="X1528" s="8">
        <f t="shared" si="284"/>
        <v>1.7640071428571431</v>
      </c>
      <c r="Y1528" s="8"/>
    </row>
    <row r="1529" spans="1:32" s="10" customFormat="1" ht="20.100000000000001" customHeight="1" x14ac:dyDescent="0.25">
      <c r="A1529" s="14"/>
      <c r="B1529" s="8" t="s">
        <v>2</v>
      </c>
      <c r="C1529" s="13" t="s">
        <v>14</v>
      </c>
      <c r="D1529" s="14">
        <f>D1528</f>
        <v>10</v>
      </c>
      <c r="E1529" s="14">
        <v>0.125</v>
      </c>
      <c r="F1529" s="8">
        <f>ROUNDUP((E1523/3)/E1529,0)+1</f>
        <v>1</v>
      </c>
      <c r="H1529" s="14"/>
      <c r="I1529" s="14"/>
      <c r="J1529" s="14"/>
      <c r="K1529" s="14"/>
      <c r="L1529" s="14"/>
      <c r="M1529" s="14"/>
      <c r="N1529" s="14"/>
      <c r="O1529" s="8">
        <f>(2*((G1521-(2*'[2]Beam '!$D$11))+(F1521-(2*'[2]Beam '!$D$11)))+(2*10*D1529/1000))*D1521</f>
        <v>2.8600000000000003</v>
      </c>
      <c r="P1529" s="8">
        <f t="shared" si="283"/>
        <v>2.8600000000000003</v>
      </c>
      <c r="Q1529" s="8">
        <f>IF($D1529='[2]Beam '!Q$44,$P1529*'[2]Beam '!Q$45,0)</f>
        <v>0</v>
      </c>
      <c r="R1529" s="8">
        <f>IF($D1529='[2]Beam '!R$44,$P1529*'[2]Beam '!R$45,0)</f>
        <v>1.7640071428571431</v>
      </c>
      <c r="S1529" s="8">
        <f>IF($D1529='[2]Beam '!S$44,$P1529*'[2]Beam '!S$45,0)</f>
        <v>0</v>
      </c>
      <c r="T1529" s="8">
        <f>IF($D1529='[2]Beam '!T$44,$P1529*'[2]Beam '!T$45,0)</f>
        <v>0</v>
      </c>
      <c r="U1529" s="8">
        <f>IF($D1529='[2]Beam '!U$44,$P1529*'[2]Beam '!U$45,0)</f>
        <v>0</v>
      </c>
      <c r="V1529" s="8">
        <f>IF($D1529='[2]Beam '!V$44,$P1529*'[2]Beam '!V$45,0)</f>
        <v>0</v>
      </c>
      <c r="W1529" s="8">
        <f>IF($D1529='[2]Beam '!W$44,$P1529*'[2]Beam '!W$45,0)</f>
        <v>0</v>
      </c>
      <c r="X1529" s="8">
        <f t="shared" si="284"/>
        <v>1.7640071428571431</v>
      </c>
      <c r="Y1529" s="14"/>
      <c r="Z1529" s="8"/>
      <c r="AA1529" s="8"/>
      <c r="AB1529" s="8"/>
      <c r="AC1529" s="8"/>
      <c r="AD1529" s="8"/>
      <c r="AE1529" s="8"/>
    </row>
    <row r="1530" spans="1:32" s="10" customFormat="1" ht="21" customHeight="1" x14ac:dyDescent="0.25">
      <c r="A1530" s="14"/>
      <c r="B1530" s="8" t="s">
        <v>2</v>
      </c>
      <c r="C1530" s="13" t="s">
        <v>15</v>
      </c>
      <c r="D1530" s="14">
        <f>D1528</f>
        <v>10</v>
      </c>
      <c r="E1530" s="14">
        <f>+E1528</f>
        <v>0.1</v>
      </c>
      <c r="F1530" s="8">
        <f>ROUNDUP((E1523/3*2)/E1530,0)+1</f>
        <v>1</v>
      </c>
      <c r="H1530" s="14"/>
      <c r="I1530" s="14"/>
      <c r="J1530" s="14"/>
      <c r="K1530" s="14"/>
      <c r="L1530" s="14"/>
      <c r="M1530" s="14"/>
      <c r="N1530" s="14"/>
      <c r="O1530" s="8">
        <f>(2*(((F1521-'[2]Beam '!$D$11*2)/(F1522-1))+(G1521-'[2]Beam '!$D$11*2))+(2*10*D1530/1000))*D1521</f>
        <v>2.5700000000000003</v>
      </c>
      <c r="P1530" s="8">
        <f t="shared" si="283"/>
        <v>2.5700000000000003</v>
      </c>
      <c r="Q1530" s="8">
        <f>IF($D1530='[2]Beam '!Q$44,$P1530*'[2]Beam '!Q$45,0)</f>
        <v>0</v>
      </c>
      <c r="R1530" s="8">
        <f>IF($D1530='[2]Beam '!R$44,$P1530*'[2]Beam '!R$45,0)</f>
        <v>1.5851392857142859</v>
      </c>
      <c r="S1530" s="8">
        <f>IF($D1530='[2]Beam '!S$44,$P1530*'[2]Beam '!S$45,0)</f>
        <v>0</v>
      </c>
      <c r="T1530" s="8">
        <f>IF($D1530='[2]Beam '!T$44,$P1530*'[2]Beam '!T$45,0)</f>
        <v>0</v>
      </c>
      <c r="U1530" s="8">
        <f>IF($D1530='[2]Beam '!U$44,$P1530*'[2]Beam '!U$45,0)</f>
        <v>0</v>
      </c>
      <c r="V1530" s="8">
        <f>IF($D1530='[2]Beam '!V$44,$P1530*'[2]Beam '!V$45,0)</f>
        <v>0</v>
      </c>
      <c r="W1530" s="8">
        <f>IF($D1530='[2]Beam '!W$44,$P1530*'[2]Beam '!W$45,0)</f>
        <v>0</v>
      </c>
      <c r="X1530" s="8">
        <f t="shared" si="284"/>
        <v>1.5851392857142859</v>
      </c>
      <c r="Y1530" s="14"/>
      <c r="Z1530" s="8"/>
      <c r="AA1530" s="8"/>
      <c r="AB1530" s="8"/>
      <c r="AC1530" s="8"/>
      <c r="AD1530" s="8"/>
      <c r="AE1530" s="8"/>
      <c r="AF1530" s="8"/>
    </row>
    <row r="1531" spans="1:32" s="10" customFormat="1" ht="20.100000000000001" customHeight="1" x14ac:dyDescent="0.25">
      <c r="A1531" s="14"/>
      <c r="B1531" s="8" t="s">
        <v>2</v>
      </c>
      <c r="C1531" s="13" t="s">
        <v>16</v>
      </c>
      <c r="D1531" s="14">
        <f>D1529</f>
        <v>10</v>
      </c>
      <c r="E1531" s="14">
        <f>+E1529</f>
        <v>0.125</v>
      </c>
      <c r="F1531" s="8">
        <f>ROUNDUP((E1523/3)/E1531,0)+1</f>
        <v>1</v>
      </c>
      <c r="H1531" s="14"/>
      <c r="I1531" s="14"/>
      <c r="J1531" s="14"/>
      <c r="K1531" s="14"/>
      <c r="L1531" s="14"/>
      <c r="M1531" s="14"/>
      <c r="N1531" s="14"/>
      <c r="O1531" s="8">
        <f>(2*(((F1521-'[2]Beam '!$D$11*2)/(F1522-1))+(G1521-'[2]Beam '!$D$11*2))+(2*10*D1531/1000))*D1521</f>
        <v>2.5700000000000003</v>
      </c>
      <c r="P1531" s="8">
        <f t="shared" si="283"/>
        <v>2.5700000000000003</v>
      </c>
      <c r="Q1531" s="8">
        <f>IF($D1531='[2]Beam '!Q$44,$P1531*'[2]Beam '!Q$45,0)</f>
        <v>0</v>
      </c>
      <c r="R1531" s="8">
        <f>IF($D1531='[2]Beam '!R$44,$P1531*'[2]Beam '!R$45,0)</f>
        <v>1.5851392857142859</v>
      </c>
      <c r="S1531" s="8">
        <f>IF($D1531='[2]Beam '!S$44,$P1531*'[2]Beam '!S$45,0)</f>
        <v>0</v>
      </c>
      <c r="T1531" s="8">
        <f>IF($D1531='[2]Beam '!T$44,$P1531*'[2]Beam '!T$45,0)</f>
        <v>0</v>
      </c>
      <c r="U1531" s="8">
        <f>IF($D1531='[2]Beam '!U$44,$P1531*'[2]Beam '!U$45,0)</f>
        <v>0</v>
      </c>
      <c r="V1531" s="8">
        <f>IF($D1531='[2]Beam '!V$44,$P1531*'[2]Beam '!V$45,0)</f>
        <v>0</v>
      </c>
      <c r="W1531" s="8">
        <f>IF($D1531='[2]Beam '!W$44,$P1531*'[2]Beam '!W$45,0)</f>
        <v>0</v>
      </c>
      <c r="X1531" s="8">
        <f t="shared" si="284"/>
        <v>1.5851392857142859</v>
      </c>
      <c r="Y1531" s="14"/>
      <c r="Z1531" s="8"/>
      <c r="AA1531" s="8"/>
      <c r="AB1531" s="8"/>
      <c r="AC1531" s="8"/>
      <c r="AD1531" s="8"/>
      <c r="AE1531" s="8"/>
    </row>
    <row r="1532" spans="1:32" s="10" customFormat="1" ht="20.100000000000001" customHeight="1" x14ac:dyDescent="0.25">
      <c r="A1532" s="7"/>
      <c r="B1532" s="8" t="s">
        <v>2</v>
      </c>
      <c r="C1532" s="13" t="s">
        <v>10</v>
      </c>
      <c r="D1532" s="8">
        <f>+'[2]Beam '!$D$15</f>
        <v>25</v>
      </c>
      <c r="E1532" s="8">
        <f>+'[2]Beam '!$E$15</f>
        <v>1</v>
      </c>
      <c r="F1532" s="8">
        <f>ROUNDUP((E1521)/E1532,0)</f>
        <v>4</v>
      </c>
      <c r="G1532" s="9"/>
      <c r="H1532" s="9"/>
      <c r="I1532" s="8"/>
      <c r="J1532" s="8"/>
      <c r="K1532" s="8"/>
      <c r="L1532" s="8"/>
      <c r="M1532" s="8"/>
      <c r="N1532" s="8"/>
      <c r="O1532" s="8">
        <f>F1521-'[2]Beam '!$F$15</f>
        <v>0.28999999999999998</v>
      </c>
      <c r="P1532" s="8">
        <f t="shared" si="283"/>
        <v>1.1599999999999999</v>
      </c>
      <c r="Q1532" s="8">
        <f>IF($D1532='[2]Beam '!Q$44,$P1532*'[2]Beam '!Q$45,0)</f>
        <v>0</v>
      </c>
      <c r="R1532" s="8">
        <f>IF($D1532='[2]Beam '!R$44,$P1532*'[2]Beam '!R$45,0)</f>
        <v>0</v>
      </c>
      <c r="S1532" s="8">
        <f>IF($D1532='[2]Beam '!S$44,$P1532*'[2]Beam '!S$45,0)</f>
        <v>0</v>
      </c>
      <c r="T1532" s="8">
        <f>IF($D1532='[2]Beam '!T$44,$P1532*'[2]Beam '!T$45,0)</f>
        <v>0</v>
      </c>
      <c r="U1532" s="8">
        <f>IF($D1532='[2]Beam '!U$44,$P1532*'[2]Beam '!U$45,0)</f>
        <v>0</v>
      </c>
      <c r="V1532" s="8">
        <f>IF($D1532='[2]Beam '!V$44,$P1532*'[2]Beam '!V$45,0)</f>
        <v>4.4716964285714287</v>
      </c>
      <c r="W1532" s="8">
        <f>IF($D1532='[2]Beam '!W$44,$P1532*'[2]Beam '!W$45,0)</f>
        <v>0</v>
      </c>
      <c r="X1532" s="8">
        <f t="shared" si="284"/>
        <v>4.4716964285714287</v>
      </c>
      <c r="Y1532" s="8"/>
      <c r="Z1532" s="8"/>
      <c r="AA1532" s="8"/>
      <c r="AB1532" s="8"/>
      <c r="AC1532" s="8"/>
      <c r="AD1532" s="8"/>
      <c r="AE1532" s="8"/>
    </row>
    <row r="1533" spans="1:32" s="10" customFormat="1" ht="20.100000000000001" customHeight="1" x14ac:dyDescent="0.25">
      <c r="A1533" s="8">
        <v>1</v>
      </c>
      <c r="B1533" s="8" t="s">
        <v>2</v>
      </c>
      <c r="C1533" s="11" t="s">
        <v>204</v>
      </c>
      <c r="D1533" s="11">
        <v>1</v>
      </c>
      <c r="E1533" s="11">
        <v>1.7170000000000001</v>
      </c>
      <c r="F1533" s="11">
        <v>0.35</v>
      </c>
      <c r="G1533" s="11">
        <v>1.1000000000000001</v>
      </c>
      <c r="H1533" s="8">
        <f>G1533-0.2</f>
        <v>0.90000000000000013</v>
      </c>
      <c r="I1533" s="8">
        <f>E1533*F1533*G1533*D1533</f>
        <v>0.66104499999999999</v>
      </c>
      <c r="J1533" s="8">
        <f>(2*(E1533)*H1533*D1533)+(E1533*F1533)</f>
        <v>3.6915500000000008</v>
      </c>
      <c r="K1533" s="12">
        <f>IF(E1533=0.3,J1533,0)</f>
        <v>0</v>
      </c>
      <c r="L1533" s="12">
        <f>IF(AND(E1533&gt;0.3,E1533&lt;=0.75),J1533,0)</f>
        <v>0</v>
      </c>
      <c r="M1533" s="12">
        <f>IF(AND(E1533&gt;0.75,E1533&lt;=1.2),J1533,0)</f>
        <v>0</v>
      </c>
      <c r="N1533" s="12">
        <f>IF(E1533&gt;1.2,J1533,0)</f>
        <v>3.6915500000000008</v>
      </c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>
        <f>SUM(X1534:X1535)/I1533</f>
        <v>130.0550170563275</v>
      </c>
      <c r="Z1533" s="8"/>
      <c r="AA1533" s="8"/>
      <c r="AB1533" s="8"/>
      <c r="AC1533" s="8"/>
      <c r="AD1533" s="8"/>
      <c r="AE1533" s="8"/>
    </row>
    <row r="1534" spans="1:32" s="14" customFormat="1" ht="20.100000000000001" customHeight="1" x14ac:dyDescent="0.3">
      <c r="A1534" s="7"/>
      <c r="B1534" s="8" t="s">
        <v>2</v>
      </c>
      <c r="C1534" s="13" t="s">
        <v>4</v>
      </c>
      <c r="D1534" s="8">
        <v>25</v>
      </c>
      <c r="E1534" s="8"/>
      <c r="F1534" s="8">
        <v>3</v>
      </c>
      <c r="G1534" s="9">
        <f>VLOOKUP(D1534,'[2]Beam '!$C$20:$H$26,3,0)</f>
        <v>1</v>
      </c>
      <c r="H1534" s="9"/>
      <c r="I1534" s="8"/>
      <c r="J1534" s="8"/>
      <c r="K1534" s="8"/>
      <c r="L1534" s="8"/>
      <c r="M1534" s="8"/>
      <c r="N1534" s="8"/>
      <c r="O1534" s="8">
        <f>(E1533+2*(2/2)*D1533)</f>
        <v>3.7170000000000001</v>
      </c>
      <c r="P1534" s="8">
        <f>O1534*F1534</f>
        <v>11.151</v>
      </c>
      <c r="Q1534" s="8">
        <f>IF($D1534='[2]Beam '!Q$44,$P1534*'[2]Beam '!Q$45,0)</f>
        <v>0</v>
      </c>
      <c r="R1534" s="8">
        <f>IF($D1534='[2]Beam '!R$44,$P1534*'[2]Beam '!R$45,0)</f>
        <v>0</v>
      </c>
      <c r="S1534" s="8">
        <f>IF($D1534='[2]Beam '!S$44,$P1534*'[2]Beam '!S$45,0)</f>
        <v>0</v>
      </c>
      <c r="T1534" s="8">
        <f>IF($D1534='[2]Beam '!T$44,$P1534*'[2]Beam '!T$45,0)</f>
        <v>0</v>
      </c>
      <c r="U1534" s="8">
        <f>IF($D1534='[2]Beam '!U$44,$P1534*'[2]Beam '!U$45,0)</f>
        <v>0</v>
      </c>
      <c r="V1534" s="8">
        <f>IF($D1534='[2]Beam '!V$44,$P1534*'[2]Beam '!V$45,0)</f>
        <v>42.986109375000005</v>
      </c>
      <c r="W1534" s="8">
        <f>IF($D1534='[2]Beam '!W$44,$P1534*'[2]Beam '!W$45,0)</f>
        <v>0</v>
      </c>
      <c r="X1534" s="8">
        <f>SUM(Q1534:W1534)</f>
        <v>42.986109375000005</v>
      </c>
      <c r="Y1534" s="8"/>
    </row>
    <row r="1535" spans="1:32" s="10" customFormat="1" ht="20.100000000000001" customHeight="1" x14ac:dyDescent="0.25">
      <c r="A1535" s="7"/>
      <c r="B1535" s="8" t="s">
        <v>2</v>
      </c>
      <c r="C1535" s="13" t="s">
        <v>139</v>
      </c>
      <c r="D1535" s="8">
        <v>25</v>
      </c>
      <c r="E1535" s="8"/>
      <c r="F1535" s="8">
        <v>3</v>
      </c>
      <c r="G1535" s="9">
        <f>VLOOKUP(D1535,'[2]Beam '!$C$20:$H$26,3,0)</f>
        <v>1</v>
      </c>
      <c r="H1535" s="9"/>
      <c r="I1535" s="8"/>
      <c r="J1535" s="8"/>
      <c r="K1535" s="8"/>
      <c r="L1535" s="8"/>
      <c r="M1535" s="8"/>
      <c r="N1535" s="8"/>
      <c r="O1535" s="8">
        <f>(E1533+2*(2/2)*D1533)</f>
        <v>3.7170000000000001</v>
      </c>
      <c r="P1535" s="8">
        <f>O1535*F1535</f>
        <v>11.151</v>
      </c>
      <c r="Q1535" s="8">
        <f>IF($D1535='[2]Beam '!Q$44,$P1535*'[2]Beam '!Q$45,0)</f>
        <v>0</v>
      </c>
      <c r="R1535" s="8">
        <f>IF($D1535='[2]Beam '!R$44,$P1535*'[2]Beam '!R$45,0)</f>
        <v>0</v>
      </c>
      <c r="S1535" s="8">
        <f>IF($D1535='[2]Beam '!S$44,$P1535*'[2]Beam '!S$45,0)</f>
        <v>0</v>
      </c>
      <c r="T1535" s="8">
        <f>IF($D1535='[2]Beam '!T$44,$P1535*'[2]Beam '!T$45,0)</f>
        <v>0</v>
      </c>
      <c r="U1535" s="8">
        <f>IF($D1535='[2]Beam '!U$44,$P1535*'[2]Beam '!U$45,0)</f>
        <v>0</v>
      </c>
      <c r="V1535" s="8">
        <f>IF($D1535='[2]Beam '!V$44,$P1535*'[2]Beam '!V$45,0)</f>
        <v>42.986109375000005</v>
      </c>
      <c r="W1535" s="8">
        <f>IF($D1535='[2]Beam '!W$44,$P1535*'[2]Beam '!W$45,0)</f>
        <v>0</v>
      </c>
      <c r="X1535" s="8">
        <f>SUM(Q1535:W1535)</f>
        <v>42.986109375000005</v>
      </c>
      <c r="Y1535" s="8"/>
      <c r="Z1535" s="8"/>
      <c r="AA1535" s="8"/>
      <c r="AB1535" s="8"/>
      <c r="AC1535" s="8"/>
      <c r="AD1535" s="8"/>
      <c r="AE1535" s="8"/>
    </row>
    <row r="1536" spans="1:32" s="10" customFormat="1" ht="21" customHeight="1" x14ac:dyDescent="0.25">
      <c r="A1536" s="7"/>
      <c r="B1536" s="8" t="s">
        <v>2</v>
      </c>
      <c r="C1536" s="13" t="s">
        <v>8</v>
      </c>
      <c r="D1536" s="8">
        <v>12</v>
      </c>
      <c r="E1536" s="8">
        <v>0.1</v>
      </c>
      <c r="F1536" s="8">
        <f>ROUNDUP(E1533/E1536,0)</f>
        <v>18</v>
      </c>
      <c r="H1536" s="8"/>
      <c r="I1536" s="8"/>
      <c r="J1536" s="8"/>
      <c r="K1536" s="8"/>
      <c r="L1536" s="8"/>
      <c r="M1536" s="8"/>
      <c r="N1536" s="8"/>
      <c r="O1536" s="8">
        <f>(2*((G1533-(2*'[2]Beam '!$D$11))+(F1533-(2*'[2]Beam '!$D$11)))+(2*10*D1536/1000))*D1533</f>
        <v>2.9000000000000004</v>
      </c>
      <c r="P1536" s="8">
        <f>O1536*F1536</f>
        <v>52.2</v>
      </c>
      <c r="Q1536" s="8">
        <f>IF($D1536='[2]Beam '!Q$44,$P1536*'[2]Beam '!Q$45,0)</f>
        <v>0</v>
      </c>
      <c r="R1536" s="8">
        <f>IF($D1536='[2]Beam '!R$44,$P1536*'[2]Beam '!R$45,0)</f>
        <v>0</v>
      </c>
      <c r="S1536" s="8">
        <f>IF($D1536='[2]Beam '!S$44,$P1536*'[2]Beam '!S$45,0)</f>
        <v>46.362548571428583</v>
      </c>
      <c r="T1536" s="8">
        <f>IF($D1536='[2]Beam '!T$44,$P1536*'[2]Beam '!T$45,0)</f>
        <v>0</v>
      </c>
      <c r="U1536" s="8">
        <f>IF($D1536='[2]Beam '!U$44,$P1536*'[2]Beam '!U$45,0)</f>
        <v>0</v>
      </c>
      <c r="V1536" s="8">
        <f>IF($D1536='[2]Beam '!V$44,$P1536*'[2]Beam '!V$45,0)</f>
        <v>0</v>
      </c>
      <c r="W1536" s="8">
        <f>IF($D1536='[2]Beam '!W$44,$P1536*'[2]Beam '!W$45,0)</f>
        <v>0</v>
      </c>
      <c r="X1536" s="8">
        <f>SUM(Q1536:W1536)</f>
        <v>46.362548571428583</v>
      </c>
      <c r="Y1536" s="8"/>
      <c r="Z1536" s="8"/>
      <c r="AA1536" s="8"/>
      <c r="AB1536" s="8"/>
      <c r="AC1536" s="8"/>
      <c r="AD1536" s="8"/>
      <c r="AE1536" s="8"/>
      <c r="AF1536" s="8"/>
    </row>
    <row r="1537" spans="1:32" s="10" customFormat="1" ht="20.100000000000001" customHeight="1" x14ac:dyDescent="0.25">
      <c r="A1537" s="14"/>
      <c r="B1537" s="8" t="s">
        <v>2</v>
      </c>
      <c r="C1537" s="13" t="s">
        <v>9</v>
      </c>
      <c r="D1537" s="8">
        <f>+D1536</f>
        <v>12</v>
      </c>
      <c r="E1537" s="14">
        <f>+E1536</f>
        <v>0.1</v>
      </c>
      <c r="F1537" s="8">
        <f>ROUNDUP(E1533/E1537,0)</f>
        <v>18</v>
      </c>
      <c r="H1537" s="14"/>
      <c r="I1537" s="14"/>
      <c r="J1537" s="14"/>
      <c r="K1537" s="14"/>
      <c r="L1537" s="14"/>
      <c r="M1537" s="14"/>
      <c r="N1537" s="14"/>
      <c r="O1537" s="8">
        <f>((((G1533-(2*'[2]Beam '!$D$11))+(2*10*D1537/1000))*D1533))*1</f>
        <v>1.28</v>
      </c>
      <c r="P1537" s="8">
        <f>O1537*F1537</f>
        <v>23.04</v>
      </c>
      <c r="Q1537" s="8">
        <f>IF($D1537='[2]Beam '!Q$44,$P1537*'[2]Beam '!Q$45,0)</f>
        <v>0</v>
      </c>
      <c r="R1537" s="8">
        <f>IF($D1537='[2]Beam '!R$44,$P1537*'[2]Beam '!R$45,0)</f>
        <v>0</v>
      </c>
      <c r="S1537" s="8">
        <f>IF($D1537='[2]Beam '!S$44,$P1537*'[2]Beam '!S$45,0)</f>
        <v>20.463469714285718</v>
      </c>
      <c r="T1537" s="8">
        <f>IF($D1537='[2]Beam '!T$44,$P1537*'[2]Beam '!T$45,0)</f>
        <v>0</v>
      </c>
      <c r="U1537" s="8">
        <f>IF($D1537='[2]Beam '!U$44,$P1537*'[2]Beam '!U$45,0)</f>
        <v>0</v>
      </c>
      <c r="V1537" s="8">
        <f>IF($D1537='[2]Beam '!V$44,$P1537*'[2]Beam '!V$45,0)</f>
        <v>0</v>
      </c>
      <c r="W1537" s="8">
        <f>IF($D1537='[2]Beam '!W$44,$P1537*'[2]Beam '!W$45,0)</f>
        <v>0</v>
      </c>
      <c r="X1537" s="8">
        <f>SUM(Q1537:W1537)</f>
        <v>20.463469714285718</v>
      </c>
      <c r="Y1537" s="14"/>
      <c r="Z1537" s="8"/>
      <c r="AA1537" s="8"/>
      <c r="AB1537" s="8"/>
      <c r="AC1537" s="8"/>
      <c r="AD1537" s="8"/>
      <c r="AE1537" s="8"/>
    </row>
    <row r="1538" spans="1:32" s="10" customFormat="1" ht="20.100000000000001" customHeight="1" x14ac:dyDescent="0.25">
      <c r="A1538" s="7"/>
      <c r="B1538" s="8" t="s">
        <v>2</v>
      </c>
      <c r="C1538" s="13" t="s">
        <v>10</v>
      </c>
      <c r="D1538" s="8">
        <f>+'[2]Beam '!$D$15</f>
        <v>25</v>
      </c>
      <c r="E1538" s="8">
        <f>+'[2]Beam '!$E$15</f>
        <v>1</v>
      </c>
      <c r="F1538" s="8">
        <f>ROUNDUP((E1533)/E1538,0)</f>
        <v>2</v>
      </c>
      <c r="G1538" s="9"/>
      <c r="H1538" s="9"/>
      <c r="I1538" s="8"/>
      <c r="J1538" s="8"/>
      <c r="K1538" s="8"/>
      <c r="L1538" s="8"/>
      <c r="M1538" s="8"/>
      <c r="N1538" s="8"/>
      <c r="O1538" s="8">
        <f>F1533-'[2]Beam '!$F$15</f>
        <v>0.28999999999999998</v>
      </c>
      <c r="P1538" s="8">
        <f>O1538*F1538</f>
        <v>0.57999999999999996</v>
      </c>
      <c r="Q1538" s="8">
        <f>IF($D1538='[2]Beam '!Q$44,$P1538*'[2]Beam '!Q$45,0)</f>
        <v>0</v>
      </c>
      <c r="R1538" s="8">
        <f>IF($D1538='[2]Beam '!R$44,$P1538*'[2]Beam '!R$45,0)</f>
        <v>0</v>
      </c>
      <c r="S1538" s="8">
        <f>IF($D1538='[2]Beam '!S$44,$P1538*'[2]Beam '!S$45,0)</f>
        <v>0</v>
      </c>
      <c r="T1538" s="8">
        <f>IF($D1538='[2]Beam '!T$44,$P1538*'[2]Beam '!T$45,0)</f>
        <v>0</v>
      </c>
      <c r="U1538" s="8">
        <f>IF($D1538='[2]Beam '!U$44,$P1538*'[2]Beam '!U$45,0)</f>
        <v>0</v>
      </c>
      <c r="V1538" s="8">
        <f>IF($D1538='[2]Beam '!V$44,$P1538*'[2]Beam '!V$45,0)</f>
        <v>2.2358482142857143</v>
      </c>
      <c r="W1538" s="8">
        <f>IF($D1538='[2]Beam '!W$44,$P1538*'[2]Beam '!W$45,0)</f>
        <v>0</v>
      </c>
      <c r="X1538" s="8">
        <f>SUM(Q1538:W1538)</f>
        <v>2.2358482142857143</v>
      </c>
      <c r="Y1538" s="8"/>
      <c r="Z1538" s="8"/>
      <c r="AA1538" s="8"/>
      <c r="AB1538" s="8"/>
      <c r="AC1538" s="8"/>
      <c r="AD1538" s="8"/>
      <c r="AE1538" s="8"/>
    </row>
    <row r="1539" spans="1:32" s="10" customFormat="1" ht="20.100000000000001" customHeight="1" x14ac:dyDescent="0.25">
      <c r="A1539" s="8">
        <v>1</v>
      </c>
      <c r="B1539" s="8" t="s">
        <v>2</v>
      </c>
      <c r="C1539" s="11" t="s">
        <v>205</v>
      </c>
      <c r="D1539" s="11">
        <v>1</v>
      </c>
      <c r="E1539" s="11">
        <v>4.05</v>
      </c>
      <c r="F1539" s="11">
        <v>0.35</v>
      </c>
      <c r="G1539" s="11">
        <v>1.1000000000000001</v>
      </c>
      <c r="H1539" s="8">
        <f>G1539-0.2</f>
        <v>0.90000000000000013</v>
      </c>
      <c r="I1539" s="8">
        <f>E1539*F1539*G1539*D1539</f>
        <v>1.5592499999999998</v>
      </c>
      <c r="J1539" s="8">
        <f>(2*(E1539)*H1539*D1539)+(E1539*F1539)</f>
        <v>8.7075000000000014</v>
      </c>
      <c r="K1539" s="12">
        <f>IF(E1539=0.3,J1539,0)</f>
        <v>0</v>
      </c>
      <c r="L1539" s="12">
        <f>IF(AND(E1539&gt;0.3,E1539&lt;=0.75),J1539,0)</f>
        <v>0</v>
      </c>
      <c r="M1539" s="12">
        <f>IF(AND(E1539&gt;0.75,E1539&lt;=1.2),J1539,0)</f>
        <v>0</v>
      </c>
      <c r="N1539" s="12">
        <f>IF(E1539&gt;1.2,J1539,0)</f>
        <v>8.7075000000000014</v>
      </c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>
        <f>SUM(X1540:X1541)/I1539</f>
        <v>56.961451247165542</v>
      </c>
      <c r="Z1539" s="8"/>
      <c r="AA1539" s="8"/>
      <c r="AB1539" s="8"/>
      <c r="AC1539" s="8"/>
      <c r="AD1539" s="8"/>
      <c r="AE1539" s="8"/>
    </row>
    <row r="1540" spans="1:32" s="10" customFormat="1" ht="19.5" customHeight="1" x14ac:dyDescent="0.25">
      <c r="A1540" s="7"/>
      <c r="B1540" s="8" t="s">
        <v>2</v>
      </c>
      <c r="C1540" s="13" t="s">
        <v>4</v>
      </c>
      <c r="D1540" s="8">
        <v>20</v>
      </c>
      <c r="E1540" s="8"/>
      <c r="F1540" s="8">
        <v>3</v>
      </c>
      <c r="G1540" s="9">
        <f>VLOOKUP(D1540,'[2]Beam '!$C$20:$H$26,3,0)</f>
        <v>0.8</v>
      </c>
      <c r="H1540" s="9"/>
      <c r="I1540" s="8"/>
      <c r="J1540" s="8"/>
      <c r="K1540" s="8"/>
      <c r="L1540" s="8"/>
      <c r="M1540" s="8"/>
      <c r="N1540" s="8"/>
      <c r="O1540" s="8">
        <f>(E1539+1*(G1540+1*(0.3/2)+1*(2/2)*D1539))</f>
        <v>6</v>
      </c>
      <c r="P1540" s="8">
        <f t="shared" ref="P1540:P1548" si="285">O1540*F1540</f>
        <v>18</v>
      </c>
      <c r="Q1540" s="8">
        <f>IF($D1540='[2]Beam '!Q$44,$P1540*'[2]Beam '!Q$45,0)</f>
        <v>0</v>
      </c>
      <c r="R1540" s="8">
        <f>IF($D1540='[2]Beam '!R$44,$P1540*'[2]Beam '!R$45,0)</f>
        <v>0</v>
      </c>
      <c r="S1540" s="8">
        <f>IF($D1540='[2]Beam '!S$44,$P1540*'[2]Beam '!S$45,0)</f>
        <v>0</v>
      </c>
      <c r="T1540" s="8">
        <f>IF($D1540='[2]Beam '!T$44,$P1540*'[2]Beam '!T$45,0)</f>
        <v>0</v>
      </c>
      <c r="U1540" s="8">
        <f>IF($D1540='[2]Beam '!U$44,$P1540*'[2]Beam '!U$45,0)</f>
        <v>44.408571428571427</v>
      </c>
      <c r="V1540" s="8">
        <f>IF($D1540='[2]Beam '!V$44,$P1540*'[2]Beam '!V$45,0)</f>
        <v>0</v>
      </c>
      <c r="W1540" s="8">
        <f>IF($D1540='[2]Beam '!W$44,$P1540*'[2]Beam '!W$45,0)</f>
        <v>0</v>
      </c>
      <c r="X1540" s="8">
        <f t="shared" ref="X1540:X1548" si="286">SUM(Q1540:W1540)</f>
        <v>44.408571428571427</v>
      </c>
      <c r="Y1540" s="8"/>
      <c r="Z1540" s="8"/>
      <c r="AA1540" s="8"/>
      <c r="AB1540" s="8"/>
      <c r="AC1540" s="8"/>
      <c r="AD1540" s="8"/>
      <c r="AE1540" s="8"/>
    </row>
    <row r="1541" spans="1:32" s="10" customFormat="1" ht="20.100000000000001" customHeight="1" x14ac:dyDescent="0.25">
      <c r="A1541" s="7"/>
      <c r="B1541" s="8" t="s">
        <v>2</v>
      </c>
      <c r="C1541" s="13" t="s">
        <v>139</v>
      </c>
      <c r="D1541" s="8">
        <v>20</v>
      </c>
      <c r="E1541" s="8"/>
      <c r="F1541" s="8">
        <v>3</v>
      </c>
      <c r="G1541" s="9">
        <f>VLOOKUP(D1541,'[2]Beam '!$C$20:$H$26,3,0)</f>
        <v>0.8</v>
      </c>
      <c r="H1541" s="9"/>
      <c r="I1541" s="8"/>
      <c r="J1541" s="8"/>
      <c r="K1541" s="8"/>
      <c r="L1541" s="8"/>
      <c r="M1541" s="8"/>
      <c r="N1541" s="8"/>
      <c r="O1541" s="8">
        <f>(E1539+1*(G1541+1*(0.3/2)+1*(2/2)*D1539))</f>
        <v>6</v>
      </c>
      <c r="P1541" s="8">
        <f t="shared" si="285"/>
        <v>18</v>
      </c>
      <c r="Q1541" s="8">
        <f>IF($D1541='[2]Beam '!Q$44,$P1541*'[2]Beam '!Q$45,0)</f>
        <v>0</v>
      </c>
      <c r="R1541" s="8">
        <f>IF($D1541='[2]Beam '!R$44,$P1541*'[2]Beam '!R$45,0)</f>
        <v>0</v>
      </c>
      <c r="S1541" s="8">
        <f>IF($D1541='[2]Beam '!S$44,$P1541*'[2]Beam '!S$45,0)</f>
        <v>0</v>
      </c>
      <c r="T1541" s="8">
        <f>IF($D1541='[2]Beam '!T$44,$P1541*'[2]Beam '!T$45,0)</f>
        <v>0</v>
      </c>
      <c r="U1541" s="8">
        <f>IF($D1541='[2]Beam '!U$44,$P1541*'[2]Beam '!U$45,0)</f>
        <v>44.408571428571427</v>
      </c>
      <c r="V1541" s="8">
        <f>IF($D1541='[2]Beam '!V$44,$P1541*'[2]Beam '!V$45,0)</f>
        <v>0</v>
      </c>
      <c r="W1541" s="8">
        <f>IF($D1541='[2]Beam '!W$44,$P1541*'[2]Beam '!W$45,0)</f>
        <v>0</v>
      </c>
      <c r="X1541" s="8">
        <f t="shared" si="286"/>
        <v>44.408571428571427</v>
      </c>
      <c r="Y1541" s="8"/>
      <c r="Z1541" s="8"/>
      <c r="AA1541" s="8"/>
      <c r="AB1541" s="8"/>
      <c r="AC1541" s="8"/>
      <c r="AD1541" s="8"/>
      <c r="AE1541" s="8"/>
    </row>
    <row r="1542" spans="1:32" s="14" customFormat="1" ht="20.100000000000001" customHeight="1" x14ac:dyDescent="0.3">
      <c r="A1542" s="7"/>
      <c r="B1542" s="8" t="s">
        <v>2</v>
      </c>
      <c r="C1542" s="13" t="s">
        <v>75</v>
      </c>
      <c r="D1542" s="8">
        <v>25</v>
      </c>
      <c r="E1542" s="8"/>
      <c r="F1542" s="8">
        <v>3</v>
      </c>
      <c r="G1542" s="9">
        <f>VLOOKUP(D1542,'[2]Beam '!$C$20:$H$26,3,0)</f>
        <v>1</v>
      </c>
      <c r="H1542" s="9"/>
      <c r="I1542" s="8"/>
      <c r="J1542" s="8"/>
      <c r="K1542" s="8"/>
      <c r="L1542" s="8"/>
      <c r="M1542" s="8"/>
      <c r="N1542" s="8"/>
      <c r="O1542" s="8">
        <f>(E1539+1*(G1542+1*(0.3/2)+D1539))</f>
        <v>6.1999999999999993</v>
      </c>
      <c r="P1542" s="8">
        <f t="shared" si="285"/>
        <v>18.599999999999998</v>
      </c>
      <c r="Q1542" s="8">
        <f>IF($D1542='[2]Beam '!Q$44,$P1542*'[2]Beam '!Q$45,0)</f>
        <v>0</v>
      </c>
      <c r="R1542" s="8">
        <f>IF($D1542='[2]Beam '!R$44,$P1542*'[2]Beam '!R$45,0)</f>
        <v>0</v>
      </c>
      <c r="S1542" s="8">
        <f>IF($D1542='[2]Beam '!S$44,$P1542*'[2]Beam '!S$45,0)</f>
        <v>0</v>
      </c>
      <c r="T1542" s="8">
        <f>IF($D1542='[2]Beam '!T$44,$P1542*'[2]Beam '!T$45,0)</f>
        <v>0</v>
      </c>
      <c r="U1542" s="8">
        <f>IF($D1542='[2]Beam '!U$44,$P1542*'[2]Beam '!U$45,0)</f>
        <v>0</v>
      </c>
      <c r="V1542" s="8">
        <f>IF($D1542='[2]Beam '!V$44,$P1542*'[2]Beam '!V$45,0)</f>
        <v>71.701339285714283</v>
      </c>
      <c r="W1542" s="8">
        <f>IF($D1542='[2]Beam '!W$44,$P1542*'[2]Beam '!W$45,0)</f>
        <v>0</v>
      </c>
      <c r="X1542" s="8">
        <f t="shared" si="286"/>
        <v>71.701339285714283</v>
      </c>
      <c r="Y1542" s="8"/>
    </row>
    <row r="1543" spans="1:32" s="14" customFormat="1" ht="20.100000000000001" customHeight="1" x14ac:dyDescent="0.3">
      <c r="A1543" s="7"/>
      <c r="B1543" s="8" t="s">
        <v>2</v>
      </c>
      <c r="C1543" s="13" t="s">
        <v>88</v>
      </c>
      <c r="D1543" s="8">
        <v>25</v>
      </c>
      <c r="E1543" s="8"/>
      <c r="F1543" s="8">
        <v>3</v>
      </c>
      <c r="G1543" s="9">
        <f>VLOOKUP(D1543,'[2]Beam '!$C$20:$H$26,3,0)</f>
        <v>1</v>
      </c>
      <c r="H1543" s="9"/>
      <c r="I1543" s="8"/>
      <c r="J1543" s="8"/>
      <c r="K1543" s="8"/>
      <c r="L1543" s="8"/>
      <c r="M1543" s="8"/>
      <c r="N1543" s="8"/>
      <c r="O1543" s="8">
        <f>(E1539+1*(G1543+1*(0.3/2)+D1539))</f>
        <v>6.1999999999999993</v>
      </c>
      <c r="P1543" s="8">
        <f t="shared" si="285"/>
        <v>18.599999999999998</v>
      </c>
      <c r="Q1543" s="8">
        <f>IF($D1543='[2]Beam '!Q$44,$P1543*'[2]Beam '!Q$45,0)</f>
        <v>0</v>
      </c>
      <c r="R1543" s="8">
        <f>IF($D1543='[2]Beam '!R$44,$P1543*'[2]Beam '!R$45,0)</f>
        <v>0</v>
      </c>
      <c r="S1543" s="8">
        <f>IF($D1543='[2]Beam '!S$44,$P1543*'[2]Beam '!S$45,0)</f>
        <v>0</v>
      </c>
      <c r="T1543" s="8">
        <f>IF($D1543='[2]Beam '!T$44,$P1543*'[2]Beam '!T$45,0)</f>
        <v>0</v>
      </c>
      <c r="U1543" s="8">
        <f>IF($D1543='[2]Beam '!U$44,$P1543*'[2]Beam '!U$45,0)</f>
        <v>0</v>
      </c>
      <c r="V1543" s="8">
        <f>IF($D1543='[2]Beam '!V$44,$P1543*'[2]Beam '!V$45,0)</f>
        <v>71.701339285714283</v>
      </c>
      <c r="W1543" s="8">
        <f>IF($D1543='[2]Beam '!W$44,$P1543*'[2]Beam '!W$45,0)</f>
        <v>0</v>
      </c>
      <c r="X1543" s="8">
        <f t="shared" si="286"/>
        <v>71.701339285714283</v>
      </c>
      <c r="Y1543" s="8"/>
    </row>
    <row r="1544" spans="1:32" s="14" customFormat="1" ht="20.100000000000001" customHeight="1" x14ac:dyDescent="0.25">
      <c r="A1544" s="7"/>
      <c r="B1544" s="8" t="s">
        <v>2</v>
      </c>
      <c r="C1544" s="13" t="s">
        <v>13</v>
      </c>
      <c r="D1544" s="8">
        <v>10</v>
      </c>
      <c r="E1544" s="8">
        <v>0.1</v>
      </c>
      <c r="F1544" s="8">
        <f>ROUNDUP((E1539/3*2)/E1544,0)+1</f>
        <v>28</v>
      </c>
      <c r="G1544" s="10"/>
      <c r="H1544" s="8"/>
      <c r="I1544" s="8"/>
      <c r="J1544" s="8"/>
      <c r="K1544" s="8"/>
      <c r="L1544" s="8"/>
      <c r="M1544" s="8"/>
      <c r="N1544" s="8"/>
      <c r="O1544" s="8">
        <f>(2*((G1539-(2*'[2]Beam '!$D$11))+(F1539-(2*'[2]Beam '!$D$11)))+(2*10*D1544/1000))*D1539</f>
        <v>2.8600000000000003</v>
      </c>
      <c r="P1544" s="8">
        <f t="shared" si="285"/>
        <v>80.080000000000013</v>
      </c>
      <c r="Q1544" s="8">
        <f>IF($D1544='[2]Beam '!Q$44,$P1544*'[2]Beam '!Q$45,0)</f>
        <v>0</v>
      </c>
      <c r="R1544" s="8">
        <f>IF($D1544='[2]Beam '!R$44,$P1544*'[2]Beam '!R$45,0)</f>
        <v>49.39220000000001</v>
      </c>
      <c r="S1544" s="8">
        <f>IF($D1544='[2]Beam '!S$44,$P1544*'[2]Beam '!S$45,0)</f>
        <v>0</v>
      </c>
      <c r="T1544" s="8">
        <f>IF($D1544='[2]Beam '!T$44,$P1544*'[2]Beam '!T$45,0)</f>
        <v>0</v>
      </c>
      <c r="U1544" s="8">
        <f>IF($D1544='[2]Beam '!U$44,$P1544*'[2]Beam '!U$45,0)</f>
        <v>0</v>
      </c>
      <c r="V1544" s="8">
        <f>IF($D1544='[2]Beam '!V$44,$P1544*'[2]Beam '!V$45,0)</f>
        <v>0</v>
      </c>
      <c r="W1544" s="8">
        <f>IF($D1544='[2]Beam '!W$44,$P1544*'[2]Beam '!W$45,0)</f>
        <v>0</v>
      </c>
      <c r="X1544" s="8">
        <f t="shared" si="286"/>
        <v>49.39220000000001</v>
      </c>
      <c r="Y1544" s="8"/>
    </row>
    <row r="1545" spans="1:32" s="10" customFormat="1" ht="20.100000000000001" customHeight="1" x14ac:dyDescent="0.25">
      <c r="A1545" s="14"/>
      <c r="B1545" s="8" t="s">
        <v>2</v>
      </c>
      <c r="C1545" s="13" t="s">
        <v>14</v>
      </c>
      <c r="D1545" s="14">
        <f>D1544</f>
        <v>10</v>
      </c>
      <c r="E1545" s="14">
        <v>0.125</v>
      </c>
      <c r="F1545" s="8">
        <f>ROUNDUP((E1539/3)/E1545,0)+1</f>
        <v>12</v>
      </c>
      <c r="H1545" s="14"/>
      <c r="I1545" s="14"/>
      <c r="J1545" s="14"/>
      <c r="K1545" s="14"/>
      <c r="L1545" s="14"/>
      <c r="M1545" s="14"/>
      <c r="N1545" s="14"/>
      <c r="O1545" s="8">
        <f>(2*((G1539-(2*'[2]Beam '!$D$11))+(F1539-(2*'[2]Beam '!$D$11)))+(2*10*D1545/1000))*D1539</f>
        <v>2.8600000000000003</v>
      </c>
      <c r="P1545" s="8">
        <f t="shared" si="285"/>
        <v>34.320000000000007</v>
      </c>
      <c r="Q1545" s="8">
        <f>IF($D1545='[2]Beam '!Q$44,$P1545*'[2]Beam '!Q$45,0)</f>
        <v>0</v>
      </c>
      <c r="R1545" s="8">
        <f>IF($D1545='[2]Beam '!R$44,$P1545*'[2]Beam '!R$45,0)</f>
        <v>21.16808571428572</v>
      </c>
      <c r="S1545" s="8">
        <f>IF($D1545='[2]Beam '!S$44,$P1545*'[2]Beam '!S$45,0)</f>
        <v>0</v>
      </c>
      <c r="T1545" s="8">
        <f>IF($D1545='[2]Beam '!T$44,$P1545*'[2]Beam '!T$45,0)</f>
        <v>0</v>
      </c>
      <c r="U1545" s="8">
        <f>IF($D1545='[2]Beam '!U$44,$P1545*'[2]Beam '!U$45,0)</f>
        <v>0</v>
      </c>
      <c r="V1545" s="8">
        <f>IF($D1545='[2]Beam '!V$44,$P1545*'[2]Beam '!V$45,0)</f>
        <v>0</v>
      </c>
      <c r="W1545" s="8">
        <f>IF($D1545='[2]Beam '!W$44,$P1545*'[2]Beam '!W$45,0)</f>
        <v>0</v>
      </c>
      <c r="X1545" s="8">
        <f t="shared" si="286"/>
        <v>21.16808571428572</v>
      </c>
      <c r="Y1545" s="14"/>
      <c r="Z1545" s="8"/>
      <c r="AA1545" s="8"/>
      <c r="AB1545" s="8"/>
      <c r="AC1545" s="8"/>
      <c r="AD1545" s="8"/>
      <c r="AE1545" s="8"/>
    </row>
    <row r="1546" spans="1:32" s="10" customFormat="1" ht="21" customHeight="1" x14ac:dyDescent="0.25">
      <c r="A1546" s="14"/>
      <c r="B1546" s="8" t="s">
        <v>2</v>
      </c>
      <c r="C1546" s="13" t="s">
        <v>15</v>
      </c>
      <c r="D1546" s="14">
        <f>D1544</f>
        <v>10</v>
      </c>
      <c r="E1546" s="14">
        <f>+E1544</f>
        <v>0.1</v>
      </c>
      <c r="F1546" s="8">
        <f>ROUNDUP((E1539/3*2)/E1546,0)+1</f>
        <v>28</v>
      </c>
      <c r="H1546" s="14"/>
      <c r="I1546" s="14"/>
      <c r="J1546" s="14"/>
      <c r="K1546" s="14"/>
      <c r="L1546" s="14"/>
      <c r="M1546" s="14"/>
      <c r="N1546" s="14"/>
      <c r="O1546" s="8">
        <f>(2*(((F1539-'[2]Beam '!$D$11*2)/(F1540-1))+(G1539-'[2]Beam '!$D$11*2))+(2*10*D1546/1000))*D1539</f>
        <v>2.5700000000000003</v>
      </c>
      <c r="P1546" s="8">
        <f t="shared" si="285"/>
        <v>71.960000000000008</v>
      </c>
      <c r="Q1546" s="8">
        <f>IF($D1546='[2]Beam '!Q$44,$P1546*'[2]Beam '!Q$45,0)</f>
        <v>0</v>
      </c>
      <c r="R1546" s="8">
        <f>IF($D1546='[2]Beam '!R$44,$P1546*'[2]Beam '!R$45,0)</f>
        <v>44.383900000000004</v>
      </c>
      <c r="S1546" s="8">
        <f>IF($D1546='[2]Beam '!S$44,$P1546*'[2]Beam '!S$45,0)</f>
        <v>0</v>
      </c>
      <c r="T1546" s="8">
        <f>IF($D1546='[2]Beam '!T$44,$P1546*'[2]Beam '!T$45,0)</f>
        <v>0</v>
      </c>
      <c r="U1546" s="8">
        <f>IF($D1546='[2]Beam '!U$44,$P1546*'[2]Beam '!U$45,0)</f>
        <v>0</v>
      </c>
      <c r="V1546" s="8">
        <f>IF($D1546='[2]Beam '!V$44,$P1546*'[2]Beam '!V$45,0)</f>
        <v>0</v>
      </c>
      <c r="W1546" s="8">
        <f>IF($D1546='[2]Beam '!W$44,$P1546*'[2]Beam '!W$45,0)</f>
        <v>0</v>
      </c>
      <c r="X1546" s="8">
        <f t="shared" si="286"/>
        <v>44.383900000000004</v>
      </c>
      <c r="Y1546" s="14"/>
      <c r="Z1546" s="8"/>
      <c r="AA1546" s="8"/>
      <c r="AB1546" s="8"/>
      <c r="AC1546" s="8"/>
      <c r="AD1546" s="8"/>
      <c r="AE1546" s="8"/>
      <c r="AF1546" s="8"/>
    </row>
    <row r="1547" spans="1:32" s="10" customFormat="1" ht="20.100000000000001" customHeight="1" x14ac:dyDescent="0.25">
      <c r="A1547" s="14"/>
      <c r="B1547" s="8" t="s">
        <v>2</v>
      </c>
      <c r="C1547" s="13" t="s">
        <v>16</v>
      </c>
      <c r="D1547" s="14">
        <f>D1545</f>
        <v>10</v>
      </c>
      <c r="E1547" s="14">
        <f>+E1545</f>
        <v>0.125</v>
      </c>
      <c r="F1547" s="8">
        <f>ROUNDUP((E1539/3)/E1547,0)+1</f>
        <v>12</v>
      </c>
      <c r="H1547" s="14"/>
      <c r="I1547" s="14"/>
      <c r="J1547" s="14"/>
      <c r="K1547" s="14"/>
      <c r="L1547" s="14"/>
      <c r="M1547" s="14"/>
      <c r="N1547" s="14"/>
      <c r="O1547" s="8">
        <f>(2*(((F1539-'[2]Beam '!$D$11*2)/(F1540-1))+(G1539-'[2]Beam '!$D$11*2))+(2*10*D1547/1000))*D1539</f>
        <v>2.5700000000000003</v>
      </c>
      <c r="P1547" s="8">
        <f t="shared" si="285"/>
        <v>30.840000000000003</v>
      </c>
      <c r="Q1547" s="8">
        <f>IF($D1547='[2]Beam '!Q$44,$P1547*'[2]Beam '!Q$45,0)</f>
        <v>0</v>
      </c>
      <c r="R1547" s="8">
        <f>IF($D1547='[2]Beam '!R$44,$P1547*'[2]Beam '!R$45,0)</f>
        <v>19.02167142857143</v>
      </c>
      <c r="S1547" s="8">
        <f>IF($D1547='[2]Beam '!S$44,$P1547*'[2]Beam '!S$45,0)</f>
        <v>0</v>
      </c>
      <c r="T1547" s="8">
        <f>IF($D1547='[2]Beam '!T$44,$P1547*'[2]Beam '!T$45,0)</f>
        <v>0</v>
      </c>
      <c r="U1547" s="8">
        <f>IF($D1547='[2]Beam '!U$44,$P1547*'[2]Beam '!U$45,0)</f>
        <v>0</v>
      </c>
      <c r="V1547" s="8">
        <f>IF($D1547='[2]Beam '!V$44,$P1547*'[2]Beam '!V$45,0)</f>
        <v>0</v>
      </c>
      <c r="W1547" s="8">
        <f>IF($D1547='[2]Beam '!W$44,$P1547*'[2]Beam '!W$45,0)</f>
        <v>0</v>
      </c>
      <c r="X1547" s="8">
        <f t="shared" si="286"/>
        <v>19.02167142857143</v>
      </c>
      <c r="Y1547" s="14"/>
      <c r="Z1547" s="8"/>
      <c r="AA1547" s="8"/>
      <c r="AB1547" s="8"/>
      <c r="AC1547" s="8"/>
      <c r="AD1547" s="8"/>
      <c r="AE1547" s="8"/>
    </row>
    <row r="1548" spans="1:32" s="10" customFormat="1" ht="20.100000000000001" customHeight="1" x14ac:dyDescent="0.25">
      <c r="A1548" s="7"/>
      <c r="B1548" s="8" t="s">
        <v>2</v>
      </c>
      <c r="C1548" s="13" t="s">
        <v>10</v>
      </c>
      <c r="D1548" s="8">
        <f>+'[2]Beam '!$D$15</f>
        <v>25</v>
      </c>
      <c r="E1548" s="8">
        <f>+'[2]Beam '!$E$15</f>
        <v>1</v>
      </c>
      <c r="F1548" s="8">
        <f>ROUNDUP((E1539)/E1548,0)</f>
        <v>5</v>
      </c>
      <c r="G1548" s="9"/>
      <c r="H1548" s="9"/>
      <c r="I1548" s="8"/>
      <c r="J1548" s="8"/>
      <c r="K1548" s="8"/>
      <c r="L1548" s="8"/>
      <c r="M1548" s="8"/>
      <c r="N1548" s="8"/>
      <c r="O1548" s="8">
        <f>F1539-'[2]Beam '!$F$15</f>
        <v>0.28999999999999998</v>
      </c>
      <c r="P1548" s="8">
        <f t="shared" si="285"/>
        <v>1.45</v>
      </c>
      <c r="Q1548" s="8">
        <f>IF($D1548='[2]Beam '!Q$44,$P1548*'[2]Beam '!Q$45,0)</f>
        <v>0</v>
      </c>
      <c r="R1548" s="8">
        <f>IF($D1548='[2]Beam '!R$44,$P1548*'[2]Beam '!R$45,0)</f>
        <v>0</v>
      </c>
      <c r="S1548" s="8">
        <f>IF($D1548='[2]Beam '!S$44,$P1548*'[2]Beam '!S$45,0)</f>
        <v>0</v>
      </c>
      <c r="T1548" s="8">
        <f>IF($D1548='[2]Beam '!T$44,$P1548*'[2]Beam '!T$45,0)</f>
        <v>0</v>
      </c>
      <c r="U1548" s="8">
        <f>IF($D1548='[2]Beam '!U$44,$P1548*'[2]Beam '!U$45,0)</f>
        <v>0</v>
      </c>
      <c r="V1548" s="8">
        <f>IF($D1548='[2]Beam '!V$44,$P1548*'[2]Beam '!V$45,0)</f>
        <v>5.5896205357142863</v>
      </c>
      <c r="W1548" s="8">
        <f>IF($D1548='[2]Beam '!W$44,$P1548*'[2]Beam '!W$45,0)</f>
        <v>0</v>
      </c>
      <c r="X1548" s="8">
        <f t="shared" si="286"/>
        <v>5.5896205357142863</v>
      </c>
      <c r="Y1548" s="8"/>
      <c r="Z1548" s="8"/>
      <c r="AA1548" s="8"/>
      <c r="AB1548" s="8"/>
      <c r="AC1548" s="8"/>
      <c r="AD1548" s="8"/>
      <c r="AE1548" s="8"/>
    </row>
    <row r="1549" spans="1:32" s="10" customFormat="1" ht="20.100000000000001" customHeight="1" x14ac:dyDescent="0.25">
      <c r="A1549" s="8">
        <v>1</v>
      </c>
      <c r="B1549" s="8" t="s">
        <v>2</v>
      </c>
      <c r="C1549" s="11" t="s">
        <v>206</v>
      </c>
      <c r="D1549" s="11">
        <v>1</v>
      </c>
      <c r="E1549" s="11">
        <v>4.6959999999999997</v>
      </c>
      <c r="F1549" s="11">
        <v>0.35</v>
      </c>
      <c r="G1549" s="11">
        <v>1.1000000000000001</v>
      </c>
      <c r="H1549" s="8">
        <f>G1549-0.2</f>
        <v>0.90000000000000013</v>
      </c>
      <c r="I1549" s="8">
        <f>E1549*F1549*G1549*D1549</f>
        <v>1.8079599999999998</v>
      </c>
      <c r="J1549" s="8">
        <f>(2*(E1549)*H1549*D1549)+(E1549*F1549)</f>
        <v>10.096400000000001</v>
      </c>
      <c r="K1549" s="12">
        <f>IF(E1549=0.3,J1549,0)</f>
        <v>0</v>
      </c>
      <c r="L1549" s="12">
        <f>IF(AND(E1549&gt;0.3,E1549&lt;=0.75),J1549,0)</f>
        <v>0</v>
      </c>
      <c r="M1549" s="12">
        <f>IF(AND(E1549&gt;0.75,E1549&lt;=1.2),J1549,0)</f>
        <v>0</v>
      </c>
      <c r="N1549" s="12">
        <f>IF(E1549&gt;1.2,J1549,0)</f>
        <v>10.096400000000001</v>
      </c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>
        <f>SUM(X1550:X1551)/I1549</f>
        <v>48.601606230226338</v>
      </c>
      <c r="Z1549" s="8"/>
      <c r="AA1549" s="8"/>
      <c r="AB1549" s="8"/>
      <c r="AC1549" s="8"/>
      <c r="AD1549" s="8"/>
      <c r="AE1549" s="8"/>
    </row>
    <row r="1550" spans="1:32" s="10" customFormat="1" ht="19.5" customHeight="1" x14ac:dyDescent="0.25">
      <c r="A1550" s="7"/>
      <c r="B1550" s="8" t="s">
        <v>2</v>
      </c>
      <c r="C1550" s="13" t="s">
        <v>4</v>
      </c>
      <c r="D1550" s="8">
        <v>20</v>
      </c>
      <c r="E1550" s="8"/>
      <c r="F1550" s="8">
        <v>3</v>
      </c>
      <c r="G1550" s="9">
        <f>VLOOKUP(D1550,'[2]Beam '!$C$20:$H$26,3,0)</f>
        <v>0.8</v>
      </c>
      <c r="H1550" s="9"/>
      <c r="I1550" s="8"/>
      <c r="J1550" s="8"/>
      <c r="K1550" s="8"/>
      <c r="L1550" s="8"/>
      <c r="M1550" s="8"/>
      <c r="N1550" s="8"/>
      <c r="O1550" s="8">
        <f>(E1549+1*(G1550+(12*D1550/1000))+1*(0.4/2)*D1549)</f>
        <v>5.9359999999999999</v>
      </c>
      <c r="P1550" s="8">
        <f t="shared" ref="P1550:P1558" si="287">O1550*F1550</f>
        <v>17.808</v>
      </c>
      <c r="Q1550" s="8">
        <f>IF($D1550='[2]Beam '!Q$44,$P1550*'[2]Beam '!Q$45,0)</f>
        <v>0</v>
      </c>
      <c r="R1550" s="8">
        <f>IF($D1550='[2]Beam '!R$44,$P1550*'[2]Beam '!R$45,0)</f>
        <v>0</v>
      </c>
      <c r="S1550" s="8">
        <f>IF($D1550='[2]Beam '!S$44,$P1550*'[2]Beam '!S$45,0)</f>
        <v>0</v>
      </c>
      <c r="T1550" s="8">
        <f>IF($D1550='[2]Beam '!T$44,$P1550*'[2]Beam '!T$45,0)</f>
        <v>0</v>
      </c>
      <c r="U1550" s="8">
        <f>IF($D1550='[2]Beam '!U$44,$P1550*'[2]Beam '!U$45,0)</f>
        <v>43.93488</v>
      </c>
      <c r="V1550" s="8">
        <f>IF($D1550='[2]Beam '!V$44,$P1550*'[2]Beam '!V$45,0)</f>
        <v>0</v>
      </c>
      <c r="W1550" s="8">
        <f>IF($D1550='[2]Beam '!W$44,$P1550*'[2]Beam '!W$45,0)</f>
        <v>0</v>
      </c>
      <c r="X1550" s="8">
        <f t="shared" ref="X1550:X1558" si="288">SUM(Q1550:W1550)</f>
        <v>43.93488</v>
      </c>
      <c r="Y1550" s="8"/>
      <c r="Z1550" s="8"/>
      <c r="AA1550" s="8"/>
      <c r="AB1550" s="8"/>
      <c r="AC1550" s="8"/>
      <c r="AD1550" s="8"/>
      <c r="AE1550" s="8"/>
    </row>
    <row r="1551" spans="1:32" s="10" customFormat="1" ht="20.100000000000001" customHeight="1" x14ac:dyDescent="0.25">
      <c r="A1551" s="7"/>
      <c r="B1551" s="8" t="s">
        <v>2</v>
      </c>
      <c r="C1551" s="13" t="s">
        <v>139</v>
      </c>
      <c r="D1551" s="8">
        <v>20</v>
      </c>
      <c r="E1551" s="8"/>
      <c r="F1551" s="8">
        <v>3</v>
      </c>
      <c r="G1551" s="9">
        <f>VLOOKUP(D1551,'[2]Beam '!$C$20:$H$26,3,0)</f>
        <v>0.8</v>
      </c>
      <c r="H1551" s="9"/>
      <c r="I1551" s="8"/>
      <c r="J1551" s="8"/>
      <c r="K1551" s="8"/>
      <c r="L1551" s="8"/>
      <c r="M1551" s="8"/>
      <c r="N1551" s="8"/>
      <c r="O1551" s="8">
        <f>(E1549+1*(G1551+(12*D1551/1000))+1*(0.4/2)*D1549)</f>
        <v>5.9359999999999999</v>
      </c>
      <c r="P1551" s="8">
        <f t="shared" si="287"/>
        <v>17.808</v>
      </c>
      <c r="Q1551" s="8">
        <f>IF($D1551='[2]Beam '!Q$44,$P1551*'[2]Beam '!Q$45,0)</f>
        <v>0</v>
      </c>
      <c r="R1551" s="8">
        <f>IF($D1551='[2]Beam '!R$44,$P1551*'[2]Beam '!R$45,0)</f>
        <v>0</v>
      </c>
      <c r="S1551" s="8">
        <f>IF($D1551='[2]Beam '!S$44,$P1551*'[2]Beam '!S$45,0)</f>
        <v>0</v>
      </c>
      <c r="T1551" s="8">
        <f>IF($D1551='[2]Beam '!T$44,$P1551*'[2]Beam '!T$45,0)</f>
        <v>0</v>
      </c>
      <c r="U1551" s="8">
        <f>IF($D1551='[2]Beam '!U$44,$P1551*'[2]Beam '!U$45,0)</f>
        <v>43.93488</v>
      </c>
      <c r="V1551" s="8">
        <f>IF($D1551='[2]Beam '!V$44,$P1551*'[2]Beam '!V$45,0)</f>
        <v>0</v>
      </c>
      <c r="W1551" s="8">
        <f>IF($D1551='[2]Beam '!W$44,$P1551*'[2]Beam '!W$45,0)</f>
        <v>0</v>
      </c>
      <c r="X1551" s="8">
        <f t="shared" si="288"/>
        <v>43.93488</v>
      </c>
      <c r="Y1551" s="8"/>
      <c r="Z1551" s="8"/>
      <c r="AA1551" s="8"/>
      <c r="AB1551" s="8"/>
      <c r="AC1551" s="8"/>
      <c r="AD1551" s="8"/>
      <c r="AE1551" s="8"/>
    </row>
    <row r="1552" spans="1:32" s="14" customFormat="1" ht="20.100000000000001" customHeight="1" x14ac:dyDescent="0.3">
      <c r="A1552" s="7"/>
      <c r="B1552" s="8" t="s">
        <v>2</v>
      </c>
      <c r="C1552" s="13" t="s">
        <v>75</v>
      </c>
      <c r="D1552" s="8">
        <v>25</v>
      </c>
      <c r="E1552" s="8"/>
      <c r="F1552" s="8">
        <v>3</v>
      </c>
      <c r="G1552" s="9">
        <f>VLOOKUP(D1552,'[2]Beam '!$C$20:$H$26,3,0)</f>
        <v>1</v>
      </c>
      <c r="H1552" s="9"/>
      <c r="I1552" s="8"/>
      <c r="J1552" s="8"/>
      <c r="K1552" s="8"/>
      <c r="L1552" s="8"/>
      <c r="M1552" s="8"/>
      <c r="N1552" s="8"/>
      <c r="O1552" s="8">
        <f>(E1549+1*(G1552+(12*D1552/1000))+1*(0.4/2)*D1549)</f>
        <v>6.1959999999999997</v>
      </c>
      <c r="P1552" s="8">
        <f t="shared" si="287"/>
        <v>18.588000000000001</v>
      </c>
      <c r="Q1552" s="8">
        <f>IF($D1552='[2]Beam '!Q$44,$P1552*'[2]Beam '!Q$45,0)</f>
        <v>0</v>
      </c>
      <c r="R1552" s="8">
        <f>IF($D1552='[2]Beam '!R$44,$P1552*'[2]Beam '!R$45,0)</f>
        <v>0</v>
      </c>
      <c r="S1552" s="8">
        <f>IF($D1552='[2]Beam '!S$44,$P1552*'[2]Beam '!S$45,0)</f>
        <v>0</v>
      </c>
      <c r="T1552" s="8">
        <f>IF($D1552='[2]Beam '!T$44,$P1552*'[2]Beam '!T$45,0)</f>
        <v>0</v>
      </c>
      <c r="U1552" s="8">
        <f>IF($D1552='[2]Beam '!U$44,$P1552*'[2]Beam '!U$45,0)</f>
        <v>0</v>
      </c>
      <c r="V1552" s="8">
        <f>IF($D1552='[2]Beam '!V$44,$P1552*'[2]Beam '!V$45,0)</f>
        <v>71.655080357142865</v>
      </c>
      <c r="W1552" s="8">
        <f>IF($D1552='[2]Beam '!W$44,$P1552*'[2]Beam '!W$45,0)</f>
        <v>0</v>
      </c>
      <c r="X1552" s="8">
        <f t="shared" si="288"/>
        <v>71.655080357142865</v>
      </c>
      <c r="Y1552" s="8"/>
    </row>
    <row r="1553" spans="1:32" s="14" customFormat="1" ht="20.100000000000001" customHeight="1" x14ac:dyDescent="0.3">
      <c r="A1553" s="7"/>
      <c r="B1553" s="8" t="s">
        <v>2</v>
      </c>
      <c r="C1553" s="13" t="s">
        <v>88</v>
      </c>
      <c r="D1553" s="8">
        <v>25</v>
      </c>
      <c r="E1553" s="8"/>
      <c r="F1553" s="8">
        <v>3</v>
      </c>
      <c r="G1553" s="9">
        <f>VLOOKUP(D1553,'[2]Beam '!$C$20:$H$26,3,0)</f>
        <v>1</v>
      </c>
      <c r="H1553" s="9"/>
      <c r="I1553" s="8"/>
      <c r="J1553" s="8"/>
      <c r="K1553" s="8"/>
      <c r="L1553" s="8"/>
      <c r="M1553" s="8"/>
      <c r="N1553" s="8"/>
      <c r="O1553" s="8">
        <f>(E1549+1*(G1553+(12*D1553/1000))+1*(0.4/2)*D1549)</f>
        <v>6.1959999999999997</v>
      </c>
      <c r="P1553" s="8">
        <f t="shared" si="287"/>
        <v>18.588000000000001</v>
      </c>
      <c r="Q1553" s="8">
        <f>IF($D1553='[2]Beam '!Q$44,$P1553*'[2]Beam '!Q$45,0)</f>
        <v>0</v>
      </c>
      <c r="R1553" s="8">
        <f>IF($D1553='[2]Beam '!R$44,$P1553*'[2]Beam '!R$45,0)</f>
        <v>0</v>
      </c>
      <c r="S1553" s="8">
        <f>IF($D1553='[2]Beam '!S$44,$P1553*'[2]Beam '!S$45,0)</f>
        <v>0</v>
      </c>
      <c r="T1553" s="8">
        <f>IF($D1553='[2]Beam '!T$44,$P1553*'[2]Beam '!T$45,0)</f>
        <v>0</v>
      </c>
      <c r="U1553" s="8">
        <f>IF($D1553='[2]Beam '!U$44,$P1553*'[2]Beam '!U$45,0)</f>
        <v>0</v>
      </c>
      <c r="V1553" s="8">
        <f>IF($D1553='[2]Beam '!V$44,$P1553*'[2]Beam '!V$45,0)</f>
        <v>71.655080357142865</v>
      </c>
      <c r="W1553" s="8">
        <f>IF($D1553='[2]Beam '!W$44,$P1553*'[2]Beam '!W$45,0)</f>
        <v>0</v>
      </c>
      <c r="X1553" s="8">
        <f t="shared" si="288"/>
        <v>71.655080357142865</v>
      </c>
      <c r="Y1553" s="8"/>
    </row>
    <row r="1554" spans="1:32" s="14" customFormat="1" ht="20.100000000000001" customHeight="1" x14ac:dyDescent="0.25">
      <c r="A1554" s="7"/>
      <c r="B1554" s="8" t="s">
        <v>2</v>
      </c>
      <c r="C1554" s="13" t="s">
        <v>13</v>
      </c>
      <c r="D1554" s="8">
        <v>10</v>
      </c>
      <c r="E1554" s="8">
        <v>0.1</v>
      </c>
      <c r="F1554" s="8">
        <f>ROUNDUP((E1549/3*2)/E1554,0)+1</f>
        <v>33</v>
      </c>
      <c r="G1554" s="10"/>
      <c r="H1554" s="8"/>
      <c r="I1554" s="8"/>
      <c r="J1554" s="8"/>
      <c r="K1554" s="8"/>
      <c r="L1554" s="8"/>
      <c r="M1554" s="8"/>
      <c r="N1554" s="8"/>
      <c r="O1554" s="8">
        <f>(2*((G1549-(2*'[2]Beam '!$D$11))+(F1549-(2*'[2]Beam '!$D$11)))+(2*10*D1554/1000))*D1549</f>
        <v>2.8600000000000003</v>
      </c>
      <c r="P1554" s="8">
        <f t="shared" si="287"/>
        <v>94.38000000000001</v>
      </c>
      <c r="Q1554" s="8">
        <f>IF($D1554='[2]Beam '!Q$44,$P1554*'[2]Beam '!Q$45,0)</f>
        <v>0</v>
      </c>
      <c r="R1554" s="8">
        <f>IF($D1554='[2]Beam '!R$44,$P1554*'[2]Beam '!R$45,0)</f>
        <v>58.212235714285718</v>
      </c>
      <c r="S1554" s="8">
        <f>IF($D1554='[2]Beam '!S$44,$P1554*'[2]Beam '!S$45,0)</f>
        <v>0</v>
      </c>
      <c r="T1554" s="8">
        <f>IF($D1554='[2]Beam '!T$44,$P1554*'[2]Beam '!T$45,0)</f>
        <v>0</v>
      </c>
      <c r="U1554" s="8">
        <f>IF($D1554='[2]Beam '!U$44,$P1554*'[2]Beam '!U$45,0)</f>
        <v>0</v>
      </c>
      <c r="V1554" s="8">
        <f>IF($D1554='[2]Beam '!V$44,$P1554*'[2]Beam '!V$45,0)</f>
        <v>0</v>
      </c>
      <c r="W1554" s="8">
        <f>IF($D1554='[2]Beam '!W$44,$P1554*'[2]Beam '!W$45,0)</f>
        <v>0</v>
      </c>
      <c r="X1554" s="8">
        <f t="shared" si="288"/>
        <v>58.212235714285718</v>
      </c>
      <c r="Y1554" s="8"/>
    </row>
    <row r="1555" spans="1:32" s="10" customFormat="1" ht="20.100000000000001" customHeight="1" x14ac:dyDescent="0.25">
      <c r="A1555" s="14"/>
      <c r="B1555" s="8" t="s">
        <v>2</v>
      </c>
      <c r="C1555" s="13" t="s">
        <v>14</v>
      </c>
      <c r="D1555" s="14">
        <f>D1554</f>
        <v>10</v>
      </c>
      <c r="E1555" s="14">
        <v>0.125</v>
      </c>
      <c r="F1555" s="8">
        <f>ROUNDUP((E1549/3)/E1555,0)+1</f>
        <v>14</v>
      </c>
      <c r="H1555" s="14"/>
      <c r="I1555" s="14"/>
      <c r="J1555" s="14"/>
      <c r="K1555" s="14"/>
      <c r="L1555" s="14"/>
      <c r="M1555" s="14"/>
      <c r="N1555" s="14"/>
      <c r="O1555" s="8">
        <f>(2*((G1549-(2*'[2]Beam '!$D$11))+(F1549-(2*'[2]Beam '!$D$11)))+(2*10*D1555/1000))*D1549</f>
        <v>2.8600000000000003</v>
      </c>
      <c r="P1555" s="8">
        <f t="shared" si="287"/>
        <v>40.040000000000006</v>
      </c>
      <c r="Q1555" s="8">
        <f>IF($D1555='[2]Beam '!Q$44,$P1555*'[2]Beam '!Q$45,0)</f>
        <v>0</v>
      </c>
      <c r="R1555" s="8">
        <f>IF($D1555='[2]Beam '!R$44,$P1555*'[2]Beam '!R$45,0)</f>
        <v>24.696100000000005</v>
      </c>
      <c r="S1555" s="8">
        <f>IF($D1555='[2]Beam '!S$44,$P1555*'[2]Beam '!S$45,0)</f>
        <v>0</v>
      </c>
      <c r="T1555" s="8">
        <f>IF($D1555='[2]Beam '!T$44,$P1555*'[2]Beam '!T$45,0)</f>
        <v>0</v>
      </c>
      <c r="U1555" s="8">
        <f>IF($D1555='[2]Beam '!U$44,$P1555*'[2]Beam '!U$45,0)</f>
        <v>0</v>
      </c>
      <c r="V1555" s="8">
        <f>IF($D1555='[2]Beam '!V$44,$P1555*'[2]Beam '!V$45,0)</f>
        <v>0</v>
      </c>
      <c r="W1555" s="8">
        <f>IF($D1555='[2]Beam '!W$44,$P1555*'[2]Beam '!W$45,0)</f>
        <v>0</v>
      </c>
      <c r="X1555" s="8">
        <f t="shared" si="288"/>
        <v>24.696100000000005</v>
      </c>
      <c r="Y1555" s="14"/>
      <c r="Z1555" s="8"/>
      <c r="AA1555" s="8"/>
      <c r="AB1555" s="8"/>
      <c r="AC1555" s="8"/>
      <c r="AD1555" s="8"/>
      <c r="AE1555" s="8"/>
    </row>
    <row r="1556" spans="1:32" s="10" customFormat="1" ht="21" customHeight="1" x14ac:dyDescent="0.25">
      <c r="A1556" s="14"/>
      <c r="B1556" s="8" t="s">
        <v>2</v>
      </c>
      <c r="C1556" s="13" t="s">
        <v>15</v>
      </c>
      <c r="D1556" s="14">
        <f>D1554</f>
        <v>10</v>
      </c>
      <c r="E1556" s="14">
        <f>+E1554</f>
        <v>0.1</v>
      </c>
      <c r="F1556" s="8">
        <f>ROUNDUP((E1549/3*2)/E1556,0)+1</f>
        <v>33</v>
      </c>
      <c r="H1556" s="14"/>
      <c r="I1556" s="14"/>
      <c r="J1556" s="14"/>
      <c r="K1556" s="14"/>
      <c r="L1556" s="14"/>
      <c r="M1556" s="14"/>
      <c r="N1556" s="14"/>
      <c r="O1556" s="8">
        <f>(2*(((F1549-'[2]Beam '!$D$11*2)/(F1550-1))+(G1549-'[2]Beam '!$D$11*2))+(2*10*D1556/1000))*D1549</f>
        <v>2.5700000000000003</v>
      </c>
      <c r="P1556" s="8">
        <f t="shared" si="287"/>
        <v>84.81</v>
      </c>
      <c r="Q1556" s="8">
        <f>IF($D1556='[2]Beam '!Q$44,$P1556*'[2]Beam '!Q$45,0)</f>
        <v>0</v>
      </c>
      <c r="R1556" s="8">
        <f>IF($D1556='[2]Beam '!R$44,$P1556*'[2]Beam '!R$45,0)</f>
        <v>52.309596428571432</v>
      </c>
      <c r="S1556" s="8">
        <f>IF($D1556='[2]Beam '!S$44,$P1556*'[2]Beam '!S$45,0)</f>
        <v>0</v>
      </c>
      <c r="T1556" s="8">
        <f>IF($D1556='[2]Beam '!T$44,$P1556*'[2]Beam '!T$45,0)</f>
        <v>0</v>
      </c>
      <c r="U1556" s="8">
        <f>IF($D1556='[2]Beam '!U$44,$P1556*'[2]Beam '!U$45,0)</f>
        <v>0</v>
      </c>
      <c r="V1556" s="8">
        <f>IF($D1556='[2]Beam '!V$44,$P1556*'[2]Beam '!V$45,0)</f>
        <v>0</v>
      </c>
      <c r="W1556" s="8">
        <f>IF($D1556='[2]Beam '!W$44,$P1556*'[2]Beam '!W$45,0)</f>
        <v>0</v>
      </c>
      <c r="X1556" s="8">
        <f t="shared" si="288"/>
        <v>52.309596428571432</v>
      </c>
      <c r="Y1556" s="14"/>
      <c r="Z1556" s="8"/>
      <c r="AA1556" s="8"/>
      <c r="AB1556" s="8"/>
      <c r="AC1556" s="8"/>
      <c r="AD1556" s="8"/>
      <c r="AE1556" s="8"/>
      <c r="AF1556" s="8"/>
    </row>
    <row r="1557" spans="1:32" s="10" customFormat="1" ht="20.100000000000001" customHeight="1" x14ac:dyDescent="0.25">
      <c r="A1557" s="14"/>
      <c r="B1557" s="8" t="s">
        <v>2</v>
      </c>
      <c r="C1557" s="13" t="s">
        <v>16</v>
      </c>
      <c r="D1557" s="14">
        <f>D1555</f>
        <v>10</v>
      </c>
      <c r="E1557" s="14">
        <f>+E1555</f>
        <v>0.125</v>
      </c>
      <c r="F1557" s="8">
        <f>ROUNDUP((E1549/3)/E1557,0)+1</f>
        <v>14</v>
      </c>
      <c r="H1557" s="14"/>
      <c r="I1557" s="14"/>
      <c r="J1557" s="14"/>
      <c r="K1557" s="14"/>
      <c r="L1557" s="14"/>
      <c r="M1557" s="14"/>
      <c r="N1557" s="14"/>
      <c r="O1557" s="8">
        <f>(2*(((F1549-'[2]Beam '!$D$11*2)/(F1550-1))+(G1549-'[2]Beam '!$D$11*2))+(2*10*D1557/1000))*D1549</f>
        <v>2.5700000000000003</v>
      </c>
      <c r="P1557" s="8">
        <f t="shared" si="287"/>
        <v>35.980000000000004</v>
      </c>
      <c r="Q1557" s="8">
        <f>IF($D1557='[2]Beam '!Q$44,$P1557*'[2]Beam '!Q$45,0)</f>
        <v>0</v>
      </c>
      <c r="R1557" s="8">
        <f>IF($D1557='[2]Beam '!R$44,$P1557*'[2]Beam '!R$45,0)</f>
        <v>22.191950000000002</v>
      </c>
      <c r="S1557" s="8">
        <f>IF($D1557='[2]Beam '!S$44,$P1557*'[2]Beam '!S$45,0)</f>
        <v>0</v>
      </c>
      <c r="T1557" s="8">
        <f>IF($D1557='[2]Beam '!T$44,$P1557*'[2]Beam '!T$45,0)</f>
        <v>0</v>
      </c>
      <c r="U1557" s="8">
        <f>IF($D1557='[2]Beam '!U$44,$P1557*'[2]Beam '!U$45,0)</f>
        <v>0</v>
      </c>
      <c r="V1557" s="8">
        <f>IF($D1557='[2]Beam '!V$44,$P1557*'[2]Beam '!V$45,0)</f>
        <v>0</v>
      </c>
      <c r="W1557" s="8">
        <f>IF($D1557='[2]Beam '!W$44,$P1557*'[2]Beam '!W$45,0)</f>
        <v>0</v>
      </c>
      <c r="X1557" s="8">
        <f t="shared" si="288"/>
        <v>22.191950000000002</v>
      </c>
      <c r="Y1557" s="14"/>
      <c r="Z1557" s="8"/>
      <c r="AA1557" s="8"/>
      <c r="AB1557" s="8"/>
      <c r="AC1557" s="8"/>
      <c r="AD1557" s="8"/>
      <c r="AE1557" s="8"/>
    </row>
    <row r="1558" spans="1:32" s="10" customFormat="1" ht="20.100000000000001" customHeight="1" x14ac:dyDescent="0.25">
      <c r="A1558" s="7"/>
      <c r="B1558" s="8" t="s">
        <v>2</v>
      </c>
      <c r="C1558" s="13" t="s">
        <v>10</v>
      </c>
      <c r="D1558" s="8">
        <f>+'[2]Beam '!$D$15</f>
        <v>25</v>
      </c>
      <c r="E1558" s="8">
        <f>+'[2]Beam '!$E$15</f>
        <v>1</v>
      </c>
      <c r="F1558" s="8">
        <f>ROUNDUP((E1549)/E1558,0)</f>
        <v>5</v>
      </c>
      <c r="G1558" s="9"/>
      <c r="H1558" s="9"/>
      <c r="I1558" s="8"/>
      <c r="J1558" s="8"/>
      <c r="K1558" s="8"/>
      <c r="L1558" s="8"/>
      <c r="M1558" s="8"/>
      <c r="N1558" s="8"/>
      <c r="O1558" s="8">
        <f>F1549-'[2]Beam '!$F$15</f>
        <v>0.28999999999999998</v>
      </c>
      <c r="P1558" s="8">
        <f t="shared" si="287"/>
        <v>1.45</v>
      </c>
      <c r="Q1558" s="8">
        <f>IF($D1558='[2]Beam '!Q$44,$P1558*'[2]Beam '!Q$45,0)</f>
        <v>0</v>
      </c>
      <c r="R1558" s="8">
        <f>IF($D1558='[2]Beam '!R$44,$P1558*'[2]Beam '!R$45,0)</f>
        <v>0</v>
      </c>
      <c r="S1558" s="8">
        <f>IF($D1558='[2]Beam '!S$44,$P1558*'[2]Beam '!S$45,0)</f>
        <v>0</v>
      </c>
      <c r="T1558" s="8">
        <f>IF($D1558='[2]Beam '!T$44,$P1558*'[2]Beam '!T$45,0)</f>
        <v>0</v>
      </c>
      <c r="U1558" s="8">
        <f>IF($D1558='[2]Beam '!U$44,$P1558*'[2]Beam '!U$45,0)</f>
        <v>0</v>
      </c>
      <c r="V1558" s="8">
        <f>IF($D1558='[2]Beam '!V$44,$P1558*'[2]Beam '!V$45,0)</f>
        <v>5.5896205357142863</v>
      </c>
      <c r="W1558" s="8">
        <f>IF($D1558='[2]Beam '!W$44,$P1558*'[2]Beam '!W$45,0)</f>
        <v>0</v>
      </c>
      <c r="X1558" s="8">
        <f t="shared" si="288"/>
        <v>5.5896205357142863</v>
      </c>
      <c r="Y1558" s="8"/>
      <c r="Z1558" s="8"/>
      <c r="AA1558" s="8"/>
      <c r="AB1558" s="8"/>
      <c r="AC1558" s="8"/>
      <c r="AD1558" s="8"/>
      <c r="AE1558" s="8"/>
    </row>
    <row r="1559" spans="1:32" s="10" customFormat="1" ht="20.100000000000001" customHeight="1" x14ac:dyDescent="0.25">
      <c r="A1559" s="8">
        <v>1</v>
      </c>
      <c r="B1559" s="8" t="s">
        <v>2</v>
      </c>
      <c r="C1559" s="11" t="s">
        <v>207</v>
      </c>
      <c r="D1559" s="11">
        <v>1</v>
      </c>
      <c r="E1559" s="11">
        <v>1.5</v>
      </c>
      <c r="F1559" s="11">
        <v>0.4</v>
      </c>
      <c r="G1559" s="11">
        <v>0.8</v>
      </c>
      <c r="H1559" s="8">
        <f>G1559-0.2</f>
        <v>0.60000000000000009</v>
      </c>
      <c r="I1559" s="8">
        <f>E1559*F1559*G1559*D1559</f>
        <v>0.48000000000000009</v>
      </c>
      <c r="J1559" s="8">
        <f>(2*(E1559)*H1559*D1559)+(E1559*F1559)</f>
        <v>2.4000000000000004</v>
      </c>
      <c r="K1559" s="12">
        <f>IF(E1559=0.3,J1559,0)</f>
        <v>0</v>
      </c>
      <c r="L1559" s="12">
        <f>IF(AND(E1559&gt;0.3,E1559&lt;=0.75),J1559,0)</f>
        <v>0</v>
      </c>
      <c r="M1559" s="12">
        <f>IF(AND(E1559&gt;0.75,E1559&lt;=1.2),J1559,0)</f>
        <v>0</v>
      </c>
      <c r="N1559" s="12">
        <f>IF(E1559&gt;1.2,J1559,0)</f>
        <v>2.4000000000000004</v>
      </c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>
        <f>SUM(X1560:X1561)/I1559</f>
        <v>224.86979166666666</v>
      </c>
      <c r="Z1559" s="8"/>
      <c r="AA1559" s="8"/>
      <c r="AB1559" s="8"/>
      <c r="AC1559" s="8"/>
      <c r="AD1559" s="8"/>
      <c r="AE1559" s="8"/>
    </row>
    <row r="1560" spans="1:32" s="10" customFormat="1" ht="19.5" customHeight="1" x14ac:dyDescent="0.25">
      <c r="A1560" s="7"/>
      <c r="B1560" s="8" t="s">
        <v>2</v>
      </c>
      <c r="C1560" s="13" t="s">
        <v>4</v>
      </c>
      <c r="D1560" s="8">
        <v>25</v>
      </c>
      <c r="E1560" s="8"/>
      <c r="F1560" s="8">
        <v>4</v>
      </c>
      <c r="G1560" s="9">
        <f>VLOOKUP(D1560,'[2]Beam '!$C$20:$H$26,3,0)</f>
        <v>1</v>
      </c>
      <c r="H1560" s="9"/>
      <c r="I1560" s="8"/>
      <c r="J1560" s="8"/>
      <c r="K1560" s="8"/>
      <c r="L1560" s="8"/>
      <c r="M1560" s="8"/>
      <c r="N1560" s="8"/>
      <c r="O1560" s="8">
        <f>(E1559+2*(G1560*D1559))</f>
        <v>3.5</v>
      </c>
      <c r="P1560" s="8">
        <f t="shared" ref="P1560:P1566" si="289">O1560*F1560</f>
        <v>14</v>
      </c>
      <c r="Q1560" s="8">
        <f>IF($D1560='[2]Beam '!Q$44,$P1560*'[2]Beam '!Q$45,0)</f>
        <v>0</v>
      </c>
      <c r="R1560" s="8">
        <f>IF($D1560='[2]Beam '!R$44,$P1560*'[2]Beam '!R$45,0)</f>
        <v>0</v>
      </c>
      <c r="S1560" s="8">
        <f>IF($D1560='[2]Beam '!S$44,$P1560*'[2]Beam '!S$45,0)</f>
        <v>0</v>
      </c>
      <c r="T1560" s="8">
        <f>IF($D1560='[2]Beam '!T$44,$P1560*'[2]Beam '!T$45,0)</f>
        <v>0</v>
      </c>
      <c r="U1560" s="8">
        <f>IF($D1560='[2]Beam '!U$44,$P1560*'[2]Beam '!U$45,0)</f>
        <v>0</v>
      </c>
      <c r="V1560" s="8">
        <f>IF($D1560='[2]Beam '!V$44,$P1560*'[2]Beam '!V$45,0)</f>
        <v>53.968750000000007</v>
      </c>
      <c r="W1560" s="8">
        <f>IF($D1560='[2]Beam '!W$44,$P1560*'[2]Beam '!W$45,0)</f>
        <v>0</v>
      </c>
      <c r="X1560" s="8">
        <f t="shared" ref="X1560:X1566" si="290">SUM(Q1560:W1560)</f>
        <v>53.968750000000007</v>
      </c>
      <c r="Y1560" s="8"/>
      <c r="Z1560" s="8"/>
      <c r="AA1560" s="8"/>
      <c r="AB1560" s="8"/>
      <c r="AC1560" s="8"/>
      <c r="AD1560" s="8"/>
      <c r="AE1560" s="8"/>
    </row>
    <row r="1561" spans="1:32" s="10" customFormat="1" ht="20.100000000000001" customHeight="1" x14ac:dyDescent="0.25">
      <c r="A1561" s="7"/>
      <c r="B1561" s="8" t="s">
        <v>2</v>
      </c>
      <c r="C1561" s="13" t="s">
        <v>139</v>
      </c>
      <c r="D1561" s="8">
        <v>25</v>
      </c>
      <c r="E1561" s="8"/>
      <c r="F1561" s="8">
        <v>4</v>
      </c>
      <c r="G1561" s="9">
        <f>VLOOKUP(D1561,'[2]Beam '!$C$20:$H$26,3,0)</f>
        <v>1</v>
      </c>
      <c r="H1561" s="9"/>
      <c r="I1561" s="8"/>
      <c r="J1561" s="8"/>
      <c r="K1561" s="8"/>
      <c r="L1561" s="8"/>
      <c r="M1561" s="8"/>
      <c r="N1561" s="8"/>
      <c r="O1561" s="8">
        <f>(E1559+2*(G1561*D1559))</f>
        <v>3.5</v>
      </c>
      <c r="P1561" s="8">
        <f t="shared" si="289"/>
        <v>14</v>
      </c>
      <c r="Q1561" s="8">
        <f>IF($D1561='[2]Beam '!Q$44,$P1561*'[2]Beam '!Q$45,0)</f>
        <v>0</v>
      </c>
      <c r="R1561" s="8">
        <f>IF($D1561='[2]Beam '!R$44,$P1561*'[2]Beam '!R$45,0)</f>
        <v>0</v>
      </c>
      <c r="S1561" s="8">
        <f>IF($D1561='[2]Beam '!S$44,$P1561*'[2]Beam '!S$45,0)</f>
        <v>0</v>
      </c>
      <c r="T1561" s="8">
        <f>IF($D1561='[2]Beam '!T$44,$P1561*'[2]Beam '!T$45,0)</f>
        <v>0</v>
      </c>
      <c r="U1561" s="8">
        <f>IF($D1561='[2]Beam '!U$44,$P1561*'[2]Beam '!U$45,0)</f>
        <v>0</v>
      </c>
      <c r="V1561" s="8">
        <f>IF($D1561='[2]Beam '!V$44,$P1561*'[2]Beam '!V$45,0)</f>
        <v>53.968750000000007</v>
      </c>
      <c r="W1561" s="8">
        <f>IF($D1561='[2]Beam '!W$44,$P1561*'[2]Beam '!W$45,0)</f>
        <v>0</v>
      </c>
      <c r="X1561" s="8">
        <f t="shared" si="290"/>
        <v>53.968750000000007</v>
      </c>
      <c r="Y1561" s="8"/>
      <c r="Z1561" s="8"/>
      <c r="AA1561" s="8"/>
      <c r="AB1561" s="8"/>
      <c r="AC1561" s="8"/>
      <c r="AD1561" s="8"/>
      <c r="AE1561" s="8"/>
    </row>
    <row r="1562" spans="1:32" s="14" customFormat="1" ht="20.100000000000001" customHeight="1" x14ac:dyDescent="0.3">
      <c r="A1562" s="7"/>
      <c r="B1562" s="8" t="s">
        <v>2</v>
      </c>
      <c r="C1562" s="13" t="s">
        <v>75</v>
      </c>
      <c r="D1562" s="8">
        <v>25</v>
      </c>
      <c r="E1562" s="8"/>
      <c r="F1562" s="8">
        <v>6</v>
      </c>
      <c r="G1562" s="9">
        <f>VLOOKUP(D1562,'[2]Beam '!$C$20:$H$26,3,0)</f>
        <v>1</v>
      </c>
      <c r="H1562" s="9"/>
      <c r="I1562" s="8"/>
      <c r="J1562" s="8"/>
      <c r="K1562" s="8"/>
      <c r="L1562" s="8"/>
      <c r="M1562" s="8"/>
      <c r="N1562" s="8"/>
      <c r="O1562" s="8">
        <f>(E1559+2*(G1562*D1559))</f>
        <v>3.5</v>
      </c>
      <c r="P1562" s="8">
        <f t="shared" si="289"/>
        <v>21</v>
      </c>
      <c r="Q1562" s="8">
        <f>IF($D1562='[2]Beam '!Q$44,$P1562*'[2]Beam '!Q$45,0)</f>
        <v>0</v>
      </c>
      <c r="R1562" s="8">
        <f>IF($D1562='[2]Beam '!R$44,$P1562*'[2]Beam '!R$45,0)</f>
        <v>0</v>
      </c>
      <c r="S1562" s="8">
        <f>IF($D1562='[2]Beam '!S$44,$P1562*'[2]Beam '!S$45,0)</f>
        <v>0</v>
      </c>
      <c r="T1562" s="8">
        <f>IF($D1562='[2]Beam '!T$44,$P1562*'[2]Beam '!T$45,0)</f>
        <v>0</v>
      </c>
      <c r="U1562" s="8">
        <f>IF($D1562='[2]Beam '!U$44,$P1562*'[2]Beam '!U$45,0)</f>
        <v>0</v>
      </c>
      <c r="V1562" s="8">
        <f>IF($D1562='[2]Beam '!V$44,$P1562*'[2]Beam '!V$45,0)</f>
        <v>80.953125000000014</v>
      </c>
      <c r="W1562" s="8">
        <f>IF($D1562='[2]Beam '!W$44,$P1562*'[2]Beam '!W$45,0)</f>
        <v>0</v>
      </c>
      <c r="X1562" s="8">
        <f t="shared" si="290"/>
        <v>80.953125000000014</v>
      </c>
      <c r="Y1562" s="8"/>
    </row>
    <row r="1563" spans="1:32" s="10" customFormat="1" ht="20.100000000000001" customHeight="1" x14ac:dyDescent="0.25">
      <c r="A1563" s="7"/>
      <c r="B1563" s="8" t="s">
        <v>2</v>
      </c>
      <c r="C1563" s="13" t="s">
        <v>88</v>
      </c>
      <c r="D1563" s="8">
        <v>25</v>
      </c>
      <c r="E1563" s="8"/>
      <c r="F1563" s="8">
        <v>6</v>
      </c>
      <c r="G1563" s="9">
        <f>VLOOKUP(D1563,'[2]Beam '!$C$20:$H$26,3,0)</f>
        <v>1</v>
      </c>
      <c r="H1563" s="9"/>
      <c r="I1563" s="8"/>
      <c r="J1563" s="8"/>
      <c r="K1563" s="8"/>
      <c r="L1563" s="8"/>
      <c r="M1563" s="8"/>
      <c r="N1563" s="8"/>
      <c r="O1563" s="8">
        <f>(E1559+2*(G1563*D1559))</f>
        <v>3.5</v>
      </c>
      <c r="P1563" s="8">
        <f t="shared" si="289"/>
        <v>21</v>
      </c>
      <c r="Q1563" s="8">
        <f>IF($D1563='[2]Beam '!Q$44,$P1563*'[2]Beam '!Q$45,0)</f>
        <v>0</v>
      </c>
      <c r="R1563" s="8">
        <f>IF($D1563='[2]Beam '!R$44,$P1563*'[2]Beam '!R$45,0)</f>
        <v>0</v>
      </c>
      <c r="S1563" s="8">
        <f>IF($D1563='[2]Beam '!S$44,$P1563*'[2]Beam '!S$45,0)</f>
        <v>0</v>
      </c>
      <c r="T1563" s="8">
        <f>IF($D1563='[2]Beam '!T$44,$P1563*'[2]Beam '!T$45,0)</f>
        <v>0</v>
      </c>
      <c r="U1563" s="8">
        <f>IF($D1563='[2]Beam '!U$44,$P1563*'[2]Beam '!U$45,0)</f>
        <v>0</v>
      </c>
      <c r="V1563" s="8">
        <f>IF($D1563='[2]Beam '!V$44,$P1563*'[2]Beam '!V$45,0)</f>
        <v>80.953125000000014</v>
      </c>
      <c r="W1563" s="8">
        <f>IF($D1563='[2]Beam '!W$44,$P1563*'[2]Beam '!W$45,0)</f>
        <v>0</v>
      </c>
      <c r="X1563" s="8">
        <f t="shared" si="290"/>
        <v>80.953125000000014</v>
      </c>
      <c r="Y1563" s="8"/>
      <c r="Z1563" s="8"/>
      <c r="AA1563" s="8"/>
      <c r="AB1563" s="8"/>
      <c r="AC1563" s="8"/>
      <c r="AD1563" s="8"/>
      <c r="AE1563" s="8"/>
    </row>
    <row r="1564" spans="1:32" s="10" customFormat="1" ht="21" customHeight="1" x14ac:dyDescent="0.25">
      <c r="A1564" s="7"/>
      <c r="B1564" s="8" t="s">
        <v>2</v>
      </c>
      <c r="C1564" s="13" t="s">
        <v>8</v>
      </c>
      <c r="D1564" s="8">
        <v>12</v>
      </c>
      <c r="E1564" s="8">
        <v>0.1</v>
      </c>
      <c r="F1564" s="8">
        <f>ROUNDUP(E1559/E1564,0)</f>
        <v>15</v>
      </c>
      <c r="H1564" s="8"/>
      <c r="I1564" s="8"/>
      <c r="J1564" s="8"/>
      <c r="K1564" s="8"/>
      <c r="L1564" s="8"/>
      <c r="M1564" s="8"/>
      <c r="N1564" s="8"/>
      <c r="O1564" s="8">
        <f>(2*((G1559-(2*'[2]Beam '!$D$11))+(F1559-(2*'[2]Beam '!$D$11)))+(2*10*D1564/1000))*D1559</f>
        <v>2.4000000000000004</v>
      </c>
      <c r="P1564" s="8">
        <f t="shared" si="289"/>
        <v>36.000000000000007</v>
      </c>
      <c r="Q1564" s="8">
        <f>IF($D1564='[2]Beam '!Q$44,$P1564*'[2]Beam '!Q$45,0)</f>
        <v>0</v>
      </c>
      <c r="R1564" s="8">
        <f>IF($D1564='[2]Beam '!R$44,$P1564*'[2]Beam '!R$45,0)</f>
        <v>0</v>
      </c>
      <c r="S1564" s="8">
        <f>IF($D1564='[2]Beam '!S$44,$P1564*'[2]Beam '!S$45,0)</f>
        <v>31.974171428571442</v>
      </c>
      <c r="T1564" s="8">
        <f>IF($D1564='[2]Beam '!T$44,$P1564*'[2]Beam '!T$45,0)</f>
        <v>0</v>
      </c>
      <c r="U1564" s="8">
        <f>IF($D1564='[2]Beam '!U$44,$P1564*'[2]Beam '!U$45,0)</f>
        <v>0</v>
      </c>
      <c r="V1564" s="8">
        <f>IF($D1564='[2]Beam '!V$44,$P1564*'[2]Beam '!V$45,0)</f>
        <v>0</v>
      </c>
      <c r="W1564" s="8">
        <f>IF($D1564='[2]Beam '!W$44,$P1564*'[2]Beam '!W$45,0)</f>
        <v>0</v>
      </c>
      <c r="X1564" s="8">
        <f t="shared" si="290"/>
        <v>31.974171428571442</v>
      </c>
      <c r="Y1564" s="8"/>
      <c r="Z1564" s="8"/>
      <c r="AA1564" s="8"/>
      <c r="AB1564" s="8"/>
      <c r="AC1564" s="8"/>
      <c r="AD1564" s="8"/>
      <c r="AE1564" s="8"/>
      <c r="AF1564" s="8"/>
    </row>
    <row r="1565" spans="1:32" s="10" customFormat="1" ht="20.100000000000001" customHeight="1" x14ac:dyDescent="0.25">
      <c r="A1565" s="14"/>
      <c r="B1565" s="8" t="s">
        <v>2</v>
      </c>
      <c r="C1565" s="13" t="s">
        <v>9</v>
      </c>
      <c r="D1565" s="8">
        <f>+D1564</f>
        <v>12</v>
      </c>
      <c r="E1565" s="14">
        <f>+E1564</f>
        <v>0.1</v>
      </c>
      <c r="F1565" s="8">
        <f>ROUNDUP(E1559/E1565,0)</f>
        <v>15</v>
      </c>
      <c r="H1565" s="14"/>
      <c r="I1565" s="14"/>
      <c r="J1565" s="14"/>
      <c r="K1565" s="14"/>
      <c r="L1565" s="14"/>
      <c r="M1565" s="14"/>
      <c r="N1565" s="14"/>
      <c r="O1565" s="8">
        <f>((((G1559-(2*'[2]Beam '!$D$11))+(2*10*D1565/1000))*D1559))*2</f>
        <v>1.96</v>
      </c>
      <c r="P1565" s="8">
        <f t="shared" si="289"/>
        <v>29.4</v>
      </c>
      <c r="Q1565" s="8">
        <f>IF($D1565='[2]Beam '!Q$44,$P1565*'[2]Beam '!Q$45,0)</f>
        <v>0</v>
      </c>
      <c r="R1565" s="8">
        <f>IF($D1565='[2]Beam '!R$44,$P1565*'[2]Beam '!R$45,0)</f>
        <v>0</v>
      </c>
      <c r="S1565" s="8">
        <f>IF($D1565='[2]Beam '!S$44,$P1565*'[2]Beam '!S$45,0)</f>
        <v>26.112240000000003</v>
      </c>
      <c r="T1565" s="8">
        <f>IF($D1565='[2]Beam '!T$44,$P1565*'[2]Beam '!T$45,0)</f>
        <v>0</v>
      </c>
      <c r="U1565" s="8">
        <f>IF($D1565='[2]Beam '!U$44,$P1565*'[2]Beam '!U$45,0)</f>
        <v>0</v>
      </c>
      <c r="V1565" s="8">
        <f>IF($D1565='[2]Beam '!V$44,$P1565*'[2]Beam '!V$45,0)</f>
        <v>0</v>
      </c>
      <c r="W1565" s="8">
        <f>IF($D1565='[2]Beam '!W$44,$P1565*'[2]Beam '!W$45,0)</f>
        <v>0</v>
      </c>
      <c r="X1565" s="8">
        <f t="shared" si="290"/>
        <v>26.112240000000003</v>
      </c>
      <c r="Y1565" s="14"/>
      <c r="Z1565" s="8"/>
      <c r="AA1565" s="8"/>
      <c r="AB1565" s="8"/>
      <c r="AC1565" s="8"/>
      <c r="AD1565" s="8"/>
      <c r="AE1565" s="8"/>
    </row>
    <row r="1566" spans="1:32" s="10" customFormat="1" ht="20.100000000000001" customHeight="1" x14ac:dyDescent="0.25">
      <c r="A1566" s="7"/>
      <c r="B1566" s="8" t="s">
        <v>2</v>
      </c>
      <c r="C1566" s="13" t="s">
        <v>10</v>
      </c>
      <c r="D1566" s="8">
        <f>+'[2]Beam '!$D$15</f>
        <v>25</v>
      </c>
      <c r="E1566" s="8">
        <f>+'[2]Beam '!$E$15</f>
        <v>1</v>
      </c>
      <c r="F1566" s="8">
        <f>ROUNDUP((E1559)/E1566,0)</f>
        <v>2</v>
      </c>
      <c r="G1566" s="9"/>
      <c r="H1566" s="9"/>
      <c r="I1566" s="8"/>
      <c r="J1566" s="8"/>
      <c r="K1566" s="8"/>
      <c r="L1566" s="8"/>
      <c r="M1566" s="8"/>
      <c r="N1566" s="8"/>
      <c r="O1566" s="8">
        <f>F1559-'[2]Beam '!$F$15</f>
        <v>0.34</v>
      </c>
      <c r="P1566" s="8">
        <f t="shared" si="289"/>
        <v>0.68</v>
      </c>
      <c r="Q1566" s="8">
        <f>IF($D1566='[2]Beam '!Q$44,$P1566*'[2]Beam '!Q$45,0)</f>
        <v>0</v>
      </c>
      <c r="R1566" s="8">
        <f>IF($D1566='[2]Beam '!R$44,$P1566*'[2]Beam '!R$45,0)</f>
        <v>0</v>
      </c>
      <c r="S1566" s="8">
        <f>IF($D1566='[2]Beam '!S$44,$P1566*'[2]Beam '!S$45,0)</f>
        <v>0</v>
      </c>
      <c r="T1566" s="8">
        <f>IF($D1566='[2]Beam '!T$44,$P1566*'[2]Beam '!T$45,0)</f>
        <v>0</v>
      </c>
      <c r="U1566" s="8">
        <f>IF($D1566='[2]Beam '!U$44,$P1566*'[2]Beam '!U$45,0)</f>
        <v>0</v>
      </c>
      <c r="V1566" s="8">
        <f>IF($D1566='[2]Beam '!V$44,$P1566*'[2]Beam '!V$45,0)</f>
        <v>2.6213392857142863</v>
      </c>
      <c r="W1566" s="8">
        <f>IF($D1566='[2]Beam '!W$44,$P1566*'[2]Beam '!W$45,0)</f>
        <v>0</v>
      </c>
      <c r="X1566" s="8">
        <f t="shared" si="290"/>
        <v>2.6213392857142863</v>
      </c>
      <c r="Y1566" s="8"/>
      <c r="Z1566" s="8"/>
      <c r="AA1566" s="8"/>
      <c r="AB1566" s="8"/>
      <c r="AC1566" s="8"/>
      <c r="AD1566" s="8"/>
      <c r="AE1566" s="8"/>
    </row>
    <row r="1567" spans="1:32" s="10" customFormat="1" ht="20.100000000000001" customHeight="1" x14ac:dyDescent="0.25">
      <c r="A1567" s="8">
        <v>1</v>
      </c>
      <c r="B1567" s="8" t="s">
        <v>2</v>
      </c>
      <c r="C1567" s="11" t="s">
        <v>208</v>
      </c>
      <c r="D1567" s="11">
        <v>1</v>
      </c>
      <c r="E1567" s="11">
        <v>1.5</v>
      </c>
      <c r="F1567" s="11">
        <v>0.4</v>
      </c>
      <c r="G1567" s="11">
        <v>0.8</v>
      </c>
      <c r="H1567" s="8">
        <f>G1567-0.2</f>
        <v>0.60000000000000009</v>
      </c>
      <c r="I1567" s="8">
        <f>E1567*F1567*G1567*D1567</f>
        <v>0.48000000000000009</v>
      </c>
      <c r="J1567" s="8">
        <f>(2*(E1567)*H1567*D1567)+(E1567*F1567)</f>
        <v>2.4000000000000004</v>
      </c>
      <c r="K1567" s="12">
        <f>IF(E1567=0.3,J1567,0)</f>
        <v>0</v>
      </c>
      <c r="L1567" s="12">
        <f>IF(AND(E1567&gt;0.3,E1567&lt;=0.75),J1567,0)</f>
        <v>0</v>
      </c>
      <c r="M1567" s="12">
        <f>IF(AND(E1567&gt;0.75,E1567&lt;=1.2),J1567,0)</f>
        <v>0</v>
      </c>
      <c r="N1567" s="12">
        <f>IF(E1567&gt;1.2,J1567,0)</f>
        <v>2.4000000000000004</v>
      </c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>
        <f>SUM(X1568:X1569)/I1567</f>
        <v>224.86979166666666</v>
      </c>
      <c r="Z1567" s="8"/>
      <c r="AA1567" s="8"/>
      <c r="AB1567" s="8"/>
      <c r="AC1567" s="8"/>
      <c r="AD1567" s="8"/>
      <c r="AE1567" s="8"/>
    </row>
    <row r="1568" spans="1:32" s="10" customFormat="1" ht="19.5" customHeight="1" x14ac:dyDescent="0.25">
      <c r="A1568" s="7"/>
      <c r="B1568" s="8" t="s">
        <v>2</v>
      </c>
      <c r="C1568" s="13" t="s">
        <v>4</v>
      </c>
      <c r="D1568" s="8">
        <v>25</v>
      </c>
      <c r="E1568" s="8"/>
      <c r="F1568" s="8">
        <v>4</v>
      </c>
      <c r="G1568" s="9">
        <f>VLOOKUP(D1568,'[2]Beam '!$C$20:$H$26,3,0)</f>
        <v>1</v>
      </c>
      <c r="H1568" s="9"/>
      <c r="I1568" s="8"/>
      <c r="J1568" s="8"/>
      <c r="K1568" s="8"/>
      <c r="L1568" s="8"/>
      <c r="M1568" s="8"/>
      <c r="N1568" s="8"/>
      <c r="O1568" s="8">
        <f>(E1567+2*(G1568*D1567))</f>
        <v>3.5</v>
      </c>
      <c r="P1568" s="8">
        <f t="shared" ref="P1568:P1574" si="291">O1568*F1568</f>
        <v>14</v>
      </c>
      <c r="Q1568" s="8">
        <f>IF($D1568='[2]Beam '!Q$44,$P1568*'[2]Beam '!Q$45,0)</f>
        <v>0</v>
      </c>
      <c r="R1568" s="8">
        <f>IF($D1568='[2]Beam '!R$44,$P1568*'[2]Beam '!R$45,0)</f>
        <v>0</v>
      </c>
      <c r="S1568" s="8">
        <f>IF($D1568='[2]Beam '!S$44,$P1568*'[2]Beam '!S$45,0)</f>
        <v>0</v>
      </c>
      <c r="T1568" s="8">
        <f>IF($D1568='[2]Beam '!T$44,$P1568*'[2]Beam '!T$45,0)</f>
        <v>0</v>
      </c>
      <c r="U1568" s="8">
        <f>IF($D1568='[2]Beam '!U$44,$P1568*'[2]Beam '!U$45,0)</f>
        <v>0</v>
      </c>
      <c r="V1568" s="8">
        <f>IF($D1568='[2]Beam '!V$44,$P1568*'[2]Beam '!V$45,0)</f>
        <v>53.968750000000007</v>
      </c>
      <c r="W1568" s="8">
        <f>IF($D1568='[2]Beam '!W$44,$P1568*'[2]Beam '!W$45,0)</f>
        <v>0</v>
      </c>
      <c r="X1568" s="8">
        <f t="shared" ref="X1568:X1574" si="292">SUM(Q1568:W1568)</f>
        <v>53.968750000000007</v>
      </c>
      <c r="Y1568" s="8"/>
      <c r="Z1568" s="8"/>
      <c r="AA1568" s="8"/>
      <c r="AB1568" s="8"/>
      <c r="AC1568" s="8"/>
      <c r="AD1568" s="8"/>
      <c r="AE1568" s="8"/>
    </row>
    <row r="1569" spans="1:32" s="10" customFormat="1" ht="19.5" customHeight="1" x14ac:dyDescent="0.25">
      <c r="A1569" s="7"/>
      <c r="B1569" s="8" t="s">
        <v>2</v>
      </c>
      <c r="C1569" s="13" t="s">
        <v>139</v>
      </c>
      <c r="D1569" s="8">
        <v>25</v>
      </c>
      <c r="E1569" s="8"/>
      <c r="F1569" s="8">
        <v>4</v>
      </c>
      <c r="G1569" s="9">
        <f>VLOOKUP(D1569,'[2]Beam '!$C$20:$H$26,3,0)</f>
        <v>1</v>
      </c>
      <c r="H1569" s="9"/>
      <c r="I1569" s="8"/>
      <c r="J1569" s="8"/>
      <c r="K1569" s="8"/>
      <c r="L1569" s="8"/>
      <c r="M1569" s="8"/>
      <c r="N1569" s="8"/>
      <c r="O1569" s="8">
        <f>(E1567+2*(G1569*D1567))</f>
        <v>3.5</v>
      </c>
      <c r="P1569" s="8">
        <f t="shared" si="291"/>
        <v>14</v>
      </c>
      <c r="Q1569" s="8">
        <f>IF($D1569='[2]Beam '!Q$44,$P1569*'[2]Beam '!Q$45,0)</f>
        <v>0</v>
      </c>
      <c r="R1569" s="8">
        <f>IF($D1569='[2]Beam '!R$44,$P1569*'[2]Beam '!R$45,0)</f>
        <v>0</v>
      </c>
      <c r="S1569" s="8">
        <f>IF($D1569='[2]Beam '!S$44,$P1569*'[2]Beam '!S$45,0)</f>
        <v>0</v>
      </c>
      <c r="T1569" s="8">
        <f>IF($D1569='[2]Beam '!T$44,$P1569*'[2]Beam '!T$45,0)</f>
        <v>0</v>
      </c>
      <c r="U1569" s="8">
        <f>IF($D1569='[2]Beam '!U$44,$P1569*'[2]Beam '!U$45,0)</f>
        <v>0</v>
      </c>
      <c r="V1569" s="8">
        <f>IF($D1569='[2]Beam '!V$44,$P1569*'[2]Beam '!V$45,0)</f>
        <v>53.968750000000007</v>
      </c>
      <c r="W1569" s="8">
        <f>IF($D1569='[2]Beam '!W$44,$P1569*'[2]Beam '!W$45,0)</f>
        <v>0</v>
      </c>
      <c r="X1569" s="8">
        <f t="shared" si="292"/>
        <v>53.968750000000007</v>
      </c>
      <c r="Y1569" s="8"/>
      <c r="Z1569" s="8"/>
      <c r="AA1569" s="8"/>
      <c r="AB1569" s="8"/>
      <c r="AC1569" s="8"/>
      <c r="AD1569" s="8"/>
      <c r="AE1569" s="8"/>
    </row>
    <row r="1570" spans="1:32" s="14" customFormat="1" ht="20.100000000000001" customHeight="1" x14ac:dyDescent="0.3">
      <c r="A1570" s="7"/>
      <c r="B1570" s="8" t="s">
        <v>2</v>
      </c>
      <c r="C1570" s="13" t="s">
        <v>75</v>
      </c>
      <c r="D1570" s="8">
        <v>25</v>
      </c>
      <c r="E1570" s="8"/>
      <c r="F1570" s="8">
        <v>6</v>
      </c>
      <c r="G1570" s="9">
        <f>VLOOKUP(D1570,'[2]Beam '!$C$20:$H$26,3,0)</f>
        <v>1</v>
      </c>
      <c r="H1570" s="9"/>
      <c r="I1570" s="8"/>
      <c r="J1570" s="8"/>
      <c r="K1570" s="8"/>
      <c r="L1570" s="8"/>
      <c r="M1570" s="8"/>
      <c r="N1570" s="8"/>
      <c r="O1570" s="8">
        <f>(E1567+2*(G1570*D1567))</f>
        <v>3.5</v>
      </c>
      <c r="P1570" s="8">
        <f t="shared" si="291"/>
        <v>21</v>
      </c>
      <c r="Q1570" s="8">
        <f>IF($D1570='[2]Beam '!Q$44,$P1570*'[2]Beam '!Q$45,0)</f>
        <v>0</v>
      </c>
      <c r="R1570" s="8">
        <f>IF($D1570='[2]Beam '!R$44,$P1570*'[2]Beam '!R$45,0)</f>
        <v>0</v>
      </c>
      <c r="S1570" s="8">
        <f>IF($D1570='[2]Beam '!S$44,$P1570*'[2]Beam '!S$45,0)</f>
        <v>0</v>
      </c>
      <c r="T1570" s="8">
        <f>IF($D1570='[2]Beam '!T$44,$P1570*'[2]Beam '!T$45,0)</f>
        <v>0</v>
      </c>
      <c r="U1570" s="8">
        <f>IF($D1570='[2]Beam '!U$44,$P1570*'[2]Beam '!U$45,0)</f>
        <v>0</v>
      </c>
      <c r="V1570" s="8">
        <f>IF($D1570='[2]Beam '!V$44,$P1570*'[2]Beam '!V$45,0)</f>
        <v>80.953125000000014</v>
      </c>
      <c r="W1570" s="8">
        <f>IF($D1570='[2]Beam '!W$44,$P1570*'[2]Beam '!W$45,0)</f>
        <v>0</v>
      </c>
      <c r="X1570" s="8">
        <f t="shared" si="292"/>
        <v>80.953125000000014</v>
      </c>
      <c r="Y1570" s="8"/>
    </row>
    <row r="1571" spans="1:32" s="10" customFormat="1" ht="20.100000000000001" customHeight="1" x14ac:dyDescent="0.25">
      <c r="A1571" s="7"/>
      <c r="B1571" s="8" t="s">
        <v>2</v>
      </c>
      <c r="C1571" s="13" t="s">
        <v>88</v>
      </c>
      <c r="D1571" s="8">
        <v>25</v>
      </c>
      <c r="E1571" s="8"/>
      <c r="F1571" s="8">
        <v>6</v>
      </c>
      <c r="G1571" s="9">
        <f>VLOOKUP(D1571,'[2]Beam '!$C$20:$H$26,3,0)</f>
        <v>1</v>
      </c>
      <c r="H1571" s="9"/>
      <c r="I1571" s="8"/>
      <c r="J1571" s="8"/>
      <c r="K1571" s="8"/>
      <c r="L1571" s="8"/>
      <c r="M1571" s="8"/>
      <c r="N1571" s="8"/>
      <c r="O1571" s="8">
        <f>(E1567+2*(G1571*D1567))</f>
        <v>3.5</v>
      </c>
      <c r="P1571" s="8">
        <f t="shared" si="291"/>
        <v>21</v>
      </c>
      <c r="Q1571" s="8">
        <f>IF($D1571='[2]Beam '!Q$44,$P1571*'[2]Beam '!Q$45,0)</f>
        <v>0</v>
      </c>
      <c r="R1571" s="8">
        <f>IF($D1571='[2]Beam '!R$44,$P1571*'[2]Beam '!R$45,0)</f>
        <v>0</v>
      </c>
      <c r="S1571" s="8">
        <f>IF($D1571='[2]Beam '!S$44,$P1571*'[2]Beam '!S$45,0)</f>
        <v>0</v>
      </c>
      <c r="T1571" s="8">
        <f>IF($D1571='[2]Beam '!T$44,$P1571*'[2]Beam '!T$45,0)</f>
        <v>0</v>
      </c>
      <c r="U1571" s="8">
        <f>IF($D1571='[2]Beam '!U$44,$P1571*'[2]Beam '!U$45,0)</f>
        <v>0</v>
      </c>
      <c r="V1571" s="8">
        <f>IF($D1571='[2]Beam '!V$44,$P1571*'[2]Beam '!V$45,0)</f>
        <v>80.953125000000014</v>
      </c>
      <c r="W1571" s="8">
        <f>IF($D1571='[2]Beam '!W$44,$P1571*'[2]Beam '!W$45,0)</f>
        <v>0</v>
      </c>
      <c r="X1571" s="8">
        <f t="shared" si="292"/>
        <v>80.953125000000014</v>
      </c>
      <c r="Y1571" s="8"/>
      <c r="Z1571" s="8"/>
      <c r="AA1571" s="8"/>
      <c r="AB1571" s="8"/>
      <c r="AC1571" s="8"/>
      <c r="AD1571" s="8"/>
      <c r="AE1571" s="8"/>
    </row>
    <row r="1572" spans="1:32" s="10" customFormat="1" ht="21" customHeight="1" x14ac:dyDescent="0.25">
      <c r="A1572" s="7"/>
      <c r="B1572" s="8" t="s">
        <v>2</v>
      </c>
      <c r="C1572" s="13" t="s">
        <v>8</v>
      </c>
      <c r="D1572" s="8">
        <v>12</v>
      </c>
      <c r="E1572" s="8">
        <v>0.1</v>
      </c>
      <c r="F1572" s="8">
        <f>ROUNDUP(E1567/E1572,0)</f>
        <v>15</v>
      </c>
      <c r="H1572" s="8"/>
      <c r="I1572" s="8"/>
      <c r="J1572" s="8"/>
      <c r="K1572" s="8"/>
      <c r="L1572" s="8"/>
      <c r="M1572" s="8"/>
      <c r="N1572" s="8"/>
      <c r="O1572" s="8">
        <f>(2*((G1567-(2*'[2]Beam '!$D$11))+(F1567-(2*'[2]Beam '!$D$11)))+(2*10*D1572/1000))*D1567</f>
        <v>2.4000000000000004</v>
      </c>
      <c r="P1572" s="8">
        <f t="shared" si="291"/>
        <v>36.000000000000007</v>
      </c>
      <c r="Q1572" s="8">
        <f>IF($D1572='[2]Beam '!Q$44,$P1572*'[2]Beam '!Q$45,0)</f>
        <v>0</v>
      </c>
      <c r="R1572" s="8">
        <f>IF($D1572='[2]Beam '!R$44,$P1572*'[2]Beam '!R$45,0)</f>
        <v>0</v>
      </c>
      <c r="S1572" s="8">
        <f>IF($D1572='[2]Beam '!S$44,$P1572*'[2]Beam '!S$45,0)</f>
        <v>31.974171428571442</v>
      </c>
      <c r="T1572" s="8">
        <f>IF($D1572='[2]Beam '!T$44,$P1572*'[2]Beam '!T$45,0)</f>
        <v>0</v>
      </c>
      <c r="U1572" s="8">
        <f>IF($D1572='[2]Beam '!U$44,$P1572*'[2]Beam '!U$45,0)</f>
        <v>0</v>
      </c>
      <c r="V1572" s="8">
        <f>IF($D1572='[2]Beam '!V$44,$P1572*'[2]Beam '!V$45,0)</f>
        <v>0</v>
      </c>
      <c r="W1572" s="8">
        <f>IF($D1572='[2]Beam '!W$44,$P1572*'[2]Beam '!W$45,0)</f>
        <v>0</v>
      </c>
      <c r="X1572" s="8">
        <f t="shared" si="292"/>
        <v>31.974171428571442</v>
      </c>
      <c r="Y1572" s="8"/>
      <c r="Z1572" s="8"/>
      <c r="AA1572" s="8"/>
      <c r="AB1572" s="8"/>
      <c r="AC1572" s="8"/>
      <c r="AD1572" s="8"/>
      <c r="AE1572" s="8"/>
      <c r="AF1572" s="8"/>
    </row>
    <row r="1573" spans="1:32" s="10" customFormat="1" ht="20.100000000000001" customHeight="1" x14ac:dyDescent="0.25">
      <c r="A1573" s="14"/>
      <c r="B1573" s="8" t="s">
        <v>2</v>
      </c>
      <c r="C1573" s="13" t="s">
        <v>9</v>
      </c>
      <c r="D1573" s="8">
        <f>+D1572</f>
        <v>12</v>
      </c>
      <c r="E1573" s="14">
        <f>+E1572</f>
        <v>0.1</v>
      </c>
      <c r="F1573" s="8">
        <f>ROUNDUP(E1567/E1573,0)</f>
        <v>15</v>
      </c>
      <c r="H1573" s="14"/>
      <c r="I1573" s="14"/>
      <c r="J1573" s="14"/>
      <c r="K1573" s="14"/>
      <c r="L1573" s="14"/>
      <c r="M1573" s="14"/>
      <c r="N1573" s="14"/>
      <c r="O1573" s="8">
        <f>((((G1567-(2*'[2]Beam '!$D$11))+(2*10*D1573/1000))*D1567))*2</f>
        <v>1.96</v>
      </c>
      <c r="P1573" s="8">
        <f t="shared" si="291"/>
        <v>29.4</v>
      </c>
      <c r="Q1573" s="8">
        <f>IF($D1573='[2]Beam '!Q$44,$P1573*'[2]Beam '!Q$45,0)</f>
        <v>0</v>
      </c>
      <c r="R1573" s="8">
        <f>IF($D1573='[2]Beam '!R$44,$P1573*'[2]Beam '!R$45,0)</f>
        <v>0</v>
      </c>
      <c r="S1573" s="8">
        <f>IF($D1573='[2]Beam '!S$44,$P1573*'[2]Beam '!S$45,0)</f>
        <v>26.112240000000003</v>
      </c>
      <c r="T1573" s="8">
        <f>IF($D1573='[2]Beam '!T$44,$P1573*'[2]Beam '!T$45,0)</f>
        <v>0</v>
      </c>
      <c r="U1573" s="8">
        <f>IF($D1573='[2]Beam '!U$44,$P1573*'[2]Beam '!U$45,0)</f>
        <v>0</v>
      </c>
      <c r="V1573" s="8">
        <f>IF($D1573='[2]Beam '!V$44,$P1573*'[2]Beam '!V$45,0)</f>
        <v>0</v>
      </c>
      <c r="W1573" s="8">
        <f>IF($D1573='[2]Beam '!W$44,$P1573*'[2]Beam '!W$45,0)</f>
        <v>0</v>
      </c>
      <c r="X1573" s="8">
        <f t="shared" si="292"/>
        <v>26.112240000000003</v>
      </c>
      <c r="Y1573" s="14"/>
      <c r="Z1573" s="8"/>
      <c r="AA1573" s="8"/>
      <c r="AB1573" s="8"/>
      <c r="AC1573" s="8"/>
      <c r="AD1573" s="8"/>
      <c r="AE1573" s="8"/>
    </row>
    <row r="1574" spans="1:32" s="10" customFormat="1" ht="20.100000000000001" customHeight="1" x14ac:dyDescent="0.25">
      <c r="A1574" s="7"/>
      <c r="B1574" s="8" t="s">
        <v>2</v>
      </c>
      <c r="C1574" s="13" t="s">
        <v>10</v>
      </c>
      <c r="D1574" s="8">
        <f>+'[2]Beam '!$D$15</f>
        <v>25</v>
      </c>
      <c r="E1574" s="8">
        <f>+'[2]Beam '!$E$15</f>
        <v>1</v>
      </c>
      <c r="F1574" s="8">
        <f>ROUNDUP((E1567)/E1574,0)</f>
        <v>2</v>
      </c>
      <c r="G1574" s="9"/>
      <c r="H1574" s="9"/>
      <c r="I1574" s="8"/>
      <c r="J1574" s="8"/>
      <c r="K1574" s="8"/>
      <c r="L1574" s="8"/>
      <c r="M1574" s="8"/>
      <c r="N1574" s="8"/>
      <c r="O1574" s="8">
        <f>F1567-'[2]Beam '!$F$15</f>
        <v>0.34</v>
      </c>
      <c r="P1574" s="8">
        <f t="shared" si="291"/>
        <v>0.68</v>
      </c>
      <c r="Q1574" s="8">
        <f>IF($D1574='[2]Beam '!Q$44,$P1574*'[2]Beam '!Q$45,0)</f>
        <v>0</v>
      </c>
      <c r="R1574" s="8">
        <f>IF($D1574='[2]Beam '!R$44,$P1574*'[2]Beam '!R$45,0)</f>
        <v>0</v>
      </c>
      <c r="S1574" s="8">
        <f>IF($D1574='[2]Beam '!S$44,$P1574*'[2]Beam '!S$45,0)</f>
        <v>0</v>
      </c>
      <c r="T1574" s="8">
        <f>IF($D1574='[2]Beam '!T$44,$P1574*'[2]Beam '!T$45,0)</f>
        <v>0</v>
      </c>
      <c r="U1574" s="8">
        <f>IF($D1574='[2]Beam '!U$44,$P1574*'[2]Beam '!U$45,0)</f>
        <v>0</v>
      </c>
      <c r="V1574" s="8">
        <f>IF($D1574='[2]Beam '!V$44,$P1574*'[2]Beam '!V$45,0)</f>
        <v>2.6213392857142863</v>
      </c>
      <c r="W1574" s="8">
        <f>IF($D1574='[2]Beam '!W$44,$P1574*'[2]Beam '!W$45,0)</f>
        <v>0</v>
      </c>
      <c r="X1574" s="8">
        <f t="shared" si="292"/>
        <v>2.6213392857142863</v>
      </c>
      <c r="Y1574" s="8"/>
      <c r="Z1574" s="8"/>
      <c r="AA1574" s="8"/>
      <c r="AB1574" s="8"/>
      <c r="AC1574" s="8"/>
      <c r="AD1574" s="8"/>
      <c r="AE1574" s="8"/>
    </row>
    <row r="1575" spans="1:32" s="10" customFormat="1" ht="19.5" customHeight="1" x14ac:dyDescent="0.25">
      <c r="A1575" s="8">
        <v>1</v>
      </c>
      <c r="B1575" s="8" t="s">
        <v>2</v>
      </c>
      <c r="C1575" s="11" t="s">
        <v>209</v>
      </c>
      <c r="D1575" s="11">
        <v>1</v>
      </c>
      <c r="E1575" s="11">
        <v>2.97</v>
      </c>
      <c r="F1575" s="11">
        <v>0.4</v>
      </c>
      <c r="G1575" s="11">
        <v>1.1000000000000001</v>
      </c>
      <c r="H1575" s="8">
        <f>G1575-0.2</f>
        <v>0.90000000000000013</v>
      </c>
      <c r="I1575" s="8">
        <f>E1575*F1575*G1575*D1575</f>
        <v>1.3068000000000002</v>
      </c>
      <c r="J1575" s="8">
        <f>(2*(E1575)*H1575*D1575)+(E1575*F1575)</f>
        <v>6.5340000000000007</v>
      </c>
      <c r="K1575" s="12">
        <f>IF(E1575=0.3,J1575,0)</f>
        <v>0</v>
      </c>
      <c r="L1575" s="12">
        <f>IF(AND(E1575&gt;0.3,E1575&lt;=0.75),J1575,0)</f>
        <v>0</v>
      </c>
      <c r="M1575" s="12">
        <f>IF(AND(E1575&gt;0.75,E1575&lt;=1.2),J1575,0)</f>
        <v>0</v>
      </c>
      <c r="N1575" s="12">
        <f>IF(E1575&gt;1.2,J1575,0)</f>
        <v>6.5340000000000007</v>
      </c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>
        <f>SUM(X1576:X1577)/I1575</f>
        <v>106.07789201539201</v>
      </c>
      <c r="Z1575" s="8"/>
      <c r="AA1575" s="8"/>
      <c r="AB1575" s="8"/>
      <c r="AC1575" s="8"/>
      <c r="AD1575" s="8"/>
      <c r="AE1575" s="8"/>
    </row>
    <row r="1576" spans="1:32" s="14" customFormat="1" ht="20.100000000000001" customHeight="1" x14ac:dyDescent="0.3">
      <c r="A1576" s="7"/>
      <c r="B1576" s="8" t="s">
        <v>2</v>
      </c>
      <c r="C1576" s="13" t="s">
        <v>4</v>
      </c>
      <c r="D1576" s="8">
        <v>25</v>
      </c>
      <c r="E1576" s="8"/>
      <c r="F1576" s="8">
        <v>4</v>
      </c>
      <c r="G1576" s="9">
        <f>VLOOKUP(D1576,'[2]Beam '!$C$20:$H$26,3,0)</f>
        <v>1</v>
      </c>
      <c r="H1576" s="9"/>
      <c r="I1576" s="8"/>
      <c r="J1576" s="8"/>
      <c r="K1576" s="8"/>
      <c r="L1576" s="8"/>
      <c r="M1576" s="8"/>
      <c r="N1576" s="8"/>
      <c r="O1576" s="8">
        <f>(E1575+1*(G1576+(12*D1576/1000))+1*(0.45/2)*D1575)</f>
        <v>4.4950000000000001</v>
      </c>
      <c r="P1576" s="8">
        <f>O1576*F1576</f>
        <v>17.98</v>
      </c>
      <c r="Q1576" s="8">
        <f>IF($D1576='[2]Beam '!Q$44,$P1576*'[2]Beam '!Q$45,0)</f>
        <v>0</v>
      </c>
      <c r="R1576" s="8">
        <f>IF($D1576='[2]Beam '!R$44,$P1576*'[2]Beam '!R$45,0)</f>
        <v>0</v>
      </c>
      <c r="S1576" s="8">
        <f>IF($D1576='[2]Beam '!S$44,$P1576*'[2]Beam '!S$45,0)</f>
        <v>0</v>
      </c>
      <c r="T1576" s="8">
        <f>IF($D1576='[2]Beam '!T$44,$P1576*'[2]Beam '!T$45,0)</f>
        <v>0</v>
      </c>
      <c r="U1576" s="8">
        <f>IF($D1576='[2]Beam '!U$44,$P1576*'[2]Beam '!U$45,0)</f>
        <v>0</v>
      </c>
      <c r="V1576" s="8">
        <f>IF($D1576='[2]Beam '!V$44,$P1576*'[2]Beam '!V$45,0)</f>
        <v>69.311294642857149</v>
      </c>
      <c r="W1576" s="8">
        <f>IF($D1576='[2]Beam '!W$44,$P1576*'[2]Beam '!W$45,0)</f>
        <v>0</v>
      </c>
      <c r="X1576" s="8">
        <f>SUM(Q1576:W1576)</f>
        <v>69.311294642857149</v>
      </c>
      <c r="Y1576" s="8"/>
    </row>
    <row r="1577" spans="1:32" s="10" customFormat="1" ht="20.100000000000001" customHeight="1" x14ac:dyDescent="0.25">
      <c r="A1577" s="7"/>
      <c r="B1577" s="8" t="s">
        <v>2</v>
      </c>
      <c r="C1577" s="13" t="s">
        <v>139</v>
      </c>
      <c r="D1577" s="8">
        <v>25</v>
      </c>
      <c r="E1577" s="8"/>
      <c r="F1577" s="8">
        <v>4</v>
      </c>
      <c r="G1577" s="9">
        <f>VLOOKUP(D1577,'[2]Beam '!$C$20:$H$26,3,0)</f>
        <v>1</v>
      </c>
      <c r="H1577" s="9"/>
      <c r="I1577" s="8"/>
      <c r="J1577" s="8"/>
      <c r="K1577" s="8"/>
      <c r="L1577" s="8"/>
      <c r="M1577" s="8"/>
      <c r="N1577" s="8"/>
      <c r="O1577" s="8">
        <f>(E1575+1*(G1577+(12*D1577/1000))+1*(0.45/2)*D1575)</f>
        <v>4.4950000000000001</v>
      </c>
      <c r="P1577" s="8">
        <f>O1577*F1577</f>
        <v>17.98</v>
      </c>
      <c r="Q1577" s="8">
        <f>IF($D1577='[2]Beam '!Q$44,$P1577*'[2]Beam '!Q$45,0)</f>
        <v>0</v>
      </c>
      <c r="R1577" s="8">
        <f>IF($D1577='[2]Beam '!R$44,$P1577*'[2]Beam '!R$45,0)</f>
        <v>0</v>
      </c>
      <c r="S1577" s="8">
        <f>IF($D1577='[2]Beam '!S$44,$P1577*'[2]Beam '!S$45,0)</f>
        <v>0</v>
      </c>
      <c r="T1577" s="8">
        <f>IF($D1577='[2]Beam '!T$44,$P1577*'[2]Beam '!T$45,0)</f>
        <v>0</v>
      </c>
      <c r="U1577" s="8">
        <f>IF($D1577='[2]Beam '!U$44,$P1577*'[2]Beam '!U$45,0)</f>
        <v>0</v>
      </c>
      <c r="V1577" s="8">
        <f>IF($D1577='[2]Beam '!V$44,$P1577*'[2]Beam '!V$45,0)</f>
        <v>69.311294642857149</v>
      </c>
      <c r="W1577" s="8">
        <f>IF($D1577='[2]Beam '!W$44,$P1577*'[2]Beam '!W$45,0)</f>
        <v>0</v>
      </c>
      <c r="X1577" s="8">
        <f>SUM(Q1577:W1577)</f>
        <v>69.311294642857149</v>
      </c>
      <c r="Y1577" s="8"/>
      <c r="Z1577" s="8"/>
      <c r="AA1577" s="8"/>
      <c r="AB1577" s="8"/>
      <c r="AC1577" s="8"/>
      <c r="AD1577" s="8"/>
      <c r="AE1577" s="8"/>
    </row>
    <row r="1578" spans="1:32" s="10" customFormat="1" ht="21" customHeight="1" x14ac:dyDescent="0.25">
      <c r="A1578" s="7"/>
      <c r="B1578" s="8" t="s">
        <v>2</v>
      </c>
      <c r="C1578" s="13" t="s">
        <v>8</v>
      </c>
      <c r="D1578" s="8">
        <v>8</v>
      </c>
      <c r="E1578" s="8">
        <v>0.1</v>
      </c>
      <c r="F1578" s="8">
        <f>ROUNDUP(E1575/E1578,0)</f>
        <v>30</v>
      </c>
      <c r="H1578" s="8"/>
      <c r="I1578" s="8"/>
      <c r="J1578" s="8"/>
      <c r="K1578" s="8"/>
      <c r="L1578" s="8"/>
      <c r="M1578" s="8"/>
      <c r="N1578" s="8"/>
      <c r="O1578" s="8">
        <f>(2*((G1575-(2*'[2]Beam '!$D$11))+(F1575-(2*'[2]Beam '!$D$11)))+(2*10*D1578/1000))*D1575</f>
        <v>2.9200000000000004</v>
      </c>
      <c r="P1578" s="8">
        <f>O1578*F1578</f>
        <v>87.600000000000009</v>
      </c>
      <c r="Q1578" s="8">
        <f>IF($D1578='[2]Beam '!Q$44,$P1578*'[2]Beam '!Q$45,0)</f>
        <v>34.579474285714291</v>
      </c>
      <c r="R1578" s="8">
        <f>IF($D1578='[2]Beam '!R$44,$P1578*'[2]Beam '!R$45,0)</f>
        <v>0</v>
      </c>
      <c r="S1578" s="8">
        <f>IF($D1578='[2]Beam '!S$44,$P1578*'[2]Beam '!S$45,0)</f>
        <v>0</v>
      </c>
      <c r="T1578" s="8">
        <f>IF($D1578='[2]Beam '!T$44,$P1578*'[2]Beam '!T$45,0)</f>
        <v>0</v>
      </c>
      <c r="U1578" s="8">
        <f>IF($D1578='[2]Beam '!U$44,$P1578*'[2]Beam '!U$45,0)</f>
        <v>0</v>
      </c>
      <c r="V1578" s="8">
        <f>IF($D1578='[2]Beam '!V$44,$P1578*'[2]Beam '!V$45,0)</f>
        <v>0</v>
      </c>
      <c r="W1578" s="8">
        <f>IF($D1578='[2]Beam '!W$44,$P1578*'[2]Beam '!W$45,0)</f>
        <v>0</v>
      </c>
      <c r="X1578" s="8">
        <f>SUM(Q1578:W1578)</f>
        <v>34.579474285714291</v>
      </c>
      <c r="Y1578" s="8"/>
      <c r="Z1578" s="8"/>
      <c r="AA1578" s="8"/>
      <c r="AB1578" s="8"/>
      <c r="AC1578" s="8"/>
      <c r="AD1578" s="8"/>
      <c r="AE1578" s="8"/>
      <c r="AF1578" s="8"/>
    </row>
    <row r="1579" spans="1:32" s="10" customFormat="1" ht="20.100000000000001" customHeight="1" x14ac:dyDescent="0.25">
      <c r="A1579" s="14"/>
      <c r="B1579" s="8" t="s">
        <v>2</v>
      </c>
      <c r="C1579" s="13" t="s">
        <v>9</v>
      </c>
      <c r="D1579" s="8">
        <f>+D1578</f>
        <v>8</v>
      </c>
      <c r="E1579" s="14">
        <f>+E1578</f>
        <v>0.1</v>
      </c>
      <c r="F1579" s="8">
        <f>ROUNDUP(E1575/E1579,0)</f>
        <v>30</v>
      </c>
      <c r="H1579" s="14"/>
      <c r="I1579" s="14"/>
      <c r="J1579" s="14"/>
      <c r="K1579" s="14"/>
      <c r="L1579" s="14"/>
      <c r="M1579" s="14"/>
      <c r="N1579" s="14"/>
      <c r="O1579" s="8">
        <f>((((G1575-(2*'[2]Beam '!$D$11))+(2*10*D1579/1000))*D1575))*2</f>
        <v>2.4</v>
      </c>
      <c r="P1579" s="8">
        <f>O1579*F1579</f>
        <v>72</v>
      </c>
      <c r="Q1579" s="8">
        <f>IF($D1579='[2]Beam '!Q$44,$P1579*'[2]Beam '!Q$45,0)</f>
        <v>28.421485714285716</v>
      </c>
      <c r="R1579" s="8">
        <f>IF($D1579='[2]Beam '!R$44,$P1579*'[2]Beam '!R$45,0)</f>
        <v>0</v>
      </c>
      <c r="S1579" s="8">
        <f>IF($D1579='[2]Beam '!S$44,$P1579*'[2]Beam '!S$45,0)</f>
        <v>0</v>
      </c>
      <c r="T1579" s="8">
        <f>IF($D1579='[2]Beam '!T$44,$P1579*'[2]Beam '!T$45,0)</f>
        <v>0</v>
      </c>
      <c r="U1579" s="8">
        <f>IF($D1579='[2]Beam '!U$44,$P1579*'[2]Beam '!U$45,0)</f>
        <v>0</v>
      </c>
      <c r="V1579" s="8">
        <f>IF($D1579='[2]Beam '!V$44,$P1579*'[2]Beam '!V$45,0)</f>
        <v>0</v>
      </c>
      <c r="W1579" s="8">
        <f>IF($D1579='[2]Beam '!W$44,$P1579*'[2]Beam '!W$45,0)</f>
        <v>0</v>
      </c>
      <c r="X1579" s="8">
        <f>SUM(Q1579:W1579)</f>
        <v>28.421485714285716</v>
      </c>
      <c r="Y1579" s="14"/>
      <c r="Z1579" s="8"/>
      <c r="AA1579" s="8"/>
      <c r="AB1579" s="8"/>
      <c r="AC1579" s="8"/>
      <c r="AD1579" s="8"/>
      <c r="AE1579" s="8"/>
    </row>
    <row r="1580" spans="1:32" s="10" customFormat="1" ht="20.100000000000001" customHeight="1" x14ac:dyDescent="0.25">
      <c r="A1580" s="7"/>
      <c r="B1580" s="8" t="s">
        <v>2</v>
      </c>
      <c r="C1580" s="13" t="s">
        <v>10</v>
      </c>
      <c r="D1580" s="8">
        <f>+'[2]Beam '!$D$15</f>
        <v>25</v>
      </c>
      <c r="E1580" s="8">
        <f>+'[2]Beam '!$E$15</f>
        <v>1</v>
      </c>
      <c r="F1580" s="8">
        <f>ROUNDUP((E1575)/E1580,0)</f>
        <v>3</v>
      </c>
      <c r="G1580" s="9"/>
      <c r="H1580" s="9"/>
      <c r="I1580" s="8"/>
      <c r="J1580" s="8"/>
      <c r="K1580" s="8"/>
      <c r="L1580" s="8"/>
      <c r="M1580" s="8"/>
      <c r="N1580" s="8"/>
      <c r="O1580" s="8">
        <f>F1575-'[2]Beam '!$F$15</f>
        <v>0.34</v>
      </c>
      <c r="P1580" s="8">
        <f>O1580*F1580</f>
        <v>1.02</v>
      </c>
      <c r="Q1580" s="8">
        <f>IF($D1580='[2]Beam '!Q$44,$P1580*'[2]Beam '!Q$45,0)</f>
        <v>0</v>
      </c>
      <c r="R1580" s="8">
        <f>IF($D1580='[2]Beam '!R$44,$P1580*'[2]Beam '!R$45,0)</f>
        <v>0</v>
      </c>
      <c r="S1580" s="8">
        <f>IF($D1580='[2]Beam '!S$44,$P1580*'[2]Beam '!S$45,0)</f>
        <v>0</v>
      </c>
      <c r="T1580" s="8">
        <f>IF($D1580='[2]Beam '!T$44,$P1580*'[2]Beam '!T$45,0)</f>
        <v>0</v>
      </c>
      <c r="U1580" s="8">
        <f>IF($D1580='[2]Beam '!U$44,$P1580*'[2]Beam '!U$45,0)</f>
        <v>0</v>
      </c>
      <c r="V1580" s="8">
        <f>IF($D1580='[2]Beam '!V$44,$P1580*'[2]Beam '!V$45,0)</f>
        <v>3.9320089285714293</v>
      </c>
      <c r="W1580" s="8">
        <f>IF($D1580='[2]Beam '!W$44,$P1580*'[2]Beam '!W$45,0)</f>
        <v>0</v>
      </c>
      <c r="X1580" s="8">
        <f>SUM(Q1580:W1580)</f>
        <v>3.9320089285714293</v>
      </c>
      <c r="Y1580" s="8"/>
      <c r="Z1580" s="8"/>
      <c r="AA1580" s="8"/>
      <c r="AB1580" s="8"/>
      <c r="AC1580" s="8"/>
      <c r="AD1580" s="8"/>
      <c r="AE1580" s="8"/>
    </row>
    <row r="1581" spans="1:32" s="10" customFormat="1" ht="19.5" customHeight="1" x14ac:dyDescent="0.25">
      <c r="A1581" s="8">
        <v>1</v>
      </c>
      <c r="B1581" s="8" t="s">
        <v>2</v>
      </c>
      <c r="C1581" s="11" t="s">
        <v>210</v>
      </c>
      <c r="D1581" s="11">
        <v>1</v>
      </c>
      <c r="E1581" s="11">
        <v>3</v>
      </c>
      <c r="F1581" s="11">
        <v>0.4</v>
      </c>
      <c r="G1581" s="11">
        <v>1.1000000000000001</v>
      </c>
      <c r="H1581" s="8">
        <f>G1581-0.2</f>
        <v>0.90000000000000013</v>
      </c>
      <c r="I1581" s="8">
        <f>E1581*F1581*G1581*D1581</f>
        <v>1.3200000000000003</v>
      </c>
      <c r="J1581" s="8">
        <f>(2*(E1581)*H1581*D1581)+(E1581*F1581)</f>
        <v>6.6000000000000005</v>
      </c>
      <c r="K1581" s="12">
        <f>IF(E1581=0.3,J1581,0)</f>
        <v>0</v>
      </c>
      <c r="L1581" s="12">
        <f>IF(AND(E1581&gt;0.3,E1581&lt;=0.75),J1581,0)</f>
        <v>0</v>
      </c>
      <c r="M1581" s="12">
        <f>IF(AND(E1581&gt;0.75,E1581&lt;=1.2),J1581,0)</f>
        <v>0</v>
      </c>
      <c r="N1581" s="12">
        <f>IF(E1581&gt;1.2,J1581,0)</f>
        <v>6.6000000000000005</v>
      </c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>
        <f>SUM(X1582:X1583)/I1581</f>
        <v>80.01860119047619</v>
      </c>
      <c r="Z1581" s="8"/>
      <c r="AA1581" s="8"/>
      <c r="AB1581" s="8"/>
      <c r="AC1581" s="8"/>
      <c r="AD1581" s="8"/>
      <c r="AE1581" s="8"/>
    </row>
    <row r="1582" spans="1:32" s="14" customFormat="1" ht="20.100000000000001" customHeight="1" x14ac:dyDescent="0.3">
      <c r="A1582" s="7"/>
      <c r="B1582" s="8" t="s">
        <v>2</v>
      </c>
      <c r="C1582" s="13" t="s">
        <v>4</v>
      </c>
      <c r="D1582" s="8">
        <v>25</v>
      </c>
      <c r="E1582" s="8"/>
      <c r="F1582" s="8">
        <v>4</v>
      </c>
      <c r="G1582" s="9">
        <f>VLOOKUP(D1582,'[2]Beam '!$C$20:$H$26,3,0)</f>
        <v>1</v>
      </c>
      <c r="H1582" s="9"/>
      <c r="I1582" s="8"/>
      <c r="J1582" s="8"/>
      <c r="K1582" s="8"/>
      <c r="L1582" s="8"/>
      <c r="M1582" s="8"/>
      <c r="N1582" s="8"/>
      <c r="O1582" s="8">
        <f>(E1581+1*(0.45/2))+1*(0.4/2)*D1581</f>
        <v>3.4250000000000003</v>
      </c>
      <c r="P1582" s="8">
        <f>O1582*F1582</f>
        <v>13.700000000000001</v>
      </c>
      <c r="Q1582" s="8">
        <f>IF($D1582='[2]Beam '!Q$44,$P1582*'[2]Beam '!Q$45,0)</f>
        <v>0</v>
      </c>
      <c r="R1582" s="8">
        <f>IF($D1582='[2]Beam '!R$44,$P1582*'[2]Beam '!R$45,0)</f>
        <v>0</v>
      </c>
      <c r="S1582" s="8">
        <f>IF($D1582='[2]Beam '!S$44,$P1582*'[2]Beam '!S$45,0)</f>
        <v>0</v>
      </c>
      <c r="T1582" s="8">
        <f>IF($D1582='[2]Beam '!T$44,$P1582*'[2]Beam '!T$45,0)</f>
        <v>0</v>
      </c>
      <c r="U1582" s="8">
        <f>IF($D1582='[2]Beam '!U$44,$P1582*'[2]Beam '!U$45,0)</f>
        <v>0</v>
      </c>
      <c r="V1582" s="8">
        <f>IF($D1582='[2]Beam '!V$44,$P1582*'[2]Beam '!V$45,0)</f>
        <v>52.812276785714296</v>
      </c>
      <c r="W1582" s="8">
        <f>IF($D1582='[2]Beam '!W$44,$P1582*'[2]Beam '!W$45,0)</f>
        <v>0</v>
      </c>
      <c r="X1582" s="8">
        <f>SUM(Q1582:W1582)</f>
        <v>52.812276785714296</v>
      </c>
      <c r="Y1582" s="8"/>
    </row>
    <row r="1583" spans="1:32" s="10" customFormat="1" ht="20.100000000000001" customHeight="1" x14ac:dyDescent="0.25">
      <c r="A1583" s="7"/>
      <c r="B1583" s="8" t="s">
        <v>2</v>
      </c>
      <c r="C1583" s="13" t="s">
        <v>139</v>
      </c>
      <c r="D1583" s="8">
        <v>25</v>
      </c>
      <c r="E1583" s="8"/>
      <c r="F1583" s="8">
        <v>4</v>
      </c>
      <c r="G1583" s="9">
        <f>VLOOKUP(D1583,'[2]Beam '!$C$20:$H$26,3,0)</f>
        <v>1</v>
      </c>
      <c r="H1583" s="9"/>
      <c r="I1583" s="8"/>
      <c r="J1583" s="8"/>
      <c r="K1583" s="8"/>
      <c r="L1583" s="8"/>
      <c r="M1583" s="8"/>
      <c r="N1583" s="8"/>
      <c r="O1583" s="8">
        <f>(E1581+1*(0.45/2))+1*(0.4/2)*D1581</f>
        <v>3.4250000000000003</v>
      </c>
      <c r="P1583" s="8">
        <f>O1583*F1583</f>
        <v>13.700000000000001</v>
      </c>
      <c r="Q1583" s="8">
        <f>IF($D1583='[2]Beam '!Q$44,$P1583*'[2]Beam '!Q$45,0)</f>
        <v>0</v>
      </c>
      <c r="R1583" s="8">
        <f>IF($D1583='[2]Beam '!R$44,$P1583*'[2]Beam '!R$45,0)</f>
        <v>0</v>
      </c>
      <c r="S1583" s="8">
        <f>IF($D1583='[2]Beam '!S$44,$P1583*'[2]Beam '!S$45,0)</f>
        <v>0</v>
      </c>
      <c r="T1583" s="8">
        <f>IF($D1583='[2]Beam '!T$44,$P1583*'[2]Beam '!T$45,0)</f>
        <v>0</v>
      </c>
      <c r="U1583" s="8">
        <f>IF($D1583='[2]Beam '!U$44,$P1583*'[2]Beam '!U$45,0)</f>
        <v>0</v>
      </c>
      <c r="V1583" s="8">
        <f>IF($D1583='[2]Beam '!V$44,$P1583*'[2]Beam '!V$45,0)</f>
        <v>52.812276785714296</v>
      </c>
      <c r="W1583" s="8">
        <f>IF($D1583='[2]Beam '!W$44,$P1583*'[2]Beam '!W$45,0)</f>
        <v>0</v>
      </c>
      <c r="X1583" s="8">
        <f>SUM(Q1583:W1583)</f>
        <v>52.812276785714296</v>
      </c>
      <c r="Y1583" s="8"/>
      <c r="Z1583" s="8"/>
      <c r="AA1583" s="8"/>
      <c r="AB1583" s="8"/>
      <c r="AC1583" s="8"/>
      <c r="AD1583" s="8"/>
      <c r="AE1583" s="8"/>
    </row>
    <row r="1584" spans="1:32" s="10" customFormat="1" ht="21" customHeight="1" x14ac:dyDescent="0.25">
      <c r="A1584" s="7"/>
      <c r="B1584" s="8" t="s">
        <v>2</v>
      </c>
      <c r="C1584" s="13" t="s">
        <v>8</v>
      </c>
      <c r="D1584" s="8">
        <v>8</v>
      </c>
      <c r="E1584" s="8">
        <v>0.1</v>
      </c>
      <c r="F1584" s="8">
        <f>ROUNDUP(E1581/E1584,0)</f>
        <v>30</v>
      </c>
      <c r="H1584" s="8"/>
      <c r="I1584" s="8"/>
      <c r="J1584" s="8"/>
      <c r="K1584" s="8"/>
      <c r="L1584" s="8"/>
      <c r="M1584" s="8"/>
      <c r="N1584" s="8"/>
      <c r="O1584" s="8">
        <f>(2*((G1581-(2*'[2]Beam '!$D$11))+(F1581-(2*'[2]Beam '!$D$11)))+(2*10*D1584/1000))*D1581</f>
        <v>2.9200000000000004</v>
      </c>
      <c r="P1584" s="8">
        <f>O1584*F1584</f>
        <v>87.600000000000009</v>
      </c>
      <c r="Q1584" s="8">
        <f>IF($D1584='[2]Beam '!Q$44,$P1584*'[2]Beam '!Q$45,0)</f>
        <v>34.579474285714291</v>
      </c>
      <c r="R1584" s="8">
        <f>IF($D1584='[2]Beam '!R$44,$P1584*'[2]Beam '!R$45,0)</f>
        <v>0</v>
      </c>
      <c r="S1584" s="8">
        <f>IF($D1584='[2]Beam '!S$44,$P1584*'[2]Beam '!S$45,0)</f>
        <v>0</v>
      </c>
      <c r="T1584" s="8">
        <f>IF($D1584='[2]Beam '!T$44,$P1584*'[2]Beam '!T$45,0)</f>
        <v>0</v>
      </c>
      <c r="U1584" s="8">
        <f>IF($D1584='[2]Beam '!U$44,$P1584*'[2]Beam '!U$45,0)</f>
        <v>0</v>
      </c>
      <c r="V1584" s="8">
        <f>IF($D1584='[2]Beam '!V$44,$P1584*'[2]Beam '!V$45,0)</f>
        <v>0</v>
      </c>
      <c r="W1584" s="8">
        <f>IF($D1584='[2]Beam '!W$44,$P1584*'[2]Beam '!W$45,0)</f>
        <v>0</v>
      </c>
      <c r="X1584" s="8">
        <f>SUM(Q1584:W1584)</f>
        <v>34.579474285714291</v>
      </c>
      <c r="Y1584" s="8"/>
      <c r="Z1584" s="8"/>
      <c r="AA1584" s="8"/>
      <c r="AB1584" s="8"/>
      <c r="AC1584" s="8"/>
      <c r="AD1584" s="8"/>
      <c r="AE1584" s="8"/>
      <c r="AF1584" s="8"/>
    </row>
    <row r="1585" spans="1:32" s="10" customFormat="1" ht="20.100000000000001" customHeight="1" x14ac:dyDescent="0.25">
      <c r="A1585" s="14"/>
      <c r="B1585" s="8" t="s">
        <v>2</v>
      </c>
      <c r="C1585" s="13" t="s">
        <v>9</v>
      </c>
      <c r="D1585" s="8">
        <f>+D1584</f>
        <v>8</v>
      </c>
      <c r="E1585" s="14">
        <f>+E1584</f>
        <v>0.1</v>
      </c>
      <c r="F1585" s="8">
        <f>ROUNDUP(E1581/E1585,0)</f>
        <v>30</v>
      </c>
      <c r="H1585" s="14"/>
      <c r="I1585" s="14"/>
      <c r="J1585" s="14"/>
      <c r="K1585" s="14"/>
      <c r="L1585" s="14"/>
      <c r="M1585" s="14"/>
      <c r="N1585" s="14"/>
      <c r="O1585" s="8">
        <f>((((G1581-(2*'[2]Beam '!$D$11))+(2*10*D1585/1000))*D1581))*2</f>
        <v>2.4</v>
      </c>
      <c r="P1585" s="8">
        <f>O1585*F1585</f>
        <v>72</v>
      </c>
      <c r="Q1585" s="8">
        <f>IF($D1585='[2]Beam '!Q$44,$P1585*'[2]Beam '!Q$45,0)</f>
        <v>28.421485714285716</v>
      </c>
      <c r="R1585" s="8">
        <f>IF($D1585='[2]Beam '!R$44,$P1585*'[2]Beam '!R$45,0)</f>
        <v>0</v>
      </c>
      <c r="S1585" s="8">
        <f>IF($D1585='[2]Beam '!S$44,$P1585*'[2]Beam '!S$45,0)</f>
        <v>0</v>
      </c>
      <c r="T1585" s="8">
        <f>IF($D1585='[2]Beam '!T$44,$P1585*'[2]Beam '!T$45,0)</f>
        <v>0</v>
      </c>
      <c r="U1585" s="8">
        <f>IF($D1585='[2]Beam '!U$44,$P1585*'[2]Beam '!U$45,0)</f>
        <v>0</v>
      </c>
      <c r="V1585" s="8">
        <f>IF($D1585='[2]Beam '!V$44,$P1585*'[2]Beam '!V$45,0)</f>
        <v>0</v>
      </c>
      <c r="W1585" s="8">
        <f>IF($D1585='[2]Beam '!W$44,$P1585*'[2]Beam '!W$45,0)</f>
        <v>0</v>
      </c>
      <c r="X1585" s="8">
        <f>SUM(Q1585:W1585)</f>
        <v>28.421485714285716</v>
      </c>
      <c r="Y1585" s="14"/>
      <c r="Z1585" s="8"/>
      <c r="AA1585" s="8"/>
      <c r="AB1585" s="8"/>
      <c r="AC1585" s="8"/>
      <c r="AD1585" s="8"/>
      <c r="AE1585" s="8"/>
    </row>
    <row r="1586" spans="1:32" s="10" customFormat="1" ht="20.100000000000001" customHeight="1" x14ac:dyDescent="0.25">
      <c r="A1586" s="7"/>
      <c r="B1586" s="8" t="s">
        <v>2</v>
      </c>
      <c r="C1586" s="13" t="s">
        <v>10</v>
      </c>
      <c r="D1586" s="8">
        <f>+'[2]Beam '!$D$15</f>
        <v>25</v>
      </c>
      <c r="E1586" s="8">
        <f>+'[2]Beam '!$E$15</f>
        <v>1</v>
      </c>
      <c r="F1586" s="8">
        <f>ROUNDUP((E1581)/E1586,0)</f>
        <v>3</v>
      </c>
      <c r="G1586" s="9"/>
      <c r="H1586" s="9"/>
      <c r="I1586" s="8"/>
      <c r="J1586" s="8"/>
      <c r="K1586" s="8"/>
      <c r="L1586" s="8"/>
      <c r="M1586" s="8"/>
      <c r="N1586" s="8"/>
      <c r="O1586" s="8">
        <f>F1581-'[2]Beam '!$F$15</f>
        <v>0.34</v>
      </c>
      <c r="P1586" s="8">
        <f>O1586*F1586</f>
        <v>1.02</v>
      </c>
      <c r="Q1586" s="8">
        <f>IF($D1586='[2]Beam '!Q$44,$P1586*'[2]Beam '!Q$45,0)</f>
        <v>0</v>
      </c>
      <c r="R1586" s="8">
        <f>IF($D1586='[2]Beam '!R$44,$P1586*'[2]Beam '!R$45,0)</f>
        <v>0</v>
      </c>
      <c r="S1586" s="8">
        <f>IF($D1586='[2]Beam '!S$44,$P1586*'[2]Beam '!S$45,0)</f>
        <v>0</v>
      </c>
      <c r="T1586" s="8">
        <f>IF($D1586='[2]Beam '!T$44,$P1586*'[2]Beam '!T$45,0)</f>
        <v>0</v>
      </c>
      <c r="U1586" s="8">
        <f>IF($D1586='[2]Beam '!U$44,$P1586*'[2]Beam '!U$45,0)</f>
        <v>0</v>
      </c>
      <c r="V1586" s="8">
        <f>IF($D1586='[2]Beam '!V$44,$P1586*'[2]Beam '!V$45,0)</f>
        <v>3.9320089285714293</v>
      </c>
      <c r="W1586" s="8">
        <f>IF($D1586='[2]Beam '!W$44,$P1586*'[2]Beam '!W$45,0)</f>
        <v>0</v>
      </c>
      <c r="X1586" s="8">
        <f>SUM(Q1586:W1586)</f>
        <v>3.9320089285714293</v>
      </c>
      <c r="Y1586" s="8"/>
      <c r="Z1586" s="8"/>
      <c r="AA1586" s="8"/>
      <c r="AB1586" s="8"/>
      <c r="AC1586" s="8"/>
      <c r="AD1586" s="8"/>
      <c r="AE1586" s="8"/>
    </row>
    <row r="1587" spans="1:32" s="10" customFormat="1" ht="19.5" customHeight="1" x14ac:dyDescent="0.25">
      <c r="A1587" s="8">
        <v>1</v>
      </c>
      <c r="B1587" s="8" t="s">
        <v>2</v>
      </c>
      <c r="C1587" s="11" t="s">
        <v>211</v>
      </c>
      <c r="D1587" s="11">
        <v>1</v>
      </c>
      <c r="E1587" s="11">
        <v>2.1139999999999999</v>
      </c>
      <c r="F1587" s="11">
        <v>0.4</v>
      </c>
      <c r="G1587" s="11">
        <v>1.1000000000000001</v>
      </c>
      <c r="H1587" s="8">
        <f>G1587-0.2</f>
        <v>0.90000000000000013</v>
      </c>
      <c r="I1587" s="8">
        <f>E1587*F1587*G1587*D1587</f>
        <v>0.9301600000000001</v>
      </c>
      <c r="J1587" s="8">
        <f>(2*(E1587)*H1587*D1587)+(E1587*F1587)</f>
        <v>4.6508000000000003</v>
      </c>
      <c r="K1587" s="12">
        <f>IF(E1587=0.3,J1587,0)</f>
        <v>0</v>
      </c>
      <c r="L1587" s="12">
        <f>IF(AND(E1587&gt;0.3,E1587&lt;=0.75),J1587,0)</f>
        <v>0</v>
      </c>
      <c r="M1587" s="12">
        <f>IF(AND(E1587&gt;0.75,E1587&lt;=1.2),J1587,0)</f>
        <v>0</v>
      </c>
      <c r="N1587" s="12">
        <f>IF(E1587&gt;1.2,J1587,0)</f>
        <v>4.6508000000000003</v>
      </c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>
        <f>SUM(X1588:X1589)/I1587</f>
        <v>120.23594827003649</v>
      </c>
      <c r="Z1587" s="8"/>
      <c r="AA1587" s="8"/>
      <c r="AB1587" s="8"/>
      <c r="AC1587" s="8"/>
      <c r="AD1587" s="8"/>
      <c r="AE1587" s="8"/>
    </row>
    <row r="1588" spans="1:32" s="14" customFormat="1" ht="20.100000000000001" customHeight="1" x14ac:dyDescent="0.3">
      <c r="A1588" s="7"/>
      <c r="B1588" s="8" t="s">
        <v>2</v>
      </c>
      <c r="C1588" s="13" t="s">
        <v>4</v>
      </c>
      <c r="D1588" s="8">
        <v>25</v>
      </c>
      <c r="E1588" s="8"/>
      <c r="F1588" s="8">
        <v>4</v>
      </c>
      <c r="G1588" s="9">
        <f>VLOOKUP(D1588,'[2]Beam '!$C$20:$H$26,3,0)</f>
        <v>1</v>
      </c>
      <c r="H1588" s="9"/>
      <c r="I1588" s="8"/>
      <c r="J1588" s="8"/>
      <c r="K1588" s="8"/>
      <c r="L1588" s="8"/>
      <c r="M1588" s="8"/>
      <c r="N1588" s="8"/>
      <c r="O1588" s="8">
        <f>(E1587+1*(G1588+(12*D1588/1000))+1*(0.4/2)*D1587)</f>
        <v>3.6139999999999999</v>
      </c>
      <c r="P1588" s="8">
        <f>O1588*F1588</f>
        <v>14.456</v>
      </c>
      <c r="Q1588" s="8">
        <f>IF($D1588='[2]Beam '!Q$44,$P1588*'[2]Beam '!Q$45,0)</f>
        <v>0</v>
      </c>
      <c r="R1588" s="8">
        <f>IF($D1588='[2]Beam '!R$44,$P1588*'[2]Beam '!R$45,0)</f>
        <v>0</v>
      </c>
      <c r="S1588" s="8">
        <f>IF($D1588='[2]Beam '!S$44,$P1588*'[2]Beam '!S$45,0)</f>
        <v>0</v>
      </c>
      <c r="T1588" s="8">
        <f>IF($D1588='[2]Beam '!T$44,$P1588*'[2]Beam '!T$45,0)</f>
        <v>0</v>
      </c>
      <c r="U1588" s="8">
        <f>IF($D1588='[2]Beam '!U$44,$P1588*'[2]Beam '!U$45,0)</f>
        <v>0</v>
      </c>
      <c r="V1588" s="8">
        <f>IF($D1588='[2]Beam '!V$44,$P1588*'[2]Beam '!V$45,0)</f>
        <v>55.72658928571429</v>
      </c>
      <c r="W1588" s="8">
        <f>IF($D1588='[2]Beam '!W$44,$P1588*'[2]Beam '!W$45,0)</f>
        <v>0</v>
      </c>
      <c r="X1588" s="8">
        <f>SUM(Q1588:W1588)</f>
        <v>55.72658928571429</v>
      </c>
      <c r="Y1588" s="8"/>
    </row>
    <row r="1589" spans="1:32" s="10" customFormat="1" ht="20.100000000000001" customHeight="1" x14ac:dyDescent="0.25">
      <c r="A1589" s="7"/>
      <c r="B1589" s="8" t="s">
        <v>2</v>
      </c>
      <c r="C1589" s="13" t="s">
        <v>139</v>
      </c>
      <c r="D1589" s="8">
        <v>25</v>
      </c>
      <c r="E1589" s="8"/>
      <c r="F1589" s="8">
        <v>4</v>
      </c>
      <c r="G1589" s="9">
        <f>VLOOKUP(D1589,'[2]Beam '!$C$20:$H$26,3,0)</f>
        <v>1</v>
      </c>
      <c r="H1589" s="9"/>
      <c r="I1589" s="8"/>
      <c r="J1589" s="8"/>
      <c r="K1589" s="8"/>
      <c r="L1589" s="8"/>
      <c r="M1589" s="8"/>
      <c r="N1589" s="8"/>
      <c r="O1589" s="8">
        <f>(E1587+1*(G1589+(12*D1589/1000))+1*(0.45/2)*D1587)</f>
        <v>3.6389999999999998</v>
      </c>
      <c r="P1589" s="8">
        <f>O1589*F1589</f>
        <v>14.555999999999999</v>
      </c>
      <c r="Q1589" s="8">
        <f>IF($D1589='[2]Beam '!Q$44,$P1589*'[2]Beam '!Q$45,0)</f>
        <v>0</v>
      </c>
      <c r="R1589" s="8">
        <f>IF($D1589='[2]Beam '!R$44,$P1589*'[2]Beam '!R$45,0)</f>
        <v>0</v>
      </c>
      <c r="S1589" s="8">
        <f>IF($D1589='[2]Beam '!S$44,$P1589*'[2]Beam '!S$45,0)</f>
        <v>0</v>
      </c>
      <c r="T1589" s="8">
        <f>IF($D1589='[2]Beam '!T$44,$P1589*'[2]Beam '!T$45,0)</f>
        <v>0</v>
      </c>
      <c r="U1589" s="8">
        <f>IF($D1589='[2]Beam '!U$44,$P1589*'[2]Beam '!U$45,0)</f>
        <v>0</v>
      </c>
      <c r="V1589" s="8">
        <f>IF($D1589='[2]Beam '!V$44,$P1589*'[2]Beam '!V$45,0)</f>
        <v>56.112080357142865</v>
      </c>
      <c r="W1589" s="8">
        <f>IF($D1589='[2]Beam '!W$44,$P1589*'[2]Beam '!W$45,0)</f>
        <v>0</v>
      </c>
      <c r="X1589" s="8">
        <f>SUM(Q1589:W1589)</f>
        <v>56.112080357142865</v>
      </c>
      <c r="Y1589" s="8"/>
      <c r="Z1589" s="8"/>
      <c r="AA1589" s="8"/>
      <c r="AB1589" s="8"/>
      <c r="AC1589" s="8"/>
      <c r="AD1589" s="8"/>
      <c r="AE1589" s="8"/>
    </row>
    <row r="1590" spans="1:32" s="10" customFormat="1" ht="21" customHeight="1" x14ac:dyDescent="0.25">
      <c r="A1590" s="7"/>
      <c r="B1590" s="8" t="s">
        <v>2</v>
      </c>
      <c r="C1590" s="13" t="s">
        <v>8</v>
      </c>
      <c r="D1590" s="8">
        <v>10</v>
      </c>
      <c r="E1590" s="8">
        <v>0.1</v>
      </c>
      <c r="F1590" s="8">
        <f>ROUNDUP(E1587/E1590,0)</f>
        <v>22</v>
      </c>
      <c r="H1590" s="8"/>
      <c r="I1590" s="8"/>
      <c r="J1590" s="8"/>
      <c r="K1590" s="8"/>
      <c r="L1590" s="8"/>
      <c r="M1590" s="8"/>
      <c r="N1590" s="8"/>
      <c r="O1590" s="8">
        <f>(2*((G1587-(2*'[2]Beam '!$D$11))+(F1587-(2*'[2]Beam '!$D$11)))+(2*10*D1590/1000))*D1587</f>
        <v>2.9600000000000004</v>
      </c>
      <c r="P1590" s="8">
        <f>O1590*F1590</f>
        <v>65.12</v>
      </c>
      <c r="Q1590" s="8">
        <f>IF($D1590='[2]Beam '!Q$44,$P1590*'[2]Beam '!Q$45,0)</f>
        <v>0</v>
      </c>
      <c r="R1590" s="8">
        <f>IF($D1590='[2]Beam '!R$44,$P1590*'[2]Beam '!R$45,0)</f>
        <v>40.165085714285716</v>
      </c>
      <c r="S1590" s="8">
        <f>IF($D1590='[2]Beam '!S$44,$P1590*'[2]Beam '!S$45,0)</f>
        <v>0</v>
      </c>
      <c r="T1590" s="8">
        <f>IF($D1590='[2]Beam '!T$44,$P1590*'[2]Beam '!T$45,0)</f>
        <v>0</v>
      </c>
      <c r="U1590" s="8">
        <f>IF($D1590='[2]Beam '!U$44,$P1590*'[2]Beam '!U$45,0)</f>
        <v>0</v>
      </c>
      <c r="V1590" s="8">
        <f>IF($D1590='[2]Beam '!V$44,$P1590*'[2]Beam '!V$45,0)</f>
        <v>0</v>
      </c>
      <c r="W1590" s="8">
        <f>IF($D1590='[2]Beam '!W$44,$P1590*'[2]Beam '!W$45,0)</f>
        <v>0</v>
      </c>
      <c r="X1590" s="8">
        <f>SUM(Q1590:W1590)</f>
        <v>40.165085714285716</v>
      </c>
      <c r="Y1590" s="8"/>
      <c r="Z1590" s="8"/>
      <c r="AA1590" s="8"/>
      <c r="AB1590" s="8"/>
      <c r="AC1590" s="8"/>
      <c r="AD1590" s="8"/>
      <c r="AE1590" s="8"/>
      <c r="AF1590" s="8"/>
    </row>
    <row r="1591" spans="1:32" s="10" customFormat="1" ht="20.100000000000001" customHeight="1" x14ac:dyDescent="0.25">
      <c r="A1591" s="14"/>
      <c r="B1591" s="8" t="s">
        <v>2</v>
      </c>
      <c r="C1591" s="13" t="s">
        <v>9</v>
      </c>
      <c r="D1591" s="8">
        <f>+D1590</f>
        <v>10</v>
      </c>
      <c r="E1591" s="14">
        <f>+E1590</f>
        <v>0.1</v>
      </c>
      <c r="F1591" s="8">
        <f>ROUNDUP(E1587/E1591,0)</f>
        <v>22</v>
      </c>
      <c r="H1591" s="14"/>
      <c r="I1591" s="14"/>
      <c r="J1591" s="14"/>
      <c r="K1591" s="14"/>
      <c r="L1591" s="14"/>
      <c r="M1591" s="14"/>
      <c r="N1591" s="14"/>
      <c r="O1591" s="8">
        <f>((((G1587-(2*'[2]Beam '!$D$11))+(2*10*D1591/1000))*D1587))*2</f>
        <v>2.48</v>
      </c>
      <c r="P1591" s="8">
        <f>O1591*F1591</f>
        <v>54.56</v>
      </c>
      <c r="Q1591" s="8">
        <f>IF($D1591='[2]Beam '!Q$44,$P1591*'[2]Beam '!Q$45,0)</f>
        <v>0</v>
      </c>
      <c r="R1591" s="8">
        <f>IF($D1591='[2]Beam '!R$44,$P1591*'[2]Beam '!R$45,0)</f>
        <v>33.651828571428574</v>
      </c>
      <c r="S1591" s="8">
        <f>IF($D1591='[2]Beam '!S$44,$P1591*'[2]Beam '!S$45,0)</f>
        <v>0</v>
      </c>
      <c r="T1591" s="8">
        <f>IF($D1591='[2]Beam '!T$44,$P1591*'[2]Beam '!T$45,0)</f>
        <v>0</v>
      </c>
      <c r="U1591" s="8">
        <f>IF($D1591='[2]Beam '!U$44,$P1591*'[2]Beam '!U$45,0)</f>
        <v>0</v>
      </c>
      <c r="V1591" s="8">
        <f>IF($D1591='[2]Beam '!V$44,$P1591*'[2]Beam '!V$45,0)</f>
        <v>0</v>
      </c>
      <c r="W1591" s="8">
        <f>IF($D1591='[2]Beam '!W$44,$P1591*'[2]Beam '!W$45,0)</f>
        <v>0</v>
      </c>
      <c r="X1591" s="8">
        <f>SUM(Q1591:W1591)</f>
        <v>33.651828571428574</v>
      </c>
      <c r="Y1591" s="14"/>
      <c r="Z1591" s="8"/>
      <c r="AA1591" s="8"/>
      <c r="AB1591" s="8"/>
      <c r="AC1591" s="8"/>
      <c r="AD1591" s="8"/>
      <c r="AE1591" s="8"/>
    </row>
    <row r="1592" spans="1:32" s="10" customFormat="1" ht="20.100000000000001" customHeight="1" x14ac:dyDescent="0.25">
      <c r="A1592" s="7"/>
      <c r="B1592" s="8" t="s">
        <v>2</v>
      </c>
      <c r="C1592" s="13" t="s">
        <v>10</v>
      </c>
      <c r="D1592" s="8">
        <f>+'[2]Beam '!$D$15</f>
        <v>25</v>
      </c>
      <c r="E1592" s="8">
        <f>+'[2]Beam '!$E$15</f>
        <v>1</v>
      </c>
      <c r="F1592" s="8">
        <f>ROUNDUP((E1587)/E1592,0)</f>
        <v>3</v>
      </c>
      <c r="G1592" s="9"/>
      <c r="H1592" s="9"/>
      <c r="I1592" s="8"/>
      <c r="J1592" s="8"/>
      <c r="K1592" s="8"/>
      <c r="L1592" s="8"/>
      <c r="M1592" s="8"/>
      <c r="N1592" s="8"/>
      <c r="O1592" s="8">
        <f>F1587-'[2]Beam '!$F$15</f>
        <v>0.34</v>
      </c>
      <c r="P1592" s="8">
        <f>O1592*F1592</f>
        <v>1.02</v>
      </c>
      <c r="Q1592" s="8">
        <f>IF($D1592='[2]Beam '!Q$44,$P1592*'[2]Beam '!Q$45,0)</f>
        <v>0</v>
      </c>
      <c r="R1592" s="8">
        <f>IF($D1592='[2]Beam '!R$44,$P1592*'[2]Beam '!R$45,0)</f>
        <v>0</v>
      </c>
      <c r="S1592" s="8">
        <f>IF($D1592='[2]Beam '!S$44,$P1592*'[2]Beam '!S$45,0)</f>
        <v>0</v>
      </c>
      <c r="T1592" s="8">
        <f>IF($D1592='[2]Beam '!T$44,$P1592*'[2]Beam '!T$45,0)</f>
        <v>0</v>
      </c>
      <c r="U1592" s="8">
        <f>IF($D1592='[2]Beam '!U$44,$P1592*'[2]Beam '!U$45,0)</f>
        <v>0</v>
      </c>
      <c r="V1592" s="8">
        <f>IF($D1592='[2]Beam '!V$44,$P1592*'[2]Beam '!V$45,0)</f>
        <v>3.9320089285714293</v>
      </c>
      <c r="W1592" s="8">
        <f>IF($D1592='[2]Beam '!W$44,$P1592*'[2]Beam '!W$45,0)</f>
        <v>0</v>
      </c>
      <c r="X1592" s="8">
        <f>SUM(Q1592:W1592)</f>
        <v>3.9320089285714293</v>
      </c>
      <c r="Y1592" s="8"/>
      <c r="Z1592" s="8"/>
      <c r="AA1592" s="8"/>
      <c r="AB1592" s="8"/>
      <c r="AC1592" s="8"/>
      <c r="AD1592" s="8"/>
      <c r="AE1592" s="8"/>
    </row>
    <row r="1593" spans="1:32" s="10" customFormat="1" ht="19.5" customHeight="1" x14ac:dyDescent="0.25">
      <c r="A1593" s="8">
        <v>1</v>
      </c>
      <c r="B1593" s="8" t="s">
        <v>2</v>
      </c>
      <c r="C1593" s="11" t="s">
        <v>212</v>
      </c>
      <c r="D1593" s="11">
        <v>1</v>
      </c>
      <c r="E1593" s="11">
        <v>2.1139999999999999</v>
      </c>
      <c r="F1593" s="11">
        <v>0.4</v>
      </c>
      <c r="G1593" s="11">
        <v>1.1000000000000001</v>
      </c>
      <c r="H1593" s="8">
        <f>G1593-0.2</f>
        <v>0.90000000000000013</v>
      </c>
      <c r="I1593" s="8">
        <f>E1593*F1593*G1593*D1593</f>
        <v>0.9301600000000001</v>
      </c>
      <c r="J1593" s="8">
        <f>(2*(E1593)*H1593*D1593)+(E1593*F1593)</f>
        <v>4.6508000000000003</v>
      </c>
      <c r="K1593" s="12">
        <f>IF(E1593=0.3,J1593,0)</f>
        <v>0</v>
      </c>
      <c r="L1593" s="12">
        <f>IF(AND(E1593&gt;0.3,E1593&lt;=0.75),J1593,0)</f>
        <v>0</v>
      </c>
      <c r="M1593" s="12">
        <f>IF(AND(E1593&gt;0.75,E1593&lt;=1.2),J1593,0)</f>
        <v>0</v>
      </c>
      <c r="N1593" s="12">
        <f>IF(E1593&gt;1.2,J1593,0)</f>
        <v>4.6508000000000003</v>
      </c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>
        <f>SUM(X1594:X1595)/I1593</f>
        <v>119.82151304230301</v>
      </c>
      <c r="Z1593" s="8"/>
      <c r="AA1593" s="8"/>
      <c r="AB1593" s="8"/>
      <c r="AC1593" s="8"/>
      <c r="AD1593" s="8"/>
      <c r="AE1593" s="8"/>
    </row>
    <row r="1594" spans="1:32" s="14" customFormat="1" ht="20.100000000000001" customHeight="1" x14ac:dyDescent="0.3">
      <c r="A1594" s="7"/>
      <c r="B1594" s="8" t="s">
        <v>2</v>
      </c>
      <c r="C1594" s="13" t="s">
        <v>4</v>
      </c>
      <c r="D1594" s="8">
        <v>25</v>
      </c>
      <c r="E1594" s="8"/>
      <c r="F1594" s="8">
        <v>4</v>
      </c>
      <c r="G1594" s="9">
        <f>VLOOKUP(D1594,'[2]Beam '!$C$20:$H$26,3,0)</f>
        <v>1</v>
      </c>
      <c r="H1594" s="9"/>
      <c r="I1594" s="8"/>
      <c r="J1594" s="8"/>
      <c r="K1594" s="8"/>
      <c r="L1594" s="8"/>
      <c r="M1594" s="8"/>
      <c r="N1594" s="8"/>
      <c r="O1594" s="8">
        <f>(E1593+1*(G1594+(12*D1594/1000))+1*(0.4/2)*D1593)</f>
        <v>3.6139999999999999</v>
      </c>
      <c r="P1594" s="8">
        <f>O1594*F1594</f>
        <v>14.456</v>
      </c>
      <c r="Q1594" s="8">
        <f>IF($D1594='[2]Beam '!Q$44,$P1594*'[2]Beam '!Q$45,0)</f>
        <v>0</v>
      </c>
      <c r="R1594" s="8">
        <f>IF($D1594='[2]Beam '!R$44,$P1594*'[2]Beam '!R$45,0)</f>
        <v>0</v>
      </c>
      <c r="S1594" s="8">
        <f>IF($D1594='[2]Beam '!S$44,$P1594*'[2]Beam '!S$45,0)</f>
        <v>0</v>
      </c>
      <c r="T1594" s="8">
        <f>IF($D1594='[2]Beam '!T$44,$P1594*'[2]Beam '!T$45,0)</f>
        <v>0</v>
      </c>
      <c r="U1594" s="8">
        <f>IF($D1594='[2]Beam '!U$44,$P1594*'[2]Beam '!U$45,0)</f>
        <v>0</v>
      </c>
      <c r="V1594" s="8">
        <f>IF($D1594='[2]Beam '!V$44,$P1594*'[2]Beam '!V$45,0)</f>
        <v>55.72658928571429</v>
      </c>
      <c r="W1594" s="8">
        <f>IF($D1594='[2]Beam '!W$44,$P1594*'[2]Beam '!W$45,0)</f>
        <v>0</v>
      </c>
      <c r="X1594" s="8">
        <f>SUM(Q1594:W1594)</f>
        <v>55.72658928571429</v>
      </c>
      <c r="Y1594" s="8"/>
    </row>
    <row r="1595" spans="1:32" s="10" customFormat="1" ht="20.100000000000001" customHeight="1" x14ac:dyDescent="0.25">
      <c r="A1595" s="7"/>
      <c r="B1595" s="8" t="s">
        <v>2</v>
      </c>
      <c r="C1595" s="13" t="s">
        <v>139</v>
      </c>
      <c r="D1595" s="8">
        <v>25</v>
      </c>
      <c r="E1595" s="8"/>
      <c r="F1595" s="8">
        <v>4</v>
      </c>
      <c r="G1595" s="9">
        <f>VLOOKUP(D1595,'[2]Beam '!$C$20:$H$26,3,0)</f>
        <v>1</v>
      </c>
      <c r="H1595" s="9"/>
      <c r="I1595" s="8"/>
      <c r="J1595" s="8"/>
      <c r="K1595" s="8"/>
      <c r="L1595" s="8"/>
      <c r="M1595" s="8"/>
      <c r="N1595" s="8"/>
      <c r="O1595" s="8">
        <f>(E1593+1*(G1595+(12*D1595/1000))+1*(0.4/2)*D1593)</f>
        <v>3.6139999999999999</v>
      </c>
      <c r="P1595" s="8">
        <f>O1595*F1595</f>
        <v>14.456</v>
      </c>
      <c r="Q1595" s="8">
        <f>IF($D1595='[2]Beam '!Q$44,$P1595*'[2]Beam '!Q$45,0)</f>
        <v>0</v>
      </c>
      <c r="R1595" s="8">
        <f>IF($D1595='[2]Beam '!R$44,$P1595*'[2]Beam '!R$45,0)</f>
        <v>0</v>
      </c>
      <c r="S1595" s="8">
        <f>IF($D1595='[2]Beam '!S$44,$P1595*'[2]Beam '!S$45,0)</f>
        <v>0</v>
      </c>
      <c r="T1595" s="8">
        <f>IF($D1595='[2]Beam '!T$44,$P1595*'[2]Beam '!T$45,0)</f>
        <v>0</v>
      </c>
      <c r="U1595" s="8">
        <f>IF($D1595='[2]Beam '!U$44,$P1595*'[2]Beam '!U$45,0)</f>
        <v>0</v>
      </c>
      <c r="V1595" s="8">
        <f>IF($D1595='[2]Beam '!V$44,$P1595*'[2]Beam '!V$45,0)</f>
        <v>55.72658928571429</v>
      </c>
      <c r="W1595" s="8">
        <f>IF($D1595='[2]Beam '!W$44,$P1595*'[2]Beam '!W$45,0)</f>
        <v>0</v>
      </c>
      <c r="X1595" s="8">
        <f>SUM(Q1595:W1595)</f>
        <v>55.72658928571429</v>
      </c>
      <c r="Y1595" s="8"/>
      <c r="Z1595" s="8"/>
      <c r="AA1595" s="8"/>
      <c r="AB1595" s="8"/>
      <c r="AC1595" s="8"/>
      <c r="AD1595" s="8"/>
      <c r="AE1595" s="8"/>
    </row>
    <row r="1596" spans="1:32" s="10" customFormat="1" ht="21" customHeight="1" x14ac:dyDescent="0.25">
      <c r="A1596" s="7"/>
      <c r="B1596" s="8" t="s">
        <v>2</v>
      </c>
      <c r="C1596" s="13" t="s">
        <v>8</v>
      </c>
      <c r="D1596" s="8">
        <v>10</v>
      </c>
      <c r="E1596" s="8">
        <v>0.1</v>
      </c>
      <c r="F1596" s="8">
        <f>ROUNDUP(E1593/E1596,0)</f>
        <v>22</v>
      </c>
      <c r="H1596" s="8"/>
      <c r="I1596" s="8"/>
      <c r="J1596" s="8"/>
      <c r="K1596" s="8"/>
      <c r="L1596" s="8"/>
      <c r="M1596" s="8"/>
      <c r="N1596" s="8"/>
      <c r="O1596" s="8">
        <f>(2*((G1593-(2*'[2]Beam '!$D$11))+(F1593-(2*'[2]Beam '!$D$11)))+(2*10*D1596/1000))*D1593</f>
        <v>2.9600000000000004</v>
      </c>
      <c r="P1596" s="8">
        <f>O1596*F1596</f>
        <v>65.12</v>
      </c>
      <c r="Q1596" s="8">
        <f>IF($D1596='[2]Beam '!Q$44,$P1596*'[2]Beam '!Q$45,0)</f>
        <v>0</v>
      </c>
      <c r="R1596" s="8">
        <f>IF($D1596='[2]Beam '!R$44,$P1596*'[2]Beam '!R$45,0)</f>
        <v>40.165085714285716</v>
      </c>
      <c r="S1596" s="8">
        <f>IF($D1596='[2]Beam '!S$44,$P1596*'[2]Beam '!S$45,0)</f>
        <v>0</v>
      </c>
      <c r="T1596" s="8">
        <f>IF($D1596='[2]Beam '!T$44,$P1596*'[2]Beam '!T$45,0)</f>
        <v>0</v>
      </c>
      <c r="U1596" s="8">
        <f>IF($D1596='[2]Beam '!U$44,$P1596*'[2]Beam '!U$45,0)</f>
        <v>0</v>
      </c>
      <c r="V1596" s="8">
        <f>IF($D1596='[2]Beam '!V$44,$P1596*'[2]Beam '!V$45,0)</f>
        <v>0</v>
      </c>
      <c r="W1596" s="8">
        <f>IF($D1596='[2]Beam '!W$44,$P1596*'[2]Beam '!W$45,0)</f>
        <v>0</v>
      </c>
      <c r="X1596" s="8">
        <f>SUM(Q1596:W1596)</f>
        <v>40.165085714285716</v>
      </c>
      <c r="Y1596" s="8"/>
      <c r="Z1596" s="8"/>
      <c r="AA1596" s="8"/>
      <c r="AB1596" s="8"/>
      <c r="AC1596" s="8"/>
      <c r="AD1596" s="8"/>
      <c r="AE1596" s="8"/>
      <c r="AF1596" s="8"/>
    </row>
    <row r="1597" spans="1:32" s="10" customFormat="1" ht="20.100000000000001" customHeight="1" x14ac:dyDescent="0.25">
      <c r="A1597" s="14"/>
      <c r="B1597" s="8" t="s">
        <v>2</v>
      </c>
      <c r="C1597" s="13" t="s">
        <v>9</v>
      </c>
      <c r="D1597" s="8">
        <f>+D1596</f>
        <v>10</v>
      </c>
      <c r="E1597" s="14">
        <f>+E1596</f>
        <v>0.1</v>
      </c>
      <c r="F1597" s="8">
        <f>ROUNDUP(E1593/E1597,0)</f>
        <v>22</v>
      </c>
      <c r="H1597" s="14"/>
      <c r="I1597" s="14"/>
      <c r="J1597" s="14"/>
      <c r="K1597" s="14"/>
      <c r="L1597" s="14"/>
      <c r="M1597" s="14"/>
      <c r="N1597" s="14"/>
      <c r="O1597" s="8">
        <f>((((G1593-(2*'[2]Beam '!$D$11))+(2*10*D1597/1000))*D1593))*2</f>
        <v>2.48</v>
      </c>
      <c r="P1597" s="8">
        <f>O1597*F1597</f>
        <v>54.56</v>
      </c>
      <c r="Q1597" s="8">
        <f>IF($D1597='[2]Beam '!Q$44,$P1597*'[2]Beam '!Q$45,0)</f>
        <v>0</v>
      </c>
      <c r="R1597" s="8">
        <f>IF($D1597='[2]Beam '!R$44,$P1597*'[2]Beam '!R$45,0)</f>
        <v>33.651828571428574</v>
      </c>
      <c r="S1597" s="8">
        <f>IF($D1597='[2]Beam '!S$44,$P1597*'[2]Beam '!S$45,0)</f>
        <v>0</v>
      </c>
      <c r="T1597" s="8">
        <f>IF($D1597='[2]Beam '!T$44,$P1597*'[2]Beam '!T$45,0)</f>
        <v>0</v>
      </c>
      <c r="U1597" s="8">
        <f>IF($D1597='[2]Beam '!U$44,$P1597*'[2]Beam '!U$45,0)</f>
        <v>0</v>
      </c>
      <c r="V1597" s="8">
        <f>IF($D1597='[2]Beam '!V$44,$P1597*'[2]Beam '!V$45,0)</f>
        <v>0</v>
      </c>
      <c r="W1597" s="8">
        <f>IF($D1597='[2]Beam '!W$44,$P1597*'[2]Beam '!W$45,0)</f>
        <v>0</v>
      </c>
      <c r="X1597" s="8">
        <f>SUM(Q1597:W1597)</f>
        <v>33.651828571428574</v>
      </c>
      <c r="Y1597" s="14"/>
      <c r="Z1597" s="8"/>
      <c r="AA1597" s="8"/>
      <c r="AB1597" s="8"/>
      <c r="AC1597" s="8"/>
      <c r="AD1597" s="8"/>
      <c r="AE1597" s="8"/>
    </row>
    <row r="1598" spans="1:32" s="10" customFormat="1" ht="20.100000000000001" customHeight="1" x14ac:dyDescent="0.25">
      <c r="A1598" s="7"/>
      <c r="B1598" s="8" t="s">
        <v>2</v>
      </c>
      <c r="C1598" s="13" t="s">
        <v>10</v>
      </c>
      <c r="D1598" s="8">
        <f>+'[2]Beam '!$D$15</f>
        <v>25</v>
      </c>
      <c r="E1598" s="8">
        <f>+'[2]Beam '!$E$15</f>
        <v>1</v>
      </c>
      <c r="F1598" s="8">
        <f>ROUNDUP((E1593)/E1598,0)</f>
        <v>3</v>
      </c>
      <c r="G1598" s="9"/>
      <c r="H1598" s="9"/>
      <c r="I1598" s="8"/>
      <c r="J1598" s="8"/>
      <c r="K1598" s="8"/>
      <c r="L1598" s="8"/>
      <c r="M1598" s="8"/>
      <c r="N1598" s="8"/>
      <c r="O1598" s="8">
        <f>F1593-'[2]Beam '!$F$15</f>
        <v>0.34</v>
      </c>
      <c r="P1598" s="8">
        <f>O1598*F1598</f>
        <v>1.02</v>
      </c>
      <c r="Q1598" s="8">
        <f>IF($D1598='[2]Beam '!Q$44,$P1598*'[2]Beam '!Q$45,0)</f>
        <v>0</v>
      </c>
      <c r="R1598" s="8">
        <f>IF($D1598='[2]Beam '!R$44,$P1598*'[2]Beam '!R$45,0)</f>
        <v>0</v>
      </c>
      <c r="S1598" s="8">
        <f>IF($D1598='[2]Beam '!S$44,$P1598*'[2]Beam '!S$45,0)</f>
        <v>0</v>
      </c>
      <c r="T1598" s="8">
        <f>IF($D1598='[2]Beam '!T$44,$P1598*'[2]Beam '!T$45,0)</f>
        <v>0</v>
      </c>
      <c r="U1598" s="8">
        <f>IF($D1598='[2]Beam '!U$44,$P1598*'[2]Beam '!U$45,0)</f>
        <v>0</v>
      </c>
      <c r="V1598" s="8">
        <f>IF($D1598='[2]Beam '!V$44,$P1598*'[2]Beam '!V$45,0)</f>
        <v>3.9320089285714293</v>
      </c>
      <c r="W1598" s="8">
        <f>IF($D1598='[2]Beam '!W$44,$P1598*'[2]Beam '!W$45,0)</f>
        <v>0</v>
      </c>
      <c r="X1598" s="8">
        <f>SUM(Q1598:W1598)</f>
        <v>3.9320089285714293</v>
      </c>
      <c r="Y1598" s="8"/>
      <c r="Z1598" s="8"/>
      <c r="AA1598" s="8"/>
      <c r="AB1598" s="8"/>
      <c r="AC1598" s="8"/>
      <c r="AD1598" s="8"/>
      <c r="AE1598" s="8"/>
    </row>
    <row r="1599" spans="1:32" s="10" customFormat="1" ht="20.100000000000001" customHeight="1" x14ac:dyDescent="0.25">
      <c r="A1599" s="8">
        <v>1</v>
      </c>
      <c r="B1599" s="8" t="s">
        <v>2</v>
      </c>
      <c r="C1599" s="11" t="s">
        <v>213</v>
      </c>
      <c r="D1599" s="11">
        <v>1</v>
      </c>
      <c r="E1599" s="11">
        <v>3</v>
      </c>
      <c r="F1599" s="11">
        <v>0.4</v>
      </c>
      <c r="G1599" s="11">
        <v>1.1000000000000001</v>
      </c>
      <c r="H1599" s="8">
        <f>G1599-0.2</f>
        <v>0.90000000000000013</v>
      </c>
      <c r="I1599" s="8">
        <f>E1599*F1599*G1599*D1599</f>
        <v>1.3200000000000003</v>
      </c>
      <c r="J1599" s="8">
        <f>(2*(E1599)*H1599*D1599)+(E1599*F1599)</f>
        <v>6.6000000000000005</v>
      </c>
      <c r="K1599" s="12">
        <f>IF(E1599=0.3,J1599,0)</f>
        <v>0</v>
      </c>
      <c r="L1599" s="12">
        <f>IF(AND(E1599&gt;0.3,E1599&lt;=0.75),J1599,0)</f>
        <v>0</v>
      </c>
      <c r="M1599" s="12">
        <f>IF(AND(E1599&gt;0.75,E1599&lt;=1.2),J1599,0)</f>
        <v>0</v>
      </c>
      <c r="N1599" s="12">
        <f>IF(E1599&gt;1.2,J1599,0)</f>
        <v>6.6000000000000005</v>
      </c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>
        <f>SUM(X1600:X1601)/I1599</f>
        <v>79.43452380952381</v>
      </c>
      <c r="Z1599" s="8"/>
      <c r="AA1599" s="8"/>
      <c r="AB1599" s="8"/>
      <c r="AC1599" s="8"/>
      <c r="AD1599" s="8"/>
      <c r="AE1599" s="8"/>
    </row>
    <row r="1600" spans="1:32" s="14" customFormat="1" ht="20.100000000000001" customHeight="1" x14ac:dyDescent="0.3">
      <c r="A1600" s="7"/>
      <c r="B1600" s="8" t="s">
        <v>2</v>
      </c>
      <c r="C1600" s="13" t="s">
        <v>4</v>
      </c>
      <c r="D1600" s="8">
        <v>25</v>
      </c>
      <c r="E1600" s="8"/>
      <c r="F1600" s="8">
        <v>4</v>
      </c>
      <c r="G1600" s="9">
        <f>VLOOKUP(D1600,'[2]Beam '!$C$20:$H$26,3,0)</f>
        <v>1</v>
      </c>
      <c r="H1600" s="9"/>
      <c r="I1600" s="8"/>
      <c r="J1600" s="8"/>
      <c r="K1600" s="8"/>
      <c r="L1600" s="8"/>
      <c r="M1600" s="8"/>
      <c r="N1600" s="8"/>
      <c r="O1600" s="8">
        <f>(E1599+1*(0.4/2))+1*(0.4/2)*D1599</f>
        <v>3.4000000000000004</v>
      </c>
      <c r="P1600" s="8">
        <f t="shared" ref="P1600:P1606" si="293">O1600*F1600</f>
        <v>13.600000000000001</v>
      </c>
      <c r="Q1600" s="8">
        <f>IF($D1600='[2]Beam '!Q$44,$P1600*'[2]Beam '!Q$45,0)</f>
        <v>0</v>
      </c>
      <c r="R1600" s="8">
        <f>IF($D1600='[2]Beam '!R$44,$P1600*'[2]Beam '!R$45,0)</f>
        <v>0</v>
      </c>
      <c r="S1600" s="8">
        <f>IF($D1600='[2]Beam '!S$44,$P1600*'[2]Beam '!S$45,0)</f>
        <v>0</v>
      </c>
      <c r="T1600" s="8">
        <f>IF($D1600='[2]Beam '!T$44,$P1600*'[2]Beam '!T$45,0)</f>
        <v>0</v>
      </c>
      <c r="U1600" s="8">
        <f>IF($D1600='[2]Beam '!U$44,$P1600*'[2]Beam '!U$45,0)</f>
        <v>0</v>
      </c>
      <c r="V1600" s="8">
        <f>IF($D1600='[2]Beam '!V$44,$P1600*'[2]Beam '!V$45,0)</f>
        <v>52.426785714285728</v>
      </c>
      <c r="W1600" s="8">
        <f>IF($D1600='[2]Beam '!W$44,$P1600*'[2]Beam '!W$45,0)</f>
        <v>0</v>
      </c>
      <c r="X1600" s="8">
        <f t="shared" ref="X1600:X1606" si="294">SUM(Q1600:W1600)</f>
        <v>52.426785714285728</v>
      </c>
      <c r="Y1600" s="8"/>
    </row>
    <row r="1601" spans="1:32" s="14" customFormat="1" ht="20.100000000000001" customHeight="1" x14ac:dyDescent="0.3">
      <c r="A1601" s="7"/>
      <c r="B1601" s="8" t="s">
        <v>2</v>
      </c>
      <c r="C1601" s="13" t="s">
        <v>139</v>
      </c>
      <c r="D1601" s="8">
        <v>25</v>
      </c>
      <c r="E1601" s="8"/>
      <c r="F1601" s="8">
        <v>4</v>
      </c>
      <c r="G1601" s="9">
        <f>VLOOKUP(D1601,'[2]Beam '!$C$20:$H$26,3,0)</f>
        <v>1</v>
      </c>
      <c r="H1601" s="9"/>
      <c r="I1601" s="8"/>
      <c r="J1601" s="8"/>
      <c r="K1601" s="8"/>
      <c r="L1601" s="8"/>
      <c r="M1601" s="8"/>
      <c r="N1601" s="8"/>
      <c r="O1601" s="8">
        <f>(E1599+1*(0.4/2))+1*(0.4/2)*D1599</f>
        <v>3.4000000000000004</v>
      </c>
      <c r="P1601" s="8">
        <f t="shared" si="293"/>
        <v>13.600000000000001</v>
      </c>
      <c r="Q1601" s="8">
        <f>IF($D1601='[2]Beam '!Q$44,$P1601*'[2]Beam '!Q$45,0)</f>
        <v>0</v>
      </c>
      <c r="R1601" s="8">
        <f>IF($D1601='[2]Beam '!R$44,$P1601*'[2]Beam '!R$45,0)</f>
        <v>0</v>
      </c>
      <c r="S1601" s="8">
        <f>IF($D1601='[2]Beam '!S$44,$P1601*'[2]Beam '!S$45,0)</f>
        <v>0</v>
      </c>
      <c r="T1601" s="8">
        <f>IF($D1601='[2]Beam '!T$44,$P1601*'[2]Beam '!T$45,0)</f>
        <v>0</v>
      </c>
      <c r="U1601" s="8">
        <f>IF($D1601='[2]Beam '!U$44,$P1601*'[2]Beam '!U$45,0)</f>
        <v>0</v>
      </c>
      <c r="V1601" s="8">
        <f>IF($D1601='[2]Beam '!V$44,$P1601*'[2]Beam '!V$45,0)</f>
        <v>52.426785714285728</v>
      </c>
      <c r="W1601" s="8">
        <f>IF($D1601='[2]Beam '!W$44,$P1601*'[2]Beam '!W$45,0)</f>
        <v>0</v>
      </c>
      <c r="X1601" s="8">
        <f t="shared" si="294"/>
        <v>52.426785714285728</v>
      </c>
      <c r="Y1601" s="8"/>
    </row>
    <row r="1602" spans="1:32" s="14" customFormat="1" ht="20.100000000000001" customHeight="1" x14ac:dyDescent="0.25">
      <c r="A1602" s="7"/>
      <c r="B1602" s="8" t="s">
        <v>2</v>
      </c>
      <c r="C1602" s="13" t="s">
        <v>8</v>
      </c>
      <c r="D1602" s="8">
        <v>10</v>
      </c>
      <c r="E1602" s="8">
        <v>0.1</v>
      </c>
      <c r="F1602" s="8">
        <f>ROUNDUP((E1599/3*2)/E1602,0)+1</f>
        <v>21</v>
      </c>
      <c r="G1602" s="10"/>
      <c r="H1602" s="8"/>
      <c r="I1602" s="8"/>
      <c r="J1602" s="8"/>
      <c r="K1602" s="8"/>
      <c r="L1602" s="8"/>
      <c r="M1602" s="8"/>
      <c r="N1602" s="8"/>
      <c r="O1602" s="8">
        <f>(2*((G1599-(2*'[2]Beam '!$D$11))+(F1599-(2*'[2]Beam '!$D$11)))+(2*10*D1602/1000))*D1599</f>
        <v>2.9600000000000004</v>
      </c>
      <c r="P1602" s="8">
        <f t="shared" si="293"/>
        <v>62.160000000000011</v>
      </c>
      <c r="Q1602" s="8">
        <f>IF($D1602='[2]Beam '!Q$44,$P1602*'[2]Beam '!Q$45,0)</f>
        <v>0</v>
      </c>
      <c r="R1602" s="8">
        <f>IF($D1602='[2]Beam '!R$44,$P1602*'[2]Beam '!R$45,0)</f>
        <v>38.339400000000005</v>
      </c>
      <c r="S1602" s="8">
        <f>IF($D1602='[2]Beam '!S$44,$P1602*'[2]Beam '!S$45,0)</f>
        <v>0</v>
      </c>
      <c r="T1602" s="8">
        <f>IF($D1602='[2]Beam '!T$44,$P1602*'[2]Beam '!T$45,0)</f>
        <v>0</v>
      </c>
      <c r="U1602" s="8">
        <f>IF($D1602='[2]Beam '!U$44,$P1602*'[2]Beam '!U$45,0)</f>
        <v>0</v>
      </c>
      <c r="V1602" s="8">
        <f>IF($D1602='[2]Beam '!V$44,$P1602*'[2]Beam '!V$45,0)</f>
        <v>0</v>
      </c>
      <c r="W1602" s="8">
        <f>IF($D1602='[2]Beam '!W$44,$P1602*'[2]Beam '!W$45,0)</f>
        <v>0</v>
      </c>
      <c r="X1602" s="8">
        <f t="shared" si="294"/>
        <v>38.339400000000005</v>
      </c>
      <c r="Y1602" s="8"/>
    </row>
    <row r="1603" spans="1:32" s="10" customFormat="1" ht="20.100000000000001" customHeight="1" x14ac:dyDescent="0.25">
      <c r="A1603" s="14"/>
      <c r="B1603" s="8" t="s">
        <v>2</v>
      </c>
      <c r="C1603" s="13" t="s">
        <v>8</v>
      </c>
      <c r="D1603" s="14">
        <f>D1602</f>
        <v>10</v>
      </c>
      <c r="E1603" s="14">
        <v>0.15</v>
      </c>
      <c r="F1603" s="8">
        <f>ROUNDUP((E1599/3)/E1603,0)+1</f>
        <v>8</v>
      </c>
      <c r="H1603" s="14"/>
      <c r="I1603" s="14"/>
      <c r="J1603" s="14"/>
      <c r="K1603" s="14"/>
      <c r="L1603" s="14"/>
      <c r="M1603" s="14"/>
      <c r="N1603" s="14"/>
      <c r="O1603" s="8">
        <f>(2*((G1599-(2*'[2]Beam '!$D$11))+(F1599-(2*'[2]Beam '!$D$11)))+(2*10*D1603/1000))*D1599</f>
        <v>2.9600000000000004</v>
      </c>
      <c r="P1603" s="8">
        <f t="shared" si="293"/>
        <v>23.680000000000003</v>
      </c>
      <c r="Q1603" s="8">
        <f>IF($D1603='[2]Beam '!Q$44,$P1603*'[2]Beam '!Q$45,0)</f>
        <v>0</v>
      </c>
      <c r="R1603" s="8">
        <f>IF($D1603='[2]Beam '!R$44,$P1603*'[2]Beam '!R$45,0)</f>
        <v>14.605485714285717</v>
      </c>
      <c r="S1603" s="8">
        <f>IF($D1603='[2]Beam '!S$44,$P1603*'[2]Beam '!S$45,0)</f>
        <v>0</v>
      </c>
      <c r="T1603" s="8">
        <f>IF($D1603='[2]Beam '!T$44,$P1603*'[2]Beam '!T$45,0)</f>
        <v>0</v>
      </c>
      <c r="U1603" s="8">
        <f>IF($D1603='[2]Beam '!U$44,$P1603*'[2]Beam '!U$45,0)</f>
        <v>0</v>
      </c>
      <c r="V1603" s="8">
        <f>IF($D1603='[2]Beam '!V$44,$P1603*'[2]Beam '!V$45,0)</f>
        <v>0</v>
      </c>
      <c r="W1603" s="8">
        <f>IF($D1603='[2]Beam '!W$44,$P1603*'[2]Beam '!W$45,0)</f>
        <v>0</v>
      </c>
      <c r="X1603" s="8">
        <f t="shared" si="294"/>
        <v>14.605485714285717</v>
      </c>
      <c r="Y1603" s="14"/>
      <c r="Z1603" s="8"/>
      <c r="AA1603" s="8"/>
      <c r="AB1603" s="8"/>
      <c r="AC1603" s="8"/>
      <c r="AD1603" s="8"/>
      <c r="AE1603" s="8"/>
    </row>
    <row r="1604" spans="1:32" s="10" customFormat="1" ht="21" customHeight="1" x14ac:dyDescent="0.25">
      <c r="A1604" s="14"/>
      <c r="B1604" s="8" t="s">
        <v>2</v>
      </c>
      <c r="C1604" s="13" t="s">
        <v>9</v>
      </c>
      <c r="D1604" s="14">
        <f>D1602</f>
        <v>10</v>
      </c>
      <c r="E1604" s="14">
        <f>+E1602</f>
        <v>0.1</v>
      </c>
      <c r="F1604" s="8">
        <f>ROUNDUP((E1599/3*2)/E1604,0)+1</f>
        <v>21</v>
      </c>
      <c r="H1604" s="14"/>
      <c r="I1604" s="14"/>
      <c r="J1604" s="14"/>
      <c r="K1604" s="14"/>
      <c r="L1604" s="14"/>
      <c r="M1604" s="14"/>
      <c r="N1604" s="14"/>
      <c r="O1604" s="8">
        <f>((((G1599-(2*'[2]Beam '!$D$11))+(2*10*D1604/1000))*D1599))*2</f>
        <v>2.48</v>
      </c>
      <c r="P1604" s="8">
        <f t="shared" si="293"/>
        <v>52.08</v>
      </c>
      <c r="Q1604" s="8">
        <f>IF($D1604='[2]Beam '!Q$44,$P1604*'[2]Beam '!Q$45,0)</f>
        <v>0</v>
      </c>
      <c r="R1604" s="8">
        <f>IF($D1604='[2]Beam '!R$44,$P1604*'[2]Beam '!R$45,0)</f>
        <v>32.122199999999999</v>
      </c>
      <c r="S1604" s="8">
        <f>IF($D1604='[2]Beam '!S$44,$P1604*'[2]Beam '!S$45,0)</f>
        <v>0</v>
      </c>
      <c r="T1604" s="8">
        <f>IF($D1604='[2]Beam '!T$44,$P1604*'[2]Beam '!T$45,0)</f>
        <v>0</v>
      </c>
      <c r="U1604" s="8">
        <f>IF($D1604='[2]Beam '!U$44,$P1604*'[2]Beam '!U$45,0)</f>
        <v>0</v>
      </c>
      <c r="V1604" s="8">
        <f>IF($D1604='[2]Beam '!V$44,$P1604*'[2]Beam '!V$45,0)</f>
        <v>0</v>
      </c>
      <c r="W1604" s="8">
        <f>IF($D1604='[2]Beam '!W$44,$P1604*'[2]Beam '!W$45,0)</f>
        <v>0</v>
      </c>
      <c r="X1604" s="8">
        <f t="shared" si="294"/>
        <v>32.122199999999999</v>
      </c>
      <c r="Y1604" s="14"/>
      <c r="Z1604" s="8"/>
      <c r="AA1604" s="8"/>
      <c r="AB1604" s="8"/>
      <c r="AC1604" s="8"/>
      <c r="AD1604" s="8"/>
      <c r="AE1604" s="8"/>
      <c r="AF1604" s="8"/>
    </row>
    <row r="1605" spans="1:32" s="10" customFormat="1" ht="20.100000000000001" customHeight="1" x14ac:dyDescent="0.25">
      <c r="A1605" s="14"/>
      <c r="B1605" s="8" t="s">
        <v>2</v>
      </c>
      <c r="C1605" s="13" t="s">
        <v>9</v>
      </c>
      <c r="D1605" s="14">
        <f>D1603</f>
        <v>10</v>
      </c>
      <c r="E1605" s="14">
        <f>+E1603</f>
        <v>0.15</v>
      </c>
      <c r="F1605" s="8">
        <f>ROUNDUP((E1599/3)/E1605,0)+1</f>
        <v>8</v>
      </c>
      <c r="H1605" s="14"/>
      <c r="I1605" s="14"/>
      <c r="J1605" s="14"/>
      <c r="K1605" s="14"/>
      <c r="L1605" s="14"/>
      <c r="M1605" s="14"/>
      <c r="N1605" s="14"/>
      <c r="O1605" s="8">
        <f>((((G1599-(2*'[2]Beam '!$D$11))+(2*10*D1605/1000))*D1599))*2</f>
        <v>2.48</v>
      </c>
      <c r="P1605" s="8">
        <f t="shared" si="293"/>
        <v>19.84</v>
      </c>
      <c r="Q1605" s="8">
        <f>IF($D1605='[2]Beam '!Q$44,$P1605*'[2]Beam '!Q$45,0)</f>
        <v>0</v>
      </c>
      <c r="R1605" s="8">
        <f>IF($D1605='[2]Beam '!R$44,$P1605*'[2]Beam '!R$45,0)</f>
        <v>12.237028571428571</v>
      </c>
      <c r="S1605" s="8">
        <f>IF($D1605='[2]Beam '!S$44,$P1605*'[2]Beam '!S$45,0)</f>
        <v>0</v>
      </c>
      <c r="T1605" s="8">
        <f>IF($D1605='[2]Beam '!T$44,$P1605*'[2]Beam '!T$45,0)</f>
        <v>0</v>
      </c>
      <c r="U1605" s="8">
        <f>IF($D1605='[2]Beam '!U$44,$P1605*'[2]Beam '!U$45,0)</f>
        <v>0</v>
      </c>
      <c r="V1605" s="8">
        <f>IF($D1605='[2]Beam '!V$44,$P1605*'[2]Beam '!V$45,0)</f>
        <v>0</v>
      </c>
      <c r="W1605" s="8">
        <f>IF($D1605='[2]Beam '!W$44,$P1605*'[2]Beam '!W$45,0)</f>
        <v>0</v>
      </c>
      <c r="X1605" s="8">
        <f t="shared" si="294"/>
        <v>12.237028571428571</v>
      </c>
      <c r="Y1605" s="14"/>
      <c r="Z1605" s="8"/>
      <c r="AA1605" s="8"/>
      <c r="AB1605" s="8"/>
      <c r="AC1605" s="8"/>
      <c r="AD1605" s="8"/>
      <c r="AE1605" s="8"/>
    </row>
    <row r="1606" spans="1:32" s="10" customFormat="1" ht="20.100000000000001" customHeight="1" x14ac:dyDescent="0.25">
      <c r="A1606" s="7"/>
      <c r="B1606" s="8" t="s">
        <v>2</v>
      </c>
      <c r="C1606" s="13" t="s">
        <v>10</v>
      </c>
      <c r="D1606" s="8">
        <f>+'[2]Beam '!$D$15</f>
        <v>25</v>
      </c>
      <c r="E1606" s="8">
        <f>+'[2]Beam '!$E$15</f>
        <v>1</v>
      </c>
      <c r="F1606" s="8">
        <f>ROUNDUP((E1599)/E1606,0)</f>
        <v>3</v>
      </c>
      <c r="G1606" s="9"/>
      <c r="H1606" s="9"/>
      <c r="I1606" s="8"/>
      <c r="J1606" s="8"/>
      <c r="K1606" s="8"/>
      <c r="L1606" s="8"/>
      <c r="M1606" s="8"/>
      <c r="N1606" s="8"/>
      <c r="O1606" s="8">
        <f>F1599-'[2]Beam '!$F$15</f>
        <v>0.34</v>
      </c>
      <c r="P1606" s="8">
        <f t="shared" si="293"/>
        <v>1.02</v>
      </c>
      <c r="Q1606" s="8">
        <f>IF($D1606='[2]Beam '!Q$44,$P1606*'[2]Beam '!Q$45,0)</f>
        <v>0</v>
      </c>
      <c r="R1606" s="8">
        <f>IF($D1606='[2]Beam '!R$44,$P1606*'[2]Beam '!R$45,0)</f>
        <v>0</v>
      </c>
      <c r="S1606" s="8">
        <f>IF($D1606='[2]Beam '!S$44,$P1606*'[2]Beam '!S$45,0)</f>
        <v>0</v>
      </c>
      <c r="T1606" s="8">
        <f>IF($D1606='[2]Beam '!T$44,$P1606*'[2]Beam '!T$45,0)</f>
        <v>0</v>
      </c>
      <c r="U1606" s="8">
        <f>IF($D1606='[2]Beam '!U$44,$P1606*'[2]Beam '!U$45,0)</f>
        <v>0</v>
      </c>
      <c r="V1606" s="8">
        <f>IF($D1606='[2]Beam '!V$44,$P1606*'[2]Beam '!V$45,0)</f>
        <v>3.9320089285714293</v>
      </c>
      <c r="W1606" s="8">
        <f>IF($D1606='[2]Beam '!W$44,$P1606*'[2]Beam '!W$45,0)</f>
        <v>0</v>
      </c>
      <c r="X1606" s="8">
        <f t="shared" si="294"/>
        <v>3.9320089285714293</v>
      </c>
      <c r="Y1606" s="8"/>
      <c r="Z1606" s="8"/>
      <c r="AA1606" s="8"/>
      <c r="AB1606" s="8"/>
      <c r="AC1606" s="8"/>
      <c r="AD1606" s="8"/>
      <c r="AE1606" s="8"/>
    </row>
    <row r="1607" spans="1:32" s="10" customFormat="1" ht="20.100000000000001" customHeight="1" x14ac:dyDescent="0.25">
      <c r="A1607" s="8">
        <v>1</v>
      </c>
      <c r="B1607" s="8" t="s">
        <v>2</v>
      </c>
      <c r="C1607" s="11" t="s">
        <v>214</v>
      </c>
      <c r="D1607" s="11">
        <v>1</v>
      </c>
      <c r="E1607" s="11">
        <v>3</v>
      </c>
      <c r="F1607" s="11">
        <v>0.4</v>
      </c>
      <c r="G1607" s="11">
        <v>1.1000000000000001</v>
      </c>
      <c r="H1607" s="8">
        <f>G1607-0.2</f>
        <v>0.90000000000000013</v>
      </c>
      <c r="I1607" s="8">
        <f>E1607*F1607*G1607*D1607</f>
        <v>1.3200000000000003</v>
      </c>
      <c r="J1607" s="8">
        <f>(2*(E1607)*H1607*D1607)+(E1607*F1607)</f>
        <v>6.6000000000000005</v>
      </c>
      <c r="K1607" s="12">
        <f>IF(E1607=0.3,J1607,0)</f>
        <v>0</v>
      </c>
      <c r="L1607" s="12">
        <f>IF(AND(E1607&gt;0.3,E1607&lt;=0.75),J1607,0)</f>
        <v>0</v>
      </c>
      <c r="M1607" s="12">
        <f>IF(AND(E1607&gt;0.75,E1607&lt;=1.2),J1607,0)</f>
        <v>0</v>
      </c>
      <c r="N1607" s="12">
        <f>IF(E1607&gt;1.2,J1607,0)</f>
        <v>6.6000000000000005</v>
      </c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>
        <f>SUM(X1608:X1609)/I1607</f>
        <v>105.13392857142856</v>
      </c>
      <c r="Z1607" s="8"/>
      <c r="AA1607" s="8"/>
      <c r="AB1607" s="8"/>
      <c r="AC1607" s="8"/>
      <c r="AD1607" s="8"/>
      <c r="AE1607" s="8"/>
    </row>
    <row r="1608" spans="1:32" s="14" customFormat="1" ht="20.100000000000001" customHeight="1" x14ac:dyDescent="0.3">
      <c r="A1608" s="7"/>
      <c r="B1608" s="8" t="s">
        <v>2</v>
      </c>
      <c r="C1608" s="13" t="s">
        <v>4</v>
      </c>
      <c r="D1608" s="8">
        <v>25</v>
      </c>
      <c r="E1608" s="8"/>
      <c r="F1608" s="8">
        <v>4</v>
      </c>
      <c r="G1608" s="9">
        <f>VLOOKUP(D1608,'[2]Beam '!$C$20:$H$26,3,0)</f>
        <v>1</v>
      </c>
      <c r="H1608" s="9"/>
      <c r="I1608" s="8"/>
      <c r="J1608" s="8"/>
      <c r="K1608" s="8"/>
      <c r="L1608" s="8"/>
      <c r="M1608" s="8"/>
      <c r="N1608" s="8"/>
      <c r="O1608" s="8">
        <f>(E1607+1*(G1608+(12*D1608/1000))+1*(0.4/2)*D1607)</f>
        <v>4.5</v>
      </c>
      <c r="P1608" s="8">
        <f t="shared" ref="P1608:P1614" si="295">O1608*F1608</f>
        <v>18</v>
      </c>
      <c r="Q1608" s="8">
        <f>IF($D1608='[2]Beam '!Q$44,$P1608*'[2]Beam '!Q$45,0)</f>
        <v>0</v>
      </c>
      <c r="R1608" s="8">
        <f>IF($D1608='[2]Beam '!R$44,$P1608*'[2]Beam '!R$45,0)</f>
        <v>0</v>
      </c>
      <c r="S1608" s="8">
        <f>IF($D1608='[2]Beam '!S$44,$P1608*'[2]Beam '!S$45,0)</f>
        <v>0</v>
      </c>
      <c r="T1608" s="8">
        <f>IF($D1608='[2]Beam '!T$44,$P1608*'[2]Beam '!T$45,0)</f>
        <v>0</v>
      </c>
      <c r="U1608" s="8">
        <f>IF($D1608='[2]Beam '!U$44,$P1608*'[2]Beam '!U$45,0)</f>
        <v>0</v>
      </c>
      <c r="V1608" s="8">
        <f>IF($D1608='[2]Beam '!V$44,$P1608*'[2]Beam '!V$45,0)</f>
        <v>69.388392857142861</v>
      </c>
      <c r="W1608" s="8">
        <f>IF($D1608='[2]Beam '!W$44,$P1608*'[2]Beam '!W$45,0)</f>
        <v>0</v>
      </c>
      <c r="X1608" s="8">
        <f t="shared" ref="X1608:X1614" si="296">SUM(Q1608:W1608)</f>
        <v>69.388392857142861</v>
      </c>
      <c r="Y1608" s="8"/>
    </row>
    <row r="1609" spans="1:32" s="14" customFormat="1" ht="20.100000000000001" customHeight="1" x14ac:dyDescent="0.3">
      <c r="A1609" s="7"/>
      <c r="B1609" s="8" t="s">
        <v>2</v>
      </c>
      <c r="C1609" s="13" t="s">
        <v>139</v>
      </c>
      <c r="D1609" s="8">
        <v>25</v>
      </c>
      <c r="E1609" s="8"/>
      <c r="F1609" s="8">
        <v>4</v>
      </c>
      <c r="G1609" s="9">
        <f>VLOOKUP(D1609,'[2]Beam '!$C$20:$H$26,3,0)</f>
        <v>1</v>
      </c>
      <c r="H1609" s="9"/>
      <c r="I1609" s="8"/>
      <c r="J1609" s="8"/>
      <c r="K1609" s="8"/>
      <c r="L1609" s="8"/>
      <c r="M1609" s="8"/>
      <c r="N1609" s="8"/>
      <c r="O1609" s="8">
        <f>(E1607+1*(G1609+(12*D1609/1000))+1*(0.4/2)*D1607)</f>
        <v>4.5</v>
      </c>
      <c r="P1609" s="8">
        <f t="shared" si="295"/>
        <v>18</v>
      </c>
      <c r="Q1609" s="8">
        <f>IF($D1609='[2]Beam '!Q$44,$P1609*'[2]Beam '!Q$45,0)</f>
        <v>0</v>
      </c>
      <c r="R1609" s="8">
        <f>IF($D1609='[2]Beam '!R$44,$P1609*'[2]Beam '!R$45,0)</f>
        <v>0</v>
      </c>
      <c r="S1609" s="8">
        <f>IF($D1609='[2]Beam '!S$44,$P1609*'[2]Beam '!S$45,0)</f>
        <v>0</v>
      </c>
      <c r="T1609" s="8">
        <f>IF($D1609='[2]Beam '!T$44,$P1609*'[2]Beam '!T$45,0)</f>
        <v>0</v>
      </c>
      <c r="U1609" s="8">
        <f>IF($D1609='[2]Beam '!U$44,$P1609*'[2]Beam '!U$45,0)</f>
        <v>0</v>
      </c>
      <c r="V1609" s="8">
        <f>IF($D1609='[2]Beam '!V$44,$P1609*'[2]Beam '!V$45,0)</f>
        <v>69.388392857142861</v>
      </c>
      <c r="W1609" s="8">
        <f>IF($D1609='[2]Beam '!W$44,$P1609*'[2]Beam '!W$45,0)</f>
        <v>0</v>
      </c>
      <c r="X1609" s="8">
        <f t="shared" si="296"/>
        <v>69.388392857142861</v>
      </c>
      <c r="Y1609" s="8"/>
    </row>
    <row r="1610" spans="1:32" s="14" customFormat="1" ht="20.100000000000001" customHeight="1" x14ac:dyDescent="0.25">
      <c r="A1610" s="7"/>
      <c r="B1610" s="8" t="s">
        <v>2</v>
      </c>
      <c r="C1610" s="13" t="s">
        <v>13</v>
      </c>
      <c r="D1610" s="8">
        <v>10</v>
      </c>
      <c r="E1610" s="8">
        <v>0.1</v>
      </c>
      <c r="F1610" s="8">
        <f>ROUNDUP((E1607/3*2)/E1610,0)+1</f>
        <v>21</v>
      </c>
      <c r="G1610" s="10"/>
      <c r="H1610" s="8"/>
      <c r="I1610" s="8"/>
      <c r="J1610" s="8"/>
      <c r="K1610" s="8"/>
      <c r="L1610" s="8"/>
      <c r="M1610" s="8"/>
      <c r="N1610" s="8"/>
      <c r="O1610" s="8">
        <f>(2*((G1607-(2*'[2]Beam '!$D$11))+(F1607-(2*'[2]Beam '!$D$11)))+(2*10*D1610/1000))*D1607</f>
        <v>2.9600000000000004</v>
      </c>
      <c r="P1610" s="8">
        <f t="shared" si="295"/>
        <v>62.160000000000011</v>
      </c>
      <c r="Q1610" s="8">
        <f>IF($D1610='[2]Beam '!Q$44,$P1610*'[2]Beam '!Q$45,0)</f>
        <v>0</v>
      </c>
      <c r="R1610" s="8">
        <f>IF($D1610='[2]Beam '!R$44,$P1610*'[2]Beam '!R$45,0)</f>
        <v>38.339400000000005</v>
      </c>
      <c r="S1610" s="8">
        <f>IF($D1610='[2]Beam '!S$44,$P1610*'[2]Beam '!S$45,0)</f>
        <v>0</v>
      </c>
      <c r="T1610" s="8">
        <f>IF($D1610='[2]Beam '!T$44,$P1610*'[2]Beam '!T$45,0)</f>
        <v>0</v>
      </c>
      <c r="U1610" s="8">
        <f>IF($D1610='[2]Beam '!U$44,$P1610*'[2]Beam '!U$45,0)</f>
        <v>0</v>
      </c>
      <c r="V1610" s="8">
        <f>IF($D1610='[2]Beam '!V$44,$P1610*'[2]Beam '!V$45,0)</f>
        <v>0</v>
      </c>
      <c r="W1610" s="8">
        <f>IF($D1610='[2]Beam '!W$44,$P1610*'[2]Beam '!W$45,0)</f>
        <v>0</v>
      </c>
      <c r="X1610" s="8">
        <f t="shared" si="296"/>
        <v>38.339400000000005</v>
      </c>
      <c r="Y1610" s="8"/>
    </row>
    <row r="1611" spans="1:32" s="10" customFormat="1" ht="20.100000000000001" customHeight="1" x14ac:dyDescent="0.25">
      <c r="A1611" s="14"/>
      <c r="B1611" s="8" t="s">
        <v>2</v>
      </c>
      <c r="C1611" s="13" t="s">
        <v>14</v>
      </c>
      <c r="D1611" s="14">
        <f>D1610</f>
        <v>10</v>
      </c>
      <c r="E1611" s="14">
        <v>0.15</v>
      </c>
      <c r="F1611" s="8">
        <f>ROUNDUP((E1607/3)/E1611,0)+1</f>
        <v>8</v>
      </c>
      <c r="H1611" s="14"/>
      <c r="I1611" s="14"/>
      <c r="J1611" s="14"/>
      <c r="K1611" s="14"/>
      <c r="L1611" s="14"/>
      <c r="M1611" s="14"/>
      <c r="N1611" s="14"/>
      <c r="O1611" s="8">
        <f>(2*((G1607-(2*'[2]Beam '!$D$11))+(F1607-(2*'[2]Beam '!$D$11)))+(2*10*D1611/1000))*D1607</f>
        <v>2.9600000000000004</v>
      </c>
      <c r="P1611" s="8">
        <f t="shared" si="295"/>
        <v>23.680000000000003</v>
      </c>
      <c r="Q1611" s="8">
        <f>IF($D1611='[2]Beam '!Q$44,$P1611*'[2]Beam '!Q$45,0)</f>
        <v>0</v>
      </c>
      <c r="R1611" s="8">
        <f>IF($D1611='[2]Beam '!R$44,$P1611*'[2]Beam '!R$45,0)</f>
        <v>14.605485714285717</v>
      </c>
      <c r="S1611" s="8">
        <f>IF($D1611='[2]Beam '!S$44,$P1611*'[2]Beam '!S$45,0)</f>
        <v>0</v>
      </c>
      <c r="T1611" s="8">
        <f>IF($D1611='[2]Beam '!T$44,$P1611*'[2]Beam '!T$45,0)</f>
        <v>0</v>
      </c>
      <c r="U1611" s="8">
        <f>IF($D1611='[2]Beam '!U$44,$P1611*'[2]Beam '!U$45,0)</f>
        <v>0</v>
      </c>
      <c r="V1611" s="8">
        <f>IF($D1611='[2]Beam '!V$44,$P1611*'[2]Beam '!V$45,0)</f>
        <v>0</v>
      </c>
      <c r="W1611" s="8">
        <f>IF($D1611='[2]Beam '!W$44,$P1611*'[2]Beam '!W$45,0)</f>
        <v>0</v>
      </c>
      <c r="X1611" s="8">
        <f t="shared" si="296"/>
        <v>14.605485714285717</v>
      </c>
      <c r="Y1611" s="14"/>
      <c r="Z1611" s="8"/>
      <c r="AA1611" s="8"/>
      <c r="AB1611" s="8"/>
      <c r="AC1611" s="8"/>
      <c r="AD1611" s="8"/>
      <c r="AE1611" s="8"/>
    </row>
    <row r="1612" spans="1:32" s="10" customFormat="1" ht="21" customHeight="1" x14ac:dyDescent="0.25">
      <c r="A1612" s="14"/>
      <c r="B1612" s="8" t="s">
        <v>2</v>
      </c>
      <c r="C1612" s="13" t="s">
        <v>15</v>
      </c>
      <c r="D1612" s="14">
        <f>D1610</f>
        <v>10</v>
      </c>
      <c r="E1612" s="14">
        <f>+E1610</f>
        <v>0.1</v>
      </c>
      <c r="F1612" s="8">
        <f>ROUNDUP((E1607/3*2)/E1612,0)+1</f>
        <v>21</v>
      </c>
      <c r="H1612" s="14"/>
      <c r="I1612" s="14"/>
      <c r="J1612" s="14"/>
      <c r="K1612" s="14"/>
      <c r="L1612" s="14"/>
      <c r="M1612" s="14"/>
      <c r="N1612" s="14"/>
      <c r="O1612" s="8">
        <f>(2*(((F1607-'[2]Beam '!$D$11*2)/(F1608-1))+(G1607-'[2]Beam '!$D$11*2))+(2*10*D1612/1000))*D1607</f>
        <v>2.5066666666666668</v>
      </c>
      <c r="P1612" s="8">
        <f t="shared" si="295"/>
        <v>52.64</v>
      </c>
      <c r="Q1612" s="8">
        <f>IF($D1612='[2]Beam '!Q$44,$P1612*'[2]Beam '!Q$45,0)</f>
        <v>0</v>
      </c>
      <c r="R1612" s="8">
        <f>IF($D1612='[2]Beam '!R$44,$P1612*'[2]Beam '!R$45,0)</f>
        <v>32.467599999999997</v>
      </c>
      <c r="S1612" s="8">
        <f>IF($D1612='[2]Beam '!S$44,$P1612*'[2]Beam '!S$45,0)</f>
        <v>0</v>
      </c>
      <c r="T1612" s="8">
        <f>IF($D1612='[2]Beam '!T$44,$P1612*'[2]Beam '!T$45,0)</f>
        <v>0</v>
      </c>
      <c r="U1612" s="8">
        <f>IF($D1612='[2]Beam '!U$44,$P1612*'[2]Beam '!U$45,0)</f>
        <v>0</v>
      </c>
      <c r="V1612" s="8">
        <f>IF($D1612='[2]Beam '!V$44,$P1612*'[2]Beam '!V$45,0)</f>
        <v>0</v>
      </c>
      <c r="W1612" s="8">
        <f>IF($D1612='[2]Beam '!W$44,$P1612*'[2]Beam '!W$45,0)</f>
        <v>0</v>
      </c>
      <c r="X1612" s="8">
        <f t="shared" si="296"/>
        <v>32.467599999999997</v>
      </c>
      <c r="Y1612" s="14"/>
      <c r="Z1612" s="8"/>
      <c r="AA1612" s="8"/>
      <c r="AB1612" s="8"/>
      <c r="AC1612" s="8"/>
      <c r="AD1612" s="8"/>
      <c r="AE1612" s="8"/>
      <c r="AF1612" s="8"/>
    </row>
    <row r="1613" spans="1:32" s="10" customFormat="1" ht="20.100000000000001" customHeight="1" x14ac:dyDescent="0.25">
      <c r="A1613" s="14"/>
      <c r="B1613" s="8" t="s">
        <v>2</v>
      </c>
      <c r="C1613" s="13" t="s">
        <v>16</v>
      </c>
      <c r="D1613" s="14">
        <f>D1611</f>
        <v>10</v>
      </c>
      <c r="E1613" s="14">
        <f>+E1611</f>
        <v>0.15</v>
      </c>
      <c r="F1613" s="8">
        <f>ROUNDUP((E1607/3)/E1613,0)+1</f>
        <v>8</v>
      </c>
      <c r="H1613" s="14"/>
      <c r="I1613" s="14"/>
      <c r="J1613" s="14"/>
      <c r="K1613" s="14"/>
      <c r="L1613" s="14"/>
      <c r="M1613" s="14"/>
      <c r="N1613" s="14"/>
      <c r="O1613" s="8">
        <f>(2*(((F1607-'[2]Beam '!$D$11*2)/(F1608-1))+(G1607-'[2]Beam '!$D$11*2))+(2*10*D1613/1000))*D1607</f>
        <v>2.5066666666666668</v>
      </c>
      <c r="P1613" s="8">
        <f t="shared" si="295"/>
        <v>20.053333333333335</v>
      </c>
      <c r="Q1613" s="8">
        <f>IF($D1613='[2]Beam '!Q$44,$P1613*'[2]Beam '!Q$45,0)</f>
        <v>0</v>
      </c>
      <c r="R1613" s="8">
        <f>IF($D1613='[2]Beam '!R$44,$P1613*'[2]Beam '!R$45,0)</f>
        <v>12.368609523809525</v>
      </c>
      <c r="S1613" s="8">
        <f>IF($D1613='[2]Beam '!S$44,$P1613*'[2]Beam '!S$45,0)</f>
        <v>0</v>
      </c>
      <c r="T1613" s="8">
        <f>IF($D1613='[2]Beam '!T$44,$P1613*'[2]Beam '!T$45,0)</f>
        <v>0</v>
      </c>
      <c r="U1613" s="8">
        <f>IF($D1613='[2]Beam '!U$44,$P1613*'[2]Beam '!U$45,0)</f>
        <v>0</v>
      </c>
      <c r="V1613" s="8">
        <f>IF($D1613='[2]Beam '!V$44,$P1613*'[2]Beam '!V$45,0)</f>
        <v>0</v>
      </c>
      <c r="W1613" s="8">
        <f>IF($D1613='[2]Beam '!W$44,$P1613*'[2]Beam '!W$45,0)</f>
        <v>0</v>
      </c>
      <c r="X1613" s="8">
        <f t="shared" si="296"/>
        <v>12.368609523809525</v>
      </c>
      <c r="Y1613" s="14"/>
      <c r="Z1613" s="8"/>
      <c r="AA1613" s="8"/>
      <c r="AB1613" s="8"/>
      <c r="AC1613" s="8"/>
      <c r="AD1613" s="8"/>
      <c r="AE1613" s="8"/>
    </row>
    <row r="1614" spans="1:32" s="10" customFormat="1" ht="20.100000000000001" customHeight="1" x14ac:dyDescent="0.25">
      <c r="A1614" s="7"/>
      <c r="B1614" s="8" t="s">
        <v>2</v>
      </c>
      <c r="C1614" s="13" t="s">
        <v>10</v>
      </c>
      <c r="D1614" s="8">
        <f>+'[2]Beam '!$D$15</f>
        <v>25</v>
      </c>
      <c r="E1614" s="8">
        <f>+'[2]Beam '!$E$15</f>
        <v>1</v>
      </c>
      <c r="F1614" s="8">
        <f>ROUNDUP((E1607)/E1614,0)</f>
        <v>3</v>
      </c>
      <c r="G1614" s="9"/>
      <c r="H1614" s="9"/>
      <c r="I1614" s="8"/>
      <c r="J1614" s="8"/>
      <c r="K1614" s="8"/>
      <c r="L1614" s="8"/>
      <c r="M1614" s="8"/>
      <c r="N1614" s="8"/>
      <c r="O1614" s="8">
        <f>F1607-'[2]Beam '!$F$15</f>
        <v>0.34</v>
      </c>
      <c r="P1614" s="8">
        <f t="shared" si="295"/>
        <v>1.02</v>
      </c>
      <c r="Q1614" s="8">
        <f>IF($D1614='[2]Beam '!Q$44,$P1614*'[2]Beam '!Q$45,0)</f>
        <v>0</v>
      </c>
      <c r="R1614" s="8">
        <f>IF($D1614='[2]Beam '!R$44,$P1614*'[2]Beam '!R$45,0)</f>
        <v>0</v>
      </c>
      <c r="S1614" s="8">
        <f>IF($D1614='[2]Beam '!S$44,$P1614*'[2]Beam '!S$45,0)</f>
        <v>0</v>
      </c>
      <c r="T1614" s="8">
        <f>IF($D1614='[2]Beam '!T$44,$P1614*'[2]Beam '!T$45,0)</f>
        <v>0</v>
      </c>
      <c r="U1614" s="8">
        <f>IF($D1614='[2]Beam '!U$44,$P1614*'[2]Beam '!U$45,0)</f>
        <v>0</v>
      </c>
      <c r="V1614" s="8">
        <f>IF($D1614='[2]Beam '!V$44,$P1614*'[2]Beam '!V$45,0)</f>
        <v>3.9320089285714293</v>
      </c>
      <c r="W1614" s="8">
        <f>IF($D1614='[2]Beam '!W$44,$P1614*'[2]Beam '!W$45,0)</f>
        <v>0</v>
      </c>
      <c r="X1614" s="8">
        <f t="shared" si="296"/>
        <v>3.9320089285714293</v>
      </c>
      <c r="Y1614" s="8"/>
      <c r="Z1614" s="8"/>
      <c r="AA1614" s="8"/>
      <c r="AB1614" s="8"/>
      <c r="AC1614" s="8"/>
      <c r="AD1614" s="8"/>
      <c r="AE1614" s="8"/>
    </row>
    <row r="1615" spans="1:32" s="10" customFormat="1" ht="20.100000000000001" customHeight="1" x14ac:dyDescent="0.25">
      <c r="A1615" s="15">
        <v>1</v>
      </c>
      <c r="B1615" s="8" t="s">
        <v>2</v>
      </c>
      <c r="C1615" s="11" t="s">
        <v>215</v>
      </c>
      <c r="D1615" s="11">
        <v>1</v>
      </c>
      <c r="E1615" s="11">
        <v>3.9</v>
      </c>
      <c r="F1615" s="11">
        <v>0.45</v>
      </c>
      <c r="G1615" s="11">
        <v>0.6</v>
      </c>
      <c r="H1615" s="8">
        <f>G1615-0.2</f>
        <v>0.39999999999999997</v>
      </c>
      <c r="I1615" s="8">
        <f>E1615*F1615*G1615*D1615</f>
        <v>1.0529999999999999</v>
      </c>
      <c r="J1615" s="8">
        <f>(2*(E1615)*H1615*D1615)+(E1615*F1615)</f>
        <v>4.875</v>
      </c>
      <c r="K1615" s="12">
        <f>IF(E1615=0.3,J1615,0)</f>
        <v>0</v>
      </c>
      <c r="L1615" s="12">
        <f>IF(AND(E1615&gt;0.3,E1615&lt;=0.75),J1615,0)</f>
        <v>0</v>
      </c>
      <c r="M1615" s="12">
        <f>IF(AND(E1615&gt;0.75,E1615&lt;=1.2),J1615,0)</f>
        <v>0</v>
      </c>
      <c r="N1615" s="12">
        <f>IF(E1615&gt;1.2,J1615,0)</f>
        <v>4.875</v>
      </c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>
        <f>SUM(X1616:X1618)/I1615</f>
        <v>196.81736404829741</v>
      </c>
      <c r="Z1615" s="8"/>
      <c r="AA1615" s="8"/>
      <c r="AB1615" s="8"/>
      <c r="AC1615" s="8"/>
      <c r="AD1615" s="8"/>
      <c r="AE1615" s="8"/>
    </row>
    <row r="1616" spans="1:32" s="10" customFormat="1" ht="19.5" customHeight="1" x14ac:dyDescent="0.25">
      <c r="A1616" s="7"/>
      <c r="B1616" s="8" t="s">
        <v>2</v>
      </c>
      <c r="C1616" s="13" t="s">
        <v>4</v>
      </c>
      <c r="D1616" s="8">
        <v>25</v>
      </c>
      <c r="E1616" s="8"/>
      <c r="F1616" s="8">
        <v>3</v>
      </c>
      <c r="G1616" s="9">
        <f>VLOOKUP(D1616,'[2]Beam '!$C$20:$H$26,3,0)</f>
        <v>1</v>
      </c>
      <c r="H1616" s="9"/>
      <c r="I1616" s="8"/>
      <c r="J1616" s="8"/>
      <c r="K1616" s="8"/>
      <c r="L1616" s="8"/>
      <c r="M1616" s="8"/>
      <c r="N1616" s="8"/>
      <c r="O1616" s="8">
        <f>(E1615+2*(G1616+(12*D1616/1000))+2*(1.5/2)*D1615)</f>
        <v>8</v>
      </c>
      <c r="P1616" s="8">
        <f>O1616*F1616</f>
        <v>24</v>
      </c>
      <c r="Q1616" s="8">
        <f>IF($D1616='[2]Beam '!Q$44,$P1616*'[2]Beam '!Q$45,0)</f>
        <v>0</v>
      </c>
      <c r="R1616" s="8">
        <f>IF($D1616='[2]Beam '!R$44,$P1616*'[2]Beam '!R$45,0)</f>
        <v>0</v>
      </c>
      <c r="S1616" s="8">
        <f>IF($D1616='[2]Beam '!S$44,$P1616*'[2]Beam '!S$45,0)</f>
        <v>0</v>
      </c>
      <c r="T1616" s="8">
        <f>IF($D1616='[2]Beam '!T$44,$P1616*'[2]Beam '!T$45,0)</f>
        <v>0</v>
      </c>
      <c r="U1616" s="8">
        <f>IF($D1616='[2]Beam '!U$44,$P1616*'[2]Beam '!U$45,0)</f>
        <v>0</v>
      </c>
      <c r="V1616" s="8">
        <f>IF($D1616='[2]Beam '!V$44,$P1616*'[2]Beam '!V$45,0)</f>
        <v>92.517857142857153</v>
      </c>
      <c r="W1616" s="8">
        <f>IF($D1616='[2]Beam '!W$44,$P1616*'[2]Beam '!W$45,0)</f>
        <v>0</v>
      </c>
      <c r="X1616" s="8">
        <f>SUM(Q1616:W1616)</f>
        <v>92.517857142857153</v>
      </c>
      <c r="Y1616" s="8"/>
      <c r="Z1616" s="8"/>
      <c r="AA1616" s="8"/>
      <c r="AB1616" s="8"/>
      <c r="AC1616" s="8"/>
      <c r="AD1616" s="8"/>
      <c r="AE1616" s="8"/>
    </row>
    <row r="1617" spans="1:32" s="10" customFormat="1" ht="20.100000000000001" customHeight="1" x14ac:dyDescent="0.25">
      <c r="A1617" s="7"/>
      <c r="B1617" s="8" t="s">
        <v>2</v>
      </c>
      <c r="C1617" s="13" t="s">
        <v>4</v>
      </c>
      <c r="D1617" s="8">
        <v>16</v>
      </c>
      <c r="E1617" s="8"/>
      <c r="F1617" s="8">
        <v>2</v>
      </c>
      <c r="G1617" s="9">
        <f>VLOOKUP(D1617,'[2]Beam '!$C$20:$H$26,3,0)</f>
        <v>0.625</v>
      </c>
      <c r="H1617" s="9"/>
      <c r="I1617" s="8"/>
      <c r="J1617" s="8"/>
      <c r="K1617" s="8"/>
      <c r="L1617" s="8"/>
      <c r="M1617" s="8"/>
      <c r="N1617" s="8"/>
      <c r="O1617" s="8">
        <f>(E1615+2*(G1617+(12*D1617/1000))+2*(1.5/2)*D1615)</f>
        <v>7.0339999999999998</v>
      </c>
      <c r="P1617" s="8">
        <f>O1617*F1617</f>
        <v>14.068</v>
      </c>
      <c r="Q1617" s="8">
        <f>IF($D1617='[2]Beam '!Q$44,$P1617*'[2]Beam '!Q$45,0)</f>
        <v>0</v>
      </c>
      <c r="R1617" s="8">
        <f>IF($D1617='[2]Beam '!R$44,$P1617*'[2]Beam '!R$45,0)</f>
        <v>0</v>
      </c>
      <c r="S1617" s="8">
        <f>IF($D1617='[2]Beam '!S$44,$P1617*'[2]Beam '!S$45,0)</f>
        <v>0</v>
      </c>
      <c r="T1617" s="8">
        <f>IF($D1617='[2]Beam '!T$44,$P1617*'[2]Beam '!T$45,0)</f>
        <v>22.212970057142858</v>
      </c>
      <c r="U1617" s="8">
        <f>IF($D1617='[2]Beam '!U$44,$P1617*'[2]Beam '!U$45,0)</f>
        <v>0</v>
      </c>
      <c r="V1617" s="8">
        <f>IF($D1617='[2]Beam '!V$44,$P1617*'[2]Beam '!V$45,0)</f>
        <v>0</v>
      </c>
      <c r="W1617" s="8">
        <f>IF($D1617='[2]Beam '!W$44,$P1617*'[2]Beam '!W$45,0)</f>
        <v>0</v>
      </c>
      <c r="X1617" s="8">
        <f>SUM(Q1617:W1617)</f>
        <v>22.212970057142858</v>
      </c>
      <c r="Y1617" s="8"/>
      <c r="Z1617" s="8"/>
      <c r="AA1617" s="8"/>
      <c r="AB1617" s="8"/>
      <c r="AC1617" s="8"/>
      <c r="AD1617" s="8"/>
      <c r="AE1617" s="8"/>
    </row>
    <row r="1618" spans="1:32" s="10" customFormat="1" ht="21" customHeight="1" x14ac:dyDescent="0.25">
      <c r="A1618" s="7"/>
      <c r="B1618" s="8" t="s">
        <v>2</v>
      </c>
      <c r="C1618" s="13" t="s">
        <v>139</v>
      </c>
      <c r="D1618" s="8">
        <v>25</v>
      </c>
      <c r="E1618" s="8"/>
      <c r="F1618" s="8">
        <v>3</v>
      </c>
      <c r="G1618" s="9">
        <f>VLOOKUP(D1618,'[2]Beam '!$C$20:$H$26,3,0)</f>
        <v>1</v>
      </c>
      <c r="H1618" s="9"/>
      <c r="I1618" s="8"/>
      <c r="J1618" s="8"/>
      <c r="K1618" s="8"/>
      <c r="L1618" s="8"/>
      <c r="M1618" s="8"/>
      <c r="N1618" s="8"/>
      <c r="O1618" s="8">
        <f>(E1615+2*(G1618+(12*D1618/1000))+2*(1.5/2)*D1615)</f>
        <v>8</v>
      </c>
      <c r="P1618" s="8">
        <f>O1618*F1618</f>
        <v>24</v>
      </c>
      <c r="Q1618" s="8">
        <f>IF($D1618='[2]Beam '!Q$44,$P1618*'[2]Beam '!Q$45,0)</f>
        <v>0</v>
      </c>
      <c r="R1618" s="8">
        <f>IF($D1618='[2]Beam '!R$44,$P1618*'[2]Beam '!R$45,0)</f>
        <v>0</v>
      </c>
      <c r="S1618" s="8">
        <f>IF($D1618='[2]Beam '!S$44,$P1618*'[2]Beam '!S$45,0)</f>
        <v>0</v>
      </c>
      <c r="T1618" s="8">
        <f>IF($D1618='[2]Beam '!T$44,$P1618*'[2]Beam '!T$45,0)</f>
        <v>0</v>
      </c>
      <c r="U1618" s="8">
        <f>IF($D1618='[2]Beam '!U$44,$P1618*'[2]Beam '!U$45,0)</f>
        <v>0</v>
      </c>
      <c r="V1618" s="8">
        <f>IF($D1618='[2]Beam '!V$44,$P1618*'[2]Beam '!V$45,0)</f>
        <v>92.517857142857153</v>
      </c>
      <c r="W1618" s="8">
        <f>IF($D1618='[2]Beam '!W$44,$P1618*'[2]Beam '!W$45,0)</f>
        <v>0</v>
      </c>
      <c r="X1618" s="8">
        <f>SUM(Q1618:W1618)</f>
        <v>92.517857142857153</v>
      </c>
      <c r="Y1618" s="8"/>
      <c r="Z1618" s="8"/>
      <c r="AA1618" s="8"/>
      <c r="AB1618" s="8"/>
      <c r="AC1618" s="8"/>
      <c r="AD1618" s="8"/>
      <c r="AE1618" s="8"/>
      <c r="AF1618" s="8"/>
    </row>
    <row r="1619" spans="1:32" s="10" customFormat="1" ht="20.100000000000001" customHeight="1" x14ac:dyDescent="0.25">
      <c r="A1619" s="7"/>
      <c r="B1619" s="8" t="s">
        <v>2</v>
      </c>
      <c r="C1619" s="13" t="s">
        <v>8</v>
      </c>
      <c r="D1619" s="8">
        <v>10</v>
      </c>
      <c r="E1619" s="8">
        <v>0.1</v>
      </c>
      <c r="F1619" s="8">
        <f>ROUNDUP(E1615/E1619,0)</f>
        <v>39</v>
      </c>
      <c r="H1619" s="8"/>
      <c r="I1619" s="8"/>
      <c r="J1619" s="8"/>
      <c r="K1619" s="8"/>
      <c r="L1619" s="8"/>
      <c r="M1619" s="8"/>
      <c r="N1619" s="8"/>
      <c r="O1619" s="8">
        <f>(2*((G1615-(2*'[2]Beam '!$D$11))+(F1615-(2*'[2]Beam '!$D$11)))+(2*10*D1619/1000))*D1615</f>
        <v>2.06</v>
      </c>
      <c r="P1619" s="8">
        <f>O1619*F1619</f>
        <v>80.34</v>
      </c>
      <c r="Q1619" s="8">
        <f>IF($D1619='[2]Beam '!Q$44,$P1619*'[2]Beam '!Q$45,0)</f>
        <v>0</v>
      </c>
      <c r="R1619" s="8">
        <f>IF($D1619='[2]Beam '!R$44,$P1619*'[2]Beam '!R$45,0)</f>
        <v>49.55256428571429</v>
      </c>
      <c r="S1619" s="8">
        <f>IF($D1619='[2]Beam '!S$44,$P1619*'[2]Beam '!S$45,0)</f>
        <v>0</v>
      </c>
      <c r="T1619" s="8">
        <f>IF($D1619='[2]Beam '!T$44,$P1619*'[2]Beam '!T$45,0)</f>
        <v>0</v>
      </c>
      <c r="U1619" s="8">
        <f>IF($D1619='[2]Beam '!U$44,$P1619*'[2]Beam '!U$45,0)</f>
        <v>0</v>
      </c>
      <c r="V1619" s="8">
        <f>IF($D1619='[2]Beam '!V$44,$P1619*'[2]Beam '!V$45,0)</f>
        <v>0</v>
      </c>
      <c r="W1619" s="8">
        <f>IF($D1619='[2]Beam '!W$44,$P1619*'[2]Beam '!W$45,0)</f>
        <v>0</v>
      </c>
      <c r="X1619" s="8">
        <f>SUM(Q1619:W1619)</f>
        <v>49.55256428571429</v>
      </c>
      <c r="Y1619" s="8"/>
      <c r="Z1619" s="8"/>
      <c r="AA1619" s="8"/>
      <c r="AB1619" s="8"/>
      <c r="AC1619" s="8"/>
      <c r="AD1619" s="8"/>
      <c r="AE1619" s="8"/>
    </row>
    <row r="1620" spans="1:32" s="10" customFormat="1" ht="20.100000000000001" customHeight="1" x14ac:dyDescent="0.25">
      <c r="A1620" s="7"/>
      <c r="B1620" s="8" t="s">
        <v>2</v>
      </c>
      <c r="C1620" s="13" t="s">
        <v>10</v>
      </c>
      <c r="D1620" s="8">
        <f>+'[2]Beam '!$D$15</f>
        <v>25</v>
      </c>
      <c r="E1620" s="8">
        <f>+'[2]Beam '!$E$15</f>
        <v>1</v>
      </c>
      <c r="F1620" s="8">
        <f>ROUNDUP((E1615)/E1620,0)</f>
        <v>4</v>
      </c>
      <c r="G1620" s="9"/>
      <c r="H1620" s="9"/>
      <c r="I1620" s="8"/>
      <c r="J1620" s="8"/>
      <c r="K1620" s="8"/>
      <c r="L1620" s="8"/>
      <c r="M1620" s="8"/>
      <c r="N1620" s="8"/>
      <c r="O1620" s="8">
        <f>F1615-'[2]Beam '!$F$15</f>
        <v>0.39</v>
      </c>
      <c r="P1620" s="8">
        <f>O1620*F1620</f>
        <v>1.56</v>
      </c>
      <c r="Q1620" s="8">
        <f>IF($D1620='[2]Beam '!Q$44,$P1620*'[2]Beam '!Q$45,0)</f>
        <v>0</v>
      </c>
      <c r="R1620" s="8">
        <f>IF($D1620='[2]Beam '!R$44,$P1620*'[2]Beam '!R$45,0)</f>
        <v>0</v>
      </c>
      <c r="S1620" s="8">
        <f>IF($D1620='[2]Beam '!S$44,$P1620*'[2]Beam '!S$45,0)</f>
        <v>0</v>
      </c>
      <c r="T1620" s="8">
        <f>IF($D1620='[2]Beam '!T$44,$P1620*'[2]Beam '!T$45,0)</f>
        <v>0</v>
      </c>
      <c r="U1620" s="8">
        <f>IF($D1620='[2]Beam '!U$44,$P1620*'[2]Beam '!U$45,0)</f>
        <v>0</v>
      </c>
      <c r="V1620" s="8">
        <f>IF($D1620='[2]Beam '!V$44,$P1620*'[2]Beam '!V$45,0)</f>
        <v>6.0136607142857157</v>
      </c>
      <c r="W1620" s="8">
        <f>IF($D1620='[2]Beam '!W$44,$P1620*'[2]Beam '!W$45,0)</f>
        <v>0</v>
      </c>
      <c r="X1620" s="8">
        <f>SUM(Q1620:W1620)</f>
        <v>6.0136607142857157</v>
      </c>
      <c r="Y1620" s="8"/>
      <c r="Z1620" s="8"/>
      <c r="AA1620" s="8"/>
      <c r="AB1620" s="8"/>
      <c r="AC1620" s="8"/>
      <c r="AD1620" s="8"/>
      <c r="AE1620" s="8"/>
    </row>
    <row r="1621" spans="1:32" s="10" customFormat="1" ht="20.100000000000001" customHeight="1" x14ac:dyDescent="0.25">
      <c r="A1621" s="15">
        <v>1</v>
      </c>
      <c r="B1621" s="8" t="s">
        <v>2</v>
      </c>
      <c r="C1621" s="11" t="s">
        <v>216</v>
      </c>
      <c r="D1621" s="11">
        <v>1</v>
      </c>
      <c r="E1621" s="11">
        <v>3.9</v>
      </c>
      <c r="F1621" s="11">
        <v>0.45</v>
      </c>
      <c r="G1621" s="11">
        <v>0.6</v>
      </c>
      <c r="H1621" s="8">
        <f>G1621-0.2</f>
        <v>0.39999999999999997</v>
      </c>
      <c r="I1621" s="8">
        <f>E1621*F1621*G1621*D1621</f>
        <v>1.0529999999999999</v>
      </c>
      <c r="J1621" s="8">
        <f>(2*(E1621)*H1621*D1621)+(E1621*F1621)</f>
        <v>4.875</v>
      </c>
      <c r="K1621" s="12">
        <f>IF(E1621=0.3,J1621,0)</f>
        <v>0</v>
      </c>
      <c r="L1621" s="12">
        <f>IF(AND(E1621&gt;0.3,E1621&lt;=0.75),J1621,0)</f>
        <v>0</v>
      </c>
      <c r="M1621" s="12">
        <f>IF(AND(E1621&gt;0.75,E1621&lt;=1.2),J1621,0)</f>
        <v>0</v>
      </c>
      <c r="N1621" s="12">
        <f>IF(E1621&gt;1.2,J1621,0)</f>
        <v>4.875</v>
      </c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>
        <f>SUM(X1622:X1624)/I1621</f>
        <v>196.81736404829741</v>
      </c>
      <c r="Z1621" s="8"/>
      <c r="AA1621" s="8"/>
      <c r="AB1621" s="8"/>
      <c r="AC1621" s="8"/>
      <c r="AD1621" s="8"/>
      <c r="AE1621" s="8"/>
    </row>
    <row r="1622" spans="1:32" s="10" customFormat="1" ht="19.5" customHeight="1" x14ac:dyDescent="0.25">
      <c r="A1622" s="7"/>
      <c r="B1622" s="8" t="s">
        <v>2</v>
      </c>
      <c r="C1622" s="13" t="s">
        <v>4</v>
      </c>
      <c r="D1622" s="8">
        <v>25</v>
      </c>
      <c r="E1622" s="8"/>
      <c r="F1622" s="8">
        <v>3</v>
      </c>
      <c r="G1622" s="9">
        <f>VLOOKUP(D1622,'[2]Beam '!$C$20:$H$26,3,0)</f>
        <v>1</v>
      </c>
      <c r="H1622" s="9"/>
      <c r="I1622" s="8"/>
      <c r="J1622" s="8"/>
      <c r="K1622" s="8"/>
      <c r="L1622" s="8"/>
      <c r="M1622" s="8"/>
      <c r="N1622" s="8"/>
      <c r="O1622" s="8">
        <f>(E1621+2*(G1622+(12*D1622/1000))+2*(1.5/2)*D1621)</f>
        <v>8</v>
      </c>
      <c r="P1622" s="8">
        <f>O1622*F1622</f>
        <v>24</v>
      </c>
      <c r="Q1622" s="8">
        <f>IF($D1622='[2]Beam '!Q$44,$P1622*'[2]Beam '!Q$45,0)</f>
        <v>0</v>
      </c>
      <c r="R1622" s="8">
        <f>IF($D1622='[2]Beam '!R$44,$P1622*'[2]Beam '!R$45,0)</f>
        <v>0</v>
      </c>
      <c r="S1622" s="8">
        <f>IF($D1622='[2]Beam '!S$44,$P1622*'[2]Beam '!S$45,0)</f>
        <v>0</v>
      </c>
      <c r="T1622" s="8">
        <f>IF($D1622='[2]Beam '!T$44,$P1622*'[2]Beam '!T$45,0)</f>
        <v>0</v>
      </c>
      <c r="U1622" s="8">
        <f>IF($D1622='[2]Beam '!U$44,$P1622*'[2]Beam '!U$45,0)</f>
        <v>0</v>
      </c>
      <c r="V1622" s="8">
        <f>IF($D1622='[2]Beam '!V$44,$P1622*'[2]Beam '!V$45,0)</f>
        <v>92.517857142857153</v>
      </c>
      <c r="W1622" s="8">
        <f>IF($D1622='[2]Beam '!W$44,$P1622*'[2]Beam '!W$45,0)</f>
        <v>0</v>
      </c>
      <c r="X1622" s="8">
        <f>SUM(Q1622:W1622)</f>
        <v>92.517857142857153</v>
      </c>
      <c r="Y1622" s="8"/>
      <c r="Z1622" s="8"/>
      <c r="AA1622" s="8"/>
      <c r="AB1622" s="8"/>
      <c r="AC1622" s="8"/>
      <c r="AD1622" s="8"/>
      <c r="AE1622" s="8"/>
    </row>
    <row r="1623" spans="1:32" s="10" customFormat="1" ht="20.100000000000001" customHeight="1" x14ac:dyDescent="0.25">
      <c r="A1623" s="7"/>
      <c r="B1623" s="8" t="s">
        <v>2</v>
      </c>
      <c r="C1623" s="13" t="s">
        <v>4</v>
      </c>
      <c r="D1623" s="8">
        <v>16</v>
      </c>
      <c r="E1623" s="8"/>
      <c r="F1623" s="8">
        <v>2</v>
      </c>
      <c r="G1623" s="9">
        <f>VLOOKUP(D1623,'[2]Beam '!$C$20:$H$26,3,0)</f>
        <v>0.625</v>
      </c>
      <c r="H1623" s="9"/>
      <c r="I1623" s="8"/>
      <c r="J1623" s="8"/>
      <c r="K1623" s="8"/>
      <c r="L1623" s="8"/>
      <c r="M1623" s="8"/>
      <c r="N1623" s="8"/>
      <c r="O1623" s="8">
        <f>(E1621+2*(G1623+(12*D1623/1000))+2*(1.5/2)*D1621)</f>
        <v>7.0339999999999998</v>
      </c>
      <c r="P1623" s="8">
        <f>O1623*F1623</f>
        <v>14.068</v>
      </c>
      <c r="Q1623" s="8">
        <f>IF($D1623='[2]Beam '!Q$44,$P1623*'[2]Beam '!Q$45,0)</f>
        <v>0</v>
      </c>
      <c r="R1623" s="8">
        <f>IF($D1623='[2]Beam '!R$44,$P1623*'[2]Beam '!R$45,0)</f>
        <v>0</v>
      </c>
      <c r="S1623" s="8">
        <f>IF($D1623='[2]Beam '!S$44,$P1623*'[2]Beam '!S$45,0)</f>
        <v>0</v>
      </c>
      <c r="T1623" s="8">
        <f>IF($D1623='[2]Beam '!T$44,$P1623*'[2]Beam '!T$45,0)</f>
        <v>22.212970057142858</v>
      </c>
      <c r="U1623" s="8">
        <f>IF($D1623='[2]Beam '!U$44,$P1623*'[2]Beam '!U$45,0)</f>
        <v>0</v>
      </c>
      <c r="V1623" s="8">
        <f>IF($D1623='[2]Beam '!V$44,$P1623*'[2]Beam '!V$45,0)</f>
        <v>0</v>
      </c>
      <c r="W1623" s="8">
        <f>IF($D1623='[2]Beam '!W$44,$P1623*'[2]Beam '!W$45,0)</f>
        <v>0</v>
      </c>
      <c r="X1623" s="8">
        <f>SUM(Q1623:W1623)</f>
        <v>22.212970057142858</v>
      </c>
      <c r="Y1623" s="8"/>
      <c r="Z1623" s="8"/>
      <c r="AA1623" s="8"/>
      <c r="AB1623" s="8"/>
      <c r="AC1623" s="8"/>
      <c r="AD1623" s="8"/>
      <c r="AE1623" s="8"/>
    </row>
    <row r="1624" spans="1:32" s="10" customFormat="1" ht="21" customHeight="1" x14ac:dyDescent="0.25">
      <c r="A1624" s="7"/>
      <c r="B1624" s="8" t="s">
        <v>2</v>
      </c>
      <c r="C1624" s="13" t="s">
        <v>139</v>
      </c>
      <c r="D1624" s="8">
        <v>25</v>
      </c>
      <c r="E1624" s="8"/>
      <c r="F1624" s="8">
        <v>3</v>
      </c>
      <c r="G1624" s="9">
        <f>VLOOKUP(D1624,'[2]Beam '!$C$20:$H$26,3,0)</f>
        <v>1</v>
      </c>
      <c r="H1624" s="9"/>
      <c r="I1624" s="8"/>
      <c r="J1624" s="8"/>
      <c r="K1624" s="8"/>
      <c r="L1624" s="8"/>
      <c r="M1624" s="8"/>
      <c r="N1624" s="8"/>
      <c r="O1624" s="8">
        <f>(E1621+2*(G1624+(12*D1624/1000))+2*(1.5/2)*D1621)</f>
        <v>8</v>
      </c>
      <c r="P1624" s="8">
        <f>O1624*F1624</f>
        <v>24</v>
      </c>
      <c r="Q1624" s="8">
        <f>IF($D1624='[2]Beam '!Q$44,$P1624*'[2]Beam '!Q$45,0)</f>
        <v>0</v>
      </c>
      <c r="R1624" s="8">
        <f>IF($D1624='[2]Beam '!R$44,$P1624*'[2]Beam '!R$45,0)</f>
        <v>0</v>
      </c>
      <c r="S1624" s="8">
        <f>IF($D1624='[2]Beam '!S$44,$P1624*'[2]Beam '!S$45,0)</f>
        <v>0</v>
      </c>
      <c r="T1624" s="8">
        <f>IF($D1624='[2]Beam '!T$44,$P1624*'[2]Beam '!T$45,0)</f>
        <v>0</v>
      </c>
      <c r="U1624" s="8">
        <f>IF($D1624='[2]Beam '!U$44,$P1624*'[2]Beam '!U$45,0)</f>
        <v>0</v>
      </c>
      <c r="V1624" s="8">
        <f>IF($D1624='[2]Beam '!V$44,$P1624*'[2]Beam '!V$45,0)</f>
        <v>92.517857142857153</v>
      </c>
      <c r="W1624" s="8">
        <f>IF($D1624='[2]Beam '!W$44,$P1624*'[2]Beam '!W$45,0)</f>
        <v>0</v>
      </c>
      <c r="X1624" s="8">
        <f>SUM(Q1624:W1624)</f>
        <v>92.517857142857153</v>
      </c>
      <c r="Y1624" s="8"/>
      <c r="Z1624" s="8"/>
      <c r="AA1624" s="8"/>
      <c r="AB1624" s="8"/>
      <c r="AC1624" s="8"/>
      <c r="AD1624" s="8"/>
      <c r="AE1624" s="8"/>
      <c r="AF1624" s="8"/>
    </row>
    <row r="1625" spans="1:32" s="10" customFormat="1" ht="20.100000000000001" customHeight="1" x14ac:dyDescent="0.25">
      <c r="A1625" s="7"/>
      <c r="B1625" s="8" t="s">
        <v>2</v>
      </c>
      <c r="C1625" s="13" t="s">
        <v>8</v>
      </c>
      <c r="D1625" s="8">
        <v>10</v>
      </c>
      <c r="E1625" s="8">
        <v>0.1</v>
      </c>
      <c r="F1625" s="8">
        <f>ROUNDUP(E1621/E1625,0)</f>
        <v>39</v>
      </c>
      <c r="H1625" s="8"/>
      <c r="I1625" s="8"/>
      <c r="J1625" s="8"/>
      <c r="K1625" s="8"/>
      <c r="L1625" s="8"/>
      <c r="M1625" s="8"/>
      <c r="N1625" s="8"/>
      <c r="O1625" s="8">
        <f>(2*((G1621-(2*'[2]Beam '!$D$11))+(F1621-(2*'[2]Beam '!$D$11)))+(2*10*D1625/1000))*D1621</f>
        <v>2.06</v>
      </c>
      <c r="P1625" s="8">
        <f>O1625*F1625</f>
        <v>80.34</v>
      </c>
      <c r="Q1625" s="8">
        <f>IF($D1625='[2]Beam '!Q$44,$P1625*'[2]Beam '!Q$45,0)</f>
        <v>0</v>
      </c>
      <c r="R1625" s="8">
        <f>IF($D1625='[2]Beam '!R$44,$P1625*'[2]Beam '!R$45,0)</f>
        <v>49.55256428571429</v>
      </c>
      <c r="S1625" s="8">
        <f>IF($D1625='[2]Beam '!S$44,$P1625*'[2]Beam '!S$45,0)</f>
        <v>0</v>
      </c>
      <c r="T1625" s="8">
        <f>IF($D1625='[2]Beam '!T$44,$P1625*'[2]Beam '!T$45,0)</f>
        <v>0</v>
      </c>
      <c r="U1625" s="8">
        <f>IF($D1625='[2]Beam '!U$44,$P1625*'[2]Beam '!U$45,0)</f>
        <v>0</v>
      </c>
      <c r="V1625" s="8">
        <f>IF($D1625='[2]Beam '!V$44,$P1625*'[2]Beam '!V$45,0)</f>
        <v>0</v>
      </c>
      <c r="W1625" s="8">
        <f>IF($D1625='[2]Beam '!W$44,$P1625*'[2]Beam '!W$45,0)</f>
        <v>0</v>
      </c>
      <c r="X1625" s="8">
        <f>SUM(Q1625:W1625)</f>
        <v>49.55256428571429</v>
      </c>
      <c r="Y1625" s="8"/>
      <c r="Z1625" s="8"/>
      <c r="AA1625" s="8"/>
      <c r="AB1625" s="8"/>
      <c r="AC1625" s="8"/>
      <c r="AD1625" s="8"/>
      <c r="AE1625" s="8"/>
    </row>
    <row r="1626" spans="1:32" s="10" customFormat="1" ht="20.100000000000001" customHeight="1" x14ac:dyDescent="0.25">
      <c r="A1626" s="7"/>
      <c r="B1626" s="8" t="s">
        <v>2</v>
      </c>
      <c r="C1626" s="13" t="s">
        <v>10</v>
      </c>
      <c r="D1626" s="8">
        <f>+'[2]Beam '!$D$15</f>
        <v>25</v>
      </c>
      <c r="E1626" s="8">
        <f>+'[2]Beam '!$E$15</f>
        <v>1</v>
      </c>
      <c r="F1626" s="8">
        <f>ROUNDUP((E1621)/E1626,0)</f>
        <v>4</v>
      </c>
      <c r="G1626" s="9"/>
      <c r="H1626" s="9"/>
      <c r="I1626" s="8"/>
      <c r="J1626" s="8"/>
      <c r="K1626" s="8"/>
      <c r="L1626" s="8"/>
      <c r="M1626" s="8"/>
      <c r="N1626" s="8"/>
      <c r="O1626" s="8">
        <f>F1621-'[2]Beam '!$F$15</f>
        <v>0.39</v>
      </c>
      <c r="P1626" s="8">
        <f>O1626*F1626</f>
        <v>1.56</v>
      </c>
      <c r="Q1626" s="8">
        <f>IF($D1626='[2]Beam '!Q$44,$P1626*'[2]Beam '!Q$45,0)</f>
        <v>0</v>
      </c>
      <c r="R1626" s="8">
        <f>IF($D1626='[2]Beam '!R$44,$P1626*'[2]Beam '!R$45,0)</f>
        <v>0</v>
      </c>
      <c r="S1626" s="8">
        <f>IF($D1626='[2]Beam '!S$44,$P1626*'[2]Beam '!S$45,0)</f>
        <v>0</v>
      </c>
      <c r="T1626" s="8">
        <f>IF($D1626='[2]Beam '!T$44,$P1626*'[2]Beam '!T$45,0)</f>
        <v>0</v>
      </c>
      <c r="U1626" s="8">
        <f>IF($D1626='[2]Beam '!U$44,$P1626*'[2]Beam '!U$45,0)</f>
        <v>0</v>
      </c>
      <c r="V1626" s="8">
        <f>IF($D1626='[2]Beam '!V$44,$P1626*'[2]Beam '!V$45,0)</f>
        <v>6.0136607142857157</v>
      </c>
      <c r="W1626" s="8">
        <f>IF($D1626='[2]Beam '!W$44,$P1626*'[2]Beam '!W$45,0)</f>
        <v>0</v>
      </c>
      <c r="X1626" s="8">
        <f>SUM(Q1626:W1626)</f>
        <v>6.0136607142857157</v>
      </c>
      <c r="Y1626" s="8"/>
      <c r="Z1626" s="8"/>
      <c r="AA1626" s="8"/>
      <c r="AB1626" s="8"/>
      <c r="AC1626" s="8"/>
      <c r="AD1626" s="8"/>
      <c r="AE1626" s="8"/>
    </row>
    <row r="1627" spans="1:32" s="10" customFormat="1" ht="20.100000000000001" customHeight="1" x14ac:dyDescent="0.25">
      <c r="A1627" s="8">
        <v>1</v>
      </c>
      <c r="B1627" s="8" t="s">
        <v>2</v>
      </c>
      <c r="C1627" s="11" t="s">
        <v>217</v>
      </c>
      <c r="D1627" s="11">
        <v>1</v>
      </c>
      <c r="E1627" s="11">
        <v>3.9</v>
      </c>
      <c r="F1627" s="11">
        <v>0.45</v>
      </c>
      <c r="G1627" s="11">
        <v>0.6</v>
      </c>
      <c r="H1627" s="8">
        <f>G1627-0.2</f>
        <v>0.39999999999999997</v>
      </c>
      <c r="I1627" s="8">
        <f>E1627*F1627*G1627*D1627</f>
        <v>1.0529999999999999</v>
      </c>
      <c r="J1627" s="8">
        <f>(2*(E1627)*H1627*D1627)+(E1627*F1627)</f>
        <v>4.875</v>
      </c>
      <c r="K1627" s="12">
        <f>IF(E1627=0.3,J1627,0)</f>
        <v>0</v>
      </c>
      <c r="L1627" s="12">
        <f>IF(AND(E1627&gt;0.3,E1627&lt;=0.75),J1627,0)</f>
        <v>0</v>
      </c>
      <c r="M1627" s="12">
        <f>IF(AND(E1627&gt;0.75,E1627&lt;=1.2),J1627,0)</f>
        <v>0</v>
      </c>
      <c r="N1627" s="12">
        <f>IF(E1627&gt;1.2,J1627,0)</f>
        <v>4.875</v>
      </c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>
        <f>SUM(X1628:X1630)/I1627</f>
        <v>196.81736404829741</v>
      </c>
      <c r="Z1627" s="8"/>
      <c r="AA1627" s="8"/>
      <c r="AB1627" s="8"/>
      <c r="AC1627" s="8"/>
      <c r="AD1627" s="8"/>
      <c r="AE1627" s="8"/>
    </row>
    <row r="1628" spans="1:32" s="10" customFormat="1" ht="19.5" customHeight="1" x14ac:dyDescent="0.25">
      <c r="A1628" s="7"/>
      <c r="B1628" s="8" t="s">
        <v>2</v>
      </c>
      <c r="C1628" s="13" t="s">
        <v>4</v>
      </c>
      <c r="D1628" s="8">
        <v>25</v>
      </c>
      <c r="E1628" s="8"/>
      <c r="F1628" s="8">
        <v>3</v>
      </c>
      <c r="G1628" s="9">
        <f>VLOOKUP(D1628,'[2]Beam '!$C$20:$H$26,3,0)</f>
        <v>1</v>
      </c>
      <c r="H1628" s="9"/>
      <c r="I1628" s="8"/>
      <c r="J1628" s="8"/>
      <c r="K1628" s="8"/>
      <c r="L1628" s="8"/>
      <c r="M1628" s="8"/>
      <c r="N1628" s="8"/>
      <c r="O1628" s="8">
        <f>(E1627+2*(G1628+(12*D1628/1000))+2*(1.5/2)*D1627)</f>
        <v>8</v>
      </c>
      <c r="P1628" s="8">
        <f>O1628*F1628</f>
        <v>24</v>
      </c>
      <c r="Q1628" s="8">
        <f>IF($D1628='[2]Beam '!Q$44,$P1628*'[2]Beam '!Q$45,0)</f>
        <v>0</v>
      </c>
      <c r="R1628" s="8">
        <f>IF($D1628='[2]Beam '!R$44,$P1628*'[2]Beam '!R$45,0)</f>
        <v>0</v>
      </c>
      <c r="S1628" s="8">
        <f>IF($D1628='[2]Beam '!S$44,$P1628*'[2]Beam '!S$45,0)</f>
        <v>0</v>
      </c>
      <c r="T1628" s="8">
        <f>IF($D1628='[2]Beam '!T$44,$P1628*'[2]Beam '!T$45,0)</f>
        <v>0</v>
      </c>
      <c r="U1628" s="8">
        <f>IF($D1628='[2]Beam '!U$44,$P1628*'[2]Beam '!U$45,0)</f>
        <v>0</v>
      </c>
      <c r="V1628" s="8">
        <f>IF($D1628='[2]Beam '!V$44,$P1628*'[2]Beam '!V$45,0)</f>
        <v>92.517857142857153</v>
      </c>
      <c r="W1628" s="8">
        <f>IF($D1628='[2]Beam '!W$44,$P1628*'[2]Beam '!W$45,0)</f>
        <v>0</v>
      </c>
      <c r="X1628" s="8">
        <f>SUM(Q1628:W1628)</f>
        <v>92.517857142857153</v>
      </c>
      <c r="Y1628" s="8"/>
      <c r="Z1628" s="8"/>
      <c r="AA1628" s="8"/>
      <c r="AB1628" s="8"/>
      <c r="AC1628" s="8"/>
      <c r="AD1628" s="8"/>
      <c r="AE1628" s="8"/>
    </row>
    <row r="1629" spans="1:32" s="10" customFormat="1" ht="20.100000000000001" customHeight="1" x14ac:dyDescent="0.25">
      <c r="A1629" s="7"/>
      <c r="B1629" s="8" t="s">
        <v>2</v>
      </c>
      <c r="C1629" s="13" t="s">
        <v>4</v>
      </c>
      <c r="D1629" s="8">
        <v>16</v>
      </c>
      <c r="E1629" s="8"/>
      <c r="F1629" s="8">
        <v>2</v>
      </c>
      <c r="G1629" s="9">
        <f>VLOOKUP(D1629,'[2]Beam '!$C$20:$H$26,3,0)</f>
        <v>0.625</v>
      </c>
      <c r="H1629" s="9"/>
      <c r="I1629" s="8"/>
      <c r="J1629" s="8"/>
      <c r="K1629" s="8"/>
      <c r="L1629" s="8"/>
      <c r="M1629" s="8"/>
      <c r="N1629" s="8"/>
      <c r="O1629" s="8">
        <f>(E1627+2*(G1629+(12*D1629/1000))+2*(1.5/2)*D1627)</f>
        <v>7.0339999999999998</v>
      </c>
      <c r="P1629" s="8">
        <f>O1629*F1629</f>
        <v>14.068</v>
      </c>
      <c r="Q1629" s="8">
        <f>IF($D1629='[2]Beam '!Q$44,$P1629*'[2]Beam '!Q$45,0)</f>
        <v>0</v>
      </c>
      <c r="R1629" s="8">
        <f>IF($D1629='[2]Beam '!R$44,$P1629*'[2]Beam '!R$45,0)</f>
        <v>0</v>
      </c>
      <c r="S1629" s="8">
        <f>IF($D1629='[2]Beam '!S$44,$P1629*'[2]Beam '!S$45,0)</f>
        <v>0</v>
      </c>
      <c r="T1629" s="8">
        <f>IF($D1629='[2]Beam '!T$44,$P1629*'[2]Beam '!T$45,0)</f>
        <v>22.212970057142858</v>
      </c>
      <c r="U1629" s="8">
        <f>IF($D1629='[2]Beam '!U$44,$P1629*'[2]Beam '!U$45,0)</f>
        <v>0</v>
      </c>
      <c r="V1629" s="8">
        <f>IF($D1629='[2]Beam '!V$44,$P1629*'[2]Beam '!V$45,0)</f>
        <v>0</v>
      </c>
      <c r="W1629" s="8">
        <f>IF($D1629='[2]Beam '!W$44,$P1629*'[2]Beam '!W$45,0)</f>
        <v>0</v>
      </c>
      <c r="X1629" s="8">
        <f>SUM(Q1629:W1629)</f>
        <v>22.212970057142858</v>
      </c>
      <c r="Y1629" s="8"/>
      <c r="Z1629" s="8"/>
      <c r="AA1629" s="8"/>
      <c r="AB1629" s="8"/>
      <c r="AC1629" s="8"/>
      <c r="AD1629" s="8"/>
      <c r="AE1629" s="8"/>
    </row>
    <row r="1630" spans="1:32" x14ac:dyDescent="0.3">
      <c r="A1630" s="7"/>
      <c r="B1630" s="8" t="s">
        <v>2</v>
      </c>
      <c r="C1630" s="13" t="s">
        <v>139</v>
      </c>
      <c r="D1630" s="8">
        <v>25</v>
      </c>
      <c r="E1630" s="8"/>
      <c r="F1630" s="8">
        <v>3</v>
      </c>
      <c r="G1630" s="9">
        <f>VLOOKUP(D1630,'[2]Beam '!$C$20:$H$26,3,0)</f>
        <v>1</v>
      </c>
      <c r="H1630" s="9"/>
      <c r="I1630" s="8"/>
      <c r="J1630" s="8"/>
      <c r="K1630" s="8"/>
      <c r="L1630" s="8"/>
      <c r="M1630" s="8"/>
      <c r="N1630" s="8"/>
      <c r="O1630" s="8">
        <f>(E1627+2*(G1630+(12*D1630/1000))+2*(1.5/2)*D1627)</f>
        <v>8</v>
      </c>
      <c r="P1630" s="8">
        <f>O1630*F1630</f>
        <v>24</v>
      </c>
      <c r="Q1630" s="8">
        <f>IF($D1630='[2]Beam '!Q$44,$P1630*'[2]Beam '!Q$45,0)</f>
        <v>0</v>
      </c>
      <c r="R1630" s="8">
        <f>IF($D1630='[2]Beam '!R$44,$P1630*'[2]Beam '!R$45,0)</f>
        <v>0</v>
      </c>
      <c r="S1630" s="8">
        <f>IF($D1630='[2]Beam '!S$44,$P1630*'[2]Beam '!S$45,0)</f>
        <v>0</v>
      </c>
      <c r="T1630" s="8">
        <f>IF($D1630='[2]Beam '!T$44,$P1630*'[2]Beam '!T$45,0)</f>
        <v>0</v>
      </c>
      <c r="U1630" s="8">
        <f>IF($D1630='[2]Beam '!U$44,$P1630*'[2]Beam '!U$45,0)</f>
        <v>0</v>
      </c>
      <c r="V1630" s="8">
        <f>IF($D1630='[2]Beam '!V$44,$P1630*'[2]Beam '!V$45,0)</f>
        <v>92.517857142857153</v>
      </c>
      <c r="W1630" s="8">
        <f>IF($D1630='[2]Beam '!W$44,$P1630*'[2]Beam '!W$45,0)</f>
        <v>0</v>
      </c>
      <c r="X1630" s="8">
        <f>SUM(Q1630:W1630)</f>
        <v>92.517857142857153</v>
      </c>
      <c r="Y1630" s="8"/>
    </row>
    <row r="1631" spans="1:32" x14ac:dyDescent="0.3">
      <c r="A1631" s="7"/>
      <c r="B1631" s="8" t="s">
        <v>2</v>
      </c>
      <c r="C1631" s="13" t="s">
        <v>8</v>
      </c>
      <c r="D1631" s="8">
        <v>8</v>
      </c>
      <c r="E1631" s="8">
        <v>0.1</v>
      </c>
      <c r="F1631" s="8">
        <f>ROUNDUP(E1627/E1631,0)</f>
        <v>39</v>
      </c>
      <c r="G1631" s="10"/>
      <c r="H1631" s="8"/>
      <c r="I1631" s="8"/>
      <c r="J1631" s="8"/>
      <c r="K1631" s="8"/>
      <c r="L1631" s="8"/>
      <c r="M1631" s="8"/>
      <c r="N1631" s="8"/>
      <c r="O1631" s="8">
        <f>(2*((G1627-(2*'[2]Beam '!$D$11))+(F1627-(2*'[2]Beam '!$D$11)))+(2*10*D1631/1000))*D1627</f>
        <v>2.02</v>
      </c>
      <c r="P1631" s="8">
        <f>O1631*F1631</f>
        <v>78.78</v>
      </c>
      <c r="Q1631" s="8">
        <f>IF($D1631='[2]Beam '!Q$44,$P1631*'[2]Beam '!Q$45,0)</f>
        <v>31.09784228571429</v>
      </c>
      <c r="R1631" s="8">
        <f>IF($D1631='[2]Beam '!R$44,$P1631*'[2]Beam '!R$45,0)</f>
        <v>0</v>
      </c>
      <c r="S1631" s="8">
        <f>IF($D1631='[2]Beam '!S$44,$P1631*'[2]Beam '!S$45,0)</f>
        <v>0</v>
      </c>
      <c r="T1631" s="8">
        <f>IF($D1631='[2]Beam '!T$44,$P1631*'[2]Beam '!T$45,0)</f>
        <v>0</v>
      </c>
      <c r="U1631" s="8">
        <f>IF($D1631='[2]Beam '!U$44,$P1631*'[2]Beam '!U$45,0)</f>
        <v>0</v>
      </c>
      <c r="V1631" s="8">
        <f>IF($D1631='[2]Beam '!V$44,$P1631*'[2]Beam '!V$45,0)</f>
        <v>0</v>
      </c>
      <c r="W1631" s="8">
        <f>IF($D1631='[2]Beam '!W$44,$P1631*'[2]Beam '!W$45,0)</f>
        <v>0</v>
      </c>
      <c r="X1631" s="8">
        <f>SUM(Q1631:W1631)</f>
        <v>31.09784228571429</v>
      </c>
      <c r="Y1631" s="8"/>
    </row>
    <row r="1632" spans="1:32" x14ac:dyDescent="0.3">
      <c r="A1632" s="7"/>
      <c r="B1632" s="8" t="s">
        <v>2</v>
      </c>
      <c r="C1632" s="13" t="s">
        <v>10</v>
      </c>
      <c r="D1632" s="8">
        <f>+'[2]Beam '!$D$15</f>
        <v>25</v>
      </c>
      <c r="E1632" s="8">
        <f>+'[2]Beam '!$E$15</f>
        <v>1</v>
      </c>
      <c r="F1632" s="8">
        <f>ROUNDUP((E1627)/E1632,0)</f>
        <v>4</v>
      </c>
      <c r="G1632" s="9"/>
      <c r="H1632" s="9"/>
      <c r="I1632" s="8"/>
      <c r="J1632" s="8"/>
      <c r="K1632" s="8"/>
      <c r="L1632" s="8"/>
      <c r="M1632" s="8"/>
      <c r="N1632" s="8"/>
      <c r="O1632" s="8">
        <f>F1627-'[2]Beam '!$F$15</f>
        <v>0.39</v>
      </c>
      <c r="P1632" s="8">
        <f>O1632*F1632</f>
        <v>1.56</v>
      </c>
      <c r="Q1632" s="8">
        <f>IF($D1632='[2]Beam '!Q$44,$P1632*'[2]Beam '!Q$45,0)</f>
        <v>0</v>
      </c>
      <c r="R1632" s="8">
        <f>IF($D1632='[2]Beam '!R$44,$P1632*'[2]Beam '!R$45,0)</f>
        <v>0</v>
      </c>
      <c r="S1632" s="8">
        <f>IF($D1632='[2]Beam '!S$44,$P1632*'[2]Beam '!S$45,0)</f>
        <v>0</v>
      </c>
      <c r="T1632" s="8">
        <f>IF($D1632='[2]Beam '!T$44,$P1632*'[2]Beam '!T$45,0)</f>
        <v>0</v>
      </c>
      <c r="U1632" s="8">
        <f>IF($D1632='[2]Beam '!U$44,$P1632*'[2]Beam '!U$45,0)</f>
        <v>0</v>
      </c>
      <c r="V1632" s="8">
        <f>IF($D1632='[2]Beam '!V$44,$P1632*'[2]Beam '!V$45,0)</f>
        <v>6.0136607142857157</v>
      </c>
      <c r="W1632" s="8">
        <f>IF($D1632='[2]Beam '!W$44,$P1632*'[2]Beam '!W$45,0)</f>
        <v>0</v>
      </c>
      <c r="X1632" s="8">
        <f>SUM(Q1632:W1632)</f>
        <v>6.0136607142857157</v>
      </c>
      <c r="Y1632" s="8"/>
    </row>
  </sheetData>
  <mergeCells count="14">
    <mergeCell ref="X2:X3"/>
    <mergeCell ref="Y2:Y3"/>
    <mergeCell ref="C4:G4"/>
    <mergeCell ref="C6:F6"/>
    <mergeCell ref="A1:P1"/>
    <mergeCell ref="A2:A3"/>
    <mergeCell ref="C2:C3"/>
    <mergeCell ref="D2:D3"/>
    <mergeCell ref="E2:E3"/>
    <mergeCell ref="F2:F3"/>
    <mergeCell ref="J2:J3"/>
    <mergeCell ref="K2:N2"/>
    <mergeCell ref="O2:O3"/>
    <mergeCell ref="P2:P3"/>
  </mergeCells>
  <conditionalFormatting sqref="O4:O1632">
    <cfRule type="cellIs" dxfId="0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</dc:creator>
  <cp:lastModifiedBy>Nishanth Bilimagga Hanumantha</cp:lastModifiedBy>
  <dcterms:created xsi:type="dcterms:W3CDTF">2026-08-01T05:09:53Z</dcterms:created>
  <dcterms:modified xsi:type="dcterms:W3CDTF">2026-08-01T11:57:54Z</dcterms:modified>
</cp:coreProperties>
</file>