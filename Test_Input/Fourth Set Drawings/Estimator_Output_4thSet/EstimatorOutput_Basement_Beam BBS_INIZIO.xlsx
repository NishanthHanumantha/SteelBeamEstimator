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datasvm01.sobha.com\Data_003\Common\04_Est_Ref\Hemanth A S\Beam - GFC Automation\INIZIO - Basement\"/>
    </mc:Choice>
  </mc:AlternateContent>
  <xr:revisionPtr revIDLastSave="0" documentId="13_ncr:1_{37A06BCA-5AD0-42AC-A6FE-0B494957CB53}" xr6:coauthVersionLast="47" xr6:coauthVersionMax="47" xr10:uidLastSave="{00000000-0000-0000-0000-000000000000}"/>
  <bookViews>
    <workbookView xWindow="-120" yWindow="-120" windowWidth="24240" windowHeight="13020" xr2:uid="{EB908525-20E9-47BC-8426-70F5C782538A}"/>
  </bookViews>
  <sheets>
    <sheet name="Beam " sheetId="1" r:id="rId1"/>
  </sheets>
  <externalReferences>
    <externalReference r:id="rId2"/>
  </externalReferences>
  <definedNames>
    <definedName name="\0">#REF!</definedName>
    <definedName name="\a">#REF!</definedName>
    <definedName name="\C">#REF!</definedName>
    <definedName name="\kl">#REF!</definedName>
    <definedName name="\l">#REF!</definedName>
    <definedName name="\p">#REF!</definedName>
    <definedName name="_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iv66666">#REF!</definedName>
    <definedName name="_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iv66666">#REF!</definedName>
    <definedName name="_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iv66666">#REF!</definedName>
    <definedName name="_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iv66666">#REF!</definedName>
    <definedName name="_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iv66666" localSheetId="0">#REF!</definedName>
    <definedName name="__________________________________________iv66666">#REF!</definedName>
    <definedName name="_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aj1">#REF!</definedName>
    <definedName name="_________________________________________b1">#REF!</definedName>
    <definedName name="_________________________________________B100000">#REF!</definedName>
    <definedName name="_________________________________________bol1">#REF!</definedName>
    <definedName name="_________________________________________can430">40.73</definedName>
    <definedName name="_________________________________________can435">43.3</definedName>
    <definedName name="_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iv66666">#REF!</definedName>
    <definedName name="_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_sdb2">#REF!</definedName>
    <definedName name="________________________________________aj1">#REF!</definedName>
    <definedName name="________________________________________b1">#REF!</definedName>
    <definedName name="________________________________________B100000">#REF!</definedName>
    <definedName name="________________________________________bol1">#REF!</definedName>
    <definedName name="________________________________________can430">40.73</definedName>
    <definedName name="________________________________________can435">43.3</definedName>
    <definedName name="_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iv66666">#REF!</definedName>
    <definedName name="_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_sdb2">#REF!</definedName>
    <definedName name="_______________________________________aj1">#REF!</definedName>
    <definedName name="_______________________________________b1">#REF!</definedName>
    <definedName name="_______________________________________B100000">#REF!</definedName>
    <definedName name="_______________________________________bol1">#REF!</definedName>
    <definedName name="_______________________________________can430">40.73</definedName>
    <definedName name="_______________________________________can435">43.3</definedName>
    <definedName name="_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iv66666" localSheetId="0">#REF!</definedName>
    <definedName name="_______________________________________iv66666">#REF!</definedName>
    <definedName name="_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_sdb2">#REF!</definedName>
    <definedName name="______________________________________aj1">#REF!</definedName>
    <definedName name="______________________________________b1">#REF!</definedName>
    <definedName name="______________________________________B100000">#REF!</definedName>
    <definedName name="______________________________________bol1">#REF!</definedName>
    <definedName name="______________________________________can430">40.73</definedName>
    <definedName name="______________________________________can435">43.3</definedName>
    <definedName name="_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iv66666" localSheetId="0">#REF!</definedName>
    <definedName name="______________________________________iv66666">#REF!</definedName>
    <definedName name="_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_sdb2">#REF!</definedName>
    <definedName name="_____________________________________aj1">#REF!</definedName>
    <definedName name="_____________________________________b1">#REF!</definedName>
    <definedName name="_____________________________________B100000">#REF!</definedName>
    <definedName name="_____________________________________bol1">#REF!</definedName>
    <definedName name="_____________________________________can430">40.73</definedName>
    <definedName name="_____________________________________can435">43.3</definedName>
    <definedName name="_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iv66666" localSheetId="0">#REF!</definedName>
    <definedName name="_____________________________________iv66666">#REF!</definedName>
    <definedName name="_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_sdb2">#REF!</definedName>
    <definedName name="____________________________________aj1">#REF!</definedName>
    <definedName name="____________________________________b1">#REF!</definedName>
    <definedName name="____________________________________B100000">#REF!</definedName>
    <definedName name="____________________________________bol1">#REF!</definedName>
    <definedName name="____________________________________can430">40.73</definedName>
    <definedName name="____________________________________can435">43.3</definedName>
    <definedName name="_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iv66666" localSheetId="0">#REF!</definedName>
    <definedName name="____________________________________iv66666">#REF!</definedName>
    <definedName name="_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_sdb2">#REF!</definedName>
    <definedName name="___________________________________aj1">#REF!</definedName>
    <definedName name="___________________________________b1">#REF!</definedName>
    <definedName name="___________________________________B100000">#REF!</definedName>
    <definedName name="___________________________________bol1">#REF!</definedName>
    <definedName name="___________________________________can430">40.73</definedName>
    <definedName name="___________________________________can435">43.3</definedName>
    <definedName name="_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iv66666" localSheetId="0">#REF!</definedName>
    <definedName name="___________________________________iv66666">#REF!</definedName>
    <definedName name="_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_sdb2">#REF!</definedName>
    <definedName name="__________________________________aj1">#REF!</definedName>
    <definedName name="__________________________________b1">#REF!</definedName>
    <definedName name="__________________________________B100000">#REF!</definedName>
    <definedName name="__________________________________bol1">#REF!</definedName>
    <definedName name="__________________________________can430">40.73</definedName>
    <definedName name="__________________________________can435">43.3</definedName>
    <definedName name="_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iv66666" localSheetId="0">#REF!</definedName>
    <definedName name="__________________________________iv66666">#REF!</definedName>
    <definedName name="_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_sdb2">#REF!</definedName>
    <definedName name="_________________________________aj1" localSheetId="0">#REF!</definedName>
    <definedName name="_________________________________aj1">#REF!</definedName>
    <definedName name="_________________________________b1" localSheetId="0">#REF!</definedName>
    <definedName name="_________________________________b1">#REF!</definedName>
    <definedName name="_________________________________B100000">#REF!</definedName>
    <definedName name="_________________________________bol1">#REF!</definedName>
    <definedName name="_________________________________can430">40.73</definedName>
    <definedName name="_________________________________can435">43.3</definedName>
    <definedName name="_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iv66666" localSheetId="0">#REF!</definedName>
    <definedName name="_________________________________iv66666">#REF!</definedName>
    <definedName name="_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_PO1">#REF!</definedName>
    <definedName name="_________________________________PO2">#REF!</definedName>
    <definedName name="_________________________________sdb2" localSheetId="0">#REF!</definedName>
    <definedName name="_________________________________sdb2">#REF!</definedName>
    <definedName name="________________________________aj1">#REF!</definedName>
    <definedName name="________________________________b1">#REF!</definedName>
    <definedName name="________________________________B100000">#REF!</definedName>
    <definedName name="________________________________bol1">#REF!</definedName>
    <definedName name="________________________________can430">40.73</definedName>
    <definedName name="________________________________can435">43.3</definedName>
    <definedName name="_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iv66666" localSheetId="0">#REF!</definedName>
    <definedName name="________________________________iv66666">#REF!</definedName>
    <definedName name="_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_PO1">#REF!</definedName>
    <definedName name="________________________________PO2">#REF!</definedName>
    <definedName name="________________________________sdb2" localSheetId="0">#REF!</definedName>
    <definedName name="________________________________sdb2">#REF!</definedName>
    <definedName name="_______________________________aj1">#REF!</definedName>
    <definedName name="_______________________________b1">#REF!</definedName>
    <definedName name="_______________________________B100000">#REF!</definedName>
    <definedName name="_______________________________bol1">#REF!</definedName>
    <definedName name="_______________________________can430">40.73</definedName>
    <definedName name="_______________________________can435">43.3</definedName>
    <definedName name="_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iv66666" localSheetId="0">#REF!</definedName>
    <definedName name="_______________________________iv66666">#REF!</definedName>
    <definedName name="_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_sdb2" localSheetId="0">#REF!</definedName>
    <definedName name="_______________________________sdb2">#REF!</definedName>
    <definedName name="______________________________aj1" localSheetId="0">#REF!</definedName>
    <definedName name="______________________________aj1">#REF!</definedName>
    <definedName name="______________________________b1" localSheetId="0">#REF!</definedName>
    <definedName name="______________________________b1">#REF!</definedName>
    <definedName name="______________________________B100000">#REF!</definedName>
    <definedName name="______________________________bol1">#REF!</definedName>
    <definedName name="______________________________can430">40.73</definedName>
    <definedName name="______________________________can435">43.3</definedName>
    <definedName name="_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iv66666" localSheetId="0">#REF!</definedName>
    <definedName name="______________________________iv66666">#REF!</definedName>
    <definedName name="_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_PO1">#REF!</definedName>
    <definedName name="______________________________PO2">#REF!</definedName>
    <definedName name="______________________________sdb2" localSheetId="0">#REF!</definedName>
    <definedName name="______________________________sdb2">#REF!</definedName>
    <definedName name="_____________________________aj1">#REF!</definedName>
    <definedName name="_____________________________b1">#REF!</definedName>
    <definedName name="_____________________________B100000">#REF!</definedName>
    <definedName name="_____________________________bol1">#REF!</definedName>
    <definedName name="_____________________________can430">40.73</definedName>
    <definedName name="_____________________________can435">43.3</definedName>
    <definedName name="_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iv66666" localSheetId="0">#REF!</definedName>
    <definedName name="_____________________________iv66666">#REF!</definedName>
    <definedName name="_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_PO1">#REF!</definedName>
    <definedName name="_____________________________PO2">#REF!</definedName>
    <definedName name="_____________________________sdb2" localSheetId="0">#REF!</definedName>
    <definedName name="_____________________________sdb2">#REF!</definedName>
    <definedName name="____________________________aj1">#REF!</definedName>
    <definedName name="____________________________b1">#REF!</definedName>
    <definedName name="____________________________B100000">#REF!</definedName>
    <definedName name="____________________________bol1">#REF!</definedName>
    <definedName name="____________________________can430">40.73</definedName>
    <definedName name="____________________________can435">43.3</definedName>
    <definedName name="_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iv66666" localSheetId="0">#REF!</definedName>
    <definedName name="____________________________iv66666">#REF!</definedName>
    <definedName name="_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_PO1">#REF!</definedName>
    <definedName name="____________________________PO2">#REF!</definedName>
    <definedName name="____________________________sdb2" localSheetId="0">#REF!</definedName>
    <definedName name="____________________________sdb2">#REF!</definedName>
    <definedName name="____________________________zz65536" localSheetId="0">#REF!</definedName>
    <definedName name="____________________________zz65536">#REF!</definedName>
    <definedName name="___________________________aj1" localSheetId="0">#REF!</definedName>
    <definedName name="___________________________aj1">#REF!</definedName>
    <definedName name="___________________________b1" localSheetId="0">#REF!</definedName>
    <definedName name="___________________________b1">#REF!</definedName>
    <definedName name="___________________________B100000" localSheetId="0">#REF!</definedName>
    <definedName name="___________________________B100000">#REF!</definedName>
    <definedName name="___________________________bol1">#REF!</definedName>
    <definedName name="___________________________can430">40.73</definedName>
    <definedName name="___________________________can435">43.3</definedName>
    <definedName name="_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dfS2">#REF!</definedName>
    <definedName name="___________________________iv66666" localSheetId="0">#REF!</definedName>
    <definedName name="___________________________iv66666">#REF!</definedName>
    <definedName name="_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_PO1" localSheetId="0">#REF!</definedName>
    <definedName name="___________________________PO1">#REF!</definedName>
    <definedName name="___________________________PO2" localSheetId="0">#REF!</definedName>
    <definedName name="___________________________PO2">#REF!</definedName>
    <definedName name="___________________________sdb2" localSheetId="0">#REF!</definedName>
    <definedName name="___________________________sdb2">#REF!</definedName>
    <definedName name="___________________________zz65536" localSheetId="0">#REF!</definedName>
    <definedName name="___________________________zz65536">#REF!</definedName>
    <definedName name="__________________________aj1" localSheetId="0">#REF!</definedName>
    <definedName name="__________________________aj1">#REF!</definedName>
    <definedName name="__________________________b1" localSheetId="0">#REF!</definedName>
    <definedName name="__________________________b1">#REF!</definedName>
    <definedName name="__________________________B100000" localSheetId="0">#REF!</definedName>
    <definedName name="__________________________B100000">#REF!</definedName>
    <definedName name="__________________________bol1">#REF!</definedName>
    <definedName name="__________________________can430">40.73</definedName>
    <definedName name="__________________________can435">43.3</definedName>
    <definedName name="_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dfS2">#REF!</definedName>
    <definedName name="__________________________DIA1">#REF!</definedName>
    <definedName name="__________________________DIA2">#REF!</definedName>
    <definedName name="__________________________iv66666" localSheetId="0">#REF!</definedName>
    <definedName name="__________________________iv66666">#REF!</definedName>
    <definedName name="_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_PO1" localSheetId="0">#REF!</definedName>
    <definedName name="__________________________PO1">#REF!</definedName>
    <definedName name="__________________________PO2" localSheetId="0">#REF!</definedName>
    <definedName name="__________________________PO2">#REF!</definedName>
    <definedName name="__________________________sdb2" localSheetId="0">#REF!</definedName>
    <definedName name="__________________________sdb2">#REF!</definedName>
    <definedName name="__________________________zz65536" localSheetId="0">#REF!</definedName>
    <definedName name="__________________________zz65536">#REF!</definedName>
    <definedName name="_________________________A1">#REF!</definedName>
    <definedName name="_________________________aj1" localSheetId="0">#REF!</definedName>
    <definedName name="_________________________aj1">#REF!</definedName>
    <definedName name="_________________________b1" localSheetId="0">#REF!</definedName>
    <definedName name="_________________________b1">#REF!</definedName>
    <definedName name="_________________________B100000" localSheetId="0">#REF!</definedName>
    <definedName name="_________________________B100000">#REF!</definedName>
    <definedName name="_________________________bol1">#REF!</definedName>
    <definedName name="_________________________can430">40.73</definedName>
    <definedName name="_________________________can435">43.3</definedName>
    <definedName name="_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dfS2">#REF!</definedName>
    <definedName name="_________________________iv66666" localSheetId="0">#REF!</definedName>
    <definedName name="_________________________iv66666">#REF!</definedName>
    <definedName name="_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_PO1">#REF!</definedName>
    <definedName name="_________________________PO2">#REF!</definedName>
    <definedName name="_________________________sdb2" localSheetId="0">#REF!</definedName>
    <definedName name="_________________________sdb2">#REF!</definedName>
    <definedName name="_________________________TB2" localSheetId="0">#REF!</definedName>
    <definedName name="_________________________TB2">#REF!</definedName>
    <definedName name="_________________________zz65536" localSheetId="0">#REF!</definedName>
    <definedName name="_________________________zz65536">#REF!</definedName>
    <definedName name="________________________A1">#REF!</definedName>
    <definedName name="________________________aj1" localSheetId="0">#REF!</definedName>
    <definedName name="________________________aj1">#REF!</definedName>
    <definedName name="________________________b1" localSheetId="0">#REF!</definedName>
    <definedName name="________________________b1">#REF!</definedName>
    <definedName name="________________________B100000" localSheetId="0">#REF!</definedName>
    <definedName name="________________________B100000">#REF!</definedName>
    <definedName name="________________________bak151" localSheetId="0">#REF!</definedName>
    <definedName name="________________________bak151">#REF!</definedName>
    <definedName name="________________________bol1" localSheetId="0">#REF!</definedName>
    <definedName name="________________________bol1">#REF!</definedName>
    <definedName name="________________________can430">40.73</definedName>
    <definedName name="________________________can435">43.3</definedName>
    <definedName name="________________________cbd148" localSheetId="0">#REF!</definedName>
    <definedName name="________________________cbd148">#REF!</definedName>
    <definedName name="_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dfS2">#REF!</definedName>
    <definedName name="________________________DIA1">#REF!</definedName>
    <definedName name="________________________DIA2">#REF!</definedName>
    <definedName name="________________________iv66666" localSheetId="0">#REF!</definedName>
    <definedName name="________________________iv66666">#REF!</definedName>
    <definedName name="_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_PO1" localSheetId="0">#REF!</definedName>
    <definedName name="________________________PO1">#REF!</definedName>
    <definedName name="________________________PO2" localSheetId="0">#REF!</definedName>
    <definedName name="________________________PO2">#REF!</definedName>
    <definedName name="________________________sdb2" localSheetId="0">#REF!</definedName>
    <definedName name="________________________sdb2">#REF!</definedName>
    <definedName name="________________________TB2" localSheetId="0">#REF!</definedName>
    <definedName name="________________________TB2">#REF!</definedName>
    <definedName name="________________________zz65536" localSheetId="0">#REF!</definedName>
    <definedName name="________________________zz65536">#REF!</definedName>
    <definedName name="_______________________A1">#REF!</definedName>
    <definedName name="_______________________aj1" localSheetId="0">#REF!</definedName>
    <definedName name="_______________________aj1">#REF!</definedName>
    <definedName name="_______________________b1" localSheetId="0">#REF!</definedName>
    <definedName name="_______________________b1">#REF!</definedName>
    <definedName name="_______________________B100000" localSheetId="0">#REF!</definedName>
    <definedName name="_______________________B100000">#REF!</definedName>
    <definedName name="_______________________bak151" localSheetId="0">#REF!</definedName>
    <definedName name="_______________________bak151">#REF!</definedName>
    <definedName name="_______________________bol1" localSheetId="0">#REF!</definedName>
    <definedName name="_______________________bol1">#REF!</definedName>
    <definedName name="_______________________can430">40.73</definedName>
    <definedName name="_______________________can435">43.3</definedName>
    <definedName name="_______________________cbd148" localSheetId="0">#REF!</definedName>
    <definedName name="_______________________cbd148">#REF!</definedName>
    <definedName name="_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dfS2">#REF!</definedName>
    <definedName name="_______________________DIA1">#REF!</definedName>
    <definedName name="_______________________DIA2">#REF!</definedName>
    <definedName name="_______________________iv66666" localSheetId="0">#REF!</definedName>
    <definedName name="_______________________iv66666">#REF!</definedName>
    <definedName name="_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_PO1" localSheetId="0">#REF!</definedName>
    <definedName name="_______________________PO1">#REF!</definedName>
    <definedName name="_______________________PO2" localSheetId="0">#REF!</definedName>
    <definedName name="_______________________PO2">#REF!</definedName>
    <definedName name="_______________________sdb2" localSheetId="0">#REF!</definedName>
    <definedName name="_______________________sdb2">#REF!</definedName>
    <definedName name="_______________________TB2" localSheetId="0">#REF!</definedName>
    <definedName name="_______________________TB2">#REF!</definedName>
    <definedName name="_______________________zz65536" localSheetId="0">#REF!</definedName>
    <definedName name="_______________________zz65536">#REF!</definedName>
    <definedName name="______________________A1">#REF!</definedName>
    <definedName name="______________________aj1" localSheetId="0">#REF!</definedName>
    <definedName name="______________________aj1">#REF!</definedName>
    <definedName name="______________________b1" localSheetId="0">#REF!</definedName>
    <definedName name="______________________b1">#REF!</definedName>
    <definedName name="______________________B100000" localSheetId="0">#REF!</definedName>
    <definedName name="______________________B100000">#REF!</definedName>
    <definedName name="______________________bak151" localSheetId="0">#REF!</definedName>
    <definedName name="______________________bak151">#REF!</definedName>
    <definedName name="______________________bol1" localSheetId="0">#REF!</definedName>
    <definedName name="______________________bol1">#REF!</definedName>
    <definedName name="______________________can430">40.73</definedName>
    <definedName name="______________________can435">43.3</definedName>
    <definedName name="______________________cbd148">#REF!</definedName>
    <definedName name="_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dfS2">#REF!</definedName>
    <definedName name="______________________DIA1">#REF!</definedName>
    <definedName name="______________________DIA2">#REF!</definedName>
    <definedName name="______________________fab1" localSheetId="0">#REF!</definedName>
    <definedName name="______________________fab1">#REF!</definedName>
    <definedName name="______________________iv66666" localSheetId="0">#REF!</definedName>
    <definedName name="______________________iv66666">#REF!</definedName>
    <definedName name="_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_PO1" localSheetId="0">#REF!</definedName>
    <definedName name="______________________PO1">#REF!</definedName>
    <definedName name="______________________PO2" localSheetId="0">#REF!</definedName>
    <definedName name="______________________PO2">#REF!</definedName>
    <definedName name="______________________sdb2" localSheetId="0">#REF!</definedName>
    <definedName name="______________________sdb2">#REF!</definedName>
    <definedName name="______________________TB2" localSheetId="0">#REF!</definedName>
    <definedName name="______________________TB2">#REF!</definedName>
    <definedName name="______________________zz65536" localSheetId="0">#REF!</definedName>
    <definedName name="______________________zz65536">#REF!</definedName>
    <definedName name="_____________________A1">#REF!</definedName>
    <definedName name="_____________________aj1" localSheetId="0">#REF!</definedName>
    <definedName name="_____________________aj1">#REF!</definedName>
    <definedName name="_____________________b1" localSheetId="0">#REF!</definedName>
    <definedName name="_____________________b1">#REF!</definedName>
    <definedName name="_____________________B100000" localSheetId="0">#REF!</definedName>
    <definedName name="_____________________B100000">#REF!</definedName>
    <definedName name="_____________________bak151" localSheetId="0">#REF!</definedName>
    <definedName name="_____________________bak151">#REF!</definedName>
    <definedName name="_____________________bol1" localSheetId="0">#REF!</definedName>
    <definedName name="_____________________bol1">#REF!</definedName>
    <definedName name="_____________________can430">40.73</definedName>
    <definedName name="_____________________can435">43.3</definedName>
    <definedName name="_____________________cbd148" localSheetId="0">#REF!</definedName>
    <definedName name="_____________________cbd148">#REF!</definedName>
    <definedName name="_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dfS2">#REF!</definedName>
    <definedName name="_____________________DIA1">#REF!</definedName>
    <definedName name="_____________________DIA2">#REF!</definedName>
    <definedName name="_____________________fab1" localSheetId="0">#REF!</definedName>
    <definedName name="_____________________fab1">#REF!</definedName>
    <definedName name="_____________________iv66666" localSheetId="0">#REF!</definedName>
    <definedName name="_____________________iv66666">#REF!</definedName>
    <definedName name="_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_MS010">#REF!</definedName>
    <definedName name="_____________________PO1" localSheetId="0">#REF!</definedName>
    <definedName name="_____________________PO1">#REF!</definedName>
    <definedName name="_____________________PO2" localSheetId="0">#REF!</definedName>
    <definedName name="_____________________PO2">#REF!</definedName>
    <definedName name="_____________________sdb2">#REF!</definedName>
    <definedName name="_____________________TB2" localSheetId="0">#REF!</definedName>
    <definedName name="_____________________TB2">#REF!</definedName>
    <definedName name="_____________________zz65536" localSheetId="0">#REF!</definedName>
    <definedName name="_____________________zz65536">#REF!</definedName>
    <definedName name="____________________A1">#REF!</definedName>
    <definedName name="____________________aj1" localSheetId="0">#REF!</definedName>
    <definedName name="____________________aj1">#REF!</definedName>
    <definedName name="____________________b1" localSheetId="0">#REF!</definedName>
    <definedName name="____________________b1">#REF!</definedName>
    <definedName name="____________________B100000" localSheetId="0">#REF!</definedName>
    <definedName name="____________________B100000">#REF!</definedName>
    <definedName name="____________________bak151" localSheetId="0">#REF!</definedName>
    <definedName name="____________________bak151">#REF!</definedName>
    <definedName name="____________________bol1" localSheetId="0">#REF!</definedName>
    <definedName name="____________________bol1">#REF!</definedName>
    <definedName name="____________________can430">40.73</definedName>
    <definedName name="____________________can435">43.3</definedName>
    <definedName name="____________________cbd148" localSheetId="0">#REF!</definedName>
    <definedName name="____________________cbd148">#REF!</definedName>
    <definedName name="_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dfS2">#REF!</definedName>
    <definedName name="____________________DIA1">#REF!</definedName>
    <definedName name="____________________DIA2">#REF!</definedName>
    <definedName name="____________________fab1" localSheetId="0">#REF!</definedName>
    <definedName name="____________________fab1">#REF!</definedName>
    <definedName name="____________________iv66666" localSheetId="0">#REF!</definedName>
    <definedName name="____________________iv66666">#REF!</definedName>
    <definedName name="_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_PO1" localSheetId="0">#REF!</definedName>
    <definedName name="____________________PO1">#REF!</definedName>
    <definedName name="____________________PO2" localSheetId="0">#REF!</definedName>
    <definedName name="____________________PO2">#REF!</definedName>
    <definedName name="____________________sdb2" localSheetId="0">#REF!</definedName>
    <definedName name="____________________sdb2">#REF!</definedName>
    <definedName name="____________________TB2" localSheetId="0">#REF!</definedName>
    <definedName name="____________________TB2">#REF!</definedName>
    <definedName name="____________________zz65536" localSheetId="0">#REF!</definedName>
    <definedName name="____________________zz65536">#REF!</definedName>
    <definedName name="___________________A1">#REF!</definedName>
    <definedName name="___________________aj1" localSheetId="0">#REF!</definedName>
    <definedName name="___________________aj1">#REF!</definedName>
    <definedName name="___________________b1" localSheetId="0">#REF!</definedName>
    <definedName name="___________________b1">#REF!</definedName>
    <definedName name="___________________B100000" localSheetId="0">#REF!</definedName>
    <definedName name="___________________B100000">#REF!</definedName>
    <definedName name="___________________bak151" localSheetId="0">#REF!</definedName>
    <definedName name="___________________bak151">#REF!</definedName>
    <definedName name="___________________bol1" localSheetId="0">#REF!</definedName>
    <definedName name="___________________bol1">#REF!</definedName>
    <definedName name="___________________can430">40.73</definedName>
    <definedName name="___________________can435">43.3</definedName>
    <definedName name="___________________cbd148" localSheetId="0">#REF!</definedName>
    <definedName name="___________________cbd148">#REF!</definedName>
    <definedName name="_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dfS2">#REF!</definedName>
    <definedName name="___________________DIA1">#REF!</definedName>
    <definedName name="___________________DIA2">#REF!</definedName>
    <definedName name="___________________fab1" localSheetId="0">#REF!</definedName>
    <definedName name="___________________fab1">#REF!</definedName>
    <definedName name="___________________FLG2">#REF!</definedName>
    <definedName name="___________________iv66666" localSheetId="0">#REF!</definedName>
    <definedName name="___________________iv66666">#REF!</definedName>
    <definedName name="_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_MS010">#REF!</definedName>
    <definedName name="___________________PO1" localSheetId="0">#REF!</definedName>
    <definedName name="___________________PO1">#REF!</definedName>
    <definedName name="___________________PO2" localSheetId="0">#REF!</definedName>
    <definedName name="___________________PO2">#REF!</definedName>
    <definedName name="___________________sdb2">#REF!</definedName>
    <definedName name="___________________TB2" localSheetId="0">#REF!</definedName>
    <definedName name="___________________TB2">#REF!</definedName>
    <definedName name="___________________zz65536" localSheetId="0">#REF!</definedName>
    <definedName name="___________________zz65536">#REF!</definedName>
    <definedName name="__________________A1">#REF!</definedName>
    <definedName name="__________________aj1" localSheetId="0">#REF!</definedName>
    <definedName name="__________________aj1">#REF!</definedName>
    <definedName name="__________________b1" localSheetId="0">#REF!</definedName>
    <definedName name="__________________b1">#REF!</definedName>
    <definedName name="__________________B100000" localSheetId="0">#REF!</definedName>
    <definedName name="__________________B100000">#REF!</definedName>
    <definedName name="__________________bak151" localSheetId="0">#REF!</definedName>
    <definedName name="__________________bak151">#REF!</definedName>
    <definedName name="__________________bol1" localSheetId="0">#REF!</definedName>
    <definedName name="__________________bol1">#REF!</definedName>
    <definedName name="__________________can430">40.73</definedName>
    <definedName name="__________________can435">43.3</definedName>
    <definedName name="__________________cbd148" localSheetId="0">#REF!</definedName>
    <definedName name="__________________cbd148">#REF!</definedName>
    <definedName name="_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dfS2">#REF!</definedName>
    <definedName name="__________________DIA1">#REF!</definedName>
    <definedName name="__________________DIA2">#REF!</definedName>
    <definedName name="__________________fab1" localSheetId="0">#REF!</definedName>
    <definedName name="__________________fab1">#REF!</definedName>
    <definedName name="__________________FLG2">#REF!</definedName>
    <definedName name="__________________iv66666" localSheetId="0">#REF!</definedName>
    <definedName name="__________________iv66666">#REF!</definedName>
    <definedName name="_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_MS010">#REF!</definedName>
    <definedName name="__________________PO1">#REF!</definedName>
    <definedName name="__________________PO2">#REF!</definedName>
    <definedName name="__________________sdb2">#REF!</definedName>
    <definedName name="__________________TB2" localSheetId="0">#REF!</definedName>
    <definedName name="__________________TB2">#REF!</definedName>
    <definedName name="__________________zz65536" localSheetId="0">#REF!</definedName>
    <definedName name="__________________zz65536">#REF!</definedName>
    <definedName name="_________________A1">#REF!</definedName>
    <definedName name="_________________aj1" localSheetId="0">#REF!</definedName>
    <definedName name="_________________aj1">#REF!</definedName>
    <definedName name="_________________b1" localSheetId="0">#REF!</definedName>
    <definedName name="_________________b1">#REF!</definedName>
    <definedName name="_________________B100000" localSheetId="0">#REF!</definedName>
    <definedName name="_________________B100000">#REF!</definedName>
    <definedName name="_________________bak151" localSheetId="0">#REF!</definedName>
    <definedName name="_________________bak151">#REF!</definedName>
    <definedName name="_________________bol1" localSheetId="0">#REF!</definedName>
    <definedName name="_________________bol1">#REF!</definedName>
    <definedName name="_________________can430">40.73</definedName>
    <definedName name="_________________can435">43.3</definedName>
    <definedName name="_________________cbd148" localSheetId="0">#REF!</definedName>
    <definedName name="_________________cbd148">#REF!</definedName>
    <definedName name="_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dfS2">#REF!</definedName>
    <definedName name="_________________DIA1">#REF!</definedName>
    <definedName name="_________________dia10">#REF!</definedName>
    <definedName name="_________________dia12">#REF!</definedName>
    <definedName name="_________________dia16">#REF!</definedName>
    <definedName name="_________________DIA2" localSheetId="0">#REF!</definedName>
    <definedName name="_________________DIA2">#REF!</definedName>
    <definedName name="_________________dia20">#REF!</definedName>
    <definedName name="_________________dia25">#REF!</definedName>
    <definedName name="_________________dia8">#REF!</definedName>
    <definedName name="_________________fab1" localSheetId="0">#REF!</definedName>
    <definedName name="_________________fab1">#REF!</definedName>
    <definedName name="_________________FLG2">#REF!</definedName>
    <definedName name="_________________iv66666" localSheetId="0">#REF!</definedName>
    <definedName name="_________________iv66666">#REF!</definedName>
    <definedName name="_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_MS010">#REF!</definedName>
    <definedName name="_________________PO1" localSheetId="0">#REF!</definedName>
    <definedName name="_________________PO1">#REF!</definedName>
    <definedName name="_________________PO2" localSheetId="0">#REF!</definedName>
    <definedName name="_________________PO2">#REF!</definedName>
    <definedName name="_________________sdb2">#REF!</definedName>
    <definedName name="_________________TB2" localSheetId="0">#REF!</definedName>
    <definedName name="_________________TB2">#REF!</definedName>
    <definedName name="_________________UGF1">#REF!</definedName>
    <definedName name="_________________zz65536" localSheetId="0">#REF!</definedName>
    <definedName name="_________________zz65536">#REF!</definedName>
    <definedName name="________________A1">#REF!</definedName>
    <definedName name="________________aj1" localSheetId="0">#REF!</definedName>
    <definedName name="________________aj1">#REF!</definedName>
    <definedName name="________________b1" localSheetId="0">#REF!</definedName>
    <definedName name="________________b1">#REF!</definedName>
    <definedName name="________________B100000" localSheetId="0">#REF!</definedName>
    <definedName name="________________B100000">#REF!</definedName>
    <definedName name="________________bak151" localSheetId="0">#REF!</definedName>
    <definedName name="________________bak151">#REF!</definedName>
    <definedName name="________________bol1" localSheetId="0">#REF!</definedName>
    <definedName name="________________bol1">#REF!</definedName>
    <definedName name="________________can430">40.73</definedName>
    <definedName name="________________can435">43.3</definedName>
    <definedName name="________________cbd148" localSheetId="0">#REF!</definedName>
    <definedName name="________________cbd148">#REF!</definedName>
    <definedName name="_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dfS2">#REF!</definedName>
    <definedName name="________________DIA1" localSheetId="0">#REF!</definedName>
    <definedName name="________________DIA1">#REF!</definedName>
    <definedName name="________________dia10">#REF!</definedName>
    <definedName name="________________dia12">#REF!</definedName>
    <definedName name="________________dia16">#REF!</definedName>
    <definedName name="________________DIA2" localSheetId="0">#REF!</definedName>
    <definedName name="________________DIA2">#REF!</definedName>
    <definedName name="________________dia20">#REF!</definedName>
    <definedName name="________________dia25">#REF!</definedName>
    <definedName name="________________dia8">#REF!</definedName>
    <definedName name="________________fab1" localSheetId="0">#REF!</definedName>
    <definedName name="________________fab1">#REF!</definedName>
    <definedName name="________________FLG2">#REF!</definedName>
    <definedName name="________________iv66666" localSheetId="0">#REF!</definedName>
    <definedName name="________________iv66666">#REF!</definedName>
    <definedName name="_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_MS010">#REF!</definedName>
    <definedName name="________________PO1" localSheetId="0">#REF!</definedName>
    <definedName name="________________PO1">#REF!</definedName>
    <definedName name="________________PO2" localSheetId="0">#REF!</definedName>
    <definedName name="________________PO2">#REF!</definedName>
    <definedName name="________________sdb2">#REF!</definedName>
    <definedName name="________________TB2" localSheetId="0">#REF!</definedName>
    <definedName name="________________TB2">#REF!</definedName>
    <definedName name="________________UGF1">#REF!</definedName>
    <definedName name="________________zz65536" localSheetId="0">#REF!</definedName>
    <definedName name="________________zz65536">#REF!</definedName>
    <definedName name="_______________A1">#REF!</definedName>
    <definedName name="_______________aj1" localSheetId="0">#REF!</definedName>
    <definedName name="_______________aj1">#REF!</definedName>
    <definedName name="_______________b1" localSheetId="0">#REF!</definedName>
    <definedName name="_______________b1">#REF!</definedName>
    <definedName name="_______________B100000" localSheetId="0">#REF!</definedName>
    <definedName name="_______________B100000">#REF!</definedName>
    <definedName name="_______________bak151" localSheetId="0">#REF!</definedName>
    <definedName name="_______________bak151">#REF!</definedName>
    <definedName name="_______________bol1" localSheetId="0">#REF!</definedName>
    <definedName name="_______________bol1">#REF!</definedName>
    <definedName name="_______________can430">40.73</definedName>
    <definedName name="_______________can435">43.3</definedName>
    <definedName name="_______________cbd148">#REF!</definedName>
    <definedName name="_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dfS2">#REF!</definedName>
    <definedName name="_______________DIA1" localSheetId="0">#REF!</definedName>
    <definedName name="_______________DIA1">#REF!</definedName>
    <definedName name="_______________dia10">#REF!</definedName>
    <definedName name="_______________dia12">#REF!</definedName>
    <definedName name="_______________dia16">#REF!</definedName>
    <definedName name="_______________DIA2" localSheetId="0">#REF!</definedName>
    <definedName name="_______________DIA2">#REF!</definedName>
    <definedName name="_______________dia20">#REF!</definedName>
    <definedName name="_______________dia25">#REF!</definedName>
    <definedName name="_______________dia8">#REF!</definedName>
    <definedName name="_______________fab1" localSheetId="0">#REF!</definedName>
    <definedName name="_______________fab1">#REF!</definedName>
    <definedName name="_______________FLG2">#REF!</definedName>
    <definedName name="_______________iv66666" localSheetId="0">#REF!</definedName>
    <definedName name="_______________iv66666">#REF!</definedName>
    <definedName name="_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_MS010">#REF!</definedName>
    <definedName name="_______________PO1" localSheetId="0">#REF!</definedName>
    <definedName name="_______________PO1">#REF!</definedName>
    <definedName name="_______________PO2" localSheetId="0">#REF!</definedName>
    <definedName name="_______________PO2">#REF!</definedName>
    <definedName name="_______________sdb2">#REF!</definedName>
    <definedName name="_______________TB2" localSheetId="0">#REF!</definedName>
    <definedName name="_______________TB2">#REF!</definedName>
    <definedName name="_______________UGF1">#REF!</definedName>
    <definedName name="_______________zz65536" localSheetId="0">#REF!</definedName>
    <definedName name="_______________zz65536">#REF!</definedName>
    <definedName name="______________A1">#REF!</definedName>
    <definedName name="______________aj1" localSheetId="0">#REF!</definedName>
    <definedName name="______________aj1">#REF!</definedName>
    <definedName name="______________b1" localSheetId="0">#REF!</definedName>
    <definedName name="______________b1">#REF!</definedName>
    <definedName name="______________B100000" localSheetId="0">#REF!</definedName>
    <definedName name="______________B100000">#REF!</definedName>
    <definedName name="______________bak151" localSheetId="0">#REF!</definedName>
    <definedName name="______________bak151">#REF!</definedName>
    <definedName name="______________bol1" localSheetId="0">#REF!</definedName>
    <definedName name="______________bol1">#REF!</definedName>
    <definedName name="______________can430">40.73</definedName>
    <definedName name="______________can435">43.3</definedName>
    <definedName name="______________cbd148" localSheetId="0">#REF!</definedName>
    <definedName name="______________cbd148">#REF!</definedName>
    <definedName name="_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dfS2">#REF!</definedName>
    <definedName name="______________DIA1" localSheetId="0">#REF!</definedName>
    <definedName name="______________DIA1">#REF!</definedName>
    <definedName name="______________dia10">#REF!</definedName>
    <definedName name="______________dia12">#REF!</definedName>
    <definedName name="______________dia16">#REF!</definedName>
    <definedName name="______________DIA2" localSheetId="0">#REF!</definedName>
    <definedName name="______________DIA2">#REF!</definedName>
    <definedName name="______________dia20">#REF!</definedName>
    <definedName name="______________dia25">#REF!</definedName>
    <definedName name="______________dia8">#REF!</definedName>
    <definedName name="______________fab1" localSheetId="0">#REF!</definedName>
    <definedName name="______________fab1">#REF!</definedName>
    <definedName name="______________iv66666" localSheetId="0">#REF!</definedName>
    <definedName name="______________iv66666">#REF!</definedName>
    <definedName name="_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_MS010">#REF!</definedName>
    <definedName name="______________PO1" localSheetId="0">#REF!</definedName>
    <definedName name="______________PO1">#REF!</definedName>
    <definedName name="______________PO2" localSheetId="0">#REF!</definedName>
    <definedName name="______________PO2">#REF!</definedName>
    <definedName name="______________sdb2">#REF!</definedName>
    <definedName name="______________TB2" localSheetId="0">#REF!</definedName>
    <definedName name="______________TB2">#REF!</definedName>
    <definedName name="______________UGF1">#REF!</definedName>
    <definedName name="______________zz65536" localSheetId="0">#REF!</definedName>
    <definedName name="______________zz65536">#REF!</definedName>
    <definedName name="_____________A1">#REF!</definedName>
    <definedName name="_____________aj1" localSheetId="0">#REF!</definedName>
    <definedName name="_____________aj1">#REF!</definedName>
    <definedName name="_____________b1" localSheetId="0">#REF!</definedName>
    <definedName name="_____________b1">#REF!</definedName>
    <definedName name="_____________B100000" localSheetId="0">#REF!</definedName>
    <definedName name="_____________B100000">#REF!</definedName>
    <definedName name="_____________bak151" localSheetId="0">#REF!</definedName>
    <definedName name="_____________bak151">#REF!</definedName>
    <definedName name="_____________bol1" localSheetId="0">#REF!</definedName>
    <definedName name="_____________bol1">#REF!</definedName>
    <definedName name="_____________can430">40.73</definedName>
    <definedName name="_____________can435">43.3</definedName>
    <definedName name="_____________cbd148" localSheetId="0">#REF!</definedName>
    <definedName name="_____________cbd148">#REF!</definedName>
    <definedName name="_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dfS2">#REF!</definedName>
    <definedName name="_____________DIA1" localSheetId="0">#REF!</definedName>
    <definedName name="_____________DIA1">#REF!</definedName>
    <definedName name="_____________dia10">#REF!</definedName>
    <definedName name="_____________dia12">#REF!</definedName>
    <definedName name="_____________dia16">#REF!</definedName>
    <definedName name="_____________DIA2" localSheetId="0">#REF!</definedName>
    <definedName name="_____________DIA2">#REF!</definedName>
    <definedName name="_____________dia20">#REF!</definedName>
    <definedName name="_____________dia25">#REF!</definedName>
    <definedName name="_____________dia8">#REF!</definedName>
    <definedName name="_____________fab1" localSheetId="0">#REF!</definedName>
    <definedName name="_____________fab1">#REF!</definedName>
    <definedName name="_____________FLG2">#REF!</definedName>
    <definedName name="_____________iv66666" localSheetId="0">#REF!</definedName>
    <definedName name="_____________iv66666">#REF!</definedName>
    <definedName name="_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_MS010">#REF!</definedName>
    <definedName name="_____________PO1" localSheetId="0">#REF!</definedName>
    <definedName name="_____________PO1">#REF!</definedName>
    <definedName name="_____________PO2" localSheetId="0">#REF!</definedName>
    <definedName name="_____________PO2">#REF!</definedName>
    <definedName name="_____________sdb2">#REF!</definedName>
    <definedName name="_____________TB2" localSheetId="0">#REF!</definedName>
    <definedName name="_____________TB2">#REF!</definedName>
    <definedName name="_____________UGF1">#REF!</definedName>
    <definedName name="_____________zz65536" localSheetId="0">#REF!</definedName>
    <definedName name="_____________zz65536">#REF!</definedName>
    <definedName name="____________A1">#REF!</definedName>
    <definedName name="____________aj1" localSheetId="0">#REF!</definedName>
    <definedName name="____________aj1">#REF!</definedName>
    <definedName name="____________b1" localSheetId="0">#REF!</definedName>
    <definedName name="____________b1">#REF!</definedName>
    <definedName name="____________B100000" localSheetId="0">#REF!</definedName>
    <definedName name="____________B100000">#REF!</definedName>
    <definedName name="____________bak151" localSheetId="0">#REF!</definedName>
    <definedName name="____________bak151">#REF!</definedName>
    <definedName name="____________bol1" localSheetId="0">#REF!</definedName>
    <definedName name="____________bol1">#REF!</definedName>
    <definedName name="____________can430">40.73</definedName>
    <definedName name="____________can435">43.3</definedName>
    <definedName name="____________cbd148" localSheetId="0">#REF!</definedName>
    <definedName name="____________cbd148">#REF!</definedName>
    <definedName name="_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dfS2">#REF!</definedName>
    <definedName name="____________DIA1" localSheetId="0">#REF!</definedName>
    <definedName name="____________DIA1">#REF!</definedName>
    <definedName name="____________dia10">#REF!</definedName>
    <definedName name="____________dia12">#REF!</definedName>
    <definedName name="____________dia16">#REF!</definedName>
    <definedName name="____________DIA2" localSheetId="0">#REF!</definedName>
    <definedName name="____________DIA2">#REF!</definedName>
    <definedName name="____________dia20">#REF!</definedName>
    <definedName name="____________dia25">#REF!</definedName>
    <definedName name="____________dia8">#REF!</definedName>
    <definedName name="____________fab1" localSheetId="0">#REF!</definedName>
    <definedName name="____________fab1">#REF!</definedName>
    <definedName name="____________FLG2">#REF!</definedName>
    <definedName name="____________iv66666" localSheetId="0">#REF!</definedName>
    <definedName name="____________iv66666">#REF!</definedName>
    <definedName name="_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_MS010">#REF!</definedName>
    <definedName name="____________PO1" localSheetId="0">#REF!</definedName>
    <definedName name="____________PO1">#REF!</definedName>
    <definedName name="____________PO2" localSheetId="0">#REF!</definedName>
    <definedName name="____________PO2">#REF!</definedName>
    <definedName name="____________sdb2">#REF!</definedName>
    <definedName name="____________TB2" localSheetId="0">#REF!</definedName>
    <definedName name="____________TB2">#REF!</definedName>
    <definedName name="____________UGF1">#REF!</definedName>
    <definedName name="____________zz65536" localSheetId="0">#REF!</definedName>
    <definedName name="____________zz65536">#REF!</definedName>
    <definedName name="___________A1">#REF!</definedName>
    <definedName name="___________aj1" localSheetId="0">#REF!</definedName>
    <definedName name="___________aj1">#REF!</definedName>
    <definedName name="___________b1" localSheetId="0">#REF!</definedName>
    <definedName name="___________b1">#REF!</definedName>
    <definedName name="___________B100000" localSheetId="0">#REF!</definedName>
    <definedName name="___________B100000">#REF!</definedName>
    <definedName name="___________bak151" localSheetId="0">#REF!</definedName>
    <definedName name="___________bak151">#REF!</definedName>
    <definedName name="___________bol1" localSheetId="0">#REF!</definedName>
    <definedName name="___________bol1">#REF!</definedName>
    <definedName name="___________can430">40.73</definedName>
    <definedName name="___________can435">43.3</definedName>
    <definedName name="___________cbd148" localSheetId="0">#REF!</definedName>
    <definedName name="___________cbd148">#REF!</definedName>
    <definedName name="_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dfS2">#REF!</definedName>
    <definedName name="___________DIA1" localSheetId="0">#REF!</definedName>
    <definedName name="___________DIA1">#REF!</definedName>
    <definedName name="___________dia10">#REF!</definedName>
    <definedName name="___________dia12">#REF!</definedName>
    <definedName name="___________dia16">#REF!</definedName>
    <definedName name="___________DIA2" localSheetId="0">#REF!</definedName>
    <definedName name="___________DIA2">#REF!</definedName>
    <definedName name="___________dia20">#REF!</definedName>
    <definedName name="___________dia25">#REF!</definedName>
    <definedName name="___________dia8">#REF!</definedName>
    <definedName name="___________fab1" localSheetId="0">#REF!</definedName>
    <definedName name="___________fab1">#REF!</definedName>
    <definedName name="___________FLG2">#REF!</definedName>
    <definedName name="___________iv66666" localSheetId="0">#REF!</definedName>
    <definedName name="___________iv66666">#REF!</definedName>
    <definedName name="_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_MS010" localSheetId="0">#REF!</definedName>
    <definedName name="___________MS010">#REF!</definedName>
    <definedName name="___________PO1" localSheetId="0">#REF!</definedName>
    <definedName name="___________PO1">#REF!</definedName>
    <definedName name="___________PO2" localSheetId="0">#REF!</definedName>
    <definedName name="___________PO2">#REF!</definedName>
    <definedName name="___________sdb2">#REF!</definedName>
    <definedName name="___________TB2" localSheetId="0">#REF!</definedName>
    <definedName name="___________TB2">#REF!</definedName>
    <definedName name="___________UGF1">#REF!</definedName>
    <definedName name="___________zz65536" localSheetId="0">#REF!</definedName>
    <definedName name="___________zz65536">#REF!</definedName>
    <definedName name="__________A1">#REF!</definedName>
    <definedName name="__________aj1" localSheetId="0">#REF!</definedName>
    <definedName name="__________aj1">#REF!</definedName>
    <definedName name="__________b1" localSheetId="0">#REF!</definedName>
    <definedName name="__________b1">#REF!</definedName>
    <definedName name="__________B100000" localSheetId="0">#REF!</definedName>
    <definedName name="__________B100000">#REF!</definedName>
    <definedName name="__________bak151" localSheetId="0">#REF!</definedName>
    <definedName name="__________bak151">#REF!</definedName>
    <definedName name="__________bol1" localSheetId="0">#REF!</definedName>
    <definedName name="__________bol1">#REF!</definedName>
    <definedName name="__________can430">40.73</definedName>
    <definedName name="__________can435">43.3</definedName>
    <definedName name="__________cbd148" localSheetId="0">#REF!</definedName>
    <definedName name="__________cbd148">#REF!</definedName>
    <definedName name="_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dfS2">#REF!</definedName>
    <definedName name="__________DIA1" localSheetId="0">#REF!</definedName>
    <definedName name="__________DIA1">#REF!</definedName>
    <definedName name="__________dia10">#REF!</definedName>
    <definedName name="__________dia12">#REF!</definedName>
    <definedName name="__________dia16">#REF!</definedName>
    <definedName name="__________DIA2" localSheetId="0">#REF!</definedName>
    <definedName name="__________DIA2">#REF!</definedName>
    <definedName name="__________dia20">#REF!</definedName>
    <definedName name="__________dia25">#REF!</definedName>
    <definedName name="__________dia8">#REF!</definedName>
    <definedName name="__________fab1" localSheetId="0">#REF!</definedName>
    <definedName name="__________fab1">#REF!</definedName>
    <definedName name="__________FLG2">#REF!</definedName>
    <definedName name="__________iv66666" localSheetId="0">#REF!</definedName>
    <definedName name="__________iv66666">#REF!</definedName>
    <definedName name="_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MS010" localSheetId="0">#REF!</definedName>
    <definedName name="__________MS010">#REF!</definedName>
    <definedName name="__________PO1" localSheetId="0">#REF!</definedName>
    <definedName name="__________PO1">#REF!</definedName>
    <definedName name="__________PO2" localSheetId="0">#REF!</definedName>
    <definedName name="__________PO2">#REF!</definedName>
    <definedName name="__________sdb2">#REF!</definedName>
    <definedName name="__________TB2" localSheetId="0">#REF!</definedName>
    <definedName name="__________TB2">#REF!</definedName>
    <definedName name="__________UGF1">#REF!</definedName>
    <definedName name="__________zz65536" localSheetId="0">#REF!</definedName>
    <definedName name="__________zz65536">#REF!</definedName>
    <definedName name="_________A1">#REF!</definedName>
    <definedName name="_________aj1" localSheetId="0">#REF!</definedName>
    <definedName name="_________aj1">#REF!</definedName>
    <definedName name="_________b1" localSheetId="0">#REF!</definedName>
    <definedName name="_________b1">#REF!</definedName>
    <definedName name="_________B100000" localSheetId="0">#REF!</definedName>
    <definedName name="_________B100000">#REF!</definedName>
    <definedName name="_________bak151" localSheetId="0">#REF!</definedName>
    <definedName name="_________bak151">#REF!</definedName>
    <definedName name="_________bol1" localSheetId="0">#REF!</definedName>
    <definedName name="_________bol1">#REF!</definedName>
    <definedName name="_________can430">40.73</definedName>
    <definedName name="_________can435">43.3</definedName>
    <definedName name="_________cbd148" localSheetId="0">#REF!</definedName>
    <definedName name="_________cbd148">#REF!</definedName>
    <definedName name="_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dfS2">#REF!</definedName>
    <definedName name="_________DIA1" localSheetId="0">#REF!</definedName>
    <definedName name="_________DIA1">#REF!</definedName>
    <definedName name="_________dia10">#REF!</definedName>
    <definedName name="_________dia12">#REF!</definedName>
    <definedName name="_________dia16">#REF!</definedName>
    <definedName name="_________DIA2" localSheetId="0">#REF!</definedName>
    <definedName name="_________DIA2">#REF!</definedName>
    <definedName name="_________dia20">#REF!</definedName>
    <definedName name="_________dia25">#REF!</definedName>
    <definedName name="_________dia8">#REF!</definedName>
    <definedName name="_________fab1" localSheetId="0">#REF!</definedName>
    <definedName name="_________fab1">#REF!</definedName>
    <definedName name="_________FLG2">#REF!</definedName>
    <definedName name="_________iv66666" localSheetId="0">#REF!</definedName>
    <definedName name="_________iv66666">#REF!</definedName>
    <definedName name="_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MS010" localSheetId="0">#REF!</definedName>
    <definedName name="_________MS010">#REF!</definedName>
    <definedName name="_________PO1" localSheetId="0">#REF!</definedName>
    <definedName name="_________PO1">#REF!</definedName>
    <definedName name="_________PO2" localSheetId="0">#REF!</definedName>
    <definedName name="_________PO2">#REF!</definedName>
    <definedName name="_________sdb2">#REF!</definedName>
    <definedName name="_________TB2" localSheetId="0">#REF!</definedName>
    <definedName name="_________TB2">#REF!</definedName>
    <definedName name="_________UGF1">#REF!</definedName>
    <definedName name="_________zz65536" localSheetId="0">#REF!</definedName>
    <definedName name="_________zz65536">#REF!</definedName>
    <definedName name="________A1">#REF!</definedName>
    <definedName name="________aj1" localSheetId="0">#REF!</definedName>
    <definedName name="________aj1">#REF!</definedName>
    <definedName name="________b1" localSheetId="0">#REF!</definedName>
    <definedName name="________b1">#REF!</definedName>
    <definedName name="________B100000" localSheetId="0">#REF!</definedName>
    <definedName name="________B100000">#REF!</definedName>
    <definedName name="________bak151" localSheetId="0">#REF!</definedName>
    <definedName name="________bak151">#REF!</definedName>
    <definedName name="________bol1" localSheetId="0">#REF!</definedName>
    <definedName name="________bol1">#REF!</definedName>
    <definedName name="________can430">40.73</definedName>
    <definedName name="________can435">43.3</definedName>
    <definedName name="________cbd148" localSheetId="0">#REF!</definedName>
    <definedName name="________cbd148">#REF!</definedName>
    <definedName name="_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dfS2">#REF!</definedName>
    <definedName name="________DIA1" localSheetId="0">#REF!</definedName>
    <definedName name="________DIA1">#REF!</definedName>
    <definedName name="________dia10">#REF!</definedName>
    <definedName name="________dia12">#REF!</definedName>
    <definedName name="________dia16">#REF!</definedName>
    <definedName name="________DIA2" localSheetId="0">#REF!</definedName>
    <definedName name="________DIA2">#REF!</definedName>
    <definedName name="________dia20">#REF!</definedName>
    <definedName name="________dia25">#REF!</definedName>
    <definedName name="________dia8">#REF!</definedName>
    <definedName name="________fab1" localSheetId="0">#REF!</definedName>
    <definedName name="________fab1">#REF!</definedName>
    <definedName name="________FLG2">#REF!</definedName>
    <definedName name="________iv66666" localSheetId="0">#REF!</definedName>
    <definedName name="________iv66666">#REF!</definedName>
    <definedName name="_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MS010" localSheetId="0">#REF!</definedName>
    <definedName name="________MS010">#REF!</definedName>
    <definedName name="________PO1" localSheetId="0">#REF!</definedName>
    <definedName name="________PO1">#REF!</definedName>
    <definedName name="________PO2" localSheetId="0">#REF!</definedName>
    <definedName name="________PO2">#REF!</definedName>
    <definedName name="________sdb2">#REF!</definedName>
    <definedName name="________TB2" localSheetId="0">#REF!</definedName>
    <definedName name="________TB2">#REF!</definedName>
    <definedName name="________UGF1">#REF!</definedName>
    <definedName name="________zz65536" localSheetId="0">#REF!</definedName>
    <definedName name="________zz65536">#REF!</definedName>
    <definedName name="_______A1">#REF!</definedName>
    <definedName name="_______aj1" localSheetId="0">#REF!</definedName>
    <definedName name="_______aj1">#REF!</definedName>
    <definedName name="_______b1" localSheetId="0">#REF!</definedName>
    <definedName name="_______b1">#REF!</definedName>
    <definedName name="_______B100000" localSheetId="0">#REF!</definedName>
    <definedName name="_______B100000">#REF!</definedName>
    <definedName name="_______bak151" localSheetId="0">#REF!</definedName>
    <definedName name="_______bak151">#REF!</definedName>
    <definedName name="_______bol1" localSheetId="0">#REF!</definedName>
    <definedName name="_______bol1">#REF!</definedName>
    <definedName name="_______can430">40.73</definedName>
    <definedName name="_______can435">43.3</definedName>
    <definedName name="_______cbd148" localSheetId="0">#REF!</definedName>
    <definedName name="_______cbd148">#REF!</definedName>
    <definedName name="_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dfS2">#REF!</definedName>
    <definedName name="_______DIA1" localSheetId="0">#REF!</definedName>
    <definedName name="_______DIA1">#REF!</definedName>
    <definedName name="_______dia10">#REF!</definedName>
    <definedName name="_______dia12">#REF!</definedName>
    <definedName name="_______dia16">#REF!</definedName>
    <definedName name="_______DIA2" localSheetId="0">#REF!</definedName>
    <definedName name="_______DIA2">#REF!</definedName>
    <definedName name="_______dia20">#REF!</definedName>
    <definedName name="_______dia25">#REF!</definedName>
    <definedName name="_______dia8">#REF!</definedName>
    <definedName name="_______fab1" localSheetId="0">#REF!</definedName>
    <definedName name="_______fab1">#REF!</definedName>
    <definedName name="_______FLG2">#REF!</definedName>
    <definedName name="_______iv66666" localSheetId="0">#REF!</definedName>
    <definedName name="_______iv66666">#REF!</definedName>
    <definedName name="_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MS010" localSheetId="0">#REF!</definedName>
    <definedName name="_______MS010">#REF!</definedName>
    <definedName name="_______PO1" localSheetId="0">#REF!</definedName>
    <definedName name="_______PO1">#REF!</definedName>
    <definedName name="_______PO2" localSheetId="0">#REF!</definedName>
    <definedName name="_______PO2">#REF!</definedName>
    <definedName name="_______sdb2">#REF!</definedName>
    <definedName name="_______TB2" localSheetId="0">#REF!</definedName>
    <definedName name="_______TB2">#REF!</definedName>
    <definedName name="_______UGF1">#REF!</definedName>
    <definedName name="_______zz65536" localSheetId="0">#REF!</definedName>
    <definedName name="_______zz65536">#REF!</definedName>
    <definedName name="______A1">#REF!</definedName>
    <definedName name="______aj1" localSheetId="0">#REF!</definedName>
    <definedName name="______aj1">#REF!</definedName>
    <definedName name="______b1" localSheetId="0">#REF!</definedName>
    <definedName name="______b1">#REF!</definedName>
    <definedName name="______B100000" localSheetId="0">#REF!</definedName>
    <definedName name="______B100000">#REF!</definedName>
    <definedName name="______bak151" localSheetId="0">#REF!</definedName>
    <definedName name="______bak151">#REF!</definedName>
    <definedName name="______bol1" localSheetId="0">#REF!</definedName>
    <definedName name="______bol1">#REF!</definedName>
    <definedName name="______can430">40.73</definedName>
    <definedName name="______can435">43.3</definedName>
    <definedName name="______cbd148" localSheetId="0">#REF!</definedName>
    <definedName name="______cbd148">#REF!</definedName>
    <definedName name="_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dfS2">#REF!</definedName>
    <definedName name="______DIA1" localSheetId="0">#REF!</definedName>
    <definedName name="______DIA1">#REF!</definedName>
    <definedName name="______dia10">#REF!</definedName>
    <definedName name="______dia12">#REF!</definedName>
    <definedName name="______dia16">#REF!</definedName>
    <definedName name="______DIA2" localSheetId="0">#REF!</definedName>
    <definedName name="______DIA2">#REF!</definedName>
    <definedName name="______dia20">#REF!</definedName>
    <definedName name="______dia25">#REF!</definedName>
    <definedName name="______dia8">#REF!</definedName>
    <definedName name="______fab1" localSheetId="0">#REF!</definedName>
    <definedName name="______fab1">#REF!</definedName>
    <definedName name="______FLG2">#REF!</definedName>
    <definedName name="______iv66666" localSheetId="0">#REF!</definedName>
    <definedName name="______iv66666">#REF!</definedName>
    <definedName name="_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MS010" localSheetId="0">#REF!</definedName>
    <definedName name="______MS010">#REF!</definedName>
    <definedName name="______PO1" localSheetId="0">#REF!</definedName>
    <definedName name="______PO1">#REF!</definedName>
    <definedName name="______PO2" localSheetId="0">#REF!</definedName>
    <definedName name="______PO2">#REF!</definedName>
    <definedName name="______sdb2">#REF!</definedName>
    <definedName name="______TB2" localSheetId="0">#REF!</definedName>
    <definedName name="______TB2">#REF!</definedName>
    <definedName name="______UGF1">#REF!</definedName>
    <definedName name="______zz65536" localSheetId="0">#REF!</definedName>
    <definedName name="______zz65536">#REF!</definedName>
    <definedName name="_____A1">#REF!</definedName>
    <definedName name="_____aj1" localSheetId="0">#REF!</definedName>
    <definedName name="_____aj1">#REF!</definedName>
    <definedName name="_____b1" localSheetId="0">#REF!</definedName>
    <definedName name="_____b1">#REF!</definedName>
    <definedName name="_____B100000" localSheetId="0">#REF!</definedName>
    <definedName name="_____B100000">#REF!</definedName>
    <definedName name="_____bak151" localSheetId="0">#REF!</definedName>
    <definedName name="_____bak151">#REF!</definedName>
    <definedName name="_____bol1" localSheetId="0">#REF!</definedName>
    <definedName name="_____bol1">#REF!</definedName>
    <definedName name="_____can430">40.73</definedName>
    <definedName name="_____can435">43.3</definedName>
    <definedName name="_____cbd148" localSheetId="0">#REF!</definedName>
    <definedName name="_____cbd148">#REF!</definedName>
    <definedName name="_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dfS2">#REF!</definedName>
    <definedName name="_____DIA1" localSheetId="0">#REF!</definedName>
    <definedName name="_____DIA1">#REF!</definedName>
    <definedName name="_____dia10">#REF!</definedName>
    <definedName name="_____dia12">#REF!</definedName>
    <definedName name="_____dia16">#REF!</definedName>
    <definedName name="_____DIA2" localSheetId="0">#REF!</definedName>
    <definedName name="_____DIA2">#REF!</definedName>
    <definedName name="_____dia20">#REF!</definedName>
    <definedName name="_____dia25">#REF!</definedName>
    <definedName name="_____dia8">#REF!</definedName>
    <definedName name="_____fab1" localSheetId="0">#REF!</definedName>
    <definedName name="_____fab1">#REF!</definedName>
    <definedName name="_____FLG2">#REF!</definedName>
    <definedName name="_____iv66666" localSheetId="0">#REF!</definedName>
    <definedName name="_____iv66666">#REF!</definedName>
    <definedName name="_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MS010" localSheetId="0">#REF!</definedName>
    <definedName name="_____MS010">#REF!</definedName>
    <definedName name="_____PO1" localSheetId="0">#REF!</definedName>
    <definedName name="_____PO1">#REF!</definedName>
    <definedName name="_____PO2" localSheetId="0">#REF!</definedName>
    <definedName name="_____PO2">#REF!</definedName>
    <definedName name="_____sdb2">#REF!</definedName>
    <definedName name="_____TB2" localSheetId="0">#REF!</definedName>
    <definedName name="_____TB2">#REF!</definedName>
    <definedName name="_____UGF1">#REF!</definedName>
    <definedName name="_____zz65536" localSheetId="0">#REF!</definedName>
    <definedName name="_____zz65536">#REF!</definedName>
    <definedName name="____A1">#REF!</definedName>
    <definedName name="____aj1" localSheetId="0">#REF!</definedName>
    <definedName name="____aj1">#REF!</definedName>
    <definedName name="____b1" localSheetId="0">#REF!</definedName>
    <definedName name="____b1">#REF!</definedName>
    <definedName name="____B100000" localSheetId="0">#REF!</definedName>
    <definedName name="____B100000">#REF!</definedName>
    <definedName name="____bak151" localSheetId="0">#REF!</definedName>
    <definedName name="____bak151">#REF!</definedName>
    <definedName name="____bol1" localSheetId="0">#REF!</definedName>
    <definedName name="____bol1">#REF!</definedName>
    <definedName name="____can430">40.73</definedName>
    <definedName name="____can435">43.3</definedName>
    <definedName name="____cbd148" localSheetId="0">#REF!</definedName>
    <definedName name="____cbd148">#REF!</definedName>
    <definedName name="_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dfS2">#REF!</definedName>
    <definedName name="____DIA1" localSheetId="0">#REF!</definedName>
    <definedName name="____DIA1">#REF!</definedName>
    <definedName name="____dia10">#REF!</definedName>
    <definedName name="____dia12">#REF!</definedName>
    <definedName name="____dia16">#REF!</definedName>
    <definedName name="____DIA2" localSheetId="0">#REF!</definedName>
    <definedName name="____DIA2">#REF!</definedName>
    <definedName name="____dia20">#REF!</definedName>
    <definedName name="____dia25">#REF!</definedName>
    <definedName name="____dia8">#REF!</definedName>
    <definedName name="____fab1" localSheetId="0">#REF!</definedName>
    <definedName name="____fab1">#REF!</definedName>
    <definedName name="____FLG2">#REF!</definedName>
    <definedName name="____iv66666" localSheetId="0">#REF!</definedName>
    <definedName name="____iv66666">#REF!</definedName>
    <definedName name="_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MS010" localSheetId="0">#REF!</definedName>
    <definedName name="____MS010">#REF!</definedName>
    <definedName name="____PO1" localSheetId="0">#REF!</definedName>
    <definedName name="____PO1">#REF!</definedName>
    <definedName name="____PO2" localSheetId="0">#REF!</definedName>
    <definedName name="____PO2">#REF!</definedName>
    <definedName name="____sdb2">#REF!</definedName>
    <definedName name="____TB2" localSheetId="0">#REF!</definedName>
    <definedName name="____TB2">#REF!</definedName>
    <definedName name="____UGF1">#REF!</definedName>
    <definedName name="____zz65536" localSheetId="0">#REF!</definedName>
    <definedName name="____zz65536">#REF!</definedName>
    <definedName name="___A1">#REF!</definedName>
    <definedName name="___aj1" localSheetId="0">#REF!</definedName>
    <definedName name="___aj1">#REF!</definedName>
    <definedName name="___b1" localSheetId="0">#REF!</definedName>
    <definedName name="___b1">#REF!</definedName>
    <definedName name="___B100000" localSheetId="0">#REF!</definedName>
    <definedName name="___B100000">#REF!</definedName>
    <definedName name="___b111121">#REF!</definedName>
    <definedName name="___bak151" localSheetId="0">#REF!</definedName>
    <definedName name="___bak151">#REF!</definedName>
    <definedName name="___bol1" localSheetId="0">#REF!</definedName>
    <definedName name="___bol1">#REF!</definedName>
    <definedName name="___can430">40.73</definedName>
    <definedName name="___can435">43.3</definedName>
    <definedName name="___cbd148" localSheetId="0">#REF!</definedName>
    <definedName name="___cbd148">#REF!</definedName>
    <definedName name="_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dfS2" localSheetId="0">#REF!</definedName>
    <definedName name="___dfS2">#REF!</definedName>
    <definedName name="___DIA1" localSheetId="0">#REF!</definedName>
    <definedName name="___DIA1">#REF!</definedName>
    <definedName name="___dia10">#REF!</definedName>
    <definedName name="___dia12">#REF!</definedName>
    <definedName name="___dia16">#REF!</definedName>
    <definedName name="___DIA2" localSheetId="0">#REF!</definedName>
    <definedName name="___DIA2">#REF!</definedName>
    <definedName name="___dia20">#REF!</definedName>
    <definedName name="___dia25">#REF!</definedName>
    <definedName name="___dia8">#REF!</definedName>
    <definedName name="___fab1" localSheetId="0">#REF!</definedName>
    <definedName name="___fab1">#REF!</definedName>
    <definedName name="___FLG2">#REF!</definedName>
    <definedName name="___iv66666" localSheetId="0">#REF!</definedName>
    <definedName name="___iv66666">#REF!</definedName>
    <definedName name="___Ki1" localSheetId="0">#REF!</definedName>
    <definedName name="___Ki1">#REF!</definedName>
    <definedName name="___Ki2" localSheetId="0">#REF!</definedName>
    <definedName name="___Ki2">#REF!</definedName>
    <definedName name="_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MAN1">#REF!</definedName>
    <definedName name="___MS010" localSheetId="0">#REF!</definedName>
    <definedName name="___MS010">#REF!</definedName>
    <definedName name="___PB1" localSheetId="0">#REF!</definedName>
    <definedName name="___PB1">#REF!</definedName>
    <definedName name="___PO1">#REF!</definedName>
    <definedName name="___PO2">#REF!</definedName>
    <definedName name="___sdb2">#REF!</definedName>
    <definedName name="___TB2" localSheetId="0">#REF!</definedName>
    <definedName name="___TB2">#REF!</definedName>
    <definedName name="___UGF1">#REF!</definedName>
    <definedName name="___zz65536" localSheetId="0">#REF!</definedName>
    <definedName name="___zz65536">#REF!</definedName>
    <definedName name="__A1">#REF!</definedName>
    <definedName name="__aj1" localSheetId="0">#REF!</definedName>
    <definedName name="__aj1">#REF!</definedName>
    <definedName name="__b1" localSheetId="0">#REF!</definedName>
    <definedName name="__b1">#REF!</definedName>
    <definedName name="__B100000" localSheetId="0">#REF!</definedName>
    <definedName name="__B100000">#REF!</definedName>
    <definedName name="__b111121">#REF!</definedName>
    <definedName name="__bak151" localSheetId="0">#REF!</definedName>
    <definedName name="__bak151">#REF!</definedName>
    <definedName name="__bol1" localSheetId="0">#REF!</definedName>
    <definedName name="__bol1">#REF!</definedName>
    <definedName name="__can430">40.73</definedName>
    <definedName name="__can435">43.3</definedName>
    <definedName name="__cbd148" localSheetId="0">#REF!</definedName>
    <definedName name="__cbd148">#REF!</definedName>
    <definedName name="_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dfS2" localSheetId="0">#REF!</definedName>
    <definedName name="__dfS2">#REF!</definedName>
    <definedName name="__DIA1" localSheetId="0">#REF!</definedName>
    <definedName name="__DIA1">#REF!</definedName>
    <definedName name="__dia10">#REF!</definedName>
    <definedName name="__dia12">#REF!</definedName>
    <definedName name="__dia16">#REF!</definedName>
    <definedName name="__DIA2" localSheetId="0">#REF!</definedName>
    <definedName name="__DIA2">#REF!</definedName>
    <definedName name="__dia20">#REF!</definedName>
    <definedName name="__dia25">#REF!</definedName>
    <definedName name="__dia8">#REF!</definedName>
    <definedName name="__fab1" localSheetId="0">#REF!</definedName>
    <definedName name="__fab1">#REF!</definedName>
    <definedName name="__FLG2">#REF!</definedName>
    <definedName name="__iv66666" localSheetId="0">#REF!</definedName>
    <definedName name="__iv66666">#REF!</definedName>
    <definedName name="__Ki1" localSheetId="0">#REF!</definedName>
    <definedName name="__Ki1">#REF!</definedName>
    <definedName name="__Ki2" localSheetId="0">#REF!</definedName>
    <definedName name="__Ki2">#REF!</definedName>
    <definedName name="_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MAN1">#REF!</definedName>
    <definedName name="__MS010" localSheetId="0">#REF!</definedName>
    <definedName name="__MS010">#REF!</definedName>
    <definedName name="__PB1" localSheetId="0">#REF!</definedName>
    <definedName name="__PB1">#REF!</definedName>
    <definedName name="__PO1">#REF!</definedName>
    <definedName name="__PO2">#REF!</definedName>
    <definedName name="__sdb2">#REF!</definedName>
    <definedName name="__TB2" localSheetId="0">#REF!</definedName>
    <definedName name="__TB2">#REF!</definedName>
    <definedName name="__UGF1">#REF!</definedName>
    <definedName name="__xlnm.Print_Area_2" localSheetId="0">#REF!</definedName>
    <definedName name="__xlnm.Print_Area_2">#REF!</definedName>
    <definedName name="__xlnm.Print_Titles_2" localSheetId="0">#REF!</definedName>
    <definedName name="__xlnm.Print_Titles_2">#REF!</definedName>
    <definedName name="__zz65536" localSheetId="0">#REF!</definedName>
    <definedName name="__zz65536">#REF!</definedName>
    <definedName name="_0" localSheetId="0">#REF!</definedName>
    <definedName name="_0">#REF!</definedName>
    <definedName name="_0___0" localSheetId="0">#REF!</definedName>
    <definedName name="_0___0">#REF!</definedName>
    <definedName name="_0_1" localSheetId="0">#REF!</definedName>
    <definedName name="_0_1">#REF!</definedName>
    <definedName name="_06_26_03" localSheetId="0">#REF!</definedName>
    <definedName name="_06_26_03">#REF!</definedName>
    <definedName name="_1" localSheetId="0">#REF!</definedName>
    <definedName name="_1">#REF!</definedName>
    <definedName name="_1_a_1" localSheetId="0">#REF!</definedName>
    <definedName name="_1_a_1">#REF!</definedName>
    <definedName name="_10" localSheetId="0">#REF!</definedName>
    <definedName name="_10">#REF!</definedName>
    <definedName name="_100SalesMgr_4_1" localSheetId="0">#REF!</definedName>
    <definedName name="_100SalesMgr_4_1">#REF!</definedName>
    <definedName name="_101saud_4_1" localSheetId="0">#REF!</definedName>
    <definedName name="_101saud_4_1">#REF!</definedName>
    <definedName name="_102sauf_4_1" localSheetId="0">#REF!</definedName>
    <definedName name="_102sauf_4_1">#REF!</definedName>
    <definedName name="_103sauif_4_1">#REF!</definedName>
    <definedName name="_104SelectedLanguage_4_1">#REF!</definedName>
    <definedName name="_105SiteID_4_1">#REF!</definedName>
    <definedName name="_106SiteType_4_1">#REF!</definedName>
    <definedName name="_107SmallProj_4_1">#REF!</definedName>
    <definedName name="_108SmallProj_Text_4_1">#REF!</definedName>
    <definedName name="_109SP1Branch_4_1">#REF!</definedName>
    <definedName name="_10BidClass_4_1">#REF!</definedName>
    <definedName name="_11" localSheetId="0">#REF!</definedName>
    <definedName name="_11">#REF!</definedName>
    <definedName name="_110SP1Credit_4_1" localSheetId="0">#REF!</definedName>
    <definedName name="_110SP1Credit_4_1">#REF!</definedName>
    <definedName name="_111SP1Name_4_1" localSheetId="0">#REF!</definedName>
    <definedName name="_111SP1Name_4_1">#REF!</definedName>
    <definedName name="_112SP1Number_4_1" localSheetId="0">#REF!</definedName>
    <definedName name="_112SP1Number_4_1">#REF!</definedName>
    <definedName name="_113SP2Branch_4_1">#REF!</definedName>
    <definedName name="_114SP2Credit_4_1">#REF!</definedName>
    <definedName name="_115SP2Name_4_1">#REF!</definedName>
    <definedName name="_116SP2Number_4_1">#REF!</definedName>
    <definedName name="_117SP3Branch_4_1">#REF!</definedName>
    <definedName name="_118SP3Credit_4_1">#REF!</definedName>
    <definedName name="_119SP3Name_4_1">#REF!</definedName>
    <definedName name="_11BidClass_Text_4_1">#REF!</definedName>
    <definedName name="_12" localSheetId="0">#REF!</definedName>
    <definedName name="_12">#REF!</definedName>
    <definedName name="_120SP3Number_4_1" localSheetId="0">#REF!</definedName>
    <definedName name="_120SP3Number_4_1">#REF!</definedName>
    <definedName name="_121SP4Branch_4_1" localSheetId="0">#REF!</definedName>
    <definedName name="_121SP4Branch_4_1">#REF!</definedName>
    <definedName name="_122SP4Credit_4_1" localSheetId="0">#REF!</definedName>
    <definedName name="_122SP4Credit_4_1">#REF!</definedName>
    <definedName name="_123SP4Name_4_1">#REF!</definedName>
    <definedName name="_124SP4Number_4_1">#REF!</definedName>
    <definedName name="_125SP5Branch_4_1">#REF!</definedName>
    <definedName name="_126SP5Credit_4_1">#REF!</definedName>
    <definedName name="_127SP5Name_4_1">#REF!</definedName>
    <definedName name="_128SP5Number_4_1">#REF!</definedName>
    <definedName name="_129SpecClass_4_1">#REF!</definedName>
    <definedName name="_12BillingFreq_4_1">#REF!</definedName>
    <definedName name="_13" localSheetId="0">#REF!</definedName>
    <definedName name="_13">#REF!</definedName>
    <definedName name="_130SpecClass_Text_4_1" localSheetId="0">#REF!</definedName>
    <definedName name="_130SpecClass_Text_4_1">#REF!</definedName>
    <definedName name="_131SpecEnv1_4_1" localSheetId="0">#REF!</definedName>
    <definedName name="_131SpecEnv1_4_1">#REF!</definedName>
    <definedName name="_132SpecEnv1_Text_4_1" localSheetId="0">#REF!</definedName>
    <definedName name="_132SpecEnv1_Text_4_1">#REF!</definedName>
    <definedName name="_133SpecEnv2_4_1">#REF!</definedName>
    <definedName name="_134SpecEnv2_Text_4_1">#REF!</definedName>
    <definedName name="_135SPLR_4_1">#REF!</definedName>
    <definedName name="_136SrvcCode1_4_1">#REF!</definedName>
    <definedName name="_137SrvcCode1_Text_4_1">#REF!</definedName>
    <definedName name="_138SrvcCode2_4_1">#REF!</definedName>
    <definedName name="_139SrvcCode2_Text_4_1">#REF!</definedName>
    <definedName name="_13BillingTiming_4_1">#REF!</definedName>
    <definedName name="_14" localSheetId="0">#REF!</definedName>
    <definedName name="_14">#REF!</definedName>
    <definedName name="_140SrvcCode3_4_1" localSheetId="0">#REF!</definedName>
    <definedName name="_140SrvcCode3_4_1">#REF!</definedName>
    <definedName name="_141SrvcCode3_Text_4_1" localSheetId="0">#REF!</definedName>
    <definedName name="_141SrvcCode3_Text_4_1">#REF!</definedName>
    <definedName name="_142SrvcCode4_4_1" localSheetId="0">#REF!</definedName>
    <definedName name="_142SrvcCode4_4_1">#REF!</definedName>
    <definedName name="_143SrvcCode4_Text_4_1">#REF!</definedName>
    <definedName name="_144SrvcCode5_4_1">#REF!</definedName>
    <definedName name="_145SrvcCode5_Text_4_1">#REF!</definedName>
    <definedName name="_146StartDate_4_1">#REF!</definedName>
    <definedName name="_147swf_4_1">#REF!</definedName>
    <definedName name="_148TierCode_4_1">#REF!</definedName>
    <definedName name="_149TierCode_Text_4_1">#REF!</definedName>
    <definedName name="_14BusType_4_1">#REF!</definedName>
    <definedName name="_15" localSheetId="0">#REF!</definedName>
    <definedName name="_15">#REF!</definedName>
    <definedName name="_150vatf_4_1" localSheetId="0">#REF!</definedName>
    <definedName name="_150vatf_4_1">#REF!</definedName>
    <definedName name="_15BusType_Text_4_1" localSheetId="0">#REF!</definedName>
    <definedName name="_15BusType_Text_4_1">#REF!</definedName>
    <definedName name="_16" localSheetId="0">#REF!</definedName>
    <definedName name="_16">#REF!</definedName>
    <definedName name="_16cab21.5tp_4_1" localSheetId="0">#REF!</definedName>
    <definedName name="_16cab21.5tp_4_1">#REF!</definedName>
    <definedName name="_17" localSheetId="0">#REF!</definedName>
    <definedName name="_17">#REF!</definedName>
    <definedName name="_17cab21s_4_1" localSheetId="0">#REF!</definedName>
    <definedName name="_17cab21s_4_1">#REF!</definedName>
    <definedName name="_18" localSheetId="0">#REF!</definedName>
    <definedName name="_18">#REF!</definedName>
    <definedName name="_18cab21us_4_1" localSheetId="0">#REF!</definedName>
    <definedName name="_18cab21us_4_1">#REF!</definedName>
    <definedName name="_19" localSheetId="0">#REF!</definedName>
    <definedName name="_19">#REF!</definedName>
    <definedName name="_19cab31s_4_1" localSheetId="0">#REF!</definedName>
    <definedName name="_19cab31s_4_1">#REF!</definedName>
    <definedName name="_1Excel_BuiltIn_Print_Titles_1_1" localSheetId="0">#REF!</definedName>
    <definedName name="_1Excel_BuiltIn_Print_Titles_1_1">#REF!</definedName>
    <definedName name="_2" localSheetId="0">#REF!</definedName>
    <definedName name="_2">#REF!</definedName>
    <definedName name="_2_a_4_1" localSheetId="0">#REF!</definedName>
    <definedName name="_2_a_4_1">#REF!</definedName>
    <definedName name="_20" localSheetId="0">#REF!</definedName>
    <definedName name="_20">#REF!</definedName>
    <definedName name="_20cab31us_4_1" localSheetId="0">#REF!</definedName>
    <definedName name="_20cab31us_4_1">#REF!</definedName>
    <definedName name="_21" localSheetId="0">#REF!</definedName>
    <definedName name="_21">#REF!</definedName>
    <definedName name="_21cab41s_4_1" localSheetId="0">#REF!</definedName>
    <definedName name="_21cab41s_4_1">#REF!</definedName>
    <definedName name="_22" localSheetId="0">#REF!</definedName>
    <definedName name="_22">#REF!</definedName>
    <definedName name="_22cab41us_4_1" localSheetId="0">#REF!</definedName>
    <definedName name="_22cab41us_4_1">#REF!</definedName>
    <definedName name="_23" localSheetId="0">#REF!</definedName>
    <definedName name="_23">#REF!</definedName>
    <definedName name="_23cabf_4_1" localSheetId="0">#REF!</definedName>
    <definedName name="_23cabf_4_1">#REF!</definedName>
    <definedName name="_24" localSheetId="0">#REF!</definedName>
    <definedName name="_24">#REF!</definedName>
    <definedName name="_24CABLE_4_1" localSheetId="0">#REF!</definedName>
    <definedName name="_24CABLE_4_1">#REF!</definedName>
    <definedName name="_25" localSheetId="0">#REF!</definedName>
    <definedName name="_25">#REF!</definedName>
    <definedName name="_25CALf_4_1" localSheetId="0">#REF!</definedName>
    <definedName name="_25CALf_4_1">#REF!</definedName>
    <definedName name="_26" localSheetId="0">#REF!</definedName>
    <definedName name="_26">#REF!</definedName>
    <definedName name="_26ChangeBy_4_1" localSheetId="0">#REF!</definedName>
    <definedName name="_26ChangeBy_4_1">#REF!</definedName>
    <definedName name="_27" localSheetId="0">#REF!</definedName>
    <definedName name="_27">#REF!</definedName>
    <definedName name="_27ChangeDate_4_1" localSheetId="0">#REF!</definedName>
    <definedName name="_27ChangeDate_4_1">#REF!</definedName>
    <definedName name="_28" localSheetId="0">#REF!</definedName>
    <definedName name="_28">#REF!</definedName>
    <definedName name="_28CompDate_4_1" localSheetId="0">#REF!</definedName>
    <definedName name="_28CompDate_4_1">#REF!</definedName>
    <definedName name="_29" localSheetId="0">#REF!</definedName>
    <definedName name="_29">#REF!</definedName>
    <definedName name="_29conf_4_1" localSheetId="0">#REF!</definedName>
    <definedName name="_29conf_4_1">#REF!</definedName>
    <definedName name="_3" localSheetId="0">#REF!</definedName>
    <definedName name="_3">#REF!</definedName>
    <definedName name="_3_l_1" localSheetId="0">#REF!</definedName>
    <definedName name="_3_l_1">#REF!</definedName>
    <definedName name="_30" localSheetId="0">#REF!</definedName>
    <definedName name="_30">#REF!</definedName>
    <definedName name="_30cd___Horizontal_Strobe_light_speaker__wall_mounted" localSheetId="0">#REF!</definedName>
    <definedName name="_30cd___Horizontal_Strobe_light_speaker__wall_mounted">#REF!</definedName>
    <definedName name="_30cd__Vertical_strobe_light__wall_mounted" localSheetId="0">#REF!</definedName>
    <definedName name="_30cd__Vertical_strobe_light__wall_mounted">#REF!</definedName>
    <definedName name="_30ContAmt_4_1" localSheetId="0">#REF!</definedName>
    <definedName name="_30ContAmt_4_1">#REF!</definedName>
    <definedName name="_31" localSheetId="0">#REF!</definedName>
    <definedName name="_31">#REF!</definedName>
    <definedName name="_31ContWithAcct_4_1" localSheetId="0">#REF!</definedName>
    <definedName name="_31ContWithAcct_4_1">#REF!</definedName>
    <definedName name="_32" localSheetId="0">#REF!</definedName>
    <definedName name="_32">#REF!</definedName>
    <definedName name="_32ContWithName_4_1" localSheetId="0">#REF!</definedName>
    <definedName name="_32ContWithName_4_1">#REF!</definedName>
    <definedName name="_33" localSheetId="0">#REF!</definedName>
    <definedName name="_33">#REF!</definedName>
    <definedName name="_33ContWithPrio_4_1" localSheetId="0">#REF!</definedName>
    <definedName name="_33ContWithPrio_4_1">#REF!</definedName>
    <definedName name="_34" localSheetId="0">#REF!</definedName>
    <definedName name="_34">#REF!</definedName>
    <definedName name="_34ContWithPrio_Text_4_1" localSheetId="0">#REF!</definedName>
    <definedName name="_34ContWithPrio_Text_4_1">#REF!</definedName>
    <definedName name="_35" localSheetId="0">#REF!</definedName>
    <definedName name="_35">#REF!</definedName>
    <definedName name="_35CONum_4_1" localSheetId="0">#REF!</definedName>
    <definedName name="_35CONum_4_1">#REF!</definedName>
    <definedName name="_36" localSheetId="0">#REF!</definedName>
    <definedName name="_36">#REF!</definedName>
    <definedName name="_36CorpClient_4_1" localSheetId="0">#REF!</definedName>
    <definedName name="_36CorpClient_4_1">#REF!</definedName>
    <definedName name="_37" localSheetId="0">#REF!</definedName>
    <definedName name="_37">#REF!</definedName>
    <definedName name="_37CorpClient_Text_4_1" localSheetId="0">#REF!</definedName>
    <definedName name="_37CorpClient_Text_4_1">#REF!</definedName>
    <definedName name="_38" localSheetId="0">#REF!</definedName>
    <definedName name="_38">#REF!</definedName>
    <definedName name="_38CURR_4_1" localSheetId="0">#REF!</definedName>
    <definedName name="_38CURR_4_1">#REF!</definedName>
    <definedName name="_39" localSheetId="0">#REF!</definedName>
    <definedName name="_39">#REF!</definedName>
    <definedName name="_39CurrencyRate_4_1" localSheetId="0">#REF!</definedName>
    <definedName name="_39CurrencyRate_4_1">#REF!</definedName>
    <definedName name="_4" localSheetId="0">#REF!</definedName>
    <definedName name="_4">#REF!</definedName>
    <definedName name="_4_l_4_1" localSheetId="0">#REF!</definedName>
    <definedName name="_4_l_4_1">#REF!</definedName>
    <definedName name="_40" localSheetId="0">#REF!</definedName>
    <definedName name="_40">#REF!</definedName>
    <definedName name="_40dim4_4_1" localSheetId="0">#REF!</definedName>
    <definedName name="_40dim4_4_1">#REF!</definedName>
    <definedName name="_41" localSheetId="0">#REF!</definedName>
    <definedName name="_41">#REF!</definedName>
    <definedName name="_41EngAddress_4_1" localSheetId="0">#REF!</definedName>
    <definedName name="_41EngAddress_4_1">#REF!</definedName>
    <definedName name="_42" localSheetId="0">#REF!</definedName>
    <definedName name="_42">#REF!</definedName>
    <definedName name="_42EngCity_4_1" localSheetId="0">#REF!</definedName>
    <definedName name="_42EngCity_4_1">#REF!</definedName>
    <definedName name="_43" localSheetId="0">#REF!</definedName>
    <definedName name="_43">#REF!</definedName>
    <definedName name="_43EngName_4_1" localSheetId="0">#REF!</definedName>
    <definedName name="_43EngName_4_1">#REF!</definedName>
    <definedName name="_44" localSheetId="0">#REF!</definedName>
    <definedName name="_44">#REF!</definedName>
    <definedName name="_44EngPostal_4_1" localSheetId="0">#REF!</definedName>
    <definedName name="_44EngPostal_4_1">#REF!</definedName>
    <definedName name="_45" localSheetId="0">#REF!</definedName>
    <definedName name="_45">#REF!</definedName>
    <definedName name="_45EngPrio_4_1" localSheetId="0">#REF!</definedName>
    <definedName name="_45EngPrio_4_1">#REF!</definedName>
    <definedName name="_46" localSheetId="0">#REF!</definedName>
    <definedName name="_46">#REF!</definedName>
    <definedName name="_46EngPrio_Text_4_1" localSheetId="0">#REF!</definedName>
    <definedName name="_46EngPrio_Text_4_1">#REF!</definedName>
    <definedName name="_47" localSheetId="0">#REF!</definedName>
    <definedName name="_47">#REF!</definedName>
    <definedName name="_47EngState_4_1" localSheetId="0">#REF!</definedName>
    <definedName name="_47EngState_4_1">#REF!</definedName>
    <definedName name="_48" localSheetId="0">#REF!</definedName>
    <definedName name="_48">#REF!</definedName>
    <definedName name="_48EstCost_4_1" localSheetId="0">#REF!</definedName>
    <definedName name="_48EstCost_4_1">#REF!</definedName>
    <definedName name="_49" localSheetId="0">#REF!</definedName>
    <definedName name="_49">#REF!</definedName>
    <definedName name="_49eu_4_1" localSheetId="0">#REF!</definedName>
    <definedName name="_49eu_4_1">#REF!</definedName>
    <definedName name="_5" localSheetId="0">#REF!</definedName>
    <definedName name="_5">#REF!</definedName>
    <definedName name="_5_p_1" localSheetId="0">#REF!</definedName>
    <definedName name="_5_p_1">#REF!</definedName>
    <definedName name="_50" localSheetId="0">#REF!</definedName>
    <definedName name="_50">#REF!</definedName>
    <definedName name="_50Excel_BuiltIn_Print_Area_1" localSheetId="0">#REF!</definedName>
    <definedName name="_50Excel_BuiltIn_Print_Area_1">#REF!</definedName>
    <definedName name="_51" localSheetId="0">#REF!</definedName>
    <definedName name="_51">#REF!</definedName>
    <definedName name="_51Excel_BuiltIn_Print_Titles_3_4_1" localSheetId="0">#REF!</definedName>
    <definedName name="_51Excel_BuiltIn_Print_Titles_3_4_1">#REF!</definedName>
    <definedName name="_52" localSheetId="0">#REF!</definedName>
    <definedName name="_52">#REF!</definedName>
    <definedName name="_52FiscalIDNum_4_1" localSheetId="0">#REF!</definedName>
    <definedName name="_52FiscalIDNum_4_1">#REF!</definedName>
    <definedName name="_53" localSheetId="0">#REF!</definedName>
    <definedName name="_53">#REF!</definedName>
    <definedName name="_53FormTitle_4_1" localSheetId="0">#REF!</definedName>
    <definedName name="_53FormTitle_4_1">#REF!</definedName>
    <definedName name="_54" localSheetId="0">#REF!</definedName>
    <definedName name="_54">#REF!</definedName>
    <definedName name="_54GMAmount_4_1" localSheetId="0">#REF!</definedName>
    <definedName name="_54GMAmount_4_1">#REF!</definedName>
    <definedName name="_55" localSheetId="0">#REF!</definedName>
    <definedName name="_55">#REF!</definedName>
    <definedName name="_55GMPercent_4_1" localSheetId="0">#REF!</definedName>
    <definedName name="_55GMPercent_4_1">#REF!</definedName>
    <definedName name="_56" localSheetId="0">#REF!</definedName>
    <definedName name="_56">#REF!</definedName>
    <definedName name="_56Headings_4_1" localSheetId="0">#REF!</definedName>
    <definedName name="_56Headings_4_1">#REF!</definedName>
    <definedName name="_57" localSheetId="0">#REF!</definedName>
    <definedName name="_57">#REF!</definedName>
    <definedName name="_57indf_4_1" localSheetId="0">#REF!</definedName>
    <definedName name="_57indf_4_1">#REF!</definedName>
    <definedName name="_58" localSheetId="0">#REF!</definedName>
    <definedName name="_58">#REF!</definedName>
    <definedName name="_58InstBillingMethod_4_1" localSheetId="0">#REF!</definedName>
    <definedName name="_58InstBillingMethod_4_1">#REF!</definedName>
    <definedName name="_59" localSheetId="0">#REF!</definedName>
    <definedName name="_59">#REF!</definedName>
    <definedName name="_59instf_4_1" localSheetId="0">#REF!</definedName>
    <definedName name="_59instf_4_1">#REF!</definedName>
    <definedName name="_6" localSheetId="0">#REF!</definedName>
    <definedName name="_6">#REF!</definedName>
    <definedName name="_6_p_4_1" localSheetId="0">#REF!</definedName>
    <definedName name="_6_p_4_1">#REF!</definedName>
    <definedName name="_60" localSheetId="0">#REF!</definedName>
    <definedName name="_60">#REF!</definedName>
    <definedName name="_60MarketType_4_1" localSheetId="0">#REF!</definedName>
    <definedName name="_60MarketType_4_1">#REF!</definedName>
    <definedName name="_61" localSheetId="0">#REF!</definedName>
    <definedName name="_61">#REF!</definedName>
    <definedName name="_61MarketType_Text_4_1" localSheetId="0">#REF!</definedName>
    <definedName name="_61MarketType_Text_4_1">#REF!</definedName>
    <definedName name="_62" localSheetId="0">#REF!</definedName>
    <definedName name="_62">#REF!</definedName>
    <definedName name="_62nonmodular_4_1" localSheetId="0">#REF!</definedName>
    <definedName name="_62nonmodular_4_1">#REF!</definedName>
    <definedName name="_63" localSheetId="0">#REF!</definedName>
    <definedName name="_63">#REF!</definedName>
    <definedName name="_63OwnAcctNum_4_1" localSheetId="0">#REF!</definedName>
    <definedName name="_63OwnAcctNum_4_1">#REF!</definedName>
    <definedName name="_64" localSheetId="0">#REF!</definedName>
    <definedName name="_64">#REF!</definedName>
    <definedName name="_64po_4_1" localSheetId="0">#REF!</definedName>
    <definedName name="_64po_4_1">#REF!</definedName>
    <definedName name="_65" localSheetId="0">#REF!</definedName>
    <definedName name="_65">#REF!</definedName>
    <definedName name="_65PrimeAddress_4_1" localSheetId="0">#REF!</definedName>
    <definedName name="_65PrimeAddress_4_1">#REF!</definedName>
    <definedName name="_66" localSheetId="0">#REF!</definedName>
    <definedName name="_66">#REF!</definedName>
    <definedName name="_66PrimeCity_4_1" localSheetId="0">#REF!</definedName>
    <definedName name="_66PrimeCity_4_1">#REF!</definedName>
    <definedName name="_67" localSheetId="0">#REF!</definedName>
    <definedName name="_67">#REF!</definedName>
    <definedName name="_67PrimeName_4_1" localSheetId="0">#REF!</definedName>
    <definedName name="_67PrimeName_4_1">#REF!</definedName>
    <definedName name="_68" localSheetId="0">#REF!</definedName>
    <definedName name="_68">#REF!</definedName>
    <definedName name="_68PrimePostal_4_1" localSheetId="0">#REF!</definedName>
    <definedName name="_68PrimePostal_4_1">#REF!</definedName>
    <definedName name="_69" localSheetId="0">#REF!</definedName>
    <definedName name="_69">#REF!</definedName>
    <definedName name="_69PrimePrio_4_1" localSheetId="0">#REF!</definedName>
    <definedName name="_69PrimePrio_4_1">#REF!</definedName>
    <definedName name="_7" localSheetId="0">#REF!</definedName>
    <definedName name="_7">#REF!</definedName>
    <definedName name="_70" localSheetId="0">#REF!</definedName>
    <definedName name="_70">#REF!</definedName>
    <definedName name="_70PrimePrio_Text_4_1" localSheetId="0">#REF!</definedName>
    <definedName name="_70PrimePrio_Text_4_1">#REF!</definedName>
    <definedName name="_71" localSheetId="0">#REF!</definedName>
    <definedName name="_71">#REF!</definedName>
    <definedName name="_71PrimeState_4_1" localSheetId="0">#REF!</definedName>
    <definedName name="_71PrimeState_4_1">#REF!</definedName>
    <definedName name="_72" localSheetId="0">#REF!</definedName>
    <definedName name="_72">#REF!</definedName>
    <definedName name="_72PRINT_AREA_MI_4_1" localSheetId="0">#REF!</definedName>
    <definedName name="_72PRINT_AREA_MI_4_1">#REF!</definedName>
    <definedName name="_73" localSheetId="0">#REF!</definedName>
    <definedName name="_73">#REF!</definedName>
    <definedName name="_73PROD_4_1" localSheetId="0">#REF!</definedName>
    <definedName name="_73PROD_4_1">#REF!</definedName>
    <definedName name="_74" localSheetId="0">#REF!</definedName>
    <definedName name="_74">#REF!</definedName>
    <definedName name="_74ProdCode1_4_1" localSheetId="0">#REF!</definedName>
    <definedName name="_74ProdCode1_4_1">#REF!</definedName>
    <definedName name="_75" localSheetId="0">#REF!</definedName>
    <definedName name="_75">#REF!</definedName>
    <definedName name="_75ProdCode1_Text_4_1" localSheetId="0">#REF!</definedName>
    <definedName name="_75ProdCode1_Text_4_1">#REF!</definedName>
    <definedName name="_76ProdCode2_4_1" localSheetId="0">#REF!</definedName>
    <definedName name="_76ProdCode2_4_1">#REF!</definedName>
    <definedName name="_77ProdCode2_Text_4_1" localSheetId="0">#REF!</definedName>
    <definedName name="_77ProdCode2_Text_4_1">#REF!</definedName>
    <definedName name="_78ProdCode3_4_1">#REF!</definedName>
    <definedName name="_79ProdCode3_Text_4_1">#REF!</definedName>
    <definedName name="_7AcctName_4_1">#REF!</definedName>
    <definedName name="_8" localSheetId="0">#REF!</definedName>
    <definedName name="_8">#REF!</definedName>
    <definedName name="_80ProdCode4_4_1" localSheetId="0">#REF!</definedName>
    <definedName name="_80ProdCode4_4_1">#REF!</definedName>
    <definedName name="_81ProdCode4_Text_4_1" localSheetId="0">#REF!</definedName>
    <definedName name="_81ProdCode4_Text_4_1">#REF!</definedName>
    <definedName name="_82ProdCode5_4_1" localSheetId="0">#REF!</definedName>
    <definedName name="_82ProdCode5_4_1">#REF!</definedName>
    <definedName name="_83ProdCode5_Text_4_1">#REF!</definedName>
    <definedName name="_84ProdPct1_4_1">#REF!</definedName>
    <definedName name="_85ProdPct2_4_1">#REF!</definedName>
    <definedName name="_86ProdPct3_4_1">#REF!</definedName>
    <definedName name="_87ProdPct4_4_1">#REF!</definedName>
    <definedName name="_88ProdPct5_4_1">#REF!</definedName>
    <definedName name="_89ProjAddress1_4_1">#REF!</definedName>
    <definedName name="_8AcctPrio_4_1">#REF!</definedName>
    <definedName name="_9" localSheetId="0">#REF!</definedName>
    <definedName name="_9">#REF!</definedName>
    <definedName name="_90ProjAddress2_4_1" localSheetId="0">#REF!</definedName>
    <definedName name="_90ProjAddress2_4_1">#REF!</definedName>
    <definedName name="_91ProjCity_4_1" localSheetId="0">#REF!</definedName>
    <definedName name="_91ProjCity_4_1">#REF!</definedName>
    <definedName name="_92ProjCountry_4_1" localSheetId="0">#REF!</definedName>
    <definedName name="_92ProjCountry_4_1">#REF!</definedName>
    <definedName name="_93ProjCounty_4_1">#REF!</definedName>
    <definedName name="_94ProjName_4_1">#REF!</definedName>
    <definedName name="_95ProjNum_4_1">#REF!</definedName>
    <definedName name="_96ProjPostal_4_1">#REF!</definedName>
    <definedName name="_97ProjState_4_1">#REF!</definedName>
    <definedName name="_98PSABillingMethod_4_1">#REF!</definedName>
    <definedName name="_99rim4_4_1">#REF!</definedName>
    <definedName name="_9AcctPrio_Text_4_1">#REF!</definedName>
    <definedName name="_a">#REF!</definedName>
    <definedName name="_a_4">#REF!</definedName>
    <definedName name="_a_6">#REF!</definedName>
    <definedName name="_A1">#REF!</definedName>
    <definedName name="_A31" localSheetId="0">#REF!</definedName>
    <definedName name="_A31">#REF!</definedName>
    <definedName name="_AA1" localSheetId="0">#REF!</definedName>
    <definedName name="_AA1">#REF!</definedName>
    <definedName name="_aj1" localSheetId="0">#REF!</definedName>
    <definedName name="_aj1">#REF!</definedName>
    <definedName name="_alt1">#REF!</definedName>
    <definedName name="_ALT2">#REF!</definedName>
    <definedName name="_ALT3">#REF!</definedName>
    <definedName name="_ALT4">#REF!</definedName>
    <definedName name="_b1">#REF!</definedName>
    <definedName name="_B100000">#REF!</definedName>
    <definedName name="_b111121">#REF!</definedName>
    <definedName name="_bak151" localSheetId="0">#REF!</definedName>
    <definedName name="_bak151">#REF!</definedName>
    <definedName name="_bol1" localSheetId="0">#REF!</definedName>
    <definedName name="_bol1">#REF!</definedName>
    <definedName name="_C" localSheetId="0">#REF!</definedName>
    <definedName name="_C">#REF!</definedName>
    <definedName name="_C___0" localSheetId="0">#REF!</definedName>
    <definedName name="_C___0">#REF!</definedName>
    <definedName name="_C___13">#REF!</definedName>
    <definedName name="_C_1">#REF!</definedName>
    <definedName name="_can430">40.73</definedName>
    <definedName name="_can435">43.3</definedName>
    <definedName name="_cbd148" localSheetId="0">#REF!</definedName>
    <definedName name="_cbd148">#REF!</definedName>
    <definedName name="_dcd3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cd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dfS2">#REF!</definedName>
    <definedName name="_DIA1" localSheetId="0">#REF!</definedName>
    <definedName name="_DIA1">#REF!</definedName>
    <definedName name="_dia10">#REF!</definedName>
    <definedName name="_dia12">#REF!</definedName>
    <definedName name="_dia16">#REF!</definedName>
    <definedName name="_DIA2" localSheetId="0">#REF!</definedName>
    <definedName name="_DIA2">#REF!</definedName>
    <definedName name="_dia20">#REF!</definedName>
    <definedName name="_dia25">#REF!</definedName>
    <definedName name="_dia8">#REF!</definedName>
    <definedName name="_dim4" localSheetId="0">#REF!</definedName>
    <definedName name="_dim4">#REF!</definedName>
    <definedName name="_DSF4">Scheduled_Payment+Extra_Payment</definedName>
    <definedName name="_fab1" localSheetId="0">#REF!</definedName>
    <definedName name="_fab1">#REF!</definedName>
    <definedName name="_Fill" localSheetId="0" hidden="1">#REF!</definedName>
    <definedName name="_Fill" hidden="1">#REF!</definedName>
    <definedName name="_xlnm._FilterDatabase" hidden="1">#REF!</definedName>
    <definedName name="_FLG2" localSheetId="0">#REF!</definedName>
    <definedName name="_FLG2">#REF!</definedName>
    <definedName name="_G72228" localSheetId="0">#REF!</definedName>
    <definedName name="_G72228">#REF!</definedName>
    <definedName name="_hf">#REF!</definedName>
    <definedName name="_ig541" localSheetId="0">#REF!</definedName>
    <definedName name="_ig541">#REF!</definedName>
    <definedName name="_iv66666" localSheetId="0">#REF!</definedName>
    <definedName name="_iv66666">#REF!</definedName>
    <definedName name="_Ki1">#REF!</definedName>
    <definedName name="_Ki2">#REF!</definedName>
    <definedName name="_k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kp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l" localSheetId="0">#REF!</definedName>
    <definedName name="_l">#REF!</definedName>
    <definedName name="_l_4" localSheetId="0">#REF!</definedName>
    <definedName name="_l_4">#REF!</definedName>
    <definedName name="_l_6" localSheetId="0">#REF!</definedName>
    <definedName name="_l_6">#REF!</definedName>
    <definedName name="_MAN1">#REF!</definedName>
    <definedName name="_MS010">#REF!</definedName>
    <definedName name="_Order1" hidden="1">255</definedName>
    <definedName name="_p" localSheetId="0">#REF!</definedName>
    <definedName name="_p">#REF!</definedName>
    <definedName name="_p_4" localSheetId="0">#REF!</definedName>
    <definedName name="_p_4">#REF!</definedName>
    <definedName name="_p_6" localSheetId="0">#REF!</definedName>
    <definedName name="_p_6">#REF!</definedName>
    <definedName name="_PB1">#REF!</definedName>
    <definedName name="_PO1">#REF!</definedName>
    <definedName name="_PO2">#REF!</definedName>
    <definedName name="_rim4">#REF!</definedName>
    <definedName name="_rm4">#REF!</definedName>
    <definedName name="_sdb2">#REF!</definedName>
    <definedName name="_TB2" localSheetId="0">#REF!</definedName>
    <definedName name="_TB2">#REF!</definedName>
    <definedName name="_UGF1">#REF!</definedName>
    <definedName name="_xleta.IF" hidden="1">#NAME?</definedName>
    <definedName name="_xleta.SUBTOTAL" hidden="1">#NAME?</definedName>
    <definedName name="_zz65536" localSheetId="0">#REF!</definedName>
    <definedName name="_zz65536">#REF!</definedName>
    <definedName name="a" localSheetId="0">#REF!</definedName>
    <definedName name="a">#REF!</definedName>
    <definedName name="a___0">#REF!</definedName>
    <definedName name="a___13">#REF!</definedName>
    <definedName name="A1_" localSheetId="0">#REF!</definedName>
    <definedName name="A1_">#REF!</definedName>
    <definedName name="A1____0" localSheetId="0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595H50" localSheetId="0">#REF!</definedName>
    <definedName name="A1595H50">#REF!</definedName>
    <definedName name="A2_" localSheetId="0">#REF!</definedName>
    <definedName name="A2_">#REF!</definedName>
    <definedName name="A2____0" localSheetId="0">#REF!</definedName>
    <definedName name="A2____0">#REF!</definedName>
    <definedName name="A2____13" localSheetId="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aaaaaaaaaaaaa">#REF!</definedName>
    <definedName name="aaasa">#REF!</definedName>
    <definedName name="aad">#REF!</definedName>
    <definedName name="aadawawdaW">#REF!</definedName>
    <definedName name="ab">#REF!</definedName>
    <definedName name="abc">#REF!</definedName>
    <definedName name="ABCD">#REF!</definedName>
    <definedName name="abcdefghij">#REF!</definedName>
    <definedName name="ab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rta" localSheetId="0">#REF!</definedName>
    <definedName name="Absrta">#REF!</definedName>
    <definedName name="Abst" localSheetId="0">#REF!</definedName>
    <definedName name="Abst">#REF!</definedName>
    <definedName name="ABSTRAC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c">#REF!</definedName>
    <definedName name="acc" localSheetId="0">#REF!</definedName>
    <definedName name="acc">#REF!</definedName>
    <definedName name="Acc.Recon" localSheetId="0">#REF!</definedName>
    <definedName name="Acc.Recon">#REF!</definedName>
    <definedName name="AccessDatabase" hidden="1">"D:\MIS\TALLY  31.09.04 sep\AS PER TALLY 31.09.04.mdb"</definedName>
    <definedName name="accomation" localSheetId="0" hidden="1">#REF!</definedName>
    <definedName name="accomation" hidden="1">#REF!</definedName>
    <definedName name="accounts" localSheetId="0">#REF!</definedName>
    <definedName name="accounts">#REF!</definedName>
    <definedName name="AcctName" localSheetId="0">#REF!</definedName>
    <definedName name="AcctName">#REF!</definedName>
    <definedName name="AcctName_4">#REF!</definedName>
    <definedName name="AcctName_6">#REF!</definedName>
    <definedName name="AcctPrio">#REF!</definedName>
    <definedName name="AcctPrio_4">#REF!</definedName>
    <definedName name="AcctPrio_6">#REF!</definedName>
    <definedName name="AcctPrio_Text">#REF!</definedName>
    <definedName name="AcctPrio_Text_4">#REF!</definedName>
    <definedName name="AcctPrio_Text_6">#REF!</definedName>
    <definedName name="ACT">#REF!</definedName>
    <definedName name="A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ADAD" localSheetId="0">#REF!</definedName>
    <definedName name="ADADAD">#REF!</definedName>
    <definedName name="ADADASASDASD" localSheetId="0">#REF!</definedName>
    <definedName name="ADADASASDASD">#REF!</definedName>
    <definedName name="ADADDA" localSheetId="0">#REF!</definedName>
    <definedName name="ADADDA">#REF!</definedName>
    <definedName name="ADASASDASASDASDAS">#REF!</definedName>
    <definedName name="ADASASDASDASDAD">#REF!</definedName>
    <definedName name="ADASDASASDAS">#REF!</definedName>
    <definedName name="ADASDASDASDAS">#REF!</definedName>
    <definedName name="adf">#REF!</definedName>
    <definedName name="ADFADD">#REF!</definedName>
    <definedName name="adfadsff">#REF!</definedName>
    <definedName name="ADFASDAD">#REF!</definedName>
    <definedName name="adm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inex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mn_off" localSheetId="0">#REF!</definedName>
    <definedName name="admn_off">#REF!</definedName>
    <definedName name="admn_site" localSheetId="0">#REF!</definedName>
    <definedName name="admn_site">#REF!</definedName>
    <definedName name="ADSAD" localSheetId="0">#REF!</definedName>
    <definedName name="ADSAD">#REF!</definedName>
    <definedName name="Ag" localSheetId="0">#REF!</definedName>
    <definedName name="Ag">#REF!</definedName>
    <definedName name="Ag___0">#REF!</definedName>
    <definedName name="Ag___13" localSheetId="0">#REF!</definedName>
    <definedName name="Ag___13">#REF!</definedName>
    <definedName name="agdfjk" localSheetId="0">#REF!</definedName>
    <definedName name="agdfjk">#REF!</definedName>
    <definedName name="aham" localSheetId="0">#REF!</definedName>
    <definedName name="aham">#REF!</definedName>
    <definedName name="ahu" localSheetId="0">#REF!</definedName>
    <definedName name="ahu">#REF!</definedName>
    <definedName name="aj" localSheetId="0">#REF!</definedName>
    <definedName name="aj">#REF!</definedName>
    <definedName name="aji" localSheetId="0">#REF!</definedName>
    <definedName name="aji">#REF!</definedName>
    <definedName name="ajitha" localSheetId="0">#REF!</definedName>
    <definedName name="ajitha">#REF!</definedName>
    <definedName name="Alarm_current_Amp_In_Minutes">#REF!</definedName>
    <definedName name="alpha">#REF!</definedName>
    <definedName name="alphabet" localSheetId="0">#REF!</definedName>
    <definedName name="alphabet">#REF!</definedName>
    <definedName name="Aluminium">#REF!</definedName>
    <definedName name="Alw">#REF!</definedName>
    <definedName name="AM_1">#REF!</definedName>
    <definedName name="ams">#REF!</definedName>
    <definedName name="anantha">#REF!</definedName>
    <definedName name="anch">#REF!</definedName>
    <definedName name="Anil148">#REF!</definedName>
    <definedName name="anil543">#REF!</definedName>
    <definedName name="ann">#REF!</definedName>
    <definedName name="anne">#REF!</definedName>
    <definedName name="annealing">#REF!</definedName>
    <definedName name="annealing1">#REF!</definedName>
    <definedName name="anscount" hidden="1">1</definedName>
    <definedName name="aoio" localSheetId="0">#REF!</definedName>
    <definedName name="aoio">#REF!</definedName>
    <definedName name="AP_1" localSheetId="0">#REF!</definedName>
    <definedName name="AP_1">#REF!</definedName>
    <definedName name="AP_2" localSheetId="0">#REF!</definedName>
    <definedName name="AP_2">#REF!</definedName>
    <definedName name="AP_3" localSheetId="0">#REF!</definedName>
    <definedName name="AP_3">#REF!</definedName>
    <definedName name="ARCHITECT________M_s" localSheetId="0">#REF!</definedName>
    <definedName name="ARCHITECT________M_s">#REF!</definedName>
    <definedName name="archon141" localSheetId="0">#REF!</definedName>
    <definedName name="archon141">#REF!</definedName>
    <definedName name="archon142" localSheetId="0">#REF!</definedName>
    <definedName name="archon142">#REF!</definedName>
    <definedName name="archon143" localSheetId="0">#REF!</definedName>
    <definedName name="archon143">#REF!</definedName>
    <definedName name="area" localSheetId="0">#REF!</definedName>
    <definedName name="area">#REF!</definedName>
    <definedName name="ARUN" localSheetId="0" hidden="1">#REF!</definedName>
    <definedName name="ARUN" hidden="1">#REF!</definedName>
    <definedName name="as" localSheetId="0">#REF!</definedName>
    <definedName name="as">#REF!</definedName>
    <definedName name="AS_PER_TALLY_31_09_04_ONYX_List1">#REF!</definedName>
    <definedName name="asas">#REF!</definedName>
    <definedName name="asd">#REF!</definedName>
    <definedName name="asdads">#REF!</definedName>
    <definedName name="asdas">#REF!</definedName>
    <definedName name="asdasd">#REF!</definedName>
    <definedName name="ASDASDASD">#REF!</definedName>
    <definedName name="asdd">#REF!</definedName>
    <definedName name="asdf">#REF!</definedName>
    <definedName name="asdfasdf" hidden="1">#REF!</definedName>
    <definedName name="asdfsa" hidden="1">#REF!</definedName>
    <definedName name="asdfsad">#REF!</definedName>
    <definedName name="asdfsadf" hidden="1">#REF!</definedName>
    <definedName name="asdfsdfd">#N/A</definedName>
    <definedName name="asdsdfsda" localSheetId="0">#REF!</definedName>
    <definedName name="asdsdfsda">#REF!</definedName>
    <definedName name="asf" localSheetId="0">#REF!</definedName>
    <definedName name="asf">#REF!</definedName>
    <definedName name="as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HOKA">#REF!</definedName>
    <definedName name="ass" localSheetId="0">#REF!</definedName>
    <definedName name="ass">#REF!</definedName>
    <definedName name="assadg" localSheetId="0" hidden="1">#REF!</definedName>
    <definedName name="assadg" hidden="1">#REF!</definedName>
    <definedName name="assd">#REF!</definedName>
    <definedName name="assfsdf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sfsdf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xlp" localSheetId="0">#REF!</definedName>
    <definedName name="auxlp">#REF!</definedName>
    <definedName name="av" localSheetId="0">#REF!</definedName>
    <definedName name="av">#REF!</definedName>
    <definedName name="avi" localSheetId="0">#REF!</definedName>
    <definedName name="avi">#REF!</definedName>
    <definedName name="AWAWWWWAA" localSheetId="0">#REF!</definedName>
    <definedName name="AWAWWWWAA">#REF!</definedName>
    <definedName name="AWWEDWER">#REF!</definedName>
    <definedName name="B" localSheetId="0">#REF!</definedName>
    <definedName name="B">#REF!</definedName>
    <definedName name="B___0">#REF!</definedName>
    <definedName name="B___13">#REF!</definedName>
    <definedName name="b1210.">#REF!</definedName>
    <definedName name="B4a">#REF!</definedName>
    <definedName name="b5a">#REF!</definedName>
    <definedName name="b832.">#REF!</definedName>
    <definedName name="Backfilling">#REF!</definedName>
    <definedName name="BALCONY">#REF!</definedName>
    <definedName name="Base" hidden="1">#REF!</definedName>
    <definedName name="Basement" hidden="1">#REF!</definedName>
    <definedName name="BASIC" localSheetId="0">#REF!</definedName>
    <definedName name="BASIC">#REF!</definedName>
    <definedName name="bb" localSheetId="0">#REF!</definedName>
    <definedName name="bb">#REF!</definedName>
    <definedName name="bbbb" localSheetId="0">#REF!</definedName>
    <definedName name="bbbb">#REF!</definedName>
    <definedName name="bbbbbbbbbb" localSheetId="0" hidden="1">#REF!</definedName>
    <definedName name="bbbbbbbbbb" hidden="1">#REF!</definedName>
    <definedName name="BC">#REF!</definedName>
    <definedName name="BC_1" localSheetId="0">#REF!</definedName>
    <definedName name="BC_1">#REF!</definedName>
    <definedName name="bcbn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bn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cvv" localSheetId="0">#REF!</definedName>
    <definedName name="bcvv">#REF!</definedName>
    <definedName name="bdbdb" localSheetId="0">#REF!</definedName>
    <definedName name="bdbdb">#REF!</definedName>
    <definedName name="be">#N/A</definedName>
    <definedName name="beam" localSheetId="0">#REF!</definedName>
    <definedName name="beam">#REF!</definedName>
    <definedName name="Beams" localSheetId="0">#REF!</definedName>
    <definedName name="Beams">#REF!</definedName>
    <definedName name="BEAMS2">#N/A</definedName>
    <definedName name="Beg_Bal" localSheetId="0">#REF!</definedName>
    <definedName name="Beg_Bal">#REF!</definedName>
    <definedName name="BELL__Polarised" localSheetId="0">#REF!</definedName>
    <definedName name="BELL__Polarised">#REF!</definedName>
    <definedName name="BEND" localSheetId="0">#REF!</definedName>
    <definedName name="BEND">#REF!</definedName>
    <definedName name="bends">#REF!</definedName>
    <definedName name="beta">#REF!</definedName>
    <definedName name="bfdx" hidden="1">#REF!</definedName>
    <definedName name="bgbb">#REF!</definedName>
    <definedName name="bggfgj" localSheetId="0">Scheduled_Payment+Extra_Payment</definedName>
    <definedName name="bggfgj">Scheduled_Payment+Extra_Payment</definedName>
    <definedName name="bhg" localSheetId="0">#REF!</definedName>
    <definedName name="bhg">#REF!</definedName>
    <definedName name="bhjbh" localSheetId="0">#REF!</definedName>
    <definedName name="bhjbh">#REF!</definedName>
    <definedName name="BidClass" localSheetId="0">#REF!</definedName>
    <definedName name="BidClass">#REF!</definedName>
    <definedName name="BidClass_4">#REF!</definedName>
    <definedName name="BidClass_6">#REF!</definedName>
    <definedName name="BidClass_Text">#REF!</definedName>
    <definedName name="BidClass_Text_4">#REF!</definedName>
    <definedName name="BidClass_Text_6">#REF!</definedName>
    <definedName name="BillingFreq">#REF!</definedName>
    <definedName name="BillingFreq_4">#REF!</definedName>
    <definedName name="BillingFreq_6">#REF!</definedName>
    <definedName name="BillingTiming">#REF!</definedName>
    <definedName name="BillingTiming_4">#REF!</definedName>
    <definedName name="BillingTiming_6">#REF!</definedName>
    <definedName name="bit">#REF!</definedName>
    <definedName name="bl">#REF!</definedName>
    <definedName name="bloc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ock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n" localSheetId="0">#REF!</definedName>
    <definedName name="bn">#REF!</definedName>
    <definedName name="bol" localSheetId="0">#REF!</definedName>
    <definedName name="bol">#REF!</definedName>
    <definedName name="boml" localSheetId="0">#REF!</definedName>
    <definedName name="boml">#REF!</definedName>
    <definedName name="boml1">#REF!</definedName>
    <definedName name="boq">#REF!</definedName>
    <definedName name="bore">#REF!</definedName>
    <definedName name="botl">#REF!</definedName>
    <definedName name="botl1">#REF!</definedName>
    <definedName name="botn">#REF!</definedName>
    <definedName name="box_speaker">#REF!</definedName>
    <definedName name="BQ">#REF!</definedName>
    <definedName name="Breaks">#REF!</definedName>
    <definedName name="BSSRAILING" localSheetId="0">#REF!</definedName>
    <definedName name="BSSRAILING">#REF!</definedName>
    <definedName name="bua" localSheetId="0">#REF!</definedName>
    <definedName name="bua">#REF!</definedName>
    <definedName name="BUDDHA" localSheetId="0">#REF!</definedName>
    <definedName name="BUDDHA">#REF!</definedName>
    <definedName name="building" localSheetId="0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Area___0___0">#REF!</definedName>
    <definedName name="BuiltIn_Print_Area___0_1">#REF!</definedName>
    <definedName name="BuiltIn_Print_Area___0_4">#REF!</definedName>
    <definedName name="BuiltIn_Print_Area_4">#REF!</definedName>
    <definedName name="BuiltIn_Print_Titles">#REF!</definedName>
    <definedName name="BuiltIn_Print_Titles___0">#N/A</definedName>
    <definedName name="BuiltIn_Print_Titles___0___0">#REF!</definedName>
    <definedName name="BuiltIn_Print_Titles_1">#REF!</definedName>
    <definedName name="BuiltIn_Print_Titles_4">#REF!</definedName>
    <definedName name="BusType">#REF!</definedName>
    <definedName name="BusType_4">#REF!</definedName>
    <definedName name="BusType_6">#REF!</definedName>
    <definedName name="BusType_Text">#REF!</definedName>
    <definedName name="BusType_Text_4">#REF!</definedName>
    <definedName name="BusType_Text_6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" localSheetId="0">#REF!</definedName>
    <definedName name="bv">#REF!</definedName>
    <definedName name="bvcvhcv" localSheetId="0">#REF!</definedName>
    <definedName name="bvcvhcv">#REF!</definedName>
    <definedName name="Bx">#REF!</definedName>
    <definedName name="Bx___0">#REF!</definedName>
    <definedName name="Bx___13" localSheetId="0">#REF!</definedName>
    <definedName name="Bx___13">#REF!</definedName>
    <definedName name="bxnvxnd" localSheetId="0">#REF!</definedName>
    <definedName name="bxnvxnd">#REF!</definedName>
    <definedName name="CA_1">#REF!</definedName>
    <definedName name="CA_2">#REF!</definedName>
    <definedName name="CA_3">#REF!</definedName>
    <definedName name="ca1boq">#REF!</definedName>
    <definedName name="cab">#REF!</definedName>
    <definedName name="cab21.5tp">#REF!</definedName>
    <definedName name="cab21.5tp_4">#REF!</definedName>
    <definedName name="cab21.5tp_6">#REF!</definedName>
    <definedName name="cab21s">#REF!</definedName>
    <definedName name="cab21s_4">#REF!</definedName>
    <definedName name="cab21s_6">#REF!</definedName>
    <definedName name="cab21us">#REF!</definedName>
    <definedName name="cab21us_4">#REF!</definedName>
    <definedName name="cab21us_6">#REF!</definedName>
    <definedName name="cab31s">#REF!</definedName>
    <definedName name="cab31s_4">#REF!</definedName>
    <definedName name="cab31s_6">#REF!</definedName>
    <definedName name="cab31us">#REF!</definedName>
    <definedName name="cab31us_4">#REF!</definedName>
    <definedName name="cab31us_6">#REF!</definedName>
    <definedName name="cab41s">#REF!</definedName>
    <definedName name="cab41s_4">#REF!</definedName>
    <definedName name="cab41s_6">#REF!</definedName>
    <definedName name="cab41us">#REF!</definedName>
    <definedName name="cab41us_4">#REF!</definedName>
    <definedName name="cab41us_6">#REF!</definedName>
    <definedName name="cabf">#REF!</definedName>
    <definedName name="cabf_4">#REF!</definedName>
    <definedName name="cabf_6">#REF!</definedName>
    <definedName name="CABLE">#REF!</definedName>
    <definedName name="CABLE_4">#REF!</definedName>
    <definedName name="CABLE_6">#REF!</definedName>
    <definedName name="CALf">#REF!</definedName>
    <definedName name="CALf_4">#REF!</definedName>
    <definedName name="CALf_6">#REF!</definedName>
    <definedName name="cant" localSheetId="0">#REF!</definedName>
    <definedName name="cant">#REF!</definedName>
    <definedName name="capacity" localSheetId="0">#REF!</definedName>
    <definedName name="capacity">#REF!</definedName>
    <definedName name="capacity1" localSheetId="0">#REF!</definedName>
    <definedName name="capacity1">#REF!</definedName>
    <definedName name="capacity2" localSheetId="0">#REF!</definedName>
    <definedName name="capacity2">#REF!</definedName>
    <definedName name="capacity3">#REF!</definedName>
    <definedName name="capital">#REF!</definedName>
    <definedName name="carpet">#REF!</definedName>
    <definedName name="carpet___0">#REF!</definedName>
    <definedName name="carpet___11">#REF!</definedName>
    <definedName name="carpet___12">#REF!</definedName>
    <definedName name="Ca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ash_bank" localSheetId="0">#REF!</definedName>
    <definedName name="cash_bank">#REF!</definedName>
    <definedName name="CASH_OUT" localSheetId="0">#REF!</definedName>
    <definedName name="CASH_OUT">#REF!</definedName>
    <definedName name="Casual" localSheetId="0">#REF!</definedName>
    <definedName name="Casual">#REF!</definedName>
    <definedName name="category">#REF!</definedName>
    <definedName name="cb">#REF!</definedName>
    <definedName name="cbcbc" localSheetId="0">#REF!</definedName>
    <definedName name="cbcbc">#REF!</definedName>
    <definedName name="cbcbxc" localSheetId="0">#REF!</definedName>
    <definedName name="cbcbxc">#REF!</definedName>
    <definedName name="cbccb" localSheetId="0">#REF!</definedName>
    <definedName name="cbccb">#REF!</definedName>
    <definedName name="cbcvbcbc" localSheetId="0">#REF!</definedName>
    <definedName name="cbcvbcbc">#REF!</definedName>
    <definedName name="CC">#REF!</definedName>
    <definedName name="CCC" localSheetId="0">#REF!</definedName>
    <definedName name="CCC">#REF!</definedName>
    <definedName name="cccc" localSheetId="0">#REF!</definedName>
    <definedName name="cccc">#REF!</definedName>
    <definedName name="cd" localSheetId="0">#REF!</definedName>
    <definedName name="cd">#REF!</definedName>
    <definedName name="cdds" localSheetId="0">#REF!</definedName>
    <definedName name="cdds">#REF!</definedName>
    <definedName name="cdf" localSheetId="0">#REF!</definedName>
    <definedName name="cdf">#REF!</definedName>
    <definedName name="Ceiling_Plaster" localSheetId="0">#REF!</definedName>
    <definedName name="Ceiling_Plaster">#REF!</definedName>
    <definedName name="Ceiling_speaker">#REF!</definedName>
    <definedName name="Ceiling_Speaker_Unsupervised">#REF!</definedName>
    <definedName name="CENTER" localSheetId="0" hidden="1">#REF!</definedName>
    <definedName name="CENTER" hidden="1">#REF!</definedName>
    <definedName name="ch">#REF!</definedName>
    <definedName name="ChangeBy">#REF!</definedName>
    <definedName name="ChangeBy_4">#REF!</definedName>
    <definedName name="ChangeBy_6">#REF!</definedName>
    <definedName name="ChangeDate">#REF!</definedName>
    <definedName name="ChangeDate_4">#REF!</definedName>
    <definedName name="ChangeDate_6">#REF!</definedName>
    <definedName name="charles">#REF!</definedName>
    <definedName name="checked">#REF!</definedName>
    <definedName name="chiller">#REF!</definedName>
    <definedName name="ciff">#REF!</definedName>
    <definedName name="CIMM">#REF!</definedName>
    <definedName name="Cinnam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nnam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k" localSheetId="0">#REF!</definedName>
    <definedName name="ck">#REF!</definedName>
    <definedName name="ckd" localSheetId="0">#REF!</definedName>
    <definedName name="ckd">#REF!</definedName>
    <definedName name="cl" localSheetId="0">#REF!</definedName>
    <definedName name="cl">#REF!</definedName>
    <definedName name="Cleaning" localSheetId="0">#REF!</definedName>
    <definedName name="Cleaning">#REF!</definedName>
    <definedName name="ClientAddress1">#REF!</definedName>
    <definedName name="ClientAddress2">#REF!</definedName>
    <definedName name="ClientCity">#REF!</definedName>
    <definedName name="ClientCountry">#REF!</definedName>
    <definedName name="ClientEmail">#REF!</definedName>
    <definedName name="ClientFax">#REF!</definedName>
    <definedName name="ClientPhone">#REF!</definedName>
    <definedName name="ClientState">#REF!</definedName>
    <definedName name="ClientZip">#REF!</definedName>
    <definedName name="clrf">#REF!</definedName>
    <definedName name="CO">#REF!</definedName>
    <definedName name="CO_1" localSheetId="0">#REF!</definedName>
    <definedName name="CO_1">#REF!</definedName>
    <definedName name="coimbatore" localSheetId="0">#REF!</definedName>
    <definedName name="coimbatore">#REF!</definedName>
    <definedName name="co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___0">#REF!</definedName>
    <definedName name="col___11" localSheetId="0">#REF!</definedName>
    <definedName name="col___11">#REF!</definedName>
    <definedName name="col___12" localSheetId="0">#REF!</definedName>
    <definedName name="col___12">#REF!</definedName>
    <definedName name="coloumnR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lumnReft" localSheetId="0">#REF!</definedName>
    <definedName name="ColumnReft">#REF!</definedName>
    <definedName name="Columns" localSheetId="0">#REF!</definedName>
    <definedName name="Columns">#REF!</definedName>
    <definedName name="Company" localSheetId="0">#REF!</definedName>
    <definedName name="Company">#REF!</definedName>
    <definedName name="CompDate">#REF!</definedName>
    <definedName name="CompDate_4">#REF!</definedName>
    <definedName name="CompDate_6">#REF!</definedName>
    <definedName name="con">#REF!</definedName>
    <definedName name="condf">#REF!</definedName>
    <definedName name="conf">#REF!</definedName>
    <definedName name="conf_4">#REF!</definedName>
    <definedName name="conf_6">#REF!</definedName>
    <definedName name="confli">#REF!</definedName>
    <definedName name="constrn">#REF!</definedName>
    <definedName name="Construction_Period">#REF!</definedName>
    <definedName name="consumables" localSheetId="0">#REF!</definedName>
    <definedName name="consumables">#REF!</definedName>
    <definedName name="cont" localSheetId="0">#REF!</definedName>
    <definedName name="cont">#REF!</definedName>
    <definedName name="Contact" localSheetId="0">#REF!</definedName>
    <definedName name="Contact">#REF!</definedName>
    <definedName name="ContAmt" localSheetId="0">#REF!</definedName>
    <definedName name="ContAmt">#REF!</definedName>
    <definedName name="ContAmt_4">#REF!</definedName>
    <definedName name="ContAmt_6">#REF!</definedName>
    <definedName name="ContWithAcct">#REF!</definedName>
    <definedName name="ContWithAcct_4">#REF!</definedName>
    <definedName name="ContWithAcct_6">#REF!</definedName>
    <definedName name="ContWithName">#REF!</definedName>
    <definedName name="ContWithName_4">#REF!</definedName>
    <definedName name="ContWithName_6">#REF!</definedName>
    <definedName name="ContWithPrio">#REF!</definedName>
    <definedName name="ContWithPrio_4">#REF!</definedName>
    <definedName name="ContWithPrio_6">#REF!</definedName>
    <definedName name="ContWithPrio_Text">#REF!</definedName>
    <definedName name="ContWithPrio_Text_4">#REF!</definedName>
    <definedName name="ContWithPrio_Text_6">#REF!</definedName>
    <definedName name="CONum">#REF!</definedName>
    <definedName name="CONum_4">#REF!</definedName>
    <definedName name="CONum_6">#REF!</definedName>
    <definedName name="copper">#REF!</definedName>
    <definedName name="copy">#REF!</definedName>
    <definedName name="CorpClient">#REF!</definedName>
    <definedName name="CorpClient_4">#REF!</definedName>
    <definedName name="CorpClient_6">#REF!</definedName>
    <definedName name="CorpClient_Text">#REF!</definedName>
    <definedName name="CorpClient_Text_4">#REF!</definedName>
    <definedName name="CorpClient_Text_6">#REF!</definedName>
    <definedName name="CORRI">#REF!</definedName>
    <definedName name="cost">#REF!</definedName>
    <definedName name="costcomparisio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stcomparisio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U">#REF!</definedName>
    <definedName name="COU___0" localSheetId="0">#REF!</definedName>
    <definedName name="COU___0">#REF!</definedName>
    <definedName name="COU___13" localSheetId="0">#REF!</definedName>
    <definedName name="COU___13">#REF!</definedName>
    <definedName name="COVER_FOR_SLAB">#REF!</definedName>
    <definedName name="c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xlnm.Criteria" localSheetId="0">#REF!</definedName>
    <definedName name="_xlnm.Criteria">#REF!</definedName>
    <definedName name="crsobpl" localSheetId="0">#REF!</definedName>
    <definedName name="crsobpl">#REF!</definedName>
    <definedName name="CS">#REF!</definedName>
    <definedName name="Cs___0" localSheetId="0">#REF!</definedName>
    <definedName name="Cs___0">#REF!</definedName>
    <definedName name="Cs___13" localSheetId="0">#REF!</definedName>
    <definedName name="Cs___13">#REF!</definedName>
    <definedName name="cscsd" localSheetId="0">#REF!</definedName>
    <definedName name="cscsd">#REF!</definedName>
    <definedName name="cstf" localSheetId="0">#REF!</definedName>
    <definedName name="cstf">#REF!</definedName>
    <definedName name="CURR" localSheetId="0">#REF!</definedName>
    <definedName name="CURR">#REF!</definedName>
    <definedName name="CURR_4" localSheetId="0">#REF!</definedName>
    <definedName name="CURR_4">#REF!</definedName>
    <definedName name="CURR_6">#REF!</definedName>
    <definedName name="curr_liab_prov">#REF!</definedName>
    <definedName name="CurrencyRate">#REF!</definedName>
    <definedName name="CurrencyRate_4">#REF!</definedName>
    <definedName name="CurrencyRate_6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" localSheetId="0">#REF!</definedName>
    <definedName name="cv">#REF!</definedName>
    <definedName name="cvdf" localSheetId="0">#REF!</definedName>
    <definedName name="cvdf">#REF!</definedName>
    <definedName name="cx" localSheetId="0">#REF!</definedName>
    <definedName name="cx">#REF!</definedName>
    <definedName name="d" localSheetId="0">#REF!</definedName>
    <definedName name="d">#REF!</definedName>
    <definedName name="d___0">#REF!</definedName>
    <definedName name="d___13">#REF!</definedName>
    <definedName name="da" hidden="1">#REF!</definedName>
    <definedName name="dad">#REF!</definedName>
    <definedName name="daeawtwtg">#REF!</definedName>
    <definedName name="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ff" localSheetId="0">#REF!</definedName>
    <definedName name="Daff">#REF!</definedName>
    <definedName name="dasda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sda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e" localSheetId="0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cbcvbc">#REF!</definedName>
    <definedName name="dd">#REF!</definedName>
    <definedName name="ddd">#REF!</definedName>
    <definedName name="dddd">#REF!</definedName>
    <definedName name="ddddd">#REF!</definedName>
    <definedName name="dddddddd">#REF!</definedName>
    <definedName name="ddddddddd">#REF!</definedName>
    <definedName name="dddddddddd">#REF!</definedName>
    <definedName name="ddddddddddd">#REF!</definedName>
    <definedName name="dddddddddddddddddddd">#REF!</definedName>
    <definedName name="de" localSheetId="0">#REF!</definedName>
    <definedName name="de">#REF!</definedName>
    <definedName name="deghdfjgf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ghdfjgf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ELTA20">#REF!</definedName>
    <definedName name="DELTA20___0">#REF!</definedName>
    <definedName name="DELTA20___13">#REF!</definedName>
    <definedName name="Depn">#REF!</definedName>
    <definedName name="DER">#REF!</definedName>
    <definedName name="DES">#REF!</definedName>
    <definedName name="designed">#REF!</definedName>
    <definedName name="df">#REF!</definedName>
    <definedName name="DFADAD">#REF!</definedName>
    <definedName name="dfafdasdf">#REF!</definedName>
    <definedName name="dfd">#REF!</definedName>
    <definedName name="DFDDA">#REF!</definedName>
    <definedName name="dfdfdf">#N/A</definedName>
    <definedName name="DFDFG" localSheetId="0">#REF!</definedName>
    <definedName name="DFDFG">#REF!</definedName>
    <definedName name="dfffb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b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GDF" localSheetId="0">#REF!</definedName>
    <definedName name="DFGDF">#REF!</definedName>
    <definedName name="dfgdfsg" localSheetId="0">#REF!</definedName>
    <definedName name="dfgdfsg">#REF!</definedName>
    <definedName name="dfgdsfg" localSheetId="0">#REF!</definedName>
    <definedName name="dfgdsfg">#REF!</definedName>
    <definedName name="dfhd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hd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SDF" localSheetId="0">#REF!</definedName>
    <definedName name="DFSDF">#REF!</definedName>
    <definedName name="dg" localSheetId="0">#REF!</definedName>
    <definedName name="dg">#REF!</definedName>
    <definedName name="DGDF" localSheetId="0">#REF!</definedName>
    <definedName name="DGDF">#REF!</definedName>
    <definedName name="DGDFG">#REF!</definedName>
    <definedName name="dghdd">#REF!</definedName>
    <definedName name="Di">#REF!</definedName>
    <definedName name="DIAMETER">#REF!</definedName>
    <definedName name="DICL">#REF!</definedName>
    <definedName name="dIESEL">#REF!</definedName>
    <definedName name="dim4_4">#REF!</definedName>
    <definedName name="dim4_6">#REF!</definedName>
    <definedName name="DIns">#REF!</definedName>
    <definedName name="div">#REF!</definedName>
    <definedName name="dl">#REF!</definedName>
    <definedName name="dl___0">#REF!</definedName>
    <definedName name="dl___13">#REF!</definedName>
    <definedName name="Do">#REF!</definedName>
    <definedName name="docu">#REF!</definedName>
    <definedName name="DONGRE_ASSOCIATES______________PROJECT" localSheetId="0">#REF!</definedName>
    <definedName name="DONGRE_ASSOCIATES______________PROJECT">#REF!</definedName>
    <definedName name="door" localSheetId="0">#REF!</definedName>
    <definedName name="door">#REF!</definedName>
    <definedName name="Doors" localSheetId="0">#REF!</definedName>
    <definedName name="Doors">#REF!</definedName>
    <definedName name="DOW_CORNING_789_SILICONE_SEALANT" localSheetId="0">#REF!</definedName>
    <definedName name="DOW_CORNING_789_SILICONE_SEALANT">#REF!</definedName>
    <definedName name="DP">#REF!</definedName>
    <definedName name="dq">#REF!</definedName>
    <definedName name="Drivers">#REF!</definedName>
    <definedName name="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___0" localSheetId="0">#REF!</definedName>
    <definedName name="Ds___0">#REF!</definedName>
    <definedName name="Ds___13" localSheetId="0">#REF!</definedName>
    <definedName name="Ds___13">#REF!</definedName>
    <definedName name="dsds" localSheetId="0">#REF!</definedName>
    <definedName name="dsds">#REF!</definedName>
    <definedName name="dsdud">#REF!</definedName>
    <definedName name="DSF" localSheetId="0">Scheduled_Payment+Extra_Payment</definedName>
    <definedName name="DSF">Scheduled_Payment+Extra_Payment</definedName>
    <definedName name="dsfa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a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fgdsfgsgf" localSheetId="0">#REF!</definedName>
    <definedName name="dsfgdsfgsgf">#REF!</definedName>
    <definedName name="dsfgsd" localSheetId="0">#REF!</definedName>
    <definedName name="dsfgsd">#REF!</definedName>
    <definedName name="dsfj" localSheetId="0" hidden="1">#REF!</definedName>
    <definedName name="dsfj" hidden="1">#REF!</definedName>
    <definedName name="dsfsd">#REF!</definedName>
    <definedName name="dswd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w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tyu">#N/A</definedName>
    <definedName name="Duct_Plaster" localSheetId="0">#REF!</definedName>
    <definedName name="Duct_Plaster">#REF!</definedName>
    <definedName name="e" localSheetId="0">#REF!</definedName>
    <definedName name="e">#REF!</definedName>
    <definedName name="earthin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arthin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e" localSheetId="0">#REF!</definedName>
    <definedName name="ee">#REF!</definedName>
    <definedName name="eeee" localSheetId="0">#REF!</definedName>
    <definedName name="eeee">#REF!</definedName>
    <definedName name="eeeeeeeeeee" localSheetId="0">#REF!</definedName>
    <definedName name="eeeeeeeeeee">#REF!</definedName>
    <definedName name="ees">#REF!</definedName>
    <definedName name="em">#REF!</definedName>
    <definedName name="Em___0">#REF!</definedName>
    <definedName name="Em___13">#REF!</definedName>
    <definedName name="enckcolumn">#REF!</definedName>
    <definedName name="End_Bal">#REF!</definedName>
    <definedName name="EngAddress">#REF!</definedName>
    <definedName name="EngAddress_4">#REF!</definedName>
    <definedName name="EngAddress_6">#REF!</definedName>
    <definedName name="EngCity">#REF!</definedName>
    <definedName name="EngCity_4">#REF!</definedName>
    <definedName name="EngCity_6">#REF!</definedName>
    <definedName name="EngName">#REF!</definedName>
    <definedName name="EngName_4">#REF!</definedName>
    <definedName name="EngName_6">#REF!</definedName>
    <definedName name="EngPostal">#REF!</definedName>
    <definedName name="EngPostal_4">#REF!</definedName>
    <definedName name="EngPostal_6">#REF!</definedName>
    <definedName name="EngPrio">#REF!</definedName>
    <definedName name="EngPrio_4">#REF!</definedName>
    <definedName name="EngPrio_6">#REF!</definedName>
    <definedName name="EngPrio_Text">#REF!</definedName>
    <definedName name="EngPrio_Text_4">#REF!</definedName>
    <definedName name="EngPrio_Text_6">#REF!</definedName>
    <definedName name="EngState">#REF!</definedName>
    <definedName name="EngState_4">#REF!</definedName>
    <definedName name="EngState_6">#REF!</definedName>
    <definedName name="enter">#REF!</definedName>
    <definedName name="eqw">#REF!</definedName>
    <definedName name="er">#REF!</definedName>
    <definedName name="ererer">#REF!</definedName>
    <definedName name="ererwtert">#REF!</definedName>
    <definedName name="eret">#REF!</definedName>
    <definedName name="erhrhjurth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hrhjurth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r" localSheetId="0">#REF!</definedName>
    <definedName name="err">#REF!</definedName>
    <definedName name="erretr" localSheetId="0">#REF!</definedName>
    <definedName name="erretr">#REF!</definedName>
    <definedName name="ert" localSheetId="0">#REF!</definedName>
    <definedName name="ert">#REF!</definedName>
    <definedName name="es">#REF!</definedName>
    <definedName name="Es___0">#REF!</definedName>
    <definedName name="Es___13">#REF!</definedName>
    <definedName name="est">#N/A</definedName>
    <definedName name="EstCost" localSheetId="0">#REF!</definedName>
    <definedName name="EstCost">#REF!</definedName>
    <definedName name="EstCost_4" localSheetId="0">#REF!</definedName>
    <definedName name="EstCost_4">#REF!</definedName>
    <definedName name="EstCost_6" localSheetId="0">#REF!</definedName>
    <definedName name="EstCost_6">#REF!</definedName>
    <definedName name="esti">#REF!</definedName>
    <definedName name="estim">#REF!</definedName>
    <definedName name="estimate">#REF!</definedName>
    <definedName name="estimate1">#REF!</definedName>
    <definedName name="Estimation">#REF!</definedName>
    <definedName name="estimation1">#REF!</definedName>
    <definedName name="et">#REF!</definedName>
    <definedName name="Et___0">#REF!</definedName>
    <definedName name="Et___13">#REF!</definedName>
    <definedName name="etew">#REF!</definedName>
    <definedName name="etewt">#REF!</definedName>
    <definedName name="ET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T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u" localSheetId="0">#REF!</definedName>
    <definedName name="eu">#REF!</definedName>
    <definedName name="eu_4" localSheetId="0">#REF!</definedName>
    <definedName name="eu_4">#REF!</definedName>
    <definedName name="eu_6" localSheetId="0">#REF!</definedName>
    <definedName name="eu_6">#REF!</definedName>
    <definedName name="ew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EDWFRW" localSheetId="0">#REF!</definedName>
    <definedName name="EWEDWFRW">#REF!</definedName>
    <definedName name="ewtew" localSheetId="0">#REF!</definedName>
    <definedName name="ewtew">#REF!</definedName>
    <definedName name="exce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Criteria" localSheetId="0">#REF!</definedName>
    <definedName name="Excel_BuiltIn_Criteria">#REF!</definedName>
    <definedName name="Excel_BuiltIn_Database" localSheetId="0">#REF!</definedName>
    <definedName name="Excel_BuiltIn_Database">#REF!</definedName>
    <definedName name="Excel_BuiltIn_Print_Area" localSheetId="0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Titles">#REF!</definedName>
    <definedName name="Excel_BuiltIn_Print_Titles_1_1">#REF!</definedName>
    <definedName name="Excel_BuiltIn_Print_Titles_3" localSheetId="0">#REF!</definedName>
    <definedName name="Excel_BuiltIn_Print_Titles_3">#REF!</definedName>
    <definedName name="Excel_BuiltIn_Print_Titles_3_16" localSheetId="0">#REF!</definedName>
    <definedName name="Excel_BuiltIn_Print_Titles_3_16">#REF!</definedName>
    <definedName name="Excel_BuiltIn_Print_Titles_3_3" localSheetId="0">#REF!</definedName>
    <definedName name="Excel_BuiltIn_Print_Titles_3_3">#REF!</definedName>
    <definedName name="Excel_BuiltIn_Print_Titles_3_4" localSheetId="0">#REF!</definedName>
    <definedName name="Excel_BuiltIn_Print_Titles_3_4">#REF!</definedName>
    <definedName name="Excel_BuiltIn_Print_Titles_3_6" localSheetId="0">#REF!</definedName>
    <definedName name="Excel_BuiltIn_Print_Titles_3_6">#REF!</definedName>
    <definedName name="Excel_BuiltIn_Print_Titles_3_9" localSheetId="0">#REF!</definedName>
    <definedName name="Excel_BuiltIn_Print_Titles_3_9">#REF!</definedName>
    <definedName name="Excel_BuiltIn_Print_Titles_4" localSheetId="0">#REF!</definedName>
    <definedName name="Excel_BuiltIn_Print_Titles_4">#REF!</definedName>
    <definedName name="Excel_BuiltIn_Recorder" localSheetId="0">#REF!</definedName>
    <definedName name="Excel_BuiltIn_Recorder">#REF!</definedName>
    <definedName name="Exchange_rate" localSheetId="0">#REF!</definedName>
    <definedName name="Exchange_rate">#REF!</definedName>
    <definedName name="EXIT">#REF!</definedName>
    <definedName name="ext">#REF!</definedName>
    <definedName name="External_Plaster">#REF!</definedName>
    <definedName name="Extra_Pay">#REF!</definedName>
    <definedName name="eyrlp">#REF!</definedName>
    <definedName name="f" hidden="1">#REF!</definedName>
    <definedName name="f534.">#REF!</definedName>
    <definedName name="facom" localSheetId="0">#REF!</definedName>
    <definedName name="facom">#REF!</definedName>
    <definedName name="fafur" localSheetId="0">#REF!</definedName>
    <definedName name="fafur">#REF!</definedName>
    <definedName name="faofeq" localSheetId="0">#REF!</definedName>
    <definedName name="faofeq">#REF!</definedName>
    <definedName name="faplm" localSheetId="0">#REF!</definedName>
    <definedName name="faplm">#REF!</definedName>
    <definedName name="fapms" localSheetId="0">#REF!</definedName>
    <definedName name="fapms">#REF!</definedName>
    <definedName name="faveh" localSheetId="0">#REF!</definedName>
    <definedName name="faveh">#REF!</definedName>
    <definedName name="Fb" localSheetId="0">#REF!</definedName>
    <definedName name="Fb">#REF!</definedName>
    <definedName name="fd" localSheetId="0">#REF!</definedName>
    <definedName name="fd">#REF!</definedName>
    <definedName name="fdasds" localSheetId="0">#REF!</definedName>
    <definedName name="fdasds">#REF!</definedName>
    <definedName name="fdghdgfh">#REF!</definedName>
    <definedName name="fdhjfju">#REF!</definedName>
    <definedName name="FF">#REF!</definedName>
    <definedName name="FFGTET" localSheetId="0">#N/A</definedName>
    <definedName name="FFGTET">MATCH(0.01,#REF!,-1)+1</definedName>
    <definedName name="FFL">#REF!</definedName>
    <definedName name="fg" localSheetId="0">#REF!</definedName>
    <definedName name="fg">#REF!</definedName>
    <definedName name="fgececf" localSheetId="0">#REF!</definedName>
    <definedName name="fgececf">#REF!</definedName>
    <definedName name="fgf" localSheetId="0">#REF!</definedName>
    <definedName name="fgf">#REF!</definedName>
    <definedName name="fgfdg" hidden="1">#REF!</definedName>
    <definedName name="fgh">#REF!</definedName>
    <definedName name="FGHDGD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DG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g" localSheetId="0">#REF!</definedName>
    <definedName name="fghg">#REF!</definedName>
    <definedName name="FGHGFH" localSheetId="0">#REF!</definedName>
    <definedName name="FGHGFH">#REF!</definedName>
    <definedName name="fgsadgsgfd" localSheetId="0">#REF!</definedName>
    <definedName name="fgsadgsgfd">#REF!</definedName>
    <definedName name="fgty" localSheetId="0">#REF!</definedName>
    <definedName name="fgty">#REF!</definedName>
    <definedName name="FH">#REF!</definedName>
    <definedName name="fhdsgbh">#REF!</definedName>
    <definedName name="FHFGHFF">#REF!</definedName>
    <definedName name="FHFGHGFH">#REF!</definedName>
    <definedName name="FHGFHFF">#REF!</definedName>
    <definedName name="FHGFHGFH" localSheetId="0">#REF!</definedName>
    <definedName name="FHGFHGFH">#REF!</definedName>
    <definedName name="FHJFHGFH" localSheetId="0">#REF!</definedName>
    <definedName name="FHJFHGFH">#REF!</definedName>
    <definedName name="FHNFHFHF" localSheetId="0">#REF!</definedName>
    <definedName name="FHNFHFHF">#REF!</definedName>
    <definedName name="fhryu" localSheetId="0">#REF!</definedName>
    <definedName name="fhryu">#REF!</definedName>
    <definedName name="Fhwl">#REF!</definedName>
    <definedName name="fin">#REF!</definedName>
    <definedName name="Final" hidden="1">#REF!</definedName>
    <definedName name="finish">#REF!</definedName>
    <definedName name="FINISHES">#REF!</definedName>
    <definedName name="first">#REF!</definedName>
    <definedName name="firstfloor">#REF!</definedName>
    <definedName name="FiscalIDNum">#REF!</definedName>
    <definedName name="FiscalIDNum_4">#REF!</definedName>
    <definedName name="FiscalIDNum_6">#REF!</definedName>
    <definedName name="FIT">#REF!</definedName>
    <definedName name="FIT___0">#REF!</definedName>
    <definedName name="FIT___13">#REF!</definedName>
    <definedName name="fixed">#REF!</definedName>
    <definedName name="fixed_asset">#REF!</definedName>
    <definedName name="fj">#REF!</definedName>
    <definedName name="flag1">#REF!</definedName>
    <definedName name="FLG">#REF!</definedName>
    <definedName name="Floor">#REF!</definedName>
    <definedName name="flr.tile" localSheetId="0">#REF!</definedName>
    <definedName name="flr.tile">#REF!</definedName>
    <definedName name="fn" localSheetId="0">#REF!</definedName>
    <definedName name="fn">#REF!</definedName>
    <definedName name="fo" localSheetId="0">#REF!</definedName>
    <definedName name="fo">#REF!</definedName>
    <definedName name="foo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ooting" localSheetId="0">#REF!</definedName>
    <definedName name="Footing">#REF!</definedName>
    <definedName name="Footings" localSheetId="0">#REF!</definedName>
    <definedName name="Footings">#REF!</definedName>
    <definedName name="ForestEdge" hidden="1">#REF!</definedName>
    <definedName name="FormTitle" localSheetId="0">#REF!</definedName>
    <definedName name="FormTitle">#REF!</definedName>
    <definedName name="FormTitle_4" localSheetId="0">#REF!</definedName>
    <definedName name="FormTitle_4">#REF!</definedName>
    <definedName name="FormTitle_6">#REF!</definedName>
    <definedName name="Fp">#REF!</definedName>
    <definedName name="FQAQ">#REF!</definedName>
    <definedName name="FR">#REF!</definedName>
    <definedName name="fRANCIS">#REF!</definedName>
    <definedName name="Francis.">#REF!</definedName>
    <definedName name="fRANCU">#REF!</definedName>
    <definedName name="frncis">#REF!</definedName>
    <definedName name="frt">#REF!</definedName>
    <definedName name="Fs">#REF!</definedName>
    <definedName name="fsaf">#REF!</definedName>
    <definedName name="fsds">#REF!</definedName>
    <definedName name="fsdsdf">#REF!</definedName>
    <definedName name="fsfs" hidden="1">#REF!</definedName>
    <definedName name="fsg">#REF!</definedName>
    <definedName name="FSRVRFR">#REF!</definedName>
    <definedName name="FSSDD">#REF!</definedName>
    <definedName name="ft">#REF!</definedName>
    <definedName name="ftg" localSheetId="0">#REF!</definedName>
    <definedName name="ftg">#REF!</definedName>
    <definedName name="Full_Print" localSheetId="0">#REF!</definedName>
    <definedName name="Full_Print">#REF!</definedName>
    <definedName name="Funiture" localSheetId="0">#REF!</definedName>
    <definedName name="Funiture">#REF!</definedName>
    <definedName name="Fv" localSheetId="0">#REF!</definedName>
    <definedName name="Fv">#REF!</definedName>
    <definedName name="FWS">#REF!</definedName>
    <definedName name="g">#REF!</definedName>
    <definedName name="g1622.">#REF!</definedName>
    <definedName name="g2669." localSheetId="0">#REF!</definedName>
    <definedName name="g2669.">#REF!</definedName>
    <definedName name="g2707." localSheetId="0">#REF!</definedName>
    <definedName name="g2707.">#REF!</definedName>
    <definedName name="G31j1620" localSheetId="0">#REF!</definedName>
    <definedName name="G31j1620">#REF!</definedName>
    <definedName name="G345d58">#REF!</definedName>
    <definedName name="g452." localSheetId="0">#REF!</definedName>
    <definedName name="g452.">#REF!</definedName>
    <definedName name="GA_1">#REF!</definedName>
    <definedName name="GA_2">#REF!</definedName>
    <definedName name="gala135">#REF!</definedName>
    <definedName name="gama">#REF!</definedName>
    <definedName name="gamah">#REF!</definedName>
    <definedName name="GD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dg" localSheetId="0">#REF!</definedName>
    <definedName name="gdg">#REF!</definedName>
    <definedName name="g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eneral" localSheetId="0">#REF!</definedName>
    <definedName name="general">#REF!</definedName>
    <definedName name="ger" localSheetId="0">#REF!</definedName>
    <definedName name="ger">#REF!</definedName>
    <definedName name="gf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fdgthj">#REF!</definedName>
    <definedName name="gfu" localSheetId="0">#REF!</definedName>
    <definedName name="gfu">#REF!</definedName>
    <definedName name="ggg" localSheetId="0" hidden="1">#REF!</definedName>
    <definedName name="ggg" hidden="1">#REF!</definedName>
    <definedName name="ggggggggggg" localSheetId="0">#REF!</definedName>
    <definedName name="ggggggggggg">#REF!</definedName>
    <definedName name="ggrtr" localSheetId="0">#REF!</definedName>
    <definedName name="ggrtr">#REF!</definedName>
    <definedName name="gh">#REF!</definedName>
    <definedName name="gherh" localSheetId="0">Scheduled_Payment+Extra_Payment</definedName>
    <definedName name="gherh">Scheduled_Payment+Extra_Payment</definedName>
    <definedName name="ghfghgfjfjgfjgfjgf" localSheetId="0" hidden="1">#REF!</definedName>
    <definedName name="ghfghgfjfjgfjgfjgf" hidden="1">#REF!</definedName>
    <definedName name="ghjfhfhl" localSheetId="0">#REF!</definedName>
    <definedName name="ghjfhfhl">#REF!</definedName>
    <definedName name="ghjhjh" localSheetId="0" hidden="1">#REF!</definedName>
    <definedName name="ghjhjh" hidden="1">#REF!</definedName>
    <definedName name="ghjkhkj">#N/A</definedName>
    <definedName name="GHJT" localSheetId="0">#REF!</definedName>
    <definedName name="GHJT">#REF!</definedName>
    <definedName name="gj" localSheetId="0">#REF!</definedName>
    <definedName name="gj">#REF!</definedName>
    <definedName name="gk" localSheetId="0">#REF!</definedName>
    <definedName name="gk">#REF!</definedName>
    <definedName name="GL">#REF!</definedName>
    <definedName name="GLAND" localSheetId="0">#REF!</definedName>
    <definedName name="GLAND">#REF!</definedName>
    <definedName name="gm" localSheetId="0">#REF!</definedName>
    <definedName name="gm">#REF!</definedName>
    <definedName name="GMAmount" localSheetId="0">#REF!</definedName>
    <definedName name="GMAmount">#REF!</definedName>
    <definedName name="GMAmount_4">#REF!</definedName>
    <definedName name="GMAmount_6">#REF!</definedName>
    <definedName name="GMPercent">#REF!</definedName>
    <definedName name="GMPercent_4">#REF!</definedName>
    <definedName name="GMPercent_6">#REF!</definedName>
    <definedName name="gnotes" localSheetId="0">#REF!</definedName>
    <definedName name="gnotes">#REF!</definedName>
    <definedName name="gopi" localSheetId="0">#REF!</definedName>
    <definedName name="gopi">#REF!</definedName>
    <definedName name="Group1" localSheetId="0">#REF!</definedName>
    <definedName name="Group1">#REF!</definedName>
    <definedName name="Group2" localSheetId="0">#REF!</definedName>
    <definedName name="Group2">#REF!</definedName>
    <definedName name="Group3">#REF!</definedName>
    <definedName name="Group4">#REF!</definedName>
    <definedName name="gs">#REF!</definedName>
    <definedName name="GSDFSDF">#REF!</definedName>
    <definedName name="gsgfrr">#N/A</definedName>
    <definedName name="gt">#REF!</definedName>
    <definedName name="gyp" localSheetId="0">#REF!</definedName>
    <definedName name="gyp">#REF!</definedName>
    <definedName name="h" localSheetId="0">#REF!</definedName>
    <definedName name="h">#REF!</definedName>
    <definedName name="H___0" localSheetId="0">#REF!</definedName>
    <definedName name="H___0">#REF!</definedName>
    <definedName name="H___13">#REF!</definedName>
    <definedName name="H0">#REF!</definedName>
    <definedName name="H0___0">#REF!</definedName>
    <definedName name="H0___13">#REF!</definedName>
    <definedName name="h608." localSheetId="0">#REF!</definedName>
    <definedName name="h608.">#REF!</definedName>
    <definedName name="Hafeez" localSheetId="0">#REF!</definedName>
    <definedName name="Hafeez">#REF!</definedName>
    <definedName name="handrail" localSheetId="0">#REF!</definedName>
    <definedName name="handrail">#REF!</definedName>
    <definedName name="handrails" localSheetId="0">#REF!</definedName>
    <definedName name="handrails">#REF!</definedName>
    <definedName name="handrails\">#REF!</definedName>
    <definedName name="HARI">#REF!</definedName>
    <definedName name="hatmy145" localSheetId="0">#REF!</definedName>
    <definedName name="hatmy145">#REF!</definedName>
    <definedName name="hb" localSheetId="0">#REF!</definedName>
    <definedName name="hb">#REF!</definedName>
    <definedName name="head">#N/A</definedName>
    <definedName name="Header_Row">ROW(#REF!)</definedName>
    <definedName name="Headings" localSheetId="0">#REF!</definedName>
    <definedName name="Headings">#REF!</definedName>
    <definedName name="Headings_16" localSheetId="0">#REF!</definedName>
    <definedName name="Headings_16">#REF!</definedName>
    <definedName name="Headings_3" localSheetId="0">#REF!</definedName>
    <definedName name="Headings_3">#REF!</definedName>
    <definedName name="Headings_4" localSheetId="0">#REF!</definedName>
    <definedName name="Headings_4">#REF!</definedName>
    <definedName name="Headings_6" localSheetId="0">#REF!</definedName>
    <definedName name="Headings_6">#REF!</definedName>
    <definedName name="Headings_9" localSheetId="0">#REF!</definedName>
    <definedName name="Headings_9">#REF!</definedName>
    <definedName name="hf" localSheetId="0">#REF!</definedName>
    <definedName name="hf">#REF!</definedName>
    <definedName name="hgg" localSheetId="0">#REF!</definedName>
    <definedName name="hgg">#REF!</definedName>
    <definedName name="hgjjjgfj" localSheetId="0">#REF!</definedName>
    <definedName name="hgjjjgfj">#REF!</definedName>
    <definedName name="h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">#N/A</definedName>
    <definedName name="hh___0">#REF!</definedName>
    <definedName name="hh___13">#REF!</definedName>
    <definedName name="hhkj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hkj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i" localSheetId="0">#REF!</definedName>
    <definedName name="hi">#REF!</definedName>
    <definedName name="HINDHUSTAN" localSheetId="0">#REF!</definedName>
    <definedName name="HINDHUSTAN">#REF!</definedName>
    <definedName name="HIns" localSheetId="0">#REF!</definedName>
    <definedName name="HIns">#REF!</definedName>
    <definedName name="hj" hidden="1">#REF!</definedName>
    <definedName name="HJGFJSDGHJ">#N/A</definedName>
    <definedName name="hjk" localSheetId="0">#REF!</definedName>
    <definedName name="hjk">#REF!</definedName>
    <definedName name="hjkhjk" localSheetId="0">#REF!</definedName>
    <definedName name="hjkhjk">#REF!</definedName>
    <definedName name="ho" localSheetId="0">#REF!</definedName>
    <definedName name="ho">#REF!</definedName>
    <definedName name="ho___0">#REF!</definedName>
    <definedName name="ho___13">#REF!</definedName>
    <definedName name="hoi">#REF!</definedName>
    <definedName name="Horn_Speaker">#REF!</definedName>
    <definedName name="Housekeeping">#REF!</definedName>
    <definedName name="hr">#REF!</definedName>
    <definedName name="hS">#REF!</definedName>
    <definedName name="hS___0">#REF!</definedName>
    <definedName name="hS___13">#REF!</definedName>
    <definedName name="HU" localSheetId="0">#REF!</definedName>
    <definedName name="HU">#REF!</definedName>
    <definedName name="Hu___0" localSheetId="0">#REF!</definedName>
    <definedName name="Hu___0">#REF!</definedName>
    <definedName name="Hu___13" localSheetId="0">#REF!</definedName>
    <definedName name="Hu___13">#REF!</definedName>
    <definedName name="hxb" localSheetId="0">#REF!</definedName>
    <definedName name="hxb">#REF!</definedName>
    <definedName name="hxi">#REF!</definedName>
    <definedName name="h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I">#REF!</definedName>
    <definedName name="I___0">#REF!</definedName>
    <definedName name="I___13" localSheetId="0">#REF!</definedName>
    <definedName name="I___13">#REF!</definedName>
    <definedName name="ie" localSheetId="0">#REF!</definedName>
    <definedName name="ie">#REF!</definedName>
    <definedName name="If" localSheetId="0">#REF!</definedName>
    <definedName name="If">#REF!</definedName>
    <definedName name="Ig">#REF!</definedName>
    <definedName name="Ig___0">#REF!</definedName>
    <definedName name="Ig___13">#REF!</definedName>
    <definedName name="ihkjhkj">#REF!</definedName>
    <definedName name="iii">#REF!</definedName>
    <definedName name="iiiiiiiiiii">#REF!</definedName>
    <definedName name="iju">#REF!</definedName>
    <definedName name="ik">#REF!</definedName>
    <definedName name="IN">#REF!</definedName>
    <definedName name="income">#REF!</definedName>
    <definedName name="indf">#REF!</definedName>
    <definedName name="indf_4">#REF!</definedName>
    <definedName name="indf_6">#REF!</definedName>
    <definedName name="indu">#REF!</definedName>
    <definedName name="INFRASTRUCTURE_ENTRY">#REF!</definedName>
    <definedName name="insert_rows_1" localSheetId="0">#REF!</definedName>
    <definedName name="insert_rows_1">#REF!</definedName>
    <definedName name="InstBillingMethod" localSheetId="0">#REF!</definedName>
    <definedName name="InstBillingMethod">#REF!</definedName>
    <definedName name="InstBillingMethod_4" localSheetId="0">#REF!</definedName>
    <definedName name="InstBillingMethod_4">#REF!</definedName>
    <definedName name="InstBillingMethod_6" localSheetId="0">#REF!</definedName>
    <definedName name="InstBillingMethod_6">#REF!</definedName>
    <definedName name="instf">#REF!</definedName>
    <definedName name="instf_4">#REF!</definedName>
    <definedName name="instf_6">#REF!</definedName>
    <definedName name="Int">#REF!</definedName>
    <definedName name="Interest_Rate">#REF!</definedName>
    <definedName name="Internal_Plaster">#REF!</definedName>
    <definedName name="inv">#REF!</definedName>
    <definedName name="INV_SCH">#REF!</definedName>
    <definedName name="investment">#REF!</definedName>
    <definedName name="ioio">#REF!</definedName>
    <definedName name="iop">#REF!</definedName>
    <definedName name="ipip">#REF!</definedName>
    <definedName name="ipu">#REF!</definedName>
    <definedName name="ipu___0">#REF!</definedName>
    <definedName name="ipu___13">#REF!</definedName>
    <definedName name="iri">#REF!</definedName>
    <definedName name="iris">#REF!</definedName>
    <definedName name="Is">#REF!</definedName>
    <definedName name="iui">#REF!</definedName>
    <definedName name="IV">#REF!</definedName>
    <definedName name="iyui">#REF!</definedName>
    <definedName name="j" hidden="1">#REF!</definedName>
    <definedName name="jas">#REF!</definedName>
    <definedName name="jaspre">#REF!</definedName>
    <definedName name="jbhjb">#REF!</definedName>
    <definedName name="jbvhbvh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eri">#REF!</definedName>
    <definedName name="jfjh" hidden="1">#REF!</definedName>
    <definedName name="jfjy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fjy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gjk" localSheetId="0">#REF!</definedName>
    <definedName name="jgjk">#REF!</definedName>
    <definedName name="jhjyhj" localSheetId="0">#REF!</definedName>
    <definedName name="jhjyhj">#REF!</definedName>
    <definedName name="jhkl" localSheetId="0">#REF!</definedName>
    <definedName name="jhkl">#REF!</definedName>
    <definedName name="jj">#REF!</definedName>
    <definedName name="jjj">#REF!</definedName>
    <definedName name="jjjjjjjjjj">#REF!</definedName>
    <definedName name="jjk" localSheetId="0">#REF!</definedName>
    <definedName name="jjk">#REF!</definedName>
    <definedName name="jk" localSheetId="0">#REF!</definedName>
    <definedName name="jk">#REF!</definedName>
    <definedName name="jkkkj" localSheetId="0" hidden="1">#REF!</definedName>
    <definedName name="jkkkj" hidden="1">#REF!</definedName>
    <definedName name="j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ui">#REF!</definedName>
    <definedName name="k">#REF!</definedName>
    <definedName name="K___0">#REF!</definedName>
    <definedName name="K___13">#REF!</definedName>
    <definedName name="k1_table">#REF!</definedName>
    <definedName name="k1x" localSheetId="0">#REF!</definedName>
    <definedName name="k1x">#REF!</definedName>
    <definedName name="k1y" localSheetId="0">#REF!</definedName>
    <definedName name="k1y">#REF!</definedName>
    <definedName name="k2x" localSheetId="0">#REF!</definedName>
    <definedName name="k2x">#REF!</definedName>
    <definedName name="k2y" localSheetId="0">#REF!</definedName>
    <definedName name="k2y">#REF!</definedName>
    <definedName name="ka" localSheetId="0">#REF!</definedName>
    <definedName name="ka">#REF!</definedName>
    <definedName name="kaja" localSheetId="0">#REF!</definedName>
    <definedName name="kaja">#REF!</definedName>
    <definedName name="kan" localSheetId="0">#REF!</definedName>
    <definedName name="kan">#REF!</definedName>
    <definedName name="kanch" localSheetId="0">#REF!</definedName>
    <definedName name="kanch">#REF!</definedName>
    <definedName name="KARNA">#REF!</definedName>
    <definedName name="kb">#REF!</definedName>
    <definedName name="kc" localSheetId="0">#REF!</definedName>
    <definedName name="kc">#REF!</definedName>
    <definedName name="Kh" localSheetId="0">#REF!</definedName>
    <definedName name="Kh">#REF!</definedName>
    <definedName name="Kh___0" localSheetId="0">#REF!</definedName>
    <definedName name="Kh___0">#REF!</definedName>
    <definedName name="Kh___13">#REF!</definedName>
    <definedName name="k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it">#REF!</definedName>
    <definedName name="kj" localSheetId="0">#REF!</definedName>
    <definedName name="kj">#REF!</definedName>
    <definedName name="kjbkjh" localSheetId="0">#REF!</definedName>
    <definedName name="kjbkjh">#REF!</definedName>
    <definedName name="kjdnfdf" localSheetId="0">#REF!</definedName>
    <definedName name="kjdnfdf">#REF!</definedName>
    <definedName name="kjh" localSheetId="0">#REF!</definedName>
    <definedName name="kjh">#REF!</definedName>
    <definedName name="kjj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k" localSheetId="0">#REF!</definedName>
    <definedName name="kk">#REF!</definedName>
    <definedName name="kkkj" localSheetId="0" hidden="1">#REF!</definedName>
    <definedName name="kkkj" hidden="1">#REF!</definedName>
    <definedName name="Km" localSheetId="0">#REF!</definedName>
    <definedName name="Km">#REF!</definedName>
    <definedName name="Km___0">#REF!</definedName>
    <definedName name="Km___13">#REF!</definedName>
    <definedName name="k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">#REF!</definedName>
    <definedName name="Ks___0" localSheetId="0">#REF!</definedName>
    <definedName name="Ks___0">#REF!</definedName>
    <definedName name="Ks___13" localSheetId="0">#REF!</definedName>
    <definedName name="Ks___13">#REF!</definedName>
    <definedName name="l" localSheetId="0">#REF!</definedName>
    <definedName name="l">#REF!</definedName>
    <definedName name="L___0">#REF!</definedName>
    <definedName name="L___13">#REF!</definedName>
    <definedName name="labourrate" localSheetId="0">#REF!</definedName>
    <definedName name="labourrate">#REF!</definedName>
    <definedName name="LAMP" localSheetId="0">#REF!</definedName>
    <definedName name="LAMP">#REF!</definedName>
    <definedName name="LAMP___0" localSheetId="0">#REF!</definedName>
    <definedName name="LAMP___0">#REF!</definedName>
    <definedName name="LAMP___13" localSheetId="0">#REF!</definedName>
    <definedName name="LAMP___13">#REF!</definedName>
    <definedName name="Land_adv">#REF!</definedName>
    <definedName name="landscape">#REF!</definedName>
    <definedName name="landscpe">#REF!</definedName>
    <definedName name="lasdk" localSheetId="0">#REF!</definedName>
    <definedName name="lasdk">#REF!</definedName>
    <definedName name="Last_Row" localSheetId="0">IF('Beam '!Values_Entered,Header_Row+'Beam '!Number_of_Payments,Header_Row)</definedName>
    <definedName name="Last_Row">IF(Values_Entered,Header_Row+Number_of_Payments,Header_Row)</definedName>
    <definedName name="Lc" localSheetId="0">#REF!</definedName>
    <definedName name="Lc">#REF!</definedName>
    <definedName name="Lc___0" localSheetId="0">#REF!</definedName>
    <definedName name="Lc___0">#REF!</definedName>
    <definedName name="Lc___13" localSheetId="0">#REF!</definedName>
    <definedName name="Lc___13">#REF!</definedName>
    <definedName name="LCAR100">#REF!</definedName>
    <definedName name="Lead">#REF!</definedName>
    <definedName name="leela">#REF!</definedName>
    <definedName name="lef">#REF!</definedName>
    <definedName name="lel">#REF!</definedName>
    <definedName name="len">#REF!</definedName>
    <definedName name="LG_1">#REF!</definedName>
    <definedName name="LGF">#REF!</definedName>
    <definedName name="lhuuioyhuyhui" localSheetId="0">#REF!</definedName>
    <definedName name="lhuuioyhuyhui">#REF!</definedName>
    <definedName name="limcount" hidden="1">1</definedName>
    <definedName name="lis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i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ll" localSheetId="0" hidden="1">#REF!</definedName>
    <definedName name="lll" hidden="1">#REF!</definedName>
    <definedName name="lo" localSheetId="0">#REF!</definedName>
    <definedName name="lo">#REF!</definedName>
    <definedName name="Loan_Amount" localSheetId="0">#REF!</definedName>
    <definedName name="Loan_Amount">#REF!</definedName>
    <definedName name="Loan_Start">#REF!</definedName>
    <definedName name="Loan_Years">#REF!</definedName>
    <definedName name="loans_adv">#REF!</definedName>
    <definedName name="LOCAL_STAFF">#REF!</definedName>
    <definedName name="LOCAL_STAFF_ENTRY">#REF!</definedName>
    <definedName name="Lr">#REF!</definedName>
    <definedName name="Lr___0">#REF!</definedName>
    <definedName name="Lr___13">#REF!</definedName>
    <definedName name="lrt">#REF!</definedName>
    <definedName name="LSD_4100">#REF!</definedName>
    <definedName name="lsest">#REF!</definedName>
    <definedName name="lshead">#REF!</definedName>
    <definedName name="LUMEN">#REF!</definedName>
    <definedName name="LUMEN___0">#REF!</definedName>
    <definedName name="LUMEN___13">#REF!</definedName>
    <definedName name="Lump_Sum_Discount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m">#REF!</definedName>
    <definedName name="m___0">#REF!</definedName>
    <definedName name="m___13">#REF!</definedName>
    <definedName name="M1x" localSheetId="0">#REF!</definedName>
    <definedName name="M1x">#REF!</definedName>
    <definedName name="M1y" localSheetId="0">#REF!</definedName>
    <definedName name="M1y">#REF!</definedName>
    <definedName name="M2x" localSheetId="0">#REF!</definedName>
    <definedName name="M2x">#REF!</definedName>
    <definedName name="M2y" localSheetId="0">#REF!</definedName>
    <definedName name="M2y">#REF!</definedName>
    <definedName name="MACHINE_EQUIPMENT" localSheetId="0">#REF!</definedName>
    <definedName name="MACHINE_EQUIPMENT">#REF!</definedName>
    <definedName name="MACHINE_EQUIPMENT_ENTRY" localSheetId="0">#REF!</definedName>
    <definedName name="MACHINE_EQUIPMENT_ENTRY">#REF!</definedName>
    <definedName name="Macro1" localSheetId="0">#REF!</definedName>
    <definedName name="Macro1">#REF!</definedName>
    <definedName name="Macro2">#REF!</definedName>
    <definedName name="macrocopy">#N/A</definedName>
    <definedName name="ma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iantrev" localSheetId="0">#REF!</definedName>
    <definedName name="Maiantrev">#REF!</definedName>
    <definedName name="man" localSheetId="0">#REF!</definedName>
    <definedName name="man">#REF!</definedName>
    <definedName name="man___0" localSheetId="0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nhole">#REF!</definedName>
    <definedName name="manish">#REF!</definedName>
    <definedName name="MarketType">#REF!</definedName>
    <definedName name="MarketType_4">#REF!</definedName>
    <definedName name="MarketType_6">#REF!</definedName>
    <definedName name="MarketType_Text">#REF!</definedName>
    <definedName name="MarketType_Text_4">#REF!</definedName>
    <definedName name="MarketType_Text_6">#REF!</definedName>
    <definedName name="Masonary" localSheetId="0">#REF!</definedName>
    <definedName name="Masonary">#REF!</definedName>
    <definedName name="masterlist">#N/A</definedName>
    <definedName name="Mat" localSheetId="0">#REF!</definedName>
    <definedName name="Mat">#REF!</definedName>
    <definedName name="Material_rate_entry" localSheetId="0">#REF!</definedName>
    <definedName name="Material_rate_entry">#REF!</definedName>
    <definedName name="MATV" localSheetId="0">#REF!</definedName>
    <definedName name="MATV">#REF!</definedName>
    <definedName name="mayflower" localSheetId="0">#REF!</definedName>
    <definedName name="mayflower">#REF!</definedName>
    <definedName name="MDF">#REF!</definedName>
    <definedName name="meest">#REF!</definedName>
    <definedName name="mehead">#REF!</definedName>
    <definedName name="mena">#REF!</definedName>
    <definedName name="MF">#REF!</definedName>
    <definedName name="MF___0">#REF!</definedName>
    <definedName name="MF___13">#REF!</definedName>
    <definedName name="MIS">#N/A</definedName>
    <definedName name="mm" localSheetId="0">#REF!</definedName>
    <definedName name="mm">#REF!</definedName>
    <definedName name="mmm" localSheetId="0">#REF!</definedName>
    <definedName name="mmm">#REF!</definedName>
    <definedName name="mmmmmmmmmm" localSheetId="0">#REF!</definedName>
    <definedName name="mmmmmmmmmm">#REF!</definedName>
    <definedName name="mnvgdg">#REF!</definedName>
    <definedName name="mobi">#REF!</definedName>
    <definedName name="Mobilization">#REF!</definedName>
    <definedName name="Month1_Ending_Bal">#REF!</definedName>
    <definedName name="Month2_Ending_Bal">#REF!</definedName>
    <definedName name="Month3_Ending_Bal">#REF!</definedName>
    <definedName name="Month4_Ending_Bal">#REF!</definedName>
    <definedName name="Month5_Ending_Bal">#REF!</definedName>
    <definedName name="Month6_Ending_Bal">#REF!</definedName>
    <definedName name="MP" hidden="1">#REF!</definedName>
    <definedName name="ms" localSheetId="0">#REF!</definedName>
    <definedName name="ms">#REF!</definedName>
    <definedName name="MT_1" localSheetId="0">#REF!</definedName>
    <definedName name="MT_1">#REF!</definedName>
    <definedName name="MT_2" localSheetId="0">#REF!</definedName>
    <definedName name="MT_2">#REF!</definedName>
    <definedName name="MT_3" localSheetId="0">#REF!</definedName>
    <definedName name="MT_3">#REF!</definedName>
    <definedName name="MTV">#REF!</definedName>
    <definedName name="MV_1">#REF!</definedName>
    <definedName name="MV_2">#REF!</definedName>
    <definedName name="MV_3">#REF!</definedName>
    <definedName name="MV_4">#REF!</definedName>
    <definedName name="MV_5">#REF!</definedName>
    <definedName name="n" localSheetId="0">MATCH(0.01,End_Bal,-1)+1</definedName>
    <definedName name="n">MATCH(0.01,End_Bal,-1)+1</definedName>
    <definedName name="N___0">#REF!</definedName>
    <definedName name="N___13">#REF!</definedName>
    <definedName name="nagapp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app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ag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bk">#REF!</definedName>
    <definedName name="NBMF" localSheetId="0">#REF!</definedName>
    <definedName name="NBMF">#REF!</definedName>
    <definedName name="Neck" localSheetId="0">#REF!</definedName>
    <definedName name="Neck">#REF!</definedName>
    <definedName name="NEW">#REF!</definedName>
    <definedName name="nmmn">#REF!</definedName>
    <definedName name="NN">#REF!</definedName>
    <definedName name="NN___0">#REF!</definedName>
    <definedName name="NN___13">#REF!</definedName>
    <definedName name="nnn">#REF!</definedName>
    <definedName name="no" localSheetId="0">#REF!</definedName>
    <definedName name="no">#REF!</definedName>
    <definedName name="nonmodular" localSheetId="0">#REF!</definedName>
    <definedName name="nonmodular">#REF!</definedName>
    <definedName name="nonmodular_4" localSheetId="0">#REF!</definedName>
    <definedName name="nonmodular_4">#REF!</definedName>
    <definedName name="nonmodular_6" localSheetId="0">#REF!</definedName>
    <definedName name="nonmodular_6">#REF!</definedName>
    <definedName name="NOT_SPECIFIED">#REF!</definedName>
    <definedName name="not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t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tesu" localSheetId="0">#REF!</definedName>
    <definedName name="ntesu">#REF!</definedName>
    <definedName name="Num_Pmt_Per_Year" localSheetId="0">#REF!</definedName>
    <definedName name="Num_Pmt_Per_Year">#REF!</definedName>
    <definedName name="Number_of_Payments" localSheetId="0">MATCH(0.01,End_Bal,-1)+1</definedName>
    <definedName name="Number_of_Payments">MATCH(0.01,End_Bal,-1)+1</definedName>
    <definedName name="Nx">#REF!</definedName>
    <definedName name="Nx___0">#REF!</definedName>
    <definedName name="Nx___13">#REF!</definedName>
    <definedName name="Ny">#REF!</definedName>
    <definedName name="Ny___0">#REF!</definedName>
    <definedName name="Ny___13">#REF!</definedName>
    <definedName name="o">#REF!</definedName>
    <definedName name="obpl">#REF!</definedName>
    <definedName name="octf">#REF!</definedName>
    <definedName name="OfficeBoys">#REF!</definedName>
    <definedName name="oio">#REF!</definedName>
    <definedName name="oipo">#REF!</definedName>
    <definedName name="ok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ol" localSheetId="0">#REF!</definedName>
    <definedName name="ool">#REF!</definedName>
    <definedName name="ooooooooo" localSheetId="0">#REF!</definedName>
    <definedName name="ooooooooo">#REF!</definedName>
    <definedName name="ooopp">#REF!</definedName>
    <definedName name="Open" localSheetId="0">#REF!</definedName>
    <definedName name="Open">#REF!</definedName>
    <definedName name="option22">#REF!</definedName>
    <definedName name="osdnvkls" hidden="1">#REF!</definedName>
    <definedName name="OVER_HEADS_ENTRY" localSheetId="0">#REF!</definedName>
    <definedName name="OVER_HEADS_ENTRY">#REF!</definedName>
    <definedName name="Overall_Summary_Title" localSheetId="0">#REF!</definedName>
    <definedName name="Overall_Summary_Title">#REF!</definedName>
    <definedName name="OVERHEADS" localSheetId="0">#REF!</definedName>
    <definedName name="OVERHEADS">#REF!</definedName>
    <definedName name="OwnAcctNum">#REF!</definedName>
    <definedName name="OwnAcctNum_4">#REF!</definedName>
    <definedName name="OwnAcctNum_6">#REF!</definedName>
    <definedName name="P">#REF!</definedName>
    <definedName name="p___0">#REF!</definedName>
    <definedName name="p___13">#REF!</definedName>
    <definedName name="pa">#REF!</definedName>
    <definedName name="pa___0">#REF!</definedName>
    <definedName name="pa___13">#REF!</definedName>
    <definedName name="Pane2">#REF!</definedName>
    <definedName name="Pane2___0">#REF!</definedName>
    <definedName name="Pane2___13">#REF!</definedName>
    <definedName name="par">#N/A</definedName>
    <definedName name="part" localSheetId="0">#REF!</definedName>
    <definedName name="part">#REF!</definedName>
    <definedName name="paul">50000</definedName>
    <definedName name="Pay_Date" localSheetId="0">#REF!</definedName>
    <definedName name="Pay_Date">#REF!</definedName>
    <definedName name="Pay_Num" localSheetId="0">#REF!</definedName>
    <definedName name="Pay_Num">#REF!</definedName>
    <definedName name="Payment_Date" localSheetId="0">DATE(YEAR(Loan_Start),MONTH(Loan_Start)+Payment_Number,DAY(Loan_Start))</definedName>
    <definedName name="Payment_Date">DATE(YEAR(Loan_Start),MONTH(Loan_Start)+Payment_Number,DAY(Loan_Start))</definedName>
    <definedName name="pb" localSheetId="0">#REF!</definedName>
    <definedName name="pb">#REF!</definedName>
    <definedName name="pb___0" localSheetId="0">#REF!</definedName>
    <definedName name="pb___0">#REF!</definedName>
    <definedName name="pb___11" localSheetId="0">#REF!</definedName>
    <definedName name="pb___11">#REF!</definedName>
    <definedName name="pb___12">#REF!</definedName>
    <definedName name="PBILL">#REF!</definedName>
    <definedName name="Pbx" localSheetId="0">#REF!</definedName>
    <definedName name="Pbx">#REF!</definedName>
    <definedName name="Pby" localSheetId="0">#REF!</definedName>
    <definedName name="Pby">#REF!</definedName>
    <definedName name="PCC">#REF!</definedName>
    <definedName name="pd">#REF!</definedName>
    <definedName name="PD_1" localSheetId="0">#REF!</definedName>
    <definedName name="PD_1">#REF!</definedName>
    <definedName name="PEDESTAL" localSheetId="0">#REF!</definedName>
    <definedName name="PEDESTAL">#REF!</definedName>
    <definedName name="pH">#REF!</definedName>
    <definedName name="pH___0">#REF!</definedName>
    <definedName name="pH___13" localSheetId="0">#REF!</definedName>
    <definedName name="pH___13">#REF!</definedName>
    <definedName name="PhaseCode">#REF!</definedName>
    <definedName name="pioi">#REF!</definedName>
    <definedName name="PL_1">#REF!</definedName>
    <definedName name="Plant">#REF!</definedName>
    <definedName name="plants">#REF!</definedName>
    <definedName name="Plinth_beam">#REF!</definedName>
    <definedName name="plumbing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umbing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LYWOOD" localSheetId="0">#REF!</definedName>
    <definedName name="PLYWOOD">#REF!</definedName>
    <definedName name="PM" localSheetId="0">#REF!</definedName>
    <definedName name="PM">#REF!</definedName>
    <definedName name="po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.1" localSheetId="0">#REF!</definedName>
    <definedName name="PO.1">#REF!</definedName>
    <definedName name="PO.2" localSheetId="0">#REF!</definedName>
    <definedName name="PO.2">#REF!</definedName>
    <definedName name="PO_1" localSheetId="0">#REF!</definedName>
    <definedName name="PO_1">#REF!</definedName>
    <definedName name="PO_2">#REF!</definedName>
    <definedName name="PO_3">#REF!</definedName>
    <definedName name="po_4">#REF!</definedName>
    <definedName name="po_6">#REF!</definedName>
    <definedName name="poles" localSheetId="0">#REF!</definedName>
    <definedName name="poles">#REF!</definedName>
    <definedName name="pp" localSheetId="0" hidden="1">#REF!</definedName>
    <definedName name="pp" hidden="1">#REF!</definedName>
    <definedName name="pppppppppp" localSheetId="0">#REF!</definedName>
    <definedName name="pppppppppp">#REF!</definedName>
    <definedName name="pr" localSheetId="0">#REF!</definedName>
    <definedName name="pr">#REF!</definedName>
    <definedName name="prasad145">#REF!</definedName>
    <definedName name="prasad146">#REF!</definedName>
    <definedName name="pre">#REF!</definedName>
    <definedName name="preli">#REF!</definedName>
    <definedName name="PRELIM">#REF!</definedName>
    <definedName name="Preliminaries">#REF!</definedName>
    <definedName name="preliminary">#REF!</definedName>
    <definedName name="prelim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im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lm_Exp" localSheetId="0">#REF!</definedName>
    <definedName name="Prelm_Exp">#REF!</definedName>
    <definedName name="PREM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EMILA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" localSheetId="0">#REF!</definedName>
    <definedName name="PRIME">#REF!</definedName>
    <definedName name="PrimeAddress" localSheetId="0">#REF!</definedName>
    <definedName name="PrimeAddress">#REF!</definedName>
    <definedName name="PrimeAddress_4" localSheetId="0">#REF!</definedName>
    <definedName name="PrimeAddress_4">#REF!</definedName>
    <definedName name="PrimeAddress_6">#REF!</definedName>
    <definedName name="PrimeCity">#REF!</definedName>
    <definedName name="PrimeCity_4">#REF!</definedName>
    <definedName name="PrimeCity_6">#REF!</definedName>
    <definedName name="PrimeName">#REF!</definedName>
    <definedName name="PrimeName_4">#REF!</definedName>
    <definedName name="PrimeName_6">#REF!</definedName>
    <definedName name="PrimePostal">#REF!</definedName>
    <definedName name="PrimePostal_4">#REF!</definedName>
    <definedName name="PrimePostal_6">#REF!</definedName>
    <definedName name="PrimePrio">#REF!</definedName>
    <definedName name="PrimePrio_4">#REF!</definedName>
    <definedName name="PrimePrio_6">#REF!</definedName>
    <definedName name="PrimePrio_Text">#REF!</definedName>
    <definedName name="PrimePrio_Text_4">#REF!</definedName>
    <definedName name="PrimePrio_Text_6">#REF!</definedName>
    <definedName name="PrimeState">#REF!</definedName>
    <definedName name="PrimeState_4">#REF!</definedName>
    <definedName name="PrimeState_6">#REF!</definedName>
    <definedName name="prin">#REF!</definedName>
    <definedName name="Princ">#REF!</definedName>
    <definedName name="Principal">#REF!</definedName>
    <definedName name="Print">#REF!</definedName>
    <definedName name="print_ar">#REF!</definedName>
    <definedName name="_xlnm.Print_Area" localSheetId="0">#REF!</definedName>
    <definedName name="_xlnm.Print_Area">#REF!</definedName>
    <definedName name="PRINT_AREA_MI">#REF!</definedName>
    <definedName name="PRINT_AREA_MI___0">#REF!</definedName>
    <definedName name="PRINT_AREA_MI_4">#REF!</definedName>
    <definedName name="PRINT_AREA_MI_6">#REF!</definedName>
    <definedName name="Print_Area_Reset" localSheetId="0">OFFSET('Beam '!Full_Print,0,0,'Beam '!Last_Row)</definedName>
    <definedName name="Print_Area_Reset">OFFSET(Full_Print,0,0,Last_Row)</definedName>
    <definedName name="_xlnm.Print_Titles" localSheetId="0">#REF!</definedName>
    <definedName name="_xlnm.Print_Titles">#REF!</definedName>
    <definedName name="priya" localSheetId="0">#REF!</definedName>
    <definedName name="priya">#REF!</definedName>
    <definedName name="priya1" localSheetId="0">#REF!</definedName>
    <definedName name="priya1">#REF!</definedName>
    <definedName name="pro" localSheetId="0">'[1]Break up Sheet'!#REF!</definedName>
    <definedName name="pro">#REF!</definedName>
    <definedName name="PROD" localSheetId="0">#REF!</definedName>
    <definedName name="PROD">#REF!</definedName>
    <definedName name="PROD_4" localSheetId="0">#REF!</definedName>
    <definedName name="PROD_4">#REF!</definedName>
    <definedName name="PROD_6" localSheetId="0">#REF!</definedName>
    <definedName name="PROD_6">#REF!</definedName>
    <definedName name="ProdCode1">#REF!</definedName>
    <definedName name="ProdCode1_4">#REF!</definedName>
    <definedName name="ProdCode1_6">#REF!</definedName>
    <definedName name="ProdCode1_Text">#REF!</definedName>
    <definedName name="ProdCode1_Text_4">#REF!</definedName>
    <definedName name="ProdCode1_Text_6">#REF!</definedName>
    <definedName name="ProdCode2">#REF!</definedName>
    <definedName name="ProdCode2_4">#REF!</definedName>
    <definedName name="ProdCode2_6">#REF!</definedName>
    <definedName name="ProdCode2_Text">#REF!</definedName>
    <definedName name="ProdCode2_Text_4">#REF!</definedName>
    <definedName name="ProdCode2_Text_6">#REF!</definedName>
    <definedName name="ProdCode3">#REF!</definedName>
    <definedName name="ProdCode3_4">#REF!</definedName>
    <definedName name="ProdCode3_6">#REF!</definedName>
    <definedName name="ProdCode3_Text">#REF!</definedName>
    <definedName name="ProdCode3_Text_4">#REF!</definedName>
    <definedName name="ProdCode3_Text_6">#REF!</definedName>
    <definedName name="PRODCODE3KJGSCJKSDHCV">#REF!</definedName>
    <definedName name="ProdCode4">#REF!</definedName>
    <definedName name="ProdCode4_4">#REF!</definedName>
    <definedName name="ProdCode4_6">#REF!</definedName>
    <definedName name="ProdCode4_Text">#REF!</definedName>
    <definedName name="ProdCode4_Text_4">#REF!</definedName>
    <definedName name="ProdCode4_Text_6">#REF!</definedName>
    <definedName name="ProdCode5">#REF!</definedName>
    <definedName name="ProdCode5_4">#REF!</definedName>
    <definedName name="ProdCode5_6">#REF!</definedName>
    <definedName name="ProdCode5_Text">#REF!</definedName>
    <definedName name="ProdCode5_Text_4">#REF!</definedName>
    <definedName name="ProdCode5_Text_6">#REF!</definedName>
    <definedName name="ProdPct1">#REF!</definedName>
    <definedName name="ProdPct1_4">#REF!</definedName>
    <definedName name="ProdPct1_6">#REF!</definedName>
    <definedName name="ProdPct2">#REF!</definedName>
    <definedName name="ProdPct2_4">#REF!</definedName>
    <definedName name="ProdPct2_6">#REF!</definedName>
    <definedName name="ProdPct3">#REF!</definedName>
    <definedName name="ProdPct3_4">#REF!</definedName>
    <definedName name="ProdPct3_6">#REF!</definedName>
    <definedName name="ProdPct4">#REF!</definedName>
    <definedName name="ProdPct4_4">#REF!</definedName>
    <definedName name="ProdPct4_6">#REF!</definedName>
    <definedName name="ProdPct5">#REF!</definedName>
    <definedName name="ProdPct5_4">#REF!</definedName>
    <definedName name="ProdPct5_6">#REF!</definedName>
    <definedName name="ProjAddress1">#REF!</definedName>
    <definedName name="ProjAddress1_4">#REF!</definedName>
    <definedName name="ProjAddress1_6">#REF!</definedName>
    <definedName name="ProjAddress2">#REF!</definedName>
    <definedName name="ProjAddress2_4">#REF!</definedName>
    <definedName name="ProjAddress2_6">#REF!</definedName>
    <definedName name="ProjCity">#REF!</definedName>
    <definedName name="ProjCity_4">#REF!</definedName>
    <definedName name="ProjCity_6">#REF!</definedName>
    <definedName name="ProjCity1">#REF!</definedName>
    <definedName name="ProjCountry">#REF!</definedName>
    <definedName name="ProjCountry_4">#REF!</definedName>
    <definedName name="ProjCountry_6">#REF!</definedName>
    <definedName name="ProjCounty">#REF!</definedName>
    <definedName name="ProjCounty_4">#REF!</definedName>
    <definedName name="ProjCounty_6">#REF!</definedName>
    <definedName name="project">#REF!</definedName>
    <definedName name="ProjectLocation">#REF!</definedName>
    <definedName name="ProjectNumber">#REF!</definedName>
    <definedName name="ProjectSubtitle">#REF!</definedName>
    <definedName name="ProjectTitle">#REF!</definedName>
    <definedName name="ProjName">#REF!</definedName>
    <definedName name="ProjName_4">#REF!</definedName>
    <definedName name="ProjName_6">#REF!</definedName>
    <definedName name="ProjNum">#REF!</definedName>
    <definedName name="ProjNum_4">#REF!</definedName>
    <definedName name="ProjNum_6">#REF!</definedName>
    <definedName name="ProjPostal">#REF!</definedName>
    <definedName name="ProjPostal_4">#REF!</definedName>
    <definedName name="ProjPostal_6">#REF!</definedName>
    <definedName name="ProjState">#REF!</definedName>
    <definedName name="ProjState_4">#REF!</definedName>
    <definedName name="ProjState_6">#REF!</definedName>
    <definedName name="PS">#REF!</definedName>
    <definedName name="PS___0">#REF!</definedName>
    <definedName name="PS___13">#REF!</definedName>
    <definedName name="PSABillingMethod">#REF!</definedName>
    <definedName name="PSABillingMethod_4">#REF!</definedName>
    <definedName name="PSABillingMethod_6">#REF!</definedName>
    <definedName name="pss">#REF!</definedName>
    <definedName name="pt" localSheetId="0">#REF!</definedName>
    <definedName name="pt">'[1]HF Blk 1'!#REF!</definedName>
    <definedName name="pun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n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uz" localSheetId="0">#REF!</definedName>
    <definedName name="Puz">#REF!</definedName>
    <definedName name="PV">#REF!</definedName>
    <definedName name="q" localSheetId="0">#REF!</definedName>
    <definedName name="q">#REF!</definedName>
    <definedName name="qa" localSheetId="0">#REF!</definedName>
    <definedName name="qa">#REF!</definedName>
    <definedName name="Qc">#REF!</definedName>
    <definedName name="Qc___0">#REF!</definedName>
    <definedName name="Qc___13" localSheetId="0">#REF!</definedName>
    <definedName name="Qc___13">#REF!</definedName>
    <definedName name="Qf" localSheetId="0">#REF!</definedName>
    <definedName name="Qf">#REF!</definedName>
    <definedName name="Qf___0" localSheetId="0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q" hidden="1">#REF!</definedName>
    <definedName name="QRQWD">#REF!</definedName>
    <definedName name="Qspan">#REF!</definedName>
    <definedName name="QTY">#REF!</definedName>
    <definedName name="qua">#REF!</definedName>
    <definedName name="Quantity">#REF!</definedName>
    <definedName name="QUANTITY1">#REF!</definedName>
    <definedName name="Quantity2">#REF!</definedName>
    <definedName name="quar">#REF!</definedName>
    <definedName name="QUARTZ">#REF!</definedName>
    <definedName name="quotient">"denominator"</definedName>
    <definedName name="qw" localSheetId="0">#REF!</definedName>
    <definedName name="qw">#REF!</definedName>
    <definedName name="qwe" localSheetId="0">#REF!</definedName>
    <definedName name="qwe">#REF!</definedName>
    <definedName name="qwerwqerwe" localSheetId="0">#REF!</definedName>
    <definedName name="qwerwqerwe">#REF!</definedName>
    <definedName name="r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d" localSheetId="0">#REF!</definedName>
    <definedName name="rad">#REF!</definedName>
    <definedName name="radhika" localSheetId="0">#REF!</definedName>
    <definedName name="radhika">#REF!</definedName>
    <definedName name="rahaer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haer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NGE" localSheetId="0">#REF!</definedName>
    <definedName name="RANGE">#REF!</definedName>
    <definedName name="RANGE1" localSheetId="0">#REF!</definedName>
    <definedName name="RANGE1">#REF!</definedName>
    <definedName name="RANGE2" localSheetId="0">#REF!</definedName>
    <definedName name="RANGE2">#REF!</definedName>
    <definedName name="RANGE21">#REF!</definedName>
    <definedName name="range3">#REF!</definedName>
    <definedName name="RASH">#REF!</definedName>
    <definedName name="rashmin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shmi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" localSheetId="0">#REF!</definedName>
    <definedName name="re">#REF!</definedName>
    <definedName name="Re___0" localSheetId="0">#REF!</definedName>
    <definedName name="Re___0">#REF!</definedName>
    <definedName name="Re___13" localSheetId="0">#REF!</definedName>
    <definedName name="Re___13">#REF!</definedName>
    <definedName name="rec" localSheetId="0">#REF!</definedName>
    <definedName name="rec">#REF!</definedName>
    <definedName name="Recon">#REF!</definedName>
    <definedName name="reconcilation">#REF!</definedName>
    <definedName name="reconcile" localSheetId="0">#REF!</definedName>
    <definedName name="reconcile">#REF!</definedName>
    <definedName name="Reconcole">#N/A</definedName>
    <definedName name="_xlnm.Recorder" localSheetId="0">#REF!</definedName>
    <definedName name="_xlnm.Recorder">#REF!</definedName>
    <definedName name="rect_4_415" localSheetId="0">#REF!</definedName>
    <definedName name="rect_4_415">#REF!</definedName>
    <definedName name="reee" localSheetId="0">#REF!</definedName>
    <definedName name="reee">#REF!</definedName>
    <definedName name="rege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e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GULAR_STAFF" localSheetId="0">#REF!</definedName>
    <definedName name="REGULAR_STAFF">#REF!</definedName>
    <definedName name="REGULAR_STAFF_ENTRY" localSheetId="0">#REF!</definedName>
    <definedName name="REGULAR_STAFF_ENTRY">#REF!</definedName>
    <definedName name="rel" localSheetId="0">#REF!</definedName>
    <definedName name="rel">#REF!</definedName>
    <definedName name="RES">#REF!</definedName>
    <definedName name="resd" localSheetId="0">#REF!</definedName>
    <definedName name="resd">#REF!</definedName>
    <definedName name="reswe" hidden="1">#REF!</definedName>
    <definedName name="Rev" localSheetId="0">#REF!</definedName>
    <definedName name="Rev">#REF!</definedName>
    <definedName name="REVISED" localSheetId="0">#REF!</definedName>
    <definedName name="REVISED">#REF!</definedName>
    <definedName name="Revision" localSheetId="0">#REF!</definedName>
    <definedName name="Revision">#REF!</definedName>
    <definedName name="REW">#REF!</definedName>
    <definedName name="rggg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gg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D" localSheetId="0">#REF!</definedName>
    <definedName name="RID">#REF!</definedName>
    <definedName name="rig" localSheetId="0">#REF!</definedName>
    <definedName name="rig">#REF!</definedName>
    <definedName name="rim4_4" localSheetId="0">#REF!</definedName>
    <definedName name="rim4_4">#REF!</definedName>
    <definedName name="rim4_6">#REF!</definedName>
    <definedName name="Rl">#REF!</definedName>
    <definedName name="Rl___0">#REF!</definedName>
    <definedName name="Rl___13">#REF!</definedName>
    <definedName name="robot">#REF!</definedName>
    <definedName name="rosid">#REF!</definedName>
    <definedName name="RQQQ">#REF!</definedName>
    <definedName name="rr">#REF!</definedName>
    <definedName name="rrr">#REF!</definedName>
    <definedName name="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rrrrr" localSheetId="0">#REF!</definedName>
    <definedName name="rrrrrr">#REF!</definedName>
    <definedName name="rrrrrrrrr" localSheetId="0">#REF!</definedName>
    <definedName name="rrrrrrrrr">#REF!</definedName>
    <definedName name="rrrrrrrrrr" localSheetId="0">#REF!</definedName>
    <definedName name="rrrrrrrrrr">#REF!</definedName>
    <definedName name="rrrrrrrrrrr">#REF!</definedName>
    <definedName name="Rs">#REF!</definedName>
    <definedName name="Rs___0">#REF!</definedName>
    <definedName name="Rs___13">#REF!</definedName>
    <definedName name="Rse">#REF!</definedName>
    <definedName name="Rse___0">#REF!</definedName>
    <definedName name="Rse___13">#REF!</definedName>
    <definedName name="rt">#REF!</definedName>
    <definedName name="rtr">#REF!</definedName>
    <definedName name="rtrt">#REF!</definedName>
    <definedName name="rtrt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trtrt" localSheetId="0">#REF!</definedName>
    <definedName name="rtrtrt">#REF!</definedName>
    <definedName name="rttrt" localSheetId="0">#REF!</definedName>
    <definedName name="rttrt">#REF!</definedName>
    <definedName name="rty" localSheetId="0">#REF!</definedName>
    <definedName name="rty">#REF!</definedName>
    <definedName name="rtyu">#REF!</definedName>
    <definedName name="RUT">#REF!</definedName>
    <definedName name="ryy">#REF!</definedName>
    <definedName name="S">#REF!</definedName>
    <definedName name="S0">#REF!</definedName>
    <definedName name="SA">#REF!</definedName>
    <definedName name="saa">#REF!</definedName>
    <definedName name="sadd">#REF!</definedName>
    <definedName name="sadfasdf" localSheetId="0">#REF!</definedName>
    <definedName name="sadfasdf">#REF!</definedName>
    <definedName name="sadfdasf" localSheetId="0" hidden="1">#REF!</definedName>
    <definedName name="sadfdasf" hidden="1">#REF!</definedName>
    <definedName name="sadfsadf" localSheetId="0">#REF!</definedName>
    <definedName name="sadfsadf">#REF!</definedName>
    <definedName name="sadfsdaf" localSheetId="0">#REF!</definedName>
    <definedName name="sadfsdaf">#REF!</definedName>
    <definedName name="safe">#REF!</definedName>
    <definedName name="Safety">#REF!</definedName>
    <definedName name="salary">#REF!</definedName>
    <definedName name="SalesMgr">#REF!</definedName>
    <definedName name="SalesMgr_4">#REF!</definedName>
    <definedName name="SalesMgr_6">#REF!</definedName>
    <definedName name="SASDASD">#REF!</definedName>
    <definedName name="saucomd">#REF!</definedName>
    <definedName name="saucstf">#REF!</definedName>
    <definedName name="saud">#REF!</definedName>
    <definedName name="saud_4">#REF!</definedName>
    <definedName name="saud_6">#REF!</definedName>
    <definedName name="saudirf">#REF!</definedName>
    <definedName name="sauf">#REF!</definedName>
    <definedName name="sauf_4">#REF!</definedName>
    <definedName name="sauf_6">#REF!</definedName>
    <definedName name="sauif">#REF!</definedName>
    <definedName name="sauif_4">#REF!</definedName>
    <definedName name="sauif_6">#REF!</definedName>
    <definedName name="sauspad">#REF!</definedName>
    <definedName name="sausysd">#REF!</definedName>
    <definedName name="scaffolding" hidden="1">#REF!</definedName>
    <definedName name="SCC">#REF!</definedName>
    <definedName name="SCD">#REF!</definedName>
    <definedName name="SCE">#REF!</definedName>
    <definedName name="SCED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roll">#REF!</definedName>
    <definedName name="SD">#REF!</definedName>
    <definedName name="sdasd" localSheetId="0">#REF!</definedName>
    <definedName name="sdasd">#REF!</definedName>
    <definedName name="Sdate" localSheetId="0">#REF!</definedName>
    <definedName name="Sdate">#REF!</definedName>
    <definedName name="sddff" localSheetId="0">#REF!</definedName>
    <definedName name="sddff">#REF!</definedName>
    <definedName name="sdfd" localSheetId="0">#REF!</definedName>
    <definedName name="sdfd">#REF!</definedName>
    <definedName name="sdfdf">#REF!</definedName>
    <definedName name="sdffggg">#REF!</definedName>
    <definedName name="sdffs">#REF!</definedName>
    <definedName name="sdffsd">#REF!</definedName>
    <definedName name="sdfgdsfgdf">#REF!</definedName>
    <definedName name="sdfgsdg">#N/A</definedName>
    <definedName name="sdfgsdsdsdf" localSheetId="0">#REF!</definedName>
    <definedName name="sdfgsdsdsdf">#REF!</definedName>
    <definedName name="sdfjasdfklj" localSheetId="0">#REF!</definedName>
    <definedName name="sdfjasdfklj">#REF!</definedName>
    <definedName name="SDFS" localSheetId="0">#REF!</definedName>
    <definedName name="SDFS">#REF!</definedName>
    <definedName name="sdfsd" localSheetId="0">#REF!</definedName>
    <definedName name="sdfsd">#REF!</definedName>
    <definedName name="sdfsdf" localSheetId="0">#REF!</definedName>
    <definedName name="sdfsdf">#REF!</definedName>
    <definedName name="sdggdsfgsdf" localSheetId="0">#REF!</definedName>
    <definedName name="sdggdsfgsdf">#REF!</definedName>
    <definedName name="sdgsdht">#REF!</definedName>
    <definedName name="sdgsdsdf">#REF!</definedName>
    <definedName name="sdpl">#REF!</definedName>
    <definedName name="SDPLBS">#REF!</definedName>
    <definedName name="SDPLFA">#REF!</definedName>
    <definedName name="SDPLPL">#REF!</definedName>
    <definedName name="sdsd">#REF!</definedName>
    <definedName name="sdsss">#REF!</definedName>
    <definedName name="SDW">#REF!</definedName>
    <definedName name="se">#REF!</definedName>
    <definedName name="sec">#REF!</definedName>
    <definedName name="sec_deposit">#REF!</definedName>
    <definedName name="SECT">#REF!</definedName>
    <definedName name="sect1" localSheetId="0">#REF!</definedName>
    <definedName name="sect1">#REF!</definedName>
    <definedName name="SECTION" localSheetId="0">#REF!</definedName>
    <definedName name="SECTION">#REF!</definedName>
    <definedName name="Section_1_Title" localSheetId="0">#REF!</definedName>
    <definedName name="Section_1_Title">#REF!</definedName>
    <definedName name="Section_2_Title" localSheetId="0">#REF!</definedName>
    <definedName name="Section_2_Title">#REF!</definedName>
    <definedName name="Section_3_Title">#REF!</definedName>
    <definedName name="Section_4_Title">#REF!</definedName>
    <definedName name="Section_5_Title">#REF!</definedName>
    <definedName name="Section_6_Title">#REF!</definedName>
    <definedName name="Section_7_Title">#REF!</definedName>
    <definedName name="Section_8_Title">#REF!</definedName>
    <definedName name="secured">#REF!</definedName>
    <definedName name="securit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curi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lectedLanguage" localSheetId="0">#REF!</definedName>
    <definedName name="SelectedLanguage">#REF!</definedName>
    <definedName name="SelectedLanguage_4" localSheetId="0">#REF!</definedName>
    <definedName name="SelectedLanguage_4">#REF!</definedName>
    <definedName name="SelectedLanguage_6" localSheetId="0">#REF!</definedName>
    <definedName name="SelectedLanguage_6">#REF!</definedName>
    <definedName name="sencount" hidden="1">1</definedName>
    <definedName name="SER">#REF!</definedName>
    <definedName name="servf">#REF!</definedName>
    <definedName name="Setflag">#REF!</definedName>
    <definedName name="SF">#REF!</definedName>
    <definedName name="sfdfsd">#REF!</definedName>
    <definedName name="sfe" hidden="1">#REF!</definedName>
    <definedName name="sfff">#REF!</definedName>
    <definedName name="SFFSDF">#REF!</definedName>
    <definedName name="sffsff">#REF!</definedName>
    <definedName name="sffssd">#REF!</definedName>
    <definedName name="SFL">#REF!</definedName>
    <definedName name="sfsd" localSheetId="0">#REF!</definedName>
    <definedName name="sfsd">#REF!</definedName>
    <definedName name="SFSDFS" localSheetId="0">#REF!</definedName>
    <definedName name="SFSDFS">#REF!</definedName>
    <definedName name="SFSDFSD" localSheetId="0">#REF!</definedName>
    <definedName name="SFSDFSD">#REF!</definedName>
    <definedName name="SFSDFSDF">#REF!</definedName>
    <definedName name="SFSDFSF">#REF!</definedName>
    <definedName name="sfsf">#REF!</definedName>
    <definedName name="sfsfs" localSheetId="0">#REF!</definedName>
    <definedName name="sfsfs">#REF!</definedName>
    <definedName name="sfssdfs" localSheetId="0">#REF!</definedName>
    <definedName name="sfssdfs">#REF!</definedName>
    <definedName name="sfssf" hidden="1">#REF!</definedName>
    <definedName name="SFWEWFRWER" localSheetId="0">#REF!</definedName>
    <definedName name="SFWEWFRWER">#REF!</definedName>
    <definedName name="sg" localSheetId="0">#REF!</definedName>
    <definedName name="sg">#REF!</definedName>
    <definedName name="sgfe" hidden="1">#REF!</definedName>
    <definedName name="sgfssfs" localSheetId="0">#REF!</definedName>
    <definedName name="sgfssfs">#REF!</definedName>
    <definedName name="sgggggg" localSheetId="0" hidden="1">#REF!</definedName>
    <definedName name="sgggggg" hidden="1">#REF!</definedName>
    <definedName name="sh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ji545" localSheetId="0">#REF!</definedName>
    <definedName name="shaji545">#REF!</definedName>
    <definedName name="shank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nk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ar" localSheetId="0">#REF!</definedName>
    <definedName name="shar">#REF!</definedName>
    <definedName name="Shear" hidden="1">#REF!</definedName>
    <definedName name="Sheet" localSheetId="0" hidden="1">#REF!</definedName>
    <definedName name="Sheet" hidden="1">#REF!</definedName>
    <definedName name="sheet1">#REF!</definedName>
    <definedName name="sheet1___0">#REF!</definedName>
    <definedName name="sheet1___13" localSheetId="0">#REF!</definedName>
    <definedName name="sheet1___13">#REF!</definedName>
    <definedName name="SHOPBOQ">#REF!</definedName>
    <definedName name="SHOPHED">#REF!</definedName>
    <definedName name="SHRLMR" localSheetId="0">Scheduled_Payment+Extra_Payment</definedName>
    <definedName name="SHRLMR">Scheduled_Payment+Extra_Payment</definedName>
    <definedName name="Sht" localSheetId="0">#REF!</definedName>
    <definedName name="Sht">#REF!</definedName>
    <definedName name="si" localSheetId="0">#REF!</definedName>
    <definedName name="si">#REF!</definedName>
    <definedName name="sigma0.2" localSheetId="0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ni" localSheetId="0">#REF!</definedName>
    <definedName name="sini">#REF!</definedName>
    <definedName name="SiteID" localSheetId="0">#REF!</definedName>
    <definedName name="SiteID">#REF!</definedName>
    <definedName name="SiteID_4" localSheetId="0">#REF!</definedName>
    <definedName name="SiteID_4">#REF!</definedName>
    <definedName name="SiteID_6" localSheetId="0">#REF!</definedName>
    <definedName name="SiteID_6">#REF!</definedName>
    <definedName name="SiteType">#REF!</definedName>
    <definedName name="SiteType_4">#REF!</definedName>
    <definedName name="SiteType_6">#REF!</definedName>
    <definedName name="siva">#REF!</definedName>
    <definedName name="sl">#REF!</definedName>
    <definedName name="SmallProj" localSheetId="0">#REF!</definedName>
    <definedName name="SmallProj">#REF!</definedName>
    <definedName name="SmallProj_4" localSheetId="0">#REF!</definedName>
    <definedName name="SmallProj_4">#REF!</definedName>
    <definedName name="SmallProj_6" localSheetId="0">#REF!</definedName>
    <definedName name="SmallProj_6">#REF!</definedName>
    <definedName name="SmallProj_Text">#REF!</definedName>
    <definedName name="SmallProj_Text_4">#REF!</definedName>
    <definedName name="SmallProj_Text_6">#REF!</definedName>
    <definedName name="soasia" hidden="1">#REF!</definedName>
    <definedName name="sobha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bh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" localSheetId="0">#REF!</definedName>
    <definedName name="SOL">#REF!</definedName>
    <definedName name="SOLA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A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OLVENT" localSheetId="0">#REF!</definedName>
    <definedName name="SOLVENT">#REF!</definedName>
    <definedName name="solvents" localSheetId="0">#REF!</definedName>
    <definedName name="solvents">#REF!</definedName>
    <definedName name="sond" localSheetId="0">#REF!</definedName>
    <definedName name="sond">#REF!</definedName>
    <definedName name="sondf">#REF!</definedName>
    <definedName name="soo" hidden="1">#REF!</definedName>
    <definedName name="sp">#REF!</definedName>
    <definedName name="SP_1">#REF!</definedName>
    <definedName name="SP_2">#REF!</definedName>
    <definedName name="SP1Branch">#REF!</definedName>
    <definedName name="SP1Branch_4">#REF!</definedName>
    <definedName name="SP1Branch_6">#REF!</definedName>
    <definedName name="SP1Credit">#REF!</definedName>
    <definedName name="SP1Credit_4">#REF!</definedName>
    <definedName name="SP1Credit_6">#REF!</definedName>
    <definedName name="SP1Name">#REF!</definedName>
    <definedName name="SP1Name_4">#REF!</definedName>
    <definedName name="SP1Name_6">#REF!</definedName>
    <definedName name="SP1Number">#REF!</definedName>
    <definedName name="SP1Number_4">#REF!</definedName>
    <definedName name="SP1Number_6">#REF!</definedName>
    <definedName name="SP2Branch">#REF!</definedName>
    <definedName name="SP2Branch_4">#REF!</definedName>
    <definedName name="SP2Branch_6">#REF!</definedName>
    <definedName name="SP2Credit">#REF!</definedName>
    <definedName name="SP2Credit_4">#REF!</definedName>
    <definedName name="SP2Credit_6">#REF!</definedName>
    <definedName name="SP2Name">#REF!</definedName>
    <definedName name="SP2Name_4">#REF!</definedName>
    <definedName name="SP2Name_6">#REF!</definedName>
    <definedName name="SP2Number">#REF!</definedName>
    <definedName name="SP2Number_4">#REF!</definedName>
    <definedName name="SP2Number_6">#REF!</definedName>
    <definedName name="SP3Branch">#REF!</definedName>
    <definedName name="SP3Branch_4">#REF!</definedName>
    <definedName name="SP3Branch_6">#REF!</definedName>
    <definedName name="SP3Credit">#REF!</definedName>
    <definedName name="SP3Credit_4">#REF!</definedName>
    <definedName name="SP3Credit_6">#REF!</definedName>
    <definedName name="SP3Name">#REF!</definedName>
    <definedName name="SP3Name_4">#REF!</definedName>
    <definedName name="SP3Name_6">#REF!</definedName>
    <definedName name="SP3Number">#REF!</definedName>
    <definedName name="SP3Number_4">#REF!</definedName>
    <definedName name="SP3Number_6">#REF!</definedName>
    <definedName name="SP4Branch">#REF!</definedName>
    <definedName name="SP4Branch_4">#REF!</definedName>
    <definedName name="SP4Branch_6">#REF!</definedName>
    <definedName name="SP4Credit">#REF!</definedName>
    <definedName name="SP4Credit_4">#REF!</definedName>
    <definedName name="SP4Credit_6">#REF!</definedName>
    <definedName name="SP4Name">#REF!</definedName>
    <definedName name="SP4Name_4">#REF!</definedName>
    <definedName name="SP4Name_6">#REF!</definedName>
    <definedName name="SP4Number">#REF!</definedName>
    <definedName name="SP4Number_4">#REF!</definedName>
    <definedName name="SP4Number_6">#REF!</definedName>
    <definedName name="SP5Branch">#REF!</definedName>
    <definedName name="SP5Branch_4">#REF!</definedName>
    <definedName name="SP5Branch_6">#REF!</definedName>
    <definedName name="SP5Credit">#REF!</definedName>
    <definedName name="SP5Credit_4">#REF!</definedName>
    <definedName name="SP5Credit_6">#REF!</definedName>
    <definedName name="SP5Name">#REF!</definedName>
    <definedName name="SP5Name_4">#REF!</definedName>
    <definedName name="SP5Name_6">#REF!</definedName>
    <definedName name="SP5Number">#REF!</definedName>
    <definedName name="SP5Number_4">#REF!</definedName>
    <definedName name="SP5Number_6">#REF!</definedName>
    <definedName name="spares">#REF!</definedName>
    <definedName name="SpecClass">#REF!</definedName>
    <definedName name="SpecClass_4">#REF!</definedName>
    <definedName name="SpecClass_6">#REF!</definedName>
    <definedName name="SpecClass_Text">#REF!</definedName>
    <definedName name="SpecClass_Text_4">#REF!</definedName>
    <definedName name="SpecClass_Text_6">#REF!</definedName>
    <definedName name="SpecEnv1">#REF!</definedName>
    <definedName name="SpecEnv1_4">#REF!</definedName>
    <definedName name="SpecEnv1_6">#REF!</definedName>
    <definedName name="SpecEnv1_Text">#REF!</definedName>
    <definedName name="SpecEnv1_Text_4">#REF!</definedName>
    <definedName name="SpecEnv1_Text_6">#REF!</definedName>
    <definedName name="SpecEnv2">#REF!</definedName>
    <definedName name="SpecEnv2_4">#REF!</definedName>
    <definedName name="SpecEnv2_6">#REF!</definedName>
    <definedName name="SpecEnv2_Text">#REF!</definedName>
    <definedName name="SpecEnv2_Text_4">#REF!</definedName>
    <definedName name="SpecEnv2_Text_6">#REF!</definedName>
    <definedName name="SPLR">#REF!</definedName>
    <definedName name="SPLR_4">#REF!</definedName>
    <definedName name="SPLR_6">#REF!</definedName>
    <definedName name="sprare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0">#N/A</definedName>
    <definedName name="SR">DATE(YEAR(#REF!),MONTH(#REF!)+Payment_Number,DAY(#REF!))</definedName>
    <definedName name="SR_NO." localSheetId="0">#REF!</definedName>
    <definedName name="SR_NO.">#REF!</definedName>
    <definedName name="srasf" localSheetId="0">#REF!</definedName>
    <definedName name="srasf">#REF!</definedName>
    <definedName name="SRRRRR" localSheetId="0">#REF!</definedName>
    <definedName name="SRRRRR">#REF!</definedName>
    <definedName name="SrvcCode1" localSheetId="0">#REF!</definedName>
    <definedName name="SrvcCode1">#REF!</definedName>
    <definedName name="SrvcCode1_4">#REF!</definedName>
    <definedName name="SrvcCode1_6">#REF!</definedName>
    <definedName name="SrvcCode1_Text">#REF!</definedName>
    <definedName name="SrvcCode1_Text_4">#REF!</definedName>
    <definedName name="SrvcCode1_Text_6">#REF!</definedName>
    <definedName name="SrvcCode2">#REF!</definedName>
    <definedName name="SrvcCode2_4">#REF!</definedName>
    <definedName name="SrvcCode2_6">#REF!</definedName>
    <definedName name="SrvcCode2_Text">#REF!</definedName>
    <definedName name="SrvcCode2_Text_4">#REF!</definedName>
    <definedName name="SrvcCode2_Text_6">#REF!</definedName>
    <definedName name="SrvcCode3">#REF!</definedName>
    <definedName name="SrvcCode3_4">#REF!</definedName>
    <definedName name="SrvcCode3_6">#REF!</definedName>
    <definedName name="SrvcCode3_Text">#REF!</definedName>
    <definedName name="SrvcCode3_Text_4">#REF!</definedName>
    <definedName name="SrvcCode3_Text_6">#REF!</definedName>
    <definedName name="SrvcCode4">#REF!</definedName>
    <definedName name="SrvcCode4_4">#REF!</definedName>
    <definedName name="SrvcCode4_6">#REF!</definedName>
    <definedName name="SrvcCode4_Text">#REF!</definedName>
    <definedName name="SrvcCode4_Text_4">#REF!</definedName>
    <definedName name="SrvcCode4_Text_6">#REF!</definedName>
    <definedName name="SrvcCode5">#REF!</definedName>
    <definedName name="SrvcCode5_4">#REF!</definedName>
    <definedName name="SrvcCode5_6">#REF!</definedName>
    <definedName name="SrvcCode5_Text">#REF!</definedName>
    <definedName name="SrvcCode5_Text_4">#REF!</definedName>
    <definedName name="SrvcCode5_Text_6">#REF!</definedName>
    <definedName name="ss">#REF!</definedName>
    <definedName name="ssa">#REF!</definedName>
    <definedName name="ssfsfsf" localSheetId="0">#REF!</definedName>
    <definedName name="ssfsfsf">#REF!</definedName>
    <definedName name="ssfss" localSheetId="0">#REF!</definedName>
    <definedName name="ssfss">#REF!</definedName>
    <definedName name="ssfssf" localSheetId="0">#REF!</definedName>
    <definedName name="ssfssf">#REF!</definedName>
    <definedName name="sss" localSheetId="0">#REF!</definedName>
    <definedName name="sss">#REF!</definedName>
    <definedName name="sssdsf" localSheetId="0">#REF!</definedName>
    <definedName name="sssdsf">#REF!</definedName>
    <definedName name="sssss" localSheetId="0" hidden="1">#REF!</definedName>
    <definedName name="sssss" hidden="1">#REF!</definedName>
    <definedName name="SSWEWE" hidden="1">#REF!</definedName>
    <definedName name="ST">#REF!</definedName>
    <definedName name="staffing" localSheetId="0">#REF!</definedName>
    <definedName name="staffing">#REF!</definedName>
    <definedName name="Stage" localSheetId="0">#REF!</definedName>
    <definedName name="Stage">#REF!</definedName>
    <definedName name="Staircase" localSheetId="0">#REF!</definedName>
    <definedName name="Staircase">#REF!</definedName>
    <definedName name="Staircase2">#REF!</definedName>
    <definedName name="Start_Date">#REF!</definedName>
    <definedName name="StartDate">#REF!</definedName>
    <definedName name="StartDate_4">#REF!</definedName>
    <definedName name="StartDate_6">#REF!</definedName>
    <definedName name="steel">#REF!</definedName>
    <definedName name="steelc.b.d" localSheetId="0">#REF!</definedName>
    <definedName name="steelc.b.d">#REF!</definedName>
    <definedName name="stetr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tr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e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ock" localSheetId="0">#REF!</definedName>
    <definedName name="stock">#REF!</definedName>
    <definedName name="stoolag08" localSheetId="0">#REF!</definedName>
    <definedName name="stoolag08">#REF!</definedName>
    <definedName name="stoolag50" localSheetId="0">#REF!</definedName>
    <definedName name="stoolag50">#REF!</definedName>
    <definedName name="stoolag81">#REF!</definedName>
    <definedName name="StrID">#REF!</definedName>
    <definedName name="structure">#REF!</definedName>
    <definedName name="stt">#REF!</definedName>
    <definedName name="su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ject" localSheetId="0">#REF!</definedName>
    <definedName name="Subject">#REF!</definedName>
    <definedName name="SUMMARY" localSheetId="0">#REF!</definedName>
    <definedName name="SUMMARY">#REF!</definedName>
    <definedName name="suresh" localSheetId="0">#REF!</definedName>
    <definedName name="suresh">#REF!</definedName>
    <definedName name="SURYA">#REF!</definedName>
    <definedName name="sushma">#REF!</definedName>
    <definedName name="swf">#REF!</definedName>
    <definedName name="swf_4">#REF!</definedName>
    <definedName name="swf_6">#REF!</definedName>
    <definedName name="swimmingpool">#REF!</definedName>
    <definedName name="sysysey" localSheetId="0">Scheduled_Payment+Extra_Payment</definedName>
    <definedName name="sysysey">Scheduled_Payment+Extra_Payment</definedName>
    <definedName name="syteye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teye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ysysy">#N/A</definedName>
    <definedName name="t" localSheetId="0">#REF!</definedName>
    <definedName name="t">#REF!</definedName>
    <definedName name="t___0">#REF!</definedName>
    <definedName name="t___13">#REF!</definedName>
    <definedName name="T0" localSheetId="0">#REF!</definedName>
    <definedName name="T0">#REF!</definedName>
    <definedName name="TA_1" localSheetId="0">#REF!</definedName>
    <definedName name="TA_1">#REF!</definedName>
    <definedName name="TA_2">#REF!</definedName>
    <definedName name="Table">#REF!</definedName>
    <definedName name="table1" localSheetId="0">#REF!</definedName>
    <definedName name="table1">#REF!</definedName>
    <definedName name="TABLE2" localSheetId="0">#REF!</definedName>
    <definedName name="TABLE2">#REF!</definedName>
    <definedName name="table3">#REF!</definedName>
    <definedName name="TABLE4">#REF!</definedName>
    <definedName name="TableRange" localSheetId="0">#REF!</definedName>
    <definedName name="TableRange">#REF!</definedName>
    <definedName name="ta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llu" localSheetId="0">#REF!</definedName>
    <definedName name="tallu">#REF!</definedName>
    <definedName name="tally">#REF!</definedName>
    <definedName name="tc">#REF!</definedName>
    <definedName name="te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CHI" localSheetId="0">#REF!</definedName>
    <definedName name="TECHI">#REF!</definedName>
    <definedName name="TechnoSpace" localSheetId="0">#REF!</definedName>
    <definedName name="TechnoSpace">#REF!</definedName>
    <definedName name="tee" localSheetId="0">#REF!</definedName>
    <definedName name="tee">#REF!</definedName>
    <definedName name="tel">#REF!</definedName>
    <definedName name="TELEVISION">#REF!</definedName>
    <definedName name="temp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ND" localSheetId="0">#REF!</definedName>
    <definedName name="TEND">#REF!</definedName>
    <definedName name="TEs">#REF!</definedName>
    <definedName name="TEs___0" localSheetId="0">#REF!</definedName>
    <definedName name="TEs___0">#REF!</definedName>
    <definedName name="TEs___13" localSheetId="0">#REF!</definedName>
    <definedName name="TEs___13">#REF!</definedName>
    <definedName name="testseye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stse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t" localSheetId="0">#REF!</definedName>
    <definedName name="tet">#REF!</definedName>
    <definedName name="TEt___0" localSheetId="0">#REF!</definedName>
    <definedName name="TEt___0">#REF!</definedName>
    <definedName name="TEt___13" localSheetId="0">#REF!</definedName>
    <definedName name="TEt___13">#REF!</definedName>
    <definedName name="TF">#REF!</definedName>
    <definedName name="TFL">#REF!</definedName>
    <definedName name="TierCode" localSheetId="0">#REF!</definedName>
    <definedName name="TierCode">#REF!</definedName>
    <definedName name="TierCode_4" localSheetId="0">#REF!</definedName>
    <definedName name="TierCode_4">#REF!</definedName>
    <definedName name="TierCode_6" localSheetId="0">#REF!</definedName>
    <definedName name="TierCode_6">#REF!</definedName>
    <definedName name="TierCode_Text">#REF!</definedName>
    <definedName name="TierCode_Text_4">#REF!</definedName>
    <definedName name="TierCode_Text_6">#REF!</definedName>
    <definedName name="tileaq">#REF!</definedName>
    <definedName name="Timberstep">#REF!</definedName>
    <definedName name="Title" localSheetId="0">#REF!</definedName>
    <definedName name="Title">#REF!</definedName>
    <definedName name="Title1" localSheetId="0">#REF!</definedName>
    <definedName name="Title1">#REF!</definedName>
    <definedName name="Title2" localSheetId="0">#REF!</definedName>
    <definedName name="Title2">#REF!</definedName>
    <definedName name="tol" localSheetId="0">#REF!</definedName>
    <definedName name="tol">#REF!</definedName>
    <definedName name="tools">#REF!</definedName>
    <definedName name="tools1">#REF!</definedName>
    <definedName name="topl">#REF!</definedName>
    <definedName name="topn">#REF!</definedName>
    <definedName name="TOTAL_CONSUMPTION">#REF!</definedName>
    <definedName name="Total_Interest">#REF!</definedName>
    <definedName name="Total_Pay">#REF!</definedName>
    <definedName name="Total_Payment" localSheetId="0">Scheduled_Payment+Extra_Payment</definedName>
    <definedName name="Total_Payment">Scheduled_Payment+Extra_Payment</definedName>
    <definedName name="towre" localSheetId="0">#REF!</definedName>
    <definedName name="towre">#REF!</definedName>
    <definedName name="tr" localSheetId="0">#REF!</definedName>
    <definedName name="tr">#REF!</definedName>
    <definedName name="tranformer" localSheetId="0" hidden="1">#REF!</definedName>
    <definedName name="tranformer" hidden="1">#REF!</definedName>
    <definedName name="TRANS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N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rtr" localSheetId="0">#REF!</definedName>
    <definedName name="trrtr">#REF!</definedName>
    <definedName name="tS" localSheetId="0">#REF!</definedName>
    <definedName name="tS">#REF!</definedName>
    <definedName name="tS___0" localSheetId="0">#REF!</definedName>
    <definedName name="tS___0">#REF!</definedName>
    <definedName name="tS___13">#REF!</definedName>
    <definedName name="tt">#REF!</definedName>
    <definedName name="ttt" hidden="1">#REF!</definedName>
    <definedName name="tttt">#REF!</definedName>
    <definedName name="ttttt">#REF!</definedName>
    <definedName name="tttttt">#REF!</definedName>
    <definedName name="tttttttt">#REF!</definedName>
    <definedName name="ttttttttt">#REF!</definedName>
    <definedName name="tu">#REF!</definedName>
    <definedName name="TUES1">#REF!</definedName>
    <definedName name="tulip">#REF!</definedName>
    <definedName name="tuti" hidden="1">#REF!</definedName>
    <definedName name="tutyoiou">#N/A</definedName>
    <definedName name="TV" localSheetId="0">#REF!</definedName>
    <definedName name="TV">#REF!</definedName>
    <definedName name="TVV" localSheetId="0">#REF!</definedName>
    <definedName name="TVV">#REF!</definedName>
    <definedName name="ty" localSheetId="0" hidden="1">#REF!</definedName>
    <definedName name="ty" hidden="1">#REF!</definedName>
    <definedName name="tyeesgy">#REF!</definedName>
    <definedName name="type">#REF!</definedName>
    <definedName name="Type1">#REF!</definedName>
    <definedName name="Type2">#REF!</definedName>
    <definedName name="Type3">#REF!</definedName>
    <definedName name="tyt" localSheetId="0">#REF!</definedName>
    <definedName name="tyt">#REF!</definedName>
    <definedName name="tyy">#REF!</definedName>
    <definedName name="u">#REF!</definedName>
    <definedName name="UGF">#REF!</definedName>
    <definedName name="uiui" localSheetId="0">#REF!</definedName>
    <definedName name="uiui">#REF!</definedName>
    <definedName name="uiyo" localSheetId="0">#REF!</definedName>
    <definedName name="uiyo">#REF!</definedName>
    <definedName name="UNITS" localSheetId="0">#REF!</definedName>
    <definedName name="UNITS">#REF!</definedName>
    <definedName name="unsecured">#REF!</definedName>
    <definedName name="usd">#REF!</definedName>
    <definedName name="Use_Alternates">#REF!</definedName>
    <definedName name="uu">#REF!</definedName>
    <definedName name="uuu">#REF!</definedName>
    <definedName name="uuuuuuuu">#REF!</definedName>
    <definedName name="uyiui">#REF!</definedName>
    <definedName name="va">#REF!</definedName>
    <definedName name="va___0">#REF!</definedName>
    <definedName name="va___13">#REF!</definedName>
    <definedName name="VA_1">#REF!</definedName>
    <definedName name="VA_2">#REF!</definedName>
    <definedName name="VA_3">#REF!</definedName>
    <definedName name="VADODARA_________________________________CLIENT_______________M_s" localSheetId="0">#REF!</definedName>
    <definedName name="VADODARA_________________________________CLIENT_______________M_s">#REF!</definedName>
    <definedName name="vahas" localSheetId="0">#REF!</definedName>
    <definedName name="vahas">#REF!</definedName>
    <definedName name="Values_Entered" localSheetId="0">IF('Beam '!Loan_Amount*Interest_Rate*Loan_Years*Loan_Start&gt;0,1,0)</definedName>
    <definedName name="Values_Entered">IF(Loan_Amount*Interest_Rate*Loan_Years*Loan_Start&gt;0,1,0)</definedName>
    <definedName name="VANDEMATARAM" localSheetId="0">#REF!</definedName>
    <definedName name="VANDEMATARAM">#REF!</definedName>
    <definedName name="variance" localSheetId="0">#REF!</definedName>
    <definedName name="variance">#REF!</definedName>
    <definedName name="variance.." localSheetId="0">#REF!</definedName>
    <definedName name="variance..">#REF!</definedName>
    <definedName name="vatf">#REF!</definedName>
    <definedName name="vatf_4">#REF!</definedName>
    <definedName name="vatf_6">#REF!</definedName>
    <definedName name="VB">#REF!</definedName>
    <definedName name="vbv">#REF!</definedName>
    <definedName name="vbvb">#REF!</definedName>
    <definedName name="vc">#REF!</definedName>
    <definedName name="VD">#REF!</definedName>
    <definedName name="veh">#REF!</definedName>
    <definedName name="vehicle">#REF!</definedName>
    <definedName name="Velocity_DiCL">#REF!</definedName>
    <definedName name="Velocity_ORD">#REF!</definedName>
    <definedName name="Vend">#REF!</definedName>
    <definedName name="VENEER">#REF!</definedName>
    <definedName name="Vf">#REF!</definedName>
    <definedName name="vgj" localSheetId="0">#REF!</definedName>
    <definedName name="vgj">#REF!</definedName>
    <definedName name="vijay" localSheetId="0">#REF!</definedName>
    <definedName name="vijay">#REF!</definedName>
    <definedName name="VIVEKANANDA" localSheetId="0">#REF!</definedName>
    <definedName name="VIVEKANANDA">#REF!</definedName>
    <definedName name="vjj" localSheetId="0">#REF!</definedName>
    <definedName name="vjj">#REF!</definedName>
    <definedName name="VNFVBDVFBZDSD">#REF!</definedName>
    <definedName name="Vsigma">#REF!</definedName>
    <definedName name="vv">#REF!</definedName>
    <definedName name="vxckbmjklbgjnklgbmjh" hidden="1">#REF!</definedName>
    <definedName name="Vz">#REF!</definedName>
    <definedName name="w">#REF!</definedName>
    <definedName name="Waiting">"Picture 1"</definedName>
    <definedName name="Water_Proofing" localSheetId="0">#REF!</definedName>
    <definedName name="Water_Proofing">#REF!</definedName>
    <definedName name="wdf" localSheetId="0">#REF!</definedName>
    <definedName name="wdf">#REF!</definedName>
    <definedName name="we" localSheetId="0">#REF!</definedName>
    <definedName name="we">#REF!</definedName>
    <definedName name="wee">#REF!</definedName>
    <definedName name="werwe">#REF!</definedName>
    <definedName name="wetewt">#REF!</definedName>
    <definedName name="wewe">#REF!</definedName>
    <definedName name="wfrwfrwefw">#REF!</definedName>
    <definedName name="WHITEWOOD">#REF!</definedName>
    <definedName name="wid">#REF!</definedName>
    <definedName name="wip">#REF!</definedName>
    <definedName name="WLP">#REF!</definedName>
    <definedName name="wood1344" localSheetId="0">#REF!</definedName>
    <definedName name="wood1344">#REF!</definedName>
    <definedName name="woodc.b.d" localSheetId="0">#REF!</definedName>
    <definedName name="woodc.b.d">#REF!</definedName>
    <definedName name="woodenflooring" localSheetId="0">#REF!</definedName>
    <definedName name="woodenflooring">#REF!</definedName>
    <definedName name="work" localSheetId="0">#REF!</definedName>
    <definedName name="work">#REF!</definedName>
    <definedName name="WP" localSheetId="0">#REF!</definedName>
    <definedName name="WP">#REF!</definedName>
    <definedName name="wreqwrt">#REF!</definedName>
    <definedName name="wrftw">#REF!</definedName>
    <definedName name="wrn.Full._.Report.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swww" localSheetId="0">#REF!</definedName>
    <definedName name="wswww">#REF!</definedName>
    <definedName name="wtrwwefr" localSheetId="0">#REF!</definedName>
    <definedName name="wtrwwefr">#REF!</definedName>
    <definedName name="ww" localSheetId="0" hidden="1">#REF!</definedName>
    <definedName name="ww" hidden="1">#REF!</definedName>
    <definedName name="wwwwww" localSheetId="0" hidden="1">#REF!</definedName>
    <definedName name="wwwwww" hidden="1">#REF!</definedName>
    <definedName name="wwwwwwe" hidden="1">#REF!</definedName>
    <definedName name="x" localSheetId="0">#REF!</definedName>
    <definedName name="x">#REF!</definedName>
    <definedName name="xc" localSheetId="0">#REF!</definedName>
    <definedName name="xc">#REF!</definedName>
    <definedName name="xcv" localSheetId="0">#REF!</definedName>
    <definedName name="xcv">#REF!</definedName>
    <definedName name="Xl" localSheetId="0">#REF!</definedName>
    <definedName name="Xl">#REF!</definedName>
    <definedName name="Xl___0" localSheetId="0">#REF!</definedName>
    <definedName name="Xl___0">#REF!</definedName>
    <definedName name="Xl___13">#REF!</definedName>
    <definedName name="xV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x" localSheetId="0">#REF!</definedName>
    <definedName name="xx">#REF!</definedName>
    <definedName name="xy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y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xz" localSheetId="0">#REF!</definedName>
    <definedName name="xz">#REF!</definedName>
    <definedName name="xzfvv" localSheetId="0">#REF!</definedName>
    <definedName name="xzfvv">#REF!</definedName>
    <definedName name="y5ey" localSheetId="0">#REF!</definedName>
    <definedName name="y5ey">#REF!</definedName>
    <definedName name="yb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ryeruj">#N/A</definedName>
    <definedName name="ystyet">#N/A</definedName>
    <definedName name="ysysyrry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sysyr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">#N/A</definedName>
    <definedName name="ytut">#N/A</definedName>
    <definedName name="ytyt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ty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" localSheetId="0">#REF!</definedName>
    <definedName name="yu">#REF!</definedName>
    <definedName name="yuyu" localSheetId="0">#REF!</definedName>
    <definedName name="yuyu">#REF!</definedName>
    <definedName name="ywerteqrt" localSheetId="0">#REF!</definedName>
    <definedName name="ywerteqrt">#REF!</definedName>
    <definedName name="yyy">#REF!</definedName>
    <definedName name="yyyyyyyyyyy">#REF!</definedName>
    <definedName name="z">#REF!</definedName>
    <definedName name="Z_01EEECA8_52E8_4BA6_B221_CB6D3C468C80_.wvu.Cols" hidden="1">#REF!</definedName>
    <definedName name="Z_01EEECA8_52E8_4BA6_B221_CB6D3C468C80_.wvu.FilterData" hidden="1">#REF!</definedName>
    <definedName name="Z_0B3EF283_BAAE_40DA_B109_606B8002D5D4_.wvu.FilterData" hidden="1">#REF!</definedName>
    <definedName name="Z_0C509CAE_4B28_497F_9463_E056D87AE422_.wvu.Rows" hidden="1">#REF!</definedName>
    <definedName name="Z_5A4CDE39_BC84_48C0_8208_6970E7A71896_.wvu.Cols" hidden="1">#REF!,#REF!,#REF!</definedName>
    <definedName name="Z_64FBE21F_D610_4122_B662_C1CA556F0E6B_.wvu.Rows" hidden="1">#REF!,#REF!</definedName>
    <definedName name="Z_67879F2D_A365_4C5F_ACA2_06A222DC585F_.wvu.FilterData" localSheetId="0" hidden="1">#REF!</definedName>
    <definedName name="Z_67879F2D_A365_4C5F_ACA2_06A222DC585F_.wvu.FilterData" hidden="1">#REF!</definedName>
    <definedName name="Z_6CDCF69B_5AF1_4147_8314_DDC51BBAE13A_.wvu.FilterData" localSheetId="0" hidden="1">#REF!</definedName>
    <definedName name="Z_6CDCF69B_5AF1_4147_8314_DDC51BBAE13A_.wvu.FilterData" hidden="1">#REF!</definedName>
    <definedName name="Z_821080B5_A53F_46D5_A7A8_C550E9A6DB8E_.wvu.Rows" localSheetId="0" hidden="1">#REF!</definedName>
    <definedName name="Z_821080B5_A53F_46D5_A7A8_C550E9A6DB8E_.wvu.Rows" hidden="1">#REF!</definedName>
    <definedName name="Z_89FC4C3A_6586_42BA_B0E6_F0959042E6A0_.wvu.Rows" localSheetId="0" hidden="1">#REF!</definedName>
    <definedName name="Z_89FC4C3A_6586_42BA_B0E6_F0959042E6A0_.wvu.Rows" hidden="1">#REF!</definedName>
    <definedName name="Z_8FCC9949_BB10_48DD_835F_9D6E68B3AE12_.wvu.PrintTitles" localSheetId="0" hidden="1">#REF!</definedName>
    <definedName name="Z_8FCC9949_BB10_48DD_835F_9D6E68B3AE12_.wvu.PrintTitles" hidden="1">#REF!</definedName>
    <definedName name="Z_8FCC9949_BB10_48DD_835F_9D6E68B3AE12_.wvu.Rows" localSheetId="0" hidden="1">#REF!,#REF!</definedName>
    <definedName name="Z_8FCC9949_BB10_48DD_835F_9D6E68B3AE12_.wvu.Rows" hidden="1">#REF!,#REF!</definedName>
    <definedName name="Z_97AF8B62_D04D_48F2_A853_93998C7922D6_.wvu.FilterData" localSheetId="0" hidden="1">#REF!</definedName>
    <definedName name="Z_97AF8B62_D04D_48F2_A853_93998C7922D6_.wvu.FilterData" hidden="1">#REF!</definedName>
    <definedName name="Z_9F278A40_BF82_4E3D_9E8B_F7A34E58042E_.wvu.FilterData" localSheetId="0" hidden="1">#REF!</definedName>
    <definedName name="Z_9F278A40_BF82_4E3D_9E8B_F7A34E58042E_.wvu.FilterData" hidden="1">#REF!</definedName>
    <definedName name="Z_E61184E6_4A82_48AD_BD46_AD03682B9E61_.wvu.Rows" localSheetId="0" hidden="1">#REF!</definedName>
    <definedName name="Z_E61184E6_4A82_48AD_BD46_AD03682B9E61_.wvu.Rows" hidden="1">#REF!</definedName>
    <definedName name="Z_EA424862_9DB5_4158_B57E_464B76E20666_.wvu.FilterData" localSheetId="0" hidden="1">#REF!</definedName>
    <definedName name="Z_EA424862_9DB5_4158_B57E_464B76E20666_.wvu.FilterData" hidden="1">#REF!</definedName>
    <definedName name="Z_F56F135F_44F3_478B_BCC3_5E739B702BEF_.wvu.Cols" localSheetId="0" hidden="1">#REF!</definedName>
    <definedName name="Z_F56F135F_44F3_478B_BCC3_5E739B702BEF_.wvu.Cols" hidden="1">#REF!</definedName>
    <definedName name="Z_F56F135F_44F3_478B_BCC3_5E739B702BEF_.wvu.FilterData" localSheetId="0" hidden="1">#REF!</definedName>
    <definedName name="Z_F56F135F_44F3_478B_BCC3_5E739B702BEF_.wvu.FilterData" hidden="1">#REF!</definedName>
    <definedName name="Z_F56F135F_44F3_478B_BCC3_5E739B702BEF_.wvu.PrintTitles" localSheetId="0" hidden="1">#REF!,#REF!</definedName>
    <definedName name="Z_F56F135F_44F3_478B_BCC3_5E739B702BEF_.wvu.PrintTitles" hidden="1">#REF!,#REF!</definedName>
    <definedName name="ZAS" localSheetId="0">#REF!</definedName>
    <definedName name="ZAS">#REF!</definedName>
    <definedName name="zaz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az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ee" localSheetId="0">#REF!</definedName>
    <definedName name="zee">#REF!</definedName>
    <definedName name="zl" localSheetId="0">#REF!</definedName>
    <definedName name="zl">#REF!</definedName>
    <definedName name="zl___0" localSheetId="0">#REF!</definedName>
    <definedName name="zl___0">#REF!</definedName>
    <definedName name="zl___13" localSheetId="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dgfeghr" localSheetId="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dgfeg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vzv">#REF!</definedName>
    <definedName name="zx" localSheetId="0">#REF!</definedName>
    <definedName name="zx">#REF!</definedName>
    <definedName name="zxv" localSheetId="0">#REF!</definedName>
    <definedName name="zxv">#REF!</definedName>
    <definedName name="zxvxzcvb" localSheetId="0">#REF!</definedName>
    <definedName name="zxvxzcvb">#REF!</definedName>
    <definedName name="ZY" localSheetId="0">#REF!</definedName>
    <definedName name="ZY">#REF!</definedName>
    <definedName name="ZY___0">#REF!</definedName>
    <definedName name="ZY___13">#REF!</definedName>
    <definedName name="zz">#REF!</definedName>
    <definedName name="zz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2" i="1" l="1"/>
  <c r="G32" i="1"/>
  <c r="X1095" i="1"/>
  <c r="E1100" i="1"/>
  <c r="F1100" i="1" s="1"/>
  <c r="W1099" i="1"/>
  <c r="T1099" i="1"/>
  <c r="E1099" i="1"/>
  <c r="F1099" i="1" s="1"/>
  <c r="D1099" i="1"/>
  <c r="R1098" i="1"/>
  <c r="F1098" i="1"/>
  <c r="D1098" i="1"/>
  <c r="W1098" i="1" s="1"/>
  <c r="W1097" i="1"/>
  <c r="V1097" i="1"/>
  <c r="U1097" i="1"/>
  <c r="T1097" i="1"/>
  <c r="S1097" i="1"/>
  <c r="R1097" i="1"/>
  <c r="F1097" i="1"/>
  <c r="W1096" i="1"/>
  <c r="V1096" i="1"/>
  <c r="U1096" i="1"/>
  <c r="T1096" i="1"/>
  <c r="R1096" i="1"/>
  <c r="Q1096" i="1"/>
  <c r="P1096" i="1"/>
  <c r="O1096" i="1"/>
  <c r="G1096" i="1"/>
  <c r="W1095" i="1"/>
  <c r="V1095" i="1"/>
  <c r="T1095" i="1"/>
  <c r="S1095" i="1"/>
  <c r="R1095" i="1"/>
  <c r="Q1095" i="1"/>
  <c r="G1095" i="1"/>
  <c r="W1094" i="1"/>
  <c r="V1094" i="1"/>
  <c r="T1094" i="1"/>
  <c r="S1094" i="1"/>
  <c r="R1094" i="1"/>
  <c r="Q1094" i="1"/>
  <c r="G1094" i="1"/>
  <c r="O1094" i="1" s="1"/>
  <c r="P1094" i="1" s="1"/>
  <c r="M1093" i="1"/>
  <c r="L1093" i="1"/>
  <c r="K1093" i="1"/>
  <c r="I1093" i="1"/>
  <c r="H1093" i="1"/>
  <c r="J1093" i="1" s="1"/>
  <c r="N1093" i="1" s="1"/>
  <c r="F1092" i="1"/>
  <c r="E1092" i="1"/>
  <c r="D1092" i="1"/>
  <c r="W1091" i="1"/>
  <c r="V1091" i="1"/>
  <c r="S1091" i="1"/>
  <c r="E1091" i="1"/>
  <c r="F1091" i="1" s="1"/>
  <c r="D1091" i="1"/>
  <c r="U1091" i="1" s="1"/>
  <c r="F1090" i="1"/>
  <c r="D1090" i="1"/>
  <c r="V1090" i="1" s="1"/>
  <c r="W1089" i="1"/>
  <c r="V1089" i="1"/>
  <c r="U1089" i="1"/>
  <c r="T1089" i="1"/>
  <c r="S1089" i="1"/>
  <c r="Q1089" i="1"/>
  <c r="F1089" i="1"/>
  <c r="W1088" i="1"/>
  <c r="U1088" i="1"/>
  <c r="T1088" i="1"/>
  <c r="S1088" i="1"/>
  <c r="R1088" i="1"/>
  <c r="Q1088" i="1"/>
  <c r="O1088" i="1"/>
  <c r="P1088" i="1" s="1"/>
  <c r="G1088" i="1"/>
  <c r="W1087" i="1"/>
  <c r="U1087" i="1"/>
  <c r="T1087" i="1"/>
  <c r="S1087" i="1"/>
  <c r="R1087" i="1"/>
  <c r="Q1087" i="1"/>
  <c r="G1087" i="1"/>
  <c r="O1087" i="1" s="1"/>
  <c r="P1087" i="1" s="1"/>
  <c r="M1086" i="1"/>
  <c r="L1086" i="1"/>
  <c r="K1086" i="1"/>
  <c r="I1086" i="1"/>
  <c r="H1086" i="1"/>
  <c r="J1086" i="1" s="1"/>
  <c r="N1086" i="1" s="1"/>
  <c r="E1085" i="1"/>
  <c r="F1085" i="1" s="1"/>
  <c r="E1084" i="1"/>
  <c r="F1084" i="1" s="1"/>
  <c r="D1084" i="1"/>
  <c r="F1083" i="1"/>
  <c r="D1083" i="1"/>
  <c r="W1082" i="1"/>
  <c r="V1082" i="1"/>
  <c r="U1082" i="1"/>
  <c r="T1082" i="1"/>
  <c r="S1082" i="1"/>
  <c r="Q1082" i="1"/>
  <c r="F1082" i="1"/>
  <c r="W1081" i="1"/>
  <c r="U1081" i="1"/>
  <c r="T1081" i="1"/>
  <c r="S1081" i="1"/>
  <c r="R1081" i="1"/>
  <c r="Q1081" i="1"/>
  <c r="O1081" i="1"/>
  <c r="P1081" i="1" s="1"/>
  <c r="G1081" i="1"/>
  <c r="W1080" i="1"/>
  <c r="U1080" i="1"/>
  <c r="T1080" i="1"/>
  <c r="S1080" i="1"/>
  <c r="R1080" i="1"/>
  <c r="Q1080" i="1"/>
  <c r="O1080" i="1"/>
  <c r="P1080" i="1" s="1"/>
  <c r="G1080" i="1"/>
  <c r="M1079" i="1"/>
  <c r="L1079" i="1"/>
  <c r="K1079" i="1"/>
  <c r="I1079" i="1"/>
  <c r="H1079" i="1"/>
  <c r="J1079" i="1" s="1"/>
  <c r="N1079" i="1" s="1"/>
  <c r="W1078" i="1"/>
  <c r="Q1078" i="1"/>
  <c r="E1078" i="1"/>
  <c r="F1078" i="1" s="1"/>
  <c r="D1078" i="1"/>
  <c r="V1078" i="1" s="1"/>
  <c r="W1077" i="1"/>
  <c r="V1077" i="1"/>
  <c r="U1077" i="1"/>
  <c r="T1077" i="1"/>
  <c r="S1077" i="1"/>
  <c r="Q1077" i="1"/>
  <c r="F1077" i="1"/>
  <c r="W1076" i="1"/>
  <c r="U1076" i="1"/>
  <c r="T1076" i="1"/>
  <c r="S1076" i="1"/>
  <c r="R1076" i="1"/>
  <c r="Q1076" i="1"/>
  <c r="G1076" i="1"/>
  <c r="O1076" i="1" s="1"/>
  <c r="P1076" i="1" s="1"/>
  <c r="W1075" i="1"/>
  <c r="U1075" i="1"/>
  <c r="T1075" i="1"/>
  <c r="S1075" i="1"/>
  <c r="R1075" i="1"/>
  <c r="Q1075" i="1"/>
  <c r="G1075" i="1"/>
  <c r="O1075" i="1" s="1"/>
  <c r="P1075" i="1" s="1"/>
  <c r="M1074" i="1"/>
  <c r="L1074" i="1"/>
  <c r="K1074" i="1"/>
  <c r="I1074" i="1"/>
  <c r="H1074" i="1"/>
  <c r="J1074" i="1" s="1"/>
  <c r="N1074" i="1" s="1"/>
  <c r="W1073" i="1"/>
  <c r="V1073" i="1"/>
  <c r="U1073" i="1"/>
  <c r="E1073" i="1"/>
  <c r="F1073" i="1" s="1"/>
  <c r="D1073" i="1"/>
  <c r="T1073" i="1" s="1"/>
  <c r="W1072" i="1"/>
  <c r="V1072" i="1"/>
  <c r="U1072" i="1"/>
  <c r="T1072" i="1"/>
  <c r="S1072" i="1"/>
  <c r="Q1072" i="1"/>
  <c r="F1072" i="1"/>
  <c r="W1071" i="1"/>
  <c r="U1071" i="1"/>
  <c r="T1071" i="1"/>
  <c r="S1071" i="1"/>
  <c r="R1071" i="1"/>
  <c r="Q1071" i="1"/>
  <c r="O1071" i="1"/>
  <c r="P1071" i="1" s="1"/>
  <c r="G1071" i="1"/>
  <c r="W1070" i="1"/>
  <c r="U1070" i="1"/>
  <c r="T1070" i="1"/>
  <c r="S1070" i="1"/>
  <c r="R1070" i="1"/>
  <c r="Q1070" i="1"/>
  <c r="P1070" i="1"/>
  <c r="G1070" i="1"/>
  <c r="O1070" i="1" s="1"/>
  <c r="M1069" i="1"/>
  <c r="L1069" i="1"/>
  <c r="K1069" i="1"/>
  <c r="J1069" i="1"/>
  <c r="N1069" i="1" s="1"/>
  <c r="I1069" i="1"/>
  <c r="H1069" i="1"/>
  <c r="S1068" i="1"/>
  <c r="F1068" i="1"/>
  <c r="E1068" i="1"/>
  <c r="D1068" i="1"/>
  <c r="W1067" i="1"/>
  <c r="V1067" i="1"/>
  <c r="U1067" i="1"/>
  <c r="T1067" i="1"/>
  <c r="S1067" i="1"/>
  <c r="R1067" i="1"/>
  <c r="F1067" i="1"/>
  <c r="W1066" i="1"/>
  <c r="U1066" i="1"/>
  <c r="T1066" i="1"/>
  <c r="S1066" i="1"/>
  <c r="R1066" i="1"/>
  <c r="Q1066" i="1"/>
  <c r="P1066" i="1"/>
  <c r="O1066" i="1"/>
  <c r="G1066" i="1"/>
  <c r="W1065" i="1"/>
  <c r="U1065" i="1"/>
  <c r="T1065" i="1"/>
  <c r="S1065" i="1"/>
  <c r="R1065" i="1"/>
  <c r="Q1065" i="1"/>
  <c r="O1065" i="1"/>
  <c r="P1065" i="1" s="1"/>
  <c r="G1065" i="1"/>
  <c r="M1064" i="1"/>
  <c r="L1064" i="1"/>
  <c r="K1064" i="1"/>
  <c r="I1064" i="1"/>
  <c r="H1064" i="1"/>
  <c r="J1064" i="1" s="1"/>
  <c r="N1064" i="1" s="1"/>
  <c r="T1063" i="1"/>
  <c r="F1063" i="1"/>
  <c r="E1063" i="1"/>
  <c r="D1063" i="1"/>
  <c r="W1062" i="1"/>
  <c r="V1062" i="1"/>
  <c r="U1062" i="1"/>
  <c r="T1062" i="1"/>
  <c r="S1062" i="1"/>
  <c r="R1062" i="1"/>
  <c r="F1062" i="1"/>
  <c r="W1061" i="1"/>
  <c r="U1061" i="1"/>
  <c r="T1061" i="1"/>
  <c r="S1061" i="1"/>
  <c r="R1061" i="1"/>
  <c r="Q1061" i="1"/>
  <c r="G1061" i="1"/>
  <c r="O1061" i="1" s="1"/>
  <c r="P1061" i="1" s="1"/>
  <c r="W1060" i="1"/>
  <c r="U1060" i="1"/>
  <c r="T1060" i="1"/>
  <c r="S1060" i="1"/>
  <c r="R1060" i="1"/>
  <c r="Q1060" i="1"/>
  <c r="G1060" i="1"/>
  <c r="O1060" i="1" s="1"/>
  <c r="P1060" i="1" s="1"/>
  <c r="M1059" i="1"/>
  <c r="L1059" i="1"/>
  <c r="K1059" i="1"/>
  <c r="I1059" i="1"/>
  <c r="H1059" i="1"/>
  <c r="J1059" i="1" s="1"/>
  <c r="N1059" i="1" s="1"/>
  <c r="W1058" i="1"/>
  <c r="R1058" i="1"/>
  <c r="E1058" i="1"/>
  <c r="F1058" i="1" s="1"/>
  <c r="D1058" i="1"/>
  <c r="Q1058" i="1" s="1"/>
  <c r="E1057" i="1"/>
  <c r="F1057" i="1" s="1"/>
  <c r="D1057" i="1"/>
  <c r="W1057" i="1" s="1"/>
  <c r="W1056" i="1"/>
  <c r="V1056" i="1"/>
  <c r="U1056" i="1"/>
  <c r="T1056" i="1"/>
  <c r="S1056" i="1"/>
  <c r="R1056" i="1"/>
  <c r="F1056" i="1"/>
  <c r="W1055" i="1"/>
  <c r="V1055" i="1"/>
  <c r="T1055" i="1"/>
  <c r="S1055" i="1"/>
  <c r="R1055" i="1"/>
  <c r="Q1055" i="1"/>
  <c r="G1055" i="1"/>
  <c r="O1055" i="1" s="1"/>
  <c r="P1055" i="1" s="1"/>
  <c r="W1054" i="1"/>
  <c r="V1054" i="1"/>
  <c r="T1054" i="1"/>
  <c r="S1054" i="1"/>
  <c r="R1054" i="1"/>
  <c r="Q1054" i="1"/>
  <c r="O1054" i="1"/>
  <c r="P1054" i="1" s="1"/>
  <c r="G1054" i="1"/>
  <c r="W1053" i="1"/>
  <c r="V1053" i="1"/>
  <c r="T1053" i="1"/>
  <c r="S1053" i="1"/>
  <c r="R1053" i="1"/>
  <c r="Q1053" i="1"/>
  <c r="G1053" i="1"/>
  <c r="O1053" i="1" s="1"/>
  <c r="P1053" i="1" s="1"/>
  <c r="W1052" i="1"/>
  <c r="V1052" i="1"/>
  <c r="T1052" i="1"/>
  <c r="S1052" i="1"/>
  <c r="R1052" i="1"/>
  <c r="Q1052" i="1"/>
  <c r="O1052" i="1"/>
  <c r="P1052" i="1" s="1"/>
  <c r="G1052" i="1"/>
  <c r="M1051" i="1"/>
  <c r="L1051" i="1"/>
  <c r="K1051" i="1"/>
  <c r="I1051" i="1"/>
  <c r="H1051" i="1"/>
  <c r="J1051" i="1" s="1"/>
  <c r="N1051" i="1" s="1"/>
  <c r="U1050" i="1"/>
  <c r="S1050" i="1"/>
  <c r="R1050" i="1"/>
  <c r="E1050" i="1"/>
  <c r="F1050" i="1" s="1"/>
  <c r="D1050" i="1"/>
  <c r="W1050" i="1" s="1"/>
  <c r="E1049" i="1"/>
  <c r="F1049" i="1" s="1"/>
  <c r="U1048" i="1"/>
  <c r="E1048" i="1"/>
  <c r="F1048" i="1" s="1"/>
  <c r="D1048" i="1"/>
  <c r="Q1048" i="1" s="1"/>
  <c r="F1047" i="1"/>
  <c r="D1047" i="1"/>
  <c r="W1046" i="1"/>
  <c r="V1046" i="1"/>
  <c r="U1046" i="1"/>
  <c r="T1046" i="1"/>
  <c r="S1046" i="1"/>
  <c r="Q1046" i="1"/>
  <c r="F1046" i="1"/>
  <c r="W1045" i="1"/>
  <c r="V1045" i="1"/>
  <c r="T1045" i="1"/>
  <c r="S1045" i="1"/>
  <c r="R1045" i="1"/>
  <c r="Q1045" i="1"/>
  <c r="P1045" i="1"/>
  <c r="O1045" i="1"/>
  <c r="G1045" i="1"/>
  <c r="W1044" i="1"/>
  <c r="V1044" i="1"/>
  <c r="U1044" i="1"/>
  <c r="S1044" i="1"/>
  <c r="R1044" i="1"/>
  <c r="Q1044" i="1"/>
  <c r="G1044" i="1"/>
  <c r="O1044" i="1" s="1"/>
  <c r="P1044" i="1" s="1"/>
  <c r="W1043" i="1"/>
  <c r="V1043" i="1"/>
  <c r="T1043" i="1"/>
  <c r="S1043" i="1"/>
  <c r="R1043" i="1"/>
  <c r="Q1043" i="1"/>
  <c r="O1043" i="1"/>
  <c r="P1043" i="1" s="1"/>
  <c r="G1043" i="1"/>
  <c r="W1042" i="1"/>
  <c r="V1042" i="1"/>
  <c r="T1042" i="1"/>
  <c r="S1042" i="1"/>
  <c r="R1042" i="1"/>
  <c r="Q1042" i="1"/>
  <c r="O1042" i="1"/>
  <c r="P1042" i="1" s="1"/>
  <c r="G1042" i="1"/>
  <c r="M1041" i="1"/>
  <c r="L1041" i="1"/>
  <c r="K1041" i="1"/>
  <c r="J1041" i="1"/>
  <c r="N1041" i="1" s="1"/>
  <c r="I1041" i="1"/>
  <c r="H1041" i="1"/>
  <c r="E1040" i="1"/>
  <c r="F1040" i="1" s="1"/>
  <c r="D1040" i="1"/>
  <c r="E1039" i="1"/>
  <c r="F1039" i="1" s="1"/>
  <c r="F1038" i="1"/>
  <c r="E1038" i="1"/>
  <c r="D1038" i="1"/>
  <c r="V1037" i="1"/>
  <c r="T1037" i="1"/>
  <c r="S1037" i="1"/>
  <c r="F1037" i="1"/>
  <c r="D1037" i="1"/>
  <c r="W1037" i="1" s="1"/>
  <c r="W1036" i="1"/>
  <c r="V1036" i="1"/>
  <c r="U1036" i="1"/>
  <c r="T1036" i="1"/>
  <c r="S1036" i="1"/>
  <c r="Q1036" i="1"/>
  <c r="F1036" i="1"/>
  <c r="W1035" i="1"/>
  <c r="V1035" i="1"/>
  <c r="T1035" i="1"/>
  <c r="S1035" i="1"/>
  <c r="R1035" i="1"/>
  <c r="Q1035" i="1"/>
  <c r="O1035" i="1"/>
  <c r="P1035" i="1" s="1"/>
  <c r="G1035" i="1"/>
  <c r="W1034" i="1"/>
  <c r="V1034" i="1"/>
  <c r="T1034" i="1"/>
  <c r="S1034" i="1"/>
  <c r="R1034" i="1"/>
  <c r="Q1034" i="1"/>
  <c r="G1034" i="1"/>
  <c r="O1034" i="1" s="1"/>
  <c r="P1034" i="1" s="1"/>
  <c r="W1033" i="1"/>
  <c r="V1033" i="1"/>
  <c r="T1033" i="1"/>
  <c r="S1033" i="1"/>
  <c r="R1033" i="1"/>
  <c r="Q1033" i="1"/>
  <c r="G1033" i="1"/>
  <c r="O1033" i="1" s="1"/>
  <c r="P1033" i="1" s="1"/>
  <c r="W1032" i="1"/>
  <c r="V1032" i="1"/>
  <c r="U1032" i="1"/>
  <c r="S1032" i="1"/>
  <c r="R1032" i="1"/>
  <c r="Q1032" i="1"/>
  <c r="G1032" i="1"/>
  <c r="O1032" i="1" s="1"/>
  <c r="P1032" i="1" s="1"/>
  <c r="M1031" i="1"/>
  <c r="L1031" i="1"/>
  <c r="K1031" i="1"/>
  <c r="I1031" i="1"/>
  <c r="H1031" i="1"/>
  <c r="J1031" i="1" s="1"/>
  <c r="N1031" i="1" s="1"/>
  <c r="W1030" i="1"/>
  <c r="T1030" i="1"/>
  <c r="E1030" i="1"/>
  <c r="F1030" i="1" s="1"/>
  <c r="D1030" i="1"/>
  <c r="E1029" i="1"/>
  <c r="F1029" i="1" s="1"/>
  <c r="D1029" i="1"/>
  <c r="V1028" i="1"/>
  <c r="F1028" i="1"/>
  <c r="E1028" i="1"/>
  <c r="D1028" i="1"/>
  <c r="V1027" i="1"/>
  <c r="S1027" i="1"/>
  <c r="F1027" i="1"/>
  <c r="D1027" i="1"/>
  <c r="R1027" i="1" s="1"/>
  <c r="W1026" i="1"/>
  <c r="V1026" i="1"/>
  <c r="U1026" i="1"/>
  <c r="T1026" i="1"/>
  <c r="S1026" i="1"/>
  <c r="R1026" i="1"/>
  <c r="F1026" i="1"/>
  <c r="W1025" i="1"/>
  <c r="V1025" i="1"/>
  <c r="T1025" i="1"/>
  <c r="S1025" i="1"/>
  <c r="R1025" i="1"/>
  <c r="Q1025" i="1"/>
  <c r="O1025" i="1"/>
  <c r="P1025" i="1" s="1"/>
  <c r="G1025" i="1"/>
  <c r="W1024" i="1"/>
  <c r="V1024" i="1"/>
  <c r="T1024" i="1"/>
  <c r="S1024" i="1"/>
  <c r="R1024" i="1"/>
  <c r="Q1024" i="1"/>
  <c r="O1024" i="1"/>
  <c r="P1024" i="1" s="1"/>
  <c r="G1024" i="1"/>
  <c r="W1023" i="1"/>
  <c r="V1023" i="1"/>
  <c r="U1023" i="1"/>
  <c r="S1023" i="1"/>
  <c r="R1023" i="1"/>
  <c r="Q1023" i="1"/>
  <c r="G1023" i="1"/>
  <c r="O1023" i="1" s="1"/>
  <c r="P1023" i="1" s="1"/>
  <c r="M1022" i="1"/>
  <c r="L1022" i="1"/>
  <c r="K1022" i="1"/>
  <c r="I1022" i="1"/>
  <c r="H1022" i="1"/>
  <c r="J1022" i="1" s="1"/>
  <c r="N1022" i="1" s="1"/>
  <c r="U1021" i="1"/>
  <c r="S1021" i="1"/>
  <c r="F1021" i="1"/>
  <c r="E1021" i="1"/>
  <c r="D1021" i="1"/>
  <c r="R1021" i="1" s="1"/>
  <c r="E1020" i="1"/>
  <c r="F1020" i="1" s="1"/>
  <c r="W1019" i="1"/>
  <c r="V1019" i="1"/>
  <c r="U1019" i="1"/>
  <c r="S1019" i="1"/>
  <c r="E1019" i="1"/>
  <c r="F1019" i="1" s="1"/>
  <c r="D1019" i="1"/>
  <c r="T1019" i="1" s="1"/>
  <c r="F1018" i="1"/>
  <c r="D1018" i="1"/>
  <c r="W1017" i="1"/>
  <c r="V1017" i="1"/>
  <c r="U1017" i="1"/>
  <c r="T1017" i="1"/>
  <c r="S1017" i="1"/>
  <c r="R1017" i="1"/>
  <c r="F1017" i="1"/>
  <c r="W1016" i="1"/>
  <c r="V1016" i="1"/>
  <c r="T1016" i="1"/>
  <c r="S1016" i="1"/>
  <c r="R1016" i="1"/>
  <c r="Q1016" i="1"/>
  <c r="O1016" i="1"/>
  <c r="P1016" i="1" s="1"/>
  <c r="G1016" i="1"/>
  <c r="W1015" i="1"/>
  <c r="V1015" i="1"/>
  <c r="T1015" i="1"/>
  <c r="S1015" i="1"/>
  <c r="R1015" i="1"/>
  <c r="Q1015" i="1"/>
  <c r="O1015" i="1"/>
  <c r="P1015" i="1" s="1"/>
  <c r="G1015" i="1"/>
  <c r="W1014" i="1"/>
  <c r="V1014" i="1"/>
  <c r="U1014" i="1"/>
  <c r="S1014" i="1"/>
  <c r="R1014" i="1"/>
  <c r="Q1014" i="1"/>
  <c r="O1014" i="1"/>
  <c r="P1014" i="1" s="1"/>
  <c r="G1014" i="1"/>
  <c r="M1013" i="1"/>
  <c r="L1013" i="1"/>
  <c r="K1013" i="1"/>
  <c r="J1013" i="1"/>
  <c r="N1013" i="1" s="1"/>
  <c r="I1013" i="1"/>
  <c r="H1013" i="1"/>
  <c r="E1012" i="1"/>
  <c r="F1012" i="1" s="1"/>
  <c r="D1012" i="1"/>
  <c r="E1011" i="1"/>
  <c r="F1011" i="1" s="1"/>
  <c r="F1010" i="1"/>
  <c r="E1010" i="1"/>
  <c r="D1010" i="1"/>
  <c r="W1010" i="1" s="1"/>
  <c r="F1009" i="1"/>
  <c r="D1009" i="1"/>
  <c r="W1008" i="1"/>
  <c r="V1008" i="1"/>
  <c r="U1008" i="1"/>
  <c r="T1008" i="1"/>
  <c r="S1008" i="1"/>
  <c r="Q1008" i="1"/>
  <c r="F1008" i="1"/>
  <c r="W1007" i="1"/>
  <c r="V1007" i="1"/>
  <c r="T1007" i="1"/>
  <c r="S1007" i="1"/>
  <c r="R1007" i="1"/>
  <c r="Q1007" i="1"/>
  <c r="P1007" i="1"/>
  <c r="O1007" i="1"/>
  <c r="G1007" i="1"/>
  <c r="W1006" i="1"/>
  <c r="V1006" i="1"/>
  <c r="T1006" i="1"/>
  <c r="S1006" i="1"/>
  <c r="R1006" i="1"/>
  <c r="Q1006" i="1"/>
  <c r="G1006" i="1"/>
  <c r="O1006" i="1" s="1"/>
  <c r="P1006" i="1" s="1"/>
  <c r="W1005" i="1"/>
  <c r="V1005" i="1"/>
  <c r="T1005" i="1"/>
  <c r="S1005" i="1"/>
  <c r="R1005" i="1"/>
  <c r="Q1005" i="1"/>
  <c r="G1005" i="1"/>
  <c r="O1005" i="1" s="1"/>
  <c r="P1005" i="1" s="1"/>
  <c r="W1004" i="1"/>
  <c r="V1004" i="1"/>
  <c r="U1004" i="1"/>
  <c r="S1004" i="1"/>
  <c r="R1004" i="1"/>
  <c r="Q1004" i="1"/>
  <c r="G1004" i="1"/>
  <c r="O1004" i="1" s="1"/>
  <c r="P1004" i="1" s="1"/>
  <c r="M1003" i="1"/>
  <c r="L1003" i="1"/>
  <c r="K1003" i="1"/>
  <c r="I1003" i="1"/>
  <c r="H1003" i="1"/>
  <c r="J1003" i="1" s="1"/>
  <c r="N1003" i="1" s="1"/>
  <c r="W1002" i="1"/>
  <c r="V1002" i="1"/>
  <c r="U1002" i="1"/>
  <c r="T1002" i="1"/>
  <c r="S1002" i="1"/>
  <c r="Q1002" i="1"/>
  <c r="F1002" i="1"/>
  <c r="W1001" i="1"/>
  <c r="U1001" i="1"/>
  <c r="T1001" i="1"/>
  <c r="S1001" i="1"/>
  <c r="R1001" i="1"/>
  <c r="Q1001" i="1"/>
  <c r="G1001" i="1"/>
  <c r="O1001" i="1" s="1"/>
  <c r="P1001" i="1" s="1"/>
  <c r="W1000" i="1"/>
  <c r="U1000" i="1"/>
  <c r="T1000" i="1"/>
  <c r="S1000" i="1"/>
  <c r="R1000" i="1"/>
  <c r="Q1000" i="1"/>
  <c r="G1000" i="1"/>
  <c r="O1000" i="1" s="1"/>
  <c r="P1000" i="1" s="1"/>
  <c r="M999" i="1"/>
  <c r="L999" i="1"/>
  <c r="K999" i="1"/>
  <c r="I999" i="1"/>
  <c r="H999" i="1"/>
  <c r="J999" i="1" s="1"/>
  <c r="N999" i="1" s="1"/>
  <c r="E998" i="1"/>
  <c r="F998" i="1" s="1"/>
  <c r="E997" i="1"/>
  <c r="F997" i="1" s="1"/>
  <c r="D997" i="1"/>
  <c r="W996" i="1"/>
  <c r="F996" i="1"/>
  <c r="D996" i="1"/>
  <c r="W995" i="1"/>
  <c r="V995" i="1"/>
  <c r="U995" i="1"/>
  <c r="T995" i="1"/>
  <c r="S995" i="1"/>
  <c r="Q995" i="1"/>
  <c r="F995" i="1"/>
  <c r="W994" i="1"/>
  <c r="V994" i="1"/>
  <c r="U994" i="1"/>
  <c r="S994" i="1"/>
  <c r="R994" i="1"/>
  <c r="Q994" i="1"/>
  <c r="P994" i="1"/>
  <c r="O994" i="1"/>
  <c r="G994" i="1"/>
  <c r="W993" i="1"/>
  <c r="U993" i="1"/>
  <c r="T993" i="1"/>
  <c r="S993" i="1"/>
  <c r="R993" i="1"/>
  <c r="Q993" i="1"/>
  <c r="G993" i="1"/>
  <c r="O993" i="1" s="1"/>
  <c r="P993" i="1" s="1"/>
  <c r="W992" i="1"/>
  <c r="U992" i="1"/>
  <c r="T992" i="1"/>
  <c r="S992" i="1"/>
  <c r="R992" i="1"/>
  <c r="Q992" i="1"/>
  <c r="G992" i="1"/>
  <c r="O992" i="1" s="1"/>
  <c r="P992" i="1" s="1"/>
  <c r="N991" i="1"/>
  <c r="M991" i="1"/>
  <c r="L991" i="1"/>
  <c r="K991" i="1"/>
  <c r="I991" i="1"/>
  <c r="H991" i="1"/>
  <c r="J991" i="1" s="1"/>
  <c r="E990" i="1"/>
  <c r="F990" i="1" s="1"/>
  <c r="D990" i="1"/>
  <c r="W989" i="1"/>
  <c r="V989" i="1"/>
  <c r="T989" i="1"/>
  <c r="F989" i="1"/>
  <c r="E989" i="1"/>
  <c r="D989" i="1"/>
  <c r="V988" i="1"/>
  <c r="T988" i="1"/>
  <c r="S988" i="1"/>
  <c r="Q988" i="1"/>
  <c r="F988" i="1"/>
  <c r="D988" i="1"/>
  <c r="W988" i="1" s="1"/>
  <c r="W987" i="1"/>
  <c r="V987" i="1"/>
  <c r="U987" i="1"/>
  <c r="T987" i="1"/>
  <c r="S987" i="1"/>
  <c r="Q987" i="1"/>
  <c r="F987" i="1"/>
  <c r="W986" i="1"/>
  <c r="V986" i="1"/>
  <c r="T986" i="1"/>
  <c r="S986" i="1"/>
  <c r="R986" i="1"/>
  <c r="Q986" i="1"/>
  <c r="G986" i="1"/>
  <c r="O986" i="1" s="1"/>
  <c r="P986" i="1" s="1"/>
  <c r="W985" i="1"/>
  <c r="V985" i="1"/>
  <c r="T985" i="1"/>
  <c r="S985" i="1"/>
  <c r="R985" i="1"/>
  <c r="Q985" i="1"/>
  <c r="G985" i="1"/>
  <c r="O985" i="1" s="1"/>
  <c r="P985" i="1" s="1"/>
  <c r="M984" i="1"/>
  <c r="L984" i="1"/>
  <c r="K984" i="1"/>
  <c r="I984" i="1"/>
  <c r="H984" i="1"/>
  <c r="J984" i="1" s="1"/>
  <c r="N984" i="1" s="1"/>
  <c r="W983" i="1"/>
  <c r="V983" i="1"/>
  <c r="R983" i="1"/>
  <c r="Q983" i="1"/>
  <c r="F983" i="1"/>
  <c r="E983" i="1"/>
  <c r="D983" i="1"/>
  <c r="U983" i="1" s="1"/>
  <c r="W982" i="1"/>
  <c r="V982" i="1"/>
  <c r="U982" i="1"/>
  <c r="T982" i="1"/>
  <c r="R982" i="1"/>
  <c r="Q982" i="1"/>
  <c r="F982" i="1"/>
  <c r="W981" i="1"/>
  <c r="U981" i="1"/>
  <c r="T981" i="1"/>
  <c r="S981" i="1"/>
  <c r="R981" i="1"/>
  <c r="Q981" i="1"/>
  <c r="G981" i="1"/>
  <c r="O981" i="1" s="1"/>
  <c r="P981" i="1" s="1"/>
  <c r="W980" i="1"/>
  <c r="U980" i="1"/>
  <c r="T980" i="1"/>
  <c r="S980" i="1"/>
  <c r="R980" i="1"/>
  <c r="Q980" i="1"/>
  <c r="G980" i="1"/>
  <c r="O980" i="1" s="1"/>
  <c r="P980" i="1" s="1"/>
  <c r="N979" i="1"/>
  <c r="L979" i="1"/>
  <c r="K979" i="1"/>
  <c r="I979" i="1"/>
  <c r="H979" i="1"/>
  <c r="J979" i="1" s="1"/>
  <c r="M979" i="1" s="1"/>
  <c r="F978" i="1"/>
  <c r="E978" i="1"/>
  <c r="D978" i="1"/>
  <c r="W977" i="1"/>
  <c r="V977" i="1"/>
  <c r="U977" i="1"/>
  <c r="T977" i="1"/>
  <c r="S977" i="1"/>
  <c r="R977" i="1"/>
  <c r="F977" i="1"/>
  <c r="W976" i="1"/>
  <c r="V976" i="1"/>
  <c r="T976" i="1"/>
  <c r="S976" i="1"/>
  <c r="R976" i="1"/>
  <c r="Q976" i="1"/>
  <c r="O976" i="1"/>
  <c r="P976" i="1" s="1"/>
  <c r="G976" i="1"/>
  <c r="W975" i="1"/>
  <c r="U975" i="1"/>
  <c r="T975" i="1"/>
  <c r="S975" i="1"/>
  <c r="R975" i="1"/>
  <c r="Q975" i="1"/>
  <c r="O975" i="1"/>
  <c r="P975" i="1" s="1"/>
  <c r="G975" i="1"/>
  <c r="M974" i="1"/>
  <c r="L974" i="1"/>
  <c r="K974" i="1"/>
  <c r="I974" i="1"/>
  <c r="H974" i="1"/>
  <c r="J974" i="1" s="1"/>
  <c r="N974" i="1" s="1"/>
  <c r="U973" i="1"/>
  <c r="T973" i="1"/>
  <c r="E973" i="1"/>
  <c r="F973" i="1" s="1"/>
  <c r="D973" i="1"/>
  <c r="W972" i="1"/>
  <c r="V972" i="1"/>
  <c r="U972" i="1"/>
  <c r="T972" i="1"/>
  <c r="S972" i="1"/>
  <c r="Q972" i="1"/>
  <c r="F972" i="1"/>
  <c r="W971" i="1"/>
  <c r="U971" i="1"/>
  <c r="T971" i="1"/>
  <c r="S971" i="1"/>
  <c r="R971" i="1"/>
  <c r="Q971" i="1"/>
  <c r="G971" i="1"/>
  <c r="O971" i="1" s="1"/>
  <c r="P971" i="1" s="1"/>
  <c r="W970" i="1"/>
  <c r="U970" i="1"/>
  <c r="T970" i="1"/>
  <c r="S970" i="1"/>
  <c r="R970" i="1"/>
  <c r="Q970" i="1"/>
  <c r="G970" i="1"/>
  <c r="O970" i="1" s="1"/>
  <c r="P970" i="1" s="1"/>
  <c r="M969" i="1"/>
  <c r="L969" i="1"/>
  <c r="K969" i="1"/>
  <c r="I969" i="1"/>
  <c r="H969" i="1"/>
  <c r="J969" i="1" s="1"/>
  <c r="N969" i="1" s="1"/>
  <c r="U968" i="1"/>
  <c r="S968" i="1"/>
  <c r="E968" i="1"/>
  <c r="F968" i="1" s="1"/>
  <c r="D968" i="1"/>
  <c r="W968" i="1" s="1"/>
  <c r="W967" i="1"/>
  <c r="V967" i="1"/>
  <c r="U967" i="1"/>
  <c r="T967" i="1"/>
  <c r="S967" i="1"/>
  <c r="Q967" i="1"/>
  <c r="F967" i="1"/>
  <c r="W966" i="1"/>
  <c r="V966" i="1"/>
  <c r="T966" i="1"/>
  <c r="S966" i="1"/>
  <c r="R966" i="1"/>
  <c r="Q966" i="1"/>
  <c r="G966" i="1"/>
  <c r="O966" i="1" s="1"/>
  <c r="P966" i="1" s="1"/>
  <c r="W965" i="1"/>
  <c r="U965" i="1"/>
  <c r="T965" i="1"/>
  <c r="S965" i="1"/>
  <c r="R965" i="1"/>
  <c r="Q965" i="1"/>
  <c r="G965" i="1"/>
  <c r="O965" i="1" s="1"/>
  <c r="P965" i="1" s="1"/>
  <c r="M964" i="1"/>
  <c r="L964" i="1"/>
  <c r="K964" i="1"/>
  <c r="I964" i="1"/>
  <c r="H964" i="1"/>
  <c r="J964" i="1" s="1"/>
  <c r="N964" i="1" s="1"/>
  <c r="W963" i="1"/>
  <c r="V963" i="1"/>
  <c r="U963" i="1"/>
  <c r="T963" i="1"/>
  <c r="S963" i="1"/>
  <c r="R963" i="1"/>
  <c r="F963" i="1"/>
  <c r="W962" i="1"/>
  <c r="U962" i="1"/>
  <c r="T962" i="1"/>
  <c r="S962" i="1"/>
  <c r="R962" i="1"/>
  <c r="Q962" i="1"/>
  <c r="G962" i="1"/>
  <c r="O962" i="1" s="1"/>
  <c r="P962" i="1" s="1"/>
  <c r="W961" i="1"/>
  <c r="U961" i="1"/>
  <c r="T961" i="1"/>
  <c r="S961" i="1"/>
  <c r="R961" i="1"/>
  <c r="Q961" i="1"/>
  <c r="O961" i="1"/>
  <c r="P961" i="1" s="1"/>
  <c r="G961" i="1"/>
  <c r="N960" i="1"/>
  <c r="M960" i="1"/>
  <c r="L960" i="1"/>
  <c r="K960" i="1"/>
  <c r="I960" i="1"/>
  <c r="H960" i="1"/>
  <c r="J960" i="1" s="1"/>
  <c r="W959" i="1"/>
  <c r="V959" i="1"/>
  <c r="U959" i="1"/>
  <c r="T959" i="1"/>
  <c r="S959" i="1"/>
  <c r="R959" i="1"/>
  <c r="F959" i="1"/>
  <c r="W958" i="1"/>
  <c r="V958" i="1"/>
  <c r="U958" i="1"/>
  <c r="S958" i="1"/>
  <c r="R958" i="1"/>
  <c r="Q958" i="1"/>
  <c r="O958" i="1"/>
  <c r="P958" i="1" s="1"/>
  <c r="G958" i="1"/>
  <c r="W957" i="1"/>
  <c r="V957" i="1"/>
  <c r="U957" i="1"/>
  <c r="S957" i="1"/>
  <c r="R957" i="1"/>
  <c r="Q957" i="1"/>
  <c r="G957" i="1"/>
  <c r="O957" i="1" s="1"/>
  <c r="P957" i="1" s="1"/>
  <c r="M956" i="1"/>
  <c r="L956" i="1"/>
  <c r="K956" i="1"/>
  <c r="I956" i="1"/>
  <c r="H956" i="1"/>
  <c r="J956" i="1" s="1"/>
  <c r="N956" i="1" s="1"/>
  <c r="U955" i="1"/>
  <c r="R955" i="1"/>
  <c r="Q955" i="1"/>
  <c r="E955" i="1"/>
  <c r="F955" i="1" s="1"/>
  <c r="D955" i="1"/>
  <c r="W955" i="1" s="1"/>
  <c r="W954" i="1"/>
  <c r="V954" i="1"/>
  <c r="U954" i="1"/>
  <c r="T954" i="1"/>
  <c r="R954" i="1"/>
  <c r="Q954" i="1"/>
  <c r="F954" i="1"/>
  <c r="W953" i="1"/>
  <c r="V953" i="1"/>
  <c r="T953" i="1"/>
  <c r="S953" i="1"/>
  <c r="R953" i="1"/>
  <c r="Q953" i="1"/>
  <c r="P953" i="1"/>
  <c r="G953" i="1"/>
  <c r="O953" i="1" s="1"/>
  <c r="W952" i="1"/>
  <c r="V952" i="1"/>
  <c r="T952" i="1"/>
  <c r="S952" i="1"/>
  <c r="R952" i="1"/>
  <c r="Q952" i="1"/>
  <c r="G952" i="1"/>
  <c r="O952" i="1" s="1"/>
  <c r="P952" i="1" s="1"/>
  <c r="W951" i="1"/>
  <c r="U951" i="1"/>
  <c r="T951" i="1"/>
  <c r="S951" i="1"/>
  <c r="R951" i="1"/>
  <c r="Q951" i="1"/>
  <c r="G951" i="1"/>
  <c r="O951" i="1" s="1"/>
  <c r="P951" i="1" s="1"/>
  <c r="W950" i="1"/>
  <c r="V950" i="1"/>
  <c r="T950" i="1"/>
  <c r="S950" i="1"/>
  <c r="R950" i="1"/>
  <c r="Q950" i="1"/>
  <c r="G950" i="1"/>
  <c r="O950" i="1" s="1"/>
  <c r="P950" i="1" s="1"/>
  <c r="N949" i="1"/>
  <c r="M949" i="1"/>
  <c r="L949" i="1"/>
  <c r="K949" i="1"/>
  <c r="I949" i="1"/>
  <c r="H949" i="1"/>
  <c r="J949" i="1" s="1"/>
  <c r="U948" i="1"/>
  <c r="E948" i="1"/>
  <c r="F948" i="1" s="1"/>
  <c r="D948" i="1"/>
  <c r="W948" i="1" s="1"/>
  <c r="F947" i="1"/>
  <c r="E947" i="1"/>
  <c r="W946" i="1"/>
  <c r="V946" i="1"/>
  <c r="S946" i="1"/>
  <c r="Q946" i="1"/>
  <c r="E946" i="1"/>
  <c r="F946" i="1" s="1"/>
  <c r="D946" i="1"/>
  <c r="U946" i="1" s="1"/>
  <c r="F945" i="1"/>
  <c r="D945" i="1"/>
  <c r="W944" i="1"/>
  <c r="V944" i="1"/>
  <c r="U944" i="1"/>
  <c r="T944" i="1"/>
  <c r="S944" i="1"/>
  <c r="Q944" i="1"/>
  <c r="F944" i="1"/>
  <c r="W943" i="1"/>
  <c r="V943" i="1"/>
  <c r="T943" i="1"/>
  <c r="S943" i="1"/>
  <c r="R943" i="1"/>
  <c r="Q943" i="1"/>
  <c r="G943" i="1"/>
  <c r="O943" i="1" s="1"/>
  <c r="P943" i="1" s="1"/>
  <c r="W942" i="1"/>
  <c r="V942" i="1"/>
  <c r="T942" i="1"/>
  <c r="S942" i="1"/>
  <c r="R942" i="1"/>
  <c r="Q942" i="1"/>
  <c r="G942" i="1"/>
  <c r="O942" i="1" s="1"/>
  <c r="P942" i="1" s="1"/>
  <c r="W941" i="1"/>
  <c r="V941" i="1"/>
  <c r="T941" i="1"/>
  <c r="S941" i="1"/>
  <c r="R941" i="1"/>
  <c r="Q941" i="1"/>
  <c r="G941" i="1"/>
  <c r="O941" i="1" s="1"/>
  <c r="P941" i="1" s="1"/>
  <c r="M940" i="1"/>
  <c r="L940" i="1"/>
  <c r="K940" i="1"/>
  <c r="I940" i="1"/>
  <c r="H940" i="1"/>
  <c r="J940" i="1" s="1"/>
  <c r="N940" i="1" s="1"/>
  <c r="E939" i="1"/>
  <c r="F939" i="1" s="1"/>
  <c r="D939" i="1"/>
  <c r="V939" i="1" s="1"/>
  <c r="W938" i="1"/>
  <c r="V938" i="1"/>
  <c r="U938" i="1"/>
  <c r="T938" i="1"/>
  <c r="R938" i="1"/>
  <c r="Q938" i="1"/>
  <c r="F938" i="1"/>
  <c r="W937" i="1"/>
  <c r="U937" i="1"/>
  <c r="T937" i="1"/>
  <c r="S937" i="1"/>
  <c r="R937" i="1"/>
  <c r="Q937" i="1"/>
  <c r="G937" i="1"/>
  <c r="O937" i="1" s="1"/>
  <c r="P937" i="1" s="1"/>
  <c r="W936" i="1"/>
  <c r="U936" i="1"/>
  <c r="T936" i="1"/>
  <c r="S936" i="1"/>
  <c r="R936" i="1"/>
  <c r="Q936" i="1"/>
  <c r="P936" i="1"/>
  <c r="G936" i="1"/>
  <c r="O936" i="1" s="1"/>
  <c r="M935" i="1"/>
  <c r="L935" i="1"/>
  <c r="K935" i="1"/>
  <c r="I935" i="1"/>
  <c r="H935" i="1"/>
  <c r="J935" i="1" s="1"/>
  <c r="N935" i="1" s="1"/>
  <c r="W934" i="1"/>
  <c r="V934" i="1"/>
  <c r="U934" i="1"/>
  <c r="T934" i="1"/>
  <c r="S934" i="1"/>
  <c r="R934" i="1"/>
  <c r="F934" i="1"/>
  <c r="W933" i="1"/>
  <c r="V933" i="1"/>
  <c r="U933" i="1"/>
  <c r="S933" i="1"/>
  <c r="R933" i="1"/>
  <c r="Q933" i="1"/>
  <c r="G933" i="1"/>
  <c r="O933" i="1" s="1"/>
  <c r="P933" i="1" s="1"/>
  <c r="W932" i="1"/>
  <c r="V932" i="1"/>
  <c r="U932" i="1"/>
  <c r="S932" i="1"/>
  <c r="R932" i="1"/>
  <c r="Q932" i="1"/>
  <c r="O932" i="1"/>
  <c r="P932" i="1" s="1"/>
  <c r="G932" i="1"/>
  <c r="M931" i="1"/>
  <c r="L931" i="1"/>
  <c r="K931" i="1"/>
  <c r="I931" i="1"/>
  <c r="H931" i="1"/>
  <c r="J931" i="1" s="1"/>
  <c r="N931" i="1" s="1"/>
  <c r="W930" i="1"/>
  <c r="V930" i="1"/>
  <c r="U930" i="1"/>
  <c r="T930" i="1"/>
  <c r="S930" i="1"/>
  <c r="R930" i="1"/>
  <c r="F930" i="1"/>
  <c r="W929" i="1"/>
  <c r="V929" i="1"/>
  <c r="U929" i="1"/>
  <c r="S929" i="1"/>
  <c r="R929" i="1"/>
  <c r="Q929" i="1"/>
  <c r="G929" i="1"/>
  <c r="O929" i="1" s="1"/>
  <c r="P929" i="1" s="1"/>
  <c r="W928" i="1"/>
  <c r="V928" i="1"/>
  <c r="U928" i="1"/>
  <c r="S928" i="1"/>
  <c r="R928" i="1"/>
  <c r="Q928" i="1"/>
  <c r="G928" i="1"/>
  <c r="O928" i="1" s="1"/>
  <c r="P928" i="1" s="1"/>
  <c r="M927" i="1"/>
  <c r="L927" i="1"/>
  <c r="K927" i="1"/>
  <c r="J927" i="1"/>
  <c r="N927" i="1" s="1"/>
  <c r="I927" i="1"/>
  <c r="H927" i="1"/>
  <c r="E926" i="1"/>
  <c r="F926" i="1" s="1"/>
  <c r="D926" i="1"/>
  <c r="W925" i="1"/>
  <c r="V925" i="1"/>
  <c r="U925" i="1"/>
  <c r="T925" i="1"/>
  <c r="S925" i="1"/>
  <c r="Q925" i="1"/>
  <c r="F925" i="1"/>
  <c r="W924" i="1"/>
  <c r="V924" i="1"/>
  <c r="U924" i="1"/>
  <c r="S924" i="1"/>
  <c r="R924" i="1"/>
  <c r="Q924" i="1"/>
  <c r="G924" i="1"/>
  <c r="O924" i="1" s="1"/>
  <c r="P924" i="1" s="1"/>
  <c r="W923" i="1"/>
  <c r="V923" i="1"/>
  <c r="U923" i="1"/>
  <c r="S923" i="1"/>
  <c r="R923" i="1"/>
  <c r="Q923" i="1"/>
  <c r="G923" i="1"/>
  <c r="O923" i="1" s="1"/>
  <c r="P923" i="1" s="1"/>
  <c r="M922" i="1"/>
  <c r="L922" i="1"/>
  <c r="K922" i="1"/>
  <c r="J922" i="1"/>
  <c r="N922" i="1" s="1"/>
  <c r="I922" i="1"/>
  <c r="H922" i="1"/>
  <c r="E921" i="1"/>
  <c r="D921" i="1"/>
  <c r="F920" i="1"/>
  <c r="E920" i="1"/>
  <c r="D920" i="1"/>
  <c r="W919" i="1"/>
  <c r="V919" i="1"/>
  <c r="U919" i="1"/>
  <c r="T919" i="1"/>
  <c r="S919" i="1"/>
  <c r="Q919" i="1"/>
  <c r="F919" i="1"/>
  <c r="W918" i="1"/>
  <c r="U918" i="1"/>
  <c r="T918" i="1"/>
  <c r="S918" i="1"/>
  <c r="R918" i="1"/>
  <c r="Q918" i="1"/>
  <c r="O918" i="1"/>
  <c r="F921" i="1" s="1"/>
  <c r="G918" i="1"/>
  <c r="W917" i="1"/>
  <c r="V917" i="1"/>
  <c r="T917" i="1"/>
  <c r="S917" i="1"/>
  <c r="R917" i="1"/>
  <c r="Q917" i="1"/>
  <c r="G917" i="1"/>
  <c r="O917" i="1" s="1"/>
  <c r="P917" i="1" s="1"/>
  <c r="W916" i="1"/>
  <c r="V916" i="1"/>
  <c r="T916" i="1"/>
  <c r="S916" i="1"/>
  <c r="R916" i="1"/>
  <c r="Q916" i="1"/>
  <c r="G916" i="1"/>
  <c r="O916" i="1" s="1"/>
  <c r="P916" i="1" s="1"/>
  <c r="W915" i="1"/>
  <c r="U915" i="1"/>
  <c r="T915" i="1"/>
  <c r="S915" i="1"/>
  <c r="R915" i="1"/>
  <c r="Q915" i="1"/>
  <c r="G915" i="1"/>
  <c r="O915" i="1" s="1"/>
  <c r="P915" i="1" s="1"/>
  <c r="W914" i="1"/>
  <c r="V914" i="1"/>
  <c r="U914" i="1"/>
  <c r="S914" i="1"/>
  <c r="R914" i="1"/>
  <c r="Q914" i="1"/>
  <c r="G914" i="1"/>
  <c r="O914" i="1" s="1"/>
  <c r="P914" i="1" s="1"/>
  <c r="M913" i="1"/>
  <c r="L913" i="1"/>
  <c r="K913" i="1"/>
  <c r="I913" i="1"/>
  <c r="H913" i="1"/>
  <c r="J913" i="1" s="1"/>
  <c r="N913" i="1" s="1"/>
  <c r="E912" i="1"/>
  <c r="F912" i="1" s="1"/>
  <c r="U911" i="1"/>
  <c r="T911" i="1"/>
  <c r="E911" i="1"/>
  <c r="F911" i="1" s="1"/>
  <c r="D911" i="1"/>
  <c r="Q910" i="1"/>
  <c r="F910" i="1"/>
  <c r="D910" i="1"/>
  <c r="D912" i="1" s="1"/>
  <c r="W912" i="1" s="1"/>
  <c r="W909" i="1"/>
  <c r="V909" i="1"/>
  <c r="U909" i="1"/>
  <c r="T909" i="1"/>
  <c r="S909" i="1"/>
  <c r="Q909" i="1"/>
  <c r="F909" i="1"/>
  <c r="W908" i="1"/>
  <c r="V908" i="1"/>
  <c r="T908" i="1"/>
  <c r="S908" i="1"/>
  <c r="R908" i="1"/>
  <c r="Q908" i="1"/>
  <c r="G908" i="1"/>
  <c r="O908" i="1" s="1"/>
  <c r="P908" i="1" s="1"/>
  <c r="W907" i="1"/>
  <c r="V907" i="1"/>
  <c r="T907" i="1"/>
  <c r="S907" i="1"/>
  <c r="R907" i="1"/>
  <c r="Q907" i="1"/>
  <c r="G907" i="1"/>
  <c r="O907" i="1" s="1"/>
  <c r="P907" i="1" s="1"/>
  <c r="N906" i="1"/>
  <c r="M906" i="1"/>
  <c r="L906" i="1"/>
  <c r="K906" i="1"/>
  <c r="I906" i="1"/>
  <c r="H906" i="1"/>
  <c r="J906" i="1" s="1"/>
  <c r="E905" i="1"/>
  <c r="F905" i="1" s="1"/>
  <c r="D905" i="1"/>
  <c r="W905" i="1" s="1"/>
  <c r="F904" i="1"/>
  <c r="E904" i="1"/>
  <c r="W903" i="1"/>
  <c r="V903" i="1"/>
  <c r="S903" i="1"/>
  <c r="Q903" i="1"/>
  <c r="E903" i="1"/>
  <c r="F903" i="1" s="1"/>
  <c r="D903" i="1"/>
  <c r="U903" i="1" s="1"/>
  <c r="F902" i="1"/>
  <c r="D902" i="1"/>
  <c r="W901" i="1"/>
  <c r="V901" i="1"/>
  <c r="U901" i="1"/>
  <c r="T901" i="1"/>
  <c r="S901" i="1"/>
  <c r="Q901" i="1"/>
  <c r="F901" i="1"/>
  <c r="W900" i="1"/>
  <c r="V900" i="1"/>
  <c r="U900" i="1"/>
  <c r="S900" i="1"/>
  <c r="R900" i="1"/>
  <c r="Q900" i="1"/>
  <c r="G900" i="1"/>
  <c r="O900" i="1" s="1"/>
  <c r="P900" i="1" s="1"/>
  <c r="W899" i="1"/>
  <c r="V899" i="1"/>
  <c r="U899" i="1"/>
  <c r="S899" i="1"/>
  <c r="R899" i="1"/>
  <c r="Q899" i="1"/>
  <c r="G899" i="1"/>
  <c r="O899" i="1" s="1"/>
  <c r="P899" i="1" s="1"/>
  <c r="W898" i="1"/>
  <c r="V898" i="1"/>
  <c r="T898" i="1"/>
  <c r="S898" i="1"/>
  <c r="R898" i="1"/>
  <c r="Q898" i="1"/>
  <c r="G898" i="1"/>
  <c r="O898" i="1" s="1"/>
  <c r="P898" i="1" s="1"/>
  <c r="W897" i="1"/>
  <c r="V897" i="1"/>
  <c r="T897" i="1"/>
  <c r="S897" i="1"/>
  <c r="R897" i="1"/>
  <c r="Q897" i="1"/>
  <c r="G897" i="1"/>
  <c r="O897" i="1" s="1"/>
  <c r="P897" i="1" s="1"/>
  <c r="N896" i="1"/>
  <c r="M896" i="1"/>
  <c r="L896" i="1"/>
  <c r="K896" i="1"/>
  <c r="I896" i="1"/>
  <c r="H896" i="1"/>
  <c r="J896" i="1" s="1"/>
  <c r="W895" i="1"/>
  <c r="V895" i="1"/>
  <c r="R895" i="1"/>
  <c r="Q895" i="1"/>
  <c r="E895" i="1"/>
  <c r="F895" i="1" s="1"/>
  <c r="D895" i="1"/>
  <c r="U895" i="1" s="1"/>
  <c r="W894" i="1"/>
  <c r="V894" i="1"/>
  <c r="U894" i="1"/>
  <c r="T894" i="1"/>
  <c r="R894" i="1"/>
  <c r="Q894" i="1"/>
  <c r="F894" i="1"/>
  <c r="W893" i="1"/>
  <c r="V893" i="1"/>
  <c r="U893" i="1"/>
  <c r="S893" i="1"/>
  <c r="R893" i="1"/>
  <c r="Q893" i="1"/>
  <c r="G893" i="1"/>
  <c r="O893" i="1" s="1"/>
  <c r="P893" i="1" s="1"/>
  <c r="W892" i="1"/>
  <c r="V892" i="1"/>
  <c r="T892" i="1"/>
  <c r="S892" i="1"/>
  <c r="R892" i="1"/>
  <c r="Q892" i="1"/>
  <c r="G892" i="1"/>
  <c r="O892" i="1" s="1"/>
  <c r="P892" i="1" s="1"/>
  <c r="N891" i="1"/>
  <c r="M891" i="1"/>
  <c r="L891" i="1"/>
  <c r="K891" i="1"/>
  <c r="I891" i="1"/>
  <c r="H891" i="1"/>
  <c r="J891" i="1" s="1"/>
  <c r="W890" i="1"/>
  <c r="V890" i="1"/>
  <c r="U890" i="1"/>
  <c r="T890" i="1"/>
  <c r="F890" i="1"/>
  <c r="E890" i="1"/>
  <c r="D890" i="1"/>
  <c r="W889" i="1"/>
  <c r="V889" i="1"/>
  <c r="U889" i="1"/>
  <c r="T889" i="1"/>
  <c r="S889" i="1"/>
  <c r="Q889" i="1"/>
  <c r="F889" i="1"/>
  <c r="W888" i="1"/>
  <c r="V888" i="1"/>
  <c r="U888" i="1"/>
  <c r="S888" i="1"/>
  <c r="R888" i="1"/>
  <c r="Q888" i="1"/>
  <c r="G888" i="1"/>
  <c r="O888" i="1" s="1"/>
  <c r="P888" i="1" s="1"/>
  <c r="W887" i="1"/>
  <c r="V887" i="1"/>
  <c r="U887" i="1"/>
  <c r="S887" i="1"/>
  <c r="R887" i="1"/>
  <c r="Q887" i="1"/>
  <c r="O887" i="1"/>
  <c r="P887" i="1" s="1"/>
  <c r="G887" i="1"/>
  <c r="W886" i="1"/>
  <c r="V886" i="1"/>
  <c r="U886" i="1"/>
  <c r="S886" i="1"/>
  <c r="R886" i="1"/>
  <c r="Q886" i="1"/>
  <c r="O886" i="1"/>
  <c r="P886" i="1" s="1"/>
  <c r="G886" i="1"/>
  <c r="W885" i="1"/>
  <c r="V885" i="1"/>
  <c r="T885" i="1"/>
  <c r="S885" i="1"/>
  <c r="R885" i="1"/>
  <c r="Q885" i="1"/>
  <c r="P885" i="1"/>
  <c r="O885" i="1"/>
  <c r="G885" i="1"/>
  <c r="W884" i="1"/>
  <c r="V884" i="1"/>
  <c r="T884" i="1"/>
  <c r="S884" i="1"/>
  <c r="R884" i="1"/>
  <c r="Q884" i="1"/>
  <c r="G884" i="1"/>
  <c r="O884" i="1" s="1"/>
  <c r="P884" i="1" s="1"/>
  <c r="M883" i="1"/>
  <c r="L883" i="1"/>
  <c r="K883" i="1"/>
  <c r="J883" i="1"/>
  <c r="N883" i="1" s="1"/>
  <c r="I883" i="1"/>
  <c r="H883" i="1"/>
  <c r="U882" i="1"/>
  <c r="E882" i="1"/>
  <c r="F882" i="1" s="1"/>
  <c r="D882" i="1"/>
  <c r="T882" i="1" s="1"/>
  <c r="U881" i="1"/>
  <c r="R881" i="1"/>
  <c r="Q881" i="1"/>
  <c r="E881" i="1"/>
  <c r="F881" i="1" s="1"/>
  <c r="D881" i="1"/>
  <c r="W881" i="1" s="1"/>
  <c r="W880" i="1"/>
  <c r="V880" i="1"/>
  <c r="U880" i="1"/>
  <c r="T880" i="1"/>
  <c r="R880" i="1"/>
  <c r="Q880" i="1"/>
  <c r="F880" i="1"/>
  <c r="W879" i="1"/>
  <c r="V879" i="1"/>
  <c r="T879" i="1"/>
  <c r="S879" i="1"/>
  <c r="R879" i="1"/>
  <c r="Q879" i="1"/>
  <c r="G879" i="1"/>
  <c r="O879" i="1" s="1"/>
  <c r="P879" i="1" s="1"/>
  <c r="W878" i="1"/>
  <c r="V878" i="1"/>
  <c r="T878" i="1"/>
  <c r="S878" i="1"/>
  <c r="R878" i="1"/>
  <c r="Q878" i="1"/>
  <c r="P878" i="1"/>
  <c r="G878" i="1"/>
  <c r="O878" i="1" s="1"/>
  <c r="W877" i="1"/>
  <c r="V877" i="1"/>
  <c r="T877" i="1"/>
  <c r="S877" i="1"/>
  <c r="R877" i="1"/>
  <c r="Q877" i="1"/>
  <c r="G877" i="1"/>
  <c r="O877" i="1" s="1"/>
  <c r="P877" i="1" s="1"/>
  <c r="W876" i="1"/>
  <c r="V876" i="1"/>
  <c r="T876" i="1"/>
  <c r="S876" i="1"/>
  <c r="R876" i="1"/>
  <c r="Q876" i="1"/>
  <c r="G876" i="1"/>
  <c r="O876" i="1" s="1"/>
  <c r="P876" i="1" s="1"/>
  <c r="N875" i="1"/>
  <c r="M875" i="1"/>
  <c r="L875" i="1"/>
  <c r="K875" i="1"/>
  <c r="I875" i="1"/>
  <c r="H875" i="1"/>
  <c r="J875" i="1" s="1"/>
  <c r="U874" i="1"/>
  <c r="T874" i="1"/>
  <c r="Q874" i="1"/>
  <c r="E874" i="1"/>
  <c r="F874" i="1" s="1"/>
  <c r="D874" i="1"/>
  <c r="E873" i="1"/>
  <c r="F873" i="1" s="1"/>
  <c r="W872" i="1"/>
  <c r="V872" i="1"/>
  <c r="S872" i="1"/>
  <c r="Q872" i="1"/>
  <c r="F872" i="1"/>
  <c r="E872" i="1"/>
  <c r="D872" i="1"/>
  <c r="U872" i="1" s="1"/>
  <c r="T871" i="1"/>
  <c r="F871" i="1"/>
  <c r="D871" i="1"/>
  <c r="V871" i="1" s="1"/>
  <c r="W870" i="1"/>
  <c r="V870" i="1"/>
  <c r="U870" i="1"/>
  <c r="T870" i="1"/>
  <c r="S870" i="1"/>
  <c r="Q870" i="1"/>
  <c r="F870" i="1"/>
  <c r="W869" i="1"/>
  <c r="V869" i="1"/>
  <c r="U869" i="1"/>
  <c r="S869" i="1"/>
  <c r="R869" i="1"/>
  <c r="Q869" i="1"/>
  <c r="O869" i="1"/>
  <c r="P869" i="1" s="1"/>
  <c r="G869" i="1"/>
  <c r="W868" i="1"/>
  <c r="V868" i="1"/>
  <c r="U868" i="1"/>
  <c r="S868" i="1"/>
  <c r="R868" i="1"/>
  <c r="Q868" i="1"/>
  <c r="P868" i="1"/>
  <c r="O868" i="1"/>
  <c r="G868" i="1"/>
  <c r="W867" i="1"/>
  <c r="V867" i="1"/>
  <c r="T867" i="1"/>
  <c r="S867" i="1"/>
  <c r="R867" i="1"/>
  <c r="Q867" i="1"/>
  <c r="G867" i="1"/>
  <c r="O867" i="1" s="1"/>
  <c r="P867" i="1" s="1"/>
  <c r="W866" i="1"/>
  <c r="V866" i="1"/>
  <c r="T866" i="1"/>
  <c r="S866" i="1"/>
  <c r="R866" i="1"/>
  <c r="Q866" i="1"/>
  <c r="G866" i="1"/>
  <c r="O866" i="1" s="1"/>
  <c r="P866" i="1" s="1"/>
  <c r="M865" i="1"/>
  <c r="L865" i="1"/>
  <c r="K865" i="1"/>
  <c r="I865" i="1"/>
  <c r="H865" i="1"/>
  <c r="J865" i="1" s="1"/>
  <c r="N865" i="1" s="1"/>
  <c r="W864" i="1"/>
  <c r="S864" i="1"/>
  <c r="R864" i="1"/>
  <c r="Q864" i="1"/>
  <c r="F864" i="1"/>
  <c r="E864" i="1"/>
  <c r="D864" i="1"/>
  <c r="U864" i="1" s="1"/>
  <c r="V863" i="1"/>
  <c r="U863" i="1"/>
  <c r="T863" i="1"/>
  <c r="S863" i="1"/>
  <c r="E863" i="1"/>
  <c r="F863" i="1" s="1"/>
  <c r="D863" i="1"/>
  <c r="W862" i="1"/>
  <c r="V862" i="1"/>
  <c r="U862" i="1"/>
  <c r="T862" i="1"/>
  <c r="S862" i="1"/>
  <c r="R862" i="1"/>
  <c r="F862" i="1"/>
  <c r="W861" i="1"/>
  <c r="V861" i="1"/>
  <c r="U861" i="1"/>
  <c r="S861" i="1"/>
  <c r="R861" i="1"/>
  <c r="Q861" i="1"/>
  <c r="O861" i="1"/>
  <c r="P861" i="1" s="1"/>
  <c r="G861" i="1"/>
  <c r="W860" i="1"/>
  <c r="U860" i="1"/>
  <c r="T860" i="1"/>
  <c r="S860" i="1"/>
  <c r="R860" i="1"/>
  <c r="Q860" i="1"/>
  <c r="G860" i="1"/>
  <c r="O860" i="1" s="1"/>
  <c r="P860" i="1" s="1"/>
  <c r="W859" i="1"/>
  <c r="V859" i="1"/>
  <c r="T859" i="1"/>
  <c r="S859" i="1"/>
  <c r="R859" i="1"/>
  <c r="Q859" i="1"/>
  <c r="G859" i="1"/>
  <c r="O859" i="1" s="1"/>
  <c r="P859" i="1" s="1"/>
  <c r="M858" i="1"/>
  <c r="L858" i="1"/>
  <c r="K858" i="1"/>
  <c r="I858" i="1"/>
  <c r="H858" i="1"/>
  <c r="J858" i="1" s="1"/>
  <c r="N858" i="1" s="1"/>
  <c r="W857" i="1"/>
  <c r="E857" i="1"/>
  <c r="F857" i="1" s="1"/>
  <c r="D857" i="1"/>
  <c r="W856" i="1"/>
  <c r="V856" i="1"/>
  <c r="U856" i="1"/>
  <c r="T856" i="1"/>
  <c r="R856" i="1"/>
  <c r="Q856" i="1"/>
  <c r="F856" i="1"/>
  <c r="W855" i="1"/>
  <c r="V855" i="1"/>
  <c r="T855" i="1"/>
  <c r="S855" i="1"/>
  <c r="R855" i="1"/>
  <c r="Q855" i="1"/>
  <c r="G855" i="1"/>
  <c r="O855" i="1" s="1"/>
  <c r="P855" i="1" s="1"/>
  <c r="W854" i="1"/>
  <c r="V854" i="1"/>
  <c r="T854" i="1"/>
  <c r="S854" i="1"/>
  <c r="R854" i="1"/>
  <c r="Q854" i="1"/>
  <c r="O854" i="1"/>
  <c r="P854" i="1" s="1"/>
  <c r="G854" i="1"/>
  <c r="N853" i="1"/>
  <c r="L853" i="1"/>
  <c r="K853" i="1"/>
  <c r="J853" i="1"/>
  <c r="M853" i="1" s="1"/>
  <c r="I853" i="1"/>
  <c r="H853" i="1"/>
  <c r="U852" i="1"/>
  <c r="E852" i="1"/>
  <c r="F852" i="1" s="1"/>
  <c r="D852" i="1"/>
  <c r="W852" i="1" s="1"/>
  <c r="W851" i="1"/>
  <c r="V851" i="1"/>
  <c r="U851" i="1"/>
  <c r="T851" i="1"/>
  <c r="R851" i="1"/>
  <c r="Q851" i="1"/>
  <c r="F851" i="1"/>
  <c r="W850" i="1"/>
  <c r="V850" i="1"/>
  <c r="T850" i="1"/>
  <c r="S850" i="1"/>
  <c r="R850" i="1"/>
  <c r="Q850" i="1"/>
  <c r="G850" i="1"/>
  <c r="O850" i="1" s="1"/>
  <c r="P850" i="1" s="1"/>
  <c r="W849" i="1"/>
  <c r="V849" i="1"/>
  <c r="T849" i="1"/>
  <c r="S849" i="1"/>
  <c r="R849" i="1"/>
  <c r="Q849" i="1"/>
  <c r="G849" i="1"/>
  <c r="O849" i="1" s="1"/>
  <c r="P849" i="1" s="1"/>
  <c r="W848" i="1"/>
  <c r="V848" i="1"/>
  <c r="T848" i="1"/>
  <c r="S848" i="1"/>
  <c r="R848" i="1"/>
  <c r="Q848" i="1"/>
  <c r="G848" i="1"/>
  <c r="O848" i="1" s="1"/>
  <c r="P848" i="1" s="1"/>
  <c r="W847" i="1"/>
  <c r="V847" i="1"/>
  <c r="T847" i="1"/>
  <c r="S847" i="1"/>
  <c r="R847" i="1"/>
  <c r="Q847" i="1"/>
  <c r="G847" i="1"/>
  <c r="O847" i="1" s="1"/>
  <c r="P847" i="1" s="1"/>
  <c r="M846" i="1"/>
  <c r="L846" i="1"/>
  <c r="K846" i="1"/>
  <c r="I846" i="1"/>
  <c r="H846" i="1"/>
  <c r="J846" i="1" s="1"/>
  <c r="N846" i="1" s="1"/>
  <c r="W845" i="1"/>
  <c r="E845" i="1"/>
  <c r="F845" i="1" s="1"/>
  <c r="D845" i="1"/>
  <c r="W844" i="1"/>
  <c r="V844" i="1"/>
  <c r="U844" i="1"/>
  <c r="T844" i="1"/>
  <c r="R844" i="1"/>
  <c r="Q844" i="1"/>
  <c r="F844" i="1"/>
  <c r="W843" i="1"/>
  <c r="V843" i="1"/>
  <c r="T843" i="1"/>
  <c r="S843" i="1"/>
  <c r="R843" i="1"/>
  <c r="Q843" i="1"/>
  <c r="G843" i="1"/>
  <c r="W842" i="1"/>
  <c r="V842" i="1"/>
  <c r="T842" i="1"/>
  <c r="S842" i="1"/>
  <c r="R842" i="1"/>
  <c r="Q842" i="1"/>
  <c r="G842" i="1"/>
  <c r="O842" i="1" s="1"/>
  <c r="P842" i="1" s="1"/>
  <c r="W841" i="1"/>
  <c r="V841" i="1"/>
  <c r="T841" i="1"/>
  <c r="S841" i="1"/>
  <c r="R841" i="1"/>
  <c r="Q841" i="1"/>
  <c r="G841" i="1"/>
  <c r="O843" i="1" s="1"/>
  <c r="P843" i="1" s="1"/>
  <c r="N840" i="1"/>
  <c r="L840" i="1"/>
  <c r="K840" i="1"/>
  <c r="I840" i="1"/>
  <c r="H840" i="1"/>
  <c r="J840" i="1" s="1"/>
  <c r="M840" i="1" s="1"/>
  <c r="W839" i="1"/>
  <c r="E839" i="1"/>
  <c r="F839" i="1" s="1"/>
  <c r="D839" i="1"/>
  <c r="S839" i="1" s="1"/>
  <c r="W838" i="1"/>
  <c r="V838" i="1"/>
  <c r="U838" i="1"/>
  <c r="T838" i="1"/>
  <c r="S838" i="1"/>
  <c r="Q838" i="1"/>
  <c r="F838" i="1"/>
  <c r="W837" i="1"/>
  <c r="V837" i="1"/>
  <c r="T837" i="1"/>
  <c r="S837" i="1"/>
  <c r="R837" i="1"/>
  <c r="Q837" i="1"/>
  <c r="G837" i="1"/>
  <c r="O837" i="1" s="1"/>
  <c r="P837" i="1" s="1"/>
  <c r="W836" i="1"/>
  <c r="V836" i="1"/>
  <c r="T836" i="1"/>
  <c r="S836" i="1"/>
  <c r="R836" i="1"/>
  <c r="Q836" i="1"/>
  <c r="G836" i="1"/>
  <c r="O836" i="1" s="1"/>
  <c r="P836" i="1" s="1"/>
  <c r="M835" i="1"/>
  <c r="L835" i="1"/>
  <c r="K835" i="1"/>
  <c r="I835" i="1"/>
  <c r="H835" i="1"/>
  <c r="J835" i="1" s="1"/>
  <c r="N835" i="1" s="1"/>
  <c r="E834" i="1"/>
  <c r="F834" i="1" s="1"/>
  <c r="E833" i="1"/>
  <c r="F833" i="1" s="1"/>
  <c r="D833" i="1"/>
  <c r="W832" i="1"/>
  <c r="T832" i="1"/>
  <c r="S832" i="1"/>
  <c r="R832" i="1"/>
  <c r="F832" i="1"/>
  <c r="D832" i="1"/>
  <c r="D834" i="1" s="1"/>
  <c r="U834" i="1" s="1"/>
  <c r="W831" i="1"/>
  <c r="V831" i="1"/>
  <c r="U831" i="1"/>
  <c r="T831" i="1"/>
  <c r="S831" i="1"/>
  <c r="R831" i="1"/>
  <c r="F831" i="1"/>
  <c r="W830" i="1"/>
  <c r="V830" i="1"/>
  <c r="T830" i="1"/>
  <c r="S830" i="1"/>
  <c r="R830" i="1"/>
  <c r="Q830" i="1"/>
  <c r="G830" i="1"/>
  <c r="O830" i="1" s="1"/>
  <c r="P830" i="1" s="1"/>
  <c r="W829" i="1"/>
  <c r="V829" i="1"/>
  <c r="T829" i="1"/>
  <c r="S829" i="1"/>
  <c r="R829" i="1"/>
  <c r="Q829" i="1"/>
  <c r="G829" i="1"/>
  <c r="O829" i="1" s="1"/>
  <c r="P829" i="1" s="1"/>
  <c r="N828" i="1"/>
  <c r="M828" i="1"/>
  <c r="L828" i="1"/>
  <c r="K828" i="1"/>
  <c r="I828" i="1"/>
  <c r="H828" i="1"/>
  <c r="J828" i="1" s="1"/>
  <c r="E827" i="1"/>
  <c r="F827" i="1" s="1"/>
  <c r="D827" i="1"/>
  <c r="U826" i="1"/>
  <c r="E826" i="1"/>
  <c r="F826" i="1" s="1"/>
  <c r="D826" i="1"/>
  <c r="W826" i="1" s="1"/>
  <c r="W825" i="1"/>
  <c r="V825" i="1"/>
  <c r="T825" i="1"/>
  <c r="S825" i="1"/>
  <c r="R825" i="1"/>
  <c r="F825" i="1"/>
  <c r="D825" i="1"/>
  <c r="U825" i="1" s="1"/>
  <c r="W824" i="1"/>
  <c r="V824" i="1"/>
  <c r="U824" i="1"/>
  <c r="T824" i="1"/>
  <c r="S824" i="1"/>
  <c r="R824" i="1"/>
  <c r="F824" i="1"/>
  <c r="W823" i="1"/>
  <c r="V823" i="1"/>
  <c r="U823" i="1"/>
  <c r="S823" i="1"/>
  <c r="R823" i="1"/>
  <c r="Q823" i="1"/>
  <c r="G823" i="1"/>
  <c r="O823" i="1" s="1"/>
  <c r="P823" i="1" s="1"/>
  <c r="W822" i="1"/>
  <c r="V822" i="1"/>
  <c r="U822" i="1"/>
  <c r="S822" i="1"/>
  <c r="R822" i="1"/>
  <c r="Q822" i="1"/>
  <c r="G822" i="1"/>
  <c r="O822" i="1" s="1"/>
  <c r="P822" i="1" s="1"/>
  <c r="N821" i="1"/>
  <c r="M821" i="1"/>
  <c r="L821" i="1"/>
  <c r="K821" i="1"/>
  <c r="I821" i="1"/>
  <c r="H821" i="1"/>
  <c r="J821" i="1" s="1"/>
  <c r="E820" i="1"/>
  <c r="D820" i="1"/>
  <c r="E819" i="1"/>
  <c r="F819" i="1" s="1"/>
  <c r="D819" i="1"/>
  <c r="V818" i="1"/>
  <c r="E818" i="1"/>
  <c r="F818" i="1" s="1"/>
  <c r="D818" i="1"/>
  <c r="F817" i="1"/>
  <c r="D817" i="1"/>
  <c r="W816" i="1"/>
  <c r="V816" i="1"/>
  <c r="U816" i="1"/>
  <c r="T816" i="1"/>
  <c r="S816" i="1"/>
  <c r="R816" i="1"/>
  <c r="F816" i="1"/>
  <c r="W815" i="1"/>
  <c r="V815" i="1"/>
  <c r="U815" i="1"/>
  <c r="S815" i="1"/>
  <c r="R815" i="1"/>
  <c r="Q815" i="1"/>
  <c r="O815" i="1"/>
  <c r="G815" i="1"/>
  <c r="W814" i="1"/>
  <c r="V814" i="1"/>
  <c r="T814" i="1"/>
  <c r="S814" i="1"/>
  <c r="R814" i="1"/>
  <c r="Q814" i="1"/>
  <c r="G814" i="1"/>
  <c r="O814" i="1" s="1"/>
  <c r="P814" i="1" s="1"/>
  <c r="W813" i="1"/>
  <c r="V813" i="1"/>
  <c r="T813" i="1"/>
  <c r="S813" i="1"/>
  <c r="R813" i="1"/>
  <c r="Q813" i="1"/>
  <c r="G813" i="1"/>
  <c r="O813" i="1" s="1"/>
  <c r="P813" i="1" s="1"/>
  <c r="M812" i="1"/>
  <c r="L812" i="1"/>
  <c r="K812" i="1"/>
  <c r="I812" i="1"/>
  <c r="H812" i="1"/>
  <c r="J812" i="1" s="1"/>
  <c r="N812" i="1" s="1"/>
  <c r="W811" i="1"/>
  <c r="V811" i="1"/>
  <c r="U811" i="1"/>
  <c r="T811" i="1"/>
  <c r="S811" i="1"/>
  <c r="R811" i="1"/>
  <c r="F811" i="1"/>
  <c r="W810" i="1"/>
  <c r="U810" i="1"/>
  <c r="T810" i="1"/>
  <c r="S810" i="1"/>
  <c r="R810" i="1"/>
  <c r="Q810" i="1"/>
  <c r="O810" i="1"/>
  <c r="P810" i="1" s="1"/>
  <c r="G810" i="1"/>
  <c r="W809" i="1"/>
  <c r="U809" i="1"/>
  <c r="T809" i="1"/>
  <c r="S809" i="1"/>
  <c r="R809" i="1"/>
  <c r="Q809" i="1"/>
  <c r="G809" i="1"/>
  <c r="O809" i="1" s="1"/>
  <c r="P809" i="1" s="1"/>
  <c r="N808" i="1"/>
  <c r="M808" i="1"/>
  <c r="L808" i="1"/>
  <c r="K808" i="1"/>
  <c r="I808" i="1"/>
  <c r="H808" i="1"/>
  <c r="J808" i="1" s="1"/>
  <c r="E807" i="1"/>
  <c r="F807" i="1" s="1"/>
  <c r="D807" i="1"/>
  <c r="W807" i="1" s="1"/>
  <c r="F806" i="1"/>
  <c r="E806" i="1"/>
  <c r="E805" i="1"/>
  <c r="F805" i="1" s="1"/>
  <c r="D805" i="1"/>
  <c r="F804" i="1"/>
  <c r="D804" i="1"/>
  <c r="W803" i="1"/>
  <c r="V803" i="1"/>
  <c r="U803" i="1"/>
  <c r="T803" i="1"/>
  <c r="S803" i="1"/>
  <c r="Q803" i="1"/>
  <c r="F803" i="1"/>
  <c r="W802" i="1"/>
  <c r="V802" i="1"/>
  <c r="T802" i="1"/>
  <c r="S802" i="1"/>
  <c r="R802" i="1"/>
  <c r="Q802" i="1"/>
  <c r="O802" i="1"/>
  <c r="P802" i="1" s="1"/>
  <c r="G802" i="1"/>
  <c r="W801" i="1"/>
  <c r="V801" i="1"/>
  <c r="T801" i="1"/>
  <c r="S801" i="1"/>
  <c r="R801" i="1"/>
  <c r="Q801" i="1"/>
  <c r="G801" i="1"/>
  <c r="O801" i="1" s="1"/>
  <c r="P801" i="1" s="1"/>
  <c r="W800" i="1"/>
  <c r="V800" i="1"/>
  <c r="T800" i="1"/>
  <c r="S800" i="1"/>
  <c r="R800" i="1"/>
  <c r="Q800" i="1"/>
  <c r="O800" i="1"/>
  <c r="P800" i="1" s="1"/>
  <c r="G800" i="1"/>
  <c r="W799" i="1"/>
  <c r="V799" i="1"/>
  <c r="T799" i="1"/>
  <c r="S799" i="1"/>
  <c r="R799" i="1"/>
  <c r="Q799" i="1"/>
  <c r="O799" i="1"/>
  <c r="P799" i="1" s="1"/>
  <c r="G799" i="1"/>
  <c r="W798" i="1"/>
  <c r="V798" i="1"/>
  <c r="T798" i="1"/>
  <c r="S798" i="1"/>
  <c r="R798" i="1"/>
  <c r="Q798" i="1"/>
  <c r="O798" i="1"/>
  <c r="P798" i="1" s="1"/>
  <c r="G798" i="1"/>
  <c r="M797" i="1"/>
  <c r="L797" i="1"/>
  <c r="K797" i="1"/>
  <c r="I797" i="1"/>
  <c r="H797" i="1"/>
  <c r="J797" i="1" s="1"/>
  <c r="N797" i="1" s="1"/>
  <c r="E796" i="1"/>
  <c r="F796" i="1" s="1"/>
  <c r="D796" i="1"/>
  <c r="W796" i="1" s="1"/>
  <c r="W795" i="1"/>
  <c r="V795" i="1"/>
  <c r="U795" i="1"/>
  <c r="T795" i="1"/>
  <c r="R795" i="1"/>
  <c r="Q795" i="1"/>
  <c r="F795" i="1"/>
  <c r="W794" i="1"/>
  <c r="U794" i="1"/>
  <c r="T794" i="1"/>
  <c r="S794" i="1"/>
  <c r="R794" i="1"/>
  <c r="Q794" i="1"/>
  <c r="G794" i="1"/>
  <c r="O794" i="1" s="1"/>
  <c r="P794" i="1" s="1"/>
  <c r="W793" i="1"/>
  <c r="U793" i="1"/>
  <c r="T793" i="1"/>
  <c r="S793" i="1"/>
  <c r="R793" i="1"/>
  <c r="Q793" i="1"/>
  <c r="G793" i="1"/>
  <c r="O793" i="1" s="1"/>
  <c r="P793" i="1" s="1"/>
  <c r="M792" i="1"/>
  <c r="L792" i="1"/>
  <c r="K792" i="1"/>
  <c r="I792" i="1"/>
  <c r="H792" i="1"/>
  <c r="J792" i="1" s="1"/>
  <c r="N792" i="1" s="1"/>
  <c r="E791" i="1"/>
  <c r="F791" i="1" s="1"/>
  <c r="D791" i="1"/>
  <c r="W791" i="1" s="1"/>
  <c r="W790" i="1"/>
  <c r="V790" i="1"/>
  <c r="U790" i="1"/>
  <c r="T790" i="1"/>
  <c r="S790" i="1"/>
  <c r="Q790" i="1"/>
  <c r="F790" i="1"/>
  <c r="W789" i="1"/>
  <c r="U789" i="1"/>
  <c r="T789" i="1"/>
  <c r="S789" i="1"/>
  <c r="R789" i="1"/>
  <c r="Q789" i="1"/>
  <c r="O789" i="1"/>
  <c r="P789" i="1" s="1"/>
  <c r="G789" i="1"/>
  <c r="W788" i="1"/>
  <c r="V788" i="1"/>
  <c r="T788" i="1"/>
  <c r="S788" i="1"/>
  <c r="R788" i="1"/>
  <c r="Q788" i="1"/>
  <c r="G788" i="1"/>
  <c r="O788" i="1" s="1"/>
  <c r="P788" i="1" s="1"/>
  <c r="W787" i="1"/>
  <c r="V787" i="1"/>
  <c r="T787" i="1"/>
  <c r="S787" i="1"/>
  <c r="R787" i="1"/>
  <c r="Q787" i="1"/>
  <c r="G787" i="1"/>
  <c r="O787" i="1" s="1"/>
  <c r="P787" i="1" s="1"/>
  <c r="M786" i="1"/>
  <c r="L786" i="1"/>
  <c r="K786" i="1"/>
  <c r="I786" i="1"/>
  <c r="H786" i="1"/>
  <c r="J786" i="1" s="1"/>
  <c r="N786" i="1" s="1"/>
  <c r="W785" i="1"/>
  <c r="V785" i="1"/>
  <c r="U785" i="1"/>
  <c r="T785" i="1"/>
  <c r="S785" i="1"/>
  <c r="R785" i="1"/>
  <c r="F785" i="1"/>
  <c r="W784" i="1"/>
  <c r="V784" i="1"/>
  <c r="U784" i="1"/>
  <c r="S784" i="1"/>
  <c r="R784" i="1"/>
  <c r="Q784" i="1"/>
  <c r="O784" i="1"/>
  <c r="P784" i="1" s="1"/>
  <c r="G784" i="1"/>
  <c r="W783" i="1"/>
  <c r="V783" i="1"/>
  <c r="U783" i="1"/>
  <c r="S783" i="1"/>
  <c r="R783" i="1"/>
  <c r="Q783" i="1"/>
  <c r="G783" i="1"/>
  <c r="O783" i="1" s="1"/>
  <c r="P783" i="1" s="1"/>
  <c r="M782" i="1"/>
  <c r="L782" i="1"/>
  <c r="K782" i="1"/>
  <c r="I782" i="1"/>
  <c r="H782" i="1"/>
  <c r="J782" i="1" s="1"/>
  <c r="N782" i="1" s="1"/>
  <c r="W781" i="1"/>
  <c r="U781" i="1"/>
  <c r="F781" i="1"/>
  <c r="E781" i="1"/>
  <c r="D781" i="1"/>
  <c r="W780" i="1"/>
  <c r="V780" i="1"/>
  <c r="U780" i="1"/>
  <c r="T780" i="1"/>
  <c r="R780" i="1"/>
  <c r="Q780" i="1"/>
  <c r="F780" i="1"/>
  <c r="W779" i="1"/>
  <c r="U779" i="1"/>
  <c r="T779" i="1"/>
  <c r="S779" i="1"/>
  <c r="R779" i="1"/>
  <c r="Q779" i="1"/>
  <c r="O779" i="1"/>
  <c r="P779" i="1" s="1"/>
  <c r="G779" i="1"/>
  <c r="W778" i="1"/>
  <c r="U778" i="1"/>
  <c r="T778" i="1"/>
  <c r="S778" i="1"/>
  <c r="R778" i="1"/>
  <c r="Q778" i="1"/>
  <c r="G778" i="1"/>
  <c r="O778" i="1" s="1"/>
  <c r="P778" i="1" s="1"/>
  <c r="M777" i="1"/>
  <c r="L777" i="1"/>
  <c r="K777" i="1"/>
  <c r="I777" i="1"/>
  <c r="H777" i="1"/>
  <c r="J777" i="1" s="1"/>
  <c r="N777" i="1" s="1"/>
  <c r="E776" i="1"/>
  <c r="F776" i="1" s="1"/>
  <c r="D776" i="1"/>
  <c r="E775" i="1"/>
  <c r="F775" i="1" s="1"/>
  <c r="D775" i="1"/>
  <c r="W774" i="1"/>
  <c r="E774" i="1"/>
  <c r="F774" i="1" s="1"/>
  <c r="D774" i="1"/>
  <c r="T774" i="1" s="1"/>
  <c r="V773" i="1"/>
  <c r="F773" i="1"/>
  <c r="D773" i="1"/>
  <c r="T773" i="1" s="1"/>
  <c r="W772" i="1"/>
  <c r="V772" i="1"/>
  <c r="U772" i="1"/>
  <c r="T772" i="1"/>
  <c r="S772" i="1"/>
  <c r="Q772" i="1"/>
  <c r="F772" i="1"/>
  <c r="W771" i="1"/>
  <c r="V771" i="1"/>
  <c r="U771" i="1"/>
  <c r="S771" i="1"/>
  <c r="R771" i="1"/>
  <c r="Q771" i="1"/>
  <c r="G771" i="1"/>
  <c r="O771" i="1" s="1"/>
  <c r="P771" i="1" s="1"/>
  <c r="W770" i="1"/>
  <c r="V770" i="1"/>
  <c r="T770" i="1"/>
  <c r="S770" i="1"/>
  <c r="R770" i="1"/>
  <c r="Q770" i="1"/>
  <c r="O770" i="1"/>
  <c r="P770" i="1" s="1"/>
  <c r="G770" i="1"/>
  <c r="W769" i="1"/>
  <c r="V769" i="1"/>
  <c r="T769" i="1"/>
  <c r="S769" i="1"/>
  <c r="R769" i="1"/>
  <c r="Q769" i="1"/>
  <c r="O769" i="1"/>
  <c r="P769" i="1" s="1"/>
  <c r="G769" i="1"/>
  <c r="W768" i="1"/>
  <c r="V768" i="1"/>
  <c r="T768" i="1"/>
  <c r="S768" i="1"/>
  <c r="R768" i="1"/>
  <c r="Q768" i="1"/>
  <c r="G768" i="1"/>
  <c r="O768" i="1" s="1"/>
  <c r="P768" i="1" s="1"/>
  <c r="N767" i="1"/>
  <c r="M767" i="1"/>
  <c r="L767" i="1"/>
  <c r="K767" i="1"/>
  <c r="I767" i="1"/>
  <c r="H767" i="1"/>
  <c r="J767" i="1" s="1"/>
  <c r="W766" i="1"/>
  <c r="U766" i="1"/>
  <c r="S766" i="1"/>
  <c r="R766" i="1"/>
  <c r="Q766" i="1"/>
  <c r="E766" i="1"/>
  <c r="D766" i="1"/>
  <c r="T766" i="1" s="1"/>
  <c r="E765" i="1"/>
  <c r="F765" i="1" s="1"/>
  <c r="D765" i="1"/>
  <c r="V765" i="1" s="1"/>
  <c r="W764" i="1"/>
  <c r="V764" i="1"/>
  <c r="U764" i="1"/>
  <c r="T764" i="1"/>
  <c r="S764" i="1"/>
  <c r="Q764" i="1"/>
  <c r="F764" i="1"/>
  <c r="W763" i="1"/>
  <c r="V763" i="1"/>
  <c r="T763" i="1"/>
  <c r="S763" i="1"/>
  <c r="R763" i="1"/>
  <c r="Q763" i="1"/>
  <c r="O763" i="1"/>
  <c r="G763" i="1"/>
  <c r="W762" i="1"/>
  <c r="V762" i="1"/>
  <c r="T762" i="1"/>
  <c r="S762" i="1"/>
  <c r="R762" i="1"/>
  <c r="Q762" i="1"/>
  <c r="O762" i="1"/>
  <c r="P762" i="1" s="1"/>
  <c r="G762" i="1"/>
  <c r="W761" i="1"/>
  <c r="V761" i="1"/>
  <c r="T761" i="1"/>
  <c r="S761" i="1"/>
  <c r="R761" i="1"/>
  <c r="Q761" i="1"/>
  <c r="O761" i="1"/>
  <c r="P761" i="1" s="1"/>
  <c r="G761" i="1"/>
  <c r="N760" i="1"/>
  <c r="M760" i="1"/>
  <c r="L760" i="1"/>
  <c r="K760" i="1"/>
  <c r="I760" i="1"/>
  <c r="H760" i="1"/>
  <c r="J760" i="1" s="1"/>
  <c r="E759" i="1"/>
  <c r="F759" i="1" s="1"/>
  <c r="E758" i="1"/>
  <c r="F758" i="1" s="1"/>
  <c r="D758" i="1"/>
  <c r="R757" i="1"/>
  <c r="F757" i="1"/>
  <c r="D757" i="1"/>
  <c r="U757" i="1" s="1"/>
  <c r="W756" i="1"/>
  <c r="V756" i="1"/>
  <c r="U756" i="1"/>
  <c r="T756" i="1"/>
  <c r="S756" i="1"/>
  <c r="R756" i="1"/>
  <c r="F756" i="1"/>
  <c r="W755" i="1"/>
  <c r="V755" i="1"/>
  <c r="T755" i="1"/>
  <c r="S755" i="1"/>
  <c r="R755" i="1"/>
  <c r="Q755" i="1"/>
  <c r="P755" i="1"/>
  <c r="O755" i="1"/>
  <c r="G755" i="1"/>
  <c r="W754" i="1"/>
  <c r="V754" i="1"/>
  <c r="T754" i="1"/>
  <c r="S754" i="1"/>
  <c r="R754" i="1"/>
  <c r="Q754" i="1"/>
  <c r="O754" i="1"/>
  <c r="P754" i="1" s="1"/>
  <c r="G754" i="1"/>
  <c r="M753" i="1"/>
  <c r="L753" i="1"/>
  <c r="K753" i="1"/>
  <c r="J753" i="1"/>
  <c r="N753" i="1" s="1"/>
  <c r="I753" i="1"/>
  <c r="H753" i="1"/>
  <c r="F752" i="1"/>
  <c r="E752" i="1"/>
  <c r="D752" i="1"/>
  <c r="E751" i="1"/>
  <c r="F751" i="1" s="1"/>
  <c r="W750" i="1"/>
  <c r="V750" i="1"/>
  <c r="U750" i="1"/>
  <c r="R750" i="1"/>
  <c r="F750" i="1"/>
  <c r="E750" i="1"/>
  <c r="D750" i="1"/>
  <c r="T750" i="1" s="1"/>
  <c r="F749" i="1"/>
  <c r="D749" i="1"/>
  <c r="S749" i="1" s="1"/>
  <c r="W748" i="1"/>
  <c r="V748" i="1"/>
  <c r="U748" i="1"/>
  <c r="T748" i="1"/>
  <c r="S748" i="1"/>
  <c r="R748" i="1"/>
  <c r="F748" i="1"/>
  <c r="W747" i="1"/>
  <c r="V747" i="1"/>
  <c r="U747" i="1"/>
  <c r="S747" i="1"/>
  <c r="R747" i="1"/>
  <c r="Q747" i="1"/>
  <c r="P747" i="1"/>
  <c r="O747" i="1"/>
  <c r="G747" i="1"/>
  <c r="W746" i="1"/>
  <c r="V746" i="1"/>
  <c r="T746" i="1"/>
  <c r="S746" i="1"/>
  <c r="R746" i="1"/>
  <c r="Q746" i="1"/>
  <c r="G746" i="1"/>
  <c r="W745" i="1"/>
  <c r="V745" i="1"/>
  <c r="T745" i="1"/>
  <c r="S745" i="1"/>
  <c r="R745" i="1"/>
  <c r="Q745" i="1"/>
  <c r="G745" i="1"/>
  <c r="M744" i="1"/>
  <c r="L744" i="1"/>
  <c r="K744" i="1"/>
  <c r="J744" i="1"/>
  <c r="N744" i="1" s="1"/>
  <c r="I744" i="1"/>
  <c r="H744" i="1"/>
  <c r="E743" i="1"/>
  <c r="F743" i="1" s="1"/>
  <c r="D743" i="1"/>
  <c r="W742" i="1"/>
  <c r="V742" i="1"/>
  <c r="U742" i="1"/>
  <c r="T742" i="1"/>
  <c r="S742" i="1"/>
  <c r="Q742" i="1"/>
  <c r="F742" i="1"/>
  <c r="W741" i="1"/>
  <c r="U741" i="1"/>
  <c r="T741" i="1"/>
  <c r="S741" i="1"/>
  <c r="R741" i="1"/>
  <c r="Q741" i="1"/>
  <c r="G741" i="1"/>
  <c r="O741" i="1" s="1"/>
  <c r="P741" i="1" s="1"/>
  <c r="W740" i="1"/>
  <c r="U740" i="1"/>
  <c r="T740" i="1"/>
  <c r="S740" i="1"/>
  <c r="R740" i="1"/>
  <c r="Q740" i="1"/>
  <c r="G740" i="1"/>
  <c r="O740" i="1" s="1"/>
  <c r="P740" i="1" s="1"/>
  <c r="N739" i="1"/>
  <c r="L739" i="1"/>
  <c r="K739" i="1"/>
  <c r="I739" i="1"/>
  <c r="H739" i="1"/>
  <c r="J739" i="1" s="1"/>
  <c r="M739" i="1" s="1"/>
  <c r="W738" i="1"/>
  <c r="V738" i="1"/>
  <c r="U738" i="1"/>
  <c r="T738" i="1"/>
  <c r="S738" i="1"/>
  <c r="R738" i="1"/>
  <c r="F738" i="1"/>
  <c r="W737" i="1"/>
  <c r="V737" i="1"/>
  <c r="U737" i="1"/>
  <c r="S737" i="1"/>
  <c r="R737" i="1"/>
  <c r="Q737" i="1"/>
  <c r="G737" i="1"/>
  <c r="O737" i="1" s="1"/>
  <c r="P737" i="1" s="1"/>
  <c r="W736" i="1"/>
  <c r="V736" i="1"/>
  <c r="U736" i="1"/>
  <c r="S736" i="1"/>
  <c r="R736" i="1"/>
  <c r="Q736" i="1"/>
  <c r="G736" i="1"/>
  <c r="O736" i="1" s="1"/>
  <c r="P736" i="1" s="1"/>
  <c r="M735" i="1"/>
  <c r="L735" i="1"/>
  <c r="K735" i="1"/>
  <c r="I735" i="1"/>
  <c r="H735" i="1"/>
  <c r="J735" i="1" s="1"/>
  <c r="N735" i="1" s="1"/>
  <c r="E734" i="1"/>
  <c r="F734" i="1" s="1"/>
  <c r="D734" i="1"/>
  <c r="W733" i="1"/>
  <c r="V733" i="1"/>
  <c r="U733" i="1"/>
  <c r="T733" i="1"/>
  <c r="S733" i="1"/>
  <c r="R733" i="1"/>
  <c r="F733" i="1"/>
  <c r="W732" i="1"/>
  <c r="V732" i="1"/>
  <c r="U732" i="1"/>
  <c r="S732" i="1"/>
  <c r="R732" i="1"/>
  <c r="Q732" i="1"/>
  <c r="G732" i="1"/>
  <c r="O732" i="1" s="1"/>
  <c r="P732" i="1" s="1"/>
  <c r="W731" i="1"/>
  <c r="V731" i="1"/>
  <c r="T731" i="1"/>
  <c r="S731" i="1"/>
  <c r="R731" i="1"/>
  <c r="Q731" i="1"/>
  <c r="G731" i="1"/>
  <c r="O731" i="1" s="1"/>
  <c r="P731" i="1" s="1"/>
  <c r="M730" i="1"/>
  <c r="L730" i="1"/>
  <c r="K730" i="1"/>
  <c r="I730" i="1"/>
  <c r="H730" i="1"/>
  <c r="J730" i="1" s="1"/>
  <c r="N730" i="1" s="1"/>
  <c r="F729" i="1"/>
  <c r="E729" i="1"/>
  <c r="D729" i="1"/>
  <c r="W728" i="1"/>
  <c r="V728" i="1"/>
  <c r="U728" i="1"/>
  <c r="T728" i="1"/>
  <c r="S728" i="1"/>
  <c r="Q728" i="1"/>
  <c r="F728" i="1"/>
  <c r="W727" i="1"/>
  <c r="U727" i="1"/>
  <c r="T727" i="1"/>
  <c r="S727" i="1"/>
  <c r="R727" i="1"/>
  <c r="Q727" i="1"/>
  <c r="O727" i="1"/>
  <c r="P727" i="1" s="1"/>
  <c r="G727" i="1"/>
  <c r="W726" i="1"/>
  <c r="U726" i="1"/>
  <c r="T726" i="1"/>
  <c r="S726" i="1"/>
  <c r="R726" i="1"/>
  <c r="Q726" i="1"/>
  <c r="G726" i="1"/>
  <c r="O726" i="1" s="1"/>
  <c r="P726" i="1" s="1"/>
  <c r="M725" i="1"/>
  <c r="L725" i="1"/>
  <c r="K725" i="1"/>
  <c r="I725" i="1"/>
  <c r="H725" i="1"/>
  <c r="J725" i="1" s="1"/>
  <c r="N725" i="1" s="1"/>
  <c r="E724" i="1"/>
  <c r="D724" i="1"/>
  <c r="E723" i="1"/>
  <c r="F723" i="1" s="1"/>
  <c r="W722" i="1"/>
  <c r="F722" i="1"/>
  <c r="E722" i="1"/>
  <c r="D722" i="1"/>
  <c r="U721" i="1"/>
  <c r="T721" i="1"/>
  <c r="F721" i="1"/>
  <c r="D721" i="1"/>
  <c r="W721" i="1" s="1"/>
  <c r="W720" i="1"/>
  <c r="V720" i="1"/>
  <c r="U720" i="1"/>
  <c r="T720" i="1"/>
  <c r="S720" i="1"/>
  <c r="Q720" i="1"/>
  <c r="F720" i="1"/>
  <c r="W719" i="1"/>
  <c r="U719" i="1"/>
  <c r="T719" i="1"/>
  <c r="S719" i="1"/>
  <c r="R719" i="1"/>
  <c r="Q719" i="1"/>
  <c r="G719" i="1"/>
  <c r="O719" i="1" s="1"/>
  <c r="P719" i="1" s="1"/>
  <c r="W718" i="1"/>
  <c r="V718" i="1"/>
  <c r="T718" i="1"/>
  <c r="S718" i="1"/>
  <c r="R718" i="1"/>
  <c r="Q718" i="1"/>
  <c r="G718" i="1"/>
  <c r="O718" i="1" s="1"/>
  <c r="P718" i="1" s="1"/>
  <c r="W717" i="1"/>
  <c r="V717" i="1"/>
  <c r="U717" i="1"/>
  <c r="S717" i="1"/>
  <c r="R717" i="1"/>
  <c r="Q717" i="1"/>
  <c r="G717" i="1"/>
  <c r="O717" i="1" s="1"/>
  <c r="P717" i="1" s="1"/>
  <c r="W716" i="1"/>
  <c r="U716" i="1"/>
  <c r="T716" i="1"/>
  <c r="S716" i="1"/>
  <c r="R716" i="1"/>
  <c r="Q716" i="1"/>
  <c r="O716" i="1"/>
  <c r="P716" i="1" s="1"/>
  <c r="G716" i="1"/>
  <c r="W715" i="1"/>
  <c r="V715" i="1"/>
  <c r="T715" i="1"/>
  <c r="S715" i="1"/>
  <c r="R715" i="1"/>
  <c r="Q715" i="1"/>
  <c r="G715" i="1"/>
  <c r="O715" i="1" s="1"/>
  <c r="P715" i="1" s="1"/>
  <c r="M714" i="1"/>
  <c r="L714" i="1"/>
  <c r="K714" i="1"/>
  <c r="I714" i="1"/>
  <c r="H714" i="1"/>
  <c r="J714" i="1" s="1"/>
  <c r="N714" i="1" s="1"/>
  <c r="T713" i="1"/>
  <c r="S713" i="1"/>
  <c r="E713" i="1"/>
  <c r="D713" i="1"/>
  <c r="U713" i="1" s="1"/>
  <c r="E712" i="1"/>
  <c r="F712" i="1" s="1"/>
  <c r="D712" i="1"/>
  <c r="W711" i="1"/>
  <c r="V711" i="1"/>
  <c r="U711" i="1"/>
  <c r="T711" i="1"/>
  <c r="R711" i="1"/>
  <c r="Q711" i="1"/>
  <c r="F711" i="1"/>
  <c r="W710" i="1"/>
  <c r="U710" i="1"/>
  <c r="T710" i="1"/>
  <c r="S710" i="1"/>
  <c r="R710" i="1"/>
  <c r="Q710" i="1"/>
  <c r="O710" i="1"/>
  <c r="P710" i="1" s="1"/>
  <c r="G710" i="1"/>
  <c r="W709" i="1"/>
  <c r="V709" i="1"/>
  <c r="T709" i="1"/>
  <c r="S709" i="1"/>
  <c r="R709" i="1"/>
  <c r="Q709" i="1"/>
  <c r="O709" i="1"/>
  <c r="P709" i="1" s="1"/>
  <c r="G709" i="1"/>
  <c r="W708" i="1"/>
  <c r="U708" i="1"/>
  <c r="T708" i="1"/>
  <c r="S708" i="1"/>
  <c r="R708" i="1"/>
  <c r="Q708" i="1"/>
  <c r="O708" i="1"/>
  <c r="P708" i="1" s="1"/>
  <c r="G708" i="1"/>
  <c r="W707" i="1"/>
  <c r="V707" i="1"/>
  <c r="T707" i="1"/>
  <c r="S707" i="1"/>
  <c r="R707" i="1"/>
  <c r="Q707" i="1"/>
  <c r="P707" i="1"/>
  <c r="O707" i="1"/>
  <c r="G707" i="1"/>
  <c r="M706" i="1"/>
  <c r="L706" i="1"/>
  <c r="K706" i="1"/>
  <c r="I706" i="1"/>
  <c r="H706" i="1"/>
  <c r="J706" i="1" s="1"/>
  <c r="N706" i="1" s="1"/>
  <c r="V705" i="1"/>
  <c r="U705" i="1"/>
  <c r="E705" i="1"/>
  <c r="F705" i="1" s="1"/>
  <c r="D705" i="1"/>
  <c r="T705" i="1" s="1"/>
  <c r="W704" i="1"/>
  <c r="V704" i="1"/>
  <c r="U704" i="1"/>
  <c r="T704" i="1"/>
  <c r="R704" i="1"/>
  <c r="Q704" i="1"/>
  <c r="F704" i="1"/>
  <c r="W703" i="1"/>
  <c r="V703" i="1"/>
  <c r="T703" i="1"/>
  <c r="S703" i="1"/>
  <c r="R703" i="1"/>
  <c r="Q703" i="1"/>
  <c r="G703" i="1"/>
  <c r="O703" i="1" s="1"/>
  <c r="P703" i="1" s="1"/>
  <c r="W702" i="1"/>
  <c r="V702" i="1"/>
  <c r="T702" i="1"/>
  <c r="S702" i="1"/>
  <c r="R702" i="1"/>
  <c r="Q702" i="1"/>
  <c r="G702" i="1"/>
  <c r="O702" i="1" s="1"/>
  <c r="P702" i="1" s="1"/>
  <c r="M701" i="1"/>
  <c r="L701" i="1"/>
  <c r="K701" i="1"/>
  <c r="I701" i="1"/>
  <c r="H701" i="1"/>
  <c r="J701" i="1" s="1"/>
  <c r="N701" i="1" s="1"/>
  <c r="T700" i="1"/>
  <c r="E700" i="1"/>
  <c r="F700" i="1" s="1"/>
  <c r="D700" i="1"/>
  <c r="S700" i="1" s="1"/>
  <c r="W699" i="1"/>
  <c r="V699" i="1"/>
  <c r="U699" i="1"/>
  <c r="T699" i="1"/>
  <c r="S699" i="1"/>
  <c r="Q699" i="1"/>
  <c r="F699" i="1"/>
  <c r="W698" i="1"/>
  <c r="U698" i="1"/>
  <c r="T698" i="1"/>
  <c r="S698" i="1"/>
  <c r="R698" i="1"/>
  <c r="Q698" i="1"/>
  <c r="G698" i="1"/>
  <c r="O698" i="1" s="1"/>
  <c r="P698" i="1" s="1"/>
  <c r="W697" i="1"/>
  <c r="U697" i="1"/>
  <c r="T697" i="1"/>
  <c r="S697" i="1"/>
  <c r="R697" i="1"/>
  <c r="Q697" i="1"/>
  <c r="G697" i="1"/>
  <c r="O697" i="1" s="1"/>
  <c r="P697" i="1" s="1"/>
  <c r="M696" i="1"/>
  <c r="L696" i="1"/>
  <c r="K696" i="1"/>
  <c r="I696" i="1"/>
  <c r="H696" i="1"/>
  <c r="J696" i="1" s="1"/>
  <c r="N696" i="1" s="1"/>
  <c r="F695" i="1"/>
  <c r="E695" i="1"/>
  <c r="T694" i="1"/>
  <c r="F694" i="1"/>
  <c r="E694" i="1"/>
  <c r="D694" i="1"/>
  <c r="F693" i="1"/>
  <c r="D693" i="1"/>
  <c r="W692" i="1"/>
  <c r="V692" i="1"/>
  <c r="U692" i="1"/>
  <c r="T692" i="1"/>
  <c r="S692" i="1"/>
  <c r="Q692" i="1"/>
  <c r="F692" i="1"/>
  <c r="W691" i="1"/>
  <c r="V691" i="1"/>
  <c r="T691" i="1"/>
  <c r="S691" i="1"/>
  <c r="R691" i="1"/>
  <c r="Q691" i="1"/>
  <c r="G691" i="1"/>
  <c r="O691" i="1" s="1"/>
  <c r="P691" i="1" s="1"/>
  <c r="W690" i="1"/>
  <c r="U690" i="1"/>
  <c r="T690" i="1"/>
  <c r="S690" i="1"/>
  <c r="R690" i="1"/>
  <c r="Q690" i="1"/>
  <c r="G690" i="1"/>
  <c r="O690" i="1" s="1"/>
  <c r="P690" i="1" s="1"/>
  <c r="W689" i="1"/>
  <c r="V689" i="1"/>
  <c r="T689" i="1"/>
  <c r="S689" i="1"/>
  <c r="R689" i="1"/>
  <c r="Q689" i="1"/>
  <c r="P689" i="1"/>
  <c r="G689" i="1"/>
  <c r="O689" i="1" s="1"/>
  <c r="M688" i="1"/>
  <c r="L688" i="1"/>
  <c r="K688" i="1"/>
  <c r="I688" i="1"/>
  <c r="H688" i="1"/>
  <c r="J688" i="1" s="1"/>
  <c r="N688" i="1" s="1"/>
  <c r="Q687" i="1"/>
  <c r="F687" i="1"/>
  <c r="E687" i="1"/>
  <c r="D687" i="1"/>
  <c r="F686" i="1"/>
  <c r="E686" i="1"/>
  <c r="D686" i="1"/>
  <c r="W685" i="1"/>
  <c r="V685" i="1"/>
  <c r="U685" i="1"/>
  <c r="T685" i="1"/>
  <c r="R685" i="1"/>
  <c r="Q685" i="1"/>
  <c r="F685" i="1"/>
  <c r="W684" i="1"/>
  <c r="V684" i="1"/>
  <c r="U684" i="1"/>
  <c r="T684" i="1"/>
  <c r="R684" i="1"/>
  <c r="Q684" i="1"/>
  <c r="F684" i="1"/>
  <c r="W683" i="1"/>
  <c r="V683" i="1"/>
  <c r="T683" i="1"/>
  <c r="S683" i="1"/>
  <c r="R683" i="1"/>
  <c r="Q683" i="1"/>
  <c r="G683" i="1"/>
  <c r="O683" i="1" s="1"/>
  <c r="P683" i="1" s="1"/>
  <c r="W682" i="1"/>
  <c r="U682" i="1"/>
  <c r="T682" i="1"/>
  <c r="S682" i="1"/>
  <c r="R682" i="1"/>
  <c r="Q682" i="1"/>
  <c r="G682" i="1"/>
  <c r="O682" i="1" s="1"/>
  <c r="P682" i="1" s="1"/>
  <c r="W681" i="1"/>
  <c r="V681" i="1"/>
  <c r="T681" i="1"/>
  <c r="S681" i="1"/>
  <c r="R681" i="1"/>
  <c r="Q681" i="1"/>
  <c r="G681" i="1"/>
  <c r="O681" i="1" s="1"/>
  <c r="P681" i="1" s="1"/>
  <c r="W680" i="1"/>
  <c r="V680" i="1"/>
  <c r="T680" i="1"/>
  <c r="S680" i="1"/>
  <c r="R680" i="1"/>
  <c r="Q680" i="1"/>
  <c r="G680" i="1"/>
  <c r="O680" i="1" s="1"/>
  <c r="P680" i="1" s="1"/>
  <c r="N679" i="1"/>
  <c r="M679" i="1"/>
  <c r="L679" i="1"/>
  <c r="K679" i="1"/>
  <c r="I679" i="1"/>
  <c r="H679" i="1"/>
  <c r="J679" i="1" s="1"/>
  <c r="F678" i="1"/>
  <c r="E678" i="1"/>
  <c r="E677" i="1"/>
  <c r="F677" i="1" s="1"/>
  <c r="D677" i="1"/>
  <c r="U677" i="1" s="1"/>
  <c r="F676" i="1"/>
  <c r="D676" i="1"/>
  <c r="W675" i="1"/>
  <c r="V675" i="1"/>
  <c r="U675" i="1"/>
  <c r="T675" i="1"/>
  <c r="R675" i="1"/>
  <c r="Q675" i="1"/>
  <c r="F675" i="1"/>
  <c r="W674" i="1"/>
  <c r="V674" i="1"/>
  <c r="T674" i="1"/>
  <c r="S674" i="1"/>
  <c r="R674" i="1"/>
  <c r="Q674" i="1"/>
  <c r="O674" i="1"/>
  <c r="P674" i="1" s="1"/>
  <c r="G674" i="1"/>
  <c r="W673" i="1"/>
  <c r="U673" i="1"/>
  <c r="T673" i="1"/>
  <c r="S673" i="1"/>
  <c r="R673" i="1"/>
  <c r="Q673" i="1"/>
  <c r="P673" i="1"/>
  <c r="G673" i="1"/>
  <c r="O673" i="1" s="1"/>
  <c r="W672" i="1"/>
  <c r="V672" i="1"/>
  <c r="T672" i="1"/>
  <c r="S672" i="1"/>
  <c r="R672" i="1"/>
  <c r="Q672" i="1"/>
  <c r="G672" i="1"/>
  <c r="O672" i="1" s="1"/>
  <c r="P672" i="1" s="1"/>
  <c r="W671" i="1"/>
  <c r="U671" i="1"/>
  <c r="T671" i="1"/>
  <c r="S671" i="1"/>
  <c r="R671" i="1"/>
  <c r="Q671" i="1"/>
  <c r="G671" i="1"/>
  <c r="O671" i="1" s="1"/>
  <c r="P671" i="1" s="1"/>
  <c r="M670" i="1"/>
  <c r="L670" i="1"/>
  <c r="K670" i="1"/>
  <c r="J670" i="1"/>
  <c r="N670" i="1" s="1"/>
  <c r="I670" i="1"/>
  <c r="H670" i="1"/>
  <c r="T669" i="1"/>
  <c r="S669" i="1"/>
  <c r="R669" i="1"/>
  <c r="Q669" i="1"/>
  <c r="E669" i="1"/>
  <c r="D669" i="1"/>
  <c r="U669" i="1" s="1"/>
  <c r="E668" i="1"/>
  <c r="F668" i="1" s="1"/>
  <c r="D668" i="1"/>
  <c r="W667" i="1"/>
  <c r="V667" i="1"/>
  <c r="U667" i="1"/>
  <c r="T667" i="1"/>
  <c r="S667" i="1"/>
  <c r="Q667" i="1"/>
  <c r="F667" i="1"/>
  <c r="W666" i="1"/>
  <c r="U666" i="1"/>
  <c r="T666" i="1"/>
  <c r="S666" i="1"/>
  <c r="R666" i="1"/>
  <c r="Q666" i="1"/>
  <c r="O666" i="1"/>
  <c r="G666" i="1"/>
  <c r="W665" i="1"/>
  <c r="V665" i="1"/>
  <c r="T665" i="1"/>
  <c r="S665" i="1"/>
  <c r="R665" i="1"/>
  <c r="Q665" i="1"/>
  <c r="O665" i="1"/>
  <c r="P665" i="1" s="1"/>
  <c r="G665" i="1"/>
  <c r="W664" i="1"/>
  <c r="U664" i="1"/>
  <c r="T664" i="1"/>
  <c r="S664" i="1"/>
  <c r="R664" i="1"/>
  <c r="Q664" i="1"/>
  <c r="G664" i="1"/>
  <c r="O664" i="1" s="1"/>
  <c r="P664" i="1" s="1"/>
  <c r="W663" i="1"/>
  <c r="U663" i="1"/>
  <c r="T663" i="1"/>
  <c r="S663" i="1"/>
  <c r="R663" i="1"/>
  <c r="Q663" i="1"/>
  <c r="G663" i="1"/>
  <c r="O663" i="1" s="1"/>
  <c r="P663" i="1" s="1"/>
  <c r="W662" i="1"/>
  <c r="V662" i="1"/>
  <c r="T662" i="1"/>
  <c r="S662" i="1"/>
  <c r="R662" i="1"/>
  <c r="Q662" i="1"/>
  <c r="G662" i="1"/>
  <c r="O662" i="1" s="1"/>
  <c r="P662" i="1" s="1"/>
  <c r="W661" i="1"/>
  <c r="U661" i="1"/>
  <c r="T661" i="1"/>
  <c r="S661" i="1"/>
  <c r="R661" i="1"/>
  <c r="Q661" i="1"/>
  <c r="G661" i="1"/>
  <c r="O661" i="1" s="1"/>
  <c r="P661" i="1" s="1"/>
  <c r="M660" i="1"/>
  <c r="L660" i="1"/>
  <c r="K660" i="1"/>
  <c r="I660" i="1"/>
  <c r="H660" i="1"/>
  <c r="J660" i="1" s="1"/>
  <c r="N660" i="1" s="1"/>
  <c r="E659" i="1"/>
  <c r="F659" i="1" s="1"/>
  <c r="D659" i="1"/>
  <c r="W658" i="1"/>
  <c r="U658" i="1"/>
  <c r="F658" i="1"/>
  <c r="E658" i="1"/>
  <c r="D658" i="1"/>
  <c r="W657" i="1"/>
  <c r="V657" i="1"/>
  <c r="U657" i="1"/>
  <c r="T657" i="1"/>
  <c r="R657" i="1"/>
  <c r="Q657" i="1"/>
  <c r="F657" i="1"/>
  <c r="W656" i="1"/>
  <c r="U656" i="1"/>
  <c r="T656" i="1"/>
  <c r="S656" i="1"/>
  <c r="R656" i="1"/>
  <c r="Q656" i="1"/>
  <c r="G656" i="1"/>
  <c r="O656" i="1" s="1"/>
  <c r="P656" i="1" s="1"/>
  <c r="W655" i="1"/>
  <c r="V655" i="1"/>
  <c r="T655" i="1"/>
  <c r="S655" i="1"/>
  <c r="R655" i="1"/>
  <c r="Q655" i="1"/>
  <c r="G655" i="1"/>
  <c r="O655" i="1" s="1"/>
  <c r="P655" i="1" s="1"/>
  <c r="W654" i="1"/>
  <c r="V654" i="1"/>
  <c r="U654" i="1"/>
  <c r="S654" i="1"/>
  <c r="R654" i="1"/>
  <c r="Q654" i="1"/>
  <c r="G654" i="1"/>
  <c r="O654" i="1" s="1"/>
  <c r="P654" i="1" s="1"/>
  <c r="W653" i="1"/>
  <c r="U653" i="1"/>
  <c r="T653" i="1"/>
  <c r="S653" i="1"/>
  <c r="R653" i="1"/>
  <c r="Q653" i="1"/>
  <c r="G653" i="1"/>
  <c r="O653" i="1" s="1"/>
  <c r="P653" i="1" s="1"/>
  <c r="M652" i="1"/>
  <c r="L652" i="1"/>
  <c r="K652" i="1"/>
  <c r="I652" i="1"/>
  <c r="H652" i="1"/>
  <c r="J652" i="1" s="1"/>
  <c r="N652" i="1" s="1"/>
  <c r="E651" i="1"/>
  <c r="F651" i="1" s="1"/>
  <c r="D651" i="1"/>
  <c r="T651" i="1" s="1"/>
  <c r="E650" i="1"/>
  <c r="F650" i="1" s="1"/>
  <c r="D650" i="1"/>
  <c r="Q650" i="1" s="1"/>
  <c r="W649" i="1"/>
  <c r="V649" i="1"/>
  <c r="U649" i="1"/>
  <c r="T649" i="1"/>
  <c r="R649" i="1"/>
  <c r="Q649" i="1"/>
  <c r="F649" i="1"/>
  <c r="W648" i="1"/>
  <c r="V648" i="1"/>
  <c r="U648" i="1"/>
  <c r="S648" i="1"/>
  <c r="R648" i="1"/>
  <c r="Q648" i="1"/>
  <c r="O648" i="1"/>
  <c r="P648" i="1" s="1"/>
  <c r="G648" i="1"/>
  <c r="W647" i="1"/>
  <c r="V647" i="1"/>
  <c r="T647" i="1"/>
  <c r="S647" i="1"/>
  <c r="R647" i="1"/>
  <c r="Q647" i="1"/>
  <c r="G647" i="1"/>
  <c r="O647" i="1" s="1"/>
  <c r="P647" i="1" s="1"/>
  <c r="W646" i="1"/>
  <c r="V646" i="1"/>
  <c r="U646" i="1"/>
  <c r="S646" i="1"/>
  <c r="R646" i="1"/>
  <c r="Q646" i="1"/>
  <c r="O646" i="1"/>
  <c r="P646" i="1" s="1"/>
  <c r="G646" i="1"/>
  <c r="W645" i="1"/>
  <c r="V645" i="1"/>
  <c r="T645" i="1"/>
  <c r="S645" i="1"/>
  <c r="R645" i="1"/>
  <c r="Q645" i="1"/>
  <c r="G645" i="1"/>
  <c r="O645" i="1" s="1"/>
  <c r="P645" i="1" s="1"/>
  <c r="N644" i="1"/>
  <c r="M644" i="1"/>
  <c r="L644" i="1"/>
  <c r="K644" i="1"/>
  <c r="I644" i="1"/>
  <c r="H644" i="1"/>
  <c r="J644" i="1" s="1"/>
  <c r="W643" i="1"/>
  <c r="U643" i="1"/>
  <c r="S643" i="1"/>
  <c r="R643" i="1"/>
  <c r="E643" i="1"/>
  <c r="F643" i="1" s="1"/>
  <c r="D643" i="1"/>
  <c r="T643" i="1" s="1"/>
  <c r="V642" i="1"/>
  <c r="T642" i="1"/>
  <c r="S642" i="1"/>
  <c r="F642" i="1"/>
  <c r="E642" i="1"/>
  <c r="D642" i="1"/>
  <c r="W641" i="1"/>
  <c r="V641" i="1"/>
  <c r="U641" i="1"/>
  <c r="T641" i="1"/>
  <c r="S641" i="1"/>
  <c r="Q641" i="1"/>
  <c r="F641" i="1"/>
  <c r="W640" i="1"/>
  <c r="V640" i="1"/>
  <c r="T640" i="1"/>
  <c r="S640" i="1"/>
  <c r="R640" i="1"/>
  <c r="Q640" i="1"/>
  <c r="G640" i="1"/>
  <c r="O640" i="1" s="1"/>
  <c r="P640" i="1" s="1"/>
  <c r="W639" i="1"/>
  <c r="V639" i="1"/>
  <c r="U639" i="1"/>
  <c r="S639" i="1"/>
  <c r="R639" i="1"/>
  <c r="Q639" i="1"/>
  <c r="O639" i="1"/>
  <c r="P639" i="1" s="1"/>
  <c r="G639" i="1"/>
  <c r="W638" i="1"/>
  <c r="V638" i="1"/>
  <c r="U638" i="1"/>
  <c r="S638" i="1"/>
  <c r="R638" i="1"/>
  <c r="Q638" i="1"/>
  <c r="G638" i="1"/>
  <c r="O638" i="1" s="1"/>
  <c r="P638" i="1" s="1"/>
  <c r="N637" i="1"/>
  <c r="M637" i="1"/>
  <c r="L637" i="1"/>
  <c r="K637" i="1"/>
  <c r="I637" i="1"/>
  <c r="H637" i="1"/>
  <c r="J637" i="1" s="1"/>
  <c r="E636" i="1"/>
  <c r="D636" i="1"/>
  <c r="F635" i="1"/>
  <c r="E635" i="1"/>
  <c r="D635" i="1"/>
  <c r="W634" i="1"/>
  <c r="V634" i="1"/>
  <c r="U634" i="1"/>
  <c r="T634" i="1"/>
  <c r="S634" i="1"/>
  <c r="Q634" i="1"/>
  <c r="F634" i="1"/>
  <c r="W633" i="1"/>
  <c r="V633" i="1"/>
  <c r="T633" i="1"/>
  <c r="S633" i="1"/>
  <c r="R633" i="1"/>
  <c r="Q633" i="1"/>
  <c r="P633" i="1"/>
  <c r="O633" i="1"/>
  <c r="G633" i="1"/>
  <c r="W632" i="1"/>
  <c r="V632" i="1"/>
  <c r="U632" i="1"/>
  <c r="S632" i="1"/>
  <c r="R632" i="1"/>
  <c r="Q632" i="1"/>
  <c r="O632" i="1"/>
  <c r="P632" i="1" s="1"/>
  <c r="G632" i="1"/>
  <c r="W631" i="1"/>
  <c r="V631" i="1"/>
  <c r="U631" i="1"/>
  <c r="S631" i="1"/>
  <c r="R631" i="1"/>
  <c r="Q631" i="1"/>
  <c r="O631" i="1"/>
  <c r="P631" i="1" s="1"/>
  <c r="G631" i="1"/>
  <c r="W630" i="1"/>
  <c r="V630" i="1"/>
  <c r="U630" i="1"/>
  <c r="S630" i="1"/>
  <c r="R630" i="1"/>
  <c r="Q630" i="1"/>
  <c r="O630" i="1"/>
  <c r="P630" i="1" s="1"/>
  <c r="G630" i="1"/>
  <c r="M629" i="1"/>
  <c r="L629" i="1"/>
  <c r="K629" i="1"/>
  <c r="I629" i="1"/>
  <c r="H629" i="1"/>
  <c r="J629" i="1" s="1"/>
  <c r="N629" i="1" s="1"/>
  <c r="E628" i="1"/>
  <c r="F628" i="1" s="1"/>
  <c r="D628" i="1"/>
  <c r="U627" i="1"/>
  <c r="S627" i="1"/>
  <c r="E627" i="1"/>
  <c r="F627" i="1" s="1"/>
  <c r="D627" i="1"/>
  <c r="Q627" i="1" s="1"/>
  <c r="W626" i="1"/>
  <c r="V626" i="1"/>
  <c r="U626" i="1"/>
  <c r="T626" i="1"/>
  <c r="S626" i="1"/>
  <c r="Q626" i="1"/>
  <c r="F626" i="1"/>
  <c r="W625" i="1"/>
  <c r="V625" i="1"/>
  <c r="T625" i="1"/>
  <c r="S625" i="1"/>
  <c r="R625" i="1"/>
  <c r="Q625" i="1"/>
  <c r="O625" i="1"/>
  <c r="P625" i="1" s="1"/>
  <c r="G625" i="1"/>
  <c r="W624" i="1"/>
  <c r="V624" i="1"/>
  <c r="U624" i="1"/>
  <c r="S624" i="1"/>
  <c r="R624" i="1"/>
  <c r="Q624" i="1"/>
  <c r="P624" i="1"/>
  <c r="O624" i="1"/>
  <c r="G624" i="1"/>
  <c r="W623" i="1"/>
  <c r="V623" i="1"/>
  <c r="U623" i="1"/>
  <c r="S623" i="1"/>
  <c r="R623" i="1"/>
  <c r="Q623" i="1"/>
  <c r="P623" i="1"/>
  <c r="O623" i="1"/>
  <c r="G623" i="1"/>
  <c r="W622" i="1"/>
  <c r="V622" i="1"/>
  <c r="U622" i="1"/>
  <c r="S622" i="1"/>
  <c r="R622" i="1"/>
  <c r="Q622" i="1"/>
  <c r="O622" i="1"/>
  <c r="P622" i="1" s="1"/>
  <c r="G622" i="1"/>
  <c r="N621" i="1"/>
  <c r="M621" i="1"/>
  <c r="L621" i="1"/>
  <c r="K621" i="1"/>
  <c r="I621" i="1"/>
  <c r="H621" i="1"/>
  <c r="J621" i="1" s="1"/>
  <c r="W620" i="1"/>
  <c r="U620" i="1"/>
  <c r="S620" i="1"/>
  <c r="R620" i="1"/>
  <c r="Q620" i="1"/>
  <c r="E620" i="1"/>
  <c r="D620" i="1"/>
  <c r="T620" i="1" s="1"/>
  <c r="F619" i="1"/>
  <c r="E619" i="1"/>
  <c r="D619" i="1"/>
  <c r="V619" i="1" s="1"/>
  <c r="W618" i="1"/>
  <c r="V618" i="1"/>
  <c r="U618" i="1"/>
  <c r="T618" i="1"/>
  <c r="S618" i="1"/>
  <c r="Q618" i="1"/>
  <c r="F618" i="1"/>
  <c r="W617" i="1"/>
  <c r="V617" i="1"/>
  <c r="T617" i="1"/>
  <c r="S617" i="1"/>
  <c r="R617" i="1"/>
  <c r="Q617" i="1"/>
  <c r="P617" i="1"/>
  <c r="O617" i="1"/>
  <c r="G617" i="1"/>
  <c r="W616" i="1"/>
  <c r="V616" i="1"/>
  <c r="U616" i="1"/>
  <c r="S616" i="1"/>
  <c r="R616" i="1"/>
  <c r="Q616" i="1"/>
  <c r="O616" i="1"/>
  <c r="G616" i="1"/>
  <c r="W615" i="1"/>
  <c r="U615" i="1"/>
  <c r="T615" i="1"/>
  <c r="S615" i="1"/>
  <c r="R615" i="1"/>
  <c r="Q615" i="1"/>
  <c r="O615" i="1"/>
  <c r="P615" i="1" s="1"/>
  <c r="G615" i="1"/>
  <c r="W614" i="1"/>
  <c r="V614" i="1"/>
  <c r="U614" i="1"/>
  <c r="S614" i="1"/>
  <c r="R614" i="1"/>
  <c r="Q614" i="1"/>
  <c r="O614" i="1"/>
  <c r="P614" i="1" s="1"/>
  <c r="G614" i="1"/>
  <c r="M613" i="1"/>
  <c r="L613" i="1"/>
  <c r="K613" i="1"/>
  <c r="I613" i="1"/>
  <c r="H613" i="1"/>
  <c r="J613" i="1" s="1"/>
  <c r="N613" i="1" s="1"/>
  <c r="E612" i="1"/>
  <c r="D612" i="1"/>
  <c r="E611" i="1"/>
  <c r="F611" i="1" s="1"/>
  <c r="D611" i="1"/>
  <c r="W610" i="1"/>
  <c r="V610" i="1"/>
  <c r="U610" i="1"/>
  <c r="T610" i="1"/>
  <c r="S610" i="1"/>
  <c r="Q610" i="1"/>
  <c r="F610" i="1"/>
  <c r="W609" i="1"/>
  <c r="V609" i="1"/>
  <c r="T609" i="1"/>
  <c r="S609" i="1"/>
  <c r="R609" i="1"/>
  <c r="Q609" i="1"/>
  <c r="O609" i="1"/>
  <c r="P609" i="1" s="1"/>
  <c r="G609" i="1"/>
  <c r="W608" i="1"/>
  <c r="U608" i="1"/>
  <c r="T608" i="1"/>
  <c r="S608" i="1"/>
  <c r="R608" i="1"/>
  <c r="Q608" i="1"/>
  <c r="O608" i="1"/>
  <c r="G608" i="1"/>
  <c r="W607" i="1"/>
  <c r="V607" i="1"/>
  <c r="T607" i="1"/>
  <c r="S607" i="1"/>
  <c r="R607" i="1"/>
  <c r="Q607" i="1"/>
  <c r="O607" i="1"/>
  <c r="P607" i="1" s="1"/>
  <c r="G607" i="1"/>
  <c r="W606" i="1"/>
  <c r="V606" i="1"/>
  <c r="U606" i="1"/>
  <c r="S606" i="1"/>
  <c r="R606" i="1"/>
  <c r="Q606" i="1"/>
  <c r="G606" i="1"/>
  <c r="O606" i="1" s="1"/>
  <c r="P606" i="1" s="1"/>
  <c r="M605" i="1"/>
  <c r="L605" i="1"/>
  <c r="K605" i="1"/>
  <c r="I605" i="1"/>
  <c r="H605" i="1"/>
  <c r="J605" i="1" s="1"/>
  <c r="N605" i="1" s="1"/>
  <c r="E604" i="1"/>
  <c r="F604" i="1" s="1"/>
  <c r="W603" i="1"/>
  <c r="E603" i="1"/>
  <c r="F603" i="1" s="1"/>
  <c r="D603" i="1"/>
  <c r="T603" i="1" s="1"/>
  <c r="U602" i="1"/>
  <c r="F602" i="1"/>
  <c r="D602" i="1"/>
  <c r="W601" i="1"/>
  <c r="V601" i="1"/>
  <c r="U601" i="1"/>
  <c r="T601" i="1"/>
  <c r="S601" i="1"/>
  <c r="Q601" i="1"/>
  <c r="F601" i="1"/>
  <c r="W600" i="1"/>
  <c r="U600" i="1"/>
  <c r="T600" i="1"/>
  <c r="S600" i="1"/>
  <c r="R600" i="1"/>
  <c r="Q600" i="1"/>
  <c r="G600" i="1"/>
  <c r="O600" i="1" s="1"/>
  <c r="P600" i="1" s="1"/>
  <c r="W599" i="1"/>
  <c r="U599" i="1"/>
  <c r="T599" i="1"/>
  <c r="S599" i="1"/>
  <c r="R599" i="1"/>
  <c r="Q599" i="1"/>
  <c r="G599" i="1"/>
  <c r="O599" i="1" s="1"/>
  <c r="P599" i="1" s="1"/>
  <c r="N598" i="1"/>
  <c r="M598" i="1"/>
  <c r="L598" i="1"/>
  <c r="K598" i="1"/>
  <c r="I598" i="1"/>
  <c r="H598" i="1"/>
  <c r="J598" i="1" s="1"/>
  <c r="E597" i="1"/>
  <c r="F597" i="1" s="1"/>
  <c r="E596" i="1"/>
  <c r="F596" i="1" s="1"/>
  <c r="D596" i="1"/>
  <c r="V595" i="1"/>
  <c r="T595" i="1"/>
  <c r="F595" i="1"/>
  <c r="D595" i="1"/>
  <c r="W595" i="1" s="1"/>
  <c r="W594" i="1"/>
  <c r="V594" i="1"/>
  <c r="U594" i="1"/>
  <c r="T594" i="1"/>
  <c r="S594" i="1"/>
  <c r="Q594" i="1"/>
  <c r="F594" i="1"/>
  <c r="W593" i="1"/>
  <c r="U593" i="1"/>
  <c r="T593" i="1"/>
  <c r="S593" i="1"/>
  <c r="R593" i="1"/>
  <c r="Q593" i="1"/>
  <c r="O593" i="1"/>
  <c r="P593" i="1" s="1"/>
  <c r="G593" i="1"/>
  <c r="W592" i="1"/>
  <c r="U592" i="1"/>
  <c r="T592" i="1"/>
  <c r="S592" i="1"/>
  <c r="R592" i="1"/>
  <c r="Q592" i="1"/>
  <c r="G592" i="1"/>
  <c r="O592" i="1" s="1"/>
  <c r="P592" i="1" s="1"/>
  <c r="N591" i="1"/>
  <c r="M591" i="1"/>
  <c r="L591" i="1"/>
  <c r="K591" i="1"/>
  <c r="I591" i="1"/>
  <c r="H591" i="1"/>
  <c r="J591" i="1" s="1"/>
  <c r="F590" i="1"/>
  <c r="E590" i="1"/>
  <c r="E589" i="1"/>
  <c r="F589" i="1" s="1"/>
  <c r="D589" i="1"/>
  <c r="W588" i="1"/>
  <c r="F588" i="1"/>
  <c r="D588" i="1"/>
  <c r="D590" i="1" s="1"/>
  <c r="W587" i="1"/>
  <c r="V587" i="1"/>
  <c r="U587" i="1"/>
  <c r="T587" i="1"/>
  <c r="S587" i="1"/>
  <c r="R587" i="1"/>
  <c r="F587" i="1"/>
  <c r="W586" i="1"/>
  <c r="U586" i="1"/>
  <c r="T586" i="1"/>
  <c r="S586" i="1"/>
  <c r="R586" i="1"/>
  <c r="Q586" i="1"/>
  <c r="O586" i="1"/>
  <c r="P586" i="1" s="1"/>
  <c r="G586" i="1"/>
  <c r="W585" i="1"/>
  <c r="U585" i="1"/>
  <c r="T585" i="1"/>
  <c r="S585" i="1"/>
  <c r="R585" i="1"/>
  <c r="Q585" i="1"/>
  <c r="O585" i="1"/>
  <c r="P585" i="1" s="1"/>
  <c r="G585" i="1"/>
  <c r="M584" i="1"/>
  <c r="L584" i="1"/>
  <c r="K584" i="1"/>
  <c r="I584" i="1"/>
  <c r="H584" i="1"/>
  <c r="J584" i="1" s="1"/>
  <c r="N584" i="1" s="1"/>
  <c r="E583" i="1"/>
  <c r="F583" i="1" s="1"/>
  <c r="D583" i="1"/>
  <c r="E582" i="1"/>
  <c r="F582" i="1" s="1"/>
  <c r="F581" i="1"/>
  <c r="E581" i="1"/>
  <c r="D581" i="1"/>
  <c r="W580" i="1"/>
  <c r="U580" i="1"/>
  <c r="T580" i="1"/>
  <c r="F580" i="1"/>
  <c r="D580" i="1"/>
  <c r="W579" i="1"/>
  <c r="V579" i="1"/>
  <c r="U579" i="1"/>
  <c r="T579" i="1"/>
  <c r="S579" i="1"/>
  <c r="R579" i="1"/>
  <c r="F579" i="1"/>
  <c r="W578" i="1"/>
  <c r="V578" i="1"/>
  <c r="T578" i="1"/>
  <c r="S578" i="1"/>
  <c r="R578" i="1"/>
  <c r="Q578" i="1"/>
  <c r="G578" i="1"/>
  <c r="O578" i="1" s="1"/>
  <c r="P578" i="1" s="1"/>
  <c r="W577" i="1"/>
  <c r="V577" i="1"/>
  <c r="U577" i="1"/>
  <c r="S577" i="1"/>
  <c r="R577" i="1"/>
  <c r="Q577" i="1"/>
  <c r="G577" i="1"/>
  <c r="O577" i="1" s="1"/>
  <c r="P577" i="1" s="1"/>
  <c r="W576" i="1"/>
  <c r="V576" i="1"/>
  <c r="U576" i="1"/>
  <c r="S576" i="1"/>
  <c r="R576" i="1"/>
  <c r="Q576" i="1"/>
  <c r="G576" i="1"/>
  <c r="O576" i="1" s="1"/>
  <c r="P576" i="1" s="1"/>
  <c r="W575" i="1"/>
  <c r="V575" i="1"/>
  <c r="U575" i="1"/>
  <c r="S575" i="1"/>
  <c r="R575" i="1"/>
  <c r="Q575" i="1"/>
  <c r="G575" i="1"/>
  <c r="O575" i="1" s="1"/>
  <c r="P575" i="1" s="1"/>
  <c r="M574" i="1"/>
  <c r="L574" i="1"/>
  <c r="K574" i="1"/>
  <c r="I574" i="1"/>
  <c r="H574" i="1"/>
  <c r="J574" i="1" s="1"/>
  <c r="N574" i="1" s="1"/>
  <c r="E573" i="1"/>
  <c r="D573" i="1"/>
  <c r="E572" i="1"/>
  <c r="F572" i="1" s="1"/>
  <c r="F571" i="1"/>
  <c r="E571" i="1"/>
  <c r="D571" i="1"/>
  <c r="F570" i="1"/>
  <c r="D570" i="1"/>
  <c r="W569" i="1"/>
  <c r="V569" i="1"/>
  <c r="U569" i="1"/>
  <c r="T569" i="1"/>
  <c r="S569" i="1"/>
  <c r="R569" i="1"/>
  <c r="F569" i="1"/>
  <c r="W568" i="1"/>
  <c r="V568" i="1"/>
  <c r="U568" i="1"/>
  <c r="S568" i="1"/>
  <c r="R568" i="1"/>
  <c r="Q568" i="1"/>
  <c r="O568" i="1"/>
  <c r="G568" i="1"/>
  <c r="W567" i="1"/>
  <c r="U567" i="1"/>
  <c r="T567" i="1"/>
  <c r="S567" i="1"/>
  <c r="R567" i="1"/>
  <c r="Q567" i="1"/>
  <c r="G567" i="1"/>
  <c r="O567" i="1" s="1"/>
  <c r="P567" i="1" s="1"/>
  <c r="W566" i="1"/>
  <c r="V566" i="1"/>
  <c r="U566" i="1"/>
  <c r="S566" i="1"/>
  <c r="R566" i="1"/>
  <c r="Q566" i="1"/>
  <c r="G566" i="1"/>
  <c r="O566" i="1" s="1"/>
  <c r="P566" i="1" s="1"/>
  <c r="W565" i="1"/>
  <c r="V565" i="1"/>
  <c r="U565" i="1"/>
  <c r="S565" i="1"/>
  <c r="R565" i="1"/>
  <c r="Q565" i="1"/>
  <c r="G565" i="1"/>
  <c r="O565" i="1" s="1"/>
  <c r="P565" i="1" s="1"/>
  <c r="W564" i="1"/>
  <c r="U564" i="1"/>
  <c r="T564" i="1"/>
  <c r="S564" i="1"/>
  <c r="R564" i="1"/>
  <c r="Q564" i="1"/>
  <c r="G564" i="1"/>
  <c r="O564" i="1" s="1"/>
  <c r="P564" i="1" s="1"/>
  <c r="N563" i="1"/>
  <c r="M563" i="1"/>
  <c r="L563" i="1"/>
  <c r="K563" i="1"/>
  <c r="J563" i="1"/>
  <c r="I563" i="1"/>
  <c r="H563" i="1"/>
  <c r="E562" i="1"/>
  <c r="F562" i="1" s="1"/>
  <c r="D562" i="1"/>
  <c r="W561" i="1"/>
  <c r="V561" i="1"/>
  <c r="U561" i="1"/>
  <c r="T561" i="1"/>
  <c r="S561" i="1"/>
  <c r="Q561" i="1"/>
  <c r="F561" i="1"/>
  <c r="W560" i="1"/>
  <c r="V560" i="1"/>
  <c r="T560" i="1"/>
  <c r="S560" i="1"/>
  <c r="R560" i="1"/>
  <c r="Q560" i="1"/>
  <c r="G560" i="1"/>
  <c r="O560" i="1" s="1"/>
  <c r="P560" i="1" s="1"/>
  <c r="W559" i="1"/>
  <c r="V559" i="1"/>
  <c r="T559" i="1"/>
  <c r="S559" i="1"/>
  <c r="R559" i="1"/>
  <c r="Q559" i="1"/>
  <c r="G559" i="1"/>
  <c r="O559" i="1" s="1"/>
  <c r="P559" i="1" s="1"/>
  <c r="M558" i="1"/>
  <c r="L558" i="1"/>
  <c r="K558" i="1"/>
  <c r="I558" i="1"/>
  <c r="H558" i="1"/>
  <c r="J558" i="1" s="1"/>
  <c r="N558" i="1" s="1"/>
  <c r="U557" i="1"/>
  <c r="S557" i="1"/>
  <c r="E557" i="1"/>
  <c r="F557" i="1" s="1"/>
  <c r="D557" i="1"/>
  <c r="Q557" i="1" s="1"/>
  <c r="W556" i="1"/>
  <c r="V556" i="1"/>
  <c r="U556" i="1"/>
  <c r="T556" i="1"/>
  <c r="S556" i="1"/>
  <c r="Q556" i="1"/>
  <c r="F556" i="1"/>
  <c r="W555" i="1"/>
  <c r="V555" i="1"/>
  <c r="T555" i="1"/>
  <c r="S555" i="1"/>
  <c r="R555" i="1"/>
  <c r="Q555" i="1"/>
  <c r="O555" i="1"/>
  <c r="P555" i="1" s="1"/>
  <c r="G555" i="1"/>
  <c r="W554" i="1"/>
  <c r="V554" i="1"/>
  <c r="T554" i="1"/>
  <c r="S554" i="1"/>
  <c r="R554" i="1"/>
  <c r="Q554" i="1"/>
  <c r="P554" i="1"/>
  <c r="G554" i="1"/>
  <c r="O554" i="1" s="1"/>
  <c r="M553" i="1"/>
  <c r="L553" i="1"/>
  <c r="K553" i="1"/>
  <c r="I553" i="1"/>
  <c r="H553" i="1"/>
  <c r="J553" i="1" s="1"/>
  <c r="N553" i="1" s="1"/>
  <c r="W552" i="1"/>
  <c r="E552" i="1"/>
  <c r="F552" i="1" s="1"/>
  <c r="D552" i="1"/>
  <c r="W551" i="1"/>
  <c r="V551" i="1"/>
  <c r="U551" i="1"/>
  <c r="T551" i="1"/>
  <c r="S551" i="1"/>
  <c r="Q551" i="1"/>
  <c r="F551" i="1"/>
  <c r="W550" i="1"/>
  <c r="V550" i="1"/>
  <c r="T550" i="1"/>
  <c r="S550" i="1"/>
  <c r="R550" i="1"/>
  <c r="Q550" i="1"/>
  <c r="G550" i="1"/>
  <c r="O550" i="1" s="1"/>
  <c r="P550" i="1" s="1"/>
  <c r="W549" i="1"/>
  <c r="V549" i="1"/>
  <c r="T549" i="1"/>
  <c r="S549" i="1"/>
  <c r="R549" i="1"/>
  <c r="Q549" i="1"/>
  <c r="G549" i="1"/>
  <c r="O549" i="1" s="1"/>
  <c r="P549" i="1" s="1"/>
  <c r="M548" i="1"/>
  <c r="L548" i="1"/>
  <c r="K548" i="1"/>
  <c r="I548" i="1"/>
  <c r="H548" i="1"/>
  <c r="J548" i="1" s="1"/>
  <c r="N548" i="1" s="1"/>
  <c r="U547" i="1"/>
  <c r="S547" i="1"/>
  <c r="F547" i="1"/>
  <c r="E547" i="1"/>
  <c r="D547" i="1"/>
  <c r="W546" i="1"/>
  <c r="V546" i="1"/>
  <c r="U546" i="1"/>
  <c r="T546" i="1"/>
  <c r="S546" i="1"/>
  <c r="Q546" i="1"/>
  <c r="F546" i="1"/>
  <c r="W545" i="1"/>
  <c r="V545" i="1"/>
  <c r="T545" i="1"/>
  <c r="S545" i="1"/>
  <c r="R545" i="1"/>
  <c r="Q545" i="1"/>
  <c r="G545" i="1"/>
  <c r="O545" i="1" s="1"/>
  <c r="P545" i="1" s="1"/>
  <c r="W544" i="1"/>
  <c r="V544" i="1"/>
  <c r="T544" i="1"/>
  <c r="S544" i="1"/>
  <c r="R544" i="1"/>
  <c r="Q544" i="1"/>
  <c r="G544" i="1"/>
  <c r="O544" i="1" s="1"/>
  <c r="P544" i="1" s="1"/>
  <c r="M543" i="1"/>
  <c r="L543" i="1"/>
  <c r="K543" i="1"/>
  <c r="I543" i="1"/>
  <c r="H543" i="1"/>
  <c r="J543" i="1" s="1"/>
  <c r="N543" i="1" s="1"/>
  <c r="W542" i="1"/>
  <c r="U542" i="1"/>
  <c r="T542" i="1"/>
  <c r="E542" i="1"/>
  <c r="F542" i="1" s="1"/>
  <c r="D542" i="1"/>
  <c r="W541" i="1"/>
  <c r="V541" i="1"/>
  <c r="U541" i="1"/>
  <c r="T541" i="1"/>
  <c r="S541" i="1"/>
  <c r="Q541" i="1"/>
  <c r="F541" i="1"/>
  <c r="W540" i="1"/>
  <c r="V540" i="1"/>
  <c r="T540" i="1"/>
  <c r="S540" i="1"/>
  <c r="R540" i="1"/>
  <c r="Q540" i="1"/>
  <c r="O540" i="1"/>
  <c r="P540" i="1" s="1"/>
  <c r="G540" i="1"/>
  <c r="W539" i="1"/>
  <c r="V539" i="1"/>
  <c r="T539" i="1"/>
  <c r="S539" i="1"/>
  <c r="R539" i="1"/>
  <c r="Q539" i="1"/>
  <c r="O539" i="1"/>
  <c r="P539" i="1" s="1"/>
  <c r="G539" i="1"/>
  <c r="M538" i="1"/>
  <c r="L538" i="1"/>
  <c r="K538" i="1"/>
  <c r="J538" i="1"/>
  <c r="N538" i="1" s="1"/>
  <c r="I538" i="1"/>
  <c r="H538" i="1"/>
  <c r="U537" i="1"/>
  <c r="S537" i="1"/>
  <c r="E537" i="1"/>
  <c r="F537" i="1" s="1"/>
  <c r="D537" i="1"/>
  <c r="Q537" i="1" s="1"/>
  <c r="W536" i="1"/>
  <c r="V536" i="1"/>
  <c r="U536" i="1"/>
  <c r="T536" i="1"/>
  <c r="S536" i="1"/>
  <c r="Q536" i="1"/>
  <c r="F536" i="1"/>
  <c r="W535" i="1"/>
  <c r="V535" i="1"/>
  <c r="T535" i="1"/>
  <c r="S535" i="1"/>
  <c r="R535" i="1"/>
  <c r="Q535" i="1"/>
  <c r="O535" i="1"/>
  <c r="P535" i="1" s="1"/>
  <c r="G535" i="1"/>
  <c r="W534" i="1"/>
  <c r="V534" i="1"/>
  <c r="T534" i="1"/>
  <c r="S534" i="1"/>
  <c r="R534" i="1"/>
  <c r="Q534" i="1"/>
  <c r="G534" i="1"/>
  <c r="O534" i="1" s="1"/>
  <c r="P534" i="1" s="1"/>
  <c r="M533" i="1"/>
  <c r="L533" i="1"/>
  <c r="K533" i="1"/>
  <c r="I533" i="1"/>
  <c r="H533" i="1"/>
  <c r="J533" i="1" s="1"/>
  <c r="N533" i="1" s="1"/>
  <c r="E532" i="1"/>
  <c r="F532" i="1" s="1"/>
  <c r="D532" i="1"/>
  <c r="W531" i="1"/>
  <c r="V531" i="1"/>
  <c r="U531" i="1"/>
  <c r="T531" i="1"/>
  <c r="R531" i="1"/>
  <c r="Q531" i="1"/>
  <c r="F531" i="1"/>
  <c r="W530" i="1"/>
  <c r="U530" i="1"/>
  <c r="T530" i="1"/>
  <c r="S530" i="1"/>
  <c r="R530" i="1"/>
  <c r="Q530" i="1"/>
  <c r="G530" i="1"/>
  <c r="O530" i="1" s="1"/>
  <c r="P530" i="1" s="1"/>
  <c r="W529" i="1"/>
  <c r="U529" i="1"/>
  <c r="T529" i="1"/>
  <c r="S529" i="1"/>
  <c r="R529" i="1"/>
  <c r="Q529" i="1"/>
  <c r="G529" i="1"/>
  <c r="O529" i="1" s="1"/>
  <c r="P529" i="1" s="1"/>
  <c r="N528" i="1"/>
  <c r="L528" i="1"/>
  <c r="K528" i="1"/>
  <c r="I528" i="1"/>
  <c r="H528" i="1"/>
  <c r="J528" i="1" s="1"/>
  <c r="M528" i="1" s="1"/>
  <c r="E527" i="1"/>
  <c r="F527" i="1" s="1"/>
  <c r="D527" i="1"/>
  <c r="W526" i="1"/>
  <c r="V526" i="1"/>
  <c r="U526" i="1"/>
  <c r="T526" i="1"/>
  <c r="S526" i="1"/>
  <c r="Q526" i="1"/>
  <c r="F526" i="1"/>
  <c r="W525" i="1"/>
  <c r="U525" i="1"/>
  <c r="T525" i="1"/>
  <c r="S525" i="1"/>
  <c r="R525" i="1"/>
  <c r="Q525" i="1"/>
  <c r="G525" i="1"/>
  <c r="O525" i="1" s="1"/>
  <c r="P525" i="1" s="1"/>
  <c r="W524" i="1"/>
  <c r="U524" i="1"/>
  <c r="T524" i="1"/>
  <c r="S524" i="1"/>
  <c r="R524" i="1"/>
  <c r="Q524" i="1"/>
  <c r="G524" i="1"/>
  <c r="O524" i="1" s="1"/>
  <c r="P524" i="1" s="1"/>
  <c r="N523" i="1"/>
  <c r="M523" i="1"/>
  <c r="L523" i="1"/>
  <c r="K523" i="1"/>
  <c r="I523" i="1"/>
  <c r="H523" i="1"/>
  <c r="J523" i="1" s="1"/>
  <c r="E522" i="1"/>
  <c r="F522" i="1" s="1"/>
  <c r="D522" i="1"/>
  <c r="W521" i="1"/>
  <c r="V521" i="1"/>
  <c r="U521" i="1"/>
  <c r="T521" i="1"/>
  <c r="S521" i="1"/>
  <c r="Q521" i="1"/>
  <c r="F521" i="1"/>
  <c r="W520" i="1"/>
  <c r="U520" i="1"/>
  <c r="T520" i="1"/>
  <c r="S520" i="1"/>
  <c r="R520" i="1"/>
  <c r="Q520" i="1"/>
  <c r="G520" i="1"/>
  <c r="O520" i="1" s="1"/>
  <c r="P520" i="1" s="1"/>
  <c r="W519" i="1"/>
  <c r="U519" i="1"/>
  <c r="T519" i="1"/>
  <c r="S519" i="1"/>
  <c r="R519" i="1"/>
  <c r="Q519" i="1"/>
  <c r="G519" i="1"/>
  <c r="O519" i="1" s="1"/>
  <c r="P519" i="1" s="1"/>
  <c r="M518" i="1"/>
  <c r="L518" i="1"/>
  <c r="K518" i="1"/>
  <c r="J518" i="1"/>
  <c r="N518" i="1" s="1"/>
  <c r="I518" i="1"/>
  <c r="H518" i="1"/>
  <c r="E517" i="1"/>
  <c r="F517" i="1" s="1"/>
  <c r="D517" i="1"/>
  <c r="Q517" i="1" s="1"/>
  <c r="W516" i="1"/>
  <c r="V516" i="1"/>
  <c r="U516" i="1"/>
  <c r="T516" i="1"/>
  <c r="R516" i="1"/>
  <c r="Q516" i="1"/>
  <c r="F516" i="1"/>
  <c r="W515" i="1"/>
  <c r="U515" i="1"/>
  <c r="T515" i="1"/>
  <c r="S515" i="1"/>
  <c r="R515" i="1"/>
  <c r="Q515" i="1"/>
  <c r="G515" i="1"/>
  <c r="O515" i="1" s="1"/>
  <c r="P515" i="1" s="1"/>
  <c r="W514" i="1"/>
  <c r="U514" i="1"/>
  <c r="T514" i="1"/>
  <c r="S514" i="1"/>
  <c r="R514" i="1"/>
  <c r="Q514" i="1"/>
  <c r="G514" i="1"/>
  <c r="O514" i="1" s="1"/>
  <c r="P514" i="1" s="1"/>
  <c r="N513" i="1"/>
  <c r="L513" i="1"/>
  <c r="K513" i="1"/>
  <c r="I513" i="1"/>
  <c r="H513" i="1"/>
  <c r="J513" i="1" s="1"/>
  <c r="M513" i="1" s="1"/>
  <c r="E512" i="1"/>
  <c r="F512" i="1" s="1"/>
  <c r="D512" i="1"/>
  <c r="V512" i="1" s="1"/>
  <c r="W511" i="1"/>
  <c r="V511" i="1"/>
  <c r="U511" i="1"/>
  <c r="T511" i="1"/>
  <c r="R511" i="1"/>
  <c r="Q511" i="1"/>
  <c r="F511" i="1"/>
  <c r="W510" i="1"/>
  <c r="U510" i="1"/>
  <c r="T510" i="1"/>
  <c r="S510" i="1"/>
  <c r="R510" i="1"/>
  <c r="Q510" i="1"/>
  <c r="G510" i="1"/>
  <c r="O510" i="1" s="1"/>
  <c r="P510" i="1" s="1"/>
  <c r="W509" i="1"/>
  <c r="U509" i="1"/>
  <c r="T509" i="1"/>
  <c r="S509" i="1"/>
  <c r="R509" i="1"/>
  <c r="Q509" i="1"/>
  <c r="G509" i="1"/>
  <c r="O509" i="1" s="1"/>
  <c r="P509" i="1" s="1"/>
  <c r="M508" i="1"/>
  <c r="L508" i="1"/>
  <c r="K508" i="1"/>
  <c r="I508" i="1"/>
  <c r="H508" i="1"/>
  <c r="J508" i="1" s="1"/>
  <c r="N508" i="1" s="1"/>
  <c r="W507" i="1"/>
  <c r="V507" i="1"/>
  <c r="E507" i="1"/>
  <c r="F507" i="1" s="1"/>
  <c r="V506" i="1"/>
  <c r="E506" i="1"/>
  <c r="F506" i="1" s="1"/>
  <c r="D506" i="1"/>
  <c r="T506" i="1" s="1"/>
  <c r="W505" i="1"/>
  <c r="S505" i="1"/>
  <c r="Q505" i="1"/>
  <c r="F505" i="1"/>
  <c r="D505" i="1"/>
  <c r="D507" i="1" s="1"/>
  <c r="W504" i="1"/>
  <c r="V504" i="1"/>
  <c r="U504" i="1"/>
  <c r="T504" i="1"/>
  <c r="S504" i="1"/>
  <c r="Q504" i="1"/>
  <c r="F504" i="1"/>
  <c r="W503" i="1"/>
  <c r="U503" i="1"/>
  <c r="T503" i="1"/>
  <c r="S503" i="1"/>
  <c r="R503" i="1"/>
  <c r="Q503" i="1"/>
  <c r="O503" i="1"/>
  <c r="P503" i="1" s="1"/>
  <c r="G503" i="1"/>
  <c r="W502" i="1"/>
  <c r="U502" i="1"/>
  <c r="T502" i="1"/>
  <c r="S502" i="1"/>
  <c r="R502" i="1"/>
  <c r="Q502" i="1"/>
  <c r="O502" i="1"/>
  <c r="P502" i="1" s="1"/>
  <c r="G502" i="1"/>
  <c r="M501" i="1"/>
  <c r="L501" i="1"/>
  <c r="K501" i="1"/>
  <c r="I501" i="1"/>
  <c r="H501" i="1"/>
  <c r="J501" i="1" s="1"/>
  <c r="N501" i="1" s="1"/>
  <c r="W500" i="1"/>
  <c r="V500" i="1"/>
  <c r="E500" i="1"/>
  <c r="F500" i="1" s="1"/>
  <c r="D500" i="1"/>
  <c r="T500" i="1" s="1"/>
  <c r="W499" i="1"/>
  <c r="V499" i="1"/>
  <c r="U499" i="1"/>
  <c r="T499" i="1"/>
  <c r="S499" i="1"/>
  <c r="Q499" i="1"/>
  <c r="F499" i="1"/>
  <c r="W498" i="1"/>
  <c r="U498" i="1"/>
  <c r="T498" i="1"/>
  <c r="S498" i="1"/>
  <c r="R498" i="1"/>
  <c r="Q498" i="1"/>
  <c r="G498" i="1"/>
  <c r="O498" i="1" s="1"/>
  <c r="P498" i="1" s="1"/>
  <c r="W497" i="1"/>
  <c r="U497" i="1"/>
  <c r="T497" i="1"/>
  <c r="S497" i="1"/>
  <c r="R497" i="1"/>
  <c r="Q497" i="1"/>
  <c r="P497" i="1"/>
  <c r="G497" i="1"/>
  <c r="O497" i="1" s="1"/>
  <c r="M496" i="1"/>
  <c r="L496" i="1"/>
  <c r="K496" i="1"/>
  <c r="I496" i="1"/>
  <c r="H496" i="1"/>
  <c r="J496" i="1" s="1"/>
  <c r="N496" i="1" s="1"/>
  <c r="E495" i="1"/>
  <c r="F495" i="1" s="1"/>
  <c r="D495" i="1"/>
  <c r="V495" i="1" s="1"/>
  <c r="W494" i="1"/>
  <c r="V494" i="1"/>
  <c r="U494" i="1"/>
  <c r="T494" i="1"/>
  <c r="S494" i="1"/>
  <c r="R494" i="1"/>
  <c r="F494" i="1"/>
  <c r="W493" i="1"/>
  <c r="V493" i="1"/>
  <c r="U493" i="1"/>
  <c r="S493" i="1"/>
  <c r="R493" i="1"/>
  <c r="Q493" i="1"/>
  <c r="G493" i="1"/>
  <c r="O493" i="1" s="1"/>
  <c r="P493" i="1" s="1"/>
  <c r="W492" i="1"/>
  <c r="V492" i="1"/>
  <c r="U492" i="1"/>
  <c r="S492" i="1"/>
  <c r="R492" i="1"/>
  <c r="Q492" i="1"/>
  <c r="G492" i="1"/>
  <c r="O492" i="1" s="1"/>
  <c r="P492" i="1" s="1"/>
  <c r="M491" i="1"/>
  <c r="L491" i="1"/>
  <c r="K491" i="1"/>
  <c r="I491" i="1"/>
  <c r="H491" i="1"/>
  <c r="J491" i="1" s="1"/>
  <c r="N491" i="1" s="1"/>
  <c r="E490" i="1"/>
  <c r="F490" i="1" s="1"/>
  <c r="D490" i="1"/>
  <c r="W489" i="1"/>
  <c r="V489" i="1"/>
  <c r="U489" i="1"/>
  <c r="T489" i="1"/>
  <c r="S489" i="1"/>
  <c r="R489" i="1"/>
  <c r="F489" i="1"/>
  <c r="W488" i="1"/>
  <c r="V488" i="1"/>
  <c r="U488" i="1"/>
  <c r="S488" i="1"/>
  <c r="R488" i="1"/>
  <c r="Q488" i="1"/>
  <c r="G488" i="1"/>
  <c r="O488" i="1" s="1"/>
  <c r="P488" i="1" s="1"/>
  <c r="W487" i="1"/>
  <c r="V487" i="1"/>
  <c r="U487" i="1"/>
  <c r="S487" i="1"/>
  <c r="R487" i="1"/>
  <c r="Q487" i="1"/>
  <c r="O487" i="1"/>
  <c r="P487" i="1" s="1"/>
  <c r="G487" i="1"/>
  <c r="M486" i="1"/>
  <c r="L486" i="1"/>
  <c r="K486" i="1"/>
  <c r="I486" i="1"/>
  <c r="H486" i="1"/>
  <c r="J486" i="1" s="1"/>
  <c r="N486" i="1" s="1"/>
  <c r="W485" i="1"/>
  <c r="R485" i="1"/>
  <c r="F485" i="1"/>
  <c r="E485" i="1"/>
  <c r="D485" i="1"/>
  <c r="U485" i="1" s="1"/>
  <c r="E484" i="1"/>
  <c r="F484" i="1" s="1"/>
  <c r="E483" i="1"/>
  <c r="F483" i="1" s="1"/>
  <c r="D483" i="1"/>
  <c r="F482" i="1"/>
  <c r="D482" i="1"/>
  <c r="U482" i="1" s="1"/>
  <c r="W481" i="1"/>
  <c r="V481" i="1"/>
  <c r="U481" i="1"/>
  <c r="T481" i="1"/>
  <c r="S481" i="1"/>
  <c r="Q481" i="1"/>
  <c r="F481" i="1"/>
  <c r="W480" i="1"/>
  <c r="V480" i="1"/>
  <c r="U480" i="1"/>
  <c r="S480" i="1"/>
  <c r="R480" i="1"/>
  <c r="Q480" i="1"/>
  <c r="G480" i="1"/>
  <c r="O480" i="1" s="1"/>
  <c r="P480" i="1" s="1"/>
  <c r="W479" i="1"/>
  <c r="V479" i="1"/>
  <c r="T479" i="1"/>
  <c r="S479" i="1"/>
  <c r="R479" i="1"/>
  <c r="Q479" i="1"/>
  <c r="G479" i="1"/>
  <c r="O479" i="1" s="1"/>
  <c r="P479" i="1" s="1"/>
  <c r="W478" i="1"/>
  <c r="V478" i="1"/>
  <c r="U478" i="1"/>
  <c r="S478" i="1"/>
  <c r="R478" i="1"/>
  <c r="Q478" i="1"/>
  <c r="G478" i="1"/>
  <c r="O478" i="1" s="1"/>
  <c r="P478" i="1" s="1"/>
  <c r="W477" i="1"/>
  <c r="V477" i="1"/>
  <c r="T477" i="1"/>
  <c r="S477" i="1"/>
  <c r="R477" i="1"/>
  <c r="Q477" i="1"/>
  <c r="G477" i="1"/>
  <c r="O477" i="1" s="1"/>
  <c r="P477" i="1" s="1"/>
  <c r="M476" i="1"/>
  <c r="L476" i="1"/>
  <c r="K476" i="1"/>
  <c r="I476" i="1"/>
  <c r="H476" i="1"/>
  <c r="J476" i="1" s="1"/>
  <c r="N476" i="1" s="1"/>
  <c r="E475" i="1"/>
  <c r="D475" i="1"/>
  <c r="R475" i="1" s="1"/>
  <c r="W474" i="1"/>
  <c r="E474" i="1"/>
  <c r="F474" i="1" s="1"/>
  <c r="E473" i="1"/>
  <c r="F473" i="1" s="1"/>
  <c r="D473" i="1"/>
  <c r="V473" i="1" s="1"/>
  <c r="W472" i="1"/>
  <c r="S472" i="1"/>
  <c r="F472" i="1"/>
  <c r="D472" i="1"/>
  <c r="D474" i="1" s="1"/>
  <c r="W471" i="1"/>
  <c r="V471" i="1"/>
  <c r="U471" i="1"/>
  <c r="T471" i="1"/>
  <c r="S471" i="1"/>
  <c r="R471" i="1"/>
  <c r="F471" i="1"/>
  <c r="W470" i="1"/>
  <c r="V470" i="1"/>
  <c r="U470" i="1"/>
  <c r="S470" i="1"/>
  <c r="R470" i="1"/>
  <c r="Q470" i="1"/>
  <c r="O470" i="1"/>
  <c r="G470" i="1"/>
  <c r="W469" i="1"/>
  <c r="V469" i="1"/>
  <c r="T469" i="1"/>
  <c r="S469" i="1"/>
  <c r="R469" i="1"/>
  <c r="Q469" i="1"/>
  <c r="O469" i="1"/>
  <c r="P469" i="1" s="1"/>
  <c r="G469" i="1"/>
  <c r="W468" i="1"/>
  <c r="V468" i="1"/>
  <c r="U468" i="1"/>
  <c r="S468" i="1"/>
  <c r="R468" i="1"/>
  <c r="Q468" i="1"/>
  <c r="P468" i="1"/>
  <c r="O468" i="1"/>
  <c r="G468" i="1"/>
  <c r="W467" i="1"/>
  <c r="V467" i="1"/>
  <c r="T467" i="1"/>
  <c r="S467" i="1"/>
  <c r="R467" i="1"/>
  <c r="Q467" i="1"/>
  <c r="O467" i="1"/>
  <c r="P467" i="1" s="1"/>
  <c r="G467" i="1"/>
  <c r="M466" i="1"/>
  <c r="L466" i="1"/>
  <c r="K466" i="1"/>
  <c r="I466" i="1"/>
  <c r="H466" i="1"/>
  <c r="J466" i="1" s="1"/>
  <c r="N466" i="1" s="1"/>
  <c r="E465" i="1"/>
  <c r="F465" i="1" s="1"/>
  <c r="D465" i="1"/>
  <c r="E464" i="1"/>
  <c r="F464" i="1" s="1"/>
  <c r="W463" i="1"/>
  <c r="E463" i="1"/>
  <c r="F463" i="1" s="1"/>
  <c r="D463" i="1"/>
  <c r="T463" i="1" s="1"/>
  <c r="F462" i="1"/>
  <c r="D462" i="1"/>
  <c r="W461" i="1"/>
  <c r="V461" i="1"/>
  <c r="U461" i="1"/>
  <c r="T461" i="1"/>
  <c r="S461" i="1"/>
  <c r="Q461" i="1"/>
  <c r="F461" i="1"/>
  <c r="W460" i="1"/>
  <c r="V460" i="1"/>
  <c r="U460" i="1"/>
  <c r="S460" i="1"/>
  <c r="R460" i="1"/>
  <c r="Q460" i="1"/>
  <c r="G460" i="1"/>
  <c r="O460" i="1" s="1"/>
  <c r="P460" i="1" s="1"/>
  <c r="W459" i="1"/>
  <c r="V459" i="1"/>
  <c r="T459" i="1"/>
  <c r="S459" i="1"/>
  <c r="R459" i="1"/>
  <c r="Q459" i="1"/>
  <c r="G459" i="1"/>
  <c r="W458" i="1"/>
  <c r="V458" i="1"/>
  <c r="U458" i="1"/>
  <c r="S458" i="1"/>
  <c r="R458" i="1"/>
  <c r="Q458" i="1"/>
  <c r="G458" i="1"/>
  <c r="O458" i="1" s="1"/>
  <c r="P458" i="1" s="1"/>
  <c r="W457" i="1"/>
  <c r="V457" i="1"/>
  <c r="T457" i="1"/>
  <c r="S457" i="1"/>
  <c r="R457" i="1"/>
  <c r="Q457" i="1"/>
  <c r="G457" i="1"/>
  <c r="O457" i="1" s="1"/>
  <c r="P457" i="1" s="1"/>
  <c r="M456" i="1"/>
  <c r="L456" i="1"/>
  <c r="K456" i="1"/>
  <c r="I456" i="1"/>
  <c r="H456" i="1"/>
  <c r="J456" i="1" s="1"/>
  <c r="N456" i="1" s="1"/>
  <c r="E455" i="1"/>
  <c r="F455" i="1" s="1"/>
  <c r="D455" i="1"/>
  <c r="T455" i="1" s="1"/>
  <c r="U454" i="1"/>
  <c r="S454" i="1"/>
  <c r="R454" i="1"/>
  <c r="E454" i="1"/>
  <c r="F454" i="1" s="1"/>
  <c r="D454" i="1"/>
  <c r="W454" i="1" s="1"/>
  <c r="W453" i="1"/>
  <c r="V453" i="1"/>
  <c r="T453" i="1"/>
  <c r="S453" i="1"/>
  <c r="R453" i="1"/>
  <c r="F453" i="1"/>
  <c r="D453" i="1"/>
  <c r="U453" i="1" s="1"/>
  <c r="W452" i="1"/>
  <c r="V452" i="1"/>
  <c r="U452" i="1"/>
  <c r="T452" i="1"/>
  <c r="S452" i="1"/>
  <c r="R452" i="1"/>
  <c r="F452" i="1"/>
  <c r="W451" i="1"/>
  <c r="V451" i="1"/>
  <c r="T451" i="1"/>
  <c r="S451" i="1"/>
  <c r="R451" i="1"/>
  <c r="Q451" i="1"/>
  <c r="G451" i="1"/>
  <c r="O451" i="1" s="1"/>
  <c r="P451" i="1" s="1"/>
  <c r="W450" i="1"/>
  <c r="V450" i="1"/>
  <c r="U450" i="1"/>
  <c r="S450" i="1"/>
  <c r="R450" i="1"/>
  <c r="Q450" i="1"/>
  <c r="G450" i="1"/>
  <c r="O450" i="1" s="1"/>
  <c r="P450" i="1" s="1"/>
  <c r="N449" i="1"/>
  <c r="M449" i="1"/>
  <c r="L449" i="1"/>
  <c r="K449" i="1"/>
  <c r="I449" i="1"/>
  <c r="H449" i="1"/>
  <c r="J449" i="1" s="1"/>
  <c r="E448" i="1"/>
  <c r="F448" i="1" s="1"/>
  <c r="D448" i="1"/>
  <c r="E447" i="1"/>
  <c r="F447" i="1" s="1"/>
  <c r="D447" i="1"/>
  <c r="T447" i="1" s="1"/>
  <c r="W446" i="1"/>
  <c r="V446" i="1"/>
  <c r="U446" i="1"/>
  <c r="E446" i="1"/>
  <c r="F446" i="1" s="1"/>
  <c r="D446" i="1"/>
  <c r="T446" i="1" s="1"/>
  <c r="V445" i="1"/>
  <c r="T445" i="1"/>
  <c r="S445" i="1"/>
  <c r="F445" i="1"/>
  <c r="D445" i="1"/>
  <c r="R445" i="1" s="1"/>
  <c r="W444" i="1"/>
  <c r="V444" i="1"/>
  <c r="U444" i="1"/>
  <c r="T444" i="1"/>
  <c r="S444" i="1"/>
  <c r="R444" i="1"/>
  <c r="F444" i="1"/>
  <c r="W443" i="1"/>
  <c r="V443" i="1"/>
  <c r="T443" i="1"/>
  <c r="S443" i="1"/>
  <c r="R443" i="1"/>
  <c r="Q443" i="1"/>
  <c r="O443" i="1"/>
  <c r="P443" i="1" s="1"/>
  <c r="G443" i="1"/>
  <c r="W442" i="1"/>
  <c r="V442" i="1"/>
  <c r="U442" i="1"/>
  <c r="S442" i="1"/>
  <c r="R442" i="1"/>
  <c r="Q442" i="1"/>
  <c r="O442" i="1"/>
  <c r="P442" i="1" s="1"/>
  <c r="G442" i="1"/>
  <c r="W441" i="1"/>
  <c r="V441" i="1"/>
  <c r="U441" i="1"/>
  <c r="S441" i="1"/>
  <c r="R441" i="1"/>
  <c r="Q441" i="1"/>
  <c r="P441" i="1"/>
  <c r="O441" i="1"/>
  <c r="G441" i="1"/>
  <c r="M440" i="1"/>
  <c r="L440" i="1"/>
  <c r="K440" i="1"/>
  <c r="J440" i="1"/>
  <c r="N440" i="1" s="1"/>
  <c r="I440" i="1"/>
  <c r="H440" i="1"/>
  <c r="E439" i="1"/>
  <c r="F439" i="1" s="1"/>
  <c r="D439" i="1"/>
  <c r="W438" i="1"/>
  <c r="U438" i="1"/>
  <c r="S438" i="1"/>
  <c r="E438" i="1"/>
  <c r="F438" i="1" s="1"/>
  <c r="D438" i="1"/>
  <c r="V438" i="1" s="1"/>
  <c r="W437" i="1"/>
  <c r="V437" i="1"/>
  <c r="U437" i="1"/>
  <c r="T437" i="1"/>
  <c r="S437" i="1"/>
  <c r="R437" i="1"/>
  <c r="F437" i="1"/>
  <c r="W436" i="1"/>
  <c r="V436" i="1"/>
  <c r="T436" i="1"/>
  <c r="S436" i="1"/>
  <c r="R436" i="1"/>
  <c r="Q436" i="1"/>
  <c r="O436" i="1"/>
  <c r="P436" i="1" s="1"/>
  <c r="G436" i="1"/>
  <c r="W435" i="1"/>
  <c r="V435" i="1"/>
  <c r="U435" i="1"/>
  <c r="S435" i="1"/>
  <c r="R435" i="1"/>
  <c r="Q435" i="1"/>
  <c r="P435" i="1"/>
  <c r="O435" i="1"/>
  <c r="G435" i="1"/>
  <c r="W434" i="1"/>
  <c r="V434" i="1"/>
  <c r="U434" i="1"/>
  <c r="S434" i="1"/>
  <c r="R434" i="1"/>
  <c r="Q434" i="1"/>
  <c r="O434" i="1"/>
  <c r="P434" i="1" s="1"/>
  <c r="G434" i="1"/>
  <c r="M433" i="1"/>
  <c r="L433" i="1"/>
  <c r="K433" i="1"/>
  <c r="I433" i="1"/>
  <c r="H433" i="1"/>
  <c r="J433" i="1" s="1"/>
  <c r="N433" i="1" s="1"/>
  <c r="F432" i="1"/>
  <c r="E432" i="1"/>
  <c r="D432" i="1"/>
  <c r="W431" i="1"/>
  <c r="V431" i="1"/>
  <c r="E431" i="1"/>
  <c r="F431" i="1" s="1"/>
  <c r="V430" i="1"/>
  <c r="E430" i="1"/>
  <c r="F430" i="1" s="1"/>
  <c r="D430" i="1"/>
  <c r="T430" i="1" s="1"/>
  <c r="W429" i="1"/>
  <c r="S429" i="1"/>
  <c r="Q429" i="1"/>
  <c r="F429" i="1"/>
  <c r="D429" i="1"/>
  <c r="D431" i="1" s="1"/>
  <c r="W428" i="1"/>
  <c r="V428" i="1"/>
  <c r="U428" i="1"/>
  <c r="T428" i="1"/>
  <c r="S428" i="1"/>
  <c r="Q428" i="1"/>
  <c r="F428" i="1"/>
  <c r="W427" i="1"/>
  <c r="V427" i="1"/>
  <c r="T427" i="1"/>
  <c r="S427" i="1"/>
  <c r="R427" i="1"/>
  <c r="Q427" i="1"/>
  <c r="O427" i="1"/>
  <c r="P427" i="1" s="1"/>
  <c r="G427" i="1"/>
  <c r="W426" i="1"/>
  <c r="V426" i="1"/>
  <c r="U426" i="1"/>
  <c r="S426" i="1"/>
  <c r="R426" i="1"/>
  <c r="Q426" i="1"/>
  <c r="O426" i="1"/>
  <c r="P426" i="1" s="1"/>
  <c r="G426" i="1"/>
  <c r="W425" i="1"/>
  <c r="V425" i="1"/>
  <c r="U425" i="1"/>
  <c r="S425" i="1"/>
  <c r="R425" i="1"/>
  <c r="Q425" i="1"/>
  <c r="P425" i="1"/>
  <c r="G425" i="1"/>
  <c r="O425" i="1" s="1"/>
  <c r="M424" i="1"/>
  <c r="L424" i="1"/>
  <c r="K424" i="1"/>
  <c r="I424" i="1"/>
  <c r="H424" i="1"/>
  <c r="J424" i="1" s="1"/>
  <c r="N424" i="1" s="1"/>
  <c r="W423" i="1"/>
  <c r="U423" i="1"/>
  <c r="E423" i="1"/>
  <c r="F423" i="1" s="1"/>
  <c r="D423" i="1"/>
  <c r="V423" i="1" s="1"/>
  <c r="W422" i="1"/>
  <c r="V422" i="1"/>
  <c r="U422" i="1"/>
  <c r="T422" i="1"/>
  <c r="S422" i="1"/>
  <c r="Q422" i="1"/>
  <c r="F422" i="1"/>
  <c r="W421" i="1"/>
  <c r="U421" i="1"/>
  <c r="T421" i="1"/>
  <c r="S421" i="1"/>
  <c r="R421" i="1"/>
  <c r="Q421" i="1"/>
  <c r="G421" i="1"/>
  <c r="O421" i="1" s="1"/>
  <c r="P421" i="1" s="1"/>
  <c r="V421" i="1" s="1"/>
  <c r="W420" i="1"/>
  <c r="U420" i="1"/>
  <c r="T420" i="1"/>
  <c r="S420" i="1"/>
  <c r="R420" i="1"/>
  <c r="Q420" i="1"/>
  <c r="G420" i="1"/>
  <c r="O420" i="1" s="1"/>
  <c r="P420" i="1" s="1"/>
  <c r="M419" i="1"/>
  <c r="L419" i="1"/>
  <c r="K419" i="1"/>
  <c r="I419" i="1"/>
  <c r="H419" i="1"/>
  <c r="J419" i="1" s="1"/>
  <c r="N419" i="1" s="1"/>
  <c r="E418" i="1"/>
  <c r="F418" i="1" s="1"/>
  <c r="D418" i="1"/>
  <c r="W417" i="1"/>
  <c r="V417" i="1"/>
  <c r="U417" i="1"/>
  <c r="T417" i="1"/>
  <c r="S417" i="1"/>
  <c r="Q417" i="1"/>
  <c r="F417" i="1"/>
  <c r="W416" i="1"/>
  <c r="U416" i="1"/>
  <c r="T416" i="1"/>
  <c r="S416" i="1"/>
  <c r="R416" i="1"/>
  <c r="Q416" i="1"/>
  <c r="G416" i="1"/>
  <c r="O416" i="1" s="1"/>
  <c r="P416" i="1" s="1"/>
  <c r="W415" i="1"/>
  <c r="U415" i="1"/>
  <c r="T415" i="1"/>
  <c r="S415" i="1"/>
  <c r="R415" i="1"/>
  <c r="Q415" i="1"/>
  <c r="O415" i="1"/>
  <c r="P415" i="1" s="1"/>
  <c r="G415" i="1"/>
  <c r="M414" i="1"/>
  <c r="L414" i="1"/>
  <c r="K414" i="1"/>
  <c r="I414" i="1"/>
  <c r="H414" i="1"/>
  <c r="J414" i="1" s="1"/>
  <c r="N414" i="1" s="1"/>
  <c r="W413" i="1"/>
  <c r="E413" i="1"/>
  <c r="F413" i="1" s="1"/>
  <c r="D413" i="1"/>
  <c r="U413" i="1" s="1"/>
  <c r="W412" i="1"/>
  <c r="V412" i="1"/>
  <c r="U412" i="1"/>
  <c r="T412" i="1"/>
  <c r="R412" i="1"/>
  <c r="Q412" i="1"/>
  <c r="F412" i="1"/>
  <c r="W411" i="1"/>
  <c r="U411" i="1"/>
  <c r="T411" i="1"/>
  <c r="S411" i="1"/>
  <c r="R411" i="1"/>
  <c r="Q411" i="1"/>
  <c r="G411" i="1"/>
  <c r="O411" i="1" s="1"/>
  <c r="P411" i="1" s="1"/>
  <c r="W410" i="1"/>
  <c r="U410" i="1"/>
  <c r="T410" i="1"/>
  <c r="S410" i="1"/>
  <c r="R410" i="1"/>
  <c r="Q410" i="1"/>
  <c r="G410" i="1"/>
  <c r="O410" i="1" s="1"/>
  <c r="P410" i="1" s="1"/>
  <c r="M409" i="1"/>
  <c r="L409" i="1"/>
  <c r="K409" i="1"/>
  <c r="I409" i="1"/>
  <c r="H409" i="1"/>
  <c r="J409" i="1" s="1"/>
  <c r="N409" i="1" s="1"/>
  <c r="E408" i="1"/>
  <c r="F408" i="1" s="1"/>
  <c r="D408" i="1"/>
  <c r="W408" i="1" s="1"/>
  <c r="W407" i="1"/>
  <c r="V407" i="1"/>
  <c r="U407" i="1"/>
  <c r="T407" i="1"/>
  <c r="R407" i="1"/>
  <c r="Q407" i="1"/>
  <c r="F407" i="1"/>
  <c r="W406" i="1"/>
  <c r="V406" i="1"/>
  <c r="T406" i="1"/>
  <c r="S406" i="1"/>
  <c r="R406" i="1"/>
  <c r="Q406" i="1"/>
  <c r="G406" i="1"/>
  <c r="O406" i="1" s="1"/>
  <c r="P406" i="1" s="1"/>
  <c r="W405" i="1"/>
  <c r="V405" i="1"/>
  <c r="T405" i="1"/>
  <c r="S405" i="1"/>
  <c r="R405" i="1"/>
  <c r="Q405" i="1"/>
  <c r="G405" i="1"/>
  <c r="O405" i="1" s="1"/>
  <c r="P405" i="1" s="1"/>
  <c r="M404" i="1"/>
  <c r="L404" i="1"/>
  <c r="K404" i="1"/>
  <c r="I404" i="1"/>
  <c r="H404" i="1"/>
  <c r="J404" i="1" s="1"/>
  <c r="N404" i="1" s="1"/>
  <c r="E403" i="1"/>
  <c r="F403" i="1" s="1"/>
  <c r="E402" i="1"/>
  <c r="F402" i="1" s="1"/>
  <c r="D402" i="1"/>
  <c r="V402" i="1" s="1"/>
  <c r="W401" i="1"/>
  <c r="U401" i="1"/>
  <c r="F401" i="1"/>
  <c r="D401" i="1"/>
  <c r="S401" i="1" s="1"/>
  <c r="W400" i="1"/>
  <c r="V400" i="1"/>
  <c r="U400" i="1"/>
  <c r="T400" i="1"/>
  <c r="S400" i="1"/>
  <c r="Q400" i="1"/>
  <c r="F400" i="1"/>
  <c r="W399" i="1"/>
  <c r="V399" i="1"/>
  <c r="T399" i="1"/>
  <c r="S399" i="1"/>
  <c r="R399" i="1"/>
  <c r="Q399" i="1"/>
  <c r="G399" i="1"/>
  <c r="O399" i="1" s="1"/>
  <c r="P399" i="1" s="1"/>
  <c r="W398" i="1"/>
  <c r="V398" i="1"/>
  <c r="T398" i="1"/>
  <c r="S398" i="1"/>
  <c r="R398" i="1"/>
  <c r="Q398" i="1"/>
  <c r="O398" i="1"/>
  <c r="P398" i="1" s="1"/>
  <c r="G398" i="1"/>
  <c r="M397" i="1"/>
  <c r="L397" i="1"/>
  <c r="K397" i="1"/>
  <c r="I397" i="1"/>
  <c r="H397" i="1"/>
  <c r="J397" i="1" s="1"/>
  <c r="N397" i="1" s="1"/>
  <c r="E396" i="1"/>
  <c r="F396" i="1" s="1"/>
  <c r="E395" i="1"/>
  <c r="F395" i="1" s="1"/>
  <c r="D395" i="1"/>
  <c r="V394" i="1"/>
  <c r="F394" i="1"/>
  <c r="D394" i="1"/>
  <c r="W394" i="1" s="1"/>
  <c r="W393" i="1"/>
  <c r="V393" i="1"/>
  <c r="U393" i="1"/>
  <c r="T393" i="1"/>
  <c r="S393" i="1"/>
  <c r="R393" i="1"/>
  <c r="F393" i="1"/>
  <c r="W392" i="1"/>
  <c r="V392" i="1"/>
  <c r="T392" i="1"/>
  <c r="S392" i="1"/>
  <c r="R392" i="1"/>
  <c r="Q392" i="1"/>
  <c r="O392" i="1"/>
  <c r="P392" i="1" s="1"/>
  <c r="G392" i="1"/>
  <c r="W391" i="1"/>
  <c r="V391" i="1"/>
  <c r="T391" i="1"/>
  <c r="S391" i="1"/>
  <c r="R391" i="1"/>
  <c r="Q391" i="1"/>
  <c r="O391" i="1"/>
  <c r="P391" i="1" s="1"/>
  <c r="G391" i="1"/>
  <c r="M390" i="1"/>
  <c r="L390" i="1"/>
  <c r="K390" i="1"/>
  <c r="I390" i="1"/>
  <c r="H390" i="1"/>
  <c r="J390" i="1" s="1"/>
  <c r="N390" i="1" s="1"/>
  <c r="W389" i="1"/>
  <c r="U389" i="1"/>
  <c r="S389" i="1"/>
  <c r="Q389" i="1"/>
  <c r="F389" i="1"/>
  <c r="E389" i="1"/>
  <c r="D389" i="1"/>
  <c r="T389" i="1" s="1"/>
  <c r="U388" i="1"/>
  <c r="T388" i="1"/>
  <c r="S388" i="1"/>
  <c r="R388" i="1"/>
  <c r="E388" i="1"/>
  <c r="F388" i="1" s="1"/>
  <c r="D388" i="1"/>
  <c r="W387" i="1"/>
  <c r="V387" i="1"/>
  <c r="U387" i="1"/>
  <c r="T387" i="1"/>
  <c r="S387" i="1"/>
  <c r="R387" i="1"/>
  <c r="F387" i="1"/>
  <c r="W386" i="1"/>
  <c r="V386" i="1"/>
  <c r="T386" i="1"/>
  <c r="S386" i="1"/>
  <c r="R386" i="1"/>
  <c r="Q386" i="1"/>
  <c r="G386" i="1"/>
  <c r="O386" i="1" s="1"/>
  <c r="P386" i="1" s="1"/>
  <c r="W385" i="1"/>
  <c r="V385" i="1"/>
  <c r="U385" i="1"/>
  <c r="S385" i="1"/>
  <c r="R385" i="1"/>
  <c r="Q385" i="1"/>
  <c r="G385" i="1"/>
  <c r="O385" i="1" s="1"/>
  <c r="P385" i="1" s="1"/>
  <c r="T385" i="1" s="1"/>
  <c r="W384" i="1"/>
  <c r="V384" i="1"/>
  <c r="T384" i="1"/>
  <c r="S384" i="1"/>
  <c r="R384" i="1"/>
  <c r="Q384" i="1"/>
  <c r="G384" i="1"/>
  <c r="O384" i="1" s="1"/>
  <c r="P384" i="1" s="1"/>
  <c r="M383" i="1"/>
  <c r="L383" i="1"/>
  <c r="K383" i="1"/>
  <c r="I383" i="1"/>
  <c r="H383" i="1"/>
  <c r="J383" i="1" s="1"/>
  <c r="N383" i="1" s="1"/>
  <c r="E382" i="1"/>
  <c r="F382" i="1" s="1"/>
  <c r="T381" i="1"/>
  <c r="S381" i="1"/>
  <c r="E381" i="1"/>
  <c r="F381" i="1" s="1"/>
  <c r="D381" i="1"/>
  <c r="F380" i="1"/>
  <c r="D380" i="1"/>
  <c r="V380" i="1" s="1"/>
  <c r="W379" i="1"/>
  <c r="V379" i="1"/>
  <c r="U379" i="1"/>
  <c r="T379" i="1"/>
  <c r="S379" i="1"/>
  <c r="Q379" i="1"/>
  <c r="F379" i="1"/>
  <c r="W378" i="1"/>
  <c r="V378" i="1"/>
  <c r="U378" i="1"/>
  <c r="T378" i="1"/>
  <c r="S378" i="1"/>
  <c r="R378" i="1"/>
  <c r="Q378" i="1"/>
  <c r="G378" i="1"/>
  <c r="O378" i="1" s="1"/>
  <c r="P378" i="1" s="1"/>
  <c r="W377" i="1"/>
  <c r="V377" i="1"/>
  <c r="T377" i="1"/>
  <c r="S377" i="1"/>
  <c r="R377" i="1"/>
  <c r="Q377" i="1"/>
  <c r="G377" i="1"/>
  <c r="O377" i="1" s="1"/>
  <c r="P377" i="1" s="1"/>
  <c r="M376" i="1"/>
  <c r="L376" i="1"/>
  <c r="K376" i="1"/>
  <c r="I376" i="1"/>
  <c r="H376" i="1"/>
  <c r="J376" i="1" s="1"/>
  <c r="N376" i="1" s="1"/>
  <c r="E375" i="1"/>
  <c r="F375" i="1" s="1"/>
  <c r="D375" i="1"/>
  <c r="U375" i="1" s="1"/>
  <c r="E374" i="1"/>
  <c r="F374" i="1" s="1"/>
  <c r="E373" i="1"/>
  <c r="F373" i="1" s="1"/>
  <c r="D373" i="1"/>
  <c r="U373" i="1" s="1"/>
  <c r="W372" i="1"/>
  <c r="T372" i="1"/>
  <c r="R372" i="1"/>
  <c r="F372" i="1"/>
  <c r="D372" i="1"/>
  <c r="W371" i="1"/>
  <c r="V371" i="1"/>
  <c r="U371" i="1"/>
  <c r="T371" i="1"/>
  <c r="S371" i="1"/>
  <c r="R371" i="1"/>
  <c r="F371" i="1"/>
  <c r="W370" i="1"/>
  <c r="V370" i="1"/>
  <c r="U370" i="1"/>
  <c r="S370" i="1"/>
  <c r="R370" i="1"/>
  <c r="Q370" i="1"/>
  <c r="P370" i="1"/>
  <c r="O370" i="1"/>
  <c r="G370" i="1"/>
  <c r="W369" i="1"/>
  <c r="V369" i="1"/>
  <c r="T369" i="1"/>
  <c r="S369" i="1"/>
  <c r="R369" i="1"/>
  <c r="Q369" i="1"/>
  <c r="G369" i="1"/>
  <c r="O369" i="1" s="1"/>
  <c r="P369" i="1" s="1"/>
  <c r="W368" i="1"/>
  <c r="V368" i="1"/>
  <c r="T368" i="1"/>
  <c r="S368" i="1"/>
  <c r="R368" i="1"/>
  <c r="Q368" i="1"/>
  <c r="O368" i="1"/>
  <c r="P368" i="1" s="1"/>
  <c r="G368" i="1"/>
  <c r="M367" i="1"/>
  <c r="L367" i="1"/>
  <c r="K367" i="1"/>
  <c r="I367" i="1"/>
  <c r="H367" i="1"/>
  <c r="J367" i="1" s="1"/>
  <c r="N367" i="1" s="1"/>
  <c r="U366" i="1"/>
  <c r="E366" i="1"/>
  <c r="F366" i="1" s="1"/>
  <c r="D366" i="1"/>
  <c r="T366" i="1" s="1"/>
  <c r="E365" i="1"/>
  <c r="F365" i="1" s="1"/>
  <c r="D365" i="1"/>
  <c r="W364" i="1"/>
  <c r="V364" i="1"/>
  <c r="U364" i="1"/>
  <c r="T364" i="1"/>
  <c r="S364" i="1"/>
  <c r="Q364" i="1"/>
  <c r="F364" i="1"/>
  <c r="W363" i="1"/>
  <c r="V363" i="1"/>
  <c r="T363" i="1"/>
  <c r="S363" i="1"/>
  <c r="R363" i="1"/>
  <c r="Q363" i="1"/>
  <c r="G363" i="1"/>
  <c r="O363" i="1" s="1"/>
  <c r="P363" i="1" s="1"/>
  <c r="W362" i="1"/>
  <c r="V362" i="1"/>
  <c r="T362" i="1"/>
  <c r="S362" i="1"/>
  <c r="R362" i="1"/>
  <c r="Q362" i="1"/>
  <c r="G362" i="1"/>
  <c r="O362" i="1" s="1"/>
  <c r="P362" i="1" s="1"/>
  <c r="W361" i="1"/>
  <c r="U361" i="1"/>
  <c r="T361" i="1"/>
  <c r="S361" i="1"/>
  <c r="R361" i="1"/>
  <c r="Q361" i="1"/>
  <c r="G361" i="1"/>
  <c r="O361" i="1" s="1"/>
  <c r="P361" i="1" s="1"/>
  <c r="V361" i="1" s="1"/>
  <c r="X361" i="1" s="1"/>
  <c r="W360" i="1"/>
  <c r="V360" i="1"/>
  <c r="T360" i="1"/>
  <c r="S360" i="1"/>
  <c r="R360" i="1"/>
  <c r="Q360" i="1"/>
  <c r="G360" i="1"/>
  <c r="O360" i="1" s="1"/>
  <c r="P360" i="1" s="1"/>
  <c r="U360" i="1" s="1"/>
  <c r="M359" i="1"/>
  <c r="L359" i="1"/>
  <c r="K359" i="1"/>
  <c r="I359" i="1"/>
  <c r="H359" i="1"/>
  <c r="J359" i="1" s="1"/>
  <c r="N359" i="1" s="1"/>
  <c r="U358" i="1"/>
  <c r="T358" i="1"/>
  <c r="S358" i="1"/>
  <c r="R358" i="1"/>
  <c r="E358" i="1"/>
  <c r="F358" i="1" s="1"/>
  <c r="D358" i="1"/>
  <c r="W357" i="1"/>
  <c r="U357" i="1"/>
  <c r="S357" i="1"/>
  <c r="R357" i="1"/>
  <c r="E357" i="1"/>
  <c r="F357" i="1" s="1"/>
  <c r="D357" i="1"/>
  <c r="V357" i="1" s="1"/>
  <c r="W356" i="1"/>
  <c r="V356" i="1"/>
  <c r="U356" i="1"/>
  <c r="T356" i="1"/>
  <c r="S356" i="1"/>
  <c r="R356" i="1"/>
  <c r="F356" i="1"/>
  <c r="W355" i="1"/>
  <c r="V355" i="1"/>
  <c r="T355" i="1"/>
  <c r="S355" i="1"/>
  <c r="R355" i="1"/>
  <c r="Q355" i="1"/>
  <c r="G355" i="1"/>
  <c r="O355" i="1" s="1"/>
  <c r="P355" i="1" s="1"/>
  <c r="W354" i="1"/>
  <c r="V354" i="1"/>
  <c r="T354" i="1"/>
  <c r="S354" i="1"/>
  <c r="R354" i="1"/>
  <c r="Q354" i="1"/>
  <c r="G354" i="1"/>
  <c r="O354" i="1" s="1"/>
  <c r="P354" i="1" s="1"/>
  <c r="W353" i="1"/>
  <c r="U353" i="1"/>
  <c r="T353" i="1"/>
  <c r="S353" i="1"/>
  <c r="R353" i="1"/>
  <c r="Q353" i="1"/>
  <c r="G353" i="1"/>
  <c r="O353" i="1" s="1"/>
  <c r="P353" i="1" s="1"/>
  <c r="W352" i="1"/>
  <c r="V352" i="1"/>
  <c r="T352" i="1"/>
  <c r="S352" i="1"/>
  <c r="R352" i="1"/>
  <c r="Q352" i="1"/>
  <c r="G352" i="1"/>
  <c r="O352" i="1" s="1"/>
  <c r="P352" i="1" s="1"/>
  <c r="M351" i="1"/>
  <c r="L351" i="1"/>
  <c r="K351" i="1"/>
  <c r="I351" i="1"/>
  <c r="H351" i="1"/>
  <c r="J351" i="1" s="1"/>
  <c r="N351" i="1" s="1"/>
  <c r="W350" i="1"/>
  <c r="S350" i="1"/>
  <c r="R350" i="1"/>
  <c r="Q350" i="1"/>
  <c r="E350" i="1"/>
  <c r="F350" i="1" s="1"/>
  <c r="D350" i="1"/>
  <c r="E349" i="1"/>
  <c r="F349" i="1" s="1"/>
  <c r="D349" i="1"/>
  <c r="W348" i="1"/>
  <c r="V348" i="1"/>
  <c r="U348" i="1"/>
  <c r="T348" i="1"/>
  <c r="S348" i="1"/>
  <c r="R348" i="1"/>
  <c r="F348" i="1"/>
  <c r="W347" i="1"/>
  <c r="V347" i="1"/>
  <c r="T347" i="1"/>
  <c r="S347" i="1"/>
  <c r="R347" i="1"/>
  <c r="Q347" i="1"/>
  <c r="G347" i="1"/>
  <c r="O347" i="1" s="1"/>
  <c r="P347" i="1" s="1"/>
  <c r="W346" i="1"/>
  <c r="V346" i="1"/>
  <c r="T346" i="1"/>
  <c r="S346" i="1"/>
  <c r="R346" i="1"/>
  <c r="Q346" i="1"/>
  <c r="G346" i="1"/>
  <c r="O346" i="1" s="1"/>
  <c r="P346" i="1" s="1"/>
  <c r="W345" i="1"/>
  <c r="U345" i="1"/>
  <c r="T345" i="1"/>
  <c r="S345" i="1"/>
  <c r="R345" i="1"/>
  <c r="Q345" i="1"/>
  <c r="G345" i="1"/>
  <c r="O345" i="1" s="1"/>
  <c r="P345" i="1" s="1"/>
  <c r="W344" i="1"/>
  <c r="V344" i="1"/>
  <c r="T344" i="1"/>
  <c r="S344" i="1"/>
  <c r="R344" i="1"/>
  <c r="Q344" i="1"/>
  <c r="G344" i="1"/>
  <c r="O344" i="1" s="1"/>
  <c r="P344" i="1" s="1"/>
  <c r="M343" i="1"/>
  <c r="L343" i="1"/>
  <c r="K343" i="1"/>
  <c r="I343" i="1"/>
  <c r="H343" i="1"/>
  <c r="J343" i="1" s="1"/>
  <c r="N343" i="1" s="1"/>
  <c r="E342" i="1"/>
  <c r="F342" i="1" s="1"/>
  <c r="D342" i="1"/>
  <c r="W341" i="1"/>
  <c r="V341" i="1"/>
  <c r="U341" i="1"/>
  <c r="S341" i="1"/>
  <c r="Q341" i="1"/>
  <c r="E341" i="1"/>
  <c r="F341" i="1" s="1"/>
  <c r="D341" i="1"/>
  <c r="T341" i="1" s="1"/>
  <c r="W340" i="1"/>
  <c r="V340" i="1"/>
  <c r="U340" i="1"/>
  <c r="T340" i="1"/>
  <c r="S340" i="1"/>
  <c r="Q340" i="1"/>
  <c r="F340" i="1"/>
  <c r="W339" i="1"/>
  <c r="V339" i="1"/>
  <c r="T339" i="1"/>
  <c r="S339" i="1"/>
  <c r="R339" i="1"/>
  <c r="Q339" i="1"/>
  <c r="O339" i="1"/>
  <c r="P339" i="1" s="1"/>
  <c r="G339" i="1"/>
  <c r="W338" i="1"/>
  <c r="V338" i="1"/>
  <c r="T338" i="1"/>
  <c r="S338" i="1"/>
  <c r="R338" i="1"/>
  <c r="Q338" i="1"/>
  <c r="P338" i="1"/>
  <c r="G338" i="1"/>
  <c r="O338" i="1" s="1"/>
  <c r="W337" i="1"/>
  <c r="V337" i="1"/>
  <c r="T337" i="1"/>
  <c r="S337" i="1"/>
  <c r="R337" i="1"/>
  <c r="Q337" i="1"/>
  <c r="O337" i="1"/>
  <c r="P337" i="1" s="1"/>
  <c r="G337" i="1"/>
  <c r="M336" i="1"/>
  <c r="L336" i="1"/>
  <c r="K336" i="1"/>
  <c r="I336" i="1"/>
  <c r="H336" i="1"/>
  <c r="J336" i="1" s="1"/>
  <c r="N336" i="1" s="1"/>
  <c r="W335" i="1"/>
  <c r="V335" i="1"/>
  <c r="U335" i="1"/>
  <c r="T335" i="1"/>
  <c r="R335" i="1"/>
  <c r="Q335" i="1"/>
  <c r="F335" i="1"/>
  <c r="W334" i="1"/>
  <c r="U334" i="1"/>
  <c r="T334" i="1"/>
  <c r="S334" i="1"/>
  <c r="R334" i="1"/>
  <c r="Q334" i="1"/>
  <c r="G334" i="1"/>
  <c r="O334" i="1" s="1"/>
  <c r="P334" i="1" s="1"/>
  <c r="W333" i="1"/>
  <c r="U333" i="1"/>
  <c r="T333" i="1"/>
  <c r="S333" i="1"/>
  <c r="R333" i="1"/>
  <c r="Q333" i="1"/>
  <c r="G333" i="1"/>
  <c r="O333" i="1" s="1"/>
  <c r="P333" i="1" s="1"/>
  <c r="M332" i="1"/>
  <c r="L332" i="1"/>
  <c r="K332" i="1"/>
  <c r="J332" i="1"/>
  <c r="N332" i="1" s="1"/>
  <c r="I332" i="1"/>
  <c r="H332" i="1"/>
  <c r="W331" i="1"/>
  <c r="V331" i="1"/>
  <c r="U331" i="1"/>
  <c r="T331" i="1"/>
  <c r="R331" i="1"/>
  <c r="Q331" i="1"/>
  <c r="F331" i="1"/>
  <c r="W330" i="1"/>
  <c r="U330" i="1"/>
  <c r="T330" i="1"/>
  <c r="S330" i="1"/>
  <c r="R330" i="1"/>
  <c r="Q330" i="1"/>
  <c r="G330" i="1"/>
  <c r="O330" i="1" s="1"/>
  <c r="P330" i="1" s="1"/>
  <c r="W329" i="1"/>
  <c r="U329" i="1"/>
  <c r="T329" i="1"/>
  <c r="S329" i="1"/>
  <c r="R329" i="1"/>
  <c r="Q329" i="1"/>
  <c r="O329" i="1"/>
  <c r="P329" i="1" s="1"/>
  <c r="G329" i="1"/>
  <c r="M328" i="1"/>
  <c r="L328" i="1"/>
  <c r="K328" i="1"/>
  <c r="I328" i="1"/>
  <c r="H328" i="1"/>
  <c r="J328" i="1" s="1"/>
  <c r="N328" i="1" s="1"/>
  <c r="E327" i="1"/>
  <c r="F327" i="1" s="1"/>
  <c r="D327" i="1"/>
  <c r="W326" i="1"/>
  <c r="V326" i="1"/>
  <c r="U326" i="1"/>
  <c r="T326" i="1"/>
  <c r="S326" i="1"/>
  <c r="Q326" i="1"/>
  <c r="F326" i="1"/>
  <c r="W325" i="1"/>
  <c r="U325" i="1"/>
  <c r="T325" i="1"/>
  <c r="S325" i="1"/>
  <c r="R325" i="1"/>
  <c r="Q325" i="1"/>
  <c r="G325" i="1"/>
  <c r="O325" i="1" s="1"/>
  <c r="P325" i="1" s="1"/>
  <c r="W324" i="1"/>
  <c r="U324" i="1"/>
  <c r="T324" i="1"/>
  <c r="S324" i="1"/>
  <c r="R324" i="1"/>
  <c r="Q324" i="1"/>
  <c r="G324" i="1"/>
  <c r="O324" i="1" s="1"/>
  <c r="P324" i="1" s="1"/>
  <c r="M323" i="1"/>
  <c r="L323" i="1"/>
  <c r="K323" i="1"/>
  <c r="I323" i="1"/>
  <c r="H323" i="1"/>
  <c r="J323" i="1" s="1"/>
  <c r="N323" i="1" s="1"/>
  <c r="E322" i="1"/>
  <c r="F322" i="1" s="1"/>
  <c r="W321" i="1"/>
  <c r="V321" i="1"/>
  <c r="U321" i="1"/>
  <c r="S321" i="1"/>
  <c r="E321" i="1"/>
  <c r="F321" i="1" s="1"/>
  <c r="D321" i="1"/>
  <c r="F320" i="1"/>
  <c r="D320" i="1"/>
  <c r="W319" i="1"/>
  <c r="V319" i="1"/>
  <c r="U319" i="1"/>
  <c r="T319" i="1"/>
  <c r="S319" i="1"/>
  <c r="Q319" i="1"/>
  <c r="F319" i="1"/>
  <c r="W318" i="1"/>
  <c r="V318" i="1"/>
  <c r="T318" i="1"/>
  <c r="S318" i="1"/>
  <c r="R318" i="1"/>
  <c r="Q318" i="1"/>
  <c r="G318" i="1"/>
  <c r="O318" i="1" s="1"/>
  <c r="P318" i="1" s="1"/>
  <c r="W317" i="1"/>
  <c r="V317" i="1"/>
  <c r="T317" i="1"/>
  <c r="S317" i="1"/>
  <c r="R317" i="1"/>
  <c r="Q317" i="1"/>
  <c r="G317" i="1"/>
  <c r="O317" i="1" s="1"/>
  <c r="P317" i="1" s="1"/>
  <c r="N316" i="1"/>
  <c r="M316" i="1"/>
  <c r="L316" i="1"/>
  <c r="K316" i="1"/>
  <c r="I316" i="1"/>
  <c r="H316" i="1"/>
  <c r="J316" i="1" s="1"/>
  <c r="W314" i="1"/>
  <c r="V314" i="1"/>
  <c r="U314" i="1"/>
  <c r="S314" i="1"/>
  <c r="Q314" i="1"/>
  <c r="E314" i="1"/>
  <c r="F314" i="1" s="1"/>
  <c r="D314" i="1"/>
  <c r="T314" i="1" s="1"/>
  <c r="W313" i="1"/>
  <c r="V313" i="1"/>
  <c r="U313" i="1"/>
  <c r="T313" i="1"/>
  <c r="S313" i="1"/>
  <c r="Q313" i="1"/>
  <c r="F313" i="1"/>
  <c r="W312" i="1"/>
  <c r="U312" i="1"/>
  <c r="T312" i="1"/>
  <c r="S312" i="1"/>
  <c r="R312" i="1"/>
  <c r="Q312" i="1"/>
  <c r="O312" i="1"/>
  <c r="P312" i="1" s="1"/>
  <c r="G312" i="1"/>
  <c r="W311" i="1"/>
  <c r="U311" i="1"/>
  <c r="T311" i="1"/>
  <c r="S311" i="1"/>
  <c r="R311" i="1"/>
  <c r="Q311" i="1"/>
  <c r="G311" i="1"/>
  <c r="O311" i="1" s="1"/>
  <c r="P311" i="1" s="1"/>
  <c r="M310" i="1"/>
  <c r="L310" i="1"/>
  <c r="K310" i="1"/>
  <c r="I310" i="1"/>
  <c r="H310" i="1"/>
  <c r="J310" i="1" s="1"/>
  <c r="N310" i="1" s="1"/>
  <c r="W309" i="1"/>
  <c r="U309" i="1"/>
  <c r="S309" i="1"/>
  <c r="E309" i="1"/>
  <c r="F309" i="1" s="1"/>
  <c r="D309" i="1"/>
  <c r="R309" i="1" s="1"/>
  <c r="E308" i="1"/>
  <c r="F308" i="1" s="1"/>
  <c r="D308" i="1"/>
  <c r="W307" i="1"/>
  <c r="V307" i="1"/>
  <c r="U307" i="1"/>
  <c r="E307" i="1"/>
  <c r="F307" i="1" s="1"/>
  <c r="D307" i="1"/>
  <c r="T307" i="1" s="1"/>
  <c r="V306" i="1"/>
  <c r="T306" i="1"/>
  <c r="R306" i="1"/>
  <c r="F306" i="1"/>
  <c r="D306" i="1"/>
  <c r="W305" i="1"/>
  <c r="V305" i="1"/>
  <c r="U305" i="1"/>
  <c r="T305" i="1"/>
  <c r="S305" i="1"/>
  <c r="R305" i="1"/>
  <c r="F305" i="1"/>
  <c r="W304" i="1"/>
  <c r="V304" i="1"/>
  <c r="T304" i="1"/>
  <c r="S304" i="1"/>
  <c r="R304" i="1"/>
  <c r="Q304" i="1"/>
  <c r="G304" i="1"/>
  <c r="O304" i="1" s="1"/>
  <c r="P304" i="1" s="1"/>
  <c r="W303" i="1"/>
  <c r="V303" i="1"/>
  <c r="U303" i="1"/>
  <c r="S303" i="1"/>
  <c r="R303" i="1"/>
  <c r="Q303" i="1"/>
  <c r="G303" i="1"/>
  <c r="O303" i="1" s="1"/>
  <c r="P303" i="1" s="1"/>
  <c r="W302" i="1"/>
  <c r="V302" i="1"/>
  <c r="T302" i="1"/>
  <c r="S302" i="1"/>
  <c r="R302" i="1"/>
  <c r="Q302" i="1"/>
  <c r="G302" i="1"/>
  <c r="O302" i="1" s="1"/>
  <c r="P302" i="1" s="1"/>
  <c r="M301" i="1"/>
  <c r="L301" i="1"/>
  <c r="K301" i="1"/>
  <c r="I301" i="1"/>
  <c r="H301" i="1"/>
  <c r="J301" i="1" s="1"/>
  <c r="N301" i="1" s="1"/>
  <c r="T300" i="1"/>
  <c r="R300" i="1"/>
  <c r="E300" i="1"/>
  <c r="F300" i="1" s="1"/>
  <c r="D300" i="1"/>
  <c r="E299" i="1"/>
  <c r="F299" i="1" s="1"/>
  <c r="E298" i="1"/>
  <c r="F298" i="1" s="1"/>
  <c r="D298" i="1"/>
  <c r="U297" i="1"/>
  <c r="S297" i="1"/>
  <c r="F297" i="1"/>
  <c r="D297" i="1"/>
  <c r="W296" i="1"/>
  <c r="V296" i="1"/>
  <c r="U296" i="1"/>
  <c r="T296" i="1"/>
  <c r="S296" i="1"/>
  <c r="Q296" i="1"/>
  <c r="F296" i="1"/>
  <c r="W295" i="1"/>
  <c r="V295" i="1"/>
  <c r="T295" i="1"/>
  <c r="S295" i="1"/>
  <c r="R295" i="1"/>
  <c r="Q295" i="1"/>
  <c r="G295" i="1"/>
  <c r="O295" i="1" s="1"/>
  <c r="P295" i="1" s="1"/>
  <c r="W294" i="1"/>
  <c r="V294" i="1"/>
  <c r="U294" i="1"/>
  <c r="S294" i="1"/>
  <c r="R294" i="1"/>
  <c r="Q294" i="1"/>
  <c r="O294" i="1"/>
  <c r="P294" i="1" s="1"/>
  <c r="G294" i="1"/>
  <c r="W293" i="1"/>
  <c r="V293" i="1"/>
  <c r="T293" i="1"/>
  <c r="S293" i="1"/>
  <c r="R293" i="1"/>
  <c r="Q293" i="1"/>
  <c r="G293" i="1"/>
  <c r="O293" i="1" s="1"/>
  <c r="P293" i="1" s="1"/>
  <c r="M292" i="1"/>
  <c r="L292" i="1"/>
  <c r="K292" i="1"/>
  <c r="I292" i="1"/>
  <c r="H292" i="1"/>
  <c r="J292" i="1" s="1"/>
  <c r="N292" i="1" s="1"/>
  <c r="U291" i="1"/>
  <c r="S291" i="1"/>
  <c r="Q291" i="1"/>
  <c r="E291" i="1"/>
  <c r="D291" i="1"/>
  <c r="W291" i="1" s="1"/>
  <c r="F290" i="1"/>
  <c r="E290" i="1"/>
  <c r="W289" i="1"/>
  <c r="V289" i="1"/>
  <c r="U289" i="1"/>
  <c r="S289" i="1"/>
  <c r="E289" i="1"/>
  <c r="F289" i="1" s="1"/>
  <c r="D289" i="1"/>
  <c r="F288" i="1"/>
  <c r="D288" i="1"/>
  <c r="W287" i="1"/>
  <c r="V287" i="1"/>
  <c r="U287" i="1"/>
  <c r="T287" i="1"/>
  <c r="S287" i="1"/>
  <c r="Q287" i="1"/>
  <c r="F287" i="1"/>
  <c r="W286" i="1"/>
  <c r="V286" i="1"/>
  <c r="U286" i="1"/>
  <c r="S286" i="1"/>
  <c r="R286" i="1"/>
  <c r="Q286" i="1"/>
  <c r="O286" i="1"/>
  <c r="P286" i="1" s="1"/>
  <c r="T286" i="1" s="1"/>
  <c r="G286" i="1"/>
  <c r="W285" i="1"/>
  <c r="V285" i="1"/>
  <c r="T285" i="1"/>
  <c r="S285" i="1"/>
  <c r="R285" i="1"/>
  <c r="Q285" i="1"/>
  <c r="O285" i="1"/>
  <c r="P285" i="1" s="1"/>
  <c r="G285" i="1"/>
  <c r="W284" i="1"/>
  <c r="V284" i="1"/>
  <c r="U284" i="1"/>
  <c r="S284" i="1"/>
  <c r="R284" i="1"/>
  <c r="Q284" i="1"/>
  <c r="O284" i="1"/>
  <c r="P284" i="1" s="1"/>
  <c r="G284" i="1"/>
  <c r="W283" i="1"/>
  <c r="V283" i="1"/>
  <c r="T283" i="1"/>
  <c r="S283" i="1"/>
  <c r="R283" i="1"/>
  <c r="Q283" i="1"/>
  <c r="P283" i="1"/>
  <c r="O283" i="1"/>
  <c r="G283" i="1"/>
  <c r="M282" i="1"/>
  <c r="L282" i="1"/>
  <c r="K282" i="1"/>
  <c r="I282" i="1"/>
  <c r="H282" i="1"/>
  <c r="J282" i="1" s="1"/>
  <c r="N282" i="1" s="1"/>
  <c r="E281" i="1"/>
  <c r="D281" i="1"/>
  <c r="E280" i="1"/>
  <c r="F280" i="1" s="1"/>
  <c r="D280" i="1"/>
  <c r="W279" i="1"/>
  <c r="V279" i="1"/>
  <c r="U279" i="1"/>
  <c r="S279" i="1"/>
  <c r="Q279" i="1"/>
  <c r="E279" i="1"/>
  <c r="F279" i="1" s="1"/>
  <c r="D279" i="1"/>
  <c r="T279" i="1" s="1"/>
  <c r="V278" i="1"/>
  <c r="U278" i="1"/>
  <c r="T278" i="1"/>
  <c r="S278" i="1"/>
  <c r="F278" i="1"/>
  <c r="D278" i="1"/>
  <c r="W277" i="1"/>
  <c r="V277" i="1"/>
  <c r="U277" i="1"/>
  <c r="T277" i="1"/>
  <c r="S277" i="1"/>
  <c r="Q277" i="1"/>
  <c r="F277" i="1"/>
  <c r="W276" i="1"/>
  <c r="V276" i="1"/>
  <c r="U276" i="1"/>
  <c r="S276" i="1"/>
  <c r="R276" i="1"/>
  <c r="Q276" i="1"/>
  <c r="O276" i="1"/>
  <c r="P276" i="1" s="1"/>
  <c r="T276" i="1" s="1"/>
  <c r="G276" i="1"/>
  <c r="W275" i="1"/>
  <c r="V275" i="1"/>
  <c r="T275" i="1"/>
  <c r="S275" i="1"/>
  <c r="R275" i="1"/>
  <c r="Q275" i="1"/>
  <c r="P275" i="1"/>
  <c r="U275" i="1" s="1"/>
  <c r="X275" i="1" s="1"/>
  <c r="O275" i="1"/>
  <c r="G275" i="1"/>
  <c r="W274" i="1"/>
  <c r="V274" i="1"/>
  <c r="T274" i="1"/>
  <c r="S274" i="1"/>
  <c r="R274" i="1"/>
  <c r="Q274" i="1"/>
  <c r="O274" i="1"/>
  <c r="P274" i="1" s="1"/>
  <c r="G274" i="1"/>
  <c r="W273" i="1"/>
  <c r="V273" i="1"/>
  <c r="T273" i="1"/>
  <c r="S273" i="1"/>
  <c r="R273" i="1"/>
  <c r="Q273" i="1"/>
  <c r="O273" i="1"/>
  <c r="P273" i="1" s="1"/>
  <c r="G273" i="1"/>
  <c r="N272" i="1"/>
  <c r="M272" i="1"/>
  <c r="L272" i="1"/>
  <c r="K272" i="1"/>
  <c r="I272" i="1"/>
  <c r="H272" i="1"/>
  <c r="J272" i="1" s="1"/>
  <c r="S271" i="1"/>
  <c r="R271" i="1"/>
  <c r="E271" i="1"/>
  <c r="F271" i="1" s="1"/>
  <c r="D271" i="1"/>
  <c r="E270" i="1"/>
  <c r="F270" i="1" s="1"/>
  <c r="D270" i="1"/>
  <c r="V270" i="1" s="1"/>
  <c r="W269" i="1"/>
  <c r="V269" i="1"/>
  <c r="U269" i="1"/>
  <c r="T269" i="1"/>
  <c r="S269" i="1"/>
  <c r="R269" i="1"/>
  <c r="F269" i="1"/>
  <c r="W268" i="1"/>
  <c r="V268" i="1"/>
  <c r="T268" i="1"/>
  <c r="S268" i="1"/>
  <c r="R268" i="1"/>
  <c r="Q268" i="1"/>
  <c r="O268" i="1"/>
  <c r="P268" i="1" s="1"/>
  <c r="G268" i="1"/>
  <c r="W267" i="1"/>
  <c r="V267" i="1"/>
  <c r="T267" i="1"/>
  <c r="S267" i="1"/>
  <c r="R267" i="1"/>
  <c r="Q267" i="1"/>
  <c r="P267" i="1"/>
  <c r="O267" i="1"/>
  <c r="G267" i="1"/>
  <c r="W266" i="1"/>
  <c r="V266" i="1"/>
  <c r="T266" i="1"/>
  <c r="S266" i="1"/>
  <c r="R266" i="1"/>
  <c r="Q266" i="1"/>
  <c r="O266" i="1"/>
  <c r="P266" i="1" s="1"/>
  <c r="G266" i="1"/>
  <c r="N265" i="1"/>
  <c r="M265" i="1"/>
  <c r="L265" i="1"/>
  <c r="K265" i="1"/>
  <c r="I265" i="1"/>
  <c r="H265" i="1"/>
  <c r="J265" i="1" s="1"/>
  <c r="E264" i="1"/>
  <c r="F264" i="1" s="1"/>
  <c r="D264" i="1"/>
  <c r="E263" i="1"/>
  <c r="E262" i="1"/>
  <c r="D262" i="1"/>
  <c r="S261" i="1"/>
  <c r="D261" i="1"/>
  <c r="W260" i="1"/>
  <c r="V260" i="1"/>
  <c r="U260" i="1"/>
  <c r="T260" i="1"/>
  <c r="S260" i="1"/>
  <c r="Q260" i="1"/>
  <c r="W259" i="1"/>
  <c r="V259" i="1"/>
  <c r="T259" i="1"/>
  <c r="S259" i="1"/>
  <c r="R259" i="1"/>
  <c r="Q259" i="1"/>
  <c r="O259" i="1"/>
  <c r="P259" i="1" s="1"/>
  <c r="G259" i="1"/>
  <c r="W258" i="1"/>
  <c r="V258" i="1"/>
  <c r="T258" i="1"/>
  <c r="S258" i="1"/>
  <c r="R258" i="1"/>
  <c r="Q258" i="1"/>
  <c r="O258" i="1"/>
  <c r="P258" i="1" s="1"/>
  <c r="U258" i="1" s="1"/>
  <c r="X258" i="1" s="1"/>
  <c r="G258" i="1"/>
  <c r="W257" i="1"/>
  <c r="V257" i="1"/>
  <c r="T257" i="1"/>
  <c r="S257" i="1"/>
  <c r="R257" i="1"/>
  <c r="Q257" i="1"/>
  <c r="O257" i="1"/>
  <c r="P257" i="1" s="1"/>
  <c r="U257" i="1" s="1"/>
  <c r="G257" i="1"/>
  <c r="M256" i="1"/>
  <c r="L256" i="1"/>
  <c r="K256" i="1"/>
  <c r="I256" i="1"/>
  <c r="H256" i="1"/>
  <c r="J256" i="1" s="1"/>
  <c r="N256" i="1" s="1"/>
  <c r="E255" i="1"/>
  <c r="F263" i="1" s="1"/>
  <c r="D255" i="1"/>
  <c r="R255" i="1" s="1"/>
  <c r="W254" i="1"/>
  <c r="E254" i="1"/>
  <c r="F254" i="1" s="1"/>
  <c r="D254" i="1"/>
  <c r="W253" i="1"/>
  <c r="V253" i="1"/>
  <c r="U253" i="1"/>
  <c r="T253" i="1"/>
  <c r="S253" i="1"/>
  <c r="R253" i="1"/>
  <c r="F253" i="1"/>
  <c r="W252" i="1"/>
  <c r="V252" i="1"/>
  <c r="T252" i="1"/>
  <c r="S252" i="1"/>
  <c r="R252" i="1"/>
  <c r="Q252" i="1"/>
  <c r="O252" i="1"/>
  <c r="P252" i="1" s="1"/>
  <c r="G252" i="1"/>
  <c r="W251" i="1"/>
  <c r="V251" i="1"/>
  <c r="T251" i="1"/>
  <c r="S251" i="1"/>
  <c r="R251" i="1"/>
  <c r="Q251" i="1"/>
  <c r="O251" i="1"/>
  <c r="P251" i="1" s="1"/>
  <c r="G251" i="1"/>
  <c r="W250" i="1"/>
  <c r="V250" i="1"/>
  <c r="T250" i="1"/>
  <c r="S250" i="1"/>
  <c r="R250" i="1"/>
  <c r="Q250" i="1"/>
  <c r="O250" i="1"/>
  <c r="P250" i="1" s="1"/>
  <c r="G250" i="1"/>
  <c r="M249" i="1"/>
  <c r="L249" i="1"/>
  <c r="K249" i="1"/>
  <c r="I249" i="1"/>
  <c r="H249" i="1"/>
  <c r="J249" i="1" s="1"/>
  <c r="N249" i="1" s="1"/>
  <c r="E248" i="1"/>
  <c r="D248" i="1"/>
  <c r="R248" i="1" s="1"/>
  <c r="Q247" i="1"/>
  <c r="E247" i="1"/>
  <c r="F247" i="1" s="1"/>
  <c r="V246" i="1"/>
  <c r="E246" i="1"/>
  <c r="F246" i="1" s="1"/>
  <c r="D246" i="1"/>
  <c r="W245" i="1"/>
  <c r="T245" i="1"/>
  <c r="S245" i="1"/>
  <c r="F245" i="1"/>
  <c r="D245" i="1"/>
  <c r="D247" i="1" s="1"/>
  <c r="U247" i="1" s="1"/>
  <c r="W244" i="1"/>
  <c r="V244" i="1"/>
  <c r="U244" i="1"/>
  <c r="T244" i="1"/>
  <c r="S244" i="1"/>
  <c r="Q244" i="1"/>
  <c r="F244" i="1"/>
  <c r="W243" i="1"/>
  <c r="V243" i="1"/>
  <c r="U243" i="1"/>
  <c r="S243" i="1"/>
  <c r="R243" i="1"/>
  <c r="Q243" i="1"/>
  <c r="O243" i="1"/>
  <c r="F248" i="1" s="1"/>
  <c r="G243" i="1"/>
  <c r="W242" i="1"/>
  <c r="V242" i="1"/>
  <c r="U242" i="1"/>
  <c r="T242" i="1"/>
  <c r="S242" i="1"/>
  <c r="R242" i="1"/>
  <c r="Q242" i="1"/>
  <c r="O242" i="1"/>
  <c r="P242" i="1" s="1"/>
  <c r="G242" i="1"/>
  <c r="W241" i="1"/>
  <c r="V241" i="1"/>
  <c r="T241" i="1"/>
  <c r="S241" i="1"/>
  <c r="R241" i="1"/>
  <c r="Q241" i="1"/>
  <c r="O241" i="1"/>
  <c r="P241" i="1" s="1"/>
  <c r="G241" i="1"/>
  <c r="W240" i="1"/>
  <c r="V240" i="1"/>
  <c r="T240" i="1"/>
  <c r="S240" i="1"/>
  <c r="R240" i="1"/>
  <c r="Q240" i="1"/>
  <c r="O240" i="1"/>
  <c r="P240" i="1" s="1"/>
  <c r="G240" i="1"/>
  <c r="M239" i="1"/>
  <c r="L239" i="1"/>
  <c r="K239" i="1"/>
  <c r="J239" i="1"/>
  <c r="N239" i="1" s="1"/>
  <c r="I239" i="1"/>
  <c r="H239" i="1"/>
  <c r="R238" i="1"/>
  <c r="E238" i="1"/>
  <c r="F238" i="1" s="1"/>
  <c r="D238" i="1"/>
  <c r="U238" i="1" s="1"/>
  <c r="E237" i="1"/>
  <c r="F237" i="1" s="1"/>
  <c r="E236" i="1"/>
  <c r="F236" i="1" s="1"/>
  <c r="D236" i="1"/>
  <c r="U235" i="1"/>
  <c r="T235" i="1"/>
  <c r="R235" i="1"/>
  <c r="F235" i="1"/>
  <c r="D235" i="1"/>
  <c r="Q235" i="1" s="1"/>
  <c r="W234" i="1"/>
  <c r="V234" i="1"/>
  <c r="U234" i="1"/>
  <c r="T234" i="1"/>
  <c r="R234" i="1"/>
  <c r="Q234" i="1"/>
  <c r="F234" i="1"/>
  <c r="W233" i="1"/>
  <c r="V233" i="1"/>
  <c r="U233" i="1"/>
  <c r="S233" i="1"/>
  <c r="R233" i="1"/>
  <c r="Q233" i="1"/>
  <c r="O233" i="1"/>
  <c r="P233" i="1" s="1"/>
  <c r="T233" i="1" s="1"/>
  <c r="X233" i="1" s="1"/>
  <c r="G233" i="1"/>
  <c r="W232" i="1"/>
  <c r="V232" i="1"/>
  <c r="T232" i="1"/>
  <c r="S232" i="1"/>
  <c r="R232" i="1"/>
  <c r="Q232" i="1"/>
  <c r="O232" i="1"/>
  <c r="P232" i="1" s="1"/>
  <c r="G232" i="1"/>
  <c r="W231" i="1"/>
  <c r="V231" i="1"/>
  <c r="T231" i="1"/>
  <c r="S231" i="1"/>
  <c r="R231" i="1"/>
  <c r="Q231" i="1"/>
  <c r="P231" i="1"/>
  <c r="O231" i="1"/>
  <c r="G231" i="1"/>
  <c r="W230" i="1"/>
  <c r="V230" i="1"/>
  <c r="T230" i="1"/>
  <c r="S230" i="1"/>
  <c r="R230" i="1"/>
  <c r="Q230" i="1"/>
  <c r="O230" i="1"/>
  <c r="P230" i="1" s="1"/>
  <c r="G230" i="1"/>
  <c r="W229" i="1"/>
  <c r="V229" i="1"/>
  <c r="T229" i="1"/>
  <c r="S229" i="1"/>
  <c r="R229" i="1"/>
  <c r="Q229" i="1"/>
  <c r="O229" i="1"/>
  <c r="P229" i="1" s="1"/>
  <c r="G229" i="1"/>
  <c r="M228" i="1"/>
  <c r="L228" i="1"/>
  <c r="K228" i="1"/>
  <c r="I228" i="1"/>
  <c r="H228" i="1"/>
  <c r="J228" i="1" s="1"/>
  <c r="N228" i="1" s="1"/>
  <c r="R227" i="1"/>
  <c r="Q227" i="1"/>
  <c r="E227" i="1"/>
  <c r="F227" i="1" s="1"/>
  <c r="D227" i="1"/>
  <c r="E226" i="1"/>
  <c r="F226" i="1" s="1"/>
  <c r="D226" i="1"/>
  <c r="U225" i="1"/>
  <c r="T225" i="1"/>
  <c r="E225" i="1"/>
  <c r="F225" i="1" s="1"/>
  <c r="D225" i="1"/>
  <c r="W224" i="1"/>
  <c r="V224" i="1"/>
  <c r="R224" i="1"/>
  <c r="Q224" i="1"/>
  <c r="F224" i="1"/>
  <c r="D224" i="1"/>
  <c r="U224" i="1" s="1"/>
  <c r="W223" i="1"/>
  <c r="V223" i="1"/>
  <c r="U223" i="1"/>
  <c r="T223" i="1"/>
  <c r="R223" i="1"/>
  <c r="Q223" i="1"/>
  <c r="F223" i="1"/>
  <c r="W222" i="1"/>
  <c r="V222" i="1"/>
  <c r="U222" i="1"/>
  <c r="S222" i="1"/>
  <c r="R222" i="1"/>
  <c r="Q222" i="1"/>
  <c r="O222" i="1"/>
  <c r="P222" i="1" s="1"/>
  <c r="G222" i="1"/>
  <c r="W221" i="1"/>
  <c r="U221" i="1"/>
  <c r="T221" i="1"/>
  <c r="S221" i="1"/>
  <c r="R221" i="1"/>
  <c r="Q221" i="1"/>
  <c r="G221" i="1"/>
  <c r="O221" i="1" s="1"/>
  <c r="P221" i="1" s="1"/>
  <c r="W220" i="1"/>
  <c r="U220" i="1"/>
  <c r="T220" i="1"/>
  <c r="S220" i="1"/>
  <c r="R220" i="1"/>
  <c r="Q220" i="1"/>
  <c r="O220" i="1"/>
  <c r="P220" i="1" s="1"/>
  <c r="G220" i="1"/>
  <c r="W219" i="1"/>
  <c r="V219" i="1"/>
  <c r="T219" i="1"/>
  <c r="S219" i="1"/>
  <c r="R219" i="1"/>
  <c r="Q219" i="1"/>
  <c r="G219" i="1"/>
  <c r="O219" i="1" s="1"/>
  <c r="P219" i="1" s="1"/>
  <c r="U219" i="1" s="1"/>
  <c r="X219" i="1" s="1"/>
  <c r="W218" i="1"/>
  <c r="V218" i="1"/>
  <c r="T218" i="1"/>
  <c r="S218" i="1"/>
  <c r="R218" i="1"/>
  <c r="Q218" i="1"/>
  <c r="G218" i="1"/>
  <c r="O218" i="1" s="1"/>
  <c r="P218" i="1" s="1"/>
  <c r="M217" i="1"/>
  <c r="L217" i="1"/>
  <c r="K217" i="1"/>
  <c r="I217" i="1"/>
  <c r="H217" i="1"/>
  <c r="J217" i="1" s="1"/>
  <c r="N217" i="1" s="1"/>
  <c r="F216" i="1"/>
  <c r="E216" i="1"/>
  <c r="D216" i="1"/>
  <c r="T216" i="1" s="1"/>
  <c r="U215" i="1"/>
  <c r="T215" i="1"/>
  <c r="R215" i="1"/>
  <c r="Q215" i="1"/>
  <c r="E215" i="1"/>
  <c r="F215" i="1" s="1"/>
  <c r="D215" i="1"/>
  <c r="W214" i="1"/>
  <c r="V214" i="1"/>
  <c r="U214" i="1"/>
  <c r="T214" i="1"/>
  <c r="R214" i="1"/>
  <c r="Q214" i="1"/>
  <c r="F214" i="1"/>
  <c r="W213" i="1"/>
  <c r="V213" i="1"/>
  <c r="U213" i="1"/>
  <c r="T213" i="1"/>
  <c r="S213" i="1"/>
  <c r="R213" i="1"/>
  <c r="Q213" i="1"/>
  <c r="G213" i="1"/>
  <c r="O213" i="1" s="1"/>
  <c r="P213" i="1" s="1"/>
  <c r="W212" i="1"/>
  <c r="V212" i="1"/>
  <c r="T212" i="1"/>
  <c r="S212" i="1"/>
  <c r="R212" i="1"/>
  <c r="Q212" i="1"/>
  <c r="G212" i="1"/>
  <c r="O212" i="1" s="1"/>
  <c r="P212" i="1" s="1"/>
  <c r="W211" i="1"/>
  <c r="U211" i="1"/>
  <c r="T211" i="1"/>
  <c r="S211" i="1"/>
  <c r="R211" i="1"/>
  <c r="Q211" i="1"/>
  <c r="P211" i="1"/>
  <c r="O211" i="1"/>
  <c r="G211" i="1"/>
  <c r="W210" i="1"/>
  <c r="V210" i="1"/>
  <c r="T210" i="1"/>
  <c r="S210" i="1"/>
  <c r="R210" i="1"/>
  <c r="Q210" i="1"/>
  <c r="G210" i="1"/>
  <c r="O210" i="1" s="1"/>
  <c r="P210" i="1" s="1"/>
  <c r="M209" i="1"/>
  <c r="L209" i="1"/>
  <c r="K209" i="1"/>
  <c r="I209" i="1"/>
  <c r="H209" i="1"/>
  <c r="J209" i="1" s="1"/>
  <c r="N209" i="1" s="1"/>
  <c r="W208" i="1"/>
  <c r="U208" i="1"/>
  <c r="E208" i="1"/>
  <c r="D208" i="1"/>
  <c r="V207" i="1"/>
  <c r="U207" i="1"/>
  <c r="T207" i="1"/>
  <c r="R207" i="1"/>
  <c r="E207" i="1"/>
  <c r="F207" i="1" s="1"/>
  <c r="D207" i="1"/>
  <c r="W206" i="1"/>
  <c r="V206" i="1"/>
  <c r="U206" i="1"/>
  <c r="T206" i="1"/>
  <c r="R206" i="1"/>
  <c r="Q206" i="1"/>
  <c r="F206" i="1"/>
  <c r="W205" i="1"/>
  <c r="V205" i="1"/>
  <c r="T205" i="1"/>
  <c r="S205" i="1"/>
  <c r="R205" i="1"/>
  <c r="Q205" i="1"/>
  <c r="G205" i="1"/>
  <c r="O205" i="1" s="1"/>
  <c r="P205" i="1" s="1"/>
  <c r="W204" i="1"/>
  <c r="U204" i="1"/>
  <c r="T204" i="1"/>
  <c r="S204" i="1"/>
  <c r="R204" i="1"/>
  <c r="Q204" i="1"/>
  <c r="G204" i="1"/>
  <c r="O204" i="1" s="1"/>
  <c r="P204" i="1" s="1"/>
  <c r="W203" i="1"/>
  <c r="U203" i="1"/>
  <c r="T203" i="1"/>
  <c r="S203" i="1"/>
  <c r="R203" i="1"/>
  <c r="Q203" i="1"/>
  <c r="P203" i="1"/>
  <c r="V203" i="1" s="1"/>
  <c r="G203" i="1"/>
  <c r="O203" i="1" s="1"/>
  <c r="W202" i="1"/>
  <c r="U202" i="1"/>
  <c r="T202" i="1"/>
  <c r="S202" i="1"/>
  <c r="R202" i="1"/>
  <c r="Q202" i="1"/>
  <c r="G202" i="1"/>
  <c r="O202" i="1" s="1"/>
  <c r="P202" i="1" s="1"/>
  <c r="M201" i="1"/>
  <c r="L201" i="1"/>
  <c r="K201" i="1"/>
  <c r="I201" i="1"/>
  <c r="H201" i="1"/>
  <c r="J201" i="1" s="1"/>
  <c r="N201" i="1" s="1"/>
  <c r="Q200" i="1"/>
  <c r="F200" i="1"/>
  <c r="E200" i="1"/>
  <c r="D200" i="1"/>
  <c r="E199" i="1"/>
  <c r="F199" i="1" s="1"/>
  <c r="E198" i="1"/>
  <c r="F198" i="1" s="1"/>
  <c r="D198" i="1"/>
  <c r="F197" i="1"/>
  <c r="D197" i="1"/>
  <c r="V197" i="1" s="1"/>
  <c r="W196" i="1"/>
  <c r="V196" i="1"/>
  <c r="U196" i="1"/>
  <c r="T196" i="1"/>
  <c r="S196" i="1"/>
  <c r="Q196" i="1"/>
  <c r="F196" i="1"/>
  <c r="W195" i="1"/>
  <c r="V195" i="1"/>
  <c r="T195" i="1"/>
  <c r="S195" i="1"/>
  <c r="R195" i="1"/>
  <c r="Q195" i="1"/>
  <c r="O195" i="1"/>
  <c r="P195" i="1" s="1"/>
  <c r="G195" i="1"/>
  <c r="W194" i="1"/>
  <c r="U194" i="1"/>
  <c r="T194" i="1"/>
  <c r="S194" i="1"/>
  <c r="R194" i="1"/>
  <c r="Q194" i="1"/>
  <c r="P194" i="1"/>
  <c r="O194" i="1"/>
  <c r="G194" i="1"/>
  <c r="W193" i="1"/>
  <c r="U193" i="1"/>
  <c r="T193" i="1"/>
  <c r="S193" i="1"/>
  <c r="R193" i="1"/>
  <c r="Q193" i="1"/>
  <c r="O193" i="1"/>
  <c r="P193" i="1" s="1"/>
  <c r="G193" i="1"/>
  <c r="W192" i="1"/>
  <c r="U192" i="1"/>
  <c r="T192" i="1"/>
  <c r="S192" i="1"/>
  <c r="R192" i="1"/>
  <c r="Q192" i="1"/>
  <c r="O192" i="1"/>
  <c r="P192" i="1" s="1"/>
  <c r="G192" i="1"/>
  <c r="M191" i="1"/>
  <c r="L191" i="1"/>
  <c r="K191" i="1"/>
  <c r="I191" i="1"/>
  <c r="H191" i="1"/>
  <c r="J191" i="1" s="1"/>
  <c r="N191" i="1" s="1"/>
  <c r="E190" i="1"/>
  <c r="D190" i="1"/>
  <c r="Q190" i="1" s="1"/>
  <c r="E189" i="1"/>
  <c r="F189" i="1" s="1"/>
  <c r="E188" i="1"/>
  <c r="F188" i="1" s="1"/>
  <c r="D188" i="1"/>
  <c r="V187" i="1"/>
  <c r="T187" i="1"/>
  <c r="F187" i="1"/>
  <c r="D187" i="1"/>
  <c r="W186" i="1"/>
  <c r="V186" i="1"/>
  <c r="U186" i="1"/>
  <c r="T186" i="1"/>
  <c r="S186" i="1"/>
  <c r="Q186" i="1"/>
  <c r="F186" i="1"/>
  <c r="W185" i="1"/>
  <c r="V185" i="1"/>
  <c r="T185" i="1"/>
  <c r="S185" i="1"/>
  <c r="R185" i="1"/>
  <c r="Q185" i="1"/>
  <c r="O185" i="1"/>
  <c r="F190" i="1" s="1"/>
  <c r="G185" i="1"/>
  <c r="W184" i="1"/>
  <c r="U184" i="1"/>
  <c r="T184" i="1"/>
  <c r="S184" i="1"/>
  <c r="R184" i="1"/>
  <c r="Q184" i="1"/>
  <c r="G184" i="1"/>
  <c r="O184" i="1" s="1"/>
  <c r="P184" i="1" s="1"/>
  <c r="W183" i="1"/>
  <c r="U183" i="1"/>
  <c r="T183" i="1"/>
  <c r="S183" i="1"/>
  <c r="R183" i="1"/>
  <c r="Q183" i="1"/>
  <c r="O183" i="1"/>
  <c r="P183" i="1" s="1"/>
  <c r="V183" i="1" s="1"/>
  <c r="X183" i="1" s="1"/>
  <c r="G183" i="1"/>
  <c r="W182" i="1"/>
  <c r="U182" i="1"/>
  <c r="T182" i="1"/>
  <c r="S182" i="1"/>
  <c r="R182" i="1"/>
  <c r="Q182" i="1"/>
  <c r="O182" i="1"/>
  <c r="P182" i="1" s="1"/>
  <c r="V182" i="1" s="1"/>
  <c r="G182" i="1"/>
  <c r="W181" i="1"/>
  <c r="U181" i="1"/>
  <c r="T181" i="1"/>
  <c r="S181" i="1"/>
  <c r="R181" i="1"/>
  <c r="Q181" i="1"/>
  <c r="G181" i="1"/>
  <c r="O181" i="1" s="1"/>
  <c r="P181" i="1" s="1"/>
  <c r="N180" i="1"/>
  <c r="M180" i="1"/>
  <c r="L180" i="1"/>
  <c r="K180" i="1"/>
  <c r="I180" i="1"/>
  <c r="H180" i="1"/>
  <c r="J180" i="1" s="1"/>
  <c r="U179" i="1"/>
  <c r="R179" i="1"/>
  <c r="Q179" i="1"/>
  <c r="E179" i="1"/>
  <c r="F179" i="1" s="1"/>
  <c r="D179" i="1"/>
  <c r="E178" i="1"/>
  <c r="F178" i="1" s="1"/>
  <c r="E177" i="1"/>
  <c r="F177" i="1" s="1"/>
  <c r="D177" i="1"/>
  <c r="W176" i="1"/>
  <c r="F176" i="1"/>
  <c r="D176" i="1"/>
  <c r="W175" i="1"/>
  <c r="V175" i="1"/>
  <c r="U175" i="1"/>
  <c r="T175" i="1"/>
  <c r="S175" i="1"/>
  <c r="Q175" i="1"/>
  <c r="F175" i="1"/>
  <c r="W174" i="1"/>
  <c r="V174" i="1"/>
  <c r="T174" i="1"/>
  <c r="S174" i="1"/>
  <c r="R174" i="1"/>
  <c r="Q174" i="1"/>
  <c r="O174" i="1"/>
  <c r="P174" i="1" s="1"/>
  <c r="G174" i="1"/>
  <c r="W173" i="1"/>
  <c r="V173" i="1"/>
  <c r="T173" i="1"/>
  <c r="S173" i="1"/>
  <c r="R173" i="1"/>
  <c r="Q173" i="1"/>
  <c r="O173" i="1"/>
  <c r="P173" i="1" s="1"/>
  <c r="G173" i="1"/>
  <c r="W172" i="1"/>
  <c r="U172" i="1"/>
  <c r="T172" i="1"/>
  <c r="S172" i="1"/>
  <c r="R172" i="1"/>
  <c r="Q172" i="1"/>
  <c r="G172" i="1"/>
  <c r="O172" i="1" s="1"/>
  <c r="P172" i="1" s="1"/>
  <c r="W171" i="1"/>
  <c r="V171" i="1"/>
  <c r="T171" i="1"/>
  <c r="S171" i="1"/>
  <c r="R171" i="1"/>
  <c r="Q171" i="1"/>
  <c r="O171" i="1"/>
  <c r="P171" i="1" s="1"/>
  <c r="U171" i="1" s="1"/>
  <c r="G171" i="1"/>
  <c r="W170" i="1"/>
  <c r="V170" i="1"/>
  <c r="T170" i="1"/>
  <c r="S170" i="1"/>
  <c r="R170" i="1"/>
  <c r="Q170" i="1"/>
  <c r="P170" i="1"/>
  <c r="U170" i="1" s="1"/>
  <c r="X170" i="1" s="1"/>
  <c r="O170" i="1"/>
  <c r="G170" i="1"/>
  <c r="M169" i="1"/>
  <c r="L169" i="1"/>
  <c r="K169" i="1"/>
  <c r="I169" i="1"/>
  <c r="H169" i="1"/>
  <c r="J169" i="1" s="1"/>
  <c r="N169" i="1" s="1"/>
  <c r="U168" i="1"/>
  <c r="E168" i="1"/>
  <c r="D168" i="1"/>
  <c r="E167" i="1"/>
  <c r="F167" i="1" s="1"/>
  <c r="V166" i="1"/>
  <c r="U166" i="1"/>
  <c r="T166" i="1"/>
  <c r="E166" i="1"/>
  <c r="F166" i="1" s="1"/>
  <c r="D166" i="1"/>
  <c r="F165" i="1"/>
  <c r="D165" i="1"/>
  <c r="W164" i="1"/>
  <c r="V164" i="1"/>
  <c r="U164" i="1"/>
  <c r="T164" i="1"/>
  <c r="R164" i="1"/>
  <c r="Q164" i="1"/>
  <c r="F164" i="1"/>
  <c r="W163" i="1"/>
  <c r="U163" i="1"/>
  <c r="T163" i="1"/>
  <c r="S163" i="1"/>
  <c r="R163" i="1"/>
  <c r="Q163" i="1"/>
  <c r="G163" i="1"/>
  <c r="O163" i="1" s="1"/>
  <c r="P163" i="1" s="1"/>
  <c r="W162" i="1"/>
  <c r="V162" i="1"/>
  <c r="T162" i="1"/>
  <c r="S162" i="1"/>
  <c r="R162" i="1"/>
  <c r="Q162" i="1"/>
  <c r="G162" i="1"/>
  <c r="O162" i="1" s="1"/>
  <c r="P162" i="1" s="1"/>
  <c r="W161" i="1"/>
  <c r="U161" i="1"/>
  <c r="T161" i="1"/>
  <c r="S161" i="1"/>
  <c r="R161" i="1"/>
  <c r="Q161" i="1"/>
  <c r="P161" i="1"/>
  <c r="O161" i="1"/>
  <c r="G161" i="1"/>
  <c r="W160" i="1"/>
  <c r="U160" i="1"/>
  <c r="T160" i="1"/>
  <c r="S160" i="1"/>
  <c r="R160" i="1"/>
  <c r="Q160" i="1"/>
  <c r="O160" i="1"/>
  <c r="P160" i="1" s="1"/>
  <c r="G160" i="1"/>
  <c r="W159" i="1"/>
  <c r="U159" i="1"/>
  <c r="T159" i="1"/>
  <c r="S159" i="1"/>
  <c r="R159" i="1"/>
  <c r="Q159" i="1"/>
  <c r="G159" i="1"/>
  <c r="O159" i="1" s="1"/>
  <c r="P159" i="1" s="1"/>
  <c r="V159" i="1" s="1"/>
  <c r="M158" i="1"/>
  <c r="L158" i="1"/>
  <c r="K158" i="1"/>
  <c r="I158" i="1"/>
  <c r="H158" i="1"/>
  <c r="J158" i="1" s="1"/>
  <c r="N158" i="1" s="1"/>
  <c r="W157" i="1"/>
  <c r="S157" i="1"/>
  <c r="R157" i="1"/>
  <c r="Q157" i="1"/>
  <c r="E157" i="1"/>
  <c r="F157" i="1" s="1"/>
  <c r="D157" i="1"/>
  <c r="F156" i="1"/>
  <c r="E156" i="1"/>
  <c r="D156" i="1"/>
  <c r="W155" i="1"/>
  <c r="V155" i="1"/>
  <c r="U155" i="1"/>
  <c r="T155" i="1"/>
  <c r="R155" i="1"/>
  <c r="Q155" i="1"/>
  <c r="F155" i="1"/>
  <c r="W154" i="1"/>
  <c r="V154" i="1"/>
  <c r="T154" i="1"/>
  <c r="S154" i="1"/>
  <c r="R154" i="1"/>
  <c r="Q154" i="1"/>
  <c r="G154" i="1"/>
  <c r="O154" i="1" s="1"/>
  <c r="P154" i="1" s="1"/>
  <c r="W153" i="1"/>
  <c r="U153" i="1"/>
  <c r="T153" i="1"/>
  <c r="S153" i="1"/>
  <c r="R153" i="1"/>
  <c r="Q153" i="1"/>
  <c r="O153" i="1"/>
  <c r="P153" i="1" s="1"/>
  <c r="G153" i="1"/>
  <c r="W152" i="1"/>
  <c r="U152" i="1"/>
  <c r="T152" i="1"/>
  <c r="S152" i="1"/>
  <c r="R152" i="1"/>
  <c r="Q152" i="1"/>
  <c r="O152" i="1"/>
  <c r="P152" i="1" s="1"/>
  <c r="G152" i="1"/>
  <c r="W151" i="1"/>
  <c r="U151" i="1"/>
  <c r="T151" i="1"/>
  <c r="S151" i="1"/>
  <c r="R151" i="1"/>
  <c r="Q151" i="1"/>
  <c r="O151" i="1"/>
  <c r="P151" i="1" s="1"/>
  <c r="G151" i="1"/>
  <c r="W150" i="1"/>
  <c r="V150" i="1"/>
  <c r="T150" i="1"/>
  <c r="S150" i="1"/>
  <c r="R150" i="1"/>
  <c r="Q150" i="1"/>
  <c r="G150" i="1"/>
  <c r="O150" i="1" s="1"/>
  <c r="P150" i="1" s="1"/>
  <c r="N149" i="1"/>
  <c r="M149" i="1"/>
  <c r="L149" i="1"/>
  <c r="K149" i="1"/>
  <c r="I149" i="1"/>
  <c r="H149" i="1"/>
  <c r="J149" i="1" s="1"/>
  <c r="E148" i="1"/>
  <c r="F148" i="1" s="1"/>
  <c r="D148" i="1"/>
  <c r="W148" i="1" s="1"/>
  <c r="E147" i="1"/>
  <c r="F147" i="1" s="1"/>
  <c r="U146" i="1"/>
  <c r="E146" i="1"/>
  <c r="F146" i="1" s="1"/>
  <c r="D146" i="1"/>
  <c r="F145" i="1"/>
  <c r="D145" i="1"/>
  <c r="V145" i="1" s="1"/>
  <c r="W144" i="1"/>
  <c r="V144" i="1"/>
  <c r="U144" i="1"/>
  <c r="T144" i="1"/>
  <c r="S144" i="1"/>
  <c r="Q144" i="1"/>
  <c r="F144" i="1"/>
  <c r="W143" i="1"/>
  <c r="V143" i="1"/>
  <c r="T143" i="1"/>
  <c r="S143" i="1"/>
  <c r="R143" i="1"/>
  <c r="Q143" i="1"/>
  <c r="O143" i="1"/>
  <c r="P143" i="1" s="1"/>
  <c r="G143" i="1"/>
  <c r="W142" i="1"/>
  <c r="U142" i="1"/>
  <c r="T142" i="1"/>
  <c r="S142" i="1"/>
  <c r="R142" i="1"/>
  <c r="Q142" i="1"/>
  <c r="G142" i="1"/>
  <c r="O142" i="1" s="1"/>
  <c r="P142" i="1" s="1"/>
  <c r="W141" i="1"/>
  <c r="V141" i="1"/>
  <c r="T141" i="1"/>
  <c r="S141" i="1"/>
  <c r="R141" i="1"/>
  <c r="Q141" i="1"/>
  <c r="G141" i="1"/>
  <c r="O141" i="1" s="1"/>
  <c r="P141" i="1" s="1"/>
  <c r="W140" i="1"/>
  <c r="V140" i="1"/>
  <c r="T140" i="1"/>
  <c r="S140" i="1"/>
  <c r="R140" i="1"/>
  <c r="Q140" i="1"/>
  <c r="G140" i="1"/>
  <c r="O140" i="1" s="1"/>
  <c r="P140" i="1" s="1"/>
  <c r="N139" i="1"/>
  <c r="M139" i="1"/>
  <c r="L139" i="1"/>
  <c r="K139" i="1"/>
  <c r="I139" i="1"/>
  <c r="H139" i="1"/>
  <c r="J139" i="1" s="1"/>
  <c r="E138" i="1"/>
  <c r="F138" i="1" s="1"/>
  <c r="D138" i="1"/>
  <c r="E137" i="1"/>
  <c r="F137" i="1" s="1"/>
  <c r="R136" i="1"/>
  <c r="F136" i="1"/>
  <c r="E136" i="1"/>
  <c r="D136" i="1"/>
  <c r="S136" i="1" s="1"/>
  <c r="V135" i="1"/>
  <c r="F135" i="1"/>
  <c r="D135" i="1"/>
  <c r="W134" i="1"/>
  <c r="V134" i="1"/>
  <c r="U134" i="1"/>
  <c r="T134" i="1"/>
  <c r="S134" i="1"/>
  <c r="R134" i="1"/>
  <c r="F134" i="1"/>
  <c r="W133" i="1"/>
  <c r="V133" i="1"/>
  <c r="T133" i="1"/>
  <c r="S133" i="1"/>
  <c r="R133" i="1"/>
  <c r="Q133" i="1"/>
  <c r="O133" i="1"/>
  <c r="P133" i="1" s="1"/>
  <c r="G133" i="1"/>
  <c r="W132" i="1"/>
  <c r="V132" i="1"/>
  <c r="T132" i="1"/>
  <c r="S132" i="1"/>
  <c r="R132" i="1"/>
  <c r="Q132" i="1"/>
  <c r="G132" i="1"/>
  <c r="O132" i="1" s="1"/>
  <c r="P132" i="1" s="1"/>
  <c r="W131" i="1"/>
  <c r="V131" i="1"/>
  <c r="T131" i="1"/>
  <c r="S131" i="1"/>
  <c r="R131" i="1"/>
  <c r="Q131" i="1"/>
  <c r="G131" i="1"/>
  <c r="O131" i="1" s="1"/>
  <c r="P131" i="1" s="1"/>
  <c r="M130" i="1"/>
  <c r="L130" i="1"/>
  <c r="K130" i="1"/>
  <c r="I130" i="1"/>
  <c r="H130" i="1"/>
  <c r="J130" i="1" s="1"/>
  <c r="N130" i="1" s="1"/>
  <c r="F129" i="1"/>
  <c r="E129" i="1"/>
  <c r="D129" i="1"/>
  <c r="W129" i="1" s="1"/>
  <c r="E128" i="1"/>
  <c r="F128" i="1" s="1"/>
  <c r="S127" i="1"/>
  <c r="Q127" i="1"/>
  <c r="E127" i="1"/>
  <c r="F127" i="1" s="1"/>
  <c r="D127" i="1"/>
  <c r="F126" i="1"/>
  <c r="D126" i="1"/>
  <c r="S126" i="1" s="1"/>
  <c r="W125" i="1"/>
  <c r="V125" i="1"/>
  <c r="U125" i="1"/>
  <c r="T125" i="1"/>
  <c r="S125" i="1"/>
  <c r="Q125" i="1"/>
  <c r="F125" i="1"/>
  <c r="W124" i="1"/>
  <c r="V124" i="1"/>
  <c r="T124" i="1"/>
  <c r="S124" i="1"/>
  <c r="R124" i="1"/>
  <c r="Q124" i="1"/>
  <c r="G124" i="1"/>
  <c r="O124" i="1" s="1"/>
  <c r="P124" i="1" s="1"/>
  <c r="W123" i="1"/>
  <c r="V123" i="1"/>
  <c r="T123" i="1"/>
  <c r="S123" i="1"/>
  <c r="R123" i="1"/>
  <c r="Q123" i="1"/>
  <c r="G123" i="1"/>
  <c r="O123" i="1" s="1"/>
  <c r="P123" i="1" s="1"/>
  <c r="W122" i="1"/>
  <c r="V122" i="1"/>
  <c r="U122" i="1"/>
  <c r="S122" i="1"/>
  <c r="R122" i="1"/>
  <c r="Q122" i="1"/>
  <c r="G122" i="1"/>
  <c r="O122" i="1" s="1"/>
  <c r="P122" i="1" s="1"/>
  <c r="T122" i="1" s="1"/>
  <c r="X122" i="1" s="1"/>
  <c r="W121" i="1"/>
  <c r="U121" i="1"/>
  <c r="T121" i="1"/>
  <c r="S121" i="1"/>
  <c r="R121" i="1"/>
  <c r="Q121" i="1"/>
  <c r="G121" i="1"/>
  <c r="O121" i="1" s="1"/>
  <c r="P121" i="1" s="1"/>
  <c r="W120" i="1"/>
  <c r="V120" i="1"/>
  <c r="T120" i="1"/>
  <c r="S120" i="1"/>
  <c r="R120" i="1"/>
  <c r="Q120" i="1"/>
  <c r="G120" i="1"/>
  <c r="O120" i="1" s="1"/>
  <c r="P120" i="1" s="1"/>
  <c r="U120" i="1" s="1"/>
  <c r="M119" i="1"/>
  <c r="L119" i="1"/>
  <c r="K119" i="1"/>
  <c r="I119" i="1"/>
  <c r="H119" i="1"/>
  <c r="J119" i="1" s="1"/>
  <c r="N119" i="1" s="1"/>
  <c r="U118" i="1"/>
  <c r="T118" i="1"/>
  <c r="S118" i="1"/>
  <c r="R118" i="1"/>
  <c r="Q118" i="1"/>
  <c r="E118" i="1"/>
  <c r="F118" i="1" s="1"/>
  <c r="D118" i="1"/>
  <c r="W118" i="1" s="1"/>
  <c r="W117" i="1"/>
  <c r="V117" i="1"/>
  <c r="R117" i="1"/>
  <c r="Q117" i="1"/>
  <c r="F117" i="1"/>
  <c r="E117" i="1"/>
  <c r="D117" i="1"/>
  <c r="U117" i="1" s="1"/>
  <c r="W116" i="1"/>
  <c r="V116" i="1"/>
  <c r="U116" i="1"/>
  <c r="T116" i="1"/>
  <c r="R116" i="1"/>
  <c r="Q116" i="1"/>
  <c r="F116" i="1"/>
  <c r="W115" i="1"/>
  <c r="V115" i="1"/>
  <c r="T115" i="1"/>
  <c r="S115" i="1"/>
  <c r="R115" i="1"/>
  <c r="Q115" i="1"/>
  <c r="G115" i="1"/>
  <c r="O115" i="1" s="1"/>
  <c r="P115" i="1" s="1"/>
  <c r="W114" i="1"/>
  <c r="U114" i="1"/>
  <c r="T114" i="1"/>
  <c r="S114" i="1"/>
  <c r="R114" i="1"/>
  <c r="Q114" i="1"/>
  <c r="G114" i="1"/>
  <c r="O114" i="1" s="1"/>
  <c r="P114" i="1" s="1"/>
  <c r="W113" i="1"/>
  <c r="V113" i="1"/>
  <c r="T113" i="1"/>
  <c r="S113" i="1"/>
  <c r="R113" i="1"/>
  <c r="Q113" i="1"/>
  <c r="G113" i="1"/>
  <c r="O113" i="1" s="1"/>
  <c r="P113" i="1" s="1"/>
  <c r="U113" i="1" s="1"/>
  <c r="M112" i="1"/>
  <c r="L112" i="1"/>
  <c r="K112" i="1"/>
  <c r="I112" i="1"/>
  <c r="H112" i="1"/>
  <c r="J112" i="1" s="1"/>
  <c r="N112" i="1" s="1"/>
  <c r="E111" i="1"/>
  <c r="D111" i="1"/>
  <c r="Q111" i="1" s="1"/>
  <c r="E110" i="1"/>
  <c r="F110" i="1" s="1"/>
  <c r="F109" i="1"/>
  <c r="E109" i="1"/>
  <c r="D109" i="1"/>
  <c r="W109" i="1" s="1"/>
  <c r="F108" i="1"/>
  <c r="D108" i="1"/>
  <c r="W107" i="1"/>
  <c r="V107" i="1"/>
  <c r="U107" i="1"/>
  <c r="T107" i="1"/>
  <c r="S107" i="1"/>
  <c r="Q107" i="1"/>
  <c r="F107" i="1"/>
  <c r="W106" i="1"/>
  <c r="U106" i="1"/>
  <c r="T106" i="1"/>
  <c r="S106" i="1"/>
  <c r="R106" i="1"/>
  <c r="Q106" i="1"/>
  <c r="P106" i="1"/>
  <c r="O106" i="1"/>
  <c r="G106" i="1"/>
  <c r="W105" i="1"/>
  <c r="V105" i="1"/>
  <c r="T105" i="1"/>
  <c r="S105" i="1"/>
  <c r="R105" i="1"/>
  <c r="Q105" i="1"/>
  <c r="G105" i="1"/>
  <c r="O105" i="1" s="1"/>
  <c r="P105" i="1" s="1"/>
  <c r="W104" i="1"/>
  <c r="V104" i="1"/>
  <c r="U104" i="1"/>
  <c r="S104" i="1"/>
  <c r="R104" i="1"/>
  <c r="Q104" i="1"/>
  <c r="G104" i="1"/>
  <c r="O104" i="1" s="1"/>
  <c r="P104" i="1" s="1"/>
  <c r="W103" i="1"/>
  <c r="V103" i="1"/>
  <c r="T103" i="1"/>
  <c r="S103" i="1"/>
  <c r="R103" i="1"/>
  <c r="Q103" i="1"/>
  <c r="G103" i="1"/>
  <c r="O103" i="1" s="1"/>
  <c r="P103" i="1" s="1"/>
  <c r="M102" i="1"/>
  <c r="L102" i="1"/>
  <c r="K102" i="1"/>
  <c r="I102" i="1"/>
  <c r="H102" i="1"/>
  <c r="J102" i="1" s="1"/>
  <c r="N102" i="1" s="1"/>
  <c r="E101" i="1"/>
  <c r="F101" i="1" s="1"/>
  <c r="D101" i="1"/>
  <c r="W100" i="1"/>
  <c r="V100" i="1"/>
  <c r="U100" i="1"/>
  <c r="T100" i="1"/>
  <c r="S100" i="1"/>
  <c r="R100" i="1"/>
  <c r="F100" i="1"/>
  <c r="W99" i="1"/>
  <c r="V99" i="1"/>
  <c r="U99" i="1"/>
  <c r="S99" i="1"/>
  <c r="R99" i="1"/>
  <c r="Q99" i="1"/>
  <c r="G99" i="1"/>
  <c r="O99" i="1" s="1"/>
  <c r="P99" i="1" s="1"/>
  <c r="W98" i="1"/>
  <c r="V98" i="1"/>
  <c r="U98" i="1"/>
  <c r="S98" i="1"/>
  <c r="R98" i="1"/>
  <c r="Q98" i="1"/>
  <c r="G98" i="1"/>
  <c r="O98" i="1" s="1"/>
  <c r="P98" i="1" s="1"/>
  <c r="T98" i="1" s="1"/>
  <c r="M97" i="1"/>
  <c r="L97" i="1"/>
  <c r="K97" i="1"/>
  <c r="J97" i="1"/>
  <c r="N97" i="1" s="1"/>
  <c r="I97" i="1"/>
  <c r="H97" i="1"/>
  <c r="E96" i="1"/>
  <c r="D96" i="1"/>
  <c r="Q96" i="1" s="1"/>
  <c r="E95" i="1"/>
  <c r="F95" i="1" s="1"/>
  <c r="F94" i="1"/>
  <c r="E94" i="1"/>
  <c r="D94" i="1"/>
  <c r="S94" i="1" s="1"/>
  <c r="Q93" i="1"/>
  <c r="F93" i="1"/>
  <c r="D93" i="1"/>
  <c r="W93" i="1" s="1"/>
  <c r="W92" i="1"/>
  <c r="V92" i="1"/>
  <c r="U92" i="1"/>
  <c r="T92" i="1"/>
  <c r="S92" i="1"/>
  <c r="Q92" i="1"/>
  <c r="F92" i="1"/>
  <c r="W91" i="1"/>
  <c r="V91" i="1"/>
  <c r="U91" i="1"/>
  <c r="S91" i="1"/>
  <c r="R91" i="1"/>
  <c r="Q91" i="1"/>
  <c r="O91" i="1"/>
  <c r="P91" i="1" s="1"/>
  <c r="T91" i="1" s="1"/>
  <c r="X91" i="1" s="1"/>
  <c r="G91" i="1"/>
  <c r="W90" i="1"/>
  <c r="V90" i="1"/>
  <c r="T90" i="1"/>
  <c r="S90" i="1"/>
  <c r="R90" i="1"/>
  <c r="Q90" i="1"/>
  <c r="G90" i="1"/>
  <c r="O90" i="1" s="1"/>
  <c r="P90" i="1" s="1"/>
  <c r="U90" i="1" s="1"/>
  <c r="W89" i="1"/>
  <c r="U89" i="1"/>
  <c r="T89" i="1"/>
  <c r="S89" i="1"/>
  <c r="R89" i="1"/>
  <c r="Q89" i="1"/>
  <c r="P89" i="1"/>
  <c r="V89" i="1" s="1"/>
  <c r="X89" i="1" s="1"/>
  <c r="O89" i="1"/>
  <c r="G89" i="1"/>
  <c r="W88" i="1"/>
  <c r="U88" i="1"/>
  <c r="T88" i="1"/>
  <c r="S88" i="1"/>
  <c r="R88" i="1"/>
  <c r="Q88" i="1"/>
  <c r="G88" i="1"/>
  <c r="O88" i="1" s="1"/>
  <c r="P88" i="1" s="1"/>
  <c r="W87" i="1"/>
  <c r="V87" i="1"/>
  <c r="T87" i="1"/>
  <c r="S87" i="1"/>
  <c r="R87" i="1"/>
  <c r="Q87" i="1"/>
  <c r="G87" i="1"/>
  <c r="O87" i="1" s="1"/>
  <c r="P87" i="1" s="1"/>
  <c r="U87" i="1" s="1"/>
  <c r="M86" i="1"/>
  <c r="L86" i="1"/>
  <c r="K86" i="1"/>
  <c r="I86" i="1"/>
  <c r="H86" i="1"/>
  <c r="J86" i="1" s="1"/>
  <c r="N86" i="1" s="1"/>
  <c r="R85" i="1"/>
  <c r="Q85" i="1"/>
  <c r="E85" i="1"/>
  <c r="F85" i="1" s="1"/>
  <c r="D85" i="1"/>
  <c r="W85" i="1" s="1"/>
  <c r="W84" i="1"/>
  <c r="V84" i="1"/>
  <c r="U84" i="1"/>
  <c r="T84" i="1"/>
  <c r="R84" i="1"/>
  <c r="Q84" i="1"/>
  <c r="F84" i="1"/>
  <c r="W83" i="1"/>
  <c r="V83" i="1"/>
  <c r="U83" i="1"/>
  <c r="S83" i="1"/>
  <c r="R83" i="1"/>
  <c r="Q83" i="1"/>
  <c r="O83" i="1"/>
  <c r="P83" i="1" s="1"/>
  <c r="T83" i="1" s="1"/>
  <c r="G83" i="1"/>
  <c r="W82" i="1"/>
  <c r="V82" i="1"/>
  <c r="T82" i="1"/>
  <c r="S82" i="1"/>
  <c r="R82" i="1"/>
  <c r="Q82" i="1"/>
  <c r="O82" i="1"/>
  <c r="P82" i="1" s="1"/>
  <c r="U82" i="1" s="1"/>
  <c r="G82" i="1"/>
  <c r="W81" i="1"/>
  <c r="U81" i="1"/>
  <c r="T81" i="1"/>
  <c r="S81" i="1"/>
  <c r="R81" i="1"/>
  <c r="Q81" i="1"/>
  <c r="O81" i="1"/>
  <c r="P81" i="1" s="1"/>
  <c r="V81" i="1" s="1"/>
  <c r="G81" i="1"/>
  <c r="W80" i="1"/>
  <c r="V80" i="1"/>
  <c r="T80" i="1"/>
  <c r="S80" i="1"/>
  <c r="R80" i="1"/>
  <c r="Q80" i="1"/>
  <c r="P80" i="1"/>
  <c r="U80" i="1" s="1"/>
  <c r="X80" i="1" s="1"/>
  <c r="O80" i="1"/>
  <c r="G80" i="1"/>
  <c r="N79" i="1"/>
  <c r="L79" i="1"/>
  <c r="K79" i="1"/>
  <c r="I79" i="1"/>
  <c r="H79" i="1"/>
  <c r="J79" i="1" s="1"/>
  <c r="M79" i="1" s="1"/>
  <c r="U78" i="1"/>
  <c r="S78" i="1"/>
  <c r="E78" i="1"/>
  <c r="F78" i="1" s="1"/>
  <c r="D78" i="1"/>
  <c r="R78" i="1" s="1"/>
  <c r="W77" i="1"/>
  <c r="V77" i="1"/>
  <c r="U77" i="1"/>
  <c r="T77" i="1"/>
  <c r="S77" i="1"/>
  <c r="Q77" i="1"/>
  <c r="F77" i="1"/>
  <c r="W76" i="1"/>
  <c r="V76" i="1"/>
  <c r="U76" i="1"/>
  <c r="T76" i="1"/>
  <c r="R76" i="1"/>
  <c r="Q76" i="1"/>
  <c r="O76" i="1"/>
  <c r="P76" i="1" s="1"/>
  <c r="S76" i="1" s="1"/>
  <c r="G76" i="1"/>
  <c r="W75" i="1"/>
  <c r="V75" i="1"/>
  <c r="T75" i="1"/>
  <c r="S75" i="1"/>
  <c r="R75" i="1"/>
  <c r="Q75" i="1"/>
  <c r="P75" i="1"/>
  <c r="O75" i="1"/>
  <c r="G75" i="1"/>
  <c r="O746" i="1" s="1"/>
  <c r="P746" i="1" s="1"/>
  <c r="W74" i="1"/>
  <c r="V74" i="1"/>
  <c r="T74" i="1"/>
  <c r="S74" i="1"/>
  <c r="R74" i="1"/>
  <c r="Q74" i="1"/>
  <c r="O74" i="1"/>
  <c r="P74" i="1" s="1"/>
  <c r="G74" i="1"/>
  <c r="O745" i="1" s="1"/>
  <c r="P745" i="1" s="1"/>
  <c r="W73" i="1"/>
  <c r="V73" i="1"/>
  <c r="U73" i="1"/>
  <c r="S73" i="1"/>
  <c r="R73" i="1"/>
  <c r="Q73" i="1"/>
  <c r="O73" i="1"/>
  <c r="P73" i="1" s="1"/>
  <c r="G73" i="1"/>
  <c r="W72" i="1"/>
  <c r="V72" i="1"/>
  <c r="T72" i="1"/>
  <c r="S72" i="1"/>
  <c r="R72" i="1"/>
  <c r="Q72" i="1"/>
  <c r="O72" i="1"/>
  <c r="P72" i="1" s="1"/>
  <c r="G72" i="1"/>
  <c r="M71" i="1"/>
  <c r="L71" i="1"/>
  <c r="K71" i="1"/>
  <c r="J71" i="1"/>
  <c r="N71" i="1" s="1"/>
  <c r="I71" i="1"/>
  <c r="H71" i="1"/>
  <c r="E70" i="1"/>
  <c r="F70" i="1" s="1"/>
  <c r="D70" i="1"/>
  <c r="Q70" i="1" s="1"/>
  <c r="E69" i="1"/>
  <c r="F69" i="1" s="1"/>
  <c r="E68" i="1"/>
  <c r="F68" i="1" s="1"/>
  <c r="D68" i="1"/>
  <c r="S68" i="1" s="1"/>
  <c r="T67" i="1"/>
  <c r="F67" i="1"/>
  <c r="D67" i="1"/>
  <c r="W67" i="1" s="1"/>
  <c r="W66" i="1"/>
  <c r="V66" i="1"/>
  <c r="U66" i="1"/>
  <c r="T66" i="1"/>
  <c r="S66" i="1"/>
  <c r="R66" i="1"/>
  <c r="F66" i="1"/>
  <c r="W65" i="1"/>
  <c r="V65" i="1"/>
  <c r="U65" i="1"/>
  <c r="T65" i="1"/>
  <c r="R65" i="1"/>
  <c r="Q65" i="1"/>
  <c r="O65" i="1"/>
  <c r="P65" i="1" s="1"/>
  <c r="S65" i="1" s="1"/>
  <c r="X65" i="1" s="1"/>
  <c r="G65" i="1"/>
  <c r="W64" i="1"/>
  <c r="V64" i="1"/>
  <c r="T64" i="1"/>
  <c r="S64" i="1"/>
  <c r="R64" i="1"/>
  <c r="Q64" i="1"/>
  <c r="O64" i="1"/>
  <c r="P64" i="1" s="1"/>
  <c r="G64" i="1"/>
  <c r="W63" i="1"/>
  <c r="V63" i="1"/>
  <c r="U63" i="1"/>
  <c r="S63" i="1"/>
  <c r="R63" i="1"/>
  <c r="Q63" i="1"/>
  <c r="O63" i="1"/>
  <c r="P63" i="1" s="1"/>
  <c r="T63" i="1" s="1"/>
  <c r="X63" i="1" s="1"/>
  <c r="G63" i="1"/>
  <c r="W62" i="1"/>
  <c r="V62" i="1"/>
  <c r="T62" i="1"/>
  <c r="S62" i="1"/>
  <c r="R62" i="1"/>
  <c r="Q62" i="1"/>
  <c r="O62" i="1"/>
  <c r="P62" i="1" s="1"/>
  <c r="G62" i="1"/>
  <c r="M61" i="1"/>
  <c r="L61" i="1"/>
  <c r="K61" i="1"/>
  <c r="I61" i="1"/>
  <c r="H61" i="1"/>
  <c r="J61" i="1" s="1"/>
  <c r="N61" i="1" s="1"/>
  <c r="E60" i="1"/>
  <c r="F60" i="1" s="1"/>
  <c r="D60" i="1"/>
  <c r="S60" i="1" s="1"/>
  <c r="E59" i="1"/>
  <c r="F59" i="1" s="1"/>
  <c r="E58" i="1"/>
  <c r="F58" i="1" s="1"/>
  <c r="D58" i="1"/>
  <c r="U58" i="1" s="1"/>
  <c r="S57" i="1"/>
  <c r="F57" i="1"/>
  <c r="D57" i="1"/>
  <c r="W56" i="1"/>
  <c r="V56" i="1"/>
  <c r="U56" i="1"/>
  <c r="T56" i="1"/>
  <c r="S56" i="1"/>
  <c r="Q56" i="1"/>
  <c r="F56" i="1"/>
  <c r="W55" i="1"/>
  <c r="V55" i="1"/>
  <c r="U55" i="1"/>
  <c r="T55" i="1"/>
  <c r="R55" i="1"/>
  <c r="Q55" i="1"/>
  <c r="G55" i="1"/>
  <c r="O55" i="1" s="1"/>
  <c r="P55" i="1" s="1"/>
  <c r="S55" i="1" s="1"/>
  <c r="W54" i="1"/>
  <c r="V54" i="1"/>
  <c r="T54" i="1"/>
  <c r="S54" i="1"/>
  <c r="R54" i="1"/>
  <c r="Q54" i="1"/>
  <c r="G54" i="1"/>
  <c r="O54" i="1" s="1"/>
  <c r="P54" i="1" s="1"/>
  <c r="U54" i="1" s="1"/>
  <c r="X54" i="1" s="1"/>
  <c r="W53" i="1"/>
  <c r="V53" i="1"/>
  <c r="U53" i="1"/>
  <c r="S53" i="1"/>
  <c r="R53" i="1"/>
  <c r="Q53" i="1"/>
  <c r="O53" i="1"/>
  <c r="P53" i="1" s="1"/>
  <c r="T53" i="1" s="1"/>
  <c r="X53" i="1" s="1"/>
  <c r="G53" i="1"/>
  <c r="W52" i="1"/>
  <c r="V52" i="1"/>
  <c r="U52" i="1"/>
  <c r="S52" i="1"/>
  <c r="R52" i="1"/>
  <c r="Q52" i="1"/>
  <c r="G52" i="1"/>
  <c r="O52" i="1" s="1"/>
  <c r="P52" i="1" s="1"/>
  <c r="T52" i="1" s="1"/>
  <c r="W51" i="1"/>
  <c r="V51" i="1"/>
  <c r="T51" i="1"/>
  <c r="S51" i="1"/>
  <c r="R51" i="1"/>
  <c r="Q51" i="1"/>
  <c r="G51" i="1"/>
  <c r="O51" i="1" s="1"/>
  <c r="M50" i="1"/>
  <c r="M47" i="1" s="1"/>
  <c r="L50" i="1"/>
  <c r="L47" i="1" s="1"/>
  <c r="K50" i="1"/>
  <c r="I50" i="1"/>
  <c r="H50" i="1"/>
  <c r="J50" i="1" s="1"/>
  <c r="K47" i="1"/>
  <c r="W45" i="1"/>
  <c r="V45" i="1"/>
  <c r="V161" i="1" s="1"/>
  <c r="X161" i="1" s="1"/>
  <c r="U45" i="1"/>
  <c r="T45" i="1"/>
  <c r="S45" i="1"/>
  <c r="R45" i="1"/>
  <c r="Q45" i="1"/>
  <c r="R39" i="1"/>
  <c r="Q39" i="1"/>
  <c r="P39" i="1"/>
  <c r="M38" i="1"/>
  <c r="L38" i="1"/>
  <c r="K38" i="1"/>
  <c r="J38" i="1"/>
  <c r="I38" i="1"/>
  <c r="H38" i="1"/>
  <c r="G38" i="1"/>
  <c r="F38" i="1"/>
  <c r="E38" i="1"/>
  <c r="D38" i="1"/>
  <c r="L37" i="1"/>
  <c r="K37" i="1"/>
  <c r="J37" i="1"/>
  <c r="I37" i="1"/>
  <c r="H37" i="1"/>
  <c r="G37" i="1"/>
  <c r="F37" i="1"/>
  <c r="M37" i="1" s="1"/>
  <c r="N37" i="1" s="1"/>
  <c r="E37" i="1"/>
  <c r="D37" i="1"/>
  <c r="L36" i="1"/>
  <c r="K36" i="1"/>
  <c r="J36" i="1"/>
  <c r="I36" i="1"/>
  <c r="H36" i="1"/>
  <c r="G36" i="1"/>
  <c r="F36" i="1"/>
  <c r="M36" i="1" s="1"/>
  <c r="N36" i="1" s="1"/>
  <c r="E36" i="1"/>
  <c r="D36" i="1"/>
  <c r="H35" i="1"/>
  <c r="F35" i="1"/>
  <c r="M35" i="1" s="1"/>
  <c r="L34" i="1"/>
  <c r="K34" i="1"/>
  <c r="J34" i="1"/>
  <c r="I34" i="1"/>
  <c r="H34" i="1"/>
  <c r="G34" i="1"/>
  <c r="F34" i="1"/>
  <c r="M34" i="1" s="1"/>
  <c r="N34" i="1" s="1"/>
  <c r="E34" i="1"/>
  <c r="D34" i="1"/>
  <c r="L33" i="1"/>
  <c r="L35" i="1" s="1"/>
  <c r="K33" i="1"/>
  <c r="K35" i="1" s="1"/>
  <c r="J33" i="1"/>
  <c r="J35" i="1" s="1"/>
  <c r="I33" i="1"/>
  <c r="I35" i="1" s="1"/>
  <c r="H33" i="1"/>
  <c r="G33" i="1"/>
  <c r="G35" i="1" s="1"/>
  <c r="F33" i="1"/>
  <c r="M33" i="1" s="1"/>
  <c r="E33" i="1"/>
  <c r="E35" i="1" s="1"/>
  <c r="D33" i="1"/>
  <c r="D35" i="1" s="1"/>
  <c r="AE31" i="1"/>
  <c r="AD31" i="1"/>
  <c r="L31" i="1"/>
  <c r="L39" i="1" s="1"/>
  <c r="K31" i="1"/>
  <c r="K39" i="1" s="1"/>
  <c r="J31" i="1"/>
  <c r="J39" i="1" s="1"/>
  <c r="I31" i="1"/>
  <c r="I39" i="1" s="1"/>
  <c r="H31" i="1"/>
  <c r="H39" i="1" s="1"/>
  <c r="G31" i="1"/>
  <c r="G39" i="1" s="1"/>
  <c r="F31" i="1"/>
  <c r="M31" i="1" s="1"/>
  <c r="E31" i="1"/>
  <c r="E39" i="1" s="1"/>
  <c r="D31" i="1"/>
  <c r="D39" i="1" s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N13" i="1"/>
  <c r="L13" i="1"/>
  <c r="O13" i="1" s="1"/>
  <c r="N12" i="1"/>
  <c r="L12" i="1"/>
  <c r="O12" i="1" s="1"/>
  <c r="D11" i="1"/>
  <c r="O733" i="1" s="1"/>
  <c r="P733" i="1" s="1"/>
  <c r="W8" i="1"/>
  <c r="V8" i="1"/>
  <c r="U8" i="1"/>
  <c r="T8" i="1"/>
  <c r="S8" i="1"/>
  <c r="R8" i="1"/>
  <c r="Q8" i="1"/>
  <c r="T138" i="1" l="1"/>
  <c r="W138" i="1"/>
  <c r="U138" i="1"/>
  <c r="V58" i="1"/>
  <c r="U75" i="1"/>
  <c r="X75" i="1" s="1"/>
  <c r="X76" i="1"/>
  <c r="U123" i="1"/>
  <c r="X123" i="1" s="1"/>
  <c r="D189" i="1"/>
  <c r="S187" i="1"/>
  <c r="Q187" i="1"/>
  <c r="T200" i="1"/>
  <c r="U200" i="1"/>
  <c r="S200" i="1"/>
  <c r="R200" i="1"/>
  <c r="V211" i="1"/>
  <c r="X211" i="1" s="1"/>
  <c r="R225" i="1"/>
  <c r="Q225" i="1"/>
  <c r="V261" i="1"/>
  <c r="U261" i="1"/>
  <c r="T261" i="1"/>
  <c r="D263" i="1"/>
  <c r="U338" i="1"/>
  <c r="X338" i="1" s="1"/>
  <c r="U339" i="1"/>
  <c r="U559" i="1"/>
  <c r="P666" i="1"/>
  <c r="F669" i="1"/>
  <c r="W776" i="1"/>
  <c r="U776" i="1"/>
  <c r="T776" i="1"/>
  <c r="X212" i="1"/>
  <c r="U344" i="1"/>
  <c r="U469" i="1"/>
  <c r="U535" i="1"/>
  <c r="V345" i="1"/>
  <c r="V592" i="1"/>
  <c r="W58" i="1"/>
  <c r="V88" i="1"/>
  <c r="X88" i="1" s="1"/>
  <c r="S101" i="1"/>
  <c r="T101" i="1"/>
  <c r="U115" i="1"/>
  <c r="V121" i="1"/>
  <c r="X121" i="1" s="1"/>
  <c r="U173" i="1"/>
  <c r="V220" i="1"/>
  <c r="U246" i="1"/>
  <c r="T246" i="1"/>
  <c r="S246" i="1"/>
  <c r="F261" i="1"/>
  <c r="U267" i="1"/>
  <c r="X267" i="1" s="1"/>
  <c r="U274" i="1"/>
  <c r="F281" i="1"/>
  <c r="W288" i="1"/>
  <c r="T288" i="1"/>
  <c r="S288" i="1"/>
  <c r="Q288" i="1"/>
  <c r="U384" i="1"/>
  <c r="X384" i="1" s="1"/>
  <c r="U866" i="1"/>
  <c r="X866" i="1" s="1"/>
  <c r="X274" i="1"/>
  <c r="X385" i="1"/>
  <c r="U755" i="1"/>
  <c r="X755" i="1" s="1"/>
  <c r="T583" i="1"/>
  <c r="W583" i="1"/>
  <c r="U583" i="1"/>
  <c r="AF31" i="1"/>
  <c r="AF32" i="1" s="1"/>
  <c r="U62" i="1"/>
  <c r="S93" i="1"/>
  <c r="R96" i="1"/>
  <c r="X120" i="1"/>
  <c r="U148" i="1"/>
  <c r="W187" i="1"/>
  <c r="W200" i="1"/>
  <c r="T222" i="1"/>
  <c r="X222" i="1" s="1"/>
  <c r="V226" i="1"/>
  <c r="U226" i="1"/>
  <c r="T226" i="1"/>
  <c r="S238" i="1"/>
  <c r="U251" i="1"/>
  <c r="T303" i="1"/>
  <c r="X303" i="1" s="1"/>
  <c r="V510" i="1"/>
  <c r="Q145" i="1"/>
  <c r="D147" i="1"/>
  <c r="U145" i="1"/>
  <c r="T145" i="1"/>
  <c r="S145" i="1"/>
  <c r="V177" i="1"/>
  <c r="W177" i="1"/>
  <c r="S177" i="1"/>
  <c r="N38" i="1"/>
  <c r="F255" i="1"/>
  <c r="X62" i="1"/>
  <c r="T93" i="1"/>
  <c r="T96" i="1"/>
  <c r="W108" i="1"/>
  <c r="T108" i="1"/>
  <c r="S108" i="1"/>
  <c r="U132" i="1"/>
  <c r="X132" i="1" s="1"/>
  <c r="U133" i="1"/>
  <c r="T146" i="1"/>
  <c r="W146" i="1"/>
  <c r="V146" i="1"/>
  <c r="Q177" i="1"/>
  <c r="U188" i="1"/>
  <c r="T188" i="1"/>
  <c r="S188" i="1"/>
  <c r="U205" i="1"/>
  <c r="T208" i="1"/>
  <c r="Q208" i="1"/>
  <c r="T238" i="1"/>
  <c r="F262" i="1"/>
  <c r="T271" i="1"/>
  <c r="W271" i="1"/>
  <c r="U271" i="1"/>
  <c r="U293" i="1"/>
  <c r="X293" i="1" s="1"/>
  <c r="T418" i="1"/>
  <c r="W418" i="1"/>
  <c r="V418" i="1"/>
  <c r="U418" i="1"/>
  <c r="S418" i="1"/>
  <c r="Q418" i="1"/>
  <c r="U457" i="1"/>
  <c r="W562" i="1"/>
  <c r="U562" i="1"/>
  <c r="T562" i="1"/>
  <c r="F96" i="1"/>
  <c r="T262" i="1"/>
  <c r="W262" i="1"/>
  <c r="V262" i="1"/>
  <c r="U262" i="1"/>
  <c r="Q58" i="1"/>
  <c r="R67" i="1"/>
  <c r="U746" i="1"/>
  <c r="U105" i="1"/>
  <c r="X105" i="1" s="1"/>
  <c r="F111" i="1"/>
  <c r="U131" i="1"/>
  <c r="X131" i="1" s="1"/>
  <c r="Q138" i="1"/>
  <c r="U216" i="1"/>
  <c r="V236" i="1"/>
  <c r="U236" i="1"/>
  <c r="T236" i="1"/>
  <c r="V254" i="1"/>
  <c r="S254" i="1"/>
  <c r="R254" i="1"/>
  <c r="Q262" i="1"/>
  <c r="U467" i="1"/>
  <c r="V519" i="1"/>
  <c r="T575" i="1"/>
  <c r="X203" i="1"/>
  <c r="U64" i="1"/>
  <c r="Q733" i="1"/>
  <c r="X733" i="1" s="1"/>
  <c r="N33" i="1"/>
  <c r="T370" i="1"/>
  <c r="X370" i="1" s="1"/>
  <c r="T576" i="1"/>
  <c r="S58" i="1"/>
  <c r="S67" i="1"/>
  <c r="R70" i="1"/>
  <c r="U72" i="1"/>
  <c r="T73" i="1"/>
  <c r="X73" i="1" s="1"/>
  <c r="U74" i="1"/>
  <c r="X74" i="1" s="1"/>
  <c r="T104" i="1"/>
  <c r="X104" i="1" s="1"/>
  <c r="V106" i="1"/>
  <c r="X106" i="1" s="1"/>
  <c r="Q108" i="1"/>
  <c r="U127" i="1"/>
  <c r="W127" i="1"/>
  <c r="V127" i="1"/>
  <c r="R138" i="1"/>
  <c r="Q146" i="1"/>
  <c r="T179" i="1"/>
  <c r="W179" i="1"/>
  <c r="V188" i="1"/>
  <c r="R208" i="1"/>
  <c r="U210" i="1"/>
  <c r="U212" i="1"/>
  <c r="W227" i="1"/>
  <c r="S227" i="1"/>
  <c r="U250" i="1"/>
  <c r="S262" i="1"/>
  <c r="Q271" i="1"/>
  <c r="V311" i="1"/>
  <c r="V312" i="1"/>
  <c r="X312" i="1" s="1"/>
  <c r="W320" i="1"/>
  <c r="T320" i="1"/>
  <c r="S320" i="1"/>
  <c r="Q320" i="1"/>
  <c r="V349" i="1"/>
  <c r="T349" i="1"/>
  <c r="V416" i="1"/>
  <c r="W596" i="1"/>
  <c r="U596" i="1"/>
  <c r="T596" i="1"/>
  <c r="T933" i="1"/>
  <c r="U573" i="1"/>
  <c r="Q573" i="1"/>
  <c r="W573" i="1"/>
  <c r="U676" i="1"/>
  <c r="T676" i="1"/>
  <c r="D678" i="1"/>
  <c r="R676" i="1"/>
  <c r="Q676" i="1"/>
  <c r="W676" i="1"/>
  <c r="V729" i="1"/>
  <c r="S729" i="1"/>
  <c r="Q729" i="1"/>
  <c r="U920" i="1"/>
  <c r="W920" i="1"/>
  <c r="V920" i="1"/>
  <c r="S920" i="1"/>
  <c r="V990" i="1"/>
  <c r="W990" i="1"/>
  <c r="Q990" i="1"/>
  <c r="T1084" i="1"/>
  <c r="V1084" i="1"/>
  <c r="U1084" i="1"/>
  <c r="S1084" i="1"/>
  <c r="Q1084" i="1"/>
  <c r="O1095" i="1"/>
  <c r="P1095" i="1" s="1"/>
  <c r="D484" i="1"/>
  <c r="T527" i="1"/>
  <c r="W527" i="1"/>
  <c r="V527" i="1"/>
  <c r="U570" i="1"/>
  <c r="W570" i="1"/>
  <c r="V570" i="1"/>
  <c r="T628" i="1"/>
  <c r="W628" i="1"/>
  <c r="U628" i="1"/>
  <c r="T686" i="1"/>
  <c r="W686" i="1"/>
  <c r="V686" i="1"/>
  <c r="U686" i="1"/>
  <c r="R686" i="1"/>
  <c r="U731" i="1"/>
  <c r="Q804" i="1"/>
  <c r="W804" i="1"/>
  <c r="T804" i="1"/>
  <c r="S804" i="1"/>
  <c r="W819" i="1"/>
  <c r="T819" i="1"/>
  <c r="S819" i="1"/>
  <c r="R819" i="1"/>
  <c r="V325" i="1"/>
  <c r="X325" i="1" s="1"/>
  <c r="U347" i="1"/>
  <c r="U363" i="1"/>
  <c r="D396" i="1"/>
  <c r="Q512" i="1"/>
  <c r="V532" i="1"/>
  <c r="R532" i="1"/>
  <c r="Q532" i="1"/>
  <c r="R573" i="1"/>
  <c r="U581" i="1"/>
  <c r="V581" i="1"/>
  <c r="R581" i="1"/>
  <c r="R650" i="1"/>
  <c r="V676" i="1"/>
  <c r="V810" i="1"/>
  <c r="X810" i="1" s="1"/>
  <c r="T905" i="1"/>
  <c r="W1009" i="1"/>
  <c r="T1009" i="1"/>
  <c r="D1011" i="1"/>
  <c r="S1009" i="1"/>
  <c r="Q1009" i="1"/>
  <c r="Q1012" i="1"/>
  <c r="U1012" i="1"/>
  <c r="R1012" i="1"/>
  <c r="D1049" i="1"/>
  <c r="T1047" i="1"/>
  <c r="S1047" i="1"/>
  <c r="Q1047" i="1"/>
  <c r="W1084" i="1"/>
  <c r="S1090" i="1"/>
  <c r="V334" i="1"/>
  <c r="X334" i="1" s="1"/>
  <c r="T402" i="1"/>
  <c r="T460" i="1"/>
  <c r="Q482" i="1"/>
  <c r="R512" i="1"/>
  <c r="T547" i="1"/>
  <c r="W547" i="1"/>
  <c r="V547" i="1"/>
  <c r="X547" i="1" s="1"/>
  <c r="F573" i="1"/>
  <c r="P568" i="1"/>
  <c r="U612" i="1"/>
  <c r="W612" i="1"/>
  <c r="U650" i="1"/>
  <c r="W659" i="1"/>
  <c r="Q659" i="1"/>
  <c r="V671" i="1"/>
  <c r="X671" i="1" s="1"/>
  <c r="W693" i="1"/>
  <c r="T693" i="1"/>
  <c r="S693" i="1"/>
  <c r="Q693" i="1"/>
  <c r="T724" i="1"/>
  <c r="W724" i="1"/>
  <c r="U724" i="1"/>
  <c r="R724" i="1"/>
  <c r="Q724" i="1"/>
  <c r="W729" i="1"/>
  <c r="P763" i="1"/>
  <c r="F766" i="1"/>
  <c r="T805" i="1"/>
  <c r="W805" i="1"/>
  <c r="V805" i="1"/>
  <c r="U805" i="1"/>
  <c r="T817" i="1"/>
  <c r="S817" i="1"/>
  <c r="R817" i="1"/>
  <c r="W817" i="1"/>
  <c r="U905" i="1"/>
  <c r="Q920" i="1"/>
  <c r="Q1040" i="1"/>
  <c r="U1040" i="1"/>
  <c r="R1040" i="1"/>
  <c r="U103" i="1"/>
  <c r="X103" i="1" s="1"/>
  <c r="U140" i="1"/>
  <c r="V142" i="1"/>
  <c r="U143" i="1"/>
  <c r="X171" i="1"/>
  <c r="V192" i="1"/>
  <c r="X192" i="1" s="1"/>
  <c r="U229" i="1"/>
  <c r="X229" i="1" s="1"/>
  <c r="U240" i="1"/>
  <c r="U241" i="1"/>
  <c r="X241" i="1" s="1"/>
  <c r="X257" i="1"/>
  <c r="X286" i="1"/>
  <c r="V333" i="1"/>
  <c r="R373" i="1"/>
  <c r="R394" i="1"/>
  <c r="U402" i="1"/>
  <c r="U405" i="1"/>
  <c r="X405" i="1" s="1"/>
  <c r="Q408" i="1"/>
  <c r="U455" i="1"/>
  <c r="S473" i="1"/>
  <c r="Q475" i="1"/>
  <c r="V482" i="1"/>
  <c r="S495" i="1"/>
  <c r="U512" i="1"/>
  <c r="R517" i="1"/>
  <c r="Q527" i="1"/>
  <c r="U532" i="1"/>
  <c r="V552" i="1"/>
  <c r="S552" i="1"/>
  <c r="Q552" i="1"/>
  <c r="Q686" i="1"/>
  <c r="V712" i="1"/>
  <c r="W712" i="1"/>
  <c r="R712" i="1"/>
  <c r="Q712" i="1"/>
  <c r="T737" i="1"/>
  <c r="Q743" i="1"/>
  <c r="U743" i="1"/>
  <c r="S743" i="1"/>
  <c r="T781" i="1"/>
  <c r="R781" i="1"/>
  <c r="Q781" i="1"/>
  <c r="V781" i="1"/>
  <c r="V1009" i="1"/>
  <c r="W1047" i="1"/>
  <c r="T99" i="1"/>
  <c r="X99" i="1" s="1"/>
  <c r="V151" i="1"/>
  <c r="X151" i="1" s="1"/>
  <c r="U154" i="1"/>
  <c r="X154" i="1" s="1"/>
  <c r="U162" i="1"/>
  <c r="X182" i="1"/>
  <c r="U195" i="1"/>
  <c r="F208" i="1"/>
  <c r="U231" i="1"/>
  <c r="U232" i="1"/>
  <c r="R307" i="1"/>
  <c r="S366" i="1"/>
  <c r="T373" i="1"/>
  <c r="S394" i="1"/>
  <c r="Q401" i="1"/>
  <c r="R408" i="1"/>
  <c r="T413" i="1"/>
  <c r="Q423" i="1"/>
  <c r="S430" i="1"/>
  <c r="R446" i="1"/>
  <c r="R447" i="1"/>
  <c r="V455" i="1"/>
  <c r="U463" i="1"/>
  <c r="T473" i="1"/>
  <c r="W482" i="1"/>
  <c r="T495" i="1"/>
  <c r="S506" i="1"/>
  <c r="W512" i="1"/>
  <c r="U517" i="1"/>
  <c r="S527" i="1"/>
  <c r="W532" i="1"/>
  <c r="U545" i="1"/>
  <c r="W581" i="1"/>
  <c r="Q612" i="1"/>
  <c r="V615" i="1"/>
  <c r="X615" i="1" s="1"/>
  <c r="U668" i="1"/>
  <c r="V668" i="1"/>
  <c r="S668" i="1"/>
  <c r="T687" i="1"/>
  <c r="S687" i="1"/>
  <c r="R687" i="1"/>
  <c r="W694" i="1"/>
  <c r="V694" i="1"/>
  <c r="U694" i="1"/>
  <c r="Q805" i="1"/>
  <c r="U817" i="1"/>
  <c r="R1068" i="1"/>
  <c r="V1068" i="1"/>
  <c r="U1068" i="1"/>
  <c r="U124" i="1"/>
  <c r="X124" i="1" s="1"/>
  <c r="U126" i="1"/>
  <c r="F168" i="1"/>
  <c r="V202" i="1"/>
  <c r="V204" i="1"/>
  <c r="X204" i="1" s="1"/>
  <c r="X231" i="1"/>
  <c r="P243" i="1"/>
  <c r="Q245" i="1"/>
  <c r="U270" i="1"/>
  <c r="S307" i="1"/>
  <c r="X347" i="1"/>
  <c r="T394" i="1"/>
  <c r="U408" i="1"/>
  <c r="S423" i="1"/>
  <c r="R438" i="1"/>
  <c r="S446" i="1"/>
  <c r="V463" i="1"/>
  <c r="R472" i="1"/>
  <c r="Q485" i="1"/>
  <c r="V498" i="1"/>
  <c r="U500" i="1"/>
  <c r="U527" i="1"/>
  <c r="Q547" i="1"/>
  <c r="U552" i="1"/>
  <c r="D572" i="1"/>
  <c r="U572" i="1" s="1"/>
  <c r="R612" i="1"/>
  <c r="T658" i="1"/>
  <c r="R658" i="1"/>
  <c r="Q658" i="1"/>
  <c r="V658" i="1"/>
  <c r="V722" i="1"/>
  <c r="S722" i="1"/>
  <c r="X722" i="1" s="1"/>
  <c r="Q722" i="1"/>
  <c r="S805" i="1"/>
  <c r="T818" i="1"/>
  <c r="U818" i="1"/>
  <c r="S818" i="1"/>
  <c r="R818" i="1"/>
  <c r="W818" i="1"/>
  <c r="U845" i="1"/>
  <c r="V845" i="1"/>
  <c r="R845" i="1"/>
  <c r="Q845" i="1"/>
  <c r="V902" i="1"/>
  <c r="U902" i="1"/>
  <c r="T902" i="1"/>
  <c r="T948" i="1"/>
  <c r="D998" i="1"/>
  <c r="U998" i="1" s="1"/>
  <c r="T996" i="1"/>
  <c r="S996" i="1"/>
  <c r="Q996" i="1"/>
  <c r="U1028" i="1"/>
  <c r="S1028" i="1"/>
  <c r="R1028" i="1"/>
  <c r="W1028" i="1"/>
  <c r="D759" i="1"/>
  <c r="R759" i="1" s="1"/>
  <c r="S757" i="1"/>
  <c r="S765" i="1"/>
  <c r="Q774" i="1"/>
  <c r="Q796" i="1"/>
  <c r="T807" i="1"/>
  <c r="U871" i="1"/>
  <c r="S910" i="1"/>
  <c r="T1010" i="1"/>
  <c r="S1098" i="1"/>
  <c r="D1100" i="1"/>
  <c r="V757" i="1"/>
  <c r="T765" i="1"/>
  <c r="S774" i="1"/>
  <c r="R796" i="1"/>
  <c r="U807" i="1"/>
  <c r="T910" i="1"/>
  <c r="T1098" i="1"/>
  <c r="R588" i="1"/>
  <c r="Q595" i="1"/>
  <c r="U603" i="1"/>
  <c r="U651" i="1"/>
  <c r="W669" i="1"/>
  <c r="Q700" i="1"/>
  <c r="W757" i="1"/>
  <c r="S773" i="1"/>
  <c r="U774" i="1"/>
  <c r="T796" i="1"/>
  <c r="R852" i="1"/>
  <c r="S882" i="1"/>
  <c r="W910" i="1"/>
  <c r="D1039" i="1"/>
  <c r="Q1073" i="1"/>
  <c r="V1098" i="1"/>
  <c r="U534" i="1"/>
  <c r="X534" i="1" s="1"/>
  <c r="S588" i="1"/>
  <c r="S595" i="1"/>
  <c r="D597" i="1"/>
  <c r="V603" i="1"/>
  <c r="Q643" i="1"/>
  <c r="W651" i="1"/>
  <c r="V774" i="1"/>
  <c r="T826" i="1"/>
  <c r="T852" i="1"/>
  <c r="Q968" i="1"/>
  <c r="R1019" i="1"/>
  <c r="Q1037" i="1"/>
  <c r="Q1050" i="1"/>
  <c r="S1073" i="1"/>
  <c r="Q1091" i="1"/>
  <c r="P51" i="1"/>
  <c r="X83" i="1"/>
  <c r="X87" i="1"/>
  <c r="X250" i="1"/>
  <c r="X221" i="1"/>
  <c r="M39" i="1"/>
  <c r="N39" i="1" s="1"/>
  <c r="N31" i="1"/>
  <c r="X55" i="1"/>
  <c r="X82" i="1"/>
  <c r="X142" i="1"/>
  <c r="X240" i="1"/>
  <c r="X159" i="1"/>
  <c r="N50" i="1"/>
  <c r="N47" i="1" s="1"/>
  <c r="J47" i="1"/>
  <c r="E32" i="1" s="1"/>
  <c r="X333" i="1"/>
  <c r="X90" i="1"/>
  <c r="X98" i="1"/>
  <c r="X115" i="1"/>
  <c r="X252" i="1"/>
  <c r="N35" i="1"/>
  <c r="X64" i="1"/>
  <c r="X72" i="1"/>
  <c r="X173" i="1"/>
  <c r="X195" i="1"/>
  <c r="X311" i="1"/>
  <c r="X52" i="1"/>
  <c r="X81" i="1"/>
  <c r="X113" i="1"/>
  <c r="X133" i="1"/>
  <c r="T94" i="1"/>
  <c r="W147" i="1"/>
  <c r="V147" i="1"/>
  <c r="R156" i="1"/>
  <c r="Q156" i="1"/>
  <c r="X345" i="1"/>
  <c r="O484" i="1"/>
  <c r="P484" i="1" s="1"/>
  <c r="R484" i="1" s="1"/>
  <c r="S522" i="1"/>
  <c r="Q522" i="1"/>
  <c r="V522" i="1"/>
  <c r="T522" i="1"/>
  <c r="W522" i="1"/>
  <c r="O542" i="1"/>
  <c r="P542" i="1" s="1"/>
  <c r="W734" i="1"/>
  <c r="V734" i="1"/>
  <c r="U734" i="1"/>
  <c r="S734" i="1"/>
  <c r="T734" i="1"/>
  <c r="R833" i="1"/>
  <c r="W833" i="1"/>
  <c r="U833" i="1"/>
  <c r="V833" i="1"/>
  <c r="T833" i="1"/>
  <c r="S833" i="1"/>
  <c r="F15" i="1"/>
  <c r="T57" i="1"/>
  <c r="O58" i="1"/>
  <c r="P58" i="1" s="1"/>
  <c r="R58" i="1" s="1"/>
  <c r="U60" i="1"/>
  <c r="U68" i="1"/>
  <c r="S70" i="1"/>
  <c r="T78" i="1"/>
  <c r="U94" i="1"/>
  <c r="S96" i="1"/>
  <c r="U101" i="1"/>
  <c r="U109" i="1"/>
  <c r="V126" i="1"/>
  <c r="S135" i="1"/>
  <c r="R135" i="1"/>
  <c r="W135" i="1"/>
  <c r="R148" i="1"/>
  <c r="Q148" i="1"/>
  <c r="V152" i="1"/>
  <c r="S176" i="1"/>
  <c r="Q176" i="1"/>
  <c r="O189" i="1"/>
  <c r="P189" i="1" s="1"/>
  <c r="R189" i="1" s="1"/>
  <c r="V193" i="1"/>
  <c r="W198" i="1"/>
  <c r="V198" i="1"/>
  <c r="U198" i="1"/>
  <c r="D199" i="1"/>
  <c r="X202" i="1"/>
  <c r="X210" i="1"/>
  <c r="O226" i="1"/>
  <c r="P226" i="1" s="1"/>
  <c r="O247" i="1"/>
  <c r="P247" i="1" s="1"/>
  <c r="O254" i="1"/>
  <c r="P254" i="1" s="1"/>
  <c r="Q254" i="1" s="1"/>
  <c r="U259" i="1"/>
  <c r="O262" i="1"/>
  <c r="P262" i="1" s="1"/>
  <c r="R262" i="1" s="1"/>
  <c r="W263" i="1"/>
  <c r="V263" i="1"/>
  <c r="U263" i="1"/>
  <c r="R264" i="1"/>
  <c r="Q264" i="1"/>
  <c r="W264" i="1"/>
  <c r="O279" i="1"/>
  <c r="P279" i="1" s="1"/>
  <c r="R279" i="1" s="1"/>
  <c r="X279" i="1" s="1"/>
  <c r="W280" i="1"/>
  <c r="V280" i="1"/>
  <c r="U280" i="1"/>
  <c r="R281" i="1"/>
  <c r="Q281" i="1"/>
  <c r="W281" i="1"/>
  <c r="O287" i="1"/>
  <c r="P287" i="1" s="1"/>
  <c r="R287" i="1" s="1"/>
  <c r="X287" i="1" s="1"/>
  <c r="U304" i="1"/>
  <c r="X304" i="1" s="1"/>
  <c r="O314" i="1"/>
  <c r="P314" i="1" s="1"/>
  <c r="R314" i="1" s="1"/>
  <c r="V324" i="1"/>
  <c r="W327" i="1"/>
  <c r="V327" i="1"/>
  <c r="U327" i="1"/>
  <c r="S327" i="1"/>
  <c r="Q327" i="1"/>
  <c r="W342" i="1"/>
  <c r="U342" i="1"/>
  <c r="S342" i="1"/>
  <c r="Q342" i="1"/>
  <c r="U386" i="1"/>
  <c r="X386" i="1" s="1"/>
  <c r="O407" i="1"/>
  <c r="P407" i="1" s="1"/>
  <c r="S407" i="1" s="1"/>
  <c r="X407" i="1" s="1"/>
  <c r="X421" i="1"/>
  <c r="O423" i="1"/>
  <c r="P423" i="1" s="1"/>
  <c r="R423" i="1" s="1"/>
  <c r="U443" i="1"/>
  <c r="X443" i="1" s="1"/>
  <c r="X509" i="1"/>
  <c r="X510" i="1"/>
  <c r="V525" i="1"/>
  <c r="W571" i="1"/>
  <c r="V571" i="1"/>
  <c r="U571" i="1"/>
  <c r="S571" i="1"/>
  <c r="T571" i="1"/>
  <c r="R571" i="1"/>
  <c r="O581" i="1"/>
  <c r="P581" i="1" s="1"/>
  <c r="Q581" i="1" s="1"/>
  <c r="U590" i="1"/>
  <c r="T590" i="1"/>
  <c r="S590" i="1"/>
  <c r="R590" i="1"/>
  <c r="W590" i="1"/>
  <c r="V590" i="1"/>
  <c r="T614" i="1"/>
  <c r="X614" i="1" s="1"/>
  <c r="S636" i="1"/>
  <c r="R636" i="1"/>
  <c r="Q636" i="1"/>
  <c r="W636" i="1"/>
  <c r="U636" i="1"/>
  <c r="T636" i="1"/>
  <c r="U647" i="1"/>
  <c r="X647" i="1" s="1"/>
  <c r="X663" i="1"/>
  <c r="U672" i="1"/>
  <c r="X672" i="1" s="1"/>
  <c r="V673" i="1"/>
  <c r="X673" i="1" s="1"/>
  <c r="U674" i="1"/>
  <c r="O1067" i="1"/>
  <c r="P1067" i="1" s="1"/>
  <c r="Q1067" i="1" s="1"/>
  <c r="X1067" i="1" s="1"/>
  <c r="O968" i="1"/>
  <c r="P968" i="1" s="1"/>
  <c r="R968" i="1" s="1"/>
  <c r="O955" i="1"/>
  <c r="P955" i="1" s="1"/>
  <c r="S955" i="1" s="1"/>
  <c r="O938" i="1"/>
  <c r="P938" i="1" s="1"/>
  <c r="S938" i="1" s="1"/>
  <c r="O925" i="1"/>
  <c r="P925" i="1" s="1"/>
  <c r="R925" i="1" s="1"/>
  <c r="X925" i="1" s="1"/>
  <c r="O881" i="1"/>
  <c r="P881" i="1" s="1"/>
  <c r="S881" i="1" s="1"/>
  <c r="O862" i="1"/>
  <c r="P862" i="1" s="1"/>
  <c r="Q862" i="1" s="1"/>
  <c r="X862" i="1" s="1"/>
  <c r="O819" i="1"/>
  <c r="P819" i="1" s="1"/>
  <c r="Q819" i="1" s="1"/>
  <c r="O796" i="1"/>
  <c r="P796" i="1" s="1"/>
  <c r="S796" i="1" s="1"/>
  <c r="O1098" i="1"/>
  <c r="P1098" i="1" s="1"/>
  <c r="Q1098" i="1" s="1"/>
  <c r="O1092" i="1"/>
  <c r="P1092" i="1" s="1"/>
  <c r="O1063" i="1"/>
  <c r="P1063" i="1" s="1"/>
  <c r="O1056" i="1"/>
  <c r="P1056" i="1" s="1"/>
  <c r="Q1056" i="1" s="1"/>
  <c r="X1056" i="1" s="1"/>
  <c r="O1037" i="1"/>
  <c r="P1037" i="1" s="1"/>
  <c r="R1037" i="1" s="1"/>
  <c r="O1029" i="1"/>
  <c r="P1029" i="1" s="1"/>
  <c r="O1009" i="1"/>
  <c r="P1009" i="1" s="1"/>
  <c r="R1009" i="1" s="1"/>
  <c r="O988" i="1"/>
  <c r="P988" i="1" s="1"/>
  <c r="R988" i="1" s="1"/>
  <c r="O977" i="1"/>
  <c r="P977" i="1" s="1"/>
  <c r="Q977" i="1" s="1"/>
  <c r="X977" i="1" s="1"/>
  <c r="O934" i="1"/>
  <c r="P934" i="1" s="1"/>
  <c r="Q934" i="1" s="1"/>
  <c r="X934" i="1" s="1"/>
  <c r="O889" i="1"/>
  <c r="P889" i="1" s="1"/>
  <c r="R889" i="1" s="1"/>
  <c r="O856" i="1"/>
  <c r="P856" i="1" s="1"/>
  <c r="S856" i="1" s="1"/>
  <c r="X856" i="1" s="1"/>
  <c r="O826" i="1"/>
  <c r="P826" i="1" s="1"/>
  <c r="O1083" i="1"/>
  <c r="P1083" i="1" s="1"/>
  <c r="O1072" i="1"/>
  <c r="P1072" i="1" s="1"/>
  <c r="R1072" i="1" s="1"/>
  <c r="X1072" i="1" s="1"/>
  <c r="O1048" i="1"/>
  <c r="P1048" i="1" s="1"/>
  <c r="R1048" i="1" s="1"/>
  <c r="O1018" i="1"/>
  <c r="P1018" i="1" s="1"/>
  <c r="O997" i="1"/>
  <c r="P997" i="1" s="1"/>
  <c r="R997" i="1" s="1"/>
  <c r="O973" i="1"/>
  <c r="P973" i="1" s="1"/>
  <c r="O930" i="1"/>
  <c r="P930" i="1" s="1"/>
  <c r="Q930" i="1" s="1"/>
  <c r="X930" i="1" s="1"/>
  <c r="O911" i="1"/>
  <c r="P911" i="1" s="1"/>
  <c r="O1090" i="1"/>
  <c r="P1090" i="1" s="1"/>
  <c r="O1068" i="1"/>
  <c r="P1068" i="1" s="1"/>
  <c r="Q1068" i="1" s="1"/>
  <c r="O1046" i="1"/>
  <c r="P1046" i="1" s="1"/>
  <c r="R1046" i="1" s="1"/>
  <c r="X1046" i="1" s="1"/>
  <c r="O1027" i="1"/>
  <c r="P1027" i="1" s="1"/>
  <c r="O995" i="1"/>
  <c r="P995" i="1" s="1"/>
  <c r="R995" i="1" s="1"/>
  <c r="X995" i="1" s="1"/>
  <c r="O982" i="1"/>
  <c r="P982" i="1" s="1"/>
  <c r="S982" i="1" s="1"/>
  <c r="X982" i="1" s="1"/>
  <c r="O945" i="1"/>
  <c r="P945" i="1" s="1"/>
  <c r="R945" i="1" s="1"/>
  <c r="O939" i="1"/>
  <c r="P939" i="1" s="1"/>
  <c r="O926" i="1"/>
  <c r="P926" i="1" s="1"/>
  <c r="O919" i="1"/>
  <c r="P919" i="1" s="1"/>
  <c r="R919" i="1" s="1"/>
  <c r="X919" i="1" s="1"/>
  <c r="O909" i="1"/>
  <c r="P909" i="1" s="1"/>
  <c r="R909" i="1" s="1"/>
  <c r="X909" i="1" s="1"/>
  <c r="O902" i="1"/>
  <c r="P902" i="1" s="1"/>
  <c r="R902" i="1" s="1"/>
  <c r="O894" i="1"/>
  <c r="P894" i="1" s="1"/>
  <c r="S894" i="1" s="1"/>
  <c r="X894" i="1" s="1"/>
  <c r="O871" i="1"/>
  <c r="P871" i="1" s="1"/>
  <c r="O863" i="1"/>
  <c r="P863" i="1" s="1"/>
  <c r="Q863" i="1" s="1"/>
  <c r="X863" i="1" s="1"/>
  <c r="O844" i="1"/>
  <c r="P844" i="1" s="1"/>
  <c r="S844" i="1" s="1"/>
  <c r="X844" i="1" s="1"/>
  <c r="O1097" i="1"/>
  <c r="P1097" i="1" s="1"/>
  <c r="Q1097" i="1" s="1"/>
  <c r="X1097" i="1" s="1"/>
  <c r="O1084" i="1"/>
  <c r="P1084" i="1" s="1"/>
  <c r="R1084" i="1" s="1"/>
  <c r="O1073" i="1"/>
  <c r="P1073" i="1" s="1"/>
  <c r="R1073" i="1" s="1"/>
  <c r="O1049" i="1"/>
  <c r="P1049" i="1" s="1"/>
  <c r="O1036" i="1"/>
  <c r="P1036" i="1" s="1"/>
  <c r="R1036" i="1" s="1"/>
  <c r="X1036" i="1" s="1"/>
  <c r="O1019" i="1"/>
  <c r="P1019" i="1" s="1"/>
  <c r="Q1019" i="1" s="1"/>
  <c r="X1019" i="1" s="1"/>
  <c r="O1008" i="1"/>
  <c r="P1008" i="1" s="1"/>
  <c r="R1008" i="1" s="1"/>
  <c r="X1008" i="1" s="1"/>
  <c r="O1091" i="1"/>
  <c r="P1091" i="1" s="1"/>
  <c r="R1091" i="1" s="1"/>
  <c r="O1082" i="1"/>
  <c r="P1082" i="1" s="1"/>
  <c r="R1082" i="1" s="1"/>
  <c r="X1082" i="1" s="1"/>
  <c r="O1062" i="1"/>
  <c r="P1062" i="1" s="1"/>
  <c r="Q1062" i="1" s="1"/>
  <c r="X1062" i="1" s="1"/>
  <c r="O1028" i="1"/>
  <c r="P1028" i="1" s="1"/>
  <c r="Q1028" i="1" s="1"/>
  <c r="O1017" i="1"/>
  <c r="P1017" i="1" s="1"/>
  <c r="Q1017" i="1" s="1"/>
  <c r="X1017" i="1" s="1"/>
  <c r="O983" i="1"/>
  <c r="P983" i="1" s="1"/>
  <c r="S983" i="1" s="1"/>
  <c r="O1089" i="1"/>
  <c r="P1089" i="1" s="1"/>
  <c r="R1089" i="1" s="1"/>
  <c r="X1089" i="1" s="1"/>
  <c r="O1026" i="1"/>
  <c r="P1026" i="1" s="1"/>
  <c r="Q1026" i="1" s="1"/>
  <c r="X1026" i="1" s="1"/>
  <c r="O990" i="1"/>
  <c r="P990" i="1" s="1"/>
  <c r="R990" i="1" s="1"/>
  <c r="O987" i="1"/>
  <c r="P987" i="1" s="1"/>
  <c r="R987" i="1" s="1"/>
  <c r="X987" i="1" s="1"/>
  <c r="O963" i="1"/>
  <c r="P963" i="1" s="1"/>
  <c r="Q963" i="1" s="1"/>
  <c r="X963" i="1" s="1"/>
  <c r="O872" i="1"/>
  <c r="P872" i="1" s="1"/>
  <c r="R872" i="1" s="1"/>
  <c r="O834" i="1"/>
  <c r="P834" i="1" s="1"/>
  <c r="Q834" i="1" s="1"/>
  <c r="O764" i="1"/>
  <c r="P764" i="1" s="1"/>
  <c r="R764" i="1" s="1"/>
  <c r="O738" i="1"/>
  <c r="P738" i="1" s="1"/>
  <c r="Q738" i="1" s="1"/>
  <c r="X738" i="1" s="1"/>
  <c r="O720" i="1"/>
  <c r="P720" i="1" s="1"/>
  <c r="R720" i="1" s="1"/>
  <c r="X720" i="1" s="1"/>
  <c r="O704" i="1"/>
  <c r="P704" i="1" s="1"/>
  <c r="S704" i="1" s="1"/>
  <c r="X704" i="1" s="1"/>
  <c r="O1057" i="1"/>
  <c r="P1057" i="1" s="1"/>
  <c r="O1011" i="1"/>
  <c r="P1011" i="1" s="1"/>
  <c r="R1011" i="1" s="1"/>
  <c r="O944" i="1"/>
  <c r="P944" i="1" s="1"/>
  <c r="R944" i="1" s="1"/>
  <c r="O903" i="1"/>
  <c r="P903" i="1" s="1"/>
  <c r="R903" i="1" s="1"/>
  <c r="O851" i="1"/>
  <c r="P851" i="1" s="1"/>
  <c r="S851" i="1" s="1"/>
  <c r="O833" i="1"/>
  <c r="P833" i="1" s="1"/>
  <c r="Q833" i="1" s="1"/>
  <c r="X833" i="1" s="1"/>
  <c r="O827" i="1"/>
  <c r="P827" i="1" s="1"/>
  <c r="Q827" i="1" s="1"/>
  <c r="O790" i="1"/>
  <c r="P790" i="1" s="1"/>
  <c r="R790" i="1" s="1"/>
  <c r="O775" i="1"/>
  <c r="P775" i="1" s="1"/>
  <c r="R775" i="1" s="1"/>
  <c r="O758" i="1"/>
  <c r="P758" i="1" s="1"/>
  <c r="O734" i="1"/>
  <c r="P734" i="1" s="1"/>
  <c r="Q734" i="1" s="1"/>
  <c r="O700" i="1"/>
  <c r="P700" i="1" s="1"/>
  <c r="R700" i="1" s="1"/>
  <c r="O693" i="1"/>
  <c r="P693" i="1" s="1"/>
  <c r="R693" i="1" s="1"/>
  <c r="O1100" i="1"/>
  <c r="P1100" i="1" s="1"/>
  <c r="Q1100" i="1" s="1"/>
  <c r="O1038" i="1"/>
  <c r="P1038" i="1" s="1"/>
  <c r="R1038" i="1" s="1"/>
  <c r="O972" i="1"/>
  <c r="P972" i="1" s="1"/>
  <c r="R972" i="1" s="1"/>
  <c r="O959" i="1"/>
  <c r="P959" i="1" s="1"/>
  <c r="Q959" i="1" s="1"/>
  <c r="X959" i="1" s="1"/>
  <c r="O845" i="1"/>
  <c r="P845" i="1" s="1"/>
  <c r="S845" i="1" s="1"/>
  <c r="O839" i="1"/>
  <c r="P839" i="1" s="1"/>
  <c r="O805" i="1"/>
  <c r="P805" i="1" s="1"/>
  <c r="R805" i="1" s="1"/>
  <c r="O803" i="1"/>
  <c r="P803" i="1" s="1"/>
  <c r="R803" i="1" s="1"/>
  <c r="X803" i="1" s="1"/>
  <c r="O756" i="1"/>
  <c r="P756" i="1" s="1"/>
  <c r="Q756" i="1" s="1"/>
  <c r="X756" i="1" s="1"/>
  <c r="O749" i="1"/>
  <c r="P749" i="1" s="1"/>
  <c r="O743" i="1"/>
  <c r="P743" i="1" s="1"/>
  <c r="R743" i="1" s="1"/>
  <c r="O996" i="1"/>
  <c r="P996" i="1" s="1"/>
  <c r="R996" i="1" s="1"/>
  <c r="O912" i="1"/>
  <c r="P912" i="1" s="1"/>
  <c r="R912" i="1" s="1"/>
  <c r="O910" i="1"/>
  <c r="P910" i="1" s="1"/>
  <c r="R910" i="1" s="1"/>
  <c r="O818" i="1"/>
  <c r="P818" i="1" s="1"/>
  <c r="Q818" i="1" s="1"/>
  <c r="X818" i="1" s="1"/>
  <c r="O816" i="1"/>
  <c r="P816" i="1" s="1"/>
  <c r="Q816" i="1" s="1"/>
  <c r="X816" i="1" s="1"/>
  <c r="O780" i="1"/>
  <c r="P780" i="1" s="1"/>
  <c r="S780" i="1" s="1"/>
  <c r="X780" i="1" s="1"/>
  <c r="O773" i="1"/>
  <c r="P773" i="1" s="1"/>
  <c r="O765" i="1"/>
  <c r="P765" i="1" s="1"/>
  <c r="R765" i="1" s="1"/>
  <c r="O705" i="1"/>
  <c r="P705" i="1" s="1"/>
  <c r="S705" i="1" s="1"/>
  <c r="O685" i="1"/>
  <c r="P685" i="1" s="1"/>
  <c r="S685" i="1" s="1"/>
  <c r="X685" i="1" s="1"/>
  <c r="O1077" i="1"/>
  <c r="P1077" i="1" s="1"/>
  <c r="R1077" i="1" s="1"/>
  <c r="O1047" i="1"/>
  <c r="P1047" i="1" s="1"/>
  <c r="R1047" i="1" s="1"/>
  <c r="O1039" i="1"/>
  <c r="P1039" i="1" s="1"/>
  <c r="R1039" i="1" s="1"/>
  <c r="O1002" i="1"/>
  <c r="P1002" i="1" s="1"/>
  <c r="R1002" i="1" s="1"/>
  <c r="X1002" i="1" s="1"/>
  <c r="O967" i="1"/>
  <c r="P967" i="1" s="1"/>
  <c r="R967" i="1" s="1"/>
  <c r="X967" i="1" s="1"/>
  <c r="O870" i="1"/>
  <c r="P870" i="1" s="1"/>
  <c r="R870" i="1" s="1"/>
  <c r="X870" i="1" s="1"/>
  <c r="O838" i="1"/>
  <c r="P838" i="1" s="1"/>
  <c r="R838" i="1" s="1"/>
  <c r="X838" i="1" s="1"/>
  <c r="O785" i="1"/>
  <c r="P785" i="1" s="1"/>
  <c r="Q785" i="1" s="1"/>
  <c r="X785" i="1" s="1"/>
  <c r="O750" i="1"/>
  <c r="P750" i="1" s="1"/>
  <c r="Q750" i="1" s="1"/>
  <c r="O1010" i="1"/>
  <c r="P1010" i="1" s="1"/>
  <c r="O946" i="1"/>
  <c r="P946" i="1" s="1"/>
  <c r="R946" i="1" s="1"/>
  <c r="O857" i="1"/>
  <c r="P857" i="1" s="1"/>
  <c r="S857" i="1" s="1"/>
  <c r="O641" i="1"/>
  <c r="P641" i="1" s="1"/>
  <c r="R641" i="1" s="1"/>
  <c r="X641" i="1" s="1"/>
  <c r="O618" i="1"/>
  <c r="P618" i="1" s="1"/>
  <c r="R618" i="1" s="1"/>
  <c r="X618" i="1" s="1"/>
  <c r="O588" i="1"/>
  <c r="P588" i="1" s="1"/>
  <c r="Q588" i="1" s="1"/>
  <c r="O579" i="1"/>
  <c r="P579" i="1" s="1"/>
  <c r="Q579" i="1" s="1"/>
  <c r="X579" i="1" s="1"/>
  <c r="O552" i="1"/>
  <c r="P552" i="1" s="1"/>
  <c r="R552" i="1" s="1"/>
  <c r="O532" i="1"/>
  <c r="P532" i="1" s="1"/>
  <c r="S532" i="1" s="1"/>
  <c r="O512" i="1"/>
  <c r="P512" i="1" s="1"/>
  <c r="S512" i="1" s="1"/>
  <c r="O505" i="1"/>
  <c r="P505" i="1" s="1"/>
  <c r="R505" i="1" s="1"/>
  <c r="O494" i="1"/>
  <c r="P494" i="1" s="1"/>
  <c r="Q494" i="1" s="1"/>
  <c r="X494" i="1" s="1"/>
  <c r="O472" i="1"/>
  <c r="P472" i="1" s="1"/>
  <c r="Q472" i="1" s="1"/>
  <c r="O438" i="1"/>
  <c r="P438" i="1" s="1"/>
  <c r="Q438" i="1" s="1"/>
  <c r="O895" i="1"/>
  <c r="P895" i="1" s="1"/>
  <c r="S895" i="1" s="1"/>
  <c r="O832" i="1"/>
  <c r="P832" i="1" s="1"/>
  <c r="Q832" i="1" s="1"/>
  <c r="O728" i="1"/>
  <c r="P728" i="1" s="1"/>
  <c r="R728" i="1" s="1"/>
  <c r="X728" i="1" s="1"/>
  <c r="O712" i="1"/>
  <c r="P712" i="1" s="1"/>
  <c r="S712" i="1" s="1"/>
  <c r="X712" i="1" s="1"/>
  <c r="O692" i="1"/>
  <c r="P692" i="1" s="1"/>
  <c r="R692" i="1" s="1"/>
  <c r="X692" i="1" s="1"/>
  <c r="O678" i="1"/>
  <c r="P678" i="1" s="1"/>
  <c r="S678" i="1" s="1"/>
  <c r="O658" i="1"/>
  <c r="P658" i="1" s="1"/>
  <c r="S658" i="1" s="1"/>
  <c r="O635" i="1"/>
  <c r="P635" i="1" s="1"/>
  <c r="O610" i="1"/>
  <c r="P610" i="1" s="1"/>
  <c r="R610" i="1" s="1"/>
  <c r="O595" i="1"/>
  <c r="P595" i="1" s="1"/>
  <c r="R595" i="1" s="1"/>
  <c r="O571" i="1"/>
  <c r="P571" i="1" s="1"/>
  <c r="Q571" i="1" s="1"/>
  <c r="O561" i="1"/>
  <c r="P561" i="1" s="1"/>
  <c r="R561" i="1" s="1"/>
  <c r="X561" i="1" s="1"/>
  <c r="O541" i="1"/>
  <c r="P541" i="1" s="1"/>
  <c r="R541" i="1" s="1"/>
  <c r="O521" i="1"/>
  <c r="P521" i="1" s="1"/>
  <c r="R521" i="1" s="1"/>
  <c r="X521" i="1" s="1"/>
  <c r="O490" i="1"/>
  <c r="P490" i="1" s="1"/>
  <c r="O483" i="1"/>
  <c r="P483" i="1" s="1"/>
  <c r="O447" i="1"/>
  <c r="P447" i="1" s="1"/>
  <c r="Q447" i="1" s="1"/>
  <c r="O412" i="1"/>
  <c r="P412" i="1" s="1"/>
  <c r="S412" i="1" s="1"/>
  <c r="X412" i="1" s="1"/>
  <c r="O394" i="1"/>
  <c r="P394" i="1" s="1"/>
  <c r="Q394" i="1" s="1"/>
  <c r="O381" i="1"/>
  <c r="P381" i="1" s="1"/>
  <c r="R381" i="1" s="1"/>
  <c r="O901" i="1"/>
  <c r="P901" i="1" s="1"/>
  <c r="R901" i="1" s="1"/>
  <c r="X901" i="1" s="1"/>
  <c r="O825" i="1"/>
  <c r="P825" i="1" s="1"/>
  <c r="Q825" i="1" s="1"/>
  <c r="X825" i="1" s="1"/>
  <c r="O791" i="1"/>
  <c r="P791" i="1" s="1"/>
  <c r="O757" i="1"/>
  <c r="P757" i="1" s="1"/>
  <c r="Q757" i="1" s="1"/>
  <c r="O742" i="1"/>
  <c r="P742" i="1" s="1"/>
  <c r="R742" i="1" s="1"/>
  <c r="X742" i="1" s="1"/>
  <c r="O699" i="1"/>
  <c r="P699" i="1" s="1"/>
  <c r="R699" i="1" s="1"/>
  <c r="O668" i="1"/>
  <c r="P668" i="1" s="1"/>
  <c r="R668" i="1" s="1"/>
  <c r="O650" i="1"/>
  <c r="P650" i="1" s="1"/>
  <c r="S650" i="1" s="1"/>
  <c r="O627" i="1"/>
  <c r="P627" i="1" s="1"/>
  <c r="R627" i="1" s="1"/>
  <c r="O602" i="1"/>
  <c r="P602" i="1" s="1"/>
  <c r="R602" i="1" s="1"/>
  <c r="O569" i="1"/>
  <c r="P569" i="1" s="1"/>
  <c r="Q569" i="1" s="1"/>
  <c r="X569" i="1" s="1"/>
  <c r="O557" i="1"/>
  <c r="P557" i="1" s="1"/>
  <c r="R557" i="1" s="1"/>
  <c r="O537" i="1"/>
  <c r="P537" i="1" s="1"/>
  <c r="R537" i="1" s="1"/>
  <c r="O517" i="1"/>
  <c r="P517" i="1" s="1"/>
  <c r="S517" i="1" s="1"/>
  <c r="O499" i="1"/>
  <c r="P499" i="1" s="1"/>
  <c r="R499" i="1" s="1"/>
  <c r="X499" i="1" s="1"/>
  <c r="O481" i="1"/>
  <c r="P481" i="1" s="1"/>
  <c r="R481" i="1" s="1"/>
  <c r="X481" i="1" s="1"/>
  <c r="O462" i="1"/>
  <c r="P462" i="1" s="1"/>
  <c r="R462" i="1" s="1"/>
  <c r="O454" i="1"/>
  <c r="P454" i="1" s="1"/>
  <c r="Q454" i="1" s="1"/>
  <c r="O408" i="1"/>
  <c r="P408" i="1" s="1"/>
  <c r="S408" i="1" s="1"/>
  <c r="O989" i="1"/>
  <c r="P989" i="1" s="1"/>
  <c r="O920" i="1"/>
  <c r="P920" i="1" s="1"/>
  <c r="R920" i="1" s="1"/>
  <c r="O824" i="1"/>
  <c r="P824" i="1" s="1"/>
  <c r="Q824" i="1" s="1"/>
  <c r="X824" i="1" s="1"/>
  <c r="O811" i="1"/>
  <c r="P811" i="1" s="1"/>
  <c r="Q811" i="1" s="1"/>
  <c r="X811" i="1" s="1"/>
  <c r="O781" i="1"/>
  <c r="P781" i="1" s="1"/>
  <c r="S781" i="1" s="1"/>
  <c r="X781" i="1" s="1"/>
  <c r="O711" i="1"/>
  <c r="P711" i="1" s="1"/>
  <c r="S711" i="1" s="1"/>
  <c r="X711" i="1" s="1"/>
  <c r="O684" i="1"/>
  <c r="P684" i="1" s="1"/>
  <c r="S684" i="1" s="1"/>
  <c r="O677" i="1"/>
  <c r="P677" i="1" s="1"/>
  <c r="O675" i="1"/>
  <c r="P675" i="1" s="1"/>
  <c r="S675" i="1" s="1"/>
  <c r="O642" i="1"/>
  <c r="P642" i="1" s="1"/>
  <c r="O619" i="1"/>
  <c r="P619" i="1" s="1"/>
  <c r="R619" i="1" s="1"/>
  <c r="O589" i="1"/>
  <c r="P589" i="1" s="1"/>
  <c r="O546" i="1"/>
  <c r="P546" i="1" s="1"/>
  <c r="R546" i="1" s="1"/>
  <c r="X546" i="1" s="1"/>
  <c r="O526" i="1"/>
  <c r="P526" i="1" s="1"/>
  <c r="R526" i="1" s="1"/>
  <c r="X526" i="1" s="1"/>
  <c r="O506" i="1"/>
  <c r="P506" i="1" s="1"/>
  <c r="O495" i="1"/>
  <c r="P495" i="1" s="1"/>
  <c r="O473" i="1"/>
  <c r="P473" i="1" s="1"/>
  <c r="O452" i="1"/>
  <c r="P452" i="1" s="1"/>
  <c r="Q452" i="1" s="1"/>
  <c r="X452" i="1" s="1"/>
  <c r="O445" i="1"/>
  <c r="P445" i="1" s="1"/>
  <c r="O430" i="1"/>
  <c r="P430" i="1" s="1"/>
  <c r="R430" i="1" s="1"/>
  <c r="O417" i="1"/>
  <c r="P417" i="1" s="1"/>
  <c r="R417" i="1" s="1"/>
  <c r="X417" i="1" s="1"/>
  <c r="O388" i="1"/>
  <c r="P388" i="1" s="1"/>
  <c r="O1099" i="1"/>
  <c r="P1099" i="1" s="1"/>
  <c r="O978" i="1"/>
  <c r="P978" i="1" s="1"/>
  <c r="O890" i="1"/>
  <c r="P890" i="1" s="1"/>
  <c r="O880" i="1"/>
  <c r="P880" i="1" s="1"/>
  <c r="S880" i="1" s="1"/>
  <c r="X880" i="1" s="1"/>
  <c r="O774" i="1"/>
  <c r="P774" i="1" s="1"/>
  <c r="R774" i="1" s="1"/>
  <c r="O603" i="1"/>
  <c r="P603" i="1" s="1"/>
  <c r="R603" i="1" s="1"/>
  <c r="O594" i="1"/>
  <c r="P594" i="1" s="1"/>
  <c r="R594" i="1" s="1"/>
  <c r="X594" i="1" s="1"/>
  <c r="O551" i="1"/>
  <c r="P551" i="1" s="1"/>
  <c r="R551" i="1" s="1"/>
  <c r="X551" i="1" s="1"/>
  <c r="O531" i="1"/>
  <c r="P531" i="1" s="1"/>
  <c r="S531" i="1" s="1"/>
  <c r="X531" i="1" s="1"/>
  <c r="O511" i="1"/>
  <c r="P511" i="1" s="1"/>
  <c r="S511" i="1" s="1"/>
  <c r="X511" i="1" s="1"/>
  <c r="O500" i="1"/>
  <c r="P500" i="1" s="1"/>
  <c r="R500" i="1" s="1"/>
  <c r="O463" i="1"/>
  <c r="P463" i="1" s="1"/>
  <c r="O455" i="1"/>
  <c r="P455" i="1" s="1"/>
  <c r="Q455" i="1" s="1"/>
  <c r="O437" i="1"/>
  <c r="P437" i="1" s="1"/>
  <c r="Q437" i="1" s="1"/>
  <c r="X437" i="1" s="1"/>
  <c r="O422" i="1"/>
  <c r="P422" i="1" s="1"/>
  <c r="R422" i="1" s="1"/>
  <c r="X422" i="1" s="1"/>
  <c r="O402" i="1"/>
  <c r="P402" i="1" s="1"/>
  <c r="R402" i="1" s="1"/>
  <c r="O722" i="1"/>
  <c r="P722" i="1" s="1"/>
  <c r="R722" i="1" s="1"/>
  <c r="O649" i="1"/>
  <c r="P649" i="1" s="1"/>
  <c r="S649" i="1" s="1"/>
  <c r="O597" i="1"/>
  <c r="P597" i="1" s="1"/>
  <c r="R597" i="1" s="1"/>
  <c r="O562" i="1"/>
  <c r="P562" i="1" s="1"/>
  <c r="R562" i="1" s="1"/>
  <c r="O446" i="1"/>
  <c r="P446" i="1" s="1"/>
  <c r="Q446" i="1" s="1"/>
  <c r="O429" i="1"/>
  <c r="P429" i="1" s="1"/>
  <c r="R429" i="1" s="1"/>
  <c r="O413" i="1"/>
  <c r="P413" i="1" s="1"/>
  <c r="S413" i="1" s="1"/>
  <c r="O396" i="1"/>
  <c r="P396" i="1" s="1"/>
  <c r="O327" i="1"/>
  <c r="P327" i="1" s="1"/>
  <c r="O320" i="1"/>
  <c r="P320" i="1" s="1"/>
  <c r="R320" i="1" s="1"/>
  <c r="O308" i="1"/>
  <c r="P308" i="1" s="1"/>
  <c r="Q308" i="1" s="1"/>
  <c r="O288" i="1"/>
  <c r="P288" i="1" s="1"/>
  <c r="R288" i="1" s="1"/>
  <c r="O280" i="1"/>
  <c r="P280" i="1" s="1"/>
  <c r="R280" i="1" s="1"/>
  <c r="O263" i="1"/>
  <c r="P263" i="1" s="1"/>
  <c r="O198" i="1"/>
  <c r="P198" i="1" s="1"/>
  <c r="O175" i="1"/>
  <c r="P175" i="1" s="1"/>
  <c r="R175" i="1" s="1"/>
  <c r="X175" i="1" s="1"/>
  <c r="O147" i="1"/>
  <c r="P147" i="1" s="1"/>
  <c r="O134" i="1"/>
  <c r="P134" i="1" s="1"/>
  <c r="Q134" i="1" s="1"/>
  <c r="X134" i="1" s="1"/>
  <c r="O852" i="1"/>
  <c r="P852" i="1" s="1"/>
  <c r="S852" i="1" s="1"/>
  <c r="O804" i="1"/>
  <c r="P804" i="1" s="1"/>
  <c r="R804" i="1" s="1"/>
  <c r="O657" i="1"/>
  <c r="P657" i="1" s="1"/>
  <c r="S657" i="1" s="1"/>
  <c r="X657" i="1" s="1"/>
  <c r="O570" i="1"/>
  <c r="P570" i="1" s="1"/>
  <c r="Q570" i="1" s="1"/>
  <c r="O536" i="1"/>
  <c r="P536" i="1" s="1"/>
  <c r="R536" i="1" s="1"/>
  <c r="X536" i="1" s="1"/>
  <c r="O522" i="1"/>
  <c r="P522" i="1" s="1"/>
  <c r="R522" i="1" s="1"/>
  <c r="O516" i="1"/>
  <c r="P516" i="1" s="1"/>
  <c r="S516" i="1" s="1"/>
  <c r="X516" i="1" s="1"/>
  <c r="O507" i="1"/>
  <c r="P507" i="1" s="1"/>
  <c r="O471" i="1"/>
  <c r="P471" i="1" s="1"/>
  <c r="Q471" i="1" s="1"/>
  <c r="X471" i="1" s="1"/>
  <c r="O431" i="1"/>
  <c r="P431" i="1" s="1"/>
  <c r="O428" i="1"/>
  <c r="P428" i="1" s="1"/>
  <c r="R428" i="1" s="1"/>
  <c r="O395" i="1"/>
  <c r="P395" i="1" s="1"/>
  <c r="Q395" i="1" s="1"/>
  <c r="O372" i="1"/>
  <c r="P372" i="1" s="1"/>
  <c r="Q372" i="1" s="1"/>
  <c r="O357" i="1"/>
  <c r="P357" i="1" s="1"/>
  <c r="Q357" i="1" s="1"/>
  <c r="O348" i="1"/>
  <c r="P348" i="1" s="1"/>
  <c r="Q348" i="1" s="1"/>
  <c r="X348" i="1" s="1"/>
  <c r="O297" i="1"/>
  <c r="P297" i="1" s="1"/>
  <c r="O235" i="1"/>
  <c r="P235" i="1" s="1"/>
  <c r="S235" i="1" s="1"/>
  <c r="O225" i="1"/>
  <c r="P225" i="1" s="1"/>
  <c r="S225" i="1" s="1"/>
  <c r="X225" i="1" s="1"/>
  <c r="O215" i="1"/>
  <c r="P215" i="1" s="1"/>
  <c r="S215" i="1" s="1"/>
  <c r="O196" i="1"/>
  <c r="P196" i="1" s="1"/>
  <c r="R196" i="1" s="1"/>
  <c r="X196" i="1" s="1"/>
  <c r="O165" i="1"/>
  <c r="P165" i="1" s="1"/>
  <c r="S165" i="1" s="1"/>
  <c r="O155" i="1"/>
  <c r="P155" i="1" s="1"/>
  <c r="S155" i="1" s="1"/>
  <c r="X155" i="1" s="1"/>
  <c r="O601" i="1"/>
  <c r="P601" i="1" s="1"/>
  <c r="R601" i="1" s="1"/>
  <c r="O556" i="1"/>
  <c r="P556" i="1" s="1"/>
  <c r="R556" i="1" s="1"/>
  <c r="X556" i="1" s="1"/>
  <c r="O474" i="1"/>
  <c r="P474" i="1" s="1"/>
  <c r="Q474" i="1" s="1"/>
  <c r="O444" i="1"/>
  <c r="P444" i="1" s="1"/>
  <c r="Q444" i="1" s="1"/>
  <c r="X444" i="1" s="1"/>
  <c r="O340" i="1"/>
  <c r="P340" i="1" s="1"/>
  <c r="R340" i="1" s="1"/>
  <c r="X340" i="1" s="1"/>
  <c r="O313" i="1"/>
  <c r="P313" i="1" s="1"/>
  <c r="R313" i="1" s="1"/>
  <c r="X313" i="1" s="1"/>
  <c r="O306" i="1"/>
  <c r="P306" i="1" s="1"/>
  <c r="Q306" i="1" s="1"/>
  <c r="X306" i="1" s="1"/>
  <c r="O278" i="1"/>
  <c r="P278" i="1" s="1"/>
  <c r="R278" i="1" s="1"/>
  <c r="O270" i="1"/>
  <c r="P270" i="1" s="1"/>
  <c r="Q270" i="1" s="1"/>
  <c r="O261" i="1"/>
  <c r="O246" i="1"/>
  <c r="P246" i="1" s="1"/>
  <c r="R246" i="1" s="1"/>
  <c r="O223" i="1"/>
  <c r="P223" i="1" s="1"/>
  <c r="S223" i="1" s="1"/>
  <c r="X223" i="1" s="1"/>
  <c r="O207" i="1"/>
  <c r="P207" i="1" s="1"/>
  <c r="S207" i="1" s="1"/>
  <c r="O188" i="1"/>
  <c r="P188" i="1" s="1"/>
  <c r="R188" i="1" s="1"/>
  <c r="O831" i="1"/>
  <c r="P831" i="1" s="1"/>
  <c r="Q831" i="1" s="1"/>
  <c r="X831" i="1" s="1"/>
  <c r="O729" i="1"/>
  <c r="P729" i="1" s="1"/>
  <c r="R729" i="1" s="1"/>
  <c r="O611" i="1"/>
  <c r="P611" i="1" s="1"/>
  <c r="O817" i="1"/>
  <c r="P817" i="1" s="1"/>
  <c r="Q817" i="1" s="1"/>
  <c r="O772" i="1"/>
  <c r="P772" i="1" s="1"/>
  <c r="R772" i="1" s="1"/>
  <c r="X772" i="1" s="1"/>
  <c r="O694" i="1"/>
  <c r="P694" i="1" s="1"/>
  <c r="O634" i="1"/>
  <c r="P634" i="1" s="1"/>
  <c r="R634" i="1" s="1"/>
  <c r="O587" i="1"/>
  <c r="P587" i="1" s="1"/>
  <c r="Q587" i="1" s="1"/>
  <c r="X587" i="1" s="1"/>
  <c r="O527" i="1"/>
  <c r="P527" i="1" s="1"/>
  <c r="R527" i="1" s="1"/>
  <c r="X527" i="1" s="1"/>
  <c r="O380" i="1"/>
  <c r="P380" i="1" s="1"/>
  <c r="O365" i="1"/>
  <c r="P365" i="1" s="1"/>
  <c r="O356" i="1"/>
  <c r="P356" i="1" s="1"/>
  <c r="Q356" i="1" s="1"/>
  <c r="X356" i="1" s="1"/>
  <c r="O349" i="1"/>
  <c r="P349" i="1" s="1"/>
  <c r="O319" i="1"/>
  <c r="P319" i="1" s="1"/>
  <c r="R319" i="1" s="1"/>
  <c r="X319" i="1" s="1"/>
  <c r="O298" i="1"/>
  <c r="P298" i="1" s="1"/>
  <c r="O954" i="1"/>
  <c r="P954" i="1" s="1"/>
  <c r="S954" i="1" s="1"/>
  <c r="X954" i="1" s="1"/>
  <c r="O795" i="1"/>
  <c r="P795" i="1" s="1"/>
  <c r="S795" i="1" s="1"/>
  <c r="X795" i="1" s="1"/>
  <c r="O748" i="1"/>
  <c r="P748" i="1" s="1"/>
  <c r="Q748" i="1" s="1"/>
  <c r="X748" i="1" s="1"/>
  <c r="O721" i="1"/>
  <c r="P721" i="1" s="1"/>
  <c r="O676" i="1"/>
  <c r="P676" i="1" s="1"/>
  <c r="S676" i="1" s="1"/>
  <c r="O626" i="1"/>
  <c r="P626" i="1" s="1"/>
  <c r="R626" i="1" s="1"/>
  <c r="X626" i="1" s="1"/>
  <c r="O580" i="1"/>
  <c r="P580" i="1" s="1"/>
  <c r="Q580" i="1" s="1"/>
  <c r="O461" i="1"/>
  <c r="P461" i="1" s="1"/>
  <c r="R461" i="1" s="1"/>
  <c r="O418" i="1"/>
  <c r="P418" i="1" s="1"/>
  <c r="R418" i="1" s="1"/>
  <c r="O401" i="1"/>
  <c r="P401" i="1" s="1"/>
  <c r="R401" i="1" s="1"/>
  <c r="O379" i="1"/>
  <c r="P379" i="1" s="1"/>
  <c r="R379" i="1" s="1"/>
  <c r="X379" i="1" s="1"/>
  <c r="O364" i="1"/>
  <c r="P364" i="1" s="1"/>
  <c r="R364" i="1" s="1"/>
  <c r="O335" i="1"/>
  <c r="P335" i="1" s="1"/>
  <c r="S335" i="1" s="1"/>
  <c r="X335" i="1" s="1"/>
  <c r="O305" i="1"/>
  <c r="P305" i="1" s="1"/>
  <c r="Q305" i="1" s="1"/>
  <c r="X305" i="1" s="1"/>
  <c r="S129" i="1"/>
  <c r="R129" i="1"/>
  <c r="W165" i="1"/>
  <c r="D167" i="1"/>
  <c r="V165" i="1"/>
  <c r="U57" i="1"/>
  <c r="Q168" i="1"/>
  <c r="W168" i="1"/>
  <c r="X339" i="1"/>
  <c r="Q462" i="1"/>
  <c r="W462" i="1"/>
  <c r="D464" i="1"/>
  <c r="V462" i="1"/>
  <c r="T462" i="1"/>
  <c r="S462" i="1"/>
  <c r="W483" i="1"/>
  <c r="V483" i="1"/>
  <c r="U483" i="1"/>
  <c r="S483" i="1"/>
  <c r="Q483" i="1"/>
  <c r="T483" i="1"/>
  <c r="O686" i="1"/>
  <c r="P686" i="1" s="1"/>
  <c r="S686" i="1" s="1"/>
  <c r="R734" i="1"/>
  <c r="W775" i="1"/>
  <c r="V775" i="1"/>
  <c r="U775" i="1"/>
  <c r="S775" i="1"/>
  <c r="T775" i="1"/>
  <c r="Q775" i="1"/>
  <c r="V57" i="1"/>
  <c r="D59" i="1"/>
  <c r="O59" i="1" s="1"/>
  <c r="P59" i="1" s="1"/>
  <c r="W60" i="1"/>
  <c r="O68" i="1"/>
  <c r="P68" i="1" s="1"/>
  <c r="W68" i="1"/>
  <c r="U70" i="1"/>
  <c r="O84" i="1"/>
  <c r="P84" i="1" s="1"/>
  <c r="S84" i="1" s="1"/>
  <c r="X84" i="1" s="1"/>
  <c r="O94" i="1"/>
  <c r="P94" i="1" s="1"/>
  <c r="W94" i="1"/>
  <c r="U96" i="1"/>
  <c r="O101" i="1"/>
  <c r="P101" i="1" s="1"/>
  <c r="Q101" i="1" s="1"/>
  <c r="W101" i="1"/>
  <c r="O109" i="1"/>
  <c r="P109" i="1" s="1"/>
  <c r="V114" i="1"/>
  <c r="O135" i="1"/>
  <c r="P135" i="1" s="1"/>
  <c r="V136" i="1"/>
  <c r="U136" i="1"/>
  <c r="T136" i="1"/>
  <c r="Q147" i="1"/>
  <c r="U150" i="1"/>
  <c r="X150" i="1" s="1"/>
  <c r="O156" i="1"/>
  <c r="P156" i="1" s="1"/>
  <c r="S156" i="1" s="1"/>
  <c r="R165" i="1"/>
  <c r="O167" i="1"/>
  <c r="P167" i="1" s="1"/>
  <c r="O176" i="1"/>
  <c r="P176" i="1" s="1"/>
  <c r="R176" i="1" s="1"/>
  <c r="V184" i="1"/>
  <c r="U230" i="1"/>
  <c r="X230" i="1" s="1"/>
  <c r="Q248" i="1"/>
  <c r="U266" i="1"/>
  <c r="X266" i="1" s="1"/>
  <c r="U273" i="1"/>
  <c r="X273" i="1" s="1"/>
  <c r="U283" i="1"/>
  <c r="X283" i="1" s="1"/>
  <c r="U285" i="1"/>
  <c r="U302" i="1"/>
  <c r="X302" i="1" s="1"/>
  <c r="W308" i="1"/>
  <c r="V308" i="1"/>
  <c r="U308" i="1"/>
  <c r="S308" i="1"/>
  <c r="O341" i="1"/>
  <c r="P341" i="1" s="1"/>
  <c r="R341" i="1" s="1"/>
  <c r="V353" i="1"/>
  <c r="X353" i="1" s="1"/>
  <c r="X360" i="1"/>
  <c r="U377" i="1"/>
  <c r="X377" i="1" s="1"/>
  <c r="R395" i="1"/>
  <c r="V395" i="1"/>
  <c r="W395" i="1"/>
  <c r="T395" i="1"/>
  <c r="S448" i="1"/>
  <c r="R448" i="1"/>
  <c r="Q448" i="1"/>
  <c r="T448" i="1"/>
  <c r="W448" i="1"/>
  <c r="X467" i="1"/>
  <c r="T468" i="1"/>
  <c r="X468" i="1" s="1"/>
  <c r="V514" i="1"/>
  <c r="X514" i="1" s="1"/>
  <c r="X545" i="1"/>
  <c r="O547" i="1"/>
  <c r="P547" i="1" s="1"/>
  <c r="R547" i="1" s="1"/>
  <c r="V586" i="1"/>
  <c r="X586" i="1" s="1"/>
  <c r="O590" i="1"/>
  <c r="P590" i="1" s="1"/>
  <c r="Q590" i="1" s="1"/>
  <c r="X590" i="1" s="1"/>
  <c r="O596" i="1"/>
  <c r="P596" i="1" s="1"/>
  <c r="S611" i="1"/>
  <c r="R611" i="1"/>
  <c r="Q611" i="1"/>
  <c r="V611" i="1"/>
  <c r="W611" i="1"/>
  <c r="U611" i="1"/>
  <c r="T611" i="1"/>
  <c r="V661" i="1"/>
  <c r="X661" i="1" s="1"/>
  <c r="U680" i="1"/>
  <c r="X680" i="1" s="1"/>
  <c r="V682" i="1"/>
  <c r="X684" i="1"/>
  <c r="V975" i="1"/>
  <c r="U976" i="1"/>
  <c r="X976" i="1" s="1"/>
  <c r="O56" i="1"/>
  <c r="P56" i="1" s="1"/>
  <c r="R56" i="1" s="1"/>
  <c r="W111" i="1"/>
  <c r="O116" i="1"/>
  <c r="P116" i="1" s="1"/>
  <c r="S116" i="1" s="1"/>
  <c r="X116" i="1" s="1"/>
  <c r="W156" i="1"/>
  <c r="W190" i="1"/>
  <c r="U190" i="1"/>
  <c r="X218" i="1"/>
  <c r="O236" i="1"/>
  <c r="P236" i="1" s="1"/>
  <c r="S236" i="1" s="1"/>
  <c r="Q255" i="1"/>
  <c r="W255" i="1"/>
  <c r="V101" i="1"/>
  <c r="W126" i="1"/>
  <c r="O144" i="1"/>
  <c r="P144" i="1" s="1"/>
  <c r="R144" i="1" s="1"/>
  <c r="X144" i="1" s="1"/>
  <c r="O197" i="1"/>
  <c r="P197" i="1" s="1"/>
  <c r="U365" i="1"/>
  <c r="S365" i="1"/>
  <c r="T365" i="1"/>
  <c r="R365" i="1"/>
  <c r="Q365" i="1"/>
  <c r="W365" i="1"/>
  <c r="F39" i="1"/>
  <c r="U952" i="1"/>
  <c r="X952" i="1" s="1"/>
  <c r="U878" i="1"/>
  <c r="X878" i="1" s="1"/>
  <c r="U836" i="1"/>
  <c r="X836" i="1" s="1"/>
  <c r="U800" i="1"/>
  <c r="U761" i="1"/>
  <c r="U985" i="1"/>
  <c r="U943" i="1"/>
  <c r="U850" i="1"/>
  <c r="U829" i="1"/>
  <c r="X829" i="1" s="1"/>
  <c r="U1025" i="1"/>
  <c r="X1025" i="1" s="1"/>
  <c r="U897" i="1"/>
  <c r="X897" i="1" s="1"/>
  <c r="U1024" i="1"/>
  <c r="X1024" i="1" s="1"/>
  <c r="U802" i="1"/>
  <c r="U847" i="1"/>
  <c r="X847" i="1" s="1"/>
  <c r="U813" i="1"/>
  <c r="U665" i="1"/>
  <c r="X665" i="1" s="1"/>
  <c r="U617" i="1"/>
  <c r="U607" i="1"/>
  <c r="X607" i="1" s="1"/>
  <c r="U703" i="1"/>
  <c r="X703" i="1" s="1"/>
  <c r="U683" i="1"/>
  <c r="U655" i="1"/>
  <c r="X655" i="1" s="1"/>
  <c r="U540" i="1"/>
  <c r="X540" i="1" s="1"/>
  <c r="U398" i="1"/>
  <c r="U362" i="1"/>
  <c r="X362" i="1" s="1"/>
  <c r="O57" i="1"/>
  <c r="P57" i="1" s="1"/>
  <c r="R57" i="1" s="1"/>
  <c r="W57" i="1"/>
  <c r="U67" i="1"/>
  <c r="W78" i="1"/>
  <c r="S85" i="1"/>
  <c r="U93" i="1"/>
  <c r="U108" i="1"/>
  <c r="D110" i="1"/>
  <c r="O110" i="1" s="1"/>
  <c r="P110" i="1" s="1"/>
  <c r="O126" i="1"/>
  <c r="P126" i="1" s="1"/>
  <c r="W136" i="1"/>
  <c r="X140" i="1"/>
  <c r="W145" i="1"/>
  <c r="R147" i="1"/>
  <c r="X152" i="1"/>
  <c r="U174" i="1"/>
  <c r="D178" i="1"/>
  <c r="V181" i="1"/>
  <c r="X181" i="1" s="1"/>
  <c r="X184" i="1"/>
  <c r="P185" i="1"/>
  <c r="U185" i="1" s="1"/>
  <c r="X185" i="1" s="1"/>
  <c r="T189" i="1"/>
  <c r="S189" i="1"/>
  <c r="U189" i="1"/>
  <c r="R190" i="1"/>
  <c r="X193" i="1"/>
  <c r="Q197" i="1"/>
  <c r="Q198" i="1"/>
  <c r="X205" i="1"/>
  <c r="O206" i="1"/>
  <c r="P206" i="1" s="1"/>
  <c r="S206" i="1" s="1"/>
  <c r="X206" i="1" s="1"/>
  <c r="U218" i="1"/>
  <c r="V221" i="1"/>
  <c r="X232" i="1"/>
  <c r="X242" i="1"/>
  <c r="S255" i="1"/>
  <c r="F260" i="1"/>
  <c r="Q263" i="1"/>
  <c r="U268" i="1"/>
  <c r="X268" i="1" s="1"/>
  <c r="Q280" i="1"/>
  <c r="O307" i="1"/>
  <c r="P307" i="1" s="1"/>
  <c r="Q307" i="1" s="1"/>
  <c r="X324" i="1"/>
  <c r="R327" i="1"/>
  <c r="V330" i="1"/>
  <c r="U337" i="1"/>
  <c r="X337" i="1" s="1"/>
  <c r="Y336" i="1" s="1"/>
  <c r="X341" i="1"/>
  <c r="R342" i="1"/>
  <c r="X364" i="1"/>
  <c r="U368" i="1"/>
  <c r="X368" i="1" s="1"/>
  <c r="U369" i="1"/>
  <c r="X369" i="1" s="1"/>
  <c r="U392" i="1"/>
  <c r="X392" i="1" s="1"/>
  <c r="U399" i="1"/>
  <c r="X399" i="1" s="1"/>
  <c r="O400" i="1"/>
  <c r="P400" i="1" s="1"/>
  <c r="R400" i="1" s="1"/>
  <c r="X400" i="1" s="1"/>
  <c r="V410" i="1"/>
  <c r="X410" i="1" s="1"/>
  <c r="T458" i="1"/>
  <c r="X458" i="1" s="1"/>
  <c r="O459" i="1"/>
  <c r="P459" i="1" s="1"/>
  <c r="U459" i="1" s="1"/>
  <c r="X459" i="1" s="1"/>
  <c r="X461" i="1"/>
  <c r="X469" i="1"/>
  <c r="F475" i="1"/>
  <c r="P470" i="1"/>
  <c r="T470" i="1" s="1"/>
  <c r="X470" i="1" s="1"/>
  <c r="T478" i="1"/>
  <c r="X478" i="1" s="1"/>
  <c r="V503" i="1"/>
  <c r="O504" i="1"/>
  <c r="P504" i="1" s="1"/>
  <c r="R504" i="1" s="1"/>
  <c r="T566" i="1"/>
  <c r="S572" i="1"/>
  <c r="R572" i="1"/>
  <c r="Q572" i="1"/>
  <c r="V572" i="1"/>
  <c r="W572" i="1"/>
  <c r="T577" i="1"/>
  <c r="T606" i="1"/>
  <c r="X606" i="1" s="1"/>
  <c r="F612" i="1"/>
  <c r="P608" i="1"/>
  <c r="V608" i="1" s="1"/>
  <c r="X608" i="1" s="1"/>
  <c r="V690" i="1"/>
  <c r="X690" i="1" s="1"/>
  <c r="U718" i="1"/>
  <c r="X718" i="1" s="1"/>
  <c r="X764" i="1"/>
  <c r="X1077" i="1"/>
  <c r="O1078" i="1"/>
  <c r="P1078" i="1" s="1"/>
  <c r="R1078" i="1" s="1"/>
  <c r="U111" i="1"/>
  <c r="O224" i="1"/>
  <c r="P224" i="1" s="1"/>
  <c r="S224" i="1" s="1"/>
  <c r="W248" i="1"/>
  <c r="U248" i="1"/>
  <c r="O66" i="1"/>
  <c r="P66" i="1" s="1"/>
  <c r="Q66" i="1" s="1"/>
  <c r="X66" i="1" s="1"/>
  <c r="V68" i="1"/>
  <c r="T70" i="1"/>
  <c r="V94" i="1"/>
  <c r="O166" i="1"/>
  <c r="P166" i="1" s="1"/>
  <c r="S166" i="1" s="1"/>
  <c r="W270" i="1"/>
  <c r="S298" i="1"/>
  <c r="R298" i="1"/>
  <c r="Q298" i="1"/>
  <c r="W298" i="1"/>
  <c r="U298" i="1"/>
  <c r="X519" i="1"/>
  <c r="V1065" i="1"/>
  <c r="V961" i="1"/>
  <c r="X961" i="1" s="1"/>
  <c r="V1066" i="1"/>
  <c r="X1066" i="1" s="1"/>
  <c r="V992" i="1"/>
  <c r="X992" i="1" s="1"/>
  <c r="V719" i="1"/>
  <c r="X719" i="1" s="1"/>
  <c r="V529" i="1"/>
  <c r="V160" i="1"/>
  <c r="X160" i="1" s="1"/>
  <c r="V420" i="1"/>
  <c r="X420" i="1" s="1"/>
  <c r="Q60" i="1"/>
  <c r="V67" i="1"/>
  <c r="Q68" i="1"/>
  <c r="D69" i="1"/>
  <c r="O69" i="1" s="1"/>
  <c r="P69" i="1" s="1"/>
  <c r="W70" i="1"/>
  <c r="U745" i="1"/>
  <c r="X745" i="1" s="1"/>
  <c r="T85" i="1"/>
  <c r="V93" i="1"/>
  <c r="Q94" i="1"/>
  <c r="D95" i="1"/>
  <c r="W96" i="1"/>
  <c r="V108" i="1"/>
  <c r="Q109" i="1"/>
  <c r="R111" i="1"/>
  <c r="O117" i="1"/>
  <c r="P117" i="1" s="1"/>
  <c r="S117" i="1" s="1"/>
  <c r="X117" i="1" s="1"/>
  <c r="Q129" i="1"/>
  <c r="Q135" i="1"/>
  <c r="U141" i="1"/>
  <c r="X141" i="1" s="1"/>
  <c r="S147" i="1"/>
  <c r="V153" i="1"/>
  <c r="X153" i="1" s="1"/>
  <c r="T156" i="1"/>
  <c r="T165" i="1"/>
  <c r="R168" i="1"/>
  <c r="V172" i="1"/>
  <c r="X172" i="1" s="1"/>
  <c r="T176" i="1"/>
  <c r="O177" i="1"/>
  <c r="P177" i="1" s="1"/>
  <c r="R177" i="1" s="1"/>
  <c r="O186" i="1"/>
  <c r="P186" i="1" s="1"/>
  <c r="R186" i="1" s="1"/>
  <c r="X186" i="1" s="1"/>
  <c r="S190" i="1"/>
  <c r="V194" i="1"/>
  <c r="X194" i="1" s="1"/>
  <c r="U197" i="1"/>
  <c r="R198" i="1"/>
  <c r="X220" i="1"/>
  <c r="O234" i="1"/>
  <c r="P234" i="1" s="1"/>
  <c r="S234" i="1" s="1"/>
  <c r="X234" i="1" s="1"/>
  <c r="R236" i="1"/>
  <c r="Q236" i="1"/>
  <c r="W236" i="1"/>
  <c r="T243" i="1"/>
  <c r="X243" i="1" s="1"/>
  <c r="T247" i="1"/>
  <c r="S247" i="1"/>
  <c r="R247" i="1"/>
  <c r="X247" i="1" s="1"/>
  <c r="V247" i="1"/>
  <c r="S248" i="1"/>
  <c r="X251" i="1"/>
  <c r="U252" i="1"/>
  <c r="T255" i="1"/>
  <c r="X259" i="1"/>
  <c r="O260" i="1"/>
  <c r="R263" i="1"/>
  <c r="S264" i="1"/>
  <c r="R270" i="1"/>
  <c r="X276" i="1"/>
  <c r="O277" i="1"/>
  <c r="P277" i="1" s="1"/>
  <c r="R277" i="1" s="1"/>
  <c r="X277" i="1" s="1"/>
  <c r="S281" i="1"/>
  <c r="T284" i="1"/>
  <c r="X284" i="1" s="1"/>
  <c r="O289" i="1"/>
  <c r="P289" i="1" s="1"/>
  <c r="R289" i="1" s="1"/>
  <c r="T294" i="1"/>
  <c r="X294" i="1" s="1"/>
  <c r="U295" i="1"/>
  <c r="X295" i="1" s="1"/>
  <c r="W297" i="1"/>
  <c r="D299" i="1"/>
  <c r="V297" i="1"/>
  <c r="T297" i="1"/>
  <c r="R297" i="1"/>
  <c r="U317" i="1"/>
  <c r="X317" i="1" s="1"/>
  <c r="U318" i="1"/>
  <c r="T327" i="1"/>
  <c r="T342" i="1"/>
  <c r="U352" i="1"/>
  <c r="X352" i="1" s="1"/>
  <c r="X363" i="1"/>
  <c r="X378" i="1"/>
  <c r="O393" i="1"/>
  <c r="P393" i="1" s="1"/>
  <c r="Q393" i="1" s="1"/>
  <c r="X393" i="1" s="1"/>
  <c r="S395" i="1"/>
  <c r="U406" i="1"/>
  <c r="X406" i="1" s="1"/>
  <c r="U448" i="1"/>
  <c r="T450" i="1"/>
  <c r="U451" i="1"/>
  <c r="O453" i="1"/>
  <c r="P453" i="1" s="1"/>
  <c r="Q453" i="1" s="1"/>
  <c r="X453" i="1" s="1"/>
  <c r="U462" i="1"/>
  <c r="U477" i="1"/>
  <c r="T480" i="1"/>
  <c r="X480" i="1" s="1"/>
  <c r="R483" i="1"/>
  <c r="W490" i="1"/>
  <c r="V490" i="1"/>
  <c r="U490" i="1"/>
  <c r="S490" i="1"/>
  <c r="T490" i="1"/>
  <c r="R490" i="1"/>
  <c r="Q490" i="1"/>
  <c r="T492" i="1"/>
  <c r="X498" i="1"/>
  <c r="V564" i="1"/>
  <c r="T565" i="1"/>
  <c r="X565" i="1" s="1"/>
  <c r="X577" i="1"/>
  <c r="U609" i="1"/>
  <c r="X609" i="1" s="1"/>
  <c r="T654" i="1"/>
  <c r="X654" i="1" s="1"/>
  <c r="X658" i="1"/>
  <c r="U787" i="1"/>
  <c r="X787" i="1" s="1"/>
  <c r="T886" i="1"/>
  <c r="X886" i="1" s="1"/>
  <c r="T887" i="1"/>
  <c r="X887" i="1" s="1"/>
  <c r="U1053" i="1"/>
  <c r="T60" i="1"/>
  <c r="T68" i="1"/>
  <c r="T109" i="1"/>
  <c r="O146" i="1"/>
  <c r="P146" i="1" s="1"/>
  <c r="R146" i="1" s="1"/>
  <c r="X146" i="1" s="1"/>
  <c r="O269" i="1"/>
  <c r="P269" i="1" s="1"/>
  <c r="Q269" i="1" s="1"/>
  <c r="X269" i="1" s="1"/>
  <c r="X285" i="1"/>
  <c r="O299" i="1"/>
  <c r="P299" i="1" s="1"/>
  <c r="O326" i="1"/>
  <c r="P326" i="1" s="1"/>
  <c r="R326" i="1" s="1"/>
  <c r="X326" i="1" s="1"/>
  <c r="U522" i="1"/>
  <c r="X525" i="1"/>
  <c r="X559" i="1"/>
  <c r="P616" i="1"/>
  <c r="T616" i="1" s="1"/>
  <c r="X616" i="1" s="1"/>
  <c r="F620" i="1"/>
  <c r="X732" i="1"/>
  <c r="Q57" i="1"/>
  <c r="T58" i="1"/>
  <c r="R60" i="1"/>
  <c r="O67" i="1"/>
  <c r="P67" i="1" s="1"/>
  <c r="Q67" i="1" s="1"/>
  <c r="R68" i="1"/>
  <c r="Q78" i="1"/>
  <c r="U85" i="1"/>
  <c r="O93" i="1"/>
  <c r="P93" i="1" s="1"/>
  <c r="R93" i="1" s="1"/>
  <c r="R94" i="1"/>
  <c r="O100" i="1"/>
  <c r="P100" i="1" s="1"/>
  <c r="Q100" i="1" s="1"/>
  <c r="X100" i="1" s="1"/>
  <c r="R101" i="1"/>
  <c r="O108" i="1"/>
  <c r="P108" i="1" s="1"/>
  <c r="R108" i="1" s="1"/>
  <c r="R109" i="1"/>
  <c r="S111" i="1"/>
  <c r="X114" i="1"/>
  <c r="T129" i="1"/>
  <c r="T135" i="1"/>
  <c r="O136" i="1"/>
  <c r="P136" i="1" s="1"/>
  <c r="Q136" i="1" s="1"/>
  <c r="D137" i="1"/>
  <c r="O137" i="1" s="1"/>
  <c r="P137" i="1" s="1"/>
  <c r="O145" i="1"/>
  <c r="P145" i="1" s="1"/>
  <c r="T147" i="1"/>
  <c r="S148" i="1"/>
  <c r="U156" i="1"/>
  <c r="V163" i="1"/>
  <c r="X163" i="1" s="1"/>
  <c r="U165" i="1"/>
  <c r="S168" i="1"/>
  <c r="U176" i="1"/>
  <c r="O187" i="1"/>
  <c r="P187" i="1" s="1"/>
  <c r="R187" i="1" s="1"/>
  <c r="W189" i="1"/>
  <c r="T190" i="1"/>
  <c r="S198" i="1"/>
  <c r="Q207" i="1"/>
  <c r="W207" i="1"/>
  <c r="X213" i="1"/>
  <c r="O214" i="1"/>
  <c r="P214" i="1" s="1"/>
  <c r="S214" i="1" s="1"/>
  <c r="X214" i="1" s="1"/>
  <c r="S216" i="1"/>
  <c r="R216" i="1"/>
  <c r="Q216" i="1"/>
  <c r="W216" i="1"/>
  <c r="S226" i="1"/>
  <c r="R226" i="1"/>
  <c r="Q226" i="1"/>
  <c r="W226" i="1"/>
  <c r="W235" i="1"/>
  <c r="D237" i="1"/>
  <c r="V235" i="1"/>
  <c r="O244" i="1"/>
  <c r="P244" i="1" s="1"/>
  <c r="R244" i="1" s="1"/>
  <c r="X244" i="1" s="1"/>
  <c r="W247" i="1"/>
  <c r="T248" i="1"/>
  <c r="O253" i="1"/>
  <c r="P253" i="1" s="1"/>
  <c r="Q253" i="1" s="1"/>
  <c r="X253" i="1" s="1"/>
  <c r="U255" i="1"/>
  <c r="S263" i="1"/>
  <c r="T264" i="1"/>
  <c r="S270" i="1"/>
  <c r="S280" i="1"/>
  <c r="T281" i="1"/>
  <c r="O296" i="1"/>
  <c r="P296" i="1" s="1"/>
  <c r="R296" i="1" s="1"/>
  <c r="X296" i="1" s="1"/>
  <c r="T298" i="1"/>
  <c r="Q300" i="1"/>
  <c r="W300" i="1"/>
  <c r="U300" i="1"/>
  <c r="S300" i="1"/>
  <c r="R308" i="1"/>
  <c r="X318" i="1"/>
  <c r="U354" i="1"/>
  <c r="X354" i="1" s="1"/>
  <c r="U355" i="1"/>
  <c r="X355" i="1" s="1"/>
  <c r="V365" i="1"/>
  <c r="O373" i="1"/>
  <c r="P373" i="1" s="1"/>
  <c r="Q373" i="1" s="1"/>
  <c r="U395" i="1"/>
  <c r="T425" i="1"/>
  <c r="X425" i="1" s="1"/>
  <c r="X450" i="1"/>
  <c r="O482" i="1"/>
  <c r="P482" i="1" s="1"/>
  <c r="R482" i="1" s="1"/>
  <c r="X482" i="1" s="1"/>
  <c r="S484" i="1"/>
  <c r="Q484" i="1"/>
  <c r="V484" i="1"/>
  <c r="W484" i="1"/>
  <c r="U484" i="1"/>
  <c r="T484" i="1"/>
  <c r="T488" i="1"/>
  <c r="X488" i="1" s="1"/>
  <c r="O489" i="1"/>
  <c r="P489" i="1" s="1"/>
  <c r="Q489" i="1" s="1"/>
  <c r="X489" i="1" s="1"/>
  <c r="X503" i="1"/>
  <c r="U539" i="1"/>
  <c r="X539" i="1" s="1"/>
  <c r="U549" i="1"/>
  <c r="X549" i="1" s="1"/>
  <c r="U554" i="1"/>
  <c r="X554" i="1" s="1"/>
  <c r="O572" i="1"/>
  <c r="P572" i="1" s="1"/>
  <c r="R589" i="1"/>
  <c r="Q589" i="1"/>
  <c r="W589" i="1"/>
  <c r="U589" i="1"/>
  <c r="V589" i="1"/>
  <c r="T589" i="1"/>
  <c r="S589" i="1"/>
  <c r="W635" i="1"/>
  <c r="V635" i="1"/>
  <c r="U635" i="1"/>
  <c r="S635" i="1"/>
  <c r="T635" i="1"/>
  <c r="R635" i="1"/>
  <c r="Q635" i="1"/>
  <c r="V664" i="1"/>
  <c r="X664" i="1" s="1"/>
  <c r="V697" i="1"/>
  <c r="X697" i="1" s="1"/>
  <c r="U715" i="1"/>
  <c r="V716" i="1"/>
  <c r="X716" i="1" s="1"/>
  <c r="V778" i="1"/>
  <c r="X778" i="1" s="1"/>
  <c r="V779" i="1"/>
  <c r="X779" i="1" s="1"/>
  <c r="U801" i="1"/>
  <c r="U879" i="1"/>
  <c r="X879" i="1" s="1"/>
  <c r="O125" i="1"/>
  <c r="P125" i="1" s="1"/>
  <c r="R125" i="1" s="1"/>
  <c r="X125" i="1" s="1"/>
  <c r="T197" i="1"/>
  <c r="S197" i="1"/>
  <c r="R197" i="1"/>
  <c r="X330" i="1"/>
  <c r="O92" i="1"/>
  <c r="P92" i="1" s="1"/>
  <c r="R92" i="1" s="1"/>
  <c r="X92" i="1" s="1"/>
  <c r="O107" i="1"/>
  <c r="P107" i="1" s="1"/>
  <c r="R107" i="1" s="1"/>
  <c r="X107" i="1" s="1"/>
  <c r="V109" i="1"/>
  <c r="R126" i="1"/>
  <c r="Q126" i="1"/>
  <c r="X126" i="1" s="1"/>
  <c r="X143" i="1"/>
  <c r="Q165" i="1"/>
  <c r="X174" i="1"/>
  <c r="X314" i="1"/>
  <c r="O387" i="1"/>
  <c r="P387" i="1" s="1"/>
  <c r="Q387" i="1" s="1"/>
  <c r="X387" i="1" s="1"/>
  <c r="T924" i="1"/>
  <c r="T958" i="1"/>
  <c r="T822" i="1"/>
  <c r="X822" i="1" s="1"/>
  <c r="T622" i="1"/>
  <c r="X622" i="1" s="1"/>
  <c r="T1004" i="1"/>
  <c r="X1004" i="1" s="1"/>
  <c r="T747" i="1"/>
  <c r="X747" i="1" s="1"/>
  <c r="T732" i="1"/>
  <c r="T435" i="1"/>
  <c r="X435" i="1" s="1"/>
  <c r="T638" i="1"/>
  <c r="X638" i="1" s="1"/>
  <c r="T493" i="1"/>
  <c r="X493" i="1" s="1"/>
  <c r="I47" i="1"/>
  <c r="O77" i="1"/>
  <c r="P77" i="1" s="1"/>
  <c r="R77" i="1" s="1"/>
  <c r="X77" i="1" s="1"/>
  <c r="S109" i="1"/>
  <c r="T111" i="1"/>
  <c r="T126" i="1"/>
  <c r="O127" i="1"/>
  <c r="P127" i="1" s="1"/>
  <c r="R127" i="1" s="1"/>
  <c r="D128" i="1"/>
  <c r="O128" i="1" s="1"/>
  <c r="P128" i="1" s="1"/>
  <c r="U129" i="1"/>
  <c r="U135" i="1"/>
  <c r="R145" i="1"/>
  <c r="X145" i="1" s="1"/>
  <c r="U147" i="1"/>
  <c r="T148" i="1"/>
  <c r="V156" i="1"/>
  <c r="X162" i="1"/>
  <c r="O164" i="1"/>
  <c r="P164" i="1" s="1"/>
  <c r="S164" i="1" s="1"/>
  <c r="X164" i="1" s="1"/>
  <c r="R166" i="1"/>
  <c r="Q166" i="1"/>
  <c r="W166" i="1"/>
  <c r="T168" i="1"/>
  <c r="V176" i="1"/>
  <c r="Q188" i="1"/>
  <c r="W188" i="1"/>
  <c r="W197" i="1"/>
  <c r="T198" i="1"/>
  <c r="W215" i="1"/>
  <c r="V215" i="1"/>
  <c r="W225" i="1"/>
  <c r="V225" i="1"/>
  <c r="Q238" i="1"/>
  <c r="W238" i="1"/>
  <c r="O245" i="1"/>
  <c r="P245" i="1" s="1"/>
  <c r="R245" i="1" s="1"/>
  <c r="Q246" i="1"/>
  <c r="W246" i="1"/>
  <c r="Q261" i="1"/>
  <c r="W261" i="1"/>
  <c r="T263" i="1"/>
  <c r="U264" i="1"/>
  <c r="T270" i="1"/>
  <c r="Q278" i="1"/>
  <c r="X278" i="1" s="1"/>
  <c r="W278" i="1"/>
  <c r="T280" i="1"/>
  <c r="U281" i="1"/>
  <c r="F291" i="1"/>
  <c r="Q297" i="1"/>
  <c r="V298" i="1"/>
  <c r="T308" i="1"/>
  <c r="O321" i="1"/>
  <c r="P321" i="1" s="1"/>
  <c r="R321" i="1" s="1"/>
  <c r="V329" i="1"/>
  <c r="X329" i="1" s="1"/>
  <c r="O331" i="1"/>
  <c r="P331" i="1" s="1"/>
  <c r="S331" i="1" s="1"/>
  <c r="X331" i="1" s="1"/>
  <c r="X344" i="1"/>
  <c r="U346" i="1"/>
  <c r="X346" i="1" s="1"/>
  <c r="S349" i="1"/>
  <c r="R349" i="1"/>
  <c r="Q349" i="1"/>
  <c r="W349" i="1"/>
  <c r="U349" i="1"/>
  <c r="O371" i="1"/>
  <c r="P371" i="1" s="1"/>
  <c r="Q371" i="1" s="1"/>
  <c r="X371" i="1" s="1"/>
  <c r="D374" i="1"/>
  <c r="O374" i="1" s="1"/>
  <c r="P374" i="1" s="1"/>
  <c r="V372" i="1"/>
  <c r="U372" i="1"/>
  <c r="S372" i="1"/>
  <c r="U391" i="1"/>
  <c r="X391" i="1" s="1"/>
  <c r="U396" i="1"/>
  <c r="S396" i="1"/>
  <c r="Q396" i="1"/>
  <c r="V396" i="1"/>
  <c r="R396" i="1"/>
  <c r="T426" i="1"/>
  <c r="X426" i="1" s="1"/>
  <c r="U427" i="1"/>
  <c r="X427" i="1" s="1"/>
  <c r="W432" i="1"/>
  <c r="U432" i="1"/>
  <c r="S432" i="1"/>
  <c r="T432" i="1"/>
  <c r="R432" i="1"/>
  <c r="Q432" i="1"/>
  <c r="R465" i="1"/>
  <c r="Q465" i="1"/>
  <c r="W465" i="1"/>
  <c r="U465" i="1"/>
  <c r="T465" i="1"/>
  <c r="S465" i="1"/>
  <c r="T487" i="1"/>
  <c r="X487" i="1" s="1"/>
  <c r="V509" i="1"/>
  <c r="U555" i="1"/>
  <c r="X555" i="1" s="1"/>
  <c r="U560" i="1"/>
  <c r="U625" i="1"/>
  <c r="X625" i="1" s="1"/>
  <c r="T631" i="1"/>
  <c r="X631" i="1" s="1"/>
  <c r="T632" i="1"/>
  <c r="X632" i="1" s="1"/>
  <c r="X649" i="1"/>
  <c r="U662" i="1"/>
  <c r="X662" i="1" s="1"/>
  <c r="V663" i="1"/>
  <c r="V666" i="1"/>
  <c r="X666" i="1" s="1"/>
  <c r="O667" i="1"/>
  <c r="P667" i="1" s="1"/>
  <c r="R667" i="1" s="1"/>
  <c r="X667" i="1" s="1"/>
  <c r="X715" i="1"/>
  <c r="T289" i="1"/>
  <c r="R291" i="1"/>
  <c r="S306" i="1"/>
  <c r="T309" i="1"/>
  <c r="T321" i="1"/>
  <c r="Q375" i="1"/>
  <c r="W375" i="1"/>
  <c r="T380" i="1"/>
  <c r="R380" i="1"/>
  <c r="W380" i="1"/>
  <c r="U436" i="1"/>
  <c r="X436" i="1" s="1"/>
  <c r="T441" i="1"/>
  <c r="X441" i="1" s="1"/>
  <c r="X460" i="1"/>
  <c r="W475" i="1"/>
  <c r="U475" i="1"/>
  <c r="S475" i="1"/>
  <c r="X504" i="1"/>
  <c r="V524" i="1"/>
  <c r="X524" i="1" s="1"/>
  <c r="X529" i="1"/>
  <c r="V530" i="1"/>
  <c r="X530" i="1" s="1"/>
  <c r="U550" i="1"/>
  <c r="X550" i="1" s="1"/>
  <c r="V585" i="1"/>
  <c r="X585" i="1" s="1"/>
  <c r="X595" i="1"/>
  <c r="X674" i="1"/>
  <c r="X675" i="1"/>
  <c r="Q677" i="1"/>
  <c r="T677" i="1"/>
  <c r="S677" i="1"/>
  <c r="R677" i="1"/>
  <c r="W677" i="1"/>
  <c r="T717" i="1"/>
  <c r="T736" i="1"/>
  <c r="Q749" i="1"/>
  <c r="W749" i="1"/>
  <c r="D751" i="1"/>
  <c r="V749" i="1"/>
  <c r="T749" i="1"/>
  <c r="U749" i="1"/>
  <c r="R749" i="1"/>
  <c r="S791" i="1"/>
  <c r="R791" i="1"/>
  <c r="Q791" i="1"/>
  <c r="V791" i="1"/>
  <c r="U791" i="1"/>
  <c r="T791" i="1"/>
  <c r="R820" i="1"/>
  <c r="Q820" i="1"/>
  <c r="U820" i="1"/>
  <c r="T820" i="1"/>
  <c r="S820" i="1"/>
  <c r="W820" i="1"/>
  <c r="R926" i="1"/>
  <c r="Q926" i="1"/>
  <c r="W926" i="1"/>
  <c r="V926" i="1"/>
  <c r="U926" i="1"/>
  <c r="T926" i="1"/>
  <c r="S926" i="1"/>
  <c r="T928" i="1"/>
  <c r="X928" i="1" s="1"/>
  <c r="X933" i="1"/>
  <c r="U953" i="1"/>
  <c r="X953" i="1" s="1"/>
  <c r="X1065" i="1"/>
  <c r="T291" i="1"/>
  <c r="U306" i="1"/>
  <c r="W366" i="1"/>
  <c r="W381" i="1"/>
  <c r="U381" i="1"/>
  <c r="V381" i="1"/>
  <c r="R439" i="1"/>
  <c r="Q439" i="1"/>
  <c r="W439" i="1"/>
  <c r="U439" i="1"/>
  <c r="T442" i="1"/>
  <c r="X442" i="1" s="1"/>
  <c r="X451" i="1"/>
  <c r="U544" i="1"/>
  <c r="X544" i="1" s="1"/>
  <c r="X564" i="1"/>
  <c r="X566" i="1"/>
  <c r="V567" i="1"/>
  <c r="X567" i="1" s="1"/>
  <c r="X610" i="1"/>
  <c r="Q619" i="1"/>
  <c r="W619" i="1"/>
  <c r="U619" i="1"/>
  <c r="U633" i="1"/>
  <c r="X633" i="1" s="1"/>
  <c r="U645" i="1"/>
  <c r="V727" i="1"/>
  <c r="X746" i="1"/>
  <c r="U754" i="1"/>
  <c r="X754" i="1" s="1"/>
  <c r="W758" i="1"/>
  <c r="V758" i="1"/>
  <c r="U758" i="1"/>
  <c r="S758" i="1"/>
  <c r="T758" i="1"/>
  <c r="R758" i="1"/>
  <c r="Q758" i="1"/>
  <c r="T771" i="1"/>
  <c r="T783" i="1"/>
  <c r="X783" i="1" s="1"/>
  <c r="U788" i="1"/>
  <c r="X788" i="1" s="1"/>
  <c r="P815" i="1"/>
  <c r="T815" i="1" s="1"/>
  <c r="X815" i="1" s="1"/>
  <c r="F820" i="1"/>
  <c r="T868" i="1"/>
  <c r="X868" i="1" s="1"/>
  <c r="T869" i="1"/>
  <c r="W921" i="1"/>
  <c r="U921" i="1"/>
  <c r="T921" i="1"/>
  <c r="S921" i="1"/>
  <c r="Q921" i="1"/>
  <c r="T957" i="1"/>
  <c r="X957" i="1" s="1"/>
  <c r="Q602" i="1"/>
  <c r="W602" i="1"/>
  <c r="D604" i="1"/>
  <c r="O604" i="1" s="1"/>
  <c r="P604" i="1" s="1"/>
  <c r="V602" i="1"/>
  <c r="T602" i="1"/>
  <c r="X634" i="1"/>
  <c r="T646" i="1"/>
  <c r="X646" i="1" s="1"/>
  <c r="V653" i="1"/>
  <c r="U689" i="1"/>
  <c r="X689" i="1" s="1"/>
  <c r="X699" i="1"/>
  <c r="X731" i="1"/>
  <c r="U770" i="1"/>
  <c r="X770" i="1" s="1"/>
  <c r="X771" i="1"/>
  <c r="U798" i="1"/>
  <c r="X798" i="1" s="1"/>
  <c r="U799" i="1"/>
  <c r="X799" i="1" s="1"/>
  <c r="S827" i="1"/>
  <c r="R827" i="1"/>
  <c r="W827" i="1"/>
  <c r="U827" i="1"/>
  <c r="V827" i="1"/>
  <c r="T827" i="1"/>
  <c r="U830" i="1"/>
  <c r="T861" i="1"/>
  <c r="X861" i="1" s="1"/>
  <c r="V965" i="1"/>
  <c r="U966" i="1"/>
  <c r="X966" i="1" s="1"/>
  <c r="U1042" i="1"/>
  <c r="X1042" i="1" s="1"/>
  <c r="U1043" i="1"/>
  <c r="X1043" i="1" s="1"/>
  <c r="T157" i="1"/>
  <c r="T177" i="1"/>
  <c r="T227" i="1"/>
  <c r="T254" i="1"/>
  <c r="U288" i="1"/>
  <c r="W306" i="1"/>
  <c r="U320" i="1"/>
  <c r="T350" i="1"/>
  <c r="S373" i="1"/>
  <c r="V373" i="1"/>
  <c r="R375" i="1"/>
  <c r="Q380" i="1"/>
  <c r="D382" i="1"/>
  <c r="V411" i="1"/>
  <c r="X411" i="1" s="1"/>
  <c r="R413" i="1"/>
  <c r="Q413" i="1"/>
  <c r="V413" i="1"/>
  <c r="V415" i="1"/>
  <c r="X415" i="1" s="1"/>
  <c r="U431" i="1"/>
  <c r="T431" i="1"/>
  <c r="S431" i="1"/>
  <c r="R431" i="1"/>
  <c r="Q430" i="1"/>
  <c r="W430" i="1"/>
  <c r="U430" i="1"/>
  <c r="U474" i="1"/>
  <c r="T474" i="1"/>
  <c r="S474" i="1"/>
  <c r="R474" i="1"/>
  <c r="R473" i="1"/>
  <c r="Q473" i="1"/>
  <c r="W473" i="1"/>
  <c r="U473" i="1"/>
  <c r="T475" i="1"/>
  <c r="X477" i="1"/>
  <c r="U479" i="1"/>
  <c r="X479" i="1" s="1"/>
  <c r="V497" i="1"/>
  <c r="X497" i="1" s="1"/>
  <c r="V520" i="1"/>
  <c r="X520" i="1" s="1"/>
  <c r="S562" i="1"/>
  <c r="Q562" i="1"/>
  <c r="V562" i="1"/>
  <c r="T568" i="1"/>
  <c r="X568" i="1" s="1"/>
  <c r="V600" i="1"/>
  <c r="X617" i="1"/>
  <c r="T623" i="1"/>
  <c r="X623" i="1" s="1"/>
  <c r="U640" i="1"/>
  <c r="R642" i="1"/>
  <c r="Q642" i="1"/>
  <c r="W642" i="1"/>
  <c r="U642" i="1"/>
  <c r="X645" i="1"/>
  <c r="X653" i="1"/>
  <c r="V677" i="1"/>
  <c r="X727" i="1"/>
  <c r="V740" i="1"/>
  <c r="X740" i="1" s="1"/>
  <c r="W759" i="1"/>
  <c r="X774" i="1"/>
  <c r="T899" i="1"/>
  <c r="X899" i="1" s="1"/>
  <c r="R921" i="1"/>
  <c r="U942" i="1"/>
  <c r="X942" i="1" s="1"/>
  <c r="Q945" i="1"/>
  <c r="W945" i="1"/>
  <c r="V945" i="1"/>
  <c r="U945" i="1"/>
  <c r="S945" i="1"/>
  <c r="D947" i="1"/>
  <c r="U1095" i="1"/>
  <c r="T117" i="1"/>
  <c r="T127" i="1"/>
  <c r="S138" i="1"/>
  <c r="S146" i="1"/>
  <c r="U157" i="1"/>
  <c r="U177" i="1"/>
  <c r="S179" i="1"/>
  <c r="U187" i="1"/>
  <c r="S208" i="1"/>
  <c r="T224" i="1"/>
  <c r="U227" i="1"/>
  <c r="U245" i="1"/>
  <c r="U254" i="1"/>
  <c r="V288" i="1"/>
  <c r="Q289" i="1"/>
  <c r="D290" i="1"/>
  <c r="O290" i="1" s="1"/>
  <c r="P290" i="1" s="1"/>
  <c r="Q309" i="1"/>
  <c r="V320" i="1"/>
  <c r="Q321" i="1"/>
  <c r="D322" i="1"/>
  <c r="U350" i="1"/>
  <c r="Q358" i="1"/>
  <c r="W358" i="1"/>
  <c r="Q366" i="1"/>
  <c r="W373" i="1"/>
  <c r="S375" i="1"/>
  <c r="S380" i="1"/>
  <c r="Q388" i="1"/>
  <c r="X388" i="1" s="1"/>
  <c r="W388" i="1"/>
  <c r="V388" i="1"/>
  <c r="T434" i="1"/>
  <c r="S439" i="1"/>
  <c r="Q445" i="1"/>
  <c r="W447" i="1"/>
  <c r="V447" i="1"/>
  <c r="U447" i="1"/>
  <c r="S447" i="1"/>
  <c r="X457" i="1"/>
  <c r="V502" i="1"/>
  <c r="X502" i="1" s="1"/>
  <c r="R506" i="1"/>
  <c r="Q506" i="1"/>
  <c r="W506" i="1"/>
  <c r="U506" i="1"/>
  <c r="V515" i="1"/>
  <c r="X535" i="1"/>
  <c r="S542" i="1"/>
  <c r="R542" i="1"/>
  <c r="Q542" i="1"/>
  <c r="V542" i="1"/>
  <c r="X560" i="1"/>
  <c r="U578" i="1"/>
  <c r="X578" i="1" s="1"/>
  <c r="X592" i="1"/>
  <c r="V593" i="1"/>
  <c r="X593" i="1" s="1"/>
  <c r="S596" i="1"/>
  <c r="R596" i="1"/>
  <c r="Q596" i="1"/>
  <c r="V596" i="1"/>
  <c r="V599" i="1"/>
  <c r="X599" i="1" s="1"/>
  <c r="X600" i="1"/>
  <c r="X601" i="1"/>
  <c r="S619" i="1"/>
  <c r="T639" i="1"/>
  <c r="V656" i="1"/>
  <c r="X656" i="1" s="1"/>
  <c r="U681" i="1"/>
  <c r="X681" i="1" s="1"/>
  <c r="U702" i="1"/>
  <c r="X702" i="1" s="1"/>
  <c r="V708" i="1"/>
  <c r="X708" i="1" s="1"/>
  <c r="U709" i="1"/>
  <c r="X709" i="1" s="1"/>
  <c r="U837" i="1"/>
  <c r="X837" i="1" s="1"/>
  <c r="U843" i="1"/>
  <c r="X843" i="1" s="1"/>
  <c r="U849" i="1"/>
  <c r="X849" i="1" s="1"/>
  <c r="X851" i="1"/>
  <c r="U877" i="1"/>
  <c r="X877" i="1" s="1"/>
  <c r="U908" i="1"/>
  <c r="X908" i="1" s="1"/>
  <c r="X985" i="1"/>
  <c r="U1033" i="1"/>
  <c r="U1035" i="1"/>
  <c r="X1035" i="1" s="1"/>
  <c r="V245" i="1"/>
  <c r="R366" i="1"/>
  <c r="T375" i="1"/>
  <c r="U380" i="1"/>
  <c r="Q381" i="1"/>
  <c r="X398" i="1"/>
  <c r="D403" i="1"/>
  <c r="V401" i="1"/>
  <c r="T401" i="1"/>
  <c r="S402" i="1"/>
  <c r="Q402" i="1"/>
  <c r="W402" i="1"/>
  <c r="X416" i="1"/>
  <c r="X428" i="1"/>
  <c r="Q431" i="1"/>
  <c r="X434" i="1"/>
  <c r="T439" i="1"/>
  <c r="V474" i="1"/>
  <c r="X492" i="1"/>
  <c r="R495" i="1"/>
  <c r="Q495" i="1"/>
  <c r="W495" i="1"/>
  <c r="U495" i="1"/>
  <c r="U507" i="1"/>
  <c r="T507" i="1"/>
  <c r="S507" i="1"/>
  <c r="R507" i="1"/>
  <c r="Q507" i="1"/>
  <c r="X515" i="1"/>
  <c r="X541" i="1"/>
  <c r="X575" i="1"/>
  <c r="X576" i="1"/>
  <c r="S580" i="1"/>
  <c r="R580" i="1"/>
  <c r="D582" i="1"/>
  <c r="V580" i="1"/>
  <c r="S602" i="1"/>
  <c r="T619" i="1"/>
  <c r="T624" i="1"/>
  <c r="X624" i="1" s="1"/>
  <c r="T630" i="1"/>
  <c r="X630" i="1" s="1"/>
  <c r="F636" i="1"/>
  <c r="X639" i="1"/>
  <c r="X640" i="1"/>
  <c r="T648" i="1"/>
  <c r="X648" i="1" s="1"/>
  <c r="X682" i="1"/>
  <c r="X691" i="1"/>
  <c r="X707" i="1"/>
  <c r="V710" i="1"/>
  <c r="X710" i="1" s="1"/>
  <c r="R752" i="1"/>
  <c r="Q752" i="1"/>
  <c r="W752" i="1"/>
  <c r="U752" i="1"/>
  <c r="T752" i="1"/>
  <c r="S752" i="1"/>
  <c r="T888" i="1"/>
  <c r="T945" i="1"/>
  <c r="V981" i="1"/>
  <c r="X981" i="1" s="1"/>
  <c r="T408" i="1"/>
  <c r="X408" i="1" s="1"/>
  <c r="U445" i="1"/>
  <c r="T454" i="1"/>
  <c r="W455" i="1"/>
  <c r="T517" i="1"/>
  <c r="T537" i="1"/>
  <c r="T557" i="1"/>
  <c r="T627" i="1"/>
  <c r="T650" i="1"/>
  <c r="T668" i="1"/>
  <c r="R773" i="1"/>
  <c r="T784" i="1"/>
  <c r="X784" i="1" s="1"/>
  <c r="X800" i="1"/>
  <c r="X801" i="1"/>
  <c r="V809" i="1"/>
  <c r="X809" i="1" s="1"/>
  <c r="Y808" i="1" s="1"/>
  <c r="U867" i="1"/>
  <c r="T923" i="1"/>
  <c r="X923" i="1" s="1"/>
  <c r="T929" i="1"/>
  <c r="X929" i="1" s="1"/>
  <c r="X944" i="1"/>
  <c r="V951" i="1"/>
  <c r="X951" i="1" s="1"/>
  <c r="T1032" i="1"/>
  <c r="X1032" i="1" s="1"/>
  <c r="S1096" i="1"/>
  <c r="X1096" i="1" s="1"/>
  <c r="T357" i="1"/>
  <c r="R389" i="1"/>
  <c r="U394" i="1"/>
  <c r="V408" i="1"/>
  <c r="T423" i="1"/>
  <c r="T429" i="1"/>
  <c r="T438" i="1"/>
  <c r="W445" i="1"/>
  <c r="V454" i="1"/>
  <c r="Q463" i="1"/>
  <c r="T472" i="1"/>
  <c r="S485" i="1"/>
  <c r="Q500" i="1"/>
  <c r="T505" i="1"/>
  <c r="T512" i="1"/>
  <c r="V517" i="1"/>
  <c r="T532" i="1"/>
  <c r="V537" i="1"/>
  <c r="T552" i="1"/>
  <c r="V557" i="1"/>
  <c r="R570" i="1"/>
  <c r="S573" i="1"/>
  <c r="S581" i="1"/>
  <c r="Q583" i="1"/>
  <c r="T588" i="1"/>
  <c r="U595" i="1"/>
  <c r="S597" i="1"/>
  <c r="Q603" i="1"/>
  <c r="S612" i="1"/>
  <c r="V627" i="1"/>
  <c r="Q628" i="1"/>
  <c r="V650" i="1"/>
  <c r="Q651" i="1"/>
  <c r="R659" i="1"/>
  <c r="W668" i="1"/>
  <c r="X683" i="1"/>
  <c r="W687" i="1"/>
  <c r="U687" i="1"/>
  <c r="Q713" i="1"/>
  <c r="W713" i="1"/>
  <c r="X717" i="1"/>
  <c r="V721" i="1"/>
  <c r="V726" i="1"/>
  <c r="X726" i="1" s="1"/>
  <c r="X736" i="1"/>
  <c r="U768" i="1"/>
  <c r="X768" i="1" s="1"/>
  <c r="V789" i="1"/>
  <c r="X789" i="1" s="1"/>
  <c r="X790" i="1"/>
  <c r="T823" i="1"/>
  <c r="X823" i="1" s="1"/>
  <c r="X830" i="1"/>
  <c r="T834" i="1"/>
  <c r="S834" i="1"/>
  <c r="W834" i="1"/>
  <c r="V834" i="1"/>
  <c r="R834" i="1"/>
  <c r="V839" i="1"/>
  <c r="U839" i="1"/>
  <c r="Q839" i="1"/>
  <c r="T839" i="1"/>
  <c r="T893" i="1"/>
  <c r="X893" i="1" s="1"/>
  <c r="T914" i="1"/>
  <c r="X914" i="1" s="1"/>
  <c r="V915" i="1"/>
  <c r="X915" i="1" s="1"/>
  <c r="U916" i="1"/>
  <c r="X916" i="1" s="1"/>
  <c r="X924" i="1"/>
  <c r="R939" i="1"/>
  <c r="Q939" i="1"/>
  <c r="W939" i="1"/>
  <c r="T939" i="1"/>
  <c r="S939" i="1"/>
  <c r="X962" i="1"/>
  <c r="X965" i="1"/>
  <c r="U986" i="1"/>
  <c r="T994" i="1"/>
  <c r="X994" i="1" s="1"/>
  <c r="U429" i="1"/>
  <c r="R455" i="1"/>
  <c r="R463" i="1"/>
  <c r="U472" i="1"/>
  <c r="S482" i="1"/>
  <c r="T485" i="1"/>
  <c r="U505" i="1"/>
  <c r="W517" i="1"/>
  <c r="W537" i="1"/>
  <c r="W557" i="1"/>
  <c r="S570" i="1"/>
  <c r="T573" i="1"/>
  <c r="T581" i="1"/>
  <c r="R583" i="1"/>
  <c r="U588" i="1"/>
  <c r="T597" i="1"/>
  <c r="T612" i="1"/>
  <c r="W627" i="1"/>
  <c r="R628" i="1"/>
  <c r="W650" i="1"/>
  <c r="R651" i="1"/>
  <c r="S659" i="1"/>
  <c r="U691" i="1"/>
  <c r="S694" i="1"/>
  <c r="R694" i="1"/>
  <c r="Q694" i="1"/>
  <c r="V698" i="1"/>
  <c r="X698" i="1" s="1"/>
  <c r="U707" i="1"/>
  <c r="X737" i="1"/>
  <c r="V741" i="1"/>
  <c r="U769" i="1"/>
  <c r="X769" i="1" s="1"/>
  <c r="S776" i="1"/>
  <c r="R776" i="1"/>
  <c r="Q776" i="1"/>
  <c r="R857" i="1"/>
  <c r="V857" i="1"/>
  <c r="U857" i="1"/>
  <c r="T857" i="1"/>
  <c r="Q857" i="1"/>
  <c r="X867" i="1"/>
  <c r="X869" i="1"/>
  <c r="T900" i="1"/>
  <c r="V1070" i="1"/>
  <c r="X1070" i="1" s="1"/>
  <c r="V429" i="1"/>
  <c r="S455" i="1"/>
  <c r="S463" i="1"/>
  <c r="V472" i="1"/>
  <c r="T482" i="1"/>
  <c r="S500" i="1"/>
  <c r="V505" i="1"/>
  <c r="T570" i="1"/>
  <c r="S583" i="1"/>
  <c r="V588" i="1"/>
  <c r="S603" i="1"/>
  <c r="S628" i="1"/>
  <c r="S651" i="1"/>
  <c r="T659" i="1"/>
  <c r="W700" i="1"/>
  <c r="V700" i="1"/>
  <c r="U700" i="1"/>
  <c r="R705" i="1"/>
  <c r="Q705" i="1"/>
  <c r="W705" i="1"/>
  <c r="F713" i="1"/>
  <c r="R713" i="1"/>
  <c r="F724" i="1"/>
  <c r="X741" i="1"/>
  <c r="U762" i="1"/>
  <c r="X762" i="1" s="1"/>
  <c r="U763" i="1"/>
  <c r="X763" i="1" s="1"/>
  <c r="Q765" i="1"/>
  <c r="W765" i="1"/>
  <c r="U765" i="1"/>
  <c r="R807" i="1"/>
  <c r="S807" i="1"/>
  <c r="Q807" i="1"/>
  <c r="X813" i="1"/>
  <c r="R839" i="1"/>
  <c r="U848" i="1"/>
  <c r="X848" i="1" s="1"/>
  <c r="U855" i="1"/>
  <c r="U884" i="1"/>
  <c r="X884" i="1" s="1"/>
  <c r="V936" i="1"/>
  <c r="X936" i="1" s="1"/>
  <c r="V937" i="1"/>
  <c r="X937" i="1" s="1"/>
  <c r="X938" i="1"/>
  <c r="U939" i="1"/>
  <c r="V970" i="1"/>
  <c r="X970" i="1" s="1"/>
  <c r="X986" i="1"/>
  <c r="T1049" i="1"/>
  <c r="S1049" i="1"/>
  <c r="R1049" i="1"/>
  <c r="Q1049" i="1"/>
  <c r="W1049" i="1"/>
  <c r="V1049" i="1"/>
  <c r="U1049" i="1"/>
  <c r="U1052" i="1"/>
  <c r="X1052" i="1" s="1"/>
  <c r="S1057" i="1"/>
  <c r="R1057" i="1"/>
  <c r="Q1057" i="1"/>
  <c r="V1057" i="1"/>
  <c r="U1057" i="1"/>
  <c r="T1057" i="1"/>
  <c r="U659" i="1"/>
  <c r="Q668" i="1"/>
  <c r="S721" i="1"/>
  <c r="R721" i="1"/>
  <c r="Q721" i="1"/>
  <c r="D723" i="1"/>
  <c r="X761" i="1"/>
  <c r="V793" i="1"/>
  <c r="X793" i="1" s="1"/>
  <c r="V794" i="1"/>
  <c r="X794" i="1" s="1"/>
  <c r="U814" i="1"/>
  <c r="X814" i="1" s="1"/>
  <c r="X854" i="1"/>
  <c r="X855" i="1"/>
  <c r="X859" i="1"/>
  <c r="V860" i="1"/>
  <c r="X860" i="1" s="1"/>
  <c r="U885" i="1"/>
  <c r="X885" i="1" s="1"/>
  <c r="U941" i="1"/>
  <c r="X941" i="1" s="1"/>
  <c r="S978" i="1"/>
  <c r="R978" i="1"/>
  <c r="Q978" i="1"/>
  <c r="U978" i="1"/>
  <c r="W978" i="1"/>
  <c r="V978" i="1"/>
  <c r="T978" i="1"/>
  <c r="T1023" i="1"/>
  <c r="X1023" i="1" s="1"/>
  <c r="T1044" i="1"/>
  <c r="X1044" i="1" s="1"/>
  <c r="T743" i="1"/>
  <c r="U773" i="1"/>
  <c r="V826" i="1"/>
  <c r="U907" i="1"/>
  <c r="X907" i="1" s="1"/>
  <c r="T912" i="1"/>
  <c r="S912" i="1"/>
  <c r="Q912" i="1"/>
  <c r="X975" i="1"/>
  <c r="V993" i="1"/>
  <c r="X993" i="1" s="1"/>
  <c r="T998" i="1"/>
  <c r="Q997" i="1"/>
  <c r="W997" i="1"/>
  <c r="V997" i="1"/>
  <c r="S997" i="1"/>
  <c r="V1000" i="1"/>
  <c r="X1000" i="1" s="1"/>
  <c r="Y999" i="1" s="1"/>
  <c r="V1001" i="1"/>
  <c r="X1001" i="1" s="1"/>
  <c r="W1029" i="1"/>
  <c r="V1029" i="1"/>
  <c r="U1029" i="1"/>
  <c r="S1029" i="1"/>
  <c r="R1029" i="1"/>
  <c r="U1034" i="1"/>
  <c r="S1038" i="1"/>
  <c r="Q1038" i="1"/>
  <c r="V1038" i="1"/>
  <c r="U1038" i="1"/>
  <c r="U1045" i="1"/>
  <c r="X1045" i="1" s="1"/>
  <c r="V1071" i="1"/>
  <c r="X1071" i="1" s="1"/>
  <c r="V1075" i="1"/>
  <c r="V1076" i="1"/>
  <c r="X1076" i="1" s="1"/>
  <c r="W1092" i="1"/>
  <c r="V1092" i="1"/>
  <c r="U1092" i="1"/>
  <c r="S1092" i="1"/>
  <c r="R1092" i="1"/>
  <c r="U693" i="1"/>
  <c r="X693" i="1" s="1"/>
  <c r="V743" i="1"/>
  <c r="W773" i="1"/>
  <c r="R871" i="1"/>
  <c r="Q871" i="1"/>
  <c r="W871" i="1"/>
  <c r="R882" i="1"/>
  <c r="Q882" i="1"/>
  <c r="W882" i="1"/>
  <c r="U892" i="1"/>
  <c r="X900" i="1"/>
  <c r="S905" i="1"/>
  <c r="R905" i="1"/>
  <c r="Q905" i="1"/>
  <c r="Q911" i="1"/>
  <c r="W911" i="1"/>
  <c r="V911" i="1"/>
  <c r="Q1018" i="1"/>
  <c r="W1018" i="1"/>
  <c r="D1020" i="1"/>
  <c r="O1020" i="1" s="1"/>
  <c r="P1020" i="1" s="1"/>
  <c r="V1018" i="1"/>
  <c r="T1018" i="1"/>
  <c r="S1018" i="1"/>
  <c r="X1033" i="1"/>
  <c r="U1054" i="1"/>
  <c r="U1055" i="1"/>
  <c r="X1055" i="1" s="1"/>
  <c r="W1063" i="1"/>
  <c r="V1063" i="1"/>
  <c r="U1063" i="1"/>
  <c r="S1063" i="1"/>
  <c r="R1063" i="1"/>
  <c r="X1075" i="1"/>
  <c r="Q1083" i="1"/>
  <c r="W1083" i="1"/>
  <c r="D1085" i="1"/>
  <c r="V1083" i="1"/>
  <c r="T1083" i="1"/>
  <c r="S1083" i="1"/>
  <c r="U1094" i="1"/>
  <c r="V693" i="1"/>
  <c r="D695" i="1"/>
  <c r="T712" i="1"/>
  <c r="T722" i="1"/>
  <c r="T729" i="1"/>
  <c r="W743" i="1"/>
  <c r="U796" i="1"/>
  <c r="X796" i="1" s="1"/>
  <c r="X802" i="1"/>
  <c r="U819" i="1"/>
  <c r="Q826" i="1"/>
  <c r="O841" i="1"/>
  <c r="P841" i="1" s="1"/>
  <c r="U841" i="1" s="1"/>
  <c r="X841" i="1" s="1"/>
  <c r="U876" i="1"/>
  <c r="X892" i="1"/>
  <c r="Q902" i="1"/>
  <c r="W902" i="1"/>
  <c r="D904" i="1"/>
  <c r="U917" i="1"/>
  <c r="U950" i="1"/>
  <c r="X950" i="1" s="1"/>
  <c r="V971" i="1"/>
  <c r="Q973" i="1"/>
  <c r="W973" i="1"/>
  <c r="V973" i="1"/>
  <c r="S973" i="1"/>
  <c r="V980" i="1"/>
  <c r="X980" i="1" s="1"/>
  <c r="T997" i="1"/>
  <c r="T1014" i="1"/>
  <c r="U1015" i="1"/>
  <c r="X1015" i="1" s="1"/>
  <c r="U1016" i="1"/>
  <c r="Q1029" i="1"/>
  <c r="X1034" i="1"/>
  <c r="X1053" i="1"/>
  <c r="X1054" i="1"/>
  <c r="V1061" i="1"/>
  <c r="Q1092" i="1"/>
  <c r="X1094" i="1"/>
  <c r="S1099" i="1"/>
  <c r="R1099" i="1"/>
  <c r="Q1099" i="1"/>
  <c r="V1099" i="1"/>
  <c r="U1099" i="1"/>
  <c r="U712" i="1"/>
  <c r="U722" i="1"/>
  <c r="S724" i="1"/>
  <c r="U729" i="1"/>
  <c r="S750" i="1"/>
  <c r="T757" i="1"/>
  <c r="Q773" i="1"/>
  <c r="V796" i="1"/>
  <c r="U804" i="1"/>
  <c r="D806" i="1"/>
  <c r="V817" i="1"/>
  <c r="V819" i="1"/>
  <c r="R826" i="1"/>
  <c r="R863" i="1"/>
  <c r="W863" i="1"/>
  <c r="D873" i="1"/>
  <c r="S874" i="1"/>
  <c r="R874" i="1"/>
  <c r="W874" i="1"/>
  <c r="X876" i="1"/>
  <c r="S890" i="1"/>
  <c r="R890" i="1"/>
  <c r="Q890" i="1"/>
  <c r="R911" i="1"/>
  <c r="U912" i="1"/>
  <c r="X917" i="1"/>
  <c r="P918" i="1"/>
  <c r="V918" i="1" s="1"/>
  <c r="X918" i="1" s="1"/>
  <c r="X958" i="1"/>
  <c r="X972" i="1"/>
  <c r="S989" i="1"/>
  <c r="R989" i="1"/>
  <c r="Q989" i="1"/>
  <c r="X989" i="1" s="1"/>
  <c r="U989" i="1"/>
  <c r="U997" i="1"/>
  <c r="U1006" i="1"/>
  <c r="X1006" i="1" s="1"/>
  <c r="S1010" i="1"/>
  <c r="R1010" i="1"/>
  <c r="Q1010" i="1"/>
  <c r="V1010" i="1"/>
  <c r="U1010" i="1"/>
  <c r="X1014" i="1"/>
  <c r="X1016" i="1"/>
  <c r="R1018" i="1"/>
  <c r="T1029" i="1"/>
  <c r="T1038" i="1"/>
  <c r="V1060" i="1"/>
  <c r="X1061" i="1"/>
  <c r="V1080" i="1"/>
  <c r="X1080" i="1" s="1"/>
  <c r="V1081" i="1"/>
  <c r="R1083" i="1"/>
  <c r="V1087" i="1"/>
  <c r="X1087" i="1" s="1"/>
  <c r="T1092" i="1"/>
  <c r="V804" i="1"/>
  <c r="S826" i="1"/>
  <c r="U842" i="1"/>
  <c r="X842" i="1" s="1"/>
  <c r="X850" i="1"/>
  <c r="Q852" i="1"/>
  <c r="X852" i="1" s="1"/>
  <c r="V852" i="1"/>
  <c r="U854" i="1"/>
  <c r="U859" i="1"/>
  <c r="S871" i="1"/>
  <c r="X888" i="1"/>
  <c r="X889" i="1"/>
  <c r="U898" i="1"/>
  <c r="X898" i="1" s="1"/>
  <c r="S902" i="1"/>
  <c r="S911" i="1"/>
  <c r="V912" i="1"/>
  <c r="T932" i="1"/>
  <c r="X932" i="1" s="1"/>
  <c r="X943" i="1"/>
  <c r="S948" i="1"/>
  <c r="R948" i="1"/>
  <c r="Q948" i="1"/>
  <c r="V962" i="1"/>
  <c r="X971" i="1"/>
  <c r="R973" i="1"/>
  <c r="U1005" i="1"/>
  <c r="X1005" i="1" s="1"/>
  <c r="U1007" i="1"/>
  <c r="X1007" i="1" s="1"/>
  <c r="U1018" i="1"/>
  <c r="S1030" i="1"/>
  <c r="R1030" i="1"/>
  <c r="Q1030" i="1"/>
  <c r="U1030" i="1"/>
  <c r="W1038" i="1"/>
  <c r="X1060" i="1"/>
  <c r="Q1063" i="1"/>
  <c r="X1081" i="1"/>
  <c r="U1083" i="1"/>
  <c r="V1088" i="1"/>
  <c r="X1088" i="1" s="1"/>
  <c r="R1090" i="1"/>
  <c r="S1012" i="1"/>
  <c r="T1021" i="1"/>
  <c r="T1027" i="1"/>
  <c r="S1040" i="1"/>
  <c r="S1048" i="1"/>
  <c r="T1068" i="1"/>
  <c r="T1090" i="1"/>
  <c r="T1012" i="1"/>
  <c r="U1027" i="1"/>
  <c r="T1040" i="1"/>
  <c r="T1048" i="1"/>
  <c r="U1090" i="1"/>
  <c r="T881" i="1"/>
  <c r="T955" i="1"/>
  <c r="T968" i="1"/>
  <c r="U988" i="1"/>
  <c r="X988" i="1" s="1"/>
  <c r="S990" i="1"/>
  <c r="U1009" i="1"/>
  <c r="X1009" i="1" s="1"/>
  <c r="S1011" i="1"/>
  <c r="W1021" i="1"/>
  <c r="W1027" i="1"/>
  <c r="U1037" i="1"/>
  <c r="X1037" i="1" s="1"/>
  <c r="S1039" i="1"/>
  <c r="V1048" i="1"/>
  <c r="T1050" i="1"/>
  <c r="S1058" i="1"/>
  <c r="W1068" i="1"/>
  <c r="S1078" i="1"/>
  <c r="X1078" i="1" s="1"/>
  <c r="W1090" i="1"/>
  <c r="U1098" i="1"/>
  <c r="S1100" i="1"/>
  <c r="T990" i="1"/>
  <c r="T1011" i="1"/>
  <c r="W1012" i="1"/>
  <c r="T1039" i="1"/>
  <c r="W1040" i="1"/>
  <c r="W1048" i="1"/>
  <c r="T1058" i="1"/>
  <c r="T1078" i="1"/>
  <c r="T1100" i="1"/>
  <c r="U832" i="1"/>
  <c r="T845" i="1"/>
  <c r="T864" i="1"/>
  <c r="T872" i="1"/>
  <c r="V881" i="1"/>
  <c r="T895" i="1"/>
  <c r="X895" i="1" s="1"/>
  <c r="T903" i="1"/>
  <c r="X903" i="1" s="1"/>
  <c r="U910" i="1"/>
  <c r="T920" i="1"/>
  <c r="T946" i="1"/>
  <c r="X946" i="1" s="1"/>
  <c r="V955" i="1"/>
  <c r="V968" i="1"/>
  <c r="T983" i="1"/>
  <c r="X983" i="1" s="1"/>
  <c r="U990" i="1"/>
  <c r="U996" i="1"/>
  <c r="X996" i="1" s="1"/>
  <c r="U1011" i="1"/>
  <c r="Q1021" i="1"/>
  <c r="Q1027" i="1"/>
  <c r="T1028" i="1"/>
  <c r="U1039" i="1"/>
  <c r="U1047" i="1"/>
  <c r="X1047" i="1" s="1"/>
  <c r="U1058" i="1"/>
  <c r="U1078" i="1"/>
  <c r="Q1090" i="1"/>
  <c r="T1091" i="1"/>
  <c r="X1091" i="1" s="1"/>
  <c r="U1100" i="1"/>
  <c r="V832" i="1"/>
  <c r="V910" i="1"/>
  <c r="V996" i="1"/>
  <c r="V1047" i="1"/>
  <c r="X418" i="1" l="1"/>
  <c r="Y414" i="1" s="1"/>
  <c r="Y328" i="1"/>
  <c r="Y960" i="1"/>
  <c r="X743" i="1"/>
  <c r="X920" i="1"/>
  <c r="X1011" i="1"/>
  <c r="X990" i="1"/>
  <c r="X1099" i="1"/>
  <c r="R998" i="1"/>
  <c r="X998" i="1" s="1"/>
  <c r="T759" i="1"/>
  <c r="Y383" i="1"/>
  <c r="X413" i="1"/>
  <c r="Y956" i="1"/>
  <c r="V1100" i="1"/>
  <c r="W1100" i="1"/>
  <c r="R1100" i="1"/>
  <c r="Q189" i="1"/>
  <c r="X189" i="1" s="1"/>
  <c r="V189" i="1"/>
  <c r="S998" i="1"/>
  <c r="X705" i="1"/>
  <c r="Y701" i="1" s="1"/>
  <c r="X402" i="1"/>
  <c r="X321" i="1"/>
  <c r="U759" i="1"/>
  <c r="Y777" i="1"/>
  <c r="X198" i="1"/>
  <c r="X401" i="1"/>
  <c r="X505" i="1"/>
  <c r="X827" i="1"/>
  <c r="O998" i="1"/>
  <c r="P998" i="1" s="1"/>
  <c r="X700" i="1"/>
  <c r="X627" i="1"/>
  <c r="X506" i="1"/>
  <c r="V759" i="1"/>
  <c r="Y730" i="1"/>
  <c r="Y543" i="1"/>
  <c r="Y927" i="1"/>
  <c r="X246" i="1"/>
  <c r="P260" i="1"/>
  <c r="R260" i="1" s="1"/>
  <c r="X260" i="1" s="1"/>
  <c r="X224" i="1"/>
  <c r="X215" i="1"/>
  <c r="X446" i="1"/>
  <c r="X455" i="1"/>
  <c r="O759" i="1"/>
  <c r="P759" i="1" s="1"/>
  <c r="Q759" i="1" s="1"/>
  <c r="X759" i="1" s="1"/>
  <c r="X571" i="1"/>
  <c r="V1039" i="1"/>
  <c r="W1039" i="1"/>
  <c r="Q1039" i="1"/>
  <c r="X1039" i="1" s="1"/>
  <c r="T678" i="1"/>
  <c r="W678" i="1"/>
  <c r="V678" i="1"/>
  <c r="Q678" i="1"/>
  <c r="X678" i="1" s="1"/>
  <c r="U678" i="1"/>
  <c r="R678" i="1"/>
  <c r="X307" i="1"/>
  <c r="Y301" i="1" s="1"/>
  <c r="X805" i="1"/>
  <c r="X955" i="1"/>
  <c r="X423" i="1"/>
  <c r="W396" i="1"/>
  <c r="T396" i="1"/>
  <c r="X396" i="1" s="1"/>
  <c r="S759" i="1"/>
  <c r="X749" i="1"/>
  <c r="X127" i="1"/>
  <c r="Y119" i="1"/>
  <c r="X373" i="1"/>
  <c r="X187" i="1"/>
  <c r="Y180" i="1" s="1"/>
  <c r="X108" i="1"/>
  <c r="Y102" i="1" s="1"/>
  <c r="X67" i="1"/>
  <c r="X686" i="1"/>
  <c r="Y332" i="1"/>
  <c r="X474" i="1"/>
  <c r="X235" i="1"/>
  <c r="X734" i="1"/>
  <c r="X872" i="1"/>
  <c r="X262" i="1"/>
  <c r="U597" i="1"/>
  <c r="W597" i="1"/>
  <c r="V597" i="1"/>
  <c r="Q597" i="1"/>
  <c r="X597" i="1" s="1"/>
  <c r="V1011" i="1"/>
  <c r="W1011" i="1"/>
  <c r="Q1011" i="1"/>
  <c r="X245" i="1"/>
  <c r="Y239" i="1" s="1"/>
  <c r="V998" i="1"/>
  <c r="X1057" i="1"/>
  <c r="X1048" i="1"/>
  <c r="Y1041" i="1" s="1"/>
  <c r="Y931" i="1"/>
  <c r="W998" i="1"/>
  <c r="Y735" i="1"/>
  <c r="X517" i="1"/>
  <c r="Y739" i="1"/>
  <c r="X297" i="1"/>
  <c r="X188" i="1"/>
  <c r="T572" i="1"/>
  <c r="X93" i="1"/>
  <c r="X676" i="1"/>
  <c r="X817" i="1"/>
  <c r="Y812" i="1" s="1"/>
  <c r="P261" i="1"/>
  <c r="R261" i="1" s="1"/>
  <c r="X261" i="1" s="1"/>
  <c r="X1073" i="1"/>
  <c r="Y1069" i="1" s="1"/>
  <c r="X135" i="1"/>
  <c r="Y130" i="1" s="1"/>
  <c r="X650" i="1"/>
  <c r="X557" i="1"/>
  <c r="X1063" i="1"/>
  <c r="Y1059" i="1" s="1"/>
  <c r="X537" i="1"/>
  <c r="Y533" i="1" s="1"/>
  <c r="X1027" i="1"/>
  <c r="Q998" i="1"/>
  <c r="X270" i="1"/>
  <c r="Y265" i="1" s="1"/>
  <c r="X1084" i="1"/>
  <c r="X1068" i="1"/>
  <c r="Y1064" i="1" s="1"/>
  <c r="Y696" i="1"/>
  <c r="Y409" i="1"/>
  <c r="Y846" i="1"/>
  <c r="Y792" i="1"/>
  <c r="X96" i="1"/>
  <c r="Y97" i="1"/>
  <c r="Y404" i="1"/>
  <c r="Y949" i="1"/>
  <c r="Y191" i="1"/>
  <c r="V695" i="1"/>
  <c r="U695" i="1"/>
  <c r="T695" i="1"/>
  <c r="S695" i="1"/>
  <c r="W695" i="1"/>
  <c r="Q695" i="1"/>
  <c r="W751" i="1"/>
  <c r="V751" i="1"/>
  <c r="U751" i="1"/>
  <c r="T751" i="1"/>
  <c r="R751" i="1"/>
  <c r="S751" i="1"/>
  <c r="X484" i="1"/>
  <c r="X308" i="1"/>
  <c r="X472" i="1"/>
  <c r="X327" i="1"/>
  <c r="Y323" i="1" s="1"/>
  <c r="Y209" i="1"/>
  <c r="W904" i="1"/>
  <c r="V904" i="1"/>
  <c r="U904" i="1"/>
  <c r="S904" i="1"/>
  <c r="T904" i="1"/>
  <c r="Q904" i="1"/>
  <c r="R904" i="1"/>
  <c r="Y1074" i="1"/>
  <c r="X1018" i="1"/>
  <c r="X911" i="1"/>
  <c r="X882" i="1"/>
  <c r="X694" i="1"/>
  <c r="Y419" i="1"/>
  <c r="V403" i="1"/>
  <c r="T403" i="1"/>
  <c r="W403" i="1"/>
  <c r="U403" i="1"/>
  <c r="Q403" i="1"/>
  <c r="S403" i="1"/>
  <c r="U322" i="1"/>
  <c r="T322" i="1"/>
  <c r="S322" i="1"/>
  <c r="Q322" i="1"/>
  <c r="W322" i="1"/>
  <c r="V322" i="1"/>
  <c r="W947" i="1"/>
  <c r="V947" i="1"/>
  <c r="U947" i="1"/>
  <c r="T947" i="1"/>
  <c r="S947" i="1"/>
  <c r="Q947" i="1"/>
  <c r="X791" i="1"/>
  <c r="Y786" i="1" s="1"/>
  <c r="V374" i="1"/>
  <c r="T374" i="1"/>
  <c r="W374" i="1"/>
  <c r="U374" i="1"/>
  <c r="S374" i="1"/>
  <c r="Q374" i="1"/>
  <c r="R374" i="1"/>
  <c r="V237" i="1"/>
  <c r="U237" i="1"/>
  <c r="T237" i="1"/>
  <c r="W237" i="1"/>
  <c r="Q237" i="1"/>
  <c r="R237" i="1"/>
  <c r="X78" i="1"/>
  <c r="Y71" i="1" s="1"/>
  <c r="X177" i="1"/>
  <c r="X101" i="1"/>
  <c r="V69" i="1"/>
  <c r="Q69" i="1"/>
  <c r="U69" i="1"/>
  <c r="T69" i="1"/>
  <c r="S69" i="1"/>
  <c r="W69" i="1"/>
  <c r="R69" i="1"/>
  <c r="X197" i="1"/>
  <c r="X365" i="1"/>
  <c r="Y359" i="1" s="1"/>
  <c r="X611" i="1"/>
  <c r="X804" i="1"/>
  <c r="X288" i="1"/>
  <c r="X1100" i="1"/>
  <c r="O904" i="1"/>
  <c r="P904" i="1" s="1"/>
  <c r="X176" i="1"/>
  <c r="Y169" i="1" s="1"/>
  <c r="O1050" i="1"/>
  <c r="P1050" i="1" s="1"/>
  <c r="V1050" i="1" s="1"/>
  <c r="X1050" i="1" s="1"/>
  <c r="O921" i="1"/>
  <c r="P921" i="1" s="1"/>
  <c r="V921" i="1" s="1"/>
  <c r="X921" i="1" s="1"/>
  <c r="O1040" i="1"/>
  <c r="P1040" i="1" s="1"/>
  <c r="V1040" i="1" s="1"/>
  <c r="X1040" i="1" s="1"/>
  <c r="O1012" i="1"/>
  <c r="P1012" i="1" s="1"/>
  <c r="V1012" i="1" s="1"/>
  <c r="X1012" i="1" s="1"/>
  <c r="Y1003" i="1" s="1"/>
  <c r="O1021" i="1"/>
  <c r="P1021" i="1" s="1"/>
  <c r="V1021" i="1" s="1"/>
  <c r="X1021" i="1" s="1"/>
  <c r="O882" i="1"/>
  <c r="P882" i="1" s="1"/>
  <c r="V882" i="1" s="1"/>
  <c r="O905" i="1"/>
  <c r="P905" i="1" s="1"/>
  <c r="V905" i="1" s="1"/>
  <c r="O687" i="1"/>
  <c r="P687" i="1" s="1"/>
  <c r="V687" i="1" s="1"/>
  <c r="X687" i="1" s="1"/>
  <c r="Y679" i="1" s="1"/>
  <c r="O659" i="1"/>
  <c r="P659" i="1" s="1"/>
  <c r="V659" i="1" s="1"/>
  <c r="O713" i="1"/>
  <c r="P713" i="1" s="1"/>
  <c r="V713" i="1" s="1"/>
  <c r="X713" i="1" s="1"/>
  <c r="Y706" i="1" s="1"/>
  <c r="O807" i="1"/>
  <c r="P807" i="1" s="1"/>
  <c r="V807" i="1" s="1"/>
  <c r="X807" i="1" s="1"/>
  <c r="O752" i="1"/>
  <c r="P752" i="1" s="1"/>
  <c r="V752" i="1" s="1"/>
  <c r="X752" i="1" s="1"/>
  <c r="O1030" i="1"/>
  <c r="P1030" i="1" s="1"/>
  <c r="V1030" i="1" s="1"/>
  <c r="O948" i="1"/>
  <c r="P948" i="1" s="1"/>
  <c r="V948" i="1" s="1"/>
  <c r="O864" i="1"/>
  <c r="P864" i="1" s="1"/>
  <c r="V864" i="1" s="1"/>
  <c r="X864" i="1" s="1"/>
  <c r="Y858" i="1" s="1"/>
  <c r="O724" i="1"/>
  <c r="P724" i="1" s="1"/>
  <c r="V724" i="1" s="1"/>
  <c r="X724" i="1" s="1"/>
  <c r="O776" i="1"/>
  <c r="P776" i="1" s="1"/>
  <c r="V776" i="1" s="1"/>
  <c r="X776" i="1" s="1"/>
  <c r="O766" i="1"/>
  <c r="P766" i="1" s="1"/>
  <c r="V766" i="1" s="1"/>
  <c r="X766" i="1" s="1"/>
  <c r="O475" i="1"/>
  <c r="P475" i="1" s="1"/>
  <c r="V475" i="1" s="1"/>
  <c r="X475" i="1" s="1"/>
  <c r="O432" i="1"/>
  <c r="P432" i="1" s="1"/>
  <c r="V432" i="1" s="1"/>
  <c r="X432" i="1" s="1"/>
  <c r="O1058" i="1"/>
  <c r="P1058" i="1" s="1"/>
  <c r="V1058" i="1" s="1"/>
  <c r="X1058" i="1" s="1"/>
  <c r="Y1051" i="1" s="1"/>
  <c r="O465" i="1"/>
  <c r="P465" i="1" s="1"/>
  <c r="V465" i="1" s="1"/>
  <c r="X465" i="1" s="1"/>
  <c r="O439" i="1"/>
  <c r="P439" i="1" s="1"/>
  <c r="V439" i="1" s="1"/>
  <c r="X439" i="1" s="1"/>
  <c r="O375" i="1"/>
  <c r="P375" i="1" s="1"/>
  <c r="V375" i="1" s="1"/>
  <c r="X375" i="1" s="1"/>
  <c r="O358" i="1"/>
  <c r="P358" i="1" s="1"/>
  <c r="V358" i="1" s="1"/>
  <c r="X358" i="1" s="1"/>
  <c r="O820" i="1"/>
  <c r="P820" i="1" s="1"/>
  <c r="V820" i="1" s="1"/>
  <c r="X820" i="1" s="1"/>
  <c r="O651" i="1"/>
  <c r="P651" i="1" s="1"/>
  <c r="V651" i="1" s="1"/>
  <c r="X651" i="1" s="1"/>
  <c r="Y644" i="1" s="1"/>
  <c r="O628" i="1"/>
  <c r="P628" i="1" s="1"/>
  <c r="V628" i="1" s="1"/>
  <c r="X628" i="1" s="1"/>
  <c r="Y621" i="1" s="1"/>
  <c r="O583" i="1"/>
  <c r="P583" i="1" s="1"/>
  <c r="V583" i="1" s="1"/>
  <c r="X583" i="1" s="1"/>
  <c r="O342" i="1"/>
  <c r="P342" i="1" s="1"/>
  <c r="V342" i="1" s="1"/>
  <c r="O248" i="1"/>
  <c r="P248" i="1" s="1"/>
  <c r="V248" i="1" s="1"/>
  <c r="X248" i="1" s="1"/>
  <c r="O190" i="1"/>
  <c r="P190" i="1" s="1"/>
  <c r="V190" i="1" s="1"/>
  <c r="X190" i="1" s="1"/>
  <c r="O643" i="1"/>
  <c r="P643" i="1" s="1"/>
  <c r="V643" i="1" s="1"/>
  <c r="X643" i="1" s="1"/>
  <c r="O448" i="1"/>
  <c r="P448" i="1" s="1"/>
  <c r="V448" i="1" s="1"/>
  <c r="O291" i="1"/>
  <c r="P291" i="1" s="1"/>
  <c r="V291" i="1" s="1"/>
  <c r="X291" i="1" s="1"/>
  <c r="O118" i="1"/>
  <c r="P118" i="1" s="1"/>
  <c r="V118" i="1" s="1"/>
  <c r="X118" i="1" s="1"/>
  <c r="O874" i="1"/>
  <c r="P874" i="1" s="1"/>
  <c r="V874" i="1" s="1"/>
  <c r="X874" i="1" s="1"/>
  <c r="O366" i="1"/>
  <c r="P366" i="1" s="1"/>
  <c r="V366" i="1" s="1"/>
  <c r="O300" i="1"/>
  <c r="P300" i="1" s="1"/>
  <c r="V300" i="1" s="1"/>
  <c r="X300" i="1" s="1"/>
  <c r="O255" i="1"/>
  <c r="P255" i="1" s="1"/>
  <c r="V255" i="1" s="1"/>
  <c r="X255" i="1" s="1"/>
  <c r="O238" i="1"/>
  <c r="P238" i="1" s="1"/>
  <c r="V238" i="1" s="1"/>
  <c r="X238" i="1" s="1"/>
  <c r="O168" i="1"/>
  <c r="P168" i="1" s="1"/>
  <c r="V168" i="1" s="1"/>
  <c r="X168" i="1" s="1"/>
  <c r="O620" i="1"/>
  <c r="P620" i="1" s="1"/>
  <c r="V620" i="1" s="1"/>
  <c r="X620" i="1" s="1"/>
  <c r="O669" i="1"/>
  <c r="P669" i="1" s="1"/>
  <c r="V669" i="1" s="1"/>
  <c r="X669" i="1" s="1"/>
  <c r="O485" i="1"/>
  <c r="P485" i="1" s="1"/>
  <c r="V485" i="1" s="1"/>
  <c r="X485" i="1" s="1"/>
  <c r="O389" i="1"/>
  <c r="P389" i="1" s="1"/>
  <c r="V389" i="1" s="1"/>
  <c r="X389" i="1" s="1"/>
  <c r="O612" i="1"/>
  <c r="P612" i="1" s="1"/>
  <c r="V612" i="1" s="1"/>
  <c r="X612" i="1" s="1"/>
  <c r="O179" i="1"/>
  <c r="P179" i="1" s="1"/>
  <c r="V179" i="1" s="1"/>
  <c r="X179" i="1" s="1"/>
  <c r="O85" i="1"/>
  <c r="P85" i="1" s="1"/>
  <c r="V85" i="1" s="1"/>
  <c r="X85" i="1" s="1"/>
  <c r="Y79" i="1" s="1"/>
  <c r="O111" i="1"/>
  <c r="P111" i="1" s="1"/>
  <c r="V111" i="1" s="1"/>
  <c r="X111" i="1" s="1"/>
  <c r="O271" i="1"/>
  <c r="P271" i="1" s="1"/>
  <c r="V271" i="1" s="1"/>
  <c r="X271" i="1" s="1"/>
  <c r="O200" i="1"/>
  <c r="P200" i="1" s="1"/>
  <c r="V200" i="1" s="1"/>
  <c r="X200" i="1" s="1"/>
  <c r="O157" i="1"/>
  <c r="P157" i="1" s="1"/>
  <c r="V157" i="1" s="1"/>
  <c r="X157" i="1" s="1"/>
  <c r="O96" i="1"/>
  <c r="P96" i="1" s="1"/>
  <c r="V96" i="1" s="1"/>
  <c r="O70" i="1"/>
  <c r="P70" i="1" s="1"/>
  <c r="V70" i="1" s="1"/>
  <c r="X70" i="1" s="1"/>
  <c r="O281" i="1"/>
  <c r="P281" i="1" s="1"/>
  <c r="V281" i="1" s="1"/>
  <c r="O264" i="1"/>
  <c r="P264" i="1" s="1"/>
  <c r="V264" i="1" s="1"/>
  <c r="O148" i="1"/>
  <c r="P148" i="1" s="1"/>
  <c r="V148" i="1" s="1"/>
  <c r="X148" i="1" s="1"/>
  <c r="O78" i="1"/>
  <c r="P78" i="1" s="1"/>
  <c r="V78" i="1" s="1"/>
  <c r="O636" i="1"/>
  <c r="P636" i="1" s="1"/>
  <c r="V636" i="1" s="1"/>
  <c r="X636" i="1" s="1"/>
  <c r="O309" i="1"/>
  <c r="P309" i="1" s="1"/>
  <c r="V309" i="1" s="1"/>
  <c r="X309" i="1" s="1"/>
  <c r="O227" i="1"/>
  <c r="P227" i="1" s="1"/>
  <c r="V227" i="1" s="1"/>
  <c r="O138" i="1"/>
  <c r="P138" i="1" s="1"/>
  <c r="V138" i="1" s="1"/>
  <c r="X138" i="1" s="1"/>
  <c r="O129" i="1"/>
  <c r="P129" i="1" s="1"/>
  <c r="V129" i="1" s="1"/>
  <c r="X129" i="1" s="1"/>
  <c r="O60" i="1"/>
  <c r="P60" i="1" s="1"/>
  <c r="V60" i="1" s="1"/>
  <c r="O573" i="1"/>
  <c r="P573" i="1" s="1"/>
  <c r="V573" i="1" s="1"/>
  <c r="X573" i="1" s="1"/>
  <c r="O216" i="1"/>
  <c r="P216" i="1" s="1"/>
  <c r="V216" i="1" s="1"/>
  <c r="X216" i="1" s="1"/>
  <c r="O208" i="1"/>
  <c r="P208" i="1" s="1"/>
  <c r="V208" i="1" s="1"/>
  <c r="X208" i="1" s="1"/>
  <c r="O350" i="1"/>
  <c r="P350" i="1" s="1"/>
  <c r="V350" i="1" s="1"/>
  <c r="X350" i="1" s="1"/>
  <c r="X826" i="1"/>
  <c r="X500" i="1"/>
  <c r="Y496" i="1" s="1"/>
  <c r="Y139" i="1"/>
  <c r="X342" i="1"/>
  <c r="Q199" i="1"/>
  <c r="U199" i="1"/>
  <c r="T199" i="1"/>
  <c r="V199" i="1"/>
  <c r="S199" i="1"/>
  <c r="W199" i="1"/>
  <c r="X56" i="1"/>
  <c r="Y979" i="1"/>
  <c r="W873" i="1"/>
  <c r="U873" i="1"/>
  <c r="V873" i="1"/>
  <c r="T873" i="1"/>
  <c r="S873" i="1"/>
  <c r="Q873" i="1"/>
  <c r="X1029" i="1"/>
  <c r="X902" i="1"/>
  <c r="X857" i="1"/>
  <c r="Y853" i="1" s="1"/>
  <c r="X839" i="1"/>
  <c r="Y835" i="1" s="1"/>
  <c r="X603" i="1"/>
  <c r="W582" i="1"/>
  <c r="V582" i="1"/>
  <c r="T582" i="1"/>
  <c r="R582" i="1"/>
  <c r="U582" i="1"/>
  <c r="S582" i="1"/>
  <c r="X381" i="1"/>
  <c r="W382" i="1"/>
  <c r="V382" i="1"/>
  <c r="T382" i="1"/>
  <c r="Q382" i="1"/>
  <c r="U382" i="1"/>
  <c r="S382" i="1"/>
  <c r="X677" i="1"/>
  <c r="X589" i="1"/>
  <c r="V95" i="1"/>
  <c r="W95" i="1"/>
  <c r="U95" i="1"/>
  <c r="T95" i="1"/>
  <c r="S95" i="1"/>
  <c r="Q95" i="1"/>
  <c r="X572" i="1"/>
  <c r="Q178" i="1"/>
  <c r="W178" i="1"/>
  <c r="U178" i="1"/>
  <c r="S178" i="1"/>
  <c r="V178" i="1"/>
  <c r="T178" i="1"/>
  <c r="Y523" i="1"/>
  <c r="X147" i="1"/>
  <c r="X483" i="1"/>
  <c r="W464" i="1"/>
  <c r="V464" i="1"/>
  <c r="U464" i="1"/>
  <c r="T464" i="1"/>
  <c r="Q464" i="1"/>
  <c r="S464" i="1"/>
  <c r="O403" i="1"/>
  <c r="P403" i="1" s="1"/>
  <c r="R403" i="1" s="1"/>
  <c r="X320" i="1"/>
  <c r="X394" i="1"/>
  <c r="X512" i="1"/>
  <c r="Y508" i="1" s="1"/>
  <c r="O695" i="1"/>
  <c r="P695" i="1" s="1"/>
  <c r="R695" i="1" s="1"/>
  <c r="O947" i="1"/>
  <c r="P947" i="1" s="1"/>
  <c r="R947" i="1" s="1"/>
  <c r="X968" i="1"/>
  <c r="Y964" i="1" s="1"/>
  <c r="X281" i="1"/>
  <c r="X264" i="1"/>
  <c r="X254" i="1"/>
  <c r="Y249" i="1" s="1"/>
  <c r="X522" i="1"/>
  <c r="Y518" i="1" s="1"/>
  <c r="Y310" i="1"/>
  <c r="U51" i="1"/>
  <c r="X890" i="1"/>
  <c r="Y883" i="1" s="1"/>
  <c r="W806" i="1"/>
  <c r="V806" i="1"/>
  <c r="U806" i="1"/>
  <c r="T806" i="1"/>
  <c r="S806" i="1"/>
  <c r="Q806" i="1"/>
  <c r="R806" i="1"/>
  <c r="X1092" i="1"/>
  <c r="X871" i="1"/>
  <c r="X580" i="1"/>
  <c r="Y984" i="1"/>
  <c r="X366" i="1"/>
  <c r="X642" i="1"/>
  <c r="Y637" i="1" s="1"/>
  <c r="X380" i="1"/>
  <c r="W604" i="1"/>
  <c r="V604" i="1"/>
  <c r="U604" i="1"/>
  <c r="T604" i="1"/>
  <c r="R604" i="1"/>
  <c r="S604" i="1"/>
  <c r="Q604" i="1"/>
  <c r="X619" i="1"/>
  <c r="Y613" i="1" s="1"/>
  <c r="O382" i="1"/>
  <c r="P382" i="1" s="1"/>
  <c r="R382" i="1" s="1"/>
  <c r="X226" i="1"/>
  <c r="Y217" i="1" s="1"/>
  <c r="Q137" i="1"/>
  <c r="W137" i="1"/>
  <c r="V137" i="1"/>
  <c r="U137" i="1"/>
  <c r="R137" i="1"/>
  <c r="T137" i="1"/>
  <c r="S137" i="1"/>
  <c r="X94" i="1"/>
  <c r="X60" i="1"/>
  <c r="X280" i="1"/>
  <c r="Y272" i="1" s="1"/>
  <c r="Y513" i="1"/>
  <c r="O237" i="1"/>
  <c r="P237" i="1" s="1"/>
  <c r="S237" i="1" s="1"/>
  <c r="X832" i="1"/>
  <c r="X532" i="1"/>
  <c r="Y528" i="1" s="1"/>
  <c r="X1098" i="1"/>
  <c r="O806" i="1"/>
  <c r="P806" i="1" s="1"/>
  <c r="Y112" i="1"/>
  <c r="X948" i="1"/>
  <c r="X227" i="1"/>
  <c r="X1090" i="1"/>
  <c r="Y1086" i="1" s="1"/>
  <c r="X905" i="1"/>
  <c r="X445" i="1"/>
  <c r="X448" i="1"/>
  <c r="X729" i="1"/>
  <c r="Y725" i="1" s="1"/>
  <c r="X1030" i="1"/>
  <c r="X973" i="1"/>
  <c r="Y891" i="1"/>
  <c r="W1085" i="1"/>
  <c r="V1085" i="1"/>
  <c r="U1085" i="1"/>
  <c r="T1085" i="1"/>
  <c r="R1085" i="1"/>
  <c r="Q1085" i="1"/>
  <c r="S1085" i="1"/>
  <c r="X978" i="1"/>
  <c r="Y974" i="1" s="1"/>
  <c r="X659" i="1"/>
  <c r="Y652" i="1" s="1"/>
  <c r="U290" i="1"/>
  <c r="T290" i="1"/>
  <c r="S290" i="1"/>
  <c r="Q290" i="1"/>
  <c r="W290" i="1"/>
  <c r="V290" i="1"/>
  <c r="R290" i="1"/>
  <c r="X926" i="1"/>
  <c r="Y922" i="1" s="1"/>
  <c r="W128" i="1"/>
  <c r="V128" i="1"/>
  <c r="U128" i="1"/>
  <c r="T128" i="1"/>
  <c r="S128" i="1"/>
  <c r="R128" i="1"/>
  <c r="Q128" i="1"/>
  <c r="X136" i="1"/>
  <c r="R110" i="1"/>
  <c r="W110" i="1"/>
  <c r="V110" i="1"/>
  <c r="S110" i="1"/>
  <c r="U110" i="1"/>
  <c r="T110" i="1"/>
  <c r="Q110" i="1"/>
  <c r="X462" i="1"/>
  <c r="O322" i="1"/>
  <c r="P322" i="1" s="1"/>
  <c r="R322" i="1" s="1"/>
  <c r="O178" i="1"/>
  <c r="P178" i="1" s="1"/>
  <c r="R178" i="1" s="1"/>
  <c r="X357" i="1"/>
  <c r="Y351" i="1" s="1"/>
  <c r="X447" i="1"/>
  <c r="X552" i="1"/>
  <c r="Y548" i="1" s="1"/>
  <c r="X845" i="1"/>
  <c r="Y840" i="1" s="1"/>
  <c r="O751" i="1"/>
  <c r="P751" i="1" s="1"/>
  <c r="Q751" i="1" s="1"/>
  <c r="X819" i="1"/>
  <c r="X1038" i="1"/>
  <c r="X997" i="1"/>
  <c r="Q723" i="1"/>
  <c r="W723" i="1"/>
  <c r="V723" i="1"/>
  <c r="T723" i="1"/>
  <c r="S723" i="1"/>
  <c r="U723" i="1"/>
  <c r="X668" i="1"/>
  <c r="X765" i="1"/>
  <c r="Y760" i="1" s="1"/>
  <c r="X939" i="1"/>
  <c r="Y935" i="1" s="1"/>
  <c r="X463" i="1"/>
  <c r="X507" i="1"/>
  <c r="X495" i="1"/>
  <c r="Y491" i="1" s="1"/>
  <c r="Y782" i="1"/>
  <c r="X596" i="1"/>
  <c r="Y591" i="1" s="1"/>
  <c r="X289" i="1"/>
  <c r="X945" i="1"/>
  <c r="X562" i="1"/>
  <c r="Y558" i="1" s="1"/>
  <c r="X473" i="1"/>
  <c r="X602" i="1"/>
  <c r="X165" i="1"/>
  <c r="Y158" i="1" s="1"/>
  <c r="Y553" i="1"/>
  <c r="X207" i="1"/>
  <c r="Y201" i="1" s="1"/>
  <c r="V299" i="1"/>
  <c r="U299" i="1"/>
  <c r="T299" i="1"/>
  <c r="R299" i="1"/>
  <c r="W299" i="1"/>
  <c r="S299" i="1"/>
  <c r="Q299" i="1"/>
  <c r="X299" i="1" s="1"/>
  <c r="X263" i="1"/>
  <c r="W59" i="1"/>
  <c r="V59" i="1"/>
  <c r="S59" i="1"/>
  <c r="U59" i="1"/>
  <c r="T59" i="1"/>
  <c r="R59" i="1"/>
  <c r="Q59" i="1"/>
  <c r="V167" i="1"/>
  <c r="U167" i="1"/>
  <c r="T167" i="1"/>
  <c r="S167" i="1"/>
  <c r="R167" i="1"/>
  <c r="W167" i="1"/>
  <c r="Q167" i="1"/>
  <c r="X167" i="1" s="1"/>
  <c r="X757" i="1"/>
  <c r="Y753" i="1" s="1"/>
  <c r="X438" i="1"/>
  <c r="Y433" i="1" s="1"/>
  <c r="O723" i="1"/>
  <c r="P723" i="1" s="1"/>
  <c r="R723" i="1" s="1"/>
  <c r="X1028" i="1"/>
  <c r="O1085" i="1"/>
  <c r="P1085" i="1" s="1"/>
  <c r="X581" i="1"/>
  <c r="X58" i="1"/>
  <c r="X156" i="1"/>
  <c r="Y149" i="1" s="1"/>
  <c r="X1010" i="1"/>
  <c r="X912" i="1"/>
  <c r="Y969" i="1"/>
  <c r="X758" i="1"/>
  <c r="X166" i="1"/>
  <c r="X490" i="1"/>
  <c r="Y486" i="1" s="1"/>
  <c r="X68" i="1"/>
  <c r="X775" i="1"/>
  <c r="X773" i="1"/>
  <c r="X1083" i="1"/>
  <c r="W1020" i="1"/>
  <c r="V1020" i="1"/>
  <c r="U1020" i="1"/>
  <c r="T1020" i="1"/>
  <c r="R1020" i="1"/>
  <c r="Q1020" i="1"/>
  <c r="S1020" i="1"/>
  <c r="X721" i="1"/>
  <c r="X1049" i="1"/>
  <c r="X431" i="1"/>
  <c r="X542" i="1"/>
  <c r="Y538" i="1" s="1"/>
  <c r="X430" i="1"/>
  <c r="X372" i="1"/>
  <c r="X349" i="1"/>
  <c r="Y343" i="1" s="1"/>
  <c r="Y316" i="1"/>
  <c r="X635" i="1"/>
  <c r="X57" i="1"/>
  <c r="X236" i="1"/>
  <c r="X109" i="1"/>
  <c r="X298" i="1"/>
  <c r="O199" i="1"/>
  <c r="P199" i="1" s="1"/>
  <c r="R199" i="1" s="1"/>
  <c r="O95" i="1"/>
  <c r="P95" i="1" s="1"/>
  <c r="R95" i="1" s="1"/>
  <c r="X395" i="1"/>
  <c r="X570" i="1"/>
  <c r="Y563" i="1" s="1"/>
  <c r="X429" i="1"/>
  <c r="X454" i="1"/>
  <c r="Y449" i="1" s="1"/>
  <c r="O582" i="1"/>
  <c r="P582" i="1" s="1"/>
  <c r="Q582" i="1" s="1"/>
  <c r="O464" i="1"/>
  <c r="P464" i="1" s="1"/>
  <c r="R464" i="1" s="1"/>
  <c r="X588" i="1"/>
  <c r="Y584" i="1" s="1"/>
  <c r="X750" i="1"/>
  <c r="X910" i="1"/>
  <c r="Y906" i="1" s="1"/>
  <c r="X834" i="1"/>
  <c r="O873" i="1"/>
  <c r="P873" i="1" s="1"/>
  <c r="R873" i="1" s="1"/>
  <c r="X881" i="1"/>
  <c r="Y875" i="1" s="1"/>
  <c r="R47" i="1" l="1"/>
  <c r="O47" i="1"/>
  <c r="Y424" i="1"/>
  <c r="Y660" i="1"/>
  <c r="Y1031" i="1"/>
  <c r="Y390" i="1"/>
  <c r="Y466" i="1"/>
  <c r="Y991" i="1"/>
  <c r="Y629" i="1"/>
  <c r="Y501" i="1"/>
  <c r="Y440" i="1"/>
  <c r="Y476" i="1"/>
  <c r="Y913" i="1"/>
  <c r="Y744" i="1"/>
  <c r="Y1093" i="1"/>
  <c r="Y767" i="1"/>
  <c r="X751" i="1"/>
  <c r="X128" i="1"/>
  <c r="Y292" i="1"/>
  <c r="Y828" i="1"/>
  <c r="Y821" i="1"/>
  <c r="Y605" i="1"/>
  <c r="Y1022" i="1"/>
  <c r="W47" i="1"/>
  <c r="L32" i="1" s="1"/>
  <c r="X582" i="1"/>
  <c r="Y670" i="1"/>
  <c r="Y574" i="1"/>
  <c r="Q47" i="1"/>
  <c r="F32" i="1" s="1"/>
  <c r="Y282" i="1"/>
  <c r="T47" i="1"/>
  <c r="I32" i="1" s="1"/>
  <c r="X95" i="1"/>
  <c r="Y86" i="1" s="1"/>
  <c r="X374" i="1"/>
  <c r="Y367" i="1" s="1"/>
  <c r="X237" i="1"/>
  <c r="Y228" i="1" s="1"/>
  <c r="X403" i="1"/>
  <c r="Y397" i="1" s="1"/>
  <c r="S47" i="1"/>
  <c r="H32" i="1" s="1"/>
  <c r="X806" i="1"/>
  <c r="Y797" i="1" s="1"/>
  <c r="P47" i="1"/>
  <c r="X199" i="1"/>
  <c r="X947" i="1"/>
  <c r="Y940" i="1" s="1"/>
  <c r="V47" i="1"/>
  <c r="K32" i="1" s="1"/>
  <c r="X723" i="1"/>
  <c r="Y714" i="1" s="1"/>
  <c r="X110" i="1"/>
  <c r="X51" i="1"/>
  <c r="U47" i="1"/>
  <c r="J32" i="1" s="1"/>
  <c r="X873" i="1"/>
  <c r="Y865" i="1" s="1"/>
  <c r="X69" i="1"/>
  <c r="Y61" i="1" s="1"/>
  <c r="X290" i="1"/>
  <c r="X382" i="1"/>
  <c r="Y376" i="1" s="1"/>
  <c r="X322" i="1"/>
  <c r="X904" i="1"/>
  <c r="Y896" i="1" s="1"/>
  <c r="X695" i="1"/>
  <c r="Y688" i="1" s="1"/>
  <c r="X464" i="1"/>
  <c r="Y456" i="1" s="1"/>
  <c r="X178" i="1"/>
  <c r="X1020" i="1"/>
  <c r="Y1013" i="1" s="1"/>
  <c r="X59" i="1"/>
  <c r="Y256" i="1"/>
  <c r="X1085" i="1"/>
  <c r="Y1079" i="1" s="1"/>
  <c r="X137" i="1"/>
  <c r="X604" i="1"/>
  <c r="Y598" i="1" s="1"/>
  <c r="M32" i="1" l="1"/>
  <c r="N32" i="1" s="1"/>
  <c r="X47" i="1"/>
  <c r="Y47" i="1" s="1"/>
  <c r="Y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Sruthy Maria Jose</author>
  </authors>
  <commentList>
    <comment ref="M11" authorId="0" shapeId="0" xr:uid="{836CFC48-1606-49B5-B119-FFFF82EE99F1}">
      <text>
        <r>
          <rPr>
            <b/>
            <sz val="9"/>
            <color indexed="81"/>
            <rFont val="Tahoma"/>
            <family val="2"/>
          </rPr>
          <t>Sruthy Maria Jose:</t>
        </r>
        <r>
          <rPr>
            <sz val="9"/>
            <color indexed="81"/>
            <rFont val="Tahoma"/>
            <family val="2"/>
          </rPr>
          <t xml:space="preserve">
As per general notes SE100, clause 13.04</t>
        </r>
      </text>
    </comment>
  </commentList>
</comments>
</file>

<file path=xl/sharedStrings.xml><?xml version="1.0" encoding="utf-8"?>
<sst xmlns="http://schemas.openxmlformats.org/spreadsheetml/2006/main" count="2200" uniqueCount="220">
  <si>
    <t xml:space="preserve">Project : </t>
  </si>
  <si>
    <t>SOBHA INIZIO</t>
  </si>
  <si>
    <t>SBA</t>
  </si>
  <si>
    <t xml:space="preserve">Dwg referred </t>
  </si>
  <si>
    <t>Concrete, Shuttering and Reinforcement Quantity Breakup :</t>
  </si>
  <si>
    <t xml:space="preserve"> ALL FLOORS</t>
  </si>
  <si>
    <t>SI no</t>
  </si>
  <si>
    <t>Description</t>
  </si>
  <si>
    <t>No./Dia.</t>
  </si>
  <si>
    <t>L/ Spcng (m)</t>
  </si>
  <si>
    <t>B(m)/ No.</t>
  </si>
  <si>
    <t>D/Dvlp L (m)</t>
  </si>
  <si>
    <t>D (m)</t>
  </si>
  <si>
    <t>Quantity</t>
  </si>
  <si>
    <t>Shuttering (m²)</t>
  </si>
  <si>
    <t>Shuttering Size wise Splitup</t>
  </si>
  <si>
    <t>Cutting Length</t>
  </si>
  <si>
    <t>Total Length</t>
  </si>
  <si>
    <t>Steel in KG</t>
  </si>
  <si>
    <t>Kg/Cum</t>
  </si>
  <si>
    <t>Reinf.</t>
  </si>
  <si>
    <t>Conc/Shtr</t>
  </si>
  <si>
    <t>Concrete (m³)</t>
  </si>
  <si>
    <t>L = 0.3</t>
  </si>
  <si>
    <t>0.3 &lt; L &lt;= 0.75</t>
  </si>
  <si>
    <t>0.75 &lt; L &lt;= 1.2</t>
  </si>
  <si>
    <t>L &gt; 1.2</t>
  </si>
  <si>
    <t>Details :</t>
  </si>
  <si>
    <t>PIN BAR LENGTH :</t>
  </si>
  <si>
    <t>Cover in (m)</t>
  </si>
  <si>
    <t xml:space="preserve">WIDTH OF BEAM </t>
  </si>
  <si>
    <t>PIN BAR DIAMETER (M)</t>
  </si>
  <si>
    <t>PIN BAR SPACING (M)</t>
  </si>
  <si>
    <t>PIN BAR LENGTH (M)</t>
  </si>
  <si>
    <t>thickness of slab in (m)</t>
  </si>
  <si>
    <t>Grade of concrete</t>
  </si>
  <si>
    <t>M30</t>
  </si>
  <si>
    <t xml:space="preserve">Grade of Steel </t>
  </si>
  <si>
    <t>Fe500D</t>
  </si>
  <si>
    <t xml:space="preserve">Spacer bar </t>
  </si>
  <si>
    <t>Development Length &amp; Anchorage</t>
  </si>
  <si>
    <t>Fe500-D</t>
  </si>
  <si>
    <t>Dia (mm)</t>
  </si>
  <si>
    <t>M20</t>
  </si>
  <si>
    <t>M25</t>
  </si>
  <si>
    <t>M35</t>
  </si>
  <si>
    <t>M40 &amp; &gt;</t>
  </si>
  <si>
    <t>ABSTRACT</t>
  </si>
  <si>
    <t>Reinforcement-in KG</t>
  </si>
  <si>
    <t>Concrete</t>
  </si>
  <si>
    <t>Shuttering</t>
  </si>
  <si>
    <t>8 mm</t>
  </si>
  <si>
    <t>10mm</t>
  </si>
  <si>
    <t>12mm</t>
  </si>
  <si>
    <t>16mm</t>
  </si>
  <si>
    <t>20mm</t>
  </si>
  <si>
    <t>25mm</t>
  </si>
  <si>
    <t>32mm</t>
  </si>
  <si>
    <t>TOTAL-MT</t>
  </si>
  <si>
    <t>kg/cum</t>
  </si>
  <si>
    <t>GAUGE PIECE</t>
  </si>
  <si>
    <t>TIE ROD</t>
  </si>
  <si>
    <t>PVC PIPE</t>
  </si>
  <si>
    <t>WING 7</t>
  </si>
  <si>
    <t>INIZIO</t>
  </si>
  <si>
    <t>Total - INIZIO- Basement floor - 01 to 03</t>
  </si>
  <si>
    <t>INIZIO- Basement floor - 01 to 03</t>
  </si>
  <si>
    <t>BF</t>
  </si>
  <si>
    <t>B14</t>
  </si>
  <si>
    <t>Top bars</t>
  </si>
  <si>
    <t>Top bars-extra</t>
  </si>
  <si>
    <t xml:space="preserve">Bottom bars </t>
  </si>
  <si>
    <t>Bottom bars -extra</t>
  </si>
  <si>
    <t xml:space="preserve">Stirupps </t>
  </si>
  <si>
    <t>C - Hook</t>
  </si>
  <si>
    <t xml:space="preserve">Spacer bars </t>
  </si>
  <si>
    <t>B15</t>
  </si>
  <si>
    <t>B16</t>
  </si>
  <si>
    <t xml:space="preserve">GF </t>
  </si>
  <si>
    <t>B17</t>
  </si>
  <si>
    <t>B18</t>
  </si>
  <si>
    <t>B42A</t>
  </si>
  <si>
    <t>B19</t>
  </si>
  <si>
    <t>B19A</t>
  </si>
  <si>
    <t>B22</t>
  </si>
  <si>
    <t>B23</t>
  </si>
  <si>
    <t>B24</t>
  </si>
  <si>
    <t>B24A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</si>
  <si>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</si>
  <si>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</si>
  <si>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</si>
  <si>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</si>
  <si>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</si>
  <si>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</si>
  <si>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</si>
  <si>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</si>
  <si>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</si>
  <si>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</si>
  <si>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</si>
  <si>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</si>
  <si>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</si>
  <si>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</si>
  <si>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</si>
  <si>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B42</t>
  </si>
  <si>
    <t>B45</t>
  </si>
  <si>
    <t>B46</t>
  </si>
  <si>
    <t>B48</t>
  </si>
  <si>
    <t>B51</t>
  </si>
  <si>
    <t>B52</t>
  </si>
  <si>
    <t>B59</t>
  </si>
  <si>
    <t>Bottom bars-extra</t>
  </si>
  <si>
    <t>B60</t>
  </si>
  <si>
    <t>Top bars -extra</t>
  </si>
  <si>
    <t>B61</t>
  </si>
  <si>
    <t>B61A</t>
  </si>
  <si>
    <t>B69</t>
  </si>
  <si>
    <t>Bottom bars - extra</t>
  </si>
  <si>
    <t>B47</t>
  </si>
  <si>
    <t>B55</t>
  </si>
  <si>
    <t>B56</t>
  </si>
  <si>
    <t>B57</t>
  </si>
  <si>
    <t>B58</t>
  </si>
  <si>
    <t>B71</t>
  </si>
  <si>
    <t>B72</t>
  </si>
  <si>
    <t>B73</t>
  </si>
  <si>
    <t>B63</t>
  </si>
  <si>
    <t>B64</t>
  </si>
  <si>
    <t>B65</t>
  </si>
  <si>
    <t>Top bars - extra</t>
  </si>
  <si>
    <t>B66</t>
  </si>
  <si>
    <t>B74</t>
  </si>
  <si>
    <t>B75</t>
  </si>
  <si>
    <t>B76</t>
  </si>
  <si>
    <t>B80</t>
  </si>
  <si>
    <t>B77</t>
  </si>
  <si>
    <t>B78</t>
  </si>
  <si>
    <t>B79</t>
  </si>
  <si>
    <t>B82</t>
  </si>
  <si>
    <t>B83</t>
  </si>
  <si>
    <t>B85</t>
  </si>
  <si>
    <t>B86</t>
  </si>
  <si>
    <t>B88</t>
  </si>
  <si>
    <t>B89</t>
  </si>
  <si>
    <t>B91</t>
  </si>
  <si>
    <t>B92</t>
  </si>
  <si>
    <t>B93</t>
  </si>
  <si>
    <t>B94</t>
  </si>
  <si>
    <t>B96</t>
  </si>
  <si>
    <t>B97</t>
  </si>
  <si>
    <t>B98</t>
  </si>
  <si>
    <t>B119</t>
  </si>
  <si>
    <t>B120</t>
  </si>
  <si>
    <t>B99</t>
  </si>
  <si>
    <t>B100</t>
  </si>
  <si>
    <t>B101</t>
  </si>
  <si>
    <t>B102</t>
  </si>
  <si>
    <t>B103</t>
  </si>
  <si>
    <t>B129</t>
  </si>
  <si>
    <t>Bottom bars</t>
  </si>
  <si>
    <t>Bottom bars  -extra</t>
  </si>
  <si>
    <t>B104</t>
  </si>
  <si>
    <t>B117</t>
  </si>
  <si>
    <t>B118</t>
  </si>
  <si>
    <t>B128</t>
  </si>
  <si>
    <t>Stirupps -1</t>
  </si>
  <si>
    <t>Stirupps -2</t>
  </si>
  <si>
    <t>B130</t>
  </si>
  <si>
    <t>B121</t>
  </si>
  <si>
    <t>B122</t>
  </si>
  <si>
    <t>B123</t>
  </si>
  <si>
    <t>B140</t>
  </si>
  <si>
    <t>B141</t>
  </si>
  <si>
    <t>B142</t>
  </si>
  <si>
    <t>B145</t>
  </si>
  <si>
    <t>B133</t>
  </si>
  <si>
    <t>B134</t>
  </si>
  <si>
    <t>B135</t>
  </si>
  <si>
    <t>B136</t>
  </si>
  <si>
    <t>B147</t>
  </si>
  <si>
    <t>B150</t>
  </si>
  <si>
    <t>B154</t>
  </si>
  <si>
    <t>B144</t>
  </si>
  <si>
    <t>B148</t>
  </si>
  <si>
    <t>B149</t>
  </si>
  <si>
    <t>B152</t>
  </si>
  <si>
    <t>B156</t>
  </si>
  <si>
    <t>B158/165</t>
  </si>
  <si>
    <t>B158A/165A</t>
  </si>
  <si>
    <t>B159</t>
  </si>
  <si>
    <t>B161</t>
  </si>
  <si>
    <t>B164</t>
  </si>
  <si>
    <t>B165</t>
  </si>
  <si>
    <t>B166</t>
  </si>
  <si>
    <t>B168</t>
  </si>
  <si>
    <t>B169</t>
  </si>
  <si>
    <t>B170</t>
  </si>
  <si>
    <t>B173</t>
  </si>
  <si>
    <t>B174</t>
  </si>
  <si>
    <t>B175</t>
  </si>
  <si>
    <t>B176</t>
  </si>
  <si>
    <t>B177</t>
  </si>
  <si>
    <t>B178</t>
  </si>
  <si>
    <t>B180</t>
  </si>
  <si>
    <t>B182</t>
  </si>
  <si>
    <t>B185</t>
  </si>
  <si>
    <t>B186</t>
  </si>
  <si>
    <t>B191</t>
  </si>
  <si>
    <t>B133A</t>
  </si>
  <si>
    <t>B134A</t>
  </si>
  <si>
    <t>B68A</t>
  </si>
  <si>
    <t>B68</t>
  </si>
  <si>
    <t>B70</t>
  </si>
  <si>
    <t>B70A</t>
  </si>
  <si>
    <t>B96A</t>
  </si>
  <si>
    <t>B97A</t>
  </si>
  <si>
    <t>B98A</t>
  </si>
  <si>
    <t>B99A</t>
  </si>
  <si>
    <t>B100A</t>
  </si>
  <si>
    <t>B101A</t>
  </si>
  <si>
    <t>RB143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</si>
</sst>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sz val="10"/>
      <name val="Tahoma"/>
      <family val="2"/>
    </font>
    <font>
      <b/>
      <sz val="10"/>
      <color theme="3" tint="-0.499984740745262"/>
      <name val="Tahoma"/>
      <family val="2"/>
    </font>
    <font>
      <sz val="10"/>
      <color rgb="FFFF0000"/>
      <name val="Tahoma"/>
      <family val="2"/>
    </font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10"/>
      <color rgb="FF0070C0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7">
    <xf numFmtId="0" fontId="0" fillId="0" borderId="0" xfId="0"/>
    <xf numFmtId="43" fontId="2" fillId="0" borderId="0" xfId="1" applyFont="1"/>
    <xf numFmtId="43" fontId="3" fillId="0" borderId="0" xfId="1" applyFont="1" applyAlignment="1">
      <alignment vertical="center"/>
    </xf>
    <xf numFmtId="43" fontId="3" fillId="0" borderId="0" xfId="1" applyFont="1"/>
    <xf numFmtId="1" fontId="2" fillId="4" borderId="5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43" fontId="4" fillId="4" borderId="6" xfId="1" applyFont="1" applyFill="1" applyBorder="1" applyAlignment="1">
      <alignment horizontal="center" vertical="center"/>
    </xf>
    <xf numFmtId="1" fontId="2" fillId="4" borderId="10" xfId="0" applyNumberFormat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43" fontId="4" fillId="4" borderId="11" xfId="1" applyFont="1" applyFill="1" applyBorder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5" fillId="0" borderId="17" xfId="1" applyFont="1" applyBorder="1" applyAlignment="1">
      <alignment horizontal="center" vertical="center" wrapText="1"/>
    </xf>
    <xf numFmtId="43" fontId="5" fillId="0" borderId="18" xfId="1" applyFont="1" applyBorder="1" applyAlignment="1">
      <alignment horizontal="center" vertical="center" wrapText="1"/>
    </xf>
    <xf numFmtId="43" fontId="5" fillId="0" borderId="19" xfId="1" applyFont="1" applyBorder="1" applyAlignment="1">
      <alignment horizontal="center" vertical="center" wrapText="1"/>
    </xf>
    <xf numFmtId="164" fontId="3" fillId="0" borderId="0" xfId="1" applyNumberFormat="1" applyFont="1" applyAlignment="1">
      <alignment vertical="center"/>
    </xf>
    <xf numFmtId="43" fontId="3" fillId="0" borderId="20" xfId="1" applyFont="1" applyBorder="1" applyAlignment="1">
      <alignment horizontal="center" vertical="center" wrapText="1"/>
    </xf>
    <xf numFmtId="43" fontId="3" fillId="0" borderId="21" xfId="1" applyFont="1" applyBorder="1" applyAlignment="1">
      <alignment horizontal="center" vertical="center" wrapText="1"/>
    </xf>
    <xf numFmtId="43" fontId="3" fillId="0" borderId="22" xfId="1" applyFont="1" applyBorder="1" applyAlignment="1">
      <alignment horizontal="center" vertical="center" wrapText="1"/>
    </xf>
    <xf numFmtId="43" fontId="6" fillId="0" borderId="0" xfId="1" applyFont="1" applyAlignment="1">
      <alignment vertical="center"/>
    </xf>
    <xf numFmtId="1" fontId="2" fillId="6" borderId="17" xfId="0" applyNumberFormat="1" applyFont="1" applyFill="1" applyBorder="1" applyAlignment="1">
      <alignment horizontal="center" vertical="center" wrapText="1"/>
    </xf>
    <xf numFmtId="1" fontId="2" fillId="6" borderId="23" xfId="0" applyNumberFormat="1" applyFont="1" applyFill="1" applyBorder="1" applyAlignment="1">
      <alignment horizontal="center" vertical="center" wrapText="1"/>
    </xf>
    <xf numFmtId="2" fontId="2" fillId="6" borderId="18" xfId="0" applyNumberFormat="1" applyFont="1" applyFill="1" applyBorder="1" applyAlignment="1">
      <alignment horizontal="center" vertical="center" wrapText="1"/>
    </xf>
    <xf numFmtId="1" fontId="2" fillId="6" borderId="18" xfId="0" applyNumberFormat="1" applyFont="1" applyFill="1" applyBorder="1" applyAlignment="1">
      <alignment horizontal="center" vertical="center" wrapText="1"/>
    </xf>
    <xf numFmtId="43" fontId="2" fillId="6" borderId="18" xfId="1" applyFont="1" applyFill="1" applyBorder="1" applyAlignment="1">
      <alignment horizontal="center" vertical="center" wrapText="1"/>
    </xf>
    <xf numFmtId="2" fontId="2" fillId="6" borderId="19" xfId="0" applyNumberFormat="1" applyFont="1" applyFill="1" applyBorder="1" applyAlignment="1">
      <alignment horizontal="center" vertical="center" wrapText="1"/>
    </xf>
    <xf numFmtId="1" fontId="2" fillId="0" borderId="20" xfId="0" applyNumberFormat="1" applyFont="1" applyBorder="1" applyAlignment="1">
      <alignment horizontal="center" vertical="center" wrapText="1"/>
    </xf>
    <xf numFmtId="1" fontId="2" fillId="0" borderId="24" xfId="0" applyNumberFormat="1" applyFont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 wrapText="1"/>
    </xf>
    <xf numFmtId="43" fontId="8" fillId="0" borderId="1" xfId="2" applyFont="1" applyFill="1" applyBorder="1" applyAlignment="1">
      <alignment horizontal="center" vertical="center"/>
    </xf>
    <xf numFmtId="43" fontId="8" fillId="7" borderId="1" xfId="2" applyFont="1" applyFill="1" applyBorder="1" applyAlignment="1">
      <alignment horizontal="center" vertical="center"/>
    </xf>
    <xf numFmtId="43" fontId="8" fillId="6" borderId="1" xfId="2" applyFont="1" applyFill="1" applyBorder="1" applyAlignment="1">
      <alignment horizontal="center" vertical="center"/>
    </xf>
    <xf numFmtId="43" fontId="3" fillId="0" borderId="25" xfId="1" applyFont="1" applyBorder="1" applyAlignment="1">
      <alignment horizontal="center" vertical="center" wrapText="1"/>
    </xf>
    <xf numFmtId="43" fontId="3" fillId="0" borderId="26" xfId="1" applyFont="1" applyBorder="1" applyAlignment="1">
      <alignment horizontal="center" vertical="center" wrapText="1"/>
    </xf>
    <xf numFmtId="43" fontId="3" fillId="0" borderId="27" xfId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2" fontId="3" fillId="0" borderId="26" xfId="0" applyNumberFormat="1" applyFont="1" applyBorder="1" applyAlignment="1">
      <alignment horizontal="center" vertical="center" wrapText="1"/>
    </xf>
    <xf numFmtId="39" fontId="4" fillId="8" borderId="14" xfId="3" applyNumberFormat="1" applyFont="1" applyFill="1" applyBorder="1" applyAlignment="1">
      <alignment horizontal="left" vertical="center"/>
    </xf>
    <xf numFmtId="39" fontId="4" fillId="8" borderId="15" xfId="3" applyNumberFormat="1" applyFont="1" applyFill="1" applyBorder="1" applyAlignment="1">
      <alignment horizontal="left" vertical="center"/>
    </xf>
    <xf numFmtId="43" fontId="10" fillId="8" borderId="15" xfId="3" applyFont="1" applyFill="1" applyBorder="1" applyAlignment="1">
      <alignment horizontal="left" vertical="center"/>
    </xf>
    <xf numFmtId="43" fontId="10" fillId="8" borderId="15" xfId="3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vertical="center"/>
    </xf>
    <xf numFmtId="0" fontId="3" fillId="8" borderId="15" xfId="0" applyFont="1" applyFill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8" borderId="16" xfId="0" applyFont="1" applyFill="1" applyBorder="1" applyAlignment="1">
      <alignment vertical="center"/>
    </xf>
    <xf numFmtId="2" fontId="3" fillId="8" borderId="16" xfId="0" applyNumberFormat="1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9" fontId="4" fillId="8" borderId="14" xfId="3" applyNumberFormat="1" applyFont="1" applyFill="1" applyBorder="1" applyAlignment="1">
      <alignment horizontal="center" vertical="center"/>
    </xf>
    <xf numFmtId="43" fontId="4" fillId="8" borderId="14" xfId="3" applyFont="1" applyFill="1" applyBorder="1" applyAlignment="1">
      <alignment horizontal="left" vertical="center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8" borderId="16" xfId="0" applyNumberFormat="1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/>
    </xf>
    <xf numFmtId="0" fontId="2" fillId="8" borderId="31" xfId="0" applyFont="1" applyFill="1" applyBorder="1" applyAlignment="1">
      <alignment horizontal="center" vertical="center"/>
    </xf>
    <xf numFmtId="39" fontId="4" fillId="8" borderId="1" xfId="3" applyNumberFormat="1" applyFont="1" applyFill="1" applyBorder="1" applyAlignment="1">
      <alignment horizontal="center" vertical="center"/>
    </xf>
    <xf numFmtId="43" fontId="4" fillId="8" borderId="1" xfId="3" applyFont="1" applyFill="1" applyBorder="1" applyAlignment="1">
      <alignment horizontal="left" vertical="center"/>
    </xf>
    <xf numFmtId="164" fontId="3" fillId="8" borderId="1" xfId="1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 wrapText="1"/>
    </xf>
    <xf numFmtId="39" fontId="10" fillId="0" borderId="1" xfId="3" applyNumberFormat="1" applyFont="1" applyFill="1" applyBorder="1" applyAlignment="1">
      <alignment horizontal="center" vertical="center"/>
    </xf>
    <xf numFmtId="43" fontId="10" fillId="0" borderId="1" xfId="3" applyFont="1" applyFill="1" applyBorder="1" applyAlignment="1">
      <alignment horizontal="left" vertical="center"/>
    </xf>
    <xf numFmtId="43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/>
    </xf>
    <xf numFmtId="43" fontId="3" fillId="0" borderId="0" xfId="1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/>
    </xf>
    <xf numFmtId="43" fontId="10" fillId="0" borderId="1" xfId="3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164" fontId="10" fillId="0" borderId="1" xfId="3" applyNumberFormat="1" applyFont="1" applyFill="1" applyBorder="1" applyAlignment="1">
      <alignment horizontal="center" vertical="center"/>
    </xf>
    <xf numFmtId="39" fontId="2" fillId="8" borderId="1" xfId="0" applyNumberFormat="1" applyFont="1" applyFill="1" applyBorder="1" applyAlignment="1">
      <alignment horizontal="center" vertical="center"/>
    </xf>
    <xf numFmtId="43" fontId="4" fillId="8" borderId="1" xfId="3" applyFont="1" applyFill="1" applyBorder="1" applyAlignment="1">
      <alignment horizontal="center" vertical="center"/>
    </xf>
    <xf numFmtId="164" fontId="2" fillId="8" borderId="1" xfId="1" applyNumberFormat="1" applyFont="1" applyFill="1" applyBorder="1" applyAlignment="1">
      <alignment horizontal="center" vertical="center" wrapText="1"/>
    </xf>
    <xf numFmtId="43" fontId="2" fillId="8" borderId="1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 wrapText="1"/>
    </xf>
    <xf numFmtId="43" fontId="4" fillId="0" borderId="0" xfId="1" applyFont="1" applyFill="1" applyBorder="1" applyAlignment="1">
      <alignment horizontal="center" vertical="center"/>
    </xf>
    <xf numFmtId="43" fontId="3" fillId="0" borderId="0" xfId="1" applyFont="1" applyFill="1"/>
    <xf numFmtId="43" fontId="2" fillId="0" borderId="0" xfId="1" applyFont="1" applyAlignment="1">
      <alignment horizontal="center" vertical="center"/>
    </xf>
    <xf numFmtId="43" fontId="2" fillId="9" borderId="0" xfId="1" applyFont="1" applyFill="1" applyAlignment="1">
      <alignment horizontal="left" vertical="center"/>
    </xf>
    <xf numFmtId="43" fontId="3" fillId="9" borderId="0" xfId="1" applyFont="1" applyFill="1" applyAlignment="1">
      <alignment horizontal="center" vertical="center"/>
    </xf>
    <xf numFmtId="43" fontId="3" fillId="0" borderId="0" xfId="1" applyFont="1" applyAlignment="1">
      <alignment horizontal="center" vertical="center" wrapText="1"/>
    </xf>
    <xf numFmtId="43" fontId="3" fillId="6" borderId="0" xfId="1" applyFont="1" applyFill="1" applyAlignment="1">
      <alignment horizontal="center" vertical="center"/>
    </xf>
    <xf numFmtId="43" fontId="11" fillId="0" borderId="0" xfId="1" applyFont="1" applyAlignment="1">
      <alignment horizontal="center" vertical="center" wrapText="1"/>
    </xf>
    <xf numFmtId="43" fontId="3" fillId="0" borderId="0" xfId="1" applyFont="1" applyAlignment="1">
      <alignment horizontal="left" vertical="center"/>
    </xf>
    <xf numFmtId="43" fontId="3" fillId="10" borderId="0" xfId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2" fontId="2" fillId="4" borderId="7" xfId="0" applyNumberFormat="1" applyFont="1" applyFill="1" applyBorder="1" applyAlignment="1">
      <alignment horizontal="center" vertical="center" wrapText="1"/>
    </xf>
    <xf numFmtId="2" fontId="2" fillId="4" borderId="12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11" xfId="0" applyNumberFormat="1" applyFont="1" applyFill="1" applyBorder="1" applyAlignment="1">
      <alignment horizontal="center" vertical="center" wrapText="1"/>
    </xf>
    <xf numFmtId="43" fontId="4" fillId="4" borderId="6" xfId="1" applyFont="1" applyFill="1" applyBorder="1" applyAlignment="1">
      <alignment horizontal="center" vertical="center" wrapText="1"/>
    </xf>
    <xf numFmtId="43" fontId="4" fillId="4" borderId="11" xfId="1" applyFont="1" applyFill="1" applyBorder="1" applyAlignment="1">
      <alignment horizontal="center" vertical="center" wrapText="1"/>
    </xf>
    <xf numFmtId="43" fontId="4" fillId="4" borderId="8" xfId="1" applyFont="1" applyFill="1" applyBorder="1" applyAlignment="1">
      <alignment horizontal="center" vertical="center"/>
    </xf>
    <xf numFmtId="43" fontId="4" fillId="4" borderId="13" xfId="1" applyFont="1" applyFill="1" applyBorder="1" applyAlignment="1">
      <alignment horizontal="center" vertical="center"/>
    </xf>
    <xf numFmtId="43" fontId="2" fillId="8" borderId="1" xfId="1" applyFont="1" applyFill="1" applyBorder="1" applyAlignment="1">
      <alignment horizontal="center" vertical="center" wrapText="1"/>
    </xf>
    <xf numFmtId="2" fontId="2" fillId="8" borderId="1" xfId="0" applyNumberFormat="1" applyFont="1" applyFill="1" applyBorder="1" applyAlignment="1">
      <alignment horizontal="center" vertical="center" wrapText="1"/>
    </xf>
    <xf numFmtId="2" fontId="2" fillId="8" borderId="29" xfId="0" applyNumberFormat="1" applyFont="1" applyFill="1" applyBorder="1" applyAlignment="1">
      <alignment horizontal="center" vertical="center" wrapText="1"/>
    </xf>
    <xf numFmtId="2" fontId="2" fillId="8" borderId="30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2" fontId="2" fillId="3" borderId="2" xfId="0" applyNumberFormat="1" applyFont="1" applyFill="1" applyBorder="1" applyAlignment="1">
      <alignment horizontal="center" vertical="center" wrapText="1"/>
    </xf>
    <xf numFmtId="2" fontId="2" fillId="3" borderId="0" xfId="0" applyNumberFormat="1" applyFont="1" applyFill="1" applyAlignment="1">
      <alignment horizontal="center" vertical="center" wrapText="1"/>
    </xf>
    <xf numFmtId="2" fontId="2" fillId="3" borderId="3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 wrapText="1"/>
    </xf>
    <xf numFmtId="1" fontId="2" fillId="4" borderId="9" xfId="0" applyNumberFormat="1" applyFont="1" applyFill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4" borderId="1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8" borderId="29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0" fontId="2" fillId="8" borderId="29" xfId="0" applyFont="1" applyFill="1" applyBorder="1" applyAlignment="1">
      <alignment horizontal="center" vertical="center"/>
    </xf>
    <xf numFmtId="0" fontId="2" fillId="8" borderId="3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43" fontId="5" fillId="0" borderId="14" xfId="1" applyFont="1" applyBorder="1" applyAlignment="1">
      <alignment horizontal="center" vertical="center" wrapText="1"/>
    </xf>
    <xf numFmtId="43" fontId="5" fillId="0" borderId="15" xfId="1" applyFont="1" applyBorder="1" applyAlignment="1">
      <alignment horizontal="center" vertical="center" wrapText="1"/>
    </xf>
    <xf numFmtId="43" fontId="5" fillId="0" borderId="16" xfId="1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10" xfId="3" xr:uid="{3E941EBD-A36D-44BF-9CFB-673CE2DE2BFF}"/>
    <cellStyle name="Comma 4 3" xfId="2" xr:uid="{5B813BA9-7DF0-42B4-9813-E8416FFF89F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bha-adm03\SobhaData\Shared%20folder\Prelaunch%20Estimates\HAL%20Property\00.Estimate\02.Finish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DW Basement"/>
      <sheetName val="HF Blk 1"/>
      <sheetName val="DW - Block 01,02"/>
      <sheetName val="Plas Blk 01,02"/>
      <sheetName val="Waterproofing"/>
      <sheetName val="HF Blk 4 "/>
      <sheetName val="BW Blk 04"/>
      <sheetName val="BW Blk 3,5"/>
      <sheetName val="Plas - Blk 03,05"/>
      <sheetName val="Plas - Blk 04"/>
      <sheetName val="DW - Block 03,04,05"/>
      <sheetName val="HF Blk 03,05"/>
      <sheetName val="BW Blk 1"/>
      <sheetName val="Basement Fin"/>
      <sheetName val="DW_Basement"/>
      <sheetName val="HF_Blk_1"/>
      <sheetName val="DW_-_Block_01,02"/>
      <sheetName val="Plas_Blk_01,02"/>
      <sheetName val="HF_Blk_4_"/>
      <sheetName val="BW_Blk_04"/>
      <sheetName val="BW_Blk_3,5"/>
      <sheetName val="Plas_-_Blk_03,05"/>
      <sheetName val="Plas_-_Blk_04"/>
      <sheetName val="DW_-_Block_03,04,05"/>
      <sheetName val="HF_Blk_03,05"/>
      <sheetName val="BW_Blk_1"/>
      <sheetName val="Basement_Fin"/>
      <sheetName val="Break up Sheet"/>
      <sheetName val="Sheet1"/>
      <sheetName val="RA-markate"/>
      <sheetName val="SPT vs PHI"/>
      <sheetName val="Rate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644D0-3263-4BF3-A0E8-C5BFD307FE56}">
  <dimension ref="A1:AF1102"/>
  <sheetViews>
    <sheetView tabSelected="1" topLeftCell="A42" zoomScaleNormal="100" workbookViewId="0">
      <pane xSplit="16" ySplit="4" topLeftCell="Q46" activePane="bottomRight" state="frozen"/>
      <selection activeCell="A42" sqref="A42"/>
      <selection pane="topRight" activeCell="Q42" sqref="Q42"/>
      <selection pane="bottomLeft" activeCell="A46" sqref="A46"/>
      <selection pane="bottomRight" activeCell="Q46" sqref="Q46"/>
    </sheetView>
  </sheetViews>
  <sheetFormatPr defaultColWidth="9.140625" defaultRowHeight="12.75" x14ac:dyDescent="0.2"/>
  <cols>
    <col min="1" max="1" width="9.5703125" style="86" customWidth="1"/>
    <col min="2" max="2" width="8.140625" style="86" customWidth="1"/>
    <col min="3" max="3" width="41.85546875" style="86" customWidth="1"/>
    <col min="4" max="4" width="9.7109375" style="96" customWidth="1"/>
    <col min="5" max="5" width="11.42578125" style="96" customWidth="1"/>
    <col min="6" max="6" width="10.7109375" style="96" customWidth="1"/>
    <col min="7" max="8" width="10.7109375" style="86" customWidth="1"/>
    <col min="9" max="12" width="10.7109375" style="86" hidden="1" customWidth="1"/>
    <col min="13" max="13" width="9.28515625" style="86" hidden="1" customWidth="1"/>
    <col min="14" max="14" width="10.5703125" style="86" hidden="1" customWidth="1"/>
    <col min="15" max="15" width="11.42578125" style="86" customWidth="1"/>
    <col min="16" max="16" width="12.5703125" style="86" customWidth="1"/>
    <col min="17" max="23" width="9.28515625" style="86" bestFit="1" customWidth="1"/>
    <col min="24" max="24" width="11.7109375" style="86" customWidth="1"/>
    <col min="25" max="25" width="12" style="86" customWidth="1"/>
    <col min="26" max="16384" width="9.140625" style="86"/>
  </cols>
  <sheetData>
    <row r="1" spans="1:25" s="3" customFormat="1" x14ac:dyDescent="0.2">
      <c r="A1" s="1" t="s">
        <v>0</v>
      </c>
      <c r="B1" s="1"/>
      <c r="C1" s="1" t="s">
        <v>1</v>
      </c>
      <c r="D1" s="2"/>
      <c r="E1" s="2"/>
      <c r="F1" s="2"/>
    </row>
    <row r="2" spans="1:25" s="3" customFormat="1" x14ac:dyDescent="0.2">
      <c r="A2" s="1" t="s">
        <v>2</v>
      </c>
      <c r="B2" s="1"/>
      <c r="C2" s="1"/>
      <c r="D2" s="2"/>
      <c r="E2" s="2"/>
      <c r="F2" s="2"/>
    </row>
    <row r="3" spans="1:25" s="3" customFormat="1" x14ac:dyDescent="0.2">
      <c r="A3" s="1" t="s">
        <v>3</v>
      </c>
      <c r="B3" s="1"/>
      <c r="D3" s="2"/>
      <c r="E3" s="2"/>
      <c r="F3" s="2"/>
    </row>
    <row r="4" spans="1:25" s="3" customFormat="1" x14ac:dyDescent="0.2">
      <c r="D4" s="2"/>
      <c r="E4" s="2"/>
      <c r="F4" s="2"/>
    </row>
    <row r="5" spans="1:25" s="3" customFormat="1" x14ac:dyDescent="0.2">
      <c r="A5" s="109" t="s">
        <v>4</v>
      </c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</row>
    <row r="6" spans="1:25" s="3" customFormat="1" ht="13.5" thickBot="1" x14ac:dyDescent="0.25">
      <c r="A6" s="110" t="s">
        <v>5</v>
      </c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2"/>
    </row>
    <row r="7" spans="1:25" s="3" customFormat="1" ht="25.5" x14ac:dyDescent="0.2">
      <c r="A7" s="113" t="s">
        <v>6</v>
      </c>
      <c r="B7" s="4"/>
      <c r="C7" s="99" t="s">
        <v>7</v>
      </c>
      <c r="D7" s="115" t="s">
        <v>8</v>
      </c>
      <c r="E7" s="99" t="s">
        <v>9</v>
      </c>
      <c r="F7" s="99" t="s">
        <v>10</v>
      </c>
      <c r="G7" s="5" t="s">
        <v>11</v>
      </c>
      <c r="H7" s="5" t="s">
        <v>12</v>
      </c>
      <c r="I7" s="5" t="s">
        <v>13</v>
      </c>
      <c r="J7" s="97" t="s">
        <v>14</v>
      </c>
      <c r="K7" s="99" t="s">
        <v>15</v>
      </c>
      <c r="L7" s="99"/>
      <c r="M7" s="99"/>
      <c r="N7" s="99"/>
      <c r="O7" s="97" t="s">
        <v>16</v>
      </c>
      <c r="P7" s="99" t="s">
        <v>17</v>
      </c>
      <c r="Q7" s="6">
        <v>8</v>
      </c>
      <c r="R7" s="6">
        <v>10</v>
      </c>
      <c r="S7" s="6">
        <v>12</v>
      </c>
      <c r="T7" s="6">
        <v>16</v>
      </c>
      <c r="U7" s="6">
        <v>20</v>
      </c>
      <c r="V7" s="6">
        <v>25</v>
      </c>
      <c r="W7" s="6">
        <v>32</v>
      </c>
      <c r="X7" s="101" t="s">
        <v>18</v>
      </c>
      <c r="Y7" s="103" t="s">
        <v>19</v>
      </c>
    </row>
    <row r="8" spans="1:25" s="3" customFormat="1" ht="30" customHeight="1" thickBot="1" x14ac:dyDescent="0.25">
      <c r="A8" s="114"/>
      <c r="B8" s="7"/>
      <c r="C8" s="100"/>
      <c r="D8" s="116"/>
      <c r="E8" s="100"/>
      <c r="F8" s="100"/>
      <c r="G8" s="8" t="s">
        <v>20</v>
      </c>
      <c r="H8" s="8" t="s">
        <v>21</v>
      </c>
      <c r="I8" s="8" t="s">
        <v>22</v>
      </c>
      <c r="J8" s="98"/>
      <c r="K8" s="8" t="s">
        <v>23</v>
      </c>
      <c r="L8" s="8" t="s">
        <v>24</v>
      </c>
      <c r="M8" s="8" t="s">
        <v>25</v>
      </c>
      <c r="N8" s="8" t="s">
        <v>26</v>
      </c>
      <c r="O8" s="98"/>
      <c r="P8" s="100"/>
      <c r="Q8" s="9">
        <f t="shared" ref="Q8:W8" si="0">22/7/4/1000/1000*7850*Q7*Q7</f>
        <v>0.39474285714285717</v>
      </c>
      <c r="R8" s="9">
        <f t="shared" si="0"/>
        <v>0.61678571428571427</v>
      </c>
      <c r="S8" s="9">
        <f t="shared" si="0"/>
        <v>0.88817142857142872</v>
      </c>
      <c r="T8" s="9">
        <f t="shared" si="0"/>
        <v>1.5789714285714287</v>
      </c>
      <c r="U8" s="9">
        <f t="shared" si="0"/>
        <v>2.4671428571428571</v>
      </c>
      <c r="V8" s="9">
        <f t="shared" si="0"/>
        <v>3.8549107142857149</v>
      </c>
      <c r="W8" s="9">
        <f t="shared" si="0"/>
        <v>6.3158857142857148</v>
      </c>
      <c r="X8" s="102"/>
      <c r="Y8" s="104"/>
    </row>
    <row r="9" spans="1:25" s="3" customFormat="1" x14ac:dyDescent="0.2">
      <c r="D9" s="2"/>
      <c r="E9" s="2"/>
      <c r="F9" s="2"/>
    </row>
    <row r="10" spans="1:25" s="3" customFormat="1" ht="12.75" customHeight="1" x14ac:dyDescent="0.2">
      <c r="C10" s="1" t="s">
        <v>27</v>
      </c>
      <c r="D10" s="2"/>
      <c r="E10" s="2"/>
      <c r="F10" s="2"/>
      <c r="L10" s="123" t="s">
        <v>28</v>
      </c>
      <c r="M10" s="124"/>
      <c r="N10" s="124"/>
      <c r="O10" s="125"/>
    </row>
    <row r="11" spans="1:25" s="3" customFormat="1" ht="38.25" x14ac:dyDescent="0.2">
      <c r="A11" s="3">
        <v>1</v>
      </c>
      <c r="C11" s="3" t="s">
        <v>29</v>
      </c>
      <c r="D11" s="10">
        <f>30/1000</f>
        <v>0.03</v>
      </c>
      <c r="E11" s="2"/>
      <c r="F11" s="2"/>
      <c r="L11" s="11" t="s">
        <v>30</v>
      </c>
      <c r="M11" s="12" t="s">
        <v>31</v>
      </c>
      <c r="N11" s="12" t="s">
        <v>32</v>
      </c>
      <c r="O11" s="13" t="s">
        <v>33</v>
      </c>
    </row>
    <row r="12" spans="1:25" s="3" customFormat="1" x14ac:dyDescent="0.2">
      <c r="A12" s="3">
        <v>2</v>
      </c>
      <c r="C12" s="3" t="s">
        <v>34</v>
      </c>
      <c r="D12" s="2">
        <v>0.15</v>
      </c>
      <c r="E12" s="14">
        <v>0.17499999999999999</v>
      </c>
      <c r="F12" s="2"/>
      <c r="L12" s="15">
        <f>0.1</f>
        <v>0.1</v>
      </c>
      <c r="M12" s="16">
        <v>20</v>
      </c>
      <c r="N12" s="16">
        <f>1</f>
        <v>1</v>
      </c>
      <c r="O12" s="17">
        <f t="shared" ref="O12:O24" si="1">(L12/SIN(45*(3.14/180)))-2*$J$11</f>
        <v>0.1414776986915143</v>
      </c>
    </row>
    <row r="13" spans="1:25" s="3" customFormat="1" x14ac:dyDescent="0.2">
      <c r="A13" s="3">
        <v>3</v>
      </c>
      <c r="C13" s="3" t="s">
        <v>35</v>
      </c>
      <c r="D13" s="10" t="s">
        <v>36</v>
      </c>
      <c r="E13" s="2"/>
      <c r="F13" s="2"/>
      <c r="L13" s="15">
        <f>0.15</f>
        <v>0.15</v>
      </c>
      <c r="M13" s="16">
        <v>20</v>
      </c>
      <c r="N13" s="16">
        <f>1</f>
        <v>1</v>
      </c>
      <c r="O13" s="17">
        <f t="shared" si="1"/>
        <v>0.21221654803727141</v>
      </c>
    </row>
    <row r="14" spans="1:25" s="3" customFormat="1" x14ac:dyDescent="0.2">
      <c r="A14" s="3">
        <v>4</v>
      </c>
      <c r="C14" s="3" t="s">
        <v>37</v>
      </c>
      <c r="D14" s="2" t="s">
        <v>38</v>
      </c>
      <c r="E14" s="2"/>
      <c r="F14" s="2"/>
      <c r="L14" s="15">
        <v>0.2</v>
      </c>
      <c r="M14" s="16">
        <v>20</v>
      </c>
      <c r="N14" s="16">
        <f>1</f>
        <v>1</v>
      </c>
      <c r="O14" s="17">
        <f t="shared" si="1"/>
        <v>0.28295539738302861</v>
      </c>
    </row>
    <row r="15" spans="1:25" s="3" customFormat="1" x14ac:dyDescent="0.2">
      <c r="A15" s="3">
        <v>5</v>
      </c>
      <c r="C15" s="3" t="s">
        <v>39</v>
      </c>
      <c r="D15" s="2">
        <v>25</v>
      </c>
      <c r="E15" s="2">
        <v>1</v>
      </c>
      <c r="F15" s="18">
        <f>2*D11</f>
        <v>0.06</v>
      </c>
      <c r="L15" s="15">
        <v>0.2</v>
      </c>
      <c r="M15" s="16">
        <v>20</v>
      </c>
      <c r="N15" s="16">
        <f>1</f>
        <v>1</v>
      </c>
      <c r="O15" s="17">
        <f t="shared" si="1"/>
        <v>0.28295539738302861</v>
      </c>
    </row>
    <row r="16" spans="1:25" s="3" customFormat="1" x14ac:dyDescent="0.2">
      <c r="D16" s="2"/>
      <c r="E16" s="2"/>
      <c r="F16" s="2"/>
      <c r="L16" s="15">
        <v>0.3</v>
      </c>
      <c r="M16" s="16">
        <v>20</v>
      </c>
      <c r="N16" s="16">
        <f>1</f>
        <v>1</v>
      </c>
      <c r="O16" s="17">
        <f t="shared" si="1"/>
        <v>0.42443309607454283</v>
      </c>
    </row>
    <row r="17" spans="1:32" s="3" customFormat="1" x14ac:dyDescent="0.2">
      <c r="D17" s="2"/>
      <c r="E17" s="2"/>
      <c r="F17" s="2"/>
      <c r="L17" s="15">
        <v>0.35</v>
      </c>
      <c r="M17" s="16">
        <v>20</v>
      </c>
      <c r="N17" s="16">
        <f>1</f>
        <v>1</v>
      </c>
      <c r="O17" s="17">
        <f t="shared" si="1"/>
        <v>0.49517194542029996</v>
      </c>
    </row>
    <row r="18" spans="1:32" s="3" customFormat="1" ht="15" customHeight="1" x14ac:dyDescent="0.2">
      <c r="A18" s="109" t="s">
        <v>40</v>
      </c>
      <c r="B18" s="109"/>
      <c r="C18" s="109"/>
      <c r="D18" s="126" t="s">
        <v>41</v>
      </c>
      <c r="E18" s="126"/>
      <c r="F18" s="126"/>
      <c r="G18" s="126"/>
      <c r="H18" s="126"/>
      <c r="L18" s="15">
        <v>0.4</v>
      </c>
      <c r="M18" s="16">
        <v>20</v>
      </c>
      <c r="N18" s="16">
        <f>1</f>
        <v>1</v>
      </c>
      <c r="O18" s="17">
        <f t="shared" si="1"/>
        <v>0.56591079476605721</v>
      </c>
    </row>
    <row r="19" spans="1:32" s="3" customFormat="1" x14ac:dyDescent="0.2">
      <c r="A19" s="19" t="s">
        <v>6</v>
      </c>
      <c r="B19" s="20"/>
      <c r="C19" s="21" t="s">
        <v>42</v>
      </c>
      <c r="D19" s="22" t="s">
        <v>43</v>
      </c>
      <c r="E19" s="21" t="s">
        <v>44</v>
      </c>
      <c r="F19" s="23" t="s">
        <v>36</v>
      </c>
      <c r="G19" s="21" t="s">
        <v>45</v>
      </c>
      <c r="H19" s="24" t="s">
        <v>46</v>
      </c>
      <c r="L19" s="15">
        <v>0.45</v>
      </c>
      <c r="M19" s="16">
        <v>20</v>
      </c>
      <c r="N19" s="16">
        <f>1</f>
        <v>1</v>
      </c>
      <c r="O19" s="17">
        <f t="shared" si="1"/>
        <v>0.63664964411181435</v>
      </c>
    </row>
    <row r="20" spans="1:32" s="3" customFormat="1" x14ac:dyDescent="0.2">
      <c r="A20" s="25">
        <v>1</v>
      </c>
      <c r="B20" s="26"/>
      <c r="C20" s="27">
        <v>8</v>
      </c>
      <c r="D20" s="28">
        <v>0.5</v>
      </c>
      <c r="E20" s="29">
        <v>0.42499999999999999</v>
      </c>
      <c r="F20" s="30">
        <v>0.36499999999999999</v>
      </c>
      <c r="G20" s="28">
        <v>0.35</v>
      </c>
      <c r="H20" s="29">
        <v>0.32500000000000001</v>
      </c>
      <c r="L20" s="15">
        <v>0.5</v>
      </c>
      <c r="M20" s="16">
        <v>20</v>
      </c>
      <c r="N20" s="16">
        <f>1</f>
        <v>1</v>
      </c>
      <c r="O20" s="17">
        <f t="shared" si="1"/>
        <v>0.70738849345757149</v>
      </c>
    </row>
    <row r="21" spans="1:32" s="3" customFormat="1" x14ac:dyDescent="0.2">
      <c r="A21" s="25">
        <v>2</v>
      </c>
      <c r="B21" s="26"/>
      <c r="C21" s="27">
        <v>10</v>
      </c>
      <c r="D21" s="28">
        <v>0.625</v>
      </c>
      <c r="E21" s="29">
        <v>0.55000000000000004</v>
      </c>
      <c r="F21" s="30">
        <v>0.45500000000000002</v>
      </c>
      <c r="G21" s="28">
        <v>0.45</v>
      </c>
      <c r="H21" s="29">
        <v>0.4</v>
      </c>
      <c r="L21" s="15">
        <v>0.6</v>
      </c>
      <c r="M21" s="16">
        <v>20</v>
      </c>
      <c r="N21" s="16">
        <f>1</f>
        <v>1</v>
      </c>
      <c r="O21" s="17">
        <f t="shared" si="1"/>
        <v>0.84886619214908565</v>
      </c>
    </row>
    <row r="22" spans="1:32" s="3" customFormat="1" x14ac:dyDescent="0.2">
      <c r="A22" s="25">
        <v>3</v>
      </c>
      <c r="B22" s="26"/>
      <c r="C22" s="27">
        <v>12</v>
      </c>
      <c r="D22" s="28">
        <v>0.75</v>
      </c>
      <c r="E22" s="29">
        <v>0.65</v>
      </c>
      <c r="F22" s="30">
        <v>0.54500000000000004</v>
      </c>
      <c r="G22" s="28">
        <v>0.52500000000000002</v>
      </c>
      <c r="H22" s="29">
        <v>0.47499999999999998</v>
      </c>
      <c r="L22" s="15">
        <v>0.8</v>
      </c>
      <c r="M22" s="16">
        <v>20</v>
      </c>
      <c r="N22" s="16">
        <f>1</f>
        <v>1</v>
      </c>
      <c r="O22" s="17">
        <f t="shared" si="1"/>
        <v>1.1318215895321144</v>
      </c>
    </row>
    <row r="23" spans="1:32" s="3" customFormat="1" x14ac:dyDescent="0.2">
      <c r="A23" s="25">
        <v>4</v>
      </c>
      <c r="B23" s="26"/>
      <c r="C23" s="27">
        <v>16</v>
      </c>
      <c r="D23" s="28">
        <v>1</v>
      </c>
      <c r="E23" s="29">
        <v>0.85</v>
      </c>
      <c r="F23" s="30">
        <v>0.72499999999999998</v>
      </c>
      <c r="G23" s="28">
        <v>0.7</v>
      </c>
      <c r="H23" s="29">
        <v>0.625</v>
      </c>
      <c r="L23" s="15">
        <v>1</v>
      </c>
      <c r="M23" s="16">
        <v>20</v>
      </c>
      <c r="N23" s="16">
        <f>1</f>
        <v>1</v>
      </c>
      <c r="O23" s="17">
        <f t="shared" si="1"/>
        <v>1.414776986915143</v>
      </c>
    </row>
    <row r="24" spans="1:32" s="3" customFormat="1" x14ac:dyDescent="0.2">
      <c r="A24" s="25">
        <v>5</v>
      </c>
      <c r="B24" s="26"/>
      <c r="C24" s="27">
        <v>20</v>
      </c>
      <c r="D24" s="28">
        <v>1.25</v>
      </c>
      <c r="E24" s="29">
        <v>1.05</v>
      </c>
      <c r="F24" s="30">
        <v>0.91</v>
      </c>
      <c r="G24" s="28">
        <v>0.875</v>
      </c>
      <c r="H24" s="29">
        <v>0.8</v>
      </c>
      <c r="L24" s="15">
        <v>1.2</v>
      </c>
      <c r="M24" s="16">
        <v>20</v>
      </c>
      <c r="N24" s="16">
        <f>1</f>
        <v>1</v>
      </c>
      <c r="O24" s="17">
        <f t="shared" si="1"/>
        <v>1.6977323842981713</v>
      </c>
    </row>
    <row r="25" spans="1:32" s="3" customFormat="1" x14ac:dyDescent="0.2">
      <c r="A25" s="25">
        <v>6</v>
      </c>
      <c r="B25" s="26"/>
      <c r="C25" s="27">
        <v>25</v>
      </c>
      <c r="D25" s="28">
        <v>1.55</v>
      </c>
      <c r="E25" s="29">
        <v>1.35</v>
      </c>
      <c r="F25" s="30">
        <v>1.135</v>
      </c>
      <c r="G25" s="28">
        <v>1.1000000000000001</v>
      </c>
      <c r="H25" s="29">
        <v>1</v>
      </c>
      <c r="L25" s="31"/>
      <c r="M25" s="32"/>
      <c r="N25" s="32"/>
      <c r="O25" s="33"/>
    </row>
    <row r="26" spans="1:32" s="3" customFormat="1" x14ac:dyDescent="0.2">
      <c r="A26" s="34">
        <v>7</v>
      </c>
      <c r="B26" s="35"/>
      <c r="C26" s="36">
        <v>32</v>
      </c>
      <c r="D26" s="28">
        <v>2</v>
      </c>
      <c r="E26" s="29">
        <v>1.7</v>
      </c>
      <c r="F26" s="30">
        <v>1.45</v>
      </c>
      <c r="G26" s="28">
        <v>1.4</v>
      </c>
      <c r="H26" s="29">
        <v>1.25</v>
      </c>
    </row>
    <row r="27" spans="1:32" s="3" customFormat="1" x14ac:dyDescent="0.2">
      <c r="D27" s="2"/>
      <c r="E27" s="2"/>
      <c r="F27" s="2"/>
    </row>
    <row r="28" spans="1:32" s="50" customFormat="1" ht="20.100000000000001" customHeight="1" x14ac:dyDescent="0.25">
      <c r="A28" s="37" t="s">
        <v>47</v>
      </c>
      <c r="B28" s="38"/>
      <c r="C28" s="39"/>
      <c r="D28" s="40"/>
      <c r="E28" s="41"/>
      <c r="F28" s="42"/>
      <c r="G28" s="43"/>
      <c r="H28" s="44"/>
      <c r="I28" s="43"/>
      <c r="J28" s="44" t="s">
        <v>48</v>
      </c>
      <c r="K28" s="44"/>
      <c r="L28" s="44"/>
      <c r="M28" s="44"/>
      <c r="N28" s="45"/>
      <c r="O28" s="46"/>
      <c r="P28" s="47"/>
      <c r="Q28" s="41"/>
      <c r="R28" s="48"/>
      <c r="S28" s="117"/>
      <c r="T28" s="117"/>
      <c r="U28" s="117"/>
      <c r="V28" s="117"/>
      <c r="W28" s="117"/>
      <c r="X28" s="117"/>
      <c r="Y28" s="117"/>
      <c r="Z28" s="117"/>
      <c r="AA28" s="117"/>
    </row>
    <row r="29" spans="1:32" s="49" customFormat="1" ht="20.100000000000001" customHeight="1" x14ac:dyDescent="0.25">
      <c r="A29" s="51"/>
      <c r="B29" s="51"/>
      <c r="C29" s="52"/>
      <c r="D29" s="118" t="s">
        <v>49</v>
      </c>
      <c r="E29" s="120" t="s">
        <v>50</v>
      </c>
      <c r="F29" s="122" t="s">
        <v>51</v>
      </c>
      <c r="G29" s="122" t="s">
        <v>52</v>
      </c>
      <c r="H29" s="106" t="s">
        <v>53</v>
      </c>
      <c r="I29" s="106" t="s">
        <v>54</v>
      </c>
      <c r="J29" s="106" t="s">
        <v>55</v>
      </c>
      <c r="K29" s="105" t="s">
        <v>56</v>
      </c>
      <c r="L29" s="106" t="s">
        <v>57</v>
      </c>
      <c r="M29" s="107" t="s">
        <v>58</v>
      </c>
      <c r="N29" s="53" t="s">
        <v>59</v>
      </c>
      <c r="O29" s="54" t="s">
        <v>35</v>
      </c>
      <c r="P29" s="55" t="s">
        <v>60</v>
      </c>
      <c r="Q29" s="56" t="s">
        <v>61</v>
      </c>
      <c r="R29" s="57" t="s">
        <v>62</v>
      </c>
    </row>
    <row r="30" spans="1:32" s="50" customFormat="1" ht="20.100000000000001" customHeight="1" x14ac:dyDescent="0.25">
      <c r="A30" s="58"/>
      <c r="B30" s="58"/>
      <c r="C30" s="59" t="s">
        <v>63</v>
      </c>
      <c r="D30" s="119"/>
      <c r="E30" s="121"/>
      <c r="F30" s="122"/>
      <c r="G30" s="122"/>
      <c r="H30" s="106"/>
      <c r="I30" s="106"/>
      <c r="J30" s="106"/>
      <c r="K30" s="105"/>
      <c r="L30" s="106"/>
      <c r="M30" s="108"/>
      <c r="N30" s="60"/>
      <c r="O30" s="61"/>
      <c r="P30" s="62"/>
      <c r="Q30" s="62"/>
      <c r="R30" s="62"/>
      <c r="S30" s="63"/>
      <c r="T30" s="63"/>
      <c r="U30" s="63"/>
      <c r="V30" s="63"/>
      <c r="W30" s="49"/>
      <c r="X30" s="49"/>
      <c r="Y30" s="49"/>
      <c r="Z30" s="49"/>
      <c r="AA30" s="49"/>
    </row>
    <row r="31" spans="1:32" s="50" customFormat="1" ht="20.100000000000001" customHeight="1" x14ac:dyDescent="0.25">
      <c r="A31" s="64">
        <v>1</v>
      </c>
      <c r="B31" s="64"/>
      <c r="C31" s="65"/>
      <c r="D31" s="66" t="e">
        <f>+#REF!</f>
        <v>#REF!</v>
      </c>
      <c r="E31" s="66" t="e">
        <f>+#REF!</f>
        <v>#REF!</v>
      </c>
      <c r="F31" s="67" t="e">
        <f>+#REF!</f>
        <v>#REF!</v>
      </c>
      <c r="G31" s="67" t="e">
        <f>+#REF!</f>
        <v>#REF!</v>
      </c>
      <c r="H31" s="67" t="e">
        <f>+#REF!</f>
        <v>#REF!</v>
      </c>
      <c r="I31" s="67" t="e">
        <f>+#REF!</f>
        <v>#REF!</v>
      </c>
      <c r="J31" s="67" t="e">
        <f>+#REF!</f>
        <v>#REF!</v>
      </c>
      <c r="K31" s="67" t="e">
        <f>+#REF!</f>
        <v>#REF!</v>
      </c>
      <c r="L31" s="67" t="e">
        <f>+#REF!</f>
        <v>#REF!</v>
      </c>
      <c r="M31" s="68" t="e">
        <f t="shared" ref="M31:M38" si="2">SUM(F31:L31)</f>
        <v>#REF!</v>
      </c>
      <c r="N31" s="68" t="e">
        <f>(M31*1000)/D31</f>
        <v>#REF!</v>
      </c>
      <c r="O31" s="69" t="s">
        <v>36</v>
      </c>
      <c r="P31" s="70"/>
      <c r="Q31" s="70"/>
      <c r="R31" s="70"/>
      <c r="S31" s="71"/>
      <c r="T31" s="71"/>
      <c r="U31" s="71"/>
      <c r="V31" s="71"/>
      <c r="W31" s="71"/>
      <c r="X31" s="71"/>
      <c r="Y31" s="71"/>
      <c r="Z31" s="71"/>
      <c r="AA31" s="71"/>
      <c r="AB31" s="72"/>
      <c r="AD31" s="72">
        <f>(V31+W31)*0.5*190</f>
        <v>0</v>
      </c>
      <c r="AE31" s="72">
        <f>0.8*(V31+W31)*0.5*2.02*(69.59+7)</f>
        <v>0</v>
      </c>
      <c r="AF31" s="72">
        <f>AE31-AD31</f>
        <v>0</v>
      </c>
    </row>
    <row r="32" spans="1:32" s="50" customFormat="1" ht="20.100000000000001" customHeight="1" x14ac:dyDescent="0.25">
      <c r="A32" s="64">
        <v>2</v>
      </c>
      <c r="B32" s="64"/>
      <c r="C32" s="65"/>
      <c r="D32" s="73">
        <f>+I47</f>
        <v>1.8127800000000003</v>
      </c>
      <c r="E32" s="73">
        <f>+J47</f>
        <v>8.2805999999999997</v>
      </c>
      <c r="F32" s="74">
        <f t="shared" ref="F32:L32" si="3">+Q47</f>
        <v>2.2256865462857163</v>
      </c>
      <c r="G32" s="74">
        <f>+R47</f>
        <v>6.9846602964285687</v>
      </c>
      <c r="H32" s="74">
        <f t="shared" si="3"/>
        <v>3.2537098427428575</v>
      </c>
      <c r="I32" s="74">
        <f t="shared" si="3"/>
        <v>1.8759033216000007</v>
      </c>
      <c r="J32" s="74">
        <f t="shared" si="3"/>
        <v>12.098747681428559</v>
      </c>
      <c r="K32" s="74">
        <f t="shared" si="3"/>
        <v>10.706147154017861</v>
      </c>
      <c r="L32" s="74">
        <f t="shared" si="3"/>
        <v>0</v>
      </c>
      <c r="M32" s="68">
        <f t="shared" si="2"/>
        <v>37.144854842503563</v>
      </c>
      <c r="N32" s="68">
        <f t="shared" ref="N32:N35" si="4">(M32*1000)/D32</f>
        <v>20490.547580237842</v>
      </c>
      <c r="O32" s="69" t="s">
        <v>44</v>
      </c>
      <c r="P32" s="70"/>
      <c r="Q32" s="70"/>
      <c r="R32" s="70"/>
      <c r="S32" s="71"/>
      <c r="T32" s="71"/>
      <c r="U32" s="71"/>
      <c r="V32" s="71"/>
      <c r="W32" s="71"/>
      <c r="X32" s="71"/>
      <c r="Y32" s="71"/>
      <c r="Z32" s="71"/>
      <c r="AA32" s="71"/>
      <c r="AB32" s="72"/>
      <c r="AF32" s="50" t="e">
        <f>AF31/(V31+W31)</f>
        <v>#DIV/0!</v>
      </c>
    </row>
    <row r="33" spans="1:28" s="50" customFormat="1" ht="20.100000000000001" customHeight="1" x14ac:dyDescent="0.25">
      <c r="A33" s="64">
        <v>3</v>
      </c>
      <c r="B33" s="64"/>
      <c r="C33" s="65"/>
      <c r="D33" s="73" t="e">
        <f>+#REF!</f>
        <v>#REF!</v>
      </c>
      <c r="E33" s="73" t="e">
        <f>+#REF!</f>
        <v>#REF!</v>
      </c>
      <c r="F33" s="74" t="e">
        <f>+#REF!</f>
        <v>#REF!</v>
      </c>
      <c r="G33" s="74" t="e">
        <f>+#REF!</f>
        <v>#REF!</v>
      </c>
      <c r="H33" s="74" t="e">
        <f>+#REF!</f>
        <v>#REF!</v>
      </c>
      <c r="I33" s="74" t="e">
        <f>+#REF!</f>
        <v>#REF!</v>
      </c>
      <c r="J33" s="74" t="e">
        <f>+#REF!</f>
        <v>#REF!</v>
      </c>
      <c r="K33" s="74" t="e">
        <f>+#REF!</f>
        <v>#REF!</v>
      </c>
      <c r="L33" s="74" t="e">
        <f>+#REF!</f>
        <v>#REF!</v>
      </c>
      <c r="M33" s="68" t="e">
        <f t="shared" si="2"/>
        <v>#REF!</v>
      </c>
      <c r="N33" s="68" t="e">
        <f t="shared" si="4"/>
        <v>#REF!</v>
      </c>
      <c r="O33" s="69" t="s">
        <v>44</v>
      </c>
      <c r="P33" s="70"/>
      <c r="Q33" s="70"/>
      <c r="R33" s="70"/>
      <c r="S33" s="71"/>
      <c r="T33" s="71"/>
      <c r="U33" s="71"/>
      <c r="V33" s="71"/>
      <c r="W33" s="71"/>
      <c r="X33" s="71"/>
      <c r="Y33" s="71"/>
      <c r="Z33" s="71"/>
      <c r="AA33" s="71"/>
      <c r="AB33" s="72"/>
    </row>
    <row r="34" spans="1:28" s="50" customFormat="1" ht="20.100000000000001" customHeight="1" x14ac:dyDescent="0.25">
      <c r="A34" s="64">
        <v>4</v>
      </c>
      <c r="B34" s="64"/>
      <c r="C34" s="65"/>
      <c r="D34" s="73" t="e">
        <f>+#REF!</f>
        <v>#REF!</v>
      </c>
      <c r="E34" s="73" t="e">
        <f>+#REF!</f>
        <v>#REF!</v>
      </c>
      <c r="F34" s="74" t="e">
        <f>+#REF!</f>
        <v>#REF!</v>
      </c>
      <c r="G34" s="74" t="e">
        <f>+#REF!</f>
        <v>#REF!</v>
      </c>
      <c r="H34" s="74" t="e">
        <f>+#REF!</f>
        <v>#REF!</v>
      </c>
      <c r="I34" s="74" t="e">
        <f>+#REF!</f>
        <v>#REF!</v>
      </c>
      <c r="J34" s="74" t="e">
        <f>+#REF!</f>
        <v>#REF!</v>
      </c>
      <c r="K34" s="74" t="e">
        <f>+#REF!</f>
        <v>#REF!</v>
      </c>
      <c r="L34" s="74" t="e">
        <f>+#REF!</f>
        <v>#REF!</v>
      </c>
      <c r="M34" s="68" t="e">
        <f t="shared" si="2"/>
        <v>#REF!</v>
      </c>
      <c r="N34" s="68" t="e">
        <f t="shared" si="4"/>
        <v>#REF!</v>
      </c>
      <c r="O34" s="69" t="s">
        <v>44</v>
      </c>
      <c r="P34" s="75"/>
      <c r="Q34" s="70"/>
      <c r="R34" s="70"/>
      <c r="S34" s="71"/>
      <c r="T34" s="71"/>
      <c r="U34" s="71"/>
      <c r="V34" s="71"/>
      <c r="W34" s="71"/>
      <c r="X34" s="71"/>
      <c r="Y34" s="71"/>
      <c r="Z34" s="71"/>
      <c r="AA34" s="71"/>
      <c r="AB34" s="72"/>
    </row>
    <row r="35" spans="1:28" s="50" customFormat="1" ht="20.100000000000001" customHeight="1" x14ac:dyDescent="0.25">
      <c r="A35" s="64">
        <v>5</v>
      </c>
      <c r="B35" s="64"/>
      <c r="C35" s="65"/>
      <c r="D35" s="73" t="e">
        <f t="shared" ref="D35:L35" si="5">+D33</f>
        <v>#REF!</v>
      </c>
      <c r="E35" s="73" t="e">
        <f t="shared" si="5"/>
        <v>#REF!</v>
      </c>
      <c r="F35" s="76" t="e">
        <f t="shared" si="5"/>
        <v>#REF!</v>
      </c>
      <c r="G35" s="76" t="e">
        <f t="shared" si="5"/>
        <v>#REF!</v>
      </c>
      <c r="H35" s="76" t="e">
        <f t="shared" si="5"/>
        <v>#REF!</v>
      </c>
      <c r="I35" s="76" t="e">
        <f t="shared" si="5"/>
        <v>#REF!</v>
      </c>
      <c r="J35" s="76" t="e">
        <f t="shared" si="5"/>
        <v>#REF!</v>
      </c>
      <c r="K35" s="76" t="e">
        <f t="shared" si="5"/>
        <v>#REF!</v>
      </c>
      <c r="L35" s="76" t="e">
        <f t="shared" si="5"/>
        <v>#REF!</v>
      </c>
      <c r="M35" s="68" t="e">
        <f t="shared" si="2"/>
        <v>#REF!</v>
      </c>
      <c r="N35" s="68" t="e">
        <f t="shared" si="4"/>
        <v>#REF!</v>
      </c>
      <c r="O35" s="69" t="s">
        <v>44</v>
      </c>
      <c r="P35" s="70"/>
      <c r="Q35" s="70"/>
      <c r="R35" s="70"/>
      <c r="S35" s="71"/>
      <c r="T35" s="71"/>
      <c r="U35" s="71"/>
      <c r="V35" s="71"/>
      <c r="W35" s="71"/>
      <c r="X35" s="71"/>
      <c r="Y35" s="71"/>
      <c r="Z35" s="71"/>
      <c r="AA35" s="71"/>
      <c r="AB35" s="72"/>
    </row>
    <row r="36" spans="1:28" s="50" customFormat="1" ht="20.100000000000001" customHeight="1" x14ac:dyDescent="0.25">
      <c r="A36" s="64">
        <v>6</v>
      </c>
      <c r="B36" s="64"/>
      <c r="C36" s="65"/>
      <c r="D36" s="73" t="e">
        <f>+#REF!</f>
        <v>#REF!</v>
      </c>
      <c r="E36" s="73" t="e">
        <f>+#REF!</f>
        <v>#REF!</v>
      </c>
      <c r="F36" s="74" t="e">
        <f>+#REF!</f>
        <v>#REF!</v>
      </c>
      <c r="G36" s="74" t="e">
        <f>+#REF!</f>
        <v>#REF!</v>
      </c>
      <c r="H36" s="74" t="e">
        <f>+#REF!</f>
        <v>#REF!</v>
      </c>
      <c r="I36" s="74" t="e">
        <f>+#REF!</f>
        <v>#REF!</v>
      </c>
      <c r="J36" s="74" t="e">
        <f>+#REF!</f>
        <v>#REF!</v>
      </c>
      <c r="K36" s="74" t="e">
        <f>+#REF!</f>
        <v>#REF!</v>
      </c>
      <c r="L36" s="74" t="e">
        <f>+#REF!</f>
        <v>#REF!</v>
      </c>
      <c r="M36" s="68" t="e">
        <f t="shared" si="2"/>
        <v>#REF!</v>
      </c>
      <c r="N36" s="68" t="e">
        <f>(M36*1000)/D36</f>
        <v>#REF!</v>
      </c>
      <c r="O36" s="69" t="s">
        <v>44</v>
      </c>
      <c r="P36" s="70"/>
      <c r="Q36" s="70"/>
      <c r="R36" s="70"/>
      <c r="S36" s="71"/>
      <c r="T36" s="71"/>
      <c r="U36" s="71"/>
      <c r="V36" s="71"/>
      <c r="W36" s="71"/>
      <c r="X36" s="71"/>
      <c r="Y36" s="71"/>
      <c r="Z36" s="71"/>
      <c r="AA36" s="71"/>
      <c r="AB36" s="72"/>
    </row>
    <row r="37" spans="1:28" s="50" customFormat="1" ht="20.100000000000001" customHeight="1" x14ac:dyDescent="0.25">
      <c r="A37" s="64">
        <v>7</v>
      </c>
      <c r="B37" s="64"/>
      <c r="C37" s="65"/>
      <c r="D37" s="73" t="e">
        <f>#REF!</f>
        <v>#REF!</v>
      </c>
      <c r="E37" s="73" t="e">
        <f>#REF!</f>
        <v>#REF!</v>
      </c>
      <c r="F37" s="74" t="e">
        <f>#REF!</f>
        <v>#REF!</v>
      </c>
      <c r="G37" s="74" t="e">
        <f>#REF!</f>
        <v>#REF!</v>
      </c>
      <c r="H37" s="74" t="e">
        <f>#REF!</f>
        <v>#REF!</v>
      </c>
      <c r="I37" s="74" t="e">
        <f>#REF!</f>
        <v>#REF!</v>
      </c>
      <c r="J37" s="74" t="e">
        <f>#REF!</f>
        <v>#REF!</v>
      </c>
      <c r="K37" s="74" t="e">
        <f>#REF!</f>
        <v>#REF!</v>
      </c>
      <c r="L37" s="74" t="e">
        <f>#REF!</f>
        <v>#REF!</v>
      </c>
      <c r="M37" s="68" t="e">
        <f t="shared" si="2"/>
        <v>#REF!</v>
      </c>
      <c r="N37" s="68" t="e">
        <f>(M37*1000)/D37</f>
        <v>#REF!</v>
      </c>
      <c r="O37" s="69" t="s">
        <v>44</v>
      </c>
      <c r="P37" s="70"/>
      <c r="Q37" s="70"/>
      <c r="R37" s="70"/>
      <c r="S37" s="71"/>
      <c r="T37" s="71"/>
      <c r="U37" s="71"/>
      <c r="V37" s="71"/>
      <c r="W37" s="71"/>
      <c r="X37" s="71"/>
      <c r="Y37" s="71"/>
      <c r="Z37" s="71"/>
      <c r="AA37" s="71"/>
      <c r="AB37" s="72"/>
    </row>
    <row r="38" spans="1:28" s="50" customFormat="1" ht="20.100000000000001" customHeight="1" x14ac:dyDescent="0.25">
      <c r="A38" s="64">
        <v>8</v>
      </c>
      <c r="B38" s="64"/>
      <c r="C38" s="65"/>
      <c r="D38" s="73" t="e">
        <f>#REF!</f>
        <v>#REF!</v>
      </c>
      <c r="E38" s="73" t="e">
        <f>#REF!</f>
        <v>#REF!</v>
      </c>
      <c r="F38" s="74" t="e">
        <f>#REF!</f>
        <v>#REF!</v>
      </c>
      <c r="G38" s="74" t="e">
        <f>#REF!</f>
        <v>#REF!</v>
      </c>
      <c r="H38" s="74" t="e">
        <f>#REF!</f>
        <v>#REF!</v>
      </c>
      <c r="I38" s="74" t="e">
        <f>#REF!</f>
        <v>#REF!</v>
      </c>
      <c r="J38" s="74" t="e">
        <f>#REF!</f>
        <v>#REF!</v>
      </c>
      <c r="K38" s="74" t="e">
        <f>#REF!</f>
        <v>#REF!</v>
      </c>
      <c r="L38" s="74" t="e">
        <f>#REF!</f>
        <v>#REF!</v>
      </c>
      <c r="M38" s="68" t="e">
        <f t="shared" si="2"/>
        <v>#REF!</v>
      </c>
      <c r="N38" s="68" t="e">
        <f>(M38*1000)/D38</f>
        <v>#REF!</v>
      </c>
      <c r="O38" s="69" t="s">
        <v>44</v>
      </c>
      <c r="P38" s="70"/>
      <c r="Q38" s="70"/>
      <c r="R38" s="70"/>
      <c r="S38" s="71"/>
      <c r="T38" s="71"/>
      <c r="U38" s="71"/>
      <c r="V38" s="71"/>
      <c r="W38" s="71"/>
      <c r="X38" s="71"/>
      <c r="Y38" s="71"/>
      <c r="Z38" s="71"/>
      <c r="AA38" s="71"/>
      <c r="AB38" s="72"/>
    </row>
    <row r="39" spans="1:28" s="50" customFormat="1" ht="20.100000000000001" customHeight="1" x14ac:dyDescent="0.25">
      <c r="A39" s="77"/>
      <c r="B39" s="77"/>
      <c r="C39" s="59"/>
      <c r="D39" s="78" t="e">
        <f>SUM(D31:D38)</f>
        <v>#REF!</v>
      </c>
      <c r="E39" s="78" t="e">
        <f t="shared" ref="E39:L39" si="6">SUM(E31:E38)</f>
        <v>#REF!</v>
      </c>
      <c r="F39" s="78" t="e">
        <f t="shared" si="6"/>
        <v>#REF!</v>
      </c>
      <c r="G39" s="78" t="e">
        <f t="shared" si="6"/>
        <v>#REF!</v>
      </c>
      <c r="H39" s="78" t="e">
        <f t="shared" si="6"/>
        <v>#REF!</v>
      </c>
      <c r="I39" s="78" t="e">
        <f t="shared" si="6"/>
        <v>#REF!</v>
      </c>
      <c r="J39" s="78" t="e">
        <f t="shared" si="6"/>
        <v>#REF!</v>
      </c>
      <c r="K39" s="78" t="e">
        <f t="shared" si="6"/>
        <v>#REF!</v>
      </c>
      <c r="L39" s="78" t="e">
        <f t="shared" si="6"/>
        <v>#REF!</v>
      </c>
      <c r="M39" s="78" t="e">
        <f>SUM(M31:M38)</f>
        <v>#REF!</v>
      </c>
      <c r="N39" s="79" t="e">
        <f>M39*1000/D39</f>
        <v>#REF!</v>
      </c>
      <c r="O39" s="53"/>
      <c r="P39" s="80">
        <f>SUM(P31:P37)</f>
        <v>0</v>
      </c>
      <c r="Q39" s="80">
        <f>SUM(Q31:Q37)</f>
        <v>0</v>
      </c>
      <c r="R39" s="80">
        <f>SUM(R31:R37)</f>
        <v>0</v>
      </c>
      <c r="S39" s="81"/>
      <c r="T39" s="81"/>
      <c r="U39" s="81"/>
      <c r="V39" s="81"/>
      <c r="W39" s="81"/>
      <c r="X39" s="81"/>
      <c r="Y39" s="81"/>
      <c r="Z39" s="81"/>
      <c r="AA39" s="81"/>
      <c r="AB39" s="72"/>
    </row>
    <row r="40" spans="1:28" s="3" customFormat="1" x14ac:dyDescent="0.2">
      <c r="D40" s="2"/>
      <c r="E40" s="2"/>
      <c r="F40" s="2"/>
    </row>
    <row r="41" spans="1:28" s="3" customFormat="1" x14ac:dyDescent="0.2">
      <c r="D41" s="2"/>
      <c r="E41" s="2"/>
      <c r="F41" s="2"/>
    </row>
    <row r="42" spans="1:28" s="3" customFormat="1" x14ac:dyDescent="0.2">
      <c r="A42" s="109" t="s">
        <v>4</v>
      </c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</row>
    <row r="43" spans="1:28" s="3" customFormat="1" ht="13.5" thickBot="1" x14ac:dyDescent="0.25">
      <c r="A43" s="110" t="s">
        <v>64</v>
      </c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2"/>
    </row>
    <row r="44" spans="1:28" s="3" customFormat="1" ht="25.5" x14ac:dyDescent="0.2">
      <c r="A44" s="113" t="s">
        <v>6</v>
      </c>
      <c r="B44" s="4"/>
      <c r="C44" s="99" t="s">
        <v>7</v>
      </c>
      <c r="D44" s="115" t="s">
        <v>8</v>
      </c>
      <c r="E44" s="99" t="s">
        <v>9</v>
      </c>
      <c r="F44" s="99" t="s">
        <v>10</v>
      </c>
      <c r="G44" s="5" t="s">
        <v>11</v>
      </c>
      <c r="H44" s="5" t="s">
        <v>12</v>
      </c>
      <c r="I44" s="5" t="s">
        <v>13</v>
      </c>
      <c r="J44" s="97" t="s">
        <v>14</v>
      </c>
      <c r="K44" s="99" t="s">
        <v>15</v>
      </c>
      <c r="L44" s="99"/>
      <c r="M44" s="99"/>
      <c r="N44" s="99"/>
      <c r="O44" s="97" t="s">
        <v>16</v>
      </c>
      <c r="P44" s="99" t="s">
        <v>17</v>
      </c>
      <c r="Q44" s="6">
        <v>8</v>
      </c>
      <c r="R44" s="6">
        <v>10</v>
      </c>
      <c r="S44" s="6">
        <v>12</v>
      </c>
      <c r="T44" s="6">
        <v>16</v>
      </c>
      <c r="U44" s="6">
        <v>20</v>
      </c>
      <c r="V44" s="6">
        <v>25</v>
      </c>
      <c r="W44" s="6">
        <v>32</v>
      </c>
      <c r="X44" s="101" t="s">
        <v>18</v>
      </c>
      <c r="Y44" s="103" t="s">
        <v>19</v>
      </c>
    </row>
    <row r="45" spans="1:28" s="3" customFormat="1" ht="30" customHeight="1" thickBot="1" x14ac:dyDescent="0.25">
      <c r="A45" s="114"/>
      <c r="B45" s="7"/>
      <c r="C45" s="100"/>
      <c r="D45" s="116"/>
      <c r="E45" s="100"/>
      <c r="F45" s="100"/>
      <c r="G45" s="8" t="s">
        <v>20</v>
      </c>
      <c r="H45" s="8" t="s">
        <v>21</v>
      </c>
      <c r="I45" s="8" t="s">
        <v>22</v>
      </c>
      <c r="J45" s="98"/>
      <c r="K45" s="8" t="s">
        <v>23</v>
      </c>
      <c r="L45" s="8" t="s">
        <v>24</v>
      </c>
      <c r="M45" s="8" t="s">
        <v>25</v>
      </c>
      <c r="N45" s="8" t="s">
        <v>26</v>
      </c>
      <c r="O45" s="98"/>
      <c r="P45" s="100"/>
      <c r="Q45" s="9">
        <f t="shared" ref="Q45:W45" si="7">22/7/4/1000/1000*7850*Q44*Q44</f>
        <v>0.39474285714285717</v>
      </c>
      <c r="R45" s="9">
        <f t="shared" si="7"/>
        <v>0.61678571428571427</v>
      </c>
      <c r="S45" s="9">
        <f t="shared" si="7"/>
        <v>0.88817142857142872</v>
      </c>
      <c r="T45" s="9">
        <f t="shared" si="7"/>
        <v>1.5789714285714287</v>
      </c>
      <c r="U45" s="9">
        <f t="shared" si="7"/>
        <v>2.4671428571428571</v>
      </c>
      <c r="V45" s="9">
        <f t="shared" si="7"/>
        <v>3.8549107142857149</v>
      </c>
      <c r="W45" s="9">
        <f t="shared" si="7"/>
        <v>6.3158857142857148</v>
      </c>
      <c r="X45" s="102"/>
      <c r="Y45" s="104"/>
    </row>
    <row r="46" spans="1:28" ht="20.100000000000001" customHeight="1" x14ac:dyDescent="0.2">
      <c r="A46" s="82"/>
      <c r="B46" s="82"/>
      <c r="C46" s="83"/>
      <c r="D46" s="82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4"/>
      <c r="R46" s="84"/>
      <c r="S46" s="84"/>
      <c r="T46" s="84"/>
      <c r="U46" s="84"/>
      <c r="V46" s="84"/>
      <c r="W46" s="84"/>
      <c r="X46" s="84"/>
      <c r="Y46" s="85"/>
    </row>
    <row r="47" spans="1:28" ht="27" customHeight="1" x14ac:dyDescent="0.2">
      <c r="A47" s="63"/>
      <c r="B47" s="63"/>
      <c r="C47" s="63" t="s">
        <v>65</v>
      </c>
      <c r="D47" s="63"/>
      <c r="E47" s="63"/>
      <c r="F47" s="63"/>
      <c r="G47" s="63"/>
      <c r="H47" s="63"/>
      <c r="I47" s="63">
        <f t="shared" ref="I47:N47" si="8">SUM(I48:I60)</f>
        <v>1.8127800000000003</v>
      </c>
      <c r="J47" s="63">
        <f t="shared" si="8"/>
        <v>8.2805999999999997</v>
      </c>
      <c r="K47" s="63">
        <f t="shared" si="8"/>
        <v>0</v>
      </c>
      <c r="L47" s="63">
        <f t="shared" si="8"/>
        <v>0</v>
      </c>
      <c r="M47" s="63">
        <f t="shared" si="8"/>
        <v>0</v>
      </c>
      <c r="N47" s="63">
        <f t="shared" si="8"/>
        <v>8.2805999999999997</v>
      </c>
      <c r="O47" s="63">
        <f>SUM(O48:O1100)</f>
        <v>3074.9373333333347</v>
      </c>
      <c r="P47" s="63">
        <f>SUM(P48:P1100)</f>
        <v>29495.270444444424</v>
      </c>
      <c r="Q47" s="63">
        <f t="shared" ref="Q47:X47" si="9">SUM(Q48:Q1100)/1000</f>
        <v>2.2256865462857163</v>
      </c>
      <c r="R47" s="63">
        <f t="shared" si="9"/>
        <v>6.9846602964285687</v>
      </c>
      <c r="S47" s="63">
        <f t="shared" si="9"/>
        <v>3.2537098427428575</v>
      </c>
      <c r="T47" s="63">
        <f t="shared" si="9"/>
        <v>1.8759033216000007</v>
      </c>
      <c r="U47" s="63">
        <f t="shared" si="9"/>
        <v>12.098747681428559</v>
      </c>
      <c r="V47" s="63">
        <f t="shared" si="9"/>
        <v>10.706147154017861</v>
      </c>
      <c r="W47" s="63">
        <f t="shared" si="9"/>
        <v>0</v>
      </c>
      <c r="X47" s="63">
        <f t="shared" si="9"/>
        <v>37.144854842503598</v>
      </c>
      <c r="Y47" s="63">
        <f>X47*1000/I47</f>
        <v>20490.547580237864</v>
      </c>
    </row>
    <row r="48" spans="1:28" ht="20.100000000000001" customHeight="1" x14ac:dyDescent="0.2">
      <c r="A48" s="82"/>
      <c r="B48" s="82"/>
      <c r="C48" s="83"/>
      <c r="D48" s="82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4"/>
      <c r="R48" s="84"/>
      <c r="S48" s="84"/>
      <c r="T48" s="84"/>
      <c r="U48" s="84"/>
      <c r="V48" s="84"/>
      <c r="W48" s="84"/>
      <c r="X48" s="84"/>
      <c r="Y48" s="85"/>
    </row>
    <row r="49" spans="1:32" s="3" customFormat="1" ht="20.100000000000001" customHeight="1" x14ac:dyDescent="0.2">
      <c r="A49" s="87"/>
      <c r="B49" s="87"/>
      <c r="C49" s="88" t="s">
        <v>66</v>
      </c>
      <c r="D49" s="89"/>
      <c r="E49" s="8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90"/>
      <c r="W49" s="90"/>
      <c r="X49" s="10"/>
      <c r="Y49" s="10"/>
      <c r="Z49" s="10"/>
      <c r="AA49" s="10"/>
      <c r="AB49" s="10"/>
      <c r="AC49" s="10"/>
      <c r="AD49" s="10"/>
      <c r="AE49" s="10"/>
    </row>
    <row r="50" spans="1:32" s="3" customFormat="1" ht="21" customHeight="1" x14ac:dyDescent="0.2">
      <c r="A50" s="10">
        <v>1</v>
      </c>
      <c r="B50" s="10" t="s">
        <v>67</v>
      </c>
      <c r="C50" s="91" t="s">
        <v>68</v>
      </c>
      <c r="D50" s="91">
        <v>1</v>
      </c>
      <c r="E50" s="91">
        <v>4.476</v>
      </c>
      <c r="F50" s="91">
        <v>0.45</v>
      </c>
      <c r="G50" s="91">
        <v>0.9</v>
      </c>
      <c r="H50" s="10">
        <f>G50-0.2</f>
        <v>0.7</v>
      </c>
      <c r="I50" s="10">
        <f>E50*F50*G50*D50</f>
        <v>1.8127800000000003</v>
      </c>
      <c r="J50" s="10">
        <f>(2*(E50)*H50*D50)+(E50*F50)</f>
        <v>8.2805999999999997</v>
      </c>
      <c r="K50" s="92">
        <f>IF(E50=0.3,J50,0)</f>
        <v>0</v>
      </c>
      <c r="L50" s="92">
        <f>IF(AND(E50&gt;0.3,E50&lt;=0.75),J50,0)</f>
        <v>0</v>
      </c>
      <c r="M50" s="92">
        <f>IF(AND(E50&gt;0.75,E50&lt;=1.2),J50,0)</f>
        <v>0</v>
      </c>
      <c r="N50" s="92">
        <f>IF(E50&gt;1.2,J50,0)</f>
        <v>8.2805999999999997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f>SUM(X51:X60)/I50</f>
        <v>157.28265038070964</v>
      </c>
      <c r="Z50" s="10"/>
      <c r="AA50" s="10"/>
      <c r="AB50" s="10"/>
      <c r="AC50" s="10"/>
      <c r="AD50" s="10"/>
      <c r="AE50" s="10"/>
      <c r="AF50" s="10"/>
    </row>
    <row r="51" spans="1:32" s="3" customFormat="1" ht="20.100000000000001" customHeight="1" x14ac:dyDescent="0.2">
      <c r="A51" s="87"/>
      <c r="B51" s="10" t="s">
        <v>67</v>
      </c>
      <c r="C51" s="93" t="s">
        <v>69</v>
      </c>
      <c r="D51" s="10">
        <v>20</v>
      </c>
      <c r="E51" s="10"/>
      <c r="F51" s="10">
        <v>4</v>
      </c>
      <c r="G51" s="90">
        <f>VLOOKUP(D51,$C$20:$F$26,3,0)</f>
        <v>1.05</v>
      </c>
      <c r="H51" s="90"/>
      <c r="I51" s="10"/>
      <c r="J51" s="10"/>
      <c r="K51" s="10"/>
      <c r="L51" s="10"/>
      <c r="M51" s="10"/>
      <c r="N51" s="10"/>
      <c r="O51" s="10">
        <f>(E50+1*(G51+(12*D51/1000))+1*(1.5/2))*D50</f>
        <v>6.516</v>
      </c>
      <c r="P51" s="10">
        <f t="shared" ref="P51:P60" si="10">O51*F51</f>
        <v>26.064</v>
      </c>
      <c r="Q51" s="10">
        <f t="shared" ref="Q51:W66" si="11">IF($D51=Q$44,$P51*Q$45,0)</f>
        <v>0</v>
      </c>
      <c r="R51" s="10">
        <f t="shared" si="11"/>
        <v>0</v>
      </c>
      <c r="S51" s="10">
        <f t="shared" si="11"/>
        <v>0</v>
      </c>
      <c r="T51" s="10">
        <f t="shared" si="11"/>
        <v>0</v>
      </c>
      <c r="U51" s="10">
        <f t="shared" si="11"/>
        <v>64.303611428571429</v>
      </c>
      <c r="V51" s="10">
        <f t="shared" si="11"/>
        <v>0</v>
      </c>
      <c r="W51" s="10">
        <f t="shared" si="11"/>
        <v>0</v>
      </c>
      <c r="X51" s="10">
        <f t="shared" ref="X51:X60" si="12">SUM(Q51:W51)</f>
        <v>64.303611428571429</v>
      </c>
      <c r="Y51" s="10"/>
      <c r="Z51" s="10"/>
      <c r="AA51" s="10"/>
      <c r="AB51" s="10"/>
      <c r="AC51" s="10"/>
      <c r="AD51" s="10"/>
      <c r="AE51" s="10"/>
    </row>
    <row r="52" spans="1:32" s="3" customFormat="1" ht="20.100000000000001" customHeight="1" x14ac:dyDescent="0.2">
      <c r="A52" s="87"/>
      <c r="B52" s="10" t="s">
        <v>67</v>
      </c>
      <c r="C52" s="93" t="s">
        <v>70</v>
      </c>
      <c r="D52" s="10">
        <v>16</v>
      </c>
      <c r="E52" s="10"/>
      <c r="F52" s="10">
        <v>2</v>
      </c>
      <c r="G52" s="90">
        <f>VLOOKUP(D52,$C$20:$F$26,3,0)</f>
        <v>0.85</v>
      </c>
      <c r="H52" s="90"/>
      <c r="I52" s="10"/>
      <c r="J52" s="10"/>
      <c r="K52" s="10"/>
      <c r="L52" s="10"/>
      <c r="M52" s="10"/>
      <c r="N52" s="10"/>
      <c r="O52" s="10">
        <f>(1.35+1*(G52+(12*D52/1000))*D50)</f>
        <v>2.3920000000000003</v>
      </c>
      <c r="P52" s="10">
        <f t="shared" si="10"/>
        <v>4.7840000000000007</v>
      </c>
      <c r="Q52" s="10">
        <f t="shared" si="11"/>
        <v>0</v>
      </c>
      <c r="R52" s="10">
        <f t="shared" si="11"/>
        <v>0</v>
      </c>
      <c r="S52" s="10">
        <f t="shared" si="11"/>
        <v>0</v>
      </c>
      <c r="T52" s="10">
        <f t="shared" si="11"/>
        <v>7.5537993142857163</v>
      </c>
      <c r="U52" s="10">
        <f t="shared" si="11"/>
        <v>0</v>
      </c>
      <c r="V52" s="10">
        <f t="shared" si="11"/>
        <v>0</v>
      </c>
      <c r="W52" s="10">
        <f t="shared" si="11"/>
        <v>0</v>
      </c>
      <c r="X52" s="10">
        <f t="shared" si="12"/>
        <v>7.5537993142857163</v>
      </c>
      <c r="Y52" s="10"/>
      <c r="Z52" s="10"/>
      <c r="AA52" s="10"/>
      <c r="AB52" s="10"/>
      <c r="AC52" s="10"/>
      <c r="AD52" s="10"/>
      <c r="AE52" s="10"/>
    </row>
    <row r="53" spans="1:32" s="3" customFormat="1" ht="20.100000000000001" customHeight="1" x14ac:dyDescent="0.2">
      <c r="A53" s="87"/>
      <c r="B53" s="10" t="s">
        <v>67</v>
      </c>
      <c r="C53" s="93" t="s">
        <v>70</v>
      </c>
      <c r="D53" s="10">
        <v>16</v>
      </c>
      <c r="E53" s="10"/>
      <c r="F53" s="10">
        <v>2</v>
      </c>
      <c r="G53" s="90">
        <f>VLOOKUP(D53,$C$20:$F$26,3,0)</f>
        <v>0.85</v>
      </c>
      <c r="H53" s="90"/>
      <c r="I53" s="10"/>
      <c r="J53" s="10"/>
      <c r="K53" s="10"/>
      <c r="L53" s="10"/>
      <c r="M53" s="10"/>
      <c r="N53" s="10"/>
      <c r="O53" s="10">
        <f>(1.35+1*(1.5/2))*D50</f>
        <v>2.1</v>
      </c>
      <c r="P53" s="10">
        <f t="shared" si="10"/>
        <v>4.2</v>
      </c>
      <c r="Q53" s="10">
        <f t="shared" si="11"/>
        <v>0</v>
      </c>
      <c r="R53" s="10">
        <f t="shared" si="11"/>
        <v>0</v>
      </c>
      <c r="S53" s="10">
        <f t="shared" si="11"/>
        <v>0</v>
      </c>
      <c r="T53" s="10">
        <f t="shared" si="11"/>
        <v>6.6316800000000011</v>
      </c>
      <c r="U53" s="10">
        <f t="shared" si="11"/>
        <v>0</v>
      </c>
      <c r="V53" s="10">
        <f t="shared" si="11"/>
        <v>0</v>
      </c>
      <c r="W53" s="10">
        <f t="shared" si="11"/>
        <v>0</v>
      </c>
      <c r="X53" s="10">
        <f t="shared" si="12"/>
        <v>6.6316800000000011</v>
      </c>
      <c r="Y53" s="10"/>
      <c r="Z53" s="10"/>
      <c r="AA53" s="10"/>
      <c r="AB53" s="10"/>
      <c r="AC53" s="10"/>
      <c r="AD53" s="10"/>
      <c r="AE53" s="10"/>
    </row>
    <row r="54" spans="1:32" s="3" customFormat="1" ht="20.100000000000001" customHeight="1" x14ac:dyDescent="0.2">
      <c r="A54" s="87"/>
      <c r="B54" s="10" t="s">
        <v>67</v>
      </c>
      <c r="C54" s="93" t="s">
        <v>71</v>
      </c>
      <c r="D54" s="10">
        <v>20</v>
      </c>
      <c r="E54" s="10"/>
      <c r="F54" s="10">
        <v>4</v>
      </c>
      <c r="G54" s="90">
        <f>VLOOKUP(D54,$C$20:$F$26,3,0)</f>
        <v>1.05</v>
      </c>
      <c r="H54" s="10"/>
      <c r="I54" s="10"/>
      <c r="J54" s="10"/>
      <c r="K54" s="10"/>
      <c r="L54" s="10"/>
      <c r="M54" s="10"/>
      <c r="N54" s="10"/>
      <c r="O54" s="10">
        <f>(E50+1*(G54+(12*D54/1000))+1*(1.5/2))*D50</f>
        <v>6.516</v>
      </c>
      <c r="P54" s="10">
        <f t="shared" si="10"/>
        <v>26.064</v>
      </c>
      <c r="Q54" s="10">
        <f t="shared" si="11"/>
        <v>0</v>
      </c>
      <c r="R54" s="10">
        <f t="shared" si="11"/>
        <v>0</v>
      </c>
      <c r="S54" s="10">
        <f t="shared" si="11"/>
        <v>0</v>
      </c>
      <c r="T54" s="10">
        <f t="shared" si="11"/>
        <v>0</v>
      </c>
      <c r="U54" s="10">
        <f t="shared" si="11"/>
        <v>64.303611428571429</v>
      </c>
      <c r="V54" s="10">
        <f t="shared" si="11"/>
        <v>0</v>
      </c>
      <c r="W54" s="10">
        <f t="shared" si="11"/>
        <v>0</v>
      </c>
      <c r="X54" s="10">
        <f t="shared" si="12"/>
        <v>64.303611428571429</v>
      </c>
      <c r="Y54" s="10"/>
      <c r="Z54" s="10"/>
      <c r="AA54" s="10"/>
      <c r="AB54" s="10"/>
      <c r="AC54" s="10"/>
      <c r="AD54" s="10"/>
      <c r="AE54" s="10"/>
    </row>
    <row r="55" spans="1:32" s="3" customFormat="1" ht="20.100000000000001" customHeight="1" x14ac:dyDescent="0.2">
      <c r="A55" s="87"/>
      <c r="B55" s="10" t="s">
        <v>67</v>
      </c>
      <c r="C55" s="93" t="s">
        <v>72</v>
      </c>
      <c r="D55" s="10">
        <v>12</v>
      </c>
      <c r="E55" s="10"/>
      <c r="F55" s="10">
        <v>2</v>
      </c>
      <c r="G55" s="90">
        <f>VLOOKUP(D55,$C$20:$F$26,3,0)</f>
        <v>0.65</v>
      </c>
      <c r="H55" s="10"/>
      <c r="I55" s="10"/>
      <c r="J55" s="10"/>
      <c r="K55" s="10"/>
      <c r="L55" s="10"/>
      <c r="M55" s="10"/>
      <c r="N55" s="10"/>
      <c r="O55" s="10">
        <f>(E50+1*(G55+(12*D55/1000))+(G55)*D50)</f>
        <v>5.92</v>
      </c>
      <c r="P55" s="10">
        <f t="shared" si="10"/>
        <v>11.84</v>
      </c>
      <c r="Q55" s="10">
        <f t="shared" si="11"/>
        <v>0</v>
      </c>
      <c r="R55" s="10">
        <f t="shared" si="11"/>
        <v>0</v>
      </c>
      <c r="S55" s="10">
        <f t="shared" si="11"/>
        <v>10.515949714285716</v>
      </c>
      <c r="T55" s="10">
        <f t="shared" si="11"/>
        <v>0</v>
      </c>
      <c r="U55" s="10">
        <f t="shared" si="11"/>
        <v>0</v>
      </c>
      <c r="V55" s="10">
        <f t="shared" si="11"/>
        <v>0</v>
      </c>
      <c r="W55" s="10">
        <f t="shared" si="11"/>
        <v>0</v>
      </c>
      <c r="X55" s="10">
        <f t="shared" si="12"/>
        <v>10.515949714285716</v>
      </c>
      <c r="Y55" s="10"/>
      <c r="Z55" s="10"/>
      <c r="AA55" s="10"/>
      <c r="AB55" s="10"/>
      <c r="AC55" s="10"/>
      <c r="AD55" s="10"/>
      <c r="AE55" s="10"/>
    </row>
    <row r="56" spans="1:32" s="3" customFormat="1" ht="20.100000000000001" customHeight="1" x14ac:dyDescent="0.2">
      <c r="A56" s="87"/>
      <c r="B56" s="10" t="s">
        <v>67</v>
      </c>
      <c r="C56" s="93" t="s">
        <v>73</v>
      </c>
      <c r="D56" s="10">
        <v>10</v>
      </c>
      <c r="E56" s="10">
        <v>0.1</v>
      </c>
      <c r="F56" s="10">
        <f>ROUND(IF(E50/3&gt;(2*G50),(E50/3)/E56,(2*G50)/E56),0)*2+1</f>
        <v>37</v>
      </c>
      <c r="H56" s="10"/>
      <c r="I56" s="10"/>
      <c r="J56" s="10"/>
      <c r="K56" s="10"/>
      <c r="L56" s="10"/>
      <c r="M56" s="10"/>
      <c r="N56" s="10"/>
      <c r="O56" s="10">
        <f>(2*((G50-(2*$D$11))+(F50-(2*$D$11)))+(2*10*D56/1000))*D50</f>
        <v>2.66</v>
      </c>
      <c r="P56" s="10">
        <f t="shared" si="10"/>
        <v>98.42</v>
      </c>
      <c r="Q56" s="10">
        <f t="shared" si="11"/>
        <v>0</v>
      </c>
      <c r="R56" s="10">
        <f t="shared" si="11"/>
        <v>60.704050000000002</v>
      </c>
      <c r="S56" s="10">
        <f t="shared" si="11"/>
        <v>0</v>
      </c>
      <c r="T56" s="10">
        <f t="shared" si="11"/>
        <v>0</v>
      </c>
      <c r="U56" s="10">
        <f t="shared" si="11"/>
        <v>0</v>
      </c>
      <c r="V56" s="10">
        <f t="shared" si="11"/>
        <v>0</v>
      </c>
      <c r="W56" s="10">
        <f t="shared" si="11"/>
        <v>0</v>
      </c>
      <c r="X56" s="10">
        <f t="shared" si="12"/>
        <v>60.704050000000002</v>
      </c>
      <c r="Y56" s="10"/>
      <c r="Z56" s="10"/>
      <c r="AA56" s="10"/>
      <c r="AB56" s="10"/>
      <c r="AC56" s="10"/>
      <c r="AD56" s="10"/>
      <c r="AE56" s="10"/>
    </row>
    <row r="57" spans="1:32" s="2" customFormat="1" ht="20.100000000000001" customHeight="1" x14ac:dyDescent="0.2">
      <c r="B57" s="10" t="s">
        <v>67</v>
      </c>
      <c r="C57" s="93" t="s">
        <v>73</v>
      </c>
      <c r="D57" s="2">
        <f>D56</f>
        <v>10</v>
      </c>
      <c r="E57" s="2">
        <v>0.17499999999999999</v>
      </c>
      <c r="F57" s="2">
        <f>ROUND((E50-(IF(E50/3&gt;2*G50,E50/3*2,G50*2*2)))/E57,0)</f>
        <v>5</v>
      </c>
      <c r="G57" s="3"/>
      <c r="O57" s="10">
        <f>(2*((G50-(2*$D$11))+(F50-(2*$D$11)))+(2*10*D57/1000))*D50</f>
        <v>2.66</v>
      </c>
      <c r="P57" s="10">
        <f t="shared" si="10"/>
        <v>13.3</v>
      </c>
      <c r="Q57" s="10">
        <f t="shared" si="11"/>
        <v>0</v>
      </c>
      <c r="R57" s="10">
        <f t="shared" si="11"/>
        <v>8.2032500000000006</v>
      </c>
      <c r="S57" s="10">
        <f t="shared" si="11"/>
        <v>0</v>
      </c>
      <c r="T57" s="10">
        <f t="shared" si="11"/>
        <v>0</v>
      </c>
      <c r="U57" s="10">
        <f t="shared" si="11"/>
        <v>0</v>
      </c>
      <c r="V57" s="10">
        <f t="shared" si="11"/>
        <v>0</v>
      </c>
      <c r="W57" s="10">
        <f t="shared" si="11"/>
        <v>0</v>
      </c>
      <c r="X57" s="10">
        <f t="shared" si="12"/>
        <v>8.2032500000000006</v>
      </c>
    </row>
    <row r="58" spans="1:32" s="2" customFormat="1" ht="20.100000000000001" customHeight="1" x14ac:dyDescent="0.2">
      <c r="B58" s="10" t="s">
        <v>67</v>
      </c>
      <c r="C58" s="93" t="s">
        <v>74</v>
      </c>
      <c r="D58" s="2">
        <f>D56</f>
        <v>10</v>
      </c>
      <c r="E58" s="2">
        <f>+E56</f>
        <v>0.1</v>
      </c>
      <c r="F58" s="10">
        <f>ROUND(IF(E50/3&gt;(2*G50),(E50/3)/E58,(2*G50)/E58),0)*2+1</f>
        <v>37</v>
      </c>
      <c r="G58" s="3"/>
      <c r="O58" s="10">
        <f>((((G50-(2*$D$11))+(2*10*D58/1000))*D50))*2</f>
        <v>2.08</v>
      </c>
      <c r="P58" s="10">
        <f t="shared" si="10"/>
        <v>76.960000000000008</v>
      </c>
      <c r="Q58" s="10">
        <f t="shared" si="11"/>
        <v>0</v>
      </c>
      <c r="R58" s="10">
        <f t="shared" si="11"/>
        <v>47.467828571428576</v>
      </c>
      <c r="S58" s="10">
        <f t="shared" si="11"/>
        <v>0</v>
      </c>
      <c r="T58" s="10">
        <f t="shared" si="11"/>
        <v>0</v>
      </c>
      <c r="U58" s="10">
        <f t="shared" si="11"/>
        <v>0</v>
      </c>
      <c r="V58" s="10">
        <f t="shared" si="11"/>
        <v>0</v>
      </c>
      <c r="W58" s="10">
        <f t="shared" si="11"/>
        <v>0</v>
      </c>
      <c r="X58" s="10">
        <f t="shared" si="12"/>
        <v>47.467828571428576</v>
      </c>
    </row>
    <row r="59" spans="1:32" s="2" customFormat="1" ht="20.100000000000001" customHeight="1" x14ac:dyDescent="0.2">
      <c r="B59" s="10" t="s">
        <v>67</v>
      </c>
      <c r="C59" s="93" t="s">
        <v>74</v>
      </c>
      <c r="D59" s="2">
        <f>D57</f>
        <v>10</v>
      </c>
      <c r="E59" s="2">
        <f>+E57</f>
        <v>0.17499999999999999</v>
      </c>
      <c r="F59" s="2">
        <f>ROUND((E50-(IF(E50/3&gt;2*G50,E50/3*2,G50*2*2)))/E59,0)</f>
        <v>5</v>
      </c>
      <c r="G59" s="3"/>
      <c r="O59" s="10">
        <f>((((G50-(2*$D$11))+(2*10*D59/1000))*D50))*2</f>
        <v>2.08</v>
      </c>
      <c r="P59" s="10">
        <f t="shared" si="10"/>
        <v>10.4</v>
      </c>
      <c r="Q59" s="10">
        <f t="shared" si="11"/>
        <v>0</v>
      </c>
      <c r="R59" s="10">
        <f t="shared" si="11"/>
        <v>6.4145714285714286</v>
      </c>
      <c r="S59" s="10">
        <f t="shared" si="11"/>
        <v>0</v>
      </c>
      <c r="T59" s="10">
        <f t="shared" si="11"/>
        <v>0</v>
      </c>
      <c r="U59" s="10">
        <f t="shared" si="11"/>
        <v>0</v>
      </c>
      <c r="V59" s="10">
        <f t="shared" si="11"/>
        <v>0</v>
      </c>
      <c r="W59" s="10">
        <f t="shared" si="11"/>
        <v>0</v>
      </c>
      <c r="X59" s="10">
        <f t="shared" si="12"/>
        <v>6.4145714285714286</v>
      </c>
    </row>
    <row r="60" spans="1:32" s="3" customFormat="1" ht="20.100000000000001" customHeight="1" x14ac:dyDescent="0.2">
      <c r="A60" s="87"/>
      <c r="B60" s="10" t="s">
        <v>67</v>
      </c>
      <c r="C60" s="93" t="s">
        <v>75</v>
      </c>
      <c r="D60" s="10">
        <f>+$D$15</f>
        <v>25</v>
      </c>
      <c r="E60" s="10">
        <f>+$E$15</f>
        <v>1</v>
      </c>
      <c r="F60" s="10">
        <f>ROUNDUP((1.35+E50)/E60,0)</f>
        <v>6</v>
      </c>
      <c r="G60" s="90"/>
      <c r="H60" s="90"/>
      <c r="I60" s="10"/>
      <c r="J60" s="10"/>
      <c r="K60" s="10"/>
      <c r="L60" s="10"/>
      <c r="M60" s="10"/>
      <c r="N60" s="10"/>
      <c r="O60" s="10">
        <f>F50-$F$15</f>
        <v>0.39</v>
      </c>
      <c r="P60" s="10">
        <f t="shared" si="10"/>
        <v>2.34</v>
      </c>
      <c r="Q60" s="10">
        <f t="shared" si="11"/>
        <v>0</v>
      </c>
      <c r="R60" s="10">
        <f t="shared" si="11"/>
        <v>0</v>
      </c>
      <c r="S60" s="10">
        <f t="shared" si="11"/>
        <v>0</v>
      </c>
      <c r="T60" s="10">
        <f t="shared" si="11"/>
        <v>0</v>
      </c>
      <c r="U60" s="10">
        <f t="shared" si="11"/>
        <v>0</v>
      </c>
      <c r="V60" s="10">
        <f t="shared" si="11"/>
        <v>9.0204910714285731</v>
      </c>
      <c r="W60" s="10">
        <f t="shared" si="11"/>
        <v>0</v>
      </c>
      <c r="X60" s="10">
        <f t="shared" si="12"/>
        <v>9.0204910714285731</v>
      </c>
      <c r="Y60" s="10"/>
      <c r="Z60" s="10"/>
      <c r="AA60" s="10"/>
      <c r="AB60" s="10"/>
      <c r="AC60" s="10"/>
      <c r="AD60" s="10"/>
      <c r="AE60" s="10"/>
    </row>
    <row r="61" spans="1:32" s="3" customFormat="1" ht="21" customHeight="1" x14ac:dyDescent="0.2">
      <c r="A61" s="10">
        <v>1</v>
      </c>
      <c r="B61" s="10" t="s">
        <v>67</v>
      </c>
      <c r="C61" s="91" t="s">
        <v>76</v>
      </c>
      <c r="D61" s="91">
        <v>1</v>
      </c>
      <c r="E61" s="91">
        <v>6</v>
      </c>
      <c r="F61" s="91">
        <v>0.45</v>
      </c>
      <c r="G61" s="91">
        <v>0.9</v>
      </c>
      <c r="H61" s="10">
        <f>G61-0.2</f>
        <v>0.7</v>
      </c>
      <c r="I61" s="10">
        <f>E61*F61*G61*D61</f>
        <v>2.4300000000000002</v>
      </c>
      <c r="J61" s="10">
        <f>(2*(E61)*H61*D61)+(E61*F61)</f>
        <v>11.099999999999998</v>
      </c>
      <c r="K61" s="92">
        <f>IF(E61=0.3,J61,0)</f>
        <v>0</v>
      </c>
      <c r="L61" s="92">
        <f>IF(AND(E61&gt;0.3,E61&lt;=0.75),J61,0)</f>
        <v>0</v>
      </c>
      <c r="M61" s="92">
        <f>IF(AND(E61&gt;0.75,E61&lt;=1.2),J61,0)</f>
        <v>0</v>
      </c>
      <c r="N61" s="92">
        <f>IF(E61&gt;1.2,J61,0)</f>
        <v>11.099999999999998</v>
      </c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>
        <f>SUM(X62:X70)/I61</f>
        <v>126.34908659611993</v>
      </c>
      <c r="Z61" s="10"/>
      <c r="AA61" s="10"/>
      <c r="AB61" s="10"/>
      <c r="AC61" s="10"/>
      <c r="AD61" s="10"/>
      <c r="AE61" s="10"/>
      <c r="AF61" s="10"/>
    </row>
    <row r="62" spans="1:32" s="3" customFormat="1" ht="20.100000000000001" customHeight="1" x14ac:dyDescent="0.2">
      <c r="A62" s="87"/>
      <c r="B62" s="10" t="s">
        <v>67</v>
      </c>
      <c r="C62" s="93" t="s">
        <v>69</v>
      </c>
      <c r="D62" s="10">
        <v>20</v>
      </c>
      <c r="E62" s="10"/>
      <c r="F62" s="10">
        <v>4</v>
      </c>
      <c r="G62" s="90">
        <f>VLOOKUP(D62,$C$20:$F$26,3,0)</f>
        <v>1.05</v>
      </c>
      <c r="H62" s="90"/>
      <c r="I62" s="10"/>
      <c r="J62" s="10"/>
      <c r="K62" s="10"/>
      <c r="L62" s="10"/>
      <c r="M62" s="10"/>
      <c r="N62" s="10"/>
      <c r="O62" s="10">
        <f>(E61+2*(1.5/2))*D61</f>
        <v>7.5</v>
      </c>
      <c r="P62" s="10">
        <f t="shared" ref="P62:P70" si="13">O62*F62</f>
        <v>30</v>
      </c>
      <c r="Q62" s="10">
        <f t="shared" si="11"/>
        <v>0</v>
      </c>
      <c r="R62" s="10">
        <f t="shared" si="11"/>
        <v>0</v>
      </c>
      <c r="S62" s="10">
        <f t="shared" si="11"/>
        <v>0</v>
      </c>
      <c r="T62" s="10">
        <f t="shared" si="11"/>
        <v>0</v>
      </c>
      <c r="U62" s="10">
        <f t="shared" si="11"/>
        <v>74.014285714285705</v>
      </c>
      <c r="V62" s="10">
        <f t="shared" si="11"/>
        <v>0</v>
      </c>
      <c r="W62" s="10">
        <f t="shared" si="11"/>
        <v>0</v>
      </c>
      <c r="X62" s="10">
        <f t="shared" ref="X62:X70" si="14">SUM(Q62:W62)</f>
        <v>74.014285714285705</v>
      </c>
      <c r="Y62" s="10"/>
      <c r="Z62" s="10"/>
      <c r="AA62" s="10"/>
      <c r="AB62" s="10"/>
      <c r="AC62" s="10"/>
      <c r="AD62" s="10"/>
      <c r="AE62" s="10"/>
    </row>
    <row r="63" spans="1:32" s="3" customFormat="1" ht="20.100000000000001" customHeight="1" x14ac:dyDescent="0.2">
      <c r="A63" s="87"/>
      <c r="B63" s="10" t="s">
        <v>67</v>
      </c>
      <c r="C63" s="93" t="s">
        <v>70</v>
      </c>
      <c r="D63" s="10">
        <v>16</v>
      </c>
      <c r="E63" s="10"/>
      <c r="F63" s="10">
        <v>2</v>
      </c>
      <c r="G63" s="90">
        <f>VLOOKUP(D63,$C$20:$F$26,3,0)</f>
        <v>0.85</v>
      </c>
      <c r="H63" s="90"/>
      <c r="I63" s="10"/>
      <c r="J63" s="10"/>
      <c r="K63" s="10"/>
      <c r="L63" s="10"/>
      <c r="M63" s="10"/>
      <c r="N63" s="10"/>
      <c r="O63" s="10">
        <f>(E61+2*(1.5/2))*D61</f>
        <v>7.5</v>
      </c>
      <c r="P63" s="10">
        <f t="shared" si="13"/>
        <v>15</v>
      </c>
      <c r="Q63" s="10">
        <f t="shared" si="11"/>
        <v>0</v>
      </c>
      <c r="R63" s="10">
        <f t="shared" si="11"/>
        <v>0</v>
      </c>
      <c r="S63" s="10">
        <f t="shared" si="11"/>
        <v>0</v>
      </c>
      <c r="T63" s="10">
        <f t="shared" si="11"/>
        <v>23.684571428571431</v>
      </c>
      <c r="U63" s="10">
        <f t="shared" si="11"/>
        <v>0</v>
      </c>
      <c r="V63" s="10">
        <f t="shared" si="11"/>
        <v>0</v>
      </c>
      <c r="W63" s="10">
        <f t="shared" si="11"/>
        <v>0</v>
      </c>
      <c r="X63" s="10">
        <f t="shared" si="14"/>
        <v>23.684571428571431</v>
      </c>
      <c r="Y63" s="10"/>
      <c r="Z63" s="10"/>
      <c r="AA63" s="10"/>
      <c r="AB63" s="10"/>
      <c r="AC63" s="10"/>
      <c r="AD63" s="10"/>
      <c r="AE63" s="10"/>
    </row>
    <row r="64" spans="1:32" s="3" customFormat="1" ht="20.100000000000001" customHeight="1" x14ac:dyDescent="0.2">
      <c r="A64" s="87"/>
      <c r="B64" s="10" t="s">
        <v>67</v>
      </c>
      <c r="C64" s="93" t="s">
        <v>71</v>
      </c>
      <c r="D64" s="10">
        <v>20</v>
      </c>
      <c r="E64" s="10"/>
      <c r="F64" s="10">
        <v>4</v>
      </c>
      <c r="G64" s="90">
        <f>VLOOKUP(D64,$C$20:$F$26,3,0)</f>
        <v>1.05</v>
      </c>
      <c r="H64" s="10"/>
      <c r="I64" s="10"/>
      <c r="J64" s="10"/>
      <c r="K64" s="10"/>
      <c r="L64" s="10"/>
      <c r="M64" s="10"/>
      <c r="N64" s="10"/>
      <c r="O64" s="10">
        <f>(E61+2*(1.5/2))*D61</f>
        <v>7.5</v>
      </c>
      <c r="P64" s="10">
        <f t="shared" si="13"/>
        <v>30</v>
      </c>
      <c r="Q64" s="10">
        <f t="shared" si="11"/>
        <v>0</v>
      </c>
      <c r="R64" s="10">
        <f t="shared" si="11"/>
        <v>0</v>
      </c>
      <c r="S64" s="10">
        <f t="shared" si="11"/>
        <v>0</v>
      </c>
      <c r="T64" s="10">
        <f t="shared" si="11"/>
        <v>0</v>
      </c>
      <c r="U64" s="10">
        <f t="shared" si="11"/>
        <v>74.014285714285705</v>
      </c>
      <c r="V64" s="10">
        <f t="shared" si="11"/>
        <v>0</v>
      </c>
      <c r="W64" s="10">
        <f t="shared" si="11"/>
        <v>0</v>
      </c>
      <c r="X64" s="10">
        <f t="shared" si="14"/>
        <v>74.014285714285705</v>
      </c>
      <c r="Y64" s="10"/>
      <c r="Z64" s="10"/>
      <c r="AA64" s="10"/>
      <c r="AB64" s="10"/>
      <c r="AC64" s="10"/>
      <c r="AD64" s="10"/>
      <c r="AE64" s="10"/>
    </row>
    <row r="65" spans="1:32" s="3" customFormat="1" ht="20.100000000000001" customHeight="1" x14ac:dyDescent="0.2">
      <c r="A65" s="87"/>
      <c r="B65" s="10" t="s">
        <v>67</v>
      </c>
      <c r="C65" s="93" t="s">
        <v>72</v>
      </c>
      <c r="D65" s="10">
        <v>12</v>
      </c>
      <c r="E65" s="10"/>
      <c r="F65" s="10">
        <v>2</v>
      </c>
      <c r="G65" s="90">
        <f>VLOOKUP(D65,$C$20:$F$26,3,0)</f>
        <v>0.65</v>
      </c>
      <c r="H65" s="10"/>
      <c r="I65" s="10"/>
      <c r="J65" s="10"/>
      <c r="K65" s="10"/>
      <c r="L65" s="10"/>
      <c r="M65" s="10"/>
      <c r="N65" s="10"/>
      <c r="O65" s="10">
        <f>(E61+2*(1.5/2))*D61</f>
        <v>7.5</v>
      </c>
      <c r="P65" s="10">
        <f t="shared" si="13"/>
        <v>15</v>
      </c>
      <c r="Q65" s="10">
        <f t="shared" si="11"/>
        <v>0</v>
      </c>
      <c r="R65" s="10">
        <f t="shared" si="11"/>
        <v>0</v>
      </c>
      <c r="S65" s="10">
        <f t="shared" si="11"/>
        <v>13.322571428571431</v>
      </c>
      <c r="T65" s="10">
        <f t="shared" si="11"/>
        <v>0</v>
      </c>
      <c r="U65" s="10">
        <f t="shared" si="11"/>
        <v>0</v>
      </c>
      <c r="V65" s="10">
        <f t="shared" si="11"/>
        <v>0</v>
      </c>
      <c r="W65" s="10">
        <f t="shared" si="11"/>
        <v>0</v>
      </c>
      <c r="X65" s="10">
        <f t="shared" si="14"/>
        <v>13.322571428571431</v>
      </c>
      <c r="Y65" s="10"/>
      <c r="Z65" s="10"/>
      <c r="AA65" s="10"/>
      <c r="AB65" s="10"/>
      <c r="AC65" s="10"/>
      <c r="AD65" s="10"/>
      <c r="AE65" s="10"/>
    </row>
    <row r="66" spans="1:32" s="3" customFormat="1" ht="20.100000000000001" customHeight="1" x14ac:dyDescent="0.2">
      <c r="A66" s="87"/>
      <c r="B66" s="10" t="s">
        <v>67</v>
      </c>
      <c r="C66" s="93" t="s">
        <v>73</v>
      </c>
      <c r="D66" s="10">
        <v>8</v>
      </c>
      <c r="E66" s="10">
        <v>0.1</v>
      </c>
      <c r="F66" s="10">
        <f>ROUND(IF(E61/3&gt;(2*G61),(E61/3)/E66,(2*G61)/E66),0)*2+1</f>
        <v>41</v>
      </c>
      <c r="H66" s="10"/>
      <c r="I66" s="10"/>
      <c r="J66" s="10"/>
      <c r="K66" s="10"/>
      <c r="L66" s="10"/>
      <c r="M66" s="10"/>
      <c r="N66" s="10"/>
      <c r="O66" s="10">
        <f>(2*((G61-(2*$D$11))+(F61-(2*$D$11)))+(2*10*D66/1000))*D61</f>
        <v>2.62</v>
      </c>
      <c r="P66" s="10">
        <f t="shared" si="13"/>
        <v>107.42</v>
      </c>
      <c r="Q66" s="10">
        <f t="shared" si="11"/>
        <v>42.403277714285721</v>
      </c>
      <c r="R66" s="10">
        <f t="shared" si="11"/>
        <v>0</v>
      </c>
      <c r="S66" s="10">
        <f t="shared" si="11"/>
        <v>0</v>
      </c>
      <c r="T66" s="10">
        <f t="shared" si="11"/>
        <v>0</v>
      </c>
      <c r="U66" s="10">
        <f t="shared" si="11"/>
        <v>0</v>
      </c>
      <c r="V66" s="10">
        <f t="shared" si="11"/>
        <v>0</v>
      </c>
      <c r="W66" s="10">
        <f t="shared" si="11"/>
        <v>0</v>
      </c>
      <c r="X66" s="10">
        <f t="shared" si="14"/>
        <v>42.403277714285721</v>
      </c>
      <c r="Y66" s="10"/>
      <c r="Z66" s="10"/>
      <c r="AA66" s="10"/>
      <c r="AB66" s="10"/>
      <c r="AC66" s="10"/>
      <c r="AD66" s="10"/>
      <c r="AE66" s="10"/>
    </row>
    <row r="67" spans="1:32" s="2" customFormat="1" ht="20.100000000000001" customHeight="1" x14ac:dyDescent="0.2">
      <c r="B67" s="10" t="s">
        <v>67</v>
      </c>
      <c r="C67" s="93" t="s">
        <v>73</v>
      </c>
      <c r="D67" s="2">
        <f>D66</f>
        <v>8</v>
      </c>
      <c r="E67" s="2">
        <v>0.125</v>
      </c>
      <c r="F67" s="2">
        <f>ROUND((E61-(IF(E61/3&gt;2*G61,E61/3*2,G61*2*2)))/E67,0)</f>
        <v>16</v>
      </c>
      <c r="G67" s="3"/>
      <c r="O67" s="10">
        <f>(2*((G61-(2*$D$11))+(F61-(2*$D$11)))+(2*10*D67/1000))*D61</f>
        <v>2.62</v>
      </c>
      <c r="P67" s="10">
        <f t="shared" si="13"/>
        <v>41.92</v>
      </c>
      <c r="Q67" s="10">
        <f t="shared" ref="Q67:W70" si="15">IF($D67=Q$44,$P67*Q$45,0)</f>
        <v>16.547620571428574</v>
      </c>
      <c r="R67" s="10">
        <f t="shared" si="15"/>
        <v>0</v>
      </c>
      <c r="S67" s="10">
        <f t="shared" si="15"/>
        <v>0</v>
      </c>
      <c r="T67" s="10">
        <f t="shared" si="15"/>
        <v>0</v>
      </c>
      <c r="U67" s="10">
        <f t="shared" si="15"/>
        <v>0</v>
      </c>
      <c r="V67" s="10">
        <f t="shared" si="15"/>
        <v>0</v>
      </c>
      <c r="W67" s="10">
        <f t="shared" si="15"/>
        <v>0</v>
      </c>
      <c r="X67" s="10">
        <f t="shared" si="14"/>
        <v>16.547620571428574</v>
      </c>
    </row>
    <row r="68" spans="1:32" s="2" customFormat="1" ht="20.100000000000001" customHeight="1" x14ac:dyDescent="0.2">
      <c r="B68" s="10" t="s">
        <v>67</v>
      </c>
      <c r="C68" s="93" t="s">
        <v>74</v>
      </c>
      <c r="D68" s="2">
        <f>D66</f>
        <v>8</v>
      </c>
      <c r="E68" s="2">
        <f>+E66</f>
        <v>0.1</v>
      </c>
      <c r="F68" s="10">
        <f>ROUND(IF(E61/3&gt;(2*G61),(E61/3)/E68,(2*G61)/E68),0)*2+1</f>
        <v>41</v>
      </c>
      <c r="G68" s="3"/>
      <c r="O68" s="10">
        <f>((((G61-(2*$D$11))+(2*10*D68/1000))*D61))*2</f>
        <v>2</v>
      </c>
      <c r="P68" s="10">
        <f t="shared" si="13"/>
        <v>82</v>
      </c>
      <c r="Q68" s="10">
        <f t="shared" si="15"/>
        <v>32.36891428571429</v>
      </c>
      <c r="R68" s="10">
        <f t="shared" si="15"/>
        <v>0</v>
      </c>
      <c r="S68" s="10">
        <f t="shared" si="15"/>
        <v>0</v>
      </c>
      <c r="T68" s="10">
        <f t="shared" si="15"/>
        <v>0</v>
      </c>
      <c r="U68" s="10">
        <f t="shared" si="15"/>
        <v>0</v>
      </c>
      <c r="V68" s="10">
        <f t="shared" si="15"/>
        <v>0</v>
      </c>
      <c r="W68" s="10">
        <f t="shared" si="15"/>
        <v>0</v>
      </c>
      <c r="X68" s="10">
        <f t="shared" si="14"/>
        <v>32.36891428571429</v>
      </c>
    </row>
    <row r="69" spans="1:32" s="2" customFormat="1" ht="20.100000000000001" customHeight="1" x14ac:dyDescent="0.2">
      <c r="B69" s="10" t="s">
        <v>67</v>
      </c>
      <c r="C69" s="93" t="s">
        <v>74</v>
      </c>
      <c r="D69" s="2">
        <f>D67</f>
        <v>8</v>
      </c>
      <c r="E69" s="2">
        <f>+E67</f>
        <v>0.125</v>
      </c>
      <c r="F69" s="2">
        <f>ROUND((E61-(IF(E61/3&gt;2*G61,E61/3*2,G61*2*2)))/E69,0)</f>
        <v>16</v>
      </c>
      <c r="G69" s="3"/>
      <c r="O69" s="10">
        <f>((((G61-(2*$D$11))+(2*10*D69/1000))*D61))*2</f>
        <v>2</v>
      </c>
      <c r="P69" s="10">
        <f t="shared" si="13"/>
        <v>32</v>
      </c>
      <c r="Q69" s="10">
        <f t="shared" si="15"/>
        <v>12.63177142857143</v>
      </c>
      <c r="R69" s="10">
        <f t="shared" si="15"/>
        <v>0</v>
      </c>
      <c r="S69" s="10">
        <f t="shared" si="15"/>
        <v>0</v>
      </c>
      <c r="T69" s="10">
        <f t="shared" si="15"/>
        <v>0</v>
      </c>
      <c r="U69" s="10">
        <f t="shared" si="15"/>
        <v>0</v>
      </c>
      <c r="V69" s="10">
        <f t="shared" si="15"/>
        <v>0</v>
      </c>
      <c r="W69" s="10">
        <f t="shared" si="15"/>
        <v>0</v>
      </c>
      <c r="X69" s="10">
        <f t="shared" si="14"/>
        <v>12.63177142857143</v>
      </c>
    </row>
    <row r="70" spans="1:32" s="3" customFormat="1" ht="20.100000000000001" customHeight="1" x14ac:dyDescent="0.2">
      <c r="A70" s="87"/>
      <c r="B70" s="10" t="s">
        <v>67</v>
      </c>
      <c r="C70" s="93" t="s">
        <v>75</v>
      </c>
      <c r="D70" s="10">
        <f>+$D$15</f>
        <v>25</v>
      </c>
      <c r="E70" s="10">
        <f>+$E$15</f>
        <v>1</v>
      </c>
      <c r="F70" s="10">
        <f>ROUNDUP((E61+E61)/E70,0)</f>
        <v>12</v>
      </c>
      <c r="G70" s="90"/>
      <c r="H70" s="90"/>
      <c r="I70" s="10"/>
      <c r="J70" s="10"/>
      <c r="K70" s="10"/>
      <c r="L70" s="10"/>
      <c r="M70" s="10"/>
      <c r="N70" s="10"/>
      <c r="O70" s="10">
        <f>F61-$F$15</f>
        <v>0.39</v>
      </c>
      <c r="P70" s="10">
        <f t="shared" si="13"/>
        <v>4.68</v>
      </c>
      <c r="Q70" s="10">
        <f t="shared" si="15"/>
        <v>0</v>
      </c>
      <c r="R70" s="10">
        <f t="shared" si="15"/>
        <v>0</v>
      </c>
      <c r="S70" s="10">
        <f t="shared" si="15"/>
        <v>0</v>
      </c>
      <c r="T70" s="10">
        <f t="shared" si="15"/>
        <v>0</v>
      </c>
      <c r="U70" s="10">
        <f t="shared" si="15"/>
        <v>0</v>
      </c>
      <c r="V70" s="10">
        <f t="shared" si="15"/>
        <v>18.040982142857146</v>
      </c>
      <c r="W70" s="10">
        <f t="shared" si="15"/>
        <v>0</v>
      </c>
      <c r="X70" s="10">
        <f t="shared" si="14"/>
        <v>18.040982142857146</v>
      </c>
      <c r="Y70" s="10"/>
      <c r="Z70" s="10"/>
      <c r="AA70" s="10"/>
      <c r="AB70" s="10"/>
      <c r="AC70" s="10"/>
      <c r="AD70" s="10"/>
      <c r="AE70" s="10"/>
    </row>
    <row r="71" spans="1:32" s="3" customFormat="1" ht="21" customHeight="1" x14ac:dyDescent="0.2">
      <c r="A71" s="10">
        <v>1</v>
      </c>
      <c r="B71" s="10" t="s">
        <v>67</v>
      </c>
      <c r="C71" s="91" t="s">
        <v>77</v>
      </c>
      <c r="D71" s="91">
        <v>1</v>
      </c>
      <c r="E71" s="91">
        <v>4.4139999999999997</v>
      </c>
      <c r="F71" s="91">
        <v>0.45</v>
      </c>
      <c r="G71" s="91">
        <v>0.9</v>
      </c>
      <c r="H71" s="10">
        <f>G71-0.2</f>
        <v>0.7</v>
      </c>
      <c r="I71" s="10">
        <f>E71*F71*G71*D71</f>
        <v>1.7876700000000001</v>
      </c>
      <c r="J71" s="10">
        <f>(2*(E71)*H71*D71)+(E71*F71)</f>
        <v>8.1658999999999988</v>
      </c>
      <c r="K71" s="92">
        <f>IF(E71=0.3,J71,0)</f>
        <v>0</v>
      </c>
      <c r="L71" s="92">
        <f>IF(AND(E71&gt;0.3,E71&lt;=0.75),J71,0)</f>
        <v>0</v>
      </c>
      <c r="M71" s="92">
        <f>IF(AND(E71&gt;0.75,E71&lt;=1.2),J71,0)</f>
        <v>0</v>
      </c>
      <c r="N71" s="92">
        <f>IF(E71&gt;1.2,J71,0)</f>
        <v>8.1658999999999988</v>
      </c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f>SUM(X72:X78)/I71</f>
        <v>138.18386863107526</v>
      </c>
      <c r="Z71" s="10"/>
      <c r="AA71" s="10"/>
      <c r="AB71" s="10"/>
      <c r="AC71" s="10"/>
      <c r="AD71" s="10"/>
      <c r="AE71" s="10"/>
      <c r="AF71" s="10"/>
    </row>
    <row r="72" spans="1:32" s="3" customFormat="1" ht="20.100000000000001" customHeight="1" x14ac:dyDescent="0.2">
      <c r="A72" s="87"/>
      <c r="B72" s="10" t="s">
        <v>67</v>
      </c>
      <c r="C72" s="93" t="s">
        <v>69</v>
      </c>
      <c r="D72" s="10">
        <v>20</v>
      </c>
      <c r="E72" s="10"/>
      <c r="F72" s="10">
        <v>4</v>
      </c>
      <c r="G72" s="90">
        <f>VLOOKUP(D72,$C$20:$F$26,3,0)</f>
        <v>1.05</v>
      </c>
      <c r="H72" s="90"/>
      <c r="I72" s="10"/>
      <c r="J72" s="10"/>
      <c r="K72" s="10"/>
      <c r="L72" s="10"/>
      <c r="M72" s="10"/>
      <c r="N72" s="10"/>
      <c r="O72" s="10">
        <f>(E71+1*(1.5/2))+(12*D72/1000)*D71</f>
        <v>5.4039999999999999</v>
      </c>
      <c r="P72" s="10">
        <f t="shared" ref="P72:P78" si="16">O72*F72</f>
        <v>21.616</v>
      </c>
      <c r="Q72" s="10">
        <f t="shared" ref="Q72:W85" si="17">IF($D72=Q$44,$P72*Q$45,0)</f>
        <v>0</v>
      </c>
      <c r="R72" s="10">
        <f t="shared" si="17"/>
        <v>0</v>
      </c>
      <c r="S72" s="10">
        <f t="shared" si="17"/>
        <v>0</v>
      </c>
      <c r="T72" s="10">
        <f t="shared" si="17"/>
        <v>0</v>
      </c>
      <c r="U72" s="10">
        <f t="shared" si="17"/>
        <v>53.32976</v>
      </c>
      <c r="V72" s="10">
        <f t="shared" si="17"/>
        <v>0</v>
      </c>
      <c r="W72" s="10">
        <f t="shared" si="17"/>
        <v>0</v>
      </c>
      <c r="X72" s="10">
        <f t="shared" ref="X72:X78" si="18">SUM(Q72:W72)</f>
        <v>53.32976</v>
      </c>
      <c r="Y72" s="10"/>
      <c r="Z72" s="10"/>
      <c r="AA72" s="10"/>
      <c r="AB72" s="10"/>
      <c r="AC72" s="10"/>
      <c r="AD72" s="10"/>
      <c r="AE72" s="10"/>
    </row>
    <row r="73" spans="1:32" s="3" customFormat="1" ht="20.100000000000001" customHeight="1" x14ac:dyDescent="0.2">
      <c r="A73" s="87"/>
      <c r="B73" s="10" t="s">
        <v>67</v>
      </c>
      <c r="C73" s="93" t="s">
        <v>70</v>
      </c>
      <c r="D73" s="10">
        <v>16</v>
      </c>
      <c r="E73" s="10"/>
      <c r="F73" s="10">
        <v>2</v>
      </c>
      <c r="G73" s="90">
        <f>VLOOKUP(D73,$C$20:$F$26,3,0)</f>
        <v>0.85</v>
      </c>
      <c r="H73" s="90"/>
      <c r="I73" s="10"/>
      <c r="J73" s="10"/>
      <c r="K73" s="10"/>
      <c r="L73" s="10"/>
      <c r="M73" s="10"/>
      <c r="N73" s="10"/>
      <c r="O73" s="10">
        <f>(E71+1*(1.5/2))+(12*D73/1000)*D71</f>
        <v>5.3559999999999999</v>
      </c>
      <c r="P73" s="10">
        <f t="shared" si="16"/>
        <v>10.712</v>
      </c>
      <c r="Q73" s="10">
        <f t="shared" si="17"/>
        <v>0</v>
      </c>
      <c r="R73" s="10">
        <f t="shared" si="17"/>
        <v>0</v>
      </c>
      <c r="S73" s="10">
        <f t="shared" si="17"/>
        <v>0</v>
      </c>
      <c r="T73" s="10">
        <f t="shared" si="17"/>
        <v>16.913941942857143</v>
      </c>
      <c r="U73" s="10">
        <f t="shared" si="17"/>
        <v>0</v>
      </c>
      <c r="V73" s="10">
        <f t="shared" si="17"/>
        <v>0</v>
      </c>
      <c r="W73" s="10">
        <f t="shared" si="17"/>
        <v>0</v>
      </c>
      <c r="X73" s="10">
        <f t="shared" si="18"/>
        <v>16.913941942857143</v>
      </c>
      <c r="Y73" s="10"/>
      <c r="Z73" s="10"/>
      <c r="AA73" s="10"/>
      <c r="AB73" s="10"/>
      <c r="AC73" s="10"/>
      <c r="AD73" s="10"/>
      <c r="AE73" s="10"/>
    </row>
    <row r="74" spans="1:32" s="3" customFormat="1" ht="20.100000000000001" customHeight="1" x14ac:dyDescent="0.2">
      <c r="A74" s="87"/>
      <c r="B74" s="10" t="s">
        <v>67</v>
      </c>
      <c r="C74" s="93" t="s">
        <v>70</v>
      </c>
      <c r="D74" s="10">
        <v>20</v>
      </c>
      <c r="E74" s="10"/>
      <c r="F74" s="10">
        <v>2</v>
      </c>
      <c r="G74" s="90">
        <f>VLOOKUP(D74,$C$20:$F$26,3,0)</f>
        <v>1.05</v>
      </c>
      <c r="H74" s="90"/>
      <c r="I74" s="10"/>
      <c r="J74" s="10"/>
      <c r="K74" s="10"/>
      <c r="L74" s="10"/>
      <c r="M74" s="10"/>
      <c r="N74" s="10"/>
      <c r="O74" s="10">
        <f>(E71+1*(1.5/2))+(12*D74/1000)*D71</f>
        <v>5.4039999999999999</v>
      </c>
      <c r="P74" s="10">
        <f t="shared" si="16"/>
        <v>10.808</v>
      </c>
      <c r="Q74" s="10">
        <f t="shared" si="17"/>
        <v>0</v>
      </c>
      <c r="R74" s="10">
        <f t="shared" si="17"/>
        <v>0</v>
      </c>
      <c r="S74" s="10">
        <f t="shared" si="17"/>
        <v>0</v>
      </c>
      <c r="T74" s="10">
        <f t="shared" si="17"/>
        <v>0</v>
      </c>
      <c r="U74" s="10">
        <f t="shared" si="17"/>
        <v>26.66488</v>
      </c>
      <c r="V74" s="10">
        <f t="shared" si="17"/>
        <v>0</v>
      </c>
      <c r="W74" s="10">
        <f t="shared" si="17"/>
        <v>0</v>
      </c>
      <c r="X74" s="10">
        <f t="shared" si="18"/>
        <v>26.66488</v>
      </c>
      <c r="Y74" s="10"/>
      <c r="Z74" s="10"/>
      <c r="AA74" s="10"/>
      <c r="AB74" s="10"/>
      <c r="AC74" s="10"/>
      <c r="AD74" s="10"/>
      <c r="AE74" s="10"/>
    </row>
    <row r="75" spans="1:32" s="3" customFormat="1" ht="20.100000000000001" customHeight="1" x14ac:dyDescent="0.2">
      <c r="A75" s="87"/>
      <c r="B75" s="10" t="s">
        <v>67</v>
      </c>
      <c r="C75" s="93" t="s">
        <v>71</v>
      </c>
      <c r="D75" s="10">
        <v>20</v>
      </c>
      <c r="E75" s="10"/>
      <c r="F75" s="10">
        <v>4</v>
      </c>
      <c r="G75" s="90">
        <f>VLOOKUP(D75,$C$20:$F$26,3,0)</f>
        <v>1.05</v>
      </c>
      <c r="H75" s="10"/>
      <c r="I75" s="10"/>
      <c r="J75" s="10"/>
      <c r="K75" s="10"/>
      <c r="L75" s="10"/>
      <c r="M75" s="10"/>
      <c r="N75" s="10"/>
      <c r="O75" s="10">
        <f>(E71+1*(1.5/2))+(12*D75/1000)*D71</f>
        <v>5.4039999999999999</v>
      </c>
      <c r="P75" s="10">
        <f t="shared" si="16"/>
        <v>21.616</v>
      </c>
      <c r="Q75" s="10">
        <f t="shared" si="17"/>
        <v>0</v>
      </c>
      <c r="R75" s="10">
        <f t="shared" si="17"/>
        <v>0</v>
      </c>
      <c r="S75" s="10">
        <f t="shared" si="17"/>
        <v>0</v>
      </c>
      <c r="T75" s="10">
        <f t="shared" si="17"/>
        <v>0</v>
      </c>
      <c r="U75" s="10">
        <f t="shared" si="17"/>
        <v>53.32976</v>
      </c>
      <c r="V75" s="10">
        <f t="shared" si="17"/>
        <v>0</v>
      </c>
      <c r="W75" s="10">
        <f t="shared" si="17"/>
        <v>0</v>
      </c>
      <c r="X75" s="10">
        <f t="shared" si="18"/>
        <v>53.32976</v>
      </c>
      <c r="Y75" s="10"/>
      <c r="Z75" s="10"/>
      <c r="AA75" s="10"/>
      <c r="AB75" s="10"/>
      <c r="AC75" s="10"/>
      <c r="AD75" s="10"/>
      <c r="AE75" s="10"/>
    </row>
    <row r="76" spans="1:32" s="3" customFormat="1" ht="20.100000000000001" customHeight="1" x14ac:dyDescent="0.2">
      <c r="A76" s="87"/>
      <c r="B76" s="10" t="s">
        <v>67</v>
      </c>
      <c r="C76" s="93" t="s">
        <v>72</v>
      </c>
      <c r="D76" s="10">
        <v>12</v>
      </c>
      <c r="E76" s="10"/>
      <c r="F76" s="10">
        <v>2</v>
      </c>
      <c r="G76" s="90">
        <f>VLOOKUP(D76,$C$20:$F$26,3,0)</f>
        <v>0.65</v>
      </c>
      <c r="H76" s="10"/>
      <c r="I76" s="10"/>
      <c r="J76" s="10"/>
      <c r="K76" s="10"/>
      <c r="L76" s="10"/>
      <c r="M76" s="10"/>
      <c r="N76" s="10"/>
      <c r="O76" s="10">
        <f>(E71+1*(1.5/2))+(12*D76/1000)*D71</f>
        <v>5.3079999999999998</v>
      </c>
      <c r="P76" s="10">
        <f t="shared" si="16"/>
        <v>10.616</v>
      </c>
      <c r="Q76" s="10">
        <f t="shared" si="17"/>
        <v>0</v>
      </c>
      <c r="R76" s="10">
        <f t="shared" si="17"/>
        <v>0</v>
      </c>
      <c r="S76" s="10">
        <f t="shared" si="17"/>
        <v>9.4288278857142878</v>
      </c>
      <c r="T76" s="10">
        <f t="shared" si="17"/>
        <v>0</v>
      </c>
      <c r="U76" s="10">
        <f t="shared" si="17"/>
        <v>0</v>
      </c>
      <c r="V76" s="10">
        <f t="shared" si="17"/>
        <v>0</v>
      </c>
      <c r="W76" s="10">
        <f t="shared" si="17"/>
        <v>0</v>
      </c>
      <c r="X76" s="10">
        <f t="shared" si="18"/>
        <v>9.4288278857142878</v>
      </c>
      <c r="Y76" s="10"/>
      <c r="Z76" s="10"/>
      <c r="AA76" s="10"/>
      <c r="AB76" s="10"/>
      <c r="AC76" s="10"/>
      <c r="AD76" s="10"/>
      <c r="AE76" s="10"/>
    </row>
    <row r="77" spans="1:32" s="3" customFormat="1" ht="20.100000000000001" customHeight="1" x14ac:dyDescent="0.2">
      <c r="A77" s="87"/>
      <c r="B77" s="10" t="s">
        <v>78</v>
      </c>
      <c r="C77" s="93" t="s">
        <v>73</v>
      </c>
      <c r="D77" s="10">
        <v>10</v>
      </c>
      <c r="E77" s="10">
        <v>0.1</v>
      </c>
      <c r="F77" s="10">
        <f>ROUNDUP(E71/E77,0)</f>
        <v>45</v>
      </c>
      <c r="H77" s="10"/>
      <c r="I77" s="10"/>
      <c r="J77" s="10"/>
      <c r="K77" s="10"/>
      <c r="L77" s="10"/>
      <c r="M77" s="10"/>
      <c r="N77" s="10"/>
      <c r="O77" s="10">
        <f>(2*((G71-(2*$D$11))+(F71-(2*$D$11)))+(2*10*D77/1000))*D71</f>
        <v>2.66</v>
      </c>
      <c r="P77" s="10">
        <f t="shared" si="16"/>
        <v>119.7</v>
      </c>
      <c r="Q77" s="10">
        <f t="shared" si="17"/>
        <v>0</v>
      </c>
      <c r="R77" s="10">
        <f t="shared" si="17"/>
        <v>73.829250000000002</v>
      </c>
      <c r="S77" s="10">
        <f t="shared" si="17"/>
        <v>0</v>
      </c>
      <c r="T77" s="10">
        <f t="shared" si="17"/>
        <v>0</v>
      </c>
      <c r="U77" s="10">
        <f t="shared" si="17"/>
        <v>0</v>
      </c>
      <c r="V77" s="10">
        <f t="shared" si="17"/>
        <v>0</v>
      </c>
      <c r="W77" s="10">
        <f t="shared" si="17"/>
        <v>0</v>
      </c>
      <c r="X77" s="10">
        <f t="shared" si="18"/>
        <v>73.829250000000002</v>
      </c>
      <c r="Y77" s="10"/>
      <c r="Z77" s="10"/>
      <c r="AA77" s="10"/>
      <c r="AB77" s="10"/>
      <c r="AC77" s="10"/>
      <c r="AD77" s="10"/>
      <c r="AE77" s="10"/>
    </row>
    <row r="78" spans="1:32" s="3" customFormat="1" ht="20.100000000000001" customHeight="1" x14ac:dyDescent="0.2">
      <c r="A78" s="87"/>
      <c r="B78" s="10" t="s">
        <v>67</v>
      </c>
      <c r="C78" s="93" t="s">
        <v>75</v>
      </c>
      <c r="D78" s="10">
        <f>+$D$15</f>
        <v>25</v>
      </c>
      <c r="E78" s="10">
        <f>+$E$15</f>
        <v>1</v>
      </c>
      <c r="F78" s="10">
        <f>ROUNDUP((E71+E71)/E78,0)</f>
        <v>9</v>
      </c>
      <c r="G78" s="90"/>
      <c r="H78" s="90"/>
      <c r="I78" s="10"/>
      <c r="J78" s="10"/>
      <c r="K78" s="10"/>
      <c r="L78" s="10"/>
      <c r="M78" s="10"/>
      <c r="N78" s="10"/>
      <c r="O78" s="10">
        <f>F71-$F$15</f>
        <v>0.39</v>
      </c>
      <c r="P78" s="10">
        <f t="shared" si="16"/>
        <v>3.5100000000000002</v>
      </c>
      <c r="Q78" s="10">
        <f t="shared" si="17"/>
        <v>0</v>
      </c>
      <c r="R78" s="10">
        <f t="shared" si="17"/>
        <v>0</v>
      </c>
      <c r="S78" s="10">
        <f t="shared" si="17"/>
        <v>0</v>
      </c>
      <c r="T78" s="10">
        <f t="shared" si="17"/>
        <v>0</v>
      </c>
      <c r="U78" s="10">
        <f t="shared" si="17"/>
        <v>0</v>
      </c>
      <c r="V78" s="10">
        <f t="shared" si="17"/>
        <v>13.53073660714286</v>
      </c>
      <c r="W78" s="10">
        <f t="shared" si="17"/>
        <v>0</v>
      </c>
      <c r="X78" s="10">
        <f t="shared" si="18"/>
        <v>13.53073660714286</v>
      </c>
      <c r="Y78" s="10"/>
      <c r="Z78" s="10"/>
      <c r="AA78" s="10"/>
      <c r="AB78" s="10"/>
      <c r="AC78" s="10"/>
      <c r="AD78" s="10"/>
      <c r="AE78" s="10"/>
    </row>
    <row r="79" spans="1:32" s="3" customFormat="1" ht="21" customHeight="1" x14ac:dyDescent="0.2">
      <c r="A79" s="10">
        <v>1</v>
      </c>
      <c r="B79" s="10" t="s">
        <v>67</v>
      </c>
      <c r="C79" s="91" t="s">
        <v>79</v>
      </c>
      <c r="D79" s="91">
        <v>1</v>
      </c>
      <c r="E79" s="91">
        <v>1.014</v>
      </c>
      <c r="F79" s="91">
        <v>0.2</v>
      </c>
      <c r="G79" s="91">
        <v>0.6</v>
      </c>
      <c r="H79" s="10">
        <f>G79-0.2</f>
        <v>0.39999999999999997</v>
      </c>
      <c r="I79" s="10">
        <f>E79*F79*G79*D79</f>
        <v>0.12168</v>
      </c>
      <c r="J79" s="10">
        <f>(2*(E79)*H79*D79)+(E79*F79)</f>
        <v>1.014</v>
      </c>
      <c r="K79" s="92">
        <f>IF(E79=0.3,J79,0)</f>
        <v>0</v>
      </c>
      <c r="L79" s="92">
        <f>IF(AND(E79&gt;0.3,E79&lt;=0.75),J79,0)</f>
        <v>0</v>
      </c>
      <c r="M79" s="92">
        <f>IF(AND(E79&gt;0.75,E79&lt;=1.2),J79,0)</f>
        <v>1.014</v>
      </c>
      <c r="N79" s="92">
        <f>IF(E79&gt;1.2,J79,0)</f>
        <v>0</v>
      </c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f>SUM(X80:X85)/I79</f>
        <v>383.59387750070442</v>
      </c>
      <c r="Z79" s="10"/>
      <c r="AA79" s="10"/>
      <c r="AB79" s="10"/>
      <c r="AC79" s="10"/>
      <c r="AD79" s="10"/>
      <c r="AE79" s="10"/>
      <c r="AF79" s="10"/>
    </row>
    <row r="80" spans="1:32" s="3" customFormat="1" ht="20.100000000000001" customHeight="1" x14ac:dyDescent="0.2">
      <c r="A80" s="87"/>
      <c r="B80" s="10" t="s">
        <v>67</v>
      </c>
      <c r="C80" s="93" t="s">
        <v>69</v>
      </c>
      <c r="D80" s="10">
        <v>20</v>
      </c>
      <c r="E80" s="10"/>
      <c r="F80" s="10">
        <v>2</v>
      </c>
      <c r="G80" s="90">
        <f>VLOOKUP(D80,$C$20:$F$26,3,0)</f>
        <v>1.05</v>
      </c>
      <c r="H80" s="90"/>
      <c r="I80" s="10"/>
      <c r="J80" s="10"/>
      <c r="K80" s="10"/>
      <c r="L80" s="10"/>
      <c r="M80" s="10"/>
      <c r="N80" s="10"/>
      <c r="O80" s="10">
        <f>(E79+1*(0.3/2))+(12*D80/1000)*D79</f>
        <v>1.4039999999999999</v>
      </c>
      <c r="P80" s="10">
        <f t="shared" ref="P80:P85" si="19">O80*F80</f>
        <v>2.8079999999999998</v>
      </c>
      <c r="Q80" s="10">
        <f t="shared" si="17"/>
        <v>0</v>
      </c>
      <c r="R80" s="10">
        <f t="shared" si="17"/>
        <v>0</v>
      </c>
      <c r="S80" s="10">
        <f t="shared" si="17"/>
        <v>0</v>
      </c>
      <c r="T80" s="10">
        <f t="shared" si="17"/>
        <v>0</v>
      </c>
      <c r="U80" s="10">
        <f t="shared" si="17"/>
        <v>6.9277371428571426</v>
      </c>
      <c r="V80" s="10">
        <f t="shared" si="17"/>
        <v>0</v>
      </c>
      <c r="W80" s="10">
        <f t="shared" si="17"/>
        <v>0</v>
      </c>
      <c r="X80" s="10">
        <f t="shared" ref="X80:X85" si="20">SUM(Q80:W80)</f>
        <v>6.9277371428571426</v>
      </c>
      <c r="Y80" s="10"/>
      <c r="Z80" s="10"/>
      <c r="AA80" s="10"/>
      <c r="AB80" s="10"/>
      <c r="AC80" s="10"/>
      <c r="AD80" s="10"/>
      <c r="AE80" s="10"/>
    </row>
    <row r="81" spans="1:32" s="3" customFormat="1" ht="20.100000000000001" customHeight="1" x14ac:dyDescent="0.2">
      <c r="A81" s="87"/>
      <c r="B81" s="10" t="s">
        <v>67</v>
      </c>
      <c r="C81" s="93" t="s">
        <v>70</v>
      </c>
      <c r="D81" s="10">
        <v>25</v>
      </c>
      <c r="E81" s="10"/>
      <c r="F81" s="10">
        <v>2</v>
      </c>
      <c r="G81" s="90">
        <f>VLOOKUP(D81,$C$20:$F$26,3,0)</f>
        <v>1.35</v>
      </c>
      <c r="H81" s="90"/>
      <c r="I81" s="10"/>
      <c r="J81" s="10"/>
      <c r="K81" s="10"/>
      <c r="L81" s="10"/>
      <c r="M81" s="10"/>
      <c r="N81" s="10"/>
      <c r="O81" s="10">
        <f>(E79+1*(0.3/2))+(12*D81/1000)*D79</f>
        <v>1.464</v>
      </c>
      <c r="P81" s="10">
        <f t="shared" si="19"/>
        <v>2.9279999999999999</v>
      </c>
      <c r="Q81" s="10">
        <f t="shared" si="17"/>
        <v>0</v>
      </c>
      <c r="R81" s="10">
        <f t="shared" si="17"/>
        <v>0</v>
      </c>
      <c r="S81" s="10">
        <f t="shared" si="17"/>
        <v>0</v>
      </c>
      <c r="T81" s="10">
        <f t="shared" si="17"/>
        <v>0</v>
      </c>
      <c r="U81" s="10">
        <f t="shared" si="17"/>
        <v>0</v>
      </c>
      <c r="V81" s="10">
        <f t="shared" si="17"/>
        <v>11.287178571428573</v>
      </c>
      <c r="W81" s="10">
        <f t="shared" si="17"/>
        <v>0</v>
      </c>
      <c r="X81" s="10">
        <f t="shared" si="20"/>
        <v>11.287178571428573</v>
      </c>
      <c r="Y81" s="10"/>
      <c r="Z81" s="10"/>
      <c r="AA81" s="10"/>
      <c r="AB81" s="10"/>
      <c r="AC81" s="10"/>
      <c r="AD81" s="10"/>
      <c r="AE81" s="10"/>
    </row>
    <row r="82" spans="1:32" s="3" customFormat="1" ht="20.100000000000001" customHeight="1" x14ac:dyDescent="0.2">
      <c r="A82" s="87"/>
      <c r="B82" s="10" t="s">
        <v>67</v>
      </c>
      <c r="C82" s="93" t="s">
        <v>71</v>
      </c>
      <c r="D82" s="10">
        <v>20</v>
      </c>
      <c r="E82" s="10"/>
      <c r="F82" s="10">
        <v>2</v>
      </c>
      <c r="G82" s="90">
        <f>VLOOKUP(D82,$C$20:$F$26,3,0)</f>
        <v>1.05</v>
      </c>
      <c r="H82" s="10"/>
      <c r="I82" s="10"/>
      <c r="J82" s="10"/>
      <c r="K82" s="10"/>
      <c r="L82" s="10"/>
      <c r="M82" s="10"/>
      <c r="N82" s="10"/>
      <c r="O82" s="10">
        <f>(E79+1*(0.3/2))+(12*D82/1000)*D79</f>
        <v>1.4039999999999999</v>
      </c>
      <c r="P82" s="10">
        <f t="shared" si="19"/>
        <v>2.8079999999999998</v>
      </c>
      <c r="Q82" s="10">
        <f t="shared" si="17"/>
        <v>0</v>
      </c>
      <c r="R82" s="10">
        <f t="shared" si="17"/>
        <v>0</v>
      </c>
      <c r="S82" s="10">
        <f t="shared" si="17"/>
        <v>0</v>
      </c>
      <c r="T82" s="10">
        <f t="shared" si="17"/>
        <v>0</v>
      </c>
      <c r="U82" s="10">
        <f t="shared" si="17"/>
        <v>6.9277371428571426</v>
      </c>
      <c r="V82" s="10">
        <f t="shared" si="17"/>
        <v>0</v>
      </c>
      <c r="W82" s="10">
        <f t="shared" si="17"/>
        <v>0</v>
      </c>
      <c r="X82" s="10">
        <f t="shared" si="20"/>
        <v>6.9277371428571426</v>
      </c>
      <c r="Y82" s="10"/>
      <c r="Z82" s="10"/>
      <c r="AA82" s="10"/>
      <c r="AB82" s="10"/>
      <c r="AC82" s="10"/>
      <c r="AD82" s="10"/>
      <c r="AE82" s="10"/>
    </row>
    <row r="83" spans="1:32" s="3" customFormat="1" ht="20.100000000000001" customHeight="1" x14ac:dyDescent="0.2">
      <c r="A83" s="87"/>
      <c r="B83" s="10" t="s">
        <v>67</v>
      </c>
      <c r="C83" s="93" t="s">
        <v>72</v>
      </c>
      <c r="D83" s="10">
        <v>16</v>
      </c>
      <c r="E83" s="10"/>
      <c r="F83" s="10">
        <v>2</v>
      </c>
      <c r="G83" s="90">
        <f>VLOOKUP(D83,$C$20:$F$26,3,0)</f>
        <v>0.85</v>
      </c>
      <c r="H83" s="10"/>
      <c r="I83" s="10"/>
      <c r="J83" s="10"/>
      <c r="K83" s="10"/>
      <c r="L83" s="10"/>
      <c r="M83" s="10"/>
      <c r="N83" s="10"/>
      <c r="O83" s="10">
        <f>(E79+1*(0.3/2))+(12*D83/1000)*D79</f>
        <v>1.3559999999999999</v>
      </c>
      <c r="P83" s="10">
        <f t="shared" si="19"/>
        <v>2.7119999999999997</v>
      </c>
      <c r="Q83" s="10">
        <f t="shared" si="17"/>
        <v>0</v>
      </c>
      <c r="R83" s="10">
        <f t="shared" si="17"/>
        <v>0</v>
      </c>
      <c r="S83" s="10">
        <f t="shared" si="17"/>
        <v>0</v>
      </c>
      <c r="T83" s="10">
        <f t="shared" si="17"/>
        <v>4.2821705142857143</v>
      </c>
      <c r="U83" s="10">
        <f t="shared" si="17"/>
        <v>0</v>
      </c>
      <c r="V83" s="10">
        <f t="shared" si="17"/>
        <v>0</v>
      </c>
      <c r="W83" s="10">
        <f t="shared" si="17"/>
        <v>0</v>
      </c>
      <c r="X83" s="10">
        <f t="shared" si="20"/>
        <v>4.2821705142857143</v>
      </c>
      <c r="Y83" s="10"/>
      <c r="Z83" s="10"/>
      <c r="AA83" s="10"/>
      <c r="AB83" s="10"/>
      <c r="AC83" s="10"/>
      <c r="AD83" s="10"/>
      <c r="AE83" s="10"/>
    </row>
    <row r="84" spans="1:32" s="3" customFormat="1" ht="20.100000000000001" customHeight="1" x14ac:dyDescent="0.2">
      <c r="A84" s="87"/>
      <c r="B84" s="10" t="s">
        <v>78</v>
      </c>
      <c r="C84" s="93" t="s">
        <v>73</v>
      </c>
      <c r="D84" s="10">
        <v>12</v>
      </c>
      <c r="E84" s="10">
        <v>0.1</v>
      </c>
      <c r="F84" s="10">
        <f>ROUNDUP(E79/E84,0)</f>
        <v>11</v>
      </c>
      <c r="H84" s="10"/>
      <c r="I84" s="10"/>
      <c r="J84" s="10"/>
      <c r="K84" s="10"/>
      <c r="L84" s="10"/>
      <c r="M84" s="10"/>
      <c r="N84" s="10"/>
      <c r="O84" s="10">
        <f>(2*((G79-(2*$D$11))+(F79-(2*$D$11)))+(2*10*D84/1000))*D79</f>
        <v>1.6</v>
      </c>
      <c r="P84" s="10">
        <f t="shared" si="19"/>
        <v>17.600000000000001</v>
      </c>
      <c r="Q84" s="10">
        <f t="shared" si="17"/>
        <v>0</v>
      </c>
      <c r="R84" s="10">
        <f t="shared" si="17"/>
        <v>0</v>
      </c>
      <c r="S84" s="10">
        <f t="shared" si="17"/>
        <v>15.631817142857146</v>
      </c>
      <c r="T84" s="10">
        <f t="shared" si="17"/>
        <v>0</v>
      </c>
      <c r="U84" s="10">
        <f t="shared" si="17"/>
        <v>0</v>
      </c>
      <c r="V84" s="10">
        <f t="shared" si="17"/>
        <v>0</v>
      </c>
      <c r="W84" s="10">
        <f t="shared" si="17"/>
        <v>0</v>
      </c>
      <c r="X84" s="10">
        <f t="shared" si="20"/>
        <v>15.631817142857146</v>
      </c>
      <c r="Y84" s="10"/>
      <c r="Z84" s="10"/>
      <c r="AA84" s="10"/>
      <c r="AB84" s="10"/>
      <c r="AC84" s="10"/>
      <c r="AD84" s="10"/>
      <c r="AE84" s="10"/>
    </row>
    <row r="85" spans="1:32" s="3" customFormat="1" ht="20.100000000000001" customHeight="1" x14ac:dyDescent="0.2">
      <c r="A85" s="87"/>
      <c r="B85" s="10" t="s">
        <v>67</v>
      </c>
      <c r="C85" s="93" t="s">
        <v>75</v>
      </c>
      <c r="D85" s="10">
        <f>+$D$15</f>
        <v>25</v>
      </c>
      <c r="E85" s="10">
        <f>+$E$15</f>
        <v>1</v>
      </c>
      <c r="F85" s="10">
        <f>ROUNDUP((E79+E79)/E85,0)</f>
        <v>3</v>
      </c>
      <c r="G85" s="90"/>
      <c r="H85" s="90"/>
      <c r="I85" s="10"/>
      <c r="J85" s="10"/>
      <c r="K85" s="10"/>
      <c r="L85" s="10"/>
      <c r="M85" s="10"/>
      <c r="N85" s="10"/>
      <c r="O85" s="10">
        <f>F79-$F$15</f>
        <v>0.14000000000000001</v>
      </c>
      <c r="P85" s="10">
        <f t="shared" si="19"/>
        <v>0.42000000000000004</v>
      </c>
      <c r="Q85" s="10">
        <f t="shared" si="17"/>
        <v>0</v>
      </c>
      <c r="R85" s="10">
        <f t="shared" si="17"/>
        <v>0</v>
      </c>
      <c r="S85" s="10">
        <f t="shared" si="17"/>
        <v>0</v>
      </c>
      <c r="T85" s="10">
        <f t="shared" si="17"/>
        <v>0</v>
      </c>
      <c r="U85" s="10">
        <f t="shared" si="17"/>
        <v>0</v>
      </c>
      <c r="V85" s="10">
        <f t="shared" si="17"/>
        <v>1.6190625000000003</v>
      </c>
      <c r="W85" s="10">
        <f t="shared" si="17"/>
        <v>0</v>
      </c>
      <c r="X85" s="10">
        <f t="shared" si="20"/>
        <v>1.6190625000000003</v>
      </c>
      <c r="Y85" s="10"/>
      <c r="Z85" s="10"/>
      <c r="AA85" s="10"/>
      <c r="AB85" s="10"/>
      <c r="AC85" s="10"/>
      <c r="AD85" s="10"/>
      <c r="AE85" s="10"/>
    </row>
    <row r="86" spans="1:32" s="3" customFormat="1" ht="21" customHeight="1" x14ac:dyDescent="0.2">
      <c r="A86" s="10">
        <v>1</v>
      </c>
      <c r="B86" s="10" t="s">
        <v>67</v>
      </c>
      <c r="C86" s="91" t="s">
        <v>80</v>
      </c>
      <c r="D86" s="91">
        <v>1</v>
      </c>
      <c r="E86" s="91">
        <v>4.5679999999999996</v>
      </c>
      <c r="F86" s="91">
        <v>0.45</v>
      </c>
      <c r="G86" s="91">
        <v>0.6</v>
      </c>
      <c r="H86" s="10">
        <f>G86-0.2</f>
        <v>0.39999999999999997</v>
      </c>
      <c r="I86" s="10">
        <f>E86*F86*G86*D86</f>
        <v>1.23336</v>
      </c>
      <c r="J86" s="10">
        <f>(2*(E86)*H86*D86)+(E86*F86)</f>
        <v>5.7099999999999991</v>
      </c>
      <c r="K86" s="92">
        <f>IF(E86=0.3,J86,0)</f>
        <v>0</v>
      </c>
      <c r="L86" s="92">
        <f>IF(AND(E86&gt;0.3,E86&lt;=0.75),J86,0)</f>
        <v>0</v>
      </c>
      <c r="M86" s="92">
        <f>IF(AND(E86&gt;0.75,E86&lt;=1.2),J86,0)</f>
        <v>0</v>
      </c>
      <c r="N86" s="92">
        <f>IF(E86&gt;1.2,J86,0)</f>
        <v>5.7099999999999991</v>
      </c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>
        <f>SUM(X87:X96)/I86</f>
        <v>217.79348882031894</v>
      </c>
      <c r="Z86" s="10"/>
      <c r="AA86" s="10"/>
      <c r="AB86" s="10"/>
      <c r="AC86" s="10"/>
      <c r="AD86" s="10"/>
      <c r="AE86" s="10"/>
      <c r="AF86" s="10"/>
    </row>
    <row r="87" spans="1:32" s="3" customFormat="1" ht="20.100000000000001" customHeight="1" x14ac:dyDescent="0.2">
      <c r="A87" s="87"/>
      <c r="B87" s="10" t="s">
        <v>67</v>
      </c>
      <c r="C87" s="93" t="s">
        <v>69</v>
      </c>
      <c r="D87" s="10">
        <v>20</v>
      </c>
      <c r="E87" s="10"/>
      <c r="F87" s="10">
        <v>4</v>
      </c>
      <c r="G87" s="90">
        <f>VLOOKUP(D87,$C$20:$F$26,3,0)</f>
        <v>1.05</v>
      </c>
      <c r="H87" s="90"/>
      <c r="I87" s="10"/>
      <c r="J87" s="10"/>
      <c r="K87" s="10"/>
      <c r="L87" s="10"/>
      <c r="M87" s="10"/>
      <c r="N87" s="10"/>
      <c r="O87" s="10">
        <f>(E86+1*(G87+(12*D87/1000))*D86)</f>
        <v>5.8579999999999997</v>
      </c>
      <c r="P87" s="10">
        <f t="shared" ref="P87:P96" si="21">O87*F87</f>
        <v>23.431999999999999</v>
      </c>
      <c r="Q87" s="10">
        <f t="shared" ref="Q87:W96" si="22">IF($D87=Q$44,$P87*Q$45,0)</f>
        <v>0</v>
      </c>
      <c r="R87" s="10">
        <f t="shared" si="22"/>
        <v>0</v>
      </c>
      <c r="S87" s="10">
        <f t="shared" si="22"/>
        <v>0</v>
      </c>
      <c r="T87" s="10">
        <f t="shared" si="22"/>
        <v>0</v>
      </c>
      <c r="U87" s="10">
        <f t="shared" si="22"/>
        <v>57.810091428571425</v>
      </c>
      <c r="V87" s="10">
        <f t="shared" si="22"/>
        <v>0</v>
      </c>
      <c r="W87" s="10">
        <f t="shared" si="22"/>
        <v>0</v>
      </c>
      <c r="X87" s="10">
        <f t="shared" ref="X87:X96" si="23">SUM(Q87:W87)</f>
        <v>57.810091428571425</v>
      </c>
      <c r="Y87" s="10"/>
      <c r="Z87" s="10"/>
      <c r="AA87" s="10"/>
      <c r="AB87" s="10"/>
      <c r="AC87" s="10"/>
      <c r="AD87" s="10"/>
      <c r="AE87" s="10"/>
    </row>
    <row r="88" spans="1:32" s="3" customFormat="1" ht="20.100000000000001" customHeight="1" x14ac:dyDescent="0.2">
      <c r="A88" s="87"/>
      <c r="B88" s="10" t="s">
        <v>67</v>
      </c>
      <c r="C88" s="93" t="s">
        <v>70</v>
      </c>
      <c r="D88" s="10">
        <v>25</v>
      </c>
      <c r="E88" s="10"/>
      <c r="F88" s="10">
        <v>2</v>
      </c>
      <c r="G88" s="90">
        <f>VLOOKUP(D88,$C$20:$F$26,3,0)</f>
        <v>1.35</v>
      </c>
      <c r="H88" s="90"/>
      <c r="I88" s="10"/>
      <c r="J88" s="10"/>
      <c r="K88" s="10"/>
      <c r="L88" s="10"/>
      <c r="M88" s="10"/>
      <c r="N88" s="10"/>
      <c r="O88" s="10">
        <f>(1.35+1*(G88+(12*D88/1000))*D86)</f>
        <v>3</v>
      </c>
      <c r="P88" s="10">
        <f t="shared" si="21"/>
        <v>6</v>
      </c>
      <c r="Q88" s="10">
        <f t="shared" si="22"/>
        <v>0</v>
      </c>
      <c r="R88" s="10">
        <f t="shared" si="22"/>
        <v>0</v>
      </c>
      <c r="S88" s="10">
        <f t="shared" si="22"/>
        <v>0</v>
      </c>
      <c r="T88" s="10">
        <f t="shared" si="22"/>
        <v>0</v>
      </c>
      <c r="U88" s="10">
        <f t="shared" si="22"/>
        <v>0</v>
      </c>
      <c r="V88" s="10">
        <f t="shared" si="22"/>
        <v>23.129464285714288</v>
      </c>
      <c r="W88" s="10">
        <f t="shared" si="22"/>
        <v>0</v>
      </c>
      <c r="X88" s="10">
        <f t="shared" si="23"/>
        <v>23.129464285714288</v>
      </c>
      <c r="Y88" s="10"/>
      <c r="Z88" s="10"/>
      <c r="AA88" s="10"/>
      <c r="AB88" s="10"/>
      <c r="AC88" s="10"/>
      <c r="AD88" s="10"/>
      <c r="AE88" s="10"/>
    </row>
    <row r="89" spans="1:32" s="3" customFormat="1" ht="20.100000000000001" customHeight="1" x14ac:dyDescent="0.2">
      <c r="A89" s="87"/>
      <c r="B89" s="10" t="s">
        <v>67</v>
      </c>
      <c r="C89" s="93" t="s">
        <v>70</v>
      </c>
      <c r="D89" s="10">
        <v>25</v>
      </c>
      <c r="E89" s="10"/>
      <c r="F89" s="10">
        <v>2</v>
      </c>
      <c r="G89" s="90">
        <f>VLOOKUP(D89,$C$20:$F$26,3,0)</f>
        <v>1.35</v>
      </c>
      <c r="H89" s="90"/>
      <c r="I89" s="10"/>
      <c r="J89" s="10"/>
      <c r="K89" s="10"/>
      <c r="L89" s="10"/>
      <c r="M89" s="10"/>
      <c r="N89" s="10"/>
      <c r="O89" s="10">
        <f>(1.25+1*(0.3))*D86</f>
        <v>1.55</v>
      </c>
      <c r="P89" s="10">
        <f t="shared" si="21"/>
        <v>3.1</v>
      </c>
      <c r="Q89" s="10">
        <f t="shared" si="22"/>
        <v>0</v>
      </c>
      <c r="R89" s="10">
        <f t="shared" si="22"/>
        <v>0</v>
      </c>
      <c r="S89" s="10">
        <f t="shared" si="22"/>
        <v>0</v>
      </c>
      <c r="T89" s="10">
        <f t="shared" si="22"/>
        <v>0</v>
      </c>
      <c r="U89" s="10">
        <f t="shared" si="22"/>
        <v>0</v>
      </c>
      <c r="V89" s="10">
        <f t="shared" si="22"/>
        <v>11.950223214285716</v>
      </c>
      <c r="W89" s="10">
        <f t="shared" si="22"/>
        <v>0</v>
      </c>
      <c r="X89" s="10">
        <f t="shared" si="23"/>
        <v>11.950223214285716</v>
      </c>
      <c r="Y89" s="10"/>
      <c r="Z89" s="10"/>
      <c r="AA89" s="10"/>
      <c r="AB89" s="10"/>
      <c r="AC89" s="10"/>
      <c r="AD89" s="10"/>
      <c r="AE89" s="10"/>
    </row>
    <row r="90" spans="1:32" s="3" customFormat="1" ht="20.100000000000001" customHeight="1" x14ac:dyDescent="0.2">
      <c r="A90" s="87"/>
      <c r="B90" s="10" t="s">
        <v>67</v>
      </c>
      <c r="C90" s="93" t="s">
        <v>71</v>
      </c>
      <c r="D90" s="10">
        <v>20</v>
      </c>
      <c r="E90" s="10"/>
      <c r="F90" s="10">
        <v>4</v>
      </c>
      <c r="G90" s="90">
        <f>VLOOKUP(D90,$C$20:$F$26,3,0)</f>
        <v>1.05</v>
      </c>
      <c r="H90" s="10"/>
      <c r="I90" s="10"/>
      <c r="J90" s="10"/>
      <c r="K90" s="10"/>
      <c r="L90" s="10"/>
      <c r="M90" s="10"/>
      <c r="N90" s="10"/>
      <c r="O90" s="10">
        <f>(E86+1*(G90+(12*D90/1000))*D86)</f>
        <v>5.8579999999999997</v>
      </c>
      <c r="P90" s="10">
        <f t="shared" si="21"/>
        <v>23.431999999999999</v>
      </c>
      <c r="Q90" s="10">
        <f t="shared" si="22"/>
        <v>0</v>
      </c>
      <c r="R90" s="10">
        <f t="shared" si="22"/>
        <v>0</v>
      </c>
      <c r="S90" s="10">
        <f t="shared" si="22"/>
        <v>0</v>
      </c>
      <c r="T90" s="10">
        <f t="shared" si="22"/>
        <v>0</v>
      </c>
      <c r="U90" s="10">
        <f t="shared" si="22"/>
        <v>57.810091428571425</v>
      </c>
      <c r="V90" s="10">
        <f t="shared" si="22"/>
        <v>0</v>
      </c>
      <c r="W90" s="10">
        <f t="shared" si="22"/>
        <v>0</v>
      </c>
      <c r="X90" s="10">
        <f t="shared" si="23"/>
        <v>57.810091428571425</v>
      </c>
      <c r="Y90" s="10"/>
      <c r="Z90" s="10"/>
      <c r="AA90" s="10"/>
      <c r="AB90" s="10"/>
      <c r="AC90" s="10"/>
      <c r="AD90" s="10"/>
      <c r="AE90" s="10"/>
    </row>
    <row r="91" spans="1:32" s="3" customFormat="1" ht="20.100000000000001" customHeight="1" x14ac:dyDescent="0.2">
      <c r="A91" s="87"/>
      <c r="B91" s="10" t="s">
        <v>67</v>
      </c>
      <c r="C91" s="93" t="s">
        <v>72</v>
      </c>
      <c r="D91" s="10">
        <v>16</v>
      </c>
      <c r="E91" s="10"/>
      <c r="F91" s="10">
        <v>4</v>
      </c>
      <c r="G91" s="90">
        <f>VLOOKUP(D91,$C$20:$F$26,3,0)</f>
        <v>0.85</v>
      </c>
      <c r="H91" s="10"/>
      <c r="I91" s="10"/>
      <c r="J91" s="10"/>
      <c r="K91" s="10"/>
      <c r="L91" s="10"/>
      <c r="M91" s="10"/>
      <c r="N91" s="10"/>
      <c r="O91" s="10">
        <f>+E86-0.75-0.75</f>
        <v>3.0679999999999996</v>
      </c>
      <c r="P91" s="10">
        <f t="shared" si="21"/>
        <v>12.271999999999998</v>
      </c>
      <c r="Q91" s="10">
        <f t="shared" si="22"/>
        <v>0</v>
      </c>
      <c r="R91" s="10">
        <f t="shared" si="22"/>
        <v>0</v>
      </c>
      <c r="S91" s="10">
        <f t="shared" si="22"/>
        <v>0</v>
      </c>
      <c r="T91" s="10">
        <f t="shared" si="22"/>
        <v>19.377137371428571</v>
      </c>
      <c r="U91" s="10">
        <f t="shared" si="22"/>
        <v>0</v>
      </c>
      <c r="V91" s="10">
        <f t="shared" si="22"/>
        <v>0</v>
      </c>
      <c r="W91" s="10">
        <f t="shared" si="22"/>
        <v>0</v>
      </c>
      <c r="X91" s="10">
        <f t="shared" si="23"/>
        <v>19.377137371428571</v>
      </c>
      <c r="Y91" s="10"/>
      <c r="Z91" s="10"/>
      <c r="AA91" s="10"/>
      <c r="AB91" s="10"/>
      <c r="AC91" s="10"/>
      <c r="AD91" s="10"/>
      <c r="AE91" s="10"/>
    </row>
    <row r="92" spans="1:32" s="3" customFormat="1" ht="20.100000000000001" customHeight="1" x14ac:dyDescent="0.2">
      <c r="A92" s="87"/>
      <c r="B92" s="10" t="s">
        <v>67</v>
      </c>
      <c r="C92" s="93" t="s">
        <v>73</v>
      </c>
      <c r="D92" s="10">
        <v>10</v>
      </c>
      <c r="E92" s="10">
        <v>0.1</v>
      </c>
      <c r="F92" s="10">
        <f>ROUND(IF(E86/3&gt;(2*G86),(E86/3)/E92,(2*G86)/E92),0)*2+1</f>
        <v>31</v>
      </c>
      <c r="H92" s="10"/>
      <c r="I92" s="10"/>
      <c r="J92" s="10"/>
      <c r="K92" s="10"/>
      <c r="L92" s="10"/>
      <c r="M92" s="10"/>
      <c r="N92" s="10"/>
      <c r="O92" s="10">
        <f>(2*((G86-(2*$D$11))+(F86-(2*$D$11)))+(2*10*D92/1000))*D86</f>
        <v>2.06</v>
      </c>
      <c r="P92" s="10">
        <f t="shared" si="21"/>
        <v>63.86</v>
      </c>
      <c r="Q92" s="10">
        <f t="shared" si="22"/>
        <v>0</v>
      </c>
      <c r="R92" s="10">
        <f t="shared" si="22"/>
        <v>39.38793571428571</v>
      </c>
      <c r="S92" s="10">
        <f t="shared" si="22"/>
        <v>0</v>
      </c>
      <c r="T92" s="10">
        <f t="shared" si="22"/>
        <v>0</v>
      </c>
      <c r="U92" s="10">
        <f t="shared" si="22"/>
        <v>0</v>
      </c>
      <c r="V92" s="10">
        <f t="shared" si="22"/>
        <v>0</v>
      </c>
      <c r="W92" s="10">
        <f t="shared" si="22"/>
        <v>0</v>
      </c>
      <c r="X92" s="10">
        <f t="shared" si="23"/>
        <v>39.38793571428571</v>
      </c>
      <c r="Y92" s="10"/>
      <c r="Z92" s="10"/>
      <c r="AA92" s="10"/>
      <c r="AB92" s="10"/>
      <c r="AC92" s="10"/>
      <c r="AD92" s="10"/>
      <c r="AE92" s="10"/>
    </row>
    <row r="93" spans="1:32" s="2" customFormat="1" ht="20.100000000000001" customHeight="1" x14ac:dyDescent="0.2">
      <c r="B93" s="10" t="s">
        <v>67</v>
      </c>
      <c r="C93" s="93" t="s">
        <v>73</v>
      </c>
      <c r="D93" s="2">
        <f>D92</f>
        <v>10</v>
      </c>
      <c r="E93" s="2">
        <v>0.15</v>
      </c>
      <c r="F93" s="2">
        <f>ROUND((E86-(IF(E86/3&gt;2*G86,E86/3*2,G86*2*2)))/E93,0)</f>
        <v>10</v>
      </c>
      <c r="G93" s="3"/>
      <c r="O93" s="10">
        <f>(2*((G86-(2*$D$11))+(F86-(2*$D$11)))+(2*10*D93/1000))*D86</f>
        <v>2.06</v>
      </c>
      <c r="P93" s="10">
        <f t="shared" si="21"/>
        <v>20.6</v>
      </c>
      <c r="Q93" s="10">
        <f t="shared" si="22"/>
        <v>0</v>
      </c>
      <c r="R93" s="10">
        <f t="shared" si="22"/>
        <v>12.705785714285716</v>
      </c>
      <c r="S93" s="10">
        <f t="shared" si="22"/>
        <v>0</v>
      </c>
      <c r="T93" s="10">
        <f t="shared" si="22"/>
        <v>0</v>
      </c>
      <c r="U93" s="10">
        <f t="shared" si="22"/>
        <v>0</v>
      </c>
      <c r="V93" s="10">
        <f t="shared" si="22"/>
        <v>0</v>
      </c>
      <c r="W93" s="10">
        <f t="shared" si="22"/>
        <v>0</v>
      </c>
      <c r="X93" s="10">
        <f t="shared" si="23"/>
        <v>12.705785714285716</v>
      </c>
    </row>
    <row r="94" spans="1:32" s="2" customFormat="1" ht="20.100000000000001" customHeight="1" x14ac:dyDescent="0.2">
      <c r="B94" s="10" t="s">
        <v>67</v>
      </c>
      <c r="C94" s="93" t="s">
        <v>74</v>
      </c>
      <c r="D94" s="2">
        <f>D92</f>
        <v>10</v>
      </c>
      <c r="E94" s="2">
        <f>+E92</f>
        <v>0.1</v>
      </c>
      <c r="F94" s="10">
        <f>ROUND(IF(E86/3&gt;(2*G86),(E86/3)/E94,(2*G86)/E94),0)*2+1</f>
        <v>31</v>
      </c>
      <c r="G94" s="3"/>
      <c r="O94" s="10">
        <f>((((G86-(2*$D$11))+(2*10*D94/1000))*D86))*2</f>
        <v>1.48</v>
      </c>
      <c r="P94" s="10">
        <f t="shared" si="21"/>
        <v>45.88</v>
      </c>
      <c r="Q94" s="10">
        <f t="shared" si="22"/>
        <v>0</v>
      </c>
      <c r="R94" s="10">
        <f t="shared" si="22"/>
        <v>28.298128571428574</v>
      </c>
      <c r="S94" s="10">
        <f t="shared" si="22"/>
        <v>0</v>
      </c>
      <c r="T94" s="10">
        <f t="shared" si="22"/>
        <v>0</v>
      </c>
      <c r="U94" s="10">
        <f t="shared" si="22"/>
        <v>0</v>
      </c>
      <c r="V94" s="10">
        <f t="shared" si="22"/>
        <v>0</v>
      </c>
      <c r="W94" s="10">
        <f t="shared" si="22"/>
        <v>0</v>
      </c>
      <c r="X94" s="10">
        <f t="shared" si="23"/>
        <v>28.298128571428574</v>
      </c>
    </row>
    <row r="95" spans="1:32" s="2" customFormat="1" ht="20.100000000000001" customHeight="1" x14ac:dyDescent="0.2">
      <c r="B95" s="10" t="s">
        <v>67</v>
      </c>
      <c r="C95" s="93" t="s">
        <v>74</v>
      </c>
      <c r="D95" s="2">
        <f>D93</f>
        <v>10</v>
      </c>
      <c r="E95" s="2">
        <f>+E93</f>
        <v>0.15</v>
      </c>
      <c r="F95" s="2">
        <f>ROUND((E86-(IF(E86/3&gt;2*G86,E86/3*2,G86*2*2)))/E95,0)</f>
        <v>10</v>
      </c>
      <c r="G95" s="3"/>
      <c r="O95" s="10">
        <f>((((G86-(2*$D$11))+(2*10*D95/1000))*D86))*2</f>
        <v>1.48</v>
      </c>
      <c r="P95" s="10">
        <f t="shared" si="21"/>
        <v>14.8</v>
      </c>
      <c r="Q95" s="10">
        <f t="shared" si="22"/>
        <v>0</v>
      </c>
      <c r="R95" s="10">
        <f t="shared" si="22"/>
        <v>9.1284285714285716</v>
      </c>
      <c r="S95" s="10">
        <f t="shared" si="22"/>
        <v>0</v>
      </c>
      <c r="T95" s="10">
        <f t="shared" si="22"/>
        <v>0</v>
      </c>
      <c r="U95" s="10">
        <f t="shared" si="22"/>
        <v>0</v>
      </c>
      <c r="V95" s="10">
        <f t="shared" si="22"/>
        <v>0</v>
      </c>
      <c r="W95" s="10">
        <f t="shared" si="22"/>
        <v>0</v>
      </c>
      <c r="X95" s="10">
        <f t="shared" si="23"/>
        <v>9.1284285714285716</v>
      </c>
    </row>
    <row r="96" spans="1:32" s="3" customFormat="1" ht="20.100000000000001" customHeight="1" x14ac:dyDescent="0.2">
      <c r="A96" s="87"/>
      <c r="B96" s="10" t="s">
        <v>67</v>
      </c>
      <c r="C96" s="93" t="s">
        <v>75</v>
      </c>
      <c r="D96" s="10">
        <f>+$D$15</f>
        <v>25</v>
      </c>
      <c r="E96" s="10">
        <f>+$E$15</f>
        <v>1</v>
      </c>
      <c r="F96" s="10">
        <f>ROUNDUP((1.25+1.25+O91)/E96,0)</f>
        <v>6</v>
      </c>
      <c r="G96" s="90"/>
      <c r="H96" s="90"/>
      <c r="I96" s="10"/>
      <c r="J96" s="10"/>
      <c r="K96" s="10"/>
      <c r="L96" s="10"/>
      <c r="M96" s="10"/>
      <c r="N96" s="10"/>
      <c r="O96" s="10">
        <f>F86-$F$15</f>
        <v>0.39</v>
      </c>
      <c r="P96" s="10">
        <f t="shared" si="21"/>
        <v>2.34</v>
      </c>
      <c r="Q96" s="10">
        <f t="shared" si="22"/>
        <v>0</v>
      </c>
      <c r="R96" s="10">
        <f t="shared" si="22"/>
        <v>0</v>
      </c>
      <c r="S96" s="10">
        <f t="shared" si="22"/>
        <v>0</v>
      </c>
      <c r="T96" s="10">
        <f t="shared" si="22"/>
        <v>0</v>
      </c>
      <c r="U96" s="10">
        <f t="shared" si="22"/>
        <v>0</v>
      </c>
      <c r="V96" s="10">
        <f t="shared" si="22"/>
        <v>9.0204910714285731</v>
      </c>
      <c r="W96" s="10">
        <f t="shared" si="22"/>
        <v>0</v>
      </c>
      <c r="X96" s="10">
        <f t="shared" si="23"/>
        <v>9.0204910714285731</v>
      </c>
      <c r="Y96" s="10"/>
      <c r="Z96" s="10"/>
      <c r="AA96" s="10"/>
      <c r="AB96" s="10"/>
      <c r="AC96" s="10"/>
      <c r="AD96" s="10"/>
      <c r="AE96" s="10"/>
    </row>
    <row r="97" spans="1:32" s="3" customFormat="1" ht="21" customHeight="1" x14ac:dyDescent="0.2">
      <c r="A97" s="10">
        <v>1</v>
      </c>
      <c r="B97" s="10" t="s">
        <v>67</v>
      </c>
      <c r="C97" s="91" t="s">
        <v>81</v>
      </c>
      <c r="D97" s="91">
        <v>1</v>
      </c>
      <c r="E97" s="91">
        <v>4.4249999999999998</v>
      </c>
      <c r="F97" s="91">
        <v>0.45</v>
      </c>
      <c r="G97" s="91">
        <v>0.5</v>
      </c>
      <c r="H97" s="10">
        <f>G97-0.2</f>
        <v>0.3</v>
      </c>
      <c r="I97" s="10">
        <f>E97*F97*G97*D97</f>
        <v>0.99562499999999998</v>
      </c>
      <c r="J97" s="10">
        <f>(2*(E97)*H97*D97)+(E97*F97)</f>
        <v>4.6462500000000002</v>
      </c>
      <c r="K97" s="92">
        <f>IF(E97=0.3,J97,0)</f>
        <v>0</v>
      </c>
      <c r="L97" s="92">
        <f>IF(AND(E97&gt;0.3,E97&lt;=0.75),J97,0)</f>
        <v>0</v>
      </c>
      <c r="M97" s="92">
        <f>IF(AND(E97&gt;0.75,E97&lt;=1.2),J97,0)</f>
        <v>0</v>
      </c>
      <c r="N97" s="92">
        <f>IF(E97&gt;1.2,J97,0)</f>
        <v>4.6462500000000002</v>
      </c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f>SUM(X98:X101)/I97</f>
        <v>136.46277917316834</v>
      </c>
      <c r="Z97" s="10"/>
      <c r="AA97" s="10"/>
      <c r="AB97" s="10"/>
      <c r="AC97" s="10"/>
      <c r="AD97" s="10"/>
      <c r="AE97" s="10"/>
      <c r="AF97" s="10"/>
    </row>
    <row r="98" spans="1:32" s="3" customFormat="1" ht="20.100000000000001" customHeight="1" x14ac:dyDescent="0.2">
      <c r="A98" s="87"/>
      <c r="B98" s="10" t="s">
        <v>67</v>
      </c>
      <c r="C98" s="93" t="s">
        <v>69</v>
      </c>
      <c r="D98" s="10">
        <v>16</v>
      </c>
      <c r="E98" s="10"/>
      <c r="F98" s="10">
        <v>4</v>
      </c>
      <c r="G98" s="90">
        <f>VLOOKUP(D98,$C$20:$F$26,3,0)</f>
        <v>0.85</v>
      </c>
      <c r="H98" s="90"/>
      <c r="I98" s="10"/>
      <c r="J98" s="10"/>
      <c r="K98" s="10"/>
      <c r="L98" s="10"/>
      <c r="M98" s="10"/>
      <c r="N98" s="10"/>
      <c r="O98" s="10">
        <f>(E97+2*(G98+(12*D98/1000))*D97)</f>
        <v>6.5090000000000003</v>
      </c>
      <c r="P98" s="10">
        <f t="shared" ref="P98:P101" si="24">O98*F98</f>
        <v>26.036000000000001</v>
      </c>
      <c r="Q98" s="10">
        <f t="shared" ref="Q98:W101" si="25">IF($D98=Q$44,$P98*Q$45,0)</f>
        <v>0</v>
      </c>
      <c r="R98" s="10">
        <f t="shared" si="25"/>
        <v>0</v>
      </c>
      <c r="S98" s="10">
        <f t="shared" si="25"/>
        <v>0</v>
      </c>
      <c r="T98" s="10">
        <f t="shared" si="25"/>
        <v>41.110100114285721</v>
      </c>
      <c r="U98" s="10">
        <f t="shared" si="25"/>
        <v>0</v>
      </c>
      <c r="V98" s="10">
        <f t="shared" si="25"/>
        <v>0</v>
      </c>
      <c r="W98" s="10">
        <f t="shared" si="25"/>
        <v>0</v>
      </c>
      <c r="X98" s="10">
        <f t="shared" ref="X98:X101" si="26">SUM(Q98:W98)</f>
        <v>41.110100114285721</v>
      </c>
      <c r="Y98" s="10"/>
      <c r="Z98" s="10"/>
      <c r="AA98" s="10"/>
      <c r="AB98" s="10"/>
      <c r="AC98" s="10"/>
      <c r="AD98" s="10"/>
      <c r="AE98" s="10"/>
    </row>
    <row r="99" spans="1:32" s="3" customFormat="1" ht="20.100000000000001" customHeight="1" x14ac:dyDescent="0.2">
      <c r="A99" s="87"/>
      <c r="B99" s="10" t="s">
        <v>67</v>
      </c>
      <c r="C99" s="93" t="s">
        <v>71</v>
      </c>
      <c r="D99" s="10">
        <v>16</v>
      </c>
      <c r="E99" s="10"/>
      <c r="F99" s="10">
        <v>4</v>
      </c>
      <c r="G99" s="90">
        <f>VLOOKUP(D99,$C$20:$F$26,3,0)</f>
        <v>0.85</v>
      </c>
      <c r="H99" s="10"/>
      <c r="I99" s="10"/>
      <c r="J99" s="10"/>
      <c r="K99" s="10"/>
      <c r="L99" s="10"/>
      <c r="M99" s="10"/>
      <c r="N99" s="10"/>
      <c r="O99" s="10">
        <f>(E97+2*(G99+(12*D99/1000))*D97)</f>
        <v>6.5090000000000003</v>
      </c>
      <c r="P99" s="10">
        <f t="shared" si="24"/>
        <v>26.036000000000001</v>
      </c>
      <c r="Q99" s="10">
        <f t="shared" si="25"/>
        <v>0</v>
      </c>
      <c r="R99" s="10">
        <f t="shared" si="25"/>
        <v>0</v>
      </c>
      <c r="S99" s="10">
        <f t="shared" si="25"/>
        <v>0</v>
      </c>
      <c r="T99" s="10">
        <f t="shared" si="25"/>
        <v>41.110100114285721</v>
      </c>
      <c r="U99" s="10">
        <f t="shared" si="25"/>
        <v>0</v>
      </c>
      <c r="V99" s="10">
        <f t="shared" si="25"/>
        <v>0</v>
      </c>
      <c r="W99" s="10">
        <f t="shared" si="25"/>
        <v>0</v>
      </c>
      <c r="X99" s="10">
        <f t="shared" si="26"/>
        <v>41.110100114285721</v>
      </c>
      <c r="Y99" s="10"/>
      <c r="Z99" s="10"/>
      <c r="AA99" s="10"/>
      <c r="AB99" s="10"/>
      <c r="AC99" s="10"/>
      <c r="AD99" s="10"/>
      <c r="AE99" s="10"/>
    </row>
    <row r="100" spans="1:32" s="3" customFormat="1" ht="20.100000000000001" customHeight="1" x14ac:dyDescent="0.2">
      <c r="A100" s="87"/>
      <c r="B100" s="10" t="s">
        <v>67</v>
      </c>
      <c r="C100" s="93" t="s">
        <v>73</v>
      </c>
      <c r="D100" s="10">
        <v>8</v>
      </c>
      <c r="E100" s="10">
        <v>0.1</v>
      </c>
      <c r="F100" s="10">
        <f>ROUNDUP(E97/E100,0)</f>
        <v>45</v>
      </c>
      <c r="H100" s="10"/>
      <c r="I100" s="10"/>
      <c r="J100" s="10"/>
      <c r="K100" s="10"/>
      <c r="L100" s="10"/>
      <c r="M100" s="10"/>
      <c r="N100" s="10"/>
      <c r="O100" s="10">
        <f>(2*((G97-(2*$D$11))+(F97-(2*$D$11)))+(2*10*D100/1000))*D97</f>
        <v>1.82</v>
      </c>
      <c r="P100" s="10">
        <f t="shared" si="24"/>
        <v>81.900000000000006</v>
      </c>
      <c r="Q100" s="10">
        <f t="shared" si="25"/>
        <v>32.329440000000005</v>
      </c>
      <c r="R100" s="10">
        <f t="shared" si="25"/>
        <v>0</v>
      </c>
      <c r="S100" s="10">
        <f t="shared" si="25"/>
        <v>0</v>
      </c>
      <c r="T100" s="10">
        <f t="shared" si="25"/>
        <v>0</v>
      </c>
      <c r="U100" s="10">
        <f t="shared" si="25"/>
        <v>0</v>
      </c>
      <c r="V100" s="10">
        <f t="shared" si="25"/>
        <v>0</v>
      </c>
      <c r="W100" s="10">
        <f t="shared" si="25"/>
        <v>0</v>
      </c>
      <c r="X100" s="10">
        <f t="shared" si="26"/>
        <v>32.329440000000005</v>
      </c>
      <c r="Y100" s="10"/>
      <c r="Z100" s="10"/>
      <c r="AA100" s="10"/>
      <c r="AB100" s="10"/>
      <c r="AC100" s="10"/>
      <c r="AD100" s="10"/>
      <c r="AE100" s="10"/>
    </row>
    <row r="101" spans="1:32" s="2" customFormat="1" ht="20.100000000000001" customHeight="1" x14ac:dyDescent="0.2">
      <c r="B101" s="10" t="s">
        <v>67</v>
      </c>
      <c r="C101" s="93" t="s">
        <v>74</v>
      </c>
      <c r="D101" s="10">
        <f>+D100</f>
        <v>8</v>
      </c>
      <c r="E101" s="2">
        <f>+E100</f>
        <v>0.1</v>
      </c>
      <c r="F101" s="10">
        <f>ROUNDUP(E97/E101,0)</f>
        <v>45</v>
      </c>
      <c r="G101" s="3"/>
      <c r="O101" s="10">
        <f>((((G97-(2*$D$11))+(2*10*D101/1000))*D97))*2</f>
        <v>1.2</v>
      </c>
      <c r="P101" s="10">
        <f t="shared" si="24"/>
        <v>54</v>
      </c>
      <c r="Q101" s="10">
        <f t="shared" si="25"/>
        <v>21.316114285714288</v>
      </c>
      <c r="R101" s="10">
        <f t="shared" si="25"/>
        <v>0</v>
      </c>
      <c r="S101" s="10">
        <f t="shared" si="25"/>
        <v>0</v>
      </c>
      <c r="T101" s="10">
        <f t="shared" si="25"/>
        <v>0</v>
      </c>
      <c r="U101" s="10">
        <f t="shared" si="25"/>
        <v>0</v>
      </c>
      <c r="V101" s="10">
        <f t="shared" si="25"/>
        <v>0</v>
      </c>
      <c r="W101" s="10">
        <f t="shared" si="25"/>
        <v>0</v>
      </c>
      <c r="X101" s="10">
        <f t="shared" si="26"/>
        <v>21.316114285714288</v>
      </c>
    </row>
    <row r="102" spans="1:32" s="3" customFormat="1" ht="21" customHeight="1" x14ac:dyDescent="0.2">
      <c r="A102" s="10">
        <v>1</v>
      </c>
      <c r="B102" s="10" t="s">
        <v>67</v>
      </c>
      <c r="C102" s="91" t="s">
        <v>82</v>
      </c>
      <c r="D102" s="91">
        <v>1</v>
      </c>
      <c r="E102" s="91">
        <v>10.058999999999999</v>
      </c>
      <c r="F102" s="91">
        <v>0.75</v>
      </c>
      <c r="G102" s="91">
        <v>0.75</v>
      </c>
      <c r="H102" s="10">
        <f>G102-0.2</f>
        <v>0.55000000000000004</v>
      </c>
      <c r="I102" s="10">
        <f>E102*F102*G102*D102</f>
        <v>5.6581875000000004</v>
      </c>
      <c r="J102" s="10">
        <f>(2*(E102)*H102*D102)+(E102*F102)</f>
        <v>18.60915</v>
      </c>
      <c r="K102" s="92">
        <f>IF(E102=0.3,J102,0)</f>
        <v>0</v>
      </c>
      <c r="L102" s="92">
        <f>IF(AND(E102&gt;0.3,E102&lt;=0.75),J102,0)</f>
        <v>0</v>
      </c>
      <c r="M102" s="92">
        <f>IF(AND(E102&gt;0.75,E102&lt;=1.2),J102,0)</f>
        <v>0</v>
      </c>
      <c r="N102" s="92">
        <f>IF(E102&gt;1.2,J102,0)</f>
        <v>18.60915</v>
      </c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>
        <f>SUM(X103:X108)/I102</f>
        <v>141.08059614370453</v>
      </c>
      <c r="Z102" s="10"/>
      <c r="AA102" s="10"/>
      <c r="AB102" s="10"/>
      <c r="AC102" s="10"/>
      <c r="AD102" s="10"/>
      <c r="AE102" s="10"/>
      <c r="AF102" s="10"/>
    </row>
    <row r="103" spans="1:32" s="3" customFormat="1" ht="20.100000000000001" customHeight="1" x14ac:dyDescent="0.2">
      <c r="A103" s="87"/>
      <c r="B103" s="10" t="s">
        <v>67</v>
      </c>
      <c r="C103" s="93" t="s">
        <v>69</v>
      </c>
      <c r="D103" s="10">
        <v>20</v>
      </c>
      <c r="E103" s="10"/>
      <c r="F103" s="10">
        <v>7</v>
      </c>
      <c r="G103" s="90">
        <f>VLOOKUP(D103,$C$20:$F$26,3,0)</f>
        <v>1.05</v>
      </c>
      <c r="H103" s="90"/>
      <c r="I103" s="10"/>
      <c r="J103" s="10"/>
      <c r="K103" s="10"/>
      <c r="L103" s="10"/>
      <c r="M103" s="10"/>
      <c r="N103" s="10"/>
      <c r="O103" s="10">
        <f>(E102+1*(G103+(12*D103/1000))*D102)</f>
        <v>11.349</v>
      </c>
      <c r="P103" s="10">
        <f t="shared" ref="P103:P111" si="27">O103*F103</f>
        <v>79.442999999999998</v>
      </c>
      <c r="Q103" s="10">
        <f t="shared" ref="Q103:W118" si="28">IF($D103=Q$44,$P103*Q$45,0)</f>
        <v>0</v>
      </c>
      <c r="R103" s="10">
        <f t="shared" si="28"/>
        <v>0</v>
      </c>
      <c r="S103" s="10">
        <f t="shared" si="28"/>
        <v>0</v>
      </c>
      <c r="T103" s="10">
        <f t="shared" si="28"/>
        <v>0</v>
      </c>
      <c r="U103" s="10">
        <f t="shared" si="28"/>
        <v>195.99723</v>
      </c>
      <c r="V103" s="10">
        <f t="shared" si="28"/>
        <v>0</v>
      </c>
      <c r="W103" s="10">
        <f t="shared" si="28"/>
        <v>0</v>
      </c>
      <c r="X103" s="10">
        <f t="shared" ref="X103:X111" si="29">SUM(Q103:W103)</f>
        <v>195.99723</v>
      </c>
      <c r="Y103" s="10"/>
      <c r="Z103" s="10"/>
      <c r="AA103" s="10"/>
      <c r="AB103" s="10"/>
      <c r="AC103" s="10"/>
      <c r="AD103" s="10"/>
      <c r="AE103" s="10"/>
    </row>
    <row r="104" spans="1:32" s="3" customFormat="1" ht="20.100000000000001" customHeight="1" x14ac:dyDescent="0.2">
      <c r="A104" s="87"/>
      <c r="B104" s="10" t="s">
        <v>67</v>
      </c>
      <c r="C104" s="93" t="s">
        <v>70</v>
      </c>
      <c r="D104" s="10">
        <v>16</v>
      </c>
      <c r="E104" s="10"/>
      <c r="F104" s="10">
        <v>4</v>
      </c>
      <c r="G104" s="90">
        <f>VLOOKUP(D104,$C$20:$F$26,3,0)</f>
        <v>0.85</v>
      </c>
      <c r="H104" s="90"/>
      <c r="I104" s="10"/>
      <c r="J104" s="10"/>
      <c r="K104" s="10"/>
      <c r="L104" s="10"/>
      <c r="M104" s="10"/>
      <c r="N104" s="10"/>
      <c r="O104" s="10">
        <f>(3+1*(G104+(12*D104/1000))*D102)</f>
        <v>4.0419999999999998</v>
      </c>
      <c r="P104" s="10">
        <f t="shared" si="27"/>
        <v>16.167999999999999</v>
      </c>
      <c r="Q104" s="10">
        <f t="shared" si="28"/>
        <v>0</v>
      </c>
      <c r="R104" s="10">
        <f t="shared" si="28"/>
        <v>0</v>
      </c>
      <c r="S104" s="10">
        <f t="shared" si="28"/>
        <v>0</v>
      </c>
      <c r="T104" s="10">
        <f t="shared" si="28"/>
        <v>25.528810057142859</v>
      </c>
      <c r="U104" s="10">
        <f t="shared" si="28"/>
        <v>0</v>
      </c>
      <c r="V104" s="10">
        <f t="shared" si="28"/>
        <v>0</v>
      </c>
      <c r="W104" s="10">
        <f t="shared" si="28"/>
        <v>0</v>
      </c>
      <c r="X104" s="10">
        <f t="shared" si="29"/>
        <v>25.528810057142859</v>
      </c>
      <c r="Y104" s="10"/>
      <c r="Z104" s="10"/>
      <c r="AA104" s="10"/>
      <c r="AB104" s="10"/>
      <c r="AC104" s="10"/>
      <c r="AD104" s="10"/>
      <c r="AE104" s="10"/>
    </row>
    <row r="105" spans="1:32" s="3" customFormat="1" ht="20.100000000000001" customHeight="1" x14ac:dyDescent="0.2">
      <c r="A105" s="87"/>
      <c r="B105" s="10" t="s">
        <v>67</v>
      </c>
      <c r="C105" s="93" t="s">
        <v>71</v>
      </c>
      <c r="D105" s="10">
        <v>20</v>
      </c>
      <c r="E105" s="10"/>
      <c r="F105" s="10">
        <v>7</v>
      </c>
      <c r="G105" s="90">
        <f>VLOOKUP(D105,$C$20:$F$26,3,0)</f>
        <v>1.05</v>
      </c>
      <c r="H105" s="10"/>
      <c r="I105" s="10"/>
      <c r="J105" s="10"/>
      <c r="K105" s="10"/>
      <c r="L105" s="10"/>
      <c r="M105" s="10"/>
      <c r="N105" s="10"/>
      <c r="O105" s="10">
        <f>(E102+1*(G105+(12*D105/1000))+1*(12*D105/1000))*D102</f>
        <v>11.589</v>
      </c>
      <c r="P105" s="10">
        <f t="shared" si="27"/>
        <v>81.123000000000005</v>
      </c>
      <c r="Q105" s="10">
        <f t="shared" si="28"/>
        <v>0</v>
      </c>
      <c r="R105" s="10">
        <f t="shared" si="28"/>
        <v>0</v>
      </c>
      <c r="S105" s="10">
        <f t="shared" si="28"/>
        <v>0</v>
      </c>
      <c r="T105" s="10">
        <f t="shared" si="28"/>
        <v>0</v>
      </c>
      <c r="U105" s="10">
        <f t="shared" si="28"/>
        <v>200.14203000000001</v>
      </c>
      <c r="V105" s="10">
        <f t="shared" si="28"/>
        <v>0</v>
      </c>
      <c r="W105" s="10">
        <f t="shared" si="28"/>
        <v>0</v>
      </c>
      <c r="X105" s="10">
        <f t="shared" si="29"/>
        <v>200.14203000000001</v>
      </c>
      <c r="Y105" s="10"/>
      <c r="Z105" s="10"/>
      <c r="AA105" s="10"/>
      <c r="AB105" s="10"/>
      <c r="AC105" s="10"/>
      <c r="AD105" s="10"/>
      <c r="AE105" s="10"/>
    </row>
    <row r="106" spans="1:32" s="3" customFormat="1" ht="20.100000000000001" customHeight="1" x14ac:dyDescent="0.2">
      <c r="A106" s="87"/>
      <c r="B106" s="10" t="s">
        <v>67</v>
      </c>
      <c r="C106" s="93" t="s">
        <v>72</v>
      </c>
      <c r="D106" s="10">
        <v>25</v>
      </c>
      <c r="E106" s="10"/>
      <c r="F106" s="10">
        <v>6</v>
      </c>
      <c r="G106" s="90">
        <f>VLOOKUP(D106,$C$20:$F$26,3,0)</f>
        <v>1.35</v>
      </c>
      <c r="H106" s="10"/>
      <c r="I106" s="10"/>
      <c r="J106" s="10"/>
      <c r="K106" s="10"/>
      <c r="L106" s="10"/>
      <c r="M106" s="10"/>
      <c r="N106" s="10"/>
      <c r="O106" s="10">
        <f>E102-1.2+(12*D105/1000)</f>
        <v>9.0990000000000002</v>
      </c>
      <c r="P106" s="10">
        <f t="shared" si="27"/>
        <v>54.594000000000001</v>
      </c>
      <c r="Q106" s="10">
        <f t="shared" si="28"/>
        <v>0</v>
      </c>
      <c r="R106" s="10">
        <f t="shared" si="28"/>
        <v>0</v>
      </c>
      <c r="S106" s="10">
        <f t="shared" si="28"/>
        <v>0</v>
      </c>
      <c r="T106" s="10">
        <f t="shared" si="28"/>
        <v>0</v>
      </c>
      <c r="U106" s="10">
        <f t="shared" si="28"/>
        <v>0</v>
      </c>
      <c r="V106" s="10">
        <f t="shared" si="28"/>
        <v>210.45499553571432</v>
      </c>
      <c r="W106" s="10">
        <f t="shared" si="28"/>
        <v>0</v>
      </c>
      <c r="X106" s="10">
        <f t="shared" si="29"/>
        <v>210.45499553571432</v>
      </c>
      <c r="Y106" s="10"/>
      <c r="Z106" s="10"/>
      <c r="AA106" s="10"/>
      <c r="AB106" s="10"/>
      <c r="AC106" s="10"/>
      <c r="AD106" s="10"/>
      <c r="AE106" s="10"/>
    </row>
    <row r="107" spans="1:32" s="3" customFormat="1" ht="20.100000000000001" customHeight="1" x14ac:dyDescent="0.2">
      <c r="A107" s="87"/>
      <c r="B107" s="10" t="s">
        <v>67</v>
      </c>
      <c r="C107" s="93" t="s">
        <v>73</v>
      </c>
      <c r="D107" s="10">
        <v>10</v>
      </c>
      <c r="E107" s="10">
        <v>0.1</v>
      </c>
      <c r="F107" s="10">
        <f>ROUND(IF(E102/3&gt;(2*G102),(E102/3)/E107,(2*G102)/E107),0)*2+1</f>
        <v>69</v>
      </c>
      <c r="H107" s="10"/>
      <c r="I107" s="10"/>
      <c r="J107" s="10"/>
      <c r="K107" s="10"/>
      <c r="L107" s="10"/>
      <c r="M107" s="10"/>
      <c r="N107" s="10"/>
      <c r="O107" s="10">
        <f>(2*((G102-(2*$D$11))+(F102-(2*$D$11)))+(2*10*D107/1000))*D102</f>
        <v>2.96</v>
      </c>
      <c r="P107" s="10">
        <f t="shared" si="27"/>
        <v>204.24</v>
      </c>
      <c r="Q107" s="10">
        <f t="shared" si="28"/>
        <v>0</v>
      </c>
      <c r="R107" s="10">
        <f t="shared" si="28"/>
        <v>125.97231428571429</v>
      </c>
      <c r="S107" s="10">
        <f t="shared" si="28"/>
        <v>0</v>
      </c>
      <c r="T107" s="10">
        <f t="shared" si="28"/>
        <v>0</v>
      </c>
      <c r="U107" s="10">
        <f t="shared" si="28"/>
        <v>0</v>
      </c>
      <c r="V107" s="10">
        <f t="shared" si="28"/>
        <v>0</v>
      </c>
      <c r="W107" s="10">
        <f t="shared" si="28"/>
        <v>0</v>
      </c>
      <c r="X107" s="10">
        <f t="shared" si="29"/>
        <v>125.97231428571429</v>
      </c>
      <c r="Y107" s="10"/>
      <c r="Z107" s="10"/>
      <c r="AA107" s="10"/>
      <c r="AB107" s="10"/>
      <c r="AC107" s="10"/>
      <c r="AD107" s="10"/>
      <c r="AE107" s="10"/>
    </row>
    <row r="108" spans="1:32" s="2" customFormat="1" ht="20.100000000000001" customHeight="1" x14ac:dyDescent="0.2">
      <c r="B108" s="10" t="s">
        <v>67</v>
      </c>
      <c r="C108" s="93" t="s">
        <v>73</v>
      </c>
      <c r="D108" s="2">
        <f>D107</f>
        <v>10</v>
      </c>
      <c r="E108" s="2">
        <v>0.15</v>
      </c>
      <c r="F108" s="2">
        <f>ROUND((E102-(IF(E102/3&gt;2*G102,E102/3*2,G102*2*2)))/E108,0)</f>
        <v>22</v>
      </c>
      <c r="G108" s="3"/>
      <c r="O108" s="10">
        <f>(2*((G102-(2*$D$11))+(F102-(2*$D$11)))+(2*10*D108/1000))*D102</f>
        <v>2.96</v>
      </c>
      <c r="P108" s="10">
        <f t="shared" si="27"/>
        <v>65.12</v>
      </c>
      <c r="Q108" s="10">
        <f t="shared" si="28"/>
        <v>0</v>
      </c>
      <c r="R108" s="10">
        <f t="shared" si="28"/>
        <v>40.165085714285716</v>
      </c>
      <c r="S108" s="10">
        <f t="shared" si="28"/>
        <v>0</v>
      </c>
      <c r="T108" s="10">
        <f t="shared" si="28"/>
        <v>0</v>
      </c>
      <c r="U108" s="10">
        <f t="shared" si="28"/>
        <v>0</v>
      </c>
      <c r="V108" s="10">
        <f t="shared" si="28"/>
        <v>0</v>
      </c>
      <c r="W108" s="10">
        <f t="shared" si="28"/>
        <v>0</v>
      </c>
      <c r="X108" s="10">
        <f t="shared" si="29"/>
        <v>40.165085714285716</v>
      </c>
    </row>
    <row r="109" spans="1:32" s="2" customFormat="1" ht="20.100000000000001" customHeight="1" x14ac:dyDescent="0.2">
      <c r="B109" s="10" t="s">
        <v>67</v>
      </c>
      <c r="C109" s="93" t="s">
        <v>74</v>
      </c>
      <c r="D109" s="2">
        <f>D107</f>
        <v>10</v>
      </c>
      <c r="E109" s="2">
        <f>+E107</f>
        <v>0.1</v>
      </c>
      <c r="F109" s="10">
        <f>ROUND(IF(E102/3&gt;(2*G102),(E102/3)/E109,(2*G102)/E109),0)*2+1</f>
        <v>69</v>
      </c>
      <c r="G109" s="3"/>
      <c r="O109" s="10">
        <f>((((G102-(2*$D$11))+(2*10*D109/1000))*D102))*2</f>
        <v>1.7799999999999998</v>
      </c>
      <c r="P109" s="10">
        <f t="shared" si="27"/>
        <v>122.82</v>
      </c>
      <c r="Q109" s="10">
        <f t="shared" si="28"/>
        <v>0</v>
      </c>
      <c r="R109" s="10">
        <f t="shared" si="28"/>
        <v>75.753621428571421</v>
      </c>
      <c r="S109" s="10">
        <f t="shared" si="28"/>
        <v>0</v>
      </c>
      <c r="T109" s="10">
        <f t="shared" si="28"/>
        <v>0</v>
      </c>
      <c r="U109" s="10">
        <f t="shared" si="28"/>
        <v>0</v>
      </c>
      <c r="V109" s="10">
        <f t="shared" si="28"/>
        <v>0</v>
      </c>
      <c r="W109" s="10">
        <f t="shared" si="28"/>
        <v>0</v>
      </c>
      <c r="X109" s="10">
        <f t="shared" si="29"/>
        <v>75.753621428571421</v>
      </c>
    </row>
    <row r="110" spans="1:32" s="2" customFormat="1" ht="20.100000000000001" customHeight="1" x14ac:dyDescent="0.2">
      <c r="B110" s="10" t="s">
        <v>67</v>
      </c>
      <c r="C110" s="93" t="s">
        <v>74</v>
      </c>
      <c r="D110" s="2">
        <f>D108</f>
        <v>10</v>
      </c>
      <c r="E110" s="2">
        <f>+E108</f>
        <v>0.15</v>
      </c>
      <c r="F110" s="2">
        <f>ROUND((E102-(IF(E102/3&gt;2*G102,E102/3*2,G102*2*2)))/E110,0)</f>
        <v>22</v>
      </c>
      <c r="G110" s="3"/>
      <c r="O110" s="10">
        <f>((((G102-(2*$D$11))+(2*10*D110/1000))*D102))*2</f>
        <v>1.7799999999999998</v>
      </c>
      <c r="P110" s="10">
        <f t="shared" si="27"/>
        <v>39.159999999999997</v>
      </c>
      <c r="Q110" s="10">
        <f t="shared" si="28"/>
        <v>0</v>
      </c>
      <c r="R110" s="10">
        <f t="shared" si="28"/>
        <v>24.15332857142857</v>
      </c>
      <c r="S110" s="10">
        <f t="shared" si="28"/>
        <v>0</v>
      </c>
      <c r="T110" s="10">
        <f t="shared" si="28"/>
        <v>0</v>
      </c>
      <c r="U110" s="10">
        <f t="shared" si="28"/>
        <v>0</v>
      </c>
      <c r="V110" s="10">
        <f t="shared" si="28"/>
        <v>0</v>
      </c>
      <c r="W110" s="10">
        <f t="shared" si="28"/>
        <v>0</v>
      </c>
      <c r="X110" s="10">
        <f t="shared" si="29"/>
        <v>24.15332857142857</v>
      </c>
    </row>
    <row r="111" spans="1:32" s="3" customFormat="1" ht="20.100000000000001" customHeight="1" x14ac:dyDescent="0.2">
      <c r="A111" s="87"/>
      <c r="B111" s="10" t="s">
        <v>67</v>
      </c>
      <c r="C111" s="93" t="s">
        <v>75</v>
      </c>
      <c r="D111" s="10">
        <f>+$D$15</f>
        <v>25</v>
      </c>
      <c r="E111" s="10">
        <f>+$E$15</f>
        <v>1</v>
      </c>
      <c r="F111" s="10">
        <f>ROUNDUP((3+O106)/E111,0)</f>
        <v>13</v>
      </c>
      <c r="G111" s="90"/>
      <c r="H111" s="90"/>
      <c r="I111" s="10"/>
      <c r="J111" s="10"/>
      <c r="K111" s="10"/>
      <c r="L111" s="10"/>
      <c r="M111" s="10"/>
      <c r="N111" s="10"/>
      <c r="O111" s="10">
        <f>F102-$F$15</f>
        <v>0.69</v>
      </c>
      <c r="P111" s="10">
        <f t="shared" si="27"/>
        <v>8.9699999999999989</v>
      </c>
      <c r="Q111" s="10">
        <f t="shared" si="28"/>
        <v>0</v>
      </c>
      <c r="R111" s="10">
        <f t="shared" si="28"/>
        <v>0</v>
      </c>
      <c r="S111" s="10">
        <f t="shared" si="28"/>
        <v>0</v>
      </c>
      <c r="T111" s="10">
        <f t="shared" si="28"/>
        <v>0</v>
      </c>
      <c r="U111" s="10">
        <f t="shared" si="28"/>
        <v>0</v>
      </c>
      <c r="V111" s="10">
        <f t="shared" si="28"/>
        <v>34.578549107142855</v>
      </c>
      <c r="W111" s="10">
        <f t="shared" si="28"/>
        <v>0</v>
      </c>
      <c r="X111" s="10">
        <f t="shared" si="29"/>
        <v>34.578549107142855</v>
      </c>
      <c r="Y111" s="10"/>
      <c r="Z111" s="10"/>
      <c r="AA111" s="10"/>
      <c r="AB111" s="10"/>
      <c r="AC111" s="10"/>
      <c r="AD111" s="10"/>
      <c r="AE111" s="10"/>
    </row>
    <row r="112" spans="1:32" s="3" customFormat="1" ht="21" customHeight="1" x14ac:dyDescent="0.2">
      <c r="A112" s="10">
        <v>1</v>
      </c>
      <c r="B112" s="10" t="s">
        <v>67</v>
      </c>
      <c r="C112" s="94" t="s">
        <v>83</v>
      </c>
      <c r="D112" s="91">
        <v>1</v>
      </c>
      <c r="E112" s="91">
        <v>1.5680000000000001</v>
      </c>
      <c r="F112" s="91">
        <v>0.75</v>
      </c>
      <c r="G112" s="91">
        <v>1.45</v>
      </c>
      <c r="H112" s="10">
        <f>G112-0.2</f>
        <v>1.25</v>
      </c>
      <c r="I112" s="10">
        <f>E112*F112*G112*D112</f>
        <v>1.7052000000000003</v>
      </c>
      <c r="J112" s="10">
        <f>(2*(E112)*H112*D112)+(E112*F112)</f>
        <v>5.0960000000000001</v>
      </c>
      <c r="K112" s="92">
        <f>IF(E112=0.3,J112,0)</f>
        <v>0</v>
      </c>
      <c r="L112" s="92">
        <f>IF(AND(E112&gt;0.3,E112&lt;=0.75),J112,0)</f>
        <v>0</v>
      </c>
      <c r="M112" s="92">
        <f>IF(AND(E112&gt;0.75,E112&lt;=1.2),J112,0)</f>
        <v>0</v>
      </c>
      <c r="N112" s="92">
        <f>IF(E112&gt;1.2,J112,0)</f>
        <v>5.0960000000000001</v>
      </c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f>SUM(X113:X117)/I112</f>
        <v>163.25694271304579</v>
      </c>
      <c r="Z112" s="10"/>
      <c r="AA112" s="10"/>
      <c r="AB112" s="10"/>
      <c r="AC112" s="10"/>
      <c r="AD112" s="10"/>
      <c r="AE112" s="10"/>
      <c r="AF112" s="10"/>
    </row>
    <row r="113" spans="1:32" s="3" customFormat="1" ht="20.100000000000001" customHeight="1" x14ac:dyDescent="0.2">
      <c r="A113" s="87"/>
      <c r="B113" s="10" t="s">
        <v>67</v>
      </c>
      <c r="C113" s="93" t="s">
        <v>69</v>
      </c>
      <c r="D113" s="10">
        <v>20</v>
      </c>
      <c r="E113" s="10"/>
      <c r="F113" s="10">
        <v>7</v>
      </c>
      <c r="G113" s="90">
        <f>VLOOKUP(D113,$C$20:$F$26,3,0)</f>
        <v>1.05</v>
      </c>
      <c r="H113" s="90"/>
      <c r="I113" s="10"/>
      <c r="J113" s="10"/>
      <c r="K113" s="10"/>
      <c r="L113" s="10"/>
      <c r="M113" s="10"/>
      <c r="N113" s="10"/>
      <c r="O113" s="10">
        <f>(E112+1*(G113+(12*D113/1000))*D112)</f>
        <v>2.8580000000000001</v>
      </c>
      <c r="P113" s="10">
        <f t="shared" ref="P113:P118" si="30">O113*F113</f>
        <v>20.006</v>
      </c>
      <c r="Q113" s="10">
        <f t="shared" si="28"/>
        <v>0</v>
      </c>
      <c r="R113" s="10">
        <f t="shared" si="28"/>
        <v>0</v>
      </c>
      <c r="S113" s="10">
        <f t="shared" si="28"/>
        <v>0</v>
      </c>
      <c r="T113" s="10">
        <f t="shared" si="28"/>
        <v>0</v>
      </c>
      <c r="U113" s="10">
        <f t="shared" si="28"/>
        <v>49.357660000000003</v>
      </c>
      <c r="V113" s="10">
        <f t="shared" si="28"/>
        <v>0</v>
      </c>
      <c r="W113" s="10">
        <f t="shared" si="28"/>
        <v>0</v>
      </c>
      <c r="X113" s="10">
        <f t="shared" ref="X113:X118" si="31">SUM(Q113:W113)</f>
        <v>49.357660000000003</v>
      </c>
      <c r="Y113" s="10"/>
      <c r="Z113" s="10"/>
      <c r="AA113" s="10"/>
      <c r="AB113" s="10"/>
      <c r="AC113" s="10"/>
      <c r="AD113" s="10"/>
      <c r="AE113" s="10"/>
    </row>
    <row r="114" spans="1:32" s="3" customFormat="1" ht="20.100000000000001" customHeight="1" x14ac:dyDescent="0.2">
      <c r="A114" s="87"/>
      <c r="B114" s="10" t="s">
        <v>67</v>
      </c>
      <c r="C114" s="93" t="s">
        <v>70</v>
      </c>
      <c r="D114" s="10">
        <v>25</v>
      </c>
      <c r="E114" s="10"/>
      <c r="F114" s="10">
        <v>4</v>
      </c>
      <c r="G114" s="90">
        <f>VLOOKUP(D114,$C$20:$F$26,3,0)</f>
        <v>1.35</v>
      </c>
      <c r="H114" s="90"/>
      <c r="I114" s="10"/>
      <c r="J114" s="10"/>
      <c r="K114" s="10"/>
      <c r="L114" s="10"/>
      <c r="M114" s="10"/>
      <c r="N114" s="10"/>
      <c r="O114" s="10">
        <f>(3+1*(G114+(12*D114/1000))*D112)</f>
        <v>4.6500000000000004</v>
      </c>
      <c r="P114" s="10">
        <f t="shared" si="30"/>
        <v>18.600000000000001</v>
      </c>
      <c r="Q114" s="10">
        <f t="shared" si="28"/>
        <v>0</v>
      </c>
      <c r="R114" s="10">
        <f t="shared" si="28"/>
        <v>0</v>
      </c>
      <c r="S114" s="10">
        <f t="shared" si="28"/>
        <v>0</v>
      </c>
      <c r="T114" s="10">
        <f t="shared" si="28"/>
        <v>0</v>
      </c>
      <c r="U114" s="10">
        <f t="shared" si="28"/>
        <v>0</v>
      </c>
      <c r="V114" s="10">
        <f t="shared" si="28"/>
        <v>71.701339285714297</v>
      </c>
      <c r="W114" s="10">
        <f t="shared" si="28"/>
        <v>0</v>
      </c>
      <c r="X114" s="10">
        <f t="shared" si="31"/>
        <v>71.701339285714297</v>
      </c>
      <c r="Y114" s="10"/>
      <c r="Z114" s="10"/>
      <c r="AA114" s="10"/>
      <c r="AB114" s="10"/>
      <c r="AC114" s="10"/>
      <c r="AD114" s="10"/>
      <c r="AE114" s="10"/>
    </row>
    <row r="115" spans="1:32" s="3" customFormat="1" ht="20.100000000000001" customHeight="1" x14ac:dyDescent="0.2">
      <c r="A115" s="87"/>
      <c r="B115" s="10" t="s">
        <v>67</v>
      </c>
      <c r="C115" s="93" t="s">
        <v>71</v>
      </c>
      <c r="D115" s="10">
        <v>20</v>
      </c>
      <c r="E115" s="10"/>
      <c r="F115" s="10">
        <v>7</v>
      </c>
      <c r="G115" s="90">
        <f>VLOOKUP(D115,$C$20:$F$26,3,0)</f>
        <v>1.05</v>
      </c>
      <c r="H115" s="10"/>
      <c r="I115" s="10"/>
      <c r="J115" s="10"/>
      <c r="K115" s="10"/>
      <c r="L115" s="10"/>
      <c r="M115" s="10"/>
      <c r="N115" s="10"/>
      <c r="O115" s="10">
        <f>(E112+2*(G115+(12*D115/1000))*D112)</f>
        <v>4.1479999999999997</v>
      </c>
      <c r="P115" s="10">
        <f t="shared" si="30"/>
        <v>29.035999999999998</v>
      </c>
      <c r="Q115" s="10">
        <f t="shared" si="28"/>
        <v>0</v>
      </c>
      <c r="R115" s="10">
        <f t="shared" si="28"/>
        <v>0</v>
      </c>
      <c r="S115" s="10">
        <f t="shared" si="28"/>
        <v>0</v>
      </c>
      <c r="T115" s="10">
        <f t="shared" si="28"/>
        <v>0</v>
      </c>
      <c r="U115" s="10">
        <f t="shared" si="28"/>
        <v>71.635959999999997</v>
      </c>
      <c r="V115" s="10">
        <f t="shared" si="28"/>
        <v>0</v>
      </c>
      <c r="W115" s="10">
        <f t="shared" si="28"/>
        <v>0</v>
      </c>
      <c r="X115" s="10">
        <f t="shared" si="31"/>
        <v>71.635959999999997</v>
      </c>
      <c r="Y115" s="10"/>
      <c r="Z115" s="10"/>
      <c r="AA115" s="10"/>
      <c r="AB115" s="10"/>
      <c r="AC115" s="10"/>
      <c r="AD115" s="10"/>
      <c r="AE115" s="10"/>
    </row>
    <row r="116" spans="1:32" s="3" customFormat="1" ht="20.100000000000001" customHeight="1" x14ac:dyDescent="0.2">
      <c r="A116" s="87"/>
      <c r="B116" s="10" t="s">
        <v>67</v>
      </c>
      <c r="C116" s="93" t="s">
        <v>73</v>
      </c>
      <c r="D116" s="10">
        <v>12</v>
      </c>
      <c r="E116" s="10">
        <v>0.1</v>
      </c>
      <c r="F116" s="10">
        <f>ROUNDUP(E112/E116,0)</f>
        <v>16</v>
      </c>
      <c r="H116" s="10"/>
      <c r="I116" s="10"/>
      <c r="J116" s="10"/>
      <c r="K116" s="10"/>
      <c r="L116" s="10"/>
      <c r="M116" s="10"/>
      <c r="N116" s="10"/>
      <c r="O116" s="10">
        <f>(2*((G112-(2*$D$11))+(F112-(2*$D$11)))+(2*10*D116/1000))*D112</f>
        <v>4.4000000000000004</v>
      </c>
      <c r="P116" s="10">
        <f t="shared" si="30"/>
        <v>70.400000000000006</v>
      </c>
      <c r="Q116" s="10">
        <f t="shared" si="28"/>
        <v>0</v>
      </c>
      <c r="R116" s="10">
        <f t="shared" si="28"/>
        <v>0</v>
      </c>
      <c r="S116" s="10">
        <f t="shared" si="28"/>
        <v>62.527268571428586</v>
      </c>
      <c r="T116" s="10">
        <f t="shared" si="28"/>
        <v>0</v>
      </c>
      <c r="U116" s="10">
        <f t="shared" si="28"/>
        <v>0</v>
      </c>
      <c r="V116" s="10">
        <f t="shared" si="28"/>
        <v>0</v>
      </c>
      <c r="W116" s="10">
        <f t="shared" si="28"/>
        <v>0</v>
      </c>
      <c r="X116" s="10">
        <f t="shared" si="31"/>
        <v>62.527268571428586</v>
      </c>
      <c r="Y116" s="10"/>
      <c r="Z116" s="10"/>
      <c r="AA116" s="10"/>
      <c r="AB116" s="10"/>
      <c r="AC116" s="10"/>
      <c r="AD116" s="10"/>
      <c r="AE116" s="10"/>
    </row>
    <row r="117" spans="1:32" s="2" customFormat="1" ht="20.100000000000001" customHeight="1" x14ac:dyDescent="0.2">
      <c r="B117" s="10" t="s">
        <v>67</v>
      </c>
      <c r="C117" s="93" t="s">
        <v>74</v>
      </c>
      <c r="D117" s="10">
        <f>+D116</f>
        <v>12</v>
      </c>
      <c r="E117" s="2">
        <f>+E116</f>
        <v>0.1</v>
      </c>
      <c r="F117" s="10">
        <f>ROUNDUP(E112/E117,0)</f>
        <v>16</v>
      </c>
      <c r="G117" s="3"/>
      <c r="O117" s="10">
        <f>((((G112-(2*$D$11))+(2*10*D117/1000))*D112))*1</f>
        <v>1.63</v>
      </c>
      <c r="P117" s="10">
        <f t="shared" si="30"/>
        <v>26.08</v>
      </c>
      <c r="Q117" s="10">
        <f t="shared" si="28"/>
        <v>0</v>
      </c>
      <c r="R117" s="10">
        <f t="shared" si="28"/>
        <v>0</v>
      </c>
      <c r="S117" s="10">
        <f t="shared" si="28"/>
        <v>23.16351085714286</v>
      </c>
      <c r="T117" s="10">
        <f t="shared" si="28"/>
        <v>0</v>
      </c>
      <c r="U117" s="10">
        <f t="shared" si="28"/>
        <v>0</v>
      </c>
      <c r="V117" s="10">
        <f t="shared" si="28"/>
        <v>0</v>
      </c>
      <c r="W117" s="10">
        <f t="shared" si="28"/>
        <v>0</v>
      </c>
      <c r="X117" s="10">
        <f t="shared" si="31"/>
        <v>23.16351085714286</v>
      </c>
    </row>
    <row r="118" spans="1:32" s="3" customFormat="1" ht="20.100000000000001" customHeight="1" x14ac:dyDescent="0.2">
      <c r="A118" s="87"/>
      <c r="B118" s="10" t="s">
        <v>67</v>
      </c>
      <c r="C118" s="93" t="s">
        <v>75</v>
      </c>
      <c r="D118" s="10">
        <f>+$D$15</f>
        <v>25</v>
      </c>
      <c r="E118" s="10">
        <f>+$E$15</f>
        <v>1</v>
      </c>
      <c r="F118" s="10">
        <f>ROUNDUP((3)/E118,0)</f>
        <v>3</v>
      </c>
      <c r="G118" s="90"/>
      <c r="H118" s="90"/>
      <c r="I118" s="10"/>
      <c r="J118" s="10"/>
      <c r="K118" s="10"/>
      <c r="L118" s="10"/>
      <c r="M118" s="10"/>
      <c r="N118" s="10"/>
      <c r="O118" s="10">
        <f>F112-$F$15</f>
        <v>0.69</v>
      </c>
      <c r="P118" s="10">
        <f t="shared" si="30"/>
        <v>2.0699999999999998</v>
      </c>
      <c r="Q118" s="10">
        <f t="shared" si="28"/>
        <v>0</v>
      </c>
      <c r="R118" s="10">
        <f t="shared" si="28"/>
        <v>0</v>
      </c>
      <c r="S118" s="10">
        <f t="shared" si="28"/>
        <v>0</v>
      </c>
      <c r="T118" s="10">
        <f t="shared" si="28"/>
        <v>0</v>
      </c>
      <c r="U118" s="10">
        <f t="shared" si="28"/>
        <v>0</v>
      </c>
      <c r="V118" s="10">
        <f t="shared" si="28"/>
        <v>7.9796651785714294</v>
      </c>
      <c r="W118" s="10">
        <f t="shared" si="28"/>
        <v>0</v>
      </c>
      <c r="X118" s="10">
        <f t="shared" si="31"/>
        <v>7.9796651785714294</v>
      </c>
      <c r="Y118" s="10"/>
      <c r="Z118" s="10"/>
      <c r="AA118" s="10"/>
      <c r="AB118" s="10"/>
      <c r="AC118" s="10"/>
      <c r="AD118" s="10"/>
      <c r="AE118" s="10"/>
    </row>
    <row r="119" spans="1:32" s="3" customFormat="1" ht="21" customHeight="1" x14ac:dyDescent="0.2">
      <c r="A119" s="10">
        <v>1</v>
      </c>
      <c r="B119" s="10" t="s">
        <v>67</v>
      </c>
      <c r="C119" s="91" t="s">
        <v>84</v>
      </c>
      <c r="D119" s="91">
        <v>1</v>
      </c>
      <c r="E119" s="91">
        <v>7.5</v>
      </c>
      <c r="F119" s="91">
        <v>0.45</v>
      </c>
      <c r="G119" s="91">
        <v>0.6</v>
      </c>
      <c r="H119" s="10">
        <f>G119-0.2</f>
        <v>0.39999999999999997</v>
      </c>
      <c r="I119" s="10">
        <f>E119*F119*G119*D119</f>
        <v>2.0249999999999999</v>
      </c>
      <c r="J119" s="10">
        <f>(2*(E119)*H119*D119)+(E119*F119)</f>
        <v>9.375</v>
      </c>
      <c r="K119" s="92">
        <f>IF(E119=0.3,J119,0)</f>
        <v>0</v>
      </c>
      <c r="L119" s="92">
        <f>IF(AND(E119&gt;0.3,E119&lt;=0.75),J119,0)</f>
        <v>0</v>
      </c>
      <c r="M119" s="92">
        <f>IF(AND(E119&gt;0.75,E119&lt;=1.2),J119,0)</f>
        <v>0</v>
      </c>
      <c r="N119" s="92">
        <f>IF(E119&gt;1.2,J119,0)</f>
        <v>9.375</v>
      </c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>
        <f>SUM(X120:X126)/I119</f>
        <v>207.05878378835979</v>
      </c>
      <c r="Z119" s="10"/>
      <c r="AA119" s="10"/>
      <c r="AB119" s="10"/>
      <c r="AC119" s="10"/>
      <c r="AD119" s="10"/>
      <c r="AE119" s="10"/>
      <c r="AF119" s="10"/>
    </row>
    <row r="120" spans="1:32" s="3" customFormat="1" ht="20.100000000000001" customHeight="1" x14ac:dyDescent="0.2">
      <c r="A120" s="87"/>
      <c r="B120" s="10" t="s">
        <v>67</v>
      </c>
      <c r="C120" s="93" t="s">
        <v>69</v>
      </c>
      <c r="D120" s="10">
        <v>20</v>
      </c>
      <c r="E120" s="10"/>
      <c r="F120" s="10">
        <v>4</v>
      </c>
      <c r="G120" s="90">
        <f>VLOOKUP(D120,$C$20:$F$26,3,0)</f>
        <v>1.05</v>
      </c>
      <c r="H120" s="90"/>
      <c r="I120" s="10"/>
      <c r="J120" s="10"/>
      <c r="K120" s="10"/>
      <c r="L120" s="10"/>
      <c r="M120" s="10"/>
      <c r="N120" s="10"/>
      <c r="O120" s="10">
        <f>(E119+1*(G120+(12*D120/1000))+1*(0.3/2))*D119</f>
        <v>8.94</v>
      </c>
      <c r="P120" s="10">
        <f t="shared" ref="P120:P129" si="32">O120*F120</f>
        <v>35.76</v>
      </c>
      <c r="Q120" s="10">
        <f t="shared" ref="Q120:W135" si="33">IF($D120=Q$44,$P120*Q$45,0)</f>
        <v>0</v>
      </c>
      <c r="R120" s="10">
        <f t="shared" si="33"/>
        <v>0</v>
      </c>
      <c r="S120" s="10">
        <f t="shared" si="33"/>
        <v>0</v>
      </c>
      <c r="T120" s="10">
        <f t="shared" si="33"/>
        <v>0</v>
      </c>
      <c r="U120" s="10">
        <f t="shared" si="33"/>
        <v>88.225028571428567</v>
      </c>
      <c r="V120" s="10">
        <f t="shared" si="33"/>
        <v>0</v>
      </c>
      <c r="W120" s="10">
        <f t="shared" si="33"/>
        <v>0</v>
      </c>
      <c r="X120" s="10">
        <f t="shared" ref="X120:X129" si="34">SUM(Q120:W120)</f>
        <v>88.225028571428567</v>
      </c>
      <c r="Y120" s="10"/>
      <c r="Z120" s="10"/>
      <c r="AA120" s="10"/>
      <c r="AB120" s="10"/>
      <c r="AC120" s="10"/>
      <c r="AD120" s="10"/>
      <c r="AE120" s="10"/>
    </row>
    <row r="121" spans="1:32" s="3" customFormat="1" ht="20.100000000000001" customHeight="1" x14ac:dyDescent="0.2">
      <c r="A121" s="87"/>
      <c r="B121" s="10" t="s">
        <v>67</v>
      </c>
      <c r="C121" s="93" t="s">
        <v>70</v>
      </c>
      <c r="D121" s="10">
        <v>25</v>
      </c>
      <c r="E121" s="10"/>
      <c r="F121" s="10">
        <v>4</v>
      </c>
      <c r="G121" s="90">
        <f>VLOOKUP(D121,$C$20:$F$26,3,0)</f>
        <v>1.35</v>
      </c>
      <c r="H121" s="90"/>
      <c r="I121" s="10"/>
      <c r="J121" s="10"/>
      <c r="K121" s="10"/>
      <c r="L121" s="10"/>
      <c r="M121" s="10"/>
      <c r="N121" s="10"/>
      <c r="O121" s="10">
        <f>(2+1*(G121+(12*D121/1000))*D119)</f>
        <v>3.6500000000000004</v>
      </c>
      <c r="P121" s="10">
        <f t="shared" si="32"/>
        <v>14.600000000000001</v>
      </c>
      <c r="Q121" s="10">
        <f t="shared" si="33"/>
        <v>0</v>
      </c>
      <c r="R121" s="10">
        <f t="shared" si="33"/>
        <v>0</v>
      </c>
      <c r="S121" s="10">
        <f t="shared" si="33"/>
        <v>0</v>
      </c>
      <c r="T121" s="10">
        <f t="shared" si="33"/>
        <v>0</v>
      </c>
      <c r="U121" s="10">
        <f t="shared" si="33"/>
        <v>0</v>
      </c>
      <c r="V121" s="10">
        <f t="shared" si="33"/>
        <v>56.281696428571443</v>
      </c>
      <c r="W121" s="10">
        <f t="shared" si="33"/>
        <v>0</v>
      </c>
      <c r="X121" s="10">
        <f t="shared" si="34"/>
        <v>56.281696428571443</v>
      </c>
      <c r="Y121" s="10"/>
      <c r="Z121" s="10"/>
      <c r="AA121" s="10"/>
      <c r="AB121" s="10"/>
      <c r="AC121" s="10"/>
      <c r="AD121" s="10"/>
      <c r="AE121" s="10"/>
    </row>
    <row r="122" spans="1:32" s="3" customFormat="1" ht="20.100000000000001" customHeight="1" x14ac:dyDescent="0.2">
      <c r="A122" s="87"/>
      <c r="B122" s="10" t="s">
        <v>67</v>
      </c>
      <c r="C122" s="93" t="s">
        <v>70</v>
      </c>
      <c r="D122" s="10">
        <v>16</v>
      </c>
      <c r="E122" s="10"/>
      <c r="F122" s="10">
        <v>2</v>
      </c>
      <c r="G122" s="90">
        <f>VLOOKUP(D122,$C$20:$F$26,3,0)</f>
        <v>0.85</v>
      </c>
      <c r="H122" s="90"/>
      <c r="I122" s="10"/>
      <c r="J122" s="10"/>
      <c r="K122" s="10"/>
      <c r="L122" s="10"/>
      <c r="M122" s="10"/>
      <c r="N122" s="10"/>
      <c r="O122" s="10">
        <f>(2+1*(G122+(12*D122/1000))*D119)</f>
        <v>3.0419999999999998</v>
      </c>
      <c r="P122" s="10">
        <f t="shared" si="32"/>
        <v>6.0839999999999996</v>
      </c>
      <c r="Q122" s="10">
        <f t="shared" si="33"/>
        <v>0</v>
      </c>
      <c r="R122" s="10">
        <f t="shared" si="33"/>
        <v>0</v>
      </c>
      <c r="S122" s="10">
        <f t="shared" si="33"/>
        <v>0</v>
      </c>
      <c r="T122" s="10">
        <f t="shared" si="33"/>
        <v>9.6064621714285714</v>
      </c>
      <c r="U122" s="10">
        <f t="shared" si="33"/>
        <v>0</v>
      </c>
      <c r="V122" s="10">
        <f t="shared" si="33"/>
        <v>0</v>
      </c>
      <c r="W122" s="10">
        <f t="shared" si="33"/>
        <v>0</v>
      </c>
      <c r="X122" s="10">
        <f t="shared" si="34"/>
        <v>9.6064621714285714</v>
      </c>
      <c r="Y122" s="10"/>
      <c r="Z122" s="10"/>
      <c r="AA122" s="10"/>
      <c r="AB122" s="10"/>
      <c r="AC122" s="10"/>
      <c r="AD122" s="10"/>
      <c r="AE122" s="10"/>
    </row>
    <row r="123" spans="1:32" s="3" customFormat="1" ht="20.100000000000001" customHeight="1" x14ac:dyDescent="0.2">
      <c r="A123" s="87"/>
      <c r="B123" s="10" t="s">
        <v>67</v>
      </c>
      <c r="C123" s="93" t="s">
        <v>71</v>
      </c>
      <c r="D123" s="10">
        <v>20</v>
      </c>
      <c r="E123" s="10"/>
      <c r="F123" s="10">
        <v>4</v>
      </c>
      <c r="G123" s="90">
        <f>VLOOKUP(D123,$C$20:$F$26,3,0)</f>
        <v>1.05</v>
      </c>
      <c r="H123" s="10"/>
      <c r="I123" s="10"/>
      <c r="J123" s="10"/>
      <c r="K123" s="10"/>
      <c r="L123" s="10"/>
      <c r="M123" s="10"/>
      <c r="N123" s="10"/>
      <c r="O123" s="10">
        <f>(E119+1*(G123+(12*D123/1000))+1*(0.3/2))*D119</f>
        <v>8.94</v>
      </c>
      <c r="P123" s="10">
        <f t="shared" si="32"/>
        <v>35.76</v>
      </c>
      <c r="Q123" s="10">
        <f t="shared" si="33"/>
        <v>0</v>
      </c>
      <c r="R123" s="10">
        <f t="shared" si="33"/>
        <v>0</v>
      </c>
      <c r="S123" s="10">
        <f t="shared" si="33"/>
        <v>0</v>
      </c>
      <c r="T123" s="10">
        <f t="shared" si="33"/>
        <v>0</v>
      </c>
      <c r="U123" s="10">
        <f t="shared" si="33"/>
        <v>88.225028571428567</v>
      </c>
      <c r="V123" s="10">
        <f t="shared" si="33"/>
        <v>0</v>
      </c>
      <c r="W123" s="10">
        <f t="shared" si="33"/>
        <v>0</v>
      </c>
      <c r="X123" s="10">
        <f t="shared" si="34"/>
        <v>88.225028571428567</v>
      </c>
      <c r="Y123" s="10"/>
      <c r="Z123" s="10"/>
      <c r="AA123" s="10"/>
      <c r="AB123" s="10"/>
      <c r="AC123" s="10"/>
      <c r="AD123" s="10"/>
      <c r="AE123" s="10"/>
    </row>
    <row r="124" spans="1:32" s="3" customFormat="1" ht="20.100000000000001" customHeight="1" x14ac:dyDescent="0.2">
      <c r="A124" s="87"/>
      <c r="B124" s="10" t="s">
        <v>67</v>
      </c>
      <c r="C124" s="93" t="s">
        <v>72</v>
      </c>
      <c r="D124" s="10">
        <v>20</v>
      </c>
      <c r="E124" s="10"/>
      <c r="F124" s="10">
        <v>4</v>
      </c>
      <c r="G124" s="90">
        <f>VLOOKUP(D124,$C$20:$F$26,3,0)</f>
        <v>1.05</v>
      </c>
      <c r="H124" s="10"/>
      <c r="I124" s="10"/>
      <c r="J124" s="10"/>
      <c r="K124" s="10"/>
      <c r="L124" s="10"/>
      <c r="M124" s="10"/>
      <c r="N124" s="10"/>
      <c r="O124" s="10">
        <f>(E119+1*(G124+(12*D124/1000))*D119)</f>
        <v>8.7899999999999991</v>
      </c>
      <c r="P124" s="10">
        <f t="shared" si="32"/>
        <v>35.159999999999997</v>
      </c>
      <c r="Q124" s="10">
        <f t="shared" si="33"/>
        <v>0</v>
      </c>
      <c r="R124" s="10">
        <f t="shared" si="33"/>
        <v>0</v>
      </c>
      <c r="S124" s="10">
        <f t="shared" si="33"/>
        <v>0</v>
      </c>
      <c r="T124" s="10">
        <f t="shared" si="33"/>
        <v>0</v>
      </c>
      <c r="U124" s="10">
        <f t="shared" si="33"/>
        <v>86.744742857142853</v>
      </c>
      <c r="V124" s="10">
        <f t="shared" si="33"/>
        <v>0</v>
      </c>
      <c r="W124" s="10">
        <f t="shared" si="33"/>
        <v>0</v>
      </c>
      <c r="X124" s="10">
        <f t="shared" si="34"/>
        <v>86.744742857142853</v>
      </c>
      <c r="Y124" s="10"/>
      <c r="Z124" s="10"/>
      <c r="AA124" s="10"/>
      <c r="AB124" s="10"/>
      <c r="AC124" s="10"/>
      <c r="AD124" s="10"/>
      <c r="AE124" s="10"/>
    </row>
    <row r="125" spans="1:32" s="3" customFormat="1" ht="20.100000000000001" customHeight="1" x14ac:dyDescent="0.2">
      <c r="A125" s="87"/>
      <c r="B125" s="10" t="s">
        <v>67</v>
      </c>
      <c r="C125" s="93" t="s">
        <v>73</v>
      </c>
      <c r="D125" s="10">
        <v>10</v>
      </c>
      <c r="E125" s="10">
        <v>0.1</v>
      </c>
      <c r="F125" s="10">
        <f>ROUND(IF(E119/3&gt;(2*G119),(E119/3)/E125,(2*G119)/E125),0)*2+1</f>
        <v>51</v>
      </c>
      <c r="H125" s="10"/>
      <c r="I125" s="10"/>
      <c r="J125" s="10"/>
      <c r="K125" s="10"/>
      <c r="L125" s="10"/>
      <c r="M125" s="10"/>
      <c r="N125" s="10"/>
      <c r="O125" s="10">
        <f>(2*((G119-(2*$D$11))+(F119-(2*$D$11)))+(2*10*D125/1000))*D119</f>
        <v>2.06</v>
      </c>
      <c r="P125" s="10">
        <f t="shared" si="32"/>
        <v>105.06</v>
      </c>
      <c r="Q125" s="10">
        <f t="shared" si="33"/>
        <v>0</v>
      </c>
      <c r="R125" s="10">
        <f t="shared" si="33"/>
        <v>64.799507142857138</v>
      </c>
      <c r="S125" s="10">
        <f t="shared" si="33"/>
        <v>0</v>
      </c>
      <c r="T125" s="10">
        <f t="shared" si="33"/>
        <v>0</v>
      </c>
      <c r="U125" s="10">
        <f t="shared" si="33"/>
        <v>0</v>
      </c>
      <c r="V125" s="10">
        <f t="shared" si="33"/>
        <v>0</v>
      </c>
      <c r="W125" s="10">
        <f t="shared" si="33"/>
        <v>0</v>
      </c>
      <c r="X125" s="10">
        <f t="shared" si="34"/>
        <v>64.799507142857138</v>
      </c>
      <c r="Y125" s="10"/>
      <c r="Z125" s="10"/>
      <c r="AA125" s="10"/>
      <c r="AB125" s="10"/>
      <c r="AC125" s="10"/>
      <c r="AD125" s="10"/>
      <c r="AE125" s="10"/>
    </row>
    <row r="126" spans="1:32" s="2" customFormat="1" ht="20.100000000000001" customHeight="1" x14ac:dyDescent="0.2">
      <c r="B126" s="10" t="s">
        <v>67</v>
      </c>
      <c r="C126" s="93" t="s">
        <v>73</v>
      </c>
      <c r="D126" s="2">
        <f>D125</f>
        <v>10</v>
      </c>
      <c r="E126" s="2">
        <v>0.125</v>
      </c>
      <c r="F126" s="2">
        <f>ROUND((E119-(IF(E119/3&gt;2*G119,E119/3*2,G119*2*2)))/E126,0)</f>
        <v>20</v>
      </c>
      <c r="G126" s="3"/>
      <c r="O126" s="10">
        <f>(2*((G119-(2*$D$11))+(F119-(2*$D$11)))+(2*10*D126/1000))*D119</f>
        <v>2.06</v>
      </c>
      <c r="P126" s="10">
        <f t="shared" si="32"/>
        <v>41.2</v>
      </c>
      <c r="Q126" s="10">
        <f t="shared" si="33"/>
        <v>0</v>
      </c>
      <c r="R126" s="10">
        <f t="shared" si="33"/>
        <v>25.411571428571431</v>
      </c>
      <c r="S126" s="10">
        <f t="shared" si="33"/>
        <v>0</v>
      </c>
      <c r="T126" s="10">
        <f t="shared" si="33"/>
        <v>0</v>
      </c>
      <c r="U126" s="10">
        <f t="shared" si="33"/>
        <v>0</v>
      </c>
      <c r="V126" s="10">
        <f t="shared" si="33"/>
        <v>0</v>
      </c>
      <c r="W126" s="10">
        <f t="shared" si="33"/>
        <v>0</v>
      </c>
      <c r="X126" s="10">
        <f t="shared" si="34"/>
        <v>25.411571428571431</v>
      </c>
    </row>
    <row r="127" spans="1:32" s="2" customFormat="1" ht="20.100000000000001" customHeight="1" x14ac:dyDescent="0.2">
      <c r="B127" s="10" t="s">
        <v>67</v>
      </c>
      <c r="C127" s="93" t="s">
        <v>74</v>
      </c>
      <c r="D127" s="2">
        <f>D125</f>
        <v>10</v>
      </c>
      <c r="E127" s="2">
        <f>+E125</f>
        <v>0.1</v>
      </c>
      <c r="F127" s="10">
        <f>ROUND(IF(E119/3&gt;(2*G119),(E119/3)/E127,(2*G119)/E127),0)*2+1</f>
        <v>51</v>
      </c>
      <c r="G127" s="3"/>
      <c r="O127" s="10">
        <f>((((G119-(2*$D$11))+(2*10*D127/1000))*D119))*2</f>
        <v>1.48</v>
      </c>
      <c r="P127" s="10">
        <f t="shared" si="32"/>
        <v>75.48</v>
      </c>
      <c r="Q127" s="10">
        <f t="shared" si="33"/>
        <v>0</v>
      </c>
      <c r="R127" s="10">
        <f t="shared" si="33"/>
        <v>46.554985714285714</v>
      </c>
      <c r="S127" s="10">
        <f t="shared" si="33"/>
        <v>0</v>
      </c>
      <c r="T127" s="10">
        <f t="shared" si="33"/>
        <v>0</v>
      </c>
      <c r="U127" s="10">
        <f t="shared" si="33"/>
        <v>0</v>
      </c>
      <c r="V127" s="10">
        <f t="shared" si="33"/>
        <v>0</v>
      </c>
      <c r="W127" s="10">
        <f t="shared" si="33"/>
        <v>0</v>
      </c>
      <c r="X127" s="10">
        <f t="shared" si="34"/>
        <v>46.554985714285714</v>
      </c>
    </row>
    <row r="128" spans="1:32" s="2" customFormat="1" ht="20.100000000000001" customHeight="1" x14ac:dyDescent="0.2">
      <c r="B128" s="10" t="s">
        <v>67</v>
      </c>
      <c r="C128" s="93" t="s">
        <v>74</v>
      </c>
      <c r="D128" s="2">
        <f>D126</f>
        <v>10</v>
      </c>
      <c r="E128" s="2">
        <f>+E126</f>
        <v>0.125</v>
      </c>
      <c r="F128" s="2">
        <f>ROUND((E119-(IF(E119/3&gt;2*G119,E119/3*2,G119*2*2)))/E128,0)</f>
        <v>20</v>
      </c>
      <c r="G128" s="3"/>
      <c r="O128" s="10">
        <f>((((G119-(2*$D$11))+(2*10*D128/1000))*D119))*2</f>
        <v>1.48</v>
      </c>
      <c r="P128" s="10">
        <f t="shared" si="32"/>
        <v>29.6</v>
      </c>
      <c r="Q128" s="10">
        <f t="shared" si="33"/>
        <v>0</v>
      </c>
      <c r="R128" s="10">
        <f t="shared" si="33"/>
        <v>18.256857142857143</v>
      </c>
      <c r="S128" s="10">
        <f t="shared" si="33"/>
        <v>0</v>
      </c>
      <c r="T128" s="10">
        <f t="shared" si="33"/>
        <v>0</v>
      </c>
      <c r="U128" s="10">
        <f t="shared" si="33"/>
        <v>0</v>
      </c>
      <c r="V128" s="10">
        <f t="shared" si="33"/>
        <v>0</v>
      </c>
      <c r="W128" s="10">
        <f t="shared" si="33"/>
        <v>0</v>
      </c>
      <c r="X128" s="10">
        <f t="shared" si="34"/>
        <v>18.256857142857143</v>
      </c>
    </row>
    <row r="129" spans="1:32" s="3" customFormat="1" ht="20.100000000000001" customHeight="1" x14ac:dyDescent="0.2">
      <c r="A129" s="87"/>
      <c r="B129" s="10" t="s">
        <v>67</v>
      </c>
      <c r="C129" s="93" t="s">
        <v>75</v>
      </c>
      <c r="D129" s="10">
        <f>+$D$15</f>
        <v>25</v>
      </c>
      <c r="E129" s="10">
        <f>+$E$15</f>
        <v>1</v>
      </c>
      <c r="F129" s="10">
        <f>ROUNDUP((2+E119)/E129,0)</f>
        <v>10</v>
      </c>
      <c r="G129" s="90"/>
      <c r="H129" s="90"/>
      <c r="I129" s="10"/>
      <c r="J129" s="10"/>
      <c r="K129" s="10"/>
      <c r="L129" s="10"/>
      <c r="M129" s="10"/>
      <c r="N129" s="10"/>
      <c r="O129" s="10">
        <f>F119-$F$15</f>
        <v>0.39</v>
      </c>
      <c r="P129" s="10">
        <f t="shared" si="32"/>
        <v>3.9000000000000004</v>
      </c>
      <c r="Q129" s="10">
        <f t="shared" si="33"/>
        <v>0</v>
      </c>
      <c r="R129" s="10">
        <f t="shared" si="33"/>
        <v>0</v>
      </c>
      <c r="S129" s="10">
        <f t="shared" si="33"/>
        <v>0</v>
      </c>
      <c r="T129" s="10">
        <f t="shared" si="33"/>
        <v>0</v>
      </c>
      <c r="U129" s="10">
        <f t="shared" si="33"/>
        <v>0</v>
      </c>
      <c r="V129" s="10">
        <f t="shared" si="33"/>
        <v>15.03415178571429</v>
      </c>
      <c r="W129" s="10">
        <f t="shared" si="33"/>
        <v>0</v>
      </c>
      <c r="X129" s="10">
        <f t="shared" si="34"/>
        <v>15.03415178571429</v>
      </c>
      <c r="Y129" s="10"/>
      <c r="Z129" s="10"/>
      <c r="AA129" s="10"/>
      <c r="AB129" s="10"/>
      <c r="AC129" s="10"/>
      <c r="AD129" s="10"/>
      <c r="AE129" s="10"/>
    </row>
    <row r="130" spans="1:32" s="3" customFormat="1" ht="21" customHeight="1" x14ac:dyDescent="0.2">
      <c r="A130" s="10">
        <v>1</v>
      </c>
      <c r="B130" s="10" t="s">
        <v>67</v>
      </c>
      <c r="C130" s="91" t="s">
        <v>85</v>
      </c>
      <c r="D130" s="91">
        <v>1</v>
      </c>
      <c r="E130" s="91">
        <v>4.226</v>
      </c>
      <c r="F130" s="91">
        <v>0.45</v>
      </c>
      <c r="G130" s="91">
        <v>0.6</v>
      </c>
      <c r="H130" s="10">
        <f>G130-0.2</f>
        <v>0.39999999999999997</v>
      </c>
      <c r="I130" s="10">
        <f>E130*F130*G130*D130</f>
        <v>1.1410199999999999</v>
      </c>
      <c r="J130" s="10">
        <f>(2*(E130)*H130*D130)+(E130*F130)</f>
        <v>5.2824999999999998</v>
      </c>
      <c r="K130" s="92">
        <f>IF(E130=0.3,J130,0)</f>
        <v>0</v>
      </c>
      <c r="L130" s="92">
        <f>IF(AND(E130&gt;0.3,E130&lt;=0.75),J130,0)</f>
        <v>0</v>
      </c>
      <c r="M130" s="92">
        <f>IF(AND(E130&gt;0.75,E130&lt;=1.2),J130,0)</f>
        <v>0</v>
      </c>
      <c r="N130" s="92">
        <f>IF(E130&gt;1.2,J130,0)</f>
        <v>5.2824999999999998</v>
      </c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>
        <f>SUM(X131:X135)/I130</f>
        <v>146.46052529441081</v>
      </c>
      <c r="Z130" s="10"/>
      <c r="AA130" s="10"/>
      <c r="AB130" s="10"/>
      <c r="AC130" s="10"/>
      <c r="AD130" s="10"/>
      <c r="AE130" s="10"/>
      <c r="AF130" s="10"/>
    </row>
    <row r="131" spans="1:32" s="3" customFormat="1" ht="20.100000000000001" customHeight="1" x14ac:dyDescent="0.2">
      <c r="A131" s="87"/>
      <c r="B131" s="10" t="s">
        <v>67</v>
      </c>
      <c r="C131" s="93" t="s">
        <v>69</v>
      </c>
      <c r="D131" s="10">
        <v>20</v>
      </c>
      <c r="E131" s="10"/>
      <c r="F131" s="10">
        <v>4</v>
      </c>
      <c r="G131" s="90">
        <f>VLOOKUP(D131,$C$20:$F$26,3,0)</f>
        <v>1.05</v>
      </c>
      <c r="H131" s="90"/>
      <c r="I131" s="10"/>
      <c r="J131" s="10"/>
      <c r="K131" s="10"/>
      <c r="L131" s="10"/>
      <c r="M131" s="10"/>
      <c r="N131" s="10"/>
      <c r="O131" s="10">
        <f>(E130+1*(G131+(12*D131/1000))+1*(0.3/2))*D130</f>
        <v>5.6660000000000004</v>
      </c>
      <c r="P131" s="10">
        <f t="shared" ref="P131:P138" si="35">O131*F131</f>
        <v>22.664000000000001</v>
      </c>
      <c r="Q131" s="10">
        <f t="shared" si="33"/>
        <v>0</v>
      </c>
      <c r="R131" s="10">
        <f t="shared" si="33"/>
        <v>0</v>
      </c>
      <c r="S131" s="10">
        <f t="shared" si="33"/>
        <v>0</v>
      </c>
      <c r="T131" s="10">
        <f t="shared" si="33"/>
        <v>0</v>
      </c>
      <c r="U131" s="10">
        <f t="shared" si="33"/>
        <v>55.915325714285714</v>
      </c>
      <c r="V131" s="10">
        <f t="shared" si="33"/>
        <v>0</v>
      </c>
      <c r="W131" s="10">
        <f t="shared" si="33"/>
        <v>0</v>
      </c>
      <c r="X131" s="10">
        <f t="shared" ref="X131:X138" si="36">SUM(Q131:W131)</f>
        <v>55.915325714285714</v>
      </c>
      <c r="Y131" s="10"/>
      <c r="Z131" s="10"/>
      <c r="AA131" s="10"/>
      <c r="AB131" s="10"/>
      <c r="AC131" s="10"/>
      <c r="AD131" s="10"/>
      <c r="AE131" s="10"/>
    </row>
    <row r="132" spans="1:32" s="3" customFormat="1" ht="20.100000000000001" customHeight="1" x14ac:dyDescent="0.2">
      <c r="A132" s="87"/>
      <c r="B132" s="10" t="s">
        <v>67</v>
      </c>
      <c r="C132" s="93" t="s">
        <v>70</v>
      </c>
      <c r="D132" s="10">
        <v>20</v>
      </c>
      <c r="E132" s="10"/>
      <c r="F132" s="10">
        <v>2</v>
      </c>
      <c r="G132" s="90">
        <f>VLOOKUP(D132,$C$20:$F$26,3,0)</f>
        <v>1.05</v>
      </c>
      <c r="H132" s="90"/>
      <c r="I132" s="10"/>
      <c r="J132" s="10"/>
      <c r="K132" s="10"/>
      <c r="L132" s="10"/>
      <c r="M132" s="10"/>
      <c r="N132" s="10"/>
      <c r="O132" s="10">
        <f>(3.15+0.3+1*(G132+(12*D132/1000))*D130)</f>
        <v>4.74</v>
      </c>
      <c r="P132" s="10">
        <f t="shared" si="35"/>
        <v>9.48</v>
      </c>
      <c r="Q132" s="10">
        <f t="shared" si="33"/>
        <v>0</v>
      </c>
      <c r="R132" s="10">
        <f t="shared" si="33"/>
        <v>0</v>
      </c>
      <c r="S132" s="10">
        <f t="shared" si="33"/>
        <v>0</v>
      </c>
      <c r="T132" s="10">
        <f t="shared" si="33"/>
        <v>0</v>
      </c>
      <c r="U132" s="10">
        <f t="shared" si="33"/>
        <v>23.388514285714287</v>
      </c>
      <c r="V132" s="10">
        <f t="shared" si="33"/>
        <v>0</v>
      </c>
      <c r="W132" s="10">
        <f t="shared" si="33"/>
        <v>0</v>
      </c>
      <c r="X132" s="10">
        <f t="shared" si="36"/>
        <v>23.388514285714287</v>
      </c>
      <c r="Y132" s="10"/>
      <c r="Z132" s="10"/>
      <c r="AA132" s="10"/>
      <c r="AB132" s="10"/>
      <c r="AC132" s="10"/>
      <c r="AD132" s="10"/>
      <c r="AE132" s="10"/>
    </row>
    <row r="133" spans="1:32" s="3" customFormat="1" ht="20.100000000000001" customHeight="1" x14ac:dyDescent="0.2">
      <c r="A133" s="87"/>
      <c r="B133" s="10" t="s">
        <v>67</v>
      </c>
      <c r="C133" s="93" t="s">
        <v>71</v>
      </c>
      <c r="D133" s="10">
        <v>20</v>
      </c>
      <c r="E133" s="10"/>
      <c r="F133" s="10">
        <v>4</v>
      </c>
      <c r="G133" s="90">
        <f>VLOOKUP(D133,$C$20:$F$26,3,0)</f>
        <v>1.05</v>
      </c>
      <c r="H133" s="10"/>
      <c r="I133" s="10"/>
      <c r="J133" s="10"/>
      <c r="K133" s="10"/>
      <c r="L133" s="10"/>
      <c r="M133" s="10"/>
      <c r="N133" s="10"/>
      <c r="O133" s="10">
        <f>(E130+1*(G133+(12*D133/1000))+1*(0.3/2))*D130</f>
        <v>5.6660000000000004</v>
      </c>
      <c r="P133" s="10">
        <f t="shared" si="35"/>
        <v>22.664000000000001</v>
      </c>
      <c r="Q133" s="10">
        <f t="shared" si="33"/>
        <v>0</v>
      </c>
      <c r="R133" s="10">
        <f t="shared" si="33"/>
        <v>0</v>
      </c>
      <c r="S133" s="10">
        <f t="shared" si="33"/>
        <v>0</v>
      </c>
      <c r="T133" s="10">
        <f t="shared" si="33"/>
        <v>0</v>
      </c>
      <c r="U133" s="10">
        <f t="shared" si="33"/>
        <v>55.915325714285714</v>
      </c>
      <c r="V133" s="10">
        <f t="shared" si="33"/>
        <v>0</v>
      </c>
      <c r="W133" s="10">
        <f t="shared" si="33"/>
        <v>0</v>
      </c>
      <c r="X133" s="10">
        <f t="shared" si="36"/>
        <v>55.915325714285714</v>
      </c>
      <c r="Y133" s="10"/>
      <c r="Z133" s="10"/>
      <c r="AA133" s="10"/>
      <c r="AB133" s="10"/>
      <c r="AC133" s="10"/>
      <c r="AD133" s="10"/>
      <c r="AE133" s="10"/>
    </row>
    <row r="134" spans="1:32" s="3" customFormat="1" ht="20.100000000000001" customHeight="1" x14ac:dyDescent="0.2">
      <c r="A134" s="87"/>
      <c r="B134" s="10" t="s">
        <v>67</v>
      </c>
      <c r="C134" s="93" t="s">
        <v>73</v>
      </c>
      <c r="D134" s="10">
        <v>8</v>
      </c>
      <c r="E134" s="10">
        <v>0.1</v>
      </c>
      <c r="F134" s="10">
        <f>ROUND(IF(E130/3&gt;(2*G130),(E130/3)/E134,(2*G130)/E134),0)*2+1</f>
        <v>29</v>
      </c>
      <c r="H134" s="10"/>
      <c r="I134" s="10"/>
      <c r="J134" s="10"/>
      <c r="K134" s="10"/>
      <c r="L134" s="10"/>
      <c r="M134" s="10"/>
      <c r="N134" s="10"/>
      <c r="O134" s="10">
        <f>(2*((G130-(2*$D$11))+(F130-(2*$D$11)))+(2*10*D134/1000))*D130</f>
        <v>2.02</v>
      </c>
      <c r="P134" s="10">
        <f t="shared" si="35"/>
        <v>58.58</v>
      </c>
      <c r="Q134" s="10">
        <f t="shared" si="33"/>
        <v>23.124036571428572</v>
      </c>
      <c r="R134" s="10">
        <f t="shared" si="33"/>
        <v>0</v>
      </c>
      <c r="S134" s="10">
        <f t="shared" si="33"/>
        <v>0</v>
      </c>
      <c r="T134" s="10">
        <f t="shared" si="33"/>
        <v>0</v>
      </c>
      <c r="U134" s="10">
        <f t="shared" si="33"/>
        <v>0</v>
      </c>
      <c r="V134" s="10">
        <f t="shared" si="33"/>
        <v>0</v>
      </c>
      <c r="W134" s="10">
        <f t="shared" si="33"/>
        <v>0</v>
      </c>
      <c r="X134" s="10">
        <f t="shared" si="36"/>
        <v>23.124036571428572</v>
      </c>
      <c r="Y134" s="10"/>
      <c r="Z134" s="10"/>
      <c r="AA134" s="10"/>
      <c r="AB134" s="10"/>
      <c r="AC134" s="10"/>
      <c r="AD134" s="10"/>
      <c r="AE134" s="10"/>
    </row>
    <row r="135" spans="1:32" s="2" customFormat="1" ht="20.100000000000001" customHeight="1" x14ac:dyDescent="0.2">
      <c r="B135" s="10" t="s">
        <v>67</v>
      </c>
      <c r="C135" s="93" t="s">
        <v>73</v>
      </c>
      <c r="D135" s="2">
        <f>D134</f>
        <v>8</v>
      </c>
      <c r="E135" s="2">
        <v>0.125</v>
      </c>
      <c r="F135" s="2">
        <f>ROUND((E130-(IF(E130/3&gt;2*G130,E130/3*2,G130*2*2)))/E135,0)</f>
        <v>11</v>
      </c>
      <c r="G135" s="3"/>
      <c r="O135" s="10">
        <f>(2*((G130-(2*$D$11))+(F130-(2*$D$11)))+(2*10*D135/1000))*D130</f>
        <v>2.02</v>
      </c>
      <c r="P135" s="10">
        <f t="shared" si="35"/>
        <v>22.22</v>
      </c>
      <c r="Q135" s="10">
        <f t="shared" si="33"/>
        <v>8.7711862857142862</v>
      </c>
      <c r="R135" s="10">
        <f t="shared" si="33"/>
        <v>0</v>
      </c>
      <c r="S135" s="10">
        <f t="shared" si="33"/>
        <v>0</v>
      </c>
      <c r="T135" s="10">
        <f t="shared" si="33"/>
        <v>0</v>
      </c>
      <c r="U135" s="10">
        <f t="shared" si="33"/>
        <v>0</v>
      </c>
      <c r="V135" s="10">
        <f t="shared" si="33"/>
        <v>0</v>
      </c>
      <c r="W135" s="10">
        <f t="shared" si="33"/>
        <v>0</v>
      </c>
      <c r="X135" s="10">
        <f t="shared" si="36"/>
        <v>8.7711862857142862</v>
      </c>
    </row>
    <row r="136" spans="1:32" s="2" customFormat="1" ht="20.100000000000001" customHeight="1" x14ac:dyDescent="0.2">
      <c r="B136" s="10" t="s">
        <v>67</v>
      </c>
      <c r="C136" s="93" t="s">
        <v>74</v>
      </c>
      <c r="D136" s="2">
        <f>D134</f>
        <v>8</v>
      </c>
      <c r="E136" s="2">
        <f>+E134</f>
        <v>0.1</v>
      </c>
      <c r="F136" s="10">
        <f>ROUND(IF(E130/3&gt;(2*G130),(E130/3)/E136,(2*G130)/E136),0)*2+1</f>
        <v>29</v>
      </c>
      <c r="G136" s="3"/>
      <c r="O136" s="10">
        <f>((((G130-(2*$D$11))+(2*10*D136/1000))*D130))*2</f>
        <v>1.4000000000000001</v>
      </c>
      <c r="P136" s="10">
        <f t="shared" si="35"/>
        <v>40.6</v>
      </c>
      <c r="Q136" s="10">
        <f t="shared" ref="Q136:W138" si="37">IF($D136=Q$44,$P136*Q$45,0)</f>
        <v>16.026560000000003</v>
      </c>
      <c r="R136" s="10">
        <f t="shared" si="37"/>
        <v>0</v>
      </c>
      <c r="S136" s="10">
        <f t="shared" si="37"/>
        <v>0</v>
      </c>
      <c r="T136" s="10">
        <f t="shared" si="37"/>
        <v>0</v>
      </c>
      <c r="U136" s="10">
        <f t="shared" si="37"/>
        <v>0</v>
      </c>
      <c r="V136" s="10">
        <f t="shared" si="37"/>
        <v>0</v>
      </c>
      <c r="W136" s="10">
        <f t="shared" si="37"/>
        <v>0</v>
      </c>
      <c r="X136" s="10">
        <f t="shared" si="36"/>
        <v>16.026560000000003</v>
      </c>
    </row>
    <row r="137" spans="1:32" s="2" customFormat="1" ht="20.100000000000001" customHeight="1" x14ac:dyDescent="0.2">
      <c r="B137" s="10" t="s">
        <v>67</v>
      </c>
      <c r="C137" s="93" t="s">
        <v>74</v>
      </c>
      <c r="D137" s="2">
        <f>D135</f>
        <v>8</v>
      </c>
      <c r="E137" s="2">
        <f>+E135</f>
        <v>0.125</v>
      </c>
      <c r="F137" s="2">
        <f>ROUND((E130-(IF(E130/3&gt;2*G130,E130/3*2,G130*2*2)))/E137,0)</f>
        <v>11</v>
      </c>
      <c r="G137" s="3"/>
      <c r="O137" s="10">
        <f>((((G130-(2*$D$11))+(2*10*D137/1000))*D130))*2</f>
        <v>1.4000000000000001</v>
      </c>
      <c r="P137" s="10">
        <f t="shared" si="35"/>
        <v>15.400000000000002</v>
      </c>
      <c r="Q137" s="10">
        <f t="shared" si="37"/>
        <v>6.0790400000000009</v>
      </c>
      <c r="R137" s="10">
        <f t="shared" si="37"/>
        <v>0</v>
      </c>
      <c r="S137" s="10">
        <f t="shared" si="37"/>
        <v>0</v>
      </c>
      <c r="T137" s="10">
        <f t="shared" si="37"/>
        <v>0</v>
      </c>
      <c r="U137" s="10">
        <f t="shared" si="37"/>
        <v>0</v>
      </c>
      <c r="V137" s="10">
        <f t="shared" si="37"/>
        <v>0</v>
      </c>
      <c r="W137" s="10">
        <f t="shared" si="37"/>
        <v>0</v>
      </c>
      <c r="X137" s="10">
        <f t="shared" si="36"/>
        <v>6.0790400000000009</v>
      </c>
    </row>
    <row r="138" spans="1:32" s="3" customFormat="1" ht="20.100000000000001" customHeight="1" x14ac:dyDescent="0.2">
      <c r="A138" s="87"/>
      <c r="B138" s="10" t="s">
        <v>67</v>
      </c>
      <c r="C138" s="93" t="s">
        <v>75</v>
      </c>
      <c r="D138" s="10">
        <f>+$D$15</f>
        <v>25</v>
      </c>
      <c r="E138" s="10">
        <f>+$E$15</f>
        <v>1</v>
      </c>
      <c r="F138" s="10">
        <f>ROUNDUP((2+1.15+0.3)/E138,0)</f>
        <v>4</v>
      </c>
      <c r="G138" s="90"/>
      <c r="H138" s="90"/>
      <c r="I138" s="10"/>
      <c r="J138" s="10"/>
      <c r="K138" s="10"/>
      <c r="L138" s="10"/>
      <c r="M138" s="10"/>
      <c r="N138" s="10"/>
      <c r="O138" s="10">
        <f>F130-$F$15</f>
        <v>0.39</v>
      </c>
      <c r="P138" s="10">
        <f t="shared" si="35"/>
        <v>1.56</v>
      </c>
      <c r="Q138" s="10">
        <f t="shared" si="37"/>
        <v>0</v>
      </c>
      <c r="R138" s="10">
        <f t="shared" si="37"/>
        <v>0</v>
      </c>
      <c r="S138" s="10">
        <f t="shared" si="37"/>
        <v>0</v>
      </c>
      <c r="T138" s="10">
        <f t="shared" si="37"/>
        <v>0</v>
      </c>
      <c r="U138" s="10">
        <f t="shared" si="37"/>
        <v>0</v>
      </c>
      <c r="V138" s="10">
        <f t="shared" si="37"/>
        <v>6.0136607142857157</v>
      </c>
      <c r="W138" s="10">
        <f t="shared" si="37"/>
        <v>0</v>
      </c>
      <c r="X138" s="10">
        <f t="shared" si="36"/>
        <v>6.0136607142857157</v>
      </c>
      <c r="Y138" s="10"/>
      <c r="Z138" s="10"/>
      <c r="AA138" s="10"/>
      <c r="AB138" s="10"/>
      <c r="AC138" s="10"/>
      <c r="AD138" s="10"/>
      <c r="AE138" s="10"/>
    </row>
    <row r="139" spans="1:32" s="3" customFormat="1" ht="21" customHeight="1" x14ac:dyDescent="0.2">
      <c r="A139" s="10">
        <v>1</v>
      </c>
      <c r="B139" s="10" t="s">
        <v>67</v>
      </c>
      <c r="C139" s="91" t="s">
        <v>86</v>
      </c>
      <c r="D139" s="91">
        <v>1</v>
      </c>
      <c r="E139" s="91">
        <v>9.77</v>
      </c>
      <c r="F139" s="91">
        <v>0.75</v>
      </c>
      <c r="G139" s="91">
        <v>0.75</v>
      </c>
      <c r="H139" s="10">
        <f>G139-0.2</f>
        <v>0.55000000000000004</v>
      </c>
      <c r="I139" s="10">
        <f>E139*F139*G139*D139</f>
        <v>5.4956249999999995</v>
      </c>
      <c r="J139" s="10">
        <f>(2*(E139)*H139*D139)+(E139*F139)</f>
        <v>18.0745</v>
      </c>
      <c r="K139" s="92">
        <f>IF(E139=0.3,J139,0)</f>
        <v>0</v>
      </c>
      <c r="L139" s="92">
        <f>IF(AND(E139&gt;0.3,E139&lt;=0.75),J139,0)</f>
        <v>0</v>
      </c>
      <c r="M139" s="92">
        <f>IF(AND(E139&gt;0.75,E139&lt;=1.2),J139,0)</f>
        <v>0</v>
      </c>
      <c r="N139" s="92">
        <f>IF(E139&gt;1.2,J139,0)</f>
        <v>18.0745</v>
      </c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>
        <f>SUM(X140:X145)/I139</f>
        <v>153.94937758931621</v>
      </c>
      <c r="Z139" s="10"/>
      <c r="AA139" s="10"/>
      <c r="AB139" s="10"/>
      <c r="AC139" s="10"/>
      <c r="AD139" s="10"/>
      <c r="AE139" s="10"/>
      <c r="AF139" s="10"/>
    </row>
    <row r="140" spans="1:32" s="3" customFormat="1" ht="20.100000000000001" customHeight="1" x14ac:dyDescent="0.2">
      <c r="A140" s="87"/>
      <c r="B140" s="10" t="s">
        <v>67</v>
      </c>
      <c r="C140" s="93" t="s">
        <v>69</v>
      </c>
      <c r="D140" s="10">
        <v>20</v>
      </c>
      <c r="E140" s="10"/>
      <c r="F140" s="10">
        <v>7</v>
      </c>
      <c r="G140" s="90">
        <f>VLOOKUP(D140,$C$20:$F$26,3,0)</f>
        <v>1.05</v>
      </c>
      <c r="H140" s="90"/>
      <c r="I140" s="10"/>
      <c r="J140" s="10"/>
      <c r="K140" s="10"/>
      <c r="L140" s="10"/>
      <c r="M140" s="10"/>
      <c r="N140" s="10"/>
      <c r="O140" s="10">
        <f>(E139+1*(G140+(12*D140/1000))*D139)</f>
        <v>11.059999999999999</v>
      </c>
      <c r="P140" s="10">
        <f t="shared" ref="P140:P148" si="38">O140*F140</f>
        <v>77.419999999999987</v>
      </c>
      <c r="Q140" s="10">
        <f t="shared" ref="Q140:W148" si="39">IF($D140=Q$44,$P140*Q$45,0)</f>
        <v>0</v>
      </c>
      <c r="R140" s="10">
        <f t="shared" si="39"/>
        <v>0</v>
      </c>
      <c r="S140" s="10">
        <f t="shared" si="39"/>
        <v>0</v>
      </c>
      <c r="T140" s="10">
        <f t="shared" si="39"/>
        <v>0</v>
      </c>
      <c r="U140" s="10">
        <f t="shared" si="39"/>
        <v>191.00619999999998</v>
      </c>
      <c r="V140" s="10">
        <f t="shared" si="39"/>
        <v>0</v>
      </c>
      <c r="W140" s="10">
        <f t="shared" si="39"/>
        <v>0</v>
      </c>
      <c r="X140" s="10">
        <f t="shared" ref="X140:X148" si="40">SUM(Q140:W140)</f>
        <v>191.00619999999998</v>
      </c>
      <c r="Y140" s="10"/>
      <c r="Z140" s="10"/>
      <c r="AA140" s="10"/>
      <c r="AB140" s="10"/>
      <c r="AC140" s="10"/>
      <c r="AD140" s="10"/>
      <c r="AE140" s="10"/>
    </row>
    <row r="141" spans="1:32" s="3" customFormat="1" ht="20.100000000000001" customHeight="1" x14ac:dyDescent="0.2">
      <c r="A141" s="87"/>
      <c r="B141" s="10" t="s">
        <v>67</v>
      </c>
      <c r="C141" s="93" t="s">
        <v>70</v>
      </c>
      <c r="D141" s="10">
        <v>20</v>
      </c>
      <c r="E141" s="10"/>
      <c r="F141" s="10">
        <v>3</v>
      </c>
      <c r="G141" s="90">
        <f>VLOOKUP(D141,$C$20:$F$26,3,0)</f>
        <v>1.05</v>
      </c>
      <c r="H141" s="90"/>
      <c r="I141" s="10"/>
      <c r="J141" s="10"/>
      <c r="K141" s="10"/>
      <c r="L141" s="10"/>
      <c r="M141" s="10"/>
      <c r="N141" s="10"/>
      <c r="O141" s="10">
        <f>(2.95+1*(G141+(12*D141/1000))*D139)</f>
        <v>4.24</v>
      </c>
      <c r="P141" s="10">
        <f t="shared" si="38"/>
        <v>12.72</v>
      </c>
      <c r="Q141" s="10">
        <f t="shared" si="39"/>
        <v>0</v>
      </c>
      <c r="R141" s="10">
        <f t="shared" si="39"/>
        <v>0</v>
      </c>
      <c r="S141" s="10">
        <f t="shared" si="39"/>
        <v>0</v>
      </c>
      <c r="T141" s="10">
        <f t="shared" si="39"/>
        <v>0</v>
      </c>
      <c r="U141" s="10">
        <f t="shared" si="39"/>
        <v>31.382057142857143</v>
      </c>
      <c r="V141" s="10">
        <f t="shared" si="39"/>
        <v>0</v>
      </c>
      <c r="W141" s="10">
        <f t="shared" si="39"/>
        <v>0</v>
      </c>
      <c r="X141" s="10">
        <f t="shared" si="40"/>
        <v>31.382057142857143</v>
      </c>
      <c r="Y141" s="10"/>
      <c r="Z141" s="10"/>
      <c r="AA141" s="10"/>
      <c r="AB141" s="10"/>
      <c r="AC141" s="10"/>
      <c r="AD141" s="10"/>
      <c r="AE141" s="10"/>
    </row>
    <row r="142" spans="1:32" s="3" customFormat="1" ht="20.100000000000001" customHeight="1" x14ac:dyDescent="0.2">
      <c r="A142" s="87"/>
      <c r="B142" s="10" t="s">
        <v>67</v>
      </c>
      <c r="C142" s="93" t="s">
        <v>71</v>
      </c>
      <c r="D142" s="10">
        <v>25</v>
      </c>
      <c r="E142" s="10"/>
      <c r="F142" s="10">
        <v>7</v>
      </c>
      <c r="G142" s="90">
        <f>VLOOKUP(D142,$C$20:$F$26,3,0)</f>
        <v>1.35</v>
      </c>
      <c r="H142" s="10"/>
      <c r="I142" s="10"/>
      <c r="J142" s="10"/>
      <c r="K142" s="10"/>
      <c r="L142" s="10"/>
      <c r="M142" s="10"/>
      <c r="N142" s="10"/>
      <c r="O142" s="10">
        <f>(E139+1*(G142+(12*D142/1000))*D139)</f>
        <v>11.42</v>
      </c>
      <c r="P142" s="10">
        <f t="shared" si="38"/>
        <v>79.94</v>
      </c>
      <c r="Q142" s="10">
        <f t="shared" si="39"/>
        <v>0</v>
      </c>
      <c r="R142" s="10">
        <f t="shared" si="39"/>
        <v>0</v>
      </c>
      <c r="S142" s="10">
        <f t="shared" si="39"/>
        <v>0</v>
      </c>
      <c r="T142" s="10">
        <f t="shared" si="39"/>
        <v>0</v>
      </c>
      <c r="U142" s="10">
        <f t="shared" si="39"/>
        <v>0</v>
      </c>
      <c r="V142" s="10">
        <f t="shared" si="39"/>
        <v>308.16156250000006</v>
      </c>
      <c r="W142" s="10">
        <f t="shared" si="39"/>
        <v>0</v>
      </c>
      <c r="X142" s="10">
        <f t="shared" si="40"/>
        <v>308.16156250000006</v>
      </c>
      <c r="Y142" s="10"/>
      <c r="Z142" s="10"/>
      <c r="AA142" s="10"/>
      <c r="AB142" s="10"/>
      <c r="AC142" s="10"/>
      <c r="AD142" s="10"/>
      <c r="AE142" s="10"/>
    </row>
    <row r="143" spans="1:32" s="3" customFormat="1" ht="20.100000000000001" customHeight="1" x14ac:dyDescent="0.2">
      <c r="A143" s="87"/>
      <c r="B143" s="10" t="s">
        <v>67</v>
      </c>
      <c r="C143" s="93" t="s">
        <v>72</v>
      </c>
      <c r="D143" s="10">
        <v>20</v>
      </c>
      <c r="E143" s="10"/>
      <c r="F143" s="10">
        <v>7</v>
      </c>
      <c r="G143" s="90">
        <f>VLOOKUP(D143,$C$20:$F$26,3,0)</f>
        <v>1.05</v>
      </c>
      <c r="H143" s="10"/>
      <c r="I143" s="10"/>
      <c r="J143" s="10"/>
      <c r="K143" s="10"/>
      <c r="L143" s="10"/>
      <c r="M143" s="10"/>
      <c r="N143" s="10"/>
      <c r="O143" s="10">
        <f>(E139-1.15+(12*D143/1000))*D139</f>
        <v>8.86</v>
      </c>
      <c r="P143" s="10">
        <f t="shared" si="38"/>
        <v>62.019999999999996</v>
      </c>
      <c r="Q143" s="10">
        <f t="shared" si="39"/>
        <v>0</v>
      </c>
      <c r="R143" s="10">
        <f t="shared" si="39"/>
        <v>0</v>
      </c>
      <c r="S143" s="10">
        <f t="shared" si="39"/>
        <v>0</v>
      </c>
      <c r="T143" s="10">
        <f t="shared" si="39"/>
        <v>0</v>
      </c>
      <c r="U143" s="10">
        <f t="shared" si="39"/>
        <v>153.01219999999998</v>
      </c>
      <c r="V143" s="10">
        <f t="shared" si="39"/>
        <v>0</v>
      </c>
      <c r="W143" s="10">
        <f t="shared" si="39"/>
        <v>0</v>
      </c>
      <c r="X143" s="10">
        <f t="shared" si="40"/>
        <v>153.01219999999998</v>
      </c>
      <c r="Y143" s="10"/>
      <c r="Z143" s="10"/>
      <c r="AA143" s="10"/>
      <c r="AB143" s="10"/>
      <c r="AC143" s="10"/>
      <c r="AD143" s="10"/>
      <c r="AE143" s="10"/>
    </row>
    <row r="144" spans="1:32" s="3" customFormat="1" ht="20.100000000000001" customHeight="1" x14ac:dyDescent="0.2">
      <c r="A144" s="87"/>
      <c r="B144" s="10" t="s">
        <v>67</v>
      </c>
      <c r="C144" s="93" t="s">
        <v>73</v>
      </c>
      <c r="D144" s="10">
        <v>10</v>
      </c>
      <c r="E144" s="10">
        <v>0.1</v>
      </c>
      <c r="F144" s="10">
        <f>ROUND(IF(E139/3&gt;(2*G139),(E139/3)/E144,(2*G139)/E144),0)*2+1</f>
        <v>67</v>
      </c>
      <c r="H144" s="10"/>
      <c r="I144" s="10"/>
      <c r="J144" s="10"/>
      <c r="K144" s="10"/>
      <c r="L144" s="10"/>
      <c r="M144" s="10"/>
      <c r="N144" s="10"/>
      <c r="O144" s="10">
        <f>(2*((G139-(2*$D$11))+(F139-(2*$D$11)))+(2*10*D144/1000))*D139</f>
        <v>2.96</v>
      </c>
      <c r="P144" s="10">
        <f t="shared" si="38"/>
        <v>198.32</v>
      </c>
      <c r="Q144" s="10">
        <f t="shared" si="39"/>
        <v>0</v>
      </c>
      <c r="R144" s="10">
        <f t="shared" si="39"/>
        <v>122.32094285714285</v>
      </c>
      <c r="S144" s="10">
        <f t="shared" si="39"/>
        <v>0</v>
      </c>
      <c r="T144" s="10">
        <f t="shared" si="39"/>
        <v>0</v>
      </c>
      <c r="U144" s="10">
        <f t="shared" si="39"/>
        <v>0</v>
      </c>
      <c r="V144" s="10">
        <f t="shared" si="39"/>
        <v>0</v>
      </c>
      <c r="W144" s="10">
        <f t="shared" si="39"/>
        <v>0</v>
      </c>
      <c r="X144" s="10">
        <f t="shared" si="40"/>
        <v>122.32094285714285</v>
      </c>
      <c r="Y144" s="10"/>
      <c r="Z144" s="10"/>
      <c r="AA144" s="10"/>
      <c r="AB144" s="10"/>
      <c r="AC144" s="10"/>
      <c r="AD144" s="10"/>
      <c r="AE144" s="10"/>
    </row>
    <row r="145" spans="1:32" s="2" customFormat="1" ht="20.100000000000001" customHeight="1" x14ac:dyDescent="0.2">
      <c r="B145" s="10" t="s">
        <v>67</v>
      </c>
      <c r="C145" s="93" t="s">
        <v>73</v>
      </c>
      <c r="D145" s="2">
        <f>D144</f>
        <v>10</v>
      </c>
      <c r="E145" s="2">
        <v>0.15</v>
      </c>
      <c r="F145" s="2">
        <f>ROUND((E139-(IF(E139/3&gt;2*G139,E139/3*2,G139*2*2)))/E145,0)</f>
        <v>22</v>
      </c>
      <c r="G145" s="3"/>
      <c r="O145" s="10">
        <f>(2*((G139-(2*$D$11))+(F139-(2*$D$11)))+(2*10*D145/1000))*D139</f>
        <v>2.96</v>
      </c>
      <c r="P145" s="10">
        <f t="shared" si="38"/>
        <v>65.12</v>
      </c>
      <c r="Q145" s="10">
        <f t="shared" si="39"/>
        <v>0</v>
      </c>
      <c r="R145" s="10">
        <f t="shared" si="39"/>
        <v>40.165085714285716</v>
      </c>
      <c r="S145" s="10">
        <f t="shared" si="39"/>
        <v>0</v>
      </c>
      <c r="T145" s="10">
        <f t="shared" si="39"/>
        <v>0</v>
      </c>
      <c r="U145" s="10">
        <f t="shared" si="39"/>
        <v>0</v>
      </c>
      <c r="V145" s="10">
        <f t="shared" si="39"/>
        <v>0</v>
      </c>
      <c r="W145" s="10">
        <f t="shared" si="39"/>
        <v>0</v>
      </c>
      <c r="X145" s="10">
        <f t="shared" si="40"/>
        <v>40.165085714285716</v>
      </c>
    </row>
    <row r="146" spans="1:32" s="2" customFormat="1" ht="20.100000000000001" customHeight="1" x14ac:dyDescent="0.2">
      <c r="B146" s="10" t="s">
        <v>67</v>
      </c>
      <c r="C146" s="93" t="s">
        <v>74</v>
      </c>
      <c r="D146" s="2">
        <f>D144</f>
        <v>10</v>
      </c>
      <c r="E146" s="2">
        <f>+E144</f>
        <v>0.1</v>
      </c>
      <c r="F146" s="10">
        <f>ROUND(IF(E139/3&gt;(2*G139),(E139/3)/E146,(2*G139)/E146),0)*2+1</f>
        <v>67</v>
      </c>
      <c r="G146" s="3"/>
      <c r="O146" s="10">
        <f>((((G139-(2*$D$11))+(2*10*D146/1000))*D139))*2</f>
        <v>1.7799999999999998</v>
      </c>
      <c r="P146" s="10">
        <f t="shared" si="38"/>
        <v>119.25999999999999</v>
      </c>
      <c r="Q146" s="10">
        <f t="shared" si="39"/>
        <v>0</v>
      </c>
      <c r="R146" s="10">
        <f t="shared" si="39"/>
        <v>73.557864285714274</v>
      </c>
      <c r="S146" s="10">
        <f t="shared" si="39"/>
        <v>0</v>
      </c>
      <c r="T146" s="10">
        <f t="shared" si="39"/>
        <v>0</v>
      </c>
      <c r="U146" s="10">
        <f t="shared" si="39"/>
        <v>0</v>
      </c>
      <c r="V146" s="10">
        <f t="shared" si="39"/>
        <v>0</v>
      </c>
      <c r="W146" s="10">
        <f t="shared" si="39"/>
        <v>0</v>
      </c>
      <c r="X146" s="10">
        <f t="shared" si="40"/>
        <v>73.557864285714274</v>
      </c>
    </row>
    <row r="147" spans="1:32" s="2" customFormat="1" ht="20.100000000000001" customHeight="1" x14ac:dyDescent="0.2">
      <c r="B147" s="10" t="s">
        <v>67</v>
      </c>
      <c r="C147" s="93" t="s">
        <v>74</v>
      </c>
      <c r="D147" s="2">
        <f>D145</f>
        <v>10</v>
      </c>
      <c r="E147" s="2">
        <f>+E145</f>
        <v>0.15</v>
      </c>
      <c r="F147" s="2">
        <f>ROUND((E139-(IF(E139/3&gt;2*G139,E139/3*2,G139*2*2)))/E147,0)</f>
        <v>22</v>
      </c>
      <c r="G147" s="3"/>
      <c r="O147" s="10">
        <f>((((G139-(2*$D$11))+(2*10*D147/1000))*D139))*2</f>
        <v>1.7799999999999998</v>
      </c>
      <c r="P147" s="10">
        <f t="shared" si="38"/>
        <v>39.159999999999997</v>
      </c>
      <c r="Q147" s="10">
        <f t="shared" si="39"/>
        <v>0</v>
      </c>
      <c r="R147" s="10">
        <f t="shared" si="39"/>
        <v>24.15332857142857</v>
      </c>
      <c r="S147" s="10">
        <f t="shared" si="39"/>
        <v>0</v>
      </c>
      <c r="T147" s="10">
        <f t="shared" si="39"/>
        <v>0</v>
      </c>
      <c r="U147" s="10">
        <f t="shared" si="39"/>
        <v>0</v>
      </c>
      <c r="V147" s="10">
        <f t="shared" si="39"/>
        <v>0</v>
      </c>
      <c r="W147" s="10">
        <f t="shared" si="39"/>
        <v>0</v>
      </c>
      <c r="X147" s="10">
        <f t="shared" si="40"/>
        <v>24.15332857142857</v>
      </c>
    </row>
    <row r="148" spans="1:32" s="3" customFormat="1" ht="20.100000000000001" customHeight="1" x14ac:dyDescent="0.2">
      <c r="A148" s="87"/>
      <c r="B148" s="10" t="s">
        <v>67</v>
      </c>
      <c r="C148" s="93" t="s">
        <v>75</v>
      </c>
      <c r="D148" s="10">
        <f>+$D$15</f>
        <v>25</v>
      </c>
      <c r="E148" s="10">
        <f>+$E$15</f>
        <v>1</v>
      </c>
      <c r="F148" s="10">
        <f>ROUNDUP((2.95+O143)/E148,0)</f>
        <v>12</v>
      </c>
      <c r="G148" s="90"/>
      <c r="H148" s="90"/>
      <c r="I148" s="10"/>
      <c r="J148" s="10"/>
      <c r="K148" s="10"/>
      <c r="L148" s="10"/>
      <c r="M148" s="10"/>
      <c r="N148" s="10"/>
      <c r="O148" s="10">
        <f>F139-$F$15</f>
        <v>0.69</v>
      </c>
      <c r="P148" s="10">
        <f t="shared" si="38"/>
        <v>8.2799999999999994</v>
      </c>
      <c r="Q148" s="10">
        <f t="shared" si="39"/>
        <v>0</v>
      </c>
      <c r="R148" s="10">
        <f t="shared" si="39"/>
        <v>0</v>
      </c>
      <c r="S148" s="10">
        <f t="shared" si="39"/>
        <v>0</v>
      </c>
      <c r="T148" s="10">
        <f t="shared" si="39"/>
        <v>0</v>
      </c>
      <c r="U148" s="10">
        <f t="shared" si="39"/>
        <v>0</v>
      </c>
      <c r="V148" s="10">
        <f t="shared" si="39"/>
        <v>31.918660714285718</v>
      </c>
      <c r="W148" s="10">
        <f t="shared" si="39"/>
        <v>0</v>
      </c>
      <c r="X148" s="10">
        <f t="shared" si="40"/>
        <v>31.918660714285718</v>
      </c>
      <c r="Y148" s="10"/>
      <c r="Z148" s="10"/>
      <c r="AA148" s="10"/>
      <c r="AB148" s="10"/>
      <c r="AC148" s="10"/>
      <c r="AD148" s="10"/>
      <c r="AE148" s="10"/>
    </row>
    <row r="149" spans="1:32" s="3" customFormat="1" ht="21" customHeight="1" x14ac:dyDescent="0.2">
      <c r="A149" s="10">
        <v>1</v>
      </c>
      <c r="B149" s="10" t="s">
        <v>67</v>
      </c>
      <c r="C149" s="91" t="s">
        <v>87</v>
      </c>
      <c r="D149" s="91">
        <v>1</v>
      </c>
      <c r="E149" s="91">
        <v>1.5680000000000001</v>
      </c>
      <c r="F149" s="91">
        <v>0.75</v>
      </c>
      <c r="G149" s="91">
        <v>1.45</v>
      </c>
      <c r="H149" s="10">
        <f>G149-0.2</f>
        <v>1.25</v>
      </c>
      <c r="I149" s="10">
        <f>E149*F149*G149*D149</f>
        <v>1.7052000000000003</v>
      </c>
      <c r="J149" s="10">
        <f>(2*(E149)*H149*D149)+(E149*F149)</f>
        <v>5.0960000000000001</v>
      </c>
      <c r="K149" s="92">
        <f>IF(E149=0.3,J149,0)</f>
        <v>0</v>
      </c>
      <c r="L149" s="92">
        <f>IF(AND(E149&gt;0.3,E149&lt;=0.75),J149,0)</f>
        <v>0</v>
      </c>
      <c r="M149" s="92">
        <f>IF(AND(E149&gt;0.75,E149&lt;=1.2),J149,0)</f>
        <v>0</v>
      </c>
      <c r="N149" s="92">
        <f>IF(E149&gt;1.2,J149,0)</f>
        <v>5.0960000000000001</v>
      </c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>
        <f>SUM(X150:X156)/I149</f>
        <v>213.6122225712945</v>
      </c>
      <c r="Z149" s="10"/>
      <c r="AA149" s="10"/>
      <c r="AB149" s="10"/>
      <c r="AC149" s="10"/>
      <c r="AD149" s="10"/>
      <c r="AE149" s="10"/>
      <c r="AF149" s="10"/>
    </row>
    <row r="150" spans="1:32" s="3" customFormat="1" ht="20.100000000000001" customHeight="1" x14ac:dyDescent="0.2">
      <c r="A150" s="87"/>
      <c r="B150" s="10" t="s">
        <v>67</v>
      </c>
      <c r="C150" s="93" t="s">
        <v>69</v>
      </c>
      <c r="D150" s="10">
        <v>20</v>
      </c>
      <c r="E150" s="10"/>
      <c r="F150" s="10">
        <v>7</v>
      </c>
      <c r="G150" s="90">
        <f>VLOOKUP(D150,$C$20:$F$26,3,0)</f>
        <v>1.05</v>
      </c>
      <c r="H150" s="90"/>
      <c r="I150" s="10"/>
      <c r="J150" s="10"/>
      <c r="K150" s="10"/>
      <c r="L150" s="10"/>
      <c r="M150" s="10"/>
      <c r="N150" s="10"/>
      <c r="O150" s="10">
        <f>(E149+1*(G150+(12*D150/1000))+(0.3/2)*D149)</f>
        <v>3.008</v>
      </c>
      <c r="P150" s="10">
        <f t="shared" ref="P150:P157" si="41">O150*F150</f>
        <v>21.056000000000001</v>
      </c>
      <c r="Q150" s="10">
        <f t="shared" ref="Q150:W157" si="42">IF($D150=Q$44,$P150*Q$45,0)</f>
        <v>0</v>
      </c>
      <c r="R150" s="10">
        <f t="shared" si="42"/>
        <v>0</v>
      </c>
      <c r="S150" s="10">
        <f t="shared" si="42"/>
        <v>0</v>
      </c>
      <c r="T150" s="10">
        <f t="shared" si="42"/>
        <v>0</v>
      </c>
      <c r="U150" s="10">
        <f t="shared" si="42"/>
        <v>51.948160000000001</v>
      </c>
      <c r="V150" s="10">
        <f t="shared" si="42"/>
        <v>0</v>
      </c>
      <c r="W150" s="10">
        <f t="shared" si="42"/>
        <v>0</v>
      </c>
      <c r="X150" s="10">
        <f t="shared" ref="X150:X157" si="43">SUM(Q150:W150)</f>
        <v>51.948160000000001</v>
      </c>
      <c r="Y150" s="10"/>
      <c r="Z150" s="10"/>
      <c r="AA150" s="10"/>
      <c r="AB150" s="10"/>
      <c r="AC150" s="10"/>
      <c r="AD150" s="10"/>
      <c r="AE150" s="10"/>
    </row>
    <row r="151" spans="1:32" s="3" customFormat="1" ht="20.100000000000001" customHeight="1" x14ac:dyDescent="0.2">
      <c r="A151" s="87"/>
      <c r="B151" s="10" t="s">
        <v>67</v>
      </c>
      <c r="C151" s="93" t="s">
        <v>70</v>
      </c>
      <c r="D151" s="10">
        <v>25</v>
      </c>
      <c r="E151" s="10"/>
      <c r="F151" s="10">
        <v>4</v>
      </c>
      <c r="G151" s="90">
        <f>VLOOKUP(D151,$C$20:$F$26,3,0)</f>
        <v>1.35</v>
      </c>
      <c r="H151" s="90"/>
      <c r="I151" s="10"/>
      <c r="J151" s="10"/>
      <c r="K151" s="10"/>
      <c r="L151" s="10"/>
      <c r="M151" s="10"/>
      <c r="N151" s="10"/>
      <c r="O151" s="10">
        <f>2.95</f>
        <v>2.95</v>
      </c>
      <c r="P151" s="10">
        <f t="shared" si="41"/>
        <v>11.8</v>
      </c>
      <c r="Q151" s="10">
        <f t="shared" si="42"/>
        <v>0</v>
      </c>
      <c r="R151" s="10">
        <f t="shared" si="42"/>
        <v>0</v>
      </c>
      <c r="S151" s="10">
        <f t="shared" si="42"/>
        <v>0</v>
      </c>
      <c r="T151" s="10">
        <f t="shared" si="42"/>
        <v>0</v>
      </c>
      <c r="U151" s="10">
        <f t="shared" si="42"/>
        <v>0</v>
      </c>
      <c r="V151" s="10">
        <f t="shared" si="42"/>
        <v>45.487946428571441</v>
      </c>
      <c r="W151" s="10">
        <f t="shared" si="42"/>
        <v>0</v>
      </c>
      <c r="X151" s="10">
        <f t="shared" si="43"/>
        <v>45.487946428571441</v>
      </c>
      <c r="Y151" s="10"/>
      <c r="Z151" s="10"/>
      <c r="AA151" s="10"/>
      <c r="AB151" s="10"/>
      <c r="AC151" s="10"/>
      <c r="AD151" s="10"/>
      <c r="AE151" s="10"/>
    </row>
    <row r="152" spans="1:32" s="3" customFormat="1" ht="20.100000000000001" customHeight="1" x14ac:dyDescent="0.2">
      <c r="A152" s="87"/>
      <c r="B152" s="10" t="s">
        <v>67</v>
      </c>
      <c r="C152" s="93" t="s">
        <v>70</v>
      </c>
      <c r="D152" s="10">
        <v>25</v>
      </c>
      <c r="E152" s="10"/>
      <c r="F152" s="10">
        <v>4</v>
      </c>
      <c r="G152" s="90">
        <f>VLOOKUP(D152,$C$20:$F$26,3,0)</f>
        <v>1.35</v>
      </c>
      <c r="H152" s="90"/>
      <c r="I152" s="10"/>
      <c r="J152" s="10"/>
      <c r="K152" s="10"/>
      <c r="L152" s="10"/>
      <c r="M152" s="10"/>
      <c r="N152" s="10"/>
      <c r="O152" s="10">
        <f>1.75+(0.3/2)</f>
        <v>1.9</v>
      </c>
      <c r="P152" s="10">
        <f t="shared" si="41"/>
        <v>7.6</v>
      </c>
      <c r="Q152" s="10">
        <f t="shared" si="42"/>
        <v>0</v>
      </c>
      <c r="R152" s="10">
        <f t="shared" si="42"/>
        <v>0</v>
      </c>
      <c r="S152" s="10">
        <f t="shared" si="42"/>
        <v>0</v>
      </c>
      <c r="T152" s="10">
        <f t="shared" si="42"/>
        <v>0</v>
      </c>
      <c r="U152" s="10">
        <f t="shared" si="42"/>
        <v>0</v>
      </c>
      <c r="V152" s="10">
        <f t="shared" si="42"/>
        <v>29.297321428571433</v>
      </c>
      <c r="W152" s="10">
        <f t="shared" si="42"/>
        <v>0</v>
      </c>
      <c r="X152" s="10">
        <f t="shared" si="43"/>
        <v>29.297321428571433</v>
      </c>
      <c r="Y152" s="10"/>
      <c r="Z152" s="10"/>
      <c r="AA152" s="10"/>
      <c r="AB152" s="10"/>
      <c r="AC152" s="10"/>
      <c r="AD152" s="10"/>
      <c r="AE152" s="10"/>
    </row>
    <row r="153" spans="1:32" s="3" customFormat="1" ht="20.100000000000001" customHeight="1" x14ac:dyDescent="0.2">
      <c r="A153" s="87"/>
      <c r="B153" s="10" t="s">
        <v>67</v>
      </c>
      <c r="C153" s="93" t="s">
        <v>71</v>
      </c>
      <c r="D153" s="10">
        <v>25</v>
      </c>
      <c r="E153" s="10"/>
      <c r="F153" s="10">
        <v>7</v>
      </c>
      <c r="G153" s="90">
        <f>VLOOKUP(D153,$C$20:$F$26,3,0)</f>
        <v>1.35</v>
      </c>
      <c r="H153" s="10"/>
      <c r="I153" s="10"/>
      <c r="J153" s="10"/>
      <c r="K153" s="10"/>
      <c r="L153" s="10"/>
      <c r="M153" s="10"/>
      <c r="N153" s="10"/>
      <c r="O153" s="10">
        <f>(E149+2*(G153+(12*D153/1000))*D149)</f>
        <v>4.8680000000000003</v>
      </c>
      <c r="P153" s="10">
        <f t="shared" si="41"/>
        <v>34.076000000000001</v>
      </c>
      <c r="Q153" s="10">
        <f t="shared" si="42"/>
        <v>0</v>
      </c>
      <c r="R153" s="10">
        <f t="shared" si="42"/>
        <v>0</v>
      </c>
      <c r="S153" s="10">
        <f t="shared" si="42"/>
        <v>0</v>
      </c>
      <c r="T153" s="10">
        <f t="shared" si="42"/>
        <v>0</v>
      </c>
      <c r="U153" s="10">
        <f t="shared" si="42"/>
        <v>0</v>
      </c>
      <c r="V153" s="10">
        <f t="shared" si="42"/>
        <v>131.35993750000003</v>
      </c>
      <c r="W153" s="10">
        <f t="shared" si="42"/>
        <v>0</v>
      </c>
      <c r="X153" s="10">
        <f t="shared" si="43"/>
        <v>131.35993750000003</v>
      </c>
      <c r="Y153" s="10"/>
      <c r="Z153" s="10"/>
      <c r="AA153" s="10"/>
      <c r="AB153" s="10"/>
      <c r="AC153" s="10"/>
      <c r="AD153" s="10"/>
      <c r="AE153" s="10"/>
    </row>
    <row r="154" spans="1:32" s="3" customFormat="1" ht="20.100000000000001" customHeight="1" x14ac:dyDescent="0.2">
      <c r="A154" s="87"/>
      <c r="B154" s="10" t="s">
        <v>67</v>
      </c>
      <c r="C154" s="93" t="s">
        <v>71</v>
      </c>
      <c r="D154" s="10">
        <v>20</v>
      </c>
      <c r="E154" s="10"/>
      <c r="F154" s="10">
        <v>2</v>
      </c>
      <c r="G154" s="90">
        <f>VLOOKUP(D154,$C$20:$F$26,3,0)</f>
        <v>1.05</v>
      </c>
      <c r="H154" s="10"/>
      <c r="I154" s="10"/>
      <c r="J154" s="10"/>
      <c r="K154" s="10"/>
      <c r="L154" s="10"/>
      <c r="M154" s="10"/>
      <c r="N154" s="10"/>
      <c r="O154" s="10">
        <f>(E149+2*(G154+(12*D154/1000))*D149)</f>
        <v>4.1479999999999997</v>
      </c>
      <c r="P154" s="10">
        <f t="shared" si="41"/>
        <v>8.2959999999999994</v>
      </c>
      <c r="Q154" s="10">
        <f t="shared" si="42"/>
        <v>0</v>
      </c>
      <c r="R154" s="10">
        <f t="shared" si="42"/>
        <v>0</v>
      </c>
      <c r="S154" s="10">
        <f t="shared" si="42"/>
        <v>0</v>
      </c>
      <c r="T154" s="10">
        <f t="shared" si="42"/>
        <v>0</v>
      </c>
      <c r="U154" s="10">
        <f t="shared" si="42"/>
        <v>20.467417142857141</v>
      </c>
      <c r="V154" s="10">
        <f t="shared" si="42"/>
        <v>0</v>
      </c>
      <c r="W154" s="10">
        <f t="shared" si="42"/>
        <v>0</v>
      </c>
      <c r="X154" s="10">
        <f t="shared" si="43"/>
        <v>20.467417142857141</v>
      </c>
      <c r="Y154" s="10"/>
      <c r="Z154" s="10"/>
      <c r="AA154" s="10"/>
      <c r="AB154" s="10"/>
      <c r="AC154" s="10"/>
      <c r="AD154" s="10"/>
      <c r="AE154" s="10"/>
    </row>
    <row r="155" spans="1:32" s="3" customFormat="1" ht="20.100000000000001" customHeight="1" x14ac:dyDescent="0.2">
      <c r="A155" s="87"/>
      <c r="B155" s="10" t="s">
        <v>67</v>
      </c>
      <c r="C155" s="93" t="s">
        <v>73</v>
      </c>
      <c r="D155" s="10">
        <v>12</v>
      </c>
      <c r="E155" s="10">
        <v>0.1</v>
      </c>
      <c r="F155" s="10">
        <f>ROUNDUP(E149/E155,0)</f>
        <v>16</v>
      </c>
      <c r="H155" s="10"/>
      <c r="I155" s="10"/>
      <c r="J155" s="10"/>
      <c r="K155" s="10"/>
      <c r="L155" s="10"/>
      <c r="M155" s="10"/>
      <c r="N155" s="10"/>
      <c r="O155" s="10">
        <f>(2*((G149-(2*$D$11))+(F149-(2*$D$11)))+(2*10*D155/1000))*D149</f>
        <v>4.4000000000000004</v>
      </c>
      <c r="P155" s="10">
        <f t="shared" si="41"/>
        <v>70.400000000000006</v>
      </c>
      <c r="Q155" s="10">
        <f t="shared" si="42"/>
        <v>0</v>
      </c>
      <c r="R155" s="10">
        <f t="shared" si="42"/>
        <v>0</v>
      </c>
      <c r="S155" s="10">
        <f t="shared" si="42"/>
        <v>62.527268571428586</v>
      </c>
      <c r="T155" s="10">
        <f t="shared" si="42"/>
        <v>0</v>
      </c>
      <c r="U155" s="10">
        <f t="shared" si="42"/>
        <v>0</v>
      </c>
      <c r="V155" s="10">
        <f t="shared" si="42"/>
        <v>0</v>
      </c>
      <c r="W155" s="10">
        <f t="shared" si="42"/>
        <v>0</v>
      </c>
      <c r="X155" s="10">
        <f t="shared" si="43"/>
        <v>62.527268571428586</v>
      </c>
      <c r="Y155" s="10"/>
      <c r="Z155" s="10"/>
      <c r="AA155" s="10"/>
      <c r="AB155" s="10"/>
      <c r="AC155" s="10"/>
      <c r="AD155" s="10"/>
      <c r="AE155" s="10"/>
    </row>
    <row r="156" spans="1:32" s="2" customFormat="1" ht="20.100000000000001" customHeight="1" x14ac:dyDescent="0.2">
      <c r="B156" s="10" t="s">
        <v>67</v>
      </c>
      <c r="C156" s="93" t="s">
        <v>74</v>
      </c>
      <c r="D156" s="10">
        <f>+D155</f>
        <v>12</v>
      </c>
      <c r="E156" s="2">
        <f>+E155</f>
        <v>0.1</v>
      </c>
      <c r="F156" s="10">
        <f>ROUNDUP(E149/E156,0)</f>
        <v>16</v>
      </c>
      <c r="G156" s="3"/>
      <c r="O156" s="10">
        <f>((((G149-(2*$D$11))+(2*10*D156/1000))*D149))*1</f>
        <v>1.63</v>
      </c>
      <c r="P156" s="10">
        <f t="shared" si="41"/>
        <v>26.08</v>
      </c>
      <c r="Q156" s="10">
        <f t="shared" si="42"/>
        <v>0</v>
      </c>
      <c r="R156" s="10">
        <f t="shared" si="42"/>
        <v>0</v>
      </c>
      <c r="S156" s="10">
        <f t="shared" si="42"/>
        <v>23.16351085714286</v>
      </c>
      <c r="T156" s="10">
        <f t="shared" si="42"/>
        <v>0</v>
      </c>
      <c r="U156" s="10">
        <f t="shared" si="42"/>
        <v>0</v>
      </c>
      <c r="V156" s="10">
        <f t="shared" si="42"/>
        <v>0</v>
      </c>
      <c r="W156" s="10">
        <f t="shared" si="42"/>
        <v>0</v>
      </c>
      <c r="X156" s="10">
        <f t="shared" si="43"/>
        <v>23.16351085714286</v>
      </c>
    </row>
    <row r="157" spans="1:32" s="3" customFormat="1" ht="20.100000000000001" customHeight="1" x14ac:dyDescent="0.2">
      <c r="A157" s="87"/>
      <c r="B157" s="10" t="s">
        <v>67</v>
      </c>
      <c r="C157" s="93" t="s">
        <v>75</v>
      </c>
      <c r="D157" s="10">
        <f>+$D$15</f>
        <v>25</v>
      </c>
      <c r="E157" s="10">
        <f>+$E$15</f>
        <v>1</v>
      </c>
      <c r="F157" s="10">
        <f>ROUNDUP((3)/E157,0)</f>
        <v>3</v>
      </c>
      <c r="G157" s="90"/>
      <c r="H157" s="90"/>
      <c r="I157" s="10"/>
      <c r="J157" s="10"/>
      <c r="K157" s="10"/>
      <c r="L157" s="10"/>
      <c r="M157" s="10"/>
      <c r="N157" s="10"/>
      <c r="O157" s="10">
        <f>F149-$F$15</f>
        <v>0.69</v>
      </c>
      <c r="P157" s="10">
        <f t="shared" si="41"/>
        <v>2.0699999999999998</v>
      </c>
      <c r="Q157" s="10">
        <f t="shared" si="42"/>
        <v>0</v>
      </c>
      <c r="R157" s="10">
        <f t="shared" si="42"/>
        <v>0</v>
      </c>
      <c r="S157" s="10">
        <f t="shared" si="42"/>
        <v>0</v>
      </c>
      <c r="T157" s="10">
        <f t="shared" si="42"/>
        <v>0</v>
      </c>
      <c r="U157" s="10">
        <f t="shared" si="42"/>
        <v>0</v>
      </c>
      <c r="V157" s="10">
        <f t="shared" si="42"/>
        <v>7.9796651785714294</v>
      </c>
      <c r="W157" s="10">
        <f t="shared" si="42"/>
        <v>0</v>
      </c>
      <c r="X157" s="10">
        <f t="shared" si="43"/>
        <v>7.9796651785714294</v>
      </c>
      <c r="Y157" s="10"/>
      <c r="Z157" s="10"/>
      <c r="AA157" s="10"/>
      <c r="AB157" s="10"/>
      <c r="AC157" s="10"/>
      <c r="AD157" s="10"/>
      <c r="AE157" s="10"/>
    </row>
    <row r="158" spans="1:32" s="3" customFormat="1" ht="21" customHeight="1" x14ac:dyDescent="0.2">
      <c r="A158" s="10">
        <v>1</v>
      </c>
      <c r="B158" s="10" t="s">
        <v>67</v>
      </c>
      <c r="C158" s="91" t="s">
        <v>88</v>
      </c>
      <c r="D158" s="91">
        <v>1</v>
      </c>
      <c r="E158" s="91">
        <v>7.5</v>
      </c>
      <c r="F158" s="91">
        <v>0.45</v>
      </c>
      <c r="G158" s="91">
        <v>0.6</v>
      </c>
      <c r="H158" s="10">
        <f>G158-0.2</f>
        <v>0.39999999999999997</v>
      </c>
      <c r="I158" s="10">
        <f>E158*F158*G158*D158</f>
        <v>2.0249999999999999</v>
      </c>
      <c r="J158" s="10">
        <f>(2*(E158)*H158*D158)+(E158*F158)</f>
        <v>9.375</v>
      </c>
      <c r="K158" s="92">
        <f>IF(E158=0.3,J158,0)</f>
        <v>0</v>
      </c>
      <c r="L158" s="92">
        <f>IF(AND(E158&gt;0.3,E158&lt;=0.75),J158,0)</f>
        <v>0</v>
      </c>
      <c r="M158" s="92">
        <f>IF(AND(E158&gt;0.75,E158&lt;=1.2),J158,0)</f>
        <v>0</v>
      </c>
      <c r="N158" s="92">
        <f>IF(E158&gt;1.2,J158,0)</f>
        <v>9.375</v>
      </c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>
        <f>SUM(X159:X165)/I158</f>
        <v>281.68740634920641</v>
      </c>
      <c r="Z158" s="10"/>
      <c r="AA158" s="10"/>
      <c r="AB158" s="10"/>
      <c r="AC158" s="10"/>
      <c r="AD158" s="10"/>
      <c r="AE158" s="10"/>
      <c r="AF158" s="10"/>
    </row>
    <row r="159" spans="1:32" s="3" customFormat="1" ht="20.100000000000001" customHeight="1" x14ac:dyDescent="0.2">
      <c r="A159" s="87"/>
      <c r="B159" s="10" t="s">
        <v>67</v>
      </c>
      <c r="C159" s="93" t="s">
        <v>69</v>
      </c>
      <c r="D159" s="10">
        <v>25</v>
      </c>
      <c r="E159" s="10"/>
      <c r="F159" s="10">
        <v>4</v>
      </c>
      <c r="G159" s="90">
        <f>VLOOKUP(D159,$C$20:$F$26,3,0)</f>
        <v>1.35</v>
      </c>
      <c r="H159" s="90"/>
      <c r="I159" s="10"/>
      <c r="J159" s="10"/>
      <c r="K159" s="10"/>
      <c r="L159" s="10"/>
      <c r="M159" s="10"/>
      <c r="N159" s="10"/>
      <c r="O159" s="10">
        <f>(E158+1*(G159+(12*D159/1000))*D158)</f>
        <v>9.15</v>
      </c>
      <c r="P159" s="10">
        <f t="shared" ref="P159:P168" si="44">O159*F159</f>
        <v>36.6</v>
      </c>
      <c r="Q159" s="10">
        <f t="shared" ref="Q159:W174" si="45">IF($D159=Q$44,$P159*Q$45,0)</f>
        <v>0</v>
      </c>
      <c r="R159" s="10">
        <f t="shared" si="45"/>
        <v>0</v>
      </c>
      <c r="S159" s="10">
        <f t="shared" si="45"/>
        <v>0</v>
      </c>
      <c r="T159" s="10">
        <f t="shared" si="45"/>
        <v>0</v>
      </c>
      <c r="U159" s="10">
        <f t="shared" si="45"/>
        <v>0</v>
      </c>
      <c r="V159" s="10">
        <f t="shared" si="45"/>
        <v>141.08973214285717</v>
      </c>
      <c r="W159" s="10">
        <f t="shared" si="45"/>
        <v>0</v>
      </c>
      <c r="X159" s="10">
        <f t="shared" ref="X159:X168" si="46">SUM(Q159:W159)</f>
        <v>141.08973214285717</v>
      </c>
      <c r="Y159" s="10"/>
      <c r="Z159" s="10"/>
      <c r="AA159" s="10"/>
      <c r="AB159" s="10"/>
      <c r="AC159" s="10"/>
      <c r="AD159" s="10"/>
      <c r="AE159" s="10"/>
    </row>
    <row r="160" spans="1:32" s="3" customFormat="1" ht="20.100000000000001" customHeight="1" x14ac:dyDescent="0.2">
      <c r="A160" s="87"/>
      <c r="B160" s="10" t="s">
        <v>67</v>
      </c>
      <c r="C160" s="93" t="s">
        <v>70</v>
      </c>
      <c r="D160" s="10">
        <v>25</v>
      </c>
      <c r="E160" s="10"/>
      <c r="F160" s="10">
        <v>4</v>
      </c>
      <c r="G160" s="90">
        <f>VLOOKUP(D160,$C$20:$F$26,3,0)</f>
        <v>1.35</v>
      </c>
      <c r="H160" s="90"/>
      <c r="I160" s="10"/>
      <c r="J160" s="10"/>
      <c r="K160" s="10"/>
      <c r="L160" s="10"/>
      <c r="M160" s="10"/>
      <c r="N160" s="10"/>
      <c r="O160" s="10">
        <f>1.2+(0.3*2)</f>
        <v>1.7999999999999998</v>
      </c>
      <c r="P160" s="10">
        <f t="shared" si="44"/>
        <v>7.1999999999999993</v>
      </c>
      <c r="Q160" s="10">
        <f t="shared" si="45"/>
        <v>0</v>
      </c>
      <c r="R160" s="10">
        <f t="shared" si="45"/>
        <v>0</v>
      </c>
      <c r="S160" s="10">
        <f t="shared" si="45"/>
        <v>0</v>
      </c>
      <c r="T160" s="10">
        <f t="shared" si="45"/>
        <v>0</v>
      </c>
      <c r="U160" s="10">
        <f t="shared" si="45"/>
        <v>0</v>
      </c>
      <c r="V160" s="10">
        <f t="shared" si="45"/>
        <v>27.755357142857143</v>
      </c>
      <c r="W160" s="10">
        <f t="shared" si="45"/>
        <v>0</v>
      </c>
      <c r="X160" s="10">
        <f t="shared" si="46"/>
        <v>27.755357142857143</v>
      </c>
      <c r="Y160" s="10"/>
      <c r="Z160" s="10"/>
      <c r="AA160" s="10"/>
      <c r="AB160" s="10"/>
      <c r="AC160" s="10"/>
      <c r="AD160" s="10"/>
      <c r="AE160" s="10"/>
    </row>
    <row r="161" spans="1:32" s="3" customFormat="1" ht="20.100000000000001" customHeight="1" x14ac:dyDescent="0.2">
      <c r="A161" s="87"/>
      <c r="B161" s="10" t="s">
        <v>67</v>
      </c>
      <c r="C161" s="93" t="s">
        <v>70</v>
      </c>
      <c r="D161" s="10">
        <v>25</v>
      </c>
      <c r="E161" s="10"/>
      <c r="F161" s="10">
        <v>4</v>
      </c>
      <c r="G161" s="90">
        <f>VLOOKUP(D161,$C$20:$F$26,3,0)</f>
        <v>1.35</v>
      </c>
      <c r="H161" s="90"/>
      <c r="I161" s="10"/>
      <c r="J161" s="10"/>
      <c r="K161" s="10"/>
      <c r="L161" s="10"/>
      <c r="M161" s="10"/>
      <c r="N161" s="10"/>
      <c r="O161" s="10">
        <f>1.95+(0.3*2)</f>
        <v>2.5499999999999998</v>
      </c>
      <c r="P161" s="10">
        <f t="shared" si="44"/>
        <v>10.199999999999999</v>
      </c>
      <c r="Q161" s="10">
        <f t="shared" si="45"/>
        <v>0</v>
      </c>
      <c r="R161" s="10">
        <f t="shared" si="45"/>
        <v>0</v>
      </c>
      <c r="S161" s="10">
        <f t="shared" si="45"/>
        <v>0</v>
      </c>
      <c r="T161" s="10">
        <f t="shared" si="45"/>
        <v>0</v>
      </c>
      <c r="U161" s="10">
        <f t="shared" si="45"/>
        <v>0</v>
      </c>
      <c r="V161" s="10">
        <f t="shared" si="45"/>
        <v>39.320089285714289</v>
      </c>
      <c r="W161" s="10">
        <f t="shared" si="45"/>
        <v>0</v>
      </c>
      <c r="X161" s="10">
        <f t="shared" si="46"/>
        <v>39.320089285714289</v>
      </c>
      <c r="Y161" s="10"/>
      <c r="Z161" s="10"/>
      <c r="AA161" s="10"/>
      <c r="AB161" s="10"/>
      <c r="AC161" s="10"/>
      <c r="AD161" s="10"/>
      <c r="AE161" s="10"/>
    </row>
    <row r="162" spans="1:32" s="3" customFormat="1" ht="20.100000000000001" customHeight="1" x14ac:dyDescent="0.2">
      <c r="A162" s="87"/>
      <c r="B162" s="10" t="s">
        <v>67</v>
      </c>
      <c r="C162" s="93" t="s">
        <v>71</v>
      </c>
      <c r="D162" s="10">
        <v>20</v>
      </c>
      <c r="E162" s="10"/>
      <c r="F162" s="10">
        <v>4</v>
      </c>
      <c r="G162" s="90">
        <f>VLOOKUP(D162,$C$20:$F$26,3,0)</f>
        <v>1.05</v>
      </c>
      <c r="H162" s="10"/>
      <c r="I162" s="10"/>
      <c r="J162" s="10"/>
      <c r="K162" s="10"/>
      <c r="L162" s="10"/>
      <c r="M162" s="10"/>
      <c r="N162" s="10"/>
      <c r="O162" s="10">
        <f>(E158+1*(G162+(12*D162/1000))+2*(0.3/2)*D158)</f>
        <v>9.09</v>
      </c>
      <c r="P162" s="10">
        <f t="shared" si="44"/>
        <v>36.36</v>
      </c>
      <c r="Q162" s="10">
        <f t="shared" si="45"/>
        <v>0</v>
      </c>
      <c r="R162" s="10">
        <f t="shared" si="45"/>
        <v>0</v>
      </c>
      <c r="S162" s="10">
        <f t="shared" si="45"/>
        <v>0</v>
      </c>
      <c r="T162" s="10">
        <f t="shared" si="45"/>
        <v>0</v>
      </c>
      <c r="U162" s="10">
        <f t="shared" si="45"/>
        <v>89.70531428571428</v>
      </c>
      <c r="V162" s="10">
        <f t="shared" si="45"/>
        <v>0</v>
      </c>
      <c r="W162" s="10">
        <f t="shared" si="45"/>
        <v>0</v>
      </c>
      <c r="X162" s="10">
        <f t="shared" si="46"/>
        <v>89.70531428571428</v>
      </c>
      <c r="Y162" s="10"/>
      <c r="Z162" s="10"/>
      <c r="AA162" s="10"/>
      <c r="AB162" s="10"/>
      <c r="AC162" s="10"/>
      <c r="AD162" s="10"/>
      <c r="AE162" s="10"/>
    </row>
    <row r="163" spans="1:32" s="3" customFormat="1" ht="20.100000000000001" customHeight="1" x14ac:dyDescent="0.2">
      <c r="A163" s="87"/>
      <c r="B163" s="10" t="s">
        <v>67</v>
      </c>
      <c r="C163" s="93" t="s">
        <v>72</v>
      </c>
      <c r="D163" s="10">
        <v>25</v>
      </c>
      <c r="E163" s="10"/>
      <c r="F163" s="10">
        <v>4</v>
      </c>
      <c r="G163" s="90">
        <f>VLOOKUP(D163,$C$20:$F$26,3,0)</f>
        <v>1.35</v>
      </c>
      <c r="H163" s="10"/>
      <c r="I163" s="10"/>
      <c r="J163" s="10"/>
      <c r="K163" s="10"/>
      <c r="L163" s="10"/>
      <c r="M163" s="10"/>
      <c r="N163" s="10"/>
      <c r="O163" s="10">
        <f>(E158+1*(G163+(12*D163/1000))+2*(0.3/2)*D158)</f>
        <v>9.4500000000000011</v>
      </c>
      <c r="P163" s="10">
        <f t="shared" si="44"/>
        <v>37.800000000000004</v>
      </c>
      <c r="Q163" s="10">
        <f t="shared" si="45"/>
        <v>0</v>
      </c>
      <c r="R163" s="10">
        <f t="shared" si="45"/>
        <v>0</v>
      </c>
      <c r="S163" s="10">
        <f t="shared" si="45"/>
        <v>0</v>
      </c>
      <c r="T163" s="10">
        <f t="shared" si="45"/>
        <v>0</v>
      </c>
      <c r="U163" s="10">
        <f t="shared" si="45"/>
        <v>0</v>
      </c>
      <c r="V163" s="10">
        <f t="shared" si="45"/>
        <v>145.71562500000005</v>
      </c>
      <c r="W163" s="10">
        <f t="shared" si="45"/>
        <v>0</v>
      </c>
      <c r="X163" s="10">
        <f t="shared" si="46"/>
        <v>145.71562500000005</v>
      </c>
      <c r="Y163" s="10"/>
      <c r="Z163" s="10"/>
      <c r="AA163" s="10"/>
      <c r="AB163" s="10"/>
      <c r="AC163" s="10"/>
      <c r="AD163" s="10"/>
      <c r="AE163" s="10"/>
    </row>
    <row r="164" spans="1:32" s="3" customFormat="1" ht="20.100000000000001" customHeight="1" x14ac:dyDescent="0.2">
      <c r="A164" s="87"/>
      <c r="B164" s="10" t="s">
        <v>67</v>
      </c>
      <c r="C164" s="93" t="s">
        <v>73</v>
      </c>
      <c r="D164" s="10">
        <v>12</v>
      </c>
      <c r="E164" s="10">
        <v>0.1</v>
      </c>
      <c r="F164" s="10">
        <f>ROUND(IF(E158/3&gt;(2*G158),(E158/3)/E164,(2*G158)/E164),0)*2+1</f>
        <v>51</v>
      </c>
      <c r="H164" s="10"/>
      <c r="I164" s="10"/>
      <c r="J164" s="10"/>
      <c r="K164" s="10"/>
      <c r="L164" s="10"/>
      <c r="M164" s="10"/>
      <c r="N164" s="10"/>
      <c r="O164" s="10">
        <f>(2*((G158-(2*$D$11))+(F158-(2*$D$11)))+(2*10*D164/1000))*D158</f>
        <v>2.1</v>
      </c>
      <c r="P164" s="10">
        <f t="shared" si="44"/>
        <v>107.10000000000001</v>
      </c>
      <c r="Q164" s="10">
        <f t="shared" si="45"/>
        <v>0</v>
      </c>
      <c r="R164" s="10">
        <f t="shared" si="45"/>
        <v>0</v>
      </c>
      <c r="S164" s="10">
        <f t="shared" si="45"/>
        <v>95.123160000000027</v>
      </c>
      <c r="T164" s="10">
        <f t="shared" si="45"/>
        <v>0</v>
      </c>
      <c r="U164" s="10">
        <f t="shared" si="45"/>
        <v>0</v>
      </c>
      <c r="V164" s="10">
        <f t="shared" si="45"/>
        <v>0</v>
      </c>
      <c r="W164" s="10">
        <f t="shared" si="45"/>
        <v>0</v>
      </c>
      <c r="X164" s="10">
        <f t="shared" si="46"/>
        <v>95.123160000000027</v>
      </c>
      <c r="Y164" s="10"/>
      <c r="Z164" s="10"/>
      <c r="AA164" s="10"/>
      <c r="AB164" s="10"/>
      <c r="AC164" s="10"/>
      <c r="AD164" s="10"/>
      <c r="AE164" s="10"/>
    </row>
    <row r="165" spans="1:32" s="2" customFormat="1" ht="20.100000000000001" customHeight="1" x14ac:dyDescent="0.2">
      <c r="B165" s="10" t="s">
        <v>67</v>
      </c>
      <c r="C165" s="93" t="s">
        <v>73</v>
      </c>
      <c r="D165" s="2">
        <f>D164</f>
        <v>12</v>
      </c>
      <c r="E165" s="2">
        <v>0.15</v>
      </c>
      <c r="F165" s="2">
        <f>ROUND((E158-(IF(E158/3&gt;2*G158,E158/3*2,G158*2*2)))/E165,0)</f>
        <v>17</v>
      </c>
      <c r="G165" s="3"/>
      <c r="O165" s="10">
        <f>(2*((G158-(2*$D$11))+(F158-(2*$D$11)))+(2*10*D165/1000))*D158</f>
        <v>2.1</v>
      </c>
      <c r="P165" s="10">
        <f t="shared" si="44"/>
        <v>35.700000000000003</v>
      </c>
      <c r="Q165" s="10">
        <f t="shared" si="45"/>
        <v>0</v>
      </c>
      <c r="R165" s="10">
        <f t="shared" si="45"/>
        <v>0</v>
      </c>
      <c r="S165" s="10">
        <f t="shared" si="45"/>
        <v>31.707720000000009</v>
      </c>
      <c r="T165" s="10">
        <f t="shared" si="45"/>
        <v>0</v>
      </c>
      <c r="U165" s="10">
        <f t="shared" si="45"/>
        <v>0</v>
      </c>
      <c r="V165" s="10">
        <f t="shared" si="45"/>
        <v>0</v>
      </c>
      <c r="W165" s="10">
        <f t="shared" si="45"/>
        <v>0</v>
      </c>
      <c r="X165" s="10">
        <f t="shared" si="46"/>
        <v>31.707720000000009</v>
      </c>
    </row>
    <row r="166" spans="1:32" s="2" customFormat="1" ht="20.100000000000001" customHeight="1" x14ac:dyDescent="0.2">
      <c r="B166" s="10" t="s">
        <v>67</v>
      </c>
      <c r="C166" s="93" t="s">
        <v>74</v>
      </c>
      <c r="D166" s="2">
        <f>D164</f>
        <v>12</v>
      </c>
      <c r="E166" s="2">
        <f>+E164</f>
        <v>0.1</v>
      </c>
      <c r="F166" s="10">
        <f>ROUND(IF(E158/3&gt;(2*G158),(E158/3)/E166,(2*G158)/E166),0)*2+1</f>
        <v>51</v>
      </c>
      <c r="G166" s="3"/>
      <c r="O166" s="10">
        <f>((((G158-(2*$D$11))+(2*10*D166/1000))*D158))*2</f>
        <v>1.56</v>
      </c>
      <c r="P166" s="10">
        <f t="shared" si="44"/>
        <v>79.56</v>
      </c>
      <c r="Q166" s="10">
        <f t="shared" si="45"/>
        <v>0</v>
      </c>
      <c r="R166" s="10">
        <f t="shared" si="45"/>
        <v>0</v>
      </c>
      <c r="S166" s="10">
        <f t="shared" si="45"/>
        <v>70.66291885714287</v>
      </c>
      <c r="T166" s="10">
        <f t="shared" si="45"/>
        <v>0</v>
      </c>
      <c r="U166" s="10">
        <f t="shared" si="45"/>
        <v>0</v>
      </c>
      <c r="V166" s="10">
        <f t="shared" si="45"/>
        <v>0</v>
      </c>
      <c r="W166" s="10">
        <f t="shared" si="45"/>
        <v>0</v>
      </c>
      <c r="X166" s="10">
        <f t="shared" si="46"/>
        <v>70.66291885714287</v>
      </c>
    </row>
    <row r="167" spans="1:32" s="2" customFormat="1" ht="20.100000000000001" customHeight="1" x14ac:dyDescent="0.2">
      <c r="B167" s="10" t="s">
        <v>67</v>
      </c>
      <c r="C167" s="93" t="s">
        <v>74</v>
      </c>
      <c r="D167" s="2">
        <f>D165</f>
        <v>12</v>
      </c>
      <c r="E167" s="2">
        <f>+E165</f>
        <v>0.15</v>
      </c>
      <c r="F167" s="2">
        <f>ROUND((E158-(IF(E158/3&gt;2*G158,E158/3*2,G158*2*2)))/E167,0)</f>
        <v>17</v>
      </c>
      <c r="G167" s="3"/>
      <c r="O167" s="10">
        <f>((((G158-(2*$D$11))+(2*10*D167/1000))*D158))*2</f>
        <v>1.56</v>
      </c>
      <c r="P167" s="10">
        <f t="shared" si="44"/>
        <v>26.52</v>
      </c>
      <c r="Q167" s="10">
        <f t="shared" si="45"/>
        <v>0</v>
      </c>
      <c r="R167" s="10">
        <f t="shared" si="45"/>
        <v>0</v>
      </c>
      <c r="S167" s="10">
        <f t="shared" si="45"/>
        <v>23.55430628571429</v>
      </c>
      <c r="T167" s="10">
        <f t="shared" si="45"/>
        <v>0</v>
      </c>
      <c r="U167" s="10">
        <f t="shared" si="45"/>
        <v>0</v>
      </c>
      <c r="V167" s="10">
        <f t="shared" si="45"/>
        <v>0</v>
      </c>
      <c r="W167" s="10">
        <f t="shared" si="45"/>
        <v>0</v>
      </c>
      <c r="X167" s="10">
        <f t="shared" si="46"/>
        <v>23.55430628571429</v>
      </c>
    </row>
    <row r="168" spans="1:32" s="3" customFormat="1" ht="20.100000000000001" customHeight="1" x14ac:dyDescent="0.2">
      <c r="A168" s="87"/>
      <c r="B168" s="10" t="s">
        <v>67</v>
      </c>
      <c r="C168" s="93" t="s">
        <v>75</v>
      </c>
      <c r="D168" s="10">
        <f>+$D$15</f>
        <v>25</v>
      </c>
      <c r="E168" s="10">
        <f>+$E$15</f>
        <v>1</v>
      </c>
      <c r="F168" s="10">
        <f>ROUNDUP((1.5+1.95+O163)/E168,0)</f>
        <v>13</v>
      </c>
      <c r="G168" s="90"/>
      <c r="H168" s="90"/>
      <c r="I168" s="10"/>
      <c r="J168" s="10"/>
      <c r="K168" s="10"/>
      <c r="L168" s="10"/>
      <c r="M168" s="10"/>
      <c r="N168" s="10"/>
      <c r="O168" s="10">
        <f>F158-$F$15</f>
        <v>0.39</v>
      </c>
      <c r="P168" s="10">
        <f t="shared" si="44"/>
        <v>5.07</v>
      </c>
      <c r="Q168" s="10">
        <f t="shared" si="45"/>
        <v>0</v>
      </c>
      <c r="R168" s="10">
        <f t="shared" si="45"/>
        <v>0</v>
      </c>
      <c r="S168" s="10">
        <f t="shared" si="45"/>
        <v>0</v>
      </c>
      <c r="T168" s="10">
        <f t="shared" si="45"/>
        <v>0</v>
      </c>
      <c r="U168" s="10">
        <f t="shared" si="45"/>
        <v>0</v>
      </c>
      <c r="V168" s="10">
        <f t="shared" si="45"/>
        <v>19.544397321428576</v>
      </c>
      <c r="W168" s="10">
        <f t="shared" si="45"/>
        <v>0</v>
      </c>
      <c r="X168" s="10">
        <f t="shared" si="46"/>
        <v>19.544397321428576</v>
      </c>
      <c r="Y168" s="10"/>
      <c r="Z168" s="10"/>
      <c r="AA168" s="10"/>
      <c r="AB168" s="10"/>
      <c r="AC168" s="10"/>
      <c r="AD168" s="10"/>
      <c r="AE168" s="10"/>
    </row>
    <row r="169" spans="1:32" s="3" customFormat="1" ht="21" customHeight="1" x14ac:dyDescent="0.2">
      <c r="A169" s="10">
        <v>1</v>
      </c>
      <c r="B169" s="10" t="s">
        <v>67</v>
      </c>
      <c r="C169" s="91" t="s">
        <v>89</v>
      </c>
      <c r="D169" s="91">
        <v>1</v>
      </c>
      <c r="E169" s="91">
        <v>8.8209999999999997</v>
      </c>
      <c r="F169" s="91">
        <v>0.6</v>
      </c>
      <c r="G169" s="91">
        <v>0.6</v>
      </c>
      <c r="H169" s="10">
        <f>G169-0.2</f>
        <v>0.39999999999999997</v>
      </c>
      <c r="I169" s="10">
        <f>E169*F169*G169*D169</f>
        <v>3.1755599999999995</v>
      </c>
      <c r="J169" s="10">
        <f>(2*(E169)*H169*D169)+(E169*F169)</f>
        <v>12.349399999999999</v>
      </c>
      <c r="K169" s="92">
        <f>IF(E169=0.3,J169,0)</f>
        <v>0</v>
      </c>
      <c r="L169" s="92">
        <f>IF(AND(E169&gt;0.3,E169&lt;=0.75),J169,0)</f>
        <v>0</v>
      </c>
      <c r="M169" s="92">
        <f>IF(AND(E169&gt;0.75,E169&lt;=1.2),J169,0)</f>
        <v>0</v>
      </c>
      <c r="N169" s="92">
        <f>IF(E169&gt;1.2,J169,0)</f>
        <v>12.349399999999999</v>
      </c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>
        <f>SUM(X170:X176)/I169</f>
        <v>184.91645770464788</v>
      </c>
      <c r="Z169" s="10"/>
      <c r="AA169" s="10"/>
      <c r="AB169" s="10"/>
      <c r="AC169" s="10"/>
      <c r="AD169" s="10"/>
      <c r="AE169" s="10"/>
      <c r="AF169" s="10"/>
    </row>
    <row r="170" spans="1:32" s="3" customFormat="1" ht="20.100000000000001" customHeight="1" x14ac:dyDescent="0.2">
      <c r="A170" s="87"/>
      <c r="B170" s="10" t="s">
        <v>67</v>
      </c>
      <c r="C170" s="93" t="s">
        <v>69</v>
      </c>
      <c r="D170" s="10">
        <v>20</v>
      </c>
      <c r="E170" s="10"/>
      <c r="F170" s="10">
        <v>6</v>
      </c>
      <c r="G170" s="90">
        <f>VLOOKUP(D170,$C$20:$F$26,3,0)</f>
        <v>1.05</v>
      </c>
      <c r="H170" s="90"/>
      <c r="I170" s="10"/>
      <c r="J170" s="10"/>
      <c r="K170" s="10"/>
      <c r="L170" s="10"/>
      <c r="M170" s="10"/>
      <c r="N170" s="10"/>
      <c r="O170" s="10">
        <f>(E169+1*(G170+(12*D170/1000))+1*(0.3/2)*D169)</f>
        <v>10.261000000000001</v>
      </c>
      <c r="P170" s="10">
        <f t="shared" ref="P170:P179" si="47">O170*F170</f>
        <v>61.566000000000003</v>
      </c>
      <c r="Q170" s="10">
        <f t="shared" si="45"/>
        <v>0</v>
      </c>
      <c r="R170" s="10">
        <f t="shared" si="45"/>
        <v>0</v>
      </c>
      <c r="S170" s="10">
        <f t="shared" si="45"/>
        <v>0</v>
      </c>
      <c r="T170" s="10">
        <f t="shared" si="45"/>
        <v>0</v>
      </c>
      <c r="U170" s="10">
        <f t="shared" si="45"/>
        <v>151.89211714285713</v>
      </c>
      <c r="V170" s="10">
        <f t="shared" si="45"/>
        <v>0</v>
      </c>
      <c r="W170" s="10">
        <f t="shared" si="45"/>
        <v>0</v>
      </c>
      <c r="X170" s="10">
        <f t="shared" ref="X170:X179" si="48">SUM(Q170:W170)</f>
        <v>151.89211714285713</v>
      </c>
      <c r="Y170" s="10"/>
      <c r="Z170" s="10"/>
      <c r="AA170" s="10"/>
      <c r="AB170" s="10"/>
      <c r="AC170" s="10"/>
      <c r="AD170" s="10"/>
      <c r="AE170" s="10"/>
    </row>
    <row r="171" spans="1:32" s="3" customFormat="1" ht="20.100000000000001" customHeight="1" x14ac:dyDescent="0.2">
      <c r="A171" s="87"/>
      <c r="B171" s="10" t="s">
        <v>67</v>
      </c>
      <c r="C171" s="93" t="s">
        <v>70</v>
      </c>
      <c r="D171" s="10">
        <v>20</v>
      </c>
      <c r="E171" s="10"/>
      <c r="F171" s="10">
        <v>4</v>
      </c>
      <c r="G171" s="90">
        <f>VLOOKUP(D171,$C$20:$F$26,3,0)</f>
        <v>1.05</v>
      </c>
      <c r="H171" s="90"/>
      <c r="I171" s="10"/>
      <c r="J171" s="10"/>
      <c r="K171" s="10"/>
      <c r="L171" s="10"/>
      <c r="M171" s="10"/>
      <c r="N171" s="10"/>
      <c r="O171" s="10">
        <f>1.95+0.3+2.3</f>
        <v>4.55</v>
      </c>
      <c r="P171" s="10">
        <f t="shared" si="47"/>
        <v>18.2</v>
      </c>
      <c r="Q171" s="10">
        <f t="shared" si="45"/>
        <v>0</v>
      </c>
      <c r="R171" s="10">
        <f t="shared" si="45"/>
        <v>0</v>
      </c>
      <c r="S171" s="10">
        <f t="shared" si="45"/>
        <v>0</v>
      </c>
      <c r="T171" s="10">
        <f t="shared" si="45"/>
        <v>0</v>
      </c>
      <c r="U171" s="10">
        <f t="shared" si="45"/>
        <v>44.901999999999994</v>
      </c>
      <c r="V171" s="10">
        <f t="shared" si="45"/>
        <v>0</v>
      </c>
      <c r="W171" s="10">
        <f t="shared" si="45"/>
        <v>0</v>
      </c>
      <c r="X171" s="10">
        <f t="shared" si="48"/>
        <v>44.901999999999994</v>
      </c>
      <c r="Y171" s="10"/>
      <c r="Z171" s="10"/>
      <c r="AA171" s="10"/>
      <c r="AB171" s="10"/>
      <c r="AC171" s="10"/>
      <c r="AD171" s="10"/>
      <c r="AE171" s="10"/>
    </row>
    <row r="172" spans="1:32" s="3" customFormat="1" ht="20.100000000000001" customHeight="1" x14ac:dyDescent="0.2">
      <c r="A172" s="87"/>
      <c r="B172" s="10" t="s">
        <v>67</v>
      </c>
      <c r="C172" s="93" t="s">
        <v>70</v>
      </c>
      <c r="D172" s="10">
        <v>25</v>
      </c>
      <c r="E172" s="10"/>
      <c r="F172" s="10">
        <v>4</v>
      </c>
      <c r="G172" s="90">
        <f>VLOOKUP(D172,$C$20:$F$26,3,0)</f>
        <v>1.35</v>
      </c>
      <c r="H172" s="90"/>
      <c r="I172" s="10"/>
      <c r="J172" s="10"/>
      <c r="K172" s="10"/>
      <c r="L172" s="10"/>
      <c r="M172" s="10"/>
      <c r="N172" s="10"/>
      <c r="O172" s="10">
        <f>(2.3+1*(G172+(12*D172/1000))*D169)</f>
        <v>3.95</v>
      </c>
      <c r="P172" s="10">
        <f t="shared" si="47"/>
        <v>15.8</v>
      </c>
      <c r="Q172" s="10">
        <f t="shared" si="45"/>
        <v>0</v>
      </c>
      <c r="R172" s="10">
        <f t="shared" si="45"/>
        <v>0</v>
      </c>
      <c r="S172" s="10">
        <f t="shared" si="45"/>
        <v>0</v>
      </c>
      <c r="T172" s="10">
        <f t="shared" si="45"/>
        <v>0</v>
      </c>
      <c r="U172" s="10">
        <f t="shared" si="45"/>
        <v>0</v>
      </c>
      <c r="V172" s="10">
        <f t="shared" si="45"/>
        <v>60.907589285714295</v>
      </c>
      <c r="W172" s="10">
        <f t="shared" si="45"/>
        <v>0</v>
      </c>
      <c r="X172" s="10">
        <f t="shared" si="48"/>
        <v>60.907589285714295</v>
      </c>
      <c r="Y172" s="10"/>
      <c r="Z172" s="10"/>
      <c r="AA172" s="10"/>
      <c r="AB172" s="10"/>
      <c r="AC172" s="10"/>
      <c r="AD172" s="10"/>
      <c r="AE172" s="10"/>
    </row>
    <row r="173" spans="1:32" s="3" customFormat="1" ht="20.100000000000001" customHeight="1" x14ac:dyDescent="0.2">
      <c r="A173" s="87"/>
      <c r="B173" s="10" t="s">
        <v>67</v>
      </c>
      <c r="C173" s="93" t="s">
        <v>71</v>
      </c>
      <c r="D173" s="10">
        <v>20</v>
      </c>
      <c r="E173" s="10"/>
      <c r="F173" s="10">
        <v>6</v>
      </c>
      <c r="G173" s="90">
        <f>VLOOKUP(D173,$C$20:$F$26,3,0)</f>
        <v>1.05</v>
      </c>
      <c r="H173" s="10"/>
      <c r="I173" s="10"/>
      <c r="J173" s="10"/>
      <c r="K173" s="10"/>
      <c r="L173" s="10"/>
      <c r="M173" s="10"/>
      <c r="N173" s="10"/>
      <c r="O173" s="10">
        <f>(E169+1*(G173+(12*D173/1000))+2*(0.3/2)*D169)</f>
        <v>10.411000000000001</v>
      </c>
      <c r="P173" s="10">
        <f t="shared" si="47"/>
        <v>62.466000000000008</v>
      </c>
      <c r="Q173" s="10">
        <f t="shared" si="45"/>
        <v>0</v>
      </c>
      <c r="R173" s="10">
        <f t="shared" si="45"/>
        <v>0</v>
      </c>
      <c r="S173" s="10">
        <f t="shared" si="45"/>
        <v>0</v>
      </c>
      <c r="T173" s="10">
        <f t="shared" si="45"/>
        <v>0</v>
      </c>
      <c r="U173" s="10">
        <f t="shared" si="45"/>
        <v>154.11254571428574</v>
      </c>
      <c r="V173" s="10">
        <f t="shared" si="45"/>
        <v>0</v>
      </c>
      <c r="W173" s="10">
        <f t="shared" si="45"/>
        <v>0</v>
      </c>
      <c r="X173" s="10">
        <f t="shared" si="48"/>
        <v>154.11254571428574</v>
      </c>
      <c r="Y173" s="10"/>
      <c r="Z173" s="10"/>
      <c r="AA173" s="10"/>
      <c r="AB173" s="10"/>
      <c r="AC173" s="10"/>
      <c r="AD173" s="10"/>
      <c r="AE173" s="10"/>
    </row>
    <row r="174" spans="1:32" s="3" customFormat="1" ht="20.100000000000001" customHeight="1" x14ac:dyDescent="0.2">
      <c r="A174" s="87"/>
      <c r="B174" s="10" t="s">
        <v>67</v>
      </c>
      <c r="C174" s="93" t="s">
        <v>72</v>
      </c>
      <c r="D174" s="10">
        <v>20</v>
      </c>
      <c r="E174" s="10"/>
      <c r="F174" s="10">
        <v>4</v>
      </c>
      <c r="G174" s="90">
        <f>VLOOKUP(D174,$C$20:$F$26,3,0)</f>
        <v>1.05</v>
      </c>
      <c r="H174" s="10"/>
      <c r="I174" s="10"/>
      <c r="J174" s="10"/>
      <c r="K174" s="10"/>
      <c r="L174" s="10"/>
      <c r="M174" s="10"/>
      <c r="N174" s="10"/>
      <c r="O174" s="10">
        <f>E169-1.35-1.35</f>
        <v>6.1210000000000004</v>
      </c>
      <c r="P174" s="10">
        <f t="shared" si="47"/>
        <v>24.484000000000002</v>
      </c>
      <c r="Q174" s="10">
        <f t="shared" si="45"/>
        <v>0</v>
      </c>
      <c r="R174" s="10">
        <f t="shared" si="45"/>
        <v>0</v>
      </c>
      <c r="S174" s="10">
        <f t="shared" si="45"/>
        <v>0</v>
      </c>
      <c r="T174" s="10">
        <f t="shared" si="45"/>
        <v>0</v>
      </c>
      <c r="U174" s="10">
        <f t="shared" si="45"/>
        <v>60.405525714285716</v>
      </c>
      <c r="V174" s="10">
        <f t="shared" si="45"/>
        <v>0</v>
      </c>
      <c r="W174" s="10">
        <f t="shared" si="45"/>
        <v>0</v>
      </c>
      <c r="X174" s="10">
        <f t="shared" si="48"/>
        <v>60.405525714285716</v>
      </c>
      <c r="Y174" s="10"/>
      <c r="Z174" s="10"/>
      <c r="AA174" s="10"/>
      <c r="AB174" s="10"/>
      <c r="AC174" s="10"/>
      <c r="AD174" s="10"/>
      <c r="AE174" s="10"/>
    </row>
    <row r="175" spans="1:32" s="3" customFormat="1" ht="20.100000000000001" customHeight="1" x14ac:dyDescent="0.2">
      <c r="A175" s="87"/>
      <c r="B175" s="10" t="s">
        <v>67</v>
      </c>
      <c r="C175" s="93" t="s">
        <v>73</v>
      </c>
      <c r="D175" s="10">
        <v>10</v>
      </c>
      <c r="E175" s="10">
        <v>0.1</v>
      </c>
      <c r="F175" s="10">
        <f>ROUND(IF(E169/3&gt;(2*G169),(E169/3)/E175,(2*G169)/E175),0)*2+1</f>
        <v>59</v>
      </c>
      <c r="H175" s="10"/>
      <c r="I175" s="10"/>
      <c r="J175" s="10"/>
      <c r="K175" s="10"/>
      <c r="L175" s="10"/>
      <c r="M175" s="10"/>
      <c r="N175" s="10"/>
      <c r="O175" s="10">
        <f>(2*((G169-(2*$D$11))+(F169-(2*$D$11)))+(2*10*D175/1000))*D169</f>
        <v>2.3600000000000003</v>
      </c>
      <c r="P175" s="10">
        <f t="shared" si="47"/>
        <v>139.24</v>
      </c>
      <c r="Q175" s="10">
        <f t="shared" ref="Q175:W179" si="49">IF($D175=Q$44,$P175*Q$45,0)</f>
        <v>0</v>
      </c>
      <c r="R175" s="10">
        <f t="shared" si="49"/>
        <v>85.881242857142865</v>
      </c>
      <c r="S175" s="10">
        <f t="shared" si="49"/>
        <v>0</v>
      </c>
      <c r="T175" s="10">
        <f t="shared" si="49"/>
        <v>0</v>
      </c>
      <c r="U175" s="10">
        <f t="shared" si="49"/>
        <v>0</v>
      </c>
      <c r="V175" s="10">
        <f t="shared" si="49"/>
        <v>0</v>
      </c>
      <c r="W175" s="10">
        <f t="shared" si="49"/>
        <v>0</v>
      </c>
      <c r="X175" s="10">
        <f t="shared" si="48"/>
        <v>85.881242857142865</v>
      </c>
      <c r="Y175" s="10"/>
      <c r="Z175" s="10"/>
      <c r="AA175" s="10"/>
      <c r="AB175" s="10"/>
      <c r="AC175" s="10"/>
      <c r="AD175" s="10"/>
      <c r="AE175" s="10"/>
    </row>
    <row r="176" spans="1:32" s="2" customFormat="1" ht="20.100000000000001" customHeight="1" x14ac:dyDescent="0.2">
      <c r="B176" s="10" t="s">
        <v>67</v>
      </c>
      <c r="C176" s="93" t="s">
        <v>73</v>
      </c>
      <c r="D176" s="2">
        <f>D175</f>
        <v>10</v>
      </c>
      <c r="E176" s="2">
        <v>0.15</v>
      </c>
      <c r="F176" s="2">
        <f>ROUND((E169-(IF(E169/3&gt;2*G169,E169/3*2,G169*2*2)))/E176,0)</f>
        <v>20</v>
      </c>
      <c r="G176" s="3"/>
      <c r="O176" s="10">
        <f>(2*((G169-(2*$D$11))+(F169-(2*$D$11)))+(2*10*D176/1000))*D169</f>
        <v>2.3600000000000003</v>
      </c>
      <c r="P176" s="10">
        <f t="shared" si="47"/>
        <v>47.2</v>
      </c>
      <c r="Q176" s="10">
        <f t="shared" si="49"/>
        <v>0</v>
      </c>
      <c r="R176" s="10">
        <f t="shared" si="49"/>
        <v>29.112285714285715</v>
      </c>
      <c r="S176" s="10">
        <f t="shared" si="49"/>
        <v>0</v>
      </c>
      <c r="T176" s="10">
        <f t="shared" si="49"/>
        <v>0</v>
      </c>
      <c r="U176" s="10">
        <f t="shared" si="49"/>
        <v>0</v>
      </c>
      <c r="V176" s="10">
        <f t="shared" si="49"/>
        <v>0</v>
      </c>
      <c r="W176" s="10">
        <f t="shared" si="49"/>
        <v>0</v>
      </c>
      <c r="X176" s="10">
        <f t="shared" si="48"/>
        <v>29.112285714285715</v>
      </c>
    </row>
    <row r="177" spans="1:32" s="2" customFormat="1" ht="20.100000000000001" customHeight="1" x14ac:dyDescent="0.2">
      <c r="B177" s="10" t="s">
        <v>67</v>
      </c>
      <c r="C177" s="93" t="s">
        <v>74</v>
      </c>
      <c r="D177" s="2">
        <f>D175</f>
        <v>10</v>
      </c>
      <c r="E177" s="2">
        <f>+E175</f>
        <v>0.1</v>
      </c>
      <c r="F177" s="10">
        <f>ROUND(IF(E169/3&gt;(2*G169),(E169/3)/E177,(2*G169)/E177),0)*2+1</f>
        <v>59</v>
      </c>
      <c r="G177" s="3"/>
      <c r="O177" s="10">
        <f>((((G169-(2*$D$11))+(2*10*D177/1000))*D169))*2</f>
        <v>1.48</v>
      </c>
      <c r="P177" s="10">
        <f t="shared" si="47"/>
        <v>87.32</v>
      </c>
      <c r="Q177" s="10">
        <f t="shared" si="49"/>
        <v>0</v>
      </c>
      <c r="R177" s="10">
        <f t="shared" si="49"/>
        <v>53.857728571428567</v>
      </c>
      <c r="S177" s="10">
        <f t="shared" si="49"/>
        <v>0</v>
      </c>
      <c r="T177" s="10">
        <f t="shared" si="49"/>
        <v>0</v>
      </c>
      <c r="U177" s="10">
        <f t="shared" si="49"/>
        <v>0</v>
      </c>
      <c r="V177" s="10">
        <f t="shared" si="49"/>
        <v>0</v>
      </c>
      <c r="W177" s="10">
        <f t="shared" si="49"/>
        <v>0</v>
      </c>
      <c r="X177" s="10">
        <f t="shared" si="48"/>
        <v>53.857728571428567</v>
      </c>
    </row>
    <row r="178" spans="1:32" s="2" customFormat="1" ht="20.100000000000001" customHeight="1" x14ac:dyDescent="0.2">
      <c r="B178" s="10" t="s">
        <v>67</v>
      </c>
      <c r="C178" s="93" t="s">
        <v>74</v>
      </c>
      <c r="D178" s="2">
        <f>D176</f>
        <v>10</v>
      </c>
      <c r="E178" s="2">
        <f>+E176</f>
        <v>0.15</v>
      </c>
      <c r="F178" s="2">
        <f>ROUND((E169-(IF(E169/3&gt;2*G169,E169/3*2,G169*2*2)))/E178,0)</f>
        <v>20</v>
      </c>
      <c r="G178" s="3"/>
      <c r="O178" s="10">
        <f>((((G169-(2*$D$11))+(2*10*D178/1000))*D169))*2</f>
        <v>1.48</v>
      </c>
      <c r="P178" s="10">
        <f t="shared" si="47"/>
        <v>29.6</v>
      </c>
      <c r="Q178" s="10">
        <f t="shared" si="49"/>
        <v>0</v>
      </c>
      <c r="R178" s="10">
        <f t="shared" si="49"/>
        <v>18.256857142857143</v>
      </c>
      <c r="S178" s="10">
        <f t="shared" si="49"/>
        <v>0</v>
      </c>
      <c r="T178" s="10">
        <f t="shared" si="49"/>
        <v>0</v>
      </c>
      <c r="U178" s="10">
        <f t="shared" si="49"/>
        <v>0</v>
      </c>
      <c r="V178" s="10">
        <f t="shared" si="49"/>
        <v>0</v>
      </c>
      <c r="W178" s="10">
        <f t="shared" si="49"/>
        <v>0</v>
      </c>
      <c r="X178" s="10">
        <f t="shared" si="48"/>
        <v>18.256857142857143</v>
      </c>
    </row>
    <row r="179" spans="1:32" s="3" customFormat="1" ht="20.100000000000001" customHeight="1" x14ac:dyDescent="0.2">
      <c r="A179" s="87"/>
      <c r="B179" s="10" t="s">
        <v>67</v>
      </c>
      <c r="C179" s="93" t="s">
        <v>75</v>
      </c>
      <c r="D179" s="10">
        <f>+$D$15</f>
        <v>25</v>
      </c>
      <c r="E179" s="10">
        <f>+$E$15</f>
        <v>1</v>
      </c>
      <c r="F179" s="10">
        <f>ROUNDUP((1.95+2.6+O174)/E179,0)</f>
        <v>11</v>
      </c>
      <c r="G179" s="90"/>
      <c r="H179" s="90"/>
      <c r="I179" s="10"/>
      <c r="J179" s="10"/>
      <c r="K179" s="10"/>
      <c r="L179" s="10"/>
      <c r="M179" s="10"/>
      <c r="N179" s="10"/>
      <c r="O179" s="10">
        <f>F169-$F$15</f>
        <v>0.54</v>
      </c>
      <c r="P179" s="10">
        <f t="shared" si="47"/>
        <v>5.94</v>
      </c>
      <c r="Q179" s="10">
        <f t="shared" si="49"/>
        <v>0</v>
      </c>
      <c r="R179" s="10">
        <f t="shared" si="49"/>
        <v>0</v>
      </c>
      <c r="S179" s="10">
        <f t="shared" si="49"/>
        <v>0</v>
      </c>
      <c r="T179" s="10">
        <f t="shared" si="49"/>
        <v>0</v>
      </c>
      <c r="U179" s="10">
        <f t="shared" si="49"/>
        <v>0</v>
      </c>
      <c r="V179" s="10">
        <f t="shared" si="49"/>
        <v>22.898169642857148</v>
      </c>
      <c r="W179" s="10">
        <f t="shared" si="49"/>
        <v>0</v>
      </c>
      <c r="X179" s="10">
        <f t="shared" si="48"/>
        <v>22.898169642857148</v>
      </c>
      <c r="Y179" s="10"/>
      <c r="Z179" s="10"/>
      <c r="AA179" s="10"/>
      <c r="AB179" s="10"/>
      <c r="AC179" s="10"/>
      <c r="AD179" s="10"/>
      <c r="AE179" s="10"/>
    </row>
    <row r="180" spans="1:32" s="3" customFormat="1" ht="21" customHeight="1" x14ac:dyDescent="0.2">
      <c r="A180" s="10">
        <v>1</v>
      </c>
      <c r="B180" s="10" t="s">
        <v>67</v>
      </c>
      <c r="C180" s="91" t="s">
        <v>90</v>
      </c>
      <c r="D180" s="91">
        <v>1</v>
      </c>
      <c r="E180" s="91">
        <v>7.2</v>
      </c>
      <c r="F180" s="91">
        <v>0.45</v>
      </c>
      <c r="G180" s="91">
        <v>1.2</v>
      </c>
      <c r="H180" s="10">
        <f>G180-0.2</f>
        <v>1</v>
      </c>
      <c r="I180" s="10">
        <f>E180*F180*G180*D180</f>
        <v>3.8879999999999999</v>
      </c>
      <c r="J180" s="10">
        <f>(2*(E180)*H180*D180)+(E180*F180)</f>
        <v>17.64</v>
      </c>
      <c r="K180" s="92">
        <f>IF(E180=0.3,J180,0)</f>
        <v>0</v>
      </c>
      <c r="L180" s="92">
        <f>IF(AND(E180&gt;0.3,E180&lt;=0.75),J180,0)</f>
        <v>0</v>
      </c>
      <c r="M180" s="92">
        <f>IF(AND(E180&gt;0.75,E180&lt;=1.2),J180,0)</f>
        <v>0</v>
      </c>
      <c r="N180" s="92">
        <f>IF(E180&gt;1.2,J180,0)</f>
        <v>17.64</v>
      </c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>
        <f>SUM(X181:X187)/I180</f>
        <v>130.86866640946505</v>
      </c>
      <c r="Z180" s="10"/>
      <c r="AA180" s="10"/>
      <c r="AB180" s="10"/>
      <c r="AC180" s="10"/>
      <c r="AD180" s="10"/>
      <c r="AE180" s="10"/>
      <c r="AF180" s="10"/>
    </row>
    <row r="181" spans="1:32" s="3" customFormat="1" ht="20.100000000000001" customHeight="1" x14ac:dyDescent="0.2">
      <c r="A181" s="87"/>
      <c r="B181" s="10" t="s">
        <v>67</v>
      </c>
      <c r="C181" s="93" t="s">
        <v>69</v>
      </c>
      <c r="D181" s="10">
        <v>25</v>
      </c>
      <c r="E181" s="10"/>
      <c r="F181" s="10">
        <v>4</v>
      </c>
      <c r="G181" s="90">
        <f>VLOOKUP(D181,$C$20:$F$26,3,0)</f>
        <v>1.35</v>
      </c>
      <c r="H181" s="90"/>
      <c r="I181" s="10"/>
      <c r="J181" s="10"/>
      <c r="K181" s="10"/>
      <c r="L181" s="10"/>
      <c r="M181" s="10"/>
      <c r="N181" s="10"/>
      <c r="O181" s="10">
        <f>(E180+1*(G181+(12*D181/1000))+1*(0.3/2)*D180)</f>
        <v>9</v>
      </c>
      <c r="P181" s="10">
        <f t="shared" ref="P181:P190" si="50">O181*F181</f>
        <v>36</v>
      </c>
      <c r="Q181" s="10">
        <f t="shared" ref="Q181:W196" si="51">IF($D181=Q$44,$P181*Q$45,0)</f>
        <v>0</v>
      </c>
      <c r="R181" s="10">
        <f t="shared" si="51"/>
        <v>0</v>
      </c>
      <c r="S181" s="10">
        <f t="shared" si="51"/>
        <v>0</v>
      </c>
      <c r="T181" s="10">
        <f t="shared" si="51"/>
        <v>0</v>
      </c>
      <c r="U181" s="10">
        <f t="shared" si="51"/>
        <v>0</v>
      </c>
      <c r="V181" s="10">
        <f t="shared" si="51"/>
        <v>138.77678571428572</v>
      </c>
      <c r="W181" s="10">
        <f t="shared" si="51"/>
        <v>0</v>
      </c>
      <c r="X181" s="10">
        <f t="shared" ref="X181:X190" si="52">SUM(Q181:W181)</f>
        <v>138.77678571428572</v>
      </c>
      <c r="Y181" s="10"/>
      <c r="Z181" s="10"/>
      <c r="AA181" s="10"/>
      <c r="AB181" s="10"/>
      <c r="AC181" s="10"/>
      <c r="AD181" s="10"/>
      <c r="AE181" s="10"/>
    </row>
    <row r="182" spans="1:32" s="3" customFormat="1" ht="20.100000000000001" customHeight="1" x14ac:dyDescent="0.2">
      <c r="A182" s="87"/>
      <c r="B182" s="10" t="s">
        <v>67</v>
      </c>
      <c r="C182" s="93" t="s">
        <v>70</v>
      </c>
      <c r="D182" s="10">
        <v>25</v>
      </c>
      <c r="E182" s="10"/>
      <c r="F182" s="10">
        <v>4</v>
      </c>
      <c r="G182" s="90">
        <f>VLOOKUP(D182,$C$20:$F$26,3,0)</f>
        <v>1.35</v>
      </c>
      <c r="H182" s="90"/>
      <c r="I182" s="10"/>
      <c r="J182" s="10"/>
      <c r="K182" s="10"/>
      <c r="L182" s="10"/>
      <c r="M182" s="10"/>
      <c r="N182" s="10"/>
      <c r="O182" s="10">
        <f>(1.95+1*(G182+(12*D182/1000)*D180))</f>
        <v>3.6</v>
      </c>
      <c r="P182" s="10">
        <f t="shared" si="50"/>
        <v>14.4</v>
      </c>
      <c r="Q182" s="10">
        <f t="shared" si="51"/>
        <v>0</v>
      </c>
      <c r="R182" s="10">
        <f t="shared" si="51"/>
        <v>0</v>
      </c>
      <c r="S182" s="10">
        <f t="shared" si="51"/>
        <v>0</v>
      </c>
      <c r="T182" s="10">
        <f t="shared" si="51"/>
        <v>0</v>
      </c>
      <c r="U182" s="10">
        <f t="shared" si="51"/>
        <v>0</v>
      </c>
      <c r="V182" s="10">
        <f t="shared" si="51"/>
        <v>55.510714285714293</v>
      </c>
      <c r="W182" s="10">
        <f t="shared" si="51"/>
        <v>0</v>
      </c>
      <c r="X182" s="10">
        <f t="shared" si="52"/>
        <v>55.510714285714293</v>
      </c>
      <c r="Y182" s="10"/>
      <c r="Z182" s="10"/>
      <c r="AA182" s="10"/>
      <c r="AB182" s="10"/>
      <c r="AC182" s="10"/>
      <c r="AD182" s="10"/>
      <c r="AE182" s="10"/>
    </row>
    <row r="183" spans="1:32" s="3" customFormat="1" ht="20.100000000000001" customHeight="1" x14ac:dyDescent="0.2">
      <c r="A183" s="87"/>
      <c r="B183" s="10" t="s">
        <v>67</v>
      </c>
      <c r="C183" s="93" t="s">
        <v>70</v>
      </c>
      <c r="D183" s="10">
        <v>25</v>
      </c>
      <c r="E183" s="10"/>
      <c r="F183" s="10">
        <v>4</v>
      </c>
      <c r="G183" s="90">
        <f>VLOOKUP(D183,$C$20:$F$26,3,0)</f>
        <v>1.35</v>
      </c>
      <c r="H183" s="90"/>
      <c r="I183" s="10"/>
      <c r="J183" s="10"/>
      <c r="K183" s="10"/>
      <c r="L183" s="10"/>
      <c r="M183" s="10"/>
      <c r="N183" s="10"/>
      <c r="O183" s="10">
        <f>(1.95+1*(0.3/2)*D180)</f>
        <v>2.1</v>
      </c>
      <c r="P183" s="10">
        <f t="shared" si="50"/>
        <v>8.4</v>
      </c>
      <c r="Q183" s="10">
        <f t="shared" si="51"/>
        <v>0</v>
      </c>
      <c r="R183" s="10">
        <f t="shared" si="51"/>
        <v>0</v>
      </c>
      <c r="S183" s="10">
        <f t="shared" si="51"/>
        <v>0</v>
      </c>
      <c r="T183" s="10">
        <f t="shared" si="51"/>
        <v>0</v>
      </c>
      <c r="U183" s="10">
        <f t="shared" si="51"/>
        <v>0</v>
      </c>
      <c r="V183" s="10">
        <f t="shared" si="51"/>
        <v>32.381250000000009</v>
      </c>
      <c r="W183" s="10">
        <f t="shared" si="51"/>
        <v>0</v>
      </c>
      <c r="X183" s="10">
        <f t="shared" si="52"/>
        <v>32.381250000000009</v>
      </c>
      <c r="Y183" s="10"/>
      <c r="Z183" s="10"/>
      <c r="AA183" s="10"/>
      <c r="AB183" s="10"/>
      <c r="AC183" s="10"/>
      <c r="AD183" s="10"/>
      <c r="AE183" s="10"/>
    </row>
    <row r="184" spans="1:32" s="3" customFormat="1" ht="20.100000000000001" customHeight="1" x14ac:dyDescent="0.2">
      <c r="A184" s="87"/>
      <c r="B184" s="10" t="s">
        <v>67</v>
      </c>
      <c r="C184" s="93" t="s">
        <v>71</v>
      </c>
      <c r="D184" s="10">
        <v>25</v>
      </c>
      <c r="E184" s="10"/>
      <c r="F184" s="10">
        <v>4</v>
      </c>
      <c r="G184" s="90">
        <f>VLOOKUP(D184,$C$20:$F$26,3,0)</f>
        <v>1.35</v>
      </c>
      <c r="H184" s="10"/>
      <c r="I184" s="10"/>
      <c r="J184" s="10"/>
      <c r="K184" s="10"/>
      <c r="L184" s="10"/>
      <c r="M184" s="10"/>
      <c r="N184" s="10"/>
      <c r="O184" s="10">
        <f>(E180+1*(G184+(12*D184/1000))+2*(0.3/2)*D180)</f>
        <v>9.15</v>
      </c>
      <c r="P184" s="10">
        <f t="shared" si="50"/>
        <v>36.6</v>
      </c>
      <c r="Q184" s="10">
        <f t="shared" si="51"/>
        <v>0</v>
      </c>
      <c r="R184" s="10">
        <f t="shared" si="51"/>
        <v>0</v>
      </c>
      <c r="S184" s="10">
        <f t="shared" si="51"/>
        <v>0</v>
      </c>
      <c r="T184" s="10">
        <f t="shared" si="51"/>
        <v>0</v>
      </c>
      <c r="U184" s="10">
        <f t="shared" si="51"/>
        <v>0</v>
      </c>
      <c r="V184" s="10">
        <f t="shared" si="51"/>
        <v>141.08973214285717</v>
      </c>
      <c r="W184" s="10">
        <f t="shared" si="51"/>
        <v>0</v>
      </c>
      <c r="X184" s="10">
        <f t="shared" si="52"/>
        <v>141.08973214285717</v>
      </c>
      <c r="Y184" s="10"/>
      <c r="Z184" s="10"/>
      <c r="AA184" s="10"/>
      <c r="AB184" s="10"/>
      <c r="AC184" s="10"/>
      <c r="AD184" s="10"/>
      <c r="AE184" s="10"/>
    </row>
    <row r="185" spans="1:32" s="3" customFormat="1" ht="20.100000000000001" customHeight="1" x14ac:dyDescent="0.2">
      <c r="A185" s="87"/>
      <c r="B185" s="10" t="s">
        <v>67</v>
      </c>
      <c r="C185" s="93" t="s">
        <v>72</v>
      </c>
      <c r="D185" s="10">
        <v>20</v>
      </c>
      <c r="E185" s="10"/>
      <c r="F185" s="10">
        <v>2</v>
      </c>
      <c r="G185" s="90">
        <f>VLOOKUP(D185,$C$20:$F$26,3,0)</f>
        <v>1.05</v>
      </c>
      <c r="H185" s="10"/>
      <c r="I185" s="10"/>
      <c r="J185" s="10"/>
      <c r="K185" s="10"/>
      <c r="L185" s="10"/>
      <c r="M185" s="10"/>
      <c r="N185" s="10"/>
      <c r="O185" s="10">
        <f>1.95+(0.3/2)</f>
        <v>2.1</v>
      </c>
      <c r="P185" s="10">
        <f t="shared" si="50"/>
        <v>4.2</v>
      </c>
      <c r="Q185" s="10">
        <f t="shared" si="51"/>
        <v>0</v>
      </c>
      <c r="R185" s="10">
        <f t="shared" si="51"/>
        <v>0</v>
      </c>
      <c r="S185" s="10">
        <f t="shared" si="51"/>
        <v>0</v>
      </c>
      <c r="T185" s="10">
        <f t="shared" si="51"/>
        <v>0</v>
      </c>
      <c r="U185" s="10">
        <f t="shared" si="51"/>
        <v>10.362</v>
      </c>
      <c r="V185" s="10">
        <f t="shared" si="51"/>
        <v>0</v>
      </c>
      <c r="W185" s="10">
        <f t="shared" si="51"/>
        <v>0</v>
      </c>
      <c r="X185" s="10">
        <f t="shared" si="52"/>
        <v>10.362</v>
      </c>
      <c r="Y185" s="10"/>
      <c r="Z185" s="10"/>
      <c r="AA185" s="10"/>
      <c r="AB185" s="10"/>
      <c r="AC185" s="10"/>
      <c r="AD185" s="10"/>
      <c r="AE185" s="10"/>
    </row>
    <row r="186" spans="1:32" s="3" customFormat="1" ht="20.100000000000001" customHeight="1" x14ac:dyDescent="0.2">
      <c r="A186" s="87"/>
      <c r="B186" s="10" t="s">
        <v>67</v>
      </c>
      <c r="C186" s="93" t="s">
        <v>73</v>
      </c>
      <c r="D186" s="10">
        <v>10</v>
      </c>
      <c r="E186" s="10">
        <v>0.1</v>
      </c>
      <c r="F186" s="10">
        <f>ROUND(IF(E180/3&gt;(2*G180),(E180/3)/E186,(2*G180)/E186),0)*2+1</f>
        <v>49</v>
      </c>
      <c r="H186" s="10"/>
      <c r="I186" s="10"/>
      <c r="J186" s="10"/>
      <c r="K186" s="10"/>
      <c r="L186" s="10"/>
      <c r="M186" s="10"/>
      <c r="N186" s="10"/>
      <c r="O186" s="10">
        <f>(2*((G180-(2*$D$11))+(F180-(2*$D$11)))+(2*10*D186/1000))*D180</f>
        <v>3.26</v>
      </c>
      <c r="P186" s="10">
        <f t="shared" si="50"/>
        <v>159.73999999999998</v>
      </c>
      <c r="Q186" s="10">
        <f t="shared" si="51"/>
        <v>0</v>
      </c>
      <c r="R186" s="10">
        <f t="shared" si="51"/>
        <v>98.525349999999989</v>
      </c>
      <c r="S186" s="10">
        <f t="shared" si="51"/>
        <v>0</v>
      </c>
      <c r="T186" s="10">
        <f t="shared" si="51"/>
        <v>0</v>
      </c>
      <c r="U186" s="10">
        <f t="shared" si="51"/>
        <v>0</v>
      </c>
      <c r="V186" s="10">
        <f t="shared" si="51"/>
        <v>0</v>
      </c>
      <c r="W186" s="10">
        <f t="shared" si="51"/>
        <v>0</v>
      </c>
      <c r="X186" s="10">
        <f t="shared" si="52"/>
        <v>98.525349999999989</v>
      </c>
      <c r="Y186" s="10"/>
      <c r="Z186" s="10"/>
      <c r="AA186" s="10"/>
      <c r="AB186" s="10"/>
      <c r="AC186" s="10"/>
      <c r="AD186" s="10"/>
      <c r="AE186" s="10"/>
    </row>
    <row r="187" spans="1:32" s="2" customFormat="1" ht="20.100000000000001" customHeight="1" x14ac:dyDescent="0.2">
      <c r="B187" s="10" t="s">
        <v>67</v>
      </c>
      <c r="C187" s="93" t="s">
        <v>73</v>
      </c>
      <c r="D187" s="2">
        <f>D186</f>
        <v>10</v>
      </c>
      <c r="E187" s="2">
        <v>0.15</v>
      </c>
      <c r="F187" s="2">
        <f>ROUND((E180-(IF(E180/3&gt;2*G180,E180/3*2,G180*2*2)))/E187,0)</f>
        <v>16</v>
      </c>
      <c r="G187" s="3"/>
      <c r="O187" s="10">
        <f>(2*((G180-(2*$D$11))+(F180-(2*$D$11)))+(2*10*D187/1000))*D180</f>
        <v>3.26</v>
      </c>
      <c r="P187" s="10">
        <f t="shared" si="50"/>
        <v>52.16</v>
      </c>
      <c r="Q187" s="10">
        <f t="shared" si="51"/>
        <v>0</v>
      </c>
      <c r="R187" s="10">
        <f t="shared" si="51"/>
        <v>32.171542857142853</v>
      </c>
      <c r="S187" s="10">
        <f t="shared" si="51"/>
        <v>0</v>
      </c>
      <c r="T187" s="10">
        <f t="shared" si="51"/>
        <v>0</v>
      </c>
      <c r="U187" s="10">
        <f t="shared" si="51"/>
        <v>0</v>
      </c>
      <c r="V187" s="10">
        <f t="shared" si="51"/>
        <v>0</v>
      </c>
      <c r="W187" s="10">
        <f t="shared" si="51"/>
        <v>0</v>
      </c>
      <c r="X187" s="10">
        <f t="shared" si="52"/>
        <v>32.171542857142853</v>
      </c>
    </row>
    <row r="188" spans="1:32" s="2" customFormat="1" ht="20.100000000000001" customHeight="1" x14ac:dyDescent="0.2">
      <c r="B188" s="10" t="s">
        <v>67</v>
      </c>
      <c r="C188" s="93" t="s">
        <v>74</v>
      </c>
      <c r="D188" s="2">
        <f>D186</f>
        <v>10</v>
      </c>
      <c r="E188" s="2">
        <f>+E186</f>
        <v>0.1</v>
      </c>
      <c r="F188" s="10">
        <f>ROUND(IF(E180/3&gt;(2*G180),(E180/3)/E188,(2*G180)/E188),0)*2+1</f>
        <v>49</v>
      </c>
      <c r="G188" s="3"/>
      <c r="O188" s="10">
        <f>((((G180-(2*$D$11))+(2*10*D188/1000))*D180))*2</f>
        <v>2.6799999999999997</v>
      </c>
      <c r="P188" s="10">
        <f t="shared" si="50"/>
        <v>131.32</v>
      </c>
      <c r="Q188" s="10">
        <f t="shared" si="51"/>
        <v>0</v>
      </c>
      <c r="R188" s="10">
        <f t="shared" si="51"/>
        <v>80.996299999999991</v>
      </c>
      <c r="S188" s="10">
        <f t="shared" si="51"/>
        <v>0</v>
      </c>
      <c r="T188" s="10">
        <f t="shared" si="51"/>
        <v>0</v>
      </c>
      <c r="U188" s="10">
        <f t="shared" si="51"/>
        <v>0</v>
      </c>
      <c r="V188" s="10">
        <f t="shared" si="51"/>
        <v>0</v>
      </c>
      <c r="W188" s="10">
        <f t="shared" si="51"/>
        <v>0</v>
      </c>
      <c r="X188" s="10">
        <f t="shared" si="52"/>
        <v>80.996299999999991</v>
      </c>
    </row>
    <row r="189" spans="1:32" s="2" customFormat="1" ht="20.100000000000001" customHeight="1" x14ac:dyDescent="0.2">
      <c r="B189" s="10" t="s">
        <v>67</v>
      </c>
      <c r="C189" s="93" t="s">
        <v>74</v>
      </c>
      <c r="D189" s="2">
        <f>D187</f>
        <v>10</v>
      </c>
      <c r="E189" s="2">
        <f>+E187</f>
        <v>0.15</v>
      </c>
      <c r="F189" s="2">
        <f>ROUND((E180-(IF(E180/3&gt;2*G180,E180/3*2,G180*2*2)))/E189,0)</f>
        <v>16</v>
      </c>
      <c r="G189" s="3"/>
      <c r="O189" s="10">
        <f>((((G180-(2*$D$11))+(2*10*D189/1000))*D180))*2</f>
        <v>2.6799999999999997</v>
      </c>
      <c r="P189" s="10">
        <f t="shared" si="50"/>
        <v>42.879999999999995</v>
      </c>
      <c r="Q189" s="10">
        <f t="shared" si="51"/>
        <v>0</v>
      </c>
      <c r="R189" s="10">
        <f t="shared" si="51"/>
        <v>26.447771428571425</v>
      </c>
      <c r="S189" s="10">
        <f t="shared" si="51"/>
        <v>0</v>
      </c>
      <c r="T189" s="10">
        <f t="shared" si="51"/>
        <v>0</v>
      </c>
      <c r="U189" s="10">
        <f t="shared" si="51"/>
        <v>0</v>
      </c>
      <c r="V189" s="10">
        <f t="shared" si="51"/>
        <v>0</v>
      </c>
      <c r="W189" s="10">
        <f t="shared" si="51"/>
        <v>0</v>
      </c>
      <c r="X189" s="10">
        <f t="shared" si="52"/>
        <v>26.447771428571425</v>
      </c>
    </row>
    <row r="190" spans="1:32" s="3" customFormat="1" ht="20.100000000000001" customHeight="1" x14ac:dyDescent="0.2">
      <c r="A190" s="87"/>
      <c r="B190" s="10" t="s">
        <v>67</v>
      </c>
      <c r="C190" s="93" t="s">
        <v>75</v>
      </c>
      <c r="D190" s="10">
        <f>+$D$15</f>
        <v>25</v>
      </c>
      <c r="E190" s="10">
        <f>+$E$15</f>
        <v>1</v>
      </c>
      <c r="F190" s="10">
        <f>ROUNDUP((1.95+1.95+O185)/E190,0)</f>
        <v>6</v>
      </c>
      <c r="G190" s="90"/>
      <c r="H190" s="90"/>
      <c r="I190" s="10"/>
      <c r="J190" s="10"/>
      <c r="K190" s="10"/>
      <c r="L190" s="10"/>
      <c r="M190" s="10"/>
      <c r="N190" s="10"/>
      <c r="O190" s="10">
        <f>F180-$F$15</f>
        <v>0.39</v>
      </c>
      <c r="P190" s="10">
        <f t="shared" si="50"/>
        <v>2.34</v>
      </c>
      <c r="Q190" s="10">
        <f t="shared" si="51"/>
        <v>0</v>
      </c>
      <c r="R190" s="10">
        <f t="shared" si="51"/>
        <v>0</v>
      </c>
      <c r="S190" s="10">
        <f t="shared" si="51"/>
        <v>0</v>
      </c>
      <c r="T190" s="10">
        <f t="shared" si="51"/>
        <v>0</v>
      </c>
      <c r="U190" s="10">
        <f t="shared" si="51"/>
        <v>0</v>
      </c>
      <c r="V190" s="10">
        <f t="shared" si="51"/>
        <v>9.0204910714285731</v>
      </c>
      <c r="W190" s="10">
        <f t="shared" si="51"/>
        <v>0</v>
      </c>
      <c r="X190" s="10">
        <f t="shared" si="52"/>
        <v>9.0204910714285731</v>
      </c>
      <c r="Y190" s="10"/>
      <c r="Z190" s="10"/>
      <c r="AA190" s="10"/>
      <c r="AB190" s="10"/>
      <c r="AC190" s="10"/>
      <c r="AD190" s="10"/>
      <c r="AE190" s="10"/>
    </row>
    <row r="191" spans="1:32" s="3" customFormat="1" ht="21" customHeight="1" x14ac:dyDescent="0.2">
      <c r="A191" s="10">
        <v>1</v>
      </c>
      <c r="B191" s="10" t="s">
        <v>67</v>
      </c>
      <c r="C191" s="91" t="s">
        <v>91</v>
      </c>
      <c r="D191" s="91">
        <v>1</v>
      </c>
      <c r="E191" s="91">
        <v>10.768000000000001</v>
      </c>
      <c r="F191" s="91">
        <v>0.45</v>
      </c>
      <c r="G191" s="91">
        <v>1.2</v>
      </c>
      <c r="H191" s="10">
        <f>G191-0.2</f>
        <v>1</v>
      </c>
      <c r="I191" s="10">
        <f>E191*F191*G191*D191</f>
        <v>5.8147200000000003</v>
      </c>
      <c r="J191" s="10">
        <f>(2*(E191)*H191*D191)+(E191*F191)</f>
        <v>26.381600000000002</v>
      </c>
      <c r="K191" s="92">
        <f>IF(E191=0.3,J191,0)</f>
        <v>0</v>
      </c>
      <c r="L191" s="92">
        <f>IF(AND(E191&gt;0.3,E191&lt;=0.75),J191,0)</f>
        <v>0</v>
      </c>
      <c r="M191" s="92">
        <f>IF(AND(E191&gt;0.75,E191&lt;=1.2),J191,0)</f>
        <v>0</v>
      </c>
      <c r="N191" s="92">
        <f>IF(E191&gt;1.2,J191,0)</f>
        <v>26.381600000000002</v>
      </c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>
        <f>SUM(X192:X197)/I191</f>
        <v>105.01985171132182</v>
      </c>
      <c r="Z191" s="10"/>
      <c r="AA191" s="10"/>
      <c r="AB191" s="10"/>
      <c r="AC191" s="10"/>
      <c r="AD191" s="10"/>
      <c r="AE191" s="10"/>
      <c r="AF191" s="10"/>
    </row>
    <row r="192" spans="1:32" s="3" customFormat="1" ht="20.100000000000001" customHeight="1" x14ac:dyDescent="0.2">
      <c r="A192" s="87"/>
      <c r="B192" s="10" t="s">
        <v>67</v>
      </c>
      <c r="C192" s="93" t="s">
        <v>69</v>
      </c>
      <c r="D192" s="10">
        <v>25</v>
      </c>
      <c r="E192" s="10"/>
      <c r="F192" s="10">
        <v>4</v>
      </c>
      <c r="G192" s="90">
        <f>VLOOKUP(D192,$C$20:$F$26,3,0)</f>
        <v>1.35</v>
      </c>
      <c r="H192" s="90"/>
      <c r="I192" s="10"/>
      <c r="J192" s="10"/>
      <c r="K192" s="10"/>
      <c r="L192" s="10"/>
      <c r="M192" s="10"/>
      <c r="N192" s="10"/>
      <c r="O192" s="10">
        <f>(E191+2*(0.3/2)*D191)</f>
        <v>11.068000000000001</v>
      </c>
      <c r="P192" s="10">
        <f t="shared" ref="P192:P200" si="53">O192*F192</f>
        <v>44.272000000000006</v>
      </c>
      <c r="Q192" s="10">
        <f t="shared" si="51"/>
        <v>0</v>
      </c>
      <c r="R192" s="10">
        <f t="shared" si="51"/>
        <v>0</v>
      </c>
      <c r="S192" s="10">
        <f t="shared" si="51"/>
        <v>0</v>
      </c>
      <c r="T192" s="10">
        <f t="shared" si="51"/>
        <v>0</v>
      </c>
      <c r="U192" s="10">
        <f t="shared" si="51"/>
        <v>0</v>
      </c>
      <c r="V192" s="10">
        <f t="shared" si="51"/>
        <v>170.66460714285719</v>
      </c>
      <c r="W192" s="10">
        <f t="shared" si="51"/>
        <v>0</v>
      </c>
      <c r="X192" s="10">
        <f t="shared" ref="X192:X200" si="54">SUM(Q192:W192)</f>
        <v>170.66460714285719</v>
      </c>
      <c r="Y192" s="10"/>
      <c r="Z192" s="10"/>
      <c r="AA192" s="10"/>
      <c r="AB192" s="10"/>
      <c r="AC192" s="10"/>
      <c r="AD192" s="10"/>
      <c r="AE192" s="10"/>
    </row>
    <row r="193" spans="1:32" s="3" customFormat="1" ht="20.100000000000001" customHeight="1" x14ac:dyDescent="0.2">
      <c r="A193" s="87"/>
      <c r="B193" s="10" t="s">
        <v>67</v>
      </c>
      <c r="C193" s="93" t="s">
        <v>70</v>
      </c>
      <c r="D193" s="10">
        <v>25</v>
      </c>
      <c r="E193" s="10"/>
      <c r="F193" s="10">
        <v>4</v>
      </c>
      <c r="G193" s="90">
        <f>VLOOKUP(D193,$C$20:$F$26,3,0)</f>
        <v>1.35</v>
      </c>
      <c r="H193" s="90"/>
      <c r="I193" s="10"/>
      <c r="J193" s="10"/>
      <c r="K193" s="10"/>
      <c r="L193" s="10"/>
      <c r="M193" s="10"/>
      <c r="N193" s="10"/>
      <c r="O193" s="10">
        <f>(3.5+1*(0.3/2)*D191)</f>
        <v>3.65</v>
      </c>
      <c r="P193" s="10">
        <f t="shared" si="53"/>
        <v>14.6</v>
      </c>
      <c r="Q193" s="10">
        <f t="shared" si="51"/>
        <v>0</v>
      </c>
      <c r="R193" s="10">
        <f t="shared" si="51"/>
        <v>0</v>
      </c>
      <c r="S193" s="10">
        <f t="shared" si="51"/>
        <v>0</v>
      </c>
      <c r="T193" s="10">
        <f t="shared" si="51"/>
        <v>0</v>
      </c>
      <c r="U193" s="10">
        <f t="shared" si="51"/>
        <v>0</v>
      </c>
      <c r="V193" s="10">
        <f t="shared" si="51"/>
        <v>56.281696428571436</v>
      </c>
      <c r="W193" s="10">
        <f t="shared" si="51"/>
        <v>0</v>
      </c>
      <c r="X193" s="10">
        <f t="shared" si="54"/>
        <v>56.281696428571436</v>
      </c>
      <c r="Y193" s="10"/>
      <c r="Z193" s="10"/>
      <c r="AA193" s="10"/>
      <c r="AB193" s="10"/>
      <c r="AC193" s="10"/>
      <c r="AD193" s="10"/>
      <c r="AE193" s="10"/>
    </row>
    <row r="194" spans="1:32" s="3" customFormat="1" ht="20.100000000000001" customHeight="1" x14ac:dyDescent="0.2">
      <c r="A194" s="87"/>
      <c r="B194" s="10" t="s">
        <v>67</v>
      </c>
      <c r="C194" s="93" t="s">
        <v>71</v>
      </c>
      <c r="D194" s="10">
        <v>25</v>
      </c>
      <c r="E194" s="10"/>
      <c r="F194" s="10">
        <v>4</v>
      </c>
      <c r="G194" s="90">
        <f>VLOOKUP(D194,$C$20:$F$26,3,0)</f>
        <v>1.35</v>
      </c>
      <c r="H194" s="10"/>
      <c r="I194" s="10"/>
      <c r="J194" s="10"/>
      <c r="K194" s="10"/>
      <c r="L194" s="10"/>
      <c r="M194" s="10"/>
      <c r="N194" s="10"/>
      <c r="O194" s="10">
        <f>(E191+2*(0.3/2)*D191)</f>
        <v>11.068000000000001</v>
      </c>
      <c r="P194" s="10">
        <f t="shared" si="53"/>
        <v>44.272000000000006</v>
      </c>
      <c r="Q194" s="10">
        <f t="shared" si="51"/>
        <v>0</v>
      </c>
      <c r="R194" s="10">
        <f t="shared" si="51"/>
        <v>0</v>
      </c>
      <c r="S194" s="10">
        <f t="shared" si="51"/>
        <v>0</v>
      </c>
      <c r="T194" s="10">
        <f t="shared" si="51"/>
        <v>0</v>
      </c>
      <c r="U194" s="10">
        <f t="shared" si="51"/>
        <v>0</v>
      </c>
      <c r="V194" s="10">
        <f t="shared" si="51"/>
        <v>170.66460714285719</v>
      </c>
      <c r="W194" s="10">
        <f t="shared" si="51"/>
        <v>0</v>
      </c>
      <c r="X194" s="10">
        <f t="shared" si="54"/>
        <v>170.66460714285719</v>
      </c>
      <c r="Y194" s="10"/>
      <c r="Z194" s="10"/>
      <c r="AA194" s="10"/>
      <c r="AB194" s="10"/>
      <c r="AC194" s="10"/>
      <c r="AD194" s="10"/>
      <c r="AE194" s="10"/>
    </row>
    <row r="195" spans="1:32" s="3" customFormat="1" ht="20.100000000000001" customHeight="1" x14ac:dyDescent="0.2">
      <c r="A195" s="87"/>
      <c r="B195" s="10" t="s">
        <v>67</v>
      </c>
      <c r="C195" s="93" t="s">
        <v>72</v>
      </c>
      <c r="D195" s="10">
        <v>20</v>
      </c>
      <c r="E195" s="10"/>
      <c r="F195" s="10">
        <v>2</v>
      </c>
      <c r="G195" s="90">
        <f>VLOOKUP(D195,$C$20:$F$26,3,0)</f>
        <v>1.05</v>
      </c>
      <c r="H195" s="10"/>
      <c r="I195" s="10"/>
      <c r="J195" s="10"/>
      <c r="K195" s="10"/>
      <c r="L195" s="10"/>
      <c r="M195" s="10"/>
      <c r="N195" s="10"/>
      <c r="O195" s="10">
        <f>3.5+(0.3/2)</f>
        <v>3.65</v>
      </c>
      <c r="P195" s="10">
        <f t="shared" si="53"/>
        <v>7.3</v>
      </c>
      <c r="Q195" s="10">
        <f t="shared" si="51"/>
        <v>0</v>
      </c>
      <c r="R195" s="10">
        <f t="shared" si="51"/>
        <v>0</v>
      </c>
      <c r="S195" s="10">
        <f t="shared" si="51"/>
        <v>0</v>
      </c>
      <c r="T195" s="10">
        <f t="shared" si="51"/>
        <v>0</v>
      </c>
      <c r="U195" s="10">
        <f t="shared" si="51"/>
        <v>18.010142857142856</v>
      </c>
      <c r="V195" s="10">
        <f t="shared" si="51"/>
        <v>0</v>
      </c>
      <c r="W195" s="10">
        <f t="shared" si="51"/>
        <v>0</v>
      </c>
      <c r="X195" s="10">
        <f t="shared" si="54"/>
        <v>18.010142857142856</v>
      </c>
      <c r="Y195" s="10"/>
      <c r="Z195" s="10"/>
      <c r="AA195" s="10"/>
      <c r="AB195" s="10"/>
      <c r="AC195" s="10"/>
      <c r="AD195" s="10"/>
      <c r="AE195" s="10"/>
    </row>
    <row r="196" spans="1:32" s="3" customFormat="1" ht="20.100000000000001" customHeight="1" x14ac:dyDescent="0.2">
      <c r="A196" s="87"/>
      <c r="B196" s="10" t="s">
        <v>67</v>
      </c>
      <c r="C196" s="93" t="s">
        <v>73</v>
      </c>
      <c r="D196" s="10">
        <v>10</v>
      </c>
      <c r="E196" s="10">
        <v>0.1</v>
      </c>
      <c r="F196" s="10">
        <f>ROUND(IF(E191/3&gt;(2*G191),(E191/3)/E196,(2*G191)/E196),0)*2+1</f>
        <v>73</v>
      </c>
      <c r="H196" s="10"/>
      <c r="I196" s="10"/>
      <c r="J196" s="10"/>
      <c r="K196" s="10"/>
      <c r="L196" s="10"/>
      <c r="M196" s="10"/>
      <c r="N196" s="10"/>
      <c r="O196" s="10">
        <f>(2*((G191-(2*$D$11))+(F191-(2*$D$11)))+(2*10*D196/1000))*D191</f>
        <v>3.26</v>
      </c>
      <c r="P196" s="10">
        <f t="shared" si="53"/>
        <v>237.98</v>
      </c>
      <c r="Q196" s="10">
        <f t="shared" si="51"/>
        <v>0</v>
      </c>
      <c r="R196" s="10">
        <f t="shared" si="51"/>
        <v>146.78266428571428</v>
      </c>
      <c r="S196" s="10">
        <f t="shared" si="51"/>
        <v>0</v>
      </c>
      <c r="T196" s="10">
        <f t="shared" si="51"/>
        <v>0</v>
      </c>
      <c r="U196" s="10">
        <f t="shared" si="51"/>
        <v>0</v>
      </c>
      <c r="V196" s="10">
        <f t="shared" si="51"/>
        <v>0</v>
      </c>
      <c r="W196" s="10">
        <f t="shared" si="51"/>
        <v>0</v>
      </c>
      <c r="X196" s="10">
        <f t="shared" si="54"/>
        <v>146.78266428571428</v>
      </c>
      <c r="Y196" s="10"/>
      <c r="Z196" s="10"/>
      <c r="AA196" s="10"/>
      <c r="AB196" s="10"/>
      <c r="AC196" s="10"/>
      <c r="AD196" s="10"/>
      <c r="AE196" s="10"/>
    </row>
    <row r="197" spans="1:32" s="2" customFormat="1" ht="20.100000000000001" customHeight="1" x14ac:dyDescent="0.2">
      <c r="B197" s="10" t="s">
        <v>67</v>
      </c>
      <c r="C197" s="93" t="s">
        <v>73</v>
      </c>
      <c r="D197" s="2">
        <f>D196</f>
        <v>10</v>
      </c>
      <c r="E197" s="2">
        <v>0.15</v>
      </c>
      <c r="F197" s="2">
        <f>ROUND((E191-(IF(E191/3&gt;2*G191,E191/3*2,G191*2*2)))/E197,0)</f>
        <v>24</v>
      </c>
      <c r="G197" s="3"/>
      <c r="O197" s="10">
        <f>(2*((G191-(2*$D$11))+(F191-(2*$D$11)))+(2*10*D197/1000))*D191</f>
        <v>3.26</v>
      </c>
      <c r="P197" s="10">
        <f t="shared" si="53"/>
        <v>78.239999999999995</v>
      </c>
      <c r="Q197" s="10">
        <f t="shared" ref="Q197:W200" si="55">IF($D197=Q$44,$P197*Q$45,0)</f>
        <v>0</v>
      </c>
      <c r="R197" s="10">
        <f t="shared" si="55"/>
        <v>48.25731428571428</v>
      </c>
      <c r="S197" s="10">
        <f t="shared" si="55"/>
        <v>0</v>
      </c>
      <c r="T197" s="10">
        <f t="shared" si="55"/>
        <v>0</v>
      </c>
      <c r="U197" s="10">
        <f t="shared" si="55"/>
        <v>0</v>
      </c>
      <c r="V197" s="10">
        <f t="shared" si="55"/>
        <v>0</v>
      </c>
      <c r="W197" s="10">
        <f t="shared" si="55"/>
        <v>0</v>
      </c>
      <c r="X197" s="10">
        <f t="shared" si="54"/>
        <v>48.25731428571428</v>
      </c>
    </row>
    <row r="198" spans="1:32" s="2" customFormat="1" ht="20.100000000000001" customHeight="1" x14ac:dyDescent="0.2">
      <c r="B198" s="10" t="s">
        <v>67</v>
      </c>
      <c r="C198" s="93" t="s">
        <v>74</v>
      </c>
      <c r="D198" s="2">
        <f>D196</f>
        <v>10</v>
      </c>
      <c r="E198" s="2">
        <f>+E196</f>
        <v>0.1</v>
      </c>
      <c r="F198" s="10">
        <f>ROUND(IF(E191/3&gt;(2*G191),(E191/3)/E198,(2*G191)/E198),0)*2+1</f>
        <v>73</v>
      </c>
      <c r="G198" s="3"/>
      <c r="O198" s="10">
        <f>((((G191-(2*$D$11))+(2*10*D198/1000))*D191))*2</f>
        <v>2.6799999999999997</v>
      </c>
      <c r="P198" s="10">
        <f t="shared" si="53"/>
        <v>195.64</v>
      </c>
      <c r="Q198" s="10">
        <f t="shared" si="55"/>
        <v>0</v>
      </c>
      <c r="R198" s="10">
        <f t="shared" si="55"/>
        <v>120.66795714285713</v>
      </c>
      <c r="S198" s="10">
        <f t="shared" si="55"/>
        <v>0</v>
      </c>
      <c r="T198" s="10">
        <f t="shared" si="55"/>
        <v>0</v>
      </c>
      <c r="U198" s="10">
        <f t="shared" si="55"/>
        <v>0</v>
      </c>
      <c r="V198" s="10">
        <f t="shared" si="55"/>
        <v>0</v>
      </c>
      <c r="W198" s="10">
        <f t="shared" si="55"/>
        <v>0</v>
      </c>
      <c r="X198" s="10">
        <f t="shared" si="54"/>
        <v>120.66795714285713</v>
      </c>
    </row>
    <row r="199" spans="1:32" s="2" customFormat="1" ht="20.100000000000001" customHeight="1" x14ac:dyDescent="0.2">
      <c r="B199" s="10" t="s">
        <v>67</v>
      </c>
      <c r="C199" s="93" t="s">
        <v>74</v>
      </c>
      <c r="D199" s="2">
        <f>D197</f>
        <v>10</v>
      </c>
      <c r="E199" s="2">
        <f>+E197</f>
        <v>0.15</v>
      </c>
      <c r="F199" s="2">
        <f>ROUND((E191-(IF(E191/3&gt;2*G191,E191/3*2,G191*2*2)))/E199,0)</f>
        <v>24</v>
      </c>
      <c r="G199" s="3"/>
      <c r="O199" s="10">
        <f>((((G191-(2*$D$11))+(2*10*D199/1000))*D191))*2</f>
        <v>2.6799999999999997</v>
      </c>
      <c r="P199" s="10">
        <f t="shared" si="53"/>
        <v>64.319999999999993</v>
      </c>
      <c r="Q199" s="10">
        <f t="shared" si="55"/>
        <v>0</v>
      </c>
      <c r="R199" s="10">
        <f t="shared" si="55"/>
        <v>39.671657142857136</v>
      </c>
      <c r="S199" s="10">
        <f t="shared" si="55"/>
        <v>0</v>
      </c>
      <c r="T199" s="10">
        <f t="shared" si="55"/>
        <v>0</v>
      </c>
      <c r="U199" s="10">
        <f t="shared" si="55"/>
        <v>0</v>
      </c>
      <c r="V199" s="10">
        <f t="shared" si="55"/>
        <v>0</v>
      </c>
      <c r="W199" s="10">
        <f t="shared" si="55"/>
        <v>0</v>
      </c>
      <c r="X199" s="10">
        <f t="shared" si="54"/>
        <v>39.671657142857136</v>
      </c>
    </row>
    <row r="200" spans="1:32" s="3" customFormat="1" ht="20.100000000000001" customHeight="1" x14ac:dyDescent="0.2">
      <c r="A200" s="87"/>
      <c r="B200" s="10" t="s">
        <v>67</v>
      </c>
      <c r="C200" s="93" t="s">
        <v>75</v>
      </c>
      <c r="D200" s="10">
        <f>+$D$15</f>
        <v>25</v>
      </c>
      <c r="E200" s="10">
        <f>+$E$15</f>
        <v>1</v>
      </c>
      <c r="F200" s="10">
        <f>ROUNDUP((3.5+3.5)/E200,0)</f>
        <v>7</v>
      </c>
      <c r="G200" s="90"/>
      <c r="H200" s="90"/>
      <c r="I200" s="10"/>
      <c r="J200" s="10"/>
      <c r="K200" s="10"/>
      <c r="L200" s="10"/>
      <c r="M200" s="10"/>
      <c r="N200" s="10"/>
      <c r="O200" s="10">
        <f>F191-$F$15</f>
        <v>0.39</v>
      </c>
      <c r="P200" s="10">
        <f t="shared" si="53"/>
        <v>2.73</v>
      </c>
      <c r="Q200" s="10">
        <f t="shared" si="55"/>
        <v>0</v>
      </c>
      <c r="R200" s="10">
        <f t="shared" si="55"/>
        <v>0</v>
      </c>
      <c r="S200" s="10">
        <f t="shared" si="55"/>
        <v>0</v>
      </c>
      <c r="T200" s="10">
        <f t="shared" si="55"/>
        <v>0</v>
      </c>
      <c r="U200" s="10">
        <f t="shared" si="55"/>
        <v>0</v>
      </c>
      <c r="V200" s="10">
        <f t="shared" si="55"/>
        <v>10.523906250000001</v>
      </c>
      <c r="W200" s="10">
        <f t="shared" si="55"/>
        <v>0</v>
      </c>
      <c r="X200" s="10">
        <f t="shared" si="54"/>
        <v>10.523906250000001</v>
      </c>
      <c r="Y200" s="10"/>
      <c r="Z200" s="10"/>
      <c r="AA200" s="10"/>
      <c r="AB200" s="10"/>
      <c r="AC200" s="10"/>
      <c r="AD200" s="10"/>
      <c r="AE200" s="10"/>
    </row>
    <row r="201" spans="1:32" s="3" customFormat="1" ht="21" customHeight="1" x14ac:dyDescent="0.2">
      <c r="A201" s="10">
        <v>1</v>
      </c>
      <c r="B201" s="10" t="s">
        <v>67</v>
      </c>
      <c r="C201" s="91" t="s">
        <v>92</v>
      </c>
      <c r="D201" s="91">
        <v>1</v>
      </c>
      <c r="E201" s="91">
        <v>4.6580000000000004</v>
      </c>
      <c r="F201" s="91">
        <v>0.45</v>
      </c>
      <c r="G201" s="91">
        <v>1.2</v>
      </c>
      <c r="H201" s="10">
        <f>G201-0.2</f>
        <v>1</v>
      </c>
      <c r="I201" s="10">
        <f>E201*F201*G201*D201</f>
        <v>2.5153200000000004</v>
      </c>
      <c r="J201" s="10">
        <f>(2*(E201)*H201*D201)+(E201*F201)</f>
        <v>11.412100000000001</v>
      </c>
      <c r="K201" s="92">
        <f>IF(E201=0.3,J201,0)</f>
        <v>0</v>
      </c>
      <c r="L201" s="92">
        <f>IF(AND(E201&gt;0.3,E201&lt;=0.75),J201,0)</f>
        <v>0</v>
      </c>
      <c r="M201" s="92">
        <f>IF(AND(E201&gt;0.75,E201&lt;=1.2),J201,0)</f>
        <v>0</v>
      </c>
      <c r="N201" s="92">
        <f>IF(E201&gt;1.2,J201,0)</f>
        <v>11.412100000000001</v>
      </c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>
        <f>SUM(X202:X207)/I201</f>
        <v>231.29841911622719</v>
      </c>
      <c r="Z201" s="10"/>
      <c r="AA201" s="10"/>
      <c r="AB201" s="10"/>
      <c r="AC201" s="10"/>
      <c r="AD201" s="10"/>
      <c r="AE201" s="10"/>
      <c r="AF201" s="10"/>
    </row>
    <row r="202" spans="1:32" s="3" customFormat="1" ht="20.100000000000001" customHeight="1" x14ac:dyDescent="0.2">
      <c r="A202" s="87"/>
      <c r="B202" s="10" t="s">
        <v>67</v>
      </c>
      <c r="C202" s="93" t="s">
        <v>69</v>
      </c>
      <c r="D202" s="10">
        <v>25</v>
      </c>
      <c r="E202" s="10"/>
      <c r="F202" s="10">
        <v>4</v>
      </c>
      <c r="G202" s="90">
        <f>VLOOKUP(D202,$C$20:$F$26,3,0)</f>
        <v>1.35</v>
      </c>
      <c r="H202" s="90"/>
      <c r="I202" s="10"/>
      <c r="J202" s="10"/>
      <c r="K202" s="10"/>
      <c r="L202" s="10"/>
      <c r="M202" s="10"/>
      <c r="N202" s="10"/>
      <c r="O202" s="10">
        <f>(E201+1*(G202+(12*D202/1000))*D201)</f>
        <v>6.3080000000000007</v>
      </c>
      <c r="P202" s="10">
        <f t="shared" ref="P202:P208" si="56">O202*F202</f>
        <v>25.232000000000003</v>
      </c>
      <c r="Q202" s="10">
        <f t="shared" ref="Q202:W208" si="57">IF($D202=Q$44,$P202*Q$45,0)</f>
        <v>0</v>
      </c>
      <c r="R202" s="10">
        <f t="shared" si="57"/>
        <v>0</v>
      </c>
      <c r="S202" s="10">
        <f t="shared" si="57"/>
        <v>0</v>
      </c>
      <c r="T202" s="10">
        <f t="shared" si="57"/>
        <v>0</v>
      </c>
      <c r="U202" s="10">
        <f t="shared" si="57"/>
        <v>0</v>
      </c>
      <c r="V202" s="10">
        <f t="shared" si="57"/>
        <v>97.267107142857171</v>
      </c>
      <c r="W202" s="10">
        <f t="shared" si="57"/>
        <v>0</v>
      </c>
      <c r="X202" s="10">
        <f t="shared" ref="X202:X208" si="58">SUM(Q202:W202)</f>
        <v>97.267107142857171</v>
      </c>
      <c r="Y202" s="10"/>
      <c r="Z202" s="10"/>
      <c r="AA202" s="10"/>
      <c r="AB202" s="10"/>
      <c r="AC202" s="10"/>
      <c r="AD202" s="10"/>
      <c r="AE202" s="10"/>
    </row>
    <row r="203" spans="1:32" s="3" customFormat="1" ht="20.100000000000001" customHeight="1" x14ac:dyDescent="0.2">
      <c r="A203" s="87"/>
      <c r="B203" s="10" t="s">
        <v>67</v>
      </c>
      <c r="C203" s="93" t="s">
        <v>70</v>
      </c>
      <c r="D203" s="10">
        <v>25</v>
      </c>
      <c r="E203" s="10"/>
      <c r="F203" s="10">
        <v>4</v>
      </c>
      <c r="G203" s="90">
        <f>VLOOKUP(D203,$C$20:$F$26,3,0)</f>
        <v>1.35</v>
      </c>
      <c r="H203" s="90"/>
      <c r="I203" s="10"/>
      <c r="J203" s="10"/>
      <c r="K203" s="10"/>
      <c r="L203" s="10"/>
      <c r="M203" s="10"/>
      <c r="N203" s="10"/>
      <c r="O203" s="10">
        <f>(3.5+1*(G203+(12*D203/1000))*D201)</f>
        <v>5.15</v>
      </c>
      <c r="P203" s="10">
        <f t="shared" si="56"/>
        <v>20.6</v>
      </c>
      <c r="Q203" s="10">
        <f t="shared" si="57"/>
        <v>0</v>
      </c>
      <c r="R203" s="10">
        <f t="shared" si="57"/>
        <v>0</v>
      </c>
      <c r="S203" s="10">
        <f t="shared" si="57"/>
        <v>0</v>
      </c>
      <c r="T203" s="10">
        <f t="shared" si="57"/>
        <v>0</v>
      </c>
      <c r="U203" s="10">
        <f t="shared" si="57"/>
        <v>0</v>
      </c>
      <c r="V203" s="10">
        <f t="shared" si="57"/>
        <v>79.411160714285728</v>
      </c>
      <c r="W203" s="10">
        <f t="shared" si="57"/>
        <v>0</v>
      </c>
      <c r="X203" s="10">
        <f t="shared" si="58"/>
        <v>79.411160714285728</v>
      </c>
      <c r="Y203" s="10"/>
      <c r="Z203" s="10"/>
      <c r="AA203" s="10"/>
      <c r="AB203" s="10"/>
      <c r="AC203" s="10"/>
      <c r="AD203" s="10"/>
      <c r="AE203" s="10"/>
    </row>
    <row r="204" spans="1:32" s="3" customFormat="1" ht="20.100000000000001" customHeight="1" x14ac:dyDescent="0.2">
      <c r="A204" s="87"/>
      <c r="B204" s="10" t="s">
        <v>67</v>
      </c>
      <c r="C204" s="93" t="s">
        <v>71</v>
      </c>
      <c r="D204" s="10">
        <v>25</v>
      </c>
      <c r="E204" s="10"/>
      <c r="F204" s="10">
        <v>4</v>
      </c>
      <c r="G204" s="90">
        <f>VLOOKUP(D204,$C$20:$F$26,3,0)</f>
        <v>1.35</v>
      </c>
      <c r="H204" s="10"/>
      <c r="I204" s="10"/>
      <c r="J204" s="10"/>
      <c r="K204" s="10"/>
      <c r="L204" s="10"/>
      <c r="M204" s="10"/>
      <c r="N204" s="10"/>
      <c r="O204" s="10">
        <f>(E201+1*(G204+(12*D204/1000))*D201)</f>
        <v>6.3080000000000007</v>
      </c>
      <c r="P204" s="10">
        <f t="shared" si="56"/>
        <v>25.232000000000003</v>
      </c>
      <c r="Q204" s="10">
        <f t="shared" si="57"/>
        <v>0</v>
      </c>
      <c r="R204" s="10">
        <f t="shared" si="57"/>
        <v>0</v>
      </c>
      <c r="S204" s="10">
        <f t="shared" si="57"/>
        <v>0</v>
      </c>
      <c r="T204" s="10">
        <f t="shared" si="57"/>
        <v>0</v>
      </c>
      <c r="U204" s="10">
        <f t="shared" si="57"/>
        <v>0</v>
      </c>
      <c r="V204" s="10">
        <f t="shared" si="57"/>
        <v>97.267107142857171</v>
      </c>
      <c r="W204" s="10">
        <f t="shared" si="57"/>
        <v>0</v>
      </c>
      <c r="X204" s="10">
        <f t="shared" si="58"/>
        <v>97.267107142857171</v>
      </c>
      <c r="Y204" s="10"/>
      <c r="Z204" s="10"/>
      <c r="AA204" s="10"/>
      <c r="AB204" s="10"/>
      <c r="AC204" s="10"/>
      <c r="AD204" s="10"/>
      <c r="AE204" s="10"/>
    </row>
    <row r="205" spans="1:32" s="3" customFormat="1" ht="20.100000000000001" customHeight="1" x14ac:dyDescent="0.2">
      <c r="A205" s="87"/>
      <c r="B205" s="10" t="s">
        <v>67</v>
      </c>
      <c r="C205" s="93" t="s">
        <v>72</v>
      </c>
      <c r="D205" s="10">
        <v>20</v>
      </c>
      <c r="E205" s="10"/>
      <c r="F205" s="10">
        <v>4</v>
      </c>
      <c r="G205" s="90">
        <f>VLOOKUP(D205,$C$20:$F$26,3,0)</f>
        <v>1.05</v>
      </c>
      <c r="H205" s="10"/>
      <c r="I205" s="10"/>
      <c r="J205" s="10"/>
      <c r="K205" s="10"/>
      <c r="L205" s="10"/>
      <c r="M205" s="10"/>
      <c r="N205" s="10"/>
      <c r="O205" s="10">
        <f>(E201+5.45+1*(G205+(12*D205/1000))*D201)</f>
        <v>11.398</v>
      </c>
      <c r="P205" s="10">
        <f t="shared" si="56"/>
        <v>45.591999999999999</v>
      </c>
      <c r="Q205" s="10">
        <f t="shared" si="57"/>
        <v>0</v>
      </c>
      <c r="R205" s="10">
        <f t="shared" si="57"/>
        <v>0</v>
      </c>
      <c r="S205" s="10">
        <f t="shared" si="57"/>
        <v>0</v>
      </c>
      <c r="T205" s="10">
        <f t="shared" si="57"/>
        <v>0</v>
      </c>
      <c r="U205" s="10">
        <f t="shared" si="57"/>
        <v>112.48197714285713</v>
      </c>
      <c r="V205" s="10">
        <f t="shared" si="57"/>
        <v>0</v>
      </c>
      <c r="W205" s="10">
        <f t="shared" si="57"/>
        <v>0</v>
      </c>
      <c r="X205" s="10">
        <f t="shared" si="58"/>
        <v>112.48197714285713</v>
      </c>
      <c r="Y205" s="10"/>
      <c r="Z205" s="10"/>
      <c r="AA205" s="10"/>
      <c r="AB205" s="10"/>
      <c r="AC205" s="10"/>
      <c r="AD205" s="10"/>
      <c r="AE205" s="10"/>
    </row>
    <row r="206" spans="1:32" s="3" customFormat="1" ht="20.100000000000001" customHeight="1" x14ac:dyDescent="0.2">
      <c r="A206" s="87"/>
      <c r="B206" s="10" t="s">
        <v>67</v>
      </c>
      <c r="C206" s="93" t="s">
        <v>73</v>
      </c>
      <c r="D206" s="10">
        <v>12</v>
      </c>
      <c r="E206" s="10">
        <v>0.1</v>
      </c>
      <c r="F206" s="10">
        <f>ROUNDUP(E201/E206,0)</f>
        <v>47</v>
      </c>
      <c r="H206" s="10"/>
      <c r="I206" s="10"/>
      <c r="J206" s="10"/>
      <c r="K206" s="10"/>
      <c r="L206" s="10"/>
      <c r="M206" s="10"/>
      <c r="N206" s="10"/>
      <c r="O206" s="10">
        <f>(2*((G201-(2*$D$11))+(F201-(2*$D$11)))+(2*10*D206/1000))*D201</f>
        <v>3.3</v>
      </c>
      <c r="P206" s="10">
        <f t="shared" si="56"/>
        <v>155.1</v>
      </c>
      <c r="Q206" s="10">
        <f t="shared" si="57"/>
        <v>0</v>
      </c>
      <c r="R206" s="10">
        <f t="shared" si="57"/>
        <v>0</v>
      </c>
      <c r="S206" s="10">
        <f t="shared" si="57"/>
        <v>137.7553885714286</v>
      </c>
      <c r="T206" s="10">
        <f t="shared" si="57"/>
        <v>0</v>
      </c>
      <c r="U206" s="10">
        <f t="shared" si="57"/>
        <v>0</v>
      </c>
      <c r="V206" s="10">
        <f t="shared" si="57"/>
        <v>0</v>
      </c>
      <c r="W206" s="10">
        <f t="shared" si="57"/>
        <v>0</v>
      </c>
      <c r="X206" s="10">
        <f t="shared" si="58"/>
        <v>137.7553885714286</v>
      </c>
      <c r="Y206" s="10"/>
      <c r="Z206" s="10"/>
      <c r="AA206" s="10"/>
      <c r="AB206" s="10"/>
      <c r="AC206" s="10"/>
      <c r="AD206" s="10"/>
      <c r="AE206" s="10"/>
    </row>
    <row r="207" spans="1:32" s="2" customFormat="1" ht="20.100000000000001" customHeight="1" x14ac:dyDescent="0.2">
      <c r="B207" s="10" t="s">
        <v>67</v>
      </c>
      <c r="C207" s="93" t="s">
        <v>74</v>
      </c>
      <c r="D207" s="10">
        <f>+D206</f>
        <v>12</v>
      </c>
      <c r="E207" s="2">
        <f>+E206</f>
        <v>0.1</v>
      </c>
      <c r="F207" s="10">
        <f>ROUNDUP(E201/E207,0)</f>
        <v>47</v>
      </c>
      <c r="G207" s="3"/>
      <c r="O207" s="10">
        <f>((((G201-(2*$D$11))+(2*10*D207/1000))*D201))*1</f>
        <v>1.38</v>
      </c>
      <c r="P207" s="10">
        <f t="shared" si="56"/>
        <v>64.86</v>
      </c>
      <c r="Q207" s="10">
        <f t="shared" si="57"/>
        <v>0</v>
      </c>
      <c r="R207" s="10">
        <f t="shared" si="57"/>
        <v>0</v>
      </c>
      <c r="S207" s="10">
        <f t="shared" si="57"/>
        <v>57.60679885714287</v>
      </c>
      <c r="T207" s="10">
        <f t="shared" si="57"/>
        <v>0</v>
      </c>
      <c r="U207" s="10">
        <f t="shared" si="57"/>
        <v>0</v>
      </c>
      <c r="V207" s="10">
        <f t="shared" si="57"/>
        <v>0</v>
      </c>
      <c r="W207" s="10">
        <f t="shared" si="57"/>
        <v>0</v>
      </c>
      <c r="X207" s="10">
        <f t="shared" si="58"/>
        <v>57.60679885714287</v>
      </c>
    </row>
    <row r="208" spans="1:32" s="3" customFormat="1" ht="20.100000000000001" customHeight="1" x14ac:dyDescent="0.2">
      <c r="A208" s="87"/>
      <c r="B208" s="10" t="s">
        <v>67</v>
      </c>
      <c r="C208" s="93" t="s">
        <v>75</v>
      </c>
      <c r="D208" s="10">
        <f>+$D$15</f>
        <v>25</v>
      </c>
      <c r="E208" s="10">
        <f>+$E$15</f>
        <v>1</v>
      </c>
      <c r="F208" s="10">
        <f>ROUNDUP((3.5+O205)/E208,0)</f>
        <v>15</v>
      </c>
      <c r="G208" s="90"/>
      <c r="H208" s="90"/>
      <c r="I208" s="10"/>
      <c r="J208" s="10"/>
      <c r="K208" s="10"/>
      <c r="L208" s="10"/>
      <c r="M208" s="10"/>
      <c r="N208" s="10"/>
      <c r="O208" s="10">
        <f>F201-$F$15</f>
        <v>0.39</v>
      </c>
      <c r="P208" s="10">
        <f t="shared" si="56"/>
        <v>5.8500000000000005</v>
      </c>
      <c r="Q208" s="10">
        <f t="shared" si="57"/>
        <v>0</v>
      </c>
      <c r="R208" s="10">
        <f t="shared" si="57"/>
        <v>0</v>
      </c>
      <c r="S208" s="10">
        <f t="shared" si="57"/>
        <v>0</v>
      </c>
      <c r="T208" s="10">
        <f t="shared" si="57"/>
        <v>0</v>
      </c>
      <c r="U208" s="10">
        <f t="shared" si="57"/>
        <v>0</v>
      </c>
      <c r="V208" s="10">
        <f t="shared" si="57"/>
        <v>22.551227678571433</v>
      </c>
      <c r="W208" s="10">
        <f t="shared" si="57"/>
        <v>0</v>
      </c>
      <c r="X208" s="10">
        <f t="shared" si="58"/>
        <v>22.551227678571433</v>
      </c>
      <c r="Y208" s="10"/>
      <c r="Z208" s="10"/>
      <c r="AA208" s="10"/>
      <c r="AB208" s="10"/>
      <c r="AC208" s="10"/>
      <c r="AD208" s="10"/>
      <c r="AE208" s="10"/>
    </row>
    <row r="209" spans="1:32" s="3" customFormat="1" ht="21" customHeight="1" x14ac:dyDescent="0.2">
      <c r="A209" s="10">
        <v>1</v>
      </c>
      <c r="B209" s="10" t="s">
        <v>67</v>
      </c>
      <c r="C209" s="91" t="s">
        <v>93</v>
      </c>
      <c r="D209" s="91">
        <v>1</v>
      </c>
      <c r="E209" s="91">
        <v>4.4249999999999998</v>
      </c>
      <c r="F209" s="91">
        <v>0.45</v>
      </c>
      <c r="G209" s="91">
        <v>0.6</v>
      </c>
      <c r="H209" s="10">
        <f>G209-0.2</f>
        <v>0.39999999999999997</v>
      </c>
      <c r="I209" s="10">
        <f>E209*F209*G209*D209</f>
        <v>1.19475</v>
      </c>
      <c r="J209" s="10">
        <f>(2*(E209)*H209*D209)+(E209*F209)</f>
        <v>5.53125</v>
      </c>
      <c r="K209" s="92">
        <f>IF(E209=0.3,J209,0)</f>
        <v>0</v>
      </c>
      <c r="L209" s="92">
        <f>IF(AND(E209&gt;0.3,E209&lt;=0.75),J209,0)</f>
        <v>0</v>
      </c>
      <c r="M209" s="92">
        <f>IF(AND(E209&gt;0.75,E209&lt;=1.2),J209,0)</f>
        <v>0</v>
      </c>
      <c r="N209" s="92">
        <f>IF(E209&gt;1.2,J209,0)</f>
        <v>5.53125</v>
      </c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>
        <f>SUM(X210:X215)/I209</f>
        <v>255.19312109526797</v>
      </c>
      <c r="Z209" s="10"/>
      <c r="AA209" s="10"/>
      <c r="AB209" s="10"/>
      <c r="AC209" s="10"/>
      <c r="AD209" s="10"/>
      <c r="AE209" s="10"/>
      <c r="AF209" s="10"/>
    </row>
    <row r="210" spans="1:32" s="3" customFormat="1" ht="20.100000000000001" customHeight="1" x14ac:dyDescent="0.2">
      <c r="A210" s="87"/>
      <c r="B210" s="10" t="s">
        <v>67</v>
      </c>
      <c r="C210" s="93" t="s">
        <v>69</v>
      </c>
      <c r="D210" s="10">
        <v>20</v>
      </c>
      <c r="E210" s="10"/>
      <c r="F210" s="10">
        <v>4</v>
      </c>
      <c r="G210" s="90">
        <f>VLOOKUP(D210,$C$20:$F$26,3,0)</f>
        <v>1.05</v>
      </c>
      <c r="H210" s="90"/>
      <c r="I210" s="10"/>
      <c r="J210" s="10"/>
      <c r="K210" s="10"/>
      <c r="L210" s="10"/>
      <c r="M210" s="10"/>
      <c r="N210" s="10"/>
      <c r="O210" s="10">
        <f>(E209+1*(G210+(12*D210/1000))+(50*D210/1000)*D209)</f>
        <v>6.7149999999999999</v>
      </c>
      <c r="P210" s="10">
        <f t="shared" ref="P210:P216" si="59">O210*F210</f>
        <v>26.86</v>
      </c>
      <c r="Q210" s="10">
        <f t="shared" ref="Q210:W229" si="60">IF($D210=Q$44,$P210*Q$45,0)</f>
        <v>0</v>
      </c>
      <c r="R210" s="10">
        <f t="shared" si="60"/>
        <v>0</v>
      </c>
      <c r="S210" s="10">
        <f t="shared" si="60"/>
        <v>0</v>
      </c>
      <c r="T210" s="10">
        <f t="shared" si="60"/>
        <v>0</v>
      </c>
      <c r="U210" s="10">
        <f t="shared" si="60"/>
        <v>66.26745714285714</v>
      </c>
      <c r="V210" s="10">
        <f t="shared" si="60"/>
        <v>0</v>
      </c>
      <c r="W210" s="10">
        <f t="shared" si="60"/>
        <v>0</v>
      </c>
      <c r="X210" s="10">
        <f t="shared" ref="X210:X216" si="61">SUM(Q210:W210)</f>
        <v>66.26745714285714</v>
      </c>
      <c r="Y210" s="10"/>
      <c r="Z210" s="10"/>
      <c r="AA210" s="10"/>
      <c r="AB210" s="10"/>
      <c r="AC210" s="10"/>
      <c r="AD210" s="10"/>
      <c r="AE210" s="10"/>
    </row>
    <row r="211" spans="1:32" s="3" customFormat="1" ht="20.100000000000001" customHeight="1" x14ac:dyDescent="0.2">
      <c r="A211" s="87"/>
      <c r="B211" s="10" t="s">
        <v>67</v>
      </c>
      <c r="C211" s="93" t="s">
        <v>70</v>
      </c>
      <c r="D211" s="10">
        <v>25</v>
      </c>
      <c r="E211" s="10"/>
      <c r="F211" s="10">
        <v>4</v>
      </c>
      <c r="G211" s="90">
        <f>VLOOKUP(D211,$C$20:$F$26,3,0)</f>
        <v>1.35</v>
      </c>
      <c r="H211" s="90"/>
      <c r="I211" s="10"/>
      <c r="J211" s="10"/>
      <c r="K211" s="10"/>
      <c r="L211" s="10"/>
      <c r="M211" s="10"/>
      <c r="N211" s="10"/>
      <c r="O211" s="10">
        <f>(1.25+1*(G211+(12*D211/1000)*D209))</f>
        <v>2.9000000000000004</v>
      </c>
      <c r="P211" s="10">
        <f t="shared" si="59"/>
        <v>11.600000000000001</v>
      </c>
      <c r="Q211" s="10">
        <f t="shared" si="60"/>
        <v>0</v>
      </c>
      <c r="R211" s="10">
        <f t="shared" si="60"/>
        <v>0</v>
      </c>
      <c r="S211" s="10">
        <f t="shared" si="60"/>
        <v>0</v>
      </c>
      <c r="T211" s="10">
        <f t="shared" si="60"/>
        <v>0</v>
      </c>
      <c r="U211" s="10">
        <f t="shared" si="60"/>
        <v>0</v>
      </c>
      <c r="V211" s="10">
        <f t="shared" si="60"/>
        <v>44.716964285714297</v>
      </c>
      <c r="W211" s="10">
        <f t="shared" si="60"/>
        <v>0</v>
      </c>
      <c r="X211" s="10">
        <f t="shared" si="61"/>
        <v>44.716964285714297</v>
      </c>
      <c r="Y211" s="10"/>
      <c r="Z211" s="10"/>
      <c r="AA211" s="10"/>
      <c r="AB211" s="10"/>
      <c r="AC211" s="10"/>
      <c r="AD211" s="10"/>
      <c r="AE211" s="10"/>
    </row>
    <row r="212" spans="1:32" s="3" customFormat="1" ht="20.100000000000001" customHeight="1" x14ac:dyDescent="0.2">
      <c r="A212" s="87"/>
      <c r="B212" s="10" t="s">
        <v>67</v>
      </c>
      <c r="C212" s="93" t="s">
        <v>71</v>
      </c>
      <c r="D212" s="10">
        <v>20</v>
      </c>
      <c r="E212" s="10"/>
      <c r="F212" s="10">
        <v>4</v>
      </c>
      <c r="G212" s="90">
        <f>VLOOKUP(D212,$C$20:$F$26,3,0)</f>
        <v>1.05</v>
      </c>
      <c r="H212" s="10"/>
      <c r="I212" s="10"/>
      <c r="J212" s="10"/>
      <c r="K212" s="10"/>
      <c r="L212" s="10"/>
      <c r="M212" s="10"/>
      <c r="N212" s="10"/>
      <c r="O212" s="10">
        <f>(E209+1*(G212+(12*D212/1000))+(50*D212/1000)*D209)</f>
        <v>6.7149999999999999</v>
      </c>
      <c r="P212" s="10">
        <f t="shared" si="59"/>
        <v>26.86</v>
      </c>
      <c r="Q212" s="10">
        <f t="shared" si="60"/>
        <v>0</v>
      </c>
      <c r="R212" s="10">
        <f t="shared" si="60"/>
        <v>0</v>
      </c>
      <c r="S212" s="10">
        <f t="shared" si="60"/>
        <v>0</v>
      </c>
      <c r="T212" s="10">
        <f t="shared" si="60"/>
        <v>0</v>
      </c>
      <c r="U212" s="10">
        <f t="shared" si="60"/>
        <v>66.26745714285714</v>
      </c>
      <c r="V212" s="10">
        <f t="shared" si="60"/>
        <v>0</v>
      </c>
      <c r="W212" s="10">
        <f t="shared" si="60"/>
        <v>0</v>
      </c>
      <c r="X212" s="10">
        <f t="shared" si="61"/>
        <v>66.26745714285714</v>
      </c>
      <c r="Y212" s="10"/>
      <c r="Z212" s="10"/>
      <c r="AA212" s="10"/>
      <c r="AB212" s="10"/>
      <c r="AC212" s="10"/>
      <c r="AD212" s="10"/>
      <c r="AE212" s="10"/>
    </row>
    <row r="213" spans="1:32" s="3" customFormat="1" ht="20.100000000000001" customHeight="1" x14ac:dyDescent="0.2">
      <c r="A213" s="87"/>
      <c r="B213" s="10" t="s">
        <v>67</v>
      </c>
      <c r="C213" s="93" t="s">
        <v>72</v>
      </c>
      <c r="D213" s="10">
        <v>20</v>
      </c>
      <c r="E213" s="10"/>
      <c r="F213" s="10">
        <v>2</v>
      </c>
      <c r="G213" s="90">
        <f>VLOOKUP(D213,$C$20:$F$26,3,0)</f>
        <v>1.05</v>
      </c>
      <c r="H213" s="10"/>
      <c r="I213" s="10"/>
      <c r="J213" s="10"/>
      <c r="K213" s="10"/>
      <c r="L213" s="10"/>
      <c r="M213" s="10"/>
      <c r="N213" s="10"/>
      <c r="O213" s="10">
        <f>(1.25+1*(G213+(12*D213/1000)*D209))</f>
        <v>2.54</v>
      </c>
      <c r="P213" s="10">
        <f t="shared" si="59"/>
        <v>5.08</v>
      </c>
      <c r="Q213" s="10">
        <f t="shared" si="60"/>
        <v>0</v>
      </c>
      <c r="R213" s="10">
        <f t="shared" si="60"/>
        <v>0</v>
      </c>
      <c r="S213" s="10">
        <f t="shared" si="60"/>
        <v>0</v>
      </c>
      <c r="T213" s="10">
        <f t="shared" si="60"/>
        <v>0</v>
      </c>
      <c r="U213" s="10">
        <f t="shared" si="60"/>
        <v>12.533085714285715</v>
      </c>
      <c r="V213" s="10">
        <f t="shared" si="60"/>
        <v>0</v>
      </c>
      <c r="W213" s="10">
        <f t="shared" si="60"/>
        <v>0</v>
      </c>
      <c r="X213" s="10">
        <f t="shared" si="61"/>
        <v>12.533085714285715</v>
      </c>
      <c r="Y213" s="10"/>
      <c r="Z213" s="10"/>
      <c r="AA213" s="10"/>
      <c r="AB213" s="10"/>
      <c r="AC213" s="10"/>
      <c r="AD213" s="10"/>
      <c r="AE213" s="10"/>
    </row>
    <row r="214" spans="1:32" s="3" customFormat="1" ht="20.100000000000001" customHeight="1" x14ac:dyDescent="0.2">
      <c r="A214" s="87"/>
      <c r="B214" s="10" t="s">
        <v>67</v>
      </c>
      <c r="C214" s="93" t="s">
        <v>73</v>
      </c>
      <c r="D214" s="10">
        <v>12</v>
      </c>
      <c r="E214" s="10">
        <v>0.1</v>
      </c>
      <c r="F214" s="10">
        <f>ROUNDUP(E209/E214,0)</f>
        <v>45</v>
      </c>
      <c r="H214" s="10"/>
      <c r="I214" s="10"/>
      <c r="J214" s="10"/>
      <c r="K214" s="10"/>
      <c r="L214" s="10"/>
      <c r="M214" s="10"/>
      <c r="N214" s="10"/>
      <c r="O214" s="10">
        <f>(2*((G209-(2*$D$11))+(F209-(2*$D$11)))+(2*10*D214/1000))*D209</f>
        <v>2.1</v>
      </c>
      <c r="P214" s="10">
        <f t="shared" si="59"/>
        <v>94.5</v>
      </c>
      <c r="Q214" s="10">
        <f t="shared" si="60"/>
        <v>0</v>
      </c>
      <c r="R214" s="10">
        <f t="shared" si="60"/>
        <v>0</v>
      </c>
      <c r="S214" s="10">
        <f t="shared" si="60"/>
        <v>83.932200000000009</v>
      </c>
      <c r="T214" s="10">
        <f t="shared" si="60"/>
        <v>0</v>
      </c>
      <c r="U214" s="10">
        <f t="shared" si="60"/>
        <v>0</v>
      </c>
      <c r="V214" s="10">
        <f t="shared" si="60"/>
        <v>0</v>
      </c>
      <c r="W214" s="10">
        <f t="shared" si="60"/>
        <v>0</v>
      </c>
      <c r="X214" s="10">
        <f t="shared" si="61"/>
        <v>83.932200000000009</v>
      </c>
      <c r="Y214" s="10"/>
      <c r="Z214" s="10"/>
      <c r="AA214" s="10"/>
      <c r="AB214" s="10"/>
      <c r="AC214" s="10"/>
      <c r="AD214" s="10"/>
      <c r="AE214" s="10"/>
    </row>
    <row r="215" spans="1:32" s="2" customFormat="1" ht="20.100000000000001" customHeight="1" x14ac:dyDescent="0.2">
      <c r="B215" s="10" t="s">
        <v>67</v>
      </c>
      <c r="C215" s="93" t="s">
        <v>74</v>
      </c>
      <c r="D215" s="10">
        <f>+D214</f>
        <v>12</v>
      </c>
      <c r="E215" s="2">
        <f>+E214</f>
        <v>0.1</v>
      </c>
      <c r="F215" s="10">
        <f>ROUNDUP(E209/E215,0)</f>
        <v>45</v>
      </c>
      <c r="G215" s="3"/>
      <c r="O215" s="10">
        <f>((((G209-(2*$D$11))+(2*10*D215/1000))*D209))*1</f>
        <v>0.78</v>
      </c>
      <c r="P215" s="10">
        <f t="shared" si="59"/>
        <v>35.1</v>
      </c>
      <c r="Q215" s="10">
        <f t="shared" si="60"/>
        <v>0</v>
      </c>
      <c r="R215" s="10">
        <f t="shared" si="60"/>
        <v>0</v>
      </c>
      <c r="S215" s="10">
        <f t="shared" si="60"/>
        <v>31.174817142857151</v>
      </c>
      <c r="T215" s="10">
        <f t="shared" si="60"/>
        <v>0</v>
      </c>
      <c r="U215" s="10">
        <f t="shared" si="60"/>
        <v>0</v>
      </c>
      <c r="V215" s="10">
        <f t="shared" si="60"/>
        <v>0</v>
      </c>
      <c r="W215" s="10">
        <f t="shared" si="60"/>
        <v>0</v>
      </c>
      <c r="X215" s="10">
        <f t="shared" si="61"/>
        <v>31.174817142857151</v>
      </c>
    </row>
    <row r="216" spans="1:32" s="3" customFormat="1" ht="20.100000000000001" customHeight="1" x14ac:dyDescent="0.2">
      <c r="A216" s="87"/>
      <c r="B216" s="10" t="s">
        <v>67</v>
      </c>
      <c r="C216" s="93" t="s">
        <v>75</v>
      </c>
      <c r="D216" s="10">
        <f>+$D$15</f>
        <v>25</v>
      </c>
      <c r="E216" s="10">
        <f>+$E$15</f>
        <v>1</v>
      </c>
      <c r="F216" s="10">
        <f>ROUNDUP((1.25+1.25)/E216,0)</f>
        <v>3</v>
      </c>
      <c r="G216" s="90"/>
      <c r="H216" s="90"/>
      <c r="I216" s="10"/>
      <c r="J216" s="10"/>
      <c r="K216" s="10"/>
      <c r="L216" s="10"/>
      <c r="M216" s="10"/>
      <c r="N216" s="10"/>
      <c r="O216" s="10">
        <f>F209-$F$15</f>
        <v>0.39</v>
      </c>
      <c r="P216" s="10">
        <f t="shared" si="59"/>
        <v>1.17</v>
      </c>
      <c r="Q216" s="10">
        <f t="shared" si="60"/>
        <v>0</v>
      </c>
      <c r="R216" s="10">
        <f t="shared" si="60"/>
        <v>0</v>
      </c>
      <c r="S216" s="10">
        <f t="shared" si="60"/>
        <v>0</v>
      </c>
      <c r="T216" s="10">
        <f t="shared" si="60"/>
        <v>0</v>
      </c>
      <c r="U216" s="10">
        <f t="shared" si="60"/>
        <v>0</v>
      </c>
      <c r="V216" s="10">
        <f t="shared" si="60"/>
        <v>4.5102455357142865</v>
      </c>
      <c r="W216" s="10">
        <f t="shared" si="60"/>
        <v>0</v>
      </c>
      <c r="X216" s="10">
        <f t="shared" si="61"/>
        <v>4.5102455357142865</v>
      </c>
      <c r="Y216" s="10"/>
      <c r="Z216" s="10"/>
      <c r="AA216" s="10"/>
      <c r="AB216" s="10"/>
      <c r="AC216" s="10"/>
      <c r="AD216" s="10"/>
      <c r="AE216" s="10"/>
    </row>
    <row r="217" spans="1:32" s="3" customFormat="1" ht="21" customHeight="1" x14ac:dyDescent="0.2">
      <c r="A217" s="10">
        <v>1</v>
      </c>
      <c r="B217" s="10" t="s">
        <v>67</v>
      </c>
      <c r="C217" s="91" t="s">
        <v>94</v>
      </c>
      <c r="D217" s="91">
        <v>1</v>
      </c>
      <c r="E217" s="91">
        <v>4.9000000000000004</v>
      </c>
      <c r="F217" s="91">
        <v>0.45</v>
      </c>
      <c r="G217" s="91">
        <v>1.3</v>
      </c>
      <c r="H217" s="10">
        <f>G217-0.2</f>
        <v>1.1000000000000001</v>
      </c>
      <c r="I217" s="10">
        <f>E217*F217*G217*D217</f>
        <v>2.8665000000000003</v>
      </c>
      <c r="J217" s="10">
        <f>(2*(E217)*H217*D217)+(E217*F217)</f>
        <v>12.985000000000001</v>
      </c>
      <c r="K217" s="92">
        <f>IF(E217=0.3,J217,0)</f>
        <v>0</v>
      </c>
      <c r="L217" s="92">
        <f>IF(AND(E217&gt;0.3,E217&lt;=0.75),J217,0)</f>
        <v>0</v>
      </c>
      <c r="M217" s="92">
        <f>IF(AND(E217&gt;0.75,E217&lt;=1.2),J217,0)</f>
        <v>0</v>
      </c>
      <c r="N217" s="92">
        <f>IF(E217&gt;1.2,J217,0)</f>
        <v>12.985000000000001</v>
      </c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>
        <f>SUM(X218:X226)/I217</f>
        <v>199.30315882484862</v>
      </c>
      <c r="Z217" s="10"/>
      <c r="AA217" s="10"/>
      <c r="AB217" s="10"/>
      <c r="AC217" s="10"/>
      <c r="AD217" s="10"/>
      <c r="AE217" s="10"/>
      <c r="AF217" s="10"/>
    </row>
    <row r="218" spans="1:32" s="3" customFormat="1" ht="20.100000000000001" customHeight="1" x14ac:dyDescent="0.2">
      <c r="A218" s="87"/>
      <c r="B218" s="10" t="s">
        <v>67</v>
      </c>
      <c r="C218" s="93" t="s">
        <v>69</v>
      </c>
      <c r="D218" s="10">
        <v>20</v>
      </c>
      <c r="E218" s="10"/>
      <c r="F218" s="10">
        <v>4</v>
      </c>
      <c r="G218" s="90">
        <f>VLOOKUP(D218,$C$20:$F$26,3,0)</f>
        <v>1.05</v>
      </c>
      <c r="H218" s="90"/>
      <c r="I218" s="10"/>
      <c r="J218" s="10"/>
      <c r="K218" s="10"/>
      <c r="L218" s="10"/>
      <c r="M218" s="10"/>
      <c r="N218" s="10"/>
      <c r="O218" s="10">
        <f>(E217+1*(G218+(12*D218/1000))+1*(0.55/2)*D217)</f>
        <v>6.4650000000000007</v>
      </c>
      <c r="P218" s="10">
        <f t="shared" ref="P218:P227" si="62">O218*F218</f>
        <v>25.860000000000003</v>
      </c>
      <c r="Q218" s="10">
        <f t="shared" si="60"/>
        <v>0</v>
      </c>
      <c r="R218" s="10">
        <f t="shared" si="60"/>
        <v>0</v>
      </c>
      <c r="S218" s="10">
        <f t="shared" si="60"/>
        <v>0</v>
      </c>
      <c r="T218" s="10">
        <f t="shared" si="60"/>
        <v>0</v>
      </c>
      <c r="U218" s="10">
        <f t="shared" si="60"/>
        <v>63.800314285714293</v>
      </c>
      <c r="V218" s="10">
        <f t="shared" si="60"/>
        <v>0</v>
      </c>
      <c r="W218" s="10">
        <f t="shared" si="60"/>
        <v>0</v>
      </c>
      <c r="X218" s="10">
        <f t="shared" ref="X218:X227" si="63">SUM(Q218:W218)</f>
        <v>63.800314285714293</v>
      </c>
      <c r="Y218" s="10"/>
      <c r="Z218" s="10"/>
      <c r="AA218" s="10"/>
      <c r="AB218" s="10"/>
      <c r="AC218" s="10"/>
      <c r="AD218" s="10"/>
      <c r="AE218" s="10"/>
    </row>
    <row r="219" spans="1:32" s="3" customFormat="1" ht="20.100000000000001" customHeight="1" x14ac:dyDescent="0.2">
      <c r="A219" s="87"/>
      <c r="B219" s="10" t="s">
        <v>67</v>
      </c>
      <c r="C219" s="93" t="s">
        <v>69</v>
      </c>
      <c r="D219" s="10">
        <v>20</v>
      </c>
      <c r="E219" s="10"/>
      <c r="F219" s="10">
        <v>4</v>
      </c>
      <c r="G219" s="90">
        <f>VLOOKUP(D219,$C$20:$F$26,3,0)</f>
        <v>1.05</v>
      </c>
      <c r="H219" s="90"/>
      <c r="I219" s="10"/>
      <c r="J219" s="10"/>
      <c r="K219" s="10"/>
      <c r="L219" s="10"/>
      <c r="M219" s="10"/>
      <c r="N219" s="10"/>
      <c r="O219" s="10">
        <f>(E217+1*(G219+(12*D219/1000))+1*(0.55/2)*D217)</f>
        <v>6.4650000000000007</v>
      </c>
      <c r="P219" s="10">
        <f t="shared" si="62"/>
        <v>25.860000000000003</v>
      </c>
      <c r="Q219" s="10">
        <f t="shared" si="60"/>
        <v>0</v>
      </c>
      <c r="R219" s="10">
        <f t="shared" si="60"/>
        <v>0</v>
      </c>
      <c r="S219" s="10">
        <f t="shared" si="60"/>
        <v>0</v>
      </c>
      <c r="T219" s="10">
        <f t="shared" si="60"/>
        <v>0</v>
      </c>
      <c r="U219" s="10">
        <f t="shared" si="60"/>
        <v>63.800314285714293</v>
      </c>
      <c r="V219" s="10">
        <f t="shared" si="60"/>
        <v>0</v>
      </c>
      <c r="W219" s="10">
        <f t="shared" si="60"/>
        <v>0</v>
      </c>
      <c r="X219" s="10">
        <f t="shared" si="63"/>
        <v>63.800314285714293</v>
      </c>
      <c r="Y219" s="10"/>
      <c r="Z219" s="10"/>
      <c r="AA219" s="10"/>
      <c r="AB219" s="10"/>
      <c r="AC219" s="10"/>
      <c r="AD219" s="10"/>
      <c r="AE219" s="10"/>
    </row>
    <row r="220" spans="1:32" s="3" customFormat="1" ht="20.100000000000001" customHeight="1" x14ac:dyDescent="0.2">
      <c r="A220" s="87"/>
      <c r="B220" s="10" t="s">
        <v>67</v>
      </c>
      <c r="C220" s="93" t="s">
        <v>70</v>
      </c>
      <c r="D220" s="10">
        <v>25</v>
      </c>
      <c r="E220" s="10"/>
      <c r="F220" s="10">
        <v>4</v>
      </c>
      <c r="G220" s="90">
        <f>VLOOKUP(D220,$C$20:$F$26,3,0)</f>
        <v>1.35</v>
      </c>
      <c r="H220" s="90"/>
      <c r="I220" s="10"/>
      <c r="J220" s="10"/>
      <c r="K220" s="10"/>
      <c r="L220" s="10"/>
      <c r="M220" s="10"/>
      <c r="N220" s="10"/>
      <c r="O220" s="10">
        <f>(1.35+1+(0.55/2)*D217)</f>
        <v>2.625</v>
      </c>
      <c r="P220" s="10">
        <f t="shared" si="62"/>
        <v>10.5</v>
      </c>
      <c r="Q220" s="10">
        <f t="shared" si="60"/>
        <v>0</v>
      </c>
      <c r="R220" s="10">
        <f t="shared" si="60"/>
        <v>0</v>
      </c>
      <c r="S220" s="10">
        <f t="shared" si="60"/>
        <v>0</v>
      </c>
      <c r="T220" s="10">
        <f t="shared" si="60"/>
        <v>0</v>
      </c>
      <c r="U220" s="10">
        <f t="shared" si="60"/>
        <v>0</v>
      </c>
      <c r="V220" s="10">
        <f t="shared" si="60"/>
        <v>40.476562500000007</v>
      </c>
      <c r="W220" s="10">
        <f t="shared" si="60"/>
        <v>0</v>
      </c>
      <c r="X220" s="10">
        <f t="shared" si="63"/>
        <v>40.476562500000007</v>
      </c>
      <c r="Y220" s="10"/>
      <c r="Z220" s="10"/>
      <c r="AA220" s="10"/>
      <c r="AB220" s="10"/>
      <c r="AC220" s="10"/>
      <c r="AD220" s="10"/>
      <c r="AE220" s="10"/>
    </row>
    <row r="221" spans="1:32" s="3" customFormat="1" ht="20.100000000000001" customHeight="1" x14ac:dyDescent="0.2">
      <c r="A221" s="87"/>
      <c r="B221" s="10" t="s">
        <v>67</v>
      </c>
      <c r="C221" s="93" t="s">
        <v>71</v>
      </c>
      <c r="D221" s="10">
        <v>25</v>
      </c>
      <c r="E221" s="10"/>
      <c r="F221" s="10">
        <v>4</v>
      </c>
      <c r="G221" s="90">
        <f>VLOOKUP(D221,$C$20:$F$26,3,0)</f>
        <v>1.35</v>
      </c>
      <c r="H221" s="10"/>
      <c r="I221" s="10"/>
      <c r="J221" s="10"/>
      <c r="K221" s="10"/>
      <c r="L221" s="10"/>
      <c r="M221" s="10"/>
      <c r="N221" s="10"/>
      <c r="O221" s="10">
        <f>(E217+1*(G221+(12*D221/1000))+1*(0.55/2)*D217)</f>
        <v>6.8250000000000011</v>
      </c>
      <c r="P221" s="10">
        <f t="shared" si="62"/>
        <v>27.300000000000004</v>
      </c>
      <c r="Q221" s="10">
        <f t="shared" si="60"/>
        <v>0</v>
      </c>
      <c r="R221" s="10">
        <f t="shared" si="60"/>
        <v>0</v>
      </c>
      <c r="S221" s="10">
        <f t="shared" si="60"/>
        <v>0</v>
      </c>
      <c r="T221" s="10">
        <f t="shared" si="60"/>
        <v>0</v>
      </c>
      <c r="U221" s="10">
        <f t="shared" si="60"/>
        <v>0</v>
      </c>
      <c r="V221" s="10">
        <f t="shared" si="60"/>
        <v>105.23906250000003</v>
      </c>
      <c r="W221" s="10">
        <f t="shared" si="60"/>
        <v>0</v>
      </c>
      <c r="X221" s="10">
        <f t="shared" si="63"/>
        <v>105.23906250000003</v>
      </c>
      <c r="Y221" s="10"/>
      <c r="Z221" s="10"/>
      <c r="AA221" s="10"/>
      <c r="AB221" s="10"/>
      <c r="AC221" s="10"/>
      <c r="AD221" s="10"/>
      <c r="AE221" s="10"/>
    </row>
    <row r="222" spans="1:32" s="3" customFormat="1" ht="20.100000000000001" customHeight="1" x14ac:dyDescent="0.2">
      <c r="A222" s="87"/>
      <c r="B222" s="10" t="s">
        <v>67</v>
      </c>
      <c r="C222" s="93" t="s">
        <v>72</v>
      </c>
      <c r="D222" s="10">
        <v>16</v>
      </c>
      <c r="E222" s="10"/>
      <c r="F222" s="10">
        <v>4</v>
      </c>
      <c r="G222" s="90">
        <f>VLOOKUP(D222,$C$20:$F$26,3,0)</f>
        <v>0.85</v>
      </c>
      <c r="H222" s="10"/>
      <c r="I222" s="10"/>
      <c r="J222" s="10"/>
      <c r="K222" s="10"/>
      <c r="L222" s="10"/>
      <c r="M222" s="10"/>
      <c r="N222" s="10"/>
      <c r="O222" s="10">
        <f>(1.35+1*(G222+(12*D222/1000))+1*(0.55/2)*D217)</f>
        <v>2.6670000000000003</v>
      </c>
      <c r="P222" s="10">
        <f t="shared" si="62"/>
        <v>10.668000000000001</v>
      </c>
      <c r="Q222" s="10">
        <f t="shared" si="60"/>
        <v>0</v>
      </c>
      <c r="R222" s="10">
        <f t="shared" si="60"/>
        <v>0</v>
      </c>
      <c r="S222" s="10">
        <f t="shared" si="60"/>
        <v>0</v>
      </c>
      <c r="T222" s="10">
        <f t="shared" si="60"/>
        <v>16.844467200000004</v>
      </c>
      <c r="U222" s="10">
        <f t="shared" si="60"/>
        <v>0</v>
      </c>
      <c r="V222" s="10">
        <f t="shared" si="60"/>
        <v>0</v>
      </c>
      <c r="W222" s="10">
        <f t="shared" si="60"/>
        <v>0</v>
      </c>
      <c r="X222" s="10">
        <f t="shared" si="63"/>
        <v>16.844467200000004</v>
      </c>
      <c r="Y222" s="10"/>
      <c r="Z222" s="10"/>
      <c r="AA222" s="10"/>
      <c r="AB222" s="10"/>
      <c r="AC222" s="10"/>
      <c r="AD222" s="10"/>
      <c r="AE222" s="10"/>
    </row>
    <row r="223" spans="1:32" s="3" customFormat="1" ht="20.100000000000001" customHeight="1" x14ac:dyDescent="0.2">
      <c r="A223" s="87"/>
      <c r="B223" s="10" t="s">
        <v>67</v>
      </c>
      <c r="C223" s="93" t="s">
        <v>73</v>
      </c>
      <c r="D223" s="10">
        <v>12</v>
      </c>
      <c r="E223" s="10">
        <v>0.1</v>
      </c>
      <c r="F223" s="10">
        <f>ROUNDUP((E217/3*2)/E223,0)+1</f>
        <v>34</v>
      </c>
      <c r="H223" s="10"/>
      <c r="I223" s="10"/>
      <c r="J223" s="10"/>
      <c r="K223" s="10"/>
      <c r="L223" s="10"/>
      <c r="M223" s="10"/>
      <c r="N223" s="10"/>
      <c r="O223" s="10">
        <f>(2*((G217-(2*$D$11))+(F217-(2*$D$11)))+(2*10*D223/1000))*D217</f>
        <v>3.5</v>
      </c>
      <c r="P223" s="10">
        <f t="shared" si="62"/>
        <v>119</v>
      </c>
      <c r="Q223" s="10">
        <f t="shared" si="60"/>
        <v>0</v>
      </c>
      <c r="R223" s="10">
        <f t="shared" si="60"/>
        <v>0</v>
      </c>
      <c r="S223" s="10">
        <f t="shared" si="60"/>
        <v>105.69240000000002</v>
      </c>
      <c r="T223" s="10">
        <f t="shared" si="60"/>
        <v>0</v>
      </c>
      <c r="U223" s="10">
        <f t="shared" si="60"/>
        <v>0</v>
      </c>
      <c r="V223" s="10">
        <f t="shared" si="60"/>
        <v>0</v>
      </c>
      <c r="W223" s="10">
        <f t="shared" si="60"/>
        <v>0</v>
      </c>
      <c r="X223" s="10">
        <f t="shared" si="63"/>
        <v>105.69240000000002</v>
      </c>
      <c r="Y223" s="10"/>
      <c r="Z223" s="10"/>
      <c r="AA223" s="10"/>
      <c r="AB223" s="10"/>
      <c r="AC223" s="10"/>
      <c r="AD223" s="10"/>
      <c r="AE223" s="10"/>
    </row>
    <row r="224" spans="1:32" s="2" customFormat="1" ht="20.100000000000001" customHeight="1" x14ac:dyDescent="0.2">
      <c r="B224" s="10" t="s">
        <v>67</v>
      </c>
      <c r="C224" s="93" t="s">
        <v>73</v>
      </c>
      <c r="D224" s="2">
        <f>D223</f>
        <v>12</v>
      </c>
      <c r="E224" s="2">
        <v>0.125</v>
      </c>
      <c r="F224" s="10">
        <f>ROUNDUP((E217/3)/E224,0)+1</f>
        <v>15</v>
      </c>
      <c r="G224" s="3"/>
      <c r="O224" s="10">
        <f>(2*((G217-(2*$D$11))+(F217-(2*$D$11)))+(2*10*D224/1000))*D217</f>
        <v>3.5</v>
      </c>
      <c r="P224" s="10">
        <f>O224*F224</f>
        <v>52.5</v>
      </c>
      <c r="Q224" s="10">
        <f t="shared" si="60"/>
        <v>0</v>
      </c>
      <c r="R224" s="10">
        <f t="shared" si="60"/>
        <v>0</v>
      </c>
      <c r="S224" s="10">
        <f t="shared" si="60"/>
        <v>46.629000000000005</v>
      </c>
      <c r="T224" s="10">
        <f t="shared" si="60"/>
        <v>0</v>
      </c>
      <c r="U224" s="10">
        <f t="shared" si="60"/>
        <v>0</v>
      </c>
      <c r="V224" s="10">
        <f t="shared" si="60"/>
        <v>0</v>
      </c>
      <c r="W224" s="10">
        <f t="shared" si="60"/>
        <v>0</v>
      </c>
      <c r="X224" s="10">
        <f t="shared" si="63"/>
        <v>46.629000000000005</v>
      </c>
    </row>
    <row r="225" spans="1:32" s="2" customFormat="1" ht="20.100000000000001" customHeight="1" x14ac:dyDescent="0.2">
      <c r="B225" s="10" t="s">
        <v>67</v>
      </c>
      <c r="C225" s="93" t="s">
        <v>74</v>
      </c>
      <c r="D225" s="2">
        <f>D223</f>
        <v>12</v>
      </c>
      <c r="E225" s="2">
        <f>+E223</f>
        <v>0.1</v>
      </c>
      <c r="F225" s="10">
        <f>ROUNDUP((E217/3*2)/E225,0)+1</f>
        <v>34</v>
      </c>
      <c r="G225" s="3"/>
      <c r="O225" s="10">
        <f>((((G217-(2*$D$11))+(2*10*D225/1000))*D217))*2</f>
        <v>2.96</v>
      </c>
      <c r="P225" s="10">
        <f t="shared" si="62"/>
        <v>100.64</v>
      </c>
      <c r="Q225" s="10">
        <f t="shared" si="60"/>
        <v>0</v>
      </c>
      <c r="R225" s="10">
        <f t="shared" si="60"/>
        <v>0</v>
      </c>
      <c r="S225" s="10">
        <f t="shared" si="60"/>
        <v>89.385572571428582</v>
      </c>
      <c r="T225" s="10">
        <f t="shared" si="60"/>
        <v>0</v>
      </c>
      <c r="U225" s="10">
        <f t="shared" si="60"/>
        <v>0</v>
      </c>
      <c r="V225" s="10">
        <f t="shared" si="60"/>
        <v>0</v>
      </c>
      <c r="W225" s="10">
        <f t="shared" si="60"/>
        <v>0</v>
      </c>
      <c r="X225" s="10">
        <f t="shared" si="63"/>
        <v>89.385572571428582</v>
      </c>
    </row>
    <row r="226" spans="1:32" s="2" customFormat="1" ht="20.100000000000001" customHeight="1" x14ac:dyDescent="0.2">
      <c r="B226" s="10" t="s">
        <v>67</v>
      </c>
      <c r="C226" s="93" t="s">
        <v>74</v>
      </c>
      <c r="D226" s="2">
        <f>D224</f>
        <v>12</v>
      </c>
      <c r="E226" s="2">
        <f>+E224</f>
        <v>0.125</v>
      </c>
      <c r="F226" s="10">
        <f>ROUNDUP((E217/3)/E226,0)+1</f>
        <v>15</v>
      </c>
      <c r="G226" s="3"/>
      <c r="O226" s="10">
        <f>((((G217-(2*$D$11))+(2*10*D226/1000))*D217))*2</f>
        <v>2.96</v>
      </c>
      <c r="P226" s="10">
        <f>O226*F226</f>
        <v>44.4</v>
      </c>
      <c r="Q226" s="10">
        <f t="shared" si="60"/>
        <v>0</v>
      </c>
      <c r="R226" s="10">
        <f t="shared" si="60"/>
        <v>0</v>
      </c>
      <c r="S226" s="10">
        <f t="shared" si="60"/>
        <v>39.434811428571436</v>
      </c>
      <c r="T226" s="10">
        <f t="shared" si="60"/>
        <v>0</v>
      </c>
      <c r="U226" s="10">
        <f t="shared" si="60"/>
        <v>0</v>
      </c>
      <c r="V226" s="10">
        <f t="shared" si="60"/>
        <v>0</v>
      </c>
      <c r="W226" s="10">
        <f t="shared" si="60"/>
        <v>0</v>
      </c>
      <c r="X226" s="10">
        <f t="shared" si="63"/>
        <v>39.434811428571436</v>
      </c>
    </row>
    <row r="227" spans="1:32" s="3" customFormat="1" ht="20.100000000000001" customHeight="1" x14ac:dyDescent="0.2">
      <c r="A227" s="87"/>
      <c r="B227" s="10" t="s">
        <v>67</v>
      </c>
      <c r="C227" s="93" t="s">
        <v>75</v>
      </c>
      <c r="D227" s="10">
        <f>+$D$15</f>
        <v>25</v>
      </c>
      <c r="E227" s="10">
        <f>+$E$15</f>
        <v>1</v>
      </c>
      <c r="F227" s="10">
        <f>ROUNDUP((E217+1.35)/E227,0)</f>
        <v>7</v>
      </c>
      <c r="G227" s="90"/>
      <c r="H227" s="90"/>
      <c r="I227" s="10"/>
      <c r="J227" s="10"/>
      <c r="K227" s="10"/>
      <c r="L227" s="10"/>
      <c r="M227" s="10"/>
      <c r="N227" s="10"/>
      <c r="O227" s="10">
        <f>F217-$F$15</f>
        <v>0.39</v>
      </c>
      <c r="P227" s="10">
        <f t="shared" si="62"/>
        <v>2.73</v>
      </c>
      <c r="Q227" s="10">
        <f t="shared" si="60"/>
        <v>0</v>
      </c>
      <c r="R227" s="10">
        <f t="shared" si="60"/>
        <v>0</v>
      </c>
      <c r="S227" s="10">
        <f t="shared" si="60"/>
        <v>0</v>
      </c>
      <c r="T227" s="10">
        <f t="shared" si="60"/>
        <v>0</v>
      </c>
      <c r="U227" s="10">
        <f t="shared" si="60"/>
        <v>0</v>
      </c>
      <c r="V227" s="10">
        <f t="shared" si="60"/>
        <v>10.523906250000001</v>
      </c>
      <c r="W227" s="10">
        <f t="shared" si="60"/>
        <v>0</v>
      </c>
      <c r="X227" s="10">
        <f t="shared" si="63"/>
        <v>10.523906250000001</v>
      </c>
      <c r="Y227" s="10"/>
      <c r="Z227" s="10"/>
      <c r="AA227" s="10"/>
      <c r="AB227" s="10"/>
      <c r="AC227" s="10"/>
      <c r="AD227" s="10"/>
      <c r="AE227" s="10"/>
    </row>
    <row r="228" spans="1:32" s="3" customFormat="1" ht="21" customHeight="1" x14ac:dyDescent="0.2">
      <c r="A228" s="10">
        <v>1</v>
      </c>
      <c r="B228" s="10" t="s">
        <v>67</v>
      </c>
      <c r="C228" s="91" t="s">
        <v>95</v>
      </c>
      <c r="D228" s="91">
        <v>1</v>
      </c>
      <c r="E228" s="91">
        <v>6.5540000000000003</v>
      </c>
      <c r="F228" s="91">
        <v>0.45</v>
      </c>
      <c r="G228" s="91">
        <v>0.6</v>
      </c>
      <c r="H228" s="10">
        <f>G228-0.2</f>
        <v>0.39999999999999997</v>
      </c>
      <c r="I228" s="10">
        <f>E228*F228*G228*D228</f>
        <v>1.7695799999999999</v>
      </c>
      <c r="J228" s="10">
        <f>(2*(E228)*H228*D228)+(E228*F228)</f>
        <v>8.192499999999999</v>
      </c>
      <c r="K228" s="92">
        <f>IF(E228=0.3,J228,0)</f>
        <v>0</v>
      </c>
      <c r="L228" s="92">
        <f>IF(AND(E228&gt;0.3,E228&lt;=0.75),J228,0)</f>
        <v>0</v>
      </c>
      <c r="M228" s="92">
        <f>IF(AND(E228&gt;0.75,E228&lt;=1.2),J228,0)</f>
        <v>0</v>
      </c>
      <c r="N228" s="92">
        <f>IF(E228&gt;1.2,J228,0)</f>
        <v>8.192499999999999</v>
      </c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>
        <f>SUM(X229:X237)/I228</f>
        <v>231.75388432767753</v>
      </c>
      <c r="Z228" s="10"/>
      <c r="AA228" s="10"/>
      <c r="AB228" s="10"/>
      <c r="AC228" s="10"/>
      <c r="AD228" s="10"/>
      <c r="AE228" s="10"/>
      <c r="AF228" s="10"/>
    </row>
    <row r="229" spans="1:32" s="3" customFormat="1" ht="20.100000000000001" customHeight="1" x14ac:dyDescent="0.2">
      <c r="A229" s="87"/>
      <c r="B229" s="10" t="s">
        <v>67</v>
      </c>
      <c r="C229" s="93" t="s">
        <v>69</v>
      </c>
      <c r="D229" s="10">
        <v>20</v>
      </c>
      <c r="E229" s="10"/>
      <c r="F229" s="10">
        <v>4</v>
      </c>
      <c r="G229" s="90">
        <f>VLOOKUP(D229,$C$20:$F$26,3,0)</f>
        <v>1.05</v>
      </c>
      <c r="H229" s="90"/>
      <c r="I229" s="10"/>
      <c r="J229" s="10"/>
      <c r="K229" s="10"/>
      <c r="L229" s="10"/>
      <c r="M229" s="10"/>
      <c r="N229" s="10"/>
      <c r="O229" s="10">
        <f>(E228+1*(0.5/2)+1*(0.55/2))</f>
        <v>7.0790000000000006</v>
      </c>
      <c r="P229" s="10">
        <f t="shared" ref="P229:P238" si="64">O229*F229</f>
        <v>28.316000000000003</v>
      </c>
      <c r="Q229" s="10">
        <f t="shared" si="60"/>
        <v>0</v>
      </c>
      <c r="R229" s="10">
        <f t="shared" si="60"/>
        <v>0</v>
      </c>
      <c r="S229" s="10">
        <f t="shared" si="60"/>
        <v>0</v>
      </c>
      <c r="T229" s="10">
        <f t="shared" si="60"/>
        <v>0</v>
      </c>
      <c r="U229" s="10">
        <f t="shared" si="60"/>
        <v>69.859617142857147</v>
      </c>
      <c r="V229" s="10">
        <f t="shared" si="60"/>
        <v>0</v>
      </c>
      <c r="W229" s="10">
        <f t="shared" si="60"/>
        <v>0</v>
      </c>
      <c r="X229" s="10">
        <f t="shared" ref="X229:X238" si="65">SUM(Q229:W229)</f>
        <v>69.859617142857147</v>
      </c>
      <c r="Y229" s="10"/>
      <c r="Z229" s="10"/>
      <c r="AA229" s="10"/>
      <c r="AB229" s="10"/>
      <c r="AC229" s="10"/>
      <c r="AD229" s="10"/>
      <c r="AE229" s="10"/>
    </row>
    <row r="230" spans="1:32" s="3" customFormat="1" ht="20.100000000000001" customHeight="1" x14ac:dyDescent="0.2">
      <c r="A230" s="87"/>
      <c r="B230" s="10" t="s">
        <v>67</v>
      </c>
      <c r="C230" s="93" t="s">
        <v>69</v>
      </c>
      <c r="D230" s="10">
        <v>20</v>
      </c>
      <c r="E230" s="10"/>
      <c r="F230" s="10">
        <v>4</v>
      </c>
      <c r="G230" s="90">
        <f>VLOOKUP(D230,$C$20:$F$26,3,0)</f>
        <v>1.05</v>
      </c>
      <c r="H230" s="90"/>
      <c r="I230" s="10"/>
      <c r="J230" s="10"/>
      <c r="K230" s="10"/>
      <c r="L230" s="10"/>
      <c r="M230" s="10"/>
      <c r="N230" s="10"/>
      <c r="O230" s="10">
        <f>(1.8+1*(0.55/2))*2</f>
        <v>4.1500000000000004</v>
      </c>
      <c r="P230" s="10">
        <f t="shared" si="64"/>
        <v>16.600000000000001</v>
      </c>
      <c r="Q230" s="10">
        <f t="shared" ref="Q230:W238" si="66">IF($D230=Q$44,$P230*Q$45,0)</f>
        <v>0</v>
      </c>
      <c r="R230" s="10">
        <f t="shared" si="66"/>
        <v>0</v>
      </c>
      <c r="S230" s="10">
        <f t="shared" si="66"/>
        <v>0</v>
      </c>
      <c r="T230" s="10">
        <f t="shared" si="66"/>
        <v>0</v>
      </c>
      <c r="U230" s="10">
        <f t="shared" si="66"/>
        <v>40.954571428571434</v>
      </c>
      <c r="V230" s="10">
        <f t="shared" si="66"/>
        <v>0</v>
      </c>
      <c r="W230" s="10">
        <f t="shared" si="66"/>
        <v>0</v>
      </c>
      <c r="X230" s="10">
        <f t="shared" si="65"/>
        <v>40.954571428571434</v>
      </c>
      <c r="Y230" s="10"/>
      <c r="Z230" s="10"/>
      <c r="AA230" s="10"/>
      <c r="AB230" s="10"/>
      <c r="AC230" s="10"/>
      <c r="AD230" s="10"/>
      <c r="AE230" s="10"/>
    </row>
    <row r="231" spans="1:32" s="3" customFormat="1" ht="20.100000000000001" customHeight="1" x14ac:dyDescent="0.2">
      <c r="A231" s="87"/>
      <c r="B231" s="10" t="s">
        <v>67</v>
      </c>
      <c r="C231" s="93" t="s">
        <v>70</v>
      </c>
      <c r="D231" s="10">
        <v>20</v>
      </c>
      <c r="E231" s="10"/>
      <c r="F231" s="10">
        <v>4</v>
      </c>
      <c r="G231" s="90">
        <f>VLOOKUP(D231,$C$20:$F$26,3,0)</f>
        <v>1.05</v>
      </c>
      <c r="H231" s="90"/>
      <c r="I231" s="10"/>
      <c r="J231" s="10"/>
      <c r="K231" s="10"/>
      <c r="L231" s="10"/>
      <c r="M231" s="10"/>
      <c r="N231" s="10"/>
      <c r="O231" s="10">
        <f>(1.8+1*(0.5/2))</f>
        <v>2.0499999999999998</v>
      </c>
      <c r="P231" s="10">
        <f t="shared" si="64"/>
        <v>8.1999999999999993</v>
      </c>
      <c r="Q231" s="10">
        <f t="shared" si="66"/>
        <v>0</v>
      </c>
      <c r="R231" s="10">
        <f t="shared" si="66"/>
        <v>0</v>
      </c>
      <c r="S231" s="10">
        <f t="shared" si="66"/>
        <v>0</v>
      </c>
      <c r="T231" s="10">
        <f t="shared" si="66"/>
        <v>0</v>
      </c>
      <c r="U231" s="10">
        <f t="shared" si="66"/>
        <v>20.230571428571427</v>
      </c>
      <c r="V231" s="10">
        <f t="shared" si="66"/>
        <v>0</v>
      </c>
      <c r="W231" s="10">
        <f t="shared" si="66"/>
        <v>0</v>
      </c>
      <c r="X231" s="10">
        <f t="shared" si="65"/>
        <v>20.230571428571427</v>
      </c>
      <c r="Y231" s="10"/>
      <c r="Z231" s="10"/>
      <c r="AA231" s="10"/>
      <c r="AB231" s="10"/>
      <c r="AC231" s="10"/>
      <c r="AD231" s="10"/>
      <c r="AE231" s="10"/>
    </row>
    <row r="232" spans="1:32" s="3" customFormat="1" ht="20.100000000000001" customHeight="1" x14ac:dyDescent="0.2">
      <c r="A232" s="87"/>
      <c r="B232" s="10" t="s">
        <v>67</v>
      </c>
      <c r="C232" s="93" t="s">
        <v>71</v>
      </c>
      <c r="D232" s="10">
        <v>20</v>
      </c>
      <c r="E232" s="10"/>
      <c r="F232" s="10">
        <v>4</v>
      </c>
      <c r="G232" s="90">
        <f>VLOOKUP(D232,$C$20:$F$26,3,0)</f>
        <v>1.05</v>
      </c>
      <c r="H232" s="10"/>
      <c r="I232" s="10"/>
      <c r="J232" s="10"/>
      <c r="K232" s="10"/>
      <c r="L232" s="10"/>
      <c r="M232" s="10"/>
      <c r="N232" s="10"/>
      <c r="O232" s="10">
        <f>(E228+1*(0.5/2)+1*(0.55/2))</f>
        <v>7.0790000000000006</v>
      </c>
      <c r="P232" s="10">
        <f t="shared" si="64"/>
        <v>28.316000000000003</v>
      </c>
      <c r="Q232" s="10">
        <f t="shared" si="66"/>
        <v>0</v>
      </c>
      <c r="R232" s="10">
        <f t="shared" si="66"/>
        <v>0</v>
      </c>
      <c r="S232" s="10">
        <f t="shared" si="66"/>
        <v>0</v>
      </c>
      <c r="T232" s="10">
        <f t="shared" si="66"/>
        <v>0</v>
      </c>
      <c r="U232" s="10">
        <f t="shared" si="66"/>
        <v>69.859617142857147</v>
      </c>
      <c r="V232" s="10">
        <f t="shared" si="66"/>
        <v>0</v>
      </c>
      <c r="W232" s="10">
        <f t="shared" si="66"/>
        <v>0</v>
      </c>
      <c r="X232" s="10">
        <f t="shared" si="65"/>
        <v>69.859617142857147</v>
      </c>
      <c r="Y232" s="10"/>
      <c r="Z232" s="10"/>
      <c r="AA232" s="10"/>
      <c r="AB232" s="10"/>
      <c r="AC232" s="10"/>
      <c r="AD232" s="10"/>
      <c r="AE232" s="10"/>
    </row>
    <row r="233" spans="1:32" s="3" customFormat="1" ht="20.100000000000001" customHeight="1" x14ac:dyDescent="0.2">
      <c r="A233" s="87"/>
      <c r="B233" s="10" t="s">
        <v>67</v>
      </c>
      <c r="C233" s="93" t="s">
        <v>72</v>
      </c>
      <c r="D233" s="10">
        <v>16</v>
      </c>
      <c r="E233" s="10"/>
      <c r="F233" s="10">
        <v>4</v>
      </c>
      <c r="G233" s="90">
        <f>VLOOKUP(D233,$C$20:$F$26,3,0)</f>
        <v>0.85</v>
      </c>
      <c r="H233" s="10"/>
      <c r="I233" s="10"/>
      <c r="J233" s="10"/>
      <c r="K233" s="10"/>
      <c r="L233" s="10"/>
      <c r="M233" s="10"/>
      <c r="N233" s="10"/>
      <c r="O233" s="10">
        <f>1.8+(12*D233/1000)+(0.5/2)</f>
        <v>2.242</v>
      </c>
      <c r="P233" s="10">
        <f t="shared" si="64"/>
        <v>8.968</v>
      </c>
      <c r="Q233" s="10">
        <f t="shared" si="66"/>
        <v>0</v>
      </c>
      <c r="R233" s="10">
        <f t="shared" si="66"/>
        <v>0</v>
      </c>
      <c r="S233" s="10">
        <f t="shared" si="66"/>
        <v>0</v>
      </c>
      <c r="T233" s="10">
        <f t="shared" si="66"/>
        <v>14.160215771428572</v>
      </c>
      <c r="U233" s="10">
        <f t="shared" si="66"/>
        <v>0</v>
      </c>
      <c r="V233" s="10">
        <f t="shared" si="66"/>
        <v>0</v>
      </c>
      <c r="W233" s="10">
        <f t="shared" si="66"/>
        <v>0</v>
      </c>
      <c r="X233" s="10">
        <f t="shared" si="65"/>
        <v>14.160215771428572</v>
      </c>
      <c r="Y233" s="10"/>
      <c r="Z233" s="10"/>
      <c r="AA233" s="10"/>
      <c r="AB233" s="10"/>
      <c r="AC233" s="10"/>
      <c r="AD233" s="10"/>
      <c r="AE233" s="10"/>
    </row>
    <row r="234" spans="1:32" s="3" customFormat="1" ht="20.100000000000001" customHeight="1" x14ac:dyDescent="0.2">
      <c r="A234" s="87"/>
      <c r="B234" s="10" t="s">
        <v>67</v>
      </c>
      <c r="C234" s="93" t="s">
        <v>73</v>
      </c>
      <c r="D234" s="10">
        <v>12</v>
      </c>
      <c r="E234" s="10">
        <v>0.1</v>
      </c>
      <c r="F234" s="10">
        <f>ROUND(IF(E228/3&gt;(2*G228),(E228/3)/E234,(2*G228)/E234),0)*2+1</f>
        <v>45</v>
      </c>
      <c r="H234" s="10"/>
      <c r="I234" s="10"/>
      <c r="J234" s="10"/>
      <c r="K234" s="10"/>
      <c r="L234" s="10"/>
      <c r="M234" s="10"/>
      <c r="N234" s="10"/>
      <c r="O234" s="10">
        <f>(2*((G228-(2*$D$11))+(F228-(2*$D$11)))+(2*10*D234/1000))*D228</f>
        <v>2.1</v>
      </c>
      <c r="P234" s="10">
        <f t="shared" si="64"/>
        <v>94.5</v>
      </c>
      <c r="Q234" s="10">
        <f t="shared" si="66"/>
        <v>0</v>
      </c>
      <c r="R234" s="10">
        <f t="shared" si="66"/>
        <v>0</v>
      </c>
      <c r="S234" s="10">
        <f t="shared" si="66"/>
        <v>83.932200000000009</v>
      </c>
      <c r="T234" s="10">
        <f t="shared" si="66"/>
        <v>0</v>
      </c>
      <c r="U234" s="10">
        <f t="shared" si="66"/>
        <v>0</v>
      </c>
      <c r="V234" s="10">
        <f t="shared" si="66"/>
        <v>0</v>
      </c>
      <c r="W234" s="10">
        <f t="shared" si="66"/>
        <v>0</v>
      </c>
      <c r="X234" s="10">
        <f t="shared" si="65"/>
        <v>83.932200000000009</v>
      </c>
      <c r="Y234" s="10"/>
      <c r="Z234" s="10"/>
      <c r="AA234" s="10"/>
      <c r="AB234" s="10"/>
      <c r="AC234" s="10"/>
      <c r="AD234" s="10"/>
      <c r="AE234" s="10"/>
    </row>
    <row r="235" spans="1:32" s="2" customFormat="1" ht="20.100000000000001" customHeight="1" x14ac:dyDescent="0.2">
      <c r="B235" s="10" t="s">
        <v>67</v>
      </c>
      <c r="C235" s="93" t="s">
        <v>73</v>
      </c>
      <c r="D235" s="2">
        <f>D234</f>
        <v>12</v>
      </c>
      <c r="E235" s="2">
        <v>0.15</v>
      </c>
      <c r="F235" s="2">
        <f>ROUND((E228-(IF(E228/3&gt;2*G228,E228/3*2,G228*2*2)))/E235,0)</f>
        <v>15</v>
      </c>
      <c r="G235" s="3"/>
      <c r="O235" s="10">
        <f>(2*((G228-(2*$D$11))+(F228-(2*$D$11)))+(2*10*D235/1000))*D228</f>
        <v>2.1</v>
      </c>
      <c r="P235" s="10">
        <f t="shared" si="64"/>
        <v>31.5</v>
      </c>
      <c r="Q235" s="10">
        <f t="shared" si="66"/>
        <v>0</v>
      </c>
      <c r="R235" s="10">
        <f t="shared" si="66"/>
        <v>0</v>
      </c>
      <c r="S235" s="10">
        <f t="shared" si="66"/>
        <v>27.977400000000006</v>
      </c>
      <c r="T235" s="10">
        <f t="shared" si="66"/>
        <v>0</v>
      </c>
      <c r="U235" s="10">
        <f t="shared" si="66"/>
        <v>0</v>
      </c>
      <c r="V235" s="10">
        <f t="shared" si="66"/>
        <v>0</v>
      </c>
      <c r="W235" s="10">
        <f t="shared" si="66"/>
        <v>0</v>
      </c>
      <c r="X235" s="10">
        <f t="shared" si="65"/>
        <v>27.977400000000006</v>
      </c>
    </row>
    <row r="236" spans="1:32" s="2" customFormat="1" ht="20.100000000000001" customHeight="1" x14ac:dyDescent="0.2">
      <c r="B236" s="10" t="s">
        <v>67</v>
      </c>
      <c r="C236" s="93" t="s">
        <v>74</v>
      </c>
      <c r="D236" s="2">
        <f>D234</f>
        <v>12</v>
      </c>
      <c r="E236" s="2">
        <f>+E234</f>
        <v>0.1</v>
      </c>
      <c r="F236" s="10">
        <f>ROUND(IF(E228/3&gt;(2*G228),(E228/3)/E236,(2*G228)/E236),0)*2+1</f>
        <v>45</v>
      </c>
      <c r="G236" s="3"/>
      <c r="O236" s="10">
        <f>((((G228-(2*$D$11))+(2*10*D236/1000))*D228))*2</f>
        <v>1.56</v>
      </c>
      <c r="P236" s="10">
        <f t="shared" si="64"/>
        <v>70.2</v>
      </c>
      <c r="Q236" s="10">
        <f t="shared" si="66"/>
        <v>0</v>
      </c>
      <c r="R236" s="10">
        <f t="shared" si="66"/>
        <v>0</v>
      </c>
      <c r="S236" s="10">
        <f t="shared" si="66"/>
        <v>62.349634285714302</v>
      </c>
      <c r="T236" s="10">
        <f t="shared" si="66"/>
        <v>0</v>
      </c>
      <c r="U236" s="10">
        <f t="shared" si="66"/>
        <v>0</v>
      </c>
      <c r="V236" s="10">
        <f t="shared" si="66"/>
        <v>0</v>
      </c>
      <c r="W236" s="10">
        <f t="shared" si="66"/>
        <v>0</v>
      </c>
      <c r="X236" s="10">
        <f t="shared" si="65"/>
        <v>62.349634285714302</v>
      </c>
    </row>
    <row r="237" spans="1:32" s="2" customFormat="1" ht="20.100000000000001" customHeight="1" x14ac:dyDescent="0.2">
      <c r="B237" s="10" t="s">
        <v>67</v>
      </c>
      <c r="C237" s="93" t="s">
        <v>74</v>
      </c>
      <c r="D237" s="2">
        <f>D235</f>
        <v>12</v>
      </c>
      <c r="E237" s="2">
        <f>+E235</f>
        <v>0.15</v>
      </c>
      <c r="F237" s="2">
        <f>ROUND((E228-(IF(E228/3&gt;2*G228,E228/3*2,G228*2*2)))/E237,0)</f>
        <v>15</v>
      </c>
      <c r="G237" s="3"/>
      <c r="O237" s="10">
        <f>((((G228-(2*$D$11))+(2*10*D237/1000))*D228))*2</f>
        <v>1.56</v>
      </c>
      <c r="P237" s="10">
        <f t="shared" si="64"/>
        <v>23.400000000000002</v>
      </c>
      <c r="Q237" s="10">
        <f t="shared" si="66"/>
        <v>0</v>
      </c>
      <c r="R237" s="10">
        <f t="shared" si="66"/>
        <v>0</v>
      </c>
      <c r="S237" s="10">
        <f t="shared" si="66"/>
        <v>20.783211428571434</v>
      </c>
      <c r="T237" s="10">
        <f t="shared" si="66"/>
        <v>0</v>
      </c>
      <c r="U237" s="10">
        <f t="shared" si="66"/>
        <v>0</v>
      </c>
      <c r="V237" s="10">
        <f t="shared" si="66"/>
        <v>0</v>
      </c>
      <c r="W237" s="10">
        <f t="shared" si="66"/>
        <v>0</v>
      </c>
      <c r="X237" s="10">
        <f t="shared" si="65"/>
        <v>20.783211428571434</v>
      </c>
    </row>
    <row r="238" spans="1:32" s="3" customFormat="1" ht="20.100000000000001" customHeight="1" x14ac:dyDescent="0.2">
      <c r="A238" s="87"/>
      <c r="B238" s="10" t="s">
        <v>67</v>
      </c>
      <c r="C238" s="93" t="s">
        <v>75</v>
      </c>
      <c r="D238" s="10">
        <f>+$D$15</f>
        <v>25</v>
      </c>
      <c r="E238" s="10">
        <f>+$E$15</f>
        <v>1</v>
      </c>
      <c r="F238" s="10">
        <f>ROUNDUP((O233+3.6)/E238,0)</f>
        <v>6</v>
      </c>
      <c r="G238" s="90"/>
      <c r="H238" s="90"/>
      <c r="I238" s="10"/>
      <c r="J238" s="10"/>
      <c r="K238" s="10"/>
      <c r="L238" s="10"/>
      <c r="M238" s="10"/>
      <c r="N238" s="10"/>
      <c r="O238" s="10">
        <f>F228-$F$15</f>
        <v>0.39</v>
      </c>
      <c r="P238" s="10">
        <f t="shared" si="64"/>
        <v>2.34</v>
      </c>
      <c r="Q238" s="10">
        <f t="shared" si="66"/>
        <v>0</v>
      </c>
      <c r="R238" s="10">
        <f t="shared" si="66"/>
        <v>0</v>
      </c>
      <c r="S238" s="10">
        <f t="shared" si="66"/>
        <v>0</v>
      </c>
      <c r="T238" s="10">
        <f t="shared" si="66"/>
        <v>0</v>
      </c>
      <c r="U238" s="10">
        <f t="shared" si="66"/>
        <v>0</v>
      </c>
      <c r="V238" s="10">
        <f t="shared" si="66"/>
        <v>9.0204910714285731</v>
      </c>
      <c r="W238" s="10">
        <f t="shared" si="66"/>
        <v>0</v>
      </c>
      <c r="X238" s="10">
        <f t="shared" si="65"/>
        <v>9.0204910714285731</v>
      </c>
      <c r="Y238" s="10"/>
      <c r="Z238" s="10"/>
      <c r="AA238" s="10"/>
      <c r="AB238" s="10"/>
      <c r="AC238" s="10"/>
      <c r="AD238" s="10"/>
      <c r="AE238" s="10"/>
    </row>
    <row r="239" spans="1:32" s="3" customFormat="1" ht="21" customHeight="1" x14ac:dyDescent="0.2">
      <c r="A239" s="10">
        <v>1</v>
      </c>
      <c r="B239" s="10" t="s">
        <v>67</v>
      </c>
      <c r="C239" s="91" t="s">
        <v>96</v>
      </c>
      <c r="D239" s="91">
        <v>1</v>
      </c>
      <c r="E239" s="91">
        <v>6.5540000000000003</v>
      </c>
      <c r="F239" s="91">
        <v>0.45</v>
      </c>
      <c r="G239" s="91">
        <v>0.6</v>
      </c>
      <c r="H239" s="10">
        <f>G239-0.2</f>
        <v>0.39999999999999997</v>
      </c>
      <c r="I239" s="10">
        <f>E239*F239*G239*D239</f>
        <v>1.7695799999999999</v>
      </c>
      <c r="J239" s="10">
        <f>(2*(E239)*H239*D239)+(E239*F239)</f>
        <v>8.192499999999999</v>
      </c>
      <c r="K239" s="92">
        <f>IF(E239=0.3,J239,0)</f>
        <v>0</v>
      </c>
      <c r="L239" s="92">
        <f>IF(AND(E239&gt;0.3,E239&lt;=0.75),J239,0)</f>
        <v>0</v>
      </c>
      <c r="M239" s="92">
        <f>IF(AND(E239&gt;0.75,E239&lt;=1.2),J239,0)</f>
        <v>0</v>
      </c>
      <c r="N239" s="92">
        <f>IF(E239&gt;1.2,J239,0)</f>
        <v>8.192499999999999</v>
      </c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>
        <f>SUM(X240:X247)/I239</f>
        <v>182.12828406417665</v>
      </c>
      <c r="Z239" s="10"/>
      <c r="AA239" s="10"/>
      <c r="AB239" s="10"/>
      <c r="AC239" s="10"/>
      <c r="AD239" s="10"/>
      <c r="AE239" s="10"/>
      <c r="AF239" s="10"/>
    </row>
    <row r="240" spans="1:32" s="3" customFormat="1" ht="20.100000000000001" customHeight="1" x14ac:dyDescent="0.2">
      <c r="A240" s="87"/>
      <c r="B240" s="10" t="s">
        <v>67</v>
      </c>
      <c r="C240" s="93" t="s">
        <v>69</v>
      </c>
      <c r="D240" s="10">
        <v>20</v>
      </c>
      <c r="E240" s="10"/>
      <c r="F240" s="10">
        <v>4</v>
      </c>
      <c r="G240" s="90">
        <f>VLOOKUP(D240,$C$20:$F$26,3,0)</f>
        <v>1.05</v>
      </c>
      <c r="H240" s="90"/>
      <c r="I240" s="10"/>
      <c r="J240" s="10"/>
      <c r="K240" s="10"/>
      <c r="L240" s="10"/>
      <c r="M240" s="10"/>
      <c r="N240" s="10"/>
      <c r="O240" s="10">
        <f>(E239+1*(0.5/2)+1*(0.5/2))</f>
        <v>7.0540000000000003</v>
      </c>
      <c r="P240" s="10">
        <f t="shared" ref="P240:P248" si="67">O240*F240</f>
        <v>28.216000000000001</v>
      </c>
      <c r="Q240" s="10">
        <f t="shared" ref="Q240:W255" si="68">IF($D240=Q$44,$P240*Q$45,0)</f>
        <v>0</v>
      </c>
      <c r="R240" s="10">
        <f t="shared" si="68"/>
        <v>0</v>
      </c>
      <c r="S240" s="10">
        <f t="shared" si="68"/>
        <v>0</v>
      </c>
      <c r="T240" s="10">
        <f t="shared" si="68"/>
        <v>0</v>
      </c>
      <c r="U240" s="10">
        <f t="shared" si="68"/>
        <v>69.612902857142856</v>
      </c>
      <c r="V240" s="10">
        <f t="shared" si="68"/>
        <v>0</v>
      </c>
      <c r="W240" s="10">
        <f t="shared" si="68"/>
        <v>0</v>
      </c>
      <c r="X240" s="10">
        <f t="shared" ref="X240:X248" si="69">SUM(Q240:W240)</f>
        <v>69.612902857142856</v>
      </c>
      <c r="Y240" s="10"/>
      <c r="Z240" s="10"/>
      <c r="AA240" s="10"/>
      <c r="AB240" s="10"/>
      <c r="AC240" s="10"/>
      <c r="AD240" s="10"/>
      <c r="AE240" s="10"/>
    </row>
    <row r="241" spans="1:32" s="3" customFormat="1" ht="20.100000000000001" customHeight="1" x14ac:dyDescent="0.2">
      <c r="A241" s="87"/>
      <c r="B241" s="10" t="s">
        <v>67</v>
      </c>
      <c r="C241" s="93" t="s">
        <v>70</v>
      </c>
      <c r="D241" s="10">
        <v>20</v>
      </c>
      <c r="E241" s="10"/>
      <c r="F241" s="10">
        <v>4</v>
      </c>
      <c r="G241" s="90">
        <f>VLOOKUP(D241,$C$20:$F$26,3,0)</f>
        <v>1.05</v>
      </c>
      <c r="H241" s="90"/>
      <c r="I241" s="10"/>
      <c r="J241" s="10"/>
      <c r="K241" s="10"/>
      <c r="L241" s="10"/>
      <c r="M241" s="10"/>
      <c r="N241" s="10"/>
      <c r="O241" s="10">
        <f>(1.8+1.8+1*(0.5/2))</f>
        <v>3.85</v>
      </c>
      <c r="P241" s="10">
        <f t="shared" si="67"/>
        <v>15.4</v>
      </c>
      <c r="Q241" s="10">
        <f t="shared" si="68"/>
        <v>0</v>
      </c>
      <c r="R241" s="10">
        <f t="shared" si="68"/>
        <v>0</v>
      </c>
      <c r="S241" s="10">
        <f t="shared" si="68"/>
        <v>0</v>
      </c>
      <c r="T241" s="10">
        <f t="shared" si="68"/>
        <v>0</v>
      </c>
      <c r="U241" s="10">
        <f t="shared" si="68"/>
        <v>37.994</v>
      </c>
      <c r="V241" s="10">
        <f t="shared" si="68"/>
        <v>0</v>
      </c>
      <c r="W241" s="10">
        <f t="shared" si="68"/>
        <v>0</v>
      </c>
      <c r="X241" s="10">
        <f t="shared" si="69"/>
        <v>37.994</v>
      </c>
      <c r="Y241" s="10"/>
      <c r="Z241" s="10"/>
      <c r="AA241" s="10"/>
      <c r="AB241" s="10"/>
      <c r="AC241" s="10"/>
      <c r="AD241" s="10"/>
      <c r="AE241" s="10"/>
    </row>
    <row r="242" spans="1:32" s="3" customFormat="1" ht="20.100000000000001" customHeight="1" x14ac:dyDescent="0.2">
      <c r="A242" s="87"/>
      <c r="B242" s="10" t="s">
        <v>67</v>
      </c>
      <c r="C242" s="93" t="s">
        <v>71</v>
      </c>
      <c r="D242" s="10">
        <v>20</v>
      </c>
      <c r="E242" s="10"/>
      <c r="F242" s="10">
        <v>4</v>
      </c>
      <c r="G242" s="90">
        <f>VLOOKUP(D242,$C$20:$F$26,3,0)</f>
        <v>1.05</v>
      </c>
      <c r="H242" s="10"/>
      <c r="I242" s="10"/>
      <c r="J242" s="10"/>
      <c r="K242" s="10"/>
      <c r="L242" s="10"/>
      <c r="M242" s="10"/>
      <c r="N242" s="10"/>
      <c r="O242" s="10">
        <f>(E239+1*(0.5/2)+1*(0.5/2))</f>
        <v>7.0540000000000003</v>
      </c>
      <c r="P242" s="10">
        <f t="shared" si="67"/>
        <v>28.216000000000001</v>
      </c>
      <c r="Q242" s="10">
        <f t="shared" si="68"/>
        <v>0</v>
      </c>
      <c r="R242" s="10">
        <f t="shared" si="68"/>
        <v>0</v>
      </c>
      <c r="S242" s="10">
        <f t="shared" si="68"/>
        <v>0</v>
      </c>
      <c r="T242" s="10">
        <f t="shared" si="68"/>
        <v>0</v>
      </c>
      <c r="U242" s="10">
        <f t="shared" si="68"/>
        <v>69.612902857142856</v>
      </c>
      <c r="V242" s="10">
        <f t="shared" si="68"/>
        <v>0</v>
      </c>
      <c r="W242" s="10">
        <f t="shared" si="68"/>
        <v>0</v>
      </c>
      <c r="X242" s="10">
        <f t="shared" si="69"/>
        <v>69.612902857142856</v>
      </c>
      <c r="Y242" s="10"/>
      <c r="Z242" s="10"/>
      <c r="AA242" s="10"/>
      <c r="AB242" s="10"/>
      <c r="AC242" s="10"/>
      <c r="AD242" s="10"/>
      <c r="AE242" s="10"/>
    </row>
    <row r="243" spans="1:32" s="3" customFormat="1" ht="20.100000000000001" customHeight="1" x14ac:dyDescent="0.2">
      <c r="A243" s="87"/>
      <c r="B243" s="10" t="s">
        <v>67</v>
      </c>
      <c r="C243" s="93" t="s">
        <v>72</v>
      </c>
      <c r="D243" s="10">
        <v>16</v>
      </c>
      <c r="E243" s="10"/>
      <c r="F243" s="10">
        <v>2</v>
      </c>
      <c r="G243" s="90">
        <f>VLOOKUP(D243,$C$20:$F$26,3,0)</f>
        <v>0.85</v>
      </c>
      <c r="H243" s="10"/>
      <c r="I243" s="10"/>
      <c r="J243" s="10"/>
      <c r="K243" s="10"/>
      <c r="L243" s="10"/>
      <c r="M243" s="10"/>
      <c r="N243" s="10"/>
      <c r="O243" s="10">
        <f>E239-1.05-1.05</f>
        <v>4.4540000000000006</v>
      </c>
      <c r="P243" s="10">
        <f t="shared" si="67"/>
        <v>8.9080000000000013</v>
      </c>
      <c r="Q243" s="10">
        <f t="shared" si="68"/>
        <v>0</v>
      </c>
      <c r="R243" s="10">
        <f t="shared" si="68"/>
        <v>0</v>
      </c>
      <c r="S243" s="10">
        <f t="shared" si="68"/>
        <v>0</v>
      </c>
      <c r="T243" s="10">
        <f t="shared" si="68"/>
        <v>14.065477485714288</v>
      </c>
      <c r="U243" s="10">
        <f t="shared" si="68"/>
        <v>0</v>
      </c>
      <c r="V243" s="10">
        <f t="shared" si="68"/>
        <v>0</v>
      </c>
      <c r="W243" s="10">
        <f t="shared" si="68"/>
        <v>0</v>
      </c>
      <c r="X243" s="10">
        <f t="shared" si="69"/>
        <v>14.065477485714288</v>
      </c>
      <c r="Y243" s="10"/>
      <c r="Z243" s="10"/>
      <c r="AA243" s="10"/>
      <c r="AB243" s="10"/>
      <c r="AC243" s="10"/>
      <c r="AD243" s="10"/>
      <c r="AE243" s="10"/>
    </row>
    <row r="244" spans="1:32" s="3" customFormat="1" ht="20.100000000000001" customHeight="1" x14ac:dyDescent="0.2">
      <c r="A244" s="87"/>
      <c r="B244" s="10" t="s">
        <v>67</v>
      </c>
      <c r="C244" s="93" t="s">
        <v>73</v>
      </c>
      <c r="D244" s="10">
        <v>10</v>
      </c>
      <c r="E244" s="10">
        <v>0.1</v>
      </c>
      <c r="F244" s="10">
        <f>ROUND(IF(E239/3&gt;(2*G239),(E239/3)/E244,(2*G239)/E244),0)*2+1</f>
        <v>45</v>
      </c>
      <c r="H244" s="10"/>
      <c r="I244" s="10"/>
      <c r="J244" s="10"/>
      <c r="K244" s="10"/>
      <c r="L244" s="10"/>
      <c r="M244" s="10"/>
      <c r="N244" s="10"/>
      <c r="O244" s="10">
        <f>(2*((G239-(2*$D$11))+(F239-(2*$D$11)))+(2*10*D244/1000))*D239</f>
        <v>2.06</v>
      </c>
      <c r="P244" s="10">
        <f t="shared" si="67"/>
        <v>92.7</v>
      </c>
      <c r="Q244" s="10">
        <f t="shared" si="68"/>
        <v>0</v>
      </c>
      <c r="R244" s="10">
        <f t="shared" si="68"/>
        <v>57.176035714285717</v>
      </c>
      <c r="S244" s="10">
        <f t="shared" si="68"/>
        <v>0</v>
      </c>
      <c r="T244" s="10">
        <f t="shared" si="68"/>
        <v>0</v>
      </c>
      <c r="U244" s="10">
        <f t="shared" si="68"/>
        <v>0</v>
      </c>
      <c r="V244" s="10">
        <f t="shared" si="68"/>
        <v>0</v>
      </c>
      <c r="W244" s="10">
        <f t="shared" si="68"/>
        <v>0</v>
      </c>
      <c r="X244" s="10">
        <f t="shared" si="69"/>
        <v>57.176035714285717</v>
      </c>
      <c r="Y244" s="10"/>
      <c r="Z244" s="10"/>
      <c r="AA244" s="10"/>
      <c r="AB244" s="10"/>
      <c r="AC244" s="10"/>
      <c r="AD244" s="10"/>
      <c r="AE244" s="10"/>
    </row>
    <row r="245" spans="1:32" s="2" customFormat="1" ht="20.100000000000001" customHeight="1" x14ac:dyDescent="0.2">
      <c r="B245" s="10" t="s">
        <v>67</v>
      </c>
      <c r="C245" s="93" t="s">
        <v>73</v>
      </c>
      <c r="D245" s="2">
        <f>D244</f>
        <v>10</v>
      </c>
      <c r="E245" s="2">
        <v>0.15</v>
      </c>
      <c r="F245" s="2">
        <f>ROUND((E239-(IF(E239/3&gt;2*G239,E239/3*2,G239*2*2)))/E245,0)</f>
        <v>15</v>
      </c>
      <c r="G245" s="3"/>
      <c r="O245" s="10">
        <f>(2*((G239-(2*$D$11))+(F239-(2*$D$11)))+(2*10*D245/1000))*D239</f>
        <v>2.06</v>
      </c>
      <c r="P245" s="10">
        <f t="shared" si="67"/>
        <v>30.900000000000002</v>
      </c>
      <c r="Q245" s="10">
        <f t="shared" si="68"/>
        <v>0</v>
      </c>
      <c r="R245" s="10">
        <f t="shared" si="68"/>
        <v>19.058678571428572</v>
      </c>
      <c r="S245" s="10">
        <f t="shared" si="68"/>
        <v>0</v>
      </c>
      <c r="T245" s="10">
        <f t="shared" si="68"/>
        <v>0</v>
      </c>
      <c r="U245" s="10">
        <f t="shared" si="68"/>
        <v>0</v>
      </c>
      <c r="V245" s="10">
        <f t="shared" si="68"/>
        <v>0</v>
      </c>
      <c r="W245" s="10">
        <f t="shared" si="68"/>
        <v>0</v>
      </c>
      <c r="X245" s="10">
        <f t="shared" si="69"/>
        <v>19.058678571428572</v>
      </c>
    </row>
    <row r="246" spans="1:32" s="2" customFormat="1" ht="20.100000000000001" customHeight="1" x14ac:dyDescent="0.2">
      <c r="B246" s="10" t="s">
        <v>67</v>
      </c>
      <c r="C246" s="93" t="s">
        <v>74</v>
      </c>
      <c r="D246" s="2">
        <f>D244</f>
        <v>10</v>
      </c>
      <c r="E246" s="2">
        <f>+E244</f>
        <v>0.1</v>
      </c>
      <c r="F246" s="10">
        <f>ROUND(IF(E239/3&gt;(2*G239),(E239/3)/E246,(2*G239)/E246),0)*2+1</f>
        <v>45</v>
      </c>
      <c r="G246" s="3"/>
      <c r="O246" s="10">
        <f>((((G239-(2*$D$11))+(2*10*D246/1000))*D239))*2</f>
        <v>1.48</v>
      </c>
      <c r="P246" s="10">
        <f t="shared" si="67"/>
        <v>66.599999999999994</v>
      </c>
      <c r="Q246" s="10">
        <f t="shared" si="68"/>
        <v>0</v>
      </c>
      <c r="R246" s="10">
        <f t="shared" si="68"/>
        <v>41.077928571428565</v>
      </c>
      <c r="S246" s="10">
        <f t="shared" si="68"/>
        <v>0</v>
      </c>
      <c r="T246" s="10">
        <f t="shared" si="68"/>
        <v>0</v>
      </c>
      <c r="U246" s="10">
        <f t="shared" si="68"/>
        <v>0</v>
      </c>
      <c r="V246" s="10">
        <f t="shared" si="68"/>
        <v>0</v>
      </c>
      <c r="W246" s="10">
        <f t="shared" si="68"/>
        <v>0</v>
      </c>
      <c r="X246" s="10">
        <f t="shared" si="69"/>
        <v>41.077928571428565</v>
      </c>
    </row>
    <row r="247" spans="1:32" s="2" customFormat="1" ht="20.100000000000001" customHeight="1" x14ac:dyDescent="0.2">
      <c r="B247" s="10" t="s">
        <v>67</v>
      </c>
      <c r="C247" s="93" t="s">
        <v>74</v>
      </c>
      <c r="D247" s="2">
        <f>D245</f>
        <v>10</v>
      </c>
      <c r="E247" s="2">
        <f>+E245</f>
        <v>0.15</v>
      </c>
      <c r="F247" s="2">
        <f>ROUND((E239-(IF(E239/3&gt;2*G239,E239/3*2,G239*2*2)))/E247,0)</f>
        <v>15</v>
      </c>
      <c r="G247" s="3"/>
      <c r="O247" s="10">
        <f>((((G239-(2*$D$11))+(2*10*D247/1000))*D239))*2</f>
        <v>1.48</v>
      </c>
      <c r="P247" s="10">
        <f t="shared" si="67"/>
        <v>22.2</v>
      </c>
      <c r="Q247" s="10">
        <f t="shared" si="68"/>
        <v>0</v>
      </c>
      <c r="R247" s="10">
        <f t="shared" si="68"/>
        <v>13.692642857142856</v>
      </c>
      <c r="S247" s="10">
        <f t="shared" si="68"/>
        <v>0</v>
      </c>
      <c r="T247" s="10">
        <f t="shared" si="68"/>
        <v>0</v>
      </c>
      <c r="U247" s="10">
        <f t="shared" si="68"/>
        <v>0</v>
      </c>
      <c r="V247" s="10">
        <f t="shared" si="68"/>
        <v>0</v>
      </c>
      <c r="W247" s="10">
        <f t="shared" si="68"/>
        <v>0</v>
      </c>
      <c r="X247" s="10">
        <f t="shared" si="69"/>
        <v>13.692642857142856</v>
      </c>
    </row>
    <row r="248" spans="1:32" s="3" customFormat="1" ht="20.100000000000001" customHeight="1" x14ac:dyDescent="0.2">
      <c r="A248" s="87"/>
      <c r="B248" s="10" t="s">
        <v>67</v>
      </c>
      <c r="C248" s="93" t="s">
        <v>75</v>
      </c>
      <c r="D248" s="10">
        <f>+$D$15</f>
        <v>25</v>
      </c>
      <c r="E248" s="10">
        <f>+$E$15</f>
        <v>1</v>
      </c>
      <c r="F248" s="10">
        <f>ROUNDUP((O243+3.6)/E248,0)</f>
        <v>9</v>
      </c>
      <c r="G248" s="90"/>
      <c r="H248" s="90"/>
      <c r="I248" s="10"/>
      <c r="J248" s="10"/>
      <c r="K248" s="10"/>
      <c r="L248" s="10"/>
      <c r="M248" s="10"/>
      <c r="N248" s="10"/>
      <c r="O248" s="10">
        <f>F239-$F$15</f>
        <v>0.39</v>
      </c>
      <c r="P248" s="10">
        <f t="shared" si="67"/>
        <v>3.5100000000000002</v>
      </c>
      <c r="Q248" s="10">
        <f t="shared" si="68"/>
        <v>0</v>
      </c>
      <c r="R248" s="10">
        <f t="shared" si="68"/>
        <v>0</v>
      </c>
      <c r="S248" s="10">
        <f t="shared" si="68"/>
        <v>0</v>
      </c>
      <c r="T248" s="10">
        <f t="shared" si="68"/>
        <v>0</v>
      </c>
      <c r="U248" s="10">
        <f t="shared" si="68"/>
        <v>0</v>
      </c>
      <c r="V248" s="10">
        <f t="shared" si="68"/>
        <v>13.53073660714286</v>
      </c>
      <c r="W248" s="10">
        <f t="shared" si="68"/>
        <v>0</v>
      </c>
      <c r="X248" s="10">
        <f t="shared" si="69"/>
        <v>13.53073660714286</v>
      </c>
      <c r="Y248" s="10"/>
      <c r="Z248" s="10"/>
      <c r="AA248" s="10"/>
      <c r="AB248" s="10"/>
      <c r="AC248" s="10"/>
      <c r="AD248" s="10"/>
      <c r="AE248" s="10"/>
    </row>
    <row r="249" spans="1:32" s="3" customFormat="1" ht="21" customHeight="1" x14ac:dyDescent="0.2">
      <c r="A249" s="10">
        <v>1</v>
      </c>
      <c r="B249" s="10" t="s">
        <v>67</v>
      </c>
      <c r="C249" s="91" t="s">
        <v>97</v>
      </c>
      <c r="D249" s="91">
        <v>1</v>
      </c>
      <c r="E249" s="91">
        <v>3.0459999999999998</v>
      </c>
      <c r="F249" s="91">
        <v>0.45</v>
      </c>
      <c r="G249" s="91">
        <v>0.6</v>
      </c>
      <c r="H249" s="10">
        <f>G249-0.2</f>
        <v>0.39999999999999997</v>
      </c>
      <c r="I249" s="10">
        <f>E249*F249*G249*D249</f>
        <v>0.82242000000000004</v>
      </c>
      <c r="J249" s="10">
        <f>(2*(E249)*H249*D249)+(E249*F249)</f>
        <v>3.8075000000000001</v>
      </c>
      <c r="K249" s="92">
        <f>IF(E249=0.3,J249,0)</f>
        <v>0</v>
      </c>
      <c r="L249" s="92">
        <f>IF(AND(E249&gt;0.3,E249&lt;=0.75),J249,0)</f>
        <v>0</v>
      </c>
      <c r="M249" s="92">
        <f>IF(AND(E249&gt;0.75,E249&lt;=1.2),J249,0)</f>
        <v>0</v>
      </c>
      <c r="N249" s="92">
        <f>IF(E249&gt;1.2,J249,0)</f>
        <v>3.8075000000000001</v>
      </c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>
        <f>SUM(X250:X254)/I249</f>
        <v>151.37041275399778</v>
      </c>
      <c r="Z249" s="10"/>
      <c r="AA249" s="10"/>
      <c r="AB249" s="10"/>
      <c r="AC249" s="10"/>
      <c r="AD249" s="10"/>
      <c r="AE249" s="10"/>
      <c r="AF249" s="10"/>
    </row>
    <row r="250" spans="1:32" s="3" customFormat="1" ht="20.100000000000001" customHeight="1" x14ac:dyDescent="0.2">
      <c r="A250" s="87"/>
      <c r="B250" s="10" t="s">
        <v>67</v>
      </c>
      <c r="C250" s="93" t="s">
        <v>69</v>
      </c>
      <c r="D250" s="10">
        <v>20</v>
      </c>
      <c r="E250" s="10"/>
      <c r="F250" s="10">
        <v>4</v>
      </c>
      <c r="G250" s="90">
        <f>VLOOKUP(D250,$C$20:$F$26,3,0)</f>
        <v>1.05</v>
      </c>
      <c r="H250" s="90"/>
      <c r="I250" s="10"/>
      <c r="J250" s="10"/>
      <c r="K250" s="10"/>
      <c r="L250" s="10"/>
      <c r="M250" s="10"/>
      <c r="N250" s="10"/>
      <c r="O250" s="10">
        <f>(E249+1*(0.5/2)+1*(0.4/2))</f>
        <v>3.496</v>
      </c>
      <c r="P250" s="10">
        <f t="shared" ref="P250:P255" si="70">O250*F250</f>
        <v>13.984</v>
      </c>
      <c r="Q250" s="10">
        <f t="shared" si="68"/>
        <v>0</v>
      </c>
      <c r="R250" s="10">
        <f t="shared" si="68"/>
        <v>0</v>
      </c>
      <c r="S250" s="10">
        <f t="shared" si="68"/>
        <v>0</v>
      </c>
      <c r="T250" s="10">
        <f t="shared" si="68"/>
        <v>0</v>
      </c>
      <c r="U250" s="10">
        <f t="shared" si="68"/>
        <v>34.500525714285715</v>
      </c>
      <c r="V250" s="10">
        <f t="shared" si="68"/>
        <v>0</v>
      </c>
      <c r="W250" s="10">
        <f t="shared" si="68"/>
        <v>0</v>
      </c>
      <c r="X250" s="10">
        <f t="shared" ref="X250:X255" si="71">SUM(Q250:W250)</f>
        <v>34.500525714285715</v>
      </c>
      <c r="Y250" s="10"/>
      <c r="Z250" s="10"/>
      <c r="AA250" s="10"/>
      <c r="AB250" s="10"/>
      <c r="AC250" s="10"/>
      <c r="AD250" s="10"/>
      <c r="AE250" s="10"/>
    </row>
    <row r="251" spans="1:32" s="3" customFormat="1" ht="20.100000000000001" customHeight="1" x14ac:dyDescent="0.2">
      <c r="A251" s="87"/>
      <c r="B251" s="10" t="s">
        <v>67</v>
      </c>
      <c r="C251" s="93" t="s">
        <v>70</v>
      </c>
      <c r="D251" s="10">
        <v>20</v>
      </c>
      <c r="E251" s="10"/>
      <c r="F251" s="10">
        <v>4</v>
      </c>
      <c r="G251" s="90">
        <f>VLOOKUP(D251,$C$20:$F$26,3,0)</f>
        <v>1.05</v>
      </c>
      <c r="H251" s="90"/>
      <c r="I251" s="10"/>
      <c r="J251" s="10"/>
      <c r="K251" s="10"/>
      <c r="L251" s="10"/>
      <c r="M251" s="10"/>
      <c r="N251" s="10"/>
      <c r="O251" s="10">
        <f>(0.9+0.9+1*(0.5/2)+1*(0.4/2))</f>
        <v>2.25</v>
      </c>
      <c r="P251" s="10">
        <f t="shared" si="70"/>
        <v>9</v>
      </c>
      <c r="Q251" s="10">
        <f t="shared" si="68"/>
        <v>0</v>
      </c>
      <c r="R251" s="10">
        <f t="shared" si="68"/>
        <v>0</v>
      </c>
      <c r="S251" s="10">
        <f t="shared" si="68"/>
        <v>0</v>
      </c>
      <c r="T251" s="10">
        <f t="shared" si="68"/>
        <v>0</v>
      </c>
      <c r="U251" s="10">
        <f t="shared" si="68"/>
        <v>22.204285714285714</v>
      </c>
      <c r="V251" s="10">
        <f t="shared" si="68"/>
        <v>0</v>
      </c>
      <c r="W251" s="10">
        <f t="shared" si="68"/>
        <v>0</v>
      </c>
      <c r="X251" s="10">
        <f t="shared" si="71"/>
        <v>22.204285714285714</v>
      </c>
      <c r="Y251" s="10"/>
      <c r="Z251" s="10"/>
      <c r="AA251" s="10"/>
      <c r="AB251" s="10"/>
      <c r="AC251" s="10"/>
      <c r="AD251" s="10"/>
      <c r="AE251" s="10"/>
    </row>
    <row r="252" spans="1:32" s="3" customFormat="1" ht="20.100000000000001" customHeight="1" x14ac:dyDescent="0.2">
      <c r="A252" s="87"/>
      <c r="B252" s="10" t="s">
        <v>67</v>
      </c>
      <c r="C252" s="93" t="s">
        <v>71</v>
      </c>
      <c r="D252" s="10">
        <v>20</v>
      </c>
      <c r="E252" s="10"/>
      <c r="F252" s="10">
        <v>4</v>
      </c>
      <c r="G252" s="90">
        <f>VLOOKUP(D252,$C$20:$F$26,3,0)</f>
        <v>1.05</v>
      </c>
      <c r="H252" s="10"/>
      <c r="I252" s="10"/>
      <c r="J252" s="10"/>
      <c r="K252" s="10"/>
      <c r="L252" s="10"/>
      <c r="M252" s="10"/>
      <c r="N252" s="10"/>
      <c r="O252" s="10">
        <f>(E249+1*(0.5/2)+1*(0.4/2))</f>
        <v>3.496</v>
      </c>
      <c r="P252" s="10">
        <f t="shared" si="70"/>
        <v>13.984</v>
      </c>
      <c r="Q252" s="10">
        <f t="shared" si="68"/>
        <v>0</v>
      </c>
      <c r="R252" s="10">
        <f t="shared" si="68"/>
        <v>0</v>
      </c>
      <c r="S252" s="10">
        <f t="shared" si="68"/>
        <v>0</v>
      </c>
      <c r="T252" s="10">
        <f t="shared" si="68"/>
        <v>0</v>
      </c>
      <c r="U252" s="10">
        <f t="shared" si="68"/>
        <v>34.500525714285715</v>
      </c>
      <c r="V252" s="10">
        <f t="shared" si="68"/>
        <v>0</v>
      </c>
      <c r="W252" s="10">
        <f t="shared" si="68"/>
        <v>0</v>
      </c>
      <c r="X252" s="10">
        <f t="shared" si="71"/>
        <v>34.500525714285715</v>
      </c>
      <c r="Y252" s="10"/>
      <c r="Z252" s="10"/>
      <c r="AA252" s="10"/>
      <c r="AB252" s="10"/>
      <c r="AC252" s="10"/>
      <c r="AD252" s="10"/>
      <c r="AE252" s="10"/>
    </row>
    <row r="253" spans="1:32" s="3" customFormat="1" ht="20.100000000000001" customHeight="1" x14ac:dyDescent="0.2">
      <c r="A253" s="87"/>
      <c r="B253" s="10" t="s">
        <v>67</v>
      </c>
      <c r="C253" s="93" t="s">
        <v>73</v>
      </c>
      <c r="D253" s="10">
        <v>8</v>
      </c>
      <c r="E253" s="10">
        <v>0.1</v>
      </c>
      <c r="F253" s="10">
        <f>ROUNDUP(E249/E253,0)</f>
        <v>31</v>
      </c>
      <c r="H253" s="10"/>
      <c r="I253" s="10"/>
      <c r="J253" s="10"/>
      <c r="K253" s="10"/>
      <c r="L253" s="10"/>
      <c r="M253" s="10"/>
      <c r="N253" s="10"/>
      <c r="O253" s="10">
        <f>(2*((G249-(2*$D$11))+(F249-(2*$D$11)))+(2*10*D253/1000))*D249</f>
        <v>2.02</v>
      </c>
      <c r="P253" s="10">
        <f t="shared" si="70"/>
        <v>62.62</v>
      </c>
      <c r="Q253" s="10">
        <f t="shared" si="68"/>
        <v>24.718797714285714</v>
      </c>
      <c r="R253" s="10">
        <f t="shared" si="68"/>
        <v>0</v>
      </c>
      <c r="S253" s="10">
        <f t="shared" si="68"/>
        <v>0</v>
      </c>
      <c r="T253" s="10">
        <f t="shared" si="68"/>
        <v>0</v>
      </c>
      <c r="U253" s="10">
        <f t="shared" si="68"/>
        <v>0</v>
      </c>
      <c r="V253" s="10">
        <f t="shared" si="68"/>
        <v>0</v>
      </c>
      <c r="W253" s="10">
        <f t="shared" si="68"/>
        <v>0</v>
      </c>
      <c r="X253" s="10">
        <f t="shared" si="71"/>
        <v>24.718797714285714</v>
      </c>
      <c r="Y253" s="10"/>
      <c r="Z253" s="10"/>
      <c r="AA253" s="10"/>
      <c r="AB253" s="10"/>
      <c r="AC253" s="10"/>
      <c r="AD253" s="10"/>
      <c r="AE253" s="10"/>
    </row>
    <row r="254" spans="1:32" s="2" customFormat="1" ht="20.100000000000001" customHeight="1" x14ac:dyDescent="0.2">
      <c r="B254" s="10" t="s">
        <v>67</v>
      </c>
      <c r="C254" s="93" t="s">
        <v>74</v>
      </c>
      <c r="D254" s="10">
        <f>+D253</f>
        <v>8</v>
      </c>
      <c r="E254" s="2">
        <f>+E253</f>
        <v>0.1</v>
      </c>
      <c r="F254" s="10">
        <f>ROUNDUP(E249/E254,0)</f>
        <v>31</v>
      </c>
      <c r="G254" s="3"/>
      <c r="O254" s="10">
        <f>((((G249-(2*$D$11))+(2*10*D254/1000))*D249))*1</f>
        <v>0.70000000000000007</v>
      </c>
      <c r="P254" s="10">
        <f t="shared" si="70"/>
        <v>21.700000000000003</v>
      </c>
      <c r="Q254" s="10">
        <f t="shared" si="68"/>
        <v>8.565920000000002</v>
      </c>
      <c r="R254" s="10">
        <f t="shared" si="68"/>
        <v>0</v>
      </c>
      <c r="S254" s="10">
        <f t="shared" si="68"/>
        <v>0</v>
      </c>
      <c r="T254" s="10">
        <f t="shared" si="68"/>
        <v>0</v>
      </c>
      <c r="U254" s="10">
        <f t="shared" si="68"/>
        <v>0</v>
      </c>
      <c r="V254" s="10">
        <f t="shared" si="68"/>
        <v>0</v>
      </c>
      <c r="W254" s="10">
        <f t="shared" si="68"/>
        <v>0</v>
      </c>
      <c r="X254" s="10">
        <f t="shared" si="71"/>
        <v>8.565920000000002</v>
      </c>
    </row>
    <row r="255" spans="1:32" s="3" customFormat="1" ht="20.100000000000001" customHeight="1" x14ac:dyDescent="0.2">
      <c r="A255" s="87"/>
      <c r="B255" s="10" t="s">
        <v>67</v>
      </c>
      <c r="C255" s="93" t="s">
        <v>75</v>
      </c>
      <c r="D255" s="10">
        <f>+$D$15</f>
        <v>25</v>
      </c>
      <c r="E255" s="10">
        <f>+$E$15</f>
        <v>1</v>
      </c>
      <c r="F255" s="10">
        <f>ROUNDUP((0.9+0.9)/E255,0)</f>
        <v>2</v>
      </c>
      <c r="G255" s="90"/>
      <c r="H255" s="90"/>
      <c r="I255" s="10"/>
      <c r="J255" s="10"/>
      <c r="K255" s="10"/>
      <c r="L255" s="10"/>
      <c r="M255" s="10"/>
      <c r="N255" s="10"/>
      <c r="O255" s="10">
        <f>F249-$F$15</f>
        <v>0.39</v>
      </c>
      <c r="P255" s="10">
        <f t="shared" si="70"/>
        <v>0.78</v>
      </c>
      <c r="Q255" s="10">
        <f t="shared" si="68"/>
        <v>0</v>
      </c>
      <c r="R255" s="10">
        <f t="shared" si="68"/>
        <v>0</v>
      </c>
      <c r="S255" s="10">
        <f t="shared" si="68"/>
        <v>0</v>
      </c>
      <c r="T255" s="10">
        <f t="shared" si="68"/>
        <v>0</v>
      </c>
      <c r="U255" s="10">
        <f t="shared" si="68"/>
        <v>0</v>
      </c>
      <c r="V255" s="10">
        <f t="shared" si="68"/>
        <v>3.0068303571428578</v>
      </c>
      <c r="W255" s="10">
        <f t="shared" si="68"/>
        <v>0</v>
      </c>
      <c r="X255" s="10">
        <f t="shared" si="71"/>
        <v>3.0068303571428578</v>
      </c>
      <c r="Y255" s="10"/>
      <c r="Z255" s="10"/>
      <c r="AA255" s="10"/>
      <c r="AB255" s="10"/>
      <c r="AC255" s="10"/>
      <c r="AD255" s="10"/>
      <c r="AE255" s="10"/>
    </row>
    <row r="256" spans="1:32" s="3" customFormat="1" ht="21" customHeight="1" x14ac:dyDescent="0.2">
      <c r="A256" s="10">
        <v>1</v>
      </c>
      <c r="B256" s="10" t="s">
        <v>67</v>
      </c>
      <c r="C256" s="91" t="s">
        <v>98</v>
      </c>
      <c r="D256" s="91">
        <v>1</v>
      </c>
      <c r="E256" s="91">
        <v>6.2</v>
      </c>
      <c r="F256" s="91">
        <v>0.45</v>
      </c>
      <c r="G256" s="91">
        <v>0.6</v>
      </c>
      <c r="H256" s="10">
        <f>G256-0.2</f>
        <v>0.39999999999999997</v>
      </c>
      <c r="I256" s="10">
        <f>E256*F256*G256*D256</f>
        <v>1.6739999999999999</v>
      </c>
      <c r="J256" s="10">
        <f>(2*(E256)*H256*D256)+(E256*F256)</f>
        <v>7.75</v>
      </c>
      <c r="K256" s="92">
        <f>IF(E256=0.3,J256,0)</f>
        <v>0</v>
      </c>
      <c r="L256" s="92">
        <f>IF(AND(E256&gt;0.3,E256&lt;=0.75),J256,0)</f>
        <v>0</v>
      </c>
      <c r="M256" s="92">
        <f>IF(AND(E256&gt;0.75,E256&lt;=1.2),J256,0)</f>
        <v>0</v>
      </c>
      <c r="N256" s="92">
        <f>IF(E256&gt;1.2,J256,0)</f>
        <v>7.75</v>
      </c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>
        <f>SUM(X257:X263)/I256</f>
        <v>110.77825140809016</v>
      </c>
      <c r="Z256" s="10"/>
      <c r="AA256" s="10"/>
      <c r="AB256" s="10"/>
      <c r="AC256" s="10"/>
      <c r="AD256" s="10"/>
      <c r="AE256" s="10"/>
      <c r="AF256" s="10"/>
    </row>
    <row r="257" spans="1:32" s="3" customFormat="1" ht="20.100000000000001" customHeight="1" x14ac:dyDescent="0.2">
      <c r="A257" s="87"/>
      <c r="B257" s="10" t="s">
        <v>67</v>
      </c>
      <c r="C257" s="93" t="s">
        <v>69</v>
      </c>
      <c r="D257" s="10">
        <v>20</v>
      </c>
      <c r="E257" s="10"/>
      <c r="F257" s="10">
        <v>4</v>
      </c>
      <c r="G257" s="90">
        <f>VLOOKUP(D257,$C$20:$F$26,3,0)</f>
        <v>1.05</v>
      </c>
      <c r="H257" s="90"/>
      <c r="I257" s="10"/>
      <c r="J257" s="10"/>
      <c r="K257" s="10"/>
      <c r="L257" s="10"/>
      <c r="M257" s="10"/>
      <c r="N257" s="10"/>
      <c r="O257" s="10">
        <f>(E256+1*(0.4/2)+1*(0.4/2))</f>
        <v>6.6000000000000005</v>
      </c>
      <c r="P257" s="10">
        <f t="shared" ref="P257:P264" si="72">O257*F257</f>
        <v>26.400000000000002</v>
      </c>
      <c r="Q257" s="10">
        <f t="shared" ref="Q257:W264" si="73">IF($D257=Q$44,$P257*Q$45,0)</f>
        <v>0</v>
      </c>
      <c r="R257" s="10">
        <f t="shared" si="73"/>
        <v>0</v>
      </c>
      <c r="S257" s="10">
        <f t="shared" si="73"/>
        <v>0</v>
      </c>
      <c r="T257" s="10">
        <f t="shared" si="73"/>
        <v>0</v>
      </c>
      <c r="U257" s="10">
        <f t="shared" si="73"/>
        <v>65.132571428571438</v>
      </c>
      <c r="V257" s="10">
        <f t="shared" si="73"/>
        <v>0</v>
      </c>
      <c r="W257" s="10">
        <f t="shared" si="73"/>
        <v>0</v>
      </c>
      <c r="X257" s="10">
        <f t="shared" ref="X257:X264" si="74">SUM(Q257:W257)</f>
        <v>65.132571428571438</v>
      </c>
      <c r="Y257" s="10"/>
      <c r="Z257" s="10"/>
      <c r="AA257" s="10"/>
      <c r="AB257" s="10"/>
      <c r="AC257" s="10"/>
      <c r="AD257" s="10"/>
      <c r="AE257" s="10"/>
    </row>
    <row r="258" spans="1:32" s="3" customFormat="1" ht="20.100000000000001" customHeight="1" x14ac:dyDescent="0.2">
      <c r="A258" s="87"/>
      <c r="B258" s="10" t="s">
        <v>67</v>
      </c>
      <c r="C258" s="93" t="s">
        <v>70</v>
      </c>
      <c r="D258" s="10">
        <v>20</v>
      </c>
      <c r="E258" s="10"/>
      <c r="F258" s="10">
        <v>4</v>
      </c>
      <c r="G258" s="90">
        <f>VLOOKUP(D258,$C$20:$F$26,3,0)</f>
        <v>1.05</v>
      </c>
      <c r="H258" s="90"/>
      <c r="I258" s="10"/>
      <c r="J258" s="10"/>
      <c r="K258" s="10"/>
      <c r="L258" s="10"/>
      <c r="M258" s="10"/>
      <c r="N258" s="10"/>
      <c r="O258" s="10">
        <f>(1.7+1.7+1*(0.4/2))</f>
        <v>3.6</v>
      </c>
      <c r="P258" s="10">
        <f t="shared" si="72"/>
        <v>14.4</v>
      </c>
      <c r="Q258" s="10">
        <f t="shared" si="73"/>
        <v>0</v>
      </c>
      <c r="R258" s="10">
        <f t="shared" si="73"/>
        <v>0</v>
      </c>
      <c r="S258" s="10">
        <f t="shared" si="73"/>
        <v>0</v>
      </c>
      <c r="T258" s="10">
        <f t="shared" si="73"/>
        <v>0</v>
      </c>
      <c r="U258" s="10">
        <f t="shared" si="73"/>
        <v>35.526857142857146</v>
      </c>
      <c r="V258" s="10">
        <f t="shared" si="73"/>
        <v>0</v>
      </c>
      <c r="W258" s="10">
        <f t="shared" si="73"/>
        <v>0</v>
      </c>
      <c r="X258" s="10">
        <f t="shared" si="74"/>
        <v>35.526857142857146</v>
      </c>
      <c r="Y258" s="10"/>
      <c r="Z258" s="10"/>
      <c r="AA258" s="10"/>
      <c r="AB258" s="10"/>
      <c r="AC258" s="10"/>
      <c r="AD258" s="10"/>
      <c r="AE258" s="10"/>
    </row>
    <row r="259" spans="1:32" s="3" customFormat="1" ht="20.100000000000001" customHeight="1" x14ac:dyDescent="0.2">
      <c r="A259" s="87"/>
      <c r="B259" s="10" t="s">
        <v>67</v>
      </c>
      <c r="C259" s="93" t="s">
        <v>71</v>
      </c>
      <c r="D259" s="10">
        <v>20</v>
      </c>
      <c r="E259" s="10"/>
      <c r="F259" s="10">
        <v>4</v>
      </c>
      <c r="G259" s="90">
        <f>VLOOKUP(D259,$C$20:$F$26,3,0)</f>
        <v>1.05</v>
      </c>
      <c r="H259" s="10"/>
      <c r="I259" s="10"/>
      <c r="J259" s="10"/>
      <c r="K259" s="10"/>
      <c r="L259" s="10"/>
      <c r="M259" s="10"/>
      <c r="N259" s="10"/>
      <c r="O259" s="10">
        <f>(E256+1*(0.4/2)+1*(0.4/2))</f>
        <v>6.6000000000000005</v>
      </c>
      <c r="P259" s="10">
        <f t="shared" si="72"/>
        <v>26.400000000000002</v>
      </c>
      <c r="Q259" s="10">
        <f t="shared" si="73"/>
        <v>0</v>
      </c>
      <c r="R259" s="10">
        <f t="shared" si="73"/>
        <v>0</v>
      </c>
      <c r="S259" s="10">
        <f t="shared" si="73"/>
        <v>0</v>
      </c>
      <c r="T259" s="10">
        <f t="shared" si="73"/>
        <v>0</v>
      </c>
      <c r="U259" s="10">
        <f t="shared" si="73"/>
        <v>65.132571428571438</v>
      </c>
      <c r="V259" s="10">
        <f t="shared" si="73"/>
        <v>0</v>
      </c>
      <c r="W259" s="10">
        <f t="shared" si="73"/>
        <v>0</v>
      </c>
      <c r="X259" s="10">
        <f t="shared" si="74"/>
        <v>65.132571428571438</v>
      </c>
      <c r="Y259" s="10"/>
      <c r="Z259" s="10"/>
      <c r="AA259" s="10"/>
      <c r="AB259" s="10"/>
      <c r="AC259" s="10"/>
      <c r="AD259" s="10"/>
      <c r="AE259" s="10"/>
    </row>
    <row r="260" spans="1:32" s="3" customFormat="1" ht="20.100000000000001" customHeight="1" x14ac:dyDescent="0.2">
      <c r="A260" s="87"/>
      <c r="B260" s="10" t="s">
        <v>67</v>
      </c>
      <c r="C260" s="93" t="s">
        <v>73</v>
      </c>
      <c r="D260" s="10">
        <v>10</v>
      </c>
      <c r="E260" s="10">
        <v>0.1</v>
      </c>
      <c r="F260" s="10">
        <f>ROUND(IF(E255/3&gt;(2*G255),(E255/3)/E260,(2*G255)/E260),0)*2+1</f>
        <v>7</v>
      </c>
      <c r="H260" s="10"/>
      <c r="I260" s="10"/>
      <c r="J260" s="10"/>
      <c r="K260" s="10"/>
      <c r="L260" s="10"/>
      <c r="M260" s="10"/>
      <c r="N260" s="10"/>
      <c r="O260" s="10">
        <f>(2*((G256-(2*$D$11))+(F256-(2*$D$11)))+(2*10*D260/1000))*D256</f>
        <v>2.06</v>
      </c>
      <c r="P260" s="10">
        <f t="shared" si="72"/>
        <v>14.42</v>
      </c>
      <c r="Q260" s="10">
        <f t="shared" si="73"/>
        <v>0</v>
      </c>
      <c r="R260" s="10">
        <f t="shared" si="73"/>
        <v>8.89405</v>
      </c>
      <c r="S260" s="10">
        <f t="shared" si="73"/>
        <v>0</v>
      </c>
      <c r="T260" s="10">
        <f t="shared" si="73"/>
        <v>0</v>
      </c>
      <c r="U260" s="10">
        <f t="shared" si="73"/>
        <v>0</v>
      </c>
      <c r="V260" s="10">
        <f t="shared" si="73"/>
        <v>0</v>
      </c>
      <c r="W260" s="10">
        <f t="shared" si="73"/>
        <v>0</v>
      </c>
      <c r="X260" s="10">
        <f t="shared" si="74"/>
        <v>8.89405</v>
      </c>
      <c r="Y260" s="10"/>
      <c r="Z260" s="10"/>
      <c r="AA260" s="10"/>
      <c r="AB260" s="10"/>
      <c r="AC260" s="10"/>
      <c r="AD260" s="10"/>
      <c r="AE260" s="10"/>
    </row>
    <row r="261" spans="1:32" s="2" customFormat="1" ht="20.100000000000001" customHeight="1" x14ac:dyDescent="0.2">
      <c r="B261" s="10" t="s">
        <v>67</v>
      </c>
      <c r="C261" s="93" t="s">
        <v>73</v>
      </c>
      <c r="D261" s="2">
        <f>D260</f>
        <v>10</v>
      </c>
      <c r="E261" s="2">
        <v>0.15</v>
      </c>
      <c r="F261" s="2">
        <f>ROUND((E255-(IF(E255/3&gt;2*G255,E255/3*2,G255*2*2)))/E261,0)</f>
        <v>2</v>
      </c>
      <c r="G261" s="3"/>
      <c r="O261" s="10">
        <f>(2*((G256-(2*$D$11))+(F256-(2*$D$11)))+(2*10*D261/1000))*D256</f>
        <v>2.06</v>
      </c>
      <c r="P261" s="10">
        <f t="shared" si="72"/>
        <v>4.12</v>
      </c>
      <c r="Q261" s="10">
        <f t="shared" si="73"/>
        <v>0</v>
      </c>
      <c r="R261" s="10">
        <f t="shared" si="73"/>
        <v>2.5411571428571427</v>
      </c>
      <c r="S261" s="10">
        <f t="shared" si="73"/>
        <v>0</v>
      </c>
      <c r="T261" s="10">
        <f t="shared" si="73"/>
        <v>0</v>
      </c>
      <c r="U261" s="10">
        <f t="shared" si="73"/>
        <v>0</v>
      </c>
      <c r="V261" s="10">
        <f t="shared" si="73"/>
        <v>0</v>
      </c>
      <c r="W261" s="10">
        <f t="shared" si="73"/>
        <v>0</v>
      </c>
      <c r="X261" s="10">
        <f t="shared" si="74"/>
        <v>2.5411571428571427</v>
      </c>
    </row>
    <row r="262" spans="1:32" s="2" customFormat="1" ht="20.100000000000001" customHeight="1" x14ac:dyDescent="0.2">
      <c r="B262" s="10" t="s">
        <v>67</v>
      </c>
      <c r="C262" s="93" t="s">
        <v>74</v>
      </c>
      <c r="D262" s="2">
        <f>D260</f>
        <v>10</v>
      </c>
      <c r="E262" s="2">
        <f>+E260</f>
        <v>0.1</v>
      </c>
      <c r="F262" s="10">
        <f>ROUND(IF(E255/3&gt;(2*G255),(E255/3)/E262,(2*G255)/E262),0)*2+1</f>
        <v>7</v>
      </c>
      <c r="G262" s="3"/>
      <c r="O262" s="10">
        <f>((((G256-(2*$D$11))+(2*10*D262/1000))*D256))*2</f>
        <v>1.48</v>
      </c>
      <c r="P262" s="10">
        <f t="shared" si="72"/>
        <v>10.36</v>
      </c>
      <c r="Q262" s="10">
        <f t="shared" si="73"/>
        <v>0</v>
      </c>
      <c r="R262" s="10">
        <f t="shared" si="73"/>
        <v>6.3898999999999999</v>
      </c>
      <c r="S262" s="10">
        <f t="shared" si="73"/>
        <v>0</v>
      </c>
      <c r="T262" s="10">
        <f t="shared" si="73"/>
        <v>0</v>
      </c>
      <c r="U262" s="10">
        <f t="shared" si="73"/>
        <v>0</v>
      </c>
      <c r="V262" s="10">
        <f t="shared" si="73"/>
        <v>0</v>
      </c>
      <c r="W262" s="10">
        <f t="shared" si="73"/>
        <v>0</v>
      </c>
      <c r="X262" s="10">
        <f t="shared" si="74"/>
        <v>6.3898999999999999</v>
      </c>
    </row>
    <row r="263" spans="1:32" s="2" customFormat="1" ht="20.100000000000001" customHeight="1" x14ac:dyDescent="0.2">
      <c r="B263" s="10" t="s">
        <v>67</v>
      </c>
      <c r="C263" s="93" t="s">
        <v>74</v>
      </c>
      <c r="D263" s="2">
        <f>D261</f>
        <v>10</v>
      </c>
      <c r="E263" s="2">
        <f>+E261</f>
        <v>0.15</v>
      </c>
      <c r="F263" s="2">
        <f>ROUND((E255-(IF(E255/3&gt;2*G255,E255/3*2,G255*2*2)))/E263,0)</f>
        <v>2</v>
      </c>
      <c r="G263" s="3"/>
      <c r="O263" s="10">
        <f>((((G256-(2*$D$11))+(2*10*D263/1000))*D256))*2</f>
        <v>1.48</v>
      </c>
      <c r="P263" s="10">
        <f t="shared" si="72"/>
        <v>2.96</v>
      </c>
      <c r="Q263" s="10">
        <f t="shared" si="73"/>
        <v>0</v>
      </c>
      <c r="R263" s="10">
        <f t="shared" si="73"/>
        <v>1.8256857142857141</v>
      </c>
      <c r="S263" s="10">
        <f t="shared" si="73"/>
        <v>0</v>
      </c>
      <c r="T263" s="10">
        <f t="shared" si="73"/>
        <v>0</v>
      </c>
      <c r="U263" s="10">
        <f t="shared" si="73"/>
        <v>0</v>
      </c>
      <c r="V263" s="10">
        <f t="shared" si="73"/>
        <v>0</v>
      </c>
      <c r="W263" s="10">
        <f t="shared" si="73"/>
        <v>0</v>
      </c>
      <c r="X263" s="10">
        <f t="shared" si="74"/>
        <v>1.8256857142857141</v>
      </c>
    </row>
    <row r="264" spans="1:32" s="3" customFormat="1" ht="20.100000000000001" customHeight="1" x14ac:dyDescent="0.2">
      <c r="A264" s="87"/>
      <c r="B264" s="10" t="s">
        <v>67</v>
      </c>
      <c r="C264" s="93" t="s">
        <v>75</v>
      </c>
      <c r="D264" s="10">
        <f>+$D$15</f>
        <v>25</v>
      </c>
      <c r="E264" s="10">
        <f>+$E$15</f>
        <v>1</v>
      </c>
      <c r="F264" s="10">
        <f>ROUNDUP((1.7+1.7)/E264,0)</f>
        <v>4</v>
      </c>
      <c r="G264" s="90"/>
      <c r="H264" s="90"/>
      <c r="I264" s="10"/>
      <c r="J264" s="10"/>
      <c r="K264" s="10"/>
      <c r="L264" s="10"/>
      <c r="M264" s="10"/>
      <c r="N264" s="10"/>
      <c r="O264" s="10">
        <f>F256-$F$15</f>
        <v>0.39</v>
      </c>
      <c r="P264" s="10">
        <f t="shared" si="72"/>
        <v>1.56</v>
      </c>
      <c r="Q264" s="10">
        <f t="shared" si="73"/>
        <v>0</v>
      </c>
      <c r="R264" s="10">
        <f t="shared" si="73"/>
        <v>0</v>
      </c>
      <c r="S264" s="10">
        <f t="shared" si="73"/>
        <v>0</v>
      </c>
      <c r="T264" s="10">
        <f t="shared" si="73"/>
        <v>0</v>
      </c>
      <c r="U264" s="10">
        <f t="shared" si="73"/>
        <v>0</v>
      </c>
      <c r="V264" s="10">
        <f t="shared" si="73"/>
        <v>6.0136607142857157</v>
      </c>
      <c r="W264" s="10">
        <f t="shared" si="73"/>
        <v>0</v>
      </c>
      <c r="X264" s="10">
        <f t="shared" si="74"/>
        <v>6.0136607142857157</v>
      </c>
      <c r="Y264" s="10"/>
      <c r="Z264" s="10"/>
      <c r="AA264" s="10"/>
      <c r="AB264" s="10"/>
      <c r="AC264" s="10"/>
      <c r="AD264" s="10"/>
      <c r="AE264" s="10"/>
    </row>
    <row r="265" spans="1:32" s="3" customFormat="1" ht="21" customHeight="1" x14ac:dyDescent="0.2">
      <c r="A265" s="10">
        <v>1</v>
      </c>
      <c r="B265" s="10" t="s">
        <v>67</v>
      </c>
      <c r="C265" s="91" t="s">
        <v>99</v>
      </c>
      <c r="D265" s="91">
        <v>1</v>
      </c>
      <c r="E265" s="91">
        <v>3.05</v>
      </c>
      <c r="F265" s="91">
        <v>0.45</v>
      </c>
      <c r="G265" s="91">
        <v>0.6</v>
      </c>
      <c r="H265" s="10">
        <f>G265-0.2</f>
        <v>0.39999999999999997</v>
      </c>
      <c r="I265" s="10">
        <f>E265*F265*G265*D265</f>
        <v>0.82350000000000001</v>
      </c>
      <c r="J265" s="10">
        <f>(2*(E265)*H265*D265)+(E265*F265)</f>
        <v>3.8124999999999996</v>
      </c>
      <c r="K265" s="92">
        <f>IF(E265=0.3,J265,0)</f>
        <v>0</v>
      </c>
      <c r="L265" s="92">
        <f>IF(AND(E265&gt;0.3,E265&lt;=0.75),J265,0)</f>
        <v>0</v>
      </c>
      <c r="M265" s="92">
        <f>IF(AND(E265&gt;0.75,E265&lt;=1.2),J265,0)</f>
        <v>0</v>
      </c>
      <c r="N265" s="92">
        <f>IF(E265&gt;1.2,J265,0)</f>
        <v>3.8124999999999996</v>
      </c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>
        <f>SUM(X266:X271)/I265</f>
        <v>154.91904527712725</v>
      </c>
      <c r="Z265" s="10"/>
      <c r="AA265" s="10"/>
      <c r="AB265" s="10"/>
      <c r="AC265" s="10"/>
      <c r="AD265" s="10"/>
      <c r="AE265" s="10"/>
      <c r="AF265" s="10"/>
    </row>
    <row r="266" spans="1:32" s="3" customFormat="1" ht="20.100000000000001" customHeight="1" x14ac:dyDescent="0.2">
      <c r="A266" s="87"/>
      <c r="B266" s="10" t="s">
        <v>67</v>
      </c>
      <c r="C266" s="93" t="s">
        <v>69</v>
      </c>
      <c r="D266" s="10">
        <v>20</v>
      </c>
      <c r="E266" s="10"/>
      <c r="F266" s="10">
        <v>4</v>
      </c>
      <c r="G266" s="90">
        <f>VLOOKUP(D266,$C$20:$F$26,3,0)</f>
        <v>1.05</v>
      </c>
      <c r="H266" s="90"/>
      <c r="I266" s="10"/>
      <c r="J266" s="10"/>
      <c r="K266" s="10"/>
      <c r="L266" s="10"/>
      <c r="M266" s="10"/>
      <c r="N266" s="10"/>
      <c r="O266" s="10">
        <f>(E265+1*(0.5/2)+1*(0.4/2))</f>
        <v>3.5</v>
      </c>
      <c r="P266" s="10">
        <f t="shared" ref="P266:P271" si="75">O266*F266</f>
        <v>14</v>
      </c>
      <c r="Q266" s="10">
        <f t="shared" ref="Q266:W271" si="76">IF($D266=Q$44,$P266*Q$45,0)</f>
        <v>0</v>
      </c>
      <c r="R266" s="10">
        <f t="shared" si="76"/>
        <v>0</v>
      </c>
      <c r="S266" s="10">
        <f t="shared" si="76"/>
        <v>0</v>
      </c>
      <c r="T266" s="10">
        <f t="shared" si="76"/>
        <v>0</v>
      </c>
      <c r="U266" s="10">
        <f t="shared" si="76"/>
        <v>34.54</v>
      </c>
      <c r="V266" s="10">
        <f t="shared" si="76"/>
        <v>0</v>
      </c>
      <c r="W266" s="10">
        <f t="shared" si="76"/>
        <v>0</v>
      </c>
      <c r="X266" s="10">
        <f t="shared" ref="X266:X271" si="77">SUM(Q266:W266)</f>
        <v>34.54</v>
      </c>
      <c r="Y266" s="10"/>
      <c r="Z266" s="10"/>
      <c r="AA266" s="10"/>
      <c r="AB266" s="10"/>
      <c r="AC266" s="10"/>
      <c r="AD266" s="10"/>
      <c r="AE266" s="10"/>
    </row>
    <row r="267" spans="1:32" s="3" customFormat="1" ht="20.100000000000001" customHeight="1" x14ac:dyDescent="0.2">
      <c r="A267" s="87"/>
      <c r="B267" s="10" t="s">
        <v>67</v>
      </c>
      <c r="C267" s="93" t="s">
        <v>70</v>
      </c>
      <c r="D267" s="10">
        <v>20</v>
      </c>
      <c r="E267" s="10"/>
      <c r="F267" s="10">
        <v>4</v>
      </c>
      <c r="G267" s="90">
        <f>VLOOKUP(D267,$C$20:$F$26,3,0)</f>
        <v>1.05</v>
      </c>
      <c r="H267" s="90"/>
      <c r="I267" s="10"/>
      <c r="J267" s="10"/>
      <c r="K267" s="10"/>
      <c r="L267" s="10"/>
      <c r="M267" s="10"/>
      <c r="N267" s="10"/>
      <c r="O267" s="10">
        <f>(0.9+0.9+1*(0.5/2)+1*(0.4/2))</f>
        <v>2.25</v>
      </c>
      <c r="P267" s="10">
        <f t="shared" si="75"/>
        <v>9</v>
      </c>
      <c r="Q267" s="10">
        <f t="shared" si="76"/>
        <v>0</v>
      </c>
      <c r="R267" s="10">
        <f t="shared" si="76"/>
        <v>0</v>
      </c>
      <c r="S267" s="10">
        <f t="shared" si="76"/>
        <v>0</v>
      </c>
      <c r="T267" s="10">
        <f t="shared" si="76"/>
        <v>0</v>
      </c>
      <c r="U267" s="10">
        <f t="shared" si="76"/>
        <v>22.204285714285714</v>
      </c>
      <c r="V267" s="10">
        <f t="shared" si="76"/>
        <v>0</v>
      </c>
      <c r="W267" s="10">
        <f t="shared" si="76"/>
        <v>0</v>
      </c>
      <c r="X267" s="10">
        <f t="shared" si="77"/>
        <v>22.204285714285714</v>
      </c>
      <c r="Y267" s="10"/>
      <c r="Z267" s="10"/>
      <c r="AA267" s="10"/>
      <c r="AB267" s="10"/>
      <c r="AC267" s="10"/>
      <c r="AD267" s="10"/>
      <c r="AE267" s="10"/>
    </row>
    <row r="268" spans="1:32" s="3" customFormat="1" ht="20.100000000000001" customHeight="1" x14ac:dyDescent="0.2">
      <c r="A268" s="87"/>
      <c r="B268" s="10" t="s">
        <v>67</v>
      </c>
      <c r="C268" s="93" t="s">
        <v>71</v>
      </c>
      <c r="D268" s="10">
        <v>20</v>
      </c>
      <c r="E268" s="10"/>
      <c r="F268" s="10">
        <v>4</v>
      </c>
      <c r="G268" s="90">
        <f>VLOOKUP(D268,$C$20:$F$26,3,0)</f>
        <v>1.05</v>
      </c>
      <c r="H268" s="10"/>
      <c r="I268" s="10"/>
      <c r="J268" s="10"/>
      <c r="K268" s="10"/>
      <c r="L268" s="10"/>
      <c r="M268" s="10"/>
      <c r="N268" s="10"/>
      <c r="O268" s="10">
        <f>(E265+1*(0.5/2)+1*(0.4/2))</f>
        <v>3.5</v>
      </c>
      <c r="P268" s="10">
        <f t="shared" si="75"/>
        <v>14</v>
      </c>
      <c r="Q268" s="10">
        <f t="shared" si="76"/>
        <v>0</v>
      </c>
      <c r="R268" s="10">
        <f t="shared" si="76"/>
        <v>0</v>
      </c>
      <c r="S268" s="10">
        <f t="shared" si="76"/>
        <v>0</v>
      </c>
      <c r="T268" s="10">
        <f t="shared" si="76"/>
        <v>0</v>
      </c>
      <c r="U268" s="10">
        <f t="shared" si="76"/>
        <v>34.54</v>
      </c>
      <c r="V268" s="10">
        <f t="shared" si="76"/>
        <v>0</v>
      </c>
      <c r="W268" s="10">
        <f t="shared" si="76"/>
        <v>0</v>
      </c>
      <c r="X268" s="10">
        <f t="shared" si="77"/>
        <v>34.54</v>
      </c>
      <c r="Y268" s="10"/>
      <c r="Z268" s="10"/>
      <c r="AA268" s="10"/>
      <c r="AB268" s="10"/>
      <c r="AC268" s="10"/>
      <c r="AD268" s="10"/>
      <c r="AE268" s="10"/>
    </row>
    <row r="269" spans="1:32" s="3" customFormat="1" ht="20.100000000000001" customHeight="1" x14ac:dyDescent="0.2">
      <c r="A269" s="87"/>
      <c r="B269" s="10" t="s">
        <v>67</v>
      </c>
      <c r="C269" s="93" t="s">
        <v>73</v>
      </c>
      <c r="D269" s="10">
        <v>8</v>
      </c>
      <c r="E269" s="10">
        <v>0.1</v>
      </c>
      <c r="F269" s="10">
        <f>ROUNDUP(E265/E269,0)</f>
        <v>31</v>
      </c>
      <c r="H269" s="10"/>
      <c r="I269" s="10"/>
      <c r="J269" s="10"/>
      <c r="K269" s="10"/>
      <c r="L269" s="10"/>
      <c r="M269" s="10"/>
      <c r="N269" s="10"/>
      <c r="O269" s="10">
        <f>(2*((G265-(2*$D$11))+(F265-(2*$D$11)))+(2*10*D269/1000))*D265</f>
        <v>2.02</v>
      </c>
      <c r="P269" s="10">
        <f t="shared" si="75"/>
        <v>62.62</v>
      </c>
      <c r="Q269" s="10">
        <f t="shared" si="76"/>
        <v>24.718797714285714</v>
      </c>
      <c r="R269" s="10">
        <f t="shared" si="76"/>
        <v>0</v>
      </c>
      <c r="S269" s="10">
        <f t="shared" si="76"/>
        <v>0</v>
      </c>
      <c r="T269" s="10">
        <f t="shared" si="76"/>
        <v>0</v>
      </c>
      <c r="U269" s="10">
        <f t="shared" si="76"/>
        <v>0</v>
      </c>
      <c r="V269" s="10">
        <f t="shared" si="76"/>
        <v>0</v>
      </c>
      <c r="W269" s="10">
        <f t="shared" si="76"/>
        <v>0</v>
      </c>
      <c r="X269" s="10">
        <f t="shared" si="77"/>
        <v>24.718797714285714</v>
      </c>
      <c r="Y269" s="10"/>
      <c r="Z269" s="10"/>
      <c r="AA269" s="10"/>
      <c r="AB269" s="10"/>
      <c r="AC269" s="10"/>
      <c r="AD269" s="10"/>
      <c r="AE269" s="10"/>
    </row>
    <row r="270" spans="1:32" s="2" customFormat="1" ht="20.100000000000001" customHeight="1" x14ac:dyDescent="0.2">
      <c r="B270" s="10" t="s">
        <v>67</v>
      </c>
      <c r="C270" s="93" t="s">
        <v>74</v>
      </c>
      <c r="D270" s="10">
        <f>+D269</f>
        <v>8</v>
      </c>
      <c r="E270" s="2">
        <f>+E269</f>
        <v>0.1</v>
      </c>
      <c r="F270" s="10">
        <f>ROUNDUP(E265/E270,0)</f>
        <v>31</v>
      </c>
      <c r="G270" s="3"/>
      <c r="O270" s="10">
        <f>((((G265-(2*$D$11))+(2*10*D270/1000))*D265))*1</f>
        <v>0.70000000000000007</v>
      </c>
      <c r="P270" s="10">
        <f t="shared" si="75"/>
        <v>21.700000000000003</v>
      </c>
      <c r="Q270" s="10">
        <f t="shared" si="76"/>
        <v>8.565920000000002</v>
      </c>
      <c r="R270" s="10">
        <f t="shared" si="76"/>
        <v>0</v>
      </c>
      <c r="S270" s="10">
        <f t="shared" si="76"/>
        <v>0</v>
      </c>
      <c r="T270" s="10">
        <f t="shared" si="76"/>
        <v>0</v>
      </c>
      <c r="U270" s="10">
        <f t="shared" si="76"/>
        <v>0</v>
      </c>
      <c r="V270" s="10">
        <f t="shared" si="76"/>
        <v>0</v>
      </c>
      <c r="W270" s="10">
        <f t="shared" si="76"/>
        <v>0</v>
      </c>
      <c r="X270" s="10">
        <f t="shared" si="77"/>
        <v>8.565920000000002</v>
      </c>
    </row>
    <row r="271" spans="1:32" s="3" customFormat="1" ht="20.100000000000001" customHeight="1" x14ac:dyDescent="0.2">
      <c r="A271" s="87"/>
      <c r="B271" s="10" t="s">
        <v>67</v>
      </c>
      <c r="C271" s="93" t="s">
        <v>75</v>
      </c>
      <c r="D271" s="10">
        <f>+$D$15</f>
        <v>25</v>
      </c>
      <c r="E271" s="10">
        <f>+$E$15</f>
        <v>1</v>
      </c>
      <c r="F271" s="10">
        <f>ROUNDUP((0.9+0.9)/E271,0)</f>
        <v>2</v>
      </c>
      <c r="G271" s="90"/>
      <c r="H271" s="90"/>
      <c r="I271" s="10"/>
      <c r="J271" s="10"/>
      <c r="K271" s="10"/>
      <c r="L271" s="10"/>
      <c r="M271" s="10"/>
      <c r="N271" s="10"/>
      <c r="O271" s="10">
        <f>F265-$F$15</f>
        <v>0.39</v>
      </c>
      <c r="P271" s="10">
        <f t="shared" si="75"/>
        <v>0.78</v>
      </c>
      <c r="Q271" s="10">
        <f t="shared" si="76"/>
        <v>0</v>
      </c>
      <c r="R271" s="10">
        <f t="shared" si="76"/>
        <v>0</v>
      </c>
      <c r="S271" s="10">
        <f t="shared" si="76"/>
        <v>0</v>
      </c>
      <c r="T271" s="10">
        <f t="shared" si="76"/>
        <v>0</v>
      </c>
      <c r="U271" s="10">
        <f t="shared" si="76"/>
        <v>0</v>
      </c>
      <c r="V271" s="10">
        <f t="shared" si="76"/>
        <v>3.0068303571428578</v>
      </c>
      <c r="W271" s="10">
        <f t="shared" si="76"/>
        <v>0</v>
      </c>
      <c r="X271" s="10">
        <f t="shared" si="77"/>
        <v>3.0068303571428578</v>
      </c>
      <c r="Y271" s="10"/>
      <c r="Z271" s="10"/>
      <c r="AA271" s="10"/>
      <c r="AB271" s="10"/>
      <c r="AC271" s="10"/>
      <c r="AD271" s="10"/>
      <c r="AE271" s="10"/>
    </row>
    <row r="272" spans="1:32" s="3" customFormat="1" ht="21" customHeight="1" x14ac:dyDescent="0.2">
      <c r="A272" s="10">
        <v>1</v>
      </c>
      <c r="B272" s="10" t="s">
        <v>67</v>
      </c>
      <c r="C272" s="91" t="s">
        <v>100</v>
      </c>
      <c r="D272" s="91">
        <v>1</v>
      </c>
      <c r="E272" s="91">
        <v>6.55</v>
      </c>
      <c r="F272" s="91">
        <v>0.45</v>
      </c>
      <c r="G272" s="91">
        <v>0.6</v>
      </c>
      <c r="H272" s="10">
        <f>G272-0.2</f>
        <v>0.39999999999999997</v>
      </c>
      <c r="I272" s="10">
        <f>E272*F272*G272*D272</f>
        <v>1.7684999999999997</v>
      </c>
      <c r="J272" s="10">
        <f>(2*(E272)*H272*D272)+(E272*F272)</f>
        <v>8.1875</v>
      </c>
      <c r="K272" s="92">
        <f>IF(E272=0.3,J272,0)</f>
        <v>0</v>
      </c>
      <c r="L272" s="92">
        <f>IF(AND(E272&gt;0.3,E272&lt;=0.75),J272,0)</f>
        <v>0</v>
      </c>
      <c r="M272" s="92">
        <f>IF(AND(E272&gt;0.75,E272&lt;=1.2),J272,0)</f>
        <v>0</v>
      </c>
      <c r="N272" s="92">
        <f>IF(E272&gt;1.2,J272,0)</f>
        <v>8.1875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>
        <f>SUM(X273:X280)/I272</f>
        <v>182.18772325215076</v>
      </c>
      <c r="Z272" s="10"/>
      <c r="AA272" s="10"/>
      <c r="AB272" s="10"/>
      <c r="AC272" s="10"/>
      <c r="AD272" s="10"/>
      <c r="AE272" s="10"/>
      <c r="AF272" s="10"/>
    </row>
    <row r="273" spans="1:32" s="3" customFormat="1" ht="20.100000000000001" customHeight="1" x14ac:dyDescent="0.2">
      <c r="A273" s="87"/>
      <c r="B273" s="10" t="s">
        <v>67</v>
      </c>
      <c r="C273" s="93" t="s">
        <v>69</v>
      </c>
      <c r="D273" s="10">
        <v>20</v>
      </c>
      <c r="E273" s="10"/>
      <c r="F273" s="10">
        <v>4</v>
      </c>
      <c r="G273" s="90">
        <f>VLOOKUP(D273,$C$20:$F$26,3,0)</f>
        <v>1.05</v>
      </c>
      <c r="H273" s="90"/>
      <c r="I273" s="10"/>
      <c r="J273" s="10"/>
      <c r="K273" s="10"/>
      <c r="L273" s="10"/>
      <c r="M273" s="10"/>
      <c r="N273" s="10"/>
      <c r="O273" s="10">
        <f>(E272+1*(0.5/2)+1*(0.5/2))</f>
        <v>7.05</v>
      </c>
      <c r="P273" s="10">
        <f t="shared" ref="P273:P281" si="78">O273*F273</f>
        <v>28.2</v>
      </c>
      <c r="Q273" s="10">
        <f t="shared" ref="Q273:W288" si="79">IF($D273=Q$44,$P273*Q$45,0)</f>
        <v>0</v>
      </c>
      <c r="R273" s="10">
        <f t="shared" si="79"/>
        <v>0</v>
      </c>
      <c r="S273" s="10">
        <f t="shared" si="79"/>
        <v>0</v>
      </c>
      <c r="T273" s="10">
        <f t="shared" si="79"/>
        <v>0</v>
      </c>
      <c r="U273" s="10">
        <f t="shared" si="79"/>
        <v>69.573428571428565</v>
      </c>
      <c r="V273" s="10">
        <f t="shared" si="79"/>
        <v>0</v>
      </c>
      <c r="W273" s="10">
        <f t="shared" si="79"/>
        <v>0</v>
      </c>
      <c r="X273" s="10">
        <f t="shared" ref="X273:X281" si="80">SUM(Q273:W273)</f>
        <v>69.573428571428565</v>
      </c>
      <c r="Y273" s="10"/>
      <c r="Z273" s="10"/>
      <c r="AA273" s="10"/>
      <c r="AB273" s="10"/>
      <c r="AC273" s="10"/>
      <c r="AD273" s="10"/>
      <c r="AE273" s="10"/>
    </row>
    <row r="274" spans="1:32" s="3" customFormat="1" ht="20.100000000000001" customHeight="1" x14ac:dyDescent="0.2">
      <c r="A274" s="87"/>
      <c r="B274" s="10" t="s">
        <v>67</v>
      </c>
      <c r="C274" s="93" t="s">
        <v>70</v>
      </c>
      <c r="D274" s="10">
        <v>20</v>
      </c>
      <c r="E274" s="10"/>
      <c r="F274" s="10">
        <v>4</v>
      </c>
      <c r="G274" s="90">
        <f>VLOOKUP(D274,$C$20:$F$26,3,0)</f>
        <v>1.05</v>
      </c>
      <c r="H274" s="90"/>
      <c r="I274" s="10"/>
      <c r="J274" s="10"/>
      <c r="K274" s="10"/>
      <c r="L274" s="10"/>
      <c r="M274" s="10"/>
      <c r="N274" s="10"/>
      <c r="O274" s="10">
        <f>(1.8+1.8+1*(0.5/2))</f>
        <v>3.85</v>
      </c>
      <c r="P274" s="10">
        <f t="shared" si="78"/>
        <v>15.4</v>
      </c>
      <c r="Q274" s="10">
        <f t="shared" si="79"/>
        <v>0</v>
      </c>
      <c r="R274" s="10">
        <f t="shared" si="79"/>
        <v>0</v>
      </c>
      <c r="S274" s="10">
        <f t="shared" si="79"/>
        <v>0</v>
      </c>
      <c r="T274" s="10">
        <f t="shared" si="79"/>
        <v>0</v>
      </c>
      <c r="U274" s="10">
        <f t="shared" si="79"/>
        <v>37.994</v>
      </c>
      <c r="V274" s="10">
        <f t="shared" si="79"/>
        <v>0</v>
      </c>
      <c r="W274" s="10">
        <f t="shared" si="79"/>
        <v>0</v>
      </c>
      <c r="X274" s="10">
        <f t="shared" si="80"/>
        <v>37.994</v>
      </c>
      <c r="Y274" s="10"/>
      <c r="Z274" s="10"/>
      <c r="AA274" s="10"/>
      <c r="AB274" s="10"/>
      <c r="AC274" s="10"/>
      <c r="AD274" s="10"/>
      <c r="AE274" s="10"/>
    </row>
    <row r="275" spans="1:32" s="3" customFormat="1" ht="20.100000000000001" customHeight="1" x14ac:dyDescent="0.2">
      <c r="A275" s="87"/>
      <c r="B275" s="10" t="s">
        <v>67</v>
      </c>
      <c r="C275" s="93" t="s">
        <v>71</v>
      </c>
      <c r="D275" s="10">
        <v>20</v>
      </c>
      <c r="E275" s="10"/>
      <c r="F275" s="10">
        <v>4</v>
      </c>
      <c r="G275" s="90">
        <f>VLOOKUP(D275,$C$20:$F$26,3,0)</f>
        <v>1.05</v>
      </c>
      <c r="H275" s="10"/>
      <c r="I275" s="10"/>
      <c r="J275" s="10"/>
      <c r="K275" s="10"/>
      <c r="L275" s="10"/>
      <c r="M275" s="10"/>
      <c r="N275" s="10"/>
      <c r="O275" s="10">
        <f>(E272+1*(0.5/2)+1*(0.5/2))</f>
        <v>7.05</v>
      </c>
      <c r="P275" s="10">
        <f t="shared" si="78"/>
        <v>28.2</v>
      </c>
      <c r="Q275" s="10">
        <f t="shared" si="79"/>
        <v>0</v>
      </c>
      <c r="R275" s="10">
        <f t="shared" si="79"/>
        <v>0</v>
      </c>
      <c r="S275" s="10">
        <f t="shared" si="79"/>
        <v>0</v>
      </c>
      <c r="T275" s="10">
        <f t="shared" si="79"/>
        <v>0</v>
      </c>
      <c r="U275" s="10">
        <f t="shared" si="79"/>
        <v>69.573428571428565</v>
      </c>
      <c r="V275" s="10">
        <f t="shared" si="79"/>
        <v>0</v>
      </c>
      <c r="W275" s="10">
        <f t="shared" si="79"/>
        <v>0</v>
      </c>
      <c r="X275" s="10">
        <f t="shared" si="80"/>
        <v>69.573428571428565</v>
      </c>
      <c r="Y275" s="10"/>
      <c r="Z275" s="10"/>
      <c r="AA275" s="10"/>
      <c r="AB275" s="10"/>
      <c r="AC275" s="10"/>
      <c r="AD275" s="10"/>
      <c r="AE275" s="10"/>
    </row>
    <row r="276" spans="1:32" s="3" customFormat="1" ht="20.100000000000001" customHeight="1" x14ac:dyDescent="0.2">
      <c r="A276" s="87"/>
      <c r="B276" s="10" t="s">
        <v>67</v>
      </c>
      <c r="C276" s="93" t="s">
        <v>72</v>
      </c>
      <c r="D276" s="10">
        <v>16</v>
      </c>
      <c r="E276" s="10"/>
      <c r="F276" s="10">
        <v>2</v>
      </c>
      <c r="G276" s="90">
        <f>VLOOKUP(D276,$C$20:$F$26,3,0)</f>
        <v>0.85</v>
      </c>
      <c r="H276" s="10"/>
      <c r="I276" s="10"/>
      <c r="J276" s="10"/>
      <c r="K276" s="10"/>
      <c r="L276" s="10"/>
      <c r="M276" s="10"/>
      <c r="N276" s="10"/>
      <c r="O276" s="10">
        <f>E272-1.05-1.05</f>
        <v>4.45</v>
      </c>
      <c r="P276" s="10">
        <f t="shared" si="78"/>
        <v>8.9</v>
      </c>
      <c r="Q276" s="10">
        <f t="shared" si="79"/>
        <v>0</v>
      </c>
      <c r="R276" s="10">
        <f t="shared" si="79"/>
        <v>0</v>
      </c>
      <c r="S276" s="10">
        <f t="shared" si="79"/>
        <v>0</v>
      </c>
      <c r="T276" s="10">
        <f t="shared" si="79"/>
        <v>14.052845714285716</v>
      </c>
      <c r="U276" s="10">
        <f t="shared" si="79"/>
        <v>0</v>
      </c>
      <c r="V276" s="10">
        <f t="shared" si="79"/>
        <v>0</v>
      </c>
      <c r="W276" s="10">
        <f t="shared" si="79"/>
        <v>0</v>
      </c>
      <c r="X276" s="10">
        <f t="shared" si="80"/>
        <v>14.052845714285716</v>
      </c>
      <c r="Y276" s="10"/>
      <c r="Z276" s="10"/>
      <c r="AA276" s="10"/>
      <c r="AB276" s="10"/>
      <c r="AC276" s="10"/>
      <c r="AD276" s="10"/>
      <c r="AE276" s="10"/>
    </row>
    <row r="277" spans="1:32" s="3" customFormat="1" ht="20.100000000000001" customHeight="1" x14ac:dyDescent="0.2">
      <c r="A277" s="87"/>
      <c r="B277" s="10" t="s">
        <v>67</v>
      </c>
      <c r="C277" s="93" t="s">
        <v>73</v>
      </c>
      <c r="D277" s="10">
        <v>10</v>
      </c>
      <c r="E277" s="10">
        <v>0.1</v>
      </c>
      <c r="F277" s="10">
        <f>ROUND(IF(E272/3&gt;(2*G272),(E272/3)/E277,(2*G272)/E277),0)*2+1</f>
        <v>45</v>
      </c>
      <c r="H277" s="10"/>
      <c r="I277" s="10"/>
      <c r="J277" s="10"/>
      <c r="K277" s="10"/>
      <c r="L277" s="10"/>
      <c r="M277" s="10"/>
      <c r="N277" s="10"/>
      <c r="O277" s="10">
        <f>(2*((G272-(2*$D$11))+(F272-(2*$D$11)))+(2*10*D277/1000))*D272</f>
        <v>2.06</v>
      </c>
      <c r="P277" s="10">
        <f t="shared" si="78"/>
        <v>92.7</v>
      </c>
      <c r="Q277" s="10">
        <f t="shared" si="79"/>
        <v>0</v>
      </c>
      <c r="R277" s="10">
        <f t="shared" si="79"/>
        <v>57.176035714285717</v>
      </c>
      <c r="S277" s="10">
        <f t="shared" si="79"/>
        <v>0</v>
      </c>
      <c r="T277" s="10">
        <f t="shared" si="79"/>
        <v>0</v>
      </c>
      <c r="U277" s="10">
        <f t="shared" si="79"/>
        <v>0</v>
      </c>
      <c r="V277" s="10">
        <f t="shared" si="79"/>
        <v>0</v>
      </c>
      <c r="W277" s="10">
        <f t="shared" si="79"/>
        <v>0</v>
      </c>
      <c r="X277" s="10">
        <f t="shared" si="80"/>
        <v>57.176035714285717</v>
      </c>
      <c r="Y277" s="10"/>
      <c r="Z277" s="10"/>
      <c r="AA277" s="10"/>
      <c r="AB277" s="10"/>
      <c r="AC277" s="10"/>
      <c r="AD277" s="10"/>
      <c r="AE277" s="10"/>
    </row>
    <row r="278" spans="1:32" s="2" customFormat="1" ht="20.100000000000001" customHeight="1" x14ac:dyDescent="0.2">
      <c r="B278" s="10" t="s">
        <v>67</v>
      </c>
      <c r="C278" s="93" t="s">
        <v>73</v>
      </c>
      <c r="D278" s="2">
        <f>D277</f>
        <v>10</v>
      </c>
      <c r="E278" s="2">
        <v>0.15</v>
      </c>
      <c r="F278" s="2">
        <f>ROUND((E272-(IF(E272/3&gt;2*G272,E272/3*2,G272*2*2)))/E278,0)</f>
        <v>15</v>
      </c>
      <c r="G278" s="3"/>
      <c r="O278" s="10">
        <f>(2*((G272-(2*$D$11))+(F272-(2*$D$11)))+(2*10*D278/1000))*D272</f>
        <v>2.06</v>
      </c>
      <c r="P278" s="10">
        <f t="shared" si="78"/>
        <v>30.900000000000002</v>
      </c>
      <c r="Q278" s="10">
        <f t="shared" si="79"/>
        <v>0</v>
      </c>
      <c r="R278" s="10">
        <f t="shared" si="79"/>
        <v>19.058678571428572</v>
      </c>
      <c r="S278" s="10">
        <f t="shared" si="79"/>
        <v>0</v>
      </c>
      <c r="T278" s="10">
        <f t="shared" si="79"/>
        <v>0</v>
      </c>
      <c r="U278" s="10">
        <f t="shared" si="79"/>
        <v>0</v>
      </c>
      <c r="V278" s="10">
        <f t="shared" si="79"/>
        <v>0</v>
      </c>
      <c r="W278" s="10">
        <f t="shared" si="79"/>
        <v>0</v>
      </c>
      <c r="X278" s="10">
        <f t="shared" si="80"/>
        <v>19.058678571428572</v>
      </c>
    </row>
    <row r="279" spans="1:32" s="2" customFormat="1" ht="20.100000000000001" customHeight="1" x14ac:dyDescent="0.2">
      <c r="B279" s="10" t="s">
        <v>67</v>
      </c>
      <c r="C279" s="93" t="s">
        <v>74</v>
      </c>
      <c r="D279" s="2">
        <f>D277</f>
        <v>10</v>
      </c>
      <c r="E279" s="2">
        <f>+E277</f>
        <v>0.1</v>
      </c>
      <c r="F279" s="10">
        <f>ROUND(IF(E272/3&gt;(2*G272),(E272/3)/E279,(2*G272)/E279),0)*2+1</f>
        <v>45</v>
      </c>
      <c r="G279" s="3"/>
      <c r="O279" s="10">
        <f>((((G272-(2*$D$11))+(2*10*D279/1000))*D272))*2</f>
        <v>1.48</v>
      </c>
      <c r="P279" s="10">
        <f t="shared" si="78"/>
        <v>66.599999999999994</v>
      </c>
      <c r="Q279" s="10">
        <f t="shared" si="79"/>
        <v>0</v>
      </c>
      <c r="R279" s="10">
        <f t="shared" si="79"/>
        <v>41.077928571428565</v>
      </c>
      <c r="S279" s="10">
        <f t="shared" si="79"/>
        <v>0</v>
      </c>
      <c r="T279" s="10">
        <f t="shared" si="79"/>
        <v>0</v>
      </c>
      <c r="U279" s="10">
        <f t="shared" si="79"/>
        <v>0</v>
      </c>
      <c r="V279" s="10">
        <f t="shared" si="79"/>
        <v>0</v>
      </c>
      <c r="W279" s="10">
        <f t="shared" si="79"/>
        <v>0</v>
      </c>
      <c r="X279" s="10">
        <f t="shared" si="80"/>
        <v>41.077928571428565</v>
      </c>
    </row>
    <row r="280" spans="1:32" s="2" customFormat="1" ht="20.100000000000001" customHeight="1" x14ac:dyDescent="0.2">
      <c r="B280" s="10" t="s">
        <v>67</v>
      </c>
      <c r="C280" s="93" t="s">
        <v>74</v>
      </c>
      <c r="D280" s="2">
        <f>D278</f>
        <v>10</v>
      </c>
      <c r="E280" s="2">
        <f>+E278</f>
        <v>0.15</v>
      </c>
      <c r="F280" s="2">
        <f>ROUND((E272-(IF(E272/3&gt;2*G272,E272/3*2,G272*2*2)))/E280,0)</f>
        <v>15</v>
      </c>
      <c r="G280" s="3"/>
      <c r="O280" s="10">
        <f>((((G272-(2*$D$11))+(2*10*D280/1000))*D272))*2</f>
        <v>1.48</v>
      </c>
      <c r="P280" s="10">
        <f t="shared" si="78"/>
        <v>22.2</v>
      </c>
      <c r="Q280" s="10">
        <f t="shared" si="79"/>
        <v>0</v>
      </c>
      <c r="R280" s="10">
        <f t="shared" si="79"/>
        <v>13.692642857142856</v>
      </c>
      <c r="S280" s="10">
        <f t="shared" si="79"/>
        <v>0</v>
      </c>
      <c r="T280" s="10">
        <f t="shared" si="79"/>
        <v>0</v>
      </c>
      <c r="U280" s="10">
        <f t="shared" si="79"/>
        <v>0</v>
      </c>
      <c r="V280" s="10">
        <f t="shared" si="79"/>
        <v>0</v>
      </c>
      <c r="W280" s="10">
        <f t="shared" si="79"/>
        <v>0</v>
      </c>
      <c r="X280" s="10">
        <f t="shared" si="80"/>
        <v>13.692642857142856</v>
      </c>
    </row>
    <row r="281" spans="1:32" s="3" customFormat="1" ht="20.100000000000001" customHeight="1" x14ac:dyDescent="0.2">
      <c r="A281" s="87"/>
      <c r="B281" s="10" t="s">
        <v>67</v>
      </c>
      <c r="C281" s="93" t="s">
        <v>75</v>
      </c>
      <c r="D281" s="10">
        <f>+$D$15</f>
        <v>25</v>
      </c>
      <c r="E281" s="10">
        <f>+$E$15</f>
        <v>1</v>
      </c>
      <c r="F281" s="10">
        <f>ROUNDUP((O276+3.6)/E281,0)</f>
        <v>9</v>
      </c>
      <c r="G281" s="90"/>
      <c r="H281" s="90"/>
      <c r="I281" s="10"/>
      <c r="J281" s="10"/>
      <c r="K281" s="10"/>
      <c r="L281" s="10"/>
      <c r="M281" s="10"/>
      <c r="N281" s="10"/>
      <c r="O281" s="10">
        <f>F272-$F$15</f>
        <v>0.39</v>
      </c>
      <c r="P281" s="10">
        <f t="shared" si="78"/>
        <v>3.5100000000000002</v>
      </c>
      <c r="Q281" s="10">
        <f t="shared" si="79"/>
        <v>0</v>
      </c>
      <c r="R281" s="10">
        <f t="shared" si="79"/>
        <v>0</v>
      </c>
      <c r="S281" s="10">
        <f t="shared" si="79"/>
        <v>0</v>
      </c>
      <c r="T281" s="10">
        <f t="shared" si="79"/>
        <v>0</v>
      </c>
      <c r="U281" s="10">
        <f t="shared" si="79"/>
        <v>0</v>
      </c>
      <c r="V281" s="10">
        <f t="shared" si="79"/>
        <v>13.53073660714286</v>
      </c>
      <c r="W281" s="10">
        <f t="shared" si="79"/>
        <v>0</v>
      </c>
      <c r="X281" s="10">
        <f t="shared" si="80"/>
        <v>13.53073660714286</v>
      </c>
      <c r="Y281" s="10"/>
      <c r="Z281" s="10"/>
      <c r="AA281" s="10"/>
      <c r="AB281" s="10"/>
      <c r="AC281" s="10"/>
      <c r="AD281" s="10"/>
      <c r="AE281" s="10"/>
    </row>
    <row r="282" spans="1:32" s="3" customFormat="1" ht="21" customHeight="1" x14ac:dyDescent="0.2">
      <c r="A282" s="10">
        <v>1</v>
      </c>
      <c r="B282" s="10" t="s">
        <v>67</v>
      </c>
      <c r="C282" s="91" t="s">
        <v>101</v>
      </c>
      <c r="D282" s="91">
        <v>1</v>
      </c>
      <c r="E282" s="91">
        <v>6.55</v>
      </c>
      <c r="F282" s="91">
        <v>0.45</v>
      </c>
      <c r="G282" s="91">
        <v>0.6</v>
      </c>
      <c r="H282" s="10">
        <f>G282-0.2</f>
        <v>0.39999999999999997</v>
      </c>
      <c r="I282" s="10">
        <f>E282*F282*G282*D282</f>
        <v>1.7684999999999997</v>
      </c>
      <c r="J282" s="10">
        <f>(2*(E282)*H282*D282)+(E282*F282)</f>
        <v>8.1875</v>
      </c>
      <c r="K282" s="92">
        <f>IF(E282=0.3,J282,0)</f>
        <v>0</v>
      </c>
      <c r="L282" s="92">
        <f>IF(AND(E282&gt;0.3,E282&lt;=0.75),J282,0)</f>
        <v>0</v>
      </c>
      <c r="M282" s="92">
        <f>IF(AND(E282&gt;0.75,E282&lt;=1.2),J282,0)</f>
        <v>0</v>
      </c>
      <c r="N282" s="92">
        <f>IF(E282&gt;1.2,J282,0)</f>
        <v>8.1875</v>
      </c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>
        <f>SUM(X283:X290)/I282</f>
        <v>186.25010380063819</v>
      </c>
      <c r="Z282" s="10"/>
      <c r="AA282" s="10"/>
      <c r="AB282" s="10"/>
      <c r="AC282" s="10"/>
      <c r="AD282" s="10"/>
      <c r="AE282" s="10"/>
      <c r="AF282" s="10"/>
    </row>
    <row r="283" spans="1:32" s="3" customFormat="1" ht="20.100000000000001" customHeight="1" x14ac:dyDescent="0.2">
      <c r="A283" s="87"/>
      <c r="B283" s="10" t="s">
        <v>67</v>
      </c>
      <c r="C283" s="93" t="s">
        <v>69</v>
      </c>
      <c r="D283" s="10">
        <v>20</v>
      </c>
      <c r="E283" s="10"/>
      <c r="F283" s="10">
        <v>4</v>
      </c>
      <c r="G283" s="90">
        <f>VLOOKUP(D283,$C$20:$F$26,3,0)</f>
        <v>1.05</v>
      </c>
      <c r="H283" s="90"/>
      <c r="I283" s="10"/>
      <c r="J283" s="10"/>
      <c r="K283" s="10"/>
      <c r="L283" s="10"/>
      <c r="M283" s="10"/>
      <c r="N283" s="10"/>
      <c r="O283" s="10">
        <f>(E282+1*(0.5/2)+1*(0.55/2))</f>
        <v>7.0750000000000002</v>
      </c>
      <c r="P283" s="10">
        <f t="shared" ref="P283:P291" si="81">O283*F283</f>
        <v>28.3</v>
      </c>
      <c r="Q283" s="10">
        <f t="shared" si="79"/>
        <v>0</v>
      </c>
      <c r="R283" s="10">
        <f t="shared" si="79"/>
        <v>0</v>
      </c>
      <c r="S283" s="10">
        <f t="shared" si="79"/>
        <v>0</v>
      </c>
      <c r="T283" s="10">
        <f t="shared" si="79"/>
        <v>0</v>
      </c>
      <c r="U283" s="10">
        <f t="shared" si="79"/>
        <v>69.820142857142855</v>
      </c>
      <c r="V283" s="10">
        <f t="shared" si="79"/>
        <v>0</v>
      </c>
      <c r="W283" s="10">
        <f t="shared" si="79"/>
        <v>0</v>
      </c>
      <c r="X283" s="10">
        <f t="shared" ref="X283:X291" si="82">SUM(Q283:W283)</f>
        <v>69.820142857142855</v>
      </c>
      <c r="Y283" s="10"/>
      <c r="Z283" s="10"/>
      <c r="AA283" s="10"/>
      <c r="AB283" s="10"/>
      <c r="AC283" s="10"/>
      <c r="AD283" s="10"/>
      <c r="AE283" s="10"/>
    </row>
    <row r="284" spans="1:32" s="3" customFormat="1" ht="20.100000000000001" customHeight="1" x14ac:dyDescent="0.2">
      <c r="A284" s="87"/>
      <c r="B284" s="10" t="s">
        <v>67</v>
      </c>
      <c r="C284" s="93" t="s">
        <v>70</v>
      </c>
      <c r="D284" s="10">
        <v>16</v>
      </c>
      <c r="E284" s="10"/>
      <c r="F284" s="10">
        <v>4</v>
      </c>
      <c r="G284" s="90">
        <f>VLOOKUP(D284,$C$20:$F$26,3,0)</f>
        <v>0.85</v>
      </c>
      <c r="H284" s="90"/>
      <c r="I284" s="10"/>
      <c r="J284" s="10"/>
      <c r="K284" s="10"/>
      <c r="L284" s="10"/>
      <c r="M284" s="10"/>
      <c r="N284" s="10"/>
      <c r="O284" s="10">
        <f>(E282+1*(0.5/2)+1*(0.55/2))</f>
        <v>7.0750000000000002</v>
      </c>
      <c r="P284" s="10">
        <f t="shared" si="81"/>
        <v>28.3</v>
      </c>
      <c r="Q284" s="10">
        <f t="shared" si="79"/>
        <v>0</v>
      </c>
      <c r="R284" s="10">
        <f t="shared" si="79"/>
        <v>0</v>
      </c>
      <c r="S284" s="10">
        <f t="shared" si="79"/>
        <v>0</v>
      </c>
      <c r="T284" s="10">
        <f t="shared" si="79"/>
        <v>44.684891428571433</v>
      </c>
      <c r="U284" s="10">
        <f t="shared" si="79"/>
        <v>0</v>
      </c>
      <c r="V284" s="10">
        <f t="shared" si="79"/>
        <v>0</v>
      </c>
      <c r="W284" s="10">
        <f t="shared" si="79"/>
        <v>0</v>
      </c>
      <c r="X284" s="10">
        <f t="shared" si="82"/>
        <v>44.684891428571433</v>
      </c>
      <c r="Y284" s="10"/>
      <c r="Z284" s="10"/>
      <c r="AA284" s="10"/>
      <c r="AB284" s="10"/>
      <c r="AC284" s="10"/>
      <c r="AD284" s="10"/>
      <c r="AE284" s="10"/>
    </row>
    <row r="285" spans="1:32" s="3" customFormat="1" ht="20.100000000000001" customHeight="1" x14ac:dyDescent="0.2">
      <c r="A285" s="87"/>
      <c r="B285" s="10" t="s">
        <v>67</v>
      </c>
      <c r="C285" s="93" t="s">
        <v>71</v>
      </c>
      <c r="D285" s="10">
        <v>20</v>
      </c>
      <c r="E285" s="10"/>
      <c r="F285" s="10">
        <v>4</v>
      </c>
      <c r="G285" s="90">
        <f>VLOOKUP(D285,$C$20:$F$26,3,0)</f>
        <v>1.05</v>
      </c>
      <c r="H285" s="10"/>
      <c r="I285" s="10"/>
      <c r="J285" s="10"/>
      <c r="K285" s="10"/>
      <c r="L285" s="10"/>
      <c r="M285" s="10"/>
      <c r="N285" s="10"/>
      <c r="O285" s="10">
        <f>(E282+1*(0.5/2)+1*(0.55/2))</f>
        <v>7.0750000000000002</v>
      </c>
      <c r="P285" s="10">
        <f t="shared" si="81"/>
        <v>28.3</v>
      </c>
      <c r="Q285" s="10">
        <f t="shared" si="79"/>
        <v>0</v>
      </c>
      <c r="R285" s="10">
        <f t="shared" si="79"/>
        <v>0</v>
      </c>
      <c r="S285" s="10">
        <f t="shared" si="79"/>
        <v>0</v>
      </c>
      <c r="T285" s="10">
        <f t="shared" si="79"/>
        <v>0</v>
      </c>
      <c r="U285" s="10">
        <f t="shared" si="79"/>
        <v>69.820142857142855</v>
      </c>
      <c r="V285" s="10">
        <f t="shared" si="79"/>
        <v>0</v>
      </c>
      <c r="W285" s="10">
        <f t="shared" si="79"/>
        <v>0</v>
      </c>
      <c r="X285" s="10">
        <f t="shared" si="82"/>
        <v>69.820142857142855</v>
      </c>
      <c r="Y285" s="10"/>
      <c r="Z285" s="10"/>
      <c r="AA285" s="10"/>
      <c r="AB285" s="10"/>
      <c r="AC285" s="10"/>
      <c r="AD285" s="10"/>
      <c r="AE285" s="10"/>
    </row>
    <row r="286" spans="1:32" s="3" customFormat="1" ht="20.100000000000001" customHeight="1" x14ac:dyDescent="0.2">
      <c r="A286" s="87"/>
      <c r="B286" s="10" t="s">
        <v>67</v>
      </c>
      <c r="C286" s="93" t="s">
        <v>72</v>
      </c>
      <c r="D286" s="10">
        <v>16</v>
      </c>
      <c r="E286" s="10"/>
      <c r="F286" s="10">
        <v>2</v>
      </c>
      <c r="G286" s="90">
        <f>VLOOKUP(D286,$C$20:$F$26,3,0)</f>
        <v>0.85</v>
      </c>
      <c r="H286" s="10"/>
      <c r="I286" s="10"/>
      <c r="J286" s="10"/>
      <c r="K286" s="10"/>
      <c r="L286" s="10"/>
      <c r="M286" s="10"/>
      <c r="N286" s="10"/>
      <c r="O286" s="10">
        <f>E282-1.05-1.05</f>
        <v>4.45</v>
      </c>
      <c r="P286" s="10">
        <f t="shared" si="81"/>
        <v>8.9</v>
      </c>
      <c r="Q286" s="10">
        <f t="shared" si="79"/>
        <v>0</v>
      </c>
      <c r="R286" s="10">
        <f t="shared" si="79"/>
        <v>0</v>
      </c>
      <c r="S286" s="10">
        <f t="shared" si="79"/>
        <v>0</v>
      </c>
      <c r="T286" s="10">
        <f t="shared" si="79"/>
        <v>14.052845714285716</v>
      </c>
      <c r="U286" s="10">
        <f t="shared" si="79"/>
        <v>0</v>
      </c>
      <c r="V286" s="10">
        <f t="shared" si="79"/>
        <v>0</v>
      </c>
      <c r="W286" s="10">
        <f t="shared" si="79"/>
        <v>0</v>
      </c>
      <c r="X286" s="10">
        <f t="shared" si="82"/>
        <v>14.052845714285716</v>
      </c>
      <c r="Y286" s="10"/>
      <c r="Z286" s="10"/>
      <c r="AA286" s="10"/>
      <c r="AB286" s="10"/>
      <c r="AC286" s="10"/>
      <c r="AD286" s="10"/>
      <c r="AE286" s="10"/>
    </row>
    <row r="287" spans="1:32" s="3" customFormat="1" ht="20.100000000000001" customHeight="1" x14ac:dyDescent="0.2">
      <c r="A287" s="87"/>
      <c r="B287" s="10" t="s">
        <v>67</v>
      </c>
      <c r="C287" s="93" t="s">
        <v>73</v>
      </c>
      <c r="D287" s="10">
        <v>10</v>
      </c>
      <c r="E287" s="10">
        <v>0.1</v>
      </c>
      <c r="F287" s="10">
        <f>ROUND(IF(E282/3&gt;(2*G282),(E282/3)/E287,(2*G282)/E287),0)*2+1</f>
        <v>45</v>
      </c>
      <c r="H287" s="10"/>
      <c r="I287" s="10"/>
      <c r="J287" s="10"/>
      <c r="K287" s="10"/>
      <c r="L287" s="10"/>
      <c r="M287" s="10"/>
      <c r="N287" s="10"/>
      <c r="O287" s="10">
        <f>(2*((G282-(2*$D$11))+(F282-(2*$D$11)))+(2*10*D287/1000))*D282</f>
        <v>2.06</v>
      </c>
      <c r="P287" s="10">
        <f t="shared" si="81"/>
        <v>92.7</v>
      </c>
      <c r="Q287" s="10">
        <f t="shared" si="79"/>
        <v>0</v>
      </c>
      <c r="R287" s="10">
        <f t="shared" si="79"/>
        <v>57.176035714285717</v>
      </c>
      <c r="S287" s="10">
        <f t="shared" si="79"/>
        <v>0</v>
      </c>
      <c r="T287" s="10">
        <f t="shared" si="79"/>
        <v>0</v>
      </c>
      <c r="U287" s="10">
        <f t="shared" si="79"/>
        <v>0</v>
      </c>
      <c r="V287" s="10">
        <f t="shared" si="79"/>
        <v>0</v>
      </c>
      <c r="W287" s="10">
        <f t="shared" si="79"/>
        <v>0</v>
      </c>
      <c r="X287" s="10">
        <f t="shared" si="82"/>
        <v>57.176035714285717</v>
      </c>
      <c r="Y287" s="10"/>
      <c r="Z287" s="10"/>
      <c r="AA287" s="10"/>
      <c r="AB287" s="10"/>
      <c r="AC287" s="10"/>
      <c r="AD287" s="10"/>
      <c r="AE287" s="10"/>
    </row>
    <row r="288" spans="1:32" s="2" customFormat="1" ht="20.100000000000001" customHeight="1" x14ac:dyDescent="0.2">
      <c r="B288" s="10" t="s">
        <v>67</v>
      </c>
      <c r="C288" s="93" t="s">
        <v>73</v>
      </c>
      <c r="D288" s="2">
        <f>D287</f>
        <v>10</v>
      </c>
      <c r="E288" s="2">
        <v>0.15</v>
      </c>
      <c r="F288" s="2">
        <f>ROUND((E282-(IF(E282/3&gt;2*G282,E282/3*2,G282*2*2)))/E288,0)</f>
        <v>15</v>
      </c>
      <c r="G288" s="3"/>
      <c r="O288" s="10">
        <f>(2*((G282-(2*$D$11))+(F282-(2*$D$11)))+(2*10*D288/1000))*D282</f>
        <v>2.06</v>
      </c>
      <c r="P288" s="10">
        <f t="shared" si="81"/>
        <v>30.900000000000002</v>
      </c>
      <c r="Q288" s="10">
        <f t="shared" si="79"/>
        <v>0</v>
      </c>
      <c r="R288" s="10">
        <f t="shared" si="79"/>
        <v>19.058678571428572</v>
      </c>
      <c r="S288" s="10">
        <f t="shared" si="79"/>
        <v>0</v>
      </c>
      <c r="T288" s="10">
        <f t="shared" si="79"/>
        <v>0</v>
      </c>
      <c r="U288" s="10">
        <f t="shared" si="79"/>
        <v>0</v>
      </c>
      <c r="V288" s="10">
        <f t="shared" si="79"/>
        <v>0</v>
      </c>
      <c r="W288" s="10">
        <f t="shared" si="79"/>
        <v>0</v>
      </c>
      <c r="X288" s="10">
        <f t="shared" si="82"/>
        <v>19.058678571428572</v>
      </c>
    </row>
    <row r="289" spans="1:32" s="2" customFormat="1" ht="20.100000000000001" customHeight="1" x14ac:dyDescent="0.2">
      <c r="B289" s="10" t="s">
        <v>67</v>
      </c>
      <c r="C289" s="93" t="s">
        <v>74</v>
      </c>
      <c r="D289" s="2">
        <f>D287</f>
        <v>10</v>
      </c>
      <c r="E289" s="2">
        <f>+E287</f>
        <v>0.1</v>
      </c>
      <c r="F289" s="10">
        <f>ROUND(IF(E282/3&gt;(2*G282),(E282/3)/E289,(2*G282)/E289),0)*2+1</f>
        <v>45</v>
      </c>
      <c r="G289" s="3"/>
      <c r="O289" s="10">
        <f>((((G282-(2*$D$11))+(2*10*D289/1000))*D282))*2</f>
        <v>1.48</v>
      </c>
      <c r="P289" s="10">
        <f t="shared" si="81"/>
        <v>66.599999999999994</v>
      </c>
      <c r="Q289" s="10">
        <f t="shared" ref="Q289:W291" si="83">IF($D289=Q$44,$P289*Q$45,0)</f>
        <v>0</v>
      </c>
      <c r="R289" s="10">
        <f t="shared" si="83"/>
        <v>41.077928571428565</v>
      </c>
      <c r="S289" s="10">
        <f t="shared" si="83"/>
        <v>0</v>
      </c>
      <c r="T289" s="10">
        <f t="shared" si="83"/>
        <v>0</v>
      </c>
      <c r="U289" s="10">
        <f t="shared" si="83"/>
        <v>0</v>
      </c>
      <c r="V289" s="10">
        <f t="shared" si="83"/>
        <v>0</v>
      </c>
      <c r="W289" s="10">
        <f t="shared" si="83"/>
        <v>0</v>
      </c>
      <c r="X289" s="10">
        <f t="shared" si="82"/>
        <v>41.077928571428565</v>
      </c>
    </row>
    <row r="290" spans="1:32" s="2" customFormat="1" ht="20.100000000000001" customHeight="1" x14ac:dyDescent="0.2">
      <c r="B290" s="10" t="s">
        <v>67</v>
      </c>
      <c r="C290" s="93" t="s">
        <v>74</v>
      </c>
      <c r="D290" s="2">
        <f>D288</f>
        <v>10</v>
      </c>
      <c r="E290" s="2">
        <f>+E288</f>
        <v>0.15</v>
      </c>
      <c r="F290" s="2">
        <f>ROUND((E282-(IF(E282/3&gt;2*G282,E282/3*2,G282*2*2)))/E290,0)</f>
        <v>15</v>
      </c>
      <c r="G290" s="3"/>
      <c r="O290" s="10">
        <f>((((G282-(2*$D$11))+(2*10*D290/1000))*D282))*2</f>
        <v>1.48</v>
      </c>
      <c r="P290" s="10">
        <f t="shared" si="81"/>
        <v>22.2</v>
      </c>
      <c r="Q290" s="10">
        <f t="shared" si="83"/>
        <v>0</v>
      </c>
      <c r="R290" s="10">
        <f t="shared" si="83"/>
        <v>13.692642857142856</v>
      </c>
      <c r="S290" s="10">
        <f t="shared" si="83"/>
        <v>0</v>
      </c>
      <c r="T290" s="10">
        <f t="shared" si="83"/>
        <v>0</v>
      </c>
      <c r="U290" s="10">
        <f t="shared" si="83"/>
        <v>0</v>
      </c>
      <c r="V290" s="10">
        <f t="shared" si="83"/>
        <v>0</v>
      </c>
      <c r="W290" s="10">
        <f t="shared" si="83"/>
        <v>0</v>
      </c>
      <c r="X290" s="10">
        <f t="shared" si="82"/>
        <v>13.692642857142856</v>
      </c>
    </row>
    <row r="291" spans="1:32" s="3" customFormat="1" ht="20.100000000000001" customHeight="1" x14ac:dyDescent="0.2">
      <c r="A291" s="87"/>
      <c r="B291" s="10" t="s">
        <v>67</v>
      </c>
      <c r="C291" s="93" t="s">
        <v>75</v>
      </c>
      <c r="D291" s="10">
        <f>+$D$15</f>
        <v>25</v>
      </c>
      <c r="E291" s="10">
        <f>+$E$15</f>
        <v>1</v>
      </c>
      <c r="F291" s="10">
        <f>ROUNDUP((O286+E282)/E291,0)</f>
        <v>11</v>
      </c>
      <c r="G291" s="90"/>
      <c r="H291" s="90"/>
      <c r="I291" s="10"/>
      <c r="J291" s="10"/>
      <c r="K291" s="10"/>
      <c r="L291" s="10"/>
      <c r="M291" s="10"/>
      <c r="N291" s="10"/>
      <c r="O291" s="10">
        <f>F282-$F$15</f>
        <v>0.39</v>
      </c>
      <c r="P291" s="10">
        <f t="shared" si="81"/>
        <v>4.29</v>
      </c>
      <c r="Q291" s="10">
        <f t="shared" si="83"/>
        <v>0</v>
      </c>
      <c r="R291" s="10">
        <f t="shared" si="83"/>
        <v>0</v>
      </c>
      <c r="S291" s="10">
        <f t="shared" si="83"/>
        <v>0</v>
      </c>
      <c r="T291" s="10">
        <f t="shared" si="83"/>
        <v>0</v>
      </c>
      <c r="U291" s="10">
        <f t="shared" si="83"/>
        <v>0</v>
      </c>
      <c r="V291" s="10">
        <f t="shared" si="83"/>
        <v>16.537566964285716</v>
      </c>
      <c r="W291" s="10">
        <f t="shared" si="83"/>
        <v>0</v>
      </c>
      <c r="X291" s="10">
        <f t="shared" si="82"/>
        <v>16.537566964285716</v>
      </c>
      <c r="Y291" s="10"/>
      <c r="Z291" s="10"/>
      <c r="AA291" s="10"/>
      <c r="AB291" s="10"/>
      <c r="AC291" s="10"/>
      <c r="AD291" s="10"/>
      <c r="AE291" s="10"/>
    </row>
    <row r="292" spans="1:32" s="3" customFormat="1" ht="21" customHeight="1" x14ac:dyDescent="0.2">
      <c r="A292" s="10">
        <v>1</v>
      </c>
      <c r="B292" s="10" t="s">
        <v>67</v>
      </c>
      <c r="C292" s="91" t="s">
        <v>102</v>
      </c>
      <c r="D292" s="91">
        <v>1</v>
      </c>
      <c r="E292" s="91">
        <v>4.8499999999999996</v>
      </c>
      <c r="F292" s="91">
        <v>0.45</v>
      </c>
      <c r="G292" s="91">
        <v>0.6</v>
      </c>
      <c r="H292" s="10">
        <f>G292-0.2</f>
        <v>0.39999999999999997</v>
      </c>
      <c r="I292" s="10">
        <f>E292*F292*G292*D292</f>
        <v>1.3095000000000001</v>
      </c>
      <c r="J292" s="10">
        <f>(2*(E292)*H292*D292)+(E292*F292)</f>
        <v>6.0625</v>
      </c>
      <c r="K292" s="92">
        <f>IF(E292=0.3,J292,0)</f>
        <v>0</v>
      </c>
      <c r="L292" s="92">
        <f>IF(AND(E292&gt;0.3,E292&lt;=0.75),J292,0)</f>
        <v>0</v>
      </c>
      <c r="M292" s="92">
        <f>IF(AND(E292&gt;0.75,E292&lt;=1.2),J292,0)</f>
        <v>0</v>
      </c>
      <c r="N292" s="92">
        <f>IF(E292&gt;1.2,J292,0)</f>
        <v>6.0625</v>
      </c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>
        <f>SUM(X293:X299)/I292</f>
        <v>177.89051437298858</v>
      </c>
      <c r="Z292" s="10"/>
      <c r="AA292" s="10"/>
      <c r="AB292" s="10"/>
      <c r="AC292" s="10"/>
      <c r="AD292" s="10"/>
      <c r="AE292" s="10"/>
      <c r="AF292" s="10"/>
    </row>
    <row r="293" spans="1:32" s="3" customFormat="1" ht="20.100000000000001" customHeight="1" x14ac:dyDescent="0.2">
      <c r="A293" s="87"/>
      <c r="B293" s="10" t="s">
        <v>67</v>
      </c>
      <c r="C293" s="93" t="s">
        <v>69</v>
      </c>
      <c r="D293" s="10">
        <v>20</v>
      </c>
      <c r="E293" s="10"/>
      <c r="F293" s="10">
        <v>4</v>
      </c>
      <c r="G293" s="90">
        <f>VLOOKUP(D293,$C$20:$F$26,3,0)</f>
        <v>1.05</v>
      </c>
      <c r="H293" s="90"/>
      <c r="I293" s="10"/>
      <c r="J293" s="10"/>
      <c r="K293" s="10"/>
      <c r="L293" s="10"/>
      <c r="M293" s="10"/>
      <c r="N293" s="10"/>
      <c r="O293" s="10">
        <f>(E292+1*(G293+(12*D293/1000))+1*(0.55/2)*D292)</f>
        <v>6.415</v>
      </c>
      <c r="P293" s="10">
        <f t="shared" ref="P293:P300" si="84">O293*F293</f>
        <v>25.66</v>
      </c>
      <c r="Q293" s="10">
        <f t="shared" ref="Q293:W300" si="85">IF($D293=Q$44,$P293*Q$45,0)</f>
        <v>0</v>
      </c>
      <c r="R293" s="10">
        <f t="shared" si="85"/>
        <v>0</v>
      </c>
      <c r="S293" s="10">
        <f t="shared" si="85"/>
        <v>0</v>
      </c>
      <c r="T293" s="10">
        <f t="shared" si="85"/>
        <v>0</v>
      </c>
      <c r="U293" s="10">
        <f t="shared" si="85"/>
        <v>63.306885714285713</v>
      </c>
      <c r="V293" s="10">
        <f t="shared" si="85"/>
        <v>0</v>
      </c>
      <c r="W293" s="10">
        <f t="shared" si="85"/>
        <v>0</v>
      </c>
      <c r="X293" s="10">
        <f t="shared" ref="X293:X300" si="86">SUM(Q293:W293)</f>
        <v>63.306885714285713</v>
      </c>
      <c r="Y293" s="10"/>
      <c r="Z293" s="10"/>
      <c r="AA293" s="10"/>
      <c r="AB293" s="10"/>
      <c r="AC293" s="10"/>
      <c r="AD293" s="10"/>
      <c r="AE293" s="10"/>
    </row>
    <row r="294" spans="1:32" s="3" customFormat="1" ht="20.100000000000001" customHeight="1" x14ac:dyDescent="0.2">
      <c r="A294" s="87"/>
      <c r="B294" s="10" t="s">
        <v>67</v>
      </c>
      <c r="C294" s="93" t="s">
        <v>70</v>
      </c>
      <c r="D294" s="10">
        <v>16</v>
      </c>
      <c r="E294" s="10"/>
      <c r="F294" s="10">
        <v>4</v>
      </c>
      <c r="G294" s="90">
        <f>VLOOKUP(D294,$C$20:$F$26,3,0)</f>
        <v>0.85</v>
      </c>
      <c r="H294" s="90"/>
      <c r="I294" s="10"/>
      <c r="J294" s="10"/>
      <c r="K294" s="10"/>
      <c r="L294" s="10"/>
      <c r="M294" s="10"/>
      <c r="N294" s="10"/>
      <c r="O294" s="10">
        <f>(1.35+1*(0.55/2))</f>
        <v>1.625</v>
      </c>
      <c r="P294" s="10">
        <f t="shared" si="84"/>
        <v>6.5</v>
      </c>
      <c r="Q294" s="10">
        <f t="shared" si="85"/>
        <v>0</v>
      </c>
      <c r="R294" s="10">
        <f t="shared" si="85"/>
        <v>0</v>
      </c>
      <c r="S294" s="10">
        <f t="shared" si="85"/>
        <v>0</v>
      </c>
      <c r="T294" s="10">
        <f t="shared" si="85"/>
        <v>10.263314285714287</v>
      </c>
      <c r="U294" s="10">
        <f t="shared" si="85"/>
        <v>0</v>
      </c>
      <c r="V294" s="10">
        <f t="shared" si="85"/>
        <v>0</v>
      </c>
      <c r="W294" s="10">
        <f t="shared" si="85"/>
        <v>0</v>
      </c>
      <c r="X294" s="10">
        <f t="shared" si="86"/>
        <v>10.263314285714287</v>
      </c>
      <c r="Y294" s="10"/>
      <c r="Z294" s="10"/>
      <c r="AA294" s="10"/>
      <c r="AB294" s="10"/>
      <c r="AC294" s="10"/>
      <c r="AD294" s="10"/>
      <c r="AE294" s="10"/>
    </row>
    <row r="295" spans="1:32" s="3" customFormat="1" ht="20.100000000000001" customHeight="1" x14ac:dyDescent="0.2">
      <c r="A295" s="87"/>
      <c r="B295" s="10" t="s">
        <v>67</v>
      </c>
      <c r="C295" s="93" t="s">
        <v>71</v>
      </c>
      <c r="D295" s="10">
        <v>20</v>
      </c>
      <c r="E295" s="10"/>
      <c r="F295" s="10">
        <v>4</v>
      </c>
      <c r="G295" s="90">
        <f>VLOOKUP(D295,$C$20:$F$26,3,0)</f>
        <v>1.05</v>
      </c>
      <c r="H295" s="10"/>
      <c r="I295" s="10"/>
      <c r="J295" s="10"/>
      <c r="K295" s="10"/>
      <c r="L295" s="10"/>
      <c r="M295" s="10"/>
      <c r="N295" s="10"/>
      <c r="O295" s="10">
        <f>(E292+1*(G295+(12*D295/1000))+1*(0.55/2)*D292)</f>
        <v>6.415</v>
      </c>
      <c r="P295" s="10">
        <f t="shared" si="84"/>
        <v>25.66</v>
      </c>
      <c r="Q295" s="10">
        <f t="shared" si="85"/>
        <v>0</v>
      </c>
      <c r="R295" s="10">
        <f t="shared" si="85"/>
        <v>0</v>
      </c>
      <c r="S295" s="10">
        <f t="shared" si="85"/>
        <v>0</v>
      </c>
      <c r="T295" s="10">
        <f t="shared" si="85"/>
        <v>0</v>
      </c>
      <c r="U295" s="10">
        <f t="shared" si="85"/>
        <v>63.306885714285713</v>
      </c>
      <c r="V295" s="10">
        <f t="shared" si="85"/>
        <v>0</v>
      </c>
      <c r="W295" s="10">
        <f t="shared" si="85"/>
        <v>0</v>
      </c>
      <c r="X295" s="10">
        <f t="shared" si="86"/>
        <v>63.306885714285713</v>
      </c>
      <c r="Y295" s="10"/>
      <c r="Z295" s="10"/>
      <c r="AA295" s="10"/>
      <c r="AB295" s="10"/>
      <c r="AC295" s="10"/>
      <c r="AD295" s="10"/>
      <c r="AE295" s="10"/>
    </row>
    <row r="296" spans="1:32" s="3" customFormat="1" ht="20.100000000000001" customHeight="1" x14ac:dyDescent="0.2">
      <c r="A296" s="87"/>
      <c r="B296" s="10" t="s">
        <v>67</v>
      </c>
      <c r="C296" s="93" t="s">
        <v>73</v>
      </c>
      <c r="D296" s="10">
        <v>10</v>
      </c>
      <c r="E296" s="10">
        <v>0.1</v>
      </c>
      <c r="F296" s="10">
        <f>ROUND(IF(E292/3&gt;(2*G292),(E292/3)/E296,(2*G292)/E296),0)*2+1</f>
        <v>33</v>
      </c>
      <c r="H296" s="10"/>
      <c r="I296" s="10"/>
      <c r="J296" s="10"/>
      <c r="K296" s="10"/>
      <c r="L296" s="10"/>
      <c r="M296" s="10"/>
      <c r="N296" s="10"/>
      <c r="O296" s="10">
        <f>(2*((G292-(2*$D$11))+(F292-(2*$D$11)))+(2*10*D296/1000))*D292</f>
        <v>2.06</v>
      </c>
      <c r="P296" s="10">
        <f t="shared" si="84"/>
        <v>67.98</v>
      </c>
      <c r="Q296" s="10">
        <f t="shared" si="85"/>
        <v>0</v>
      </c>
      <c r="R296" s="10">
        <f t="shared" si="85"/>
        <v>41.929092857142855</v>
      </c>
      <c r="S296" s="10">
        <f t="shared" si="85"/>
        <v>0</v>
      </c>
      <c r="T296" s="10">
        <f t="shared" si="85"/>
        <v>0</v>
      </c>
      <c r="U296" s="10">
        <f t="shared" si="85"/>
        <v>0</v>
      </c>
      <c r="V296" s="10">
        <f t="shared" si="85"/>
        <v>0</v>
      </c>
      <c r="W296" s="10">
        <f t="shared" si="85"/>
        <v>0</v>
      </c>
      <c r="X296" s="10">
        <f t="shared" si="86"/>
        <v>41.929092857142855</v>
      </c>
      <c r="Y296" s="10"/>
      <c r="Z296" s="10"/>
      <c r="AA296" s="10"/>
      <c r="AB296" s="10"/>
      <c r="AC296" s="10"/>
      <c r="AD296" s="10"/>
      <c r="AE296" s="10"/>
    </row>
    <row r="297" spans="1:32" s="2" customFormat="1" ht="20.100000000000001" customHeight="1" x14ac:dyDescent="0.2">
      <c r="B297" s="10" t="s">
        <v>67</v>
      </c>
      <c r="C297" s="93" t="s">
        <v>73</v>
      </c>
      <c r="D297" s="2">
        <f>D296</f>
        <v>10</v>
      </c>
      <c r="E297" s="2">
        <v>0.15</v>
      </c>
      <c r="F297" s="2">
        <f>ROUND((E292-(IF(E292/3&gt;2*G292,E292/3*2,G292*2*2)))/E297,0)</f>
        <v>11</v>
      </c>
      <c r="G297" s="3"/>
      <c r="O297" s="10">
        <f>(2*((G292-(2*$D$11))+(F292-(2*$D$11)))+(2*10*D297/1000))*D292</f>
        <v>2.06</v>
      </c>
      <c r="P297" s="10">
        <f t="shared" si="84"/>
        <v>22.66</v>
      </c>
      <c r="Q297" s="10">
        <f t="shared" si="85"/>
        <v>0</v>
      </c>
      <c r="R297" s="10">
        <f t="shared" si="85"/>
        <v>13.976364285714286</v>
      </c>
      <c r="S297" s="10">
        <f t="shared" si="85"/>
        <v>0</v>
      </c>
      <c r="T297" s="10">
        <f t="shared" si="85"/>
        <v>0</v>
      </c>
      <c r="U297" s="10">
        <f t="shared" si="85"/>
        <v>0</v>
      </c>
      <c r="V297" s="10">
        <f t="shared" si="85"/>
        <v>0</v>
      </c>
      <c r="W297" s="10">
        <f t="shared" si="85"/>
        <v>0</v>
      </c>
      <c r="X297" s="10">
        <f t="shared" si="86"/>
        <v>13.976364285714286</v>
      </c>
    </row>
    <row r="298" spans="1:32" s="2" customFormat="1" ht="20.100000000000001" customHeight="1" x14ac:dyDescent="0.2">
      <c r="B298" s="10" t="s">
        <v>67</v>
      </c>
      <c r="C298" s="93" t="s">
        <v>74</v>
      </c>
      <c r="D298" s="2">
        <f>D296</f>
        <v>10</v>
      </c>
      <c r="E298" s="2">
        <f>+E296</f>
        <v>0.1</v>
      </c>
      <c r="F298" s="10">
        <f>ROUND(IF(E292/3&gt;(2*G292),(E292/3)/E298,(2*G292)/E298),0)*2+1</f>
        <v>33</v>
      </c>
      <c r="G298" s="3"/>
      <c r="O298" s="10">
        <f>((((G292-(2*$D$11))+(2*10*D298/1000))*D292))*2</f>
        <v>1.48</v>
      </c>
      <c r="P298" s="10">
        <f t="shared" si="84"/>
        <v>48.839999999999996</v>
      </c>
      <c r="Q298" s="10">
        <f t="shared" si="85"/>
        <v>0</v>
      </c>
      <c r="R298" s="10">
        <f t="shared" si="85"/>
        <v>30.123814285714282</v>
      </c>
      <c r="S298" s="10">
        <f t="shared" si="85"/>
        <v>0</v>
      </c>
      <c r="T298" s="10">
        <f t="shared" si="85"/>
        <v>0</v>
      </c>
      <c r="U298" s="10">
        <f t="shared" si="85"/>
        <v>0</v>
      </c>
      <c r="V298" s="10">
        <f t="shared" si="85"/>
        <v>0</v>
      </c>
      <c r="W298" s="10">
        <f t="shared" si="85"/>
        <v>0</v>
      </c>
      <c r="X298" s="10">
        <f t="shared" si="86"/>
        <v>30.123814285714282</v>
      </c>
    </row>
    <row r="299" spans="1:32" s="2" customFormat="1" ht="20.100000000000001" customHeight="1" x14ac:dyDescent="0.2">
      <c r="B299" s="10" t="s">
        <v>67</v>
      </c>
      <c r="C299" s="93" t="s">
        <v>74</v>
      </c>
      <c r="D299" s="2">
        <f>D297</f>
        <v>10</v>
      </c>
      <c r="E299" s="2">
        <f>+E297</f>
        <v>0.15</v>
      </c>
      <c r="F299" s="2">
        <f>ROUND((E292-(IF(E292/3&gt;2*G292,E292/3*2,G292*2*2)))/E299,0)</f>
        <v>11</v>
      </c>
      <c r="G299" s="3"/>
      <c r="O299" s="10">
        <f>((((G292-(2*$D$11))+(2*10*D299/1000))*D292))*2</f>
        <v>1.48</v>
      </c>
      <c r="P299" s="10">
        <f t="shared" si="84"/>
        <v>16.28</v>
      </c>
      <c r="Q299" s="10">
        <f t="shared" si="85"/>
        <v>0</v>
      </c>
      <c r="R299" s="10">
        <f t="shared" si="85"/>
        <v>10.041271428571429</v>
      </c>
      <c r="S299" s="10">
        <f t="shared" si="85"/>
        <v>0</v>
      </c>
      <c r="T299" s="10">
        <f t="shared" si="85"/>
        <v>0</v>
      </c>
      <c r="U299" s="10">
        <f t="shared" si="85"/>
        <v>0</v>
      </c>
      <c r="V299" s="10">
        <f t="shared" si="85"/>
        <v>0</v>
      </c>
      <c r="W299" s="10">
        <f t="shared" si="85"/>
        <v>0</v>
      </c>
      <c r="X299" s="10">
        <f t="shared" si="86"/>
        <v>10.041271428571429</v>
      </c>
    </row>
    <row r="300" spans="1:32" s="3" customFormat="1" ht="20.100000000000001" customHeight="1" x14ac:dyDescent="0.2">
      <c r="A300" s="87"/>
      <c r="B300" s="10" t="s">
        <v>67</v>
      </c>
      <c r="C300" s="93" t="s">
        <v>75</v>
      </c>
      <c r="D300" s="10">
        <f>+$D$15</f>
        <v>25</v>
      </c>
      <c r="E300" s="10">
        <f>+$E$15</f>
        <v>1</v>
      </c>
      <c r="F300" s="10">
        <f>ROUNDUP((1.35)/E300,0)</f>
        <v>2</v>
      </c>
      <c r="G300" s="90"/>
      <c r="H300" s="90"/>
      <c r="I300" s="10"/>
      <c r="J300" s="10"/>
      <c r="K300" s="10"/>
      <c r="L300" s="10"/>
      <c r="M300" s="10"/>
      <c r="N300" s="10"/>
      <c r="O300" s="10">
        <f>F292-$F$15</f>
        <v>0.39</v>
      </c>
      <c r="P300" s="10">
        <f t="shared" si="84"/>
        <v>0.78</v>
      </c>
      <c r="Q300" s="10">
        <f t="shared" si="85"/>
        <v>0</v>
      </c>
      <c r="R300" s="10">
        <f t="shared" si="85"/>
        <v>0</v>
      </c>
      <c r="S300" s="10">
        <f t="shared" si="85"/>
        <v>0</v>
      </c>
      <c r="T300" s="10">
        <f t="shared" si="85"/>
        <v>0</v>
      </c>
      <c r="U300" s="10">
        <f t="shared" si="85"/>
        <v>0</v>
      </c>
      <c r="V300" s="10">
        <f t="shared" si="85"/>
        <v>3.0068303571428578</v>
      </c>
      <c r="W300" s="10">
        <f t="shared" si="85"/>
        <v>0</v>
      </c>
      <c r="X300" s="10">
        <f t="shared" si="86"/>
        <v>3.0068303571428578</v>
      </c>
      <c r="Y300" s="10"/>
      <c r="Z300" s="10"/>
      <c r="AA300" s="10"/>
      <c r="AB300" s="10"/>
      <c r="AC300" s="10"/>
      <c r="AD300" s="10"/>
      <c r="AE300" s="10"/>
    </row>
    <row r="301" spans="1:32" s="3" customFormat="1" ht="21" customHeight="1" x14ac:dyDescent="0.2">
      <c r="A301" s="10">
        <v>1</v>
      </c>
      <c r="B301" s="10" t="s">
        <v>67</v>
      </c>
      <c r="C301" s="91" t="s">
        <v>103</v>
      </c>
      <c r="D301" s="91">
        <v>1</v>
      </c>
      <c r="E301" s="91">
        <v>6.2</v>
      </c>
      <c r="F301" s="91">
        <v>0.45</v>
      </c>
      <c r="G301" s="91">
        <v>0.5</v>
      </c>
      <c r="H301" s="10">
        <f>G301-0.2</f>
        <v>0.3</v>
      </c>
      <c r="I301" s="10">
        <f>E301*F301*G301*D301</f>
        <v>1.395</v>
      </c>
      <c r="J301" s="10">
        <f>(2*(E301)*H301*D301)+(E301*F301)</f>
        <v>6.51</v>
      </c>
      <c r="K301" s="92">
        <f>IF(E301=0.3,J301,0)</f>
        <v>0</v>
      </c>
      <c r="L301" s="92">
        <f>IF(AND(E301&gt;0.3,E301&lt;=0.75),J301,0)</f>
        <v>0</v>
      </c>
      <c r="M301" s="92">
        <f>IF(AND(E301&gt;0.75,E301&lt;=1.2),J301,0)</f>
        <v>0</v>
      </c>
      <c r="N301" s="92">
        <f>IF(E301&gt;1.2,J301,0)</f>
        <v>6.51</v>
      </c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>
        <f>SUM(X302:X308)/I301</f>
        <v>182.76339612903229</v>
      </c>
      <c r="Z301" s="10"/>
      <c r="AA301" s="10"/>
      <c r="AB301" s="10"/>
      <c r="AC301" s="10"/>
      <c r="AD301" s="10"/>
      <c r="AE301" s="10"/>
      <c r="AF301" s="10"/>
    </row>
    <row r="302" spans="1:32" s="3" customFormat="1" ht="20.100000000000001" customHeight="1" x14ac:dyDescent="0.2">
      <c r="A302" s="87"/>
      <c r="B302" s="10" t="s">
        <v>67</v>
      </c>
      <c r="C302" s="93" t="s">
        <v>69</v>
      </c>
      <c r="D302" s="10">
        <v>20</v>
      </c>
      <c r="E302" s="10"/>
      <c r="F302" s="10">
        <v>4</v>
      </c>
      <c r="G302" s="90">
        <f>VLOOKUP(D302,$C$20:$F$26,3,0)</f>
        <v>1.05</v>
      </c>
      <c r="H302" s="90"/>
      <c r="I302" s="10"/>
      <c r="J302" s="10"/>
      <c r="K302" s="10"/>
      <c r="L302" s="10"/>
      <c r="M302" s="10"/>
      <c r="N302" s="10"/>
      <c r="O302" s="10">
        <f>(E301+2*(G302+(12*D302/1000))*D301)</f>
        <v>8.7800000000000011</v>
      </c>
      <c r="P302" s="10">
        <f t="shared" ref="P302:P309" si="87">O302*F302</f>
        <v>35.120000000000005</v>
      </c>
      <c r="Q302" s="10">
        <f t="shared" ref="Q302:W309" si="88">IF($D302=Q$44,$P302*Q$45,0)</f>
        <v>0</v>
      </c>
      <c r="R302" s="10">
        <f t="shared" si="88"/>
        <v>0</v>
      </c>
      <c r="S302" s="10">
        <f t="shared" si="88"/>
        <v>0</v>
      </c>
      <c r="T302" s="10">
        <f t="shared" si="88"/>
        <v>0</v>
      </c>
      <c r="U302" s="10">
        <f t="shared" si="88"/>
        <v>86.646057142857146</v>
      </c>
      <c r="V302" s="10">
        <f t="shared" si="88"/>
        <v>0</v>
      </c>
      <c r="W302" s="10">
        <f t="shared" si="88"/>
        <v>0</v>
      </c>
      <c r="X302" s="10">
        <f t="shared" ref="X302:X309" si="89">SUM(Q302:W302)</f>
        <v>86.646057142857146</v>
      </c>
      <c r="Y302" s="10"/>
      <c r="Z302" s="10"/>
      <c r="AA302" s="10"/>
      <c r="AB302" s="10"/>
      <c r="AC302" s="10"/>
      <c r="AD302" s="10"/>
      <c r="AE302" s="10"/>
    </row>
    <row r="303" spans="1:32" s="3" customFormat="1" ht="20.100000000000001" customHeight="1" x14ac:dyDescent="0.2">
      <c r="A303" s="87"/>
      <c r="B303" s="10" t="s">
        <v>67</v>
      </c>
      <c r="C303" s="93" t="s">
        <v>70</v>
      </c>
      <c r="D303" s="10">
        <v>16</v>
      </c>
      <c r="E303" s="10"/>
      <c r="F303" s="10">
        <v>2</v>
      </c>
      <c r="G303" s="90">
        <f>VLOOKUP(D303,$C$20:$F$26,3,0)</f>
        <v>0.85</v>
      </c>
      <c r="H303" s="90"/>
      <c r="I303" s="10"/>
      <c r="J303" s="10"/>
      <c r="K303" s="10"/>
      <c r="L303" s="10"/>
      <c r="M303" s="10"/>
      <c r="N303" s="10"/>
      <c r="O303" s="10">
        <f>(1.65+1.65+1*(G303+(12*D303/1000))*D301)</f>
        <v>4.3419999999999996</v>
      </c>
      <c r="P303" s="10">
        <f t="shared" si="87"/>
        <v>8.6839999999999993</v>
      </c>
      <c r="Q303" s="10">
        <f t="shared" si="88"/>
        <v>0</v>
      </c>
      <c r="R303" s="10">
        <f t="shared" si="88"/>
        <v>0</v>
      </c>
      <c r="S303" s="10">
        <f t="shared" si="88"/>
        <v>0</v>
      </c>
      <c r="T303" s="10">
        <f t="shared" si="88"/>
        <v>13.711787885714285</v>
      </c>
      <c r="U303" s="10">
        <f t="shared" si="88"/>
        <v>0</v>
      </c>
      <c r="V303" s="10">
        <f t="shared" si="88"/>
        <v>0</v>
      </c>
      <c r="W303" s="10">
        <f t="shared" si="88"/>
        <v>0</v>
      </c>
      <c r="X303" s="10">
        <f t="shared" si="89"/>
        <v>13.711787885714285</v>
      </c>
      <c r="Y303" s="10"/>
      <c r="Z303" s="10"/>
      <c r="AA303" s="10"/>
      <c r="AB303" s="10"/>
      <c r="AC303" s="10"/>
      <c r="AD303" s="10"/>
      <c r="AE303" s="10"/>
    </row>
    <row r="304" spans="1:32" s="3" customFormat="1" ht="20.100000000000001" customHeight="1" x14ac:dyDescent="0.2">
      <c r="A304" s="87"/>
      <c r="B304" s="10" t="s">
        <v>67</v>
      </c>
      <c r="C304" s="93" t="s">
        <v>71</v>
      </c>
      <c r="D304" s="10">
        <v>20</v>
      </c>
      <c r="E304" s="10"/>
      <c r="F304" s="10">
        <v>4</v>
      </c>
      <c r="G304" s="90">
        <f>VLOOKUP(D304,$C$20:$F$26,3,0)</f>
        <v>1.05</v>
      </c>
      <c r="H304" s="10"/>
      <c r="I304" s="10"/>
      <c r="J304" s="10"/>
      <c r="K304" s="10"/>
      <c r="L304" s="10"/>
      <c r="M304" s="10"/>
      <c r="N304" s="10"/>
      <c r="O304" s="10">
        <f>(E301+2*(G304+(12*D304/1000))*D301)</f>
        <v>8.7800000000000011</v>
      </c>
      <c r="P304" s="10">
        <f t="shared" si="87"/>
        <v>35.120000000000005</v>
      </c>
      <c r="Q304" s="10">
        <f t="shared" si="88"/>
        <v>0</v>
      </c>
      <c r="R304" s="10">
        <f t="shared" si="88"/>
        <v>0</v>
      </c>
      <c r="S304" s="10">
        <f t="shared" si="88"/>
        <v>0</v>
      </c>
      <c r="T304" s="10">
        <f t="shared" si="88"/>
        <v>0</v>
      </c>
      <c r="U304" s="10">
        <f t="shared" si="88"/>
        <v>86.646057142857146</v>
      </c>
      <c r="V304" s="10">
        <f t="shared" si="88"/>
        <v>0</v>
      </c>
      <c r="W304" s="10">
        <f t="shared" si="88"/>
        <v>0</v>
      </c>
      <c r="X304" s="10">
        <f t="shared" si="89"/>
        <v>86.646057142857146</v>
      </c>
      <c r="Y304" s="10"/>
      <c r="Z304" s="10"/>
      <c r="AA304" s="10"/>
      <c r="AB304" s="10"/>
      <c r="AC304" s="10"/>
      <c r="AD304" s="10"/>
      <c r="AE304" s="10"/>
    </row>
    <row r="305" spans="1:32" s="3" customFormat="1" ht="20.100000000000001" customHeight="1" x14ac:dyDescent="0.2">
      <c r="A305" s="87"/>
      <c r="B305" s="10" t="s">
        <v>67</v>
      </c>
      <c r="C305" s="93" t="s">
        <v>73</v>
      </c>
      <c r="D305" s="10">
        <v>8</v>
      </c>
      <c r="E305" s="10">
        <v>0.1</v>
      </c>
      <c r="F305" s="10">
        <f>ROUND(IF(E301/3&gt;(2*G301),(E301/3)/E305,(2*G301)/E305),0)*2+1</f>
        <v>43</v>
      </c>
      <c r="H305" s="10"/>
      <c r="I305" s="10"/>
      <c r="J305" s="10"/>
      <c r="K305" s="10"/>
      <c r="L305" s="10"/>
      <c r="M305" s="10"/>
      <c r="N305" s="10"/>
      <c r="O305" s="10">
        <f>(2*((G301-(2*$D$11))+(F301-(2*$D$11)))+(2*10*D305/1000))*D301</f>
        <v>1.82</v>
      </c>
      <c r="P305" s="10">
        <f t="shared" si="87"/>
        <v>78.260000000000005</v>
      </c>
      <c r="Q305" s="10">
        <f t="shared" si="88"/>
        <v>30.892576000000005</v>
      </c>
      <c r="R305" s="10">
        <f t="shared" si="88"/>
        <v>0</v>
      </c>
      <c r="S305" s="10">
        <f t="shared" si="88"/>
        <v>0</v>
      </c>
      <c r="T305" s="10">
        <f t="shared" si="88"/>
        <v>0</v>
      </c>
      <c r="U305" s="10">
        <f t="shared" si="88"/>
        <v>0</v>
      </c>
      <c r="V305" s="10">
        <f t="shared" si="88"/>
        <v>0</v>
      </c>
      <c r="W305" s="10">
        <f t="shared" si="88"/>
        <v>0</v>
      </c>
      <c r="X305" s="10">
        <f t="shared" si="89"/>
        <v>30.892576000000005</v>
      </c>
      <c r="Y305" s="10"/>
      <c r="Z305" s="10"/>
      <c r="AA305" s="10"/>
      <c r="AB305" s="10"/>
      <c r="AC305" s="10"/>
      <c r="AD305" s="10"/>
      <c r="AE305" s="10"/>
    </row>
    <row r="306" spans="1:32" s="2" customFormat="1" ht="20.100000000000001" customHeight="1" x14ac:dyDescent="0.2">
      <c r="B306" s="10" t="s">
        <v>67</v>
      </c>
      <c r="C306" s="93" t="s">
        <v>73</v>
      </c>
      <c r="D306" s="2">
        <f>D305</f>
        <v>8</v>
      </c>
      <c r="E306" s="2">
        <v>0.15</v>
      </c>
      <c r="F306" s="2">
        <f>ROUND((E301-(IF(E301/3&gt;2*G301,E301/3*2,G301*2*2)))/E306,0)</f>
        <v>14</v>
      </c>
      <c r="G306" s="3"/>
      <c r="O306" s="10">
        <f>(2*((G301-(2*$D$11))+(F301-(2*$D$11)))+(2*10*D306/1000))*D301</f>
        <v>1.82</v>
      </c>
      <c r="P306" s="10">
        <f t="shared" si="87"/>
        <v>25.48</v>
      </c>
      <c r="Q306" s="10">
        <f t="shared" si="88"/>
        <v>10.058048000000001</v>
      </c>
      <c r="R306" s="10">
        <f t="shared" si="88"/>
        <v>0</v>
      </c>
      <c r="S306" s="10">
        <f t="shared" si="88"/>
        <v>0</v>
      </c>
      <c r="T306" s="10">
        <f t="shared" si="88"/>
        <v>0</v>
      </c>
      <c r="U306" s="10">
        <f t="shared" si="88"/>
        <v>0</v>
      </c>
      <c r="V306" s="10">
        <f t="shared" si="88"/>
        <v>0</v>
      </c>
      <c r="W306" s="10">
        <f t="shared" si="88"/>
        <v>0</v>
      </c>
      <c r="X306" s="10">
        <f t="shared" si="89"/>
        <v>10.058048000000001</v>
      </c>
    </row>
    <row r="307" spans="1:32" s="2" customFormat="1" ht="20.100000000000001" customHeight="1" x14ac:dyDescent="0.2">
      <c r="B307" s="10" t="s">
        <v>67</v>
      </c>
      <c r="C307" s="93" t="s">
        <v>74</v>
      </c>
      <c r="D307" s="2">
        <f>D305</f>
        <v>8</v>
      </c>
      <c r="E307" s="2">
        <f>+E305</f>
        <v>0.1</v>
      </c>
      <c r="F307" s="10">
        <f>ROUND(IF(E301/3&gt;(2*G301),(E301/3)/E307,(2*G301)/E307),0)*2+1</f>
        <v>43</v>
      </c>
      <c r="G307" s="3"/>
      <c r="O307" s="10">
        <f>((((G301-(2*$D$11))+(2*10*D307/1000))*D301))*2</f>
        <v>1.2</v>
      </c>
      <c r="P307" s="10">
        <f t="shared" si="87"/>
        <v>51.6</v>
      </c>
      <c r="Q307" s="10">
        <f t="shared" si="88"/>
        <v>20.368731428571429</v>
      </c>
      <c r="R307" s="10">
        <f t="shared" si="88"/>
        <v>0</v>
      </c>
      <c r="S307" s="10">
        <f t="shared" si="88"/>
        <v>0</v>
      </c>
      <c r="T307" s="10">
        <f t="shared" si="88"/>
        <v>0</v>
      </c>
      <c r="U307" s="10">
        <f t="shared" si="88"/>
        <v>0</v>
      </c>
      <c r="V307" s="10">
        <f t="shared" si="88"/>
        <v>0</v>
      </c>
      <c r="W307" s="10">
        <f t="shared" si="88"/>
        <v>0</v>
      </c>
      <c r="X307" s="10">
        <f t="shared" si="89"/>
        <v>20.368731428571429</v>
      </c>
    </row>
    <row r="308" spans="1:32" s="2" customFormat="1" ht="20.100000000000001" customHeight="1" x14ac:dyDescent="0.2">
      <c r="B308" s="10" t="s">
        <v>67</v>
      </c>
      <c r="C308" s="93" t="s">
        <v>74</v>
      </c>
      <c r="D308" s="2">
        <f>D306</f>
        <v>8</v>
      </c>
      <c r="E308" s="2">
        <f>+E306</f>
        <v>0.15</v>
      </c>
      <c r="F308" s="2">
        <f>ROUND((E301-(IF(E301/3&gt;2*G301,E301/3*2,G301*2*2)))/E308,0)</f>
        <v>14</v>
      </c>
      <c r="G308" s="3"/>
      <c r="O308" s="10">
        <f>((((G301-(2*$D$11))+(2*10*D308/1000))*D301))*2</f>
        <v>1.2</v>
      </c>
      <c r="P308" s="10">
        <f t="shared" si="87"/>
        <v>16.8</v>
      </c>
      <c r="Q308" s="10">
        <f t="shared" si="88"/>
        <v>6.6316800000000011</v>
      </c>
      <c r="R308" s="10">
        <f t="shared" si="88"/>
        <v>0</v>
      </c>
      <c r="S308" s="10">
        <f t="shared" si="88"/>
        <v>0</v>
      </c>
      <c r="T308" s="10">
        <f t="shared" si="88"/>
        <v>0</v>
      </c>
      <c r="U308" s="10">
        <f t="shared" si="88"/>
        <v>0</v>
      </c>
      <c r="V308" s="10">
        <f t="shared" si="88"/>
        <v>0</v>
      </c>
      <c r="W308" s="10">
        <f t="shared" si="88"/>
        <v>0</v>
      </c>
      <c r="X308" s="10">
        <f t="shared" si="89"/>
        <v>6.6316800000000011</v>
      </c>
    </row>
    <row r="309" spans="1:32" s="3" customFormat="1" ht="20.100000000000001" customHeight="1" x14ac:dyDescent="0.2">
      <c r="A309" s="87"/>
      <c r="B309" s="10" t="s">
        <v>67</v>
      </c>
      <c r="C309" s="93" t="s">
        <v>75</v>
      </c>
      <c r="D309" s="10">
        <f>+$D$15</f>
        <v>25</v>
      </c>
      <c r="E309" s="10">
        <f>+$E$15</f>
        <v>1</v>
      </c>
      <c r="F309" s="10">
        <f>ROUNDUP((1.65+1.65)/E309,0)</f>
        <v>4</v>
      </c>
      <c r="G309" s="90"/>
      <c r="H309" s="90"/>
      <c r="I309" s="10"/>
      <c r="J309" s="10"/>
      <c r="K309" s="10"/>
      <c r="L309" s="10"/>
      <c r="M309" s="10"/>
      <c r="N309" s="10"/>
      <c r="O309" s="10">
        <f>F301-$F$15</f>
        <v>0.39</v>
      </c>
      <c r="P309" s="10">
        <f t="shared" si="87"/>
        <v>1.56</v>
      </c>
      <c r="Q309" s="10">
        <f t="shared" si="88"/>
        <v>0</v>
      </c>
      <c r="R309" s="10">
        <f t="shared" si="88"/>
        <v>0</v>
      </c>
      <c r="S309" s="10">
        <f t="shared" si="88"/>
        <v>0</v>
      </c>
      <c r="T309" s="10">
        <f t="shared" si="88"/>
        <v>0</v>
      </c>
      <c r="U309" s="10">
        <f t="shared" si="88"/>
        <v>0</v>
      </c>
      <c r="V309" s="10">
        <f t="shared" si="88"/>
        <v>6.0136607142857157</v>
      </c>
      <c r="W309" s="10">
        <f t="shared" si="88"/>
        <v>0</v>
      </c>
      <c r="X309" s="10">
        <f t="shared" si="89"/>
        <v>6.0136607142857157</v>
      </c>
      <c r="Y309" s="10"/>
      <c r="Z309" s="10"/>
      <c r="AA309" s="10"/>
      <c r="AB309" s="10"/>
      <c r="AC309" s="10"/>
      <c r="AD309" s="10"/>
      <c r="AE309" s="10"/>
    </row>
    <row r="310" spans="1:32" s="3" customFormat="1" ht="21" customHeight="1" x14ac:dyDescent="0.2">
      <c r="A310" s="10">
        <v>1</v>
      </c>
      <c r="B310" s="10" t="s">
        <v>67</v>
      </c>
      <c r="C310" s="91" t="s">
        <v>104</v>
      </c>
      <c r="D310" s="91">
        <v>1</v>
      </c>
      <c r="E310" s="91">
        <v>2.8</v>
      </c>
      <c r="F310" s="91">
        <v>0.3</v>
      </c>
      <c r="G310" s="91">
        <v>1.1000000000000001</v>
      </c>
      <c r="H310" s="10">
        <f>G310-0.275</f>
        <v>0.82500000000000007</v>
      </c>
      <c r="I310" s="10">
        <f>E310*F310*G310*D310</f>
        <v>0.92400000000000004</v>
      </c>
      <c r="J310" s="10">
        <f>(2*(E310)*H310*D310)+(E310*F310)</f>
        <v>5.46</v>
      </c>
      <c r="K310" s="92">
        <f>IF(E310=0.3,J310,0)</f>
        <v>0</v>
      </c>
      <c r="L310" s="92">
        <f>IF(AND(E310&gt;0.3,E310&lt;=0.75),J310,0)</f>
        <v>0</v>
      </c>
      <c r="M310" s="92">
        <f>IF(AND(E310&gt;0.75,E310&lt;=1.2),J310,0)</f>
        <v>0</v>
      </c>
      <c r="N310" s="92">
        <f>IF(E310&gt;1.2,J310,0)</f>
        <v>5.46</v>
      </c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>
        <f>SUM(X311:X314)/I310</f>
        <v>227.45642006802717</v>
      </c>
      <c r="Z310" s="10"/>
      <c r="AA310" s="10"/>
      <c r="AB310" s="10"/>
      <c r="AC310" s="10"/>
      <c r="AD310" s="10"/>
      <c r="AE310" s="10"/>
      <c r="AF310" s="10"/>
    </row>
    <row r="311" spans="1:32" s="3" customFormat="1" ht="20.100000000000001" customHeight="1" x14ac:dyDescent="0.2">
      <c r="A311" s="87"/>
      <c r="B311" s="10" t="s">
        <v>67</v>
      </c>
      <c r="C311" s="93" t="s">
        <v>69</v>
      </c>
      <c r="D311" s="10">
        <v>25</v>
      </c>
      <c r="E311" s="10"/>
      <c r="F311" s="10">
        <v>3</v>
      </c>
      <c r="G311" s="90">
        <f>VLOOKUP(D311,$C$20:$F$26,3,0)</f>
        <v>1.35</v>
      </c>
      <c r="H311" s="90"/>
      <c r="I311" s="10"/>
      <c r="J311" s="10"/>
      <c r="K311" s="10"/>
      <c r="L311" s="10"/>
      <c r="M311" s="10"/>
      <c r="N311" s="10"/>
      <c r="O311" s="10">
        <f>(E310+2*(G311+(12*D311/1000))*D310)</f>
        <v>6.1</v>
      </c>
      <c r="P311" s="10">
        <f t="shared" ref="P311:P314" si="90">O311*F311</f>
        <v>18.299999999999997</v>
      </c>
      <c r="Q311" s="10">
        <f t="shared" ref="Q311:W326" si="91">IF($D311=Q$44,$P311*Q$45,0)</f>
        <v>0</v>
      </c>
      <c r="R311" s="10">
        <f t="shared" si="91"/>
        <v>0</v>
      </c>
      <c r="S311" s="10">
        <f t="shared" si="91"/>
        <v>0</v>
      </c>
      <c r="T311" s="10">
        <f t="shared" si="91"/>
        <v>0</v>
      </c>
      <c r="U311" s="10">
        <f t="shared" si="91"/>
        <v>0</v>
      </c>
      <c r="V311" s="10">
        <f t="shared" si="91"/>
        <v>70.544866071428572</v>
      </c>
      <c r="W311" s="10">
        <f t="shared" si="91"/>
        <v>0</v>
      </c>
      <c r="X311" s="10">
        <f t="shared" ref="X311:X314" si="92">SUM(Q311:W311)</f>
        <v>70.544866071428572</v>
      </c>
      <c r="Y311" s="10"/>
      <c r="Z311" s="10"/>
      <c r="AA311" s="10"/>
      <c r="AB311" s="10"/>
      <c r="AC311" s="10"/>
      <c r="AD311" s="10"/>
      <c r="AE311" s="10"/>
    </row>
    <row r="312" spans="1:32" s="3" customFormat="1" ht="20.100000000000001" customHeight="1" x14ac:dyDescent="0.2">
      <c r="A312" s="87"/>
      <c r="B312" s="10" t="s">
        <v>67</v>
      </c>
      <c r="C312" s="93" t="s">
        <v>71</v>
      </c>
      <c r="D312" s="10">
        <v>25</v>
      </c>
      <c r="E312" s="10"/>
      <c r="F312" s="10">
        <v>3</v>
      </c>
      <c r="G312" s="90">
        <f>VLOOKUP(D312,$C$20:$F$26,3,0)</f>
        <v>1.35</v>
      </c>
      <c r="H312" s="10"/>
      <c r="I312" s="10"/>
      <c r="J312" s="10"/>
      <c r="K312" s="10"/>
      <c r="L312" s="10"/>
      <c r="M312" s="10"/>
      <c r="N312" s="10"/>
      <c r="O312" s="10">
        <f>(E310+2*(G312+(12*D312/1000))*D310)</f>
        <v>6.1</v>
      </c>
      <c r="P312" s="10">
        <f t="shared" si="90"/>
        <v>18.299999999999997</v>
      </c>
      <c r="Q312" s="10">
        <f t="shared" si="91"/>
        <v>0</v>
      </c>
      <c r="R312" s="10">
        <f t="shared" si="91"/>
        <v>0</v>
      </c>
      <c r="S312" s="10">
        <f t="shared" si="91"/>
        <v>0</v>
      </c>
      <c r="T312" s="10">
        <f t="shared" si="91"/>
        <v>0</v>
      </c>
      <c r="U312" s="10">
        <f t="shared" si="91"/>
        <v>0</v>
      </c>
      <c r="V312" s="10">
        <f t="shared" si="91"/>
        <v>70.544866071428572</v>
      </c>
      <c r="W312" s="10">
        <f t="shared" si="91"/>
        <v>0</v>
      </c>
      <c r="X312" s="10">
        <f t="shared" si="92"/>
        <v>70.544866071428572</v>
      </c>
      <c r="Y312" s="10"/>
      <c r="Z312" s="10"/>
      <c r="AA312" s="10"/>
      <c r="AB312" s="10"/>
      <c r="AC312" s="10"/>
      <c r="AD312" s="10"/>
      <c r="AE312" s="10"/>
    </row>
    <row r="313" spans="1:32" s="3" customFormat="1" ht="20.100000000000001" customHeight="1" x14ac:dyDescent="0.2">
      <c r="A313" s="87"/>
      <c r="B313" s="10" t="s">
        <v>67</v>
      </c>
      <c r="C313" s="93" t="s">
        <v>73</v>
      </c>
      <c r="D313" s="10">
        <v>10</v>
      </c>
      <c r="E313" s="10">
        <v>0.1</v>
      </c>
      <c r="F313" s="10">
        <f>ROUNDUP(E310/E313,0)</f>
        <v>28</v>
      </c>
      <c r="H313" s="10"/>
      <c r="I313" s="10"/>
      <c r="J313" s="10"/>
      <c r="K313" s="10"/>
      <c r="L313" s="10"/>
      <c r="M313" s="10"/>
      <c r="N313" s="10"/>
      <c r="O313" s="10">
        <f>(2*((G310-(2*$D$11))+(F310-(2*$D$11)))+(2*10*D313/1000))*D310</f>
        <v>2.7600000000000002</v>
      </c>
      <c r="P313" s="10">
        <f t="shared" si="90"/>
        <v>77.28</v>
      </c>
      <c r="Q313" s="10">
        <f t="shared" si="91"/>
        <v>0</v>
      </c>
      <c r="R313" s="10">
        <f t="shared" si="91"/>
        <v>47.665199999999999</v>
      </c>
      <c r="S313" s="10">
        <f t="shared" si="91"/>
        <v>0</v>
      </c>
      <c r="T313" s="10">
        <f t="shared" si="91"/>
        <v>0</v>
      </c>
      <c r="U313" s="10">
        <f t="shared" si="91"/>
        <v>0</v>
      </c>
      <c r="V313" s="10">
        <f t="shared" si="91"/>
        <v>0</v>
      </c>
      <c r="W313" s="10">
        <f t="shared" si="91"/>
        <v>0</v>
      </c>
      <c r="X313" s="10">
        <f t="shared" si="92"/>
        <v>47.665199999999999</v>
      </c>
      <c r="Y313" s="10"/>
      <c r="Z313" s="10"/>
      <c r="AA313" s="10"/>
      <c r="AB313" s="10"/>
      <c r="AC313" s="10"/>
      <c r="AD313" s="10"/>
      <c r="AE313" s="10"/>
    </row>
    <row r="314" spans="1:32" s="2" customFormat="1" ht="20.100000000000001" customHeight="1" x14ac:dyDescent="0.2">
      <c r="B314" s="10" t="s">
        <v>67</v>
      </c>
      <c r="C314" s="93" t="s">
        <v>74</v>
      </c>
      <c r="D314" s="10">
        <f>+D313</f>
        <v>10</v>
      </c>
      <c r="E314" s="2">
        <f>+E313</f>
        <v>0.1</v>
      </c>
      <c r="F314" s="10">
        <f>ROUNDUP(E310/E314,0)</f>
        <v>28</v>
      </c>
      <c r="G314" s="3"/>
      <c r="O314" s="10">
        <f>((((G310-(2*$D$11))+(2*10*D314/1000))*D310))*1</f>
        <v>1.24</v>
      </c>
      <c r="P314" s="10">
        <f t="shared" si="90"/>
        <v>34.72</v>
      </c>
      <c r="Q314" s="10">
        <f t="shared" si="91"/>
        <v>0</v>
      </c>
      <c r="R314" s="10">
        <f t="shared" si="91"/>
        <v>21.4148</v>
      </c>
      <c r="S314" s="10">
        <f t="shared" si="91"/>
        <v>0</v>
      </c>
      <c r="T314" s="10">
        <f t="shared" si="91"/>
        <v>0</v>
      </c>
      <c r="U314" s="10">
        <f t="shared" si="91"/>
        <v>0</v>
      </c>
      <c r="V314" s="10">
        <f t="shared" si="91"/>
        <v>0</v>
      </c>
      <c r="W314" s="10">
        <f t="shared" si="91"/>
        <v>0</v>
      </c>
      <c r="X314" s="10">
        <f t="shared" si="92"/>
        <v>21.4148</v>
      </c>
    </row>
    <row r="315" spans="1:32" s="2" customFormat="1" ht="20.100000000000001" customHeight="1" x14ac:dyDescent="0.2">
      <c r="B315" s="10"/>
      <c r="C315" s="93"/>
      <c r="D315" s="10"/>
      <c r="F315" s="10"/>
      <c r="G315" s="3"/>
      <c r="O315" s="10"/>
      <c r="P315" s="10"/>
      <c r="Q315" s="10"/>
      <c r="R315" s="10"/>
      <c r="S315" s="10"/>
      <c r="T315" s="10"/>
      <c r="U315" s="10"/>
      <c r="V315" s="10"/>
      <c r="W315" s="10"/>
      <c r="X315" s="10"/>
    </row>
    <row r="316" spans="1:32" s="3" customFormat="1" ht="21" customHeight="1" x14ac:dyDescent="0.2">
      <c r="A316" s="10">
        <v>1</v>
      </c>
      <c r="B316" s="10" t="s">
        <v>67</v>
      </c>
      <c r="C316" s="91" t="s">
        <v>105</v>
      </c>
      <c r="D316" s="91">
        <v>1</v>
      </c>
      <c r="E316" s="91">
        <v>1.5</v>
      </c>
      <c r="F316" s="91">
        <v>0.4</v>
      </c>
      <c r="G316" s="91">
        <v>0.5</v>
      </c>
      <c r="H316" s="10">
        <f>G316-0.2</f>
        <v>0.3</v>
      </c>
      <c r="I316" s="10">
        <f>E316*F316*G316*D316</f>
        <v>0.30000000000000004</v>
      </c>
      <c r="J316" s="10">
        <f>(2*(E316)*H316*D316)+(E316*F316)</f>
        <v>1.5</v>
      </c>
      <c r="K316" s="92">
        <f>IF(E316=0.3,J316,0)</f>
        <v>0</v>
      </c>
      <c r="L316" s="92">
        <f>IF(AND(E316&gt;0.3,E316&lt;=0.75),J316,0)</f>
        <v>0</v>
      </c>
      <c r="M316" s="92">
        <f>IF(AND(E316&gt;0.75,E316&lt;=1.2),J316,0)</f>
        <v>0</v>
      </c>
      <c r="N316" s="92">
        <f>IF(E316&gt;1.2,J316,0)</f>
        <v>1.5</v>
      </c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>
        <f>SUM(X317:X320)/I316</f>
        <v>280.9253333333333</v>
      </c>
      <c r="Z316" s="10"/>
      <c r="AA316" s="10"/>
      <c r="AB316" s="10"/>
      <c r="AC316" s="10"/>
      <c r="AD316" s="10"/>
      <c r="AE316" s="10"/>
      <c r="AF316" s="10"/>
    </row>
    <row r="317" spans="1:32" s="3" customFormat="1" ht="20.100000000000001" customHeight="1" x14ac:dyDescent="0.2">
      <c r="A317" s="87"/>
      <c r="B317" s="10" t="s">
        <v>67</v>
      </c>
      <c r="C317" s="93" t="s">
        <v>69</v>
      </c>
      <c r="D317" s="10">
        <v>20</v>
      </c>
      <c r="E317" s="10"/>
      <c r="F317" s="10">
        <v>4</v>
      </c>
      <c r="G317" s="90">
        <f>VLOOKUP(D317,$C$20:$F$26,3,0)</f>
        <v>1.05</v>
      </c>
      <c r="H317" s="90"/>
      <c r="I317" s="10"/>
      <c r="J317" s="10"/>
      <c r="K317" s="10"/>
      <c r="L317" s="10"/>
      <c r="M317" s="10"/>
      <c r="N317" s="10"/>
      <c r="O317" s="10">
        <f>(E316+1*(G317+(12*D317/1000))+1*(1.2/2)*D316)</f>
        <v>3.39</v>
      </c>
      <c r="P317" s="10">
        <f t="shared" ref="P317:P319" si="93">O317*F317</f>
        <v>13.56</v>
      </c>
      <c r="Q317" s="10">
        <f t="shared" si="91"/>
        <v>0</v>
      </c>
      <c r="R317" s="10">
        <f t="shared" si="91"/>
        <v>0</v>
      </c>
      <c r="S317" s="10">
        <f t="shared" si="91"/>
        <v>0</v>
      </c>
      <c r="T317" s="10">
        <f t="shared" si="91"/>
        <v>0</v>
      </c>
      <c r="U317" s="10">
        <f t="shared" si="91"/>
        <v>33.454457142857144</v>
      </c>
      <c r="V317" s="10">
        <f t="shared" si="91"/>
        <v>0</v>
      </c>
      <c r="W317" s="10">
        <f t="shared" si="91"/>
        <v>0</v>
      </c>
      <c r="X317" s="10">
        <f t="shared" ref="X317:X322" si="94">SUM(Q317:W317)</f>
        <v>33.454457142857144</v>
      </c>
      <c r="Y317" s="10"/>
      <c r="Z317" s="10"/>
      <c r="AA317" s="10"/>
      <c r="AB317" s="10"/>
      <c r="AC317" s="10"/>
      <c r="AD317" s="10"/>
      <c r="AE317" s="10"/>
    </row>
    <row r="318" spans="1:32" s="3" customFormat="1" ht="20.100000000000001" customHeight="1" x14ac:dyDescent="0.2">
      <c r="A318" s="87"/>
      <c r="B318" s="10" t="s">
        <v>67</v>
      </c>
      <c r="C318" s="93" t="s">
        <v>71</v>
      </c>
      <c r="D318" s="10">
        <v>20</v>
      </c>
      <c r="E318" s="10"/>
      <c r="F318" s="10">
        <v>4</v>
      </c>
      <c r="G318" s="90">
        <f>VLOOKUP(D318,$C$20:$F$26,3,0)</f>
        <v>1.05</v>
      </c>
      <c r="H318" s="10"/>
      <c r="I318" s="10"/>
      <c r="J318" s="10"/>
      <c r="K318" s="10"/>
      <c r="L318" s="10"/>
      <c r="M318" s="10"/>
      <c r="N318" s="10"/>
      <c r="O318" s="10">
        <f>(E316+1*(G318+(12*D318/1000))+1*(1.2/2)*D316)</f>
        <v>3.39</v>
      </c>
      <c r="P318" s="10">
        <f t="shared" si="93"/>
        <v>13.56</v>
      </c>
      <c r="Q318" s="10">
        <f t="shared" si="91"/>
        <v>0</v>
      </c>
      <c r="R318" s="10">
        <f t="shared" si="91"/>
        <v>0</v>
      </c>
      <c r="S318" s="10">
        <f t="shared" si="91"/>
        <v>0</v>
      </c>
      <c r="T318" s="10">
        <f t="shared" si="91"/>
        <v>0</v>
      </c>
      <c r="U318" s="10">
        <f t="shared" si="91"/>
        <v>33.454457142857144</v>
      </c>
      <c r="V318" s="10">
        <f t="shared" si="91"/>
        <v>0</v>
      </c>
      <c r="W318" s="10">
        <f t="shared" si="91"/>
        <v>0</v>
      </c>
      <c r="X318" s="10">
        <f t="shared" si="94"/>
        <v>33.454457142857144</v>
      </c>
      <c r="Y318" s="10"/>
      <c r="Z318" s="10"/>
      <c r="AA318" s="10"/>
      <c r="AB318" s="10"/>
      <c r="AC318" s="10"/>
      <c r="AD318" s="10"/>
      <c r="AE318" s="10"/>
    </row>
    <row r="319" spans="1:32" s="3" customFormat="1" ht="20.100000000000001" customHeight="1" x14ac:dyDescent="0.2">
      <c r="A319" s="87"/>
      <c r="B319" s="10" t="s">
        <v>67</v>
      </c>
      <c r="C319" s="93" t="s">
        <v>73</v>
      </c>
      <c r="D319" s="10">
        <v>10</v>
      </c>
      <c r="E319" s="10">
        <v>0.1</v>
      </c>
      <c r="F319" s="10">
        <f>ROUNDUP((E316/3*2)/E319,0)+1</f>
        <v>11</v>
      </c>
      <c r="H319" s="10"/>
      <c r="I319" s="10"/>
      <c r="J319" s="10"/>
      <c r="K319" s="10"/>
      <c r="L319" s="10"/>
      <c r="M319" s="10"/>
      <c r="N319" s="10"/>
      <c r="O319" s="10">
        <f>(2*((G316-(2*$D$11))+(F316-(2*$D$11)))+(2*10*D319/1000))*D316</f>
        <v>1.76</v>
      </c>
      <c r="P319" s="10">
        <f t="shared" si="93"/>
        <v>19.36</v>
      </c>
      <c r="Q319" s="10">
        <f t="shared" si="91"/>
        <v>0</v>
      </c>
      <c r="R319" s="10">
        <f t="shared" si="91"/>
        <v>11.940971428571428</v>
      </c>
      <c r="S319" s="10">
        <f t="shared" si="91"/>
        <v>0</v>
      </c>
      <c r="T319" s="10">
        <f t="shared" si="91"/>
        <v>0</v>
      </c>
      <c r="U319" s="10">
        <f t="shared" si="91"/>
        <v>0</v>
      </c>
      <c r="V319" s="10">
        <f t="shared" si="91"/>
        <v>0</v>
      </c>
      <c r="W319" s="10">
        <f t="shared" si="91"/>
        <v>0</v>
      </c>
      <c r="X319" s="10">
        <f t="shared" si="94"/>
        <v>11.940971428571428</v>
      </c>
      <c r="Y319" s="10"/>
      <c r="Z319" s="10"/>
      <c r="AA319" s="10"/>
      <c r="AB319" s="10"/>
      <c r="AC319" s="10"/>
      <c r="AD319" s="10"/>
      <c r="AE319" s="10"/>
    </row>
    <row r="320" spans="1:32" s="2" customFormat="1" ht="20.100000000000001" customHeight="1" x14ac:dyDescent="0.2">
      <c r="B320" s="10" t="s">
        <v>67</v>
      </c>
      <c r="C320" s="93" t="s">
        <v>73</v>
      </c>
      <c r="D320" s="2">
        <f>D319</f>
        <v>10</v>
      </c>
      <c r="E320" s="2">
        <v>0.15</v>
      </c>
      <c r="F320" s="10">
        <f>ROUNDUP((E316/3)/E320,0)+1</f>
        <v>5</v>
      </c>
      <c r="G320" s="3"/>
      <c r="O320" s="10">
        <f>(2*((G316-(2*$D$11))+(F316-(2*$D$11)))+(2*10*D320/1000))*D316</f>
        <v>1.76</v>
      </c>
      <c r="P320" s="10">
        <f>O320*F320</f>
        <v>8.8000000000000007</v>
      </c>
      <c r="Q320" s="10">
        <f t="shared" si="91"/>
        <v>0</v>
      </c>
      <c r="R320" s="10">
        <f t="shared" si="91"/>
        <v>5.4277142857142859</v>
      </c>
      <c r="S320" s="10">
        <f t="shared" si="91"/>
        <v>0</v>
      </c>
      <c r="T320" s="10">
        <f t="shared" si="91"/>
        <v>0</v>
      </c>
      <c r="U320" s="10">
        <f t="shared" si="91"/>
        <v>0</v>
      </c>
      <c r="V320" s="10">
        <f t="shared" si="91"/>
        <v>0</v>
      </c>
      <c r="W320" s="10">
        <f t="shared" si="91"/>
        <v>0</v>
      </c>
      <c r="X320" s="10">
        <f t="shared" si="94"/>
        <v>5.4277142857142859</v>
      </c>
    </row>
    <row r="321" spans="1:32" s="2" customFormat="1" ht="20.100000000000001" customHeight="1" x14ac:dyDescent="0.2">
      <c r="B321" s="10" t="s">
        <v>67</v>
      </c>
      <c r="C321" s="93" t="s">
        <v>74</v>
      </c>
      <c r="D321" s="2">
        <f>D319</f>
        <v>10</v>
      </c>
      <c r="E321" s="2">
        <f>+E319</f>
        <v>0.1</v>
      </c>
      <c r="F321" s="10">
        <f>ROUNDUP((E316/3*2)/E321,0)+1</f>
        <v>11</v>
      </c>
      <c r="G321" s="3"/>
      <c r="O321" s="10">
        <f>((((G316-(2*$D$11))+(2*10*D321/1000))*D316))*2</f>
        <v>1.28</v>
      </c>
      <c r="P321" s="10">
        <f t="shared" ref="P321" si="95">O321*F321</f>
        <v>14.08</v>
      </c>
      <c r="Q321" s="10">
        <f t="shared" si="91"/>
        <v>0</v>
      </c>
      <c r="R321" s="10">
        <f t="shared" si="91"/>
        <v>8.6843428571428571</v>
      </c>
      <c r="S321" s="10">
        <f t="shared" si="91"/>
        <v>0</v>
      </c>
      <c r="T321" s="10">
        <f t="shared" si="91"/>
        <v>0</v>
      </c>
      <c r="U321" s="10">
        <f t="shared" si="91"/>
        <v>0</v>
      </c>
      <c r="V321" s="10">
        <f t="shared" si="91"/>
        <v>0</v>
      </c>
      <c r="W321" s="10">
        <f t="shared" si="91"/>
        <v>0</v>
      </c>
      <c r="X321" s="10">
        <f t="shared" si="94"/>
        <v>8.6843428571428571</v>
      </c>
    </row>
    <row r="322" spans="1:32" s="2" customFormat="1" ht="20.100000000000001" customHeight="1" x14ac:dyDescent="0.2">
      <c r="B322" s="10" t="s">
        <v>67</v>
      </c>
      <c r="C322" s="93" t="s">
        <v>74</v>
      </c>
      <c r="D322" s="2">
        <f>D320</f>
        <v>10</v>
      </c>
      <c r="E322" s="2">
        <f>+E320</f>
        <v>0.15</v>
      </c>
      <c r="F322" s="10">
        <f>ROUNDUP((E316/3)/E322,0)+1</f>
        <v>5</v>
      </c>
      <c r="G322" s="3"/>
      <c r="O322" s="10">
        <f>((((G316-(2*$D$11))+(2*10*D322/1000))*D316))*2</f>
        <v>1.28</v>
      </c>
      <c r="P322" s="10">
        <f>O322*F322</f>
        <v>6.4</v>
      </c>
      <c r="Q322" s="10">
        <f t="shared" si="91"/>
        <v>0</v>
      </c>
      <c r="R322" s="10">
        <f t="shared" si="91"/>
        <v>3.9474285714285715</v>
      </c>
      <c r="S322" s="10">
        <f t="shared" si="91"/>
        <v>0</v>
      </c>
      <c r="T322" s="10">
        <f t="shared" si="91"/>
        <v>0</v>
      </c>
      <c r="U322" s="10">
        <f t="shared" si="91"/>
        <v>0</v>
      </c>
      <c r="V322" s="10">
        <f t="shared" si="91"/>
        <v>0</v>
      </c>
      <c r="W322" s="10">
        <f t="shared" si="91"/>
        <v>0</v>
      </c>
      <c r="X322" s="10">
        <f t="shared" si="94"/>
        <v>3.9474285714285715</v>
      </c>
    </row>
    <row r="323" spans="1:32" s="3" customFormat="1" ht="21" customHeight="1" x14ac:dyDescent="0.2">
      <c r="A323" s="10">
        <v>1</v>
      </c>
      <c r="B323" s="10" t="s">
        <v>67</v>
      </c>
      <c r="C323" s="91" t="s">
        <v>106</v>
      </c>
      <c r="D323" s="91">
        <v>1</v>
      </c>
      <c r="E323" s="91">
        <v>2.8</v>
      </c>
      <c r="F323" s="91">
        <v>0.3</v>
      </c>
      <c r="G323" s="91">
        <v>1.1000000000000001</v>
      </c>
      <c r="H323" s="10">
        <f>G323-0.275</f>
        <v>0.82500000000000007</v>
      </c>
      <c r="I323" s="10">
        <f>E323*F323*G323*D323</f>
        <v>0.92400000000000004</v>
      </c>
      <c r="J323" s="10">
        <f>(2*(E323)*H323*D323)+(E323*F323)</f>
        <v>5.46</v>
      </c>
      <c r="K323" s="92">
        <f>IF(E323=0.3,J323,0)</f>
        <v>0</v>
      </c>
      <c r="L323" s="92">
        <f>IF(AND(E323&gt;0.3,E323&lt;=0.75),J323,0)</f>
        <v>0</v>
      </c>
      <c r="M323" s="92">
        <f>IF(AND(E323&gt;0.75,E323&lt;=1.2),J323,0)</f>
        <v>0</v>
      </c>
      <c r="N323" s="92">
        <f>IF(E323&gt;1.2,J323,0)</f>
        <v>5.46</v>
      </c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>
        <f>SUM(X324:X327)/I323</f>
        <v>227.45642006802717</v>
      </c>
      <c r="Z323" s="10"/>
      <c r="AA323" s="10"/>
      <c r="AB323" s="10"/>
      <c r="AC323" s="10"/>
      <c r="AD323" s="10"/>
      <c r="AE323" s="10"/>
      <c r="AF323" s="10"/>
    </row>
    <row r="324" spans="1:32" s="3" customFormat="1" ht="20.100000000000001" customHeight="1" x14ac:dyDescent="0.2">
      <c r="A324" s="87"/>
      <c r="B324" s="10" t="s">
        <v>67</v>
      </c>
      <c r="C324" s="93" t="s">
        <v>69</v>
      </c>
      <c r="D324" s="10">
        <v>25</v>
      </c>
      <c r="E324" s="10"/>
      <c r="F324" s="10">
        <v>3</v>
      </c>
      <c r="G324" s="90">
        <f>VLOOKUP(D324,$C$20:$F$26,3,0)</f>
        <v>1.35</v>
      </c>
      <c r="H324" s="90"/>
      <c r="I324" s="10"/>
      <c r="J324" s="10"/>
      <c r="K324" s="10"/>
      <c r="L324" s="10"/>
      <c r="M324" s="10"/>
      <c r="N324" s="10"/>
      <c r="O324" s="10">
        <f>(E323+2*(G324+(12*D324/1000))*D323)</f>
        <v>6.1</v>
      </c>
      <c r="P324" s="10">
        <f t="shared" ref="P324:P327" si="96">O324*F324</f>
        <v>18.299999999999997</v>
      </c>
      <c r="Q324" s="10">
        <f t="shared" si="91"/>
        <v>0</v>
      </c>
      <c r="R324" s="10">
        <f t="shared" si="91"/>
        <v>0</v>
      </c>
      <c r="S324" s="10">
        <f t="shared" si="91"/>
        <v>0</v>
      </c>
      <c r="T324" s="10">
        <f t="shared" si="91"/>
        <v>0</v>
      </c>
      <c r="U324" s="10">
        <f t="shared" si="91"/>
        <v>0</v>
      </c>
      <c r="V324" s="10">
        <f t="shared" si="91"/>
        <v>70.544866071428572</v>
      </c>
      <c r="W324" s="10">
        <f t="shared" si="91"/>
        <v>0</v>
      </c>
      <c r="X324" s="10">
        <f t="shared" ref="X324:X327" si="97">SUM(Q324:W324)</f>
        <v>70.544866071428572</v>
      </c>
      <c r="Y324" s="10"/>
      <c r="Z324" s="10"/>
      <c r="AA324" s="10"/>
      <c r="AB324" s="10"/>
      <c r="AC324" s="10"/>
      <c r="AD324" s="10"/>
      <c r="AE324" s="10"/>
    </row>
    <row r="325" spans="1:32" s="3" customFormat="1" ht="20.100000000000001" customHeight="1" x14ac:dyDescent="0.2">
      <c r="A325" s="87"/>
      <c r="B325" s="10" t="s">
        <v>67</v>
      </c>
      <c r="C325" s="93" t="s">
        <v>71</v>
      </c>
      <c r="D325" s="10">
        <v>25</v>
      </c>
      <c r="E325" s="10"/>
      <c r="F325" s="10">
        <v>3</v>
      </c>
      <c r="G325" s="90">
        <f>VLOOKUP(D325,$C$20:$F$26,3,0)</f>
        <v>1.35</v>
      </c>
      <c r="H325" s="10"/>
      <c r="I325" s="10"/>
      <c r="J325" s="10"/>
      <c r="K325" s="10"/>
      <c r="L325" s="10"/>
      <c r="M325" s="10"/>
      <c r="N325" s="10"/>
      <c r="O325" s="10">
        <f>(E323+2*(G325+(12*D325/1000))*D323)</f>
        <v>6.1</v>
      </c>
      <c r="P325" s="10">
        <f t="shared" si="96"/>
        <v>18.299999999999997</v>
      </c>
      <c r="Q325" s="10">
        <f t="shared" si="91"/>
        <v>0</v>
      </c>
      <c r="R325" s="10">
        <f t="shared" si="91"/>
        <v>0</v>
      </c>
      <c r="S325" s="10">
        <f t="shared" si="91"/>
        <v>0</v>
      </c>
      <c r="T325" s="10">
        <f t="shared" si="91"/>
        <v>0</v>
      </c>
      <c r="U325" s="10">
        <f t="shared" si="91"/>
        <v>0</v>
      </c>
      <c r="V325" s="10">
        <f t="shared" si="91"/>
        <v>70.544866071428572</v>
      </c>
      <c r="W325" s="10">
        <f t="shared" si="91"/>
        <v>0</v>
      </c>
      <c r="X325" s="10">
        <f t="shared" si="97"/>
        <v>70.544866071428572</v>
      </c>
      <c r="Y325" s="10"/>
      <c r="Z325" s="10"/>
      <c r="AA325" s="10"/>
      <c r="AB325" s="10"/>
      <c r="AC325" s="10"/>
      <c r="AD325" s="10"/>
      <c r="AE325" s="10"/>
    </row>
    <row r="326" spans="1:32" s="3" customFormat="1" ht="20.100000000000001" customHeight="1" x14ac:dyDescent="0.2">
      <c r="A326" s="87"/>
      <c r="B326" s="10" t="s">
        <v>67</v>
      </c>
      <c r="C326" s="93" t="s">
        <v>73</v>
      </c>
      <c r="D326" s="10">
        <v>10</v>
      </c>
      <c r="E326" s="10">
        <v>0.1</v>
      </c>
      <c r="F326" s="10">
        <f>ROUNDUP(E323/E326,0)</f>
        <v>28</v>
      </c>
      <c r="H326" s="10"/>
      <c r="I326" s="10"/>
      <c r="J326" s="10"/>
      <c r="K326" s="10"/>
      <c r="L326" s="10"/>
      <c r="M326" s="10"/>
      <c r="N326" s="10"/>
      <c r="O326" s="10">
        <f>(2*((G323-(2*$D$11))+(F323-(2*$D$11)))+(2*10*D326/1000))*D323</f>
        <v>2.7600000000000002</v>
      </c>
      <c r="P326" s="10">
        <f t="shared" si="96"/>
        <v>77.28</v>
      </c>
      <c r="Q326" s="10">
        <f t="shared" si="91"/>
        <v>0</v>
      </c>
      <c r="R326" s="10">
        <f t="shared" si="91"/>
        <v>47.665199999999999</v>
      </c>
      <c r="S326" s="10">
        <f t="shared" si="91"/>
        <v>0</v>
      </c>
      <c r="T326" s="10">
        <f t="shared" si="91"/>
        <v>0</v>
      </c>
      <c r="U326" s="10">
        <f t="shared" si="91"/>
        <v>0</v>
      </c>
      <c r="V326" s="10">
        <f t="shared" si="91"/>
        <v>0</v>
      </c>
      <c r="W326" s="10">
        <f t="shared" si="91"/>
        <v>0</v>
      </c>
      <c r="X326" s="10">
        <f t="shared" si="97"/>
        <v>47.665199999999999</v>
      </c>
      <c r="Y326" s="10"/>
      <c r="Z326" s="10"/>
      <c r="AA326" s="10"/>
      <c r="AB326" s="10"/>
      <c r="AC326" s="10"/>
      <c r="AD326" s="10"/>
      <c r="AE326" s="10"/>
    </row>
    <row r="327" spans="1:32" s="2" customFormat="1" ht="20.100000000000001" customHeight="1" x14ac:dyDescent="0.2">
      <c r="B327" s="10" t="s">
        <v>67</v>
      </c>
      <c r="C327" s="93" t="s">
        <v>74</v>
      </c>
      <c r="D327" s="10">
        <f>+D326</f>
        <v>10</v>
      </c>
      <c r="E327" s="2">
        <f>+E326</f>
        <v>0.1</v>
      </c>
      <c r="F327" s="10">
        <f>ROUNDUP(E323/E327,0)</f>
        <v>28</v>
      </c>
      <c r="G327" s="3"/>
      <c r="O327" s="10">
        <f>((((G323-(2*$D$11))+(2*10*D327/1000))*D323))*1</f>
        <v>1.24</v>
      </c>
      <c r="P327" s="10">
        <f t="shared" si="96"/>
        <v>34.72</v>
      </c>
      <c r="Q327" s="10">
        <f t="shared" ref="Q327:W327" si="98">IF($D327=Q$44,$P327*Q$45,0)</f>
        <v>0</v>
      </c>
      <c r="R327" s="10">
        <f t="shared" si="98"/>
        <v>21.4148</v>
      </c>
      <c r="S327" s="10">
        <f t="shared" si="98"/>
        <v>0</v>
      </c>
      <c r="T327" s="10">
        <f t="shared" si="98"/>
        <v>0</v>
      </c>
      <c r="U327" s="10">
        <f t="shared" si="98"/>
        <v>0</v>
      </c>
      <c r="V327" s="10">
        <f t="shared" si="98"/>
        <v>0</v>
      </c>
      <c r="W327" s="10">
        <f t="shared" si="98"/>
        <v>0</v>
      </c>
      <c r="X327" s="10">
        <f t="shared" si="97"/>
        <v>21.4148</v>
      </c>
    </row>
    <row r="328" spans="1:32" s="3" customFormat="1" ht="21" customHeight="1" x14ac:dyDescent="0.2">
      <c r="A328" s="10">
        <v>1</v>
      </c>
      <c r="B328" s="10" t="s">
        <v>67</v>
      </c>
      <c r="C328" s="91" t="s">
        <v>107</v>
      </c>
      <c r="D328" s="91">
        <v>1</v>
      </c>
      <c r="E328" s="91">
        <v>1.63</v>
      </c>
      <c r="F328" s="91">
        <v>0.2</v>
      </c>
      <c r="G328" s="91">
        <v>1.1000000000000001</v>
      </c>
      <c r="H328" s="10">
        <f>G328-0.2</f>
        <v>0.90000000000000013</v>
      </c>
      <c r="I328" s="10">
        <f>E328*F328*G328*D328</f>
        <v>0.35860000000000003</v>
      </c>
      <c r="J328" s="10">
        <f>(2*(E328)*H328*D328)+(E328*F328)</f>
        <v>3.2600000000000002</v>
      </c>
      <c r="K328" s="92">
        <f>IF(E328=0.3,J328,0)</f>
        <v>0</v>
      </c>
      <c r="L328" s="92">
        <f>IF(AND(E328&gt;0.3,E328&lt;=0.75),J328,0)</f>
        <v>0</v>
      </c>
      <c r="M328" s="92">
        <f>IF(AND(E328&gt;0.75,E328&lt;=1.2),J328,0)</f>
        <v>0</v>
      </c>
      <c r="N328" s="92">
        <f>IF(E328&gt;1.2,J328,0)</f>
        <v>3.2600000000000002</v>
      </c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>
        <f>SUM(X329:X331)/I328</f>
        <v>321.4612839614374</v>
      </c>
      <c r="Z328" s="10"/>
      <c r="AA328" s="10"/>
      <c r="AB328" s="10"/>
      <c r="AC328" s="10"/>
      <c r="AD328" s="10"/>
      <c r="AE328" s="10"/>
      <c r="AF328" s="10"/>
    </row>
    <row r="329" spans="1:32" s="3" customFormat="1" ht="20.100000000000001" customHeight="1" x14ac:dyDescent="0.2">
      <c r="A329" s="87"/>
      <c r="B329" s="10" t="s">
        <v>67</v>
      </c>
      <c r="C329" s="93" t="s">
        <v>69</v>
      </c>
      <c r="D329" s="10">
        <v>25</v>
      </c>
      <c r="E329" s="10"/>
      <c r="F329" s="10">
        <v>2</v>
      </c>
      <c r="G329" s="90">
        <f>VLOOKUP(D329,$C$20:$F$26,3,0)</f>
        <v>1.35</v>
      </c>
      <c r="H329" s="90"/>
      <c r="I329" s="10"/>
      <c r="J329" s="10"/>
      <c r="K329" s="10"/>
      <c r="L329" s="10"/>
      <c r="M329" s="10"/>
      <c r="N329" s="10"/>
      <c r="O329" s="10">
        <f>(E328+2*(G329+(12*D329/1000))*D328)</f>
        <v>4.93</v>
      </c>
      <c r="P329" s="10">
        <f t="shared" ref="P329:P331" si="99">O329*F329</f>
        <v>9.86</v>
      </c>
      <c r="Q329" s="10">
        <f t="shared" ref="Q329:W335" si="100">IF($D329=Q$44,$P329*Q$45,0)</f>
        <v>0</v>
      </c>
      <c r="R329" s="10">
        <f t="shared" si="100"/>
        <v>0</v>
      </c>
      <c r="S329" s="10">
        <f t="shared" si="100"/>
        <v>0</v>
      </c>
      <c r="T329" s="10">
        <f t="shared" si="100"/>
        <v>0</v>
      </c>
      <c r="U329" s="10">
        <f t="shared" si="100"/>
        <v>0</v>
      </c>
      <c r="V329" s="10">
        <f t="shared" si="100"/>
        <v>38.009419642857146</v>
      </c>
      <c r="W329" s="10">
        <f t="shared" si="100"/>
        <v>0</v>
      </c>
      <c r="X329" s="10">
        <f t="shared" ref="X329:X331" si="101">SUM(Q329:W329)</f>
        <v>38.009419642857146</v>
      </c>
      <c r="Y329" s="10"/>
      <c r="Z329" s="10"/>
      <c r="AA329" s="10"/>
      <c r="AB329" s="10"/>
      <c r="AC329" s="10"/>
      <c r="AD329" s="10"/>
      <c r="AE329" s="10"/>
    </row>
    <row r="330" spans="1:32" s="3" customFormat="1" ht="20.100000000000001" customHeight="1" x14ac:dyDescent="0.2">
      <c r="A330" s="87"/>
      <c r="B330" s="10" t="s">
        <v>67</v>
      </c>
      <c r="C330" s="93" t="s">
        <v>71</v>
      </c>
      <c r="D330" s="10">
        <v>25</v>
      </c>
      <c r="E330" s="10"/>
      <c r="F330" s="10">
        <v>2</v>
      </c>
      <c r="G330" s="90">
        <f>VLOOKUP(D330,$C$20:$F$26,3,0)</f>
        <v>1.35</v>
      </c>
      <c r="H330" s="10"/>
      <c r="I330" s="10"/>
      <c r="J330" s="10"/>
      <c r="K330" s="10"/>
      <c r="L330" s="10"/>
      <c r="M330" s="10"/>
      <c r="N330" s="10"/>
      <c r="O330" s="10">
        <f>(E328+2*(G330+(12*D330/1000))*D328)</f>
        <v>4.93</v>
      </c>
      <c r="P330" s="10">
        <f t="shared" si="99"/>
        <v>9.86</v>
      </c>
      <c r="Q330" s="10">
        <f t="shared" si="100"/>
        <v>0</v>
      </c>
      <c r="R330" s="10">
        <f t="shared" si="100"/>
        <v>0</v>
      </c>
      <c r="S330" s="10">
        <f t="shared" si="100"/>
        <v>0</v>
      </c>
      <c r="T330" s="10">
        <f t="shared" si="100"/>
        <v>0</v>
      </c>
      <c r="U330" s="10">
        <f t="shared" si="100"/>
        <v>0</v>
      </c>
      <c r="V330" s="10">
        <f t="shared" si="100"/>
        <v>38.009419642857146</v>
      </c>
      <c r="W330" s="10">
        <f t="shared" si="100"/>
        <v>0</v>
      </c>
      <c r="X330" s="10">
        <f t="shared" si="101"/>
        <v>38.009419642857146</v>
      </c>
      <c r="Y330" s="10"/>
      <c r="Z330" s="10"/>
      <c r="AA330" s="10"/>
      <c r="AB330" s="10"/>
      <c r="AC330" s="10"/>
      <c r="AD330" s="10"/>
      <c r="AE330" s="10"/>
    </row>
    <row r="331" spans="1:32" s="3" customFormat="1" ht="20.100000000000001" customHeight="1" x14ac:dyDescent="0.2">
      <c r="A331" s="87"/>
      <c r="B331" s="10" t="s">
        <v>67</v>
      </c>
      <c r="C331" s="93" t="s">
        <v>73</v>
      </c>
      <c r="D331" s="10">
        <v>12</v>
      </c>
      <c r="E331" s="10">
        <v>0.1</v>
      </c>
      <c r="F331" s="10">
        <f>ROUNDUP(E328/E331,0)</f>
        <v>17</v>
      </c>
      <c r="H331" s="10"/>
      <c r="I331" s="10"/>
      <c r="J331" s="10"/>
      <c r="K331" s="10"/>
      <c r="L331" s="10"/>
      <c r="M331" s="10"/>
      <c r="N331" s="10"/>
      <c r="O331" s="10">
        <f>(2*((G328-(2*$D$11))+(F328-(2*$D$11)))+(2*10*D331/1000))*D328</f>
        <v>2.6000000000000005</v>
      </c>
      <c r="P331" s="10">
        <f t="shared" si="99"/>
        <v>44.20000000000001</v>
      </c>
      <c r="Q331" s="10">
        <f t="shared" si="100"/>
        <v>0</v>
      </c>
      <c r="R331" s="10">
        <f t="shared" si="100"/>
        <v>0</v>
      </c>
      <c r="S331" s="10">
        <f t="shared" si="100"/>
        <v>39.257177142857159</v>
      </c>
      <c r="T331" s="10">
        <f t="shared" si="100"/>
        <v>0</v>
      </c>
      <c r="U331" s="10">
        <f t="shared" si="100"/>
        <v>0</v>
      </c>
      <c r="V331" s="10">
        <f t="shared" si="100"/>
        <v>0</v>
      </c>
      <c r="W331" s="10">
        <f t="shared" si="100"/>
        <v>0</v>
      </c>
      <c r="X331" s="10">
        <f t="shared" si="101"/>
        <v>39.257177142857159</v>
      </c>
      <c r="Y331" s="10"/>
      <c r="Z331" s="10"/>
      <c r="AA331" s="10"/>
      <c r="AB331" s="10"/>
      <c r="AC331" s="10"/>
      <c r="AD331" s="10"/>
      <c r="AE331" s="10"/>
    </row>
    <row r="332" spans="1:32" s="3" customFormat="1" ht="21" customHeight="1" x14ac:dyDescent="0.2">
      <c r="A332" s="10">
        <v>1</v>
      </c>
      <c r="B332" s="10" t="s">
        <v>67</v>
      </c>
      <c r="C332" s="91" t="s">
        <v>108</v>
      </c>
      <c r="D332" s="91">
        <v>1</v>
      </c>
      <c r="E332" s="91">
        <v>1.63</v>
      </c>
      <c r="F332" s="91">
        <v>0.2</v>
      </c>
      <c r="G332" s="91">
        <v>1.1000000000000001</v>
      </c>
      <c r="H332" s="10">
        <f>G332-0.2</f>
        <v>0.90000000000000013</v>
      </c>
      <c r="I332" s="10">
        <f>E332*F332*G332*D332</f>
        <v>0.35860000000000003</v>
      </c>
      <c r="J332" s="10">
        <f>(2*(E332)*H332*D332)+(E332*F332)</f>
        <v>3.2600000000000002</v>
      </c>
      <c r="K332" s="92">
        <f>IF(E332=0.3,J332,0)</f>
        <v>0</v>
      </c>
      <c r="L332" s="92">
        <f>IF(AND(E332&gt;0.3,E332&lt;=0.75),J332,0)</f>
        <v>0</v>
      </c>
      <c r="M332" s="92">
        <f>IF(AND(E332&gt;0.75,E332&lt;=1.2),J332,0)</f>
        <v>0</v>
      </c>
      <c r="N332" s="92">
        <f>IF(E332&gt;1.2,J332,0)</f>
        <v>3.2600000000000002</v>
      </c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>
        <f>SUM(X333:X335)/I332</f>
        <v>321.4612839614374</v>
      </c>
      <c r="Z332" s="10"/>
      <c r="AA332" s="10"/>
      <c r="AB332" s="10"/>
      <c r="AC332" s="10"/>
      <c r="AD332" s="10"/>
      <c r="AE332" s="10"/>
      <c r="AF332" s="10"/>
    </row>
    <row r="333" spans="1:32" s="3" customFormat="1" ht="20.100000000000001" customHeight="1" x14ac:dyDescent="0.2">
      <c r="A333" s="87"/>
      <c r="B333" s="10" t="s">
        <v>67</v>
      </c>
      <c r="C333" s="93" t="s">
        <v>69</v>
      </c>
      <c r="D333" s="10">
        <v>25</v>
      </c>
      <c r="E333" s="10"/>
      <c r="F333" s="10">
        <v>2</v>
      </c>
      <c r="G333" s="90">
        <f>VLOOKUP(D333,$C$20:$F$26,3,0)</f>
        <v>1.35</v>
      </c>
      <c r="H333" s="90"/>
      <c r="I333" s="10"/>
      <c r="J333" s="10"/>
      <c r="K333" s="10"/>
      <c r="L333" s="10"/>
      <c r="M333" s="10"/>
      <c r="N333" s="10"/>
      <c r="O333" s="10">
        <f>(E332+2*(G333+(12*D333/1000))*D332)</f>
        <v>4.93</v>
      </c>
      <c r="P333" s="10">
        <f t="shared" ref="P333:P335" si="102">O333*F333</f>
        <v>9.86</v>
      </c>
      <c r="Q333" s="10">
        <f t="shared" si="100"/>
        <v>0</v>
      </c>
      <c r="R333" s="10">
        <f t="shared" si="100"/>
        <v>0</v>
      </c>
      <c r="S333" s="10">
        <f t="shared" si="100"/>
        <v>0</v>
      </c>
      <c r="T333" s="10">
        <f t="shared" si="100"/>
        <v>0</v>
      </c>
      <c r="U333" s="10">
        <f t="shared" si="100"/>
        <v>0</v>
      </c>
      <c r="V333" s="10">
        <f t="shared" si="100"/>
        <v>38.009419642857146</v>
      </c>
      <c r="W333" s="10">
        <f t="shared" si="100"/>
        <v>0</v>
      </c>
      <c r="X333" s="10">
        <f t="shared" ref="X333:X335" si="103">SUM(Q333:W333)</f>
        <v>38.009419642857146</v>
      </c>
      <c r="Y333" s="10"/>
      <c r="Z333" s="10"/>
      <c r="AA333" s="10"/>
      <c r="AB333" s="10"/>
      <c r="AC333" s="10"/>
      <c r="AD333" s="10"/>
      <c r="AE333" s="10"/>
    </row>
    <row r="334" spans="1:32" s="3" customFormat="1" ht="20.100000000000001" customHeight="1" x14ac:dyDescent="0.2">
      <c r="A334" s="87"/>
      <c r="B334" s="10" t="s">
        <v>67</v>
      </c>
      <c r="C334" s="93" t="s">
        <v>71</v>
      </c>
      <c r="D334" s="10">
        <v>25</v>
      </c>
      <c r="E334" s="10"/>
      <c r="F334" s="10">
        <v>2</v>
      </c>
      <c r="G334" s="90">
        <f>VLOOKUP(D334,$C$20:$F$26,3,0)</f>
        <v>1.35</v>
      </c>
      <c r="H334" s="10"/>
      <c r="I334" s="10"/>
      <c r="J334" s="10"/>
      <c r="K334" s="10"/>
      <c r="L334" s="10"/>
      <c r="M334" s="10"/>
      <c r="N334" s="10"/>
      <c r="O334" s="10">
        <f>(E332+2*(G334+(12*D334/1000))*D332)</f>
        <v>4.93</v>
      </c>
      <c r="P334" s="10">
        <f t="shared" si="102"/>
        <v>9.86</v>
      </c>
      <c r="Q334" s="10">
        <f t="shared" si="100"/>
        <v>0</v>
      </c>
      <c r="R334" s="10">
        <f t="shared" si="100"/>
        <v>0</v>
      </c>
      <c r="S334" s="10">
        <f t="shared" si="100"/>
        <v>0</v>
      </c>
      <c r="T334" s="10">
        <f t="shared" si="100"/>
        <v>0</v>
      </c>
      <c r="U334" s="10">
        <f t="shared" si="100"/>
        <v>0</v>
      </c>
      <c r="V334" s="10">
        <f t="shared" si="100"/>
        <v>38.009419642857146</v>
      </c>
      <c r="W334" s="10">
        <f t="shared" si="100"/>
        <v>0</v>
      </c>
      <c r="X334" s="10">
        <f t="shared" si="103"/>
        <v>38.009419642857146</v>
      </c>
      <c r="Y334" s="10"/>
      <c r="Z334" s="10"/>
      <c r="AA334" s="10"/>
      <c r="AB334" s="10"/>
      <c r="AC334" s="10"/>
      <c r="AD334" s="10"/>
      <c r="AE334" s="10"/>
    </row>
    <row r="335" spans="1:32" s="3" customFormat="1" ht="20.100000000000001" customHeight="1" x14ac:dyDescent="0.2">
      <c r="A335" s="87"/>
      <c r="B335" s="10" t="s">
        <v>67</v>
      </c>
      <c r="C335" s="93" t="s">
        <v>73</v>
      </c>
      <c r="D335" s="10">
        <v>12</v>
      </c>
      <c r="E335" s="10">
        <v>0.1</v>
      </c>
      <c r="F335" s="10">
        <f>ROUNDUP(E332/E335,0)</f>
        <v>17</v>
      </c>
      <c r="H335" s="10"/>
      <c r="I335" s="10"/>
      <c r="J335" s="10"/>
      <c r="K335" s="10"/>
      <c r="L335" s="10"/>
      <c r="M335" s="10"/>
      <c r="N335" s="10"/>
      <c r="O335" s="10">
        <f>(2*((G332-(2*$D$11))+(F332-(2*$D$11)))+(2*10*D335/1000))*D332</f>
        <v>2.6000000000000005</v>
      </c>
      <c r="P335" s="10">
        <f t="shared" si="102"/>
        <v>44.20000000000001</v>
      </c>
      <c r="Q335" s="10">
        <f t="shared" si="100"/>
        <v>0</v>
      </c>
      <c r="R335" s="10">
        <f t="shared" si="100"/>
        <v>0</v>
      </c>
      <c r="S335" s="10">
        <f t="shared" si="100"/>
        <v>39.257177142857159</v>
      </c>
      <c r="T335" s="10">
        <f t="shared" si="100"/>
        <v>0</v>
      </c>
      <c r="U335" s="10">
        <f t="shared" si="100"/>
        <v>0</v>
      </c>
      <c r="V335" s="10">
        <f t="shared" si="100"/>
        <v>0</v>
      </c>
      <c r="W335" s="10">
        <f t="shared" si="100"/>
        <v>0</v>
      </c>
      <c r="X335" s="10">
        <f t="shared" si="103"/>
        <v>39.257177142857159</v>
      </c>
      <c r="Y335" s="10"/>
      <c r="Z335" s="10"/>
      <c r="AA335" s="10"/>
      <c r="AB335" s="10"/>
      <c r="AC335" s="10"/>
      <c r="AD335" s="10"/>
      <c r="AE335" s="10"/>
    </row>
    <row r="336" spans="1:32" s="3" customFormat="1" ht="21" customHeight="1" x14ac:dyDescent="0.2">
      <c r="A336" s="10">
        <v>1</v>
      </c>
      <c r="B336" s="10" t="s">
        <v>67</v>
      </c>
      <c r="C336" s="91" t="s">
        <v>109</v>
      </c>
      <c r="D336" s="91">
        <v>1</v>
      </c>
      <c r="E336" s="91">
        <v>2.5</v>
      </c>
      <c r="F336" s="91">
        <v>0.3</v>
      </c>
      <c r="G336" s="91">
        <v>0.5</v>
      </c>
      <c r="H336" s="10">
        <f>G336-0.2</f>
        <v>0.3</v>
      </c>
      <c r="I336" s="10">
        <f>E336*F336*G336*D336</f>
        <v>0.375</v>
      </c>
      <c r="J336" s="10">
        <f>(2*(E336)*H336*D336)+(E336*F336)</f>
        <v>2.25</v>
      </c>
      <c r="K336" s="92">
        <f>IF(E336=0.3,J336,0)</f>
        <v>0</v>
      </c>
      <c r="L336" s="92">
        <f>IF(AND(E336&gt;0.3,E336&lt;=0.75),J336,0)</f>
        <v>0</v>
      </c>
      <c r="M336" s="92">
        <f>IF(AND(E336&gt;0.75,E336&lt;=1.2),J336,0)</f>
        <v>0</v>
      </c>
      <c r="N336" s="92">
        <f>IF(E336&gt;1.2,J336,0)</f>
        <v>2.25</v>
      </c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>
        <f>SUM(X337:X341)/I336</f>
        <v>377.38075047619049</v>
      </c>
      <c r="Z336" s="10"/>
      <c r="AA336" s="10"/>
      <c r="AB336" s="10"/>
      <c r="AC336" s="10"/>
      <c r="AD336" s="10"/>
      <c r="AE336" s="10"/>
      <c r="AF336" s="10"/>
    </row>
    <row r="337" spans="1:32" s="3" customFormat="1" ht="20.100000000000001" customHeight="1" x14ac:dyDescent="0.2">
      <c r="A337" s="87"/>
      <c r="B337" s="10" t="s">
        <v>67</v>
      </c>
      <c r="C337" s="93" t="s">
        <v>69</v>
      </c>
      <c r="D337" s="10">
        <v>20</v>
      </c>
      <c r="E337" s="10"/>
      <c r="F337" s="10">
        <v>3</v>
      </c>
      <c r="G337" s="90">
        <f>VLOOKUP(D337,$C$20:$F$26,3,0)</f>
        <v>1.05</v>
      </c>
      <c r="H337" s="90"/>
      <c r="I337" s="10"/>
      <c r="J337" s="10"/>
      <c r="K337" s="10"/>
      <c r="L337" s="10"/>
      <c r="M337" s="10"/>
      <c r="N337" s="10"/>
      <c r="O337" s="10">
        <f>(E336+1*(G337+(12*D337/1000))+1*(0.4/2)*D336)</f>
        <v>3.99</v>
      </c>
      <c r="P337" s="10">
        <f t="shared" ref="P337:P342" si="104">O337*F337</f>
        <v>11.97</v>
      </c>
      <c r="Q337" s="10">
        <f t="shared" ref="Q337:W352" si="105">IF($D337=Q$44,$P337*Q$45,0)</f>
        <v>0</v>
      </c>
      <c r="R337" s="10">
        <f t="shared" si="105"/>
        <v>0</v>
      </c>
      <c r="S337" s="10">
        <f t="shared" si="105"/>
        <v>0</v>
      </c>
      <c r="T337" s="10">
        <f t="shared" si="105"/>
        <v>0</v>
      </c>
      <c r="U337" s="10">
        <f t="shared" si="105"/>
        <v>29.531700000000001</v>
      </c>
      <c r="V337" s="10">
        <f t="shared" si="105"/>
        <v>0</v>
      </c>
      <c r="W337" s="10">
        <f t="shared" si="105"/>
        <v>0</v>
      </c>
      <c r="X337" s="10">
        <f t="shared" ref="X337:X342" si="106">SUM(Q337:W337)</f>
        <v>29.531700000000001</v>
      </c>
      <c r="Y337" s="10"/>
      <c r="Z337" s="10"/>
      <c r="AA337" s="10"/>
      <c r="AB337" s="10"/>
      <c r="AC337" s="10"/>
      <c r="AD337" s="10"/>
      <c r="AE337" s="10"/>
    </row>
    <row r="338" spans="1:32" s="3" customFormat="1" ht="20.100000000000001" customHeight="1" x14ac:dyDescent="0.2">
      <c r="A338" s="87"/>
      <c r="B338" s="10" t="s">
        <v>67</v>
      </c>
      <c r="C338" s="93" t="s">
        <v>71</v>
      </c>
      <c r="D338" s="10">
        <v>20</v>
      </c>
      <c r="E338" s="10"/>
      <c r="F338" s="10">
        <v>3</v>
      </c>
      <c r="G338" s="90">
        <f>VLOOKUP(D338,$C$20:$F$26,3,0)</f>
        <v>1.05</v>
      </c>
      <c r="H338" s="10"/>
      <c r="I338" s="10"/>
      <c r="J338" s="10"/>
      <c r="K338" s="10"/>
      <c r="L338" s="10"/>
      <c r="M338" s="10"/>
      <c r="N338" s="10"/>
      <c r="O338" s="10">
        <f>(E336+2*(G338+(12*D338/1000))+1*(0.387/2)*D336)</f>
        <v>5.2735000000000003</v>
      </c>
      <c r="P338" s="10">
        <f t="shared" si="104"/>
        <v>15.820500000000001</v>
      </c>
      <c r="Q338" s="10">
        <f t="shared" si="105"/>
        <v>0</v>
      </c>
      <c r="R338" s="10">
        <f t="shared" si="105"/>
        <v>0</v>
      </c>
      <c r="S338" s="10">
        <f t="shared" si="105"/>
        <v>0</v>
      </c>
      <c r="T338" s="10">
        <f t="shared" si="105"/>
        <v>0</v>
      </c>
      <c r="U338" s="10">
        <f t="shared" si="105"/>
        <v>39.031433571428572</v>
      </c>
      <c r="V338" s="10">
        <f t="shared" si="105"/>
        <v>0</v>
      </c>
      <c r="W338" s="10">
        <f t="shared" si="105"/>
        <v>0</v>
      </c>
      <c r="X338" s="10">
        <f t="shared" si="106"/>
        <v>39.031433571428572</v>
      </c>
      <c r="Y338" s="10"/>
      <c r="Z338" s="10"/>
      <c r="AA338" s="10"/>
      <c r="AB338" s="10"/>
      <c r="AC338" s="10"/>
      <c r="AD338" s="10"/>
      <c r="AE338" s="10"/>
    </row>
    <row r="339" spans="1:32" s="3" customFormat="1" ht="20.100000000000001" customHeight="1" x14ac:dyDescent="0.2">
      <c r="A339" s="87"/>
      <c r="B339" s="10" t="s">
        <v>67</v>
      </c>
      <c r="C339" s="93" t="s">
        <v>110</v>
      </c>
      <c r="D339" s="10">
        <v>20</v>
      </c>
      <c r="E339" s="10"/>
      <c r="F339" s="10">
        <v>3</v>
      </c>
      <c r="G339" s="90">
        <f>VLOOKUP(D339,$C$20:$F$26,3,0)</f>
        <v>1.05</v>
      </c>
      <c r="H339" s="10"/>
      <c r="I339" s="10"/>
      <c r="J339" s="10"/>
      <c r="K339" s="10"/>
      <c r="L339" s="10"/>
      <c r="M339" s="10"/>
      <c r="N339" s="10"/>
      <c r="O339" s="10">
        <f>(E336+2*(G339+(12*D339/1000))+1*(0.387/2)*D336)</f>
        <v>5.2735000000000003</v>
      </c>
      <c r="P339" s="10">
        <f t="shared" si="104"/>
        <v>15.820500000000001</v>
      </c>
      <c r="Q339" s="10">
        <f t="shared" si="105"/>
        <v>0</v>
      </c>
      <c r="R339" s="10">
        <f t="shared" si="105"/>
        <v>0</v>
      </c>
      <c r="S339" s="10">
        <f t="shared" si="105"/>
        <v>0</v>
      </c>
      <c r="T339" s="10">
        <f t="shared" si="105"/>
        <v>0</v>
      </c>
      <c r="U339" s="10">
        <f t="shared" si="105"/>
        <v>39.031433571428572</v>
      </c>
      <c r="V339" s="10">
        <f t="shared" si="105"/>
        <v>0</v>
      </c>
      <c r="W339" s="10">
        <f t="shared" si="105"/>
        <v>0</v>
      </c>
      <c r="X339" s="10">
        <f t="shared" si="106"/>
        <v>39.031433571428572</v>
      </c>
      <c r="Y339" s="10"/>
      <c r="Z339" s="10"/>
      <c r="AA339" s="10"/>
      <c r="AB339" s="10"/>
      <c r="AC339" s="10"/>
      <c r="AD339" s="10"/>
      <c r="AE339" s="10"/>
    </row>
    <row r="340" spans="1:32" s="3" customFormat="1" ht="20.100000000000001" customHeight="1" x14ac:dyDescent="0.2">
      <c r="A340" s="87"/>
      <c r="B340" s="10" t="s">
        <v>67</v>
      </c>
      <c r="C340" s="93" t="s">
        <v>73</v>
      </c>
      <c r="D340" s="10">
        <v>10</v>
      </c>
      <c r="E340" s="10">
        <v>0.1</v>
      </c>
      <c r="F340" s="10">
        <f>ROUNDUP(E336/E340,0)</f>
        <v>25</v>
      </c>
      <c r="H340" s="10"/>
      <c r="I340" s="10"/>
      <c r="J340" s="10"/>
      <c r="K340" s="10"/>
      <c r="L340" s="10"/>
      <c r="M340" s="10"/>
      <c r="N340" s="10"/>
      <c r="O340" s="10">
        <f>(2*((G336-(2*$D$11))+(F336-(2*$D$11)))+(2*10*D340/1000))*D336</f>
        <v>1.5599999999999998</v>
      </c>
      <c r="P340" s="10">
        <f t="shared" si="104"/>
        <v>38.999999999999993</v>
      </c>
      <c r="Q340" s="10">
        <f t="shared" si="105"/>
        <v>0</v>
      </c>
      <c r="R340" s="10">
        <f t="shared" si="105"/>
        <v>24.054642857142852</v>
      </c>
      <c r="S340" s="10">
        <f t="shared" si="105"/>
        <v>0</v>
      </c>
      <c r="T340" s="10">
        <f t="shared" si="105"/>
        <v>0</v>
      </c>
      <c r="U340" s="10">
        <f t="shared" si="105"/>
        <v>0</v>
      </c>
      <c r="V340" s="10">
        <f t="shared" si="105"/>
        <v>0</v>
      </c>
      <c r="W340" s="10">
        <f t="shared" si="105"/>
        <v>0</v>
      </c>
      <c r="X340" s="10">
        <f t="shared" si="106"/>
        <v>24.054642857142852</v>
      </c>
      <c r="Y340" s="10"/>
      <c r="Z340" s="10"/>
      <c r="AA340" s="10"/>
      <c r="AB340" s="10"/>
      <c r="AC340" s="10"/>
      <c r="AD340" s="10"/>
      <c r="AE340" s="10"/>
    </row>
    <row r="341" spans="1:32" s="2" customFormat="1" ht="20.100000000000001" customHeight="1" x14ac:dyDescent="0.2">
      <c r="B341" s="10" t="s">
        <v>67</v>
      </c>
      <c r="C341" s="93" t="s">
        <v>74</v>
      </c>
      <c r="D341" s="10">
        <f>+D340</f>
        <v>10</v>
      </c>
      <c r="E341" s="2">
        <f>+E340</f>
        <v>0.1</v>
      </c>
      <c r="F341" s="10">
        <f>ROUNDUP(E336/E341,0)</f>
        <v>25</v>
      </c>
      <c r="G341" s="3"/>
      <c r="O341" s="10">
        <f>((((G336-(2*$D$11))+(2*10*D341/1000))*D336))*1</f>
        <v>0.64</v>
      </c>
      <c r="P341" s="10">
        <f t="shared" si="104"/>
        <v>16</v>
      </c>
      <c r="Q341" s="10">
        <f t="shared" si="105"/>
        <v>0</v>
      </c>
      <c r="R341" s="10">
        <f t="shared" si="105"/>
        <v>9.8685714285714283</v>
      </c>
      <c r="S341" s="10">
        <f t="shared" si="105"/>
        <v>0</v>
      </c>
      <c r="T341" s="10">
        <f t="shared" si="105"/>
        <v>0</v>
      </c>
      <c r="U341" s="10">
        <f t="shared" si="105"/>
        <v>0</v>
      </c>
      <c r="V341" s="10">
        <f t="shared" si="105"/>
        <v>0</v>
      </c>
      <c r="W341" s="10">
        <f t="shared" si="105"/>
        <v>0</v>
      </c>
      <c r="X341" s="10">
        <f t="shared" si="106"/>
        <v>9.8685714285714283</v>
      </c>
    </row>
    <row r="342" spans="1:32" s="3" customFormat="1" ht="20.100000000000001" customHeight="1" x14ac:dyDescent="0.2">
      <c r="A342" s="87"/>
      <c r="B342" s="10" t="s">
        <v>67</v>
      </c>
      <c r="C342" s="93" t="s">
        <v>75</v>
      </c>
      <c r="D342" s="10">
        <f>+$D$15</f>
        <v>25</v>
      </c>
      <c r="E342" s="10">
        <f>+$E$15</f>
        <v>1</v>
      </c>
      <c r="F342" s="10">
        <f>ROUNDUP((E336)/E342,0)</f>
        <v>3</v>
      </c>
      <c r="G342" s="90"/>
      <c r="H342" s="90"/>
      <c r="I342" s="10"/>
      <c r="J342" s="10"/>
      <c r="K342" s="10"/>
      <c r="L342" s="10"/>
      <c r="M342" s="10"/>
      <c r="N342" s="10"/>
      <c r="O342" s="10">
        <f>F336-$F$15</f>
        <v>0.24</v>
      </c>
      <c r="P342" s="10">
        <f t="shared" si="104"/>
        <v>0.72</v>
      </c>
      <c r="Q342" s="10">
        <f t="shared" si="105"/>
        <v>0</v>
      </c>
      <c r="R342" s="10">
        <f t="shared" si="105"/>
        <v>0</v>
      </c>
      <c r="S342" s="10">
        <f t="shared" si="105"/>
        <v>0</v>
      </c>
      <c r="T342" s="10">
        <f t="shared" si="105"/>
        <v>0</v>
      </c>
      <c r="U342" s="10">
        <f t="shared" si="105"/>
        <v>0</v>
      </c>
      <c r="V342" s="10">
        <f t="shared" si="105"/>
        <v>2.7755357142857147</v>
      </c>
      <c r="W342" s="10">
        <f t="shared" si="105"/>
        <v>0</v>
      </c>
      <c r="X342" s="10">
        <f t="shared" si="106"/>
        <v>2.7755357142857147</v>
      </c>
      <c r="Y342" s="10"/>
      <c r="Z342" s="10"/>
      <c r="AA342" s="10"/>
      <c r="AB342" s="10"/>
      <c r="AC342" s="10"/>
      <c r="AD342" s="10"/>
      <c r="AE342" s="10"/>
    </row>
    <row r="343" spans="1:32" s="3" customFormat="1" ht="21" customHeight="1" x14ac:dyDescent="0.2">
      <c r="A343" s="10">
        <v>1</v>
      </c>
      <c r="B343" s="10" t="s">
        <v>67</v>
      </c>
      <c r="C343" s="91" t="s">
        <v>111</v>
      </c>
      <c r="D343" s="91">
        <v>1</v>
      </c>
      <c r="E343" s="91">
        <v>2.2799999999999998</v>
      </c>
      <c r="F343" s="91">
        <v>0.3</v>
      </c>
      <c r="G343" s="91">
        <v>0.6</v>
      </c>
      <c r="H343" s="10">
        <f>G343-0.2</f>
        <v>0.39999999999999997</v>
      </c>
      <c r="I343" s="10">
        <f>E343*F343*G343*D343</f>
        <v>0.41039999999999993</v>
      </c>
      <c r="J343" s="10">
        <f>(2*(E343)*H343*D343)+(E343*F343)</f>
        <v>2.5079999999999996</v>
      </c>
      <c r="K343" s="92">
        <f>IF(E343=0.3,J343,0)</f>
        <v>0</v>
      </c>
      <c r="L343" s="92">
        <f>IF(AND(E343&gt;0.3,E343&lt;=0.75),J343,0)</f>
        <v>0</v>
      </c>
      <c r="M343" s="92">
        <f>IF(AND(E343&gt;0.75,E343&lt;=1.2),J343,0)</f>
        <v>0</v>
      </c>
      <c r="N343" s="92">
        <f>IF(E343&gt;1.2,J343,0)</f>
        <v>2.5079999999999996</v>
      </c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>
        <f>SUM(X344:X349)/I343</f>
        <v>370.25913942843232</v>
      </c>
      <c r="Z343" s="10"/>
      <c r="AA343" s="10"/>
      <c r="AB343" s="10"/>
      <c r="AC343" s="10"/>
      <c r="AD343" s="10"/>
      <c r="AE343" s="10"/>
      <c r="AF343" s="10"/>
    </row>
    <row r="344" spans="1:32" s="3" customFormat="1" ht="20.100000000000001" customHeight="1" x14ac:dyDescent="0.2">
      <c r="A344" s="87"/>
      <c r="B344" s="10" t="s">
        <v>67</v>
      </c>
      <c r="C344" s="93" t="s">
        <v>69</v>
      </c>
      <c r="D344" s="10">
        <v>20</v>
      </c>
      <c r="E344" s="10"/>
      <c r="F344" s="10">
        <v>3</v>
      </c>
      <c r="G344" s="90">
        <f>VLOOKUP(D344,$C$20:$F$26,3,0)</f>
        <v>1.05</v>
      </c>
      <c r="H344" s="90"/>
      <c r="I344" s="10"/>
      <c r="J344" s="10"/>
      <c r="K344" s="10"/>
      <c r="L344" s="10"/>
      <c r="M344" s="10"/>
      <c r="N344" s="10"/>
      <c r="O344" s="10">
        <f>(E343+1*(G344+(12*D344/1000))+1*(0.4/2)*D343)</f>
        <v>3.77</v>
      </c>
      <c r="P344" s="10">
        <f t="shared" ref="P344:P350" si="107">O344*F344</f>
        <v>11.31</v>
      </c>
      <c r="Q344" s="10">
        <f t="shared" si="105"/>
        <v>0</v>
      </c>
      <c r="R344" s="10">
        <f t="shared" si="105"/>
        <v>0</v>
      </c>
      <c r="S344" s="10">
        <f t="shared" si="105"/>
        <v>0</v>
      </c>
      <c r="T344" s="10">
        <f t="shared" si="105"/>
        <v>0</v>
      </c>
      <c r="U344" s="10">
        <f t="shared" si="105"/>
        <v>27.903385714285715</v>
      </c>
      <c r="V344" s="10">
        <f t="shared" si="105"/>
        <v>0</v>
      </c>
      <c r="W344" s="10">
        <f t="shared" si="105"/>
        <v>0</v>
      </c>
      <c r="X344" s="10">
        <f t="shared" ref="X344:X350" si="108">SUM(Q344:W344)</f>
        <v>27.903385714285715</v>
      </c>
      <c r="Y344" s="10"/>
      <c r="Z344" s="10"/>
      <c r="AA344" s="10"/>
      <c r="AB344" s="10"/>
      <c r="AC344" s="10"/>
      <c r="AD344" s="10"/>
      <c r="AE344" s="10"/>
    </row>
    <row r="345" spans="1:32" s="3" customFormat="1" ht="20.100000000000001" customHeight="1" x14ac:dyDescent="0.2">
      <c r="A345" s="87"/>
      <c r="B345" s="10" t="s">
        <v>67</v>
      </c>
      <c r="C345" s="93" t="s">
        <v>112</v>
      </c>
      <c r="D345" s="10">
        <v>25</v>
      </c>
      <c r="E345" s="10"/>
      <c r="F345" s="10">
        <v>3</v>
      </c>
      <c r="G345" s="90">
        <f>VLOOKUP(D345,$C$20:$F$26,3,0)</f>
        <v>1.35</v>
      </c>
      <c r="H345" s="90"/>
      <c r="I345" s="10"/>
      <c r="J345" s="10"/>
      <c r="K345" s="10"/>
      <c r="L345" s="10"/>
      <c r="M345" s="10"/>
      <c r="N345" s="10"/>
      <c r="O345" s="10">
        <f>(0.7+1*(G345+(12*D345/1000))*D343)</f>
        <v>2.35</v>
      </c>
      <c r="P345" s="10">
        <f t="shared" si="107"/>
        <v>7.0500000000000007</v>
      </c>
      <c r="Q345" s="10">
        <f t="shared" si="105"/>
        <v>0</v>
      </c>
      <c r="R345" s="10">
        <f t="shared" si="105"/>
        <v>0</v>
      </c>
      <c r="S345" s="10">
        <f t="shared" si="105"/>
        <v>0</v>
      </c>
      <c r="T345" s="10">
        <f t="shared" si="105"/>
        <v>0</v>
      </c>
      <c r="U345" s="10">
        <f t="shared" si="105"/>
        <v>0</v>
      </c>
      <c r="V345" s="10">
        <f t="shared" si="105"/>
        <v>27.177120535714291</v>
      </c>
      <c r="W345" s="10">
        <f t="shared" si="105"/>
        <v>0</v>
      </c>
      <c r="X345" s="10">
        <f t="shared" si="108"/>
        <v>27.177120535714291</v>
      </c>
      <c r="Y345" s="10"/>
      <c r="Z345" s="10"/>
      <c r="AA345" s="10"/>
      <c r="AB345" s="10"/>
      <c r="AC345" s="10"/>
      <c r="AD345" s="10"/>
      <c r="AE345" s="10"/>
    </row>
    <row r="346" spans="1:32" s="3" customFormat="1" ht="20.100000000000001" customHeight="1" x14ac:dyDescent="0.2">
      <c r="A346" s="87"/>
      <c r="B346" s="10" t="s">
        <v>67</v>
      </c>
      <c r="C346" s="93" t="s">
        <v>71</v>
      </c>
      <c r="D346" s="10">
        <v>20</v>
      </c>
      <c r="E346" s="10"/>
      <c r="F346" s="10">
        <v>3</v>
      </c>
      <c r="G346" s="90">
        <f>VLOOKUP(D346,$C$20:$F$26,3,0)</f>
        <v>1.05</v>
      </c>
      <c r="H346" s="10"/>
      <c r="I346" s="10"/>
      <c r="J346" s="10"/>
      <c r="K346" s="10"/>
      <c r="L346" s="10"/>
      <c r="M346" s="10"/>
      <c r="N346" s="10"/>
      <c r="O346" s="10">
        <f>(E343+2*(G346+(12*D346/1000))+1*(0.4/2)*D343)</f>
        <v>5.0599999999999996</v>
      </c>
      <c r="P346" s="10">
        <f t="shared" si="107"/>
        <v>15.18</v>
      </c>
      <c r="Q346" s="10">
        <f t="shared" si="105"/>
        <v>0</v>
      </c>
      <c r="R346" s="10">
        <f t="shared" si="105"/>
        <v>0</v>
      </c>
      <c r="S346" s="10">
        <f t="shared" si="105"/>
        <v>0</v>
      </c>
      <c r="T346" s="10">
        <f t="shared" si="105"/>
        <v>0</v>
      </c>
      <c r="U346" s="10">
        <f t="shared" si="105"/>
        <v>37.451228571428572</v>
      </c>
      <c r="V346" s="10">
        <f t="shared" si="105"/>
        <v>0</v>
      </c>
      <c r="W346" s="10">
        <f t="shared" si="105"/>
        <v>0</v>
      </c>
      <c r="X346" s="10">
        <f t="shared" si="108"/>
        <v>37.451228571428572</v>
      </c>
      <c r="Y346" s="10"/>
      <c r="Z346" s="10"/>
      <c r="AA346" s="10"/>
      <c r="AB346" s="10"/>
      <c r="AC346" s="10"/>
      <c r="AD346" s="10"/>
      <c r="AE346" s="10"/>
    </row>
    <row r="347" spans="1:32" s="3" customFormat="1" ht="20.100000000000001" customHeight="1" x14ac:dyDescent="0.2">
      <c r="A347" s="87"/>
      <c r="B347" s="10" t="s">
        <v>67</v>
      </c>
      <c r="C347" s="93" t="s">
        <v>110</v>
      </c>
      <c r="D347" s="10">
        <v>20</v>
      </c>
      <c r="E347" s="10"/>
      <c r="F347" s="10">
        <v>3</v>
      </c>
      <c r="G347" s="90">
        <f>VLOOKUP(D347,$C$20:$F$26,3,0)</f>
        <v>1.05</v>
      </c>
      <c r="H347" s="10"/>
      <c r="I347" s="10"/>
      <c r="J347" s="10"/>
      <c r="K347" s="10"/>
      <c r="L347" s="10"/>
      <c r="M347" s="10"/>
      <c r="N347" s="10"/>
      <c r="O347" s="10">
        <f>(E343+2*(G347+(12*D347/1000))+1*(0.4/2)*D343)</f>
        <v>5.0599999999999996</v>
      </c>
      <c r="P347" s="10">
        <f t="shared" si="107"/>
        <v>15.18</v>
      </c>
      <c r="Q347" s="10">
        <f t="shared" si="105"/>
        <v>0</v>
      </c>
      <c r="R347" s="10">
        <f t="shared" si="105"/>
        <v>0</v>
      </c>
      <c r="S347" s="10">
        <f t="shared" si="105"/>
        <v>0</v>
      </c>
      <c r="T347" s="10">
        <f t="shared" si="105"/>
        <v>0</v>
      </c>
      <c r="U347" s="10">
        <f t="shared" si="105"/>
        <v>37.451228571428572</v>
      </c>
      <c r="V347" s="10">
        <f t="shared" si="105"/>
        <v>0</v>
      </c>
      <c r="W347" s="10">
        <f t="shared" si="105"/>
        <v>0</v>
      </c>
      <c r="X347" s="10">
        <f t="shared" si="108"/>
        <v>37.451228571428572</v>
      </c>
      <c r="Y347" s="10"/>
      <c r="Z347" s="10"/>
      <c r="AA347" s="10"/>
      <c r="AB347" s="10"/>
      <c r="AC347" s="10"/>
      <c r="AD347" s="10"/>
      <c r="AE347" s="10"/>
    </row>
    <row r="348" spans="1:32" s="3" customFormat="1" ht="20.100000000000001" customHeight="1" x14ac:dyDescent="0.2">
      <c r="A348" s="87"/>
      <c r="B348" s="10" t="s">
        <v>67</v>
      </c>
      <c r="C348" s="93" t="s">
        <v>73</v>
      </c>
      <c r="D348" s="10">
        <v>8</v>
      </c>
      <c r="E348" s="10">
        <v>0.1</v>
      </c>
      <c r="F348" s="10">
        <f>ROUNDUP(E343/E348,0)</f>
        <v>23</v>
      </c>
      <c r="H348" s="10"/>
      <c r="I348" s="10"/>
      <c r="J348" s="10"/>
      <c r="K348" s="10"/>
      <c r="L348" s="10"/>
      <c r="M348" s="10"/>
      <c r="N348" s="10"/>
      <c r="O348" s="10">
        <f>(2*((G343-(2*$D$11))+(F343-(2*$D$11)))+(2*10*D348/1000))*D343</f>
        <v>1.72</v>
      </c>
      <c r="P348" s="10">
        <f t="shared" si="107"/>
        <v>39.56</v>
      </c>
      <c r="Q348" s="10">
        <f t="shared" si="105"/>
        <v>15.61602742857143</v>
      </c>
      <c r="R348" s="10">
        <f t="shared" si="105"/>
        <v>0</v>
      </c>
      <c r="S348" s="10">
        <f t="shared" si="105"/>
        <v>0</v>
      </c>
      <c r="T348" s="10">
        <f t="shared" si="105"/>
        <v>0</v>
      </c>
      <c r="U348" s="10">
        <f t="shared" si="105"/>
        <v>0</v>
      </c>
      <c r="V348" s="10">
        <f t="shared" si="105"/>
        <v>0</v>
      </c>
      <c r="W348" s="10">
        <f t="shared" si="105"/>
        <v>0</v>
      </c>
      <c r="X348" s="10">
        <f t="shared" si="108"/>
        <v>15.61602742857143</v>
      </c>
      <c r="Y348" s="10"/>
      <c r="Z348" s="10"/>
      <c r="AA348" s="10"/>
      <c r="AB348" s="10"/>
      <c r="AC348" s="10"/>
      <c r="AD348" s="10"/>
      <c r="AE348" s="10"/>
    </row>
    <row r="349" spans="1:32" s="2" customFormat="1" ht="20.100000000000001" customHeight="1" x14ac:dyDescent="0.2">
      <c r="B349" s="10" t="s">
        <v>67</v>
      </c>
      <c r="C349" s="93" t="s">
        <v>74</v>
      </c>
      <c r="D349" s="10">
        <f>+D348</f>
        <v>8</v>
      </c>
      <c r="E349" s="2">
        <f>+E348</f>
        <v>0.1</v>
      </c>
      <c r="F349" s="10">
        <f>ROUNDUP(E343/E349,0)</f>
        <v>23</v>
      </c>
      <c r="G349" s="3"/>
      <c r="O349" s="10">
        <f>((((G343-(2*$D$11))+(2*10*D349/1000))*D343))*1</f>
        <v>0.70000000000000007</v>
      </c>
      <c r="P349" s="10">
        <f t="shared" si="107"/>
        <v>16.100000000000001</v>
      </c>
      <c r="Q349" s="10">
        <f t="shared" si="105"/>
        <v>6.355360000000001</v>
      </c>
      <c r="R349" s="10">
        <f t="shared" si="105"/>
        <v>0</v>
      </c>
      <c r="S349" s="10">
        <f t="shared" si="105"/>
        <v>0</v>
      </c>
      <c r="T349" s="10">
        <f t="shared" si="105"/>
        <v>0</v>
      </c>
      <c r="U349" s="10">
        <f t="shared" si="105"/>
        <v>0</v>
      </c>
      <c r="V349" s="10">
        <f t="shared" si="105"/>
        <v>0</v>
      </c>
      <c r="W349" s="10">
        <f t="shared" si="105"/>
        <v>0</v>
      </c>
      <c r="X349" s="10">
        <f t="shared" si="108"/>
        <v>6.355360000000001</v>
      </c>
    </row>
    <row r="350" spans="1:32" s="3" customFormat="1" ht="20.100000000000001" customHeight="1" x14ac:dyDescent="0.2">
      <c r="A350" s="87"/>
      <c r="B350" s="10" t="s">
        <v>67</v>
      </c>
      <c r="C350" s="93" t="s">
        <v>75</v>
      </c>
      <c r="D350" s="10">
        <f>+$D$15</f>
        <v>25</v>
      </c>
      <c r="E350" s="10">
        <f>+$E$15</f>
        <v>1</v>
      </c>
      <c r="F350" s="10">
        <f>ROUNDUP((E343+0.7)/E350,0)</f>
        <v>3</v>
      </c>
      <c r="G350" s="90"/>
      <c r="H350" s="90"/>
      <c r="I350" s="10"/>
      <c r="J350" s="10"/>
      <c r="K350" s="10"/>
      <c r="L350" s="10"/>
      <c r="M350" s="10"/>
      <c r="N350" s="10"/>
      <c r="O350" s="10">
        <f>F343-$F$15</f>
        <v>0.24</v>
      </c>
      <c r="P350" s="10">
        <f t="shared" si="107"/>
        <v>0.72</v>
      </c>
      <c r="Q350" s="10">
        <f t="shared" si="105"/>
        <v>0</v>
      </c>
      <c r="R350" s="10">
        <f t="shared" si="105"/>
        <v>0</v>
      </c>
      <c r="S350" s="10">
        <f t="shared" si="105"/>
        <v>0</v>
      </c>
      <c r="T350" s="10">
        <f t="shared" si="105"/>
        <v>0</v>
      </c>
      <c r="U350" s="10">
        <f t="shared" si="105"/>
        <v>0</v>
      </c>
      <c r="V350" s="10">
        <f t="shared" si="105"/>
        <v>2.7755357142857147</v>
      </c>
      <c r="W350" s="10">
        <f t="shared" si="105"/>
        <v>0</v>
      </c>
      <c r="X350" s="10">
        <f t="shared" si="108"/>
        <v>2.7755357142857147</v>
      </c>
      <c r="Y350" s="10"/>
      <c r="Z350" s="10"/>
      <c r="AA350" s="10"/>
      <c r="AB350" s="10"/>
      <c r="AC350" s="10"/>
      <c r="AD350" s="10"/>
      <c r="AE350" s="10"/>
    </row>
    <row r="351" spans="1:32" s="3" customFormat="1" ht="21" customHeight="1" x14ac:dyDescent="0.2">
      <c r="A351" s="10">
        <v>1</v>
      </c>
      <c r="B351" s="10" t="s">
        <v>67</v>
      </c>
      <c r="C351" s="91" t="s">
        <v>113</v>
      </c>
      <c r="D351" s="91">
        <v>1</v>
      </c>
      <c r="E351" s="91">
        <v>2.2799999999999998</v>
      </c>
      <c r="F351" s="91">
        <v>0.3</v>
      </c>
      <c r="G351" s="91">
        <v>0.6</v>
      </c>
      <c r="H351" s="10">
        <f>G351-0.2</f>
        <v>0.39999999999999997</v>
      </c>
      <c r="I351" s="10">
        <f>E351*F351*G351*D351</f>
        <v>0.41039999999999993</v>
      </c>
      <c r="J351" s="10">
        <f>(2*(E351)*H351*D351)+(E351*F351)</f>
        <v>2.5079999999999996</v>
      </c>
      <c r="K351" s="92">
        <f>IF(E351=0.3,J351,0)</f>
        <v>0</v>
      </c>
      <c r="L351" s="92">
        <f>IF(AND(E351&gt;0.3,E351&lt;=0.75),J351,0)</f>
        <v>0</v>
      </c>
      <c r="M351" s="92">
        <f>IF(AND(E351&gt;0.75,E351&lt;=1.2),J351,0)</f>
        <v>0</v>
      </c>
      <c r="N351" s="92">
        <f>IF(E351&gt;1.2,J351,0)</f>
        <v>2.5079999999999996</v>
      </c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>
        <f>SUM(X352:X357)/I351</f>
        <v>370.25913942843232</v>
      </c>
      <c r="Z351" s="10"/>
      <c r="AA351" s="10"/>
      <c r="AB351" s="10"/>
      <c r="AC351" s="10"/>
      <c r="AD351" s="10"/>
      <c r="AE351" s="10"/>
      <c r="AF351" s="10"/>
    </row>
    <row r="352" spans="1:32" s="3" customFormat="1" ht="20.100000000000001" customHeight="1" x14ac:dyDescent="0.2">
      <c r="A352" s="87"/>
      <c r="B352" s="10" t="s">
        <v>67</v>
      </c>
      <c r="C352" s="93" t="s">
        <v>69</v>
      </c>
      <c r="D352" s="10">
        <v>20</v>
      </c>
      <c r="E352" s="10"/>
      <c r="F352" s="10">
        <v>3</v>
      </c>
      <c r="G352" s="90">
        <f>VLOOKUP(D352,$C$20:$F$26,3,0)</f>
        <v>1.05</v>
      </c>
      <c r="H352" s="90"/>
      <c r="I352" s="10"/>
      <c r="J352" s="10"/>
      <c r="K352" s="10"/>
      <c r="L352" s="10"/>
      <c r="M352" s="10"/>
      <c r="N352" s="10"/>
      <c r="O352" s="10">
        <f>(E351+1*(G352+(12*D352/1000))+1*(0.4/2)*D351)</f>
        <v>3.77</v>
      </c>
      <c r="P352" s="10">
        <f t="shared" ref="P352:P358" si="109">O352*F352</f>
        <v>11.31</v>
      </c>
      <c r="Q352" s="10">
        <f t="shared" si="105"/>
        <v>0</v>
      </c>
      <c r="R352" s="10">
        <f t="shared" si="105"/>
        <v>0</v>
      </c>
      <c r="S352" s="10">
        <f t="shared" si="105"/>
        <v>0</v>
      </c>
      <c r="T352" s="10">
        <f t="shared" si="105"/>
        <v>0</v>
      </c>
      <c r="U352" s="10">
        <f t="shared" si="105"/>
        <v>27.903385714285715</v>
      </c>
      <c r="V352" s="10">
        <f t="shared" si="105"/>
        <v>0</v>
      </c>
      <c r="W352" s="10">
        <f t="shared" si="105"/>
        <v>0</v>
      </c>
      <c r="X352" s="10">
        <f t="shared" ref="X352:X358" si="110">SUM(Q352:W352)</f>
        <v>27.903385714285715</v>
      </c>
      <c r="Y352" s="10"/>
      <c r="Z352" s="10"/>
      <c r="AA352" s="10"/>
      <c r="AB352" s="10"/>
      <c r="AC352" s="10"/>
      <c r="AD352" s="10"/>
      <c r="AE352" s="10"/>
    </row>
    <row r="353" spans="1:32" s="3" customFormat="1" ht="20.100000000000001" customHeight="1" x14ac:dyDescent="0.2">
      <c r="A353" s="87"/>
      <c r="B353" s="10" t="s">
        <v>67</v>
      </c>
      <c r="C353" s="93" t="s">
        <v>112</v>
      </c>
      <c r="D353" s="10">
        <v>25</v>
      </c>
      <c r="E353" s="10"/>
      <c r="F353" s="10">
        <v>3</v>
      </c>
      <c r="G353" s="90">
        <f>VLOOKUP(D353,$C$20:$F$26,3,0)</f>
        <v>1.35</v>
      </c>
      <c r="H353" s="90"/>
      <c r="I353" s="10"/>
      <c r="J353" s="10"/>
      <c r="K353" s="10"/>
      <c r="L353" s="10"/>
      <c r="M353" s="10"/>
      <c r="N353" s="10"/>
      <c r="O353" s="10">
        <f>(0.7+1*(G353+(12*D353/1000))*D351)</f>
        <v>2.35</v>
      </c>
      <c r="P353" s="10">
        <f t="shared" si="109"/>
        <v>7.0500000000000007</v>
      </c>
      <c r="Q353" s="10">
        <f t="shared" ref="Q353:W358" si="111">IF($D353=Q$44,$P353*Q$45,0)</f>
        <v>0</v>
      </c>
      <c r="R353" s="10">
        <f t="shared" si="111"/>
        <v>0</v>
      </c>
      <c r="S353" s="10">
        <f t="shared" si="111"/>
        <v>0</v>
      </c>
      <c r="T353" s="10">
        <f t="shared" si="111"/>
        <v>0</v>
      </c>
      <c r="U353" s="10">
        <f t="shared" si="111"/>
        <v>0</v>
      </c>
      <c r="V353" s="10">
        <f t="shared" si="111"/>
        <v>27.177120535714291</v>
      </c>
      <c r="W353" s="10">
        <f t="shared" si="111"/>
        <v>0</v>
      </c>
      <c r="X353" s="10">
        <f t="shared" si="110"/>
        <v>27.177120535714291</v>
      </c>
      <c r="Y353" s="10"/>
      <c r="Z353" s="10"/>
      <c r="AA353" s="10"/>
      <c r="AB353" s="10"/>
      <c r="AC353" s="10"/>
      <c r="AD353" s="10"/>
      <c r="AE353" s="10"/>
    </row>
    <row r="354" spans="1:32" s="3" customFormat="1" ht="20.100000000000001" customHeight="1" x14ac:dyDescent="0.2">
      <c r="A354" s="87"/>
      <c r="B354" s="10" t="s">
        <v>67</v>
      </c>
      <c r="C354" s="93" t="s">
        <v>71</v>
      </c>
      <c r="D354" s="10">
        <v>20</v>
      </c>
      <c r="E354" s="10"/>
      <c r="F354" s="10">
        <v>3</v>
      </c>
      <c r="G354" s="90">
        <f>VLOOKUP(D354,$C$20:$F$26,3,0)</f>
        <v>1.05</v>
      </c>
      <c r="H354" s="10"/>
      <c r="I354" s="10"/>
      <c r="J354" s="10"/>
      <c r="K354" s="10"/>
      <c r="L354" s="10"/>
      <c r="M354" s="10"/>
      <c r="N354" s="10"/>
      <c r="O354" s="10">
        <f>(E351+2*(G354+(12*D354/1000))+1*(0.4/2)*D351)</f>
        <v>5.0599999999999996</v>
      </c>
      <c r="P354" s="10">
        <f t="shared" si="109"/>
        <v>15.18</v>
      </c>
      <c r="Q354" s="10">
        <f t="shared" si="111"/>
        <v>0</v>
      </c>
      <c r="R354" s="10">
        <f t="shared" si="111"/>
        <v>0</v>
      </c>
      <c r="S354" s="10">
        <f t="shared" si="111"/>
        <v>0</v>
      </c>
      <c r="T354" s="10">
        <f t="shared" si="111"/>
        <v>0</v>
      </c>
      <c r="U354" s="10">
        <f t="shared" si="111"/>
        <v>37.451228571428572</v>
      </c>
      <c r="V354" s="10">
        <f t="shared" si="111"/>
        <v>0</v>
      </c>
      <c r="W354" s="10">
        <f t="shared" si="111"/>
        <v>0</v>
      </c>
      <c r="X354" s="10">
        <f t="shared" si="110"/>
        <v>37.451228571428572</v>
      </c>
      <c r="Y354" s="10"/>
      <c r="Z354" s="10"/>
      <c r="AA354" s="10"/>
      <c r="AB354" s="10"/>
      <c r="AC354" s="10"/>
      <c r="AD354" s="10"/>
      <c r="AE354" s="10"/>
    </row>
    <row r="355" spans="1:32" s="3" customFormat="1" ht="20.100000000000001" customHeight="1" x14ac:dyDescent="0.2">
      <c r="A355" s="87"/>
      <c r="B355" s="10" t="s">
        <v>67</v>
      </c>
      <c r="C355" s="93" t="s">
        <v>110</v>
      </c>
      <c r="D355" s="10">
        <v>20</v>
      </c>
      <c r="E355" s="10"/>
      <c r="F355" s="10">
        <v>3</v>
      </c>
      <c r="G355" s="90">
        <f>VLOOKUP(D355,$C$20:$F$26,3,0)</f>
        <v>1.05</v>
      </c>
      <c r="H355" s="10"/>
      <c r="I355" s="10"/>
      <c r="J355" s="10"/>
      <c r="K355" s="10"/>
      <c r="L355" s="10"/>
      <c r="M355" s="10"/>
      <c r="N355" s="10"/>
      <c r="O355" s="10">
        <f>(E351+2*(G355+(12*D355/1000))+1*(0.4/2)*D351)</f>
        <v>5.0599999999999996</v>
      </c>
      <c r="P355" s="10">
        <f t="shared" si="109"/>
        <v>15.18</v>
      </c>
      <c r="Q355" s="10">
        <f t="shared" si="111"/>
        <v>0</v>
      </c>
      <c r="R355" s="10">
        <f t="shared" si="111"/>
        <v>0</v>
      </c>
      <c r="S355" s="10">
        <f t="shared" si="111"/>
        <v>0</v>
      </c>
      <c r="T355" s="10">
        <f t="shared" si="111"/>
        <v>0</v>
      </c>
      <c r="U355" s="10">
        <f t="shared" si="111"/>
        <v>37.451228571428572</v>
      </c>
      <c r="V355" s="10">
        <f t="shared" si="111"/>
        <v>0</v>
      </c>
      <c r="W355" s="10">
        <f t="shared" si="111"/>
        <v>0</v>
      </c>
      <c r="X355" s="10">
        <f t="shared" si="110"/>
        <v>37.451228571428572</v>
      </c>
      <c r="Y355" s="10"/>
      <c r="Z355" s="10"/>
      <c r="AA355" s="10"/>
      <c r="AB355" s="10"/>
      <c r="AC355" s="10"/>
      <c r="AD355" s="10"/>
      <c r="AE355" s="10"/>
    </row>
    <row r="356" spans="1:32" s="3" customFormat="1" ht="20.100000000000001" customHeight="1" x14ac:dyDescent="0.2">
      <c r="A356" s="87"/>
      <c r="B356" s="10" t="s">
        <v>67</v>
      </c>
      <c r="C356" s="93" t="s">
        <v>73</v>
      </c>
      <c r="D356" s="10">
        <v>8</v>
      </c>
      <c r="E356" s="10">
        <v>0.1</v>
      </c>
      <c r="F356" s="10">
        <f>ROUNDUP(E351/E356,0)</f>
        <v>23</v>
      </c>
      <c r="H356" s="10"/>
      <c r="I356" s="10"/>
      <c r="J356" s="10"/>
      <c r="K356" s="10"/>
      <c r="L356" s="10"/>
      <c r="M356" s="10"/>
      <c r="N356" s="10"/>
      <c r="O356" s="10">
        <f>(2*((G351-(2*$D$11))+(F351-(2*$D$11)))+(2*10*D356/1000))*D351</f>
        <v>1.72</v>
      </c>
      <c r="P356" s="10">
        <f t="shared" si="109"/>
        <v>39.56</v>
      </c>
      <c r="Q356" s="10">
        <f t="shared" si="111"/>
        <v>15.61602742857143</v>
      </c>
      <c r="R356" s="10">
        <f t="shared" si="111"/>
        <v>0</v>
      </c>
      <c r="S356" s="10">
        <f t="shared" si="111"/>
        <v>0</v>
      </c>
      <c r="T356" s="10">
        <f t="shared" si="111"/>
        <v>0</v>
      </c>
      <c r="U356" s="10">
        <f t="shared" si="111"/>
        <v>0</v>
      </c>
      <c r="V356" s="10">
        <f t="shared" si="111"/>
        <v>0</v>
      </c>
      <c r="W356" s="10">
        <f t="shared" si="111"/>
        <v>0</v>
      </c>
      <c r="X356" s="10">
        <f t="shared" si="110"/>
        <v>15.61602742857143</v>
      </c>
      <c r="Y356" s="10"/>
      <c r="Z356" s="10"/>
      <c r="AA356" s="10"/>
      <c r="AB356" s="10"/>
      <c r="AC356" s="10"/>
      <c r="AD356" s="10"/>
      <c r="AE356" s="10"/>
    </row>
    <row r="357" spans="1:32" s="2" customFormat="1" ht="20.100000000000001" customHeight="1" x14ac:dyDescent="0.2">
      <c r="B357" s="10" t="s">
        <v>67</v>
      </c>
      <c r="C357" s="93" t="s">
        <v>74</v>
      </c>
      <c r="D357" s="10">
        <f>+D356</f>
        <v>8</v>
      </c>
      <c r="E357" s="2">
        <f>+E356</f>
        <v>0.1</v>
      </c>
      <c r="F357" s="10">
        <f>ROUNDUP(E351/E357,0)</f>
        <v>23</v>
      </c>
      <c r="G357" s="3"/>
      <c r="O357" s="10">
        <f>((((G351-(2*$D$11))+(2*10*D357/1000))*D351))*1</f>
        <v>0.70000000000000007</v>
      </c>
      <c r="P357" s="10">
        <f t="shared" si="109"/>
        <v>16.100000000000001</v>
      </c>
      <c r="Q357" s="10">
        <f t="shared" si="111"/>
        <v>6.355360000000001</v>
      </c>
      <c r="R357" s="10">
        <f t="shared" si="111"/>
        <v>0</v>
      </c>
      <c r="S357" s="10">
        <f t="shared" si="111"/>
        <v>0</v>
      </c>
      <c r="T357" s="10">
        <f t="shared" si="111"/>
        <v>0</v>
      </c>
      <c r="U357" s="10">
        <f t="shared" si="111"/>
        <v>0</v>
      </c>
      <c r="V357" s="10">
        <f t="shared" si="111"/>
        <v>0</v>
      </c>
      <c r="W357" s="10">
        <f t="shared" si="111"/>
        <v>0</v>
      </c>
      <c r="X357" s="10">
        <f t="shared" si="110"/>
        <v>6.355360000000001</v>
      </c>
    </row>
    <row r="358" spans="1:32" s="3" customFormat="1" ht="20.100000000000001" customHeight="1" x14ac:dyDescent="0.2">
      <c r="A358" s="87"/>
      <c r="B358" s="10" t="s">
        <v>67</v>
      </c>
      <c r="C358" s="93" t="s">
        <v>75</v>
      </c>
      <c r="D358" s="10">
        <f>+$D$15</f>
        <v>25</v>
      </c>
      <c r="E358" s="10">
        <f>+$E$15</f>
        <v>1</v>
      </c>
      <c r="F358" s="10">
        <f>ROUNDUP((E351+0.7)/E358,0)</f>
        <v>3</v>
      </c>
      <c r="G358" s="90"/>
      <c r="H358" s="90"/>
      <c r="I358" s="10"/>
      <c r="J358" s="10"/>
      <c r="K358" s="10"/>
      <c r="L358" s="10"/>
      <c r="M358" s="10"/>
      <c r="N358" s="10"/>
      <c r="O358" s="10">
        <f>F351-$F$15</f>
        <v>0.24</v>
      </c>
      <c r="P358" s="10">
        <f t="shared" si="109"/>
        <v>0.72</v>
      </c>
      <c r="Q358" s="10">
        <f t="shared" si="111"/>
        <v>0</v>
      </c>
      <c r="R358" s="10">
        <f t="shared" si="111"/>
        <v>0</v>
      </c>
      <c r="S358" s="10">
        <f t="shared" si="111"/>
        <v>0</v>
      </c>
      <c r="T358" s="10">
        <f t="shared" si="111"/>
        <v>0</v>
      </c>
      <c r="U358" s="10">
        <f t="shared" si="111"/>
        <v>0</v>
      </c>
      <c r="V358" s="10">
        <f t="shared" si="111"/>
        <v>2.7755357142857147</v>
      </c>
      <c r="W358" s="10">
        <f t="shared" si="111"/>
        <v>0</v>
      </c>
      <c r="X358" s="10">
        <f t="shared" si="110"/>
        <v>2.7755357142857147</v>
      </c>
      <c r="Y358" s="10"/>
      <c r="Z358" s="10"/>
      <c r="AA358" s="10"/>
      <c r="AB358" s="10"/>
      <c r="AC358" s="10"/>
      <c r="AD358" s="10"/>
      <c r="AE358" s="10"/>
    </row>
    <row r="359" spans="1:32" s="3" customFormat="1" ht="21" customHeight="1" x14ac:dyDescent="0.2">
      <c r="A359" s="10">
        <v>1</v>
      </c>
      <c r="B359" s="10" t="s">
        <v>67</v>
      </c>
      <c r="C359" s="91" t="s">
        <v>114</v>
      </c>
      <c r="D359" s="91">
        <v>1</v>
      </c>
      <c r="E359" s="91">
        <v>2.5</v>
      </c>
      <c r="F359" s="91">
        <v>0.3</v>
      </c>
      <c r="G359" s="91">
        <v>0.5</v>
      </c>
      <c r="H359" s="10">
        <f>G359-0.2</f>
        <v>0.3</v>
      </c>
      <c r="I359" s="10">
        <f>E359*F359*G359*D359</f>
        <v>0.375</v>
      </c>
      <c r="J359" s="10">
        <f>(2*(E359)*H359*D359)+(E359*F359)</f>
        <v>2.25</v>
      </c>
      <c r="K359" s="92">
        <f>IF(E359=0.3,J359,0)</f>
        <v>0</v>
      </c>
      <c r="L359" s="92">
        <f>IF(AND(E359&gt;0.3,E359&lt;=0.75),J359,0)</f>
        <v>0</v>
      </c>
      <c r="M359" s="92">
        <f>IF(AND(E359&gt;0.75,E359&lt;=1.2),J359,0)</f>
        <v>0</v>
      </c>
      <c r="N359" s="92">
        <f>IF(E359&gt;1.2,J359,0)</f>
        <v>2.25</v>
      </c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>
        <f>SUM(X360:X365)/I359</f>
        <v>399.18782619047624</v>
      </c>
      <c r="Z359" s="10"/>
      <c r="AA359" s="10"/>
      <c r="AB359" s="10"/>
      <c r="AC359" s="10"/>
      <c r="AD359" s="10"/>
      <c r="AE359" s="10"/>
      <c r="AF359" s="10"/>
    </row>
    <row r="360" spans="1:32" s="3" customFormat="1" ht="20.100000000000001" customHeight="1" x14ac:dyDescent="0.2">
      <c r="A360" s="87"/>
      <c r="B360" s="10" t="s">
        <v>67</v>
      </c>
      <c r="C360" s="93" t="s">
        <v>69</v>
      </c>
      <c r="D360" s="10">
        <v>20</v>
      </c>
      <c r="E360" s="10"/>
      <c r="F360" s="10">
        <v>3</v>
      </c>
      <c r="G360" s="90">
        <f>VLOOKUP(D360,$C$20:$F$26,3,0)</f>
        <v>1.05</v>
      </c>
      <c r="H360" s="90"/>
      <c r="I360" s="10"/>
      <c r="J360" s="10"/>
      <c r="K360" s="10"/>
      <c r="L360" s="10"/>
      <c r="M360" s="10"/>
      <c r="N360" s="10"/>
      <c r="O360" s="10">
        <f>(E359+1*(G360+(12*D360/1000))+1*(0.4/2)*D359)</f>
        <v>3.99</v>
      </c>
      <c r="P360" s="10">
        <f t="shared" ref="P360:P366" si="112">O360*F360</f>
        <v>11.97</v>
      </c>
      <c r="Q360" s="10">
        <f t="shared" ref="Q360:W366" si="113">IF($D360=Q$44,$P360*Q$45,0)</f>
        <v>0</v>
      </c>
      <c r="R360" s="10">
        <f t="shared" si="113"/>
        <v>0</v>
      </c>
      <c r="S360" s="10">
        <f t="shared" si="113"/>
        <v>0</v>
      </c>
      <c r="T360" s="10">
        <f t="shared" si="113"/>
        <v>0</v>
      </c>
      <c r="U360" s="10">
        <f t="shared" si="113"/>
        <v>29.531700000000001</v>
      </c>
      <c r="V360" s="10">
        <f t="shared" si="113"/>
        <v>0</v>
      </c>
      <c r="W360" s="10">
        <f t="shared" si="113"/>
        <v>0</v>
      </c>
      <c r="X360" s="10">
        <f t="shared" ref="X360:X366" si="114">SUM(Q360:W360)</f>
        <v>29.531700000000001</v>
      </c>
      <c r="Y360" s="10"/>
      <c r="Z360" s="10"/>
      <c r="AA360" s="10"/>
      <c r="AB360" s="10"/>
      <c r="AC360" s="10"/>
      <c r="AD360" s="10"/>
      <c r="AE360" s="10"/>
    </row>
    <row r="361" spans="1:32" s="3" customFormat="1" ht="20.100000000000001" customHeight="1" x14ac:dyDescent="0.2">
      <c r="A361" s="87"/>
      <c r="B361" s="10" t="s">
        <v>67</v>
      </c>
      <c r="C361" s="93" t="s">
        <v>112</v>
      </c>
      <c r="D361" s="10">
        <v>25</v>
      </c>
      <c r="E361" s="10"/>
      <c r="F361" s="10">
        <v>3</v>
      </c>
      <c r="G361" s="90">
        <f>VLOOKUP(D361,$C$20:$F$26,3,0)</f>
        <v>1.35</v>
      </c>
      <c r="H361" s="90"/>
      <c r="I361" s="10"/>
      <c r="J361" s="10"/>
      <c r="K361" s="10"/>
      <c r="L361" s="10"/>
      <c r="M361" s="10"/>
      <c r="N361" s="10"/>
      <c r="O361" s="10">
        <f>(0.7+1*(G361+(12*D361/1000))*D359)</f>
        <v>2.35</v>
      </c>
      <c r="P361" s="10">
        <f t="shared" si="112"/>
        <v>7.0500000000000007</v>
      </c>
      <c r="Q361" s="10">
        <f t="shared" si="113"/>
        <v>0</v>
      </c>
      <c r="R361" s="10">
        <f t="shared" si="113"/>
        <v>0</v>
      </c>
      <c r="S361" s="10">
        <f t="shared" si="113"/>
        <v>0</v>
      </c>
      <c r="T361" s="10">
        <f t="shared" si="113"/>
        <v>0</v>
      </c>
      <c r="U361" s="10">
        <f t="shared" si="113"/>
        <v>0</v>
      </c>
      <c r="V361" s="10">
        <f t="shared" si="113"/>
        <v>27.177120535714291</v>
      </c>
      <c r="W361" s="10">
        <f t="shared" si="113"/>
        <v>0</v>
      </c>
      <c r="X361" s="10">
        <f t="shared" si="114"/>
        <v>27.177120535714291</v>
      </c>
      <c r="Y361" s="10"/>
      <c r="Z361" s="10"/>
      <c r="AA361" s="10"/>
      <c r="AB361" s="10"/>
      <c r="AC361" s="10"/>
      <c r="AD361" s="10"/>
      <c r="AE361" s="10"/>
    </row>
    <row r="362" spans="1:32" s="3" customFormat="1" ht="20.100000000000001" customHeight="1" x14ac:dyDescent="0.2">
      <c r="A362" s="87"/>
      <c r="B362" s="10" t="s">
        <v>67</v>
      </c>
      <c r="C362" s="93" t="s">
        <v>71</v>
      </c>
      <c r="D362" s="10">
        <v>20</v>
      </c>
      <c r="E362" s="10"/>
      <c r="F362" s="10">
        <v>3</v>
      </c>
      <c r="G362" s="90">
        <f>VLOOKUP(D362,$C$20:$F$26,3,0)</f>
        <v>1.05</v>
      </c>
      <c r="H362" s="10"/>
      <c r="I362" s="10"/>
      <c r="J362" s="10"/>
      <c r="K362" s="10"/>
      <c r="L362" s="10"/>
      <c r="M362" s="10"/>
      <c r="N362" s="10"/>
      <c r="O362" s="10">
        <f>(E359+1*(G362+(12*D362/1000))+1*(0.4/2)*D359)</f>
        <v>3.99</v>
      </c>
      <c r="P362" s="10">
        <f t="shared" si="112"/>
        <v>11.97</v>
      </c>
      <c r="Q362" s="10">
        <f t="shared" si="113"/>
        <v>0</v>
      </c>
      <c r="R362" s="10">
        <f t="shared" si="113"/>
        <v>0</v>
      </c>
      <c r="S362" s="10">
        <f t="shared" si="113"/>
        <v>0</v>
      </c>
      <c r="T362" s="10">
        <f t="shared" si="113"/>
        <v>0</v>
      </c>
      <c r="U362" s="10">
        <f t="shared" si="113"/>
        <v>29.531700000000001</v>
      </c>
      <c r="V362" s="10">
        <f t="shared" si="113"/>
        <v>0</v>
      </c>
      <c r="W362" s="10">
        <f t="shared" si="113"/>
        <v>0</v>
      </c>
      <c r="X362" s="10">
        <f t="shared" si="114"/>
        <v>29.531700000000001</v>
      </c>
      <c r="Y362" s="10"/>
      <c r="Z362" s="10"/>
      <c r="AA362" s="10"/>
      <c r="AB362" s="10"/>
      <c r="AC362" s="10"/>
      <c r="AD362" s="10"/>
      <c r="AE362" s="10"/>
    </row>
    <row r="363" spans="1:32" s="3" customFormat="1" ht="20.100000000000001" customHeight="1" x14ac:dyDescent="0.2">
      <c r="A363" s="87"/>
      <c r="B363" s="10" t="s">
        <v>67</v>
      </c>
      <c r="C363" s="93" t="s">
        <v>110</v>
      </c>
      <c r="D363" s="10">
        <v>20</v>
      </c>
      <c r="E363" s="10"/>
      <c r="F363" s="10">
        <v>3</v>
      </c>
      <c r="G363" s="90">
        <f>VLOOKUP(D363,$C$20:$F$26,3,0)</f>
        <v>1.05</v>
      </c>
      <c r="H363" s="10"/>
      <c r="I363" s="10"/>
      <c r="J363" s="10"/>
      <c r="K363" s="10"/>
      <c r="L363" s="10"/>
      <c r="M363" s="10"/>
      <c r="N363" s="10"/>
      <c r="O363" s="10">
        <f>(E359+1*(G363+(12*D363/1000))+1*(0.4/2)*D359)</f>
        <v>3.99</v>
      </c>
      <c r="P363" s="10">
        <f t="shared" si="112"/>
        <v>11.97</v>
      </c>
      <c r="Q363" s="10">
        <f t="shared" si="113"/>
        <v>0</v>
      </c>
      <c r="R363" s="10">
        <f t="shared" si="113"/>
        <v>0</v>
      </c>
      <c r="S363" s="10">
        <f t="shared" si="113"/>
        <v>0</v>
      </c>
      <c r="T363" s="10">
        <f t="shared" si="113"/>
        <v>0</v>
      </c>
      <c r="U363" s="10">
        <f t="shared" si="113"/>
        <v>29.531700000000001</v>
      </c>
      <c r="V363" s="10">
        <f t="shared" si="113"/>
        <v>0</v>
      </c>
      <c r="W363" s="10">
        <f t="shared" si="113"/>
        <v>0</v>
      </c>
      <c r="X363" s="10">
        <f t="shared" si="114"/>
        <v>29.531700000000001</v>
      </c>
      <c r="Y363" s="10"/>
      <c r="Z363" s="10"/>
      <c r="AA363" s="10"/>
      <c r="AB363" s="10"/>
      <c r="AC363" s="10"/>
      <c r="AD363" s="10"/>
      <c r="AE363" s="10"/>
    </row>
    <row r="364" spans="1:32" s="3" customFormat="1" ht="20.100000000000001" customHeight="1" x14ac:dyDescent="0.2">
      <c r="A364" s="87"/>
      <c r="B364" s="10" t="s">
        <v>67</v>
      </c>
      <c r="C364" s="93" t="s">
        <v>73</v>
      </c>
      <c r="D364" s="10">
        <v>10</v>
      </c>
      <c r="E364" s="10">
        <v>0.1</v>
      </c>
      <c r="F364" s="10">
        <f>ROUNDUP(E359/E364,0)</f>
        <v>25</v>
      </c>
      <c r="H364" s="10"/>
      <c r="I364" s="10"/>
      <c r="J364" s="10"/>
      <c r="K364" s="10"/>
      <c r="L364" s="10"/>
      <c r="M364" s="10"/>
      <c r="N364" s="10"/>
      <c r="O364" s="10">
        <f>(2*((G359-(2*$D$11))+(F359-(2*$D$11)))+(2*10*D364/1000))*D359</f>
        <v>1.5599999999999998</v>
      </c>
      <c r="P364" s="10">
        <f t="shared" si="112"/>
        <v>38.999999999999993</v>
      </c>
      <c r="Q364" s="10">
        <f t="shared" si="113"/>
        <v>0</v>
      </c>
      <c r="R364" s="10">
        <f t="shared" si="113"/>
        <v>24.054642857142852</v>
      </c>
      <c r="S364" s="10">
        <f t="shared" si="113"/>
        <v>0</v>
      </c>
      <c r="T364" s="10">
        <f t="shared" si="113"/>
        <v>0</v>
      </c>
      <c r="U364" s="10">
        <f t="shared" si="113"/>
        <v>0</v>
      </c>
      <c r="V364" s="10">
        <f t="shared" si="113"/>
        <v>0</v>
      </c>
      <c r="W364" s="10">
        <f t="shared" si="113"/>
        <v>0</v>
      </c>
      <c r="X364" s="10">
        <f t="shared" si="114"/>
        <v>24.054642857142852</v>
      </c>
      <c r="Y364" s="10"/>
      <c r="Z364" s="10"/>
      <c r="AA364" s="10"/>
      <c r="AB364" s="10"/>
      <c r="AC364" s="10"/>
      <c r="AD364" s="10"/>
      <c r="AE364" s="10"/>
    </row>
    <row r="365" spans="1:32" s="2" customFormat="1" ht="20.100000000000001" customHeight="1" x14ac:dyDescent="0.2">
      <c r="B365" s="10" t="s">
        <v>67</v>
      </c>
      <c r="C365" s="93" t="s">
        <v>74</v>
      </c>
      <c r="D365" s="10">
        <f>+D364</f>
        <v>10</v>
      </c>
      <c r="E365" s="2">
        <f>+E364</f>
        <v>0.1</v>
      </c>
      <c r="F365" s="10">
        <f>ROUNDUP(E359/E365,0)</f>
        <v>25</v>
      </c>
      <c r="G365" s="3"/>
      <c r="O365" s="10">
        <f>((((G359-(2*$D$11))+(2*10*D365/1000))*D359))*1</f>
        <v>0.64</v>
      </c>
      <c r="P365" s="10">
        <f t="shared" si="112"/>
        <v>16</v>
      </c>
      <c r="Q365" s="10">
        <f t="shared" si="113"/>
        <v>0</v>
      </c>
      <c r="R365" s="10">
        <f t="shared" si="113"/>
        <v>9.8685714285714283</v>
      </c>
      <c r="S365" s="10">
        <f t="shared" si="113"/>
        <v>0</v>
      </c>
      <c r="T365" s="10">
        <f t="shared" si="113"/>
        <v>0</v>
      </c>
      <c r="U365" s="10">
        <f t="shared" si="113"/>
        <v>0</v>
      </c>
      <c r="V365" s="10">
        <f t="shared" si="113"/>
        <v>0</v>
      </c>
      <c r="W365" s="10">
        <f t="shared" si="113"/>
        <v>0</v>
      </c>
      <c r="X365" s="10">
        <f t="shared" si="114"/>
        <v>9.8685714285714283</v>
      </c>
    </row>
    <row r="366" spans="1:32" s="3" customFormat="1" ht="20.100000000000001" customHeight="1" x14ac:dyDescent="0.2">
      <c r="A366" s="87"/>
      <c r="B366" s="10" t="s">
        <v>67</v>
      </c>
      <c r="C366" s="93" t="s">
        <v>75</v>
      </c>
      <c r="D366" s="10">
        <f>+$D$15</f>
        <v>25</v>
      </c>
      <c r="E366" s="10">
        <f>+$E$15</f>
        <v>1</v>
      </c>
      <c r="F366" s="10">
        <f>ROUNDUP((E359+0.7)/E366,0)</f>
        <v>4</v>
      </c>
      <c r="G366" s="90"/>
      <c r="H366" s="90"/>
      <c r="I366" s="10"/>
      <c r="J366" s="10"/>
      <c r="K366" s="10"/>
      <c r="L366" s="10"/>
      <c r="M366" s="10"/>
      <c r="N366" s="10"/>
      <c r="O366" s="10">
        <f>F359-$F$15</f>
        <v>0.24</v>
      </c>
      <c r="P366" s="10">
        <f t="shared" si="112"/>
        <v>0.96</v>
      </c>
      <c r="Q366" s="10">
        <f t="shared" si="113"/>
        <v>0</v>
      </c>
      <c r="R366" s="10">
        <f t="shared" si="113"/>
        <v>0</v>
      </c>
      <c r="S366" s="10">
        <f t="shared" si="113"/>
        <v>0</v>
      </c>
      <c r="T366" s="10">
        <f t="shared" si="113"/>
        <v>0</v>
      </c>
      <c r="U366" s="10">
        <f t="shared" si="113"/>
        <v>0</v>
      </c>
      <c r="V366" s="10">
        <f t="shared" si="113"/>
        <v>3.7007142857142861</v>
      </c>
      <c r="W366" s="10">
        <f t="shared" si="113"/>
        <v>0</v>
      </c>
      <c r="X366" s="10">
        <f t="shared" si="114"/>
        <v>3.7007142857142861</v>
      </c>
      <c r="Y366" s="10"/>
      <c r="Z366" s="10"/>
      <c r="AA366" s="10"/>
      <c r="AB366" s="10"/>
      <c r="AC366" s="10"/>
      <c r="AD366" s="10"/>
      <c r="AE366" s="10"/>
    </row>
    <row r="367" spans="1:32" s="3" customFormat="1" ht="21" customHeight="1" x14ac:dyDescent="0.2">
      <c r="A367" s="10">
        <v>1</v>
      </c>
      <c r="B367" s="10" t="s">
        <v>67</v>
      </c>
      <c r="C367" s="91" t="s">
        <v>115</v>
      </c>
      <c r="D367" s="91">
        <v>1</v>
      </c>
      <c r="E367" s="91">
        <v>6.2</v>
      </c>
      <c r="F367" s="91">
        <v>0.45</v>
      </c>
      <c r="G367" s="91">
        <v>0.5</v>
      </c>
      <c r="H367" s="10">
        <f>G367-0.2</f>
        <v>0.3</v>
      </c>
      <c r="I367" s="10">
        <f>E367*F367*G367*D367</f>
        <v>1.395</v>
      </c>
      <c r="J367" s="10">
        <f>(2*(E367)*H367*D367)+(E367*F367)</f>
        <v>6.51</v>
      </c>
      <c r="K367" s="92">
        <f>IF(E367=0.3,J367,0)</f>
        <v>0</v>
      </c>
      <c r="L367" s="92">
        <f>IF(AND(E367&gt;0.3,E367&lt;=0.75),J367,0)</f>
        <v>0</v>
      </c>
      <c r="M367" s="92">
        <f>IF(AND(E367&gt;0.75,E367&lt;=1.2),J367,0)</f>
        <v>0</v>
      </c>
      <c r="N367" s="92">
        <f>IF(E367&gt;1.2,J367,0)</f>
        <v>6.51</v>
      </c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>
        <f>SUM(X368:X374)/I367</f>
        <v>175.2997849462366</v>
      </c>
      <c r="Z367" s="10"/>
      <c r="AA367" s="10"/>
      <c r="AB367" s="10"/>
      <c r="AC367" s="10"/>
      <c r="AD367" s="10"/>
      <c r="AE367" s="10"/>
      <c r="AF367" s="10"/>
    </row>
    <row r="368" spans="1:32" s="3" customFormat="1" ht="20.100000000000001" customHeight="1" x14ac:dyDescent="0.2">
      <c r="A368" s="87"/>
      <c r="B368" s="10" t="s">
        <v>67</v>
      </c>
      <c r="C368" s="93" t="s">
        <v>69</v>
      </c>
      <c r="D368" s="10">
        <v>20</v>
      </c>
      <c r="E368" s="10"/>
      <c r="F368" s="10">
        <v>4</v>
      </c>
      <c r="G368" s="90">
        <f>VLOOKUP(D368,$C$20:$F$26,3,0)</f>
        <v>1.05</v>
      </c>
      <c r="H368" s="90"/>
      <c r="I368" s="10"/>
      <c r="J368" s="10"/>
      <c r="K368" s="10"/>
      <c r="L368" s="10"/>
      <c r="M368" s="10"/>
      <c r="N368" s="10"/>
      <c r="O368" s="10">
        <f>(E367+2*(G368)*D367)</f>
        <v>8.3000000000000007</v>
      </c>
      <c r="P368" s="10">
        <f t="shared" ref="P368:P375" si="115">O368*F368</f>
        <v>33.200000000000003</v>
      </c>
      <c r="Q368" s="10">
        <f t="shared" ref="Q368:W382" si="116">IF($D368=Q$44,$P368*Q$45,0)</f>
        <v>0</v>
      </c>
      <c r="R368" s="10">
        <f t="shared" si="116"/>
        <v>0</v>
      </c>
      <c r="S368" s="10">
        <f t="shared" si="116"/>
        <v>0</v>
      </c>
      <c r="T368" s="10">
        <f t="shared" si="116"/>
        <v>0</v>
      </c>
      <c r="U368" s="10">
        <f t="shared" si="116"/>
        <v>81.909142857142868</v>
      </c>
      <c r="V368" s="10">
        <f t="shared" si="116"/>
        <v>0</v>
      </c>
      <c r="W368" s="10">
        <f t="shared" si="116"/>
        <v>0</v>
      </c>
      <c r="X368" s="10">
        <f t="shared" ref="X368:X375" si="117">SUM(Q368:W368)</f>
        <v>81.909142857142868</v>
      </c>
      <c r="Y368" s="10"/>
      <c r="Z368" s="10"/>
      <c r="AA368" s="10"/>
      <c r="AB368" s="10"/>
      <c r="AC368" s="10"/>
      <c r="AD368" s="10"/>
      <c r="AE368" s="10"/>
    </row>
    <row r="369" spans="1:32" s="3" customFormat="1" ht="20.100000000000001" customHeight="1" x14ac:dyDescent="0.2">
      <c r="A369" s="87"/>
      <c r="B369" s="10" t="s">
        <v>67</v>
      </c>
      <c r="C369" s="93" t="s">
        <v>71</v>
      </c>
      <c r="D369" s="10">
        <v>20</v>
      </c>
      <c r="E369" s="10"/>
      <c r="F369" s="10">
        <v>4</v>
      </c>
      <c r="G369" s="90">
        <f>VLOOKUP(D369,$C$20:$F$26,3,0)</f>
        <v>1.05</v>
      </c>
      <c r="H369" s="10"/>
      <c r="I369" s="10"/>
      <c r="J369" s="10"/>
      <c r="K369" s="10"/>
      <c r="L369" s="10"/>
      <c r="M369" s="10"/>
      <c r="N369" s="10"/>
      <c r="O369" s="10">
        <f>(E367+2*(G369)*D367)</f>
        <v>8.3000000000000007</v>
      </c>
      <c r="P369" s="10">
        <f t="shared" si="115"/>
        <v>33.200000000000003</v>
      </c>
      <c r="Q369" s="10">
        <f t="shared" si="116"/>
        <v>0</v>
      </c>
      <c r="R369" s="10">
        <f t="shared" si="116"/>
        <v>0</v>
      </c>
      <c r="S369" s="10">
        <f t="shared" si="116"/>
        <v>0</v>
      </c>
      <c r="T369" s="10">
        <f t="shared" si="116"/>
        <v>0</v>
      </c>
      <c r="U369" s="10">
        <f t="shared" si="116"/>
        <v>81.909142857142868</v>
      </c>
      <c r="V369" s="10">
        <f t="shared" si="116"/>
        <v>0</v>
      </c>
      <c r="W369" s="10">
        <f t="shared" si="116"/>
        <v>0</v>
      </c>
      <c r="X369" s="10">
        <f t="shared" si="117"/>
        <v>81.909142857142868</v>
      </c>
      <c r="Y369" s="10"/>
      <c r="Z369" s="10"/>
      <c r="AA369" s="10"/>
      <c r="AB369" s="10"/>
      <c r="AC369" s="10"/>
      <c r="AD369" s="10"/>
      <c r="AE369" s="10"/>
    </row>
    <row r="370" spans="1:32" s="3" customFormat="1" ht="20.100000000000001" customHeight="1" x14ac:dyDescent="0.2">
      <c r="A370" s="87"/>
      <c r="B370" s="10" t="s">
        <v>67</v>
      </c>
      <c r="C370" s="93" t="s">
        <v>116</v>
      </c>
      <c r="D370" s="10">
        <v>16</v>
      </c>
      <c r="E370" s="10"/>
      <c r="F370" s="10">
        <v>2</v>
      </c>
      <c r="G370" s="90">
        <f>VLOOKUP(D370,$C$20:$F$26,3,0)</f>
        <v>0.85</v>
      </c>
      <c r="H370" s="10"/>
      <c r="I370" s="10"/>
      <c r="J370" s="10"/>
      <c r="K370" s="10"/>
      <c r="L370" s="10"/>
      <c r="M370" s="10"/>
      <c r="N370" s="10"/>
      <c r="O370" s="10">
        <f>E367-0.7-0.7</f>
        <v>4.8</v>
      </c>
      <c r="P370" s="10">
        <f t="shared" si="115"/>
        <v>9.6</v>
      </c>
      <c r="Q370" s="10">
        <f t="shared" si="116"/>
        <v>0</v>
      </c>
      <c r="R370" s="10">
        <f t="shared" si="116"/>
        <v>0</v>
      </c>
      <c r="S370" s="10">
        <f t="shared" si="116"/>
        <v>0</v>
      </c>
      <c r="T370" s="10">
        <f t="shared" si="116"/>
        <v>15.158125714285715</v>
      </c>
      <c r="U370" s="10">
        <f t="shared" si="116"/>
        <v>0</v>
      </c>
      <c r="V370" s="10">
        <f t="shared" si="116"/>
        <v>0</v>
      </c>
      <c r="W370" s="10">
        <f t="shared" si="116"/>
        <v>0</v>
      </c>
      <c r="X370" s="10">
        <f t="shared" si="117"/>
        <v>15.158125714285715</v>
      </c>
      <c r="Y370" s="10"/>
      <c r="Z370" s="10"/>
      <c r="AA370" s="10"/>
      <c r="AB370" s="10"/>
      <c r="AC370" s="10"/>
      <c r="AD370" s="10"/>
      <c r="AE370" s="10"/>
    </row>
    <row r="371" spans="1:32" s="3" customFormat="1" ht="20.100000000000001" customHeight="1" x14ac:dyDescent="0.2">
      <c r="A371" s="87"/>
      <c r="B371" s="10" t="s">
        <v>67</v>
      </c>
      <c r="C371" s="93" t="s">
        <v>73</v>
      </c>
      <c r="D371" s="10">
        <v>8</v>
      </c>
      <c r="E371" s="10">
        <v>0.1</v>
      </c>
      <c r="F371" s="10">
        <f>ROUND(IF(E367/3&gt;(2*G367),(E367/3)/E371,(2*G367)/E371),0)*2+1</f>
        <v>43</v>
      </c>
      <c r="H371" s="10"/>
      <c r="I371" s="10"/>
      <c r="J371" s="10"/>
      <c r="K371" s="10"/>
      <c r="L371" s="10"/>
      <c r="M371" s="10"/>
      <c r="N371" s="10"/>
      <c r="O371" s="10">
        <f>(2*((G367-(2*$D$11))+(F367-(2*$D$11)))+(2*10*D371/1000))*D367</f>
        <v>1.82</v>
      </c>
      <c r="P371" s="10">
        <f t="shared" si="115"/>
        <v>78.260000000000005</v>
      </c>
      <c r="Q371" s="10">
        <f t="shared" si="116"/>
        <v>30.892576000000005</v>
      </c>
      <c r="R371" s="10">
        <f t="shared" si="116"/>
        <v>0</v>
      </c>
      <c r="S371" s="10">
        <f t="shared" si="116"/>
        <v>0</v>
      </c>
      <c r="T371" s="10">
        <f t="shared" si="116"/>
        <v>0</v>
      </c>
      <c r="U371" s="10">
        <f t="shared" si="116"/>
        <v>0</v>
      </c>
      <c r="V371" s="10">
        <f t="shared" si="116"/>
        <v>0</v>
      </c>
      <c r="W371" s="10">
        <f t="shared" si="116"/>
        <v>0</v>
      </c>
      <c r="X371" s="10">
        <f t="shared" si="117"/>
        <v>30.892576000000005</v>
      </c>
      <c r="Y371" s="10"/>
      <c r="Z371" s="10"/>
      <c r="AA371" s="10"/>
      <c r="AB371" s="10"/>
      <c r="AC371" s="10"/>
      <c r="AD371" s="10"/>
      <c r="AE371" s="10"/>
    </row>
    <row r="372" spans="1:32" s="2" customFormat="1" ht="20.100000000000001" customHeight="1" x14ac:dyDescent="0.2">
      <c r="B372" s="10" t="s">
        <v>67</v>
      </c>
      <c r="C372" s="93" t="s">
        <v>73</v>
      </c>
      <c r="D372" s="2">
        <f>D371</f>
        <v>8</v>
      </c>
      <c r="E372" s="2">
        <v>0.17499999999999999</v>
      </c>
      <c r="F372" s="2">
        <f>ROUND((E367-(IF(E367/3&gt;2*G367,E367/3*2,G367*2*2)))/E372,0)</f>
        <v>12</v>
      </c>
      <c r="G372" s="3"/>
      <c r="O372" s="10">
        <f>(2*((G367-(2*$D$11))+(F367-(2*$D$11)))+(2*10*D372/1000))*D367</f>
        <v>1.82</v>
      </c>
      <c r="P372" s="10">
        <f t="shared" si="115"/>
        <v>21.84</v>
      </c>
      <c r="Q372" s="10">
        <f t="shared" si="116"/>
        <v>8.6211840000000013</v>
      </c>
      <c r="R372" s="10">
        <f t="shared" si="116"/>
        <v>0</v>
      </c>
      <c r="S372" s="10">
        <f t="shared" si="116"/>
        <v>0</v>
      </c>
      <c r="T372" s="10">
        <f t="shared" si="116"/>
        <v>0</v>
      </c>
      <c r="U372" s="10">
        <f t="shared" si="116"/>
        <v>0</v>
      </c>
      <c r="V372" s="10">
        <f t="shared" si="116"/>
        <v>0</v>
      </c>
      <c r="W372" s="10">
        <f t="shared" si="116"/>
        <v>0</v>
      </c>
      <c r="X372" s="10">
        <f t="shared" si="117"/>
        <v>8.6211840000000013</v>
      </c>
    </row>
    <row r="373" spans="1:32" s="2" customFormat="1" ht="20.100000000000001" customHeight="1" x14ac:dyDescent="0.2">
      <c r="B373" s="10" t="s">
        <v>67</v>
      </c>
      <c r="C373" s="93" t="s">
        <v>74</v>
      </c>
      <c r="D373" s="2">
        <f>D371</f>
        <v>8</v>
      </c>
      <c r="E373" s="2">
        <f>+E371</f>
        <v>0.1</v>
      </c>
      <c r="F373" s="10">
        <f>ROUND(IF(E367/3&gt;(2*G367),(E367/3)/E373,(2*G367)/E373),0)*2+1</f>
        <v>43</v>
      </c>
      <c r="G373" s="3"/>
      <c r="O373" s="10">
        <f>((((G367-(2*$D$11))+(2*10*D373/1000))*D367))*2</f>
        <v>1.2</v>
      </c>
      <c r="P373" s="10">
        <f t="shared" si="115"/>
        <v>51.6</v>
      </c>
      <c r="Q373" s="10">
        <f t="shared" si="116"/>
        <v>20.368731428571429</v>
      </c>
      <c r="R373" s="10">
        <f t="shared" si="116"/>
        <v>0</v>
      </c>
      <c r="S373" s="10">
        <f t="shared" si="116"/>
        <v>0</v>
      </c>
      <c r="T373" s="10">
        <f t="shared" si="116"/>
        <v>0</v>
      </c>
      <c r="U373" s="10">
        <f t="shared" si="116"/>
        <v>0</v>
      </c>
      <c r="V373" s="10">
        <f t="shared" si="116"/>
        <v>0</v>
      </c>
      <c r="W373" s="10">
        <f t="shared" si="116"/>
        <v>0</v>
      </c>
      <c r="X373" s="10">
        <f t="shared" si="117"/>
        <v>20.368731428571429</v>
      </c>
    </row>
    <row r="374" spans="1:32" s="2" customFormat="1" ht="20.100000000000001" customHeight="1" x14ac:dyDescent="0.2">
      <c r="B374" s="10" t="s">
        <v>67</v>
      </c>
      <c r="C374" s="93" t="s">
        <v>74</v>
      </c>
      <c r="D374" s="2">
        <f>D372</f>
        <v>8</v>
      </c>
      <c r="E374" s="2">
        <f>+E372</f>
        <v>0.17499999999999999</v>
      </c>
      <c r="F374" s="2">
        <f>ROUND((E367-(IF(E367/3&gt;2*G367,E367/3*2,G367*2*2)))/E374,0)</f>
        <v>12</v>
      </c>
      <c r="G374" s="3"/>
      <c r="O374" s="10">
        <f>((((G367-(2*$D$11))+(2*10*D374/1000))*D367))*2</f>
        <v>1.2</v>
      </c>
      <c r="P374" s="10">
        <f t="shared" si="115"/>
        <v>14.399999999999999</v>
      </c>
      <c r="Q374" s="10">
        <f t="shared" si="116"/>
        <v>5.6842971428571429</v>
      </c>
      <c r="R374" s="10">
        <f t="shared" si="116"/>
        <v>0</v>
      </c>
      <c r="S374" s="10">
        <f t="shared" si="116"/>
        <v>0</v>
      </c>
      <c r="T374" s="10">
        <f t="shared" si="116"/>
        <v>0</v>
      </c>
      <c r="U374" s="10">
        <f t="shared" si="116"/>
        <v>0</v>
      </c>
      <c r="V374" s="10">
        <f t="shared" si="116"/>
        <v>0</v>
      </c>
      <c r="W374" s="10">
        <f t="shared" si="116"/>
        <v>0</v>
      </c>
      <c r="X374" s="10">
        <f t="shared" si="117"/>
        <v>5.6842971428571429</v>
      </c>
    </row>
    <row r="375" spans="1:32" s="3" customFormat="1" ht="20.100000000000001" customHeight="1" x14ac:dyDescent="0.2">
      <c r="A375" s="87"/>
      <c r="B375" s="10" t="s">
        <v>67</v>
      </c>
      <c r="C375" s="93" t="s">
        <v>75</v>
      </c>
      <c r="D375" s="10">
        <f>+$D$15</f>
        <v>25</v>
      </c>
      <c r="E375" s="10">
        <f>+$E$15</f>
        <v>1</v>
      </c>
      <c r="F375" s="10">
        <f>ROUNDUP((O370)/E375,0)</f>
        <v>5</v>
      </c>
      <c r="G375" s="90"/>
      <c r="H375" s="90"/>
      <c r="I375" s="10"/>
      <c r="J375" s="10"/>
      <c r="K375" s="10"/>
      <c r="L375" s="10"/>
      <c r="M375" s="10"/>
      <c r="N375" s="10"/>
      <c r="O375" s="10">
        <f>F367-$F$15</f>
        <v>0.39</v>
      </c>
      <c r="P375" s="10">
        <f t="shared" si="115"/>
        <v>1.9500000000000002</v>
      </c>
      <c r="Q375" s="10">
        <f t="shared" si="116"/>
        <v>0</v>
      </c>
      <c r="R375" s="10">
        <f t="shared" si="116"/>
        <v>0</v>
      </c>
      <c r="S375" s="10">
        <f t="shared" si="116"/>
        <v>0</v>
      </c>
      <c r="T375" s="10">
        <f t="shared" si="116"/>
        <v>0</v>
      </c>
      <c r="U375" s="10">
        <f t="shared" si="116"/>
        <v>0</v>
      </c>
      <c r="V375" s="10">
        <f t="shared" si="116"/>
        <v>7.5170758928571448</v>
      </c>
      <c r="W375" s="10">
        <f t="shared" si="116"/>
        <v>0</v>
      </c>
      <c r="X375" s="10">
        <f t="shared" si="117"/>
        <v>7.5170758928571448</v>
      </c>
      <c r="Y375" s="10"/>
      <c r="Z375" s="10"/>
      <c r="AA375" s="10"/>
      <c r="AB375" s="10"/>
      <c r="AC375" s="10"/>
      <c r="AD375" s="10"/>
      <c r="AE375" s="10"/>
    </row>
    <row r="376" spans="1:32" s="3" customFormat="1" ht="21" customHeight="1" x14ac:dyDescent="0.2">
      <c r="A376" s="10">
        <v>1</v>
      </c>
      <c r="B376" s="10" t="s">
        <v>67</v>
      </c>
      <c r="C376" s="91" t="s">
        <v>117</v>
      </c>
      <c r="D376" s="91">
        <v>1</v>
      </c>
      <c r="E376" s="91">
        <v>1.5</v>
      </c>
      <c r="F376" s="91">
        <v>0.45</v>
      </c>
      <c r="G376" s="91">
        <v>0.5</v>
      </c>
      <c r="H376" s="10">
        <f>G376-0.2</f>
        <v>0.3</v>
      </c>
      <c r="I376" s="10">
        <f>E376*F376*G376*D376</f>
        <v>0.33750000000000002</v>
      </c>
      <c r="J376" s="10">
        <f>(2*(E376)*H376*D376)+(E376*F376)</f>
        <v>1.575</v>
      </c>
      <c r="K376" s="92">
        <f>IF(E376=0.3,J376,0)</f>
        <v>0</v>
      </c>
      <c r="L376" s="92">
        <f>IF(AND(E376&gt;0.3,E376&lt;=0.75),J376,0)</f>
        <v>0</v>
      </c>
      <c r="M376" s="92">
        <f>IF(AND(E376&gt;0.75,E376&lt;=1.2),J376,0)</f>
        <v>0</v>
      </c>
      <c r="N376" s="92">
        <f>IF(E376&gt;1.2,J376,0)</f>
        <v>1.575</v>
      </c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>
        <f>SUM(X377:X382)/I376</f>
        <v>316.37908994708988</v>
      </c>
      <c r="Z376" s="10"/>
      <c r="AA376" s="10"/>
      <c r="AB376" s="10"/>
      <c r="AC376" s="10"/>
      <c r="AD376" s="10"/>
      <c r="AE376" s="10"/>
      <c r="AF376" s="10"/>
    </row>
    <row r="377" spans="1:32" s="3" customFormat="1" ht="20.100000000000001" customHeight="1" x14ac:dyDescent="0.2">
      <c r="A377" s="87"/>
      <c r="B377" s="10" t="s">
        <v>67</v>
      </c>
      <c r="C377" s="93" t="s">
        <v>69</v>
      </c>
      <c r="D377" s="10">
        <v>20</v>
      </c>
      <c r="E377" s="10"/>
      <c r="F377" s="10">
        <v>4</v>
      </c>
      <c r="G377" s="90">
        <f>VLOOKUP(D377,$C$20:$F$26,3,0)</f>
        <v>1.05</v>
      </c>
      <c r="H377" s="90"/>
      <c r="I377" s="10"/>
      <c r="J377" s="10"/>
      <c r="K377" s="10"/>
      <c r="L377" s="10"/>
      <c r="M377" s="10"/>
      <c r="N377" s="10"/>
      <c r="O377" s="10">
        <f>(E376+1*(G377+(12*D377/1000))+G377*D376)</f>
        <v>3.84</v>
      </c>
      <c r="P377" s="10">
        <f t="shared" ref="P377:P379" si="118">O377*F377</f>
        <v>15.36</v>
      </c>
      <c r="Q377" s="10">
        <f t="shared" si="116"/>
        <v>0</v>
      </c>
      <c r="R377" s="10">
        <f t="shared" si="116"/>
        <v>0</v>
      </c>
      <c r="S377" s="10">
        <f t="shared" si="116"/>
        <v>0</v>
      </c>
      <c r="T377" s="10">
        <f t="shared" si="116"/>
        <v>0</v>
      </c>
      <c r="U377" s="10">
        <f t="shared" si="116"/>
        <v>37.895314285714285</v>
      </c>
      <c r="V377" s="10">
        <f t="shared" si="116"/>
        <v>0</v>
      </c>
      <c r="W377" s="10">
        <f t="shared" si="116"/>
        <v>0</v>
      </c>
      <c r="X377" s="10">
        <f t="shared" ref="X377:X382" si="119">SUM(Q377:W377)</f>
        <v>37.895314285714285</v>
      </c>
      <c r="Y377" s="10"/>
      <c r="Z377" s="10"/>
      <c r="AA377" s="10"/>
      <c r="AB377" s="10"/>
      <c r="AC377" s="10"/>
      <c r="AD377" s="10"/>
      <c r="AE377" s="10"/>
    </row>
    <row r="378" spans="1:32" s="3" customFormat="1" ht="20.100000000000001" customHeight="1" x14ac:dyDescent="0.2">
      <c r="A378" s="87"/>
      <c r="B378" s="10" t="s">
        <v>67</v>
      </c>
      <c r="C378" s="93" t="s">
        <v>71</v>
      </c>
      <c r="D378" s="10">
        <v>20</v>
      </c>
      <c r="E378" s="10"/>
      <c r="F378" s="10">
        <v>4</v>
      </c>
      <c r="G378" s="90">
        <f>VLOOKUP(D378,$C$20:$F$26,3,0)</f>
        <v>1.05</v>
      </c>
      <c r="H378" s="10"/>
      <c r="I378" s="10"/>
      <c r="J378" s="10"/>
      <c r="K378" s="10"/>
      <c r="L378" s="10"/>
      <c r="M378" s="10"/>
      <c r="N378" s="10"/>
      <c r="O378" s="10">
        <f>(E376+1*(G378+(12*D378/1000))+G378*D376)</f>
        <v>3.84</v>
      </c>
      <c r="P378" s="10">
        <f t="shared" si="118"/>
        <v>15.36</v>
      </c>
      <c r="Q378" s="10">
        <f t="shared" si="116"/>
        <v>0</v>
      </c>
      <c r="R378" s="10">
        <f t="shared" si="116"/>
        <v>0</v>
      </c>
      <c r="S378" s="10">
        <f t="shared" si="116"/>
        <v>0</v>
      </c>
      <c r="T378" s="10">
        <f t="shared" si="116"/>
        <v>0</v>
      </c>
      <c r="U378" s="10">
        <f t="shared" si="116"/>
        <v>37.895314285714285</v>
      </c>
      <c r="V378" s="10">
        <f t="shared" si="116"/>
        <v>0</v>
      </c>
      <c r="W378" s="10">
        <f t="shared" si="116"/>
        <v>0</v>
      </c>
      <c r="X378" s="10">
        <f t="shared" si="119"/>
        <v>37.895314285714285</v>
      </c>
      <c r="Y378" s="10"/>
      <c r="Z378" s="10"/>
      <c r="AA378" s="10"/>
      <c r="AB378" s="10"/>
      <c r="AC378" s="10"/>
      <c r="AD378" s="10"/>
      <c r="AE378" s="10"/>
    </row>
    <row r="379" spans="1:32" s="3" customFormat="1" ht="20.100000000000001" customHeight="1" x14ac:dyDescent="0.2">
      <c r="A379" s="87"/>
      <c r="B379" s="10" t="s">
        <v>67</v>
      </c>
      <c r="C379" s="93" t="s">
        <v>73</v>
      </c>
      <c r="D379" s="10">
        <v>10</v>
      </c>
      <c r="E379" s="10">
        <v>0.1</v>
      </c>
      <c r="F379" s="10">
        <f>ROUNDUP((E376/3*2)/E379,0)+1</f>
        <v>11</v>
      </c>
      <c r="H379" s="10"/>
      <c r="I379" s="10"/>
      <c r="J379" s="10"/>
      <c r="K379" s="10"/>
      <c r="L379" s="10"/>
      <c r="M379" s="10"/>
      <c r="N379" s="10"/>
      <c r="O379" s="10">
        <f>(2*((G376-(2*$D$11))+(F376-(2*$D$11)))+(2*10*D379/1000))*D376</f>
        <v>1.86</v>
      </c>
      <c r="P379" s="10">
        <f t="shared" si="118"/>
        <v>20.46</v>
      </c>
      <c r="Q379" s="10">
        <f t="shared" si="116"/>
        <v>0</v>
      </c>
      <c r="R379" s="10">
        <f t="shared" si="116"/>
        <v>12.619435714285714</v>
      </c>
      <c r="S379" s="10">
        <f t="shared" si="116"/>
        <v>0</v>
      </c>
      <c r="T379" s="10">
        <f t="shared" si="116"/>
        <v>0</v>
      </c>
      <c r="U379" s="10">
        <f t="shared" si="116"/>
        <v>0</v>
      </c>
      <c r="V379" s="10">
        <f t="shared" si="116"/>
        <v>0</v>
      </c>
      <c r="W379" s="10">
        <f t="shared" si="116"/>
        <v>0</v>
      </c>
      <c r="X379" s="10">
        <f t="shared" si="119"/>
        <v>12.619435714285714</v>
      </c>
      <c r="Y379" s="10"/>
      <c r="Z379" s="10"/>
      <c r="AA379" s="10"/>
      <c r="AB379" s="10"/>
      <c r="AC379" s="10"/>
      <c r="AD379" s="10"/>
      <c r="AE379" s="10"/>
    </row>
    <row r="380" spans="1:32" s="2" customFormat="1" ht="20.100000000000001" customHeight="1" x14ac:dyDescent="0.2">
      <c r="B380" s="10" t="s">
        <v>67</v>
      </c>
      <c r="C380" s="93" t="s">
        <v>73</v>
      </c>
      <c r="D380" s="2">
        <f>D379</f>
        <v>10</v>
      </c>
      <c r="E380" s="2">
        <v>0.15</v>
      </c>
      <c r="F380" s="10">
        <f>ROUNDUP((E376/3)/E380,0)+1</f>
        <v>5</v>
      </c>
      <c r="G380" s="3"/>
      <c r="O380" s="10">
        <f>(2*((G376-(2*$D$11))+(F376-(2*$D$11)))+(2*10*D380/1000))*D376</f>
        <v>1.86</v>
      </c>
      <c r="P380" s="10">
        <f>O380*F380</f>
        <v>9.3000000000000007</v>
      </c>
      <c r="Q380" s="10">
        <f t="shared" si="116"/>
        <v>0</v>
      </c>
      <c r="R380" s="10">
        <f t="shared" si="116"/>
        <v>5.7361071428571435</v>
      </c>
      <c r="S380" s="10">
        <f t="shared" si="116"/>
        <v>0</v>
      </c>
      <c r="T380" s="10">
        <f t="shared" si="116"/>
        <v>0</v>
      </c>
      <c r="U380" s="10">
        <f t="shared" si="116"/>
        <v>0</v>
      </c>
      <c r="V380" s="10">
        <f t="shared" si="116"/>
        <v>0</v>
      </c>
      <c r="W380" s="10">
        <f t="shared" si="116"/>
        <v>0</v>
      </c>
      <c r="X380" s="10">
        <f t="shared" si="119"/>
        <v>5.7361071428571435</v>
      </c>
    </row>
    <row r="381" spans="1:32" s="2" customFormat="1" ht="20.100000000000001" customHeight="1" x14ac:dyDescent="0.2">
      <c r="B381" s="10" t="s">
        <v>67</v>
      </c>
      <c r="C381" s="93" t="s">
        <v>74</v>
      </c>
      <c r="D381" s="2">
        <f>D379</f>
        <v>10</v>
      </c>
      <c r="E381" s="2">
        <f>+E379</f>
        <v>0.1</v>
      </c>
      <c r="F381" s="10">
        <f>ROUNDUP((E376/3*2)/E381,0)+1</f>
        <v>11</v>
      </c>
      <c r="G381" s="3"/>
      <c r="O381" s="10">
        <f>((((G376-(2*$D$11))+(2*10*D381/1000))*D376))*2</f>
        <v>1.28</v>
      </c>
      <c r="P381" s="10">
        <f t="shared" ref="P381" si="120">O381*F381</f>
        <v>14.08</v>
      </c>
      <c r="Q381" s="10">
        <f t="shared" si="116"/>
        <v>0</v>
      </c>
      <c r="R381" s="10">
        <f t="shared" si="116"/>
        <v>8.6843428571428571</v>
      </c>
      <c r="S381" s="10">
        <f t="shared" si="116"/>
        <v>0</v>
      </c>
      <c r="T381" s="10">
        <f t="shared" si="116"/>
        <v>0</v>
      </c>
      <c r="U381" s="10">
        <f t="shared" si="116"/>
        <v>0</v>
      </c>
      <c r="V381" s="10">
        <f t="shared" si="116"/>
        <v>0</v>
      </c>
      <c r="W381" s="10">
        <f t="shared" si="116"/>
        <v>0</v>
      </c>
      <c r="X381" s="10">
        <f t="shared" si="119"/>
        <v>8.6843428571428571</v>
      </c>
    </row>
    <row r="382" spans="1:32" s="2" customFormat="1" ht="20.100000000000001" customHeight="1" x14ac:dyDescent="0.2">
      <c r="B382" s="10" t="s">
        <v>67</v>
      </c>
      <c r="C382" s="93" t="s">
        <v>74</v>
      </c>
      <c r="D382" s="2">
        <f>D380</f>
        <v>10</v>
      </c>
      <c r="E382" s="2">
        <f>+E380</f>
        <v>0.15</v>
      </c>
      <c r="F382" s="10">
        <f>ROUNDUP((E376/3)/E382,0)+1</f>
        <v>5</v>
      </c>
      <c r="G382" s="3"/>
      <c r="O382" s="10">
        <f>((((G376-(2*$D$11))+(2*10*D382/1000))*D376))*2</f>
        <v>1.28</v>
      </c>
      <c r="P382" s="10">
        <f>O382*F382</f>
        <v>6.4</v>
      </c>
      <c r="Q382" s="10">
        <f t="shared" si="116"/>
        <v>0</v>
      </c>
      <c r="R382" s="10">
        <f t="shared" si="116"/>
        <v>3.9474285714285715</v>
      </c>
      <c r="S382" s="10">
        <f t="shared" si="116"/>
        <v>0</v>
      </c>
      <c r="T382" s="10">
        <f t="shared" si="116"/>
        <v>0</v>
      </c>
      <c r="U382" s="10">
        <f t="shared" si="116"/>
        <v>0</v>
      </c>
      <c r="V382" s="10">
        <f t="shared" si="116"/>
        <v>0</v>
      </c>
      <c r="W382" s="10">
        <f t="shared" si="116"/>
        <v>0</v>
      </c>
      <c r="X382" s="10">
        <f t="shared" si="119"/>
        <v>3.9474285714285715</v>
      </c>
    </row>
    <row r="383" spans="1:32" s="3" customFormat="1" ht="21" customHeight="1" x14ac:dyDescent="0.2">
      <c r="A383" s="10">
        <v>1</v>
      </c>
      <c r="B383" s="10" t="s">
        <v>67</v>
      </c>
      <c r="C383" s="91" t="s">
        <v>118</v>
      </c>
      <c r="D383" s="91">
        <v>1</v>
      </c>
      <c r="E383" s="91">
        <v>4.8540000000000001</v>
      </c>
      <c r="F383" s="91">
        <v>0.5</v>
      </c>
      <c r="G383" s="91">
        <v>0.5</v>
      </c>
      <c r="H383" s="10">
        <f>G383-0.275</f>
        <v>0.22499999999999998</v>
      </c>
      <c r="I383" s="10">
        <f>E383*F383*G383*D383</f>
        <v>1.2135</v>
      </c>
      <c r="J383" s="10">
        <f>(2*(E383)*H383*D383)+(E383*F383)</f>
        <v>4.6113</v>
      </c>
      <c r="K383" s="92">
        <f>IF(E383=0.3,J383,0)</f>
        <v>0</v>
      </c>
      <c r="L383" s="92">
        <f>IF(AND(E383&gt;0.3,E383&lt;=0.75),J383,0)</f>
        <v>0</v>
      </c>
      <c r="M383" s="92">
        <f>IF(AND(E383&gt;0.75,E383&lt;=1.2),J383,0)</f>
        <v>0</v>
      </c>
      <c r="N383" s="92">
        <f>IF(E383&gt;1.2,J383,0)</f>
        <v>4.6113</v>
      </c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>
        <f>SUM(X384:X388)/I383</f>
        <v>179.69469054093824</v>
      </c>
      <c r="Z383" s="10"/>
      <c r="AA383" s="10"/>
      <c r="AB383" s="10"/>
      <c r="AC383" s="10"/>
      <c r="AD383" s="10"/>
      <c r="AE383" s="10"/>
      <c r="AF383" s="10"/>
    </row>
    <row r="384" spans="1:32" s="3" customFormat="1" ht="20.100000000000001" customHeight="1" x14ac:dyDescent="0.2">
      <c r="A384" s="87"/>
      <c r="B384" s="10" t="s">
        <v>67</v>
      </c>
      <c r="C384" s="93" t="s">
        <v>69</v>
      </c>
      <c r="D384" s="10">
        <v>20</v>
      </c>
      <c r="E384" s="10"/>
      <c r="F384" s="10">
        <v>5</v>
      </c>
      <c r="G384" s="90">
        <f>VLOOKUP(D384,$C$20:$F$26,3,0)</f>
        <v>1.05</v>
      </c>
      <c r="H384" s="90"/>
      <c r="I384" s="10"/>
      <c r="J384" s="10"/>
      <c r="K384" s="10"/>
      <c r="L384" s="10"/>
      <c r="M384" s="10"/>
      <c r="N384" s="10"/>
      <c r="O384" s="10">
        <f>(E383+1*(G384+(12*D384/1000))+1*(0.5/2)*D383)</f>
        <v>6.3940000000000001</v>
      </c>
      <c r="P384" s="10">
        <f t="shared" ref="P384:P389" si="121">O384*F384</f>
        <v>31.97</v>
      </c>
      <c r="Q384" s="10">
        <f t="shared" ref="Q384:W400" si="122">IF($D384=Q$44,$P384*Q$45,0)</f>
        <v>0</v>
      </c>
      <c r="R384" s="10">
        <f t="shared" si="122"/>
        <v>0</v>
      </c>
      <c r="S384" s="10">
        <f t="shared" si="122"/>
        <v>0</v>
      </c>
      <c r="T384" s="10">
        <f t="shared" si="122"/>
        <v>0</v>
      </c>
      <c r="U384" s="10">
        <f t="shared" si="122"/>
        <v>78.874557142857142</v>
      </c>
      <c r="V384" s="10">
        <f t="shared" si="122"/>
        <v>0</v>
      </c>
      <c r="W384" s="10">
        <f t="shared" si="122"/>
        <v>0</v>
      </c>
      <c r="X384" s="10">
        <f t="shared" ref="X384:X389" si="123">SUM(Q384:W384)</f>
        <v>78.874557142857142</v>
      </c>
      <c r="Y384" s="10"/>
      <c r="Z384" s="10"/>
      <c r="AA384" s="10"/>
      <c r="AB384" s="10"/>
      <c r="AC384" s="10"/>
      <c r="AD384" s="10"/>
      <c r="AE384" s="10"/>
    </row>
    <row r="385" spans="1:32" s="3" customFormat="1" ht="20.100000000000001" customHeight="1" x14ac:dyDescent="0.2">
      <c r="A385" s="87"/>
      <c r="B385" s="10" t="s">
        <v>67</v>
      </c>
      <c r="C385" s="93" t="s">
        <v>112</v>
      </c>
      <c r="D385" s="10">
        <v>16</v>
      </c>
      <c r="E385" s="10"/>
      <c r="F385" s="10">
        <v>3</v>
      </c>
      <c r="G385" s="90">
        <f>VLOOKUP(D385,$C$20:$F$26,3,0)</f>
        <v>0.85</v>
      </c>
      <c r="H385" s="90"/>
      <c r="I385" s="10"/>
      <c r="J385" s="10"/>
      <c r="K385" s="10"/>
      <c r="L385" s="10"/>
      <c r="M385" s="10"/>
      <c r="N385" s="10"/>
      <c r="O385" s="10">
        <f>(1.4+1*(G385+(12*D385/1000))*D383)</f>
        <v>2.4420000000000002</v>
      </c>
      <c r="P385" s="10">
        <f t="shared" si="121"/>
        <v>7.3260000000000005</v>
      </c>
      <c r="Q385" s="10">
        <f t="shared" si="122"/>
        <v>0</v>
      </c>
      <c r="R385" s="10">
        <f t="shared" si="122"/>
        <v>0</v>
      </c>
      <c r="S385" s="10">
        <f t="shared" si="122"/>
        <v>0</v>
      </c>
      <c r="T385" s="10">
        <f t="shared" si="122"/>
        <v>11.567544685714287</v>
      </c>
      <c r="U385" s="10">
        <f t="shared" si="122"/>
        <v>0</v>
      </c>
      <c r="V385" s="10">
        <f t="shared" si="122"/>
        <v>0</v>
      </c>
      <c r="W385" s="10">
        <f t="shared" si="122"/>
        <v>0</v>
      </c>
      <c r="X385" s="10">
        <f t="shared" si="123"/>
        <v>11.567544685714287</v>
      </c>
      <c r="Y385" s="10"/>
      <c r="Z385" s="10"/>
      <c r="AA385" s="10"/>
      <c r="AB385" s="10"/>
      <c r="AC385" s="10"/>
      <c r="AD385" s="10"/>
      <c r="AE385" s="10"/>
    </row>
    <row r="386" spans="1:32" s="3" customFormat="1" ht="20.100000000000001" customHeight="1" x14ac:dyDescent="0.2">
      <c r="A386" s="87"/>
      <c r="B386" s="10" t="s">
        <v>67</v>
      </c>
      <c r="C386" s="93" t="s">
        <v>71</v>
      </c>
      <c r="D386" s="10">
        <v>20</v>
      </c>
      <c r="E386" s="10"/>
      <c r="F386" s="10">
        <v>5</v>
      </c>
      <c r="G386" s="90">
        <f>VLOOKUP(D386,$C$20:$F$26,3,0)</f>
        <v>1.05</v>
      </c>
      <c r="H386" s="10"/>
      <c r="I386" s="10"/>
      <c r="J386" s="10"/>
      <c r="K386" s="10"/>
      <c r="L386" s="10"/>
      <c r="M386" s="10"/>
      <c r="N386" s="10"/>
      <c r="O386" s="10">
        <f>(E383+1*(G386+(12*D386/1000))+1*(0.5/2)*D383)</f>
        <v>6.3940000000000001</v>
      </c>
      <c r="P386" s="10">
        <f t="shared" si="121"/>
        <v>31.97</v>
      </c>
      <c r="Q386" s="10">
        <f t="shared" si="122"/>
        <v>0</v>
      </c>
      <c r="R386" s="10">
        <f t="shared" si="122"/>
        <v>0</v>
      </c>
      <c r="S386" s="10">
        <f t="shared" si="122"/>
        <v>0</v>
      </c>
      <c r="T386" s="10">
        <f t="shared" si="122"/>
        <v>0</v>
      </c>
      <c r="U386" s="10">
        <f t="shared" si="122"/>
        <v>78.874557142857142</v>
      </c>
      <c r="V386" s="10">
        <f t="shared" si="122"/>
        <v>0</v>
      </c>
      <c r="W386" s="10">
        <f t="shared" si="122"/>
        <v>0</v>
      </c>
      <c r="X386" s="10">
        <f t="shared" si="123"/>
        <v>78.874557142857142</v>
      </c>
      <c r="Y386" s="10"/>
      <c r="Z386" s="10"/>
      <c r="AA386" s="10"/>
      <c r="AB386" s="10"/>
      <c r="AC386" s="10"/>
      <c r="AD386" s="10"/>
      <c r="AE386" s="10"/>
    </row>
    <row r="387" spans="1:32" s="3" customFormat="1" ht="20.100000000000001" customHeight="1" x14ac:dyDescent="0.2">
      <c r="A387" s="87"/>
      <c r="B387" s="10" t="s">
        <v>67</v>
      </c>
      <c r="C387" s="93" t="s">
        <v>73</v>
      </c>
      <c r="D387" s="10">
        <v>8</v>
      </c>
      <c r="E387" s="10">
        <v>0.1</v>
      </c>
      <c r="F387" s="10">
        <f>ROUNDUP(E383/E387,0)</f>
        <v>49</v>
      </c>
      <c r="H387" s="10"/>
      <c r="I387" s="10"/>
      <c r="J387" s="10"/>
      <c r="K387" s="10"/>
      <c r="L387" s="10"/>
      <c r="M387" s="10"/>
      <c r="N387" s="10"/>
      <c r="O387" s="10">
        <f>(2*((G383-(2*$D$11))+(F383-(2*$D$11)))+(2*10*D387/1000))*D383</f>
        <v>1.92</v>
      </c>
      <c r="P387" s="10">
        <f t="shared" si="121"/>
        <v>94.08</v>
      </c>
      <c r="Q387" s="10">
        <f t="shared" si="122"/>
        <v>37.137408000000001</v>
      </c>
      <c r="R387" s="10">
        <f t="shared" si="122"/>
        <v>0</v>
      </c>
      <c r="S387" s="10">
        <f t="shared" si="122"/>
        <v>0</v>
      </c>
      <c r="T387" s="10">
        <f t="shared" si="122"/>
        <v>0</v>
      </c>
      <c r="U387" s="10">
        <f t="shared" si="122"/>
        <v>0</v>
      </c>
      <c r="V387" s="10">
        <f t="shared" si="122"/>
        <v>0</v>
      </c>
      <c r="W387" s="10">
        <f t="shared" si="122"/>
        <v>0</v>
      </c>
      <c r="X387" s="10">
        <f t="shared" si="123"/>
        <v>37.137408000000001</v>
      </c>
      <c r="Y387" s="10"/>
      <c r="Z387" s="10"/>
      <c r="AA387" s="10"/>
      <c r="AB387" s="10"/>
      <c r="AC387" s="10"/>
      <c r="AD387" s="10"/>
      <c r="AE387" s="10"/>
    </row>
    <row r="388" spans="1:32" s="2" customFormat="1" ht="20.100000000000001" customHeight="1" x14ac:dyDescent="0.2">
      <c r="B388" s="10" t="s">
        <v>67</v>
      </c>
      <c r="C388" s="93" t="s">
        <v>74</v>
      </c>
      <c r="D388" s="10">
        <f>+D387</f>
        <v>8</v>
      </c>
      <c r="E388" s="2">
        <f>+E387</f>
        <v>0.1</v>
      </c>
      <c r="F388" s="10">
        <f>ROUNDUP(E383/E388,0)</f>
        <v>49</v>
      </c>
      <c r="G388" s="3"/>
      <c r="O388" s="10">
        <f>((((G383-(2*$D$11))+(2*10*D388/1000))*D383))*1</f>
        <v>0.6</v>
      </c>
      <c r="P388" s="10">
        <f t="shared" si="121"/>
        <v>29.4</v>
      </c>
      <c r="Q388" s="10">
        <f t="shared" si="122"/>
        <v>11.60544</v>
      </c>
      <c r="R388" s="10">
        <f t="shared" si="122"/>
        <v>0</v>
      </c>
      <c r="S388" s="10">
        <f t="shared" si="122"/>
        <v>0</v>
      </c>
      <c r="T388" s="10">
        <f t="shared" si="122"/>
        <v>0</v>
      </c>
      <c r="U388" s="10">
        <f t="shared" si="122"/>
        <v>0</v>
      </c>
      <c r="V388" s="10">
        <f t="shared" si="122"/>
        <v>0</v>
      </c>
      <c r="W388" s="10">
        <f t="shared" si="122"/>
        <v>0</v>
      </c>
      <c r="X388" s="10">
        <f t="shared" si="123"/>
        <v>11.60544</v>
      </c>
    </row>
    <row r="389" spans="1:32" s="3" customFormat="1" ht="20.100000000000001" customHeight="1" x14ac:dyDescent="0.2">
      <c r="A389" s="87"/>
      <c r="B389" s="10" t="s">
        <v>67</v>
      </c>
      <c r="C389" s="93" t="s">
        <v>75</v>
      </c>
      <c r="D389" s="10">
        <f>+$D$15</f>
        <v>25</v>
      </c>
      <c r="E389" s="10">
        <f>+$E$15</f>
        <v>1</v>
      </c>
      <c r="F389" s="10">
        <f>ROUNDUP((1.4)/E389,0)</f>
        <v>2</v>
      </c>
      <c r="G389" s="90"/>
      <c r="H389" s="90"/>
      <c r="I389" s="10"/>
      <c r="J389" s="10"/>
      <c r="K389" s="10"/>
      <c r="L389" s="10"/>
      <c r="M389" s="10"/>
      <c r="N389" s="10"/>
      <c r="O389" s="10">
        <f>F383-$F$15</f>
        <v>0.44</v>
      </c>
      <c r="P389" s="10">
        <f t="shared" si="121"/>
        <v>0.88</v>
      </c>
      <c r="Q389" s="10">
        <f t="shared" si="122"/>
        <v>0</v>
      </c>
      <c r="R389" s="10">
        <f t="shared" si="122"/>
        <v>0</v>
      </c>
      <c r="S389" s="10">
        <f t="shared" si="122"/>
        <v>0</v>
      </c>
      <c r="T389" s="10">
        <f t="shared" si="122"/>
        <v>0</v>
      </c>
      <c r="U389" s="10">
        <f t="shared" si="122"/>
        <v>0</v>
      </c>
      <c r="V389" s="10">
        <f t="shared" si="122"/>
        <v>3.3923214285714289</v>
      </c>
      <c r="W389" s="10">
        <f t="shared" si="122"/>
        <v>0</v>
      </c>
      <c r="X389" s="10">
        <f t="shared" si="123"/>
        <v>3.3923214285714289</v>
      </c>
      <c r="Y389" s="10"/>
      <c r="Z389" s="10"/>
      <c r="AA389" s="10"/>
      <c r="AB389" s="10"/>
      <c r="AC389" s="10"/>
      <c r="AD389" s="10"/>
      <c r="AE389" s="10"/>
    </row>
    <row r="390" spans="1:32" s="3" customFormat="1" ht="21" customHeight="1" x14ac:dyDescent="0.2">
      <c r="A390" s="10">
        <v>1</v>
      </c>
      <c r="B390" s="10" t="s">
        <v>67</v>
      </c>
      <c r="C390" s="91" t="s">
        <v>119</v>
      </c>
      <c r="D390" s="91">
        <v>1</v>
      </c>
      <c r="E390" s="91">
        <v>6.55</v>
      </c>
      <c r="F390" s="91">
        <v>0.5</v>
      </c>
      <c r="G390" s="91">
        <v>0.5</v>
      </c>
      <c r="H390" s="10">
        <f>G390-0.275</f>
        <v>0.22499999999999998</v>
      </c>
      <c r="I390" s="10">
        <f>E390*F390*G390*D390</f>
        <v>1.6375</v>
      </c>
      <c r="J390" s="10">
        <f>(2*(E390)*H390*D390)+(E390*F390)</f>
        <v>6.2225000000000001</v>
      </c>
      <c r="K390" s="92">
        <f>IF(E390=0.3,J390,0)</f>
        <v>0</v>
      </c>
      <c r="L390" s="92">
        <f>IF(AND(E390&gt;0.3,E390&lt;=0.75),J390,0)</f>
        <v>0</v>
      </c>
      <c r="M390" s="92">
        <f>IF(AND(E390&gt;0.75,E390&lt;=1.2),J390,0)</f>
        <v>0</v>
      </c>
      <c r="N390" s="92">
        <f>IF(E390&gt;1.2,J390,0)</f>
        <v>6.2225000000000001</v>
      </c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>
        <f>SUM(X391:X396)/I390</f>
        <v>152.85046089422028</v>
      </c>
      <c r="Z390" s="10"/>
      <c r="AA390" s="10"/>
      <c r="AB390" s="10"/>
      <c r="AC390" s="10"/>
      <c r="AD390" s="10"/>
      <c r="AE390" s="10"/>
      <c r="AF390" s="10"/>
    </row>
    <row r="391" spans="1:32" s="3" customFormat="1" ht="20.100000000000001" customHeight="1" x14ac:dyDescent="0.2">
      <c r="A391" s="87"/>
      <c r="B391" s="10" t="s">
        <v>67</v>
      </c>
      <c r="C391" s="93" t="s">
        <v>69</v>
      </c>
      <c r="D391" s="10">
        <v>20</v>
      </c>
      <c r="E391" s="10"/>
      <c r="F391" s="10">
        <v>5</v>
      </c>
      <c r="G391" s="90">
        <f>VLOOKUP(D391,$C$20:$F$26,3,0)</f>
        <v>1.05</v>
      </c>
      <c r="H391" s="90"/>
      <c r="I391" s="10"/>
      <c r="J391" s="10"/>
      <c r="K391" s="10"/>
      <c r="L391" s="10"/>
      <c r="M391" s="10"/>
      <c r="N391" s="10"/>
      <c r="O391" s="10">
        <f>(E390+2*(0.5/2)*D390)</f>
        <v>7.05</v>
      </c>
      <c r="P391" s="10">
        <f>O391*F391</f>
        <v>35.25</v>
      </c>
      <c r="Q391" s="10">
        <f t="shared" si="122"/>
        <v>0</v>
      </c>
      <c r="R391" s="10">
        <f t="shared" si="122"/>
        <v>0</v>
      </c>
      <c r="S391" s="10">
        <f t="shared" si="122"/>
        <v>0</v>
      </c>
      <c r="T391" s="10">
        <f t="shared" si="122"/>
        <v>0</v>
      </c>
      <c r="U391" s="10">
        <f t="shared" si="122"/>
        <v>86.966785714285706</v>
      </c>
      <c r="V391" s="10">
        <f t="shared" si="122"/>
        <v>0</v>
      </c>
      <c r="W391" s="10">
        <f t="shared" si="122"/>
        <v>0</v>
      </c>
      <c r="X391" s="10">
        <f t="shared" ref="X391:X396" si="124">SUM(Q391:W391)</f>
        <v>86.966785714285706</v>
      </c>
      <c r="Y391" s="10"/>
      <c r="Z391" s="10"/>
      <c r="AA391" s="10"/>
      <c r="AB391" s="10"/>
      <c r="AC391" s="10"/>
      <c r="AD391" s="10"/>
      <c r="AE391" s="10"/>
    </row>
    <row r="392" spans="1:32" s="3" customFormat="1" ht="20.100000000000001" customHeight="1" x14ac:dyDescent="0.2">
      <c r="A392" s="87"/>
      <c r="B392" s="10" t="s">
        <v>67</v>
      </c>
      <c r="C392" s="93" t="s">
        <v>71</v>
      </c>
      <c r="D392" s="10">
        <v>20</v>
      </c>
      <c r="E392" s="10"/>
      <c r="F392" s="10">
        <v>5</v>
      </c>
      <c r="G392" s="90">
        <f>VLOOKUP(D392,$C$20:$F$26,3,0)</f>
        <v>1.05</v>
      </c>
      <c r="H392" s="10"/>
      <c r="I392" s="10"/>
      <c r="J392" s="10"/>
      <c r="K392" s="10"/>
      <c r="L392" s="10"/>
      <c r="M392" s="10"/>
      <c r="N392" s="10"/>
      <c r="O392" s="10">
        <f>(E390+2*(0.5/2)*D390)</f>
        <v>7.05</v>
      </c>
      <c r="P392" s="10">
        <f>O392*F392</f>
        <v>35.25</v>
      </c>
      <c r="Q392" s="10">
        <f t="shared" si="122"/>
        <v>0</v>
      </c>
      <c r="R392" s="10">
        <f t="shared" si="122"/>
        <v>0</v>
      </c>
      <c r="S392" s="10">
        <f t="shared" si="122"/>
        <v>0</v>
      </c>
      <c r="T392" s="10">
        <f t="shared" si="122"/>
        <v>0</v>
      </c>
      <c r="U392" s="10">
        <f t="shared" si="122"/>
        <v>86.966785714285706</v>
      </c>
      <c r="V392" s="10">
        <f t="shared" si="122"/>
        <v>0</v>
      </c>
      <c r="W392" s="10">
        <f t="shared" si="122"/>
        <v>0</v>
      </c>
      <c r="X392" s="10">
        <f t="shared" si="124"/>
        <v>86.966785714285706</v>
      </c>
      <c r="Y392" s="10"/>
      <c r="Z392" s="10"/>
      <c r="AA392" s="10"/>
      <c r="AB392" s="10"/>
      <c r="AC392" s="10"/>
      <c r="AD392" s="10"/>
      <c r="AE392" s="10"/>
    </row>
    <row r="393" spans="1:32" s="3" customFormat="1" ht="20.100000000000001" customHeight="1" x14ac:dyDescent="0.2">
      <c r="A393" s="87"/>
      <c r="B393" s="10" t="s">
        <v>67</v>
      </c>
      <c r="C393" s="93" t="s">
        <v>73</v>
      </c>
      <c r="D393" s="10">
        <v>8</v>
      </c>
      <c r="E393" s="10">
        <v>0.1</v>
      </c>
      <c r="F393" s="10">
        <f>ROUND(IF(E390/3&gt;(2*G390),(E390/3)/E393,(2*G390)/E393),0)*2+1</f>
        <v>45</v>
      </c>
      <c r="H393" s="10"/>
      <c r="I393" s="10"/>
      <c r="J393" s="10"/>
      <c r="K393" s="10"/>
      <c r="L393" s="10"/>
      <c r="M393" s="10"/>
      <c r="N393" s="10"/>
      <c r="O393" s="10">
        <f>(2*((G390-(2*$D$11))+(F390-(2*$D$11)))+(2*10*D393/1000))*D390</f>
        <v>1.92</v>
      </c>
      <c r="P393" s="10">
        <f t="shared" ref="P393:P396" si="125">O393*F393</f>
        <v>86.399999999999991</v>
      </c>
      <c r="Q393" s="10">
        <f t="shared" si="122"/>
        <v>34.105782857142856</v>
      </c>
      <c r="R393" s="10">
        <f t="shared" si="122"/>
        <v>0</v>
      </c>
      <c r="S393" s="10">
        <f t="shared" si="122"/>
        <v>0</v>
      </c>
      <c r="T393" s="10">
        <f t="shared" si="122"/>
        <v>0</v>
      </c>
      <c r="U393" s="10">
        <f t="shared" si="122"/>
        <v>0</v>
      </c>
      <c r="V393" s="10">
        <f t="shared" si="122"/>
        <v>0</v>
      </c>
      <c r="W393" s="10">
        <f t="shared" si="122"/>
        <v>0</v>
      </c>
      <c r="X393" s="10">
        <f t="shared" si="124"/>
        <v>34.105782857142856</v>
      </c>
      <c r="Y393" s="10"/>
      <c r="Z393" s="10"/>
      <c r="AA393" s="10"/>
      <c r="AB393" s="10"/>
      <c r="AC393" s="10"/>
      <c r="AD393" s="10"/>
      <c r="AE393" s="10"/>
    </row>
    <row r="394" spans="1:32" s="2" customFormat="1" ht="20.100000000000001" customHeight="1" x14ac:dyDescent="0.2">
      <c r="B394" s="10" t="s">
        <v>67</v>
      </c>
      <c r="C394" s="93" t="s">
        <v>73</v>
      </c>
      <c r="D394" s="2">
        <f>D393</f>
        <v>8</v>
      </c>
      <c r="E394" s="2">
        <v>0.125</v>
      </c>
      <c r="F394" s="2">
        <f>ROUND((E390-(IF(E390/3&gt;2*G390,E390/3*2,G390*2*2)))/E394,0)</f>
        <v>17</v>
      </c>
      <c r="G394" s="3"/>
      <c r="O394" s="10">
        <f>(2*((G390-(2*$D$11))+(F390-(2*$D$11)))+(2*10*D394/1000))*D390</f>
        <v>1.92</v>
      </c>
      <c r="P394" s="10">
        <f t="shared" si="125"/>
        <v>32.64</v>
      </c>
      <c r="Q394" s="10">
        <f t="shared" si="122"/>
        <v>12.884406857142858</v>
      </c>
      <c r="R394" s="10">
        <f t="shared" si="122"/>
        <v>0</v>
      </c>
      <c r="S394" s="10">
        <f t="shared" si="122"/>
        <v>0</v>
      </c>
      <c r="T394" s="10">
        <f t="shared" si="122"/>
        <v>0</v>
      </c>
      <c r="U394" s="10">
        <f t="shared" si="122"/>
        <v>0</v>
      </c>
      <c r="V394" s="10">
        <f t="shared" si="122"/>
        <v>0</v>
      </c>
      <c r="W394" s="10">
        <f t="shared" si="122"/>
        <v>0</v>
      </c>
      <c r="X394" s="10">
        <f t="shared" si="124"/>
        <v>12.884406857142858</v>
      </c>
    </row>
    <row r="395" spans="1:32" s="2" customFormat="1" ht="20.100000000000001" customHeight="1" x14ac:dyDescent="0.2">
      <c r="B395" s="10" t="s">
        <v>67</v>
      </c>
      <c r="C395" s="93" t="s">
        <v>74</v>
      </c>
      <c r="D395" s="2">
        <f>D393</f>
        <v>8</v>
      </c>
      <c r="E395" s="2">
        <f>+E393</f>
        <v>0.1</v>
      </c>
      <c r="F395" s="10">
        <f>ROUND(IF(E390/3&gt;(2*G390),(E390/3)/E395,(2*G390)/E395),0)*2+1</f>
        <v>45</v>
      </c>
      <c r="G395" s="3"/>
      <c r="O395" s="10">
        <f>((((G390-(2*$D$11))+(2*10*D395/1000))*D390))*2</f>
        <v>1.2</v>
      </c>
      <c r="P395" s="10">
        <f t="shared" si="125"/>
        <v>54</v>
      </c>
      <c r="Q395" s="10">
        <f t="shared" si="122"/>
        <v>21.316114285714288</v>
      </c>
      <c r="R395" s="10">
        <f t="shared" si="122"/>
        <v>0</v>
      </c>
      <c r="S395" s="10">
        <f t="shared" si="122"/>
        <v>0</v>
      </c>
      <c r="T395" s="10">
        <f t="shared" si="122"/>
        <v>0</v>
      </c>
      <c r="U395" s="10">
        <f t="shared" si="122"/>
        <v>0</v>
      </c>
      <c r="V395" s="10">
        <f t="shared" si="122"/>
        <v>0</v>
      </c>
      <c r="W395" s="10">
        <f t="shared" si="122"/>
        <v>0</v>
      </c>
      <c r="X395" s="10">
        <f t="shared" si="124"/>
        <v>21.316114285714288</v>
      </c>
    </row>
    <row r="396" spans="1:32" s="2" customFormat="1" ht="20.100000000000001" customHeight="1" x14ac:dyDescent="0.2">
      <c r="B396" s="10" t="s">
        <v>67</v>
      </c>
      <c r="C396" s="93" t="s">
        <v>74</v>
      </c>
      <c r="D396" s="2">
        <f>D394</f>
        <v>8</v>
      </c>
      <c r="E396" s="2">
        <f>+E394</f>
        <v>0.125</v>
      </c>
      <c r="F396" s="2">
        <f>ROUND((E390-(IF(E390/3&gt;2*G390,E390/3*2,G390*2*2)))/E396,0)</f>
        <v>17</v>
      </c>
      <c r="G396" s="3"/>
      <c r="O396" s="10">
        <f>((((G390-(2*$D$11))+(2*10*D396/1000))*D390))*2</f>
        <v>1.2</v>
      </c>
      <c r="P396" s="10">
        <f t="shared" si="125"/>
        <v>20.399999999999999</v>
      </c>
      <c r="Q396" s="10">
        <f t="shared" si="122"/>
        <v>8.0527542857142862</v>
      </c>
      <c r="R396" s="10">
        <f t="shared" si="122"/>
        <v>0</v>
      </c>
      <c r="S396" s="10">
        <f t="shared" si="122"/>
        <v>0</v>
      </c>
      <c r="T396" s="10">
        <f t="shared" si="122"/>
        <v>0</v>
      </c>
      <c r="U396" s="10">
        <f t="shared" si="122"/>
        <v>0</v>
      </c>
      <c r="V396" s="10">
        <f t="shared" si="122"/>
        <v>0</v>
      </c>
      <c r="W396" s="10">
        <f t="shared" si="122"/>
        <v>0</v>
      </c>
      <c r="X396" s="10">
        <f t="shared" si="124"/>
        <v>8.0527542857142862</v>
      </c>
    </row>
    <row r="397" spans="1:32" s="3" customFormat="1" ht="21" customHeight="1" x14ac:dyDescent="0.2">
      <c r="A397" s="10">
        <v>1</v>
      </c>
      <c r="B397" s="10" t="s">
        <v>67</v>
      </c>
      <c r="C397" s="91" t="s">
        <v>120</v>
      </c>
      <c r="D397" s="91">
        <v>1</v>
      </c>
      <c r="E397" s="91">
        <v>2.8</v>
      </c>
      <c r="F397" s="91">
        <v>0.5</v>
      </c>
      <c r="G397" s="91">
        <v>0.5</v>
      </c>
      <c r="H397" s="10">
        <f>G397-0.2</f>
        <v>0.3</v>
      </c>
      <c r="I397" s="10">
        <f>E397*F397*G397*D397</f>
        <v>0.7</v>
      </c>
      <c r="J397" s="10">
        <f>(2*(E397)*H397*D397)+(E397*F397)</f>
        <v>3.08</v>
      </c>
      <c r="K397" s="92">
        <f>IF(E397=0.3,J397,0)</f>
        <v>0</v>
      </c>
      <c r="L397" s="92">
        <f>IF(AND(E397&gt;0.3,E397&lt;=0.75),J397,0)</f>
        <v>0</v>
      </c>
      <c r="M397" s="92">
        <f>IF(AND(E397&gt;0.75,E397&lt;=1.2),J397,0)</f>
        <v>0</v>
      </c>
      <c r="N397" s="92">
        <f>IF(E397&gt;1.2,J397,0)</f>
        <v>3.08</v>
      </c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>
        <f>SUM(X398:X403)/I397</f>
        <v>208.36783673469384</v>
      </c>
      <c r="Z397" s="10"/>
      <c r="AA397" s="10"/>
      <c r="AB397" s="10"/>
      <c r="AC397" s="10"/>
      <c r="AD397" s="10"/>
      <c r="AE397" s="10"/>
      <c r="AF397" s="10"/>
    </row>
    <row r="398" spans="1:32" s="3" customFormat="1" ht="20.100000000000001" customHeight="1" x14ac:dyDescent="0.2">
      <c r="A398" s="87"/>
      <c r="B398" s="10" t="s">
        <v>67</v>
      </c>
      <c r="C398" s="93" t="s">
        <v>69</v>
      </c>
      <c r="D398" s="10">
        <v>20</v>
      </c>
      <c r="E398" s="10"/>
      <c r="F398" s="10">
        <v>5</v>
      </c>
      <c r="G398" s="90">
        <f>VLOOKUP(D398,$C$20:$F$26,3,0)</f>
        <v>1.05</v>
      </c>
      <c r="H398" s="90"/>
      <c r="I398" s="10"/>
      <c r="J398" s="10"/>
      <c r="K398" s="10"/>
      <c r="L398" s="10"/>
      <c r="M398" s="10"/>
      <c r="N398" s="10"/>
      <c r="O398" s="10">
        <f>(E397+1*(0.5/2)+1*(0.3/2)*D397)</f>
        <v>3.1999999999999997</v>
      </c>
      <c r="P398" s="10">
        <f>O398*F398</f>
        <v>15.999999999999998</v>
      </c>
      <c r="Q398" s="10">
        <f t="shared" si="122"/>
        <v>0</v>
      </c>
      <c r="R398" s="10">
        <f t="shared" si="122"/>
        <v>0</v>
      </c>
      <c r="S398" s="10">
        <f t="shared" si="122"/>
        <v>0</v>
      </c>
      <c r="T398" s="10">
        <f t="shared" si="122"/>
        <v>0</v>
      </c>
      <c r="U398" s="10">
        <f t="shared" si="122"/>
        <v>39.474285714285706</v>
      </c>
      <c r="V398" s="10">
        <f t="shared" si="122"/>
        <v>0</v>
      </c>
      <c r="W398" s="10">
        <f t="shared" si="122"/>
        <v>0</v>
      </c>
      <c r="X398" s="10">
        <f t="shared" ref="X398:X403" si="126">SUM(Q398:W398)</f>
        <v>39.474285714285706</v>
      </c>
      <c r="Y398" s="10"/>
      <c r="Z398" s="10"/>
      <c r="AA398" s="10"/>
      <c r="AB398" s="10"/>
      <c r="AC398" s="10"/>
      <c r="AD398" s="10"/>
      <c r="AE398" s="10"/>
    </row>
    <row r="399" spans="1:32" s="3" customFormat="1" ht="20.100000000000001" customHeight="1" x14ac:dyDescent="0.2">
      <c r="A399" s="87"/>
      <c r="B399" s="10" t="s">
        <v>67</v>
      </c>
      <c r="C399" s="93" t="s">
        <v>71</v>
      </c>
      <c r="D399" s="10">
        <v>20</v>
      </c>
      <c r="E399" s="10"/>
      <c r="F399" s="10">
        <v>5</v>
      </c>
      <c r="G399" s="90">
        <f>VLOOKUP(D399,$C$20:$F$26,3,0)</f>
        <v>1.05</v>
      </c>
      <c r="H399" s="10"/>
      <c r="I399" s="10"/>
      <c r="J399" s="10"/>
      <c r="K399" s="10"/>
      <c r="L399" s="10"/>
      <c r="M399" s="10"/>
      <c r="N399" s="10"/>
      <c r="O399" s="10">
        <f>(E397+1*(0.5/2)+1*(0.3/2)+G399*D397)</f>
        <v>4.25</v>
      </c>
      <c r="P399" s="10">
        <f>O399*F399</f>
        <v>21.25</v>
      </c>
      <c r="Q399" s="10">
        <f t="shared" si="122"/>
        <v>0</v>
      </c>
      <c r="R399" s="10">
        <f t="shared" si="122"/>
        <v>0</v>
      </c>
      <c r="S399" s="10">
        <f t="shared" si="122"/>
        <v>0</v>
      </c>
      <c r="T399" s="10">
        <f t="shared" si="122"/>
        <v>0</v>
      </c>
      <c r="U399" s="10">
        <f t="shared" si="122"/>
        <v>52.426785714285714</v>
      </c>
      <c r="V399" s="10">
        <f t="shared" si="122"/>
        <v>0</v>
      </c>
      <c r="W399" s="10">
        <f t="shared" si="122"/>
        <v>0</v>
      </c>
      <c r="X399" s="10">
        <f t="shared" si="126"/>
        <v>52.426785714285714</v>
      </c>
      <c r="Y399" s="10"/>
      <c r="Z399" s="10"/>
      <c r="AA399" s="10"/>
      <c r="AB399" s="10"/>
      <c r="AC399" s="10"/>
      <c r="AD399" s="10"/>
      <c r="AE399" s="10"/>
    </row>
    <row r="400" spans="1:32" s="3" customFormat="1" ht="20.100000000000001" customHeight="1" x14ac:dyDescent="0.2">
      <c r="A400" s="87"/>
      <c r="B400" s="10" t="s">
        <v>67</v>
      </c>
      <c r="C400" s="93" t="s">
        <v>73</v>
      </c>
      <c r="D400" s="10">
        <v>10</v>
      </c>
      <c r="E400" s="10">
        <v>0.1</v>
      </c>
      <c r="F400" s="10">
        <f>ROUND(IF(E397/3&gt;(2*G397),(E397/3)/E400,(2*G397)/E400),0)*2+1</f>
        <v>21</v>
      </c>
      <c r="H400" s="10"/>
      <c r="I400" s="10"/>
      <c r="J400" s="10"/>
      <c r="K400" s="10"/>
      <c r="L400" s="10"/>
      <c r="M400" s="10"/>
      <c r="N400" s="10"/>
      <c r="O400" s="10">
        <f>(2*((G397-(2*$D$11))+(F397-(2*$D$11)))+(2*10*D400/1000))*D397</f>
        <v>1.96</v>
      </c>
      <c r="P400" s="10">
        <f t="shared" ref="P400:P403" si="127">O400*F400</f>
        <v>41.16</v>
      </c>
      <c r="Q400" s="10">
        <f t="shared" si="122"/>
        <v>0</v>
      </c>
      <c r="R400" s="10">
        <f t="shared" si="122"/>
        <v>25.386899999999997</v>
      </c>
      <c r="S400" s="10">
        <f t="shared" si="122"/>
        <v>0</v>
      </c>
      <c r="T400" s="10">
        <f t="shared" si="122"/>
        <v>0</v>
      </c>
      <c r="U400" s="10">
        <f t="shared" si="122"/>
        <v>0</v>
      </c>
      <c r="V400" s="10">
        <f t="shared" si="122"/>
        <v>0</v>
      </c>
      <c r="W400" s="10">
        <f t="shared" si="122"/>
        <v>0</v>
      </c>
      <c r="X400" s="10">
        <f t="shared" si="126"/>
        <v>25.386899999999997</v>
      </c>
      <c r="Y400" s="10"/>
      <c r="Z400" s="10"/>
      <c r="AA400" s="10"/>
      <c r="AB400" s="10"/>
      <c r="AC400" s="10"/>
      <c r="AD400" s="10"/>
      <c r="AE400" s="10"/>
    </row>
    <row r="401" spans="1:32" s="2" customFormat="1" ht="20.100000000000001" customHeight="1" x14ac:dyDescent="0.2">
      <c r="B401" s="10" t="s">
        <v>67</v>
      </c>
      <c r="C401" s="93" t="s">
        <v>73</v>
      </c>
      <c r="D401" s="2">
        <f>D400</f>
        <v>10</v>
      </c>
      <c r="E401" s="2">
        <v>0.125</v>
      </c>
      <c r="F401" s="2">
        <f>ROUND((E397-(IF(E397/3&gt;2*G397,E397/3*2,G397*2*2)))/E401,0)</f>
        <v>6</v>
      </c>
      <c r="G401" s="3"/>
      <c r="O401" s="10">
        <f>(2*((G397-(2*$D$11))+(F397-(2*$D$11)))+(2*10*D401/1000))*D397</f>
        <v>1.96</v>
      </c>
      <c r="P401" s="10">
        <f t="shared" si="127"/>
        <v>11.76</v>
      </c>
      <c r="Q401" s="10">
        <f t="shared" ref="Q401:W403" si="128">IF($D401=Q$44,$P401*Q$45,0)</f>
        <v>0</v>
      </c>
      <c r="R401" s="10">
        <f t="shared" si="128"/>
        <v>7.2534000000000001</v>
      </c>
      <c r="S401" s="10">
        <f t="shared" si="128"/>
        <v>0</v>
      </c>
      <c r="T401" s="10">
        <f t="shared" si="128"/>
        <v>0</v>
      </c>
      <c r="U401" s="10">
        <f t="shared" si="128"/>
        <v>0</v>
      </c>
      <c r="V401" s="10">
        <f t="shared" si="128"/>
        <v>0</v>
      </c>
      <c r="W401" s="10">
        <f t="shared" si="128"/>
        <v>0</v>
      </c>
      <c r="X401" s="10">
        <f t="shared" si="126"/>
        <v>7.2534000000000001</v>
      </c>
    </row>
    <row r="402" spans="1:32" s="2" customFormat="1" ht="20.100000000000001" customHeight="1" x14ac:dyDescent="0.2">
      <c r="B402" s="10" t="s">
        <v>67</v>
      </c>
      <c r="C402" s="93" t="s">
        <v>74</v>
      </c>
      <c r="D402" s="2">
        <f>D400</f>
        <v>10</v>
      </c>
      <c r="E402" s="2">
        <f>+E400</f>
        <v>0.1</v>
      </c>
      <c r="F402" s="10">
        <f>ROUND(IF(E397/3&gt;(2*G397),(E397/3)/E402,(2*G397)/E402),0)*2+1</f>
        <v>21</v>
      </c>
      <c r="G402" s="3"/>
      <c r="O402" s="10">
        <f>((((G397-(2*$D$11))+(2*10*D402/1000))*D397))*2</f>
        <v>1.28</v>
      </c>
      <c r="P402" s="10">
        <f t="shared" si="127"/>
        <v>26.88</v>
      </c>
      <c r="Q402" s="10">
        <f t="shared" si="128"/>
        <v>0</v>
      </c>
      <c r="R402" s="10">
        <f t="shared" si="128"/>
        <v>16.5792</v>
      </c>
      <c r="S402" s="10">
        <f t="shared" si="128"/>
        <v>0</v>
      </c>
      <c r="T402" s="10">
        <f t="shared" si="128"/>
        <v>0</v>
      </c>
      <c r="U402" s="10">
        <f t="shared" si="128"/>
        <v>0</v>
      </c>
      <c r="V402" s="10">
        <f t="shared" si="128"/>
        <v>0</v>
      </c>
      <c r="W402" s="10">
        <f t="shared" si="128"/>
        <v>0</v>
      </c>
      <c r="X402" s="10">
        <f t="shared" si="126"/>
        <v>16.5792</v>
      </c>
    </row>
    <row r="403" spans="1:32" s="2" customFormat="1" ht="20.100000000000001" customHeight="1" x14ac:dyDescent="0.2">
      <c r="B403" s="10" t="s">
        <v>67</v>
      </c>
      <c r="C403" s="93" t="s">
        <v>74</v>
      </c>
      <c r="D403" s="2">
        <f>D401</f>
        <v>10</v>
      </c>
      <c r="E403" s="2">
        <f>+E401</f>
        <v>0.125</v>
      </c>
      <c r="F403" s="2">
        <f>ROUND((E397-(IF(E397/3&gt;2*G397,E397/3*2,G397*2*2)))/E403,0)</f>
        <v>6</v>
      </c>
      <c r="G403" s="3"/>
      <c r="O403" s="10">
        <f>((((G397-(2*$D$11))+(2*10*D403/1000))*D397))*2</f>
        <v>1.28</v>
      </c>
      <c r="P403" s="10">
        <f t="shared" si="127"/>
        <v>7.68</v>
      </c>
      <c r="Q403" s="10">
        <f t="shared" si="128"/>
        <v>0</v>
      </c>
      <c r="R403" s="10">
        <f t="shared" si="128"/>
        <v>4.7369142857142856</v>
      </c>
      <c r="S403" s="10">
        <f t="shared" si="128"/>
        <v>0</v>
      </c>
      <c r="T403" s="10">
        <f t="shared" si="128"/>
        <v>0</v>
      </c>
      <c r="U403" s="10">
        <f t="shared" si="128"/>
        <v>0</v>
      </c>
      <c r="V403" s="10">
        <f t="shared" si="128"/>
        <v>0</v>
      </c>
      <c r="W403" s="10">
        <f t="shared" si="128"/>
        <v>0</v>
      </c>
      <c r="X403" s="10">
        <f t="shared" si="126"/>
        <v>4.7369142857142856</v>
      </c>
    </row>
    <row r="404" spans="1:32" s="3" customFormat="1" ht="21" customHeight="1" x14ac:dyDescent="0.2">
      <c r="A404" s="10">
        <v>1</v>
      </c>
      <c r="B404" s="10" t="s">
        <v>67</v>
      </c>
      <c r="C404" s="91" t="s">
        <v>121</v>
      </c>
      <c r="D404" s="91">
        <v>1</v>
      </c>
      <c r="E404" s="91">
        <v>1.32</v>
      </c>
      <c r="F404" s="91">
        <v>0.3</v>
      </c>
      <c r="G404" s="91">
        <v>0.8</v>
      </c>
      <c r="H404" s="10">
        <f>G404-0.2</f>
        <v>0.60000000000000009</v>
      </c>
      <c r="I404" s="10">
        <f>E404*F404*G404*D404</f>
        <v>0.31680000000000003</v>
      </c>
      <c r="J404" s="10">
        <f>(2*(E404)*H404*D404)+(E404*F404)</f>
        <v>1.9800000000000004</v>
      </c>
      <c r="K404" s="92">
        <f>IF(E404=0.3,J404,0)</f>
        <v>0</v>
      </c>
      <c r="L404" s="92">
        <f>IF(AND(E404&gt;0.3,E404&lt;=0.75),J404,0)</f>
        <v>0</v>
      </c>
      <c r="M404" s="92">
        <f>IF(AND(E404&gt;0.75,E404&lt;=1.2),J404,0)</f>
        <v>0</v>
      </c>
      <c r="N404" s="92">
        <f>IF(E404&gt;1.2,J404,0)</f>
        <v>1.9800000000000004</v>
      </c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>
        <f>SUM(X405:X408)/I404</f>
        <v>280.41321428571428</v>
      </c>
      <c r="Z404" s="10"/>
      <c r="AA404" s="10"/>
      <c r="AB404" s="10"/>
      <c r="AC404" s="10"/>
      <c r="AD404" s="10"/>
      <c r="AE404" s="10"/>
      <c r="AF404" s="10"/>
    </row>
    <row r="405" spans="1:32" s="3" customFormat="1" ht="20.100000000000001" customHeight="1" x14ac:dyDescent="0.2">
      <c r="A405" s="87"/>
      <c r="B405" s="10" t="s">
        <v>67</v>
      </c>
      <c r="C405" s="93" t="s">
        <v>69</v>
      </c>
      <c r="D405" s="10">
        <v>20</v>
      </c>
      <c r="E405" s="10"/>
      <c r="F405" s="10">
        <v>3</v>
      </c>
      <c r="G405" s="90">
        <f>VLOOKUP(D405,$C$20:$F$26,3,0)</f>
        <v>1.05</v>
      </c>
      <c r="H405" s="90"/>
      <c r="I405" s="10"/>
      <c r="J405" s="10"/>
      <c r="K405" s="10"/>
      <c r="L405" s="10"/>
      <c r="M405" s="10"/>
      <c r="N405" s="10"/>
      <c r="O405" s="10">
        <f>(E404+1*(G405+(12*D405/1000))+1*(0.3/2)*D404)</f>
        <v>2.7600000000000002</v>
      </c>
      <c r="P405" s="10">
        <f>O405*F405</f>
        <v>8.2800000000000011</v>
      </c>
      <c r="Q405" s="10">
        <f t="shared" ref="Q405:W420" si="129">IF($D405=Q$44,$P405*Q$45,0)</f>
        <v>0</v>
      </c>
      <c r="R405" s="10">
        <f t="shared" si="129"/>
        <v>0</v>
      </c>
      <c r="S405" s="10">
        <f t="shared" si="129"/>
        <v>0</v>
      </c>
      <c r="T405" s="10">
        <f t="shared" si="129"/>
        <v>0</v>
      </c>
      <c r="U405" s="10">
        <f t="shared" si="129"/>
        <v>20.42794285714286</v>
      </c>
      <c r="V405" s="10">
        <f t="shared" si="129"/>
        <v>0</v>
      </c>
      <c r="W405" s="10">
        <f t="shared" si="129"/>
        <v>0</v>
      </c>
      <c r="X405" s="10">
        <f t="shared" ref="X405:X408" si="130">SUM(Q405:W405)</f>
        <v>20.42794285714286</v>
      </c>
      <c r="Y405" s="10"/>
      <c r="Z405" s="10"/>
      <c r="AA405" s="10"/>
      <c r="AB405" s="10"/>
      <c r="AC405" s="10"/>
      <c r="AD405" s="10"/>
      <c r="AE405" s="10"/>
    </row>
    <row r="406" spans="1:32" s="3" customFormat="1" ht="20.100000000000001" customHeight="1" x14ac:dyDescent="0.2">
      <c r="A406" s="87"/>
      <c r="B406" s="10" t="s">
        <v>67</v>
      </c>
      <c r="C406" s="93" t="s">
        <v>71</v>
      </c>
      <c r="D406" s="10">
        <v>20</v>
      </c>
      <c r="E406" s="10"/>
      <c r="F406" s="10">
        <v>3</v>
      </c>
      <c r="G406" s="90">
        <f>VLOOKUP(D406,$C$20:$F$26,3,0)</f>
        <v>1.05</v>
      </c>
      <c r="H406" s="10"/>
      <c r="I406" s="10"/>
      <c r="J406" s="10"/>
      <c r="K406" s="10"/>
      <c r="L406" s="10"/>
      <c r="M406" s="10"/>
      <c r="N406" s="10"/>
      <c r="O406" s="10">
        <f>(E404+2*(G406+(12*D406/1000))*D404)</f>
        <v>3.9000000000000004</v>
      </c>
      <c r="P406" s="10">
        <f>O406*F406</f>
        <v>11.700000000000001</v>
      </c>
      <c r="Q406" s="10">
        <f t="shared" si="129"/>
        <v>0</v>
      </c>
      <c r="R406" s="10">
        <f t="shared" si="129"/>
        <v>0</v>
      </c>
      <c r="S406" s="10">
        <f t="shared" si="129"/>
        <v>0</v>
      </c>
      <c r="T406" s="10">
        <f t="shared" si="129"/>
        <v>0</v>
      </c>
      <c r="U406" s="10">
        <f t="shared" si="129"/>
        <v>28.865571428571432</v>
      </c>
      <c r="V406" s="10">
        <f t="shared" si="129"/>
        <v>0</v>
      </c>
      <c r="W406" s="10">
        <f t="shared" si="129"/>
        <v>0</v>
      </c>
      <c r="X406" s="10">
        <f t="shared" si="130"/>
        <v>28.865571428571432</v>
      </c>
      <c r="Y406" s="10"/>
      <c r="Z406" s="10"/>
      <c r="AA406" s="10"/>
      <c r="AB406" s="10"/>
      <c r="AC406" s="10"/>
      <c r="AD406" s="10"/>
      <c r="AE406" s="10"/>
    </row>
    <row r="407" spans="1:32" s="3" customFormat="1" ht="20.100000000000001" customHeight="1" x14ac:dyDescent="0.2">
      <c r="A407" s="87"/>
      <c r="B407" s="10" t="s">
        <v>67</v>
      </c>
      <c r="C407" s="93" t="s">
        <v>73</v>
      </c>
      <c r="D407" s="10">
        <v>12</v>
      </c>
      <c r="E407" s="10">
        <v>0.1</v>
      </c>
      <c r="F407" s="10">
        <f>ROUNDUP(E404/E407,0)</f>
        <v>14</v>
      </c>
      <c r="H407" s="10"/>
      <c r="I407" s="10"/>
      <c r="J407" s="10"/>
      <c r="K407" s="10"/>
      <c r="L407" s="10"/>
      <c r="M407" s="10"/>
      <c r="N407" s="10"/>
      <c r="O407" s="10">
        <f>(2*((G404-(2*$D$11))+(F404-(2*$D$11)))+(2*10*D407/1000))*D404</f>
        <v>2.2000000000000002</v>
      </c>
      <c r="P407" s="10">
        <f>O407*F407</f>
        <v>30.800000000000004</v>
      </c>
      <c r="Q407" s="10">
        <f t="shared" si="129"/>
        <v>0</v>
      </c>
      <c r="R407" s="10">
        <f t="shared" si="129"/>
        <v>0</v>
      </c>
      <c r="S407" s="10">
        <f t="shared" si="129"/>
        <v>27.35568000000001</v>
      </c>
      <c r="T407" s="10">
        <f t="shared" si="129"/>
        <v>0</v>
      </c>
      <c r="U407" s="10">
        <f t="shared" si="129"/>
        <v>0</v>
      </c>
      <c r="V407" s="10">
        <f t="shared" si="129"/>
        <v>0</v>
      </c>
      <c r="W407" s="10">
        <f t="shared" si="129"/>
        <v>0</v>
      </c>
      <c r="X407" s="10">
        <f t="shared" si="130"/>
        <v>27.35568000000001</v>
      </c>
      <c r="Y407" s="10"/>
      <c r="Z407" s="10"/>
      <c r="AA407" s="10"/>
      <c r="AB407" s="10"/>
      <c r="AC407" s="10"/>
      <c r="AD407" s="10"/>
      <c r="AE407" s="10"/>
    </row>
    <row r="408" spans="1:32" s="2" customFormat="1" ht="20.100000000000001" customHeight="1" x14ac:dyDescent="0.2">
      <c r="B408" s="10" t="s">
        <v>67</v>
      </c>
      <c r="C408" s="93" t="s">
        <v>74</v>
      </c>
      <c r="D408" s="10">
        <f>+D407</f>
        <v>12</v>
      </c>
      <c r="E408" s="2">
        <f>+E407</f>
        <v>0.1</v>
      </c>
      <c r="F408" s="10">
        <f>ROUNDUP(E404/E408,0)</f>
        <v>14</v>
      </c>
      <c r="G408" s="3"/>
      <c r="O408" s="10">
        <f>((((G404-(2*$D$11))+(2*10*D408/1000))*D404))*1</f>
        <v>0.98</v>
      </c>
      <c r="P408" s="10">
        <f>O408*F408</f>
        <v>13.719999999999999</v>
      </c>
      <c r="Q408" s="10">
        <f t="shared" si="129"/>
        <v>0</v>
      </c>
      <c r="R408" s="10">
        <f t="shared" si="129"/>
        <v>0</v>
      </c>
      <c r="S408" s="10">
        <f t="shared" si="129"/>
        <v>12.185712000000001</v>
      </c>
      <c r="T408" s="10">
        <f t="shared" si="129"/>
        <v>0</v>
      </c>
      <c r="U408" s="10">
        <f t="shared" si="129"/>
        <v>0</v>
      </c>
      <c r="V408" s="10">
        <f t="shared" si="129"/>
        <v>0</v>
      </c>
      <c r="W408" s="10">
        <f t="shared" si="129"/>
        <v>0</v>
      </c>
      <c r="X408" s="10">
        <f t="shared" si="130"/>
        <v>12.185712000000001</v>
      </c>
    </row>
    <row r="409" spans="1:32" s="3" customFormat="1" ht="21" customHeight="1" x14ac:dyDescent="0.2">
      <c r="A409" s="10">
        <v>1</v>
      </c>
      <c r="B409" s="10" t="s">
        <v>67</v>
      </c>
      <c r="C409" s="91" t="s">
        <v>122</v>
      </c>
      <c r="D409" s="91">
        <v>1</v>
      </c>
      <c r="E409" s="91">
        <v>1.696</v>
      </c>
      <c r="F409" s="91">
        <v>0.4</v>
      </c>
      <c r="G409" s="91">
        <v>1.2</v>
      </c>
      <c r="H409" s="10">
        <f>G409-0.2</f>
        <v>1</v>
      </c>
      <c r="I409" s="10">
        <f>E409*F409*G409*D409</f>
        <v>0.81408000000000003</v>
      </c>
      <c r="J409" s="10">
        <f>(2*(E409)*H409*D409)+(E409*F409)</f>
        <v>4.0704000000000002</v>
      </c>
      <c r="K409" s="92">
        <f>IF(E409=0.3,J409,0)</f>
        <v>0</v>
      </c>
      <c r="L409" s="92">
        <f>IF(AND(E409&gt;0.3,E409&lt;=0.75),J409,0)</f>
        <v>0</v>
      </c>
      <c r="M409" s="92">
        <f>IF(AND(E409&gt;0.75,E409&lt;=1.2),J409,0)</f>
        <v>0</v>
      </c>
      <c r="N409" s="92">
        <f>IF(E409&gt;1.2,J409,0)</f>
        <v>4.0704000000000002</v>
      </c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>
        <f>SUM(X410:X413)/I409</f>
        <v>246.74186408496186</v>
      </c>
      <c r="Z409" s="10"/>
      <c r="AA409" s="10"/>
      <c r="AB409" s="10"/>
      <c r="AC409" s="10"/>
      <c r="AD409" s="10"/>
      <c r="AE409" s="10"/>
      <c r="AF409" s="10"/>
    </row>
    <row r="410" spans="1:32" s="3" customFormat="1" ht="20.100000000000001" customHeight="1" x14ac:dyDescent="0.2">
      <c r="A410" s="87"/>
      <c r="B410" s="10" t="s">
        <v>67</v>
      </c>
      <c r="C410" s="93" t="s">
        <v>69</v>
      </c>
      <c r="D410" s="10">
        <v>25</v>
      </c>
      <c r="E410" s="10"/>
      <c r="F410" s="10">
        <v>4</v>
      </c>
      <c r="G410" s="90">
        <f>VLOOKUP(D410,$C$20:$F$26,3,0)</f>
        <v>1.35</v>
      </c>
      <c r="H410" s="90"/>
      <c r="I410" s="10"/>
      <c r="J410" s="10"/>
      <c r="K410" s="10"/>
      <c r="L410" s="10"/>
      <c r="M410" s="10"/>
      <c r="N410" s="10"/>
      <c r="O410" s="10">
        <f>(E409+1*(G410+(12*D410/1000))+1*(0.4/2)*D409)</f>
        <v>3.5460000000000003</v>
      </c>
      <c r="P410" s="10">
        <f>O410*F410</f>
        <v>14.184000000000001</v>
      </c>
      <c r="Q410" s="10">
        <f t="shared" si="129"/>
        <v>0</v>
      </c>
      <c r="R410" s="10">
        <f t="shared" si="129"/>
        <v>0</v>
      </c>
      <c r="S410" s="10">
        <f t="shared" si="129"/>
        <v>0</v>
      </c>
      <c r="T410" s="10">
        <f t="shared" si="129"/>
        <v>0</v>
      </c>
      <c r="U410" s="10">
        <f t="shared" si="129"/>
        <v>0</v>
      </c>
      <c r="V410" s="10">
        <f t="shared" si="129"/>
        <v>54.678053571428585</v>
      </c>
      <c r="W410" s="10">
        <f t="shared" si="129"/>
        <v>0</v>
      </c>
      <c r="X410" s="10">
        <f t="shared" ref="X410:X413" si="131">SUM(Q410:W410)</f>
        <v>54.678053571428585</v>
      </c>
      <c r="Y410" s="10"/>
      <c r="Z410" s="10"/>
      <c r="AA410" s="10"/>
      <c r="AB410" s="10"/>
      <c r="AC410" s="10"/>
      <c r="AD410" s="10"/>
      <c r="AE410" s="10"/>
    </row>
    <row r="411" spans="1:32" s="3" customFormat="1" ht="20.100000000000001" customHeight="1" x14ac:dyDescent="0.2">
      <c r="A411" s="87"/>
      <c r="B411" s="10" t="s">
        <v>67</v>
      </c>
      <c r="C411" s="93" t="s">
        <v>71</v>
      </c>
      <c r="D411" s="10">
        <v>25</v>
      </c>
      <c r="E411" s="10"/>
      <c r="F411" s="10">
        <v>4</v>
      </c>
      <c r="G411" s="90">
        <f>VLOOKUP(D411,$C$20:$F$26,3,0)</f>
        <v>1.35</v>
      </c>
      <c r="H411" s="10"/>
      <c r="I411" s="10"/>
      <c r="J411" s="10"/>
      <c r="K411" s="10"/>
      <c r="L411" s="10"/>
      <c r="M411" s="10"/>
      <c r="N411" s="10"/>
      <c r="O411" s="10">
        <f>(E409+2*(G411+(12*D411/1000))*D409)</f>
        <v>4.9960000000000004</v>
      </c>
      <c r="P411" s="10">
        <f>O411*F411</f>
        <v>19.984000000000002</v>
      </c>
      <c r="Q411" s="10">
        <f t="shared" si="129"/>
        <v>0</v>
      </c>
      <c r="R411" s="10">
        <f t="shared" si="129"/>
        <v>0</v>
      </c>
      <c r="S411" s="10">
        <f t="shared" si="129"/>
        <v>0</v>
      </c>
      <c r="T411" s="10">
        <f t="shared" si="129"/>
        <v>0</v>
      </c>
      <c r="U411" s="10">
        <f t="shared" si="129"/>
        <v>0</v>
      </c>
      <c r="V411" s="10">
        <f t="shared" si="129"/>
        <v>77.036535714285733</v>
      </c>
      <c r="W411" s="10">
        <f t="shared" si="129"/>
        <v>0</v>
      </c>
      <c r="X411" s="10">
        <f t="shared" si="131"/>
        <v>77.036535714285733</v>
      </c>
      <c r="Y411" s="10"/>
      <c r="Z411" s="10"/>
      <c r="AA411" s="10"/>
      <c r="AB411" s="10"/>
      <c r="AC411" s="10"/>
      <c r="AD411" s="10"/>
      <c r="AE411" s="10"/>
    </row>
    <row r="412" spans="1:32" s="3" customFormat="1" ht="20.100000000000001" customHeight="1" x14ac:dyDescent="0.2">
      <c r="A412" s="87"/>
      <c r="B412" s="10" t="s">
        <v>67</v>
      </c>
      <c r="C412" s="93" t="s">
        <v>73</v>
      </c>
      <c r="D412" s="10">
        <v>12</v>
      </c>
      <c r="E412" s="10">
        <v>0.1</v>
      </c>
      <c r="F412" s="10">
        <f>ROUNDUP(E409/E412,0)</f>
        <v>17</v>
      </c>
      <c r="H412" s="10"/>
      <c r="I412" s="10"/>
      <c r="J412" s="10"/>
      <c r="K412" s="10"/>
      <c r="L412" s="10"/>
      <c r="M412" s="10"/>
      <c r="N412" s="10"/>
      <c r="O412" s="10">
        <f>(2*((G409-(2*$D$11))+(F409-(2*$D$11)))+(2*10*D412/1000))*D409</f>
        <v>3.2</v>
      </c>
      <c r="P412" s="10">
        <f>O412*F412</f>
        <v>54.400000000000006</v>
      </c>
      <c r="Q412" s="10">
        <f t="shared" si="129"/>
        <v>0</v>
      </c>
      <c r="R412" s="10">
        <f t="shared" si="129"/>
        <v>0</v>
      </c>
      <c r="S412" s="10">
        <f t="shared" si="129"/>
        <v>48.316525714285724</v>
      </c>
      <c r="T412" s="10">
        <f t="shared" si="129"/>
        <v>0</v>
      </c>
      <c r="U412" s="10">
        <f t="shared" si="129"/>
        <v>0</v>
      </c>
      <c r="V412" s="10">
        <f t="shared" si="129"/>
        <v>0</v>
      </c>
      <c r="W412" s="10">
        <f t="shared" si="129"/>
        <v>0</v>
      </c>
      <c r="X412" s="10">
        <f t="shared" si="131"/>
        <v>48.316525714285724</v>
      </c>
      <c r="Y412" s="10"/>
      <c r="Z412" s="10"/>
      <c r="AA412" s="10"/>
      <c r="AB412" s="10"/>
      <c r="AC412" s="10"/>
      <c r="AD412" s="10"/>
      <c r="AE412" s="10"/>
    </row>
    <row r="413" spans="1:32" s="2" customFormat="1" ht="20.100000000000001" customHeight="1" x14ac:dyDescent="0.2">
      <c r="B413" s="10" t="s">
        <v>67</v>
      </c>
      <c r="C413" s="93" t="s">
        <v>74</v>
      </c>
      <c r="D413" s="10">
        <f>+D412</f>
        <v>12</v>
      </c>
      <c r="E413" s="2">
        <f>+E412</f>
        <v>0.1</v>
      </c>
      <c r="F413" s="10">
        <f>ROUNDUP(E409/E413,0)</f>
        <v>17</v>
      </c>
      <c r="G413" s="3"/>
      <c r="O413" s="10">
        <f>((((G409-(2*$D$11))+(2*10*D413/1000))*D409))*1</f>
        <v>1.38</v>
      </c>
      <c r="P413" s="10">
        <f>O413*F413</f>
        <v>23.459999999999997</v>
      </c>
      <c r="Q413" s="10">
        <f t="shared" si="129"/>
        <v>0</v>
      </c>
      <c r="R413" s="10">
        <f t="shared" si="129"/>
        <v>0</v>
      </c>
      <c r="S413" s="10">
        <f t="shared" si="129"/>
        <v>20.836501714285717</v>
      </c>
      <c r="T413" s="10">
        <f t="shared" si="129"/>
        <v>0</v>
      </c>
      <c r="U413" s="10">
        <f t="shared" si="129"/>
        <v>0</v>
      </c>
      <c r="V413" s="10">
        <f t="shared" si="129"/>
        <v>0</v>
      </c>
      <c r="W413" s="10">
        <f t="shared" si="129"/>
        <v>0</v>
      </c>
      <c r="X413" s="10">
        <f t="shared" si="131"/>
        <v>20.836501714285717</v>
      </c>
    </row>
    <row r="414" spans="1:32" s="3" customFormat="1" ht="21" customHeight="1" x14ac:dyDescent="0.2">
      <c r="A414" s="10">
        <v>1</v>
      </c>
      <c r="B414" s="10" t="s">
        <v>67</v>
      </c>
      <c r="C414" s="91" t="s">
        <v>123</v>
      </c>
      <c r="D414" s="91">
        <v>1</v>
      </c>
      <c r="E414" s="91">
        <v>5.9340000000000002</v>
      </c>
      <c r="F414" s="91">
        <v>0.4</v>
      </c>
      <c r="G414" s="91">
        <v>1</v>
      </c>
      <c r="H414" s="10">
        <f>G414-0.2</f>
        <v>0.8</v>
      </c>
      <c r="I414" s="10">
        <f>E414*F414*G414*D414</f>
        <v>2.3736000000000002</v>
      </c>
      <c r="J414" s="10">
        <f>(2*(E414)*H414*D414)+(E414*F414)</f>
        <v>11.868</v>
      </c>
      <c r="K414" s="92">
        <f>IF(E414=0.3,J414,0)</f>
        <v>0</v>
      </c>
      <c r="L414" s="92">
        <f>IF(AND(E414&gt;0.3,E414&lt;=0.75),J414,0)</f>
        <v>0</v>
      </c>
      <c r="M414" s="92">
        <f>IF(AND(E414&gt;0.75,E414&lt;=1.2),J414,0)</f>
        <v>0</v>
      </c>
      <c r="N414" s="92">
        <f>IF(E414&gt;1.2,J414,0)</f>
        <v>11.868</v>
      </c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>
        <f>SUM(X415:X418)/I414</f>
        <v>151.87074937406715</v>
      </c>
      <c r="Z414" s="10"/>
      <c r="AA414" s="10"/>
      <c r="AB414" s="10"/>
      <c r="AC414" s="10"/>
      <c r="AD414" s="10"/>
      <c r="AE414" s="10"/>
      <c r="AF414" s="10"/>
    </row>
    <row r="415" spans="1:32" s="3" customFormat="1" ht="20.100000000000001" customHeight="1" x14ac:dyDescent="0.2">
      <c r="A415" s="87"/>
      <c r="B415" s="10" t="s">
        <v>67</v>
      </c>
      <c r="C415" s="93" t="s">
        <v>69</v>
      </c>
      <c r="D415" s="10">
        <v>25</v>
      </c>
      <c r="E415" s="10"/>
      <c r="F415" s="10">
        <v>4</v>
      </c>
      <c r="G415" s="90">
        <f>VLOOKUP(D415,$C$20:$F$26,3,0)</f>
        <v>1.35</v>
      </c>
      <c r="H415" s="90"/>
      <c r="I415" s="10"/>
      <c r="J415" s="10"/>
      <c r="K415" s="10"/>
      <c r="L415" s="10"/>
      <c r="M415" s="10"/>
      <c r="N415" s="10"/>
      <c r="O415" s="10">
        <f>(E414+2*(0.4/2)*D414)</f>
        <v>6.3340000000000005</v>
      </c>
      <c r="P415" s="10">
        <f>O415*F415</f>
        <v>25.336000000000002</v>
      </c>
      <c r="Q415" s="10">
        <f t="shared" si="129"/>
        <v>0</v>
      </c>
      <c r="R415" s="10">
        <f t="shared" si="129"/>
        <v>0</v>
      </c>
      <c r="S415" s="10">
        <f t="shared" si="129"/>
        <v>0</v>
      </c>
      <c r="T415" s="10">
        <f t="shared" si="129"/>
        <v>0</v>
      </c>
      <c r="U415" s="10">
        <f t="shared" si="129"/>
        <v>0</v>
      </c>
      <c r="V415" s="10">
        <f t="shared" si="129"/>
        <v>97.668017857142885</v>
      </c>
      <c r="W415" s="10">
        <f t="shared" si="129"/>
        <v>0</v>
      </c>
      <c r="X415" s="10">
        <f t="shared" ref="X415:X418" si="132">SUM(Q415:W415)</f>
        <v>97.668017857142885</v>
      </c>
      <c r="Y415" s="10"/>
      <c r="Z415" s="10"/>
      <c r="AA415" s="10"/>
      <c r="AB415" s="10"/>
      <c r="AC415" s="10"/>
      <c r="AD415" s="10"/>
      <c r="AE415" s="10"/>
    </row>
    <row r="416" spans="1:32" s="3" customFormat="1" ht="20.100000000000001" customHeight="1" x14ac:dyDescent="0.2">
      <c r="A416" s="87"/>
      <c r="B416" s="10" t="s">
        <v>67</v>
      </c>
      <c r="C416" s="93" t="s">
        <v>71</v>
      </c>
      <c r="D416" s="10">
        <v>25</v>
      </c>
      <c r="E416" s="10"/>
      <c r="F416" s="10">
        <v>4</v>
      </c>
      <c r="G416" s="90">
        <f>VLOOKUP(D416,$C$20:$F$26,3,0)</f>
        <v>1.35</v>
      </c>
      <c r="H416" s="10"/>
      <c r="I416" s="10"/>
      <c r="J416" s="10"/>
      <c r="K416" s="10"/>
      <c r="L416" s="10"/>
      <c r="M416" s="10"/>
      <c r="N416" s="10"/>
      <c r="O416" s="10">
        <f>(E414+2*(0.4/2)+G416*D414)</f>
        <v>7.6840000000000011</v>
      </c>
      <c r="P416" s="10">
        <f>O416*F416</f>
        <v>30.736000000000004</v>
      </c>
      <c r="Q416" s="10">
        <f t="shared" si="129"/>
        <v>0</v>
      </c>
      <c r="R416" s="10">
        <f t="shared" si="129"/>
        <v>0</v>
      </c>
      <c r="S416" s="10">
        <f t="shared" si="129"/>
        <v>0</v>
      </c>
      <c r="T416" s="10">
        <f t="shared" si="129"/>
        <v>0</v>
      </c>
      <c r="U416" s="10">
        <f t="shared" si="129"/>
        <v>0</v>
      </c>
      <c r="V416" s="10">
        <f t="shared" si="129"/>
        <v>118.48453571428576</v>
      </c>
      <c r="W416" s="10">
        <f t="shared" si="129"/>
        <v>0</v>
      </c>
      <c r="X416" s="10">
        <f t="shared" si="132"/>
        <v>118.48453571428576</v>
      </c>
      <c r="Y416" s="10"/>
      <c r="Z416" s="10"/>
      <c r="AA416" s="10"/>
      <c r="AB416" s="10"/>
      <c r="AC416" s="10"/>
      <c r="AD416" s="10"/>
      <c r="AE416" s="10"/>
    </row>
    <row r="417" spans="1:32" s="3" customFormat="1" ht="20.100000000000001" customHeight="1" x14ac:dyDescent="0.2">
      <c r="A417" s="87"/>
      <c r="B417" s="10" t="s">
        <v>67</v>
      </c>
      <c r="C417" s="93" t="s">
        <v>73</v>
      </c>
      <c r="D417" s="10">
        <v>10</v>
      </c>
      <c r="E417" s="10">
        <v>0.1</v>
      </c>
      <c r="F417" s="10">
        <f>ROUNDUP(E414/E417,0)</f>
        <v>60</v>
      </c>
      <c r="H417" s="10"/>
      <c r="I417" s="10"/>
      <c r="J417" s="10"/>
      <c r="K417" s="10"/>
      <c r="L417" s="10"/>
      <c r="M417" s="10"/>
      <c r="N417" s="10"/>
      <c r="O417" s="10">
        <f>(2*((G414-(2*$D$11))+(F414-(2*$D$11)))+(2*10*D417/1000))*D414</f>
        <v>2.7600000000000002</v>
      </c>
      <c r="P417" s="10">
        <f>O417*F417</f>
        <v>165.60000000000002</v>
      </c>
      <c r="Q417" s="10">
        <f t="shared" si="129"/>
        <v>0</v>
      </c>
      <c r="R417" s="10">
        <f t="shared" si="129"/>
        <v>102.13971428571429</v>
      </c>
      <c r="S417" s="10">
        <f t="shared" si="129"/>
        <v>0</v>
      </c>
      <c r="T417" s="10">
        <f t="shared" si="129"/>
        <v>0</v>
      </c>
      <c r="U417" s="10">
        <f t="shared" si="129"/>
        <v>0</v>
      </c>
      <c r="V417" s="10">
        <f t="shared" si="129"/>
        <v>0</v>
      </c>
      <c r="W417" s="10">
        <f t="shared" si="129"/>
        <v>0</v>
      </c>
      <c r="X417" s="10">
        <f t="shared" si="132"/>
        <v>102.13971428571429</v>
      </c>
      <c r="Y417" s="10"/>
      <c r="Z417" s="10"/>
      <c r="AA417" s="10"/>
      <c r="AB417" s="10"/>
      <c r="AC417" s="10"/>
      <c r="AD417" s="10"/>
      <c r="AE417" s="10"/>
    </row>
    <row r="418" spans="1:32" s="2" customFormat="1" ht="20.100000000000001" customHeight="1" x14ac:dyDescent="0.2">
      <c r="B418" s="10" t="s">
        <v>67</v>
      </c>
      <c r="C418" s="93" t="s">
        <v>74</v>
      </c>
      <c r="D418" s="10">
        <f>+D417</f>
        <v>10</v>
      </c>
      <c r="E418" s="2">
        <f>+E417</f>
        <v>0.1</v>
      </c>
      <c r="F418" s="10">
        <f>ROUNDUP(E414/E418,0)</f>
        <v>60</v>
      </c>
      <c r="G418" s="3"/>
      <c r="O418" s="10">
        <f>((((G414-(2*$D$11))+(2*10*D418/1000))*D414))*1</f>
        <v>1.1399999999999999</v>
      </c>
      <c r="P418" s="10">
        <f>O418*F418</f>
        <v>68.399999999999991</v>
      </c>
      <c r="Q418" s="10">
        <f t="shared" si="129"/>
        <v>0</v>
      </c>
      <c r="R418" s="10">
        <f t="shared" si="129"/>
        <v>42.18814285714285</v>
      </c>
      <c r="S418" s="10">
        <f t="shared" si="129"/>
        <v>0</v>
      </c>
      <c r="T418" s="10">
        <f t="shared" si="129"/>
        <v>0</v>
      </c>
      <c r="U418" s="10">
        <f t="shared" si="129"/>
        <v>0</v>
      </c>
      <c r="V418" s="10">
        <f t="shared" si="129"/>
        <v>0</v>
      </c>
      <c r="W418" s="10">
        <f t="shared" si="129"/>
        <v>0</v>
      </c>
      <c r="X418" s="10">
        <f t="shared" si="132"/>
        <v>42.18814285714285</v>
      </c>
    </row>
    <row r="419" spans="1:32" s="3" customFormat="1" ht="21" customHeight="1" x14ac:dyDescent="0.2">
      <c r="A419" s="10">
        <v>1</v>
      </c>
      <c r="B419" s="10" t="s">
        <v>67</v>
      </c>
      <c r="C419" s="91" t="s">
        <v>124</v>
      </c>
      <c r="D419" s="91">
        <v>1</v>
      </c>
      <c r="E419" s="91">
        <v>2.85</v>
      </c>
      <c r="F419" s="91">
        <v>0.4</v>
      </c>
      <c r="G419" s="91">
        <v>1</v>
      </c>
      <c r="H419" s="10">
        <f>G419-0.2</f>
        <v>0.8</v>
      </c>
      <c r="I419" s="10">
        <f>E419*F419*G419*D419</f>
        <v>1.1400000000000001</v>
      </c>
      <c r="J419" s="10">
        <f>(2*(E419)*H419*D419)+(E419*F419)</f>
        <v>5.7000000000000011</v>
      </c>
      <c r="K419" s="92">
        <f>IF(E419=0.3,J419,0)</f>
        <v>0</v>
      </c>
      <c r="L419" s="92">
        <f>IF(AND(E419&gt;0.3,E419&lt;=0.75),J419,0)</f>
        <v>0</v>
      </c>
      <c r="M419" s="92">
        <f>IF(AND(E419&gt;0.75,E419&lt;=1.2),J419,0)</f>
        <v>0</v>
      </c>
      <c r="N419" s="92">
        <f>IF(E419&gt;1.2,J419,0)</f>
        <v>5.7000000000000011</v>
      </c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>
        <f>SUM(X420:X423)/I419</f>
        <v>180.22045739348374</v>
      </c>
      <c r="Z419" s="10"/>
      <c r="AA419" s="10"/>
      <c r="AB419" s="10"/>
      <c r="AC419" s="10"/>
      <c r="AD419" s="10"/>
      <c r="AE419" s="10"/>
      <c r="AF419" s="10"/>
    </row>
    <row r="420" spans="1:32" s="3" customFormat="1" ht="20.100000000000001" customHeight="1" x14ac:dyDescent="0.2">
      <c r="A420" s="87"/>
      <c r="B420" s="10" t="s">
        <v>67</v>
      </c>
      <c r="C420" s="93" t="s">
        <v>69</v>
      </c>
      <c r="D420" s="10">
        <v>25</v>
      </c>
      <c r="E420" s="10"/>
      <c r="F420" s="10">
        <v>4</v>
      </c>
      <c r="G420" s="90">
        <f>VLOOKUP(D420,$C$20:$F$26,3,0)</f>
        <v>1.35</v>
      </c>
      <c r="H420" s="90"/>
      <c r="I420" s="10"/>
      <c r="J420" s="10"/>
      <c r="K420" s="10"/>
      <c r="L420" s="10"/>
      <c r="M420" s="10"/>
      <c r="N420" s="10"/>
      <c r="O420" s="10">
        <f>(E419+1*(G420+1*(0.4/2)*D419))</f>
        <v>4.4000000000000004</v>
      </c>
      <c r="P420" s="10">
        <f>O420*F420</f>
        <v>17.600000000000001</v>
      </c>
      <c r="Q420" s="10">
        <f t="shared" si="129"/>
        <v>0</v>
      </c>
      <c r="R420" s="10">
        <f t="shared" si="129"/>
        <v>0</v>
      </c>
      <c r="S420" s="10">
        <f t="shared" si="129"/>
        <v>0</v>
      </c>
      <c r="T420" s="10">
        <f t="shared" si="129"/>
        <v>0</v>
      </c>
      <c r="U420" s="10">
        <f t="shared" si="129"/>
        <v>0</v>
      </c>
      <c r="V420" s="10">
        <f t="shared" si="129"/>
        <v>67.846428571428589</v>
      </c>
      <c r="W420" s="10">
        <f t="shared" si="129"/>
        <v>0</v>
      </c>
      <c r="X420" s="10">
        <f t="shared" ref="X420:X423" si="133">SUM(Q420:W420)</f>
        <v>67.846428571428589</v>
      </c>
      <c r="Y420" s="10"/>
      <c r="Z420" s="10"/>
      <c r="AA420" s="10"/>
      <c r="AB420" s="10"/>
      <c r="AC420" s="10"/>
      <c r="AD420" s="10"/>
      <c r="AE420" s="10"/>
    </row>
    <row r="421" spans="1:32" s="3" customFormat="1" ht="20.100000000000001" customHeight="1" x14ac:dyDescent="0.2">
      <c r="A421" s="87"/>
      <c r="B421" s="10" t="s">
        <v>67</v>
      </c>
      <c r="C421" s="93" t="s">
        <v>71</v>
      </c>
      <c r="D421" s="10">
        <v>25</v>
      </c>
      <c r="E421" s="10"/>
      <c r="F421" s="10">
        <v>4</v>
      </c>
      <c r="G421" s="90">
        <f>VLOOKUP(D421,$C$20:$F$26,3,0)</f>
        <v>1.35</v>
      </c>
      <c r="H421" s="10"/>
      <c r="I421" s="10"/>
      <c r="J421" s="10"/>
      <c r="K421" s="10"/>
      <c r="L421" s="10"/>
      <c r="M421" s="10"/>
      <c r="N421" s="10"/>
      <c r="O421" s="10">
        <f>(E419+1*(G421+1*(0.4/2)*D419))</f>
        <v>4.4000000000000004</v>
      </c>
      <c r="P421" s="10">
        <f>O421*F421</f>
        <v>17.600000000000001</v>
      </c>
      <c r="Q421" s="10">
        <f t="shared" ref="Q421:W423" si="134">IF($D421=Q$44,$P421*Q$45,0)</f>
        <v>0</v>
      </c>
      <c r="R421" s="10">
        <f t="shared" si="134"/>
        <v>0</v>
      </c>
      <c r="S421" s="10">
        <f t="shared" si="134"/>
        <v>0</v>
      </c>
      <c r="T421" s="10">
        <f t="shared" si="134"/>
        <v>0</v>
      </c>
      <c r="U421" s="10">
        <f t="shared" si="134"/>
        <v>0</v>
      </c>
      <c r="V421" s="10">
        <f t="shared" si="134"/>
        <v>67.846428571428589</v>
      </c>
      <c r="W421" s="10">
        <f t="shared" si="134"/>
        <v>0</v>
      </c>
      <c r="X421" s="10">
        <f t="shared" si="133"/>
        <v>67.846428571428589</v>
      </c>
      <c r="Y421" s="10"/>
      <c r="Z421" s="10"/>
      <c r="AA421" s="10"/>
      <c r="AB421" s="10"/>
      <c r="AC421" s="10"/>
      <c r="AD421" s="10"/>
      <c r="AE421" s="10"/>
    </row>
    <row r="422" spans="1:32" s="3" customFormat="1" ht="20.100000000000001" customHeight="1" x14ac:dyDescent="0.2">
      <c r="A422" s="87"/>
      <c r="B422" s="10" t="s">
        <v>67</v>
      </c>
      <c r="C422" s="93" t="s">
        <v>73</v>
      </c>
      <c r="D422" s="10">
        <v>10</v>
      </c>
      <c r="E422" s="10">
        <v>0.1</v>
      </c>
      <c r="F422" s="10">
        <f>ROUNDUP(E419/E422,0)</f>
        <v>29</v>
      </c>
      <c r="H422" s="10"/>
      <c r="I422" s="10"/>
      <c r="J422" s="10"/>
      <c r="K422" s="10"/>
      <c r="L422" s="10"/>
      <c r="M422" s="10"/>
      <c r="N422" s="10"/>
      <c r="O422" s="10">
        <f>(2*((G419-(2*$D$11))+(F419-(2*$D$11)))+(2*10*D422/1000))*D419</f>
        <v>2.7600000000000002</v>
      </c>
      <c r="P422" s="10">
        <f>O422*F422</f>
        <v>80.040000000000006</v>
      </c>
      <c r="Q422" s="10">
        <f t="shared" si="134"/>
        <v>0</v>
      </c>
      <c r="R422" s="10">
        <f t="shared" si="134"/>
        <v>49.367528571428572</v>
      </c>
      <c r="S422" s="10">
        <f t="shared" si="134"/>
        <v>0</v>
      </c>
      <c r="T422" s="10">
        <f t="shared" si="134"/>
        <v>0</v>
      </c>
      <c r="U422" s="10">
        <f t="shared" si="134"/>
        <v>0</v>
      </c>
      <c r="V422" s="10">
        <f t="shared" si="134"/>
        <v>0</v>
      </c>
      <c r="W422" s="10">
        <f t="shared" si="134"/>
        <v>0</v>
      </c>
      <c r="X422" s="10">
        <f t="shared" si="133"/>
        <v>49.367528571428572</v>
      </c>
      <c r="Y422" s="10"/>
      <c r="Z422" s="10"/>
      <c r="AA422" s="10"/>
      <c r="AB422" s="10"/>
      <c r="AC422" s="10"/>
      <c r="AD422" s="10"/>
      <c r="AE422" s="10"/>
    </row>
    <row r="423" spans="1:32" s="2" customFormat="1" ht="20.100000000000001" customHeight="1" x14ac:dyDescent="0.2">
      <c r="B423" s="10" t="s">
        <v>67</v>
      </c>
      <c r="C423" s="93" t="s">
        <v>74</v>
      </c>
      <c r="D423" s="10">
        <f>+D422</f>
        <v>10</v>
      </c>
      <c r="E423" s="2">
        <f>+E422</f>
        <v>0.1</v>
      </c>
      <c r="F423" s="10">
        <f>ROUNDUP(E419/E423,0)</f>
        <v>29</v>
      </c>
      <c r="G423" s="3"/>
      <c r="O423" s="10">
        <f>((((G419-(2*$D$11))+(2*10*D423/1000))*D419))*1</f>
        <v>1.1399999999999999</v>
      </c>
      <c r="P423" s="10">
        <f>O423*F423</f>
        <v>33.059999999999995</v>
      </c>
      <c r="Q423" s="10">
        <f t="shared" si="134"/>
        <v>0</v>
      </c>
      <c r="R423" s="10">
        <f t="shared" si="134"/>
        <v>20.39093571428571</v>
      </c>
      <c r="S423" s="10">
        <f t="shared" si="134"/>
        <v>0</v>
      </c>
      <c r="T423" s="10">
        <f t="shared" si="134"/>
        <v>0</v>
      </c>
      <c r="U423" s="10">
        <f t="shared" si="134"/>
        <v>0</v>
      </c>
      <c r="V423" s="10">
        <f t="shared" si="134"/>
        <v>0</v>
      </c>
      <c r="W423" s="10">
        <f t="shared" si="134"/>
        <v>0</v>
      </c>
      <c r="X423" s="10">
        <f t="shared" si="133"/>
        <v>20.39093571428571</v>
      </c>
    </row>
    <row r="424" spans="1:32" s="3" customFormat="1" ht="21" customHeight="1" x14ac:dyDescent="0.2">
      <c r="A424" s="10">
        <v>1</v>
      </c>
      <c r="B424" s="10" t="s">
        <v>67</v>
      </c>
      <c r="C424" s="91" t="s">
        <v>125</v>
      </c>
      <c r="D424" s="91">
        <v>1</v>
      </c>
      <c r="E424" s="91">
        <v>1.32</v>
      </c>
      <c r="F424" s="91">
        <v>0.3</v>
      </c>
      <c r="G424" s="91">
        <v>0.8</v>
      </c>
      <c r="H424" s="10">
        <f>G424-0.2</f>
        <v>0.60000000000000009</v>
      </c>
      <c r="I424" s="10">
        <f>E424*F424*G424*D424</f>
        <v>0.31680000000000003</v>
      </c>
      <c r="J424" s="10">
        <f>(2*(E424)*H424*D424)+(E424*F424)</f>
        <v>1.9800000000000004</v>
      </c>
      <c r="K424" s="92">
        <f>IF(E424=0.3,J424,0)</f>
        <v>0</v>
      </c>
      <c r="L424" s="92">
        <f>IF(AND(E424&gt;0.3,E424&lt;=0.75),J424,0)</f>
        <v>0</v>
      </c>
      <c r="M424" s="92">
        <f>IF(AND(E424&gt;0.75,E424&lt;=1.2),J424,0)</f>
        <v>0</v>
      </c>
      <c r="N424" s="92">
        <f>IF(E424&gt;1.2,J424,0)</f>
        <v>1.9800000000000004</v>
      </c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>
        <f>SUM(X425:X431)/I424</f>
        <v>281.66859126984127</v>
      </c>
      <c r="Z424" s="10"/>
      <c r="AA424" s="10"/>
      <c r="AB424" s="10"/>
      <c r="AC424" s="10"/>
      <c r="AD424" s="10"/>
      <c r="AE424" s="10"/>
      <c r="AF424" s="10"/>
    </row>
    <row r="425" spans="1:32" s="3" customFormat="1" ht="20.100000000000001" customHeight="1" x14ac:dyDescent="0.2">
      <c r="A425" s="87"/>
      <c r="B425" s="10" t="s">
        <v>67</v>
      </c>
      <c r="C425" s="93" t="s">
        <v>69</v>
      </c>
      <c r="D425" s="10">
        <v>16</v>
      </c>
      <c r="E425" s="10"/>
      <c r="F425" s="10">
        <v>3</v>
      </c>
      <c r="G425" s="90">
        <f>VLOOKUP(D425,$C$20:$F$26,3,0)</f>
        <v>0.85</v>
      </c>
      <c r="H425" s="90"/>
      <c r="I425" s="10"/>
      <c r="J425" s="10"/>
      <c r="K425" s="10"/>
      <c r="L425" s="10"/>
      <c r="M425" s="10"/>
      <c r="N425" s="10"/>
      <c r="O425" s="10">
        <f>(E424+1*(G425+(12*D425/1000))+1*(0.3/2)*D424)</f>
        <v>2.512</v>
      </c>
      <c r="P425" s="10">
        <f t="shared" ref="P425:P432" si="135">O425*F425</f>
        <v>7.5359999999999996</v>
      </c>
      <c r="Q425" s="10">
        <f t="shared" ref="Q425:W439" si="136">IF($D425=Q$44,$P425*Q$45,0)</f>
        <v>0</v>
      </c>
      <c r="R425" s="10">
        <f t="shared" si="136"/>
        <v>0</v>
      </c>
      <c r="S425" s="10">
        <f t="shared" si="136"/>
        <v>0</v>
      </c>
      <c r="T425" s="10">
        <f t="shared" si="136"/>
        <v>11.899128685714286</v>
      </c>
      <c r="U425" s="10">
        <f t="shared" si="136"/>
        <v>0</v>
      </c>
      <c r="V425" s="10">
        <f t="shared" si="136"/>
        <v>0</v>
      </c>
      <c r="W425" s="10">
        <f t="shared" si="136"/>
        <v>0</v>
      </c>
      <c r="X425" s="10">
        <f t="shared" ref="X425:X432" si="137">SUM(Q425:W425)</f>
        <v>11.899128685714286</v>
      </c>
      <c r="Y425" s="10"/>
      <c r="Z425" s="10"/>
      <c r="AA425" s="10"/>
      <c r="AB425" s="10"/>
      <c r="AC425" s="10"/>
      <c r="AD425" s="10"/>
      <c r="AE425" s="10"/>
    </row>
    <row r="426" spans="1:32" s="3" customFormat="1" ht="20.100000000000001" customHeight="1" x14ac:dyDescent="0.2">
      <c r="A426" s="87"/>
      <c r="B426" s="10" t="s">
        <v>67</v>
      </c>
      <c r="C426" s="93" t="s">
        <v>112</v>
      </c>
      <c r="D426" s="10">
        <v>16</v>
      </c>
      <c r="E426" s="10"/>
      <c r="F426" s="10">
        <v>2</v>
      </c>
      <c r="G426" s="90">
        <f>VLOOKUP(D426,$C$20:$F$26,3,0)</f>
        <v>0.85</v>
      </c>
      <c r="H426" s="90"/>
      <c r="I426" s="10"/>
      <c r="J426" s="10"/>
      <c r="K426" s="10"/>
      <c r="L426" s="10"/>
      <c r="M426" s="10"/>
      <c r="N426" s="10"/>
      <c r="O426" s="10">
        <f>(E424+1*(G426+(12*D426/1000))+1*(0.3+0.85)*D424)</f>
        <v>3.512</v>
      </c>
      <c r="P426" s="10">
        <f t="shared" si="135"/>
        <v>7.024</v>
      </c>
      <c r="Q426" s="10">
        <f t="shared" si="136"/>
        <v>0</v>
      </c>
      <c r="R426" s="10">
        <f t="shared" si="136"/>
        <v>0</v>
      </c>
      <c r="S426" s="10">
        <f t="shared" si="136"/>
        <v>0</v>
      </c>
      <c r="T426" s="10">
        <f t="shared" si="136"/>
        <v>11.090695314285716</v>
      </c>
      <c r="U426" s="10">
        <f t="shared" si="136"/>
        <v>0</v>
      </c>
      <c r="V426" s="10">
        <f t="shared" si="136"/>
        <v>0</v>
      </c>
      <c r="W426" s="10">
        <f t="shared" si="136"/>
        <v>0</v>
      </c>
      <c r="X426" s="10">
        <f t="shared" si="137"/>
        <v>11.090695314285716</v>
      </c>
      <c r="Y426" s="10"/>
      <c r="Z426" s="10"/>
      <c r="AA426" s="10"/>
      <c r="AB426" s="10"/>
      <c r="AC426" s="10"/>
      <c r="AD426" s="10"/>
      <c r="AE426" s="10"/>
    </row>
    <row r="427" spans="1:32" s="3" customFormat="1" ht="20.100000000000001" customHeight="1" x14ac:dyDescent="0.2">
      <c r="A427" s="87"/>
      <c r="B427" s="10" t="s">
        <v>67</v>
      </c>
      <c r="C427" s="93" t="s">
        <v>71</v>
      </c>
      <c r="D427" s="10">
        <v>20</v>
      </c>
      <c r="E427" s="10"/>
      <c r="F427" s="10">
        <v>3</v>
      </c>
      <c r="G427" s="90">
        <f>VLOOKUP(D427,$C$20:$F$26,3,0)</f>
        <v>1.05</v>
      </c>
      <c r="H427" s="10"/>
      <c r="I427" s="10"/>
      <c r="J427" s="10"/>
      <c r="K427" s="10"/>
      <c r="L427" s="10"/>
      <c r="M427" s="10"/>
      <c r="N427" s="10"/>
      <c r="O427" s="10">
        <f>(E424+2*(G427+(12*D427/1000))*D424)</f>
        <v>3.9000000000000004</v>
      </c>
      <c r="P427" s="10">
        <f t="shared" si="135"/>
        <v>11.700000000000001</v>
      </c>
      <c r="Q427" s="10">
        <f t="shared" si="136"/>
        <v>0</v>
      </c>
      <c r="R427" s="10">
        <f t="shared" si="136"/>
        <v>0</v>
      </c>
      <c r="S427" s="10">
        <f t="shared" si="136"/>
        <v>0</v>
      </c>
      <c r="T427" s="10">
        <f t="shared" si="136"/>
        <v>0</v>
      </c>
      <c r="U427" s="10">
        <f t="shared" si="136"/>
        <v>28.865571428571432</v>
      </c>
      <c r="V427" s="10">
        <f t="shared" si="136"/>
        <v>0</v>
      </c>
      <c r="W427" s="10">
        <f t="shared" si="136"/>
        <v>0</v>
      </c>
      <c r="X427" s="10">
        <f t="shared" si="137"/>
        <v>28.865571428571432</v>
      </c>
      <c r="Y427" s="10"/>
      <c r="Z427" s="10"/>
      <c r="AA427" s="10"/>
      <c r="AB427" s="10"/>
      <c r="AC427" s="10"/>
      <c r="AD427" s="10"/>
      <c r="AE427" s="10"/>
    </row>
    <row r="428" spans="1:32" s="3" customFormat="1" ht="20.100000000000001" customHeight="1" x14ac:dyDescent="0.2">
      <c r="A428" s="87"/>
      <c r="B428" s="10" t="s">
        <v>67</v>
      </c>
      <c r="C428" s="93" t="s">
        <v>73</v>
      </c>
      <c r="D428" s="10">
        <v>10</v>
      </c>
      <c r="E428" s="10">
        <v>0.1</v>
      </c>
      <c r="F428" s="10">
        <f>ROUNDUP((E424/3*2)/E428,0)+1</f>
        <v>10</v>
      </c>
      <c r="H428" s="10"/>
      <c r="I428" s="10"/>
      <c r="J428" s="10"/>
      <c r="K428" s="10"/>
      <c r="L428" s="10"/>
      <c r="M428" s="10"/>
      <c r="N428" s="10"/>
      <c r="O428" s="10">
        <f>(2*((G424-(2*$D$11))+(F424-(2*$D$11)))+(2*10*D428/1000))*D424</f>
        <v>2.16</v>
      </c>
      <c r="P428" s="10">
        <f t="shared" si="135"/>
        <v>21.6</v>
      </c>
      <c r="Q428" s="10">
        <f t="shared" si="136"/>
        <v>0</v>
      </c>
      <c r="R428" s="10">
        <f t="shared" si="136"/>
        <v>13.322571428571429</v>
      </c>
      <c r="S428" s="10">
        <f t="shared" si="136"/>
        <v>0</v>
      </c>
      <c r="T428" s="10">
        <f t="shared" si="136"/>
        <v>0</v>
      </c>
      <c r="U428" s="10">
        <f t="shared" si="136"/>
        <v>0</v>
      </c>
      <c r="V428" s="10">
        <f t="shared" si="136"/>
        <v>0</v>
      </c>
      <c r="W428" s="10">
        <f t="shared" si="136"/>
        <v>0</v>
      </c>
      <c r="X428" s="10">
        <f t="shared" si="137"/>
        <v>13.322571428571429</v>
      </c>
      <c r="Y428" s="10"/>
      <c r="Z428" s="10"/>
      <c r="AA428" s="10"/>
      <c r="AB428" s="10"/>
      <c r="AC428" s="10"/>
      <c r="AD428" s="10"/>
      <c r="AE428" s="10"/>
    </row>
    <row r="429" spans="1:32" s="2" customFormat="1" ht="20.100000000000001" customHeight="1" x14ac:dyDescent="0.2">
      <c r="B429" s="10" t="s">
        <v>67</v>
      </c>
      <c r="C429" s="93" t="s">
        <v>73</v>
      </c>
      <c r="D429" s="2">
        <f>D428</f>
        <v>10</v>
      </c>
      <c r="E429" s="2">
        <v>0.125</v>
      </c>
      <c r="F429" s="10">
        <f>ROUNDUP((E424/3)/E429,0)+1</f>
        <v>5</v>
      </c>
      <c r="G429" s="3"/>
      <c r="O429" s="10">
        <f>(2*((G424-(2*$D$11))+(F424-(2*$D$11)))+(2*10*D429/1000))*D424</f>
        <v>2.16</v>
      </c>
      <c r="P429" s="10">
        <f>O429*F429</f>
        <v>10.8</v>
      </c>
      <c r="Q429" s="10">
        <f t="shared" si="136"/>
        <v>0</v>
      </c>
      <c r="R429" s="10">
        <f t="shared" si="136"/>
        <v>6.6612857142857145</v>
      </c>
      <c r="S429" s="10">
        <f t="shared" si="136"/>
        <v>0</v>
      </c>
      <c r="T429" s="10">
        <f t="shared" si="136"/>
        <v>0</v>
      </c>
      <c r="U429" s="10">
        <f t="shared" si="136"/>
        <v>0</v>
      </c>
      <c r="V429" s="10">
        <f t="shared" si="136"/>
        <v>0</v>
      </c>
      <c r="W429" s="10">
        <f t="shared" si="136"/>
        <v>0</v>
      </c>
      <c r="X429" s="10">
        <f t="shared" si="137"/>
        <v>6.6612857142857145</v>
      </c>
    </row>
    <row r="430" spans="1:32" s="2" customFormat="1" ht="20.100000000000001" customHeight="1" x14ac:dyDescent="0.2">
      <c r="B430" s="10" t="s">
        <v>67</v>
      </c>
      <c r="C430" s="93" t="s">
        <v>74</v>
      </c>
      <c r="D430" s="2">
        <f>D428</f>
        <v>10</v>
      </c>
      <c r="E430" s="2">
        <f>+E428</f>
        <v>0.1</v>
      </c>
      <c r="F430" s="10">
        <f>ROUNDUP((E424/3*2)/E430,0)+1</f>
        <v>10</v>
      </c>
      <c r="G430" s="3"/>
      <c r="O430" s="10">
        <f>((((G424-(2*$D$11))+(2*10*D430/1000))*D424))*2</f>
        <v>1.88</v>
      </c>
      <c r="P430" s="10">
        <f t="shared" ref="P430" si="138">O430*F430</f>
        <v>18.799999999999997</v>
      </c>
      <c r="Q430" s="10">
        <f t="shared" si="136"/>
        <v>0</v>
      </c>
      <c r="R430" s="10">
        <f t="shared" si="136"/>
        <v>11.595571428571427</v>
      </c>
      <c r="S430" s="10">
        <f t="shared" si="136"/>
        <v>0</v>
      </c>
      <c r="T430" s="10">
        <f t="shared" si="136"/>
        <v>0</v>
      </c>
      <c r="U430" s="10">
        <f t="shared" si="136"/>
        <v>0</v>
      </c>
      <c r="V430" s="10">
        <f t="shared" si="136"/>
        <v>0</v>
      </c>
      <c r="W430" s="10">
        <f t="shared" si="136"/>
        <v>0</v>
      </c>
      <c r="X430" s="10">
        <f t="shared" si="137"/>
        <v>11.595571428571427</v>
      </c>
    </row>
    <row r="431" spans="1:32" s="2" customFormat="1" ht="20.100000000000001" customHeight="1" x14ac:dyDescent="0.2">
      <c r="B431" s="10" t="s">
        <v>67</v>
      </c>
      <c r="C431" s="93" t="s">
        <v>74</v>
      </c>
      <c r="D431" s="2">
        <f>D429</f>
        <v>10</v>
      </c>
      <c r="E431" s="2">
        <f>+E429</f>
        <v>0.125</v>
      </c>
      <c r="F431" s="10">
        <f>ROUNDUP((E424/3)/E431,0)+1</f>
        <v>5</v>
      </c>
      <c r="G431" s="3"/>
      <c r="O431" s="10">
        <f>((((G424-(2*$D$11))+(2*10*D431/1000))*D424))*2</f>
        <v>1.88</v>
      </c>
      <c r="P431" s="10">
        <f>O431*F431</f>
        <v>9.3999999999999986</v>
      </c>
      <c r="Q431" s="10">
        <f t="shared" si="136"/>
        <v>0</v>
      </c>
      <c r="R431" s="10">
        <f t="shared" si="136"/>
        <v>5.7977857142857134</v>
      </c>
      <c r="S431" s="10">
        <f t="shared" si="136"/>
        <v>0</v>
      </c>
      <c r="T431" s="10">
        <f t="shared" si="136"/>
        <v>0</v>
      </c>
      <c r="U431" s="10">
        <f t="shared" si="136"/>
        <v>0</v>
      </c>
      <c r="V431" s="10">
        <f t="shared" si="136"/>
        <v>0</v>
      </c>
      <c r="W431" s="10">
        <f t="shared" si="136"/>
        <v>0</v>
      </c>
      <c r="X431" s="10">
        <f t="shared" si="137"/>
        <v>5.7977857142857134</v>
      </c>
    </row>
    <row r="432" spans="1:32" s="3" customFormat="1" ht="20.100000000000001" customHeight="1" x14ac:dyDescent="0.2">
      <c r="A432" s="87"/>
      <c r="B432" s="10" t="s">
        <v>67</v>
      </c>
      <c r="C432" s="93" t="s">
        <v>75</v>
      </c>
      <c r="D432" s="10">
        <f>+$D$15</f>
        <v>25</v>
      </c>
      <c r="E432" s="10">
        <f>+$E$15</f>
        <v>1</v>
      </c>
      <c r="F432" s="10">
        <f>ROUNDUP((E424+1.15)/E432,0)</f>
        <v>3</v>
      </c>
      <c r="G432" s="90"/>
      <c r="H432" s="90"/>
      <c r="I432" s="10"/>
      <c r="J432" s="10"/>
      <c r="K432" s="10"/>
      <c r="L432" s="10"/>
      <c r="M432" s="10"/>
      <c r="N432" s="10"/>
      <c r="O432" s="10">
        <f>F424-$F$15</f>
        <v>0.24</v>
      </c>
      <c r="P432" s="10">
        <f t="shared" si="135"/>
        <v>0.72</v>
      </c>
      <c r="Q432" s="10">
        <f t="shared" si="136"/>
        <v>0</v>
      </c>
      <c r="R432" s="10">
        <f t="shared" si="136"/>
        <v>0</v>
      </c>
      <c r="S432" s="10">
        <f t="shared" si="136"/>
        <v>0</v>
      </c>
      <c r="T432" s="10">
        <f t="shared" si="136"/>
        <v>0</v>
      </c>
      <c r="U432" s="10">
        <f t="shared" si="136"/>
        <v>0</v>
      </c>
      <c r="V432" s="10">
        <f t="shared" si="136"/>
        <v>2.7755357142857147</v>
      </c>
      <c r="W432" s="10">
        <f t="shared" si="136"/>
        <v>0</v>
      </c>
      <c r="X432" s="10">
        <f t="shared" si="137"/>
        <v>2.7755357142857147</v>
      </c>
      <c r="Y432" s="10"/>
      <c r="Z432" s="10"/>
      <c r="AA432" s="10"/>
      <c r="AB432" s="10"/>
      <c r="AC432" s="10"/>
      <c r="AD432" s="10"/>
      <c r="AE432" s="10"/>
    </row>
    <row r="433" spans="1:32" s="3" customFormat="1" ht="21" customHeight="1" x14ac:dyDescent="0.2">
      <c r="A433" s="10">
        <v>1</v>
      </c>
      <c r="B433" s="10" t="s">
        <v>67</v>
      </c>
      <c r="C433" s="91" t="s">
        <v>126</v>
      </c>
      <c r="D433" s="91">
        <v>1</v>
      </c>
      <c r="E433" s="91">
        <v>2.8</v>
      </c>
      <c r="F433" s="91">
        <v>0.5</v>
      </c>
      <c r="G433" s="91">
        <v>0.5</v>
      </c>
      <c r="H433" s="10">
        <f>G433-0.2</f>
        <v>0.3</v>
      </c>
      <c r="I433" s="10">
        <f>E433*F433*G433*D433</f>
        <v>0.7</v>
      </c>
      <c r="J433" s="10">
        <f>(2*(E433)*H433*D433)+(E433*F433)</f>
        <v>3.08</v>
      </c>
      <c r="K433" s="92">
        <f>IF(E433=0.3,J433,0)</f>
        <v>0</v>
      </c>
      <c r="L433" s="92">
        <f>IF(AND(E433&gt;0.3,E433&lt;=0.75),J433,0)</f>
        <v>0</v>
      </c>
      <c r="M433" s="92">
        <f>IF(AND(E433&gt;0.75,E433&lt;=1.2),J433,0)</f>
        <v>0</v>
      </c>
      <c r="N433" s="92">
        <f>IF(E433&gt;1.2,J433,0)</f>
        <v>3.08</v>
      </c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>
        <f>SUM(X434:X438)/I433</f>
        <v>153.09537795918368</v>
      </c>
      <c r="Z433" s="10"/>
      <c r="AA433" s="10"/>
      <c r="AB433" s="10"/>
      <c r="AC433" s="10"/>
      <c r="AD433" s="10"/>
      <c r="AE433" s="10"/>
      <c r="AF433" s="10"/>
    </row>
    <row r="434" spans="1:32" s="3" customFormat="1" ht="20.100000000000001" customHeight="1" x14ac:dyDescent="0.2">
      <c r="A434" s="87"/>
      <c r="B434" s="10" t="s">
        <v>67</v>
      </c>
      <c r="C434" s="93" t="s">
        <v>69</v>
      </c>
      <c r="D434" s="10">
        <v>16</v>
      </c>
      <c r="E434" s="10"/>
      <c r="F434" s="10">
        <v>5</v>
      </c>
      <c r="G434" s="90">
        <f>VLOOKUP(D434,$C$20:$F$26,3,0)</f>
        <v>0.85</v>
      </c>
      <c r="H434" s="90"/>
      <c r="I434" s="10"/>
      <c r="J434" s="10"/>
      <c r="K434" s="10"/>
      <c r="L434" s="10"/>
      <c r="M434" s="10"/>
      <c r="N434" s="10"/>
      <c r="O434" s="10">
        <f>(E433+(1*(0.3/2)+1*(0.5/2)*D433))</f>
        <v>3.1999999999999997</v>
      </c>
      <c r="P434" s="10">
        <f t="shared" ref="P434:P439" si="139">O434*F434</f>
        <v>15.999999999999998</v>
      </c>
      <c r="Q434" s="10">
        <f t="shared" si="136"/>
        <v>0</v>
      </c>
      <c r="R434" s="10">
        <f t="shared" si="136"/>
        <v>0</v>
      </c>
      <c r="S434" s="10">
        <f t="shared" si="136"/>
        <v>0</v>
      </c>
      <c r="T434" s="10">
        <f t="shared" si="136"/>
        <v>25.263542857142856</v>
      </c>
      <c r="U434" s="10">
        <f t="shared" si="136"/>
        <v>0</v>
      </c>
      <c r="V434" s="10">
        <f t="shared" si="136"/>
        <v>0</v>
      </c>
      <c r="W434" s="10">
        <f t="shared" si="136"/>
        <v>0</v>
      </c>
      <c r="X434" s="10">
        <f t="shared" ref="X434:X439" si="140">SUM(Q434:W434)</f>
        <v>25.263542857142856</v>
      </c>
      <c r="Y434" s="10"/>
      <c r="Z434" s="10"/>
      <c r="AA434" s="10"/>
      <c r="AB434" s="10"/>
      <c r="AC434" s="10"/>
      <c r="AD434" s="10"/>
      <c r="AE434" s="10"/>
    </row>
    <row r="435" spans="1:32" s="3" customFormat="1" ht="20.100000000000001" customHeight="1" x14ac:dyDescent="0.2">
      <c r="A435" s="87"/>
      <c r="B435" s="10" t="s">
        <v>67</v>
      </c>
      <c r="C435" s="93" t="s">
        <v>112</v>
      </c>
      <c r="D435" s="10">
        <v>16</v>
      </c>
      <c r="E435" s="10"/>
      <c r="F435" s="10">
        <v>2</v>
      </c>
      <c r="G435" s="90">
        <f>VLOOKUP(D435,$C$20:$F$26,3,0)</f>
        <v>0.85</v>
      </c>
      <c r="H435" s="90"/>
      <c r="I435" s="10"/>
      <c r="J435" s="10"/>
      <c r="K435" s="10"/>
      <c r="L435" s="10"/>
      <c r="M435" s="10"/>
      <c r="N435" s="10"/>
      <c r="O435" s="10">
        <f>(0.85+1*(0.5/2)*D433)</f>
        <v>1.1000000000000001</v>
      </c>
      <c r="P435" s="10">
        <f t="shared" si="139"/>
        <v>2.2000000000000002</v>
      </c>
      <c r="Q435" s="10">
        <f t="shared" si="136"/>
        <v>0</v>
      </c>
      <c r="R435" s="10">
        <f t="shared" si="136"/>
        <v>0</v>
      </c>
      <c r="S435" s="10">
        <f t="shared" si="136"/>
        <v>0</v>
      </c>
      <c r="T435" s="10">
        <f t="shared" si="136"/>
        <v>3.4737371428571433</v>
      </c>
      <c r="U435" s="10">
        <f t="shared" si="136"/>
        <v>0</v>
      </c>
      <c r="V435" s="10">
        <f t="shared" si="136"/>
        <v>0</v>
      </c>
      <c r="W435" s="10">
        <f t="shared" si="136"/>
        <v>0</v>
      </c>
      <c r="X435" s="10">
        <f t="shared" si="140"/>
        <v>3.4737371428571433</v>
      </c>
      <c r="Y435" s="10"/>
      <c r="Z435" s="10"/>
      <c r="AA435" s="10"/>
      <c r="AB435" s="10"/>
      <c r="AC435" s="10"/>
      <c r="AD435" s="10"/>
      <c r="AE435" s="10"/>
    </row>
    <row r="436" spans="1:32" s="3" customFormat="1" ht="20.100000000000001" customHeight="1" x14ac:dyDescent="0.2">
      <c r="A436" s="87"/>
      <c r="B436" s="10" t="s">
        <v>67</v>
      </c>
      <c r="C436" s="93" t="s">
        <v>71</v>
      </c>
      <c r="D436" s="10">
        <v>20</v>
      </c>
      <c r="E436" s="10"/>
      <c r="F436" s="10">
        <v>5</v>
      </c>
      <c r="G436" s="90">
        <f>VLOOKUP(D436,$C$20:$F$26,3,0)</f>
        <v>1.05</v>
      </c>
      <c r="H436" s="10"/>
      <c r="I436" s="10"/>
      <c r="J436" s="10"/>
      <c r="K436" s="10"/>
      <c r="L436" s="10"/>
      <c r="M436" s="10"/>
      <c r="N436" s="10"/>
      <c r="O436" s="10">
        <f>(E433+1*(0.5/2)+G436*D433)</f>
        <v>4.0999999999999996</v>
      </c>
      <c r="P436" s="10">
        <f t="shared" si="139"/>
        <v>20.5</v>
      </c>
      <c r="Q436" s="10">
        <f t="shared" si="136"/>
        <v>0</v>
      </c>
      <c r="R436" s="10">
        <f t="shared" si="136"/>
        <v>0</v>
      </c>
      <c r="S436" s="10">
        <f t="shared" si="136"/>
        <v>0</v>
      </c>
      <c r="T436" s="10">
        <f t="shared" si="136"/>
        <v>0</v>
      </c>
      <c r="U436" s="10">
        <f t="shared" si="136"/>
        <v>50.576428571428572</v>
      </c>
      <c r="V436" s="10">
        <f t="shared" si="136"/>
        <v>0</v>
      </c>
      <c r="W436" s="10">
        <f t="shared" si="136"/>
        <v>0</v>
      </c>
      <c r="X436" s="10">
        <f t="shared" si="140"/>
        <v>50.576428571428572</v>
      </c>
      <c r="Y436" s="10"/>
      <c r="Z436" s="10"/>
      <c r="AA436" s="10"/>
      <c r="AB436" s="10"/>
      <c r="AC436" s="10"/>
      <c r="AD436" s="10"/>
      <c r="AE436" s="10"/>
    </row>
    <row r="437" spans="1:32" s="3" customFormat="1" ht="20.100000000000001" customHeight="1" x14ac:dyDescent="0.2">
      <c r="A437" s="87"/>
      <c r="B437" s="10" t="s">
        <v>67</v>
      </c>
      <c r="C437" s="93" t="s">
        <v>73</v>
      </c>
      <c r="D437" s="10">
        <v>8</v>
      </c>
      <c r="E437" s="10">
        <v>0.1</v>
      </c>
      <c r="F437" s="10">
        <f>ROUNDUP(E433/E437,0)</f>
        <v>28</v>
      </c>
      <c r="H437" s="10"/>
      <c r="I437" s="10"/>
      <c r="J437" s="10"/>
      <c r="K437" s="10"/>
      <c r="L437" s="10"/>
      <c r="M437" s="10"/>
      <c r="N437" s="10"/>
      <c r="O437" s="10">
        <f>(2*((G433-(2*$D$11))+(F433-(2*$D$11)))+(2*10*D437/1000))*D433</f>
        <v>1.92</v>
      </c>
      <c r="P437" s="10">
        <f>O437*F437</f>
        <v>53.76</v>
      </c>
      <c r="Q437" s="10">
        <f t="shared" si="136"/>
        <v>21.221375999999999</v>
      </c>
      <c r="R437" s="10">
        <f t="shared" si="136"/>
        <v>0</v>
      </c>
      <c r="S437" s="10">
        <f t="shared" si="136"/>
        <v>0</v>
      </c>
      <c r="T437" s="10">
        <f t="shared" si="136"/>
        <v>0</v>
      </c>
      <c r="U437" s="10">
        <f t="shared" si="136"/>
        <v>0</v>
      </c>
      <c r="V437" s="10">
        <f t="shared" si="136"/>
        <v>0</v>
      </c>
      <c r="W437" s="10">
        <f t="shared" si="136"/>
        <v>0</v>
      </c>
      <c r="X437" s="10">
        <f t="shared" si="140"/>
        <v>21.221375999999999</v>
      </c>
      <c r="Y437" s="10"/>
      <c r="Z437" s="10"/>
      <c r="AA437" s="10"/>
      <c r="AB437" s="10"/>
      <c r="AC437" s="10"/>
      <c r="AD437" s="10"/>
      <c r="AE437" s="10"/>
    </row>
    <row r="438" spans="1:32" s="2" customFormat="1" ht="20.100000000000001" customHeight="1" x14ac:dyDescent="0.2">
      <c r="B438" s="10" t="s">
        <v>67</v>
      </c>
      <c r="C438" s="93" t="s">
        <v>74</v>
      </c>
      <c r="D438" s="10">
        <f>+D437</f>
        <v>8</v>
      </c>
      <c r="E438" s="2">
        <f>+E437</f>
        <v>0.1</v>
      </c>
      <c r="F438" s="10">
        <f>ROUNDUP(E433/E438,0)</f>
        <v>28</v>
      </c>
      <c r="G438" s="3"/>
      <c r="O438" s="10">
        <f>((((G433-(2*$D$11))+(2*10*D438/1000))*D433))*1</f>
        <v>0.6</v>
      </c>
      <c r="P438" s="10">
        <f>O438*F438</f>
        <v>16.8</v>
      </c>
      <c r="Q438" s="10">
        <f t="shared" si="136"/>
        <v>6.6316800000000011</v>
      </c>
      <c r="R438" s="10">
        <f t="shared" si="136"/>
        <v>0</v>
      </c>
      <c r="S438" s="10">
        <f t="shared" si="136"/>
        <v>0</v>
      </c>
      <c r="T438" s="10">
        <f t="shared" si="136"/>
        <v>0</v>
      </c>
      <c r="U438" s="10">
        <f t="shared" si="136"/>
        <v>0</v>
      </c>
      <c r="V438" s="10">
        <f t="shared" si="136"/>
        <v>0</v>
      </c>
      <c r="W438" s="10">
        <f t="shared" si="136"/>
        <v>0</v>
      </c>
      <c r="X438" s="10">
        <f t="shared" si="140"/>
        <v>6.6316800000000011</v>
      </c>
    </row>
    <row r="439" spans="1:32" s="3" customFormat="1" ht="20.100000000000001" customHeight="1" x14ac:dyDescent="0.2">
      <c r="A439" s="87"/>
      <c r="B439" s="10" t="s">
        <v>67</v>
      </c>
      <c r="C439" s="93" t="s">
        <v>75</v>
      </c>
      <c r="D439" s="10">
        <f>+$D$15</f>
        <v>25</v>
      </c>
      <c r="E439" s="10">
        <f>+$E$15</f>
        <v>1</v>
      </c>
      <c r="F439" s="10">
        <f>ROUNDUP((0.85)/E439,0)</f>
        <v>1</v>
      </c>
      <c r="G439" s="90"/>
      <c r="H439" s="90"/>
      <c r="I439" s="10"/>
      <c r="J439" s="10"/>
      <c r="K439" s="10"/>
      <c r="L439" s="10"/>
      <c r="M439" s="10"/>
      <c r="N439" s="10"/>
      <c r="O439" s="10">
        <f>F433-$F$15</f>
        <v>0.44</v>
      </c>
      <c r="P439" s="10">
        <f t="shared" si="139"/>
        <v>0.44</v>
      </c>
      <c r="Q439" s="10">
        <f t="shared" si="136"/>
        <v>0</v>
      </c>
      <c r="R439" s="10">
        <f t="shared" si="136"/>
        <v>0</v>
      </c>
      <c r="S439" s="10">
        <f t="shared" si="136"/>
        <v>0</v>
      </c>
      <c r="T439" s="10">
        <f t="shared" si="136"/>
        <v>0</v>
      </c>
      <c r="U439" s="10">
        <f t="shared" si="136"/>
        <v>0</v>
      </c>
      <c r="V439" s="10">
        <f t="shared" si="136"/>
        <v>1.6961607142857145</v>
      </c>
      <c r="W439" s="10">
        <f t="shared" si="136"/>
        <v>0</v>
      </c>
      <c r="X439" s="10">
        <f t="shared" si="140"/>
        <v>1.6961607142857145</v>
      </c>
      <c r="Y439" s="10"/>
      <c r="Z439" s="10"/>
      <c r="AA439" s="10"/>
      <c r="AB439" s="10"/>
      <c r="AC439" s="10"/>
      <c r="AD439" s="10"/>
      <c r="AE439" s="10"/>
    </row>
    <row r="440" spans="1:32" s="3" customFormat="1" ht="21" customHeight="1" x14ac:dyDescent="0.2">
      <c r="A440" s="10">
        <v>1</v>
      </c>
      <c r="B440" s="10" t="s">
        <v>67</v>
      </c>
      <c r="C440" s="91" t="s">
        <v>127</v>
      </c>
      <c r="D440" s="91">
        <v>1</v>
      </c>
      <c r="E440" s="91">
        <v>6.55</v>
      </c>
      <c r="F440" s="91">
        <v>0.5</v>
      </c>
      <c r="G440" s="91">
        <v>0.5</v>
      </c>
      <c r="H440" s="10">
        <f>G440-0.275</f>
        <v>0.22499999999999998</v>
      </c>
      <c r="I440" s="10">
        <f>E440*F440*G440*D440</f>
        <v>1.6375</v>
      </c>
      <c r="J440" s="10">
        <f>(2*(E440)*H440*D440)+(E440*F440)</f>
        <v>6.2225000000000001</v>
      </c>
      <c r="K440" s="92">
        <f>IF(E440=0.3,J440,0)</f>
        <v>0</v>
      </c>
      <c r="L440" s="92">
        <f>IF(AND(E440&gt;0.3,E440&lt;=0.75),J440,0)</f>
        <v>0</v>
      </c>
      <c r="M440" s="92">
        <f>IF(AND(E440&gt;0.75,E440&lt;=1.2),J440,0)</f>
        <v>0</v>
      </c>
      <c r="N440" s="92">
        <f>IF(E440&gt;1.2,J440,0)</f>
        <v>6.2225000000000001</v>
      </c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>
        <f>SUM(X441:X447)/I440</f>
        <v>133.92389688113414</v>
      </c>
      <c r="Z440" s="10"/>
      <c r="AA440" s="10"/>
      <c r="AB440" s="10"/>
      <c r="AC440" s="10"/>
      <c r="AD440" s="10"/>
      <c r="AE440" s="10"/>
      <c r="AF440" s="10"/>
    </row>
    <row r="441" spans="1:32" s="3" customFormat="1" ht="20.100000000000001" customHeight="1" x14ac:dyDescent="0.2">
      <c r="A441" s="87"/>
      <c r="B441" s="10" t="s">
        <v>67</v>
      </c>
      <c r="C441" s="93" t="s">
        <v>69</v>
      </c>
      <c r="D441" s="10">
        <v>16</v>
      </c>
      <c r="E441" s="10"/>
      <c r="F441" s="10">
        <v>5</v>
      </c>
      <c r="G441" s="90">
        <f>VLOOKUP(D441,$C$20:$F$26,3,0)</f>
        <v>0.85</v>
      </c>
      <c r="H441" s="90"/>
      <c r="I441" s="10"/>
      <c r="J441" s="10"/>
      <c r="K441" s="10"/>
      <c r="L441" s="10"/>
      <c r="M441" s="10"/>
      <c r="N441" s="10"/>
      <c r="O441" s="10">
        <f>(E440+(1*(0.5/2)+1*(0.5/2)*D440))</f>
        <v>7.05</v>
      </c>
      <c r="P441" s="10">
        <f t="shared" ref="P441:P448" si="141">O441*F441</f>
        <v>35.25</v>
      </c>
      <c r="Q441" s="10">
        <f t="shared" ref="Q441:W455" si="142">IF($D441=Q$44,$P441*Q$45,0)</f>
        <v>0</v>
      </c>
      <c r="R441" s="10">
        <f t="shared" si="142"/>
        <v>0</v>
      </c>
      <c r="S441" s="10">
        <f t="shared" si="142"/>
        <v>0</v>
      </c>
      <c r="T441" s="10">
        <f t="shared" si="142"/>
        <v>55.658742857142862</v>
      </c>
      <c r="U441" s="10">
        <f t="shared" si="142"/>
        <v>0</v>
      </c>
      <c r="V441" s="10">
        <f t="shared" si="142"/>
        <v>0</v>
      </c>
      <c r="W441" s="10">
        <f t="shared" si="142"/>
        <v>0</v>
      </c>
      <c r="X441" s="10">
        <f t="shared" ref="X441:X448" si="143">SUM(Q441:W441)</f>
        <v>55.658742857142862</v>
      </c>
      <c r="Y441" s="10"/>
      <c r="Z441" s="10"/>
      <c r="AA441" s="10"/>
      <c r="AB441" s="10"/>
      <c r="AC441" s="10"/>
      <c r="AD441" s="10"/>
      <c r="AE441" s="10"/>
    </row>
    <row r="442" spans="1:32" s="3" customFormat="1" ht="20.100000000000001" customHeight="1" x14ac:dyDescent="0.2">
      <c r="A442" s="87"/>
      <c r="B442" s="10" t="s">
        <v>67</v>
      </c>
      <c r="C442" s="93" t="s">
        <v>128</v>
      </c>
      <c r="D442" s="10">
        <v>16</v>
      </c>
      <c r="E442" s="10"/>
      <c r="F442" s="10">
        <v>2</v>
      </c>
      <c r="G442" s="90">
        <f>VLOOKUP(D442,$C$20:$F$26,3,0)</f>
        <v>0.85</v>
      </c>
      <c r="H442" s="10"/>
      <c r="I442" s="10"/>
      <c r="J442" s="10"/>
      <c r="K442" s="10"/>
      <c r="L442" s="10"/>
      <c r="M442" s="10"/>
      <c r="N442" s="10"/>
      <c r="O442" s="10">
        <f>(1.8+(1*(0.5/2)*D440))</f>
        <v>2.0499999999999998</v>
      </c>
      <c r="P442" s="10">
        <f t="shared" si="141"/>
        <v>4.0999999999999996</v>
      </c>
      <c r="Q442" s="10">
        <f t="shared" si="142"/>
        <v>0</v>
      </c>
      <c r="R442" s="10">
        <f t="shared" si="142"/>
        <v>0</v>
      </c>
      <c r="S442" s="10">
        <f t="shared" si="142"/>
        <v>0</v>
      </c>
      <c r="T442" s="10">
        <f t="shared" si="142"/>
        <v>6.4737828571428571</v>
      </c>
      <c r="U442" s="10">
        <f t="shared" si="142"/>
        <v>0</v>
      </c>
      <c r="V442" s="10">
        <f t="shared" si="142"/>
        <v>0</v>
      </c>
      <c r="W442" s="10">
        <f t="shared" si="142"/>
        <v>0</v>
      </c>
      <c r="X442" s="10">
        <f t="shared" si="143"/>
        <v>6.4737828571428571</v>
      </c>
      <c r="Y442" s="10"/>
      <c r="Z442" s="10"/>
      <c r="AA442" s="10"/>
      <c r="AB442" s="10"/>
      <c r="AC442" s="10"/>
      <c r="AD442" s="10"/>
      <c r="AE442" s="10"/>
    </row>
    <row r="443" spans="1:32" s="3" customFormat="1" ht="20.100000000000001" customHeight="1" x14ac:dyDescent="0.2">
      <c r="A443" s="87"/>
      <c r="B443" s="10" t="s">
        <v>67</v>
      </c>
      <c r="C443" s="93" t="s">
        <v>71</v>
      </c>
      <c r="D443" s="10">
        <v>20</v>
      </c>
      <c r="E443" s="10"/>
      <c r="F443" s="10">
        <v>5</v>
      </c>
      <c r="G443" s="90">
        <f>VLOOKUP(D443,$C$20:$F$26,3,0)</f>
        <v>1.05</v>
      </c>
      <c r="H443" s="10"/>
      <c r="I443" s="10"/>
      <c r="J443" s="10"/>
      <c r="K443" s="10"/>
      <c r="L443" s="10"/>
      <c r="M443" s="10"/>
      <c r="N443" s="10"/>
      <c r="O443" s="10">
        <f>(E440+(1*(0.5/2)+1*(0.5/2)*D440))</f>
        <v>7.05</v>
      </c>
      <c r="P443" s="10">
        <f t="shared" si="141"/>
        <v>35.25</v>
      </c>
      <c r="Q443" s="10">
        <f t="shared" si="142"/>
        <v>0</v>
      </c>
      <c r="R443" s="10">
        <f t="shared" si="142"/>
        <v>0</v>
      </c>
      <c r="S443" s="10">
        <f t="shared" si="142"/>
        <v>0</v>
      </c>
      <c r="T443" s="10">
        <f t="shared" si="142"/>
        <v>0</v>
      </c>
      <c r="U443" s="10">
        <f t="shared" si="142"/>
        <v>86.966785714285706</v>
      </c>
      <c r="V443" s="10">
        <f t="shared" si="142"/>
        <v>0</v>
      </c>
      <c r="W443" s="10">
        <f t="shared" si="142"/>
        <v>0</v>
      </c>
      <c r="X443" s="10">
        <f t="shared" si="143"/>
        <v>86.966785714285706</v>
      </c>
      <c r="Y443" s="10"/>
      <c r="Z443" s="10"/>
      <c r="AA443" s="10"/>
      <c r="AB443" s="10"/>
      <c r="AC443" s="10"/>
      <c r="AD443" s="10"/>
      <c r="AE443" s="10"/>
    </row>
    <row r="444" spans="1:32" s="3" customFormat="1" ht="20.100000000000001" customHeight="1" x14ac:dyDescent="0.2">
      <c r="A444" s="87"/>
      <c r="B444" s="10" t="s">
        <v>67</v>
      </c>
      <c r="C444" s="93" t="s">
        <v>73</v>
      </c>
      <c r="D444" s="10">
        <v>8</v>
      </c>
      <c r="E444" s="10">
        <v>0.1</v>
      </c>
      <c r="F444" s="10">
        <f>ROUND(IF(E440/3&gt;(2*G440),(E440/3)/E444,(2*G440)/E444),0)*2+1</f>
        <v>45</v>
      </c>
      <c r="H444" s="10"/>
      <c r="I444" s="10"/>
      <c r="J444" s="10"/>
      <c r="K444" s="10"/>
      <c r="L444" s="10"/>
      <c r="M444" s="10"/>
      <c r="N444" s="10"/>
      <c r="O444" s="10">
        <f>(2*((G440-(2*$D$11))+(F440-(2*$D$11)))+(2*10*D444/1000))*D440</f>
        <v>1.92</v>
      </c>
      <c r="P444" s="10">
        <f t="shared" si="141"/>
        <v>86.399999999999991</v>
      </c>
      <c r="Q444" s="10">
        <f t="shared" si="142"/>
        <v>34.105782857142856</v>
      </c>
      <c r="R444" s="10">
        <f t="shared" si="142"/>
        <v>0</v>
      </c>
      <c r="S444" s="10">
        <f t="shared" si="142"/>
        <v>0</v>
      </c>
      <c r="T444" s="10">
        <f t="shared" si="142"/>
        <v>0</v>
      </c>
      <c r="U444" s="10">
        <f t="shared" si="142"/>
        <v>0</v>
      </c>
      <c r="V444" s="10">
        <f t="shared" si="142"/>
        <v>0</v>
      </c>
      <c r="W444" s="10">
        <f t="shared" si="142"/>
        <v>0</v>
      </c>
      <c r="X444" s="10">
        <f t="shared" si="143"/>
        <v>34.105782857142856</v>
      </c>
      <c r="Y444" s="10"/>
      <c r="Z444" s="10"/>
      <c r="AA444" s="10"/>
      <c r="AB444" s="10"/>
      <c r="AC444" s="10"/>
      <c r="AD444" s="10"/>
      <c r="AE444" s="10"/>
    </row>
    <row r="445" spans="1:32" s="2" customFormat="1" ht="20.100000000000001" customHeight="1" x14ac:dyDescent="0.2">
      <c r="B445" s="10" t="s">
        <v>67</v>
      </c>
      <c r="C445" s="93" t="s">
        <v>73</v>
      </c>
      <c r="D445" s="2">
        <f>D444</f>
        <v>8</v>
      </c>
      <c r="E445" s="2">
        <v>0.17499999999999999</v>
      </c>
      <c r="F445" s="2">
        <f>ROUND((E440-(IF(E440/3&gt;2*G440,E440/3*2,G440*2*2)))/E445,0)</f>
        <v>12</v>
      </c>
      <c r="G445" s="3"/>
      <c r="O445" s="10">
        <f>(2*((G440-(2*$D$11))+(F440-(2*$D$11)))+(2*10*D445/1000))*D440</f>
        <v>1.92</v>
      </c>
      <c r="P445" s="10">
        <f t="shared" si="141"/>
        <v>23.04</v>
      </c>
      <c r="Q445" s="10">
        <f t="shared" si="142"/>
        <v>9.0948754285714291</v>
      </c>
      <c r="R445" s="10">
        <f t="shared" si="142"/>
        <v>0</v>
      </c>
      <c r="S445" s="10">
        <f t="shared" si="142"/>
        <v>0</v>
      </c>
      <c r="T445" s="10">
        <f t="shared" si="142"/>
        <v>0</v>
      </c>
      <c r="U445" s="10">
        <f t="shared" si="142"/>
        <v>0</v>
      </c>
      <c r="V445" s="10">
        <f t="shared" si="142"/>
        <v>0</v>
      </c>
      <c r="W445" s="10">
        <f t="shared" si="142"/>
        <v>0</v>
      </c>
      <c r="X445" s="10">
        <f t="shared" si="143"/>
        <v>9.0948754285714291</v>
      </c>
    </row>
    <row r="446" spans="1:32" s="2" customFormat="1" ht="20.100000000000001" customHeight="1" x14ac:dyDescent="0.2">
      <c r="B446" s="10" t="s">
        <v>67</v>
      </c>
      <c r="C446" s="93" t="s">
        <v>74</v>
      </c>
      <c r="D446" s="2">
        <f>D444</f>
        <v>8</v>
      </c>
      <c r="E446" s="2">
        <f>+E444</f>
        <v>0.1</v>
      </c>
      <c r="F446" s="10">
        <f>ROUND(IF(E440/3&gt;(2*G440),(E440/3)/E446,(2*G440)/E446),0)*2+1</f>
        <v>45</v>
      </c>
      <c r="G446" s="3"/>
      <c r="O446" s="10">
        <f>((((G440-(2*$D$11))+(2*10*D446/1000))*D440))*2</f>
        <v>1.2</v>
      </c>
      <c r="P446" s="10">
        <f t="shared" si="141"/>
        <v>54</v>
      </c>
      <c r="Q446" s="10">
        <f t="shared" si="142"/>
        <v>21.316114285714288</v>
      </c>
      <c r="R446" s="10">
        <f t="shared" si="142"/>
        <v>0</v>
      </c>
      <c r="S446" s="10">
        <f t="shared" si="142"/>
        <v>0</v>
      </c>
      <c r="T446" s="10">
        <f t="shared" si="142"/>
        <v>0</v>
      </c>
      <c r="U446" s="10">
        <f t="shared" si="142"/>
        <v>0</v>
      </c>
      <c r="V446" s="10">
        <f t="shared" si="142"/>
        <v>0</v>
      </c>
      <c r="W446" s="10">
        <f t="shared" si="142"/>
        <v>0</v>
      </c>
      <c r="X446" s="10">
        <f t="shared" si="143"/>
        <v>21.316114285714288</v>
      </c>
    </row>
    <row r="447" spans="1:32" s="2" customFormat="1" ht="20.100000000000001" customHeight="1" x14ac:dyDescent="0.2">
      <c r="B447" s="10" t="s">
        <v>67</v>
      </c>
      <c r="C447" s="93" t="s">
        <v>74</v>
      </c>
      <c r="D447" s="2">
        <f>D445</f>
        <v>8</v>
      </c>
      <c r="E447" s="2">
        <f>+E445</f>
        <v>0.17499999999999999</v>
      </c>
      <c r="F447" s="2">
        <f>ROUND((E440-(IF(E440/3&gt;2*G440,E440/3*2,G440*2*2)))/E447,0)</f>
        <v>12</v>
      </c>
      <c r="G447" s="3"/>
      <c r="O447" s="10">
        <f>((((G440-(2*$D$11))+(2*10*D447/1000))*D440))*2</f>
        <v>1.2</v>
      </c>
      <c r="P447" s="10">
        <f t="shared" si="141"/>
        <v>14.399999999999999</v>
      </c>
      <c r="Q447" s="10">
        <f t="shared" si="142"/>
        <v>5.6842971428571429</v>
      </c>
      <c r="R447" s="10">
        <f t="shared" si="142"/>
        <v>0</v>
      </c>
      <c r="S447" s="10">
        <f t="shared" si="142"/>
        <v>0</v>
      </c>
      <c r="T447" s="10">
        <f t="shared" si="142"/>
        <v>0</v>
      </c>
      <c r="U447" s="10">
        <f t="shared" si="142"/>
        <v>0</v>
      </c>
      <c r="V447" s="10">
        <f t="shared" si="142"/>
        <v>0</v>
      </c>
      <c r="W447" s="10">
        <f t="shared" si="142"/>
        <v>0</v>
      </c>
      <c r="X447" s="10">
        <f t="shared" si="143"/>
        <v>5.6842971428571429</v>
      </c>
    </row>
    <row r="448" spans="1:32" s="3" customFormat="1" ht="20.100000000000001" customHeight="1" x14ac:dyDescent="0.2">
      <c r="A448" s="87"/>
      <c r="B448" s="10" t="s">
        <v>67</v>
      </c>
      <c r="C448" s="93" t="s">
        <v>75</v>
      </c>
      <c r="D448" s="10">
        <f>+$D$15</f>
        <v>25</v>
      </c>
      <c r="E448" s="10">
        <f>+$E$15</f>
        <v>1</v>
      </c>
      <c r="F448" s="10">
        <f>ROUNDUP((1.8)/E448,0)</f>
        <v>2</v>
      </c>
      <c r="G448" s="90"/>
      <c r="H448" s="90"/>
      <c r="I448" s="10"/>
      <c r="J448" s="10"/>
      <c r="K448" s="10"/>
      <c r="L448" s="10"/>
      <c r="M448" s="10"/>
      <c r="N448" s="10"/>
      <c r="O448" s="10">
        <f>F440-$F$15</f>
        <v>0.44</v>
      </c>
      <c r="P448" s="10">
        <f t="shared" si="141"/>
        <v>0.88</v>
      </c>
      <c r="Q448" s="10">
        <f t="shared" si="142"/>
        <v>0</v>
      </c>
      <c r="R448" s="10">
        <f t="shared" si="142"/>
        <v>0</v>
      </c>
      <c r="S448" s="10">
        <f t="shared" si="142"/>
        <v>0</v>
      </c>
      <c r="T448" s="10">
        <f t="shared" si="142"/>
        <v>0</v>
      </c>
      <c r="U448" s="10">
        <f t="shared" si="142"/>
        <v>0</v>
      </c>
      <c r="V448" s="10">
        <f t="shared" si="142"/>
        <v>3.3923214285714289</v>
      </c>
      <c r="W448" s="10">
        <f t="shared" si="142"/>
        <v>0</v>
      </c>
      <c r="X448" s="10">
        <f t="shared" si="143"/>
        <v>3.3923214285714289</v>
      </c>
      <c r="Y448" s="10"/>
      <c r="Z448" s="10"/>
      <c r="AA448" s="10"/>
      <c r="AB448" s="10"/>
      <c r="AC448" s="10"/>
      <c r="AD448" s="10"/>
      <c r="AE448" s="10"/>
    </row>
    <row r="449" spans="1:32" s="3" customFormat="1" ht="21" customHeight="1" x14ac:dyDescent="0.2">
      <c r="A449" s="10">
        <v>1</v>
      </c>
      <c r="B449" s="10" t="s">
        <v>67</v>
      </c>
      <c r="C449" s="91" t="s">
        <v>129</v>
      </c>
      <c r="D449" s="91">
        <v>1</v>
      </c>
      <c r="E449" s="91">
        <v>4.8460000000000001</v>
      </c>
      <c r="F449" s="91">
        <v>0.5</v>
      </c>
      <c r="G449" s="91">
        <v>0.5</v>
      </c>
      <c r="H449" s="10">
        <f>G449-0.275</f>
        <v>0.22499999999999998</v>
      </c>
      <c r="I449" s="10">
        <f>E449*F449*G449*D449</f>
        <v>1.2115</v>
      </c>
      <c r="J449" s="10">
        <f>(2*(E449)*H449*D449)+(E449*F449)</f>
        <v>4.6036999999999999</v>
      </c>
      <c r="K449" s="92">
        <f>IF(E449=0.3,J449,0)</f>
        <v>0</v>
      </c>
      <c r="L449" s="92">
        <f>IF(AND(E449&gt;0.3,E449&lt;=0.75),J449,0)</f>
        <v>0</v>
      </c>
      <c r="M449" s="92">
        <f>IF(AND(E449&gt;0.75,E449&lt;=1.2),J449,0)</f>
        <v>0</v>
      </c>
      <c r="N449" s="92">
        <f>IF(E449&gt;1.2,J449,0)</f>
        <v>4.6036999999999999</v>
      </c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>
        <f>SUM(X450:X455)/I449</f>
        <v>151.78538954071107</v>
      </c>
      <c r="Z449" s="10"/>
      <c r="AA449" s="10"/>
      <c r="AB449" s="10"/>
      <c r="AC449" s="10"/>
      <c r="AD449" s="10"/>
      <c r="AE449" s="10"/>
      <c r="AF449" s="10"/>
    </row>
    <row r="450" spans="1:32" s="3" customFormat="1" ht="20.100000000000001" customHeight="1" x14ac:dyDescent="0.2">
      <c r="A450" s="87"/>
      <c r="B450" s="10" t="s">
        <v>67</v>
      </c>
      <c r="C450" s="93" t="s">
        <v>69</v>
      </c>
      <c r="D450" s="10">
        <v>16</v>
      </c>
      <c r="E450" s="10"/>
      <c r="F450" s="10">
        <v>5</v>
      </c>
      <c r="G450" s="90">
        <f>VLOOKUP(D450,$C$20:$F$26,3,0)</f>
        <v>0.85</v>
      </c>
      <c r="H450" s="90"/>
      <c r="I450" s="10"/>
      <c r="J450" s="10"/>
      <c r="K450" s="10"/>
      <c r="L450" s="10"/>
      <c r="M450" s="10"/>
      <c r="N450" s="10"/>
      <c r="O450" s="10">
        <f>(E449+1*(G450+(12*D450/1000))+1*(0.5/2)*D449)</f>
        <v>6.1379999999999999</v>
      </c>
      <c r="P450" s="10">
        <f t="shared" ref="P450:P455" si="144">O450*F450</f>
        <v>30.689999999999998</v>
      </c>
      <c r="Q450" s="10">
        <f t="shared" si="142"/>
        <v>0</v>
      </c>
      <c r="R450" s="10">
        <f t="shared" si="142"/>
        <v>0</v>
      </c>
      <c r="S450" s="10">
        <f t="shared" si="142"/>
        <v>0</v>
      </c>
      <c r="T450" s="10">
        <f t="shared" si="142"/>
        <v>48.458633142857146</v>
      </c>
      <c r="U450" s="10">
        <f t="shared" si="142"/>
        <v>0</v>
      </c>
      <c r="V450" s="10">
        <f t="shared" si="142"/>
        <v>0</v>
      </c>
      <c r="W450" s="10">
        <f t="shared" si="142"/>
        <v>0</v>
      </c>
      <c r="X450" s="10">
        <f t="shared" ref="X450:X455" si="145">SUM(Q450:W450)</f>
        <v>48.458633142857146</v>
      </c>
      <c r="Y450" s="10"/>
      <c r="Z450" s="10"/>
      <c r="AA450" s="10"/>
      <c r="AB450" s="10"/>
      <c r="AC450" s="10"/>
      <c r="AD450" s="10"/>
      <c r="AE450" s="10"/>
    </row>
    <row r="451" spans="1:32" s="3" customFormat="1" ht="20.100000000000001" customHeight="1" x14ac:dyDescent="0.2">
      <c r="A451" s="87"/>
      <c r="B451" s="10" t="s">
        <v>67</v>
      </c>
      <c r="C451" s="93" t="s">
        <v>71</v>
      </c>
      <c r="D451" s="10">
        <v>20</v>
      </c>
      <c r="E451" s="10"/>
      <c r="F451" s="10">
        <v>5</v>
      </c>
      <c r="G451" s="90">
        <f>VLOOKUP(D451,$C$20:$F$26,3,0)</f>
        <v>1.05</v>
      </c>
      <c r="H451" s="10"/>
      <c r="I451" s="10"/>
      <c r="J451" s="10"/>
      <c r="K451" s="10"/>
      <c r="L451" s="10"/>
      <c r="M451" s="10"/>
      <c r="N451" s="10"/>
      <c r="O451" s="10">
        <f>(E449+1*(G451+(12*D451/1000))+1*(0.5/2)*D449)</f>
        <v>6.3860000000000001</v>
      </c>
      <c r="P451" s="10">
        <f t="shared" si="144"/>
        <v>31.93</v>
      </c>
      <c r="Q451" s="10">
        <f t="shared" si="142"/>
        <v>0</v>
      </c>
      <c r="R451" s="10">
        <f t="shared" si="142"/>
        <v>0</v>
      </c>
      <c r="S451" s="10">
        <f t="shared" si="142"/>
        <v>0</v>
      </c>
      <c r="T451" s="10">
        <f t="shared" si="142"/>
        <v>0</v>
      </c>
      <c r="U451" s="10">
        <f t="shared" si="142"/>
        <v>78.775871428571421</v>
      </c>
      <c r="V451" s="10">
        <f t="shared" si="142"/>
        <v>0</v>
      </c>
      <c r="W451" s="10">
        <f t="shared" si="142"/>
        <v>0</v>
      </c>
      <c r="X451" s="10">
        <f t="shared" si="145"/>
        <v>78.775871428571421</v>
      </c>
      <c r="Y451" s="10"/>
      <c r="Z451" s="10"/>
      <c r="AA451" s="10"/>
      <c r="AB451" s="10"/>
      <c r="AC451" s="10"/>
      <c r="AD451" s="10"/>
      <c r="AE451" s="10"/>
    </row>
    <row r="452" spans="1:32" s="3" customFormat="1" ht="20.100000000000001" customHeight="1" x14ac:dyDescent="0.2">
      <c r="A452" s="87"/>
      <c r="B452" s="10" t="s">
        <v>67</v>
      </c>
      <c r="C452" s="93" t="s">
        <v>73</v>
      </c>
      <c r="D452" s="10">
        <v>8</v>
      </c>
      <c r="E452" s="10">
        <v>0.1</v>
      </c>
      <c r="F452" s="10">
        <f>ROUND(IF(E449/3&gt;(2*G449),(E449/3)/E452,(2*G449)/E452),0)*2+1</f>
        <v>33</v>
      </c>
      <c r="H452" s="10"/>
      <c r="I452" s="10"/>
      <c r="J452" s="10"/>
      <c r="K452" s="10"/>
      <c r="L452" s="10"/>
      <c r="M452" s="10"/>
      <c r="N452" s="10"/>
      <c r="O452" s="10">
        <f>(2*((G449-(2*$D$11))+(F449-(2*$D$11)))+(2*10*D452/1000))*D449</f>
        <v>1.92</v>
      </c>
      <c r="P452" s="10">
        <f t="shared" si="144"/>
        <v>63.36</v>
      </c>
      <c r="Q452" s="10">
        <f t="shared" si="142"/>
        <v>25.010907428571429</v>
      </c>
      <c r="R452" s="10">
        <f t="shared" si="142"/>
        <v>0</v>
      </c>
      <c r="S452" s="10">
        <f t="shared" si="142"/>
        <v>0</v>
      </c>
      <c r="T452" s="10">
        <f t="shared" si="142"/>
        <v>0</v>
      </c>
      <c r="U452" s="10">
        <f t="shared" si="142"/>
        <v>0</v>
      </c>
      <c r="V452" s="10">
        <f t="shared" si="142"/>
        <v>0</v>
      </c>
      <c r="W452" s="10">
        <f t="shared" si="142"/>
        <v>0</v>
      </c>
      <c r="X452" s="10">
        <f t="shared" si="145"/>
        <v>25.010907428571429</v>
      </c>
      <c r="Y452" s="10"/>
      <c r="Z452" s="10"/>
      <c r="AA452" s="10"/>
      <c r="AB452" s="10"/>
      <c r="AC452" s="10"/>
      <c r="AD452" s="10"/>
      <c r="AE452" s="10"/>
    </row>
    <row r="453" spans="1:32" s="2" customFormat="1" ht="20.100000000000001" customHeight="1" x14ac:dyDescent="0.2">
      <c r="B453" s="10" t="s">
        <v>67</v>
      </c>
      <c r="C453" s="93" t="s">
        <v>73</v>
      </c>
      <c r="D453" s="2">
        <f>D452</f>
        <v>8</v>
      </c>
      <c r="E453" s="2">
        <v>0.125</v>
      </c>
      <c r="F453" s="2">
        <f>ROUND((E449-(IF(E449/3&gt;2*G449,E449/3*2,G449*2*2)))/E453,0)</f>
        <v>13</v>
      </c>
      <c r="G453" s="3"/>
      <c r="O453" s="10">
        <f>(2*((G449-(2*$D$11))+(F449-(2*$D$11)))+(2*10*D453/1000))*D449</f>
        <v>1.92</v>
      </c>
      <c r="P453" s="10">
        <f t="shared" si="144"/>
        <v>24.96</v>
      </c>
      <c r="Q453" s="10">
        <f t="shared" si="142"/>
        <v>9.8527817142857153</v>
      </c>
      <c r="R453" s="10">
        <f t="shared" si="142"/>
        <v>0</v>
      </c>
      <c r="S453" s="10">
        <f t="shared" si="142"/>
        <v>0</v>
      </c>
      <c r="T453" s="10">
        <f t="shared" si="142"/>
        <v>0</v>
      </c>
      <c r="U453" s="10">
        <f t="shared" si="142"/>
        <v>0</v>
      </c>
      <c r="V453" s="10">
        <f t="shared" si="142"/>
        <v>0</v>
      </c>
      <c r="W453" s="10">
        <f t="shared" si="142"/>
        <v>0</v>
      </c>
      <c r="X453" s="10">
        <f t="shared" si="145"/>
        <v>9.8527817142857153</v>
      </c>
    </row>
    <row r="454" spans="1:32" s="2" customFormat="1" ht="20.100000000000001" customHeight="1" x14ac:dyDescent="0.2">
      <c r="B454" s="10" t="s">
        <v>67</v>
      </c>
      <c r="C454" s="93" t="s">
        <v>74</v>
      </c>
      <c r="D454" s="2">
        <f>D452</f>
        <v>8</v>
      </c>
      <c r="E454" s="2">
        <f>+E452</f>
        <v>0.1</v>
      </c>
      <c r="F454" s="10">
        <f>ROUND(IF(E449/3&gt;(2*G449),(E449/3)/E454,(2*G449)/E454),0)*2+1</f>
        <v>33</v>
      </c>
      <c r="G454" s="3"/>
      <c r="O454" s="10">
        <f>((((G449-(2*$D$11))+(2*10*D454/1000))*D449))*2</f>
        <v>1.2</v>
      </c>
      <c r="P454" s="10">
        <f t="shared" si="144"/>
        <v>39.6</v>
      </c>
      <c r="Q454" s="10">
        <f t="shared" si="142"/>
        <v>15.631817142857145</v>
      </c>
      <c r="R454" s="10">
        <f t="shared" si="142"/>
        <v>0</v>
      </c>
      <c r="S454" s="10">
        <f t="shared" si="142"/>
        <v>0</v>
      </c>
      <c r="T454" s="10">
        <f t="shared" si="142"/>
        <v>0</v>
      </c>
      <c r="U454" s="10">
        <f t="shared" si="142"/>
        <v>0</v>
      </c>
      <c r="V454" s="10">
        <f t="shared" si="142"/>
        <v>0</v>
      </c>
      <c r="W454" s="10">
        <f t="shared" si="142"/>
        <v>0</v>
      </c>
      <c r="X454" s="10">
        <f t="shared" si="145"/>
        <v>15.631817142857145</v>
      </c>
    </row>
    <row r="455" spans="1:32" s="2" customFormat="1" ht="20.100000000000001" customHeight="1" x14ac:dyDescent="0.2">
      <c r="B455" s="10" t="s">
        <v>67</v>
      </c>
      <c r="C455" s="93" t="s">
        <v>74</v>
      </c>
      <c r="D455" s="2">
        <f>D453</f>
        <v>8</v>
      </c>
      <c r="E455" s="2">
        <f>+E453</f>
        <v>0.125</v>
      </c>
      <c r="F455" s="2">
        <f>ROUND((E449-(IF(E449/3&gt;2*G449,E449/3*2,G449*2*2)))/E455,0)</f>
        <v>13</v>
      </c>
      <c r="G455" s="3"/>
      <c r="O455" s="10">
        <f>((((G449-(2*$D$11))+(2*10*D455/1000))*D449))*2</f>
        <v>1.2</v>
      </c>
      <c r="P455" s="10">
        <f t="shared" si="144"/>
        <v>15.6</v>
      </c>
      <c r="Q455" s="10">
        <f t="shared" si="142"/>
        <v>6.1579885714285716</v>
      </c>
      <c r="R455" s="10">
        <f t="shared" si="142"/>
        <v>0</v>
      </c>
      <c r="S455" s="10">
        <f t="shared" si="142"/>
        <v>0</v>
      </c>
      <c r="T455" s="10">
        <f t="shared" si="142"/>
        <v>0</v>
      </c>
      <c r="U455" s="10">
        <f t="shared" si="142"/>
        <v>0</v>
      </c>
      <c r="V455" s="10">
        <f t="shared" si="142"/>
        <v>0</v>
      </c>
      <c r="W455" s="10">
        <f t="shared" si="142"/>
        <v>0</v>
      </c>
      <c r="X455" s="10">
        <f t="shared" si="145"/>
        <v>6.1579885714285716</v>
      </c>
    </row>
    <row r="456" spans="1:32" s="3" customFormat="1" ht="21" customHeight="1" x14ac:dyDescent="0.2">
      <c r="A456" s="10">
        <v>1</v>
      </c>
      <c r="B456" s="10" t="s">
        <v>67</v>
      </c>
      <c r="C456" s="91" t="s">
        <v>130</v>
      </c>
      <c r="D456" s="91">
        <v>1</v>
      </c>
      <c r="E456" s="91">
        <v>2.2000000000000002</v>
      </c>
      <c r="F456" s="91">
        <v>0.4</v>
      </c>
      <c r="G456" s="91">
        <v>1.1000000000000001</v>
      </c>
      <c r="H456" s="10">
        <f>G456-0.2</f>
        <v>0.90000000000000013</v>
      </c>
      <c r="I456" s="10">
        <f>E456*F456*G456*D456</f>
        <v>0.96800000000000019</v>
      </c>
      <c r="J456" s="10">
        <f>(2*(E456)*H456*D456)+(E456*F456)</f>
        <v>4.8400000000000007</v>
      </c>
      <c r="K456" s="92">
        <f>IF(E456=0.3,J456,0)</f>
        <v>0</v>
      </c>
      <c r="L456" s="92">
        <f>IF(AND(E456&gt;0.3,E456&lt;=0.75),J456,0)</f>
        <v>0</v>
      </c>
      <c r="M456" s="92">
        <f>IF(AND(E456&gt;0.75,E456&lt;=1.2),J456,0)</f>
        <v>0</v>
      </c>
      <c r="N456" s="92">
        <f>IF(E456&gt;1.2,J456,0)</f>
        <v>4.8400000000000007</v>
      </c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>
        <f>SUM(X457:X464)/I456</f>
        <v>244.45552467532465</v>
      </c>
      <c r="Z456" s="10"/>
      <c r="AA456" s="10"/>
      <c r="AB456" s="10"/>
      <c r="AC456" s="10"/>
      <c r="AD456" s="10"/>
      <c r="AE456" s="10"/>
      <c r="AF456" s="10"/>
    </row>
    <row r="457" spans="1:32" s="3" customFormat="1" ht="20.100000000000001" customHeight="1" x14ac:dyDescent="0.2">
      <c r="A457" s="87"/>
      <c r="B457" s="10" t="s">
        <v>67</v>
      </c>
      <c r="C457" s="93" t="s">
        <v>69</v>
      </c>
      <c r="D457" s="10">
        <v>20</v>
      </c>
      <c r="E457" s="10"/>
      <c r="F457" s="10">
        <v>4</v>
      </c>
      <c r="G457" s="90">
        <f>VLOOKUP(D457,$C$20:$F$26,3,0)</f>
        <v>1.05</v>
      </c>
      <c r="H457" s="90"/>
      <c r="I457" s="10"/>
      <c r="J457" s="10"/>
      <c r="K457" s="10"/>
      <c r="L457" s="10"/>
      <c r="M457" s="10"/>
      <c r="N457" s="10"/>
      <c r="O457" s="10">
        <f>(E456+1*(G457+1*(0.4/2)*D456))</f>
        <v>3.45</v>
      </c>
      <c r="P457" s="10">
        <f t="shared" ref="P457:P461" si="146">O457*F457</f>
        <v>13.8</v>
      </c>
      <c r="Q457" s="10">
        <f t="shared" ref="Q457:W472" si="147">IF($D457=Q$44,$P457*Q$45,0)</f>
        <v>0</v>
      </c>
      <c r="R457" s="10">
        <f t="shared" si="147"/>
        <v>0</v>
      </c>
      <c r="S457" s="10">
        <f t="shared" si="147"/>
        <v>0</v>
      </c>
      <c r="T457" s="10">
        <f t="shared" si="147"/>
        <v>0</v>
      </c>
      <c r="U457" s="10">
        <f t="shared" si="147"/>
        <v>34.046571428571433</v>
      </c>
      <c r="V457" s="10">
        <f t="shared" si="147"/>
        <v>0</v>
      </c>
      <c r="W457" s="10">
        <f t="shared" si="147"/>
        <v>0</v>
      </c>
      <c r="X457" s="10">
        <f t="shared" ref="X457:X465" si="148">SUM(Q457:W457)</f>
        <v>34.046571428571433</v>
      </c>
      <c r="Y457" s="10"/>
      <c r="Z457" s="10"/>
      <c r="AA457" s="10"/>
      <c r="AB457" s="10"/>
      <c r="AC457" s="10"/>
      <c r="AD457" s="10"/>
      <c r="AE457" s="10"/>
    </row>
    <row r="458" spans="1:32" s="3" customFormat="1" ht="20.100000000000001" customHeight="1" x14ac:dyDescent="0.2">
      <c r="A458" s="87"/>
      <c r="B458" s="10" t="s">
        <v>67</v>
      </c>
      <c r="C458" s="93" t="s">
        <v>112</v>
      </c>
      <c r="D458" s="10">
        <v>16</v>
      </c>
      <c r="E458" s="10"/>
      <c r="F458" s="10">
        <v>2</v>
      </c>
      <c r="G458" s="90">
        <f>VLOOKUP(D458,$C$20:$F$26,3,0)</f>
        <v>0.85</v>
      </c>
      <c r="H458" s="90"/>
      <c r="I458" s="10"/>
      <c r="J458" s="10"/>
      <c r="K458" s="10"/>
      <c r="L458" s="10"/>
      <c r="M458" s="10"/>
      <c r="N458" s="10"/>
      <c r="O458" s="10">
        <f>(E456+1.7+1*(G458+1*(0.4/2)*D456))</f>
        <v>4.95</v>
      </c>
      <c r="P458" s="10">
        <f t="shared" si="146"/>
        <v>9.9</v>
      </c>
      <c r="Q458" s="10">
        <f t="shared" si="147"/>
        <v>0</v>
      </c>
      <c r="R458" s="10">
        <f t="shared" si="147"/>
        <v>0</v>
      </c>
      <c r="S458" s="10">
        <f t="shared" si="147"/>
        <v>0</v>
      </c>
      <c r="T458" s="10">
        <f t="shared" si="147"/>
        <v>15.631817142857145</v>
      </c>
      <c r="U458" s="10">
        <f t="shared" si="147"/>
        <v>0</v>
      </c>
      <c r="V458" s="10">
        <f t="shared" si="147"/>
        <v>0</v>
      </c>
      <c r="W458" s="10">
        <f t="shared" si="147"/>
        <v>0</v>
      </c>
      <c r="X458" s="10">
        <f t="shared" si="148"/>
        <v>15.631817142857145</v>
      </c>
      <c r="Y458" s="10"/>
      <c r="Z458" s="10"/>
      <c r="AA458" s="10"/>
      <c r="AB458" s="10"/>
      <c r="AC458" s="10"/>
      <c r="AD458" s="10"/>
      <c r="AE458" s="10"/>
    </row>
    <row r="459" spans="1:32" s="3" customFormat="1" ht="20.100000000000001" customHeight="1" x14ac:dyDescent="0.2">
      <c r="A459" s="87"/>
      <c r="B459" s="10" t="s">
        <v>67</v>
      </c>
      <c r="C459" s="93" t="s">
        <v>71</v>
      </c>
      <c r="D459" s="10">
        <v>20</v>
      </c>
      <c r="E459" s="10"/>
      <c r="F459" s="10">
        <v>4</v>
      </c>
      <c r="G459" s="90">
        <f>VLOOKUP(D459,$C$20:$F$26,3,0)</f>
        <v>1.05</v>
      </c>
      <c r="H459" s="10"/>
      <c r="I459" s="10"/>
      <c r="J459" s="10"/>
      <c r="K459" s="10"/>
      <c r="L459" s="10"/>
      <c r="M459" s="10"/>
      <c r="N459" s="10"/>
      <c r="O459" s="10">
        <f>(E455+1*(G459+(12*D459/1000))+G459*D455)</f>
        <v>9.8150000000000013</v>
      </c>
      <c r="P459" s="10">
        <f t="shared" si="146"/>
        <v>39.260000000000005</v>
      </c>
      <c r="Q459" s="10">
        <f t="shared" si="147"/>
        <v>0</v>
      </c>
      <c r="R459" s="10">
        <f t="shared" si="147"/>
        <v>0</v>
      </c>
      <c r="S459" s="10">
        <f t="shared" si="147"/>
        <v>0</v>
      </c>
      <c r="T459" s="10">
        <f t="shared" si="147"/>
        <v>0</v>
      </c>
      <c r="U459" s="10">
        <f t="shared" si="147"/>
        <v>96.860028571428586</v>
      </c>
      <c r="V459" s="10">
        <f t="shared" si="147"/>
        <v>0</v>
      </c>
      <c r="W459" s="10">
        <f t="shared" si="147"/>
        <v>0</v>
      </c>
      <c r="X459" s="10">
        <f t="shared" si="148"/>
        <v>96.860028571428586</v>
      </c>
      <c r="Y459" s="10"/>
      <c r="Z459" s="10"/>
      <c r="AA459" s="10"/>
      <c r="AB459" s="10"/>
      <c r="AC459" s="10"/>
      <c r="AD459" s="10"/>
      <c r="AE459" s="10"/>
    </row>
    <row r="460" spans="1:32" s="3" customFormat="1" ht="20.100000000000001" customHeight="1" x14ac:dyDescent="0.2">
      <c r="A460" s="87"/>
      <c r="B460" s="10" t="s">
        <v>67</v>
      </c>
      <c r="C460" s="93" t="s">
        <v>116</v>
      </c>
      <c r="D460" s="10">
        <v>16</v>
      </c>
      <c r="E460" s="10"/>
      <c r="F460" s="10">
        <v>2</v>
      </c>
      <c r="G460" s="90">
        <f>VLOOKUP(D460,$C$20:$F$26,3,0)</f>
        <v>0.85</v>
      </c>
      <c r="H460" s="10"/>
      <c r="I460" s="10"/>
      <c r="J460" s="10"/>
      <c r="K460" s="10"/>
      <c r="L460" s="10"/>
      <c r="M460" s="10"/>
      <c r="N460" s="10"/>
      <c r="O460" s="10">
        <f>(E456+1*(G460+(12*D460/1000))+G460*D456)</f>
        <v>4.0919999999999996</v>
      </c>
      <c r="P460" s="10">
        <f t="shared" si="146"/>
        <v>8.1839999999999993</v>
      </c>
      <c r="Q460" s="10">
        <f t="shared" si="147"/>
        <v>0</v>
      </c>
      <c r="R460" s="10">
        <f t="shared" si="147"/>
        <v>0</v>
      </c>
      <c r="S460" s="10">
        <f t="shared" si="147"/>
        <v>0</v>
      </c>
      <c r="T460" s="10">
        <f t="shared" si="147"/>
        <v>12.922302171428571</v>
      </c>
      <c r="U460" s="10">
        <f t="shared" si="147"/>
        <v>0</v>
      </c>
      <c r="V460" s="10">
        <f t="shared" si="147"/>
        <v>0</v>
      </c>
      <c r="W460" s="10">
        <f t="shared" si="147"/>
        <v>0</v>
      </c>
      <c r="X460" s="10">
        <f t="shared" si="148"/>
        <v>12.922302171428571</v>
      </c>
      <c r="Y460" s="10"/>
      <c r="Z460" s="10"/>
      <c r="AA460" s="10"/>
      <c r="AB460" s="10"/>
      <c r="AC460" s="10"/>
      <c r="AD460" s="10"/>
      <c r="AE460" s="10"/>
    </row>
    <row r="461" spans="1:32" s="3" customFormat="1" ht="20.100000000000001" customHeight="1" x14ac:dyDescent="0.2">
      <c r="A461" s="87"/>
      <c r="B461" s="10" t="s">
        <v>67</v>
      </c>
      <c r="C461" s="93" t="s">
        <v>73</v>
      </c>
      <c r="D461" s="10">
        <v>10</v>
      </c>
      <c r="E461" s="10">
        <v>0.1</v>
      </c>
      <c r="F461" s="10">
        <f>ROUNDUP((E456/3*2)/E461,0)+1</f>
        <v>16</v>
      </c>
      <c r="H461" s="10"/>
      <c r="I461" s="10"/>
      <c r="J461" s="10"/>
      <c r="K461" s="10"/>
      <c r="L461" s="10"/>
      <c r="M461" s="10"/>
      <c r="N461" s="10"/>
      <c r="O461" s="10">
        <f>(2*((G456-(2*$D$11))+(F456-(2*$D$11)))+(2*10*D461/1000))*D456</f>
        <v>2.9600000000000004</v>
      </c>
      <c r="P461" s="10">
        <f t="shared" si="146"/>
        <v>47.360000000000007</v>
      </c>
      <c r="Q461" s="10">
        <f t="shared" si="147"/>
        <v>0</v>
      </c>
      <c r="R461" s="10">
        <f t="shared" si="147"/>
        <v>29.210971428571433</v>
      </c>
      <c r="S461" s="10">
        <f t="shared" si="147"/>
        <v>0</v>
      </c>
      <c r="T461" s="10">
        <f t="shared" si="147"/>
        <v>0</v>
      </c>
      <c r="U461" s="10">
        <f t="shared" si="147"/>
        <v>0</v>
      </c>
      <c r="V461" s="10">
        <f t="shared" si="147"/>
        <v>0</v>
      </c>
      <c r="W461" s="10">
        <f t="shared" si="147"/>
        <v>0</v>
      </c>
      <c r="X461" s="10">
        <f t="shared" si="148"/>
        <v>29.210971428571433</v>
      </c>
      <c r="Y461" s="10"/>
      <c r="Z461" s="10"/>
      <c r="AA461" s="10"/>
      <c r="AB461" s="10"/>
      <c r="AC461" s="10"/>
      <c r="AD461" s="10"/>
      <c r="AE461" s="10"/>
    </row>
    <row r="462" spans="1:32" s="2" customFormat="1" ht="20.100000000000001" customHeight="1" x14ac:dyDescent="0.2">
      <c r="B462" s="10" t="s">
        <v>67</v>
      </c>
      <c r="C462" s="93" t="s">
        <v>73</v>
      </c>
      <c r="D462" s="2">
        <f>D461</f>
        <v>10</v>
      </c>
      <c r="E462" s="2">
        <v>0.125</v>
      </c>
      <c r="F462" s="10">
        <f>ROUNDUP((E456/3)/E462,0)+1</f>
        <v>7</v>
      </c>
      <c r="G462" s="3"/>
      <c r="O462" s="10">
        <f>(2*((G456-(2*$D$11))+(F456-(2*$D$11)))+(2*10*D462/1000))*D456</f>
        <v>2.9600000000000004</v>
      </c>
      <c r="P462" s="10">
        <f>O462*F462</f>
        <v>20.720000000000002</v>
      </c>
      <c r="Q462" s="10">
        <f t="shared" si="147"/>
        <v>0</v>
      </c>
      <c r="R462" s="10">
        <f t="shared" si="147"/>
        <v>12.779800000000002</v>
      </c>
      <c r="S462" s="10">
        <f t="shared" si="147"/>
        <v>0</v>
      </c>
      <c r="T462" s="10">
        <f t="shared" si="147"/>
        <v>0</v>
      </c>
      <c r="U462" s="10">
        <f t="shared" si="147"/>
        <v>0</v>
      </c>
      <c r="V462" s="10">
        <f t="shared" si="147"/>
        <v>0</v>
      </c>
      <c r="W462" s="10">
        <f t="shared" si="147"/>
        <v>0</v>
      </c>
      <c r="X462" s="10">
        <f t="shared" si="148"/>
        <v>12.779800000000002</v>
      </c>
    </row>
    <row r="463" spans="1:32" s="2" customFormat="1" ht="20.100000000000001" customHeight="1" x14ac:dyDescent="0.2">
      <c r="B463" s="10" t="s">
        <v>67</v>
      </c>
      <c r="C463" s="93" t="s">
        <v>74</v>
      </c>
      <c r="D463" s="2">
        <f>D461</f>
        <v>10</v>
      </c>
      <c r="E463" s="2">
        <f>+E461</f>
        <v>0.1</v>
      </c>
      <c r="F463" s="10">
        <f>ROUNDUP((E456/3*2)/E463,0)+1</f>
        <v>16</v>
      </c>
      <c r="G463" s="3"/>
      <c r="O463" s="10">
        <f>((((G456-(2*$D$11))+(2*10*D463/1000))*D456))*2</f>
        <v>2.48</v>
      </c>
      <c r="P463" s="10">
        <f t="shared" ref="P463" si="149">O463*F463</f>
        <v>39.68</v>
      </c>
      <c r="Q463" s="10">
        <f t="shared" si="147"/>
        <v>0</v>
      </c>
      <c r="R463" s="10">
        <f t="shared" si="147"/>
        <v>24.474057142857141</v>
      </c>
      <c r="S463" s="10">
        <f t="shared" si="147"/>
        <v>0</v>
      </c>
      <c r="T463" s="10">
        <f t="shared" si="147"/>
        <v>0</v>
      </c>
      <c r="U463" s="10">
        <f t="shared" si="147"/>
        <v>0</v>
      </c>
      <c r="V463" s="10">
        <f t="shared" si="147"/>
        <v>0</v>
      </c>
      <c r="W463" s="10">
        <f t="shared" si="147"/>
        <v>0</v>
      </c>
      <c r="X463" s="10">
        <f t="shared" si="148"/>
        <v>24.474057142857141</v>
      </c>
    </row>
    <row r="464" spans="1:32" s="2" customFormat="1" ht="20.100000000000001" customHeight="1" x14ac:dyDescent="0.2">
      <c r="B464" s="10" t="s">
        <v>67</v>
      </c>
      <c r="C464" s="93" t="s">
        <v>74</v>
      </c>
      <c r="D464" s="2">
        <f>D462</f>
        <v>10</v>
      </c>
      <c r="E464" s="2">
        <f>+E462</f>
        <v>0.125</v>
      </c>
      <c r="F464" s="10">
        <f>ROUNDUP((E456/3)/E464,0)+1</f>
        <v>7</v>
      </c>
      <c r="G464" s="3"/>
      <c r="O464" s="10">
        <f>((((G456-(2*$D$11))+(2*10*D464/1000))*D456))*2</f>
        <v>2.48</v>
      </c>
      <c r="P464" s="10">
        <f>O464*F464</f>
        <v>17.36</v>
      </c>
      <c r="Q464" s="10">
        <f t="shared" si="147"/>
        <v>0</v>
      </c>
      <c r="R464" s="10">
        <f t="shared" si="147"/>
        <v>10.7074</v>
      </c>
      <c r="S464" s="10">
        <f t="shared" si="147"/>
        <v>0</v>
      </c>
      <c r="T464" s="10">
        <f t="shared" si="147"/>
        <v>0</v>
      </c>
      <c r="U464" s="10">
        <f t="shared" si="147"/>
        <v>0</v>
      </c>
      <c r="V464" s="10">
        <f t="shared" si="147"/>
        <v>0</v>
      </c>
      <c r="W464" s="10">
        <f t="shared" si="147"/>
        <v>0</v>
      </c>
      <c r="X464" s="10">
        <f t="shared" si="148"/>
        <v>10.7074</v>
      </c>
    </row>
    <row r="465" spans="1:32" s="3" customFormat="1" ht="20.100000000000001" customHeight="1" x14ac:dyDescent="0.2">
      <c r="A465" s="87"/>
      <c r="B465" s="10" t="s">
        <v>67</v>
      </c>
      <c r="C465" s="93" t="s">
        <v>75</v>
      </c>
      <c r="D465" s="10">
        <f>+$D$15</f>
        <v>25</v>
      </c>
      <c r="E465" s="10">
        <f>+$E$15</f>
        <v>1</v>
      </c>
      <c r="F465" s="10">
        <f>ROUNDUP((E456)/E465,0)</f>
        <v>3</v>
      </c>
      <c r="G465" s="90"/>
      <c r="H465" s="90"/>
      <c r="I465" s="10"/>
      <c r="J465" s="10"/>
      <c r="K465" s="10"/>
      <c r="L465" s="10"/>
      <c r="M465" s="10"/>
      <c r="N465" s="10"/>
      <c r="O465" s="10">
        <f>F456-$F$15</f>
        <v>0.34</v>
      </c>
      <c r="P465" s="10">
        <f t="shared" ref="P465" si="150">O465*F465</f>
        <v>1.02</v>
      </c>
      <c r="Q465" s="10">
        <f t="shared" si="147"/>
        <v>0</v>
      </c>
      <c r="R465" s="10">
        <f t="shared" si="147"/>
        <v>0</v>
      </c>
      <c r="S465" s="10">
        <f t="shared" si="147"/>
        <v>0</v>
      </c>
      <c r="T465" s="10">
        <f t="shared" si="147"/>
        <v>0</v>
      </c>
      <c r="U465" s="10">
        <f t="shared" si="147"/>
        <v>0</v>
      </c>
      <c r="V465" s="10">
        <f t="shared" si="147"/>
        <v>3.9320089285714293</v>
      </c>
      <c r="W465" s="10">
        <f t="shared" si="147"/>
        <v>0</v>
      </c>
      <c r="X465" s="10">
        <f t="shared" si="148"/>
        <v>3.9320089285714293</v>
      </c>
      <c r="Y465" s="10"/>
      <c r="Z465" s="10"/>
      <c r="AA465" s="10"/>
      <c r="AB465" s="10"/>
      <c r="AC465" s="10"/>
      <c r="AD465" s="10"/>
      <c r="AE465" s="10"/>
    </row>
    <row r="466" spans="1:32" s="3" customFormat="1" ht="21" customHeight="1" x14ac:dyDescent="0.2">
      <c r="A466" s="10">
        <v>1</v>
      </c>
      <c r="B466" s="10" t="s">
        <v>67</v>
      </c>
      <c r="C466" s="91" t="s">
        <v>131</v>
      </c>
      <c r="D466" s="91">
        <v>1</v>
      </c>
      <c r="E466" s="91">
        <v>6</v>
      </c>
      <c r="F466" s="91">
        <v>0.45</v>
      </c>
      <c r="G466" s="91">
        <v>0.5</v>
      </c>
      <c r="H466" s="10">
        <f>G466-0.2</f>
        <v>0.3</v>
      </c>
      <c r="I466" s="10">
        <f>E466*F466*G466*D466</f>
        <v>1.35</v>
      </c>
      <c r="J466" s="10">
        <f>(2*(E466)*H466*D466)+(E466*F466)</f>
        <v>6.3</v>
      </c>
      <c r="K466" s="92">
        <f>IF(E466=0.3,J466,0)</f>
        <v>0</v>
      </c>
      <c r="L466" s="92">
        <f>IF(AND(E466&gt;0.3,E466&lt;=0.75),J466,0)</f>
        <v>0</v>
      </c>
      <c r="M466" s="92">
        <f>IF(AND(E466&gt;0.75,E466&lt;=1.2),J466,0)</f>
        <v>0</v>
      </c>
      <c r="N466" s="92">
        <f>IF(E466&gt;1.2,J466,0)</f>
        <v>6.3</v>
      </c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>
        <f>SUM(X467:X474)/I466</f>
        <v>172.25116275132274</v>
      </c>
      <c r="Z466" s="10"/>
      <c r="AA466" s="10"/>
      <c r="AB466" s="10"/>
      <c r="AC466" s="10"/>
      <c r="AD466" s="10"/>
      <c r="AE466" s="10"/>
      <c r="AF466" s="10"/>
    </row>
    <row r="467" spans="1:32" s="3" customFormat="1" ht="20.100000000000001" customHeight="1" x14ac:dyDescent="0.2">
      <c r="A467" s="87"/>
      <c r="B467" s="10" t="s">
        <v>67</v>
      </c>
      <c r="C467" s="93" t="s">
        <v>69</v>
      </c>
      <c r="D467" s="10">
        <v>20</v>
      </c>
      <c r="E467" s="10"/>
      <c r="F467" s="10">
        <v>4</v>
      </c>
      <c r="G467" s="90">
        <f>VLOOKUP(D467,$C$20:$F$26,3,0)</f>
        <v>1.05</v>
      </c>
      <c r="H467" s="90"/>
      <c r="I467" s="10"/>
      <c r="J467" s="10"/>
      <c r="K467" s="10"/>
      <c r="L467" s="10"/>
      <c r="M467" s="10"/>
      <c r="N467" s="10"/>
      <c r="O467" s="10">
        <f>(E466+1*(0.5/2)*1+(0.4/2)*D466)</f>
        <v>6.45</v>
      </c>
      <c r="P467" s="10">
        <f t="shared" ref="P467:P475" si="151">O467*F467</f>
        <v>25.8</v>
      </c>
      <c r="Q467" s="10">
        <f t="shared" si="147"/>
        <v>0</v>
      </c>
      <c r="R467" s="10">
        <f t="shared" si="147"/>
        <v>0</v>
      </c>
      <c r="S467" s="10">
        <f t="shared" si="147"/>
        <v>0</v>
      </c>
      <c r="T467" s="10">
        <f t="shared" si="147"/>
        <v>0</v>
      </c>
      <c r="U467" s="10">
        <f t="shared" si="147"/>
        <v>63.652285714285718</v>
      </c>
      <c r="V467" s="10">
        <f t="shared" si="147"/>
        <v>0</v>
      </c>
      <c r="W467" s="10">
        <f t="shared" si="147"/>
        <v>0</v>
      </c>
      <c r="X467" s="10">
        <f t="shared" ref="X467:X475" si="152">SUM(Q467:W467)</f>
        <v>63.652285714285718</v>
      </c>
      <c r="Y467" s="10"/>
      <c r="Z467" s="10"/>
      <c r="AA467" s="10"/>
      <c r="AB467" s="10"/>
      <c r="AC467" s="10"/>
      <c r="AD467" s="10"/>
      <c r="AE467" s="10"/>
    </row>
    <row r="468" spans="1:32" s="3" customFormat="1" ht="20.100000000000001" customHeight="1" x14ac:dyDescent="0.2">
      <c r="A468" s="87"/>
      <c r="B468" s="10" t="s">
        <v>67</v>
      </c>
      <c r="C468" s="93" t="s">
        <v>112</v>
      </c>
      <c r="D468" s="10">
        <v>16</v>
      </c>
      <c r="E468" s="10"/>
      <c r="F468" s="10">
        <v>2</v>
      </c>
      <c r="G468" s="90">
        <f>VLOOKUP(D468,$C$20:$F$26,3,0)</f>
        <v>0.85</v>
      </c>
      <c r="H468" s="90"/>
      <c r="I468" s="10"/>
      <c r="J468" s="10"/>
      <c r="K468" s="10"/>
      <c r="L468" s="10"/>
      <c r="M468" s="10"/>
      <c r="N468" s="10"/>
      <c r="O468" s="10">
        <f>(1.7+1*(0.5/2)*D466)</f>
        <v>1.95</v>
      </c>
      <c r="P468" s="10">
        <f t="shared" si="151"/>
        <v>3.9</v>
      </c>
      <c r="Q468" s="10">
        <f t="shared" si="147"/>
        <v>0</v>
      </c>
      <c r="R468" s="10">
        <f t="shared" si="147"/>
        <v>0</v>
      </c>
      <c r="S468" s="10">
        <f t="shared" si="147"/>
        <v>0</v>
      </c>
      <c r="T468" s="10">
        <f t="shared" si="147"/>
        <v>6.1579885714285716</v>
      </c>
      <c r="U468" s="10">
        <f t="shared" si="147"/>
        <v>0</v>
      </c>
      <c r="V468" s="10">
        <f t="shared" si="147"/>
        <v>0</v>
      </c>
      <c r="W468" s="10">
        <f t="shared" si="147"/>
        <v>0</v>
      </c>
      <c r="X468" s="10">
        <f t="shared" si="152"/>
        <v>6.1579885714285716</v>
      </c>
      <c r="Y468" s="10"/>
      <c r="Z468" s="10"/>
      <c r="AA468" s="10"/>
      <c r="AB468" s="10"/>
      <c r="AC468" s="10"/>
      <c r="AD468" s="10"/>
      <c r="AE468" s="10"/>
    </row>
    <row r="469" spans="1:32" s="3" customFormat="1" ht="20.100000000000001" customHeight="1" x14ac:dyDescent="0.2">
      <c r="A469" s="87"/>
      <c r="B469" s="10" t="s">
        <v>67</v>
      </c>
      <c r="C469" s="93" t="s">
        <v>71</v>
      </c>
      <c r="D469" s="10">
        <v>20</v>
      </c>
      <c r="E469" s="10"/>
      <c r="F469" s="10">
        <v>4</v>
      </c>
      <c r="G469" s="90">
        <f>VLOOKUP(D469,$C$20:$F$26,3,0)</f>
        <v>1.05</v>
      </c>
      <c r="H469" s="10"/>
      <c r="I469" s="10"/>
      <c r="J469" s="10"/>
      <c r="K469" s="10"/>
      <c r="L469" s="10"/>
      <c r="M469" s="10"/>
      <c r="N469" s="10"/>
      <c r="O469" s="10">
        <f>(E466+2*G469*D466)</f>
        <v>8.1</v>
      </c>
      <c r="P469" s="10">
        <f t="shared" si="151"/>
        <v>32.4</v>
      </c>
      <c r="Q469" s="10">
        <f t="shared" si="147"/>
        <v>0</v>
      </c>
      <c r="R469" s="10">
        <f t="shared" si="147"/>
        <v>0</v>
      </c>
      <c r="S469" s="10">
        <f t="shared" si="147"/>
        <v>0</v>
      </c>
      <c r="T469" s="10">
        <f t="shared" si="147"/>
        <v>0</v>
      </c>
      <c r="U469" s="10">
        <f t="shared" si="147"/>
        <v>79.93542857142856</v>
      </c>
      <c r="V469" s="10">
        <f t="shared" si="147"/>
        <v>0</v>
      </c>
      <c r="W469" s="10">
        <f t="shared" si="147"/>
        <v>0</v>
      </c>
      <c r="X469" s="10">
        <f t="shared" si="152"/>
        <v>79.93542857142856</v>
      </c>
      <c r="Y469" s="10"/>
      <c r="Z469" s="10"/>
      <c r="AA469" s="10"/>
      <c r="AB469" s="10"/>
      <c r="AC469" s="10"/>
      <c r="AD469" s="10"/>
      <c r="AE469" s="10"/>
    </row>
    <row r="470" spans="1:32" s="3" customFormat="1" ht="20.100000000000001" customHeight="1" x14ac:dyDescent="0.2">
      <c r="A470" s="87"/>
      <c r="B470" s="10" t="s">
        <v>67</v>
      </c>
      <c r="C470" s="93" t="s">
        <v>116</v>
      </c>
      <c r="D470" s="10">
        <v>16</v>
      </c>
      <c r="E470" s="10"/>
      <c r="F470" s="10">
        <v>2</v>
      </c>
      <c r="G470" s="90">
        <f>VLOOKUP(D470,$C$20:$F$26,3,0)</f>
        <v>0.85</v>
      </c>
      <c r="H470" s="10"/>
      <c r="I470" s="10"/>
      <c r="J470" s="10"/>
      <c r="K470" s="10"/>
      <c r="L470" s="10"/>
      <c r="M470" s="10"/>
      <c r="N470" s="10"/>
      <c r="O470" s="10">
        <f>E466-0.65-0.65</f>
        <v>4.6999999999999993</v>
      </c>
      <c r="P470" s="10">
        <f t="shared" si="151"/>
        <v>9.3999999999999986</v>
      </c>
      <c r="Q470" s="10">
        <f t="shared" si="147"/>
        <v>0</v>
      </c>
      <c r="R470" s="10">
        <f t="shared" si="147"/>
        <v>0</v>
      </c>
      <c r="S470" s="10">
        <f t="shared" si="147"/>
        <v>0</v>
      </c>
      <c r="T470" s="10">
        <f t="shared" si="147"/>
        <v>14.842331428571427</v>
      </c>
      <c r="U470" s="10">
        <f t="shared" si="147"/>
        <v>0</v>
      </c>
      <c r="V470" s="10">
        <f t="shared" si="147"/>
        <v>0</v>
      </c>
      <c r="W470" s="10">
        <f t="shared" si="147"/>
        <v>0</v>
      </c>
      <c r="X470" s="10">
        <f t="shared" si="152"/>
        <v>14.842331428571427</v>
      </c>
      <c r="Y470" s="10"/>
      <c r="Z470" s="10"/>
      <c r="AA470" s="10"/>
      <c r="AB470" s="10"/>
      <c r="AC470" s="10"/>
      <c r="AD470" s="10"/>
      <c r="AE470" s="10"/>
    </row>
    <row r="471" spans="1:32" s="3" customFormat="1" ht="20.100000000000001" customHeight="1" x14ac:dyDescent="0.2">
      <c r="A471" s="87"/>
      <c r="B471" s="10" t="s">
        <v>67</v>
      </c>
      <c r="C471" s="93" t="s">
        <v>73</v>
      </c>
      <c r="D471" s="10">
        <v>8</v>
      </c>
      <c r="E471" s="10">
        <v>0.1</v>
      </c>
      <c r="F471" s="10">
        <f>ROUND(IF(E466/3&gt;(2*G466),(E466/3)/E471,(2*G466)/E471),0)*2+1</f>
        <v>41</v>
      </c>
      <c r="H471" s="10"/>
      <c r="I471" s="10"/>
      <c r="J471" s="10"/>
      <c r="K471" s="10"/>
      <c r="L471" s="10"/>
      <c r="M471" s="10"/>
      <c r="N471" s="10"/>
      <c r="O471" s="10">
        <f>(2*((G466-(2*$D$11))+(F466-(2*$D$11)))+(2*10*D471/1000))*D466</f>
        <v>1.82</v>
      </c>
      <c r="P471" s="10">
        <f t="shared" si="151"/>
        <v>74.62</v>
      </c>
      <c r="Q471" s="10">
        <f t="shared" si="147"/>
        <v>29.455712000000005</v>
      </c>
      <c r="R471" s="10">
        <f t="shared" si="147"/>
        <v>0</v>
      </c>
      <c r="S471" s="10">
        <f t="shared" si="147"/>
        <v>0</v>
      </c>
      <c r="T471" s="10">
        <f t="shared" si="147"/>
        <v>0</v>
      </c>
      <c r="U471" s="10">
        <f t="shared" si="147"/>
        <v>0</v>
      </c>
      <c r="V471" s="10">
        <f t="shared" si="147"/>
        <v>0</v>
      </c>
      <c r="W471" s="10">
        <f t="shared" si="147"/>
        <v>0</v>
      </c>
      <c r="X471" s="10">
        <f t="shared" si="152"/>
        <v>29.455712000000005</v>
      </c>
      <c r="Y471" s="10"/>
      <c r="Z471" s="10"/>
      <c r="AA471" s="10"/>
      <c r="AB471" s="10"/>
      <c r="AC471" s="10"/>
      <c r="AD471" s="10"/>
      <c r="AE471" s="10"/>
    </row>
    <row r="472" spans="1:32" s="2" customFormat="1" ht="20.100000000000001" customHeight="1" x14ac:dyDescent="0.2">
      <c r="B472" s="10" t="s">
        <v>67</v>
      </c>
      <c r="C472" s="93" t="s">
        <v>73</v>
      </c>
      <c r="D472" s="2">
        <f>D471</f>
        <v>8</v>
      </c>
      <c r="E472" s="2">
        <v>0.125</v>
      </c>
      <c r="F472" s="2">
        <f>ROUND((E466-(IF(E466/3&gt;2*G466,E466/3*2,G466*2*2)))/E472,0)</f>
        <v>16</v>
      </c>
      <c r="G472" s="3"/>
      <c r="O472" s="10">
        <f>(2*((G466-(2*$D$11))+(F466-(2*$D$11)))+(2*10*D472/1000))*D466</f>
        <v>1.82</v>
      </c>
      <c r="P472" s="10">
        <f t="shared" si="151"/>
        <v>29.12</v>
      </c>
      <c r="Q472" s="10">
        <f t="shared" si="147"/>
        <v>11.494912000000001</v>
      </c>
      <c r="R472" s="10">
        <f t="shared" si="147"/>
        <v>0</v>
      </c>
      <c r="S472" s="10">
        <f t="shared" si="147"/>
        <v>0</v>
      </c>
      <c r="T472" s="10">
        <f t="shared" si="147"/>
        <v>0</v>
      </c>
      <c r="U472" s="10">
        <f t="shared" si="147"/>
        <v>0</v>
      </c>
      <c r="V472" s="10">
        <f t="shared" si="147"/>
        <v>0</v>
      </c>
      <c r="W472" s="10">
        <f t="shared" si="147"/>
        <v>0</v>
      </c>
      <c r="X472" s="10">
        <f t="shared" si="152"/>
        <v>11.494912000000001</v>
      </c>
    </row>
    <row r="473" spans="1:32" s="2" customFormat="1" ht="20.100000000000001" customHeight="1" x14ac:dyDescent="0.2">
      <c r="B473" s="10" t="s">
        <v>67</v>
      </c>
      <c r="C473" s="93" t="s">
        <v>74</v>
      </c>
      <c r="D473" s="2">
        <f>D471</f>
        <v>8</v>
      </c>
      <c r="E473" s="2">
        <f>+E471</f>
        <v>0.1</v>
      </c>
      <c r="F473" s="10">
        <f>ROUND(IF(E466/3&gt;(2*G466),(E466/3)/E473,(2*G466)/E473),0)*2+1</f>
        <v>41</v>
      </c>
      <c r="G473" s="3"/>
      <c r="O473" s="10">
        <f>((((G466-(2*$D$11))+(2*10*D473/1000))*D466))*2</f>
        <v>1.2</v>
      </c>
      <c r="P473" s="10">
        <f t="shared" si="151"/>
        <v>49.199999999999996</v>
      </c>
      <c r="Q473" s="10">
        <f t="shared" ref="Q473:W475" si="153">IF($D473=Q$44,$P473*Q$45,0)</f>
        <v>19.42134857142857</v>
      </c>
      <c r="R473" s="10">
        <f t="shared" si="153"/>
        <v>0</v>
      </c>
      <c r="S473" s="10">
        <f t="shared" si="153"/>
        <v>0</v>
      </c>
      <c r="T473" s="10">
        <f t="shared" si="153"/>
        <v>0</v>
      </c>
      <c r="U473" s="10">
        <f t="shared" si="153"/>
        <v>0</v>
      </c>
      <c r="V473" s="10">
        <f t="shared" si="153"/>
        <v>0</v>
      </c>
      <c r="W473" s="10">
        <f t="shared" si="153"/>
        <v>0</v>
      </c>
      <c r="X473" s="10">
        <f t="shared" si="152"/>
        <v>19.42134857142857</v>
      </c>
    </row>
    <row r="474" spans="1:32" s="2" customFormat="1" ht="20.100000000000001" customHeight="1" x14ac:dyDescent="0.2">
      <c r="B474" s="10" t="s">
        <v>67</v>
      </c>
      <c r="C474" s="93" t="s">
        <v>74</v>
      </c>
      <c r="D474" s="2">
        <f>D472</f>
        <v>8</v>
      </c>
      <c r="E474" s="2">
        <f>+E472</f>
        <v>0.125</v>
      </c>
      <c r="F474" s="2">
        <f>ROUND((E466-(IF(E466/3&gt;2*G466,E466/3*2,G466*2*2)))/E474,0)</f>
        <v>16</v>
      </c>
      <c r="G474" s="3"/>
      <c r="O474" s="10">
        <f>((((G466-(2*$D$11))+(2*10*D474/1000))*D466))*2</f>
        <v>1.2</v>
      </c>
      <c r="P474" s="10">
        <f t="shared" si="151"/>
        <v>19.2</v>
      </c>
      <c r="Q474" s="10">
        <f t="shared" si="153"/>
        <v>7.5790628571428575</v>
      </c>
      <c r="R474" s="10">
        <f t="shared" si="153"/>
        <v>0</v>
      </c>
      <c r="S474" s="10">
        <f t="shared" si="153"/>
        <v>0</v>
      </c>
      <c r="T474" s="10">
        <f t="shared" si="153"/>
        <v>0</v>
      </c>
      <c r="U474" s="10">
        <f t="shared" si="153"/>
        <v>0</v>
      </c>
      <c r="V474" s="10">
        <f t="shared" si="153"/>
        <v>0</v>
      </c>
      <c r="W474" s="10">
        <f t="shared" si="153"/>
        <v>0</v>
      </c>
      <c r="X474" s="10">
        <f t="shared" si="152"/>
        <v>7.5790628571428575</v>
      </c>
    </row>
    <row r="475" spans="1:32" s="3" customFormat="1" ht="20.100000000000001" customHeight="1" x14ac:dyDescent="0.2">
      <c r="A475" s="87"/>
      <c r="B475" s="10" t="s">
        <v>67</v>
      </c>
      <c r="C475" s="93" t="s">
        <v>75</v>
      </c>
      <c r="D475" s="10">
        <f>+$D$15</f>
        <v>25</v>
      </c>
      <c r="E475" s="10">
        <f>+$E$15</f>
        <v>1</v>
      </c>
      <c r="F475" s="10">
        <f>ROUNDUP((1.7+O470)/E475,0)</f>
        <v>7</v>
      </c>
      <c r="G475" s="90"/>
      <c r="H475" s="90"/>
      <c r="I475" s="10"/>
      <c r="J475" s="10"/>
      <c r="K475" s="10"/>
      <c r="L475" s="10"/>
      <c r="M475" s="10"/>
      <c r="N475" s="10"/>
      <c r="O475" s="10">
        <f>F466-$F$15</f>
        <v>0.39</v>
      </c>
      <c r="P475" s="10">
        <f t="shared" si="151"/>
        <v>2.73</v>
      </c>
      <c r="Q475" s="10">
        <f t="shared" si="153"/>
        <v>0</v>
      </c>
      <c r="R475" s="10">
        <f t="shared" si="153"/>
        <v>0</v>
      </c>
      <c r="S475" s="10">
        <f t="shared" si="153"/>
        <v>0</v>
      </c>
      <c r="T475" s="10">
        <f t="shared" si="153"/>
        <v>0</v>
      </c>
      <c r="U475" s="10">
        <f t="shared" si="153"/>
        <v>0</v>
      </c>
      <c r="V475" s="10">
        <f t="shared" si="153"/>
        <v>10.523906250000001</v>
      </c>
      <c r="W475" s="10">
        <f t="shared" si="153"/>
        <v>0</v>
      </c>
      <c r="X475" s="10">
        <f t="shared" si="152"/>
        <v>10.523906250000001</v>
      </c>
      <c r="Y475" s="10"/>
      <c r="Z475" s="10"/>
      <c r="AA475" s="10"/>
      <c r="AB475" s="10"/>
      <c r="AC475" s="10"/>
      <c r="AD475" s="10"/>
      <c r="AE475" s="10"/>
    </row>
    <row r="476" spans="1:32" s="3" customFormat="1" ht="21" customHeight="1" x14ac:dyDescent="0.2">
      <c r="A476" s="10">
        <v>1</v>
      </c>
      <c r="B476" s="10" t="s">
        <v>67</v>
      </c>
      <c r="C476" s="91" t="s">
        <v>132</v>
      </c>
      <c r="D476" s="91">
        <v>1</v>
      </c>
      <c r="E476" s="91">
        <v>2.2000000000000002</v>
      </c>
      <c r="F476" s="91">
        <v>0.4</v>
      </c>
      <c r="G476" s="91">
        <v>1.1000000000000001</v>
      </c>
      <c r="H476" s="10">
        <f>G476-0.2</f>
        <v>0.90000000000000013</v>
      </c>
      <c r="I476" s="10">
        <f>E476*F476*G476*D476</f>
        <v>0.96800000000000019</v>
      </c>
      <c r="J476" s="10">
        <f>(2*(E476)*H476*D476)+(E476*F476)</f>
        <v>4.8400000000000007</v>
      </c>
      <c r="K476" s="92">
        <f>IF(E476=0.3,J476,0)</f>
        <v>0</v>
      </c>
      <c r="L476" s="92">
        <f>IF(AND(E476&gt;0.3,E476&lt;=0.75),J476,0)</f>
        <v>0</v>
      </c>
      <c r="M476" s="92">
        <f>IF(AND(E476&gt;0.75,E476&lt;=1.2),J476,0)</f>
        <v>0</v>
      </c>
      <c r="N476" s="92">
        <f>IF(E476&gt;1.2,J476,0)</f>
        <v>4.8400000000000007</v>
      </c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>
        <f>SUM(X477:X484)/I476</f>
        <v>191.35078441558437</v>
      </c>
      <c r="Z476" s="10"/>
      <c r="AA476" s="10"/>
      <c r="AB476" s="10"/>
      <c r="AC476" s="10"/>
      <c r="AD476" s="10"/>
      <c r="AE476" s="10"/>
      <c r="AF476" s="10"/>
    </row>
    <row r="477" spans="1:32" s="3" customFormat="1" ht="20.100000000000001" customHeight="1" x14ac:dyDescent="0.2">
      <c r="A477" s="87"/>
      <c r="B477" s="10" t="s">
        <v>67</v>
      </c>
      <c r="C477" s="93" t="s">
        <v>69</v>
      </c>
      <c r="D477" s="10">
        <v>20</v>
      </c>
      <c r="E477" s="10"/>
      <c r="F477" s="10">
        <v>4</v>
      </c>
      <c r="G477" s="90">
        <f>VLOOKUP(D477,$C$20:$F$26,3,0)</f>
        <v>1.05</v>
      </c>
      <c r="H477" s="90"/>
      <c r="I477" s="10"/>
      <c r="J477" s="10"/>
      <c r="K477" s="10"/>
      <c r="L477" s="10"/>
      <c r="M477" s="10"/>
      <c r="N477" s="10"/>
      <c r="O477" s="10">
        <f>(E476+1*(G477+1*(0.5/2)*D476))</f>
        <v>3.5</v>
      </c>
      <c r="P477" s="10">
        <f t="shared" ref="P477:P481" si="154">O477*F477</f>
        <v>14</v>
      </c>
      <c r="Q477" s="10">
        <f t="shared" ref="Q477:W485" si="155">IF($D477=Q$44,$P477*Q$45,0)</f>
        <v>0</v>
      </c>
      <c r="R477" s="10">
        <f t="shared" si="155"/>
        <v>0</v>
      </c>
      <c r="S477" s="10">
        <f t="shared" si="155"/>
        <v>0</v>
      </c>
      <c r="T477" s="10">
        <f t="shared" si="155"/>
        <v>0</v>
      </c>
      <c r="U477" s="10">
        <f t="shared" si="155"/>
        <v>34.54</v>
      </c>
      <c r="V477" s="10">
        <f t="shared" si="155"/>
        <v>0</v>
      </c>
      <c r="W477" s="10">
        <f t="shared" si="155"/>
        <v>0</v>
      </c>
      <c r="X477" s="10">
        <f t="shared" ref="X477:X485" si="156">SUM(Q477:W477)</f>
        <v>34.54</v>
      </c>
      <c r="Y477" s="10"/>
      <c r="Z477" s="10"/>
      <c r="AA477" s="10"/>
      <c r="AB477" s="10"/>
      <c r="AC477" s="10"/>
      <c r="AD477" s="10"/>
      <c r="AE477" s="10"/>
    </row>
    <row r="478" spans="1:32" s="3" customFormat="1" ht="20.100000000000001" customHeight="1" x14ac:dyDescent="0.2">
      <c r="A478" s="87"/>
      <c r="B478" s="10" t="s">
        <v>67</v>
      </c>
      <c r="C478" s="93" t="s">
        <v>112</v>
      </c>
      <c r="D478" s="10">
        <v>16</v>
      </c>
      <c r="E478" s="10"/>
      <c r="F478" s="10">
        <v>2</v>
      </c>
      <c r="G478" s="90">
        <f>VLOOKUP(D478,$C$20:$F$26,3,0)</f>
        <v>0.85</v>
      </c>
      <c r="H478" s="90"/>
      <c r="I478" s="10"/>
      <c r="J478" s="10"/>
      <c r="K478" s="10"/>
      <c r="L478" s="10"/>
      <c r="M478" s="10"/>
      <c r="N478" s="10"/>
      <c r="O478" s="10">
        <f>(E476+1.7+1*(G478+1*(0.5/2)*D476))</f>
        <v>5</v>
      </c>
      <c r="P478" s="10">
        <f t="shared" si="154"/>
        <v>10</v>
      </c>
      <c r="Q478" s="10">
        <f t="shared" si="155"/>
        <v>0</v>
      </c>
      <c r="R478" s="10">
        <f t="shared" si="155"/>
        <v>0</v>
      </c>
      <c r="S478" s="10">
        <f t="shared" si="155"/>
        <v>0</v>
      </c>
      <c r="T478" s="10">
        <f t="shared" si="155"/>
        <v>15.789714285714286</v>
      </c>
      <c r="U478" s="10">
        <f t="shared" si="155"/>
        <v>0</v>
      </c>
      <c r="V478" s="10">
        <f t="shared" si="155"/>
        <v>0</v>
      </c>
      <c r="W478" s="10">
        <f t="shared" si="155"/>
        <v>0</v>
      </c>
      <c r="X478" s="10">
        <f t="shared" si="156"/>
        <v>15.789714285714286</v>
      </c>
      <c r="Y478" s="10"/>
      <c r="Z478" s="10"/>
      <c r="AA478" s="10"/>
      <c r="AB478" s="10"/>
      <c r="AC478" s="10"/>
      <c r="AD478" s="10"/>
      <c r="AE478" s="10"/>
    </row>
    <row r="479" spans="1:32" s="3" customFormat="1" ht="20.100000000000001" customHeight="1" x14ac:dyDescent="0.2">
      <c r="A479" s="87"/>
      <c r="B479" s="10" t="s">
        <v>67</v>
      </c>
      <c r="C479" s="93" t="s">
        <v>71</v>
      </c>
      <c r="D479" s="10">
        <v>20</v>
      </c>
      <c r="E479" s="10"/>
      <c r="F479" s="10">
        <v>4</v>
      </c>
      <c r="G479" s="90">
        <f>VLOOKUP(D479,$C$20:$F$26,3,0)</f>
        <v>1.05</v>
      </c>
      <c r="H479" s="10"/>
      <c r="I479" s="10"/>
      <c r="J479" s="10"/>
      <c r="K479" s="10"/>
      <c r="L479" s="10"/>
      <c r="M479" s="10"/>
      <c r="N479" s="10"/>
      <c r="O479" s="10">
        <f>(E476+1*(G479+(12*D479/1000))+G479*D476)</f>
        <v>4.54</v>
      </c>
      <c r="P479" s="10">
        <f t="shared" si="154"/>
        <v>18.16</v>
      </c>
      <c r="Q479" s="10">
        <f t="shared" si="155"/>
        <v>0</v>
      </c>
      <c r="R479" s="10">
        <f t="shared" si="155"/>
        <v>0</v>
      </c>
      <c r="S479" s="10">
        <f t="shared" si="155"/>
        <v>0</v>
      </c>
      <c r="T479" s="10">
        <f t="shared" si="155"/>
        <v>0</v>
      </c>
      <c r="U479" s="10">
        <f t="shared" si="155"/>
        <v>44.803314285714286</v>
      </c>
      <c r="V479" s="10">
        <f t="shared" si="155"/>
        <v>0</v>
      </c>
      <c r="W479" s="10">
        <f t="shared" si="155"/>
        <v>0</v>
      </c>
      <c r="X479" s="10">
        <f t="shared" si="156"/>
        <v>44.803314285714286</v>
      </c>
      <c r="Y479" s="10"/>
      <c r="Z479" s="10"/>
      <c r="AA479" s="10"/>
      <c r="AB479" s="10"/>
      <c r="AC479" s="10"/>
      <c r="AD479" s="10"/>
      <c r="AE479" s="10"/>
    </row>
    <row r="480" spans="1:32" s="3" customFormat="1" ht="20.100000000000001" customHeight="1" x14ac:dyDescent="0.2">
      <c r="A480" s="87"/>
      <c r="B480" s="10" t="s">
        <v>67</v>
      </c>
      <c r="C480" s="93" t="s">
        <v>116</v>
      </c>
      <c r="D480" s="10">
        <v>16</v>
      </c>
      <c r="E480" s="10"/>
      <c r="F480" s="10">
        <v>2</v>
      </c>
      <c r="G480" s="90">
        <f>VLOOKUP(D480,$C$20:$F$26,3,0)</f>
        <v>0.85</v>
      </c>
      <c r="H480" s="10"/>
      <c r="I480" s="10"/>
      <c r="J480" s="10"/>
      <c r="K480" s="10"/>
      <c r="L480" s="10"/>
      <c r="M480" s="10"/>
      <c r="N480" s="10"/>
      <c r="O480" s="10">
        <f>(E476+1*(G480+(12*D480/1000))+G480*D476)</f>
        <v>4.0919999999999996</v>
      </c>
      <c r="P480" s="10">
        <f t="shared" si="154"/>
        <v>8.1839999999999993</v>
      </c>
      <c r="Q480" s="10">
        <f t="shared" si="155"/>
        <v>0</v>
      </c>
      <c r="R480" s="10">
        <f t="shared" si="155"/>
        <v>0</v>
      </c>
      <c r="S480" s="10">
        <f t="shared" si="155"/>
        <v>0</v>
      </c>
      <c r="T480" s="10">
        <f t="shared" si="155"/>
        <v>12.922302171428571</v>
      </c>
      <c r="U480" s="10">
        <f t="shared" si="155"/>
        <v>0</v>
      </c>
      <c r="V480" s="10">
        <f t="shared" si="155"/>
        <v>0</v>
      </c>
      <c r="W480" s="10">
        <f t="shared" si="155"/>
        <v>0</v>
      </c>
      <c r="X480" s="10">
        <f t="shared" si="156"/>
        <v>12.922302171428571</v>
      </c>
      <c r="Y480" s="10"/>
      <c r="Z480" s="10"/>
      <c r="AA480" s="10"/>
      <c r="AB480" s="10"/>
      <c r="AC480" s="10"/>
      <c r="AD480" s="10"/>
      <c r="AE480" s="10"/>
    </row>
    <row r="481" spans="1:32" s="3" customFormat="1" ht="20.100000000000001" customHeight="1" x14ac:dyDescent="0.2">
      <c r="A481" s="87"/>
      <c r="B481" s="10" t="s">
        <v>67</v>
      </c>
      <c r="C481" s="93" t="s">
        <v>73</v>
      </c>
      <c r="D481" s="10">
        <v>10</v>
      </c>
      <c r="E481" s="10">
        <v>0.1</v>
      </c>
      <c r="F481" s="10">
        <f>ROUNDUP((E476/3*2)/E481,0)+1</f>
        <v>16</v>
      </c>
      <c r="H481" s="10"/>
      <c r="I481" s="10"/>
      <c r="J481" s="10"/>
      <c r="K481" s="10"/>
      <c r="L481" s="10"/>
      <c r="M481" s="10"/>
      <c r="N481" s="10"/>
      <c r="O481" s="10">
        <f>(2*((G476-(2*$D$11))+(F476-(2*$D$11)))+(2*10*D481/1000))*D476</f>
        <v>2.9600000000000004</v>
      </c>
      <c r="P481" s="10">
        <f t="shared" si="154"/>
        <v>47.360000000000007</v>
      </c>
      <c r="Q481" s="10">
        <f t="shared" si="155"/>
        <v>0</v>
      </c>
      <c r="R481" s="10">
        <f t="shared" si="155"/>
        <v>29.210971428571433</v>
      </c>
      <c r="S481" s="10">
        <f t="shared" si="155"/>
        <v>0</v>
      </c>
      <c r="T481" s="10">
        <f t="shared" si="155"/>
        <v>0</v>
      </c>
      <c r="U481" s="10">
        <f t="shared" si="155"/>
        <v>0</v>
      </c>
      <c r="V481" s="10">
        <f t="shared" si="155"/>
        <v>0</v>
      </c>
      <c r="W481" s="10">
        <f t="shared" si="155"/>
        <v>0</v>
      </c>
      <c r="X481" s="10">
        <f t="shared" si="156"/>
        <v>29.210971428571433</v>
      </c>
      <c r="Y481" s="10"/>
      <c r="Z481" s="10"/>
      <c r="AA481" s="10"/>
      <c r="AB481" s="10"/>
      <c r="AC481" s="10"/>
      <c r="AD481" s="10"/>
      <c r="AE481" s="10"/>
    </row>
    <row r="482" spans="1:32" s="2" customFormat="1" ht="20.100000000000001" customHeight="1" x14ac:dyDescent="0.2">
      <c r="B482" s="10" t="s">
        <v>67</v>
      </c>
      <c r="C482" s="93" t="s">
        <v>73</v>
      </c>
      <c r="D482" s="2">
        <f>D481</f>
        <v>10</v>
      </c>
      <c r="E482" s="2">
        <v>0.125</v>
      </c>
      <c r="F482" s="10">
        <f>ROUNDUP((E476/3)/E482,0)+1</f>
        <v>7</v>
      </c>
      <c r="G482" s="3"/>
      <c r="O482" s="10">
        <f>(2*((G476-(2*$D$11))+(F476-(2*$D$11)))+(2*10*D482/1000))*D476</f>
        <v>2.9600000000000004</v>
      </c>
      <c r="P482" s="10">
        <f>O482*F482</f>
        <v>20.720000000000002</v>
      </c>
      <c r="Q482" s="10">
        <f t="shared" si="155"/>
        <v>0</v>
      </c>
      <c r="R482" s="10">
        <f t="shared" si="155"/>
        <v>12.779800000000002</v>
      </c>
      <c r="S482" s="10">
        <f t="shared" si="155"/>
        <v>0</v>
      </c>
      <c r="T482" s="10">
        <f t="shared" si="155"/>
        <v>0</v>
      </c>
      <c r="U482" s="10">
        <f t="shared" si="155"/>
        <v>0</v>
      </c>
      <c r="V482" s="10">
        <f t="shared" si="155"/>
        <v>0</v>
      </c>
      <c r="W482" s="10">
        <f t="shared" si="155"/>
        <v>0</v>
      </c>
      <c r="X482" s="10">
        <f t="shared" si="156"/>
        <v>12.779800000000002</v>
      </c>
    </row>
    <row r="483" spans="1:32" s="2" customFormat="1" ht="20.100000000000001" customHeight="1" x14ac:dyDescent="0.2">
      <c r="B483" s="10" t="s">
        <v>67</v>
      </c>
      <c r="C483" s="93" t="s">
        <v>74</v>
      </c>
      <c r="D483" s="2">
        <f>D481</f>
        <v>10</v>
      </c>
      <c r="E483" s="2">
        <f>+E481</f>
        <v>0.1</v>
      </c>
      <c r="F483" s="10">
        <f>ROUNDUP((E476/3*2)/E483,0)+1</f>
        <v>16</v>
      </c>
      <c r="G483" s="3"/>
      <c r="O483" s="10">
        <f>((((G476-(2*$D$11))+(2*10*D483/1000))*D476))*2</f>
        <v>2.48</v>
      </c>
      <c r="P483" s="10">
        <f t="shared" ref="P483" si="157">O483*F483</f>
        <v>39.68</v>
      </c>
      <c r="Q483" s="10">
        <f t="shared" si="155"/>
        <v>0</v>
      </c>
      <c r="R483" s="10">
        <f t="shared" si="155"/>
        <v>24.474057142857141</v>
      </c>
      <c r="S483" s="10">
        <f t="shared" si="155"/>
        <v>0</v>
      </c>
      <c r="T483" s="10">
        <f t="shared" si="155"/>
        <v>0</v>
      </c>
      <c r="U483" s="10">
        <f t="shared" si="155"/>
        <v>0</v>
      </c>
      <c r="V483" s="10">
        <f t="shared" si="155"/>
        <v>0</v>
      </c>
      <c r="W483" s="10">
        <f t="shared" si="155"/>
        <v>0</v>
      </c>
      <c r="X483" s="10">
        <f t="shared" si="156"/>
        <v>24.474057142857141</v>
      </c>
    </row>
    <row r="484" spans="1:32" s="2" customFormat="1" ht="20.100000000000001" customHeight="1" x14ac:dyDescent="0.2">
      <c r="B484" s="10" t="s">
        <v>67</v>
      </c>
      <c r="C484" s="93" t="s">
        <v>74</v>
      </c>
      <c r="D484" s="2">
        <f>D482</f>
        <v>10</v>
      </c>
      <c r="E484" s="2">
        <f>+E482</f>
        <v>0.125</v>
      </c>
      <c r="F484" s="10">
        <f>ROUNDUP((E476/3)/E484,0)+1</f>
        <v>7</v>
      </c>
      <c r="G484" s="3"/>
      <c r="O484" s="10">
        <f>((((G476-(2*$D$11))+(2*10*D484/1000))*D476))*2</f>
        <v>2.48</v>
      </c>
      <c r="P484" s="10">
        <f>O484*F484</f>
        <v>17.36</v>
      </c>
      <c r="Q484" s="10">
        <f t="shared" si="155"/>
        <v>0</v>
      </c>
      <c r="R484" s="10">
        <f t="shared" si="155"/>
        <v>10.7074</v>
      </c>
      <c r="S484" s="10">
        <f t="shared" si="155"/>
        <v>0</v>
      </c>
      <c r="T484" s="10">
        <f t="shared" si="155"/>
        <v>0</v>
      </c>
      <c r="U484" s="10">
        <f t="shared" si="155"/>
        <v>0</v>
      </c>
      <c r="V484" s="10">
        <f t="shared" si="155"/>
        <v>0</v>
      </c>
      <c r="W484" s="10">
        <f t="shared" si="155"/>
        <v>0</v>
      </c>
      <c r="X484" s="10">
        <f t="shared" si="156"/>
        <v>10.7074</v>
      </c>
    </row>
    <row r="485" spans="1:32" s="3" customFormat="1" ht="20.100000000000001" customHeight="1" x14ac:dyDescent="0.2">
      <c r="A485" s="87"/>
      <c r="B485" s="10" t="s">
        <v>67</v>
      </c>
      <c r="C485" s="93" t="s">
        <v>75</v>
      </c>
      <c r="D485" s="10">
        <f>+$D$15</f>
        <v>25</v>
      </c>
      <c r="E485" s="10">
        <f>+$E$15</f>
        <v>1</v>
      </c>
      <c r="F485" s="10">
        <f>ROUNDUP((E476)/E485,0)</f>
        <v>3</v>
      </c>
      <c r="G485" s="90"/>
      <c r="H485" s="90"/>
      <c r="I485" s="10"/>
      <c r="J485" s="10"/>
      <c r="K485" s="10"/>
      <c r="L485" s="10"/>
      <c r="M485" s="10"/>
      <c r="N485" s="10"/>
      <c r="O485" s="10">
        <f>F476-$F$15</f>
        <v>0.34</v>
      </c>
      <c r="P485" s="10">
        <f t="shared" ref="P485" si="158">O485*F485</f>
        <v>1.02</v>
      </c>
      <c r="Q485" s="10">
        <f t="shared" si="155"/>
        <v>0</v>
      </c>
      <c r="R485" s="10">
        <f t="shared" si="155"/>
        <v>0</v>
      </c>
      <c r="S485" s="10">
        <f t="shared" si="155"/>
        <v>0</v>
      </c>
      <c r="T485" s="10">
        <f t="shared" si="155"/>
        <v>0</v>
      </c>
      <c r="U485" s="10">
        <f t="shared" si="155"/>
        <v>0</v>
      </c>
      <c r="V485" s="10">
        <f t="shared" si="155"/>
        <v>3.9320089285714293</v>
      </c>
      <c r="W485" s="10">
        <f t="shared" si="155"/>
        <v>0</v>
      </c>
      <c r="X485" s="10">
        <f t="shared" si="156"/>
        <v>3.9320089285714293</v>
      </c>
      <c r="Y485" s="10"/>
      <c r="Z485" s="10"/>
      <c r="AA485" s="10"/>
      <c r="AB485" s="10"/>
      <c r="AC485" s="10"/>
      <c r="AD485" s="10"/>
      <c r="AE485" s="10"/>
    </row>
    <row r="486" spans="1:32" s="3" customFormat="1" ht="21" customHeight="1" x14ac:dyDescent="0.2">
      <c r="A486" s="10">
        <v>1</v>
      </c>
      <c r="B486" s="10" t="s">
        <v>67</v>
      </c>
      <c r="C486" s="91" t="s">
        <v>133</v>
      </c>
      <c r="D486" s="91">
        <v>1</v>
      </c>
      <c r="E486" s="91">
        <v>1.8</v>
      </c>
      <c r="F486" s="91">
        <v>0.3</v>
      </c>
      <c r="G486" s="91">
        <v>1.1000000000000001</v>
      </c>
      <c r="H486" s="10">
        <f>G486-0.2</f>
        <v>0.90000000000000013</v>
      </c>
      <c r="I486" s="10">
        <f>E486*F486*G486*D486</f>
        <v>0.59400000000000008</v>
      </c>
      <c r="J486" s="10">
        <f>(2*(E486)*H486*D486)+(E486*F486)</f>
        <v>3.7800000000000007</v>
      </c>
      <c r="K486" s="92">
        <f>IF(E486=0.3,J486,0)</f>
        <v>0</v>
      </c>
      <c r="L486" s="92">
        <f>IF(AND(E486&gt;0.3,E486&lt;=0.75),J486,0)</f>
        <v>0</v>
      </c>
      <c r="M486" s="92">
        <f>IF(AND(E486&gt;0.75,E486&lt;=1.2),J486,0)</f>
        <v>0</v>
      </c>
      <c r="N486" s="92">
        <f>IF(E486&gt;1.2,J486,0)</f>
        <v>3.7800000000000007</v>
      </c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>
        <f>SUM(X487:X490)/I486</f>
        <v>108.83738412698413</v>
      </c>
      <c r="Z486" s="10"/>
      <c r="AA486" s="10"/>
      <c r="AB486" s="10"/>
      <c r="AC486" s="10"/>
      <c r="AD486" s="10"/>
      <c r="AE486" s="10"/>
      <c r="AF486" s="10"/>
    </row>
    <row r="487" spans="1:32" s="3" customFormat="1" ht="20.100000000000001" customHeight="1" x14ac:dyDescent="0.2">
      <c r="A487" s="87"/>
      <c r="B487" s="10" t="s">
        <v>67</v>
      </c>
      <c r="C487" s="93" t="s">
        <v>69</v>
      </c>
      <c r="D487" s="10">
        <v>16</v>
      </c>
      <c r="E487" s="10"/>
      <c r="F487" s="10">
        <v>3</v>
      </c>
      <c r="G487" s="90">
        <f>VLOOKUP(D487,$C$20:$F$26,3,0)</f>
        <v>0.85</v>
      </c>
      <c r="H487" s="90"/>
      <c r="I487" s="10"/>
      <c r="J487" s="10"/>
      <c r="K487" s="10"/>
      <c r="L487" s="10"/>
      <c r="M487" s="10"/>
      <c r="N487" s="10"/>
      <c r="O487" s="10">
        <f>(E486+2*(G487+(12*D487/1000))*D486)</f>
        <v>3.8840000000000003</v>
      </c>
      <c r="P487" s="10">
        <f t="shared" ref="P487:P488" si="159">O487*F487</f>
        <v>11.652000000000001</v>
      </c>
      <c r="Q487" s="10">
        <f t="shared" ref="Q487:W495" si="160">IF($D487=Q$44,$P487*Q$45,0)</f>
        <v>0</v>
      </c>
      <c r="R487" s="10">
        <f t="shared" si="160"/>
        <v>0</v>
      </c>
      <c r="S487" s="10">
        <f t="shared" si="160"/>
        <v>0</v>
      </c>
      <c r="T487" s="10">
        <f t="shared" si="160"/>
        <v>18.398175085714289</v>
      </c>
      <c r="U487" s="10">
        <f t="shared" si="160"/>
        <v>0</v>
      </c>
      <c r="V487" s="10">
        <f t="shared" si="160"/>
        <v>0</v>
      </c>
      <c r="W487" s="10">
        <f t="shared" si="160"/>
        <v>0</v>
      </c>
      <c r="X487" s="10">
        <f t="shared" ref="X487:X490" si="161">SUM(Q487:W487)</f>
        <v>18.398175085714289</v>
      </c>
      <c r="Y487" s="10"/>
      <c r="Z487" s="10"/>
      <c r="AA487" s="10"/>
      <c r="AB487" s="10"/>
      <c r="AC487" s="10"/>
      <c r="AD487" s="10"/>
      <c r="AE487" s="10"/>
    </row>
    <row r="488" spans="1:32" s="3" customFormat="1" ht="20.100000000000001" customHeight="1" x14ac:dyDescent="0.2">
      <c r="A488" s="87"/>
      <c r="B488" s="10" t="s">
        <v>67</v>
      </c>
      <c r="C488" s="93" t="s">
        <v>71</v>
      </c>
      <c r="D488" s="10">
        <v>16</v>
      </c>
      <c r="E488" s="10"/>
      <c r="F488" s="10">
        <v>3</v>
      </c>
      <c r="G488" s="90">
        <f>VLOOKUP(D488,$C$20:$F$26,3,0)</f>
        <v>0.85</v>
      </c>
      <c r="H488" s="10"/>
      <c r="I488" s="10"/>
      <c r="J488" s="10"/>
      <c r="K488" s="10"/>
      <c r="L488" s="10"/>
      <c r="M488" s="10"/>
      <c r="N488" s="10"/>
      <c r="O488" s="10">
        <f>(E486+2*(G488+(12*D488/1000))*D486)</f>
        <v>3.8840000000000003</v>
      </c>
      <c r="P488" s="10">
        <f t="shared" si="159"/>
        <v>11.652000000000001</v>
      </c>
      <c r="Q488" s="10">
        <f t="shared" si="160"/>
        <v>0</v>
      </c>
      <c r="R488" s="10">
        <f t="shared" si="160"/>
        <v>0</v>
      </c>
      <c r="S488" s="10">
        <f t="shared" si="160"/>
        <v>0</v>
      </c>
      <c r="T488" s="10">
        <f t="shared" si="160"/>
        <v>18.398175085714289</v>
      </c>
      <c r="U488" s="10">
        <f t="shared" si="160"/>
        <v>0</v>
      </c>
      <c r="V488" s="10">
        <f t="shared" si="160"/>
        <v>0</v>
      </c>
      <c r="W488" s="10">
        <f t="shared" si="160"/>
        <v>0</v>
      </c>
      <c r="X488" s="10">
        <f t="shared" si="161"/>
        <v>18.398175085714289</v>
      </c>
      <c r="Y488" s="10"/>
      <c r="Z488" s="10"/>
      <c r="AA488" s="10"/>
      <c r="AB488" s="10"/>
      <c r="AC488" s="10"/>
      <c r="AD488" s="10"/>
      <c r="AE488" s="10"/>
    </row>
    <row r="489" spans="1:32" s="3" customFormat="1" ht="20.100000000000001" customHeight="1" x14ac:dyDescent="0.2">
      <c r="A489" s="87"/>
      <c r="B489" s="10" t="s">
        <v>67</v>
      </c>
      <c r="C489" s="93" t="s">
        <v>73</v>
      </c>
      <c r="D489" s="10">
        <v>8</v>
      </c>
      <c r="E489" s="10">
        <v>0.1</v>
      </c>
      <c r="F489" s="10">
        <f>ROUNDUP(E486/E489,0)</f>
        <v>18</v>
      </c>
      <c r="H489" s="10"/>
      <c r="I489" s="10"/>
      <c r="J489" s="10"/>
      <c r="K489" s="10"/>
      <c r="L489" s="10"/>
      <c r="M489" s="10"/>
      <c r="N489" s="10"/>
      <c r="O489" s="10">
        <f>(2*((G486-(2*$D$11))+(F486-(2*$D$11)))+(2*10*D489/1000))*D486</f>
        <v>2.72</v>
      </c>
      <c r="P489" s="10">
        <f>O489*F489</f>
        <v>48.96</v>
      </c>
      <c r="Q489" s="10">
        <f t="shared" si="160"/>
        <v>19.326610285714288</v>
      </c>
      <c r="R489" s="10">
        <f t="shared" si="160"/>
        <v>0</v>
      </c>
      <c r="S489" s="10">
        <f t="shared" si="160"/>
        <v>0</v>
      </c>
      <c r="T489" s="10">
        <f t="shared" si="160"/>
        <v>0</v>
      </c>
      <c r="U489" s="10">
        <f t="shared" si="160"/>
        <v>0</v>
      </c>
      <c r="V489" s="10">
        <f t="shared" si="160"/>
        <v>0</v>
      </c>
      <c r="W489" s="10">
        <f t="shared" si="160"/>
        <v>0</v>
      </c>
      <c r="X489" s="10">
        <f t="shared" si="161"/>
        <v>19.326610285714288</v>
      </c>
      <c r="Y489" s="10"/>
      <c r="Z489" s="10"/>
      <c r="AA489" s="10"/>
      <c r="AB489" s="10"/>
      <c r="AC489" s="10"/>
      <c r="AD489" s="10"/>
      <c r="AE489" s="10"/>
    </row>
    <row r="490" spans="1:32" s="2" customFormat="1" ht="20.100000000000001" customHeight="1" x14ac:dyDescent="0.2">
      <c r="B490" s="10" t="s">
        <v>67</v>
      </c>
      <c r="C490" s="93" t="s">
        <v>74</v>
      </c>
      <c r="D490" s="10">
        <f>+D489</f>
        <v>8</v>
      </c>
      <c r="E490" s="2">
        <f>+E489</f>
        <v>0.1</v>
      </c>
      <c r="F490" s="10">
        <f>ROUNDUP(E486/E490,0)</f>
        <v>18</v>
      </c>
      <c r="G490" s="3"/>
      <c r="O490" s="10">
        <f>((((G486-(2*$D$11))+(2*10*D490/1000))*D486))*1</f>
        <v>1.2</v>
      </c>
      <c r="P490" s="10">
        <f>O490*F490</f>
        <v>21.599999999999998</v>
      </c>
      <c r="Q490" s="10">
        <f t="shared" si="160"/>
        <v>8.526445714285714</v>
      </c>
      <c r="R490" s="10">
        <f t="shared" si="160"/>
        <v>0</v>
      </c>
      <c r="S490" s="10">
        <f t="shared" si="160"/>
        <v>0</v>
      </c>
      <c r="T490" s="10">
        <f t="shared" si="160"/>
        <v>0</v>
      </c>
      <c r="U490" s="10">
        <f t="shared" si="160"/>
        <v>0</v>
      </c>
      <c r="V490" s="10">
        <f t="shared" si="160"/>
        <v>0</v>
      </c>
      <c r="W490" s="10">
        <f t="shared" si="160"/>
        <v>0</v>
      </c>
      <c r="X490" s="10">
        <f t="shared" si="161"/>
        <v>8.526445714285714</v>
      </c>
    </row>
    <row r="491" spans="1:32" s="3" customFormat="1" ht="21" customHeight="1" x14ac:dyDescent="0.2">
      <c r="A491" s="10">
        <v>1</v>
      </c>
      <c r="B491" s="10" t="s">
        <v>67</v>
      </c>
      <c r="C491" s="91" t="s">
        <v>133</v>
      </c>
      <c r="D491" s="91">
        <v>1</v>
      </c>
      <c r="E491" s="91">
        <v>1.8</v>
      </c>
      <c r="F491" s="91">
        <v>0.3</v>
      </c>
      <c r="G491" s="91">
        <v>1.1000000000000001</v>
      </c>
      <c r="H491" s="10">
        <f>G491-0.2</f>
        <v>0.90000000000000013</v>
      </c>
      <c r="I491" s="10">
        <f>E491*F491*G491*D491</f>
        <v>0.59400000000000008</v>
      </c>
      <c r="J491" s="10">
        <f>(2*(E491)*H491*D491)+(E491*F491)</f>
        <v>3.7800000000000007</v>
      </c>
      <c r="K491" s="92">
        <f>IF(E491=0.3,J491,0)</f>
        <v>0</v>
      </c>
      <c r="L491" s="92">
        <f>IF(AND(E491&gt;0.3,E491&lt;=0.75),J491,0)</f>
        <v>0</v>
      </c>
      <c r="M491" s="92">
        <f>IF(AND(E491&gt;0.75,E491&lt;=1.2),J491,0)</f>
        <v>0</v>
      </c>
      <c r="N491" s="92">
        <f>IF(E491&gt;1.2,J491,0)</f>
        <v>3.7800000000000007</v>
      </c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>
        <f>SUM(X492:X495)/I491</f>
        <v>108.83738412698413</v>
      </c>
      <c r="Z491" s="10"/>
      <c r="AA491" s="10"/>
      <c r="AB491" s="10"/>
      <c r="AC491" s="10"/>
      <c r="AD491" s="10"/>
      <c r="AE491" s="10"/>
      <c r="AF491" s="10"/>
    </row>
    <row r="492" spans="1:32" s="3" customFormat="1" ht="20.100000000000001" customHeight="1" x14ac:dyDescent="0.2">
      <c r="A492" s="87"/>
      <c r="B492" s="10" t="s">
        <v>67</v>
      </c>
      <c r="C492" s="93" t="s">
        <v>69</v>
      </c>
      <c r="D492" s="10">
        <v>16</v>
      </c>
      <c r="E492" s="10"/>
      <c r="F492" s="10">
        <v>3</v>
      </c>
      <c r="G492" s="90">
        <f>VLOOKUP(D492,$C$20:$F$26,3,0)</f>
        <v>0.85</v>
      </c>
      <c r="H492" s="90"/>
      <c r="I492" s="10"/>
      <c r="J492" s="10"/>
      <c r="K492" s="10"/>
      <c r="L492" s="10"/>
      <c r="M492" s="10"/>
      <c r="N492" s="10"/>
      <c r="O492" s="10">
        <f>(E491+2*(G492+(12*D492/1000))*D491)</f>
        <v>3.8840000000000003</v>
      </c>
      <c r="P492" s="10">
        <f t="shared" ref="P492:P493" si="162">O492*F492</f>
        <v>11.652000000000001</v>
      </c>
      <c r="Q492" s="10">
        <f t="shared" si="160"/>
        <v>0</v>
      </c>
      <c r="R492" s="10">
        <f t="shared" si="160"/>
        <v>0</v>
      </c>
      <c r="S492" s="10">
        <f t="shared" si="160"/>
        <v>0</v>
      </c>
      <c r="T492" s="10">
        <f t="shared" si="160"/>
        <v>18.398175085714289</v>
      </c>
      <c r="U492" s="10">
        <f t="shared" si="160"/>
        <v>0</v>
      </c>
      <c r="V492" s="10">
        <f t="shared" si="160"/>
        <v>0</v>
      </c>
      <c r="W492" s="10">
        <f t="shared" si="160"/>
        <v>0</v>
      </c>
      <c r="X492" s="10">
        <f t="shared" ref="X492:X495" si="163">SUM(Q492:W492)</f>
        <v>18.398175085714289</v>
      </c>
      <c r="Y492" s="10"/>
      <c r="Z492" s="10"/>
      <c r="AA492" s="10"/>
      <c r="AB492" s="10"/>
      <c r="AC492" s="10"/>
      <c r="AD492" s="10"/>
      <c r="AE492" s="10"/>
    </row>
    <row r="493" spans="1:32" s="3" customFormat="1" ht="20.100000000000001" customHeight="1" x14ac:dyDescent="0.2">
      <c r="A493" s="87"/>
      <c r="B493" s="10" t="s">
        <v>67</v>
      </c>
      <c r="C493" s="93" t="s">
        <v>71</v>
      </c>
      <c r="D493" s="10">
        <v>16</v>
      </c>
      <c r="E493" s="10"/>
      <c r="F493" s="10">
        <v>3</v>
      </c>
      <c r="G493" s="90">
        <f>VLOOKUP(D493,$C$20:$F$26,3,0)</f>
        <v>0.85</v>
      </c>
      <c r="H493" s="10"/>
      <c r="I493" s="10"/>
      <c r="J493" s="10"/>
      <c r="K493" s="10"/>
      <c r="L493" s="10"/>
      <c r="M493" s="10"/>
      <c r="N493" s="10"/>
      <c r="O493" s="10">
        <f>(E491+2*(G493+(12*D493/1000))*D491)</f>
        <v>3.8840000000000003</v>
      </c>
      <c r="P493" s="10">
        <f t="shared" si="162"/>
        <v>11.652000000000001</v>
      </c>
      <c r="Q493" s="10">
        <f t="shared" si="160"/>
        <v>0</v>
      </c>
      <c r="R493" s="10">
        <f t="shared" si="160"/>
        <v>0</v>
      </c>
      <c r="S493" s="10">
        <f t="shared" si="160"/>
        <v>0</v>
      </c>
      <c r="T493" s="10">
        <f t="shared" si="160"/>
        <v>18.398175085714289</v>
      </c>
      <c r="U493" s="10">
        <f t="shared" si="160"/>
        <v>0</v>
      </c>
      <c r="V493" s="10">
        <f t="shared" si="160"/>
        <v>0</v>
      </c>
      <c r="W493" s="10">
        <f t="shared" si="160"/>
        <v>0</v>
      </c>
      <c r="X493" s="10">
        <f t="shared" si="163"/>
        <v>18.398175085714289</v>
      </c>
      <c r="Y493" s="10"/>
      <c r="Z493" s="10"/>
      <c r="AA493" s="10"/>
      <c r="AB493" s="10"/>
      <c r="AC493" s="10"/>
      <c r="AD493" s="10"/>
      <c r="AE493" s="10"/>
    </row>
    <row r="494" spans="1:32" s="3" customFormat="1" ht="20.100000000000001" customHeight="1" x14ac:dyDescent="0.2">
      <c r="A494" s="87"/>
      <c r="B494" s="10" t="s">
        <v>67</v>
      </c>
      <c r="C494" s="93" t="s">
        <v>73</v>
      </c>
      <c r="D494" s="10">
        <v>8</v>
      </c>
      <c r="E494" s="10">
        <v>0.1</v>
      </c>
      <c r="F494" s="10">
        <f>ROUNDUP(E491/E494,0)</f>
        <v>18</v>
      </c>
      <c r="H494" s="10"/>
      <c r="I494" s="10"/>
      <c r="J494" s="10"/>
      <c r="K494" s="10"/>
      <c r="L494" s="10"/>
      <c r="M494" s="10"/>
      <c r="N494" s="10"/>
      <c r="O494" s="10">
        <f>(2*((G491-(2*$D$11))+(F491-(2*$D$11)))+(2*10*D494/1000))*D491</f>
        <v>2.72</v>
      </c>
      <c r="P494" s="10">
        <f>O494*F494</f>
        <v>48.96</v>
      </c>
      <c r="Q494" s="10">
        <f t="shared" si="160"/>
        <v>19.326610285714288</v>
      </c>
      <c r="R494" s="10">
        <f t="shared" si="160"/>
        <v>0</v>
      </c>
      <c r="S494" s="10">
        <f t="shared" si="160"/>
        <v>0</v>
      </c>
      <c r="T494" s="10">
        <f t="shared" si="160"/>
        <v>0</v>
      </c>
      <c r="U494" s="10">
        <f t="shared" si="160"/>
        <v>0</v>
      </c>
      <c r="V494" s="10">
        <f t="shared" si="160"/>
        <v>0</v>
      </c>
      <c r="W494" s="10">
        <f t="shared" si="160"/>
        <v>0</v>
      </c>
      <c r="X494" s="10">
        <f t="shared" si="163"/>
        <v>19.326610285714288</v>
      </c>
      <c r="Y494" s="10"/>
      <c r="Z494" s="10"/>
      <c r="AA494" s="10"/>
      <c r="AB494" s="10"/>
      <c r="AC494" s="10"/>
      <c r="AD494" s="10"/>
      <c r="AE494" s="10"/>
    </row>
    <row r="495" spans="1:32" s="2" customFormat="1" ht="20.100000000000001" customHeight="1" x14ac:dyDescent="0.2">
      <c r="B495" s="10" t="s">
        <v>67</v>
      </c>
      <c r="C495" s="93" t="s">
        <v>74</v>
      </c>
      <c r="D495" s="10">
        <f>+D494</f>
        <v>8</v>
      </c>
      <c r="E495" s="2">
        <f>+E494</f>
        <v>0.1</v>
      </c>
      <c r="F495" s="10">
        <f>ROUNDUP(E491/E495,0)</f>
        <v>18</v>
      </c>
      <c r="G495" s="3"/>
      <c r="O495" s="10">
        <f>((((G491-(2*$D$11))+(2*10*D495/1000))*D491))*1</f>
        <v>1.2</v>
      </c>
      <c r="P495" s="10">
        <f>O495*F495</f>
        <v>21.599999999999998</v>
      </c>
      <c r="Q495" s="10">
        <f t="shared" si="160"/>
        <v>8.526445714285714</v>
      </c>
      <c r="R495" s="10">
        <f t="shared" si="160"/>
        <v>0</v>
      </c>
      <c r="S495" s="10">
        <f t="shared" si="160"/>
        <v>0</v>
      </c>
      <c r="T495" s="10">
        <f t="shared" si="160"/>
        <v>0</v>
      </c>
      <c r="U495" s="10">
        <f t="shared" si="160"/>
        <v>0</v>
      </c>
      <c r="V495" s="10">
        <f t="shared" si="160"/>
        <v>0</v>
      </c>
      <c r="W495" s="10">
        <f t="shared" si="160"/>
        <v>0</v>
      </c>
      <c r="X495" s="10">
        <f t="shared" si="163"/>
        <v>8.526445714285714</v>
      </c>
    </row>
    <row r="496" spans="1:32" s="3" customFormat="1" ht="21" customHeight="1" x14ac:dyDescent="0.2">
      <c r="A496" s="10">
        <v>1</v>
      </c>
      <c r="B496" s="10" t="s">
        <v>67</v>
      </c>
      <c r="C496" s="91" t="s">
        <v>134</v>
      </c>
      <c r="D496" s="91">
        <v>1</v>
      </c>
      <c r="E496" s="91">
        <v>2.85</v>
      </c>
      <c r="F496" s="91">
        <v>0.4</v>
      </c>
      <c r="G496" s="91">
        <v>1</v>
      </c>
      <c r="H496" s="10">
        <f>G496-0.2</f>
        <v>0.8</v>
      </c>
      <c r="I496" s="10">
        <f>E496*F496*G496*D496</f>
        <v>1.1400000000000001</v>
      </c>
      <c r="J496" s="10">
        <f>(2*(E496)*H496*D496)+(E496*F496)</f>
        <v>5.7000000000000011</v>
      </c>
      <c r="K496" s="92">
        <f>IF(E496=0.3,J496,0)</f>
        <v>0</v>
      </c>
      <c r="L496" s="92">
        <f>IF(AND(E496&gt;0.3,E496&lt;=0.75),J496,0)</f>
        <v>0</v>
      </c>
      <c r="M496" s="92">
        <f>IF(AND(E496&gt;0.75,E496&lt;=1.2),J496,0)</f>
        <v>0</v>
      </c>
      <c r="N496" s="92">
        <f>IF(E496&gt;1.2,J496,0)</f>
        <v>5.7000000000000011</v>
      </c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>
        <f>SUM(X497:X500)/I496</f>
        <v>180.22045739348374</v>
      </c>
      <c r="Z496" s="10"/>
      <c r="AA496" s="10"/>
      <c r="AB496" s="10"/>
      <c r="AC496" s="10"/>
      <c r="AD496" s="10"/>
      <c r="AE496" s="10"/>
      <c r="AF496" s="10"/>
    </row>
    <row r="497" spans="1:32" s="3" customFormat="1" ht="20.100000000000001" customHeight="1" x14ac:dyDescent="0.2">
      <c r="A497" s="87"/>
      <c r="B497" s="10" t="s">
        <v>67</v>
      </c>
      <c r="C497" s="93" t="s">
        <v>69</v>
      </c>
      <c r="D497" s="10">
        <v>25</v>
      </c>
      <c r="E497" s="10"/>
      <c r="F497" s="10">
        <v>4</v>
      </c>
      <c r="G497" s="90">
        <f>VLOOKUP(D497,$C$20:$F$26,3,0)</f>
        <v>1.35</v>
      </c>
      <c r="H497" s="90"/>
      <c r="I497" s="10"/>
      <c r="J497" s="10"/>
      <c r="K497" s="10"/>
      <c r="L497" s="10"/>
      <c r="M497" s="10"/>
      <c r="N497" s="10"/>
      <c r="O497" s="10">
        <f>(E496+1*(G497+1*(0.4/2)*D496))</f>
        <v>4.4000000000000004</v>
      </c>
      <c r="P497" s="10">
        <f t="shared" ref="P497:P498" si="164">O497*F497</f>
        <v>17.600000000000001</v>
      </c>
      <c r="Q497" s="10">
        <f t="shared" ref="Q497:W500" si="165">IF($D497=Q$44,$P497*Q$45,0)</f>
        <v>0</v>
      </c>
      <c r="R497" s="10">
        <f t="shared" si="165"/>
        <v>0</v>
      </c>
      <c r="S497" s="10">
        <f t="shared" si="165"/>
        <v>0</v>
      </c>
      <c r="T497" s="10">
        <f t="shared" si="165"/>
        <v>0</v>
      </c>
      <c r="U497" s="10">
        <f t="shared" si="165"/>
        <v>0</v>
      </c>
      <c r="V497" s="10">
        <f t="shared" si="165"/>
        <v>67.846428571428589</v>
      </c>
      <c r="W497" s="10">
        <f t="shared" si="165"/>
        <v>0</v>
      </c>
      <c r="X497" s="10">
        <f t="shared" ref="X497:X500" si="166">SUM(Q497:W497)</f>
        <v>67.846428571428589</v>
      </c>
      <c r="Y497" s="10"/>
      <c r="Z497" s="10"/>
      <c r="AA497" s="10"/>
      <c r="AB497" s="10"/>
      <c r="AC497" s="10"/>
      <c r="AD497" s="10"/>
      <c r="AE497" s="10"/>
    </row>
    <row r="498" spans="1:32" s="3" customFormat="1" ht="20.100000000000001" customHeight="1" x14ac:dyDescent="0.2">
      <c r="A498" s="87"/>
      <c r="B498" s="10" t="s">
        <v>67</v>
      </c>
      <c r="C498" s="93" t="s">
        <v>71</v>
      </c>
      <c r="D498" s="10">
        <v>25</v>
      </c>
      <c r="E498" s="10"/>
      <c r="F498" s="10">
        <v>4</v>
      </c>
      <c r="G498" s="90">
        <f>VLOOKUP(D498,$C$20:$F$26,3,0)</f>
        <v>1.35</v>
      </c>
      <c r="H498" s="10"/>
      <c r="I498" s="10"/>
      <c r="J498" s="10"/>
      <c r="K498" s="10"/>
      <c r="L498" s="10"/>
      <c r="M498" s="10"/>
      <c r="N498" s="10"/>
      <c r="O498" s="10">
        <f>(E496+1*(G498+1*(0.4/2)*D496))</f>
        <v>4.4000000000000004</v>
      </c>
      <c r="P498" s="10">
        <f t="shared" si="164"/>
        <v>17.600000000000001</v>
      </c>
      <c r="Q498" s="10">
        <f t="shared" si="165"/>
        <v>0</v>
      </c>
      <c r="R498" s="10">
        <f t="shared" si="165"/>
        <v>0</v>
      </c>
      <c r="S498" s="10">
        <f t="shared" si="165"/>
        <v>0</v>
      </c>
      <c r="T498" s="10">
        <f t="shared" si="165"/>
        <v>0</v>
      </c>
      <c r="U498" s="10">
        <f t="shared" si="165"/>
        <v>0</v>
      </c>
      <c r="V498" s="10">
        <f t="shared" si="165"/>
        <v>67.846428571428589</v>
      </c>
      <c r="W498" s="10">
        <f t="shared" si="165"/>
        <v>0</v>
      </c>
      <c r="X498" s="10">
        <f t="shared" si="166"/>
        <v>67.846428571428589</v>
      </c>
      <c r="Y498" s="10"/>
      <c r="Z498" s="10"/>
      <c r="AA498" s="10"/>
      <c r="AB498" s="10"/>
      <c r="AC498" s="10"/>
      <c r="AD498" s="10"/>
      <c r="AE498" s="10"/>
    </row>
    <row r="499" spans="1:32" s="3" customFormat="1" ht="20.100000000000001" customHeight="1" x14ac:dyDescent="0.2">
      <c r="A499" s="87"/>
      <c r="B499" s="10" t="s">
        <v>67</v>
      </c>
      <c r="C499" s="93" t="s">
        <v>73</v>
      </c>
      <c r="D499" s="10">
        <v>10</v>
      </c>
      <c r="E499" s="10">
        <v>0.1</v>
      </c>
      <c r="F499" s="10">
        <f>ROUNDUP(E496/E499,0)</f>
        <v>29</v>
      </c>
      <c r="H499" s="10"/>
      <c r="I499" s="10"/>
      <c r="J499" s="10"/>
      <c r="K499" s="10"/>
      <c r="L499" s="10"/>
      <c r="M499" s="10"/>
      <c r="N499" s="10"/>
      <c r="O499" s="10">
        <f>(2*((G496-(2*$D$11))+(F496-(2*$D$11)))+(2*10*D499/1000))*D496</f>
        <v>2.7600000000000002</v>
      </c>
      <c r="P499" s="10">
        <f>O499*F499</f>
        <v>80.040000000000006</v>
      </c>
      <c r="Q499" s="10">
        <f t="shared" si="165"/>
        <v>0</v>
      </c>
      <c r="R499" s="10">
        <f t="shared" si="165"/>
        <v>49.367528571428572</v>
      </c>
      <c r="S499" s="10">
        <f t="shared" si="165"/>
        <v>0</v>
      </c>
      <c r="T499" s="10">
        <f t="shared" si="165"/>
        <v>0</v>
      </c>
      <c r="U499" s="10">
        <f t="shared" si="165"/>
        <v>0</v>
      </c>
      <c r="V499" s="10">
        <f t="shared" si="165"/>
        <v>0</v>
      </c>
      <c r="W499" s="10">
        <f t="shared" si="165"/>
        <v>0</v>
      </c>
      <c r="X499" s="10">
        <f t="shared" si="166"/>
        <v>49.367528571428572</v>
      </c>
      <c r="Y499" s="10"/>
      <c r="Z499" s="10"/>
      <c r="AA499" s="10"/>
      <c r="AB499" s="10"/>
      <c r="AC499" s="10"/>
      <c r="AD499" s="10"/>
      <c r="AE499" s="10"/>
    </row>
    <row r="500" spans="1:32" s="2" customFormat="1" ht="20.100000000000001" customHeight="1" x14ac:dyDescent="0.2">
      <c r="B500" s="10" t="s">
        <v>67</v>
      </c>
      <c r="C500" s="93" t="s">
        <v>74</v>
      </c>
      <c r="D500" s="10">
        <f>+D499</f>
        <v>10</v>
      </c>
      <c r="E500" s="2">
        <f>+E499</f>
        <v>0.1</v>
      </c>
      <c r="F500" s="10">
        <f>ROUNDUP(E496/E500,0)</f>
        <v>29</v>
      </c>
      <c r="G500" s="3"/>
      <c r="O500" s="10">
        <f>((((G496-(2*$D$11))+(2*10*D500/1000))*D496))*1</f>
        <v>1.1399999999999999</v>
      </c>
      <c r="P500" s="10">
        <f>O500*F500</f>
        <v>33.059999999999995</v>
      </c>
      <c r="Q500" s="10">
        <f t="shared" si="165"/>
        <v>0</v>
      </c>
      <c r="R500" s="10">
        <f t="shared" si="165"/>
        <v>20.39093571428571</v>
      </c>
      <c r="S500" s="10">
        <f t="shared" si="165"/>
        <v>0</v>
      </c>
      <c r="T500" s="10">
        <f t="shared" si="165"/>
        <v>0</v>
      </c>
      <c r="U500" s="10">
        <f t="shared" si="165"/>
        <v>0</v>
      </c>
      <c r="V500" s="10">
        <f t="shared" si="165"/>
        <v>0</v>
      </c>
      <c r="W500" s="10">
        <f t="shared" si="165"/>
        <v>0</v>
      </c>
      <c r="X500" s="10">
        <f t="shared" si="166"/>
        <v>20.39093571428571</v>
      </c>
    </row>
    <row r="501" spans="1:32" s="3" customFormat="1" ht="21" customHeight="1" x14ac:dyDescent="0.2">
      <c r="A501" s="10">
        <v>1</v>
      </c>
      <c r="B501" s="10" t="s">
        <v>67</v>
      </c>
      <c r="C501" s="91" t="s">
        <v>135</v>
      </c>
      <c r="D501" s="91">
        <v>1</v>
      </c>
      <c r="E501" s="91">
        <v>5.9379999999999997</v>
      </c>
      <c r="F501" s="91">
        <v>0.4</v>
      </c>
      <c r="G501" s="91">
        <v>1</v>
      </c>
      <c r="H501" s="10">
        <f>G501-0.2</f>
        <v>0.8</v>
      </c>
      <c r="I501" s="10">
        <f>E501*F501*G501*D501</f>
        <v>2.3752</v>
      </c>
      <c r="J501" s="10">
        <f>(2*(E501)*H501*D501)+(E501*F501)</f>
        <v>11.875999999999999</v>
      </c>
      <c r="K501" s="92">
        <f>IF(E501=0.3,J501,0)</f>
        <v>0</v>
      </c>
      <c r="L501" s="92">
        <f>IF(AND(E501&gt;0.3,E501&lt;=0.75),J501,0)</f>
        <v>0</v>
      </c>
      <c r="M501" s="92">
        <f>IF(AND(E501&gt;0.75,E501&lt;=1.2),J501,0)</f>
        <v>0</v>
      </c>
      <c r="N501" s="92">
        <f>IF(E501&gt;1.2,J501,0)</f>
        <v>11.875999999999999</v>
      </c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>
        <f>SUM(X502:X507)/I501</f>
        <v>166.96476537314152</v>
      </c>
      <c r="Z501" s="10"/>
      <c r="AA501" s="10"/>
      <c r="AB501" s="10"/>
      <c r="AC501" s="10"/>
      <c r="AD501" s="10"/>
      <c r="AE501" s="10"/>
      <c r="AF501" s="10"/>
    </row>
    <row r="502" spans="1:32" s="3" customFormat="1" ht="20.100000000000001" customHeight="1" x14ac:dyDescent="0.2">
      <c r="A502" s="87"/>
      <c r="B502" s="10" t="s">
        <v>67</v>
      </c>
      <c r="C502" s="93" t="s">
        <v>69</v>
      </c>
      <c r="D502" s="10">
        <v>25</v>
      </c>
      <c r="E502" s="10"/>
      <c r="F502" s="10">
        <v>4</v>
      </c>
      <c r="G502" s="90">
        <f>VLOOKUP(D502,$C$20:$F$26,3,0)</f>
        <v>1.35</v>
      </c>
      <c r="H502" s="90"/>
      <c r="I502" s="10"/>
      <c r="J502" s="10"/>
      <c r="K502" s="10"/>
      <c r="L502" s="10"/>
      <c r="M502" s="10"/>
      <c r="N502" s="10"/>
      <c r="O502" s="10">
        <f>(E501+(2*(0.4/2)*D501))</f>
        <v>6.3380000000000001</v>
      </c>
      <c r="P502" s="10">
        <f t="shared" ref="P502:P504" si="167">O502*F502</f>
        <v>25.352</v>
      </c>
      <c r="Q502" s="10">
        <f t="shared" ref="Q502:W507" si="168">IF($D502=Q$44,$P502*Q$45,0)</f>
        <v>0</v>
      </c>
      <c r="R502" s="10">
        <f t="shared" si="168"/>
        <v>0</v>
      </c>
      <c r="S502" s="10">
        <f t="shared" si="168"/>
        <v>0</v>
      </c>
      <c r="T502" s="10">
        <f t="shared" si="168"/>
        <v>0</v>
      </c>
      <c r="U502" s="10">
        <f t="shared" si="168"/>
        <v>0</v>
      </c>
      <c r="V502" s="10">
        <f t="shared" si="168"/>
        <v>97.729696428571444</v>
      </c>
      <c r="W502" s="10">
        <f t="shared" si="168"/>
        <v>0</v>
      </c>
      <c r="X502" s="10">
        <f t="shared" ref="X502:X507" si="169">SUM(Q502:W502)</f>
        <v>97.729696428571444</v>
      </c>
      <c r="Y502" s="10"/>
      <c r="Z502" s="10"/>
      <c r="AA502" s="10"/>
      <c r="AB502" s="10"/>
      <c r="AC502" s="10"/>
      <c r="AD502" s="10"/>
      <c r="AE502" s="10"/>
    </row>
    <row r="503" spans="1:32" s="3" customFormat="1" ht="20.100000000000001" customHeight="1" x14ac:dyDescent="0.2">
      <c r="A503" s="87"/>
      <c r="B503" s="10" t="s">
        <v>67</v>
      </c>
      <c r="C503" s="93" t="s">
        <v>71</v>
      </c>
      <c r="D503" s="10">
        <v>25</v>
      </c>
      <c r="E503" s="10"/>
      <c r="F503" s="10">
        <v>4</v>
      </c>
      <c r="G503" s="90">
        <f>VLOOKUP(D503,$C$20:$F$26,3,0)</f>
        <v>1.35</v>
      </c>
      <c r="H503" s="10"/>
      <c r="I503" s="10"/>
      <c r="J503" s="10"/>
      <c r="K503" s="10"/>
      <c r="L503" s="10"/>
      <c r="M503" s="10"/>
      <c r="N503" s="10"/>
      <c r="O503" s="10">
        <f>(E501+(2*(0.4/2)+G503*D501))</f>
        <v>7.6879999999999997</v>
      </c>
      <c r="P503" s="10">
        <f t="shared" si="167"/>
        <v>30.751999999999999</v>
      </c>
      <c r="Q503" s="10">
        <f t="shared" si="168"/>
        <v>0</v>
      </c>
      <c r="R503" s="10">
        <f t="shared" si="168"/>
        <v>0</v>
      </c>
      <c r="S503" s="10">
        <f t="shared" si="168"/>
        <v>0</v>
      </c>
      <c r="T503" s="10">
        <f t="shared" si="168"/>
        <v>0</v>
      </c>
      <c r="U503" s="10">
        <f t="shared" si="168"/>
        <v>0</v>
      </c>
      <c r="V503" s="10">
        <f t="shared" si="168"/>
        <v>118.5462142857143</v>
      </c>
      <c r="W503" s="10">
        <f t="shared" si="168"/>
        <v>0</v>
      </c>
      <c r="X503" s="10">
        <f t="shared" si="169"/>
        <v>118.5462142857143</v>
      </c>
      <c r="Y503" s="10"/>
      <c r="Z503" s="10"/>
      <c r="AA503" s="10"/>
      <c r="AB503" s="10"/>
      <c r="AC503" s="10"/>
      <c r="AD503" s="10"/>
      <c r="AE503" s="10"/>
    </row>
    <row r="504" spans="1:32" s="3" customFormat="1" ht="20.100000000000001" customHeight="1" x14ac:dyDescent="0.2">
      <c r="A504" s="87"/>
      <c r="B504" s="10" t="s">
        <v>67</v>
      </c>
      <c r="C504" s="93" t="s">
        <v>73</v>
      </c>
      <c r="D504" s="10">
        <v>10</v>
      </c>
      <c r="E504" s="10">
        <v>0.1</v>
      </c>
      <c r="F504" s="10">
        <f>ROUNDUP((E501/3*2)/E504,0)+1</f>
        <v>41</v>
      </c>
      <c r="H504" s="10"/>
      <c r="I504" s="10"/>
      <c r="J504" s="10"/>
      <c r="K504" s="10"/>
      <c r="L504" s="10"/>
      <c r="M504" s="10"/>
      <c r="N504" s="10"/>
      <c r="O504" s="10">
        <f>(2*((G501-(2*$D$11))+(F501-(2*$D$11)))+(2*10*D504/1000))*D501</f>
        <v>2.7600000000000002</v>
      </c>
      <c r="P504" s="10">
        <f t="shared" si="167"/>
        <v>113.16000000000001</v>
      </c>
      <c r="Q504" s="10">
        <f t="shared" si="168"/>
        <v>0</v>
      </c>
      <c r="R504" s="10">
        <f t="shared" si="168"/>
        <v>69.795471428571432</v>
      </c>
      <c r="S504" s="10">
        <f t="shared" si="168"/>
        <v>0</v>
      </c>
      <c r="T504" s="10">
        <f t="shared" si="168"/>
        <v>0</v>
      </c>
      <c r="U504" s="10">
        <f t="shared" si="168"/>
        <v>0</v>
      </c>
      <c r="V504" s="10">
        <f t="shared" si="168"/>
        <v>0</v>
      </c>
      <c r="W504" s="10">
        <f t="shared" si="168"/>
        <v>0</v>
      </c>
      <c r="X504" s="10">
        <f t="shared" si="169"/>
        <v>69.795471428571432</v>
      </c>
      <c r="Y504" s="10"/>
      <c r="Z504" s="10"/>
      <c r="AA504" s="10"/>
      <c r="AB504" s="10"/>
      <c r="AC504" s="10"/>
      <c r="AD504" s="10"/>
      <c r="AE504" s="10"/>
    </row>
    <row r="505" spans="1:32" s="2" customFormat="1" ht="20.100000000000001" customHeight="1" x14ac:dyDescent="0.2">
      <c r="B505" s="10" t="s">
        <v>67</v>
      </c>
      <c r="C505" s="93" t="s">
        <v>73</v>
      </c>
      <c r="D505" s="2">
        <f>D504</f>
        <v>10</v>
      </c>
      <c r="E505" s="2">
        <v>0.125</v>
      </c>
      <c r="F505" s="10">
        <f>ROUNDUP((E501/3)/E505,0)+1</f>
        <v>17</v>
      </c>
      <c r="G505" s="3"/>
      <c r="O505" s="10">
        <f>(2*((G501-(2*$D$11))+(F501-(2*$D$11)))+(2*10*D505/1000))*D501</f>
        <v>2.7600000000000002</v>
      </c>
      <c r="P505" s="10">
        <f>O505*F505</f>
        <v>46.92</v>
      </c>
      <c r="Q505" s="10">
        <f t="shared" si="168"/>
        <v>0</v>
      </c>
      <c r="R505" s="10">
        <f t="shared" si="168"/>
        <v>28.939585714285716</v>
      </c>
      <c r="S505" s="10">
        <f t="shared" si="168"/>
        <v>0</v>
      </c>
      <c r="T505" s="10">
        <f t="shared" si="168"/>
        <v>0</v>
      </c>
      <c r="U505" s="10">
        <f t="shared" si="168"/>
        <v>0</v>
      </c>
      <c r="V505" s="10">
        <f t="shared" si="168"/>
        <v>0</v>
      </c>
      <c r="W505" s="10">
        <f t="shared" si="168"/>
        <v>0</v>
      </c>
      <c r="X505" s="10">
        <f t="shared" si="169"/>
        <v>28.939585714285716</v>
      </c>
    </row>
    <row r="506" spans="1:32" s="2" customFormat="1" ht="20.100000000000001" customHeight="1" x14ac:dyDescent="0.2">
      <c r="B506" s="10" t="s">
        <v>67</v>
      </c>
      <c r="C506" s="93" t="s">
        <v>74</v>
      </c>
      <c r="D506" s="2">
        <f>D504</f>
        <v>10</v>
      </c>
      <c r="E506" s="2">
        <f>+E504</f>
        <v>0.1</v>
      </c>
      <c r="F506" s="10">
        <f>ROUNDUP((E501/3*2)/E506,0)+1</f>
        <v>41</v>
      </c>
      <c r="G506" s="3"/>
      <c r="O506" s="10">
        <f>((((G501-(2*$D$11))+(2*10*D506/1000))*D501))*2</f>
        <v>2.2799999999999998</v>
      </c>
      <c r="P506" s="10">
        <f t="shared" ref="P506" si="170">O506*F506</f>
        <v>93.47999999999999</v>
      </c>
      <c r="Q506" s="10">
        <f t="shared" si="168"/>
        <v>0</v>
      </c>
      <c r="R506" s="10">
        <f t="shared" si="168"/>
        <v>57.657128571428565</v>
      </c>
      <c r="S506" s="10">
        <f t="shared" si="168"/>
        <v>0</v>
      </c>
      <c r="T506" s="10">
        <f t="shared" si="168"/>
        <v>0</v>
      </c>
      <c r="U506" s="10">
        <f t="shared" si="168"/>
        <v>0</v>
      </c>
      <c r="V506" s="10">
        <f t="shared" si="168"/>
        <v>0</v>
      </c>
      <c r="W506" s="10">
        <f t="shared" si="168"/>
        <v>0</v>
      </c>
      <c r="X506" s="10">
        <f t="shared" si="169"/>
        <v>57.657128571428565</v>
      </c>
    </row>
    <row r="507" spans="1:32" s="2" customFormat="1" ht="20.100000000000001" customHeight="1" x14ac:dyDescent="0.2">
      <c r="B507" s="10" t="s">
        <v>67</v>
      </c>
      <c r="C507" s="93" t="s">
        <v>74</v>
      </c>
      <c r="D507" s="2">
        <f>D505</f>
        <v>10</v>
      </c>
      <c r="E507" s="2">
        <f>+E505</f>
        <v>0.125</v>
      </c>
      <c r="F507" s="10">
        <f>ROUNDUP((E501/3)/E507,0)+1</f>
        <v>17</v>
      </c>
      <c r="G507" s="3"/>
      <c r="O507" s="10">
        <f>((((G501-(2*$D$11))+(2*10*D507/1000))*D501))*2</f>
        <v>2.2799999999999998</v>
      </c>
      <c r="P507" s="10">
        <f>O507*F507</f>
        <v>38.76</v>
      </c>
      <c r="Q507" s="10">
        <f t="shared" si="168"/>
        <v>0</v>
      </c>
      <c r="R507" s="10">
        <f t="shared" si="168"/>
        <v>23.906614285714284</v>
      </c>
      <c r="S507" s="10">
        <f t="shared" si="168"/>
        <v>0</v>
      </c>
      <c r="T507" s="10">
        <f t="shared" si="168"/>
        <v>0</v>
      </c>
      <c r="U507" s="10">
        <f t="shared" si="168"/>
        <v>0</v>
      </c>
      <c r="V507" s="10">
        <f t="shared" si="168"/>
        <v>0</v>
      </c>
      <c r="W507" s="10">
        <f t="shared" si="168"/>
        <v>0</v>
      </c>
      <c r="X507" s="10">
        <f t="shared" si="169"/>
        <v>23.906614285714284</v>
      </c>
    </row>
    <row r="508" spans="1:32" s="3" customFormat="1" ht="21" customHeight="1" x14ac:dyDescent="0.2">
      <c r="A508" s="10">
        <v>1</v>
      </c>
      <c r="B508" s="10" t="s">
        <v>67</v>
      </c>
      <c r="C508" s="91" t="s">
        <v>136</v>
      </c>
      <c r="D508" s="91">
        <v>1</v>
      </c>
      <c r="E508" s="91">
        <v>1.6859999999999999</v>
      </c>
      <c r="F508" s="91">
        <v>0.4</v>
      </c>
      <c r="G508" s="91">
        <v>1.2</v>
      </c>
      <c r="H508" s="10">
        <f>G508-0.2</f>
        <v>1</v>
      </c>
      <c r="I508" s="10">
        <f>E508*F508*G508*D508</f>
        <v>0.80928</v>
      </c>
      <c r="J508" s="10">
        <f>(2*(E508)*H508*D508)+(E508*F508)</f>
        <v>4.0464000000000002</v>
      </c>
      <c r="K508" s="92">
        <f>IF(E508=0.3,J508,0)</f>
        <v>0</v>
      </c>
      <c r="L508" s="92">
        <f>IF(AND(E508&gt;0.3,E508&lt;=0.75),J508,0)</f>
        <v>0</v>
      </c>
      <c r="M508" s="92">
        <f>IF(AND(E508&gt;0.75,E508&lt;=1.2),J508,0)</f>
        <v>0</v>
      </c>
      <c r="N508" s="92">
        <f>IF(E508&gt;1.2,J508,0)</f>
        <v>4.0464000000000002</v>
      </c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>
        <f>SUM(X509:X512)/I508</f>
        <v>247.82426830904373</v>
      </c>
      <c r="Z508" s="10"/>
      <c r="AA508" s="10"/>
      <c r="AB508" s="10"/>
      <c r="AC508" s="10"/>
      <c r="AD508" s="10"/>
      <c r="AE508" s="10"/>
      <c r="AF508" s="10"/>
    </row>
    <row r="509" spans="1:32" s="3" customFormat="1" ht="20.100000000000001" customHeight="1" x14ac:dyDescent="0.2">
      <c r="A509" s="87"/>
      <c r="B509" s="10" t="s">
        <v>67</v>
      </c>
      <c r="C509" s="93" t="s">
        <v>69</v>
      </c>
      <c r="D509" s="10">
        <v>25</v>
      </c>
      <c r="E509" s="10"/>
      <c r="F509" s="10">
        <v>4</v>
      </c>
      <c r="G509" s="90">
        <f>VLOOKUP(D509,$C$20:$F$26,3,0)</f>
        <v>1.35</v>
      </c>
      <c r="H509" s="90"/>
      <c r="I509" s="10"/>
      <c r="J509" s="10"/>
      <c r="K509" s="10"/>
      <c r="L509" s="10"/>
      <c r="M509" s="10"/>
      <c r="N509" s="10"/>
      <c r="O509" s="10">
        <f>(E508+1*(G509+(12*D509/1000))+(0.4/2*D508))</f>
        <v>3.5360000000000005</v>
      </c>
      <c r="P509" s="10">
        <f t="shared" ref="P509:P510" si="171">O509*F509</f>
        <v>14.144000000000002</v>
      </c>
      <c r="Q509" s="10">
        <f t="shared" ref="Q509:W512" si="172">IF($D509=Q$44,$P509*Q$45,0)</f>
        <v>0</v>
      </c>
      <c r="R509" s="10">
        <f>IF($D509=R$44,$P509*R$45,0)</f>
        <v>0</v>
      </c>
      <c r="S509" s="10">
        <f t="shared" si="172"/>
        <v>0</v>
      </c>
      <c r="T509" s="10">
        <f>IF($D509=T$44,$P509*T$45,0)</f>
        <v>0</v>
      </c>
      <c r="U509" s="10">
        <f>IF($D509=U$44,$P509*U$45,0)</f>
        <v>0</v>
      </c>
      <c r="V509" s="10">
        <f t="shared" si="172"/>
        <v>54.52385714285716</v>
      </c>
      <c r="W509" s="10">
        <f t="shared" si="172"/>
        <v>0</v>
      </c>
      <c r="X509" s="10">
        <f>SUM(Q509:W509)</f>
        <v>54.52385714285716</v>
      </c>
      <c r="Y509" s="10"/>
      <c r="Z509" s="10"/>
      <c r="AA509" s="10"/>
      <c r="AB509" s="10"/>
      <c r="AC509" s="10"/>
      <c r="AD509" s="10"/>
      <c r="AE509" s="10"/>
    </row>
    <row r="510" spans="1:32" s="3" customFormat="1" ht="20.100000000000001" customHeight="1" x14ac:dyDescent="0.2">
      <c r="A510" s="87"/>
      <c r="B510" s="10" t="s">
        <v>67</v>
      </c>
      <c r="C510" s="93" t="s">
        <v>71</v>
      </c>
      <c r="D510" s="10">
        <v>25</v>
      </c>
      <c r="E510" s="10"/>
      <c r="F510" s="10">
        <v>4</v>
      </c>
      <c r="G510" s="90">
        <f>VLOOKUP(D510,$C$20:$F$26,3,0)</f>
        <v>1.35</v>
      </c>
      <c r="H510" s="10"/>
      <c r="I510" s="10"/>
      <c r="J510" s="10"/>
      <c r="K510" s="10"/>
      <c r="L510" s="10"/>
      <c r="M510" s="10"/>
      <c r="N510" s="10"/>
      <c r="O510" s="10">
        <f>(E508+2*(G510+(12*D510/1000))*D508)</f>
        <v>4.9860000000000007</v>
      </c>
      <c r="P510" s="10">
        <f t="shared" si="171"/>
        <v>19.944000000000003</v>
      </c>
      <c r="Q510" s="10">
        <f t="shared" si="172"/>
        <v>0</v>
      </c>
      <c r="R510" s="10">
        <f t="shared" si="172"/>
        <v>0</v>
      </c>
      <c r="S510" s="10">
        <f t="shared" si="172"/>
        <v>0</v>
      </c>
      <c r="T510" s="10">
        <f t="shared" si="172"/>
        <v>0</v>
      </c>
      <c r="U510" s="10">
        <f t="shared" si="172"/>
        <v>0</v>
      </c>
      <c r="V510" s="10">
        <f t="shared" si="172"/>
        <v>76.882339285714309</v>
      </c>
      <c r="W510" s="10">
        <f t="shared" si="172"/>
        <v>0</v>
      </c>
      <c r="X510" s="10">
        <f t="shared" ref="X510:X512" si="173">SUM(Q510:W510)</f>
        <v>76.882339285714309</v>
      </c>
      <c r="Y510" s="10"/>
      <c r="Z510" s="10"/>
      <c r="AA510" s="10"/>
      <c r="AB510" s="10"/>
      <c r="AC510" s="10"/>
      <c r="AD510" s="10"/>
      <c r="AE510" s="10"/>
    </row>
    <row r="511" spans="1:32" s="3" customFormat="1" ht="20.100000000000001" customHeight="1" x14ac:dyDescent="0.2">
      <c r="A511" s="87"/>
      <c r="B511" s="10" t="s">
        <v>67</v>
      </c>
      <c r="C511" s="93" t="s">
        <v>73</v>
      </c>
      <c r="D511" s="10">
        <v>12</v>
      </c>
      <c r="E511" s="10">
        <v>0.1</v>
      </c>
      <c r="F511" s="10">
        <f>ROUNDUP(E508/E511,0)</f>
        <v>17</v>
      </c>
      <c r="H511" s="10"/>
      <c r="I511" s="10"/>
      <c r="J511" s="10"/>
      <c r="K511" s="10"/>
      <c r="L511" s="10"/>
      <c r="M511" s="10"/>
      <c r="N511" s="10"/>
      <c r="O511" s="10">
        <f>(2*((G508-(2*$D$11))+(F508-(2*$D$11)))+(2*10*D511/1000))*D508</f>
        <v>3.2</v>
      </c>
      <c r="P511" s="10">
        <f>O511*F511</f>
        <v>54.400000000000006</v>
      </c>
      <c r="Q511" s="10">
        <f t="shared" si="172"/>
        <v>0</v>
      </c>
      <c r="R511" s="10">
        <f t="shared" si="172"/>
        <v>0</v>
      </c>
      <c r="S511" s="10">
        <f t="shared" si="172"/>
        <v>48.316525714285724</v>
      </c>
      <c r="T511" s="10">
        <f t="shared" si="172"/>
        <v>0</v>
      </c>
      <c r="U511" s="10">
        <f t="shared" si="172"/>
        <v>0</v>
      </c>
      <c r="V511" s="10">
        <f t="shared" si="172"/>
        <v>0</v>
      </c>
      <c r="W511" s="10">
        <f t="shared" si="172"/>
        <v>0</v>
      </c>
      <c r="X511" s="10">
        <f t="shared" si="173"/>
        <v>48.316525714285724</v>
      </c>
      <c r="Y511" s="10"/>
      <c r="Z511" s="10"/>
      <c r="AA511" s="10"/>
      <c r="AB511" s="10"/>
      <c r="AC511" s="10"/>
      <c r="AD511" s="10"/>
      <c r="AE511" s="10"/>
    </row>
    <row r="512" spans="1:32" s="2" customFormat="1" ht="20.100000000000001" customHeight="1" x14ac:dyDescent="0.2">
      <c r="B512" s="10" t="s">
        <v>67</v>
      </c>
      <c r="C512" s="93" t="s">
        <v>74</v>
      </c>
      <c r="D512" s="10">
        <f>+D511</f>
        <v>12</v>
      </c>
      <c r="E512" s="2">
        <f>+E511</f>
        <v>0.1</v>
      </c>
      <c r="F512" s="10">
        <f>ROUNDUP(E508/E512,0)</f>
        <v>17</v>
      </c>
      <c r="G512" s="3"/>
      <c r="O512" s="10">
        <f>((((G508-(2*$D$11))+(2*10*D512/1000))*D508))*1</f>
        <v>1.38</v>
      </c>
      <c r="P512" s="10">
        <f>O512*F512</f>
        <v>23.459999999999997</v>
      </c>
      <c r="Q512" s="10">
        <f t="shared" si="172"/>
        <v>0</v>
      </c>
      <c r="R512" s="10">
        <f t="shared" si="172"/>
        <v>0</v>
      </c>
      <c r="S512" s="10">
        <f t="shared" si="172"/>
        <v>20.836501714285717</v>
      </c>
      <c r="T512" s="10">
        <f t="shared" si="172"/>
        <v>0</v>
      </c>
      <c r="U512" s="10">
        <f t="shared" si="172"/>
        <v>0</v>
      </c>
      <c r="V512" s="10">
        <f t="shared" si="172"/>
        <v>0</v>
      </c>
      <c r="W512" s="10">
        <f t="shared" si="172"/>
        <v>0</v>
      </c>
      <c r="X512" s="10">
        <f t="shared" si="173"/>
        <v>20.836501714285717</v>
      </c>
    </row>
    <row r="513" spans="1:32" s="3" customFormat="1" ht="21" customHeight="1" x14ac:dyDescent="0.2">
      <c r="A513" s="10">
        <v>1</v>
      </c>
      <c r="B513" s="10" t="s">
        <v>67</v>
      </c>
      <c r="C513" s="91" t="s">
        <v>137</v>
      </c>
      <c r="D513" s="91">
        <v>1</v>
      </c>
      <c r="E513" s="91">
        <v>0.98</v>
      </c>
      <c r="F513" s="91">
        <v>0.4</v>
      </c>
      <c r="G513" s="91">
        <v>1.1000000000000001</v>
      </c>
      <c r="H513" s="10">
        <f>G513-0.2</f>
        <v>0.90000000000000013</v>
      </c>
      <c r="I513" s="10">
        <f>E513*F513*G513*D513</f>
        <v>0.43120000000000003</v>
      </c>
      <c r="J513" s="10">
        <f>(2*(E513)*H513*D513)+(E513*F513)</f>
        <v>2.1560000000000001</v>
      </c>
      <c r="K513" s="92">
        <f>IF(E513=0.3,J513,0)</f>
        <v>0</v>
      </c>
      <c r="L513" s="92">
        <f>IF(AND(E513&gt;0.3,E513&lt;=0.75),J513,0)</f>
        <v>0</v>
      </c>
      <c r="M513" s="92">
        <f>IF(AND(E513&gt;0.75,E513&lt;=1.2),J513,0)</f>
        <v>2.1560000000000001</v>
      </c>
      <c r="N513" s="92">
        <f>IF(E513&gt;1.2,J513,0)</f>
        <v>0</v>
      </c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>
        <f>SUM(X514:X517)/I513</f>
        <v>351.35043731778433</v>
      </c>
      <c r="Z513" s="10"/>
      <c r="AA513" s="10"/>
      <c r="AB513" s="10"/>
      <c r="AC513" s="10"/>
      <c r="AD513" s="10"/>
      <c r="AE513" s="10"/>
      <c r="AF513" s="10"/>
    </row>
    <row r="514" spans="1:32" s="3" customFormat="1" ht="20.100000000000001" customHeight="1" x14ac:dyDescent="0.2">
      <c r="A514" s="87"/>
      <c r="B514" s="10" t="s">
        <v>67</v>
      </c>
      <c r="C514" s="93" t="s">
        <v>69</v>
      </c>
      <c r="D514" s="10">
        <v>25</v>
      </c>
      <c r="E514" s="10"/>
      <c r="F514" s="10">
        <v>4</v>
      </c>
      <c r="G514" s="90">
        <f>VLOOKUP(D514,$C$20:$F$26,3,0)</f>
        <v>1.35</v>
      </c>
      <c r="H514" s="90"/>
      <c r="I514" s="10"/>
      <c r="J514" s="10"/>
      <c r="K514" s="10"/>
      <c r="L514" s="10"/>
      <c r="M514" s="10"/>
      <c r="N514" s="10"/>
      <c r="O514" s="10">
        <f>(E513+2*(G514)*D513)</f>
        <v>3.68</v>
      </c>
      <c r="P514" s="10">
        <f t="shared" ref="P514:P515" si="174">O514*F514</f>
        <v>14.72</v>
      </c>
      <c r="Q514" s="10">
        <f t="shared" ref="Q514:W517" si="175">IF($D514=Q$44,$P514*Q$45,0)</f>
        <v>0</v>
      </c>
      <c r="R514" s="10">
        <f t="shared" si="175"/>
        <v>0</v>
      </c>
      <c r="S514" s="10">
        <f t="shared" si="175"/>
        <v>0</v>
      </c>
      <c r="T514" s="10">
        <f t="shared" si="175"/>
        <v>0</v>
      </c>
      <c r="U514" s="10">
        <f t="shared" si="175"/>
        <v>0</v>
      </c>
      <c r="V514" s="10">
        <f t="shared" si="175"/>
        <v>56.744285714285724</v>
      </c>
      <c r="W514" s="10">
        <f t="shared" si="175"/>
        <v>0</v>
      </c>
      <c r="X514" s="10">
        <f t="shared" ref="X514:X517" si="176">SUM(Q514:W514)</f>
        <v>56.744285714285724</v>
      </c>
      <c r="Y514" s="10"/>
      <c r="Z514" s="10"/>
      <c r="AA514" s="10"/>
      <c r="AB514" s="10"/>
      <c r="AC514" s="10"/>
      <c r="AD514" s="10"/>
      <c r="AE514" s="10"/>
    </row>
    <row r="515" spans="1:32" s="3" customFormat="1" ht="20.100000000000001" customHeight="1" x14ac:dyDescent="0.2">
      <c r="A515" s="87"/>
      <c r="B515" s="10" t="s">
        <v>67</v>
      </c>
      <c r="C515" s="93" t="s">
        <v>71</v>
      </c>
      <c r="D515" s="10">
        <v>25</v>
      </c>
      <c r="E515" s="10"/>
      <c r="F515" s="10">
        <v>4</v>
      </c>
      <c r="G515" s="90">
        <f>VLOOKUP(D515,$C$20:$F$26,3,0)</f>
        <v>1.35</v>
      </c>
      <c r="H515" s="10"/>
      <c r="I515" s="10"/>
      <c r="J515" s="10"/>
      <c r="K515" s="10"/>
      <c r="L515" s="10"/>
      <c r="M515" s="10"/>
      <c r="N515" s="10"/>
      <c r="O515" s="10">
        <f>(E513+2*(G515)*D513)</f>
        <v>3.68</v>
      </c>
      <c r="P515" s="10">
        <f t="shared" si="174"/>
        <v>14.72</v>
      </c>
      <c r="Q515" s="10">
        <f t="shared" si="175"/>
        <v>0</v>
      </c>
      <c r="R515" s="10">
        <f t="shared" si="175"/>
        <v>0</v>
      </c>
      <c r="S515" s="10">
        <f t="shared" si="175"/>
        <v>0</v>
      </c>
      <c r="T515" s="10">
        <f t="shared" si="175"/>
        <v>0</v>
      </c>
      <c r="U515" s="10">
        <f t="shared" si="175"/>
        <v>0</v>
      </c>
      <c r="V515" s="10">
        <f t="shared" si="175"/>
        <v>56.744285714285724</v>
      </c>
      <c r="W515" s="10">
        <f t="shared" si="175"/>
        <v>0</v>
      </c>
      <c r="X515" s="10">
        <f t="shared" si="176"/>
        <v>56.744285714285724</v>
      </c>
      <c r="Y515" s="10"/>
      <c r="Z515" s="10"/>
      <c r="AA515" s="10"/>
      <c r="AB515" s="10"/>
      <c r="AC515" s="10"/>
      <c r="AD515" s="10"/>
      <c r="AE515" s="10"/>
    </row>
    <row r="516" spans="1:32" s="3" customFormat="1" ht="20.100000000000001" customHeight="1" x14ac:dyDescent="0.2">
      <c r="A516" s="87"/>
      <c r="B516" s="10" t="s">
        <v>67</v>
      </c>
      <c r="C516" s="93" t="s">
        <v>73</v>
      </c>
      <c r="D516" s="10">
        <v>12</v>
      </c>
      <c r="E516" s="10">
        <v>0.1</v>
      </c>
      <c r="F516" s="10">
        <f>ROUNDUP(E513/E516,0)</f>
        <v>10</v>
      </c>
      <c r="H516" s="10"/>
      <c r="I516" s="10"/>
      <c r="J516" s="10"/>
      <c r="K516" s="10"/>
      <c r="L516" s="10"/>
      <c r="M516" s="10"/>
      <c r="N516" s="10"/>
      <c r="O516" s="10">
        <f>(2*((G513-(2*$D$11))+(F513-(2*$D$11)))+(2*10*D516/1000))*D513</f>
        <v>3</v>
      </c>
      <c r="P516" s="10">
        <f>O516*F516</f>
        <v>30</v>
      </c>
      <c r="Q516" s="10">
        <f t="shared" si="175"/>
        <v>0</v>
      </c>
      <c r="R516" s="10">
        <f t="shared" si="175"/>
        <v>0</v>
      </c>
      <c r="S516" s="10">
        <f t="shared" si="175"/>
        <v>26.645142857142861</v>
      </c>
      <c r="T516" s="10">
        <f t="shared" si="175"/>
        <v>0</v>
      </c>
      <c r="U516" s="10">
        <f t="shared" si="175"/>
        <v>0</v>
      </c>
      <c r="V516" s="10">
        <f t="shared" si="175"/>
        <v>0</v>
      </c>
      <c r="W516" s="10">
        <f t="shared" si="175"/>
        <v>0</v>
      </c>
      <c r="X516" s="10">
        <f t="shared" si="176"/>
        <v>26.645142857142861</v>
      </c>
      <c r="Y516" s="10"/>
      <c r="Z516" s="10"/>
      <c r="AA516" s="10"/>
      <c r="AB516" s="10"/>
      <c r="AC516" s="10"/>
      <c r="AD516" s="10"/>
      <c r="AE516" s="10"/>
    </row>
    <row r="517" spans="1:32" s="2" customFormat="1" ht="20.100000000000001" customHeight="1" x14ac:dyDescent="0.2">
      <c r="B517" s="10" t="s">
        <v>67</v>
      </c>
      <c r="C517" s="93" t="s">
        <v>74</v>
      </c>
      <c r="D517" s="10">
        <f>+D516</f>
        <v>12</v>
      </c>
      <c r="E517" s="2">
        <f>+E516</f>
        <v>0.1</v>
      </c>
      <c r="F517" s="10">
        <f>ROUNDUP(E513/E517,0)</f>
        <v>10</v>
      </c>
      <c r="G517" s="3"/>
      <c r="O517" s="10">
        <f>((((G513-(2*$D$11))+(2*10*D517/1000))*D513))*1</f>
        <v>1.28</v>
      </c>
      <c r="P517" s="10">
        <f>O517*F517</f>
        <v>12.8</v>
      </c>
      <c r="Q517" s="10">
        <f t="shared" si="175"/>
        <v>0</v>
      </c>
      <c r="R517" s="10">
        <f t="shared" si="175"/>
        <v>0</v>
      </c>
      <c r="S517" s="10">
        <f t="shared" si="175"/>
        <v>11.368594285714288</v>
      </c>
      <c r="T517" s="10">
        <f t="shared" si="175"/>
        <v>0</v>
      </c>
      <c r="U517" s="10">
        <f t="shared" si="175"/>
        <v>0</v>
      </c>
      <c r="V517" s="10">
        <f t="shared" si="175"/>
        <v>0</v>
      </c>
      <c r="W517" s="10">
        <f t="shared" si="175"/>
        <v>0</v>
      </c>
      <c r="X517" s="10">
        <f t="shared" si="176"/>
        <v>11.368594285714288</v>
      </c>
    </row>
    <row r="518" spans="1:32" s="3" customFormat="1" ht="21" customHeight="1" x14ac:dyDescent="0.2">
      <c r="A518" s="10">
        <v>1</v>
      </c>
      <c r="B518" s="10" t="s">
        <v>67</v>
      </c>
      <c r="C518" s="91" t="s">
        <v>138</v>
      </c>
      <c r="D518" s="91">
        <v>1</v>
      </c>
      <c r="E518" s="91">
        <v>4.5999999999999996</v>
      </c>
      <c r="F518" s="91">
        <v>0.4</v>
      </c>
      <c r="G518" s="91">
        <v>1.1000000000000001</v>
      </c>
      <c r="H518" s="10">
        <f>G518-0.2</f>
        <v>0.90000000000000013</v>
      </c>
      <c r="I518" s="10">
        <f>E518*F518*G518*D518</f>
        <v>2.024</v>
      </c>
      <c r="J518" s="10">
        <f>(2*(E518)*H518*D518)+(E518*F518)</f>
        <v>10.120000000000001</v>
      </c>
      <c r="K518" s="92">
        <f>IF(E518=0.3,J518,0)</f>
        <v>0</v>
      </c>
      <c r="L518" s="92">
        <f>IF(AND(E518&gt;0.3,E518&lt;=0.75),J518,0)</f>
        <v>0</v>
      </c>
      <c r="M518" s="92">
        <f>IF(AND(E518&gt;0.75,E518&lt;=1.2),J518,0)</f>
        <v>0</v>
      </c>
      <c r="N518" s="92">
        <f>IF(E518&gt;1.2,J518,0)</f>
        <v>10.120000000000001</v>
      </c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>
        <f>SUM(X519:X522)/I518</f>
        <v>174.6746894409938</v>
      </c>
      <c r="Z518" s="10"/>
      <c r="AA518" s="10"/>
      <c r="AB518" s="10"/>
      <c r="AC518" s="10"/>
      <c r="AD518" s="10"/>
      <c r="AE518" s="10"/>
      <c r="AF518" s="10"/>
    </row>
    <row r="519" spans="1:32" s="3" customFormat="1" ht="20.100000000000001" customHeight="1" x14ac:dyDescent="0.2">
      <c r="A519" s="87"/>
      <c r="B519" s="10" t="s">
        <v>67</v>
      </c>
      <c r="C519" s="93" t="s">
        <v>69</v>
      </c>
      <c r="D519" s="10">
        <v>25</v>
      </c>
      <c r="E519" s="10"/>
      <c r="F519" s="10">
        <v>4</v>
      </c>
      <c r="G519" s="90">
        <f>VLOOKUP(D519,$C$20:$F$26,3,0)</f>
        <v>1.35</v>
      </c>
      <c r="H519" s="90"/>
      <c r="I519" s="10"/>
      <c r="J519" s="10"/>
      <c r="K519" s="10"/>
      <c r="L519" s="10"/>
      <c r="M519" s="10"/>
      <c r="N519" s="10"/>
      <c r="O519" s="10">
        <f>(E518+1*(G519+(12*D519/1000))+G519*D518)</f>
        <v>7.6</v>
      </c>
      <c r="P519" s="10">
        <f t="shared" ref="P519:P520" si="177">O519*F519</f>
        <v>30.4</v>
      </c>
      <c r="Q519" s="10">
        <f t="shared" ref="Q519:W527" si="178">IF($D519=Q$44,$P519*Q$45,0)</f>
        <v>0</v>
      </c>
      <c r="R519" s="10">
        <f t="shared" si="178"/>
        <v>0</v>
      </c>
      <c r="S519" s="10">
        <f t="shared" si="178"/>
        <v>0</v>
      </c>
      <c r="T519" s="10">
        <f t="shared" si="178"/>
        <v>0</v>
      </c>
      <c r="U519" s="10">
        <f t="shared" si="178"/>
        <v>0</v>
      </c>
      <c r="V519" s="10">
        <f t="shared" si="178"/>
        <v>117.18928571428573</v>
      </c>
      <c r="W519" s="10">
        <f t="shared" si="178"/>
        <v>0</v>
      </c>
      <c r="X519" s="10">
        <f t="shared" ref="X519:X522" si="179">SUM(Q519:W519)</f>
        <v>117.18928571428573</v>
      </c>
      <c r="Y519" s="10"/>
      <c r="Z519" s="10"/>
      <c r="AA519" s="10"/>
      <c r="AB519" s="10"/>
      <c r="AC519" s="10"/>
      <c r="AD519" s="10"/>
      <c r="AE519" s="10"/>
    </row>
    <row r="520" spans="1:32" s="3" customFormat="1" ht="20.100000000000001" customHeight="1" x14ac:dyDescent="0.2">
      <c r="A520" s="87"/>
      <c r="B520" s="10" t="s">
        <v>67</v>
      </c>
      <c r="C520" s="93" t="s">
        <v>71</v>
      </c>
      <c r="D520" s="10">
        <v>25</v>
      </c>
      <c r="E520" s="10"/>
      <c r="F520" s="10">
        <v>4</v>
      </c>
      <c r="G520" s="90">
        <f>VLOOKUP(D520,$C$20:$F$26,3,0)</f>
        <v>1.35</v>
      </c>
      <c r="H520" s="10"/>
      <c r="I520" s="10"/>
      <c r="J520" s="10"/>
      <c r="K520" s="10"/>
      <c r="L520" s="10"/>
      <c r="M520" s="10"/>
      <c r="N520" s="10"/>
      <c r="O520" s="10">
        <f>(E518+1*(G520+(12*D520/1000))+G520*D518)</f>
        <v>7.6</v>
      </c>
      <c r="P520" s="10">
        <f t="shared" si="177"/>
        <v>30.4</v>
      </c>
      <c r="Q520" s="10">
        <f t="shared" si="178"/>
        <v>0</v>
      </c>
      <c r="R520" s="10">
        <f t="shared" si="178"/>
        <v>0</v>
      </c>
      <c r="S520" s="10">
        <f t="shared" si="178"/>
        <v>0</v>
      </c>
      <c r="T520" s="10">
        <f t="shared" si="178"/>
        <v>0</v>
      </c>
      <c r="U520" s="10">
        <f t="shared" si="178"/>
        <v>0</v>
      </c>
      <c r="V520" s="10">
        <f t="shared" si="178"/>
        <v>117.18928571428573</v>
      </c>
      <c r="W520" s="10">
        <f t="shared" si="178"/>
        <v>0</v>
      </c>
      <c r="X520" s="10">
        <f t="shared" si="179"/>
        <v>117.18928571428573</v>
      </c>
      <c r="Y520" s="10"/>
      <c r="Z520" s="10"/>
      <c r="AA520" s="10"/>
      <c r="AB520" s="10"/>
      <c r="AC520" s="10"/>
      <c r="AD520" s="10"/>
      <c r="AE520" s="10"/>
    </row>
    <row r="521" spans="1:32" s="3" customFormat="1" ht="20.100000000000001" customHeight="1" x14ac:dyDescent="0.2">
      <c r="A521" s="87"/>
      <c r="B521" s="10" t="s">
        <v>67</v>
      </c>
      <c r="C521" s="93" t="s">
        <v>73</v>
      </c>
      <c r="D521" s="10">
        <v>10</v>
      </c>
      <c r="E521" s="10">
        <v>0.1</v>
      </c>
      <c r="F521" s="10">
        <f>ROUNDUP(E518/E521,0)</f>
        <v>46</v>
      </c>
      <c r="H521" s="10"/>
      <c r="I521" s="10"/>
      <c r="J521" s="10"/>
      <c r="K521" s="10"/>
      <c r="L521" s="10"/>
      <c r="M521" s="10"/>
      <c r="N521" s="10"/>
      <c r="O521" s="10">
        <f>(2*((G518-(2*$D$11))+(F518-(2*$D$11)))+(2*10*D521/1000))*D518</f>
        <v>2.9600000000000004</v>
      </c>
      <c r="P521" s="10">
        <f>O521*F521</f>
        <v>136.16000000000003</v>
      </c>
      <c r="Q521" s="10">
        <f t="shared" si="178"/>
        <v>0</v>
      </c>
      <c r="R521" s="10">
        <f t="shared" si="178"/>
        <v>83.98154285714287</v>
      </c>
      <c r="S521" s="10">
        <f t="shared" si="178"/>
        <v>0</v>
      </c>
      <c r="T521" s="10">
        <f t="shared" si="178"/>
        <v>0</v>
      </c>
      <c r="U521" s="10">
        <f t="shared" si="178"/>
        <v>0</v>
      </c>
      <c r="V521" s="10">
        <f t="shared" si="178"/>
        <v>0</v>
      </c>
      <c r="W521" s="10">
        <f t="shared" si="178"/>
        <v>0</v>
      </c>
      <c r="X521" s="10">
        <f t="shared" si="179"/>
        <v>83.98154285714287</v>
      </c>
      <c r="Y521" s="10"/>
      <c r="Z521" s="10"/>
      <c r="AA521" s="10"/>
      <c r="AB521" s="10"/>
      <c r="AC521" s="10"/>
      <c r="AD521" s="10"/>
      <c r="AE521" s="10"/>
    </row>
    <row r="522" spans="1:32" s="2" customFormat="1" ht="20.100000000000001" customHeight="1" x14ac:dyDescent="0.2">
      <c r="B522" s="10" t="s">
        <v>67</v>
      </c>
      <c r="C522" s="93" t="s">
        <v>74</v>
      </c>
      <c r="D522" s="10">
        <f>+D521</f>
        <v>10</v>
      </c>
      <c r="E522" s="2">
        <f>+E521</f>
        <v>0.1</v>
      </c>
      <c r="F522" s="10">
        <f>ROUNDUP(E518/E522,0)</f>
        <v>46</v>
      </c>
      <c r="G522" s="3"/>
      <c r="O522" s="10">
        <f>((((G518-(2*$D$11))+(2*10*D522/1000))*D518))*1</f>
        <v>1.24</v>
      </c>
      <c r="P522" s="10">
        <f>O522*F522</f>
        <v>57.04</v>
      </c>
      <c r="Q522" s="10">
        <f t="shared" si="178"/>
        <v>0</v>
      </c>
      <c r="R522" s="10">
        <f t="shared" si="178"/>
        <v>35.181457142857141</v>
      </c>
      <c r="S522" s="10">
        <f t="shared" si="178"/>
        <v>0</v>
      </c>
      <c r="T522" s="10">
        <f t="shared" si="178"/>
        <v>0</v>
      </c>
      <c r="U522" s="10">
        <f t="shared" si="178"/>
        <v>0</v>
      </c>
      <c r="V522" s="10">
        <f t="shared" si="178"/>
        <v>0</v>
      </c>
      <c r="W522" s="10">
        <f t="shared" si="178"/>
        <v>0</v>
      </c>
      <c r="X522" s="10">
        <f t="shared" si="179"/>
        <v>35.181457142857141</v>
      </c>
    </row>
    <row r="523" spans="1:32" s="3" customFormat="1" ht="21" customHeight="1" x14ac:dyDescent="0.2">
      <c r="A523" s="10">
        <v>1</v>
      </c>
      <c r="B523" s="10" t="s">
        <v>67</v>
      </c>
      <c r="C523" s="91" t="s">
        <v>139</v>
      </c>
      <c r="D523" s="91">
        <v>1</v>
      </c>
      <c r="E523" s="91">
        <v>4.5999999999999996</v>
      </c>
      <c r="F523" s="91">
        <v>0.4</v>
      </c>
      <c r="G523" s="91">
        <v>1.1000000000000001</v>
      </c>
      <c r="H523" s="10">
        <f>G523-0.2</f>
        <v>0.90000000000000013</v>
      </c>
      <c r="I523" s="10">
        <f>E523*F523*G523*D523</f>
        <v>2.024</v>
      </c>
      <c r="J523" s="10">
        <f>(2*(E523)*H523*D523)+(E523*F523)</f>
        <v>10.120000000000001</v>
      </c>
      <c r="K523" s="92">
        <f>IF(E523=0.3,J523,0)</f>
        <v>0</v>
      </c>
      <c r="L523" s="92">
        <f>IF(AND(E523&gt;0.3,E523&lt;=0.75),J523,0)</f>
        <v>0</v>
      </c>
      <c r="M523" s="92">
        <f>IF(AND(E523&gt;0.75,E523&lt;=1.2),J523,0)</f>
        <v>0</v>
      </c>
      <c r="N523" s="92">
        <f>IF(E523&gt;1.2,J523,0)</f>
        <v>10.120000000000001</v>
      </c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>
        <f>SUM(X524:X527)/I523</f>
        <v>174.6746894409938</v>
      </c>
      <c r="Z523" s="10"/>
      <c r="AA523" s="10"/>
      <c r="AB523" s="10"/>
      <c r="AC523" s="10"/>
      <c r="AD523" s="10"/>
      <c r="AE523" s="10"/>
      <c r="AF523" s="10"/>
    </row>
    <row r="524" spans="1:32" s="3" customFormat="1" ht="20.100000000000001" customHeight="1" x14ac:dyDescent="0.2">
      <c r="A524" s="87"/>
      <c r="B524" s="10" t="s">
        <v>67</v>
      </c>
      <c r="C524" s="93" t="s">
        <v>69</v>
      </c>
      <c r="D524" s="10">
        <v>25</v>
      </c>
      <c r="E524" s="10"/>
      <c r="F524" s="10">
        <v>4</v>
      </c>
      <c r="G524" s="90">
        <f>VLOOKUP(D524,$C$20:$F$26,3,0)</f>
        <v>1.35</v>
      </c>
      <c r="H524" s="90"/>
      <c r="I524" s="10"/>
      <c r="J524" s="10"/>
      <c r="K524" s="10"/>
      <c r="L524" s="10"/>
      <c r="M524" s="10"/>
      <c r="N524" s="10"/>
      <c r="O524" s="10">
        <f>(E523+1*(G524+(12*D524/1000))+G524*D523)</f>
        <v>7.6</v>
      </c>
      <c r="P524" s="10">
        <f t="shared" ref="P524:P525" si="180">O524*F524</f>
        <v>30.4</v>
      </c>
      <c r="Q524" s="10">
        <f t="shared" si="178"/>
        <v>0</v>
      </c>
      <c r="R524" s="10">
        <f t="shared" si="178"/>
        <v>0</v>
      </c>
      <c r="S524" s="10">
        <f t="shared" si="178"/>
        <v>0</v>
      </c>
      <c r="T524" s="10">
        <f t="shared" si="178"/>
        <v>0</v>
      </c>
      <c r="U524" s="10">
        <f t="shared" si="178"/>
        <v>0</v>
      </c>
      <c r="V524" s="10">
        <f t="shared" si="178"/>
        <v>117.18928571428573</v>
      </c>
      <c r="W524" s="10">
        <f t="shared" si="178"/>
        <v>0</v>
      </c>
      <c r="X524" s="10">
        <f t="shared" ref="X524:X527" si="181">SUM(Q524:W524)</f>
        <v>117.18928571428573</v>
      </c>
      <c r="Y524" s="10"/>
      <c r="Z524" s="10"/>
      <c r="AA524" s="10"/>
      <c r="AB524" s="10"/>
      <c r="AC524" s="10"/>
      <c r="AD524" s="10"/>
      <c r="AE524" s="10"/>
    </row>
    <row r="525" spans="1:32" s="3" customFormat="1" ht="20.100000000000001" customHeight="1" x14ac:dyDescent="0.2">
      <c r="A525" s="87"/>
      <c r="B525" s="10" t="s">
        <v>67</v>
      </c>
      <c r="C525" s="93" t="s">
        <v>71</v>
      </c>
      <c r="D525" s="10">
        <v>25</v>
      </c>
      <c r="E525" s="10"/>
      <c r="F525" s="10">
        <v>4</v>
      </c>
      <c r="G525" s="90">
        <f>VLOOKUP(D525,$C$20:$F$26,3,0)</f>
        <v>1.35</v>
      </c>
      <c r="H525" s="10"/>
      <c r="I525" s="10"/>
      <c r="J525" s="10"/>
      <c r="K525" s="10"/>
      <c r="L525" s="10"/>
      <c r="M525" s="10"/>
      <c r="N525" s="10"/>
      <c r="O525" s="10">
        <f>(E523+1*(G525+(12*D525/1000))+G525*D523)</f>
        <v>7.6</v>
      </c>
      <c r="P525" s="10">
        <f t="shared" si="180"/>
        <v>30.4</v>
      </c>
      <c r="Q525" s="10">
        <f t="shared" si="178"/>
        <v>0</v>
      </c>
      <c r="R525" s="10">
        <f t="shared" si="178"/>
        <v>0</v>
      </c>
      <c r="S525" s="10">
        <f t="shared" si="178"/>
        <v>0</v>
      </c>
      <c r="T525" s="10">
        <f t="shared" si="178"/>
        <v>0</v>
      </c>
      <c r="U525" s="10">
        <f t="shared" si="178"/>
        <v>0</v>
      </c>
      <c r="V525" s="10">
        <f t="shared" si="178"/>
        <v>117.18928571428573</v>
      </c>
      <c r="W525" s="10">
        <f t="shared" si="178"/>
        <v>0</v>
      </c>
      <c r="X525" s="10">
        <f t="shared" si="181"/>
        <v>117.18928571428573</v>
      </c>
      <c r="Y525" s="10"/>
      <c r="Z525" s="10"/>
      <c r="AA525" s="10"/>
      <c r="AB525" s="10"/>
      <c r="AC525" s="10"/>
      <c r="AD525" s="10"/>
      <c r="AE525" s="10"/>
    </row>
    <row r="526" spans="1:32" s="3" customFormat="1" ht="20.100000000000001" customHeight="1" x14ac:dyDescent="0.2">
      <c r="A526" s="87"/>
      <c r="B526" s="10" t="s">
        <v>67</v>
      </c>
      <c r="C526" s="93" t="s">
        <v>73</v>
      </c>
      <c r="D526" s="10">
        <v>10</v>
      </c>
      <c r="E526" s="10">
        <v>0.1</v>
      </c>
      <c r="F526" s="10">
        <f>ROUNDUP(E523/E526,0)</f>
        <v>46</v>
      </c>
      <c r="H526" s="10"/>
      <c r="I526" s="10"/>
      <c r="J526" s="10"/>
      <c r="K526" s="10"/>
      <c r="L526" s="10"/>
      <c r="M526" s="10"/>
      <c r="N526" s="10"/>
      <c r="O526" s="10">
        <f>(2*((G523-(2*$D$11))+(F523-(2*$D$11)))+(2*10*D526/1000))*D523</f>
        <v>2.9600000000000004</v>
      </c>
      <c r="P526" s="10">
        <f>O526*F526</f>
        <v>136.16000000000003</v>
      </c>
      <c r="Q526" s="10">
        <f t="shared" si="178"/>
        <v>0</v>
      </c>
      <c r="R526" s="10">
        <f t="shared" si="178"/>
        <v>83.98154285714287</v>
      </c>
      <c r="S526" s="10">
        <f t="shared" si="178"/>
        <v>0</v>
      </c>
      <c r="T526" s="10">
        <f t="shared" si="178"/>
        <v>0</v>
      </c>
      <c r="U526" s="10">
        <f t="shared" si="178"/>
        <v>0</v>
      </c>
      <c r="V526" s="10">
        <f t="shared" si="178"/>
        <v>0</v>
      </c>
      <c r="W526" s="10">
        <f t="shared" si="178"/>
        <v>0</v>
      </c>
      <c r="X526" s="10">
        <f t="shared" si="181"/>
        <v>83.98154285714287</v>
      </c>
      <c r="Y526" s="10"/>
      <c r="Z526" s="10"/>
      <c r="AA526" s="10"/>
      <c r="AB526" s="10"/>
      <c r="AC526" s="10"/>
      <c r="AD526" s="10"/>
      <c r="AE526" s="10"/>
    </row>
    <row r="527" spans="1:32" s="2" customFormat="1" ht="20.100000000000001" customHeight="1" x14ac:dyDescent="0.2">
      <c r="B527" s="10" t="s">
        <v>67</v>
      </c>
      <c r="C527" s="93" t="s">
        <v>74</v>
      </c>
      <c r="D527" s="10">
        <f>+D526</f>
        <v>10</v>
      </c>
      <c r="E527" s="2">
        <f>+E526</f>
        <v>0.1</v>
      </c>
      <c r="F527" s="10">
        <f>ROUNDUP(E523/E527,0)</f>
        <v>46</v>
      </c>
      <c r="G527" s="3"/>
      <c r="O527" s="10">
        <f>((((G523-(2*$D$11))+(2*10*D527/1000))*D523))*1</f>
        <v>1.24</v>
      </c>
      <c r="P527" s="10">
        <f>O527*F527</f>
        <v>57.04</v>
      </c>
      <c r="Q527" s="10">
        <f t="shared" si="178"/>
        <v>0</v>
      </c>
      <c r="R527" s="10">
        <f t="shared" si="178"/>
        <v>35.181457142857141</v>
      </c>
      <c r="S527" s="10">
        <f t="shared" si="178"/>
        <v>0</v>
      </c>
      <c r="T527" s="10">
        <f t="shared" si="178"/>
        <v>0</v>
      </c>
      <c r="U527" s="10">
        <f t="shared" si="178"/>
        <v>0</v>
      </c>
      <c r="V527" s="10">
        <f t="shared" si="178"/>
        <v>0</v>
      </c>
      <c r="W527" s="10">
        <f t="shared" si="178"/>
        <v>0</v>
      </c>
      <c r="X527" s="10">
        <f t="shared" si="181"/>
        <v>35.181457142857141</v>
      </c>
    </row>
    <row r="528" spans="1:32" s="3" customFormat="1" ht="21" customHeight="1" x14ac:dyDescent="0.2">
      <c r="A528" s="10">
        <v>1</v>
      </c>
      <c r="B528" s="10" t="s">
        <v>67</v>
      </c>
      <c r="C528" s="91" t="s">
        <v>140</v>
      </c>
      <c r="D528" s="91">
        <v>1</v>
      </c>
      <c r="E528" s="91">
        <v>0.98</v>
      </c>
      <c r="F528" s="91">
        <v>0.4</v>
      </c>
      <c r="G528" s="91">
        <v>1.1000000000000001</v>
      </c>
      <c r="H528" s="10">
        <f>G528-0.2</f>
        <v>0.90000000000000013</v>
      </c>
      <c r="I528" s="10">
        <f>E528*F528*G528*D528</f>
        <v>0.43120000000000003</v>
      </c>
      <c r="J528" s="10">
        <f>(2*(E528)*H528*D528)+(E528*F528)</f>
        <v>2.1560000000000001</v>
      </c>
      <c r="K528" s="92">
        <f>IF(E528=0.3,J528,0)</f>
        <v>0</v>
      </c>
      <c r="L528" s="92">
        <f>IF(AND(E528&gt;0.3,E528&lt;=0.75),J528,0)</f>
        <v>0</v>
      </c>
      <c r="M528" s="92">
        <f>IF(AND(E528&gt;0.75,E528&lt;=1.2),J528,0)</f>
        <v>2.1560000000000001</v>
      </c>
      <c r="N528" s="92">
        <f>IF(E528&gt;1.2,J528,0)</f>
        <v>0</v>
      </c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>
        <f>SUM(X529:X532)/I528</f>
        <v>351.35043731778433</v>
      </c>
      <c r="Z528" s="10"/>
      <c r="AA528" s="10"/>
      <c r="AB528" s="10"/>
      <c r="AC528" s="10"/>
      <c r="AD528" s="10"/>
      <c r="AE528" s="10"/>
      <c r="AF528" s="10"/>
    </row>
    <row r="529" spans="1:32" s="3" customFormat="1" ht="20.100000000000001" customHeight="1" x14ac:dyDescent="0.2">
      <c r="A529" s="87"/>
      <c r="B529" s="10" t="s">
        <v>67</v>
      </c>
      <c r="C529" s="93" t="s">
        <v>69</v>
      </c>
      <c r="D529" s="10">
        <v>25</v>
      </c>
      <c r="E529" s="10"/>
      <c r="F529" s="10">
        <v>4</v>
      </c>
      <c r="G529" s="90">
        <f>VLOOKUP(D529,$C$20:$F$26,3,0)</f>
        <v>1.35</v>
      </c>
      <c r="H529" s="90"/>
      <c r="I529" s="10"/>
      <c r="J529" s="10"/>
      <c r="K529" s="10"/>
      <c r="L529" s="10"/>
      <c r="M529" s="10"/>
      <c r="N529" s="10"/>
      <c r="O529" s="10">
        <f>(E528+2*(G529)*D528)</f>
        <v>3.68</v>
      </c>
      <c r="P529" s="10">
        <f t="shared" ref="P529:P530" si="182">O529*F529</f>
        <v>14.72</v>
      </c>
      <c r="Q529" s="10">
        <f t="shared" ref="Q529:W532" si="183">IF($D529=Q$44,$P529*Q$45,0)</f>
        <v>0</v>
      </c>
      <c r="R529" s="10">
        <f t="shared" si="183"/>
        <v>0</v>
      </c>
      <c r="S529" s="10">
        <f t="shared" si="183"/>
        <v>0</v>
      </c>
      <c r="T529" s="10">
        <f t="shared" si="183"/>
        <v>0</v>
      </c>
      <c r="U529" s="10">
        <f t="shared" si="183"/>
        <v>0</v>
      </c>
      <c r="V529" s="10">
        <f t="shared" si="183"/>
        <v>56.744285714285724</v>
      </c>
      <c r="W529" s="10">
        <f t="shared" si="183"/>
        <v>0</v>
      </c>
      <c r="X529" s="10">
        <f t="shared" ref="X529:X532" si="184">SUM(Q529:W529)</f>
        <v>56.744285714285724</v>
      </c>
      <c r="Y529" s="10"/>
      <c r="Z529" s="10"/>
      <c r="AA529" s="10"/>
      <c r="AB529" s="10"/>
      <c r="AC529" s="10"/>
      <c r="AD529" s="10"/>
      <c r="AE529" s="10"/>
    </row>
    <row r="530" spans="1:32" s="3" customFormat="1" ht="20.100000000000001" customHeight="1" x14ac:dyDescent="0.2">
      <c r="A530" s="87"/>
      <c r="B530" s="10" t="s">
        <v>67</v>
      </c>
      <c r="C530" s="93" t="s">
        <v>71</v>
      </c>
      <c r="D530" s="10">
        <v>25</v>
      </c>
      <c r="E530" s="10"/>
      <c r="F530" s="10">
        <v>4</v>
      </c>
      <c r="G530" s="90">
        <f>VLOOKUP(D530,$C$20:$F$26,3,0)</f>
        <v>1.35</v>
      </c>
      <c r="H530" s="10"/>
      <c r="I530" s="10"/>
      <c r="J530" s="10"/>
      <c r="K530" s="10"/>
      <c r="L530" s="10"/>
      <c r="M530" s="10"/>
      <c r="N530" s="10"/>
      <c r="O530" s="10">
        <f>(E528+2*(G530)*D528)</f>
        <v>3.68</v>
      </c>
      <c r="P530" s="10">
        <f t="shared" si="182"/>
        <v>14.72</v>
      </c>
      <c r="Q530" s="10">
        <f t="shared" si="183"/>
        <v>0</v>
      </c>
      <c r="R530" s="10">
        <f t="shared" si="183"/>
        <v>0</v>
      </c>
      <c r="S530" s="10">
        <f t="shared" si="183"/>
        <v>0</v>
      </c>
      <c r="T530" s="10">
        <f t="shared" si="183"/>
        <v>0</v>
      </c>
      <c r="U530" s="10">
        <f t="shared" si="183"/>
        <v>0</v>
      </c>
      <c r="V530" s="10">
        <f t="shared" si="183"/>
        <v>56.744285714285724</v>
      </c>
      <c r="W530" s="10">
        <f t="shared" si="183"/>
        <v>0</v>
      </c>
      <c r="X530" s="10">
        <f t="shared" si="184"/>
        <v>56.744285714285724</v>
      </c>
      <c r="Y530" s="10"/>
      <c r="Z530" s="10"/>
      <c r="AA530" s="10"/>
      <c r="AB530" s="10"/>
      <c r="AC530" s="10"/>
      <c r="AD530" s="10"/>
      <c r="AE530" s="10"/>
    </row>
    <row r="531" spans="1:32" s="3" customFormat="1" ht="20.100000000000001" customHeight="1" x14ac:dyDescent="0.2">
      <c r="A531" s="87"/>
      <c r="B531" s="10" t="s">
        <v>67</v>
      </c>
      <c r="C531" s="93" t="s">
        <v>73</v>
      </c>
      <c r="D531" s="10">
        <v>12</v>
      </c>
      <c r="E531" s="10">
        <v>0.1</v>
      </c>
      <c r="F531" s="10">
        <f>ROUNDUP(E528/E531,0)</f>
        <v>10</v>
      </c>
      <c r="H531" s="10"/>
      <c r="I531" s="10"/>
      <c r="J531" s="10"/>
      <c r="K531" s="10"/>
      <c r="L531" s="10"/>
      <c r="M531" s="10"/>
      <c r="N531" s="10"/>
      <c r="O531" s="10">
        <f>(2*((G528-(2*$D$11))+(F528-(2*$D$11)))+(2*10*D531/1000))*D528</f>
        <v>3</v>
      </c>
      <c r="P531" s="10">
        <f>O531*F531</f>
        <v>30</v>
      </c>
      <c r="Q531" s="10">
        <f t="shared" si="183"/>
        <v>0</v>
      </c>
      <c r="R531" s="10">
        <f t="shared" si="183"/>
        <v>0</v>
      </c>
      <c r="S531" s="10">
        <f t="shared" si="183"/>
        <v>26.645142857142861</v>
      </c>
      <c r="T531" s="10">
        <f t="shared" si="183"/>
        <v>0</v>
      </c>
      <c r="U531" s="10">
        <f t="shared" si="183"/>
        <v>0</v>
      </c>
      <c r="V531" s="10">
        <f t="shared" si="183"/>
        <v>0</v>
      </c>
      <c r="W531" s="10">
        <f t="shared" si="183"/>
        <v>0</v>
      </c>
      <c r="X531" s="10">
        <f t="shared" si="184"/>
        <v>26.645142857142861</v>
      </c>
      <c r="Y531" s="10"/>
      <c r="Z531" s="10"/>
      <c r="AA531" s="10"/>
      <c r="AB531" s="10"/>
      <c r="AC531" s="10"/>
      <c r="AD531" s="10"/>
      <c r="AE531" s="10"/>
    </row>
    <row r="532" spans="1:32" s="2" customFormat="1" ht="20.100000000000001" customHeight="1" x14ac:dyDescent="0.2">
      <c r="B532" s="10" t="s">
        <v>67</v>
      </c>
      <c r="C532" s="93" t="s">
        <v>74</v>
      </c>
      <c r="D532" s="10">
        <f>+D531</f>
        <v>12</v>
      </c>
      <c r="E532" s="2">
        <f>+E531</f>
        <v>0.1</v>
      </c>
      <c r="F532" s="10">
        <f>ROUNDUP(E528/E532,0)</f>
        <v>10</v>
      </c>
      <c r="G532" s="3"/>
      <c r="O532" s="10">
        <f>((((G528-(2*$D$11))+(2*10*D532/1000))*D528))*1</f>
        <v>1.28</v>
      </c>
      <c r="P532" s="10">
        <f>O532*F532</f>
        <v>12.8</v>
      </c>
      <c r="Q532" s="10">
        <f t="shared" si="183"/>
        <v>0</v>
      </c>
      <c r="R532" s="10">
        <f t="shared" si="183"/>
        <v>0</v>
      </c>
      <c r="S532" s="10">
        <f t="shared" si="183"/>
        <v>11.368594285714288</v>
      </c>
      <c r="T532" s="10">
        <f t="shared" si="183"/>
        <v>0</v>
      </c>
      <c r="U532" s="10">
        <f t="shared" si="183"/>
        <v>0</v>
      </c>
      <c r="V532" s="10">
        <f t="shared" si="183"/>
        <v>0</v>
      </c>
      <c r="W532" s="10">
        <f t="shared" si="183"/>
        <v>0</v>
      </c>
      <c r="X532" s="10">
        <f t="shared" si="184"/>
        <v>11.368594285714288</v>
      </c>
    </row>
    <row r="533" spans="1:32" s="3" customFormat="1" ht="21" customHeight="1" x14ac:dyDescent="0.2">
      <c r="A533" s="10">
        <v>1</v>
      </c>
      <c r="B533" s="10" t="s">
        <v>67</v>
      </c>
      <c r="C533" s="91" t="s">
        <v>141</v>
      </c>
      <c r="D533" s="91">
        <v>1</v>
      </c>
      <c r="E533" s="91">
        <v>2.04</v>
      </c>
      <c r="F533" s="91">
        <v>0.3</v>
      </c>
      <c r="G533" s="91">
        <v>0.8</v>
      </c>
      <c r="H533" s="10">
        <f>G533-0.2</f>
        <v>0.60000000000000009</v>
      </c>
      <c r="I533" s="10">
        <f>E533*F533*G533*D533</f>
        <v>0.48960000000000004</v>
      </c>
      <c r="J533" s="10">
        <f>(2*(E533)*H533*D533)+(E533*F533)</f>
        <v>3.0600000000000005</v>
      </c>
      <c r="K533" s="92">
        <f>IF(E533=0.3,J533,0)</f>
        <v>0</v>
      </c>
      <c r="L533" s="92">
        <f>IF(AND(E533&gt;0.3,E533&lt;=0.75),J533,0)</f>
        <v>0</v>
      </c>
      <c r="M533" s="92">
        <f>IF(AND(E533&gt;0.75,E533&lt;=1.2),J533,0)</f>
        <v>0</v>
      </c>
      <c r="N533" s="92">
        <f>IF(E533&gt;1.2,J533,0)</f>
        <v>3.0600000000000005</v>
      </c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>
        <f>SUM(X534:X537)/I533</f>
        <v>221.69515931372547</v>
      </c>
      <c r="Z533" s="10"/>
      <c r="AA533" s="10"/>
      <c r="AB533" s="10"/>
      <c r="AC533" s="10"/>
      <c r="AD533" s="10"/>
      <c r="AE533" s="10"/>
      <c r="AF533" s="10"/>
    </row>
    <row r="534" spans="1:32" s="3" customFormat="1" ht="20.100000000000001" customHeight="1" x14ac:dyDescent="0.2">
      <c r="A534" s="87"/>
      <c r="B534" s="10" t="s">
        <v>67</v>
      </c>
      <c r="C534" s="93" t="s">
        <v>69</v>
      </c>
      <c r="D534" s="10">
        <v>20</v>
      </c>
      <c r="E534" s="10"/>
      <c r="F534" s="10">
        <v>3</v>
      </c>
      <c r="G534" s="90">
        <f>VLOOKUP(D534,$C$20:$F$26,3,0)</f>
        <v>1.05</v>
      </c>
      <c r="H534" s="90"/>
      <c r="I534" s="10"/>
      <c r="J534" s="10"/>
      <c r="K534" s="10"/>
      <c r="L534" s="10"/>
      <c r="M534" s="10"/>
      <c r="N534" s="10"/>
      <c r="O534" s="10">
        <f>(E533+2*(G534+(12*D534/1000))*D533)</f>
        <v>4.62</v>
      </c>
      <c r="P534" s="10">
        <f t="shared" ref="P534:P535" si="185">O534*F534</f>
        <v>13.86</v>
      </c>
      <c r="Q534" s="10">
        <f t="shared" ref="Q534:W549" si="186">IF($D534=Q$44,$P534*Q$45,0)</f>
        <v>0</v>
      </c>
      <c r="R534" s="10">
        <f t="shared" si="186"/>
        <v>0</v>
      </c>
      <c r="S534" s="10">
        <f t="shared" si="186"/>
        <v>0</v>
      </c>
      <c r="T534" s="10">
        <f t="shared" si="186"/>
        <v>0</v>
      </c>
      <c r="U534" s="10">
        <f t="shared" si="186"/>
        <v>34.194600000000001</v>
      </c>
      <c r="V534" s="10">
        <f t="shared" si="186"/>
        <v>0</v>
      </c>
      <c r="W534" s="10">
        <f t="shared" si="186"/>
        <v>0</v>
      </c>
      <c r="X534" s="10">
        <f t="shared" ref="X534:X537" si="187">SUM(Q534:W534)</f>
        <v>34.194600000000001</v>
      </c>
      <c r="Y534" s="10"/>
      <c r="Z534" s="10"/>
      <c r="AA534" s="10"/>
      <c r="AB534" s="10"/>
      <c r="AC534" s="10"/>
      <c r="AD534" s="10"/>
      <c r="AE534" s="10"/>
    </row>
    <row r="535" spans="1:32" s="3" customFormat="1" ht="20.100000000000001" customHeight="1" x14ac:dyDescent="0.2">
      <c r="A535" s="87"/>
      <c r="B535" s="10" t="s">
        <v>67</v>
      </c>
      <c r="C535" s="93" t="s">
        <v>71</v>
      </c>
      <c r="D535" s="10">
        <v>20</v>
      </c>
      <c r="E535" s="10"/>
      <c r="F535" s="10">
        <v>3</v>
      </c>
      <c r="G535" s="90">
        <f>VLOOKUP(D535,$C$20:$F$26,3,0)</f>
        <v>1.05</v>
      </c>
      <c r="H535" s="10"/>
      <c r="I535" s="10"/>
      <c r="J535" s="10"/>
      <c r="K535" s="10"/>
      <c r="L535" s="10"/>
      <c r="M535" s="10"/>
      <c r="N535" s="10"/>
      <c r="O535" s="10">
        <f>(E533+2*(G535+(12*D535/1000))*D533)</f>
        <v>4.62</v>
      </c>
      <c r="P535" s="10">
        <f t="shared" si="185"/>
        <v>13.86</v>
      </c>
      <c r="Q535" s="10">
        <f t="shared" si="186"/>
        <v>0</v>
      </c>
      <c r="R535" s="10">
        <f t="shared" si="186"/>
        <v>0</v>
      </c>
      <c r="S535" s="10">
        <f t="shared" si="186"/>
        <v>0</v>
      </c>
      <c r="T535" s="10">
        <f t="shared" si="186"/>
        <v>0</v>
      </c>
      <c r="U535" s="10">
        <f t="shared" si="186"/>
        <v>34.194600000000001</v>
      </c>
      <c r="V535" s="10">
        <f t="shared" si="186"/>
        <v>0</v>
      </c>
      <c r="W535" s="10">
        <f t="shared" si="186"/>
        <v>0</v>
      </c>
      <c r="X535" s="10">
        <f t="shared" si="187"/>
        <v>34.194600000000001</v>
      </c>
      <c r="Y535" s="10"/>
      <c r="Z535" s="10"/>
      <c r="AA535" s="10"/>
      <c r="AB535" s="10"/>
      <c r="AC535" s="10"/>
      <c r="AD535" s="10"/>
      <c r="AE535" s="10"/>
    </row>
    <row r="536" spans="1:32" s="3" customFormat="1" ht="20.100000000000001" customHeight="1" x14ac:dyDescent="0.2">
      <c r="A536" s="87"/>
      <c r="B536" s="10" t="s">
        <v>67</v>
      </c>
      <c r="C536" s="93" t="s">
        <v>73</v>
      </c>
      <c r="D536" s="10">
        <v>10</v>
      </c>
      <c r="E536" s="10">
        <v>0.1</v>
      </c>
      <c r="F536" s="10">
        <f>ROUNDUP(E533/E536,0)</f>
        <v>21</v>
      </c>
      <c r="H536" s="10"/>
      <c r="I536" s="10"/>
      <c r="J536" s="10"/>
      <c r="K536" s="10"/>
      <c r="L536" s="10"/>
      <c r="M536" s="10"/>
      <c r="N536" s="10"/>
      <c r="O536" s="10">
        <f>(2*((G533-(2*$D$11))+(F533-(2*$D$11)))+(2*10*D536/1000))*D533</f>
        <v>2.16</v>
      </c>
      <c r="P536" s="10">
        <f>O536*F536</f>
        <v>45.36</v>
      </c>
      <c r="Q536" s="10">
        <f t="shared" si="186"/>
        <v>0</v>
      </c>
      <c r="R536" s="10">
        <f t="shared" si="186"/>
        <v>27.977399999999999</v>
      </c>
      <c r="S536" s="10">
        <f t="shared" si="186"/>
        <v>0</v>
      </c>
      <c r="T536" s="10">
        <f t="shared" si="186"/>
        <v>0</v>
      </c>
      <c r="U536" s="10">
        <f t="shared" si="186"/>
        <v>0</v>
      </c>
      <c r="V536" s="10">
        <f t="shared" si="186"/>
        <v>0</v>
      </c>
      <c r="W536" s="10">
        <f t="shared" si="186"/>
        <v>0</v>
      </c>
      <c r="X536" s="10">
        <f t="shared" si="187"/>
        <v>27.977399999999999</v>
      </c>
      <c r="Y536" s="10"/>
      <c r="Z536" s="10"/>
      <c r="AA536" s="10"/>
      <c r="AB536" s="10"/>
      <c r="AC536" s="10"/>
      <c r="AD536" s="10"/>
      <c r="AE536" s="10"/>
    </row>
    <row r="537" spans="1:32" s="2" customFormat="1" ht="20.100000000000001" customHeight="1" x14ac:dyDescent="0.2">
      <c r="B537" s="10" t="s">
        <v>67</v>
      </c>
      <c r="C537" s="93" t="s">
        <v>74</v>
      </c>
      <c r="D537" s="10">
        <f>+D536</f>
        <v>10</v>
      </c>
      <c r="E537" s="2">
        <f>+E536</f>
        <v>0.1</v>
      </c>
      <c r="F537" s="10">
        <f>ROUNDUP(E533/E537,0)</f>
        <v>21</v>
      </c>
      <c r="G537" s="3"/>
      <c r="O537" s="10">
        <f>((((G533-(2*$D$11))+(2*10*D537/1000))*D533))*1</f>
        <v>0.94</v>
      </c>
      <c r="P537" s="10">
        <f>O537*F537</f>
        <v>19.739999999999998</v>
      </c>
      <c r="Q537" s="10">
        <f t="shared" si="186"/>
        <v>0</v>
      </c>
      <c r="R537" s="10">
        <f t="shared" si="186"/>
        <v>12.175349999999998</v>
      </c>
      <c r="S537" s="10">
        <f t="shared" si="186"/>
        <v>0</v>
      </c>
      <c r="T537" s="10">
        <f t="shared" si="186"/>
        <v>0</v>
      </c>
      <c r="U537" s="10">
        <f t="shared" si="186"/>
        <v>0</v>
      </c>
      <c r="V537" s="10">
        <f t="shared" si="186"/>
        <v>0</v>
      </c>
      <c r="W537" s="10">
        <f t="shared" si="186"/>
        <v>0</v>
      </c>
      <c r="X537" s="10">
        <f t="shared" si="187"/>
        <v>12.175349999999998</v>
      </c>
    </row>
    <row r="538" spans="1:32" s="3" customFormat="1" ht="21" customHeight="1" x14ac:dyDescent="0.2">
      <c r="A538" s="10">
        <v>1</v>
      </c>
      <c r="B538" s="10" t="s">
        <v>67</v>
      </c>
      <c r="C538" s="91" t="s">
        <v>142</v>
      </c>
      <c r="D538" s="91">
        <v>1</v>
      </c>
      <c r="E538" s="91">
        <v>2.4</v>
      </c>
      <c r="F538" s="91">
        <v>0.3</v>
      </c>
      <c r="G538" s="91">
        <v>1.1000000000000001</v>
      </c>
      <c r="H538" s="10">
        <f>G538-0.2</f>
        <v>0.90000000000000013</v>
      </c>
      <c r="I538" s="10">
        <f>E538*F538*G538*D538</f>
        <v>0.79200000000000004</v>
      </c>
      <c r="J538" s="10">
        <f>(2*(E538)*H538*D538)+(E538*F538)</f>
        <v>5.04</v>
      </c>
      <c r="K538" s="92">
        <f>IF(E538=0.3,J538,0)</f>
        <v>0</v>
      </c>
      <c r="L538" s="92">
        <f>IF(AND(E538&gt;0.3,E538&lt;=0.75),J538,0)</f>
        <v>0</v>
      </c>
      <c r="M538" s="92">
        <f>IF(AND(E538&gt;0.75,E538&lt;=1.2),J538,0)</f>
        <v>0</v>
      </c>
      <c r="N538" s="92">
        <f>IF(E538&gt;1.2,J538,0)</f>
        <v>5.04</v>
      </c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>
        <f>SUM(X539:X542)/I538</f>
        <v>167.84047619047621</v>
      </c>
      <c r="Z538" s="10"/>
      <c r="AA538" s="10"/>
      <c r="AB538" s="10"/>
      <c r="AC538" s="10"/>
      <c r="AD538" s="10"/>
      <c r="AE538" s="10"/>
      <c r="AF538" s="10"/>
    </row>
    <row r="539" spans="1:32" s="3" customFormat="1" ht="20.100000000000001" customHeight="1" x14ac:dyDescent="0.2">
      <c r="A539" s="87"/>
      <c r="B539" s="10" t="s">
        <v>67</v>
      </c>
      <c r="C539" s="93" t="s">
        <v>69</v>
      </c>
      <c r="D539" s="10">
        <v>20</v>
      </c>
      <c r="E539" s="10"/>
      <c r="F539" s="10">
        <v>3</v>
      </c>
      <c r="G539" s="90">
        <f>VLOOKUP(D539,$C$20:$F$26,3,0)</f>
        <v>1.05</v>
      </c>
      <c r="H539" s="90"/>
      <c r="I539" s="10"/>
      <c r="J539" s="10"/>
      <c r="K539" s="10"/>
      <c r="L539" s="10"/>
      <c r="M539" s="10"/>
      <c r="N539" s="10"/>
      <c r="O539" s="10">
        <f>(E538+2*(G539+(12*D539/1000))*D538)</f>
        <v>4.9800000000000004</v>
      </c>
      <c r="P539" s="10">
        <f t="shared" ref="P539:P540" si="188">O539*F539</f>
        <v>14.940000000000001</v>
      </c>
      <c r="Q539" s="10">
        <f t="shared" si="186"/>
        <v>0</v>
      </c>
      <c r="R539" s="10">
        <f t="shared" si="186"/>
        <v>0</v>
      </c>
      <c r="S539" s="10">
        <f t="shared" si="186"/>
        <v>0</v>
      </c>
      <c r="T539" s="10">
        <f t="shared" si="186"/>
        <v>0</v>
      </c>
      <c r="U539" s="10">
        <f t="shared" si="186"/>
        <v>36.859114285714291</v>
      </c>
      <c r="V539" s="10">
        <f t="shared" si="186"/>
        <v>0</v>
      </c>
      <c r="W539" s="10">
        <f t="shared" si="186"/>
        <v>0</v>
      </c>
      <c r="X539" s="10">
        <f t="shared" ref="X539:X542" si="189">SUM(Q539:W539)</f>
        <v>36.859114285714291</v>
      </c>
      <c r="Y539" s="10"/>
      <c r="Z539" s="10"/>
      <c r="AA539" s="10"/>
      <c r="AB539" s="10"/>
      <c r="AC539" s="10"/>
      <c r="AD539" s="10"/>
      <c r="AE539" s="10"/>
    </row>
    <row r="540" spans="1:32" s="3" customFormat="1" ht="20.100000000000001" customHeight="1" x14ac:dyDescent="0.2">
      <c r="A540" s="87"/>
      <c r="B540" s="10" t="s">
        <v>67</v>
      </c>
      <c r="C540" s="93" t="s">
        <v>71</v>
      </c>
      <c r="D540" s="10">
        <v>20</v>
      </c>
      <c r="E540" s="10"/>
      <c r="F540" s="10">
        <v>3</v>
      </c>
      <c r="G540" s="90">
        <f>VLOOKUP(D540,$C$20:$F$26,3,0)</f>
        <v>1.05</v>
      </c>
      <c r="H540" s="10"/>
      <c r="I540" s="10"/>
      <c r="J540" s="10"/>
      <c r="K540" s="10"/>
      <c r="L540" s="10"/>
      <c r="M540" s="10"/>
      <c r="N540" s="10"/>
      <c r="O540" s="10">
        <f>(E538+2*(G540+(12*D540/1000))*D538)</f>
        <v>4.9800000000000004</v>
      </c>
      <c r="P540" s="10">
        <f t="shared" si="188"/>
        <v>14.940000000000001</v>
      </c>
      <c r="Q540" s="10">
        <f t="shared" si="186"/>
        <v>0</v>
      </c>
      <c r="R540" s="10">
        <f t="shared" si="186"/>
        <v>0</v>
      </c>
      <c r="S540" s="10">
        <f t="shared" si="186"/>
        <v>0</v>
      </c>
      <c r="T540" s="10">
        <f t="shared" si="186"/>
        <v>0</v>
      </c>
      <c r="U540" s="10">
        <f t="shared" si="186"/>
        <v>36.859114285714291</v>
      </c>
      <c r="V540" s="10">
        <f t="shared" si="186"/>
        <v>0</v>
      </c>
      <c r="W540" s="10">
        <f t="shared" si="186"/>
        <v>0</v>
      </c>
      <c r="X540" s="10">
        <f t="shared" si="189"/>
        <v>36.859114285714291</v>
      </c>
      <c r="Y540" s="10"/>
      <c r="Z540" s="10"/>
      <c r="AA540" s="10"/>
      <c r="AB540" s="10"/>
      <c r="AC540" s="10"/>
      <c r="AD540" s="10"/>
      <c r="AE540" s="10"/>
    </row>
    <row r="541" spans="1:32" s="3" customFormat="1" ht="20.100000000000001" customHeight="1" x14ac:dyDescent="0.2">
      <c r="A541" s="87"/>
      <c r="B541" s="10" t="s">
        <v>67</v>
      </c>
      <c r="C541" s="93" t="s">
        <v>73</v>
      </c>
      <c r="D541" s="10">
        <v>10</v>
      </c>
      <c r="E541" s="10">
        <v>0.1</v>
      </c>
      <c r="F541" s="10">
        <f>ROUNDUP(E538/E541,0)</f>
        <v>24</v>
      </c>
      <c r="H541" s="10"/>
      <c r="I541" s="10"/>
      <c r="J541" s="10"/>
      <c r="K541" s="10"/>
      <c r="L541" s="10"/>
      <c r="M541" s="10"/>
      <c r="N541" s="10"/>
      <c r="O541" s="10">
        <f>(2*((G538-(2*$D$11))+(F538-(2*$D$11)))+(2*10*D541/1000))*D538</f>
        <v>2.7600000000000002</v>
      </c>
      <c r="P541" s="10">
        <f>O541*F541</f>
        <v>66.240000000000009</v>
      </c>
      <c r="Q541" s="10">
        <f t="shared" si="186"/>
        <v>0</v>
      </c>
      <c r="R541" s="10">
        <f t="shared" si="186"/>
        <v>40.855885714285719</v>
      </c>
      <c r="S541" s="10">
        <f t="shared" si="186"/>
        <v>0</v>
      </c>
      <c r="T541" s="10">
        <f t="shared" si="186"/>
        <v>0</v>
      </c>
      <c r="U541" s="10">
        <f t="shared" si="186"/>
        <v>0</v>
      </c>
      <c r="V541" s="10">
        <f t="shared" si="186"/>
        <v>0</v>
      </c>
      <c r="W541" s="10">
        <f t="shared" si="186"/>
        <v>0</v>
      </c>
      <c r="X541" s="10">
        <f t="shared" si="189"/>
        <v>40.855885714285719</v>
      </c>
      <c r="Y541" s="10"/>
      <c r="Z541" s="10"/>
      <c r="AA541" s="10"/>
      <c r="AB541" s="10"/>
      <c r="AC541" s="10"/>
      <c r="AD541" s="10"/>
      <c r="AE541" s="10"/>
    </row>
    <row r="542" spans="1:32" s="2" customFormat="1" ht="20.100000000000001" customHeight="1" x14ac:dyDescent="0.2">
      <c r="B542" s="10" t="s">
        <v>67</v>
      </c>
      <c r="C542" s="93" t="s">
        <v>74</v>
      </c>
      <c r="D542" s="10">
        <f>+D541</f>
        <v>10</v>
      </c>
      <c r="E542" s="2">
        <f>+E541</f>
        <v>0.1</v>
      </c>
      <c r="F542" s="10">
        <f>ROUNDUP(E538/E542,0)</f>
        <v>24</v>
      </c>
      <c r="G542" s="3"/>
      <c r="O542" s="10">
        <f>((((G538-(2*$D$11))+(2*10*D542/1000))*D538))*1</f>
        <v>1.24</v>
      </c>
      <c r="P542" s="10">
        <f>O542*F542</f>
        <v>29.759999999999998</v>
      </c>
      <c r="Q542" s="10">
        <f t="shared" si="186"/>
        <v>0</v>
      </c>
      <c r="R542" s="10">
        <f t="shared" si="186"/>
        <v>18.355542857142854</v>
      </c>
      <c r="S542" s="10">
        <f t="shared" si="186"/>
        <v>0</v>
      </c>
      <c r="T542" s="10">
        <f t="shared" si="186"/>
        <v>0</v>
      </c>
      <c r="U542" s="10">
        <f t="shared" si="186"/>
        <v>0</v>
      </c>
      <c r="V542" s="10">
        <f t="shared" si="186"/>
        <v>0</v>
      </c>
      <c r="W542" s="10">
        <f t="shared" si="186"/>
        <v>0</v>
      </c>
      <c r="X542" s="10">
        <f t="shared" si="189"/>
        <v>18.355542857142854</v>
      </c>
    </row>
    <row r="543" spans="1:32" s="3" customFormat="1" ht="21" customHeight="1" x14ac:dyDescent="0.2">
      <c r="A543" s="10">
        <v>1</v>
      </c>
      <c r="B543" s="10" t="s">
        <v>67</v>
      </c>
      <c r="C543" s="91" t="s">
        <v>143</v>
      </c>
      <c r="D543" s="91">
        <v>1</v>
      </c>
      <c r="E543" s="91">
        <v>2.4</v>
      </c>
      <c r="F543" s="91">
        <v>0.3</v>
      </c>
      <c r="G543" s="91">
        <v>1.1000000000000001</v>
      </c>
      <c r="H543" s="10">
        <f>G543-0.2</f>
        <v>0.90000000000000013</v>
      </c>
      <c r="I543" s="10">
        <f>E543*F543*G543*D543</f>
        <v>0.79200000000000004</v>
      </c>
      <c r="J543" s="10">
        <f>(2*(E543)*H543*D543)+(E543*F543)</f>
        <v>5.04</v>
      </c>
      <c r="K543" s="92">
        <f>IF(E543=0.3,J543,0)</f>
        <v>0</v>
      </c>
      <c r="L543" s="92">
        <f>IF(AND(E543&gt;0.3,E543&lt;=0.75),J543,0)</f>
        <v>0</v>
      </c>
      <c r="M543" s="92">
        <f>IF(AND(E543&gt;0.75,E543&lt;=1.2),J543,0)</f>
        <v>0</v>
      </c>
      <c r="N543" s="92">
        <f>IF(E543&gt;1.2,J543,0)</f>
        <v>5.04</v>
      </c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>
        <f>SUM(X544:X547)/I543</f>
        <v>167.84047619047621</v>
      </c>
      <c r="Z543" s="10"/>
      <c r="AA543" s="10"/>
      <c r="AB543" s="10"/>
      <c r="AC543" s="10"/>
      <c r="AD543" s="10"/>
      <c r="AE543" s="10"/>
      <c r="AF543" s="10"/>
    </row>
    <row r="544" spans="1:32" s="3" customFormat="1" ht="20.100000000000001" customHeight="1" x14ac:dyDescent="0.2">
      <c r="A544" s="87"/>
      <c r="B544" s="10" t="s">
        <v>67</v>
      </c>
      <c r="C544" s="93" t="s">
        <v>69</v>
      </c>
      <c r="D544" s="10">
        <v>20</v>
      </c>
      <c r="E544" s="10"/>
      <c r="F544" s="10">
        <v>3</v>
      </c>
      <c r="G544" s="90">
        <f>VLOOKUP(D544,$C$20:$F$26,3,0)</f>
        <v>1.05</v>
      </c>
      <c r="H544" s="90"/>
      <c r="I544" s="10"/>
      <c r="J544" s="10"/>
      <c r="K544" s="10"/>
      <c r="L544" s="10"/>
      <c r="M544" s="10"/>
      <c r="N544" s="10"/>
      <c r="O544" s="10">
        <f>(E543+2*(G544+(12*D544/1000))*D543)</f>
        <v>4.9800000000000004</v>
      </c>
      <c r="P544" s="10">
        <f t="shared" ref="P544:P545" si="190">O544*F544</f>
        <v>14.940000000000001</v>
      </c>
      <c r="Q544" s="10">
        <f t="shared" si="186"/>
        <v>0</v>
      </c>
      <c r="R544" s="10">
        <f t="shared" si="186"/>
        <v>0</v>
      </c>
      <c r="S544" s="10">
        <f t="shared" si="186"/>
        <v>0</v>
      </c>
      <c r="T544" s="10">
        <f t="shared" si="186"/>
        <v>0</v>
      </c>
      <c r="U544" s="10">
        <f t="shared" si="186"/>
        <v>36.859114285714291</v>
      </c>
      <c r="V544" s="10">
        <f t="shared" si="186"/>
        <v>0</v>
      </c>
      <c r="W544" s="10">
        <f t="shared" si="186"/>
        <v>0</v>
      </c>
      <c r="X544" s="10">
        <f t="shared" ref="X544:X547" si="191">SUM(Q544:W544)</f>
        <v>36.859114285714291</v>
      </c>
      <c r="Y544" s="10"/>
      <c r="Z544" s="10"/>
      <c r="AA544" s="10"/>
      <c r="AB544" s="10"/>
      <c r="AC544" s="10"/>
      <c r="AD544" s="10"/>
      <c r="AE544" s="10"/>
    </row>
    <row r="545" spans="1:32" s="3" customFormat="1" ht="20.100000000000001" customHeight="1" x14ac:dyDescent="0.2">
      <c r="A545" s="87"/>
      <c r="B545" s="10" t="s">
        <v>67</v>
      </c>
      <c r="C545" s="93" t="s">
        <v>71</v>
      </c>
      <c r="D545" s="10">
        <v>20</v>
      </c>
      <c r="E545" s="10"/>
      <c r="F545" s="10">
        <v>3</v>
      </c>
      <c r="G545" s="90">
        <f>VLOOKUP(D545,$C$20:$F$26,3,0)</f>
        <v>1.05</v>
      </c>
      <c r="H545" s="10"/>
      <c r="I545" s="10"/>
      <c r="J545" s="10"/>
      <c r="K545" s="10"/>
      <c r="L545" s="10"/>
      <c r="M545" s="10"/>
      <c r="N545" s="10"/>
      <c r="O545" s="10">
        <f>(E543+2*(G545+(12*D545/1000))*D543)</f>
        <v>4.9800000000000004</v>
      </c>
      <c r="P545" s="10">
        <f t="shared" si="190"/>
        <v>14.940000000000001</v>
      </c>
      <c r="Q545" s="10">
        <f t="shared" si="186"/>
        <v>0</v>
      </c>
      <c r="R545" s="10">
        <f t="shared" si="186"/>
        <v>0</v>
      </c>
      <c r="S545" s="10">
        <f t="shared" si="186"/>
        <v>0</v>
      </c>
      <c r="T545" s="10">
        <f t="shared" si="186"/>
        <v>0</v>
      </c>
      <c r="U545" s="10">
        <f t="shared" si="186"/>
        <v>36.859114285714291</v>
      </c>
      <c r="V545" s="10">
        <f t="shared" si="186"/>
        <v>0</v>
      </c>
      <c r="W545" s="10">
        <f t="shared" si="186"/>
        <v>0</v>
      </c>
      <c r="X545" s="10">
        <f t="shared" si="191"/>
        <v>36.859114285714291</v>
      </c>
      <c r="Y545" s="10"/>
      <c r="Z545" s="10"/>
      <c r="AA545" s="10"/>
      <c r="AB545" s="10"/>
      <c r="AC545" s="10"/>
      <c r="AD545" s="10"/>
      <c r="AE545" s="10"/>
    </row>
    <row r="546" spans="1:32" s="3" customFormat="1" ht="20.100000000000001" customHeight="1" x14ac:dyDescent="0.2">
      <c r="A546" s="87"/>
      <c r="B546" s="10" t="s">
        <v>67</v>
      </c>
      <c r="C546" s="93" t="s">
        <v>73</v>
      </c>
      <c r="D546" s="10">
        <v>10</v>
      </c>
      <c r="E546" s="10">
        <v>0.1</v>
      </c>
      <c r="F546" s="10">
        <f>ROUNDUP(E543/E546,0)</f>
        <v>24</v>
      </c>
      <c r="H546" s="10"/>
      <c r="I546" s="10"/>
      <c r="J546" s="10"/>
      <c r="K546" s="10"/>
      <c r="L546" s="10"/>
      <c r="M546" s="10"/>
      <c r="N546" s="10"/>
      <c r="O546" s="10">
        <f>(2*((G543-(2*$D$11))+(F543-(2*$D$11)))+(2*10*D546/1000))*D543</f>
        <v>2.7600000000000002</v>
      </c>
      <c r="P546" s="10">
        <f>O546*F546</f>
        <v>66.240000000000009</v>
      </c>
      <c r="Q546" s="10">
        <f t="shared" si="186"/>
        <v>0</v>
      </c>
      <c r="R546" s="10">
        <f t="shared" si="186"/>
        <v>40.855885714285719</v>
      </c>
      <c r="S546" s="10">
        <f t="shared" si="186"/>
        <v>0</v>
      </c>
      <c r="T546" s="10">
        <f t="shared" si="186"/>
        <v>0</v>
      </c>
      <c r="U546" s="10">
        <f t="shared" si="186"/>
        <v>0</v>
      </c>
      <c r="V546" s="10">
        <f t="shared" si="186"/>
        <v>0</v>
      </c>
      <c r="W546" s="10">
        <f t="shared" si="186"/>
        <v>0</v>
      </c>
      <c r="X546" s="10">
        <f t="shared" si="191"/>
        <v>40.855885714285719</v>
      </c>
      <c r="Y546" s="10"/>
      <c r="Z546" s="10"/>
      <c r="AA546" s="10"/>
      <c r="AB546" s="10"/>
      <c r="AC546" s="10"/>
      <c r="AD546" s="10"/>
      <c r="AE546" s="10"/>
    </row>
    <row r="547" spans="1:32" s="2" customFormat="1" ht="20.100000000000001" customHeight="1" x14ac:dyDescent="0.2">
      <c r="B547" s="10" t="s">
        <v>67</v>
      </c>
      <c r="C547" s="93" t="s">
        <v>74</v>
      </c>
      <c r="D547" s="10">
        <f>+D546</f>
        <v>10</v>
      </c>
      <c r="E547" s="2">
        <f>+E546</f>
        <v>0.1</v>
      </c>
      <c r="F547" s="10">
        <f>ROUNDUP(E543/E547,0)</f>
        <v>24</v>
      </c>
      <c r="G547" s="3"/>
      <c r="O547" s="10">
        <f>((((G543-(2*$D$11))+(2*10*D547/1000))*D543))*1</f>
        <v>1.24</v>
      </c>
      <c r="P547" s="10">
        <f>O547*F547</f>
        <v>29.759999999999998</v>
      </c>
      <c r="Q547" s="10">
        <f t="shared" si="186"/>
        <v>0</v>
      </c>
      <c r="R547" s="10">
        <f t="shared" si="186"/>
        <v>18.355542857142854</v>
      </c>
      <c r="S547" s="10">
        <f t="shared" si="186"/>
        <v>0</v>
      </c>
      <c r="T547" s="10">
        <f t="shared" si="186"/>
        <v>0</v>
      </c>
      <c r="U547" s="10">
        <f t="shared" si="186"/>
        <v>0</v>
      </c>
      <c r="V547" s="10">
        <f t="shared" si="186"/>
        <v>0</v>
      </c>
      <c r="W547" s="10">
        <f t="shared" si="186"/>
        <v>0</v>
      </c>
      <c r="X547" s="10">
        <f t="shared" si="191"/>
        <v>18.355542857142854</v>
      </c>
    </row>
    <row r="548" spans="1:32" s="3" customFormat="1" ht="21" customHeight="1" x14ac:dyDescent="0.2">
      <c r="A548" s="10">
        <v>1</v>
      </c>
      <c r="B548" s="10" t="s">
        <v>67</v>
      </c>
      <c r="C548" s="91" t="s">
        <v>144</v>
      </c>
      <c r="D548" s="91">
        <v>1</v>
      </c>
      <c r="E548" s="91">
        <v>2.04</v>
      </c>
      <c r="F548" s="91">
        <v>0.3</v>
      </c>
      <c r="G548" s="91">
        <v>0.8</v>
      </c>
      <c r="H548" s="10">
        <f>G548-0.2</f>
        <v>0.60000000000000009</v>
      </c>
      <c r="I548" s="10">
        <f>E548*F548*G548*D548</f>
        <v>0.48960000000000004</v>
      </c>
      <c r="J548" s="10">
        <f>(2*(E548)*H548*D548)+(E548*F548)</f>
        <v>3.0600000000000005</v>
      </c>
      <c r="K548" s="92">
        <f>IF(E548=0.3,J548,0)</f>
        <v>0</v>
      </c>
      <c r="L548" s="92">
        <f>IF(AND(E548&gt;0.3,E548&lt;=0.75),J548,0)</f>
        <v>0</v>
      </c>
      <c r="M548" s="92">
        <f>IF(AND(E548&gt;0.75,E548&lt;=1.2),J548,0)</f>
        <v>0</v>
      </c>
      <c r="N548" s="92">
        <f>IF(E548&gt;1.2,J548,0)</f>
        <v>3.0600000000000005</v>
      </c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>
        <f>SUM(X549:X552)/I548</f>
        <v>221.69515931372547</v>
      </c>
      <c r="Z548" s="10"/>
      <c r="AA548" s="10"/>
      <c r="AB548" s="10"/>
      <c r="AC548" s="10"/>
      <c r="AD548" s="10"/>
      <c r="AE548" s="10"/>
      <c r="AF548" s="10"/>
    </row>
    <row r="549" spans="1:32" s="3" customFormat="1" ht="20.100000000000001" customHeight="1" x14ac:dyDescent="0.2">
      <c r="A549" s="87"/>
      <c r="B549" s="10" t="s">
        <v>67</v>
      </c>
      <c r="C549" s="93" t="s">
        <v>69</v>
      </c>
      <c r="D549" s="10">
        <v>20</v>
      </c>
      <c r="E549" s="10"/>
      <c r="F549" s="10">
        <v>3</v>
      </c>
      <c r="G549" s="90">
        <f>VLOOKUP(D549,$C$20:$F$26,3,0)</f>
        <v>1.05</v>
      </c>
      <c r="H549" s="90"/>
      <c r="I549" s="10"/>
      <c r="J549" s="10"/>
      <c r="K549" s="10"/>
      <c r="L549" s="10"/>
      <c r="M549" s="10"/>
      <c r="N549" s="10"/>
      <c r="O549" s="10">
        <f>(E548+2*(G549+(12*D549/1000))*D548)</f>
        <v>4.62</v>
      </c>
      <c r="P549" s="10">
        <f t="shared" ref="P549:P550" si="192">O549*F549</f>
        <v>13.86</v>
      </c>
      <c r="Q549" s="10">
        <f t="shared" si="186"/>
        <v>0</v>
      </c>
      <c r="R549" s="10">
        <f t="shared" si="186"/>
        <v>0</v>
      </c>
      <c r="S549" s="10">
        <f t="shared" si="186"/>
        <v>0</v>
      </c>
      <c r="T549" s="10">
        <f t="shared" si="186"/>
        <v>0</v>
      </c>
      <c r="U549" s="10">
        <f t="shared" si="186"/>
        <v>34.194600000000001</v>
      </c>
      <c r="V549" s="10">
        <f t="shared" si="186"/>
        <v>0</v>
      </c>
      <c r="W549" s="10">
        <f t="shared" si="186"/>
        <v>0</v>
      </c>
      <c r="X549" s="10">
        <f t="shared" ref="X549:X552" si="193">SUM(Q549:W549)</f>
        <v>34.194600000000001</v>
      </c>
      <c r="Y549" s="10"/>
      <c r="Z549" s="10"/>
      <c r="AA549" s="10"/>
      <c r="AB549" s="10"/>
      <c r="AC549" s="10"/>
      <c r="AD549" s="10"/>
      <c r="AE549" s="10"/>
    </row>
    <row r="550" spans="1:32" s="3" customFormat="1" ht="20.100000000000001" customHeight="1" x14ac:dyDescent="0.2">
      <c r="A550" s="87"/>
      <c r="B550" s="10" t="s">
        <v>67</v>
      </c>
      <c r="C550" s="93" t="s">
        <v>71</v>
      </c>
      <c r="D550" s="10">
        <v>20</v>
      </c>
      <c r="E550" s="10"/>
      <c r="F550" s="10">
        <v>3</v>
      </c>
      <c r="G550" s="90">
        <f>VLOOKUP(D550,$C$20:$F$26,3,0)</f>
        <v>1.05</v>
      </c>
      <c r="H550" s="10"/>
      <c r="I550" s="10"/>
      <c r="J550" s="10"/>
      <c r="K550" s="10"/>
      <c r="L550" s="10"/>
      <c r="M550" s="10"/>
      <c r="N550" s="10"/>
      <c r="O550" s="10">
        <f>(E548+2*(G550+(12*D550/1000))*D548)</f>
        <v>4.62</v>
      </c>
      <c r="P550" s="10">
        <f t="shared" si="192"/>
        <v>13.86</v>
      </c>
      <c r="Q550" s="10">
        <f t="shared" ref="Q550:W552" si="194">IF($D550=Q$44,$P550*Q$45,0)</f>
        <v>0</v>
      </c>
      <c r="R550" s="10">
        <f t="shared" si="194"/>
        <v>0</v>
      </c>
      <c r="S550" s="10">
        <f t="shared" si="194"/>
        <v>0</v>
      </c>
      <c r="T550" s="10">
        <f t="shared" si="194"/>
        <v>0</v>
      </c>
      <c r="U550" s="10">
        <f t="shared" si="194"/>
        <v>34.194600000000001</v>
      </c>
      <c r="V550" s="10">
        <f t="shared" si="194"/>
        <v>0</v>
      </c>
      <c r="W550" s="10">
        <f t="shared" si="194"/>
        <v>0</v>
      </c>
      <c r="X550" s="10">
        <f t="shared" si="193"/>
        <v>34.194600000000001</v>
      </c>
      <c r="Y550" s="10"/>
      <c r="Z550" s="10"/>
      <c r="AA550" s="10"/>
      <c r="AB550" s="10"/>
      <c r="AC550" s="10"/>
      <c r="AD550" s="10"/>
      <c r="AE550" s="10"/>
    </row>
    <row r="551" spans="1:32" s="3" customFormat="1" ht="20.100000000000001" customHeight="1" x14ac:dyDescent="0.2">
      <c r="A551" s="87"/>
      <c r="B551" s="10" t="s">
        <v>67</v>
      </c>
      <c r="C551" s="93" t="s">
        <v>73</v>
      </c>
      <c r="D551" s="10">
        <v>10</v>
      </c>
      <c r="E551" s="10">
        <v>0.1</v>
      </c>
      <c r="F551" s="10">
        <f>ROUNDUP(E548/E551,0)</f>
        <v>21</v>
      </c>
      <c r="H551" s="10"/>
      <c r="I551" s="10"/>
      <c r="J551" s="10"/>
      <c r="K551" s="10"/>
      <c r="L551" s="10"/>
      <c r="M551" s="10"/>
      <c r="N551" s="10"/>
      <c r="O551" s="10">
        <f>(2*((G548-(2*$D$11))+(F548-(2*$D$11)))+(2*10*D551/1000))*D548</f>
        <v>2.16</v>
      </c>
      <c r="P551" s="10">
        <f>O551*F551</f>
        <v>45.36</v>
      </c>
      <c r="Q551" s="10">
        <f t="shared" si="194"/>
        <v>0</v>
      </c>
      <c r="R551" s="10">
        <f t="shared" si="194"/>
        <v>27.977399999999999</v>
      </c>
      <c r="S551" s="10">
        <f t="shared" si="194"/>
        <v>0</v>
      </c>
      <c r="T551" s="10">
        <f t="shared" si="194"/>
        <v>0</v>
      </c>
      <c r="U551" s="10">
        <f t="shared" si="194"/>
        <v>0</v>
      </c>
      <c r="V551" s="10">
        <f t="shared" si="194"/>
        <v>0</v>
      </c>
      <c r="W551" s="10">
        <f t="shared" si="194"/>
        <v>0</v>
      </c>
      <c r="X551" s="10">
        <f t="shared" si="193"/>
        <v>27.977399999999999</v>
      </c>
      <c r="Y551" s="10"/>
      <c r="Z551" s="10"/>
      <c r="AA551" s="10"/>
      <c r="AB551" s="10"/>
      <c r="AC551" s="10"/>
      <c r="AD551" s="10"/>
      <c r="AE551" s="10"/>
    </row>
    <row r="552" spans="1:32" s="2" customFormat="1" ht="20.100000000000001" customHeight="1" x14ac:dyDescent="0.2">
      <c r="B552" s="10" t="s">
        <v>67</v>
      </c>
      <c r="C552" s="93" t="s">
        <v>74</v>
      </c>
      <c r="D552" s="10">
        <f>+D551</f>
        <v>10</v>
      </c>
      <c r="E552" s="2">
        <f>+E551</f>
        <v>0.1</v>
      </c>
      <c r="F552" s="10">
        <f>ROUNDUP(E548/E552,0)</f>
        <v>21</v>
      </c>
      <c r="G552" s="3"/>
      <c r="O552" s="10">
        <f>((((G548-(2*$D$11))+(2*10*D552/1000))*D548))*1</f>
        <v>0.94</v>
      </c>
      <c r="P552" s="10">
        <f>O552*F552</f>
        <v>19.739999999999998</v>
      </c>
      <c r="Q552" s="10">
        <f t="shared" si="194"/>
        <v>0</v>
      </c>
      <c r="R552" s="10">
        <f t="shared" si="194"/>
        <v>12.175349999999998</v>
      </c>
      <c r="S552" s="10">
        <f t="shared" si="194"/>
        <v>0</v>
      </c>
      <c r="T552" s="10">
        <f t="shared" si="194"/>
        <v>0</v>
      </c>
      <c r="U552" s="10">
        <f t="shared" si="194"/>
        <v>0</v>
      </c>
      <c r="V552" s="10">
        <f t="shared" si="194"/>
        <v>0</v>
      </c>
      <c r="W552" s="10">
        <f t="shared" si="194"/>
        <v>0</v>
      </c>
      <c r="X552" s="10">
        <f t="shared" si="193"/>
        <v>12.175349999999998</v>
      </c>
    </row>
    <row r="553" spans="1:32" s="3" customFormat="1" ht="21" customHeight="1" x14ac:dyDescent="0.2">
      <c r="A553" s="10">
        <v>1</v>
      </c>
      <c r="B553" s="10" t="s">
        <v>67</v>
      </c>
      <c r="C553" s="91" t="s">
        <v>145</v>
      </c>
      <c r="D553" s="91">
        <v>1</v>
      </c>
      <c r="E553" s="91">
        <v>2.04</v>
      </c>
      <c r="F553" s="91">
        <v>0.3</v>
      </c>
      <c r="G553" s="91">
        <v>0.8</v>
      </c>
      <c r="H553" s="10">
        <f>G553-0.2</f>
        <v>0.60000000000000009</v>
      </c>
      <c r="I553" s="10">
        <f>E553*F553*G553*D553</f>
        <v>0.48960000000000004</v>
      </c>
      <c r="J553" s="10">
        <f>(2*(E553)*H553*D553)+(E553*F553)</f>
        <v>3.0600000000000005</v>
      </c>
      <c r="K553" s="92">
        <f>IF(E553=0.3,J553,0)</f>
        <v>0</v>
      </c>
      <c r="L553" s="92">
        <f>IF(AND(E553&gt;0.3,E553&lt;=0.75),J553,0)</f>
        <v>0</v>
      </c>
      <c r="M553" s="92">
        <f>IF(AND(E553&gt;0.75,E553&lt;=1.2),J553,0)</f>
        <v>0</v>
      </c>
      <c r="N553" s="92">
        <f>IF(E553&gt;1.2,J553,0)</f>
        <v>3.0600000000000005</v>
      </c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>
        <f>SUM(X554:X557)/I553</f>
        <v>221.69515931372547</v>
      </c>
      <c r="Z553" s="10"/>
      <c r="AA553" s="10"/>
      <c r="AB553" s="10"/>
      <c r="AC553" s="10"/>
      <c r="AD553" s="10"/>
      <c r="AE553" s="10"/>
      <c r="AF553" s="10"/>
    </row>
    <row r="554" spans="1:32" s="3" customFormat="1" ht="20.100000000000001" customHeight="1" x14ac:dyDescent="0.2">
      <c r="A554" s="87"/>
      <c r="B554" s="10" t="s">
        <v>67</v>
      </c>
      <c r="C554" s="93" t="s">
        <v>69</v>
      </c>
      <c r="D554" s="10">
        <v>20</v>
      </c>
      <c r="E554" s="10"/>
      <c r="F554" s="10">
        <v>3</v>
      </c>
      <c r="G554" s="90">
        <f>VLOOKUP(D554,$C$20:$F$26,3,0)</f>
        <v>1.05</v>
      </c>
      <c r="H554" s="90"/>
      <c r="I554" s="10"/>
      <c r="J554" s="10"/>
      <c r="K554" s="10"/>
      <c r="L554" s="10"/>
      <c r="M554" s="10"/>
      <c r="N554" s="10"/>
      <c r="O554" s="10">
        <f>(E553+2*(G554+(12*D554/1000)*D553))</f>
        <v>4.62</v>
      </c>
      <c r="P554" s="10">
        <f t="shared" ref="P554:P555" si="195">O554*F554</f>
        <v>13.86</v>
      </c>
      <c r="Q554" s="10">
        <f t="shared" ref="Q554:W562" si="196">IF($D554=Q$44,$P554*Q$45,0)</f>
        <v>0</v>
      </c>
      <c r="R554" s="10">
        <f t="shared" si="196"/>
        <v>0</v>
      </c>
      <c r="S554" s="10">
        <f t="shared" si="196"/>
        <v>0</v>
      </c>
      <c r="T554" s="10">
        <f t="shared" si="196"/>
        <v>0</v>
      </c>
      <c r="U554" s="10">
        <f t="shared" si="196"/>
        <v>34.194600000000001</v>
      </c>
      <c r="V554" s="10">
        <f t="shared" si="196"/>
        <v>0</v>
      </c>
      <c r="W554" s="10">
        <f t="shared" si="196"/>
        <v>0</v>
      </c>
      <c r="X554" s="10">
        <f t="shared" ref="X554:X557" si="197">SUM(Q554:W554)</f>
        <v>34.194600000000001</v>
      </c>
      <c r="Y554" s="10"/>
      <c r="Z554" s="10"/>
      <c r="AA554" s="10"/>
      <c r="AB554" s="10"/>
      <c r="AC554" s="10"/>
      <c r="AD554" s="10"/>
      <c r="AE554" s="10"/>
    </row>
    <row r="555" spans="1:32" s="3" customFormat="1" ht="20.100000000000001" customHeight="1" x14ac:dyDescent="0.2">
      <c r="A555" s="87"/>
      <c r="B555" s="10" t="s">
        <v>67</v>
      </c>
      <c r="C555" s="93" t="s">
        <v>71</v>
      </c>
      <c r="D555" s="10">
        <v>20</v>
      </c>
      <c r="E555" s="10"/>
      <c r="F555" s="10">
        <v>3</v>
      </c>
      <c r="G555" s="90">
        <f>VLOOKUP(D555,$C$20:$F$26,3,0)</f>
        <v>1.05</v>
      </c>
      <c r="H555" s="10"/>
      <c r="I555" s="10"/>
      <c r="J555" s="10"/>
      <c r="K555" s="10"/>
      <c r="L555" s="10"/>
      <c r="M555" s="10"/>
      <c r="N555" s="10"/>
      <c r="O555" s="10">
        <f>(E553+2*(G555+(12*D555/1000))*D553)</f>
        <v>4.62</v>
      </c>
      <c r="P555" s="10">
        <f t="shared" si="195"/>
        <v>13.86</v>
      </c>
      <c r="Q555" s="10">
        <f t="shared" si="196"/>
        <v>0</v>
      </c>
      <c r="R555" s="10">
        <f t="shared" si="196"/>
        <v>0</v>
      </c>
      <c r="S555" s="10">
        <f t="shared" si="196"/>
        <v>0</v>
      </c>
      <c r="T555" s="10">
        <f t="shared" si="196"/>
        <v>0</v>
      </c>
      <c r="U555" s="10">
        <f t="shared" si="196"/>
        <v>34.194600000000001</v>
      </c>
      <c r="V555" s="10">
        <f t="shared" si="196"/>
        <v>0</v>
      </c>
      <c r="W555" s="10">
        <f t="shared" si="196"/>
        <v>0</v>
      </c>
      <c r="X555" s="10">
        <f t="shared" si="197"/>
        <v>34.194600000000001</v>
      </c>
      <c r="Y555" s="10"/>
      <c r="Z555" s="10"/>
      <c r="AA555" s="10"/>
      <c r="AB555" s="10"/>
      <c r="AC555" s="10"/>
      <c r="AD555" s="10"/>
      <c r="AE555" s="10"/>
    </row>
    <row r="556" spans="1:32" s="3" customFormat="1" ht="20.100000000000001" customHeight="1" x14ac:dyDescent="0.2">
      <c r="A556" s="87"/>
      <c r="B556" s="10" t="s">
        <v>67</v>
      </c>
      <c r="C556" s="93" t="s">
        <v>73</v>
      </c>
      <c r="D556" s="10">
        <v>10</v>
      </c>
      <c r="E556" s="10">
        <v>0.1</v>
      </c>
      <c r="F556" s="10">
        <f>ROUNDUP(E553/E556,0)</f>
        <v>21</v>
      </c>
      <c r="H556" s="10"/>
      <c r="I556" s="10"/>
      <c r="J556" s="10"/>
      <c r="K556" s="10"/>
      <c r="L556" s="10"/>
      <c r="M556" s="10"/>
      <c r="N556" s="10"/>
      <c r="O556" s="10">
        <f>(2*((G553-(2*$D$11))+(F553-(2*$D$11)))+(2*10*D556/1000))*D553</f>
        <v>2.16</v>
      </c>
      <c r="P556" s="10">
        <f>O556*F556</f>
        <v>45.36</v>
      </c>
      <c r="Q556" s="10">
        <f t="shared" si="196"/>
        <v>0</v>
      </c>
      <c r="R556" s="10">
        <f t="shared" si="196"/>
        <v>27.977399999999999</v>
      </c>
      <c r="S556" s="10">
        <f t="shared" si="196"/>
        <v>0</v>
      </c>
      <c r="T556" s="10">
        <f t="shared" si="196"/>
        <v>0</v>
      </c>
      <c r="U556" s="10">
        <f t="shared" si="196"/>
        <v>0</v>
      </c>
      <c r="V556" s="10">
        <f t="shared" si="196"/>
        <v>0</v>
      </c>
      <c r="W556" s="10">
        <f t="shared" si="196"/>
        <v>0</v>
      </c>
      <c r="X556" s="10">
        <f t="shared" si="197"/>
        <v>27.977399999999999</v>
      </c>
      <c r="Y556" s="10"/>
      <c r="Z556" s="10"/>
      <c r="AA556" s="10"/>
      <c r="AB556" s="10"/>
      <c r="AC556" s="10"/>
      <c r="AD556" s="10"/>
      <c r="AE556" s="10"/>
    </row>
    <row r="557" spans="1:32" s="2" customFormat="1" ht="20.100000000000001" customHeight="1" x14ac:dyDescent="0.2">
      <c r="B557" s="10" t="s">
        <v>67</v>
      </c>
      <c r="C557" s="93" t="s">
        <v>74</v>
      </c>
      <c r="D557" s="10">
        <f>+D556</f>
        <v>10</v>
      </c>
      <c r="E557" s="2">
        <f>+E556</f>
        <v>0.1</v>
      </c>
      <c r="F557" s="10">
        <f>ROUNDUP(E553/E557,0)</f>
        <v>21</v>
      </c>
      <c r="G557" s="3"/>
      <c r="O557" s="10">
        <f>((((G553-(2*$D$11))+(2*10*D557/1000))*D553))*1</f>
        <v>0.94</v>
      </c>
      <c r="P557" s="10">
        <f>O557*F557</f>
        <v>19.739999999999998</v>
      </c>
      <c r="Q557" s="10">
        <f t="shared" si="196"/>
        <v>0</v>
      </c>
      <c r="R557" s="10">
        <f t="shared" si="196"/>
        <v>12.175349999999998</v>
      </c>
      <c r="S557" s="10">
        <f t="shared" si="196"/>
        <v>0</v>
      </c>
      <c r="T557" s="10">
        <f t="shared" si="196"/>
        <v>0</v>
      </c>
      <c r="U557" s="10">
        <f t="shared" si="196"/>
        <v>0</v>
      </c>
      <c r="V557" s="10">
        <f t="shared" si="196"/>
        <v>0</v>
      </c>
      <c r="W557" s="10">
        <f t="shared" si="196"/>
        <v>0</v>
      </c>
      <c r="X557" s="10">
        <f t="shared" si="197"/>
        <v>12.175349999999998</v>
      </c>
    </row>
    <row r="558" spans="1:32" s="3" customFormat="1" ht="21" customHeight="1" x14ac:dyDescent="0.2">
      <c r="A558" s="10">
        <v>1</v>
      </c>
      <c r="B558" s="10" t="s">
        <v>67</v>
      </c>
      <c r="C558" s="91" t="s">
        <v>146</v>
      </c>
      <c r="D558" s="91">
        <v>1</v>
      </c>
      <c r="E558" s="91">
        <v>2.04</v>
      </c>
      <c r="F558" s="91">
        <v>0.3</v>
      </c>
      <c r="G558" s="91">
        <v>0.8</v>
      </c>
      <c r="H558" s="10">
        <f>G558-0.2</f>
        <v>0.60000000000000009</v>
      </c>
      <c r="I558" s="10">
        <f>E558*F558*G558*D558</f>
        <v>0.48960000000000004</v>
      </c>
      <c r="J558" s="10">
        <f>(2*(E558)*H558*D558)+(E558*F558)</f>
        <v>3.0600000000000005</v>
      </c>
      <c r="K558" s="92">
        <f>IF(E558=0.3,J558,0)</f>
        <v>0</v>
      </c>
      <c r="L558" s="92">
        <f>IF(AND(E558&gt;0.3,E558&lt;=0.75),J558,0)</f>
        <v>0</v>
      </c>
      <c r="M558" s="92">
        <f>IF(AND(E558&gt;0.75,E558&lt;=1.2),J558,0)</f>
        <v>0</v>
      </c>
      <c r="N558" s="92">
        <f>IF(E558&gt;1.2,J558,0)</f>
        <v>3.0600000000000005</v>
      </c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>
        <f>SUM(X559:X562)/I558</f>
        <v>221.69515931372547</v>
      </c>
      <c r="Z558" s="10"/>
      <c r="AA558" s="10"/>
      <c r="AB558" s="10"/>
      <c r="AC558" s="10"/>
      <c r="AD558" s="10"/>
      <c r="AE558" s="10"/>
      <c r="AF558" s="10"/>
    </row>
    <row r="559" spans="1:32" s="3" customFormat="1" ht="20.100000000000001" customHeight="1" x14ac:dyDescent="0.2">
      <c r="A559" s="87"/>
      <c r="B559" s="10" t="s">
        <v>67</v>
      </c>
      <c r="C559" s="93" t="s">
        <v>69</v>
      </c>
      <c r="D559" s="10">
        <v>20</v>
      </c>
      <c r="E559" s="10"/>
      <c r="F559" s="10">
        <v>3</v>
      </c>
      <c r="G559" s="90">
        <f>VLOOKUP(D559,$C$20:$F$26,3,0)</f>
        <v>1.05</v>
      </c>
      <c r="H559" s="90"/>
      <c r="I559" s="10"/>
      <c r="J559" s="10"/>
      <c r="K559" s="10"/>
      <c r="L559" s="10"/>
      <c r="M559" s="10"/>
      <c r="N559" s="10"/>
      <c r="O559" s="10">
        <f>(E558+2*(G559+(12*D559/1000))*D558)</f>
        <v>4.62</v>
      </c>
      <c r="P559" s="10">
        <f t="shared" ref="P559:P560" si="198">O559*F559</f>
        <v>13.86</v>
      </c>
      <c r="Q559" s="10">
        <f t="shared" si="196"/>
        <v>0</v>
      </c>
      <c r="R559" s="10">
        <f t="shared" si="196"/>
        <v>0</v>
      </c>
      <c r="S559" s="10">
        <f t="shared" si="196"/>
        <v>0</v>
      </c>
      <c r="T559" s="10">
        <f t="shared" si="196"/>
        <v>0</v>
      </c>
      <c r="U559" s="10">
        <f t="shared" si="196"/>
        <v>34.194600000000001</v>
      </c>
      <c r="V559" s="10">
        <f t="shared" si="196"/>
        <v>0</v>
      </c>
      <c r="W559" s="10">
        <f t="shared" si="196"/>
        <v>0</v>
      </c>
      <c r="X559" s="10">
        <f t="shared" ref="X559:X562" si="199">SUM(Q559:W559)</f>
        <v>34.194600000000001</v>
      </c>
      <c r="Y559" s="10"/>
      <c r="Z559" s="10"/>
      <c r="AA559" s="10"/>
      <c r="AB559" s="10"/>
      <c r="AC559" s="10"/>
      <c r="AD559" s="10"/>
      <c r="AE559" s="10"/>
    </row>
    <row r="560" spans="1:32" s="3" customFormat="1" ht="20.100000000000001" customHeight="1" x14ac:dyDescent="0.2">
      <c r="A560" s="87"/>
      <c r="B560" s="10" t="s">
        <v>67</v>
      </c>
      <c r="C560" s="93" t="s">
        <v>71</v>
      </c>
      <c r="D560" s="10">
        <v>20</v>
      </c>
      <c r="E560" s="10"/>
      <c r="F560" s="10">
        <v>3</v>
      </c>
      <c r="G560" s="90">
        <f>VLOOKUP(D560,$C$20:$F$26,3,0)</f>
        <v>1.05</v>
      </c>
      <c r="H560" s="10"/>
      <c r="I560" s="10"/>
      <c r="J560" s="10"/>
      <c r="K560" s="10"/>
      <c r="L560" s="10"/>
      <c r="M560" s="10"/>
      <c r="N560" s="10"/>
      <c r="O560" s="10">
        <f>(E558+2*(G560+(12*D560/1000))*D558)</f>
        <v>4.62</v>
      </c>
      <c r="P560" s="10">
        <f t="shared" si="198"/>
        <v>13.86</v>
      </c>
      <c r="Q560" s="10">
        <f t="shared" si="196"/>
        <v>0</v>
      </c>
      <c r="R560" s="10">
        <f t="shared" si="196"/>
        <v>0</v>
      </c>
      <c r="S560" s="10">
        <f t="shared" si="196"/>
        <v>0</v>
      </c>
      <c r="T560" s="10">
        <f t="shared" si="196"/>
        <v>0</v>
      </c>
      <c r="U560" s="10">
        <f t="shared" si="196"/>
        <v>34.194600000000001</v>
      </c>
      <c r="V560" s="10">
        <f t="shared" si="196"/>
        <v>0</v>
      </c>
      <c r="W560" s="10">
        <f t="shared" si="196"/>
        <v>0</v>
      </c>
      <c r="X560" s="10">
        <f t="shared" si="199"/>
        <v>34.194600000000001</v>
      </c>
      <c r="Y560" s="10"/>
      <c r="Z560" s="10"/>
      <c r="AA560" s="10"/>
      <c r="AB560" s="10"/>
      <c r="AC560" s="10"/>
      <c r="AD560" s="10"/>
      <c r="AE560" s="10"/>
    </row>
    <row r="561" spans="1:32" s="3" customFormat="1" ht="19.5" customHeight="1" x14ac:dyDescent="0.2">
      <c r="A561" s="87"/>
      <c r="B561" s="10" t="s">
        <v>67</v>
      </c>
      <c r="C561" s="93" t="s">
        <v>73</v>
      </c>
      <c r="D561" s="10">
        <v>10</v>
      </c>
      <c r="E561" s="10">
        <v>0.1</v>
      </c>
      <c r="F561" s="10">
        <f>ROUNDUP(E558/E561,0)</f>
        <v>21</v>
      </c>
      <c r="H561" s="10"/>
      <c r="I561" s="10"/>
      <c r="J561" s="10"/>
      <c r="K561" s="10"/>
      <c r="L561" s="10"/>
      <c r="M561" s="10"/>
      <c r="N561" s="10"/>
      <c r="O561" s="10">
        <f>(2*((G558-(2*$D$11))+(F558-(2*$D$11)))+(2*10*D561/1000))*D558</f>
        <v>2.16</v>
      </c>
      <c r="P561" s="10">
        <f>O561*F561</f>
        <v>45.36</v>
      </c>
      <c r="Q561" s="10">
        <f t="shared" si="196"/>
        <v>0</v>
      </c>
      <c r="R561" s="10">
        <f t="shared" si="196"/>
        <v>27.977399999999999</v>
      </c>
      <c r="S561" s="10">
        <f t="shared" si="196"/>
        <v>0</v>
      </c>
      <c r="T561" s="10">
        <f t="shared" si="196"/>
        <v>0</v>
      </c>
      <c r="U561" s="10">
        <f t="shared" si="196"/>
        <v>0</v>
      </c>
      <c r="V561" s="10">
        <f t="shared" si="196"/>
        <v>0</v>
      </c>
      <c r="W561" s="10">
        <f t="shared" si="196"/>
        <v>0</v>
      </c>
      <c r="X561" s="10">
        <f t="shared" si="199"/>
        <v>27.977399999999999</v>
      </c>
      <c r="Y561" s="10"/>
      <c r="Z561" s="10"/>
      <c r="AA561" s="10"/>
      <c r="AB561" s="10"/>
      <c r="AC561" s="10"/>
      <c r="AD561" s="10"/>
      <c r="AE561" s="10"/>
    </row>
    <row r="562" spans="1:32" s="2" customFormat="1" ht="20.100000000000001" customHeight="1" x14ac:dyDescent="0.2">
      <c r="B562" s="10" t="s">
        <v>67</v>
      </c>
      <c r="C562" s="93" t="s">
        <v>74</v>
      </c>
      <c r="D562" s="10">
        <f>+D561</f>
        <v>10</v>
      </c>
      <c r="E562" s="2">
        <f>+E561</f>
        <v>0.1</v>
      </c>
      <c r="F562" s="10">
        <f>ROUNDUP(E558/E562,0)</f>
        <v>21</v>
      </c>
      <c r="G562" s="3"/>
      <c r="O562" s="10">
        <f>((((G558-(2*$D$11))+(2*10*D562/1000))*D558))*1</f>
        <v>0.94</v>
      </c>
      <c r="P562" s="10">
        <f>O562*F562</f>
        <v>19.739999999999998</v>
      </c>
      <c r="Q562" s="10">
        <f t="shared" si="196"/>
        <v>0</v>
      </c>
      <c r="R562" s="10">
        <f t="shared" si="196"/>
        <v>12.175349999999998</v>
      </c>
      <c r="S562" s="10">
        <f t="shared" si="196"/>
        <v>0</v>
      </c>
      <c r="T562" s="10">
        <f t="shared" si="196"/>
        <v>0</v>
      </c>
      <c r="U562" s="10">
        <f t="shared" si="196"/>
        <v>0</v>
      </c>
      <c r="V562" s="10">
        <f t="shared" si="196"/>
        <v>0</v>
      </c>
      <c r="W562" s="10">
        <f t="shared" si="196"/>
        <v>0</v>
      </c>
      <c r="X562" s="10">
        <f t="shared" si="199"/>
        <v>12.175349999999998</v>
      </c>
    </row>
    <row r="563" spans="1:32" s="3" customFormat="1" ht="21" customHeight="1" x14ac:dyDescent="0.2">
      <c r="A563" s="10">
        <v>1</v>
      </c>
      <c r="B563" s="10" t="s">
        <v>67</v>
      </c>
      <c r="C563" s="91" t="s">
        <v>147</v>
      </c>
      <c r="D563" s="91">
        <v>1</v>
      </c>
      <c r="E563" s="91">
        <v>7.6</v>
      </c>
      <c r="F563" s="91">
        <v>0.4</v>
      </c>
      <c r="G563" s="91">
        <v>1.1000000000000001</v>
      </c>
      <c r="H563" s="10">
        <f>G563-0.2</f>
        <v>0.90000000000000013</v>
      </c>
      <c r="I563" s="10">
        <f>E563*F563*G563*D563</f>
        <v>3.3440000000000003</v>
      </c>
      <c r="J563" s="10">
        <f>(2*(E563)*H563*D563)+(E563*F563)</f>
        <v>16.720000000000002</v>
      </c>
      <c r="K563" s="92">
        <f>IF(E563=0.3,J563,0)</f>
        <v>0</v>
      </c>
      <c r="L563" s="92">
        <f>IF(AND(E563&gt;0.3,E563&lt;=0.75),J563,0)</f>
        <v>0</v>
      </c>
      <c r="M563" s="92">
        <f>IF(AND(E563&gt;0.75,E563&lt;=1.2),J563,0)</f>
        <v>0</v>
      </c>
      <c r="N563" s="92">
        <f>IF(E563&gt;1.2,J563,0)</f>
        <v>16.720000000000002</v>
      </c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>
        <f>SUM(X564:X573)/I563</f>
        <v>153.97929934210529</v>
      </c>
      <c r="Z563" s="10"/>
      <c r="AA563" s="10"/>
      <c r="AB563" s="10"/>
      <c r="AC563" s="10"/>
      <c r="AD563" s="10"/>
      <c r="AE563" s="10"/>
      <c r="AF563" s="10"/>
    </row>
    <row r="564" spans="1:32" s="3" customFormat="1" ht="20.100000000000001" customHeight="1" x14ac:dyDescent="0.2">
      <c r="A564" s="87"/>
      <c r="B564" s="10" t="s">
        <v>67</v>
      </c>
      <c r="C564" s="93" t="s">
        <v>69</v>
      </c>
      <c r="D564" s="10">
        <v>25</v>
      </c>
      <c r="E564" s="10"/>
      <c r="F564" s="10">
        <v>4</v>
      </c>
      <c r="G564" s="90">
        <f>VLOOKUP(D564,$C$20:$F$26,3,0)</f>
        <v>1.35</v>
      </c>
      <c r="H564" s="90"/>
      <c r="I564" s="10"/>
      <c r="J564" s="10"/>
      <c r="K564" s="10"/>
      <c r="L564" s="10"/>
      <c r="M564" s="10"/>
      <c r="N564" s="10"/>
      <c r="O564" s="10">
        <f>(E563+2*(G564)*D563)</f>
        <v>10.3</v>
      </c>
      <c r="P564" s="10">
        <f t="shared" ref="P564:P573" si="200">O564*F564</f>
        <v>41.2</v>
      </c>
      <c r="Q564" s="10">
        <f t="shared" ref="Q564:W573" si="201">IF($D564=Q$44,$P564*Q$45,0)</f>
        <v>0</v>
      </c>
      <c r="R564" s="10">
        <f t="shared" si="201"/>
        <v>0</v>
      </c>
      <c r="S564" s="10">
        <f t="shared" si="201"/>
        <v>0</v>
      </c>
      <c r="T564" s="10">
        <f t="shared" si="201"/>
        <v>0</v>
      </c>
      <c r="U564" s="10">
        <f t="shared" si="201"/>
        <v>0</v>
      </c>
      <c r="V564" s="10">
        <f t="shared" si="201"/>
        <v>158.82232142857146</v>
      </c>
      <c r="W564" s="10">
        <f t="shared" si="201"/>
        <v>0</v>
      </c>
      <c r="X564" s="10">
        <f t="shared" ref="X564:X573" si="202">SUM(Q564:W564)</f>
        <v>158.82232142857146</v>
      </c>
      <c r="Y564" s="10"/>
      <c r="Z564" s="10"/>
      <c r="AA564" s="10"/>
      <c r="AB564" s="10"/>
      <c r="AC564" s="10"/>
      <c r="AD564" s="10"/>
      <c r="AE564" s="10"/>
    </row>
    <row r="565" spans="1:32" s="3" customFormat="1" ht="20.100000000000001" customHeight="1" x14ac:dyDescent="0.2">
      <c r="A565" s="87"/>
      <c r="B565" s="10" t="s">
        <v>67</v>
      </c>
      <c r="C565" s="93" t="s">
        <v>112</v>
      </c>
      <c r="D565" s="10">
        <v>16</v>
      </c>
      <c r="E565" s="10"/>
      <c r="F565" s="10">
        <v>2</v>
      </c>
      <c r="G565" s="90">
        <f>VLOOKUP(D565,$C$20:$F$26,3,0)</f>
        <v>0.85</v>
      </c>
      <c r="H565" s="90"/>
      <c r="I565" s="10"/>
      <c r="J565" s="10"/>
      <c r="K565" s="10"/>
      <c r="L565" s="10"/>
      <c r="M565" s="10"/>
      <c r="N565" s="10"/>
      <c r="O565" s="10">
        <f>(2+1*(G565*D563))</f>
        <v>2.85</v>
      </c>
      <c r="P565" s="10">
        <f t="shared" si="200"/>
        <v>5.7</v>
      </c>
      <c r="Q565" s="10">
        <f t="shared" si="201"/>
        <v>0</v>
      </c>
      <c r="R565" s="10">
        <f t="shared" si="201"/>
        <v>0</v>
      </c>
      <c r="S565" s="10">
        <f t="shared" si="201"/>
        <v>0</v>
      </c>
      <c r="T565" s="10">
        <f t="shared" si="201"/>
        <v>9.0001371428571435</v>
      </c>
      <c r="U565" s="10">
        <f t="shared" si="201"/>
        <v>0</v>
      </c>
      <c r="V565" s="10">
        <f t="shared" si="201"/>
        <v>0</v>
      </c>
      <c r="W565" s="10">
        <f t="shared" si="201"/>
        <v>0</v>
      </c>
      <c r="X565" s="10">
        <f t="shared" si="202"/>
        <v>9.0001371428571435</v>
      </c>
      <c r="Y565" s="10"/>
      <c r="Z565" s="10"/>
      <c r="AA565" s="10"/>
      <c r="AB565" s="10"/>
      <c r="AC565" s="10"/>
      <c r="AD565" s="10"/>
      <c r="AE565" s="10"/>
    </row>
    <row r="566" spans="1:32" s="3" customFormat="1" ht="20.100000000000001" customHeight="1" x14ac:dyDescent="0.2">
      <c r="A566" s="87"/>
      <c r="B566" s="10" t="s">
        <v>67</v>
      </c>
      <c r="C566" s="93" t="s">
        <v>112</v>
      </c>
      <c r="D566" s="10">
        <v>16</v>
      </c>
      <c r="E566" s="10"/>
      <c r="F566" s="10">
        <v>2</v>
      </c>
      <c r="G566" s="90">
        <f>VLOOKUP(D566,$C$20:$F$26,3,0)</f>
        <v>0.85</v>
      </c>
      <c r="H566" s="90"/>
      <c r="I566" s="10"/>
      <c r="J566" s="10"/>
      <c r="K566" s="10"/>
      <c r="L566" s="10"/>
      <c r="M566" s="10"/>
      <c r="N566" s="10"/>
      <c r="O566" s="10">
        <f>(2+1*(G566*D563))</f>
        <v>2.85</v>
      </c>
      <c r="P566" s="10">
        <f t="shared" si="200"/>
        <v>5.7</v>
      </c>
      <c r="Q566" s="10">
        <f t="shared" si="201"/>
        <v>0</v>
      </c>
      <c r="R566" s="10">
        <f t="shared" si="201"/>
        <v>0</v>
      </c>
      <c r="S566" s="10">
        <f t="shared" si="201"/>
        <v>0</v>
      </c>
      <c r="T566" s="10">
        <f t="shared" si="201"/>
        <v>9.0001371428571435</v>
      </c>
      <c r="U566" s="10">
        <f t="shared" si="201"/>
        <v>0</v>
      </c>
      <c r="V566" s="10">
        <f t="shared" si="201"/>
        <v>0</v>
      </c>
      <c r="W566" s="10">
        <f t="shared" si="201"/>
        <v>0</v>
      </c>
      <c r="X566" s="10">
        <f t="shared" si="202"/>
        <v>9.0001371428571435</v>
      </c>
      <c r="Y566" s="10"/>
      <c r="Z566" s="10"/>
      <c r="AA566" s="10"/>
      <c r="AB566" s="10"/>
      <c r="AC566" s="10"/>
      <c r="AD566" s="10"/>
      <c r="AE566" s="10"/>
    </row>
    <row r="567" spans="1:32" s="3" customFormat="1" ht="20.100000000000001" customHeight="1" x14ac:dyDescent="0.2">
      <c r="A567" s="87"/>
      <c r="B567" s="10" t="s">
        <v>67</v>
      </c>
      <c r="C567" s="93" t="s">
        <v>71</v>
      </c>
      <c r="D567" s="10">
        <v>25</v>
      </c>
      <c r="E567" s="10"/>
      <c r="F567" s="10">
        <v>4</v>
      </c>
      <c r="G567" s="90">
        <f>VLOOKUP(D567,$C$20:$F$26,3,0)</f>
        <v>1.35</v>
      </c>
      <c r="H567" s="10"/>
      <c r="I567" s="10"/>
      <c r="J567" s="10"/>
      <c r="K567" s="10"/>
      <c r="L567" s="10"/>
      <c r="M567" s="10"/>
      <c r="N567" s="10"/>
      <c r="O567" s="10">
        <f>(E563+2*(G567)*D563)</f>
        <v>10.3</v>
      </c>
      <c r="P567" s="10">
        <f t="shared" si="200"/>
        <v>41.2</v>
      </c>
      <c r="Q567" s="10">
        <f t="shared" si="201"/>
        <v>0</v>
      </c>
      <c r="R567" s="10">
        <f t="shared" si="201"/>
        <v>0</v>
      </c>
      <c r="S567" s="10">
        <f t="shared" si="201"/>
        <v>0</v>
      </c>
      <c r="T567" s="10">
        <f t="shared" si="201"/>
        <v>0</v>
      </c>
      <c r="U567" s="10">
        <f t="shared" si="201"/>
        <v>0</v>
      </c>
      <c r="V567" s="10">
        <f t="shared" si="201"/>
        <v>158.82232142857146</v>
      </c>
      <c r="W567" s="10">
        <f t="shared" si="201"/>
        <v>0</v>
      </c>
      <c r="X567" s="10">
        <f t="shared" si="202"/>
        <v>158.82232142857146</v>
      </c>
      <c r="Y567" s="10"/>
      <c r="Z567" s="10"/>
      <c r="AA567" s="10"/>
      <c r="AB567" s="10"/>
      <c r="AC567" s="10"/>
      <c r="AD567" s="10"/>
      <c r="AE567" s="10"/>
    </row>
    <row r="568" spans="1:32" s="3" customFormat="1" ht="20.100000000000001" customHeight="1" x14ac:dyDescent="0.2">
      <c r="A568" s="87"/>
      <c r="B568" s="10" t="s">
        <v>67</v>
      </c>
      <c r="C568" s="93" t="s">
        <v>72</v>
      </c>
      <c r="D568" s="10">
        <v>16</v>
      </c>
      <c r="E568" s="10"/>
      <c r="F568" s="10">
        <v>2</v>
      </c>
      <c r="G568" s="90">
        <f>VLOOKUP(D568,$C$20:$F$26,3,0)</f>
        <v>0.85</v>
      </c>
      <c r="H568" s="90"/>
      <c r="I568" s="10"/>
      <c r="J568" s="10"/>
      <c r="K568" s="10"/>
      <c r="L568" s="10"/>
      <c r="M568" s="10"/>
      <c r="N568" s="10"/>
      <c r="O568" s="10">
        <f>E563-1.1-1.1</f>
        <v>5.4</v>
      </c>
      <c r="P568" s="10">
        <f t="shared" si="200"/>
        <v>10.8</v>
      </c>
      <c r="Q568" s="10">
        <f t="shared" si="201"/>
        <v>0</v>
      </c>
      <c r="R568" s="10">
        <f t="shared" si="201"/>
        <v>0</v>
      </c>
      <c r="S568" s="10">
        <f t="shared" si="201"/>
        <v>0</v>
      </c>
      <c r="T568" s="10">
        <f t="shared" si="201"/>
        <v>17.052891428571431</v>
      </c>
      <c r="U568" s="10">
        <f t="shared" si="201"/>
        <v>0</v>
      </c>
      <c r="V568" s="10">
        <f t="shared" si="201"/>
        <v>0</v>
      </c>
      <c r="W568" s="10">
        <f t="shared" si="201"/>
        <v>0</v>
      </c>
      <c r="X568" s="10">
        <f t="shared" si="202"/>
        <v>17.052891428571431</v>
      </c>
      <c r="Y568" s="10"/>
      <c r="Z568" s="10"/>
      <c r="AA568" s="10"/>
      <c r="AB568" s="10"/>
      <c r="AC568" s="10"/>
      <c r="AD568" s="10"/>
      <c r="AE568" s="10"/>
    </row>
    <row r="569" spans="1:32" s="3" customFormat="1" ht="20.100000000000001" customHeight="1" x14ac:dyDescent="0.2">
      <c r="A569" s="87"/>
      <c r="B569" s="10" t="s">
        <v>67</v>
      </c>
      <c r="C569" s="93" t="s">
        <v>73</v>
      </c>
      <c r="D569" s="10">
        <v>8</v>
      </c>
      <c r="E569" s="10">
        <v>0.1</v>
      </c>
      <c r="F569" s="10">
        <f>ROUND(IF(E563/3&gt;(2*G563),(E563/3)/E569,(2*G563)/E569),0)*2+1</f>
        <v>51</v>
      </c>
      <c r="H569" s="10"/>
      <c r="I569" s="10"/>
      <c r="J569" s="10"/>
      <c r="K569" s="10"/>
      <c r="L569" s="10"/>
      <c r="M569" s="10"/>
      <c r="N569" s="10"/>
      <c r="O569" s="10">
        <f>(2*((G563-(2*$D$11))+(F563-(2*$D$11)))+(2*10*D569/1000))*D563</f>
        <v>2.9200000000000004</v>
      </c>
      <c r="P569" s="10">
        <f t="shared" si="200"/>
        <v>148.92000000000002</v>
      </c>
      <c r="Q569" s="10">
        <f t="shared" si="201"/>
        <v>58.785106285714299</v>
      </c>
      <c r="R569" s="10">
        <f t="shared" si="201"/>
        <v>0</v>
      </c>
      <c r="S569" s="10">
        <f t="shared" si="201"/>
        <v>0</v>
      </c>
      <c r="T569" s="10">
        <f t="shared" si="201"/>
        <v>0</v>
      </c>
      <c r="U569" s="10">
        <f t="shared" si="201"/>
        <v>0</v>
      </c>
      <c r="V569" s="10">
        <f t="shared" si="201"/>
        <v>0</v>
      </c>
      <c r="W569" s="10">
        <f t="shared" si="201"/>
        <v>0</v>
      </c>
      <c r="X569" s="10">
        <f t="shared" si="202"/>
        <v>58.785106285714299</v>
      </c>
      <c r="Y569" s="10"/>
      <c r="Z569" s="10"/>
      <c r="AA569" s="10"/>
      <c r="AB569" s="10"/>
      <c r="AC569" s="10"/>
      <c r="AD569" s="10"/>
      <c r="AE569" s="10"/>
    </row>
    <row r="570" spans="1:32" s="2" customFormat="1" ht="20.100000000000001" customHeight="1" x14ac:dyDescent="0.2">
      <c r="B570" s="10" t="s">
        <v>67</v>
      </c>
      <c r="C570" s="93" t="s">
        <v>73</v>
      </c>
      <c r="D570" s="2">
        <f>D569</f>
        <v>8</v>
      </c>
      <c r="E570" s="2">
        <v>0.125</v>
      </c>
      <c r="F570" s="2">
        <f>ROUND((E563-(IF(E563/3&gt;2*G563,E563/3*2,G563*2*2)))/E570,0)</f>
        <v>20</v>
      </c>
      <c r="G570" s="3"/>
      <c r="O570" s="10">
        <f>(2*((G563-(2*$D$11))+(F563-(2*$D$11)))+(2*10*D570/1000))*D563</f>
        <v>2.9200000000000004</v>
      </c>
      <c r="P570" s="10">
        <f t="shared" si="200"/>
        <v>58.400000000000006</v>
      </c>
      <c r="Q570" s="10">
        <f t="shared" si="201"/>
        <v>23.052982857142862</v>
      </c>
      <c r="R570" s="10">
        <f t="shared" si="201"/>
        <v>0</v>
      </c>
      <c r="S570" s="10">
        <f t="shared" si="201"/>
        <v>0</v>
      </c>
      <c r="T570" s="10">
        <f t="shared" si="201"/>
        <v>0</v>
      </c>
      <c r="U570" s="10">
        <f t="shared" si="201"/>
        <v>0</v>
      </c>
      <c r="V570" s="10">
        <f t="shared" si="201"/>
        <v>0</v>
      </c>
      <c r="W570" s="10">
        <f t="shared" si="201"/>
        <v>0</v>
      </c>
      <c r="X570" s="10">
        <f t="shared" si="202"/>
        <v>23.052982857142862</v>
      </c>
    </row>
    <row r="571" spans="1:32" s="2" customFormat="1" ht="20.100000000000001" customHeight="1" x14ac:dyDescent="0.2">
      <c r="B571" s="10" t="s">
        <v>67</v>
      </c>
      <c r="C571" s="93" t="s">
        <v>74</v>
      </c>
      <c r="D571" s="2">
        <f>D569</f>
        <v>8</v>
      </c>
      <c r="E571" s="2">
        <f>+E569</f>
        <v>0.1</v>
      </c>
      <c r="F571" s="10">
        <f>ROUND(IF(E563/3&gt;(2*G563),(E563/3)/E571,(2*G563)/E571),0)*2+1</f>
        <v>51</v>
      </c>
      <c r="G571" s="3"/>
      <c r="O571" s="10">
        <f>((((G563-(2*$D$11))+(2*10*D571/1000))*D563))*2</f>
        <v>2.4</v>
      </c>
      <c r="P571" s="10">
        <f t="shared" si="200"/>
        <v>122.39999999999999</v>
      </c>
      <c r="Q571" s="10">
        <f t="shared" si="201"/>
        <v>48.316525714285717</v>
      </c>
      <c r="R571" s="10">
        <f t="shared" si="201"/>
        <v>0</v>
      </c>
      <c r="S571" s="10">
        <f t="shared" si="201"/>
        <v>0</v>
      </c>
      <c r="T571" s="10">
        <f t="shared" si="201"/>
        <v>0</v>
      </c>
      <c r="U571" s="10">
        <f t="shared" si="201"/>
        <v>0</v>
      </c>
      <c r="V571" s="10">
        <f t="shared" si="201"/>
        <v>0</v>
      </c>
      <c r="W571" s="10">
        <f t="shared" si="201"/>
        <v>0</v>
      </c>
      <c r="X571" s="10">
        <f t="shared" si="202"/>
        <v>48.316525714285717</v>
      </c>
    </row>
    <row r="572" spans="1:32" s="2" customFormat="1" ht="20.100000000000001" customHeight="1" x14ac:dyDescent="0.2">
      <c r="B572" s="10" t="s">
        <v>67</v>
      </c>
      <c r="C572" s="93" t="s">
        <v>74</v>
      </c>
      <c r="D572" s="2">
        <f>D570</f>
        <v>8</v>
      </c>
      <c r="E572" s="2">
        <f>+E570</f>
        <v>0.125</v>
      </c>
      <c r="F572" s="2">
        <f>ROUND((E563-(IF(E563/3&gt;2*G563,E563/3*2,G563*2*2)))/E572,0)</f>
        <v>20</v>
      </c>
      <c r="G572" s="3"/>
      <c r="O572" s="10">
        <f>((((G563-(2*$D$11))+(2*10*D572/1000))*D563))*2</f>
        <v>2.4</v>
      </c>
      <c r="P572" s="10">
        <f t="shared" si="200"/>
        <v>48</v>
      </c>
      <c r="Q572" s="10">
        <f t="shared" si="201"/>
        <v>18.947657142857146</v>
      </c>
      <c r="R572" s="10">
        <f t="shared" si="201"/>
        <v>0</v>
      </c>
      <c r="S572" s="10">
        <f t="shared" si="201"/>
        <v>0</v>
      </c>
      <c r="T572" s="10">
        <f t="shared" si="201"/>
        <v>0</v>
      </c>
      <c r="U572" s="10">
        <f t="shared" si="201"/>
        <v>0</v>
      </c>
      <c r="V572" s="10">
        <f t="shared" si="201"/>
        <v>0</v>
      </c>
      <c r="W572" s="10">
        <f t="shared" si="201"/>
        <v>0</v>
      </c>
      <c r="X572" s="10">
        <f t="shared" si="202"/>
        <v>18.947657142857146</v>
      </c>
    </row>
    <row r="573" spans="1:32" s="3" customFormat="1" ht="20.100000000000001" customHeight="1" x14ac:dyDescent="0.2">
      <c r="A573" s="87"/>
      <c r="B573" s="10" t="s">
        <v>67</v>
      </c>
      <c r="C573" s="93" t="s">
        <v>75</v>
      </c>
      <c r="D573" s="10">
        <f>+$D$15</f>
        <v>25</v>
      </c>
      <c r="E573" s="10">
        <f>+$E$15</f>
        <v>1</v>
      </c>
      <c r="F573" s="10">
        <f>ROUNDUP((O568+4)/E573,0)</f>
        <v>10</v>
      </c>
      <c r="G573" s="90"/>
      <c r="H573" s="90"/>
      <c r="I573" s="10"/>
      <c r="J573" s="10"/>
      <c r="K573" s="10"/>
      <c r="L573" s="10"/>
      <c r="M573" s="10"/>
      <c r="N573" s="10"/>
      <c r="O573" s="10">
        <f>F563-$F$15</f>
        <v>0.34</v>
      </c>
      <c r="P573" s="10">
        <f t="shared" si="200"/>
        <v>3.4000000000000004</v>
      </c>
      <c r="Q573" s="10">
        <f t="shared" si="201"/>
        <v>0</v>
      </c>
      <c r="R573" s="10">
        <f t="shared" si="201"/>
        <v>0</v>
      </c>
      <c r="S573" s="10">
        <f t="shared" si="201"/>
        <v>0</v>
      </c>
      <c r="T573" s="10">
        <f t="shared" si="201"/>
        <v>0</v>
      </c>
      <c r="U573" s="10">
        <f t="shared" si="201"/>
        <v>0</v>
      </c>
      <c r="V573" s="10">
        <f t="shared" si="201"/>
        <v>13.106696428571432</v>
      </c>
      <c r="W573" s="10">
        <f t="shared" si="201"/>
        <v>0</v>
      </c>
      <c r="X573" s="10">
        <f t="shared" si="202"/>
        <v>13.106696428571432</v>
      </c>
      <c r="Y573" s="10"/>
      <c r="Z573" s="10"/>
      <c r="AA573" s="10"/>
      <c r="AB573" s="10"/>
      <c r="AC573" s="10"/>
      <c r="AD573" s="10"/>
      <c r="AE573" s="10"/>
    </row>
    <row r="574" spans="1:32" s="3" customFormat="1" ht="21" customHeight="1" x14ac:dyDescent="0.2">
      <c r="A574" s="10">
        <v>1</v>
      </c>
      <c r="B574" s="10" t="s">
        <v>67</v>
      </c>
      <c r="C574" s="91" t="s">
        <v>148</v>
      </c>
      <c r="D574" s="91">
        <v>1</v>
      </c>
      <c r="E574" s="91">
        <v>6.2</v>
      </c>
      <c r="F574" s="91">
        <v>0.45</v>
      </c>
      <c r="G574" s="91">
        <v>1.2</v>
      </c>
      <c r="H574" s="10">
        <f>G574-0.2</f>
        <v>1</v>
      </c>
      <c r="I574" s="10">
        <f>E574*F574*G574*D574</f>
        <v>3.3479999999999999</v>
      </c>
      <c r="J574" s="10">
        <f>(2*(E574)*H574*D574)+(E574*F574)</f>
        <v>15.190000000000001</v>
      </c>
      <c r="K574" s="92">
        <f>IF(E574=0.3,J574,0)</f>
        <v>0</v>
      </c>
      <c r="L574" s="92">
        <f>IF(AND(E574&gt;0.3,E574&lt;=0.75),J574,0)</f>
        <v>0</v>
      </c>
      <c r="M574" s="92">
        <f>IF(AND(E574&gt;0.75,E574&lt;=1.2),J574,0)</f>
        <v>0</v>
      </c>
      <c r="N574" s="92">
        <f>IF(E574&gt;1.2,J574,0)</f>
        <v>15.190000000000001</v>
      </c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>
        <f>SUM(X575:X583)/I574</f>
        <v>94.821098591909887</v>
      </c>
      <c r="Z574" s="10"/>
      <c r="AA574" s="10"/>
      <c r="AB574" s="10"/>
      <c r="AC574" s="10"/>
      <c r="AD574" s="10"/>
      <c r="AE574" s="10"/>
      <c r="AF574" s="10"/>
    </row>
    <row r="575" spans="1:32" s="3" customFormat="1" ht="20.100000000000001" customHeight="1" x14ac:dyDescent="0.2">
      <c r="A575" s="87"/>
      <c r="B575" s="10" t="s">
        <v>67</v>
      </c>
      <c r="C575" s="93" t="s">
        <v>69</v>
      </c>
      <c r="D575" s="10">
        <v>16</v>
      </c>
      <c r="E575" s="10"/>
      <c r="F575" s="10">
        <v>4</v>
      </c>
      <c r="G575" s="90">
        <f>VLOOKUP(D575,$C$20:$F$26,3,0)</f>
        <v>0.85</v>
      </c>
      <c r="H575" s="90"/>
      <c r="I575" s="10"/>
      <c r="J575" s="10"/>
      <c r="K575" s="10"/>
      <c r="L575" s="10"/>
      <c r="M575" s="10"/>
      <c r="N575" s="10"/>
      <c r="O575" s="10">
        <f>(E574+2*(G575+(12*D575/1000))*D574)</f>
        <v>8.2840000000000007</v>
      </c>
      <c r="P575" s="10">
        <f t="shared" ref="P575:P583" si="203">O575*F575</f>
        <v>33.136000000000003</v>
      </c>
      <c r="Q575" s="10">
        <f t="shared" ref="Q575:W583" si="204">IF($D575=Q$44,$P575*Q$45,0)</f>
        <v>0</v>
      </c>
      <c r="R575" s="10">
        <f t="shared" si="204"/>
        <v>0</v>
      </c>
      <c r="S575" s="10">
        <f t="shared" si="204"/>
        <v>0</v>
      </c>
      <c r="T575" s="10">
        <f t="shared" si="204"/>
        <v>52.320797257142864</v>
      </c>
      <c r="U575" s="10">
        <f t="shared" si="204"/>
        <v>0</v>
      </c>
      <c r="V575" s="10">
        <f t="shared" si="204"/>
        <v>0</v>
      </c>
      <c r="W575" s="10">
        <f t="shared" si="204"/>
        <v>0</v>
      </c>
      <c r="X575" s="10">
        <f t="shared" ref="X575:X583" si="205">SUM(Q575:W575)</f>
        <v>52.320797257142864</v>
      </c>
      <c r="Y575" s="10"/>
      <c r="Z575" s="10"/>
      <c r="AA575" s="10"/>
      <c r="AB575" s="10"/>
      <c r="AC575" s="10"/>
      <c r="AD575" s="10"/>
      <c r="AE575" s="10"/>
    </row>
    <row r="576" spans="1:32" s="3" customFormat="1" ht="20.100000000000001" customHeight="1" x14ac:dyDescent="0.2">
      <c r="A576" s="87"/>
      <c r="B576" s="10" t="s">
        <v>67</v>
      </c>
      <c r="C576" s="93" t="s">
        <v>112</v>
      </c>
      <c r="D576" s="10">
        <v>16</v>
      </c>
      <c r="E576" s="10"/>
      <c r="F576" s="10">
        <v>4</v>
      </c>
      <c r="G576" s="90">
        <f>VLOOKUP(D576,$C$20:$F$26,3,0)</f>
        <v>0.85</v>
      </c>
      <c r="H576" s="90"/>
      <c r="I576" s="10"/>
      <c r="J576" s="10"/>
      <c r="K576" s="10"/>
      <c r="L576" s="10"/>
      <c r="M576" s="10"/>
      <c r="N576" s="10"/>
      <c r="O576" s="10">
        <f>(1.7+1*(G576+(12*D576/1000))*D574)</f>
        <v>2.742</v>
      </c>
      <c r="P576" s="10">
        <f t="shared" si="203"/>
        <v>10.968</v>
      </c>
      <c r="Q576" s="10">
        <f t="shared" si="204"/>
        <v>0</v>
      </c>
      <c r="R576" s="10">
        <f t="shared" si="204"/>
        <v>0</v>
      </c>
      <c r="S576" s="10">
        <f t="shared" si="204"/>
        <v>0</v>
      </c>
      <c r="T576" s="10">
        <f t="shared" si="204"/>
        <v>17.318158628571428</v>
      </c>
      <c r="U576" s="10">
        <f t="shared" si="204"/>
        <v>0</v>
      </c>
      <c r="V576" s="10">
        <f t="shared" si="204"/>
        <v>0</v>
      </c>
      <c r="W576" s="10">
        <f t="shared" si="204"/>
        <v>0</v>
      </c>
      <c r="X576" s="10">
        <f t="shared" si="205"/>
        <v>17.318158628571428</v>
      </c>
      <c r="Y576" s="10"/>
      <c r="Z576" s="10"/>
      <c r="AA576" s="10"/>
      <c r="AB576" s="10"/>
      <c r="AC576" s="10"/>
      <c r="AD576" s="10"/>
      <c r="AE576" s="10"/>
    </row>
    <row r="577" spans="1:32" s="3" customFormat="1" ht="20.100000000000001" customHeight="1" x14ac:dyDescent="0.2">
      <c r="A577" s="87"/>
      <c r="B577" s="10" t="s">
        <v>67</v>
      </c>
      <c r="C577" s="93" t="s">
        <v>112</v>
      </c>
      <c r="D577" s="10">
        <v>16</v>
      </c>
      <c r="E577" s="10"/>
      <c r="F577" s="10">
        <v>4</v>
      </c>
      <c r="G577" s="90">
        <f>VLOOKUP(D577,$C$20:$F$26,3,0)</f>
        <v>0.85</v>
      </c>
      <c r="H577" s="90"/>
      <c r="I577" s="10"/>
      <c r="J577" s="10"/>
      <c r="K577" s="10"/>
      <c r="L577" s="10"/>
      <c r="M577" s="10"/>
      <c r="N577" s="10"/>
      <c r="O577" s="10">
        <f>(1.7+1*(G577+(12*D577/1000))*D574)</f>
        <v>2.742</v>
      </c>
      <c r="P577" s="10">
        <f t="shared" si="203"/>
        <v>10.968</v>
      </c>
      <c r="Q577" s="10">
        <f t="shared" si="204"/>
        <v>0</v>
      </c>
      <c r="R577" s="10">
        <f t="shared" si="204"/>
        <v>0</v>
      </c>
      <c r="S577" s="10">
        <f t="shared" si="204"/>
        <v>0</v>
      </c>
      <c r="T577" s="10">
        <f t="shared" si="204"/>
        <v>17.318158628571428</v>
      </c>
      <c r="U577" s="10">
        <f t="shared" si="204"/>
        <v>0</v>
      </c>
      <c r="V577" s="10">
        <f t="shared" si="204"/>
        <v>0</v>
      </c>
      <c r="W577" s="10">
        <f t="shared" si="204"/>
        <v>0</v>
      </c>
      <c r="X577" s="10">
        <f t="shared" si="205"/>
        <v>17.318158628571428</v>
      </c>
      <c r="Y577" s="10"/>
      <c r="Z577" s="10"/>
      <c r="AA577" s="10"/>
      <c r="AB577" s="10"/>
      <c r="AC577" s="10"/>
      <c r="AD577" s="10"/>
      <c r="AE577" s="10"/>
    </row>
    <row r="578" spans="1:32" s="3" customFormat="1" ht="20.100000000000001" customHeight="1" x14ac:dyDescent="0.2">
      <c r="A578" s="87"/>
      <c r="B578" s="10" t="s">
        <v>67</v>
      </c>
      <c r="C578" s="93" t="s">
        <v>71</v>
      </c>
      <c r="D578" s="10">
        <v>20</v>
      </c>
      <c r="E578" s="10"/>
      <c r="F578" s="10">
        <v>4</v>
      </c>
      <c r="G578" s="90">
        <f>VLOOKUP(D578,$C$20:$F$26,3,0)</f>
        <v>1.05</v>
      </c>
      <c r="H578" s="10"/>
      <c r="I578" s="10"/>
      <c r="J578" s="10"/>
      <c r="K578" s="10"/>
      <c r="L578" s="10"/>
      <c r="M578" s="10"/>
      <c r="N578" s="10"/>
      <c r="O578" s="10">
        <f>(E574+2*(G578+(12*D578/1000))*D574)</f>
        <v>8.7800000000000011</v>
      </c>
      <c r="P578" s="10">
        <f t="shared" si="203"/>
        <v>35.120000000000005</v>
      </c>
      <c r="Q578" s="10">
        <f t="shared" si="204"/>
        <v>0</v>
      </c>
      <c r="R578" s="10">
        <f t="shared" si="204"/>
        <v>0</v>
      </c>
      <c r="S578" s="10">
        <f t="shared" si="204"/>
        <v>0</v>
      </c>
      <c r="T578" s="10">
        <f t="shared" si="204"/>
        <v>0</v>
      </c>
      <c r="U578" s="10">
        <f t="shared" si="204"/>
        <v>86.646057142857146</v>
      </c>
      <c r="V578" s="10">
        <f t="shared" si="204"/>
        <v>0</v>
      </c>
      <c r="W578" s="10">
        <f t="shared" si="204"/>
        <v>0</v>
      </c>
      <c r="X578" s="10">
        <f t="shared" si="205"/>
        <v>86.646057142857146</v>
      </c>
      <c r="Y578" s="10"/>
      <c r="Z578" s="10"/>
      <c r="AA578" s="10"/>
      <c r="AB578" s="10"/>
      <c r="AC578" s="10"/>
      <c r="AD578" s="10"/>
      <c r="AE578" s="10"/>
    </row>
    <row r="579" spans="1:32" s="3" customFormat="1" ht="20.100000000000001" customHeight="1" x14ac:dyDescent="0.2">
      <c r="A579" s="87"/>
      <c r="B579" s="10" t="s">
        <v>67</v>
      </c>
      <c r="C579" s="93" t="s">
        <v>73</v>
      </c>
      <c r="D579" s="10">
        <v>8</v>
      </c>
      <c r="E579" s="10">
        <v>0.1</v>
      </c>
      <c r="F579" s="10">
        <f>ROUND(IF(E574/3&gt;(2*G574),(E574/3)/E579,(2*G574)/E579),0)*2+1</f>
        <v>49</v>
      </c>
      <c r="H579" s="10"/>
      <c r="I579" s="10"/>
      <c r="J579" s="10"/>
      <c r="K579" s="10"/>
      <c r="L579" s="10"/>
      <c r="M579" s="10"/>
      <c r="N579" s="10"/>
      <c r="O579" s="10">
        <f>(2*((G574-(2*$D$11))+(F574-(2*$D$11)))+(2*10*D579/1000))*D574</f>
        <v>3.2199999999999998</v>
      </c>
      <c r="P579" s="10">
        <f t="shared" si="203"/>
        <v>157.78</v>
      </c>
      <c r="Q579" s="10">
        <f t="shared" si="204"/>
        <v>62.282528000000006</v>
      </c>
      <c r="R579" s="10">
        <f t="shared" si="204"/>
        <v>0</v>
      </c>
      <c r="S579" s="10">
        <f t="shared" si="204"/>
        <v>0</v>
      </c>
      <c r="T579" s="10">
        <f t="shared" si="204"/>
        <v>0</v>
      </c>
      <c r="U579" s="10">
        <f t="shared" si="204"/>
        <v>0</v>
      </c>
      <c r="V579" s="10">
        <f t="shared" si="204"/>
        <v>0</v>
      </c>
      <c r="W579" s="10">
        <f t="shared" si="204"/>
        <v>0</v>
      </c>
      <c r="X579" s="10">
        <f t="shared" si="205"/>
        <v>62.282528000000006</v>
      </c>
      <c r="Y579" s="10"/>
      <c r="Z579" s="10"/>
      <c r="AA579" s="10"/>
      <c r="AB579" s="10"/>
      <c r="AC579" s="10"/>
      <c r="AD579" s="10"/>
      <c r="AE579" s="10"/>
    </row>
    <row r="580" spans="1:32" s="2" customFormat="1" ht="20.100000000000001" customHeight="1" x14ac:dyDescent="0.2">
      <c r="B580" s="10" t="s">
        <v>67</v>
      </c>
      <c r="C580" s="93" t="s">
        <v>73</v>
      </c>
      <c r="D580" s="2">
        <f>D579</f>
        <v>8</v>
      </c>
      <c r="E580" s="2">
        <v>0.125</v>
      </c>
      <c r="F580" s="2">
        <f>ROUND((E574-(IF(E574/3&gt;2*G574,E574/3*2,G574*2*2)))/E580,0)</f>
        <v>11</v>
      </c>
      <c r="G580" s="3"/>
      <c r="O580" s="10">
        <f>(2*((G574-(2*$D$11))+(F574-(2*$D$11)))+(2*10*D580/1000))*D574</f>
        <v>3.2199999999999998</v>
      </c>
      <c r="P580" s="10">
        <f t="shared" si="203"/>
        <v>35.419999999999995</v>
      </c>
      <c r="Q580" s="10">
        <f t="shared" si="204"/>
        <v>13.981791999999999</v>
      </c>
      <c r="R580" s="10">
        <f t="shared" si="204"/>
        <v>0</v>
      </c>
      <c r="S580" s="10">
        <f t="shared" si="204"/>
        <v>0</v>
      </c>
      <c r="T580" s="10">
        <f t="shared" si="204"/>
        <v>0</v>
      </c>
      <c r="U580" s="10">
        <f t="shared" si="204"/>
        <v>0</v>
      </c>
      <c r="V580" s="10">
        <f t="shared" si="204"/>
        <v>0</v>
      </c>
      <c r="W580" s="10">
        <f t="shared" si="204"/>
        <v>0</v>
      </c>
      <c r="X580" s="10">
        <f t="shared" si="205"/>
        <v>13.981791999999999</v>
      </c>
    </row>
    <row r="581" spans="1:32" s="2" customFormat="1" ht="20.100000000000001" customHeight="1" x14ac:dyDescent="0.2">
      <c r="B581" s="10" t="s">
        <v>67</v>
      </c>
      <c r="C581" s="93" t="s">
        <v>74</v>
      </c>
      <c r="D581" s="2">
        <f>D579</f>
        <v>8</v>
      </c>
      <c r="E581" s="2">
        <f>+E579</f>
        <v>0.1</v>
      </c>
      <c r="F581" s="10">
        <f>ROUND(IF(E574/3&gt;(2*G574),(E574/3)/E581,(2*G574)/E581),0)*2+1</f>
        <v>49</v>
      </c>
      <c r="G581" s="3"/>
      <c r="O581" s="10">
        <f>((((G574-(2*$D$11))+(2*10*D581/1000))*D574))*2</f>
        <v>2.5999999999999996</v>
      </c>
      <c r="P581" s="10">
        <f t="shared" si="203"/>
        <v>127.39999999999998</v>
      </c>
      <c r="Q581" s="10">
        <f t="shared" si="204"/>
        <v>50.290239999999997</v>
      </c>
      <c r="R581" s="10">
        <f t="shared" si="204"/>
        <v>0</v>
      </c>
      <c r="S581" s="10">
        <f t="shared" si="204"/>
        <v>0</v>
      </c>
      <c r="T581" s="10">
        <f t="shared" si="204"/>
        <v>0</v>
      </c>
      <c r="U581" s="10">
        <f t="shared" si="204"/>
        <v>0</v>
      </c>
      <c r="V581" s="10">
        <f t="shared" si="204"/>
        <v>0</v>
      </c>
      <c r="W581" s="10">
        <f t="shared" si="204"/>
        <v>0</v>
      </c>
      <c r="X581" s="10">
        <f t="shared" si="205"/>
        <v>50.290239999999997</v>
      </c>
    </row>
    <row r="582" spans="1:32" s="2" customFormat="1" ht="20.100000000000001" customHeight="1" x14ac:dyDescent="0.2">
      <c r="B582" s="10" t="s">
        <v>67</v>
      </c>
      <c r="C582" s="93" t="s">
        <v>74</v>
      </c>
      <c r="D582" s="2">
        <f>D580</f>
        <v>8</v>
      </c>
      <c r="E582" s="2">
        <f>+E580</f>
        <v>0.125</v>
      </c>
      <c r="F582" s="2">
        <f>ROUND((E574-(IF(E574/3&gt;2*G574,E574/3*2,G574*2*2)))/E582,0)</f>
        <v>11</v>
      </c>
      <c r="G582" s="3"/>
      <c r="O582" s="10">
        <f>((((G574-(2*$D$11))+(2*10*D582/1000))*D574))*2</f>
        <v>2.5999999999999996</v>
      </c>
      <c r="P582" s="10">
        <f t="shared" si="203"/>
        <v>28.599999999999994</v>
      </c>
      <c r="Q582" s="10">
        <f t="shared" si="204"/>
        <v>11.289645714285713</v>
      </c>
      <c r="R582" s="10">
        <f t="shared" si="204"/>
        <v>0</v>
      </c>
      <c r="S582" s="10">
        <f t="shared" si="204"/>
        <v>0</v>
      </c>
      <c r="T582" s="10">
        <f t="shared" si="204"/>
        <v>0</v>
      </c>
      <c r="U582" s="10">
        <f t="shared" si="204"/>
        <v>0</v>
      </c>
      <c r="V582" s="10">
        <f t="shared" si="204"/>
        <v>0</v>
      </c>
      <c r="W582" s="10">
        <f t="shared" si="204"/>
        <v>0</v>
      </c>
      <c r="X582" s="10">
        <f t="shared" si="205"/>
        <v>11.289645714285713</v>
      </c>
    </row>
    <row r="583" spans="1:32" s="3" customFormat="1" ht="20.100000000000001" customHeight="1" x14ac:dyDescent="0.2">
      <c r="A583" s="87"/>
      <c r="B583" s="10" t="s">
        <v>67</v>
      </c>
      <c r="C583" s="93" t="s">
        <v>75</v>
      </c>
      <c r="D583" s="10">
        <f>+$D$15</f>
        <v>25</v>
      </c>
      <c r="E583" s="10">
        <f>+$E$15</f>
        <v>1</v>
      </c>
      <c r="F583" s="10">
        <f>ROUNDUP((1.7+1.7)/E583,0)</f>
        <v>4</v>
      </c>
      <c r="G583" s="90"/>
      <c r="H583" s="90"/>
      <c r="I583" s="10"/>
      <c r="J583" s="10"/>
      <c r="K583" s="10"/>
      <c r="L583" s="10"/>
      <c r="M583" s="10"/>
      <c r="N583" s="10"/>
      <c r="O583" s="10">
        <f>F574-$F$15</f>
        <v>0.39</v>
      </c>
      <c r="P583" s="10">
        <f t="shared" si="203"/>
        <v>1.56</v>
      </c>
      <c r="Q583" s="10">
        <f t="shared" si="204"/>
        <v>0</v>
      </c>
      <c r="R583" s="10">
        <f t="shared" si="204"/>
        <v>0</v>
      </c>
      <c r="S583" s="10">
        <f t="shared" si="204"/>
        <v>0</v>
      </c>
      <c r="T583" s="10">
        <f t="shared" si="204"/>
        <v>0</v>
      </c>
      <c r="U583" s="10">
        <f t="shared" si="204"/>
        <v>0</v>
      </c>
      <c r="V583" s="10">
        <f t="shared" si="204"/>
        <v>6.0136607142857157</v>
      </c>
      <c r="W583" s="10">
        <f t="shared" si="204"/>
        <v>0</v>
      </c>
      <c r="X583" s="10">
        <f t="shared" si="205"/>
        <v>6.0136607142857157</v>
      </c>
      <c r="Y583" s="10"/>
      <c r="Z583" s="10"/>
      <c r="AA583" s="10"/>
      <c r="AB583" s="10"/>
      <c r="AC583" s="10"/>
      <c r="AD583" s="10"/>
      <c r="AE583" s="10"/>
    </row>
    <row r="584" spans="1:32" s="3" customFormat="1" ht="21" customHeight="1" x14ac:dyDescent="0.2">
      <c r="A584" s="10">
        <v>1</v>
      </c>
      <c r="B584" s="10" t="s">
        <v>67</v>
      </c>
      <c r="C584" s="91" t="s">
        <v>149</v>
      </c>
      <c r="D584" s="91">
        <v>1</v>
      </c>
      <c r="E584" s="91">
        <v>7.6</v>
      </c>
      <c r="F584" s="91">
        <v>0.4</v>
      </c>
      <c r="G584" s="91">
        <v>1.1000000000000001</v>
      </c>
      <c r="H584" s="10">
        <f>G584-0.2</f>
        <v>0.90000000000000013</v>
      </c>
      <c r="I584" s="10">
        <f>E584*F584*G584*D584</f>
        <v>3.3440000000000003</v>
      </c>
      <c r="J584" s="10">
        <f>(2*(E584)*H584*D584)+(E584*F584)</f>
        <v>16.720000000000002</v>
      </c>
      <c r="K584" s="92">
        <f>IF(E584=0.3,J584,0)</f>
        <v>0</v>
      </c>
      <c r="L584" s="92">
        <f>IF(AND(E584&gt;0.3,E584&lt;=0.75),J584,0)</f>
        <v>0</v>
      </c>
      <c r="M584" s="92">
        <f>IF(AND(E584&gt;0.75,E584&lt;=1.2),J584,0)</f>
        <v>0</v>
      </c>
      <c r="N584" s="92">
        <f>IF(E584&gt;1.2,J584,0)</f>
        <v>16.720000000000002</v>
      </c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>
        <f>SUM(X585:X590)/I584</f>
        <v>137.69342669172931</v>
      </c>
      <c r="Z584" s="10"/>
      <c r="AA584" s="10"/>
      <c r="AB584" s="10"/>
      <c r="AC584" s="10"/>
      <c r="AD584" s="10"/>
      <c r="AE584" s="10"/>
      <c r="AF584" s="10"/>
    </row>
    <row r="585" spans="1:32" s="3" customFormat="1" ht="20.100000000000001" customHeight="1" x14ac:dyDescent="0.2">
      <c r="A585" s="87"/>
      <c r="B585" s="10" t="s">
        <v>67</v>
      </c>
      <c r="C585" s="93" t="s">
        <v>69</v>
      </c>
      <c r="D585" s="10">
        <v>25</v>
      </c>
      <c r="E585" s="10"/>
      <c r="F585" s="10">
        <v>4</v>
      </c>
      <c r="G585" s="90">
        <f>VLOOKUP(D585,$C$20:$F$26,3,0)</f>
        <v>1.35</v>
      </c>
      <c r="H585" s="90"/>
      <c r="I585" s="10"/>
      <c r="J585" s="10"/>
      <c r="K585" s="10"/>
      <c r="L585" s="10"/>
      <c r="M585" s="10"/>
      <c r="N585" s="10"/>
      <c r="O585" s="10">
        <f>(E584+2*(G585)*D584)</f>
        <v>10.3</v>
      </c>
      <c r="P585" s="10">
        <f t="shared" ref="P585:P590" si="206">O585*F585</f>
        <v>41.2</v>
      </c>
      <c r="Q585" s="10">
        <f t="shared" ref="Q585:W600" si="207">IF($D585=Q$44,$P585*Q$45,0)</f>
        <v>0</v>
      </c>
      <c r="R585" s="10">
        <f t="shared" si="207"/>
        <v>0</v>
      </c>
      <c r="S585" s="10">
        <f t="shared" si="207"/>
        <v>0</v>
      </c>
      <c r="T585" s="10">
        <f t="shared" si="207"/>
        <v>0</v>
      </c>
      <c r="U585" s="10">
        <f t="shared" si="207"/>
        <v>0</v>
      </c>
      <c r="V585" s="10">
        <f t="shared" si="207"/>
        <v>158.82232142857146</v>
      </c>
      <c r="W585" s="10">
        <f t="shared" si="207"/>
        <v>0</v>
      </c>
      <c r="X585" s="10">
        <f t="shared" ref="X585:X590" si="208">SUM(Q585:W585)</f>
        <v>158.82232142857146</v>
      </c>
      <c r="Y585" s="10"/>
      <c r="Z585" s="10"/>
      <c r="AA585" s="10"/>
      <c r="AB585" s="10"/>
      <c r="AC585" s="10"/>
      <c r="AD585" s="10"/>
      <c r="AE585" s="10"/>
    </row>
    <row r="586" spans="1:32" s="3" customFormat="1" ht="20.100000000000001" customHeight="1" x14ac:dyDescent="0.2">
      <c r="A586" s="87"/>
      <c r="B586" s="10" t="s">
        <v>67</v>
      </c>
      <c r="C586" s="93" t="s">
        <v>71</v>
      </c>
      <c r="D586" s="10">
        <v>25</v>
      </c>
      <c r="E586" s="10"/>
      <c r="F586" s="10">
        <v>4</v>
      </c>
      <c r="G586" s="90">
        <f>VLOOKUP(D586,$C$20:$F$26,3,0)</f>
        <v>1.35</v>
      </c>
      <c r="H586" s="10"/>
      <c r="I586" s="10"/>
      <c r="J586" s="10"/>
      <c r="K586" s="10"/>
      <c r="L586" s="10"/>
      <c r="M586" s="10"/>
      <c r="N586" s="10"/>
      <c r="O586" s="10">
        <f>(E584+2*(G586)*D584)</f>
        <v>10.3</v>
      </c>
      <c r="P586" s="10">
        <f t="shared" si="206"/>
        <v>41.2</v>
      </c>
      <c r="Q586" s="10">
        <f t="shared" si="207"/>
        <v>0</v>
      </c>
      <c r="R586" s="10">
        <f t="shared" si="207"/>
        <v>0</v>
      </c>
      <c r="S586" s="10">
        <f t="shared" si="207"/>
        <v>0</v>
      </c>
      <c r="T586" s="10">
        <f t="shared" si="207"/>
        <v>0</v>
      </c>
      <c r="U586" s="10">
        <f t="shared" si="207"/>
        <v>0</v>
      </c>
      <c r="V586" s="10">
        <f t="shared" si="207"/>
        <v>158.82232142857146</v>
      </c>
      <c r="W586" s="10">
        <f t="shared" si="207"/>
        <v>0</v>
      </c>
      <c r="X586" s="10">
        <f t="shared" si="208"/>
        <v>158.82232142857146</v>
      </c>
      <c r="Y586" s="10"/>
      <c r="Z586" s="10"/>
      <c r="AA586" s="10"/>
      <c r="AB586" s="10"/>
      <c r="AC586" s="10"/>
      <c r="AD586" s="10"/>
      <c r="AE586" s="10"/>
    </row>
    <row r="587" spans="1:32" s="3" customFormat="1" ht="20.100000000000001" customHeight="1" x14ac:dyDescent="0.2">
      <c r="A587" s="87"/>
      <c r="B587" s="10" t="s">
        <v>67</v>
      </c>
      <c r="C587" s="93" t="s">
        <v>73</v>
      </c>
      <c r="D587" s="10">
        <v>8</v>
      </c>
      <c r="E587" s="10">
        <v>0.1</v>
      </c>
      <c r="F587" s="10">
        <f>ROUND(IF(E584/3&gt;(2*G584),(E584/3)/E587,(2*G584)/E587),0)*2+1</f>
        <v>51</v>
      </c>
      <c r="H587" s="10"/>
      <c r="I587" s="10"/>
      <c r="J587" s="10"/>
      <c r="K587" s="10"/>
      <c r="L587" s="10"/>
      <c r="M587" s="10"/>
      <c r="N587" s="10"/>
      <c r="O587" s="10">
        <f>(2*((G584-(2*$D$11))+(F584-(2*$D$11)))+(2*10*D587/1000))*D584</f>
        <v>2.9200000000000004</v>
      </c>
      <c r="P587" s="10">
        <f t="shared" si="206"/>
        <v>148.92000000000002</v>
      </c>
      <c r="Q587" s="10">
        <f t="shared" si="207"/>
        <v>58.785106285714299</v>
      </c>
      <c r="R587" s="10">
        <f t="shared" si="207"/>
        <v>0</v>
      </c>
      <c r="S587" s="10">
        <f t="shared" si="207"/>
        <v>0</v>
      </c>
      <c r="T587" s="10">
        <f t="shared" si="207"/>
        <v>0</v>
      </c>
      <c r="U587" s="10">
        <f t="shared" si="207"/>
        <v>0</v>
      </c>
      <c r="V587" s="10">
        <f t="shared" si="207"/>
        <v>0</v>
      </c>
      <c r="W587" s="10">
        <f t="shared" si="207"/>
        <v>0</v>
      </c>
      <c r="X587" s="10">
        <f t="shared" si="208"/>
        <v>58.785106285714299</v>
      </c>
      <c r="Y587" s="10"/>
      <c r="Z587" s="10"/>
      <c r="AA587" s="10"/>
      <c r="AB587" s="10"/>
      <c r="AC587" s="10"/>
      <c r="AD587" s="10"/>
      <c r="AE587" s="10"/>
    </row>
    <row r="588" spans="1:32" s="2" customFormat="1" ht="20.100000000000001" customHeight="1" x14ac:dyDescent="0.2">
      <c r="B588" s="10" t="s">
        <v>67</v>
      </c>
      <c r="C588" s="93" t="s">
        <v>73</v>
      </c>
      <c r="D588" s="2">
        <f>D587</f>
        <v>8</v>
      </c>
      <c r="E588" s="2">
        <v>0.15</v>
      </c>
      <c r="F588" s="2">
        <f>ROUND((E584-(IF(E584/3&gt;2*G584,E584/3*2,G584*2*2)))/E588,0)</f>
        <v>17</v>
      </c>
      <c r="G588" s="3"/>
      <c r="O588" s="10">
        <f>(2*((G584-(2*$D$11))+(F584-(2*$D$11)))+(2*10*D588/1000))*D584</f>
        <v>2.9200000000000004</v>
      </c>
      <c r="P588" s="10">
        <f t="shared" si="206"/>
        <v>49.640000000000008</v>
      </c>
      <c r="Q588" s="10">
        <f t="shared" si="207"/>
        <v>19.595035428571432</v>
      </c>
      <c r="R588" s="10">
        <f t="shared" si="207"/>
        <v>0</v>
      </c>
      <c r="S588" s="10">
        <f t="shared" si="207"/>
        <v>0</v>
      </c>
      <c r="T588" s="10">
        <f t="shared" si="207"/>
        <v>0</v>
      </c>
      <c r="U588" s="10">
        <f t="shared" si="207"/>
        <v>0</v>
      </c>
      <c r="V588" s="10">
        <f t="shared" si="207"/>
        <v>0</v>
      </c>
      <c r="W588" s="10">
        <f t="shared" si="207"/>
        <v>0</v>
      </c>
      <c r="X588" s="10">
        <f t="shared" si="208"/>
        <v>19.595035428571432</v>
      </c>
    </row>
    <row r="589" spans="1:32" s="2" customFormat="1" ht="20.100000000000001" customHeight="1" x14ac:dyDescent="0.2">
      <c r="B589" s="10" t="s">
        <v>67</v>
      </c>
      <c r="C589" s="93" t="s">
        <v>74</v>
      </c>
      <c r="D589" s="2">
        <f>D587</f>
        <v>8</v>
      </c>
      <c r="E589" s="2">
        <f>+E587</f>
        <v>0.1</v>
      </c>
      <c r="F589" s="10">
        <f>ROUND(IF(E584/3&gt;(2*G584),(E584/3)/E589,(2*G584)/E589),0)*2+1</f>
        <v>51</v>
      </c>
      <c r="G589" s="3"/>
      <c r="O589" s="10">
        <f>((((G584-(2*$D$11))+(2*10*D589/1000))*D584))*2</f>
        <v>2.4</v>
      </c>
      <c r="P589" s="10">
        <f t="shared" si="206"/>
        <v>122.39999999999999</v>
      </c>
      <c r="Q589" s="10">
        <f t="shared" si="207"/>
        <v>48.316525714285717</v>
      </c>
      <c r="R589" s="10">
        <f t="shared" si="207"/>
        <v>0</v>
      </c>
      <c r="S589" s="10">
        <f t="shared" si="207"/>
        <v>0</v>
      </c>
      <c r="T589" s="10">
        <f t="shared" si="207"/>
        <v>0</v>
      </c>
      <c r="U589" s="10">
        <f t="shared" si="207"/>
        <v>0</v>
      </c>
      <c r="V589" s="10">
        <f t="shared" si="207"/>
        <v>0</v>
      </c>
      <c r="W589" s="10">
        <f t="shared" si="207"/>
        <v>0</v>
      </c>
      <c r="X589" s="10">
        <f t="shared" si="208"/>
        <v>48.316525714285717</v>
      </c>
    </row>
    <row r="590" spans="1:32" s="2" customFormat="1" ht="20.100000000000001" customHeight="1" x14ac:dyDescent="0.2">
      <c r="B590" s="10" t="s">
        <v>67</v>
      </c>
      <c r="C590" s="93" t="s">
        <v>74</v>
      </c>
      <c r="D590" s="2">
        <f>D588</f>
        <v>8</v>
      </c>
      <c r="E590" s="2">
        <f>+E588</f>
        <v>0.15</v>
      </c>
      <c r="F590" s="2">
        <f>ROUND((E584-(IF(E584/3&gt;2*G584,E584/3*2,G584*2*2)))/E590,0)</f>
        <v>17</v>
      </c>
      <c r="G590" s="3"/>
      <c r="O590" s="10">
        <f>((((G584-(2*$D$11))+(2*10*D590/1000))*D584))*2</f>
        <v>2.4</v>
      </c>
      <c r="P590" s="10">
        <f t="shared" si="206"/>
        <v>40.799999999999997</v>
      </c>
      <c r="Q590" s="10">
        <f t="shared" si="207"/>
        <v>16.105508571428572</v>
      </c>
      <c r="R590" s="10">
        <f t="shared" si="207"/>
        <v>0</v>
      </c>
      <c r="S590" s="10">
        <f t="shared" si="207"/>
        <v>0</v>
      </c>
      <c r="T590" s="10">
        <f t="shared" si="207"/>
        <v>0</v>
      </c>
      <c r="U590" s="10">
        <f t="shared" si="207"/>
        <v>0</v>
      </c>
      <c r="V590" s="10">
        <f t="shared" si="207"/>
        <v>0</v>
      </c>
      <c r="W590" s="10">
        <f t="shared" si="207"/>
        <v>0</v>
      </c>
      <c r="X590" s="10">
        <f t="shared" si="208"/>
        <v>16.105508571428572</v>
      </c>
    </row>
    <row r="591" spans="1:32" s="3" customFormat="1" ht="21" customHeight="1" x14ac:dyDescent="0.2">
      <c r="A591" s="10">
        <v>1</v>
      </c>
      <c r="B591" s="10" t="s">
        <v>67</v>
      </c>
      <c r="C591" s="91" t="s">
        <v>150</v>
      </c>
      <c r="D591" s="91">
        <v>1</v>
      </c>
      <c r="E591" s="91">
        <v>6.02</v>
      </c>
      <c r="F591" s="91">
        <v>0.35</v>
      </c>
      <c r="G591" s="91">
        <v>1.1000000000000001</v>
      </c>
      <c r="H591" s="10">
        <f>G591-0.2</f>
        <v>0.90000000000000013</v>
      </c>
      <c r="I591" s="10">
        <f>E591*F591*G591*D591</f>
        <v>2.3176999999999999</v>
      </c>
      <c r="J591" s="10">
        <f>(2*(E591)*H591*D591)+(E591*F591)</f>
        <v>12.943</v>
      </c>
      <c r="K591" s="92">
        <f>IF(E591=0.3,J591,0)</f>
        <v>0</v>
      </c>
      <c r="L591" s="92">
        <f>IF(AND(E591&gt;0.3,E591&lt;=0.75),J591,0)</f>
        <v>0</v>
      </c>
      <c r="M591" s="92">
        <f>IF(AND(E591&gt;0.75,E591&lt;=1.2),J591,0)</f>
        <v>0</v>
      </c>
      <c r="N591" s="92">
        <f>IF(E591&gt;1.2,J591,0)</f>
        <v>12.943</v>
      </c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>
        <f>SUM(X592:X597)/I591</f>
        <v>165.95093735168487</v>
      </c>
      <c r="Z591" s="10"/>
      <c r="AA591" s="10"/>
      <c r="AB591" s="10"/>
      <c r="AC591" s="10"/>
      <c r="AD591" s="10"/>
      <c r="AE591" s="10"/>
      <c r="AF591" s="10"/>
    </row>
    <row r="592" spans="1:32" s="3" customFormat="1" ht="20.100000000000001" customHeight="1" x14ac:dyDescent="0.2">
      <c r="A592" s="87"/>
      <c r="B592" s="10" t="s">
        <v>67</v>
      </c>
      <c r="C592" s="93" t="s">
        <v>69</v>
      </c>
      <c r="D592" s="10">
        <v>25</v>
      </c>
      <c r="E592" s="10"/>
      <c r="F592" s="10">
        <v>3</v>
      </c>
      <c r="G592" s="90">
        <f>VLOOKUP(D592,$C$20:$F$26,3,0)</f>
        <v>1.35</v>
      </c>
      <c r="H592" s="90"/>
      <c r="I592" s="10"/>
      <c r="J592" s="10"/>
      <c r="K592" s="10"/>
      <c r="L592" s="10"/>
      <c r="M592" s="10"/>
      <c r="N592" s="10"/>
      <c r="O592" s="10">
        <f>(E591+1*(G592)+1*(2/2)*D591)</f>
        <v>8.3699999999999992</v>
      </c>
      <c r="P592" s="10">
        <f t="shared" ref="P592:P597" si="209">O592*F592</f>
        <v>25.11</v>
      </c>
      <c r="Q592" s="10">
        <f t="shared" si="207"/>
        <v>0</v>
      </c>
      <c r="R592" s="10">
        <f t="shared" si="207"/>
        <v>0</v>
      </c>
      <c r="S592" s="10">
        <f t="shared" si="207"/>
        <v>0</v>
      </c>
      <c r="T592" s="10">
        <f t="shared" si="207"/>
        <v>0</v>
      </c>
      <c r="U592" s="10">
        <f t="shared" si="207"/>
        <v>0</v>
      </c>
      <c r="V592" s="10">
        <f t="shared" si="207"/>
        <v>96.796808035714292</v>
      </c>
      <c r="W592" s="10">
        <f t="shared" si="207"/>
        <v>0</v>
      </c>
      <c r="X592" s="10">
        <f t="shared" ref="X592:X597" si="210">SUM(Q592:W592)</f>
        <v>96.796808035714292</v>
      </c>
      <c r="Y592" s="10"/>
      <c r="Z592" s="10"/>
      <c r="AA592" s="10"/>
      <c r="AB592" s="10"/>
      <c r="AC592" s="10"/>
      <c r="AD592" s="10"/>
      <c r="AE592" s="10"/>
    </row>
    <row r="593" spans="1:32" s="3" customFormat="1" ht="19.5" customHeight="1" x14ac:dyDescent="0.2">
      <c r="A593" s="87"/>
      <c r="B593" s="10" t="s">
        <v>67</v>
      </c>
      <c r="C593" s="93" t="s">
        <v>71</v>
      </c>
      <c r="D593" s="10">
        <v>25</v>
      </c>
      <c r="E593" s="10"/>
      <c r="F593" s="10">
        <v>3</v>
      </c>
      <c r="G593" s="90">
        <f>VLOOKUP(D593,$C$20:$F$26,3,0)</f>
        <v>1.35</v>
      </c>
      <c r="H593" s="10"/>
      <c r="I593" s="10"/>
      <c r="J593" s="10"/>
      <c r="K593" s="10"/>
      <c r="L593" s="10"/>
      <c r="M593" s="10"/>
      <c r="N593" s="10"/>
      <c r="O593" s="10">
        <f>(E591+1*(G593)+1*(2/2)*D591)</f>
        <v>8.3699999999999992</v>
      </c>
      <c r="P593" s="10">
        <f t="shared" si="209"/>
        <v>25.11</v>
      </c>
      <c r="Q593" s="10">
        <f t="shared" si="207"/>
        <v>0</v>
      </c>
      <c r="R593" s="10">
        <f t="shared" si="207"/>
        <v>0</v>
      </c>
      <c r="S593" s="10">
        <f t="shared" si="207"/>
        <v>0</v>
      </c>
      <c r="T593" s="10">
        <f t="shared" si="207"/>
        <v>0</v>
      </c>
      <c r="U593" s="10">
        <f t="shared" si="207"/>
        <v>0</v>
      </c>
      <c r="V593" s="10">
        <f t="shared" si="207"/>
        <v>96.796808035714292</v>
      </c>
      <c r="W593" s="10">
        <f t="shared" si="207"/>
        <v>0</v>
      </c>
      <c r="X593" s="10">
        <f t="shared" si="210"/>
        <v>96.796808035714292</v>
      </c>
      <c r="Y593" s="10"/>
      <c r="Z593" s="10"/>
      <c r="AA593" s="10"/>
      <c r="AB593" s="10"/>
      <c r="AC593" s="10"/>
      <c r="AD593" s="10"/>
      <c r="AE593" s="10"/>
    </row>
    <row r="594" spans="1:32" s="3" customFormat="1" ht="20.100000000000001" customHeight="1" x14ac:dyDescent="0.2">
      <c r="A594" s="87"/>
      <c r="B594" s="10" t="s">
        <v>67</v>
      </c>
      <c r="C594" s="93" t="s">
        <v>73</v>
      </c>
      <c r="D594" s="10">
        <v>10</v>
      </c>
      <c r="E594" s="10">
        <v>0.1</v>
      </c>
      <c r="F594" s="10">
        <f>ROUND(IF(E591/3&gt;(2*G591),(E591/3)/E594,(2*G591)/E594),0)*2+1</f>
        <v>45</v>
      </c>
      <c r="H594" s="10"/>
      <c r="I594" s="10"/>
      <c r="J594" s="10"/>
      <c r="K594" s="10"/>
      <c r="L594" s="10"/>
      <c r="M594" s="10"/>
      <c r="N594" s="10"/>
      <c r="O594" s="10">
        <f>(2*((G591-(2*$D$11))+(F591-(2*$D$11)))+(2*10*D594/1000))*D591</f>
        <v>2.8600000000000003</v>
      </c>
      <c r="P594" s="10">
        <f t="shared" si="209"/>
        <v>128.70000000000002</v>
      </c>
      <c r="Q594" s="10">
        <f t="shared" si="207"/>
        <v>0</v>
      </c>
      <c r="R594" s="10">
        <f t="shared" si="207"/>
        <v>79.380321428571435</v>
      </c>
      <c r="S594" s="10">
        <f t="shared" si="207"/>
        <v>0</v>
      </c>
      <c r="T594" s="10">
        <f t="shared" si="207"/>
        <v>0</v>
      </c>
      <c r="U594" s="10">
        <f t="shared" si="207"/>
        <v>0</v>
      </c>
      <c r="V594" s="10">
        <f t="shared" si="207"/>
        <v>0</v>
      </c>
      <c r="W594" s="10">
        <f t="shared" si="207"/>
        <v>0</v>
      </c>
      <c r="X594" s="10">
        <f t="shared" si="210"/>
        <v>79.380321428571435</v>
      </c>
      <c r="Y594" s="10"/>
      <c r="Z594" s="10"/>
      <c r="AA594" s="10"/>
      <c r="AB594" s="10"/>
      <c r="AC594" s="10"/>
      <c r="AD594" s="10"/>
      <c r="AE594" s="10"/>
    </row>
    <row r="595" spans="1:32" s="2" customFormat="1" ht="20.100000000000001" customHeight="1" x14ac:dyDescent="0.2">
      <c r="B595" s="10" t="s">
        <v>67</v>
      </c>
      <c r="C595" s="93" t="s">
        <v>73</v>
      </c>
      <c r="D595" s="2">
        <f>D594</f>
        <v>10</v>
      </c>
      <c r="E595" s="2">
        <v>0.125</v>
      </c>
      <c r="F595" s="2">
        <f>ROUND((E591-(IF(E591/3&gt;2*G591,E591/3*2,G591*2*2)))/E595,0)</f>
        <v>13</v>
      </c>
      <c r="G595" s="3"/>
      <c r="O595" s="10">
        <f>(2*((G591-(2*$D$11))+(F591-(2*$D$11)))+(2*10*D595/1000))*D591</f>
        <v>2.8600000000000003</v>
      </c>
      <c r="P595" s="10">
        <f t="shared" si="209"/>
        <v>37.180000000000007</v>
      </c>
      <c r="Q595" s="10">
        <f t="shared" si="207"/>
        <v>0</v>
      </c>
      <c r="R595" s="10">
        <f t="shared" si="207"/>
        <v>22.932092857142862</v>
      </c>
      <c r="S595" s="10">
        <f t="shared" si="207"/>
        <v>0</v>
      </c>
      <c r="T595" s="10">
        <f t="shared" si="207"/>
        <v>0</v>
      </c>
      <c r="U595" s="10">
        <f t="shared" si="207"/>
        <v>0</v>
      </c>
      <c r="V595" s="10">
        <f t="shared" si="207"/>
        <v>0</v>
      </c>
      <c r="W595" s="10">
        <f t="shared" si="207"/>
        <v>0</v>
      </c>
      <c r="X595" s="10">
        <f t="shared" si="210"/>
        <v>22.932092857142862</v>
      </c>
    </row>
    <row r="596" spans="1:32" s="2" customFormat="1" ht="20.100000000000001" customHeight="1" x14ac:dyDescent="0.2">
      <c r="B596" s="10" t="s">
        <v>67</v>
      </c>
      <c r="C596" s="93" t="s">
        <v>74</v>
      </c>
      <c r="D596" s="2">
        <f>D594</f>
        <v>10</v>
      </c>
      <c r="E596" s="2">
        <f>+E594</f>
        <v>0.1</v>
      </c>
      <c r="F596" s="10">
        <f>ROUND(IF(E591/3&gt;(2*G591),(E591/3)/E596,(2*G591)/E596),0)*2+1</f>
        <v>45</v>
      </c>
      <c r="G596" s="3"/>
      <c r="O596" s="10">
        <f>((((G591-(2*$D$11))+(2*10*D596/1000))*D591))*2</f>
        <v>2.48</v>
      </c>
      <c r="P596" s="10">
        <f t="shared" si="209"/>
        <v>111.6</v>
      </c>
      <c r="Q596" s="10">
        <f t="shared" si="207"/>
        <v>0</v>
      </c>
      <c r="R596" s="10">
        <f t="shared" si="207"/>
        <v>68.833285714285708</v>
      </c>
      <c r="S596" s="10">
        <f t="shared" si="207"/>
        <v>0</v>
      </c>
      <c r="T596" s="10">
        <f t="shared" si="207"/>
        <v>0</v>
      </c>
      <c r="U596" s="10">
        <f t="shared" si="207"/>
        <v>0</v>
      </c>
      <c r="V596" s="10">
        <f t="shared" si="207"/>
        <v>0</v>
      </c>
      <c r="W596" s="10">
        <f t="shared" si="207"/>
        <v>0</v>
      </c>
      <c r="X596" s="10">
        <f t="shared" si="210"/>
        <v>68.833285714285708</v>
      </c>
    </row>
    <row r="597" spans="1:32" s="2" customFormat="1" ht="20.100000000000001" customHeight="1" x14ac:dyDescent="0.2">
      <c r="B597" s="10" t="s">
        <v>67</v>
      </c>
      <c r="C597" s="93" t="s">
        <v>74</v>
      </c>
      <c r="D597" s="2">
        <f>D595</f>
        <v>10</v>
      </c>
      <c r="E597" s="2">
        <f>+E595</f>
        <v>0.125</v>
      </c>
      <c r="F597" s="2">
        <f>ROUND((E591-(IF(E591/3&gt;2*G591,E591/3*2,G591*2*2)))/E597,0)</f>
        <v>13</v>
      </c>
      <c r="G597" s="3"/>
      <c r="O597" s="10">
        <f>((((G591-(2*$D$11))+(2*10*D597/1000))*D591))*2</f>
        <v>2.48</v>
      </c>
      <c r="P597" s="10">
        <f t="shared" si="209"/>
        <v>32.24</v>
      </c>
      <c r="Q597" s="10">
        <f t="shared" si="207"/>
        <v>0</v>
      </c>
      <c r="R597" s="10">
        <f t="shared" si="207"/>
        <v>19.885171428571429</v>
      </c>
      <c r="S597" s="10">
        <f t="shared" si="207"/>
        <v>0</v>
      </c>
      <c r="T597" s="10">
        <f t="shared" si="207"/>
        <v>0</v>
      </c>
      <c r="U597" s="10">
        <f t="shared" si="207"/>
        <v>0</v>
      </c>
      <c r="V597" s="10">
        <f t="shared" si="207"/>
        <v>0</v>
      </c>
      <c r="W597" s="10">
        <f t="shared" si="207"/>
        <v>0</v>
      </c>
      <c r="X597" s="10">
        <f t="shared" si="210"/>
        <v>19.885171428571429</v>
      </c>
    </row>
    <row r="598" spans="1:32" s="3" customFormat="1" ht="21" customHeight="1" x14ac:dyDescent="0.2">
      <c r="A598" s="10">
        <v>1</v>
      </c>
      <c r="B598" s="10" t="s">
        <v>67</v>
      </c>
      <c r="C598" s="91" t="s">
        <v>151</v>
      </c>
      <c r="D598" s="91">
        <v>1</v>
      </c>
      <c r="E598" s="91">
        <v>3.573</v>
      </c>
      <c r="F598" s="91">
        <v>0.35</v>
      </c>
      <c r="G598" s="91">
        <v>1.1000000000000001</v>
      </c>
      <c r="H598" s="10">
        <f>G598-0.2</f>
        <v>0.90000000000000013</v>
      </c>
      <c r="I598" s="10">
        <f>E598*F598*G598*D598</f>
        <v>1.375605</v>
      </c>
      <c r="J598" s="10">
        <f>(2*(E598)*H598*D598)+(E598*F598)</f>
        <v>7.6819500000000005</v>
      </c>
      <c r="K598" s="92">
        <f>IF(E598=0.3,J598,0)</f>
        <v>0</v>
      </c>
      <c r="L598" s="92">
        <f>IF(AND(E598&gt;0.3,E598&lt;=0.75),J598,0)</f>
        <v>0</v>
      </c>
      <c r="M598" s="92">
        <f>IF(AND(E598&gt;0.75,E598&lt;=1.2),J598,0)</f>
        <v>0</v>
      </c>
      <c r="N598" s="92">
        <f>IF(E598&gt;1.2,J598,0)</f>
        <v>7.6819500000000005</v>
      </c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>
        <f>SUM(X599:X604)/I598</f>
        <v>185.78494748025156</v>
      </c>
      <c r="Z598" s="10"/>
      <c r="AA598" s="10"/>
      <c r="AB598" s="10"/>
      <c r="AC598" s="10"/>
      <c r="AD598" s="10"/>
      <c r="AE598" s="10"/>
      <c r="AF598" s="10"/>
    </row>
    <row r="599" spans="1:32" s="3" customFormat="1" ht="20.100000000000001" customHeight="1" x14ac:dyDescent="0.2">
      <c r="A599" s="87"/>
      <c r="B599" s="10" t="s">
        <v>67</v>
      </c>
      <c r="C599" s="93" t="s">
        <v>69</v>
      </c>
      <c r="D599" s="10">
        <v>25</v>
      </c>
      <c r="E599" s="10"/>
      <c r="F599" s="10">
        <v>3</v>
      </c>
      <c r="G599" s="90">
        <f>VLOOKUP(D599,$C$20:$F$26,3,0)</f>
        <v>1.35</v>
      </c>
      <c r="H599" s="90"/>
      <c r="I599" s="10"/>
      <c r="J599" s="10"/>
      <c r="K599" s="10"/>
      <c r="L599" s="10"/>
      <c r="M599" s="10"/>
      <c r="N599" s="10"/>
      <c r="O599" s="10">
        <f>(E598+1*(G599)+1*(2/2)*D598)</f>
        <v>5.923</v>
      </c>
      <c r="P599" s="10">
        <f t="shared" ref="P599:P601" si="211">O599*F599</f>
        <v>17.768999999999998</v>
      </c>
      <c r="Q599" s="10">
        <f t="shared" si="207"/>
        <v>0</v>
      </c>
      <c r="R599" s="10">
        <f t="shared" si="207"/>
        <v>0</v>
      </c>
      <c r="S599" s="10">
        <f t="shared" si="207"/>
        <v>0</v>
      </c>
      <c r="T599" s="10">
        <f t="shared" si="207"/>
        <v>0</v>
      </c>
      <c r="U599" s="10">
        <f t="shared" si="207"/>
        <v>0</v>
      </c>
      <c r="V599" s="10">
        <f t="shared" si="207"/>
        <v>68.497908482142861</v>
      </c>
      <c r="W599" s="10">
        <f t="shared" si="207"/>
        <v>0</v>
      </c>
      <c r="X599" s="10">
        <f t="shared" ref="X599:X604" si="212">SUM(Q599:W599)</f>
        <v>68.497908482142861</v>
      </c>
      <c r="Y599" s="10"/>
      <c r="Z599" s="10"/>
      <c r="AA599" s="10"/>
      <c r="AB599" s="10"/>
      <c r="AC599" s="10"/>
      <c r="AD599" s="10"/>
      <c r="AE599" s="10"/>
    </row>
    <row r="600" spans="1:32" s="3" customFormat="1" ht="20.100000000000001" customHeight="1" x14ac:dyDescent="0.2">
      <c r="A600" s="87"/>
      <c r="B600" s="10" t="s">
        <v>67</v>
      </c>
      <c r="C600" s="93" t="s">
        <v>71</v>
      </c>
      <c r="D600" s="10">
        <v>25</v>
      </c>
      <c r="E600" s="10"/>
      <c r="F600" s="10">
        <v>3</v>
      </c>
      <c r="G600" s="90">
        <f>VLOOKUP(D600,$C$20:$F$26,3,0)</f>
        <v>1.35</v>
      </c>
      <c r="H600" s="10"/>
      <c r="I600" s="10"/>
      <c r="J600" s="10"/>
      <c r="K600" s="10"/>
      <c r="L600" s="10"/>
      <c r="M600" s="10"/>
      <c r="N600" s="10"/>
      <c r="O600" s="10">
        <f>(E598+1*(G600)+1*(2/2)*D598)</f>
        <v>5.923</v>
      </c>
      <c r="P600" s="10">
        <f t="shared" si="211"/>
        <v>17.768999999999998</v>
      </c>
      <c r="Q600" s="10">
        <f t="shared" si="207"/>
        <v>0</v>
      </c>
      <c r="R600" s="10">
        <f t="shared" si="207"/>
        <v>0</v>
      </c>
      <c r="S600" s="10">
        <f t="shared" si="207"/>
        <v>0</v>
      </c>
      <c r="T600" s="10">
        <f t="shared" si="207"/>
        <v>0</v>
      </c>
      <c r="U600" s="10">
        <f t="shared" si="207"/>
        <v>0</v>
      </c>
      <c r="V600" s="10">
        <f t="shared" si="207"/>
        <v>68.497908482142861</v>
      </c>
      <c r="W600" s="10">
        <f t="shared" si="207"/>
        <v>0</v>
      </c>
      <c r="X600" s="10">
        <f t="shared" si="212"/>
        <v>68.497908482142861</v>
      </c>
      <c r="Y600" s="10"/>
      <c r="Z600" s="10"/>
      <c r="AA600" s="10"/>
      <c r="AB600" s="10"/>
      <c r="AC600" s="10"/>
      <c r="AD600" s="10"/>
      <c r="AE600" s="10"/>
    </row>
    <row r="601" spans="1:32" s="3" customFormat="1" ht="20.100000000000001" customHeight="1" x14ac:dyDescent="0.2">
      <c r="A601" s="87"/>
      <c r="B601" s="10" t="s">
        <v>67</v>
      </c>
      <c r="C601" s="93" t="s">
        <v>73</v>
      </c>
      <c r="D601" s="10">
        <v>10</v>
      </c>
      <c r="E601" s="10">
        <v>0.1</v>
      </c>
      <c r="F601" s="10">
        <f>ROUNDUP((E598/3*2)/E601,0)+1</f>
        <v>25</v>
      </c>
      <c r="H601" s="10"/>
      <c r="I601" s="10"/>
      <c r="J601" s="10"/>
      <c r="K601" s="10"/>
      <c r="L601" s="10"/>
      <c r="M601" s="10"/>
      <c r="N601" s="10"/>
      <c r="O601" s="10">
        <f>(2*((G598-(2*$D$11))+(F598-(2*$D$11)))+(2*10*D601/1000))*D598</f>
        <v>2.8600000000000003</v>
      </c>
      <c r="P601" s="10">
        <f t="shared" si="211"/>
        <v>71.500000000000014</v>
      </c>
      <c r="Q601" s="10">
        <f t="shared" ref="Q601:W604" si="213">IF($D601=Q$44,$P601*Q$45,0)</f>
        <v>0</v>
      </c>
      <c r="R601" s="10">
        <f t="shared" si="213"/>
        <v>44.100178571428579</v>
      </c>
      <c r="S601" s="10">
        <f t="shared" si="213"/>
        <v>0</v>
      </c>
      <c r="T601" s="10">
        <f t="shared" si="213"/>
        <v>0</v>
      </c>
      <c r="U601" s="10">
        <f t="shared" si="213"/>
        <v>0</v>
      </c>
      <c r="V601" s="10">
        <f t="shared" si="213"/>
        <v>0</v>
      </c>
      <c r="W601" s="10">
        <f t="shared" si="213"/>
        <v>0</v>
      </c>
      <c r="X601" s="10">
        <f t="shared" si="212"/>
        <v>44.100178571428579</v>
      </c>
      <c r="Y601" s="10"/>
      <c r="Z601" s="10"/>
      <c r="AA601" s="10"/>
      <c r="AB601" s="10"/>
      <c r="AC601" s="10"/>
      <c r="AD601" s="10"/>
      <c r="AE601" s="10"/>
    </row>
    <row r="602" spans="1:32" s="2" customFormat="1" ht="20.100000000000001" customHeight="1" x14ac:dyDescent="0.2">
      <c r="B602" s="10" t="s">
        <v>67</v>
      </c>
      <c r="C602" s="93" t="s">
        <v>73</v>
      </c>
      <c r="D602" s="2">
        <f>D601</f>
        <v>10</v>
      </c>
      <c r="E602" s="2">
        <v>0.125</v>
      </c>
      <c r="F602" s="10">
        <f>ROUNDUP((E598/3)/E602,0)+1</f>
        <v>11</v>
      </c>
      <c r="G602" s="3"/>
      <c r="O602" s="10">
        <f>(2*((G598-(2*$D$11))+(F598-(2*$D$11)))+(2*10*D602/1000))*D598</f>
        <v>2.8600000000000003</v>
      </c>
      <c r="P602" s="10">
        <f>O602*F602</f>
        <v>31.460000000000004</v>
      </c>
      <c r="Q602" s="10">
        <f t="shared" si="213"/>
        <v>0</v>
      </c>
      <c r="R602" s="10">
        <f t="shared" si="213"/>
        <v>19.404078571428574</v>
      </c>
      <c r="S602" s="10">
        <f t="shared" si="213"/>
        <v>0</v>
      </c>
      <c r="T602" s="10">
        <f t="shared" si="213"/>
        <v>0</v>
      </c>
      <c r="U602" s="10">
        <f t="shared" si="213"/>
        <v>0</v>
      </c>
      <c r="V602" s="10">
        <f t="shared" si="213"/>
        <v>0</v>
      </c>
      <c r="W602" s="10">
        <f t="shared" si="213"/>
        <v>0</v>
      </c>
      <c r="X602" s="10">
        <f t="shared" si="212"/>
        <v>19.404078571428574</v>
      </c>
    </row>
    <row r="603" spans="1:32" s="2" customFormat="1" ht="20.100000000000001" customHeight="1" x14ac:dyDescent="0.2">
      <c r="B603" s="10" t="s">
        <v>67</v>
      </c>
      <c r="C603" s="93" t="s">
        <v>74</v>
      </c>
      <c r="D603" s="2">
        <f>D601</f>
        <v>10</v>
      </c>
      <c r="E603" s="2">
        <f>+E601</f>
        <v>0.1</v>
      </c>
      <c r="F603" s="10">
        <f>ROUNDUP((E598/3*2)/E603,0)+1</f>
        <v>25</v>
      </c>
      <c r="G603" s="3"/>
      <c r="O603" s="10">
        <f>((((G598-(2*$D$11))+(2*10*D603/1000))*D598))*2</f>
        <v>2.48</v>
      </c>
      <c r="P603" s="10">
        <f t="shared" ref="P603" si="214">O603*F603</f>
        <v>62</v>
      </c>
      <c r="Q603" s="10">
        <f t="shared" si="213"/>
        <v>0</v>
      </c>
      <c r="R603" s="10">
        <f t="shared" si="213"/>
        <v>38.240714285714283</v>
      </c>
      <c r="S603" s="10">
        <f t="shared" si="213"/>
        <v>0</v>
      </c>
      <c r="T603" s="10">
        <f t="shared" si="213"/>
        <v>0</v>
      </c>
      <c r="U603" s="10">
        <f t="shared" si="213"/>
        <v>0</v>
      </c>
      <c r="V603" s="10">
        <f t="shared" si="213"/>
        <v>0</v>
      </c>
      <c r="W603" s="10">
        <f t="shared" si="213"/>
        <v>0</v>
      </c>
      <c r="X603" s="10">
        <f t="shared" si="212"/>
        <v>38.240714285714283</v>
      </c>
    </row>
    <row r="604" spans="1:32" s="2" customFormat="1" ht="20.100000000000001" customHeight="1" x14ac:dyDescent="0.2">
      <c r="B604" s="10" t="s">
        <v>67</v>
      </c>
      <c r="C604" s="93" t="s">
        <v>74</v>
      </c>
      <c r="D604" s="2">
        <f>D602</f>
        <v>10</v>
      </c>
      <c r="E604" s="2">
        <f>+E602</f>
        <v>0.125</v>
      </c>
      <c r="F604" s="10">
        <f>ROUNDUP((E598/3)/E604,0)+1</f>
        <v>11</v>
      </c>
      <c r="G604" s="3"/>
      <c r="O604" s="10">
        <f>((((G598-(2*$D$11))+(2*10*D604/1000))*D598))*2</f>
        <v>2.48</v>
      </c>
      <c r="P604" s="10">
        <f>O604*F604</f>
        <v>27.28</v>
      </c>
      <c r="Q604" s="10">
        <f t="shared" si="213"/>
        <v>0</v>
      </c>
      <c r="R604" s="10">
        <f t="shared" si="213"/>
        <v>16.825914285714287</v>
      </c>
      <c r="S604" s="10">
        <f t="shared" si="213"/>
        <v>0</v>
      </c>
      <c r="T604" s="10">
        <f t="shared" si="213"/>
        <v>0</v>
      </c>
      <c r="U604" s="10">
        <f t="shared" si="213"/>
        <v>0</v>
      </c>
      <c r="V604" s="10">
        <f t="shared" si="213"/>
        <v>0</v>
      </c>
      <c r="W604" s="10">
        <f t="shared" si="213"/>
        <v>0</v>
      </c>
      <c r="X604" s="10">
        <f t="shared" si="212"/>
        <v>16.825914285714287</v>
      </c>
    </row>
    <row r="605" spans="1:32" s="3" customFormat="1" ht="21" customHeight="1" x14ac:dyDescent="0.2">
      <c r="A605" s="10">
        <v>1</v>
      </c>
      <c r="B605" s="10" t="s">
        <v>67</v>
      </c>
      <c r="C605" s="91" t="s">
        <v>152</v>
      </c>
      <c r="D605" s="91">
        <v>1</v>
      </c>
      <c r="E605" s="91">
        <v>4.9770000000000003</v>
      </c>
      <c r="F605" s="91">
        <v>0.35</v>
      </c>
      <c r="G605" s="91">
        <v>0.5</v>
      </c>
      <c r="H605" s="10">
        <f>G605-0.2</f>
        <v>0.3</v>
      </c>
      <c r="I605" s="10">
        <f>E605*F605*G605*D605</f>
        <v>0.87097500000000005</v>
      </c>
      <c r="J605" s="10">
        <f>(2*(E605)*H605*D605)+(E605*F605)</f>
        <v>4.7281500000000003</v>
      </c>
      <c r="K605" s="92">
        <f>IF(E605=0.3,J605,0)</f>
        <v>0</v>
      </c>
      <c r="L605" s="92">
        <f>IF(AND(E605&gt;0.3,E605&lt;=0.75),J605,0)</f>
        <v>0</v>
      </c>
      <c r="M605" s="92">
        <f>IF(AND(E605&gt;0.75,E605&lt;=1.2),J605,0)</f>
        <v>0</v>
      </c>
      <c r="N605" s="92">
        <f>IF(E605&gt;1.2,J605,0)</f>
        <v>4.7281500000000003</v>
      </c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>
        <f>SUM(X606:X612)/I605</f>
        <v>240.13723509367577</v>
      </c>
      <c r="Z605" s="10"/>
      <c r="AA605" s="10"/>
      <c r="AB605" s="10"/>
      <c r="AC605" s="10"/>
      <c r="AD605" s="10"/>
      <c r="AE605" s="10"/>
      <c r="AF605" s="10"/>
    </row>
    <row r="606" spans="1:32" s="3" customFormat="1" ht="20.100000000000001" customHeight="1" x14ac:dyDescent="0.2">
      <c r="A606" s="87"/>
      <c r="B606" s="10" t="s">
        <v>67</v>
      </c>
      <c r="C606" s="93" t="s">
        <v>69</v>
      </c>
      <c r="D606" s="10">
        <v>16</v>
      </c>
      <c r="E606" s="10"/>
      <c r="F606" s="10">
        <v>3</v>
      </c>
      <c r="G606" s="90">
        <f>VLOOKUP(D606,$C$20:$F$26,3,0)</f>
        <v>0.85</v>
      </c>
      <c r="H606" s="90"/>
      <c r="I606" s="10"/>
      <c r="J606" s="10"/>
      <c r="K606" s="10"/>
      <c r="L606" s="10"/>
      <c r="M606" s="10"/>
      <c r="N606" s="10"/>
      <c r="O606" s="10">
        <f>(E605+1*(G606+(12*D606/1000))+1*(2/2)*D605)</f>
        <v>7.0190000000000001</v>
      </c>
      <c r="P606" s="10">
        <f t="shared" ref="P606:P612" si="215">O606*F606</f>
        <v>21.057000000000002</v>
      </c>
      <c r="Q606" s="10">
        <f t="shared" ref="Q606:W612" si="216">IF($D606=Q$44,$P606*Q$45,0)</f>
        <v>0</v>
      </c>
      <c r="R606" s="10">
        <f t="shared" si="216"/>
        <v>0</v>
      </c>
      <c r="S606" s="10">
        <f t="shared" si="216"/>
        <v>0</v>
      </c>
      <c r="T606" s="10">
        <f t="shared" si="216"/>
        <v>33.248401371428578</v>
      </c>
      <c r="U606" s="10">
        <f t="shared" si="216"/>
        <v>0</v>
      </c>
      <c r="V606" s="10">
        <f t="shared" si="216"/>
        <v>0</v>
      </c>
      <c r="W606" s="10">
        <f t="shared" si="216"/>
        <v>0</v>
      </c>
      <c r="X606" s="10">
        <f t="shared" ref="X606:X612" si="217">SUM(Q606:W606)</f>
        <v>33.248401371428578</v>
      </c>
      <c r="Y606" s="10"/>
      <c r="Z606" s="10"/>
      <c r="AA606" s="10"/>
      <c r="AB606" s="10"/>
      <c r="AC606" s="10"/>
      <c r="AD606" s="10"/>
      <c r="AE606" s="10"/>
    </row>
    <row r="607" spans="1:32" s="3" customFormat="1" ht="20.100000000000001" customHeight="1" x14ac:dyDescent="0.2">
      <c r="A607" s="87"/>
      <c r="B607" s="10" t="s">
        <v>67</v>
      </c>
      <c r="C607" s="93" t="s">
        <v>112</v>
      </c>
      <c r="D607" s="10">
        <v>20</v>
      </c>
      <c r="E607" s="10"/>
      <c r="F607" s="10">
        <v>3</v>
      </c>
      <c r="G607" s="90">
        <f>VLOOKUP(D607,$C$20:$F$26,3,0)</f>
        <v>1.05</v>
      </c>
      <c r="H607" s="90"/>
      <c r="I607" s="10"/>
      <c r="J607" s="10"/>
      <c r="K607" s="10"/>
      <c r="L607" s="10"/>
      <c r="M607" s="10"/>
      <c r="N607" s="10"/>
      <c r="O607" s="10">
        <f>(1.35+1*(G607+(12*D607/1000))*D605)</f>
        <v>2.64</v>
      </c>
      <c r="P607" s="10">
        <f t="shared" si="215"/>
        <v>7.92</v>
      </c>
      <c r="Q607" s="10">
        <f t="shared" si="216"/>
        <v>0</v>
      </c>
      <c r="R607" s="10">
        <f t="shared" si="216"/>
        <v>0</v>
      </c>
      <c r="S607" s="10">
        <f t="shared" si="216"/>
        <v>0</v>
      </c>
      <c r="T607" s="10">
        <f t="shared" si="216"/>
        <v>0</v>
      </c>
      <c r="U607" s="10">
        <f t="shared" si="216"/>
        <v>19.539771428571427</v>
      </c>
      <c r="V607" s="10">
        <f t="shared" si="216"/>
        <v>0</v>
      </c>
      <c r="W607" s="10">
        <f t="shared" si="216"/>
        <v>0</v>
      </c>
      <c r="X607" s="10">
        <f t="shared" si="217"/>
        <v>19.539771428571427</v>
      </c>
      <c r="Y607" s="10"/>
      <c r="Z607" s="10"/>
      <c r="AA607" s="10"/>
      <c r="AB607" s="10"/>
      <c r="AC607" s="10"/>
      <c r="AD607" s="10"/>
      <c r="AE607" s="10"/>
    </row>
    <row r="608" spans="1:32" s="3" customFormat="1" ht="20.100000000000001" customHeight="1" x14ac:dyDescent="0.2">
      <c r="A608" s="87"/>
      <c r="B608" s="10" t="s">
        <v>67</v>
      </c>
      <c r="C608" s="93" t="s">
        <v>112</v>
      </c>
      <c r="D608" s="10">
        <v>25</v>
      </c>
      <c r="E608" s="10"/>
      <c r="F608" s="10">
        <v>3</v>
      </c>
      <c r="G608" s="90">
        <f>VLOOKUP(D608,$C$20:$F$26,3,0)</f>
        <v>1.35</v>
      </c>
      <c r="H608" s="90"/>
      <c r="I608" s="10"/>
      <c r="J608" s="10"/>
      <c r="K608" s="10"/>
      <c r="L608" s="10"/>
      <c r="M608" s="10"/>
      <c r="N608" s="10"/>
      <c r="O608" s="10">
        <f>1.35+1*(2/2)</f>
        <v>2.35</v>
      </c>
      <c r="P608" s="10">
        <f t="shared" si="215"/>
        <v>7.0500000000000007</v>
      </c>
      <c r="Q608" s="10">
        <f t="shared" si="216"/>
        <v>0</v>
      </c>
      <c r="R608" s="10">
        <f t="shared" si="216"/>
        <v>0</v>
      </c>
      <c r="S608" s="10">
        <f t="shared" si="216"/>
        <v>0</v>
      </c>
      <c r="T608" s="10">
        <f t="shared" si="216"/>
        <v>0</v>
      </c>
      <c r="U608" s="10">
        <f t="shared" si="216"/>
        <v>0</v>
      </c>
      <c r="V608" s="10">
        <f t="shared" si="216"/>
        <v>27.177120535714291</v>
      </c>
      <c r="W608" s="10">
        <f t="shared" si="216"/>
        <v>0</v>
      </c>
      <c r="X608" s="10">
        <f t="shared" si="217"/>
        <v>27.177120535714291</v>
      </c>
      <c r="Y608" s="10"/>
      <c r="Z608" s="10"/>
      <c r="AA608" s="10"/>
      <c r="AB608" s="10"/>
      <c r="AC608" s="10"/>
      <c r="AD608" s="10"/>
      <c r="AE608" s="10"/>
    </row>
    <row r="609" spans="1:32" s="3" customFormat="1" ht="20.100000000000001" customHeight="1" x14ac:dyDescent="0.2">
      <c r="A609" s="87"/>
      <c r="B609" s="10" t="s">
        <v>67</v>
      </c>
      <c r="C609" s="93" t="s">
        <v>71</v>
      </c>
      <c r="D609" s="10">
        <v>20</v>
      </c>
      <c r="E609" s="10"/>
      <c r="F609" s="10">
        <v>3</v>
      </c>
      <c r="G609" s="90">
        <f>VLOOKUP(D609,$C$20:$F$26,3,0)</f>
        <v>1.05</v>
      </c>
      <c r="H609" s="10"/>
      <c r="I609" s="10"/>
      <c r="J609" s="10"/>
      <c r="K609" s="10"/>
      <c r="L609" s="10"/>
      <c r="M609" s="10"/>
      <c r="N609" s="10"/>
      <c r="O609" s="10">
        <f>(E605+1*(G609+(12*D609/1000))+1*(2/2)*D605)</f>
        <v>7.2670000000000003</v>
      </c>
      <c r="P609" s="10">
        <f t="shared" si="215"/>
        <v>21.801000000000002</v>
      </c>
      <c r="Q609" s="10">
        <f t="shared" si="216"/>
        <v>0</v>
      </c>
      <c r="R609" s="10">
        <f t="shared" si="216"/>
        <v>0</v>
      </c>
      <c r="S609" s="10">
        <f t="shared" si="216"/>
        <v>0</v>
      </c>
      <c r="T609" s="10">
        <f t="shared" si="216"/>
        <v>0</v>
      </c>
      <c r="U609" s="10">
        <f t="shared" si="216"/>
        <v>53.786181428571432</v>
      </c>
      <c r="V609" s="10">
        <f t="shared" si="216"/>
        <v>0</v>
      </c>
      <c r="W609" s="10">
        <f t="shared" si="216"/>
        <v>0</v>
      </c>
      <c r="X609" s="10">
        <f t="shared" si="217"/>
        <v>53.786181428571432</v>
      </c>
      <c r="Y609" s="10"/>
      <c r="Z609" s="10"/>
      <c r="AA609" s="10"/>
      <c r="AB609" s="10"/>
      <c r="AC609" s="10"/>
      <c r="AD609" s="10"/>
      <c r="AE609" s="10"/>
    </row>
    <row r="610" spans="1:32" s="3" customFormat="1" ht="19.5" customHeight="1" x14ac:dyDescent="0.2">
      <c r="A610" s="87"/>
      <c r="B610" s="10" t="s">
        <v>67</v>
      </c>
      <c r="C610" s="93" t="s">
        <v>73</v>
      </c>
      <c r="D610" s="10">
        <v>10</v>
      </c>
      <c r="E610" s="10">
        <v>0.1</v>
      </c>
      <c r="F610" s="10">
        <f>ROUNDUP(E605/E610,0)</f>
        <v>50</v>
      </c>
      <c r="H610" s="10"/>
      <c r="I610" s="10"/>
      <c r="J610" s="10"/>
      <c r="K610" s="10"/>
      <c r="L610" s="10"/>
      <c r="M610" s="10"/>
      <c r="N610" s="10"/>
      <c r="O610" s="10">
        <f>(2*((G605-(2*$D$11))+(F605-(2*$D$11)))+(2*10*D610/1000))*D605</f>
        <v>1.66</v>
      </c>
      <c r="P610" s="10">
        <f>O610*F610</f>
        <v>83</v>
      </c>
      <c r="Q610" s="10">
        <f t="shared" si="216"/>
        <v>0</v>
      </c>
      <c r="R610" s="10">
        <f t="shared" si="216"/>
        <v>51.193214285714284</v>
      </c>
      <c r="S610" s="10">
        <f t="shared" si="216"/>
        <v>0</v>
      </c>
      <c r="T610" s="10">
        <f t="shared" si="216"/>
        <v>0</v>
      </c>
      <c r="U610" s="10">
        <f t="shared" si="216"/>
        <v>0</v>
      </c>
      <c r="V610" s="10">
        <f t="shared" si="216"/>
        <v>0</v>
      </c>
      <c r="W610" s="10">
        <f t="shared" si="216"/>
        <v>0</v>
      </c>
      <c r="X610" s="10">
        <f t="shared" si="217"/>
        <v>51.193214285714284</v>
      </c>
      <c r="Y610" s="10"/>
      <c r="Z610" s="10"/>
      <c r="AA610" s="10"/>
      <c r="AB610" s="10"/>
      <c r="AC610" s="10"/>
      <c r="AD610" s="10"/>
      <c r="AE610" s="10"/>
    </row>
    <row r="611" spans="1:32" s="2" customFormat="1" ht="20.100000000000001" customHeight="1" x14ac:dyDescent="0.2">
      <c r="B611" s="10" t="s">
        <v>67</v>
      </c>
      <c r="C611" s="93" t="s">
        <v>74</v>
      </c>
      <c r="D611" s="10">
        <f>+D610</f>
        <v>10</v>
      </c>
      <c r="E611" s="2">
        <f>+E610</f>
        <v>0.1</v>
      </c>
      <c r="F611" s="10">
        <f>ROUNDUP(E605/E611,0)</f>
        <v>50</v>
      </c>
      <c r="G611" s="3"/>
      <c r="O611" s="10">
        <f>((((G605-(2*$D$11))+(2*10*D611/1000))*D605))*1</f>
        <v>0.64</v>
      </c>
      <c r="P611" s="10">
        <f>O611*F611</f>
        <v>32</v>
      </c>
      <c r="Q611" s="10">
        <f t="shared" si="216"/>
        <v>0</v>
      </c>
      <c r="R611" s="10">
        <f t="shared" si="216"/>
        <v>19.737142857142857</v>
      </c>
      <c r="S611" s="10">
        <f t="shared" si="216"/>
        <v>0</v>
      </c>
      <c r="T611" s="10">
        <f t="shared" si="216"/>
        <v>0</v>
      </c>
      <c r="U611" s="10">
        <f t="shared" si="216"/>
        <v>0</v>
      </c>
      <c r="V611" s="10">
        <f t="shared" si="216"/>
        <v>0</v>
      </c>
      <c r="W611" s="10">
        <f t="shared" si="216"/>
        <v>0</v>
      </c>
      <c r="X611" s="10">
        <f t="shared" si="217"/>
        <v>19.737142857142857</v>
      </c>
    </row>
    <row r="612" spans="1:32" s="3" customFormat="1" ht="20.100000000000001" customHeight="1" x14ac:dyDescent="0.2">
      <c r="A612" s="87"/>
      <c r="B612" s="10" t="s">
        <v>67</v>
      </c>
      <c r="C612" s="93" t="s">
        <v>75</v>
      </c>
      <c r="D612" s="10">
        <f>+$D$15</f>
        <v>25</v>
      </c>
      <c r="E612" s="10">
        <f>+$E$15</f>
        <v>1</v>
      </c>
      <c r="F612" s="10">
        <f>ROUNDUP((1.35+O608)/E612,0)</f>
        <v>4</v>
      </c>
      <c r="G612" s="90"/>
      <c r="H612" s="90"/>
      <c r="I612" s="10"/>
      <c r="J612" s="10"/>
      <c r="K612" s="10"/>
      <c r="L612" s="10"/>
      <c r="M612" s="10"/>
      <c r="N612" s="10"/>
      <c r="O612" s="10">
        <f>F605-$F$15</f>
        <v>0.28999999999999998</v>
      </c>
      <c r="P612" s="10">
        <f t="shared" si="215"/>
        <v>1.1599999999999999</v>
      </c>
      <c r="Q612" s="10">
        <f t="shared" si="216"/>
        <v>0</v>
      </c>
      <c r="R612" s="10">
        <f t="shared" si="216"/>
        <v>0</v>
      </c>
      <c r="S612" s="10">
        <f t="shared" si="216"/>
        <v>0</v>
      </c>
      <c r="T612" s="10">
        <f t="shared" si="216"/>
        <v>0</v>
      </c>
      <c r="U612" s="10">
        <f t="shared" si="216"/>
        <v>0</v>
      </c>
      <c r="V612" s="10">
        <f t="shared" si="216"/>
        <v>4.4716964285714287</v>
      </c>
      <c r="W612" s="10">
        <f t="shared" si="216"/>
        <v>0</v>
      </c>
      <c r="X612" s="10">
        <f t="shared" si="217"/>
        <v>4.4716964285714287</v>
      </c>
      <c r="Y612" s="10"/>
      <c r="Z612" s="10"/>
      <c r="AA612" s="10"/>
      <c r="AB612" s="10"/>
      <c r="AC612" s="10"/>
      <c r="AD612" s="10"/>
      <c r="AE612" s="10"/>
    </row>
    <row r="613" spans="1:32" s="3" customFormat="1" ht="21" customHeight="1" x14ac:dyDescent="0.2">
      <c r="A613" s="10">
        <v>1</v>
      </c>
      <c r="B613" s="10" t="s">
        <v>67</v>
      </c>
      <c r="C613" s="91" t="s">
        <v>153</v>
      </c>
      <c r="D613" s="91">
        <v>1</v>
      </c>
      <c r="E613" s="91">
        <v>3.9239999999999999</v>
      </c>
      <c r="F613" s="91">
        <v>0.35</v>
      </c>
      <c r="G613" s="91">
        <v>0.5</v>
      </c>
      <c r="H613" s="10">
        <f>G613-0.2</f>
        <v>0.3</v>
      </c>
      <c r="I613" s="10">
        <f>E613*F613*G613*D613</f>
        <v>0.68669999999999998</v>
      </c>
      <c r="J613" s="10">
        <f>(2*(E613)*H613*D613)+(E613*F613)</f>
        <v>3.7278000000000002</v>
      </c>
      <c r="K613" s="92">
        <f>IF(E613=0.3,J613,0)</f>
        <v>0</v>
      </c>
      <c r="L613" s="92">
        <f>IF(AND(E613&gt;0.3,E613&lt;=0.75),J613,0)</f>
        <v>0</v>
      </c>
      <c r="M613" s="92">
        <f>IF(AND(E613&gt;0.75,E613&lt;=1.2),J613,0)</f>
        <v>0</v>
      </c>
      <c r="N613" s="92">
        <f>IF(E613&gt;1.2,J613,0)</f>
        <v>3.7278000000000002</v>
      </c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>
        <f>SUM(X614:X620)/I613</f>
        <v>245.33989636772145</v>
      </c>
      <c r="Z613" s="10"/>
      <c r="AA613" s="10"/>
      <c r="AB613" s="10"/>
      <c r="AC613" s="10"/>
      <c r="AD613" s="10"/>
      <c r="AE613" s="10"/>
      <c r="AF613" s="10"/>
    </row>
    <row r="614" spans="1:32" s="3" customFormat="1" ht="20.100000000000001" customHeight="1" x14ac:dyDescent="0.2">
      <c r="A614" s="87"/>
      <c r="B614" s="10" t="s">
        <v>67</v>
      </c>
      <c r="C614" s="93" t="s">
        <v>69</v>
      </c>
      <c r="D614" s="10">
        <v>16</v>
      </c>
      <c r="E614" s="10"/>
      <c r="F614" s="10">
        <v>3</v>
      </c>
      <c r="G614" s="90">
        <f>VLOOKUP(D614,$C$20:$F$26,3,0)</f>
        <v>0.85</v>
      </c>
      <c r="H614" s="90"/>
      <c r="I614" s="10"/>
      <c r="J614" s="10"/>
      <c r="K614" s="10"/>
      <c r="L614" s="10"/>
      <c r="M614" s="10"/>
      <c r="N614" s="10"/>
      <c r="O614" s="10">
        <f>(E613+2*(2/2)*D613)</f>
        <v>5.9239999999999995</v>
      </c>
      <c r="P614" s="10">
        <f t="shared" ref="P614:P617" si="218">O614*F614</f>
        <v>17.771999999999998</v>
      </c>
      <c r="Q614" s="10">
        <f t="shared" ref="Q614:W630" si="219">IF($D614=Q$44,$P614*Q$45,0)</f>
        <v>0</v>
      </c>
      <c r="R614" s="10">
        <f t="shared" si="219"/>
        <v>0</v>
      </c>
      <c r="S614" s="10">
        <f t="shared" si="219"/>
        <v>0</v>
      </c>
      <c r="T614" s="10">
        <f t="shared" si="219"/>
        <v>28.06148022857143</v>
      </c>
      <c r="U614" s="10">
        <f t="shared" si="219"/>
        <v>0</v>
      </c>
      <c r="V614" s="10">
        <f t="shared" si="219"/>
        <v>0</v>
      </c>
      <c r="W614" s="10">
        <f t="shared" si="219"/>
        <v>0</v>
      </c>
      <c r="X614" s="10">
        <f t="shared" ref="X614:X620" si="220">SUM(Q614:W614)</f>
        <v>28.06148022857143</v>
      </c>
      <c r="Y614" s="10"/>
      <c r="Z614" s="10"/>
      <c r="AA614" s="10"/>
      <c r="AB614" s="10"/>
      <c r="AC614" s="10"/>
      <c r="AD614" s="10"/>
      <c r="AE614" s="10"/>
    </row>
    <row r="615" spans="1:32" s="3" customFormat="1" ht="20.100000000000001" customHeight="1" x14ac:dyDescent="0.2">
      <c r="A615" s="87"/>
      <c r="B615" s="10" t="s">
        <v>67</v>
      </c>
      <c r="C615" s="93" t="s">
        <v>112</v>
      </c>
      <c r="D615" s="10">
        <v>25</v>
      </c>
      <c r="E615" s="10"/>
      <c r="F615" s="10">
        <v>3</v>
      </c>
      <c r="G615" s="90">
        <f>VLOOKUP(D615,$C$20:$F$26,3,0)</f>
        <v>1.35</v>
      </c>
      <c r="H615" s="90"/>
      <c r="I615" s="10"/>
      <c r="J615" s="10"/>
      <c r="K615" s="10"/>
      <c r="L615" s="10"/>
      <c r="M615" s="10"/>
      <c r="N615" s="10"/>
      <c r="O615" s="10">
        <f>(1.1+1*(2/2)*D613)</f>
        <v>2.1</v>
      </c>
      <c r="P615" s="10">
        <f t="shared" si="218"/>
        <v>6.3000000000000007</v>
      </c>
      <c r="Q615" s="10">
        <f t="shared" si="219"/>
        <v>0</v>
      </c>
      <c r="R615" s="10">
        <f t="shared" si="219"/>
        <v>0</v>
      </c>
      <c r="S615" s="10">
        <f t="shared" si="219"/>
        <v>0</v>
      </c>
      <c r="T615" s="10">
        <f t="shared" si="219"/>
        <v>0</v>
      </c>
      <c r="U615" s="10">
        <f t="shared" si="219"/>
        <v>0</v>
      </c>
      <c r="V615" s="10">
        <f t="shared" si="219"/>
        <v>24.285937500000006</v>
      </c>
      <c r="W615" s="10">
        <f t="shared" si="219"/>
        <v>0</v>
      </c>
      <c r="X615" s="10">
        <f t="shared" si="220"/>
        <v>24.285937500000006</v>
      </c>
      <c r="Y615" s="10"/>
      <c r="Z615" s="10"/>
      <c r="AA615" s="10"/>
      <c r="AB615" s="10"/>
      <c r="AC615" s="10"/>
      <c r="AD615" s="10"/>
      <c r="AE615" s="10"/>
    </row>
    <row r="616" spans="1:32" s="3" customFormat="1" ht="20.100000000000001" customHeight="1" x14ac:dyDescent="0.2">
      <c r="A616" s="87"/>
      <c r="B616" s="10" t="s">
        <v>67</v>
      </c>
      <c r="C616" s="93" t="s">
        <v>112</v>
      </c>
      <c r="D616" s="10">
        <v>16</v>
      </c>
      <c r="E616" s="10"/>
      <c r="F616" s="10">
        <v>3</v>
      </c>
      <c r="G616" s="90">
        <f>VLOOKUP(D616,$C$20:$F$26,3,0)</f>
        <v>0.85</v>
      </c>
      <c r="H616" s="90"/>
      <c r="I616" s="10"/>
      <c r="J616" s="10"/>
      <c r="K616" s="10"/>
      <c r="L616" s="10"/>
      <c r="M616" s="10"/>
      <c r="N616" s="10"/>
      <c r="O616" s="10">
        <f>(1.1+1*(2/2)*D613)</f>
        <v>2.1</v>
      </c>
      <c r="P616" s="10">
        <f t="shared" si="218"/>
        <v>6.3000000000000007</v>
      </c>
      <c r="Q616" s="10">
        <f t="shared" si="219"/>
        <v>0</v>
      </c>
      <c r="R616" s="10">
        <f t="shared" si="219"/>
        <v>0</v>
      </c>
      <c r="S616" s="10">
        <f t="shared" si="219"/>
        <v>0</v>
      </c>
      <c r="T616" s="10">
        <f t="shared" si="219"/>
        <v>9.9475200000000026</v>
      </c>
      <c r="U616" s="10">
        <f t="shared" si="219"/>
        <v>0</v>
      </c>
      <c r="V616" s="10">
        <f t="shared" si="219"/>
        <v>0</v>
      </c>
      <c r="W616" s="10">
        <f t="shared" si="219"/>
        <v>0</v>
      </c>
      <c r="X616" s="10">
        <f t="shared" si="220"/>
        <v>9.9475200000000026</v>
      </c>
      <c r="Y616" s="10"/>
      <c r="Z616" s="10"/>
      <c r="AA616" s="10"/>
      <c r="AB616" s="10"/>
      <c r="AC616" s="10"/>
      <c r="AD616" s="10"/>
      <c r="AE616" s="10"/>
    </row>
    <row r="617" spans="1:32" s="3" customFormat="1" ht="20.100000000000001" customHeight="1" x14ac:dyDescent="0.2">
      <c r="A617" s="87"/>
      <c r="B617" s="10" t="s">
        <v>67</v>
      </c>
      <c r="C617" s="93" t="s">
        <v>71</v>
      </c>
      <c r="D617" s="10">
        <v>20</v>
      </c>
      <c r="E617" s="10"/>
      <c r="F617" s="10">
        <v>3</v>
      </c>
      <c r="G617" s="90">
        <f>VLOOKUP(D617,$C$20:$F$26,3,0)</f>
        <v>1.05</v>
      </c>
      <c r="H617" s="10"/>
      <c r="I617" s="10"/>
      <c r="J617" s="10"/>
      <c r="K617" s="10"/>
      <c r="L617" s="10"/>
      <c r="M617" s="10"/>
      <c r="N617" s="10"/>
      <c r="O617" s="10">
        <f>(E613+2*(2/2)*D613)</f>
        <v>5.9239999999999995</v>
      </c>
      <c r="P617" s="10">
        <f t="shared" si="218"/>
        <v>17.771999999999998</v>
      </c>
      <c r="Q617" s="10">
        <f t="shared" si="219"/>
        <v>0</v>
      </c>
      <c r="R617" s="10">
        <f t="shared" si="219"/>
        <v>0</v>
      </c>
      <c r="S617" s="10">
        <f t="shared" si="219"/>
        <v>0</v>
      </c>
      <c r="T617" s="10">
        <f t="shared" si="219"/>
        <v>0</v>
      </c>
      <c r="U617" s="10">
        <f t="shared" si="219"/>
        <v>43.846062857142854</v>
      </c>
      <c r="V617" s="10">
        <f t="shared" si="219"/>
        <v>0</v>
      </c>
      <c r="W617" s="10">
        <f t="shared" si="219"/>
        <v>0</v>
      </c>
      <c r="X617" s="10">
        <f t="shared" si="220"/>
        <v>43.846062857142854</v>
      </c>
      <c r="Y617" s="10"/>
      <c r="Z617" s="10"/>
      <c r="AA617" s="10"/>
      <c r="AB617" s="10"/>
      <c r="AC617" s="10"/>
      <c r="AD617" s="10"/>
      <c r="AE617" s="10"/>
    </row>
    <row r="618" spans="1:32" s="3" customFormat="1" ht="19.5" customHeight="1" x14ac:dyDescent="0.2">
      <c r="A618" s="87"/>
      <c r="B618" s="10" t="s">
        <v>67</v>
      </c>
      <c r="C618" s="93" t="s">
        <v>73</v>
      </c>
      <c r="D618" s="10">
        <v>10</v>
      </c>
      <c r="E618" s="10">
        <v>0.1</v>
      </c>
      <c r="F618" s="10">
        <f>ROUNDUP(E613/E618,0)</f>
        <v>40</v>
      </c>
      <c r="H618" s="10"/>
      <c r="I618" s="10"/>
      <c r="J618" s="10"/>
      <c r="K618" s="10"/>
      <c r="L618" s="10"/>
      <c r="M618" s="10"/>
      <c r="N618" s="10"/>
      <c r="O618" s="10">
        <f>(2*((G613-(2*$D$11))+(F613-(2*$D$11)))+(2*10*D618/1000))*D613</f>
        <v>1.66</v>
      </c>
      <c r="P618" s="10">
        <f>O618*F618</f>
        <v>66.399999999999991</v>
      </c>
      <c r="Q618" s="10">
        <f t="shared" si="219"/>
        <v>0</v>
      </c>
      <c r="R618" s="10">
        <f t="shared" si="219"/>
        <v>40.95457142857142</v>
      </c>
      <c r="S618" s="10">
        <f t="shared" si="219"/>
        <v>0</v>
      </c>
      <c r="T618" s="10">
        <f t="shared" si="219"/>
        <v>0</v>
      </c>
      <c r="U618" s="10">
        <f t="shared" si="219"/>
        <v>0</v>
      </c>
      <c r="V618" s="10">
        <f t="shared" si="219"/>
        <v>0</v>
      </c>
      <c r="W618" s="10">
        <f t="shared" si="219"/>
        <v>0</v>
      </c>
      <c r="X618" s="10">
        <f t="shared" si="220"/>
        <v>40.95457142857142</v>
      </c>
      <c r="Y618" s="10"/>
      <c r="Z618" s="10"/>
      <c r="AA618" s="10"/>
      <c r="AB618" s="10"/>
      <c r="AC618" s="10"/>
      <c r="AD618" s="10"/>
      <c r="AE618" s="10"/>
    </row>
    <row r="619" spans="1:32" s="2" customFormat="1" ht="20.100000000000001" customHeight="1" x14ac:dyDescent="0.2">
      <c r="B619" s="10" t="s">
        <v>67</v>
      </c>
      <c r="C619" s="93" t="s">
        <v>74</v>
      </c>
      <c r="D619" s="10">
        <f>+D618</f>
        <v>10</v>
      </c>
      <c r="E619" s="2">
        <f>+E618</f>
        <v>0.1</v>
      </c>
      <c r="F619" s="10">
        <f>ROUNDUP(E613/E619,0)</f>
        <v>40</v>
      </c>
      <c r="G619" s="3"/>
      <c r="O619" s="10">
        <f>((((G613-(2*$D$11))+(2*10*D619/1000))*D613))*1</f>
        <v>0.64</v>
      </c>
      <c r="P619" s="10">
        <f>O619*F619</f>
        <v>25.6</v>
      </c>
      <c r="Q619" s="10">
        <f t="shared" si="219"/>
        <v>0</v>
      </c>
      <c r="R619" s="10">
        <f t="shared" si="219"/>
        <v>15.789714285714286</v>
      </c>
      <c r="S619" s="10">
        <f t="shared" si="219"/>
        <v>0</v>
      </c>
      <c r="T619" s="10">
        <f t="shared" si="219"/>
        <v>0</v>
      </c>
      <c r="U619" s="10">
        <f t="shared" si="219"/>
        <v>0</v>
      </c>
      <c r="V619" s="10">
        <f t="shared" si="219"/>
        <v>0</v>
      </c>
      <c r="W619" s="10">
        <f t="shared" si="219"/>
        <v>0</v>
      </c>
      <c r="X619" s="10">
        <f t="shared" si="220"/>
        <v>15.789714285714286</v>
      </c>
    </row>
    <row r="620" spans="1:32" s="3" customFormat="1" ht="20.100000000000001" customHeight="1" x14ac:dyDescent="0.2">
      <c r="A620" s="87"/>
      <c r="B620" s="10" t="s">
        <v>67</v>
      </c>
      <c r="C620" s="93" t="s">
        <v>75</v>
      </c>
      <c r="D620" s="10">
        <f>+$D$15</f>
        <v>25</v>
      </c>
      <c r="E620" s="10">
        <f>+$E$15</f>
        <v>1</v>
      </c>
      <c r="F620" s="10">
        <f>ROUNDUP((O615+O616)/E620,0)</f>
        <v>5</v>
      </c>
      <c r="G620" s="90"/>
      <c r="H620" s="90"/>
      <c r="I620" s="10"/>
      <c r="J620" s="10"/>
      <c r="K620" s="10"/>
      <c r="L620" s="10"/>
      <c r="M620" s="10"/>
      <c r="N620" s="10"/>
      <c r="O620" s="10">
        <f>F613-$F$15</f>
        <v>0.28999999999999998</v>
      </c>
      <c r="P620" s="10">
        <f t="shared" ref="P620" si="221">O620*F620</f>
        <v>1.45</v>
      </c>
      <c r="Q620" s="10">
        <f t="shared" si="219"/>
        <v>0</v>
      </c>
      <c r="R620" s="10">
        <f t="shared" si="219"/>
        <v>0</v>
      </c>
      <c r="S620" s="10">
        <f t="shared" si="219"/>
        <v>0</v>
      </c>
      <c r="T620" s="10">
        <f t="shared" si="219"/>
        <v>0</v>
      </c>
      <c r="U620" s="10">
        <f t="shared" si="219"/>
        <v>0</v>
      </c>
      <c r="V620" s="10">
        <f t="shared" si="219"/>
        <v>5.5896205357142863</v>
      </c>
      <c r="W620" s="10">
        <f t="shared" si="219"/>
        <v>0</v>
      </c>
      <c r="X620" s="10">
        <f t="shared" si="220"/>
        <v>5.5896205357142863</v>
      </c>
      <c r="Y620" s="10"/>
      <c r="Z620" s="10"/>
      <c r="AA620" s="10"/>
      <c r="AB620" s="10"/>
      <c r="AC620" s="10"/>
      <c r="AD620" s="10"/>
      <c r="AE620" s="10"/>
    </row>
    <row r="621" spans="1:32" s="3" customFormat="1" ht="21" customHeight="1" x14ac:dyDescent="0.2">
      <c r="A621" s="10">
        <v>1</v>
      </c>
      <c r="B621" s="10" t="s">
        <v>67</v>
      </c>
      <c r="C621" s="91" t="s">
        <v>154</v>
      </c>
      <c r="D621" s="91">
        <v>1</v>
      </c>
      <c r="E621" s="91">
        <v>3.266</v>
      </c>
      <c r="F621" s="91">
        <v>0.35</v>
      </c>
      <c r="G621" s="91">
        <v>0.5</v>
      </c>
      <c r="H621" s="10">
        <f>G621-0.2</f>
        <v>0.3</v>
      </c>
      <c r="I621" s="10">
        <f>E621*F621*G621*D621</f>
        <v>0.57155</v>
      </c>
      <c r="J621" s="10">
        <f>(2*(E621)*H621*D621)+(E621*F621)</f>
        <v>3.1027</v>
      </c>
      <c r="K621" s="92">
        <f>IF(E621=0.3,J621,0)</f>
        <v>0</v>
      </c>
      <c r="L621" s="92">
        <f>IF(AND(E621&gt;0.3,E621&lt;=0.75),J621,0)</f>
        <v>0</v>
      </c>
      <c r="M621" s="92">
        <f>IF(AND(E621&gt;0.75,E621&lt;=1.2),J621,0)</f>
        <v>0</v>
      </c>
      <c r="N621" s="92">
        <f>IF(E621&gt;1.2,J621,0)</f>
        <v>3.1027</v>
      </c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>
        <f>SUM(X622:X628)/I621</f>
        <v>233.89066808303235</v>
      </c>
      <c r="Z621" s="10"/>
      <c r="AA621" s="10"/>
      <c r="AB621" s="10"/>
      <c r="AC621" s="10"/>
      <c r="AD621" s="10"/>
      <c r="AE621" s="10"/>
      <c r="AF621" s="10"/>
    </row>
    <row r="622" spans="1:32" s="3" customFormat="1" ht="20.100000000000001" customHeight="1" x14ac:dyDescent="0.2">
      <c r="A622" s="87"/>
      <c r="B622" s="10" t="s">
        <v>67</v>
      </c>
      <c r="C622" s="93" t="s">
        <v>69</v>
      </c>
      <c r="D622" s="10">
        <v>16</v>
      </c>
      <c r="E622" s="10"/>
      <c r="F622" s="10">
        <v>3</v>
      </c>
      <c r="G622" s="90">
        <f>VLOOKUP(D622,$C$20:$F$26,3,0)</f>
        <v>0.85</v>
      </c>
      <c r="H622" s="90"/>
      <c r="I622" s="10"/>
      <c r="J622" s="10"/>
      <c r="K622" s="10"/>
      <c r="L622" s="10"/>
      <c r="M622" s="10"/>
      <c r="N622" s="10"/>
      <c r="O622" s="10">
        <f>(E621+2*(2/2)*D621)</f>
        <v>5.266</v>
      </c>
      <c r="P622" s="10">
        <f t="shared" ref="P622:P625" si="222">O622*F622</f>
        <v>15.798</v>
      </c>
      <c r="Q622" s="10">
        <f t="shared" si="219"/>
        <v>0</v>
      </c>
      <c r="R622" s="10">
        <f t="shared" si="219"/>
        <v>0</v>
      </c>
      <c r="S622" s="10">
        <f t="shared" si="219"/>
        <v>0</v>
      </c>
      <c r="T622" s="10">
        <f t="shared" si="219"/>
        <v>24.944590628571429</v>
      </c>
      <c r="U622" s="10">
        <f t="shared" si="219"/>
        <v>0</v>
      </c>
      <c r="V622" s="10">
        <f t="shared" si="219"/>
        <v>0</v>
      </c>
      <c r="W622" s="10">
        <f t="shared" si="219"/>
        <v>0</v>
      </c>
      <c r="X622" s="10">
        <f t="shared" ref="X622:X628" si="223">SUM(Q622:W622)</f>
        <v>24.944590628571429</v>
      </c>
      <c r="Y622" s="10"/>
      <c r="Z622" s="10"/>
      <c r="AA622" s="10"/>
      <c r="AB622" s="10"/>
      <c r="AC622" s="10"/>
      <c r="AD622" s="10"/>
      <c r="AE622" s="10"/>
    </row>
    <row r="623" spans="1:32" s="3" customFormat="1" ht="20.100000000000001" customHeight="1" x14ac:dyDescent="0.2">
      <c r="A623" s="87"/>
      <c r="B623" s="10" t="s">
        <v>67</v>
      </c>
      <c r="C623" s="93" t="s">
        <v>112</v>
      </c>
      <c r="D623" s="10">
        <v>16</v>
      </c>
      <c r="E623" s="10"/>
      <c r="F623" s="10">
        <v>3</v>
      </c>
      <c r="G623" s="90">
        <f>VLOOKUP(D623,$C$20:$F$26,3,0)</f>
        <v>0.85</v>
      </c>
      <c r="H623" s="90"/>
      <c r="I623" s="10"/>
      <c r="J623" s="10"/>
      <c r="K623" s="10"/>
      <c r="L623" s="10"/>
      <c r="M623" s="10"/>
      <c r="N623" s="10"/>
      <c r="O623" s="10">
        <f>(0.95+1*(2/2)*D621)</f>
        <v>1.95</v>
      </c>
      <c r="P623" s="10">
        <f t="shared" si="222"/>
        <v>5.85</v>
      </c>
      <c r="Q623" s="10">
        <f t="shared" si="219"/>
        <v>0</v>
      </c>
      <c r="R623" s="10">
        <f t="shared" si="219"/>
        <v>0</v>
      </c>
      <c r="S623" s="10">
        <f t="shared" si="219"/>
        <v>0</v>
      </c>
      <c r="T623" s="10">
        <f t="shared" si="219"/>
        <v>9.2369828571428574</v>
      </c>
      <c r="U623" s="10">
        <f t="shared" si="219"/>
        <v>0</v>
      </c>
      <c r="V623" s="10">
        <f t="shared" si="219"/>
        <v>0</v>
      </c>
      <c r="W623" s="10">
        <f t="shared" si="219"/>
        <v>0</v>
      </c>
      <c r="X623" s="10">
        <f t="shared" si="223"/>
        <v>9.2369828571428574</v>
      </c>
      <c r="Y623" s="10"/>
      <c r="Z623" s="10"/>
      <c r="AA623" s="10"/>
      <c r="AB623" s="10"/>
      <c r="AC623" s="10"/>
      <c r="AD623" s="10"/>
      <c r="AE623" s="10"/>
    </row>
    <row r="624" spans="1:32" s="3" customFormat="1" ht="20.100000000000001" customHeight="1" x14ac:dyDescent="0.2">
      <c r="A624" s="87"/>
      <c r="B624" s="10" t="s">
        <v>67</v>
      </c>
      <c r="C624" s="93" t="s">
        <v>112</v>
      </c>
      <c r="D624" s="10">
        <v>16</v>
      </c>
      <c r="E624" s="10"/>
      <c r="F624" s="10">
        <v>3</v>
      </c>
      <c r="G624" s="90">
        <f>VLOOKUP(D624,$C$20:$F$26,3,0)</f>
        <v>0.85</v>
      </c>
      <c r="H624" s="90"/>
      <c r="I624" s="10"/>
      <c r="J624" s="10"/>
      <c r="K624" s="10"/>
      <c r="L624" s="10"/>
      <c r="M624" s="10"/>
      <c r="N624" s="10"/>
      <c r="O624" s="10">
        <f>(0.95+1*(2/2)*D621)</f>
        <v>1.95</v>
      </c>
      <c r="P624" s="10">
        <f t="shared" si="222"/>
        <v>5.85</v>
      </c>
      <c r="Q624" s="10">
        <f t="shared" si="219"/>
        <v>0</v>
      </c>
      <c r="R624" s="10">
        <f t="shared" si="219"/>
        <v>0</v>
      </c>
      <c r="S624" s="10">
        <f t="shared" si="219"/>
        <v>0</v>
      </c>
      <c r="T624" s="10">
        <f t="shared" si="219"/>
        <v>9.2369828571428574</v>
      </c>
      <c r="U624" s="10">
        <f t="shared" si="219"/>
        <v>0</v>
      </c>
      <c r="V624" s="10">
        <f t="shared" si="219"/>
        <v>0</v>
      </c>
      <c r="W624" s="10">
        <f t="shared" si="219"/>
        <v>0</v>
      </c>
      <c r="X624" s="10">
        <f t="shared" si="223"/>
        <v>9.2369828571428574</v>
      </c>
      <c r="Y624" s="10"/>
      <c r="Z624" s="10"/>
      <c r="AA624" s="10"/>
      <c r="AB624" s="10"/>
      <c r="AC624" s="10"/>
      <c r="AD624" s="10"/>
      <c r="AE624" s="10"/>
    </row>
    <row r="625" spans="1:32" s="3" customFormat="1" ht="20.100000000000001" customHeight="1" x14ac:dyDescent="0.2">
      <c r="A625" s="87"/>
      <c r="B625" s="10" t="s">
        <v>67</v>
      </c>
      <c r="C625" s="93" t="s">
        <v>71</v>
      </c>
      <c r="D625" s="10">
        <v>20</v>
      </c>
      <c r="E625" s="10"/>
      <c r="F625" s="10">
        <v>3</v>
      </c>
      <c r="G625" s="90">
        <f>VLOOKUP(D625,$C$20:$F$26,3,0)</f>
        <v>1.05</v>
      </c>
      <c r="H625" s="10"/>
      <c r="I625" s="10"/>
      <c r="J625" s="10"/>
      <c r="K625" s="10"/>
      <c r="L625" s="10"/>
      <c r="M625" s="10"/>
      <c r="N625" s="10"/>
      <c r="O625" s="10">
        <f>(E621+2*(2/2)*D621)</f>
        <v>5.266</v>
      </c>
      <c r="P625" s="10">
        <f t="shared" si="222"/>
        <v>15.798</v>
      </c>
      <c r="Q625" s="10">
        <f t="shared" si="219"/>
        <v>0</v>
      </c>
      <c r="R625" s="10">
        <f t="shared" si="219"/>
        <v>0</v>
      </c>
      <c r="S625" s="10">
        <f t="shared" si="219"/>
        <v>0</v>
      </c>
      <c r="T625" s="10">
        <f t="shared" si="219"/>
        <v>0</v>
      </c>
      <c r="U625" s="10">
        <f t="shared" si="219"/>
        <v>38.975922857142855</v>
      </c>
      <c r="V625" s="10">
        <f t="shared" si="219"/>
        <v>0</v>
      </c>
      <c r="W625" s="10">
        <f t="shared" si="219"/>
        <v>0</v>
      </c>
      <c r="X625" s="10">
        <f t="shared" si="223"/>
        <v>38.975922857142855</v>
      </c>
      <c r="Y625" s="10"/>
      <c r="Z625" s="10"/>
      <c r="AA625" s="10"/>
      <c r="AB625" s="10"/>
      <c r="AC625" s="10"/>
      <c r="AD625" s="10"/>
      <c r="AE625" s="10"/>
    </row>
    <row r="626" spans="1:32" s="3" customFormat="1" ht="19.5" customHeight="1" x14ac:dyDescent="0.2">
      <c r="A626" s="87"/>
      <c r="B626" s="10" t="s">
        <v>67</v>
      </c>
      <c r="C626" s="93" t="s">
        <v>73</v>
      </c>
      <c r="D626" s="10">
        <v>10</v>
      </c>
      <c r="E626" s="10">
        <v>0.1</v>
      </c>
      <c r="F626" s="10">
        <f>ROUNDUP(E621/E626,0)</f>
        <v>33</v>
      </c>
      <c r="H626" s="10"/>
      <c r="I626" s="10"/>
      <c r="J626" s="10"/>
      <c r="K626" s="10"/>
      <c r="L626" s="10"/>
      <c r="M626" s="10"/>
      <c r="N626" s="10"/>
      <c r="O626" s="10">
        <f>(2*((G621-(2*$D$11))+(F621-(2*$D$11)))+(2*10*D626/1000))*D621</f>
        <v>1.66</v>
      </c>
      <c r="P626" s="10">
        <f>O626*F626</f>
        <v>54.779999999999994</v>
      </c>
      <c r="Q626" s="10">
        <f t="shared" si="219"/>
        <v>0</v>
      </c>
      <c r="R626" s="10">
        <f t="shared" si="219"/>
        <v>33.787521428571424</v>
      </c>
      <c r="S626" s="10">
        <f t="shared" si="219"/>
        <v>0</v>
      </c>
      <c r="T626" s="10">
        <f t="shared" si="219"/>
        <v>0</v>
      </c>
      <c r="U626" s="10">
        <f t="shared" si="219"/>
        <v>0</v>
      </c>
      <c r="V626" s="10">
        <f t="shared" si="219"/>
        <v>0</v>
      </c>
      <c r="W626" s="10">
        <f t="shared" si="219"/>
        <v>0</v>
      </c>
      <c r="X626" s="10">
        <f t="shared" si="223"/>
        <v>33.787521428571424</v>
      </c>
      <c r="Y626" s="10"/>
      <c r="Z626" s="10"/>
      <c r="AA626" s="10"/>
      <c r="AB626" s="10"/>
      <c r="AC626" s="10"/>
      <c r="AD626" s="10"/>
      <c r="AE626" s="10"/>
    </row>
    <row r="627" spans="1:32" s="2" customFormat="1" ht="20.100000000000001" customHeight="1" x14ac:dyDescent="0.2">
      <c r="B627" s="10" t="s">
        <v>67</v>
      </c>
      <c r="C627" s="93" t="s">
        <v>74</v>
      </c>
      <c r="D627" s="10">
        <f>+D626</f>
        <v>10</v>
      </c>
      <c r="E627" s="2">
        <f>+E626</f>
        <v>0.1</v>
      </c>
      <c r="F627" s="10">
        <f>ROUNDUP(E621/E627,0)</f>
        <v>33</v>
      </c>
      <c r="G627" s="3"/>
      <c r="O627" s="10">
        <f>((((G621-(2*$D$11))+(2*10*D627/1000))*D621))*1</f>
        <v>0.64</v>
      </c>
      <c r="P627" s="10">
        <f>O627*F627</f>
        <v>21.12</v>
      </c>
      <c r="Q627" s="10">
        <f t="shared" si="219"/>
        <v>0</v>
      </c>
      <c r="R627" s="10">
        <f t="shared" si="219"/>
        <v>13.026514285714287</v>
      </c>
      <c r="S627" s="10">
        <f t="shared" si="219"/>
        <v>0</v>
      </c>
      <c r="T627" s="10">
        <f t="shared" si="219"/>
        <v>0</v>
      </c>
      <c r="U627" s="10">
        <f t="shared" si="219"/>
        <v>0</v>
      </c>
      <c r="V627" s="10">
        <f t="shared" si="219"/>
        <v>0</v>
      </c>
      <c r="W627" s="10">
        <f t="shared" si="219"/>
        <v>0</v>
      </c>
      <c r="X627" s="10">
        <f t="shared" si="223"/>
        <v>13.026514285714287</v>
      </c>
    </row>
    <row r="628" spans="1:32" s="3" customFormat="1" ht="20.100000000000001" customHeight="1" x14ac:dyDescent="0.2">
      <c r="A628" s="87"/>
      <c r="B628" s="10" t="s">
        <v>67</v>
      </c>
      <c r="C628" s="93" t="s">
        <v>75</v>
      </c>
      <c r="D628" s="10">
        <f>+$D$15</f>
        <v>25</v>
      </c>
      <c r="E628" s="10">
        <f>+$E$15</f>
        <v>1</v>
      </c>
      <c r="F628" s="10">
        <f>ROUNDUP((O623+O624)/E628,0)</f>
        <v>4</v>
      </c>
      <c r="G628" s="90"/>
      <c r="H628" s="90"/>
      <c r="I628" s="10"/>
      <c r="J628" s="10"/>
      <c r="K628" s="10"/>
      <c r="L628" s="10"/>
      <c r="M628" s="10"/>
      <c r="N628" s="10"/>
      <c r="O628" s="10">
        <f>F621-$F$15</f>
        <v>0.28999999999999998</v>
      </c>
      <c r="P628" s="10">
        <f t="shared" ref="P628" si="224">O628*F628</f>
        <v>1.1599999999999999</v>
      </c>
      <c r="Q628" s="10">
        <f t="shared" si="219"/>
        <v>0</v>
      </c>
      <c r="R628" s="10">
        <f t="shared" si="219"/>
        <v>0</v>
      </c>
      <c r="S628" s="10">
        <f t="shared" si="219"/>
        <v>0</v>
      </c>
      <c r="T628" s="10">
        <f t="shared" si="219"/>
        <v>0</v>
      </c>
      <c r="U628" s="10">
        <f t="shared" si="219"/>
        <v>0</v>
      </c>
      <c r="V628" s="10">
        <f t="shared" si="219"/>
        <v>4.4716964285714287</v>
      </c>
      <c r="W628" s="10">
        <f t="shared" si="219"/>
        <v>0</v>
      </c>
      <c r="X628" s="10">
        <f t="shared" si="223"/>
        <v>4.4716964285714287</v>
      </c>
      <c r="Y628" s="10"/>
      <c r="Z628" s="10"/>
      <c r="AA628" s="10"/>
      <c r="AB628" s="10"/>
      <c r="AC628" s="10"/>
      <c r="AD628" s="10"/>
      <c r="AE628" s="10"/>
    </row>
    <row r="629" spans="1:32" s="3" customFormat="1" ht="21" customHeight="1" x14ac:dyDescent="0.2">
      <c r="A629" s="10">
        <v>1</v>
      </c>
      <c r="B629" s="10" t="s">
        <v>67</v>
      </c>
      <c r="C629" s="91" t="s">
        <v>155</v>
      </c>
      <c r="D629" s="91">
        <v>1</v>
      </c>
      <c r="E629" s="91">
        <v>3</v>
      </c>
      <c r="F629" s="91">
        <v>0.35</v>
      </c>
      <c r="G629" s="91">
        <v>0.5</v>
      </c>
      <c r="H629" s="10">
        <f>G629-0.2</f>
        <v>0.3</v>
      </c>
      <c r="I629" s="10">
        <f>E629*F629*G629*D629</f>
        <v>0.52499999999999991</v>
      </c>
      <c r="J629" s="10">
        <f>(2*(E629)*H629*D629)+(E629*F629)</f>
        <v>2.8499999999999996</v>
      </c>
      <c r="K629" s="92">
        <f>IF(E629=0.3,J629,0)</f>
        <v>0</v>
      </c>
      <c r="L629" s="92">
        <f>IF(AND(E629&gt;0.3,E629&lt;=0.75),J629,0)</f>
        <v>0</v>
      </c>
      <c r="M629" s="92">
        <f>IF(AND(E629&gt;0.75,E629&lt;=1.2),J629,0)</f>
        <v>0</v>
      </c>
      <c r="N629" s="92">
        <f>IF(E629&gt;1.2,J629,0)</f>
        <v>2.8499999999999996</v>
      </c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>
        <f>SUM(X630:X636)/I629</f>
        <v>245.20874115646262</v>
      </c>
      <c r="Z629" s="10"/>
      <c r="AA629" s="10"/>
      <c r="AB629" s="10"/>
      <c r="AC629" s="10"/>
      <c r="AD629" s="10"/>
      <c r="AE629" s="10"/>
      <c r="AF629" s="10"/>
    </row>
    <row r="630" spans="1:32" s="3" customFormat="1" ht="20.100000000000001" customHeight="1" x14ac:dyDescent="0.2">
      <c r="A630" s="87"/>
      <c r="B630" s="10" t="s">
        <v>67</v>
      </c>
      <c r="C630" s="93" t="s">
        <v>69</v>
      </c>
      <c r="D630" s="10">
        <v>16</v>
      </c>
      <c r="E630" s="10"/>
      <c r="F630" s="10">
        <v>3</v>
      </c>
      <c r="G630" s="90">
        <f>VLOOKUP(D630,$C$20:$F$26,3,0)</f>
        <v>0.85</v>
      </c>
      <c r="H630" s="90"/>
      <c r="I630" s="10"/>
      <c r="J630" s="10"/>
      <c r="K630" s="10"/>
      <c r="L630" s="10"/>
      <c r="M630" s="10"/>
      <c r="N630" s="10"/>
      <c r="O630" s="10">
        <f>(E629+2*(2/2)*D629)</f>
        <v>5</v>
      </c>
      <c r="P630" s="10">
        <f t="shared" ref="P630:P633" si="225">O630*F630</f>
        <v>15</v>
      </c>
      <c r="Q630" s="10">
        <f t="shared" si="219"/>
        <v>0</v>
      </c>
      <c r="R630" s="10">
        <f t="shared" si="219"/>
        <v>0</v>
      </c>
      <c r="S630" s="10">
        <f t="shared" si="219"/>
        <v>0</v>
      </c>
      <c r="T630" s="10">
        <f t="shared" si="219"/>
        <v>23.684571428571431</v>
      </c>
      <c r="U630" s="10">
        <f t="shared" si="219"/>
        <v>0</v>
      </c>
      <c r="V630" s="10">
        <f t="shared" si="219"/>
        <v>0</v>
      </c>
      <c r="W630" s="10">
        <f t="shared" si="219"/>
        <v>0</v>
      </c>
      <c r="X630" s="10">
        <f t="shared" ref="X630:X636" si="226">SUM(Q630:W630)</f>
        <v>23.684571428571431</v>
      </c>
      <c r="Y630" s="10"/>
      <c r="Z630" s="10"/>
      <c r="AA630" s="10"/>
      <c r="AB630" s="10"/>
      <c r="AC630" s="10"/>
      <c r="AD630" s="10"/>
      <c r="AE630" s="10"/>
    </row>
    <row r="631" spans="1:32" s="3" customFormat="1" ht="20.100000000000001" customHeight="1" x14ac:dyDescent="0.2">
      <c r="A631" s="87"/>
      <c r="B631" s="10" t="s">
        <v>67</v>
      </c>
      <c r="C631" s="93" t="s">
        <v>112</v>
      </c>
      <c r="D631" s="10">
        <v>16</v>
      </c>
      <c r="E631" s="10"/>
      <c r="F631" s="10">
        <v>3</v>
      </c>
      <c r="G631" s="90">
        <f>VLOOKUP(D631,$C$20:$F$26,3,0)</f>
        <v>0.85</v>
      </c>
      <c r="H631" s="90"/>
      <c r="I631" s="10"/>
      <c r="J631" s="10"/>
      <c r="K631" s="10"/>
      <c r="L631" s="10"/>
      <c r="M631" s="10"/>
      <c r="N631" s="10"/>
      <c r="O631" s="10">
        <f>(1.1+1*(2/2)*D629)</f>
        <v>2.1</v>
      </c>
      <c r="P631" s="10">
        <f>O631*F631</f>
        <v>6.3000000000000007</v>
      </c>
      <c r="Q631" s="10">
        <f t="shared" ref="Q631:W636" si="227">IF($D631=Q$44,$P631*Q$45,0)</f>
        <v>0</v>
      </c>
      <c r="R631" s="10">
        <f t="shared" si="227"/>
        <v>0</v>
      </c>
      <c r="S631" s="10">
        <f t="shared" si="227"/>
        <v>0</v>
      </c>
      <c r="T631" s="10">
        <f t="shared" si="227"/>
        <v>9.9475200000000026</v>
      </c>
      <c r="U631" s="10">
        <f t="shared" si="227"/>
        <v>0</v>
      </c>
      <c r="V631" s="10">
        <f t="shared" si="227"/>
        <v>0</v>
      </c>
      <c r="W631" s="10">
        <f t="shared" si="227"/>
        <v>0</v>
      </c>
      <c r="X631" s="10">
        <f t="shared" si="226"/>
        <v>9.9475200000000026</v>
      </c>
      <c r="Y631" s="10"/>
      <c r="Z631" s="10"/>
      <c r="AA631" s="10"/>
      <c r="AB631" s="10"/>
      <c r="AC631" s="10"/>
      <c r="AD631" s="10"/>
      <c r="AE631" s="10"/>
    </row>
    <row r="632" spans="1:32" s="3" customFormat="1" ht="20.100000000000001" customHeight="1" x14ac:dyDescent="0.2">
      <c r="A632" s="87"/>
      <c r="B632" s="10" t="s">
        <v>67</v>
      </c>
      <c r="C632" s="93" t="s">
        <v>112</v>
      </c>
      <c r="D632" s="10">
        <v>16</v>
      </c>
      <c r="E632" s="10"/>
      <c r="F632" s="10">
        <v>3</v>
      </c>
      <c r="G632" s="90">
        <f>VLOOKUP(D632,$C$20:$F$26,3,0)</f>
        <v>0.85</v>
      </c>
      <c r="H632" s="90"/>
      <c r="I632" s="10"/>
      <c r="J632" s="10"/>
      <c r="K632" s="10"/>
      <c r="L632" s="10"/>
      <c r="M632" s="10"/>
      <c r="N632" s="10"/>
      <c r="O632" s="10">
        <f>(1.1+1*(2/2)*D629)</f>
        <v>2.1</v>
      </c>
      <c r="P632" s="10">
        <f t="shared" si="225"/>
        <v>6.3000000000000007</v>
      </c>
      <c r="Q632" s="10">
        <f t="shared" si="227"/>
        <v>0</v>
      </c>
      <c r="R632" s="10">
        <f t="shared" si="227"/>
        <v>0</v>
      </c>
      <c r="S632" s="10">
        <f t="shared" si="227"/>
        <v>0</v>
      </c>
      <c r="T632" s="10">
        <f t="shared" si="227"/>
        <v>9.9475200000000026</v>
      </c>
      <c r="U632" s="10">
        <f t="shared" si="227"/>
        <v>0</v>
      </c>
      <c r="V632" s="10">
        <f t="shared" si="227"/>
        <v>0</v>
      </c>
      <c r="W632" s="10">
        <f t="shared" si="227"/>
        <v>0</v>
      </c>
      <c r="X632" s="10">
        <f t="shared" si="226"/>
        <v>9.9475200000000026</v>
      </c>
      <c r="Y632" s="10"/>
      <c r="Z632" s="10"/>
      <c r="AA632" s="10"/>
      <c r="AB632" s="10"/>
      <c r="AC632" s="10"/>
      <c r="AD632" s="10"/>
      <c r="AE632" s="10"/>
    </row>
    <row r="633" spans="1:32" s="3" customFormat="1" ht="20.100000000000001" customHeight="1" x14ac:dyDescent="0.2">
      <c r="A633" s="87"/>
      <c r="B633" s="10" t="s">
        <v>67</v>
      </c>
      <c r="C633" s="93" t="s">
        <v>71</v>
      </c>
      <c r="D633" s="10">
        <v>20</v>
      </c>
      <c r="E633" s="10"/>
      <c r="F633" s="10">
        <v>3</v>
      </c>
      <c r="G633" s="90">
        <f>VLOOKUP(D633,$C$20:$F$26,3,0)</f>
        <v>1.05</v>
      </c>
      <c r="H633" s="10"/>
      <c r="I633" s="10"/>
      <c r="J633" s="10"/>
      <c r="K633" s="10"/>
      <c r="L633" s="10"/>
      <c r="M633" s="10"/>
      <c r="N633" s="10"/>
      <c r="O633" s="10">
        <f>(E629+2*(2/2)*D629)</f>
        <v>5</v>
      </c>
      <c r="P633" s="10">
        <f t="shared" si="225"/>
        <v>15</v>
      </c>
      <c r="Q633" s="10">
        <f t="shared" si="227"/>
        <v>0</v>
      </c>
      <c r="R633" s="10">
        <f t="shared" si="227"/>
        <v>0</v>
      </c>
      <c r="S633" s="10">
        <f t="shared" si="227"/>
        <v>0</v>
      </c>
      <c r="T633" s="10">
        <f t="shared" si="227"/>
        <v>0</v>
      </c>
      <c r="U633" s="10">
        <f t="shared" si="227"/>
        <v>37.007142857142853</v>
      </c>
      <c r="V633" s="10">
        <f t="shared" si="227"/>
        <v>0</v>
      </c>
      <c r="W633" s="10">
        <f t="shared" si="227"/>
        <v>0</v>
      </c>
      <c r="X633" s="10">
        <f t="shared" si="226"/>
        <v>37.007142857142853</v>
      </c>
      <c r="Y633" s="10"/>
      <c r="Z633" s="10"/>
      <c r="AA633" s="10"/>
      <c r="AB633" s="10"/>
      <c r="AC633" s="10"/>
      <c r="AD633" s="10"/>
      <c r="AE633" s="10"/>
    </row>
    <row r="634" spans="1:32" s="3" customFormat="1" ht="19.5" customHeight="1" x14ac:dyDescent="0.2">
      <c r="A634" s="87"/>
      <c r="B634" s="10" t="s">
        <v>67</v>
      </c>
      <c r="C634" s="93" t="s">
        <v>73</v>
      </c>
      <c r="D634" s="10">
        <v>10</v>
      </c>
      <c r="E634" s="10">
        <v>0.1</v>
      </c>
      <c r="F634" s="10">
        <f>ROUNDUP(E629/E634,0)</f>
        <v>30</v>
      </c>
      <c r="H634" s="10"/>
      <c r="I634" s="10"/>
      <c r="J634" s="10"/>
      <c r="K634" s="10"/>
      <c r="L634" s="10"/>
      <c r="M634" s="10"/>
      <c r="N634" s="10"/>
      <c r="O634" s="10">
        <f>(2*((G629-(2*$D$11))+(F629-(2*$D$11)))+(2*10*D634/1000))*D629</f>
        <v>1.66</v>
      </c>
      <c r="P634" s="10">
        <f>O634*F634</f>
        <v>49.8</v>
      </c>
      <c r="Q634" s="10">
        <f t="shared" si="227"/>
        <v>0</v>
      </c>
      <c r="R634" s="10">
        <f t="shared" si="227"/>
        <v>30.71592857142857</v>
      </c>
      <c r="S634" s="10">
        <f t="shared" si="227"/>
        <v>0</v>
      </c>
      <c r="T634" s="10">
        <f t="shared" si="227"/>
        <v>0</v>
      </c>
      <c r="U634" s="10">
        <f t="shared" si="227"/>
        <v>0</v>
      </c>
      <c r="V634" s="10">
        <f t="shared" si="227"/>
        <v>0</v>
      </c>
      <c r="W634" s="10">
        <f t="shared" si="227"/>
        <v>0</v>
      </c>
      <c r="X634" s="10">
        <f t="shared" si="226"/>
        <v>30.71592857142857</v>
      </c>
      <c r="Y634" s="10"/>
      <c r="Z634" s="10"/>
      <c r="AA634" s="10"/>
      <c r="AB634" s="10"/>
      <c r="AC634" s="10"/>
      <c r="AD634" s="10"/>
      <c r="AE634" s="10"/>
    </row>
    <row r="635" spans="1:32" s="2" customFormat="1" ht="20.100000000000001" customHeight="1" x14ac:dyDescent="0.2">
      <c r="B635" s="10" t="s">
        <v>67</v>
      </c>
      <c r="C635" s="93" t="s">
        <v>74</v>
      </c>
      <c r="D635" s="10">
        <f>+D634</f>
        <v>10</v>
      </c>
      <c r="E635" s="2">
        <f>+E634</f>
        <v>0.1</v>
      </c>
      <c r="F635" s="10">
        <f>ROUNDUP(E629/E635,0)</f>
        <v>30</v>
      </c>
      <c r="G635" s="3"/>
      <c r="O635" s="10">
        <f>((((G629-(2*$D$11))+(2*10*D635/1000))*D629))*1</f>
        <v>0.64</v>
      </c>
      <c r="P635" s="10">
        <f>O635*F635</f>
        <v>19.2</v>
      </c>
      <c r="Q635" s="10">
        <f t="shared" si="227"/>
        <v>0</v>
      </c>
      <c r="R635" s="10">
        <f t="shared" si="227"/>
        <v>11.842285714285714</v>
      </c>
      <c r="S635" s="10">
        <f t="shared" si="227"/>
        <v>0</v>
      </c>
      <c r="T635" s="10">
        <f t="shared" si="227"/>
        <v>0</v>
      </c>
      <c r="U635" s="10">
        <f t="shared" si="227"/>
        <v>0</v>
      </c>
      <c r="V635" s="10">
        <f t="shared" si="227"/>
        <v>0</v>
      </c>
      <c r="W635" s="10">
        <f t="shared" si="227"/>
        <v>0</v>
      </c>
      <c r="X635" s="10">
        <f t="shared" si="226"/>
        <v>11.842285714285714</v>
      </c>
    </row>
    <row r="636" spans="1:32" s="3" customFormat="1" ht="20.100000000000001" customHeight="1" x14ac:dyDescent="0.2">
      <c r="A636" s="87"/>
      <c r="B636" s="10" t="s">
        <v>67</v>
      </c>
      <c r="C636" s="93" t="s">
        <v>75</v>
      </c>
      <c r="D636" s="10">
        <f>+$D$15</f>
        <v>25</v>
      </c>
      <c r="E636" s="10">
        <f>+$E$15</f>
        <v>1</v>
      </c>
      <c r="F636" s="10">
        <f>ROUNDUP((O631+O632)/E636,0)</f>
        <v>5</v>
      </c>
      <c r="G636" s="90"/>
      <c r="H636" s="90"/>
      <c r="I636" s="10"/>
      <c r="J636" s="10"/>
      <c r="K636" s="10"/>
      <c r="L636" s="10"/>
      <c r="M636" s="10"/>
      <c r="N636" s="10"/>
      <c r="O636" s="10">
        <f>F629-$F$15</f>
        <v>0.28999999999999998</v>
      </c>
      <c r="P636" s="10">
        <f t="shared" ref="P636" si="228">O636*F636</f>
        <v>1.45</v>
      </c>
      <c r="Q636" s="10">
        <f t="shared" si="227"/>
        <v>0</v>
      </c>
      <c r="R636" s="10">
        <f t="shared" si="227"/>
        <v>0</v>
      </c>
      <c r="S636" s="10">
        <f t="shared" si="227"/>
        <v>0</v>
      </c>
      <c r="T636" s="10">
        <f t="shared" si="227"/>
        <v>0</v>
      </c>
      <c r="U636" s="10">
        <f t="shared" si="227"/>
        <v>0</v>
      </c>
      <c r="V636" s="10">
        <f t="shared" si="227"/>
        <v>5.5896205357142863</v>
      </c>
      <c r="W636" s="10">
        <f t="shared" si="227"/>
        <v>0</v>
      </c>
      <c r="X636" s="10">
        <f t="shared" si="226"/>
        <v>5.5896205357142863</v>
      </c>
      <c r="Y636" s="10"/>
      <c r="Z636" s="10"/>
      <c r="AA636" s="10"/>
      <c r="AB636" s="10"/>
      <c r="AC636" s="10"/>
      <c r="AD636" s="10"/>
      <c r="AE636" s="10"/>
    </row>
    <row r="637" spans="1:32" s="3" customFormat="1" ht="21" customHeight="1" x14ac:dyDescent="0.2">
      <c r="A637" s="10">
        <v>1</v>
      </c>
      <c r="B637" s="10" t="s">
        <v>67</v>
      </c>
      <c r="C637" s="91" t="s">
        <v>156</v>
      </c>
      <c r="D637" s="91">
        <v>1</v>
      </c>
      <c r="E637" s="91">
        <v>2.94</v>
      </c>
      <c r="F637" s="91">
        <v>0.35</v>
      </c>
      <c r="G637" s="91">
        <v>0.5</v>
      </c>
      <c r="H637" s="10">
        <f>G637-0.2</f>
        <v>0.3</v>
      </c>
      <c r="I637" s="10">
        <f>E637*F637*G637*D637</f>
        <v>0.51449999999999996</v>
      </c>
      <c r="J637" s="10">
        <f>(2*(E637)*H637*D637)+(E637*F637)</f>
        <v>2.7930000000000001</v>
      </c>
      <c r="K637" s="92">
        <f>IF(E637=0.3,J637,0)</f>
        <v>0</v>
      </c>
      <c r="L637" s="92">
        <f>IF(AND(E637&gt;0.3,E637&lt;=0.75),J637,0)</f>
        <v>0</v>
      </c>
      <c r="M637" s="92">
        <f>IF(AND(E637&gt;0.75,E637&lt;=1.2),J637,0)</f>
        <v>0</v>
      </c>
      <c r="N637" s="92">
        <f>IF(E637&gt;1.2,J637,0)</f>
        <v>2.7930000000000001</v>
      </c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>
        <f>SUM(X638:X643)/I637</f>
        <v>218.72899757045678</v>
      </c>
      <c r="Z637" s="10"/>
      <c r="AA637" s="10"/>
      <c r="AB637" s="10"/>
      <c r="AC637" s="10"/>
      <c r="AD637" s="10"/>
      <c r="AE637" s="10"/>
      <c r="AF637" s="10"/>
    </row>
    <row r="638" spans="1:32" s="3" customFormat="1" ht="20.100000000000001" customHeight="1" x14ac:dyDescent="0.2">
      <c r="A638" s="87"/>
      <c r="B638" s="10" t="s">
        <v>67</v>
      </c>
      <c r="C638" s="93" t="s">
        <v>69</v>
      </c>
      <c r="D638" s="10">
        <v>16</v>
      </c>
      <c r="E638" s="10"/>
      <c r="F638" s="10">
        <v>3</v>
      </c>
      <c r="G638" s="90">
        <f>VLOOKUP(D638,$C$20:$F$26,3,0)</f>
        <v>0.85</v>
      </c>
      <c r="H638" s="90"/>
      <c r="I638" s="10"/>
      <c r="J638" s="10"/>
      <c r="K638" s="10"/>
      <c r="L638" s="10"/>
      <c r="M638" s="10"/>
      <c r="N638" s="10"/>
      <c r="O638" s="10">
        <f>(E637+1*(G638+1*(2/2)*D637))</f>
        <v>4.79</v>
      </c>
      <c r="P638" s="10">
        <f t="shared" ref="P638" si="229">O638*F638</f>
        <v>14.370000000000001</v>
      </c>
      <c r="Q638" s="10">
        <f t="shared" ref="Q638:W643" si="230">IF($D638=Q$44,$P638*Q$45,0)</f>
        <v>0</v>
      </c>
      <c r="R638" s="10">
        <f t="shared" si="230"/>
        <v>0</v>
      </c>
      <c r="S638" s="10">
        <f t="shared" si="230"/>
        <v>0</v>
      </c>
      <c r="T638" s="10">
        <f t="shared" si="230"/>
        <v>22.689819428571433</v>
      </c>
      <c r="U638" s="10">
        <f t="shared" si="230"/>
        <v>0</v>
      </c>
      <c r="V638" s="10">
        <f t="shared" si="230"/>
        <v>0</v>
      </c>
      <c r="W638" s="10">
        <f t="shared" si="230"/>
        <v>0</v>
      </c>
      <c r="X638" s="10">
        <f t="shared" ref="X638:X643" si="231">SUM(Q638:W638)</f>
        <v>22.689819428571433</v>
      </c>
      <c r="Y638" s="10"/>
      <c r="Z638" s="10"/>
      <c r="AA638" s="10"/>
      <c r="AB638" s="10"/>
      <c r="AC638" s="10"/>
      <c r="AD638" s="10"/>
      <c r="AE638" s="10"/>
    </row>
    <row r="639" spans="1:32" s="3" customFormat="1" ht="20.100000000000001" customHeight="1" x14ac:dyDescent="0.2">
      <c r="A639" s="87"/>
      <c r="B639" s="10" t="s">
        <v>67</v>
      </c>
      <c r="C639" s="93" t="s">
        <v>112</v>
      </c>
      <c r="D639" s="10">
        <v>16</v>
      </c>
      <c r="E639" s="10"/>
      <c r="F639" s="10">
        <v>3</v>
      </c>
      <c r="G639" s="90">
        <f>VLOOKUP(D639,$C$20:$F$26,3,0)</f>
        <v>0.85</v>
      </c>
      <c r="H639" s="90"/>
      <c r="I639" s="10"/>
      <c r="J639" s="10"/>
      <c r="K639" s="10"/>
      <c r="L639" s="10"/>
      <c r="M639" s="10"/>
      <c r="N639" s="10"/>
      <c r="O639" s="10">
        <f>(0.95+1*(2/2)*D637)</f>
        <v>1.95</v>
      </c>
      <c r="P639" s="10">
        <f>O639*F639</f>
        <v>5.85</v>
      </c>
      <c r="Q639" s="10">
        <f t="shared" si="230"/>
        <v>0</v>
      </c>
      <c r="R639" s="10">
        <f t="shared" si="230"/>
        <v>0</v>
      </c>
      <c r="S639" s="10">
        <f t="shared" si="230"/>
        <v>0</v>
      </c>
      <c r="T639" s="10">
        <f t="shared" si="230"/>
        <v>9.2369828571428574</v>
      </c>
      <c r="U639" s="10">
        <f t="shared" si="230"/>
        <v>0</v>
      </c>
      <c r="V639" s="10">
        <f t="shared" si="230"/>
        <v>0</v>
      </c>
      <c r="W639" s="10">
        <f t="shared" si="230"/>
        <v>0</v>
      </c>
      <c r="X639" s="10">
        <f t="shared" si="231"/>
        <v>9.2369828571428574</v>
      </c>
      <c r="Y639" s="10"/>
      <c r="Z639" s="10"/>
      <c r="AA639" s="10"/>
      <c r="AB639" s="10"/>
      <c r="AC639" s="10"/>
      <c r="AD639" s="10"/>
      <c r="AE639" s="10"/>
    </row>
    <row r="640" spans="1:32" s="3" customFormat="1" ht="20.100000000000001" customHeight="1" x14ac:dyDescent="0.2">
      <c r="A640" s="87"/>
      <c r="B640" s="10" t="s">
        <v>67</v>
      </c>
      <c r="C640" s="93" t="s">
        <v>71</v>
      </c>
      <c r="D640" s="10">
        <v>20</v>
      </c>
      <c r="E640" s="10"/>
      <c r="F640" s="10">
        <v>3</v>
      </c>
      <c r="G640" s="90">
        <f>VLOOKUP(D640,$C$20:$F$26,3,0)</f>
        <v>1.05</v>
      </c>
      <c r="H640" s="10"/>
      <c r="I640" s="10"/>
      <c r="J640" s="10"/>
      <c r="K640" s="10"/>
      <c r="L640" s="10"/>
      <c r="M640" s="10"/>
      <c r="N640" s="10"/>
      <c r="O640" s="10">
        <f>(E637+1*(G640+1*(2/2)*D637))</f>
        <v>4.99</v>
      </c>
      <c r="P640" s="10">
        <f t="shared" ref="P640" si="232">O640*F640</f>
        <v>14.97</v>
      </c>
      <c r="Q640" s="10">
        <f t="shared" si="230"/>
        <v>0</v>
      </c>
      <c r="R640" s="10">
        <f t="shared" si="230"/>
        <v>0</v>
      </c>
      <c r="S640" s="10">
        <f t="shared" si="230"/>
        <v>0</v>
      </c>
      <c r="T640" s="10">
        <f t="shared" si="230"/>
        <v>0</v>
      </c>
      <c r="U640" s="10">
        <f t="shared" si="230"/>
        <v>36.933128571428576</v>
      </c>
      <c r="V640" s="10">
        <f t="shared" si="230"/>
        <v>0</v>
      </c>
      <c r="W640" s="10">
        <f t="shared" si="230"/>
        <v>0</v>
      </c>
      <c r="X640" s="10">
        <f t="shared" si="231"/>
        <v>36.933128571428576</v>
      </c>
      <c r="Y640" s="10"/>
      <c r="Z640" s="10"/>
      <c r="AA640" s="10"/>
      <c r="AB640" s="10"/>
      <c r="AC640" s="10"/>
      <c r="AD640" s="10"/>
      <c r="AE640" s="10"/>
    </row>
    <row r="641" spans="1:32" s="3" customFormat="1" ht="19.5" customHeight="1" x14ac:dyDescent="0.2">
      <c r="A641" s="87"/>
      <c r="B641" s="10" t="s">
        <v>67</v>
      </c>
      <c r="C641" s="93" t="s">
        <v>73</v>
      </c>
      <c r="D641" s="10">
        <v>10</v>
      </c>
      <c r="E641" s="10">
        <v>0.1</v>
      </c>
      <c r="F641" s="10">
        <f>ROUNDUP(E637/E641,0)</f>
        <v>30</v>
      </c>
      <c r="H641" s="10"/>
      <c r="I641" s="10"/>
      <c r="J641" s="10"/>
      <c r="K641" s="10"/>
      <c r="L641" s="10"/>
      <c r="M641" s="10"/>
      <c r="N641" s="10"/>
      <c r="O641" s="10">
        <f>(2*((G637-(2*$D$11))+(F637-(2*$D$11)))+(2*10*D641/1000))*D637</f>
        <v>1.66</v>
      </c>
      <c r="P641" s="10">
        <f>O641*F641</f>
        <v>49.8</v>
      </c>
      <c r="Q641" s="10">
        <f t="shared" si="230"/>
        <v>0</v>
      </c>
      <c r="R641" s="10">
        <f t="shared" si="230"/>
        <v>30.71592857142857</v>
      </c>
      <c r="S641" s="10">
        <f t="shared" si="230"/>
        <v>0</v>
      </c>
      <c r="T641" s="10">
        <f t="shared" si="230"/>
        <v>0</v>
      </c>
      <c r="U641" s="10">
        <f t="shared" si="230"/>
        <v>0</v>
      </c>
      <c r="V641" s="10">
        <f t="shared" si="230"/>
        <v>0</v>
      </c>
      <c r="W641" s="10">
        <f t="shared" si="230"/>
        <v>0</v>
      </c>
      <c r="X641" s="10">
        <f t="shared" si="231"/>
        <v>30.71592857142857</v>
      </c>
      <c r="Y641" s="10"/>
      <c r="Z641" s="10"/>
      <c r="AA641" s="10"/>
      <c r="AB641" s="10"/>
      <c r="AC641" s="10"/>
      <c r="AD641" s="10"/>
      <c r="AE641" s="10"/>
    </row>
    <row r="642" spans="1:32" s="2" customFormat="1" ht="20.100000000000001" customHeight="1" x14ac:dyDescent="0.2">
      <c r="B642" s="10" t="s">
        <v>67</v>
      </c>
      <c r="C642" s="93" t="s">
        <v>74</v>
      </c>
      <c r="D642" s="10">
        <f>+D641</f>
        <v>10</v>
      </c>
      <c r="E642" s="2">
        <f>+E641</f>
        <v>0.1</v>
      </c>
      <c r="F642" s="10">
        <f>ROUNDUP(E637/E642,0)</f>
        <v>30</v>
      </c>
      <c r="G642" s="3"/>
      <c r="O642" s="10">
        <f>((((G637-(2*$D$11))+(2*10*D642/1000))*D637))*1</f>
        <v>0.64</v>
      </c>
      <c r="P642" s="10">
        <f>O642*F642</f>
        <v>19.2</v>
      </c>
      <c r="Q642" s="10">
        <f t="shared" si="230"/>
        <v>0</v>
      </c>
      <c r="R642" s="10">
        <f t="shared" si="230"/>
        <v>11.842285714285714</v>
      </c>
      <c r="S642" s="10">
        <f t="shared" si="230"/>
        <v>0</v>
      </c>
      <c r="T642" s="10">
        <f t="shared" si="230"/>
        <v>0</v>
      </c>
      <c r="U642" s="10">
        <f t="shared" si="230"/>
        <v>0</v>
      </c>
      <c r="V642" s="10">
        <f t="shared" si="230"/>
        <v>0</v>
      </c>
      <c r="W642" s="10">
        <f t="shared" si="230"/>
        <v>0</v>
      </c>
      <c r="X642" s="10">
        <f t="shared" si="231"/>
        <v>11.842285714285714</v>
      </c>
    </row>
    <row r="643" spans="1:32" s="3" customFormat="1" ht="20.100000000000001" customHeight="1" x14ac:dyDescent="0.2">
      <c r="A643" s="87"/>
      <c r="B643" s="10" t="s">
        <v>67</v>
      </c>
      <c r="C643" s="93" t="s">
        <v>75</v>
      </c>
      <c r="D643" s="10">
        <f>+$D$15</f>
        <v>25</v>
      </c>
      <c r="E643" s="10">
        <f>+$E$15</f>
        <v>1</v>
      </c>
      <c r="F643" s="10">
        <f>ROUNDUP((0.95)/E643,0)</f>
        <v>1</v>
      </c>
      <c r="G643" s="90"/>
      <c r="H643" s="90"/>
      <c r="I643" s="10"/>
      <c r="J643" s="10"/>
      <c r="K643" s="10"/>
      <c r="L643" s="10"/>
      <c r="M643" s="10"/>
      <c r="N643" s="10"/>
      <c r="O643" s="10">
        <f>F637-$F$15</f>
        <v>0.28999999999999998</v>
      </c>
      <c r="P643" s="10">
        <f t="shared" ref="P643" si="233">O643*F643</f>
        <v>0.28999999999999998</v>
      </c>
      <c r="Q643" s="10">
        <f t="shared" si="230"/>
        <v>0</v>
      </c>
      <c r="R643" s="10">
        <f t="shared" si="230"/>
        <v>0</v>
      </c>
      <c r="S643" s="10">
        <f t="shared" si="230"/>
        <v>0</v>
      </c>
      <c r="T643" s="10">
        <f t="shared" si="230"/>
        <v>0</v>
      </c>
      <c r="U643" s="10">
        <f t="shared" si="230"/>
        <v>0</v>
      </c>
      <c r="V643" s="10">
        <f t="shared" si="230"/>
        <v>1.1179241071428572</v>
      </c>
      <c r="W643" s="10">
        <f t="shared" si="230"/>
        <v>0</v>
      </c>
      <c r="X643" s="10">
        <f t="shared" si="231"/>
        <v>1.1179241071428572</v>
      </c>
      <c r="Y643" s="10"/>
      <c r="Z643" s="10"/>
      <c r="AA643" s="10"/>
      <c r="AB643" s="10"/>
      <c r="AC643" s="10"/>
      <c r="AD643" s="10"/>
      <c r="AE643" s="10"/>
    </row>
    <row r="644" spans="1:32" s="3" customFormat="1" ht="21" customHeight="1" x14ac:dyDescent="0.2">
      <c r="A644" s="10">
        <v>1</v>
      </c>
      <c r="B644" s="10" t="s">
        <v>67</v>
      </c>
      <c r="C644" s="91" t="s">
        <v>157</v>
      </c>
      <c r="D644" s="91">
        <v>1</v>
      </c>
      <c r="E644" s="91">
        <v>1.127</v>
      </c>
      <c r="F644" s="91">
        <v>0.4</v>
      </c>
      <c r="G644" s="91">
        <v>1.1000000000000001</v>
      </c>
      <c r="H644" s="10">
        <f>G644-0.2</f>
        <v>0.90000000000000013</v>
      </c>
      <c r="I644" s="10">
        <f>E644*F644*G644*D644</f>
        <v>0.4958800000000001</v>
      </c>
      <c r="J644" s="10">
        <f>(2*(E644)*H644*D644)+(E644*F644)</f>
        <v>2.4794000000000005</v>
      </c>
      <c r="K644" s="92">
        <f>IF(E644=0.3,J644,0)</f>
        <v>0</v>
      </c>
      <c r="L644" s="92">
        <f>IF(AND(E644&gt;0.3,E644&lt;=0.75),J644,0)</f>
        <v>0</v>
      </c>
      <c r="M644" s="92">
        <f>IF(AND(E644&gt;0.75,E644&lt;=1.2),J644,0)</f>
        <v>2.4794000000000005</v>
      </c>
      <c r="N644" s="92">
        <f>IF(E644&gt;1.2,J644,0)</f>
        <v>0</v>
      </c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>
        <f>SUM(X645:X651)/I644</f>
        <v>301.23511788566361</v>
      </c>
      <c r="Z644" s="10"/>
      <c r="AA644" s="10"/>
      <c r="AB644" s="10"/>
      <c r="AC644" s="10"/>
      <c r="AD644" s="10"/>
      <c r="AE644" s="10"/>
      <c r="AF644" s="10"/>
    </row>
    <row r="645" spans="1:32" s="3" customFormat="1" ht="20.100000000000001" customHeight="1" x14ac:dyDescent="0.2">
      <c r="A645" s="87"/>
      <c r="B645" s="10" t="s">
        <v>67</v>
      </c>
      <c r="C645" s="93" t="s">
        <v>69</v>
      </c>
      <c r="D645" s="10">
        <v>20</v>
      </c>
      <c r="E645" s="10"/>
      <c r="F645" s="10">
        <v>4</v>
      </c>
      <c r="G645" s="90">
        <f>VLOOKUP(D645,$C$20:$F$26,3,0)</f>
        <v>1.05</v>
      </c>
      <c r="H645" s="90"/>
      <c r="I645" s="10"/>
      <c r="J645" s="10"/>
      <c r="K645" s="10"/>
      <c r="L645" s="10"/>
      <c r="M645" s="10"/>
      <c r="N645" s="10"/>
      <c r="O645" s="10">
        <f>(E644+1*(G645+(12*D645/1000))+G645*D644)</f>
        <v>3.4669999999999996</v>
      </c>
      <c r="P645" s="10">
        <f t="shared" ref="P645:P648" si="234">O645*F645</f>
        <v>13.867999999999999</v>
      </c>
      <c r="Q645" s="10">
        <f t="shared" ref="Q645:W651" si="235">IF($D645=Q$44,$P645*Q$45,0)</f>
        <v>0</v>
      </c>
      <c r="R645" s="10">
        <f t="shared" si="235"/>
        <v>0</v>
      </c>
      <c r="S645" s="10">
        <f t="shared" si="235"/>
        <v>0</v>
      </c>
      <c r="T645" s="10">
        <f t="shared" si="235"/>
        <v>0</v>
      </c>
      <c r="U645" s="10">
        <f t="shared" si="235"/>
        <v>34.21433714285714</v>
      </c>
      <c r="V645" s="10">
        <f t="shared" si="235"/>
        <v>0</v>
      </c>
      <c r="W645" s="10">
        <f t="shared" si="235"/>
        <v>0</v>
      </c>
      <c r="X645" s="10">
        <f t="shared" ref="X645:X651" si="236">SUM(Q645:W645)</f>
        <v>34.21433714285714</v>
      </c>
      <c r="Y645" s="10"/>
      <c r="Z645" s="10"/>
      <c r="AA645" s="10"/>
      <c r="AB645" s="10"/>
      <c r="AC645" s="10"/>
      <c r="AD645" s="10"/>
      <c r="AE645" s="10"/>
    </row>
    <row r="646" spans="1:32" s="3" customFormat="1" ht="20.100000000000001" customHeight="1" x14ac:dyDescent="0.2">
      <c r="A646" s="87"/>
      <c r="B646" s="10" t="s">
        <v>67</v>
      </c>
      <c r="C646" s="93" t="s">
        <v>112</v>
      </c>
      <c r="D646" s="10">
        <v>16</v>
      </c>
      <c r="E646" s="10"/>
      <c r="F646" s="10">
        <v>2</v>
      </c>
      <c r="G646" s="90">
        <f>VLOOKUP(D646,$C$20:$F$26,3,0)</f>
        <v>0.85</v>
      </c>
      <c r="H646" s="90"/>
      <c r="I646" s="10"/>
      <c r="J646" s="10"/>
      <c r="K646" s="10"/>
      <c r="L646" s="10"/>
      <c r="M646" s="10"/>
      <c r="N646" s="10"/>
      <c r="O646" s="10">
        <f>(E644+1*(G646+(12*D646/1000))+G646*D644)</f>
        <v>3.0190000000000001</v>
      </c>
      <c r="P646" s="10">
        <f t="shared" si="234"/>
        <v>6.0380000000000003</v>
      </c>
      <c r="Q646" s="10">
        <f t="shared" si="235"/>
        <v>0</v>
      </c>
      <c r="R646" s="10">
        <f t="shared" si="235"/>
        <v>0</v>
      </c>
      <c r="S646" s="10">
        <f t="shared" si="235"/>
        <v>0</v>
      </c>
      <c r="T646" s="10">
        <f t="shared" si="235"/>
        <v>9.5338294857142873</v>
      </c>
      <c r="U646" s="10">
        <f t="shared" si="235"/>
        <v>0</v>
      </c>
      <c r="V646" s="10">
        <f t="shared" si="235"/>
        <v>0</v>
      </c>
      <c r="W646" s="10">
        <f t="shared" si="235"/>
        <v>0</v>
      </c>
      <c r="X646" s="10">
        <f t="shared" si="236"/>
        <v>9.5338294857142873</v>
      </c>
      <c r="Y646" s="10"/>
      <c r="Z646" s="10"/>
      <c r="AA646" s="10"/>
      <c r="AB646" s="10"/>
      <c r="AC646" s="10"/>
      <c r="AD646" s="10"/>
      <c r="AE646" s="10"/>
    </row>
    <row r="647" spans="1:32" s="3" customFormat="1" ht="20.100000000000001" customHeight="1" x14ac:dyDescent="0.2">
      <c r="A647" s="87"/>
      <c r="B647" s="10" t="s">
        <v>67</v>
      </c>
      <c r="C647" s="93" t="s">
        <v>158</v>
      </c>
      <c r="D647" s="10">
        <v>20</v>
      </c>
      <c r="E647" s="10"/>
      <c r="F647" s="10">
        <v>4</v>
      </c>
      <c r="G647" s="90">
        <f>VLOOKUP(D647,$C$20:$F$26,3,0)</f>
        <v>1.05</v>
      </c>
      <c r="H647" s="90"/>
      <c r="I647" s="10"/>
      <c r="J647" s="10"/>
      <c r="K647" s="10"/>
      <c r="L647" s="10"/>
      <c r="M647" s="10"/>
      <c r="N647" s="10"/>
      <c r="O647" s="10">
        <f>(E644+1*(G647+(12*D647/1000))+G647*D644)</f>
        <v>3.4669999999999996</v>
      </c>
      <c r="P647" s="10">
        <f t="shared" si="234"/>
        <v>13.867999999999999</v>
      </c>
      <c r="Q647" s="10">
        <f t="shared" si="235"/>
        <v>0</v>
      </c>
      <c r="R647" s="10">
        <f t="shared" si="235"/>
        <v>0</v>
      </c>
      <c r="S647" s="10">
        <f t="shared" si="235"/>
        <v>0</v>
      </c>
      <c r="T647" s="10">
        <f t="shared" si="235"/>
        <v>0</v>
      </c>
      <c r="U647" s="10">
        <f t="shared" si="235"/>
        <v>34.21433714285714</v>
      </c>
      <c r="V647" s="10">
        <f t="shared" si="235"/>
        <v>0</v>
      </c>
      <c r="W647" s="10">
        <f t="shared" si="235"/>
        <v>0</v>
      </c>
      <c r="X647" s="10">
        <f t="shared" si="236"/>
        <v>34.21433714285714</v>
      </c>
      <c r="Y647" s="10"/>
      <c r="Z647" s="10"/>
      <c r="AA647" s="10"/>
      <c r="AB647" s="10"/>
      <c r="AC647" s="10"/>
      <c r="AD647" s="10"/>
      <c r="AE647" s="10"/>
    </row>
    <row r="648" spans="1:32" s="3" customFormat="1" ht="20.100000000000001" customHeight="1" x14ac:dyDescent="0.2">
      <c r="A648" s="87"/>
      <c r="B648" s="10" t="s">
        <v>67</v>
      </c>
      <c r="C648" s="93" t="s">
        <v>159</v>
      </c>
      <c r="D648" s="10">
        <v>16</v>
      </c>
      <c r="E648" s="10"/>
      <c r="F648" s="10">
        <v>2</v>
      </c>
      <c r="G648" s="90">
        <f>VLOOKUP(D648,$C$20:$F$26,3,0)</f>
        <v>0.85</v>
      </c>
      <c r="H648" s="10"/>
      <c r="I648" s="10"/>
      <c r="J648" s="10"/>
      <c r="K648" s="10"/>
      <c r="L648" s="10"/>
      <c r="M648" s="10"/>
      <c r="N648" s="10"/>
      <c r="O648" s="10">
        <f>(E644+1*(G648+(12*D648/1000))+G648*D644)</f>
        <v>3.0190000000000001</v>
      </c>
      <c r="P648" s="10">
        <f t="shared" si="234"/>
        <v>6.0380000000000003</v>
      </c>
      <c r="Q648" s="10">
        <f t="shared" si="235"/>
        <v>0</v>
      </c>
      <c r="R648" s="10">
        <f t="shared" si="235"/>
        <v>0</v>
      </c>
      <c r="S648" s="10">
        <f t="shared" si="235"/>
        <v>0</v>
      </c>
      <c r="T648" s="10">
        <f t="shared" si="235"/>
        <v>9.5338294857142873</v>
      </c>
      <c r="U648" s="10">
        <f t="shared" si="235"/>
        <v>0</v>
      </c>
      <c r="V648" s="10">
        <f t="shared" si="235"/>
        <v>0</v>
      </c>
      <c r="W648" s="10">
        <f t="shared" si="235"/>
        <v>0</v>
      </c>
      <c r="X648" s="10">
        <f t="shared" si="236"/>
        <v>9.5338294857142873</v>
      </c>
      <c r="Y648" s="10"/>
      <c r="Z648" s="10"/>
      <c r="AA648" s="10"/>
      <c r="AB648" s="10"/>
      <c r="AC648" s="10"/>
      <c r="AD648" s="10"/>
      <c r="AE648" s="10"/>
    </row>
    <row r="649" spans="1:32" s="3" customFormat="1" ht="19.5" customHeight="1" x14ac:dyDescent="0.2">
      <c r="A649" s="87"/>
      <c r="B649" s="10" t="s">
        <v>67</v>
      </c>
      <c r="C649" s="93" t="s">
        <v>73</v>
      </c>
      <c r="D649" s="10">
        <v>12</v>
      </c>
      <c r="E649" s="10">
        <v>0.1</v>
      </c>
      <c r="F649" s="10">
        <f>ROUNDUP(E644/E649,0)</f>
        <v>12</v>
      </c>
      <c r="H649" s="10"/>
      <c r="I649" s="10"/>
      <c r="J649" s="10"/>
      <c r="K649" s="10"/>
      <c r="L649" s="10"/>
      <c r="M649" s="10"/>
      <c r="N649" s="10"/>
      <c r="O649" s="10">
        <f>(2*((G644-(2*$D$11))+(F644-(2*$D$11)))+(2*10*D649/1000))*D644</f>
        <v>3</v>
      </c>
      <c r="P649" s="10">
        <f>O649*F649</f>
        <v>36</v>
      </c>
      <c r="Q649" s="10">
        <f t="shared" si="235"/>
        <v>0</v>
      </c>
      <c r="R649" s="10">
        <f t="shared" si="235"/>
        <v>0</v>
      </c>
      <c r="S649" s="10">
        <f t="shared" si="235"/>
        <v>31.974171428571434</v>
      </c>
      <c r="T649" s="10">
        <f t="shared" si="235"/>
        <v>0</v>
      </c>
      <c r="U649" s="10">
        <f t="shared" si="235"/>
        <v>0</v>
      </c>
      <c r="V649" s="10">
        <f t="shared" si="235"/>
        <v>0</v>
      </c>
      <c r="W649" s="10">
        <f t="shared" si="235"/>
        <v>0</v>
      </c>
      <c r="X649" s="10">
        <f t="shared" si="236"/>
        <v>31.974171428571434</v>
      </c>
      <c r="Y649" s="10"/>
      <c r="Z649" s="10"/>
      <c r="AA649" s="10"/>
      <c r="AB649" s="10"/>
      <c r="AC649" s="10"/>
      <c r="AD649" s="10"/>
      <c r="AE649" s="10"/>
    </row>
    <row r="650" spans="1:32" s="2" customFormat="1" ht="20.100000000000001" customHeight="1" x14ac:dyDescent="0.2">
      <c r="B650" s="10" t="s">
        <v>67</v>
      </c>
      <c r="C650" s="93" t="s">
        <v>74</v>
      </c>
      <c r="D650" s="10">
        <f>+D649</f>
        <v>12</v>
      </c>
      <c r="E650" s="2">
        <f>+E649</f>
        <v>0.1</v>
      </c>
      <c r="F650" s="10">
        <f>ROUNDUP(E644/E650,0)</f>
        <v>12</v>
      </c>
      <c r="G650" s="3"/>
      <c r="O650" s="10">
        <f>((((G644-(2*$D$11))+(2*10*D650/1000))*D644))*2</f>
        <v>2.56</v>
      </c>
      <c r="P650" s="10">
        <f>O650*F650</f>
        <v>30.72</v>
      </c>
      <c r="Q650" s="10">
        <f t="shared" si="235"/>
        <v>0</v>
      </c>
      <c r="R650" s="10">
        <f t="shared" si="235"/>
        <v>0</v>
      </c>
      <c r="S650" s="10">
        <f t="shared" si="235"/>
        <v>27.284626285714289</v>
      </c>
      <c r="T650" s="10">
        <f t="shared" si="235"/>
        <v>0</v>
      </c>
      <c r="U650" s="10">
        <f t="shared" si="235"/>
        <v>0</v>
      </c>
      <c r="V650" s="10">
        <f t="shared" si="235"/>
        <v>0</v>
      </c>
      <c r="W650" s="10">
        <f t="shared" si="235"/>
        <v>0</v>
      </c>
      <c r="X650" s="10">
        <f t="shared" si="236"/>
        <v>27.284626285714289</v>
      </c>
    </row>
    <row r="651" spans="1:32" s="3" customFormat="1" ht="20.100000000000001" customHeight="1" x14ac:dyDescent="0.2">
      <c r="A651" s="87"/>
      <c r="B651" s="10" t="s">
        <v>67</v>
      </c>
      <c r="C651" s="93" t="s">
        <v>75</v>
      </c>
      <c r="D651" s="10">
        <f>+$D$15</f>
        <v>25</v>
      </c>
      <c r="E651" s="10">
        <f>+$E$15</f>
        <v>1</v>
      </c>
      <c r="F651" s="10">
        <f>ROUNDUP((E644)/E651,0)</f>
        <v>2</v>
      </c>
      <c r="G651" s="90"/>
      <c r="H651" s="90"/>
      <c r="I651" s="10"/>
      <c r="J651" s="10"/>
      <c r="K651" s="10"/>
      <c r="L651" s="10"/>
      <c r="M651" s="10"/>
      <c r="N651" s="10"/>
      <c r="O651" s="10">
        <f>F644-$F$15</f>
        <v>0.34</v>
      </c>
      <c r="P651" s="10">
        <f t="shared" ref="P651" si="237">O651*F651</f>
        <v>0.68</v>
      </c>
      <c r="Q651" s="10">
        <f t="shared" si="235"/>
        <v>0</v>
      </c>
      <c r="R651" s="10">
        <f t="shared" si="235"/>
        <v>0</v>
      </c>
      <c r="S651" s="10">
        <f t="shared" si="235"/>
        <v>0</v>
      </c>
      <c r="T651" s="10">
        <f t="shared" si="235"/>
        <v>0</v>
      </c>
      <c r="U651" s="10">
        <f t="shared" si="235"/>
        <v>0</v>
      </c>
      <c r="V651" s="10">
        <f t="shared" si="235"/>
        <v>2.6213392857142863</v>
      </c>
      <c r="W651" s="10">
        <f t="shared" si="235"/>
        <v>0</v>
      </c>
      <c r="X651" s="10">
        <f t="shared" si="236"/>
        <v>2.6213392857142863</v>
      </c>
      <c r="Y651" s="10"/>
      <c r="Z651" s="10"/>
      <c r="AA651" s="10"/>
      <c r="AB651" s="10"/>
      <c r="AC651" s="10"/>
      <c r="AD651" s="10"/>
      <c r="AE651" s="10"/>
    </row>
    <row r="652" spans="1:32" s="3" customFormat="1" ht="21" customHeight="1" x14ac:dyDescent="0.2">
      <c r="A652" s="10">
        <v>1</v>
      </c>
      <c r="B652" s="10" t="s">
        <v>67</v>
      </c>
      <c r="C652" s="91" t="s">
        <v>160</v>
      </c>
      <c r="D652" s="91">
        <v>1</v>
      </c>
      <c r="E652" s="91">
        <v>6.4340000000000002</v>
      </c>
      <c r="F652" s="91">
        <v>0.35</v>
      </c>
      <c r="G652" s="91">
        <v>0.5</v>
      </c>
      <c r="H652" s="10">
        <f>G652-0.2</f>
        <v>0.3</v>
      </c>
      <c r="I652" s="10">
        <f>E652*F652*G652*D652</f>
        <v>1.12595</v>
      </c>
      <c r="J652" s="10">
        <f>(2*(E652)*H652*D652)+(E652*F652)</f>
        <v>6.1122999999999994</v>
      </c>
      <c r="K652" s="92">
        <f>IF(E652=0.3,J652,0)</f>
        <v>0</v>
      </c>
      <c r="L652" s="92">
        <f>IF(AND(E652&gt;0.3,E652&lt;=0.75),J652,0)</f>
        <v>0</v>
      </c>
      <c r="M652" s="92">
        <f>IF(AND(E652&gt;0.75,E652&lt;=1.2),J652,0)</f>
        <v>0</v>
      </c>
      <c r="N652" s="92">
        <f>IF(E652&gt;1.2,J652,0)</f>
        <v>6.1122999999999994</v>
      </c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>
        <f>SUM(X653:X659)/I652</f>
        <v>441.14188336198646</v>
      </c>
      <c r="Z652" s="10"/>
      <c r="AA652" s="10"/>
      <c r="AB652" s="10"/>
      <c r="AC652" s="10"/>
      <c r="AD652" s="10"/>
      <c r="AE652" s="10"/>
      <c r="AF652" s="10"/>
    </row>
    <row r="653" spans="1:32" s="3" customFormat="1" ht="20.100000000000001" customHeight="1" x14ac:dyDescent="0.2">
      <c r="A653" s="87"/>
      <c r="B653" s="10" t="s">
        <v>67</v>
      </c>
      <c r="C653" s="93" t="s">
        <v>69</v>
      </c>
      <c r="D653" s="10">
        <v>25</v>
      </c>
      <c r="E653" s="10"/>
      <c r="F653" s="10">
        <v>4</v>
      </c>
      <c r="G653" s="90">
        <f>VLOOKUP(D653,$C$20:$F$26,3,0)</f>
        <v>1.35</v>
      </c>
      <c r="H653" s="90"/>
      <c r="I653" s="10"/>
      <c r="J653" s="10"/>
      <c r="K653" s="10"/>
      <c r="L653" s="10"/>
      <c r="M653" s="10"/>
      <c r="N653" s="10"/>
      <c r="O653" s="10">
        <f>(E652+2*(G653)*D652)</f>
        <v>9.1340000000000003</v>
      </c>
      <c r="P653" s="10">
        <f t="shared" ref="P653:P656" si="238">O653*F653</f>
        <v>36.536000000000001</v>
      </c>
      <c r="Q653" s="10">
        <f t="shared" ref="Q653:W671" si="239">IF($D653=Q$44,$P653*Q$45,0)</f>
        <v>0</v>
      </c>
      <c r="R653" s="10">
        <f t="shared" si="239"/>
        <v>0</v>
      </c>
      <c r="S653" s="10">
        <f t="shared" si="239"/>
        <v>0</v>
      </c>
      <c r="T653" s="10">
        <f t="shared" si="239"/>
        <v>0</v>
      </c>
      <c r="U653" s="10">
        <f t="shared" si="239"/>
        <v>0</v>
      </c>
      <c r="V653" s="10">
        <f t="shared" si="239"/>
        <v>140.84301785714288</v>
      </c>
      <c r="W653" s="10">
        <f t="shared" si="239"/>
        <v>0</v>
      </c>
      <c r="X653" s="10">
        <f t="shared" ref="X653:X659" si="240">SUM(Q653:W653)</f>
        <v>140.84301785714288</v>
      </c>
      <c r="Y653" s="10"/>
      <c r="Z653" s="10"/>
      <c r="AA653" s="10"/>
      <c r="AB653" s="10"/>
      <c r="AC653" s="10"/>
      <c r="AD653" s="10"/>
      <c r="AE653" s="10"/>
    </row>
    <row r="654" spans="1:32" s="3" customFormat="1" ht="20.100000000000001" customHeight="1" x14ac:dyDescent="0.2">
      <c r="A654" s="87"/>
      <c r="B654" s="10" t="s">
        <v>67</v>
      </c>
      <c r="C654" s="93" t="s">
        <v>112</v>
      </c>
      <c r="D654" s="10">
        <v>16</v>
      </c>
      <c r="E654" s="10"/>
      <c r="F654" s="10">
        <v>2</v>
      </c>
      <c r="G654" s="90">
        <f>VLOOKUP(D654,$C$20:$F$26,3,0)</f>
        <v>0.85</v>
      </c>
      <c r="H654" s="90"/>
      <c r="I654" s="10"/>
      <c r="J654" s="10"/>
      <c r="K654" s="10"/>
      <c r="L654" s="10"/>
      <c r="M654" s="10"/>
      <c r="N654" s="10"/>
      <c r="O654" s="10">
        <f>(1.6+1*(G654)*D652)</f>
        <v>2.4500000000000002</v>
      </c>
      <c r="P654" s="10">
        <f t="shared" si="238"/>
        <v>4.9000000000000004</v>
      </c>
      <c r="Q654" s="10">
        <f t="shared" si="239"/>
        <v>0</v>
      </c>
      <c r="R654" s="10">
        <f t="shared" si="239"/>
        <v>0</v>
      </c>
      <c r="S654" s="10">
        <f t="shared" si="239"/>
        <v>0</v>
      </c>
      <c r="T654" s="10">
        <f t="shared" si="239"/>
        <v>7.7369600000000007</v>
      </c>
      <c r="U654" s="10">
        <f t="shared" si="239"/>
        <v>0</v>
      </c>
      <c r="V654" s="10">
        <f t="shared" si="239"/>
        <v>0</v>
      </c>
      <c r="W654" s="10">
        <f t="shared" si="239"/>
        <v>0</v>
      </c>
      <c r="X654" s="10">
        <f t="shared" si="240"/>
        <v>7.7369600000000007</v>
      </c>
      <c r="Y654" s="10"/>
      <c r="Z654" s="10"/>
      <c r="AA654" s="10"/>
      <c r="AB654" s="10"/>
      <c r="AC654" s="10"/>
      <c r="AD654" s="10"/>
      <c r="AE654" s="10"/>
    </row>
    <row r="655" spans="1:32" s="3" customFormat="1" ht="20.100000000000001" customHeight="1" x14ac:dyDescent="0.2">
      <c r="A655" s="87"/>
      <c r="B655" s="10" t="s">
        <v>67</v>
      </c>
      <c r="C655" s="93" t="s">
        <v>112</v>
      </c>
      <c r="D655" s="10">
        <v>20</v>
      </c>
      <c r="E655" s="10"/>
      <c r="F655" s="10">
        <v>4</v>
      </c>
      <c r="G655" s="90">
        <f>VLOOKUP(D655,$C$20:$F$26,3,0)</f>
        <v>1.05</v>
      </c>
      <c r="H655" s="90"/>
      <c r="I655" s="10"/>
      <c r="J655" s="10"/>
      <c r="K655" s="10"/>
      <c r="L655" s="10"/>
      <c r="M655" s="10"/>
      <c r="N655" s="10"/>
      <c r="O655" s="10">
        <f>(1.6+1*(G655)*D652)</f>
        <v>2.6500000000000004</v>
      </c>
      <c r="P655" s="10">
        <f t="shared" si="238"/>
        <v>10.600000000000001</v>
      </c>
      <c r="Q655" s="10">
        <f t="shared" si="239"/>
        <v>0</v>
      </c>
      <c r="R655" s="10">
        <f t="shared" si="239"/>
        <v>0</v>
      </c>
      <c r="S655" s="10">
        <f t="shared" si="239"/>
        <v>0</v>
      </c>
      <c r="T655" s="10">
        <f t="shared" si="239"/>
        <v>0</v>
      </c>
      <c r="U655" s="10">
        <f t="shared" si="239"/>
        <v>26.151714285714288</v>
      </c>
      <c r="V655" s="10">
        <f t="shared" si="239"/>
        <v>0</v>
      </c>
      <c r="W655" s="10">
        <f t="shared" si="239"/>
        <v>0</v>
      </c>
      <c r="X655" s="10">
        <f t="shared" si="240"/>
        <v>26.151714285714288</v>
      </c>
      <c r="Y655" s="10"/>
      <c r="Z655" s="10"/>
      <c r="AA655" s="10"/>
      <c r="AB655" s="10"/>
      <c r="AC655" s="10"/>
      <c r="AD655" s="10"/>
      <c r="AE655" s="10"/>
    </row>
    <row r="656" spans="1:32" s="3" customFormat="1" ht="20.100000000000001" customHeight="1" x14ac:dyDescent="0.2">
      <c r="A656" s="87"/>
      <c r="B656" s="10" t="s">
        <v>67</v>
      </c>
      <c r="C656" s="93" t="s">
        <v>71</v>
      </c>
      <c r="D656" s="10">
        <v>25</v>
      </c>
      <c r="E656" s="10"/>
      <c r="F656" s="10">
        <v>4</v>
      </c>
      <c r="G656" s="90">
        <f>VLOOKUP(D656,$C$20:$F$26,3,0)</f>
        <v>1.35</v>
      </c>
      <c r="H656" s="10"/>
      <c r="I656" s="10"/>
      <c r="J656" s="10"/>
      <c r="K656" s="10"/>
      <c r="L656" s="10"/>
      <c r="M656" s="10"/>
      <c r="N656" s="10"/>
      <c r="O656" s="10">
        <f>(E652+2*(G656)*D652)</f>
        <v>9.1340000000000003</v>
      </c>
      <c r="P656" s="10">
        <f t="shared" si="238"/>
        <v>36.536000000000001</v>
      </c>
      <c r="Q656" s="10">
        <f t="shared" si="239"/>
        <v>0</v>
      </c>
      <c r="R656" s="10">
        <f t="shared" si="239"/>
        <v>0</v>
      </c>
      <c r="S656" s="10">
        <f t="shared" si="239"/>
        <v>0</v>
      </c>
      <c r="T656" s="10">
        <f t="shared" si="239"/>
        <v>0</v>
      </c>
      <c r="U656" s="10">
        <f t="shared" si="239"/>
        <v>0</v>
      </c>
      <c r="V656" s="10">
        <f t="shared" si="239"/>
        <v>140.84301785714288</v>
      </c>
      <c r="W656" s="10">
        <f t="shared" si="239"/>
        <v>0</v>
      </c>
      <c r="X656" s="10">
        <f t="shared" si="240"/>
        <v>140.84301785714288</v>
      </c>
      <c r="Y656" s="10"/>
      <c r="Z656" s="10"/>
      <c r="AA656" s="10"/>
      <c r="AB656" s="10"/>
      <c r="AC656" s="10"/>
      <c r="AD656" s="10"/>
      <c r="AE656" s="10"/>
    </row>
    <row r="657" spans="1:32" s="3" customFormat="1" ht="19.5" customHeight="1" x14ac:dyDescent="0.2">
      <c r="A657" s="87"/>
      <c r="B657" s="10" t="s">
        <v>67</v>
      </c>
      <c r="C657" s="93" t="s">
        <v>73</v>
      </c>
      <c r="D657" s="10">
        <v>12</v>
      </c>
      <c r="E657" s="10">
        <v>0.1</v>
      </c>
      <c r="F657" s="10">
        <f>ROUNDUP(E652/E657,0)</f>
        <v>65</v>
      </c>
      <c r="H657" s="10"/>
      <c r="I657" s="10"/>
      <c r="J657" s="10"/>
      <c r="K657" s="10"/>
      <c r="L657" s="10"/>
      <c r="M657" s="10"/>
      <c r="N657" s="10"/>
      <c r="O657" s="10">
        <f>(2*((G652-(2*$D$11))+(F652-(2*$D$11)))+(2*10*D657/1000))*D652</f>
        <v>1.7</v>
      </c>
      <c r="P657" s="10">
        <f>O657*F657</f>
        <v>110.5</v>
      </c>
      <c r="Q657" s="10">
        <f t="shared" si="239"/>
        <v>0</v>
      </c>
      <c r="R657" s="10">
        <f t="shared" si="239"/>
        <v>0</v>
      </c>
      <c r="S657" s="10">
        <f t="shared" si="239"/>
        <v>98.14294285714287</v>
      </c>
      <c r="T657" s="10">
        <f t="shared" si="239"/>
        <v>0</v>
      </c>
      <c r="U657" s="10">
        <f t="shared" si="239"/>
        <v>0</v>
      </c>
      <c r="V657" s="10">
        <f t="shared" si="239"/>
        <v>0</v>
      </c>
      <c r="W657" s="10">
        <f t="shared" si="239"/>
        <v>0</v>
      </c>
      <c r="X657" s="10">
        <f t="shared" si="240"/>
        <v>98.14294285714287</v>
      </c>
      <c r="Y657" s="10"/>
      <c r="Z657" s="10"/>
      <c r="AA657" s="10"/>
      <c r="AB657" s="10"/>
      <c r="AC657" s="10"/>
      <c r="AD657" s="10"/>
      <c r="AE657" s="10"/>
    </row>
    <row r="658" spans="1:32" s="2" customFormat="1" ht="20.100000000000001" customHeight="1" x14ac:dyDescent="0.2">
      <c r="B658" s="10" t="s">
        <v>67</v>
      </c>
      <c r="C658" s="93" t="s">
        <v>74</v>
      </c>
      <c r="D658" s="10">
        <f>+D657</f>
        <v>12</v>
      </c>
      <c r="E658" s="2">
        <f>+E657</f>
        <v>0.1</v>
      </c>
      <c r="F658" s="10">
        <f>ROUNDUP(E652/E658,0)</f>
        <v>65</v>
      </c>
      <c r="G658" s="3"/>
      <c r="O658" s="10">
        <f>((((G652-(2*$D$11))+(2*10*D658/1000))*D652))*2</f>
        <v>1.3599999999999999</v>
      </c>
      <c r="P658" s="10">
        <f>O658*F658</f>
        <v>88.399999999999991</v>
      </c>
      <c r="Q658" s="10">
        <f t="shared" si="239"/>
        <v>0</v>
      </c>
      <c r="R658" s="10">
        <f t="shared" si="239"/>
        <v>0</v>
      </c>
      <c r="S658" s="10">
        <f t="shared" si="239"/>
        <v>78.51435428571429</v>
      </c>
      <c r="T658" s="10">
        <f t="shared" si="239"/>
        <v>0</v>
      </c>
      <c r="U658" s="10">
        <f t="shared" si="239"/>
        <v>0</v>
      </c>
      <c r="V658" s="10">
        <f t="shared" si="239"/>
        <v>0</v>
      </c>
      <c r="W658" s="10">
        <f t="shared" si="239"/>
        <v>0</v>
      </c>
      <c r="X658" s="10">
        <f t="shared" si="240"/>
        <v>78.51435428571429</v>
      </c>
    </row>
    <row r="659" spans="1:32" s="3" customFormat="1" ht="20.100000000000001" customHeight="1" x14ac:dyDescent="0.2">
      <c r="A659" s="87"/>
      <c r="B659" s="10" t="s">
        <v>67</v>
      </c>
      <c r="C659" s="93" t="s">
        <v>75</v>
      </c>
      <c r="D659" s="10">
        <f>+$D$15</f>
        <v>25</v>
      </c>
      <c r="E659" s="10">
        <f>+$E$15</f>
        <v>1</v>
      </c>
      <c r="F659" s="10">
        <f>ROUNDUP((1.6+1.6)/E659,0)</f>
        <v>4</v>
      </c>
      <c r="G659" s="90"/>
      <c r="H659" s="90"/>
      <c r="I659" s="10"/>
      <c r="J659" s="10"/>
      <c r="K659" s="10"/>
      <c r="L659" s="10"/>
      <c r="M659" s="10"/>
      <c r="N659" s="10"/>
      <c r="O659" s="10">
        <f>F652-$F$15</f>
        <v>0.28999999999999998</v>
      </c>
      <c r="P659" s="10">
        <f t="shared" ref="P659" si="241">O659*F659</f>
        <v>1.1599999999999999</v>
      </c>
      <c r="Q659" s="10">
        <f t="shared" si="239"/>
        <v>0</v>
      </c>
      <c r="R659" s="10">
        <f t="shared" si="239"/>
        <v>0</v>
      </c>
      <c r="S659" s="10">
        <f t="shared" si="239"/>
        <v>0</v>
      </c>
      <c r="T659" s="10">
        <f t="shared" si="239"/>
        <v>0</v>
      </c>
      <c r="U659" s="10">
        <f t="shared" si="239"/>
        <v>0</v>
      </c>
      <c r="V659" s="10">
        <f t="shared" si="239"/>
        <v>4.4716964285714287</v>
      </c>
      <c r="W659" s="10">
        <f t="shared" si="239"/>
        <v>0</v>
      </c>
      <c r="X659" s="10">
        <f t="shared" si="240"/>
        <v>4.4716964285714287</v>
      </c>
      <c r="Y659" s="10"/>
      <c r="Z659" s="10"/>
      <c r="AA659" s="10"/>
      <c r="AB659" s="10"/>
      <c r="AC659" s="10"/>
      <c r="AD659" s="10"/>
      <c r="AE659" s="10"/>
    </row>
    <row r="660" spans="1:32" s="3" customFormat="1" ht="21" customHeight="1" x14ac:dyDescent="0.2">
      <c r="A660" s="10">
        <v>1</v>
      </c>
      <c r="B660" s="10" t="s">
        <v>67</v>
      </c>
      <c r="C660" s="91" t="s">
        <v>161</v>
      </c>
      <c r="D660" s="91">
        <v>1</v>
      </c>
      <c r="E660" s="91">
        <v>2.89</v>
      </c>
      <c r="F660" s="91">
        <v>0.35</v>
      </c>
      <c r="G660" s="91">
        <v>1.1000000000000001</v>
      </c>
      <c r="H660" s="10">
        <f>G660-0.2</f>
        <v>0.90000000000000013</v>
      </c>
      <c r="I660" s="10">
        <f>E660*F660*G660*D660</f>
        <v>1.1126500000000001</v>
      </c>
      <c r="J660" s="10">
        <f>(2*(E660)*H660*D660)+(E660*F660)</f>
        <v>6.2135000000000007</v>
      </c>
      <c r="K660" s="92">
        <f>IF(E660=0.3,J660,0)</f>
        <v>0</v>
      </c>
      <c r="L660" s="92">
        <f>IF(AND(E660&gt;0.3,E660&lt;=0.75),J660,0)</f>
        <v>0</v>
      </c>
      <c r="M660" s="92">
        <f>IF(AND(E660&gt;0.75,E660&lt;=1.2),J660,0)</f>
        <v>0</v>
      </c>
      <c r="N660" s="92">
        <f>IF(E660&gt;1.2,J660,0)</f>
        <v>6.2135000000000007</v>
      </c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>
        <f>SUM(X661:X669)/I660</f>
        <v>259.86044417767107</v>
      </c>
      <c r="Z660" s="10"/>
      <c r="AA660" s="10"/>
      <c r="AB660" s="10"/>
      <c r="AC660" s="10"/>
      <c r="AD660" s="10"/>
      <c r="AE660" s="10"/>
      <c r="AF660" s="10"/>
    </row>
    <row r="661" spans="1:32" s="3" customFormat="1" ht="20.100000000000001" customHeight="1" x14ac:dyDescent="0.2">
      <c r="A661" s="87"/>
      <c r="B661" s="10" t="s">
        <v>67</v>
      </c>
      <c r="C661" s="93" t="s">
        <v>69</v>
      </c>
      <c r="D661" s="10">
        <v>25</v>
      </c>
      <c r="E661" s="10"/>
      <c r="F661" s="10">
        <v>2</v>
      </c>
      <c r="G661" s="90">
        <f t="shared" ref="G661:G666" si="242">VLOOKUP(D661,$C$20:$F$26,3,0)</f>
        <v>1.35</v>
      </c>
      <c r="H661" s="90"/>
      <c r="I661" s="10"/>
      <c r="J661" s="10"/>
      <c r="K661" s="10"/>
      <c r="L661" s="10"/>
      <c r="M661" s="10"/>
      <c r="N661" s="10"/>
      <c r="O661" s="10">
        <f>(E660+1*(G661)+1*(1.5/2)*D660)</f>
        <v>4.99</v>
      </c>
      <c r="P661" s="10">
        <f t="shared" ref="P661:P666" si="243">O661*F661</f>
        <v>9.98</v>
      </c>
      <c r="Q661" s="10">
        <f t="shared" si="239"/>
        <v>0</v>
      </c>
      <c r="R661" s="10">
        <f t="shared" si="239"/>
        <v>0</v>
      </c>
      <c r="S661" s="10">
        <f t="shared" si="239"/>
        <v>0</v>
      </c>
      <c r="T661" s="10">
        <f t="shared" si="239"/>
        <v>0</v>
      </c>
      <c r="U661" s="10">
        <f t="shared" si="239"/>
        <v>0</v>
      </c>
      <c r="V661" s="10">
        <f t="shared" si="239"/>
        <v>38.472008928571434</v>
      </c>
      <c r="W661" s="10">
        <f t="shared" si="239"/>
        <v>0</v>
      </c>
      <c r="X661" s="10">
        <f t="shared" ref="X661:X669" si="244">SUM(Q661:W661)</f>
        <v>38.472008928571434</v>
      </c>
      <c r="Y661" s="10"/>
      <c r="Z661" s="10"/>
      <c r="AA661" s="10"/>
      <c r="AB661" s="10"/>
      <c r="AC661" s="10"/>
      <c r="AD661" s="10"/>
      <c r="AE661" s="10"/>
    </row>
    <row r="662" spans="1:32" s="3" customFormat="1" ht="20.100000000000001" customHeight="1" x14ac:dyDescent="0.2">
      <c r="A662" s="87"/>
      <c r="B662" s="10" t="s">
        <v>67</v>
      </c>
      <c r="C662" s="93" t="s">
        <v>112</v>
      </c>
      <c r="D662" s="10">
        <v>20</v>
      </c>
      <c r="E662" s="10"/>
      <c r="F662" s="10">
        <v>2</v>
      </c>
      <c r="G662" s="90">
        <f t="shared" si="242"/>
        <v>1.05</v>
      </c>
      <c r="H662" s="90"/>
      <c r="I662" s="10"/>
      <c r="J662" s="10"/>
      <c r="K662" s="10"/>
      <c r="L662" s="10"/>
      <c r="M662" s="10"/>
      <c r="N662" s="10"/>
      <c r="O662" s="10">
        <f>(E660+1*(G662)+1*(1.5/2)*D660)</f>
        <v>4.6900000000000004</v>
      </c>
      <c r="P662" s="10">
        <f t="shared" si="243"/>
        <v>9.3800000000000008</v>
      </c>
      <c r="Q662" s="10">
        <f t="shared" si="239"/>
        <v>0</v>
      </c>
      <c r="R662" s="10">
        <f t="shared" si="239"/>
        <v>0</v>
      </c>
      <c r="S662" s="10">
        <f t="shared" si="239"/>
        <v>0</v>
      </c>
      <c r="T662" s="10">
        <f t="shared" si="239"/>
        <v>0</v>
      </c>
      <c r="U662" s="10">
        <f t="shared" si="239"/>
        <v>23.1418</v>
      </c>
      <c r="V662" s="10">
        <f t="shared" si="239"/>
        <v>0</v>
      </c>
      <c r="W662" s="10">
        <f t="shared" si="239"/>
        <v>0</v>
      </c>
      <c r="X662" s="10">
        <f t="shared" si="244"/>
        <v>23.1418</v>
      </c>
      <c r="Y662" s="10"/>
      <c r="Z662" s="10"/>
      <c r="AA662" s="10"/>
      <c r="AB662" s="10"/>
      <c r="AC662" s="10"/>
      <c r="AD662" s="10"/>
      <c r="AE662" s="10"/>
    </row>
    <row r="663" spans="1:32" s="3" customFormat="1" ht="20.100000000000001" customHeight="1" x14ac:dyDescent="0.2">
      <c r="A663" s="87"/>
      <c r="B663" s="10" t="s">
        <v>67</v>
      </c>
      <c r="C663" s="93" t="s">
        <v>112</v>
      </c>
      <c r="D663" s="10">
        <v>25</v>
      </c>
      <c r="E663" s="10"/>
      <c r="F663" s="10">
        <v>4</v>
      </c>
      <c r="G663" s="90">
        <f t="shared" si="242"/>
        <v>1.35</v>
      </c>
      <c r="H663" s="90"/>
      <c r="I663" s="10"/>
      <c r="J663" s="10"/>
      <c r="K663" s="10"/>
      <c r="L663" s="10"/>
      <c r="M663" s="10"/>
      <c r="N663" s="10"/>
      <c r="O663" s="10">
        <f>(0.9+1*(G663)*D660)</f>
        <v>2.25</v>
      </c>
      <c r="P663" s="10">
        <f t="shared" si="243"/>
        <v>9</v>
      </c>
      <c r="Q663" s="10">
        <f t="shared" si="239"/>
        <v>0</v>
      </c>
      <c r="R663" s="10">
        <f t="shared" si="239"/>
        <v>0</v>
      </c>
      <c r="S663" s="10">
        <f t="shared" si="239"/>
        <v>0</v>
      </c>
      <c r="T663" s="10">
        <f t="shared" si="239"/>
        <v>0</v>
      </c>
      <c r="U663" s="10">
        <f t="shared" si="239"/>
        <v>0</v>
      </c>
      <c r="V663" s="10">
        <f t="shared" si="239"/>
        <v>34.694196428571431</v>
      </c>
      <c r="W663" s="10">
        <f t="shared" si="239"/>
        <v>0</v>
      </c>
      <c r="X663" s="10">
        <f t="shared" si="244"/>
        <v>34.694196428571431</v>
      </c>
      <c r="Y663" s="10"/>
      <c r="Z663" s="10"/>
      <c r="AA663" s="10"/>
      <c r="AB663" s="10"/>
      <c r="AC663" s="10"/>
      <c r="AD663" s="10"/>
      <c r="AE663" s="10"/>
    </row>
    <row r="664" spans="1:32" s="3" customFormat="1" ht="20.100000000000001" customHeight="1" x14ac:dyDescent="0.2">
      <c r="A664" s="87"/>
      <c r="B664" s="10" t="s">
        <v>67</v>
      </c>
      <c r="C664" s="93" t="s">
        <v>71</v>
      </c>
      <c r="D664" s="10">
        <v>25</v>
      </c>
      <c r="E664" s="10"/>
      <c r="F664" s="10">
        <v>2</v>
      </c>
      <c r="G664" s="90">
        <f t="shared" si="242"/>
        <v>1.35</v>
      </c>
      <c r="H664" s="10"/>
      <c r="I664" s="10"/>
      <c r="J664" s="10"/>
      <c r="K664" s="10"/>
      <c r="L664" s="10"/>
      <c r="M664" s="10"/>
      <c r="N664" s="10"/>
      <c r="O664" s="10">
        <f>(E660+1*(G664)+1*(1.5/2)*D660)</f>
        <v>4.99</v>
      </c>
      <c r="P664" s="10">
        <f t="shared" si="243"/>
        <v>9.98</v>
      </c>
      <c r="Q664" s="10">
        <f t="shared" si="239"/>
        <v>0</v>
      </c>
      <c r="R664" s="10">
        <f t="shared" si="239"/>
        <v>0</v>
      </c>
      <c r="S664" s="10">
        <f t="shared" si="239"/>
        <v>0</v>
      </c>
      <c r="T664" s="10">
        <f t="shared" si="239"/>
        <v>0</v>
      </c>
      <c r="U664" s="10">
        <f t="shared" si="239"/>
        <v>0</v>
      </c>
      <c r="V664" s="10">
        <f t="shared" si="239"/>
        <v>38.472008928571434</v>
      </c>
      <c r="W664" s="10">
        <f t="shared" si="239"/>
        <v>0</v>
      </c>
      <c r="X664" s="10">
        <f t="shared" si="244"/>
        <v>38.472008928571434</v>
      </c>
      <c r="Y664" s="10"/>
      <c r="Z664" s="10"/>
      <c r="AA664" s="10"/>
      <c r="AB664" s="10"/>
      <c r="AC664" s="10"/>
      <c r="AD664" s="10"/>
      <c r="AE664" s="10"/>
    </row>
    <row r="665" spans="1:32" s="3" customFormat="1" ht="20.100000000000001" customHeight="1" x14ac:dyDescent="0.2">
      <c r="A665" s="87"/>
      <c r="B665" s="10" t="s">
        <v>67</v>
      </c>
      <c r="C665" s="93" t="s">
        <v>116</v>
      </c>
      <c r="D665" s="10">
        <v>20</v>
      </c>
      <c r="E665" s="10"/>
      <c r="F665" s="10">
        <v>2</v>
      </c>
      <c r="G665" s="90">
        <f t="shared" si="242"/>
        <v>1.05</v>
      </c>
      <c r="H665" s="10"/>
      <c r="I665" s="10"/>
      <c r="J665" s="10"/>
      <c r="K665" s="10"/>
      <c r="L665" s="10"/>
      <c r="M665" s="10"/>
      <c r="N665" s="10"/>
      <c r="O665" s="10">
        <f>(E660+1*(G665)+1*(1.5/2)*D660)</f>
        <v>4.6900000000000004</v>
      </c>
      <c r="P665" s="10">
        <f t="shared" si="243"/>
        <v>9.3800000000000008</v>
      </c>
      <c r="Q665" s="10">
        <f t="shared" si="239"/>
        <v>0</v>
      </c>
      <c r="R665" s="10">
        <f t="shared" si="239"/>
        <v>0</v>
      </c>
      <c r="S665" s="10">
        <f t="shared" si="239"/>
        <v>0</v>
      </c>
      <c r="T665" s="10">
        <f t="shared" si="239"/>
        <v>0</v>
      </c>
      <c r="U665" s="10">
        <f t="shared" si="239"/>
        <v>23.1418</v>
      </c>
      <c r="V665" s="10">
        <f t="shared" si="239"/>
        <v>0</v>
      </c>
      <c r="W665" s="10">
        <f t="shared" si="239"/>
        <v>0</v>
      </c>
      <c r="X665" s="10">
        <f t="shared" si="244"/>
        <v>23.1418</v>
      </c>
      <c r="Y665" s="10"/>
      <c r="Z665" s="10"/>
      <c r="AA665" s="10"/>
      <c r="AB665" s="10"/>
      <c r="AC665" s="10"/>
      <c r="AD665" s="10"/>
      <c r="AE665" s="10"/>
    </row>
    <row r="666" spans="1:32" s="3" customFormat="1" ht="20.100000000000001" customHeight="1" x14ac:dyDescent="0.2">
      <c r="A666" s="87"/>
      <c r="B666" s="10" t="s">
        <v>67</v>
      </c>
      <c r="C666" s="93" t="s">
        <v>116</v>
      </c>
      <c r="D666" s="10">
        <v>25</v>
      </c>
      <c r="E666" s="10"/>
      <c r="F666" s="10">
        <v>3</v>
      </c>
      <c r="G666" s="90">
        <f t="shared" si="242"/>
        <v>1.35</v>
      </c>
      <c r="H666" s="10"/>
      <c r="I666" s="10"/>
      <c r="J666" s="10"/>
      <c r="K666" s="10"/>
      <c r="L666" s="10"/>
      <c r="M666" s="10"/>
      <c r="N666" s="10"/>
      <c r="O666" s="10">
        <f>1.5+0.6+0.6</f>
        <v>2.7</v>
      </c>
      <c r="P666" s="10">
        <f t="shared" si="243"/>
        <v>8.1000000000000014</v>
      </c>
      <c r="Q666" s="10">
        <f t="shared" si="239"/>
        <v>0</v>
      </c>
      <c r="R666" s="10">
        <f t="shared" si="239"/>
        <v>0</v>
      </c>
      <c r="S666" s="10">
        <f t="shared" si="239"/>
        <v>0</v>
      </c>
      <c r="T666" s="10">
        <f t="shared" si="239"/>
        <v>0</v>
      </c>
      <c r="U666" s="10">
        <f t="shared" si="239"/>
        <v>0</v>
      </c>
      <c r="V666" s="10">
        <f t="shared" si="239"/>
        <v>31.224776785714297</v>
      </c>
      <c r="W666" s="10">
        <f t="shared" si="239"/>
        <v>0</v>
      </c>
      <c r="X666" s="10">
        <f t="shared" si="244"/>
        <v>31.224776785714297</v>
      </c>
      <c r="Y666" s="10"/>
      <c r="Z666" s="10"/>
      <c r="AA666" s="10"/>
      <c r="AB666" s="10"/>
      <c r="AC666" s="10"/>
      <c r="AD666" s="10"/>
      <c r="AE666" s="10"/>
    </row>
    <row r="667" spans="1:32" s="3" customFormat="1" ht="19.5" customHeight="1" x14ac:dyDescent="0.2">
      <c r="A667" s="87"/>
      <c r="B667" s="10" t="s">
        <v>67</v>
      </c>
      <c r="C667" s="93" t="s">
        <v>73</v>
      </c>
      <c r="D667" s="10">
        <v>10</v>
      </c>
      <c r="E667" s="10">
        <v>0.1</v>
      </c>
      <c r="F667" s="10">
        <f>ROUNDUP(E660/E667,0)</f>
        <v>29</v>
      </c>
      <c r="H667" s="10"/>
      <c r="I667" s="10"/>
      <c r="J667" s="10"/>
      <c r="K667" s="10"/>
      <c r="L667" s="10"/>
      <c r="M667" s="10"/>
      <c r="N667" s="10"/>
      <c r="O667" s="10">
        <f>(2*((G660-(2*$D$11))+(F660-(2*$D$11)))+(2*10*D667/1000))*D660</f>
        <v>2.8600000000000003</v>
      </c>
      <c r="P667" s="10">
        <f>O667*F667</f>
        <v>82.940000000000012</v>
      </c>
      <c r="Q667" s="10">
        <f t="shared" si="239"/>
        <v>0</v>
      </c>
      <c r="R667" s="10">
        <f t="shared" si="239"/>
        <v>51.156207142857149</v>
      </c>
      <c r="S667" s="10">
        <f t="shared" si="239"/>
        <v>0</v>
      </c>
      <c r="T667" s="10">
        <f t="shared" si="239"/>
        <v>0</v>
      </c>
      <c r="U667" s="10">
        <f t="shared" si="239"/>
        <v>0</v>
      </c>
      <c r="V667" s="10">
        <f t="shared" si="239"/>
        <v>0</v>
      </c>
      <c r="W667" s="10">
        <f t="shared" si="239"/>
        <v>0</v>
      </c>
      <c r="X667" s="10">
        <f t="shared" si="244"/>
        <v>51.156207142857149</v>
      </c>
      <c r="Y667" s="10"/>
      <c r="Z667" s="10"/>
      <c r="AA667" s="10"/>
      <c r="AB667" s="10"/>
      <c r="AC667" s="10"/>
      <c r="AD667" s="10"/>
      <c r="AE667" s="10"/>
    </row>
    <row r="668" spans="1:32" s="2" customFormat="1" ht="20.100000000000001" customHeight="1" x14ac:dyDescent="0.2">
      <c r="B668" s="10" t="s">
        <v>67</v>
      </c>
      <c r="C668" s="93" t="s">
        <v>74</v>
      </c>
      <c r="D668" s="10">
        <f>+D667</f>
        <v>10</v>
      </c>
      <c r="E668" s="2">
        <f>+E667</f>
        <v>0.1</v>
      </c>
      <c r="F668" s="10">
        <f>ROUNDUP(E660/E668,0)</f>
        <v>29</v>
      </c>
      <c r="G668" s="3"/>
      <c r="O668" s="10">
        <f>((((G660-(2*$D$11))+(2*10*D668/1000))*D660))*2</f>
        <v>2.48</v>
      </c>
      <c r="P668" s="10">
        <f>O668*F668</f>
        <v>71.92</v>
      </c>
      <c r="Q668" s="10">
        <f t="shared" si="239"/>
        <v>0</v>
      </c>
      <c r="R668" s="10">
        <f t="shared" si="239"/>
        <v>44.359228571428574</v>
      </c>
      <c r="S668" s="10">
        <f t="shared" si="239"/>
        <v>0</v>
      </c>
      <c r="T668" s="10">
        <f t="shared" si="239"/>
        <v>0</v>
      </c>
      <c r="U668" s="10">
        <f t="shared" si="239"/>
        <v>0</v>
      </c>
      <c r="V668" s="10">
        <f t="shared" si="239"/>
        <v>0</v>
      </c>
      <c r="W668" s="10">
        <f t="shared" si="239"/>
        <v>0</v>
      </c>
      <c r="X668" s="10">
        <f t="shared" si="244"/>
        <v>44.359228571428574</v>
      </c>
    </row>
    <row r="669" spans="1:32" s="3" customFormat="1" ht="20.100000000000001" customHeight="1" x14ac:dyDescent="0.2">
      <c r="A669" s="87"/>
      <c r="B669" s="10" t="s">
        <v>67</v>
      </c>
      <c r="C669" s="93" t="s">
        <v>75</v>
      </c>
      <c r="D669" s="10">
        <f>+$D$15</f>
        <v>25</v>
      </c>
      <c r="E669" s="10">
        <f>+$E$15</f>
        <v>1</v>
      </c>
      <c r="F669" s="10">
        <f>ROUNDUP((0.9+O666)/E669,0)</f>
        <v>4</v>
      </c>
      <c r="G669" s="90"/>
      <c r="H669" s="90"/>
      <c r="I669" s="10"/>
      <c r="J669" s="10"/>
      <c r="K669" s="10"/>
      <c r="L669" s="10"/>
      <c r="M669" s="10"/>
      <c r="N669" s="10"/>
      <c r="O669" s="10">
        <f>F660-$F$15</f>
        <v>0.28999999999999998</v>
      </c>
      <c r="P669" s="10">
        <f t="shared" ref="P669" si="245">O669*F669</f>
        <v>1.1599999999999999</v>
      </c>
      <c r="Q669" s="10">
        <f t="shared" si="239"/>
        <v>0</v>
      </c>
      <c r="R669" s="10">
        <f t="shared" si="239"/>
        <v>0</v>
      </c>
      <c r="S669" s="10">
        <f t="shared" si="239"/>
        <v>0</v>
      </c>
      <c r="T669" s="10">
        <f t="shared" si="239"/>
        <v>0</v>
      </c>
      <c r="U669" s="10">
        <f t="shared" si="239"/>
        <v>0</v>
      </c>
      <c r="V669" s="10">
        <f t="shared" si="239"/>
        <v>4.4716964285714287</v>
      </c>
      <c r="W669" s="10">
        <f t="shared" si="239"/>
        <v>0</v>
      </c>
      <c r="X669" s="10">
        <f t="shared" si="244"/>
        <v>4.4716964285714287</v>
      </c>
      <c r="Y669" s="10"/>
      <c r="Z669" s="10"/>
      <c r="AA669" s="10"/>
      <c r="AB669" s="10"/>
      <c r="AC669" s="10"/>
      <c r="AD669" s="10"/>
      <c r="AE669" s="10"/>
    </row>
    <row r="670" spans="1:32" s="3" customFormat="1" ht="21" customHeight="1" x14ac:dyDescent="0.2">
      <c r="A670" s="10">
        <v>1</v>
      </c>
      <c r="B670" s="10" t="s">
        <v>67</v>
      </c>
      <c r="C670" s="91" t="s">
        <v>162</v>
      </c>
      <c r="D670" s="91">
        <v>1</v>
      </c>
      <c r="E670" s="91">
        <v>2.5409999999999999</v>
      </c>
      <c r="F670" s="91">
        <v>0.35</v>
      </c>
      <c r="G670" s="91">
        <v>1.1000000000000001</v>
      </c>
      <c r="H670" s="10">
        <f>G670-0.2</f>
        <v>0.90000000000000013</v>
      </c>
      <c r="I670" s="10">
        <f>E670*F670*G670*D670</f>
        <v>0.97828499999999996</v>
      </c>
      <c r="J670" s="10">
        <f>(2*(E670)*H670*D670)+(E670*F670)</f>
        <v>5.4631500000000006</v>
      </c>
      <c r="K670" s="92">
        <f>IF(E670=0.3,J670,0)</f>
        <v>0</v>
      </c>
      <c r="L670" s="92">
        <f>IF(AND(E670&gt;0.3,E670&lt;=0.75),J670,0)</f>
        <v>0</v>
      </c>
      <c r="M670" s="92">
        <f>IF(AND(E670&gt;0.75,E670&lt;=1.2),J670,0)</f>
        <v>0</v>
      </c>
      <c r="N670" s="92">
        <f>IF(E670&gt;1.2,J670,0)</f>
        <v>5.4631500000000006</v>
      </c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>
        <f>SUM(X671:X678)/I670</f>
        <v>245.82493554682802</v>
      </c>
      <c r="Z670" s="10"/>
      <c r="AA670" s="10"/>
      <c r="AB670" s="10"/>
      <c r="AC670" s="10"/>
      <c r="AD670" s="10"/>
      <c r="AE670" s="10"/>
      <c r="AF670" s="10"/>
    </row>
    <row r="671" spans="1:32" s="3" customFormat="1" ht="20.100000000000001" customHeight="1" x14ac:dyDescent="0.2">
      <c r="A671" s="87"/>
      <c r="B671" s="10" t="s">
        <v>67</v>
      </c>
      <c r="C671" s="93" t="s">
        <v>69</v>
      </c>
      <c r="D671" s="10">
        <v>25</v>
      </c>
      <c r="E671" s="10"/>
      <c r="F671" s="10">
        <v>2</v>
      </c>
      <c r="G671" s="90">
        <f>VLOOKUP(D671,$C$20:$F$26,3,0)</f>
        <v>1.35</v>
      </c>
      <c r="H671" s="90"/>
      <c r="I671" s="10"/>
      <c r="J671" s="10"/>
      <c r="K671" s="10"/>
      <c r="L671" s="10"/>
      <c r="M671" s="10"/>
      <c r="N671" s="10"/>
      <c r="O671" s="10">
        <f>(E670+1*(G671)+1*(1.5/2)*D670)</f>
        <v>4.641</v>
      </c>
      <c r="P671" s="10">
        <f t="shared" ref="P671:P675" si="246">O671*F671</f>
        <v>9.282</v>
      </c>
      <c r="Q671" s="10">
        <f t="shared" si="239"/>
        <v>0</v>
      </c>
      <c r="R671" s="10">
        <f t="shared" si="239"/>
        <v>0</v>
      </c>
      <c r="S671" s="10">
        <f t="shared" si="239"/>
        <v>0</v>
      </c>
      <c r="T671" s="10">
        <f t="shared" si="239"/>
        <v>0</v>
      </c>
      <c r="U671" s="10">
        <f t="shared" si="239"/>
        <v>0</v>
      </c>
      <c r="V671" s="10">
        <f t="shared" si="239"/>
        <v>35.781281250000006</v>
      </c>
      <c r="W671" s="10">
        <f t="shared" si="239"/>
        <v>0</v>
      </c>
      <c r="X671" s="10">
        <f t="shared" ref="X671:X678" si="247">SUM(Q671:W671)</f>
        <v>35.781281250000006</v>
      </c>
      <c r="Y671" s="10"/>
      <c r="Z671" s="10"/>
      <c r="AA671" s="10"/>
      <c r="AB671" s="10"/>
      <c r="AC671" s="10"/>
      <c r="AD671" s="10"/>
      <c r="AE671" s="10"/>
    </row>
    <row r="672" spans="1:32" s="3" customFormat="1" ht="20.100000000000001" customHeight="1" x14ac:dyDescent="0.2">
      <c r="A672" s="87"/>
      <c r="B672" s="10" t="s">
        <v>67</v>
      </c>
      <c r="C672" s="93" t="s">
        <v>112</v>
      </c>
      <c r="D672" s="10">
        <v>20</v>
      </c>
      <c r="E672" s="10"/>
      <c r="F672" s="10">
        <v>2</v>
      </c>
      <c r="G672" s="90">
        <f>VLOOKUP(D672,$C$20:$F$26,3,0)</f>
        <v>1.05</v>
      </c>
      <c r="H672" s="90"/>
      <c r="I672" s="10"/>
      <c r="J672" s="10"/>
      <c r="K672" s="10"/>
      <c r="L672" s="10"/>
      <c r="M672" s="10"/>
      <c r="N672" s="10"/>
      <c r="O672" s="10">
        <f>(E670+1*(G672)+1*(1.5/2)*D670)</f>
        <v>4.3410000000000002</v>
      </c>
      <c r="P672" s="10">
        <f t="shared" si="246"/>
        <v>8.6820000000000004</v>
      </c>
      <c r="Q672" s="10">
        <f t="shared" ref="Q672:W678" si="248">IF($D672=Q$44,$P672*Q$45,0)</f>
        <v>0</v>
      </c>
      <c r="R672" s="10">
        <f t="shared" si="248"/>
        <v>0</v>
      </c>
      <c r="S672" s="10">
        <f t="shared" si="248"/>
        <v>0</v>
      </c>
      <c r="T672" s="10">
        <f t="shared" si="248"/>
        <v>0</v>
      </c>
      <c r="U672" s="10">
        <f t="shared" si="248"/>
        <v>21.419734285714288</v>
      </c>
      <c r="V672" s="10">
        <f t="shared" si="248"/>
        <v>0</v>
      </c>
      <c r="W672" s="10">
        <f t="shared" si="248"/>
        <v>0</v>
      </c>
      <c r="X672" s="10">
        <f t="shared" si="247"/>
        <v>21.419734285714288</v>
      </c>
      <c r="Y672" s="10"/>
      <c r="Z672" s="10"/>
      <c r="AA672" s="10"/>
      <c r="AB672" s="10"/>
      <c r="AC672" s="10"/>
      <c r="AD672" s="10"/>
      <c r="AE672" s="10"/>
    </row>
    <row r="673" spans="1:32" s="3" customFormat="1" ht="20.100000000000001" customHeight="1" x14ac:dyDescent="0.2">
      <c r="A673" s="87"/>
      <c r="B673" s="10" t="s">
        <v>67</v>
      </c>
      <c r="C673" s="93" t="s">
        <v>71</v>
      </c>
      <c r="D673" s="10">
        <v>25</v>
      </c>
      <c r="E673" s="10"/>
      <c r="F673" s="10">
        <v>2</v>
      </c>
      <c r="G673" s="90">
        <f>VLOOKUP(D673,$C$20:$F$26,3,0)</f>
        <v>1.35</v>
      </c>
      <c r="H673" s="10"/>
      <c r="I673" s="10"/>
      <c r="J673" s="10"/>
      <c r="K673" s="10"/>
      <c r="L673" s="10"/>
      <c r="M673" s="10"/>
      <c r="N673" s="10"/>
      <c r="O673" s="10">
        <f>(E670+1*(G673)+1*(1.5/2)*D670)</f>
        <v>4.641</v>
      </c>
      <c r="P673" s="10">
        <f t="shared" si="246"/>
        <v>9.282</v>
      </c>
      <c r="Q673" s="10">
        <f t="shared" si="248"/>
        <v>0</v>
      </c>
      <c r="R673" s="10">
        <f t="shared" si="248"/>
        <v>0</v>
      </c>
      <c r="S673" s="10">
        <f t="shared" si="248"/>
        <v>0</v>
      </c>
      <c r="T673" s="10">
        <f t="shared" si="248"/>
        <v>0</v>
      </c>
      <c r="U673" s="10">
        <f t="shared" si="248"/>
        <v>0</v>
      </c>
      <c r="V673" s="10">
        <f t="shared" si="248"/>
        <v>35.781281250000006</v>
      </c>
      <c r="W673" s="10">
        <f t="shared" si="248"/>
        <v>0</v>
      </c>
      <c r="X673" s="10">
        <f t="shared" si="247"/>
        <v>35.781281250000006</v>
      </c>
      <c r="Y673" s="10"/>
      <c r="Z673" s="10"/>
      <c r="AA673" s="10"/>
      <c r="AB673" s="10"/>
      <c r="AC673" s="10"/>
      <c r="AD673" s="10"/>
      <c r="AE673" s="10"/>
    </row>
    <row r="674" spans="1:32" s="3" customFormat="1" ht="20.100000000000001" customHeight="1" x14ac:dyDescent="0.2">
      <c r="A674" s="87"/>
      <c r="B674" s="10" t="s">
        <v>67</v>
      </c>
      <c r="C674" s="93" t="s">
        <v>116</v>
      </c>
      <c r="D674" s="10">
        <v>20</v>
      </c>
      <c r="E674" s="10"/>
      <c r="F674" s="10">
        <v>2</v>
      </c>
      <c r="G674" s="90">
        <f>VLOOKUP(D674,$C$20:$F$26,3,0)</f>
        <v>1.05</v>
      </c>
      <c r="H674" s="10"/>
      <c r="I674" s="10"/>
      <c r="J674" s="10"/>
      <c r="K674" s="10"/>
      <c r="L674" s="10"/>
      <c r="M674" s="10"/>
      <c r="N674" s="10"/>
      <c r="O674" s="10">
        <f>(E670+1*(G674)+1*(1.5/2)*D670)</f>
        <v>4.3410000000000002</v>
      </c>
      <c r="P674" s="10">
        <f t="shared" si="246"/>
        <v>8.6820000000000004</v>
      </c>
      <c r="Q674" s="10">
        <f t="shared" si="248"/>
        <v>0</v>
      </c>
      <c r="R674" s="10">
        <f t="shared" si="248"/>
        <v>0</v>
      </c>
      <c r="S674" s="10">
        <f t="shared" si="248"/>
        <v>0</v>
      </c>
      <c r="T674" s="10">
        <f t="shared" si="248"/>
        <v>0</v>
      </c>
      <c r="U674" s="10">
        <f t="shared" si="248"/>
        <v>21.419734285714288</v>
      </c>
      <c r="V674" s="10">
        <f t="shared" si="248"/>
        <v>0</v>
      </c>
      <c r="W674" s="10">
        <f t="shared" si="248"/>
        <v>0</v>
      </c>
      <c r="X674" s="10">
        <f t="shared" si="247"/>
        <v>21.419734285714288</v>
      </c>
      <c r="Y674" s="10"/>
      <c r="Z674" s="10"/>
      <c r="AA674" s="10"/>
      <c r="AB674" s="10"/>
      <c r="AC674" s="10"/>
      <c r="AD674" s="10"/>
      <c r="AE674" s="10"/>
    </row>
    <row r="675" spans="1:32" s="3" customFormat="1" ht="20.100000000000001" customHeight="1" x14ac:dyDescent="0.2">
      <c r="A675" s="87"/>
      <c r="B675" s="10" t="s">
        <v>67</v>
      </c>
      <c r="C675" s="93" t="s">
        <v>73</v>
      </c>
      <c r="D675" s="10">
        <v>12</v>
      </c>
      <c r="E675" s="10">
        <v>0.1</v>
      </c>
      <c r="F675" s="10">
        <f>ROUNDUP((E670/3*2)/E675,0)+1</f>
        <v>18</v>
      </c>
      <c r="H675" s="10"/>
      <c r="I675" s="10"/>
      <c r="J675" s="10"/>
      <c r="K675" s="10"/>
      <c r="L675" s="10"/>
      <c r="M675" s="10"/>
      <c r="N675" s="10"/>
      <c r="O675" s="10">
        <f>(2*((G670-(2*$D$11))+(F670-(2*$D$11)))+(2*10*D675/1000))*D670</f>
        <v>2.9000000000000004</v>
      </c>
      <c r="P675" s="10">
        <f t="shared" si="246"/>
        <v>52.2</v>
      </c>
      <c r="Q675" s="10">
        <f t="shared" si="248"/>
        <v>0</v>
      </c>
      <c r="R675" s="10">
        <f t="shared" si="248"/>
        <v>0</v>
      </c>
      <c r="S675" s="10">
        <f t="shared" si="248"/>
        <v>46.362548571428583</v>
      </c>
      <c r="T675" s="10">
        <f t="shared" si="248"/>
        <v>0</v>
      </c>
      <c r="U675" s="10">
        <f t="shared" si="248"/>
        <v>0</v>
      </c>
      <c r="V675" s="10">
        <f t="shared" si="248"/>
        <v>0</v>
      </c>
      <c r="W675" s="10">
        <f t="shared" si="248"/>
        <v>0</v>
      </c>
      <c r="X675" s="10">
        <f t="shared" si="247"/>
        <v>46.362548571428583</v>
      </c>
      <c r="Y675" s="10"/>
      <c r="Z675" s="10"/>
      <c r="AA675" s="10"/>
      <c r="AB675" s="10"/>
      <c r="AC675" s="10"/>
      <c r="AD675" s="10"/>
      <c r="AE675" s="10"/>
    </row>
    <row r="676" spans="1:32" s="2" customFormat="1" ht="20.100000000000001" customHeight="1" x14ac:dyDescent="0.2">
      <c r="B676" s="10" t="s">
        <v>67</v>
      </c>
      <c r="C676" s="93" t="s">
        <v>73</v>
      </c>
      <c r="D676" s="2">
        <f>D675</f>
        <v>12</v>
      </c>
      <c r="E676" s="2">
        <v>0.125</v>
      </c>
      <c r="F676" s="10">
        <f>ROUNDUP((E670/3)/E676,0)+1</f>
        <v>8</v>
      </c>
      <c r="G676" s="3"/>
      <c r="O676" s="10">
        <f>(2*((G670-(2*$D$11))+(F670-(2*$D$11)))+(2*10*D676/1000))*D670</f>
        <v>2.9000000000000004</v>
      </c>
      <c r="P676" s="10">
        <f>O676*F676</f>
        <v>23.200000000000003</v>
      </c>
      <c r="Q676" s="10">
        <f t="shared" si="248"/>
        <v>0</v>
      </c>
      <c r="R676" s="10">
        <f t="shared" si="248"/>
        <v>0</v>
      </c>
      <c r="S676" s="10">
        <f t="shared" si="248"/>
        <v>20.60557714285715</v>
      </c>
      <c r="T676" s="10">
        <f t="shared" si="248"/>
        <v>0</v>
      </c>
      <c r="U676" s="10">
        <f t="shared" si="248"/>
        <v>0</v>
      </c>
      <c r="V676" s="10">
        <f t="shared" si="248"/>
        <v>0</v>
      </c>
      <c r="W676" s="10">
        <f t="shared" si="248"/>
        <v>0</v>
      </c>
      <c r="X676" s="10">
        <f t="shared" si="247"/>
        <v>20.60557714285715</v>
      </c>
    </row>
    <row r="677" spans="1:32" s="2" customFormat="1" ht="20.100000000000001" customHeight="1" x14ac:dyDescent="0.2">
      <c r="B677" s="10" t="s">
        <v>67</v>
      </c>
      <c r="C677" s="93" t="s">
        <v>74</v>
      </c>
      <c r="D677" s="2">
        <f>D675</f>
        <v>12</v>
      </c>
      <c r="E677" s="2">
        <f>+E675</f>
        <v>0.1</v>
      </c>
      <c r="F677" s="10">
        <f>ROUNDUP((E670/3*2)/E677,0)+1</f>
        <v>18</v>
      </c>
      <c r="G677" s="3"/>
      <c r="O677" s="10">
        <f>((((G670-(2*$D$11))+(2*10*D677/1000))*D670))*2</f>
        <v>2.56</v>
      </c>
      <c r="P677" s="10">
        <f t="shared" ref="P677" si="249">O677*F677</f>
        <v>46.08</v>
      </c>
      <c r="Q677" s="10">
        <f t="shared" si="248"/>
        <v>0</v>
      </c>
      <c r="R677" s="10">
        <f t="shared" si="248"/>
        <v>0</v>
      </c>
      <c r="S677" s="10">
        <f t="shared" si="248"/>
        <v>40.926939428571437</v>
      </c>
      <c r="T677" s="10">
        <f t="shared" si="248"/>
        <v>0</v>
      </c>
      <c r="U677" s="10">
        <f t="shared" si="248"/>
        <v>0</v>
      </c>
      <c r="V677" s="10">
        <f t="shared" si="248"/>
        <v>0</v>
      </c>
      <c r="W677" s="10">
        <f t="shared" si="248"/>
        <v>0</v>
      </c>
      <c r="X677" s="10">
        <f t="shared" si="247"/>
        <v>40.926939428571437</v>
      </c>
    </row>
    <row r="678" spans="1:32" s="2" customFormat="1" ht="20.100000000000001" customHeight="1" x14ac:dyDescent="0.2">
      <c r="B678" s="10" t="s">
        <v>67</v>
      </c>
      <c r="C678" s="93" t="s">
        <v>74</v>
      </c>
      <c r="D678" s="2">
        <f>D676</f>
        <v>12</v>
      </c>
      <c r="E678" s="2">
        <f>+E676</f>
        <v>0.125</v>
      </c>
      <c r="F678" s="10">
        <f>ROUNDUP((E670/3)/E678,0)+1</f>
        <v>8</v>
      </c>
      <c r="G678" s="3"/>
      <c r="O678" s="10">
        <f>((((G670-(2*$D$11))+(2*10*D678/1000))*D670))*2</f>
        <v>2.56</v>
      </c>
      <c r="P678" s="10">
        <f>O678*F678</f>
        <v>20.48</v>
      </c>
      <c r="Q678" s="10">
        <f t="shared" si="248"/>
        <v>0</v>
      </c>
      <c r="R678" s="10">
        <f t="shared" si="248"/>
        <v>0</v>
      </c>
      <c r="S678" s="10">
        <f t="shared" si="248"/>
        <v>18.189750857142862</v>
      </c>
      <c r="T678" s="10">
        <f t="shared" si="248"/>
        <v>0</v>
      </c>
      <c r="U678" s="10">
        <f t="shared" si="248"/>
        <v>0</v>
      </c>
      <c r="V678" s="10">
        <f t="shared" si="248"/>
        <v>0</v>
      </c>
      <c r="W678" s="10">
        <f t="shared" si="248"/>
        <v>0</v>
      </c>
      <c r="X678" s="10">
        <f t="shared" si="247"/>
        <v>18.189750857142862</v>
      </c>
    </row>
    <row r="679" spans="1:32" s="3" customFormat="1" ht="21" customHeight="1" x14ac:dyDescent="0.2">
      <c r="A679" s="95">
        <v>1</v>
      </c>
      <c r="B679" s="10" t="s">
        <v>67</v>
      </c>
      <c r="C679" s="91" t="s">
        <v>163</v>
      </c>
      <c r="D679" s="91">
        <v>1</v>
      </c>
      <c r="E679" s="91">
        <v>2.8</v>
      </c>
      <c r="F679" s="91">
        <v>0.57499999999999996</v>
      </c>
      <c r="G679" s="91">
        <v>1.3</v>
      </c>
      <c r="H679" s="10">
        <f>G679-0.2</f>
        <v>1.1000000000000001</v>
      </c>
      <c r="I679" s="10">
        <f>E679*F679*G679*D679</f>
        <v>2.093</v>
      </c>
      <c r="J679" s="10">
        <f>(2*(E679)*H679*D679)+(E679*F679)</f>
        <v>7.77</v>
      </c>
      <c r="K679" s="92">
        <f>IF(E679=0.3,J679,0)</f>
        <v>0</v>
      </c>
      <c r="L679" s="92">
        <f>IF(AND(E679&gt;0.3,E679&lt;=0.75),J679,0)</f>
        <v>0</v>
      </c>
      <c r="M679" s="92">
        <f>IF(AND(E679&gt;0.75,E679&lt;=1.2),J679,0)</f>
        <v>0</v>
      </c>
      <c r="N679" s="92">
        <f>IF(E679&gt;1.2,J679,0)</f>
        <v>7.77</v>
      </c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>
        <f>SUM(X680:X687)/I679</f>
        <v>224.21243699235552</v>
      </c>
      <c r="Z679" s="10"/>
      <c r="AA679" s="10"/>
      <c r="AB679" s="10"/>
      <c r="AC679" s="10"/>
      <c r="AD679" s="10"/>
      <c r="AE679" s="10"/>
      <c r="AF679" s="10"/>
    </row>
    <row r="680" spans="1:32" s="3" customFormat="1" ht="20.100000000000001" customHeight="1" x14ac:dyDescent="0.2">
      <c r="A680" s="87"/>
      <c r="B680" s="10" t="s">
        <v>67</v>
      </c>
      <c r="C680" s="93" t="s">
        <v>69</v>
      </c>
      <c r="D680" s="10">
        <v>20</v>
      </c>
      <c r="E680" s="10"/>
      <c r="F680" s="10">
        <v>5</v>
      </c>
      <c r="G680" s="90">
        <f>VLOOKUP(D680,$C$20:$F$26,3,0)</f>
        <v>1.05</v>
      </c>
      <c r="H680" s="90"/>
      <c r="I680" s="10"/>
      <c r="J680" s="10"/>
      <c r="K680" s="10"/>
      <c r="L680" s="10"/>
      <c r="M680" s="10"/>
      <c r="N680" s="10"/>
      <c r="O680" s="10">
        <f>(E679+2*(G680*D679))</f>
        <v>4.9000000000000004</v>
      </c>
      <c r="P680" s="10">
        <f t="shared" ref="P680:P683" si="250">O680*F680</f>
        <v>24.5</v>
      </c>
      <c r="Q680" s="10">
        <f t="shared" ref="Q680:W687" si="251">IF($D680=Q$44,$P680*Q$45,0)</f>
        <v>0</v>
      </c>
      <c r="R680" s="10">
        <f t="shared" si="251"/>
        <v>0</v>
      </c>
      <c r="S680" s="10">
        <f t="shared" si="251"/>
        <v>0</v>
      </c>
      <c r="T680" s="10">
        <f t="shared" si="251"/>
        <v>0</v>
      </c>
      <c r="U680" s="10">
        <f t="shared" si="251"/>
        <v>60.445</v>
      </c>
      <c r="V680" s="10">
        <f t="shared" si="251"/>
        <v>0</v>
      </c>
      <c r="W680" s="10">
        <f t="shared" si="251"/>
        <v>0</v>
      </c>
      <c r="X680" s="10">
        <f t="shared" ref="X680:X687" si="252">SUM(Q680:W680)</f>
        <v>60.445</v>
      </c>
      <c r="Y680" s="10"/>
      <c r="Z680" s="10"/>
      <c r="AA680" s="10"/>
      <c r="AB680" s="10"/>
      <c r="AC680" s="10"/>
      <c r="AD680" s="10"/>
      <c r="AE680" s="10"/>
    </row>
    <row r="681" spans="1:32" s="3" customFormat="1" ht="20.100000000000001" customHeight="1" x14ac:dyDescent="0.2">
      <c r="A681" s="87"/>
      <c r="B681" s="10" t="s">
        <v>67</v>
      </c>
      <c r="C681" s="93" t="s">
        <v>112</v>
      </c>
      <c r="D681" s="10">
        <v>20</v>
      </c>
      <c r="E681" s="10"/>
      <c r="F681" s="10">
        <v>5</v>
      </c>
      <c r="G681" s="90">
        <f>VLOOKUP(D681,$C$20:$F$26,3,0)</f>
        <v>1.05</v>
      </c>
      <c r="H681" s="90"/>
      <c r="I681" s="10"/>
      <c r="J681" s="10"/>
      <c r="K681" s="10"/>
      <c r="L681" s="10"/>
      <c r="M681" s="10"/>
      <c r="N681" s="10"/>
      <c r="O681" s="10">
        <f>(E679+2*(G681*D679))</f>
        <v>4.9000000000000004</v>
      </c>
      <c r="P681" s="10">
        <f t="shared" si="250"/>
        <v>24.5</v>
      </c>
      <c r="Q681" s="10">
        <f t="shared" si="251"/>
        <v>0</v>
      </c>
      <c r="R681" s="10">
        <f t="shared" si="251"/>
        <v>0</v>
      </c>
      <c r="S681" s="10">
        <f t="shared" si="251"/>
        <v>0</v>
      </c>
      <c r="T681" s="10">
        <f t="shared" si="251"/>
        <v>0</v>
      </c>
      <c r="U681" s="10">
        <f t="shared" si="251"/>
        <v>60.445</v>
      </c>
      <c r="V681" s="10">
        <f t="shared" si="251"/>
        <v>0</v>
      </c>
      <c r="W681" s="10">
        <f t="shared" si="251"/>
        <v>0</v>
      </c>
      <c r="X681" s="10">
        <f t="shared" si="252"/>
        <v>60.445</v>
      </c>
      <c r="Y681" s="10"/>
      <c r="Z681" s="10"/>
      <c r="AA681" s="10"/>
      <c r="AB681" s="10"/>
      <c r="AC681" s="10"/>
      <c r="AD681" s="10"/>
      <c r="AE681" s="10"/>
    </row>
    <row r="682" spans="1:32" s="3" customFormat="1" ht="20.100000000000001" customHeight="1" x14ac:dyDescent="0.2">
      <c r="A682" s="87"/>
      <c r="B682" s="10" t="s">
        <v>67</v>
      </c>
      <c r="C682" s="93" t="s">
        <v>158</v>
      </c>
      <c r="D682" s="10">
        <v>25</v>
      </c>
      <c r="E682" s="10"/>
      <c r="F682" s="10">
        <v>5</v>
      </c>
      <c r="G682" s="90">
        <f>VLOOKUP(D682,$C$20:$F$26,3,0)</f>
        <v>1.35</v>
      </c>
      <c r="H682" s="90"/>
      <c r="I682" s="10"/>
      <c r="J682" s="10"/>
      <c r="K682" s="10"/>
      <c r="L682" s="10"/>
      <c r="M682" s="10"/>
      <c r="N682" s="10"/>
      <c r="O682" s="10">
        <f>(E679+1*(G682+(12*D682/1000))+G682*D679)</f>
        <v>5.8000000000000007</v>
      </c>
      <c r="P682" s="10">
        <f t="shared" si="250"/>
        <v>29.000000000000004</v>
      </c>
      <c r="Q682" s="10">
        <f t="shared" si="251"/>
        <v>0</v>
      </c>
      <c r="R682" s="10">
        <f t="shared" si="251"/>
        <v>0</v>
      </c>
      <c r="S682" s="10">
        <f t="shared" si="251"/>
        <v>0</v>
      </c>
      <c r="T682" s="10">
        <f t="shared" si="251"/>
        <v>0</v>
      </c>
      <c r="U682" s="10">
        <f t="shared" si="251"/>
        <v>0</v>
      </c>
      <c r="V682" s="10">
        <f t="shared" si="251"/>
        <v>111.79241071428575</v>
      </c>
      <c r="W682" s="10">
        <f t="shared" si="251"/>
        <v>0</v>
      </c>
      <c r="X682" s="10">
        <f t="shared" si="252"/>
        <v>111.79241071428575</v>
      </c>
      <c r="Y682" s="10"/>
      <c r="Z682" s="10"/>
      <c r="AA682" s="10"/>
      <c r="AB682" s="10"/>
      <c r="AC682" s="10"/>
      <c r="AD682" s="10"/>
      <c r="AE682" s="10"/>
    </row>
    <row r="683" spans="1:32" s="3" customFormat="1" ht="20.100000000000001" customHeight="1" x14ac:dyDescent="0.2">
      <c r="A683" s="87"/>
      <c r="B683" s="10" t="s">
        <v>67</v>
      </c>
      <c r="C683" s="93" t="s">
        <v>159</v>
      </c>
      <c r="D683" s="10">
        <v>20</v>
      </c>
      <c r="E683" s="10"/>
      <c r="F683" s="10">
        <v>3</v>
      </c>
      <c r="G683" s="90">
        <f>VLOOKUP(D683,$C$20:$F$26,3,0)</f>
        <v>1.05</v>
      </c>
      <c r="H683" s="10"/>
      <c r="I683" s="10"/>
      <c r="J683" s="10"/>
      <c r="K683" s="10"/>
      <c r="L683" s="10"/>
      <c r="M683" s="10"/>
      <c r="N683" s="10"/>
      <c r="O683" s="10">
        <f>(E679+1*(G683+(12*D683/1000))+G683*D679)</f>
        <v>5.14</v>
      </c>
      <c r="P683" s="10">
        <f t="shared" si="250"/>
        <v>15.419999999999998</v>
      </c>
      <c r="Q683" s="10">
        <f t="shared" si="251"/>
        <v>0</v>
      </c>
      <c r="R683" s="10">
        <f t="shared" si="251"/>
        <v>0</v>
      </c>
      <c r="S683" s="10">
        <f t="shared" si="251"/>
        <v>0</v>
      </c>
      <c r="T683" s="10">
        <f t="shared" si="251"/>
        <v>0</v>
      </c>
      <c r="U683" s="10">
        <f t="shared" si="251"/>
        <v>38.043342857142854</v>
      </c>
      <c r="V683" s="10">
        <f t="shared" si="251"/>
        <v>0</v>
      </c>
      <c r="W683" s="10">
        <f t="shared" si="251"/>
        <v>0</v>
      </c>
      <c r="X683" s="10">
        <f t="shared" si="252"/>
        <v>38.043342857142854</v>
      </c>
      <c r="Y683" s="10"/>
      <c r="Z683" s="10"/>
      <c r="AA683" s="10"/>
      <c r="AB683" s="10"/>
      <c r="AC683" s="10"/>
      <c r="AD683" s="10"/>
      <c r="AE683" s="10"/>
    </row>
    <row r="684" spans="1:32" s="3" customFormat="1" ht="19.5" customHeight="1" x14ac:dyDescent="0.2">
      <c r="A684" s="87"/>
      <c r="B684" s="10" t="s">
        <v>67</v>
      </c>
      <c r="C684" s="93" t="s">
        <v>164</v>
      </c>
      <c r="D684" s="10">
        <v>12</v>
      </c>
      <c r="E684" s="10">
        <v>0.1</v>
      </c>
      <c r="F684" s="10">
        <f>ROUNDUP(E679/E684,0)</f>
        <v>28</v>
      </c>
      <c r="H684" s="10"/>
      <c r="I684" s="10"/>
      <c r="J684" s="10"/>
      <c r="K684" s="10"/>
      <c r="L684" s="10"/>
      <c r="M684" s="10"/>
      <c r="N684" s="10"/>
      <c r="O684" s="10">
        <f>(2*((G679-(2*$D$11))+(F679-(2*$D$11)))+(2*10*D684/1000))*D679</f>
        <v>3.75</v>
      </c>
      <c r="P684" s="10">
        <f>O684*F684</f>
        <v>105</v>
      </c>
      <c r="Q684" s="10">
        <f t="shared" si="251"/>
        <v>0</v>
      </c>
      <c r="R684" s="10">
        <f t="shared" si="251"/>
        <v>0</v>
      </c>
      <c r="S684" s="10">
        <f t="shared" si="251"/>
        <v>93.25800000000001</v>
      </c>
      <c r="T684" s="10">
        <f t="shared" si="251"/>
        <v>0</v>
      </c>
      <c r="U684" s="10">
        <f t="shared" si="251"/>
        <v>0</v>
      </c>
      <c r="V684" s="10">
        <f t="shared" si="251"/>
        <v>0</v>
      </c>
      <c r="W684" s="10">
        <f t="shared" si="251"/>
        <v>0</v>
      </c>
      <c r="X684" s="10">
        <f t="shared" si="252"/>
        <v>93.25800000000001</v>
      </c>
      <c r="Y684" s="10"/>
      <c r="Z684" s="10"/>
      <c r="AA684" s="10"/>
      <c r="AB684" s="10"/>
      <c r="AC684" s="10"/>
      <c r="AD684" s="10"/>
      <c r="AE684" s="10"/>
    </row>
    <row r="685" spans="1:32" s="3" customFormat="1" ht="19.5" customHeight="1" x14ac:dyDescent="0.2">
      <c r="A685" s="87"/>
      <c r="B685" s="10" t="s">
        <v>67</v>
      </c>
      <c r="C685" s="93" t="s">
        <v>165</v>
      </c>
      <c r="D685" s="10">
        <v>12</v>
      </c>
      <c r="E685" s="10">
        <v>0.1</v>
      </c>
      <c r="F685" s="10">
        <f>ROUNDUP(E679/E685,0)/3</f>
        <v>9.3333333333333339</v>
      </c>
      <c r="H685" s="10"/>
      <c r="I685" s="10"/>
      <c r="J685" s="10"/>
      <c r="K685" s="10"/>
      <c r="L685" s="10"/>
      <c r="M685" s="10"/>
      <c r="N685" s="10"/>
      <c r="O685" s="10">
        <f>(2*((G679-(2*$D$11))+(F679/3))+(2*10*D685/1000))*D679</f>
        <v>3.1033333333333335</v>
      </c>
      <c r="P685" s="10">
        <f>O685*F685</f>
        <v>28.96444444444445</v>
      </c>
      <c r="Q685" s="10">
        <f t="shared" si="251"/>
        <v>0</v>
      </c>
      <c r="R685" s="10">
        <f t="shared" si="251"/>
        <v>0</v>
      </c>
      <c r="S685" s="10">
        <f t="shared" si="251"/>
        <v>25.72539200000001</v>
      </c>
      <c r="T685" s="10">
        <f t="shared" si="251"/>
        <v>0</v>
      </c>
      <c r="U685" s="10">
        <f t="shared" si="251"/>
        <v>0</v>
      </c>
      <c r="V685" s="10">
        <f t="shared" si="251"/>
        <v>0</v>
      </c>
      <c r="W685" s="10">
        <f t="shared" si="251"/>
        <v>0</v>
      </c>
      <c r="X685" s="10">
        <f t="shared" si="252"/>
        <v>25.72539200000001</v>
      </c>
      <c r="Y685" s="10"/>
      <c r="Z685" s="10"/>
      <c r="AA685" s="10"/>
      <c r="AB685" s="10"/>
      <c r="AC685" s="10"/>
      <c r="AD685" s="10"/>
      <c r="AE685" s="10"/>
    </row>
    <row r="686" spans="1:32" s="2" customFormat="1" ht="20.100000000000001" customHeight="1" x14ac:dyDescent="0.2">
      <c r="B686" s="10" t="s">
        <v>67</v>
      </c>
      <c r="C686" s="93" t="s">
        <v>74</v>
      </c>
      <c r="D686" s="10">
        <f>+D684</f>
        <v>12</v>
      </c>
      <c r="E686" s="2">
        <f>+E684</f>
        <v>0.1</v>
      </c>
      <c r="F686" s="10">
        <f>ROUNDUP(E679/E686,0)</f>
        <v>28</v>
      </c>
      <c r="G686" s="3"/>
      <c r="O686" s="10">
        <f>((((G679-(2*$D$11))+(2*10*D686/1000))*D679))*2</f>
        <v>2.96</v>
      </c>
      <c r="P686" s="10">
        <f>O686*F686</f>
        <v>82.88</v>
      </c>
      <c r="Q686" s="10">
        <f t="shared" si="251"/>
        <v>0</v>
      </c>
      <c r="R686" s="10">
        <f t="shared" si="251"/>
        <v>0</v>
      </c>
      <c r="S686" s="10">
        <f t="shared" si="251"/>
        <v>73.611648000000002</v>
      </c>
      <c r="T686" s="10">
        <f t="shared" si="251"/>
        <v>0</v>
      </c>
      <c r="U686" s="10">
        <f t="shared" si="251"/>
        <v>0</v>
      </c>
      <c r="V686" s="10">
        <f t="shared" si="251"/>
        <v>0</v>
      </c>
      <c r="W686" s="10">
        <f t="shared" si="251"/>
        <v>0</v>
      </c>
      <c r="X686" s="10">
        <f t="shared" si="252"/>
        <v>73.611648000000002</v>
      </c>
    </row>
    <row r="687" spans="1:32" s="3" customFormat="1" ht="20.100000000000001" customHeight="1" x14ac:dyDescent="0.2">
      <c r="A687" s="87"/>
      <c r="B687" s="10" t="s">
        <v>67</v>
      </c>
      <c r="C687" s="93" t="s">
        <v>75</v>
      </c>
      <c r="D687" s="10">
        <f>+$D$15</f>
        <v>25</v>
      </c>
      <c r="E687" s="10">
        <f>+$E$15</f>
        <v>1</v>
      </c>
      <c r="F687" s="10">
        <f>ROUNDUP((E679)/E687,0)</f>
        <v>3</v>
      </c>
      <c r="G687" s="90"/>
      <c r="H687" s="90"/>
      <c r="I687" s="10"/>
      <c r="J687" s="10"/>
      <c r="K687" s="10"/>
      <c r="L687" s="10"/>
      <c r="M687" s="10"/>
      <c r="N687" s="10"/>
      <c r="O687" s="10">
        <f>F679-$F$15</f>
        <v>0.5149999999999999</v>
      </c>
      <c r="P687" s="10">
        <f t="shared" ref="P687" si="253">O687*F687</f>
        <v>1.5449999999999997</v>
      </c>
      <c r="Q687" s="10">
        <f t="shared" si="251"/>
        <v>0</v>
      </c>
      <c r="R687" s="10">
        <f t="shared" si="251"/>
        <v>0</v>
      </c>
      <c r="S687" s="10">
        <f t="shared" si="251"/>
        <v>0</v>
      </c>
      <c r="T687" s="10">
        <f t="shared" si="251"/>
        <v>0</v>
      </c>
      <c r="U687" s="10">
        <f t="shared" si="251"/>
        <v>0</v>
      </c>
      <c r="V687" s="10">
        <f t="shared" si="251"/>
        <v>5.955837053571428</v>
      </c>
      <c r="W687" s="10">
        <f t="shared" si="251"/>
        <v>0</v>
      </c>
      <c r="X687" s="10">
        <f t="shared" si="252"/>
        <v>5.955837053571428</v>
      </c>
      <c r="Y687" s="10"/>
      <c r="Z687" s="10"/>
      <c r="AA687" s="10"/>
      <c r="AB687" s="10"/>
      <c r="AC687" s="10"/>
      <c r="AD687" s="10"/>
      <c r="AE687" s="10"/>
    </row>
    <row r="688" spans="1:32" s="3" customFormat="1" ht="21" customHeight="1" x14ac:dyDescent="0.2">
      <c r="A688" s="10">
        <v>1</v>
      </c>
      <c r="B688" s="10" t="s">
        <v>67</v>
      </c>
      <c r="C688" s="91" t="s">
        <v>162</v>
      </c>
      <c r="D688" s="91">
        <v>1</v>
      </c>
      <c r="E688" s="91">
        <v>6.15</v>
      </c>
      <c r="F688" s="91">
        <v>0.57499999999999996</v>
      </c>
      <c r="G688" s="91">
        <v>0.6</v>
      </c>
      <c r="H688" s="10">
        <f>G688-0.2</f>
        <v>0.39999999999999997</v>
      </c>
      <c r="I688" s="10">
        <f>E688*F688*G688*D688</f>
        <v>2.12175</v>
      </c>
      <c r="J688" s="10">
        <f>(2*(E688)*H688*D688)+(E688*F688)</f>
        <v>8.4562500000000007</v>
      </c>
      <c r="K688" s="92">
        <f>IF(E688=0.3,J688,0)</f>
        <v>0</v>
      </c>
      <c r="L688" s="92">
        <f>IF(AND(E688&gt;0.3,E688&lt;=0.75),J688,0)</f>
        <v>0</v>
      </c>
      <c r="M688" s="92">
        <f>IF(AND(E688&gt;0.75,E688&lt;=1.2),J688,0)</f>
        <v>0</v>
      </c>
      <c r="N688" s="92">
        <f>IF(E688&gt;1.2,J688,0)</f>
        <v>8.4562500000000007</v>
      </c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>
        <f>SUM(X689:X695)/I688</f>
        <v>214.99128204480806</v>
      </c>
      <c r="Z688" s="10"/>
      <c r="AA688" s="10"/>
      <c r="AB688" s="10"/>
      <c r="AC688" s="10"/>
      <c r="AD688" s="10"/>
      <c r="AE688" s="10"/>
      <c r="AF688" s="10"/>
    </row>
    <row r="689" spans="1:32" s="3" customFormat="1" ht="20.100000000000001" customHeight="1" x14ac:dyDescent="0.2">
      <c r="A689" s="87"/>
      <c r="B689" s="10" t="s">
        <v>67</v>
      </c>
      <c r="C689" s="93" t="s">
        <v>69</v>
      </c>
      <c r="D689" s="10">
        <v>20</v>
      </c>
      <c r="E689" s="10"/>
      <c r="F689" s="10">
        <v>5</v>
      </c>
      <c r="G689" s="90">
        <f>VLOOKUP(D689,$C$20:$F$26,3,0)</f>
        <v>1.05</v>
      </c>
      <c r="H689" s="90"/>
      <c r="I689" s="10"/>
      <c r="J689" s="10"/>
      <c r="K689" s="10"/>
      <c r="L689" s="10"/>
      <c r="M689" s="10"/>
      <c r="N689" s="10"/>
      <c r="O689" s="10">
        <f>(E688+2*(G689)*D688)</f>
        <v>8.25</v>
      </c>
      <c r="P689" s="10">
        <f t="shared" ref="P689:P695" si="254">O689*F689</f>
        <v>41.25</v>
      </c>
      <c r="Q689" s="10">
        <f t="shared" ref="Q689:W695" si="255">IF($D689=Q$44,$P689*Q$45,0)</f>
        <v>0</v>
      </c>
      <c r="R689" s="10">
        <f t="shared" si="255"/>
        <v>0</v>
      </c>
      <c r="S689" s="10">
        <f t="shared" si="255"/>
        <v>0</v>
      </c>
      <c r="T689" s="10">
        <f t="shared" si="255"/>
        <v>0</v>
      </c>
      <c r="U689" s="10">
        <f t="shared" si="255"/>
        <v>101.76964285714286</v>
      </c>
      <c r="V689" s="10">
        <f t="shared" si="255"/>
        <v>0</v>
      </c>
      <c r="W689" s="10">
        <f t="shared" si="255"/>
        <v>0</v>
      </c>
      <c r="X689" s="10">
        <f t="shared" ref="X689:X695" si="256">SUM(Q689:W689)</f>
        <v>101.76964285714286</v>
      </c>
      <c r="Y689" s="10"/>
      <c r="Z689" s="10"/>
      <c r="AA689" s="10"/>
      <c r="AB689" s="10"/>
      <c r="AC689" s="10"/>
      <c r="AD689" s="10"/>
      <c r="AE689" s="10"/>
    </row>
    <row r="690" spans="1:32" s="3" customFormat="1" ht="20.100000000000001" customHeight="1" x14ac:dyDescent="0.2">
      <c r="A690" s="87"/>
      <c r="B690" s="10" t="s">
        <v>67</v>
      </c>
      <c r="C690" s="93" t="s">
        <v>71</v>
      </c>
      <c r="D690" s="10">
        <v>25</v>
      </c>
      <c r="E690" s="10"/>
      <c r="F690" s="10">
        <v>5</v>
      </c>
      <c r="G690" s="90">
        <f>VLOOKUP(D690,$C$20:$F$26,3,0)</f>
        <v>1.35</v>
      </c>
      <c r="H690" s="10"/>
      <c r="I690" s="10"/>
      <c r="J690" s="10"/>
      <c r="K690" s="10"/>
      <c r="L690" s="10"/>
      <c r="M690" s="10"/>
      <c r="N690" s="10"/>
      <c r="O690" s="10">
        <f>(E688+2*(G690)*D688)</f>
        <v>8.8500000000000014</v>
      </c>
      <c r="P690" s="10">
        <f t="shared" si="254"/>
        <v>44.250000000000007</v>
      </c>
      <c r="Q690" s="10">
        <f t="shared" si="255"/>
        <v>0</v>
      </c>
      <c r="R690" s="10">
        <f t="shared" si="255"/>
        <v>0</v>
      </c>
      <c r="S690" s="10">
        <f t="shared" si="255"/>
        <v>0</v>
      </c>
      <c r="T690" s="10">
        <f t="shared" si="255"/>
        <v>0</v>
      </c>
      <c r="U690" s="10">
        <f t="shared" si="255"/>
        <v>0</v>
      </c>
      <c r="V690" s="10">
        <f t="shared" si="255"/>
        <v>170.57979910714292</v>
      </c>
      <c r="W690" s="10">
        <f t="shared" si="255"/>
        <v>0</v>
      </c>
      <c r="X690" s="10">
        <f t="shared" si="256"/>
        <v>170.57979910714292</v>
      </c>
      <c r="Y690" s="10"/>
      <c r="Z690" s="10"/>
      <c r="AA690" s="10"/>
      <c r="AB690" s="10"/>
      <c r="AC690" s="10"/>
      <c r="AD690" s="10"/>
      <c r="AE690" s="10"/>
    </row>
    <row r="691" spans="1:32" s="3" customFormat="1" ht="20.100000000000001" customHeight="1" x14ac:dyDescent="0.2">
      <c r="A691" s="87"/>
      <c r="B691" s="10" t="s">
        <v>67</v>
      </c>
      <c r="C691" s="93" t="s">
        <v>116</v>
      </c>
      <c r="D691" s="10">
        <v>20</v>
      </c>
      <c r="E691" s="10"/>
      <c r="F691" s="10">
        <v>3</v>
      </c>
      <c r="G691" s="90">
        <f>VLOOKUP(D691,$C$20:$F$26,3,0)</f>
        <v>1.05</v>
      </c>
      <c r="H691" s="10"/>
      <c r="I691" s="10"/>
      <c r="J691" s="10"/>
      <c r="K691" s="10"/>
      <c r="L691" s="10"/>
      <c r="M691" s="10"/>
      <c r="N691" s="10"/>
      <c r="O691" s="10">
        <f>(E688-1+1*(G691)*D688)</f>
        <v>6.2</v>
      </c>
      <c r="P691" s="10">
        <f t="shared" si="254"/>
        <v>18.600000000000001</v>
      </c>
      <c r="Q691" s="10">
        <f t="shared" si="255"/>
        <v>0</v>
      </c>
      <c r="R691" s="10">
        <f t="shared" si="255"/>
        <v>0</v>
      </c>
      <c r="S691" s="10">
        <f t="shared" si="255"/>
        <v>0</v>
      </c>
      <c r="T691" s="10">
        <f t="shared" si="255"/>
        <v>0</v>
      </c>
      <c r="U691" s="10">
        <f t="shared" si="255"/>
        <v>45.888857142857148</v>
      </c>
      <c r="V691" s="10">
        <f t="shared" si="255"/>
        <v>0</v>
      </c>
      <c r="W691" s="10">
        <f t="shared" si="255"/>
        <v>0</v>
      </c>
      <c r="X691" s="10">
        <f t="shared" si="256"/>
        <v>45.888857142857148</v>
      </c>
      <c r="Y691" s="10"/>
      <c r="Z691" s="10"/>
      <c r="AA691" s="10"/>
      <c r="AB691" s="10"/>
      <c r="AC691" s="10"/>
      <c r="AD691" s="10"/>
      <c r="AE691" s="10"/>
    </row>
    <row r="692" spans="1:32" s="3" customFormat="1" ht="20.100000000000001" customHeight="1" x14ac:dyDescent="0.2">
      <c r="A692" s="87"/>
      <c r="B692" s="10" t="s">
        <v>67</v>
      </c>
      <c r="C692" s="93" t="s">
        <v>73</v>
      </c>
      <c r="D692" s="10">
        <v>10</v>
      </c>
      <c r="E692" s="10">
        <v>0.1</v>
      </c>
      <c r="F692" s="10">
        <f>ROUND(IF(E688/3&gt;(2*G688),(E688/3)/E692,(2*G688)/E692),0)*2+1</f>
        <v>43</v>
      </c>
      <c r="H692" s="10"/>
      <c r="I692" s="10"/>
      <c r="J692" s="10"/>
      <c r="K692" s="10"/>
      <c r="L692" s="10"/>
      <c r="M692" s="10"/>
      <c r="N692" s="10"/>
      <c r="O692" s="10">
        <f>(2*((G688-(2*$D$11))+(F688-(2*$D$11)))+(2*10*D692/1000))*D688</f>
        <v>2.31</v>
      </c>
      <c r="P692" s="10">
        <f t="shared" si="254"/>
        <v>99.33</v>
      </c>
      <c r="Q692" s="10">
        <f t="shared" si="255"/>
        <v>0</v>
      </c>
      <c r="R692" s="10">
        <f t="shared" si="255"/>
        <v>61.265324999999997</v>
      </c>
      <c r="S692" s="10">
        <f t="shared" si="255"/>
        <v>0</v>
      </c>
      <c r="T692" s="10">
        <f t="shared" si="255"/>
        <v>0</v>
      </c>
      <c r="U692" s="10">
        <f t="shared" si="255"/>
        <v>0</v>
      </c>
      <c r="V692" s="10">
        <f t="shared" si="255"/>
        <v>0</v>
      </c>
      <c r="W692" s="10">
        <f t="shared" si="255"/>
        <v>0</v>
      </c>
      <c r="X692" s="10">
        <f t="shared" si="256"/>
        <v>61.265324999999997</v>
      </c>
      <c r="Y692" s="10"/>
      <c r="Z692" s="10"/>
      <c r="AA692" s="10"/>
      <c r="AB692" s="10"/>
      <c r="AC692" s="10"/>
      <c r="AD692" s="10"/>
      <c r="AE692" s="10"/>
    </row>
    <row r="693" spans="1:32" s="2" customFormat="1" ht="20.100000000000001" customHeight="1" x14ac:dyDescent="0.2">
      <c r="B693" s="10" t="s">
        <v>67</v>
      </c>
      <c r="C693" s="93" t="s">
        <v>73</v>
      </c>
      <c r="D693" s="2">
        <f>D692</f>
        <v>10</v>
      </c>
      <c r="E693" s="2">
        <v>0.125</v>
      </c>
      <c r="F693" s="2">
        <f>ROUND((E688-(IF(E688/3&gt;2*G688,E688/3*2,G688*2*2)))/E693,0)</f>
        <v>16</v>
      </c>
      <c r="G693" s="3"/>
      <c r="O693" s="10">
        <f>(2*((G688-(2*$D$11))+(F688-(2*$D$11)))+(2*10*D693/1000))*D688</f>
        <v>2.31</v>
      </c>
      <c r="P693" s="10">
        <f t="shared" si="254"/>
        <v>36.96</v>
      </c>
      <c r="Q693" s="10">
        <f t="shared" si="255"/>
        <v>0</v>
      </c>
      <c r="R693" s="10">
        <f t="shared" si="255"/>
        <v>22.796399999999998</v>
      </c>
      <c r="S693" s="10">
        <f t="shared" si="255"/>
        <v>0</v>
      </c>
      <c r="T693" s="10">
        <f t="shared" si="255"/>
        <v>0</v>
      </c>
      <c r="U693" s="10">
        <f t="shared" si="255"/>
        <v>0</v>
      </c>
      <c r="V693" s="10">
        <f t="shared" si="255"/>
        <v>0</v>
      </c>
      <c r="W693" s="10">
        <f t="shared" si="255"/>
        <v>0</v>
      </c>
      <c r="X693" s="10">
        <f t="shared" si="256"/>
        <v>22.796399999999998</v>
      </c>
    </row>
    <row r="694" spans="1:32" s="2" customFormat="1" ht="20.100000000000001" customHeight="1" x14ac:dyDescent="0.2">
      <c r="B694" s="10" t="s">
        <v>67</v>
      </c>
      <c r="C694" s="93" t="s">
        <v>74</v>
      </c>
      <c r="D694" s="2">
        <f>D692</f>
        <v>10</v>
      </c>
      <c r="E694" s="2">
        <f>+E692</f>
        <v>0.1</v>
      </c>
      <c r="F694" s="10">
        <f>ROUND(IF(E688/3&gt;(2*G688),(E688/3)/E694,(2*G688)/E694),0)*2+1</f>
        <v>43</v>
      </c>
      <c r="G694" s="3"/>
      <c r="O694" s="10">
        <f>((((G688-(2*$D$11))+(2*10*D694/1000))*D688))*2</f>
        <v>1.48</v>
      </c>
      <c r="P694" s="10">
        <f t="shared" si="254"/>
        <v>63.64</v>
      </c>
      <c r="Q694" s="10">
        <f t="shared" si="255"/>
        <v>0</v>
      </c>
      <c r="R694" s="10">
        <f t="shared" si="255"/>
        <v>39.252242857142853</v>
      </c>
      <c r="S694" s="10">
        <f t="shared" si="255"/>
        <v>0</v>
      </c>
      <c r="T694" s="10">
        <f t="shared" si="255"/>
        <v>0</v>
      </c>
      <c r="U694" s="10">
        <f t="shared" si="255"/>
        <v>0</v>
      </c>
      <c r="V694" s="10">
        <f t="shared" si="255"/>
        <v>0</v>
      </c>
      <c r="W694" s="10">
        <f t="shared" si="255"/>
        <v>0</v>
      </c>
      <c r="X694" s="10">
        <f t="shared" si="256"/>
        <v>39.252242857142853</v>
      </c>
    </row>
    <row r="695" spans="1:32" s="2" customFormat="1" ht="20.100000000000001" customHeight="1" x14ac:dyDescent="0.2">
      <c r="B695" s="10" t="s">
        <v>67</v>
      </c>
      <c r="C695" s="93" t="s">
        <v>74</v>
      </c>
      <c r="D695" s="2">
        <f>D693</f>
        <v>10</v>
      </c>
      <c r="E695" s="2">
        <f>+E693</f>
        <v>0.125</v>
      </c>
      <c r="F695" s="2">
        <f>ROUND((E688-(IF(E688/3&gt;2*G688,E688/3*2,G688*2*2)))/E695,0)</f>
        <v>16</v>
      </c>
      <c r="G695" s="3"/>
      <c r="O695" s="10">
        <f>((((G688-(2*$D$11))+(2*10*D695/1000))*D688))*2</f>
        <v>1.48</v>
      </c>
      <c r="P695" s="10">
        <f t="shared" si="254"/>
        <v>23.68</v>
      </c>
      <c r="Q695" s="10">
        <f t="shared" si="255"/>
        <v>0</v>
      </c>
      <c r="R695" s="10">
        <f t="shared" si="255"/>
        <v>14.605485714285713</v>
      </c>
      <c r="S695" s="10">
        <f t="shared" si="255"/>
        <v>0</v>
      </c>
      <c r="T695" s="10">
        <f t="shared" si="255"/>
        <v>0</v>
      </c>
      <c r="U695" s="10">
        <f t="shared" si="255"/>
        <v>0</v>
      </c>
      <c r="V695" s="10">
        <f t="shared" si="255"/>
        <v>0</v>
      </c>
      <c r="W695" s="10">
        <f t="shared" si="255"/>
        <v>0</v>
      </c>
      <c r="X695" s="10">
        <f t="shared" si="256"/>
        <v>14.605485714285713</v>
      </c>
    </row>
    <row r="696" spans="1:32" s="3" customFormat="1" ht="21" customHeight="1" x14ac:dyDescent="0.2">
      <c r="A696" s="10">
        <v>1</v>
      </c>
      <c r="B696" s="10" t="s">
        <v>67</v>
      </c>
      <c r="C696" s="91" t="s">
        <v>166</v>
      </c>
      <c r="D696" s="91">
        <v>1</v>
      </c>
      <c r="E696" s="91">
        <v>2</v>
      </c>
      <c r="F696" s="91">
        <v>0.4</v>
      </c>
      <c r="G696" s="91">
        <v>1.1000000000000001</v>
      </c>
      <c r="H696" s="10">
        <f>G696-0.2</f>
        <v>0.90000000000000013</v>
      </c>
      <c r="I696" s="10">
        <f>E696*F696*G696*D696</f>
        <v>0.88000000000000012</v>
      </c>
      <c r="J696" s="10">
        <f>(2*(E696)*H696*D696)+(E696*F696)</f>
        <v>4.4000000000000004</v>
      </c>
      <c r="K696" s="92">
        <f>IF(E696=0.3,J696,0)</f>
        <v>0</v>
      </c>
      <c r="L696" s="92">
        <f>IF(AND(E696&gt;0.3,E696&lt;=0.75),J696,0)</f>
        <v>0</v>
      </c>
      <c r="M696" s="92">
        <f>IF(AND(E696&gt;0.75,E696&lt;=1.2),J696,0)</f>
        <v>0</v>
      </c>
      <c r="N696" s="92">
        <f>IF(E696&gt;1.2,J696,0)</f>
        <v>4.4000000000000004</v>
      </c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>
        <f>SUM(X697:X700)/I696</f>
        <v>297.03839285714287</v>
      </c>
      <c r="Z696" s="10"/>
      <c r="AA696" s="10"/>
      <c r="AB696" s="10"/>
      <c r="AC696" s="10"/>
      <c r="AD696" s="10"/>
      <c r="AE696" s="10"/>
      <c r="AF696" s="10"/>
    </row>
    <row r="697" spans="1:32" s="3" customFormat="1" ht="20.100000000000001" customHeight="1" x14ac:dyDescent="0.2">
      <c r="A697" s="87"/>
      <c r="B697" s="10" t="s">
        <v>67</v>
      </c>
      <c r="C697" s="93" t="s">
        <v>69</v>
      </c>
      <c r="D697" s="10">
        <v>25</v>
      </c>
      <c r="E697" s="10"/>
      <c r="F697" s="10">
        <v>4</v>
      </c>
      <c r="G697" s="90">
        <f>VLOOKUP(D697,$C$20:$F$26,3,0)</f>
        <v>1.35</v>
      </c>
      <c r="H697" s="90"/>
      <c r="I697" s="10"/>
      <c r="J697" s="10"/>
      <c r="K697" s="10"/>
      <c r="L697" s="10"/>
      <c r="M697" s="10"/>
      <c r="N697" s="10"/>
      <c r="O697" s="10">
        <f>(E696+2*(G697+(12*D697/1000))+D696)</f>
        <v>6.3000000000000007</v>
      </c>
      <c r="P697" s="10">
        <f t="shared" ref="P697:P698" si="257">O697*F697</f>
        <v>25.200000000000003</v>
      </c>
      <c r="Q697" s="10">
        <f t="shared" ref="Q697:W717" si="258">IF($D697=Q$44,$P697*Q$45,0)</f>
        <v>0</v>
      </c>
      <c r="R697" s="10">
        <f t="shared" si="258"/>
        <v>0</v>
      </c>
      <c r="S697" s="10">
        <f t="shared" si="258"/>
        <v>0</v>
      </c>
      <c r="T697" s="10">
        <f t="shared" si="258"/>
        <v>0</v>
      </c>
      <c r="U697" s="10">
        <f t="shared" si="258"/>
        <v>0</v>
      </c>
      <c r="V697" s="10">
        <f t="shared" si="258"/>
        <v>97.143750000000026</v>
      </c>
      <c r="W697" s="10">
        <f t="shared" si="258"/>
        <v>0</v>
      </c>
      <c r="X697" s="10">
        <f t="shared" ref="X697:X700" si="259">SUM(Q697:W697)</f>
        <v>97.143750000000026</v>
      </c>
      <c r="Y697" s="10"/>
      <c r="Z697" s="10"/>
      <c r="AA697" s="10"/>
      <c r="AB697" s="10"/>
      <c r="AC697" s="10"/>
      <c r="AD697" s="10"/>
      <c r="AE697" s="10"/>
    </row>
    <row r="698" spans="1:32" s="3" customFormat="1" ht="20.100000000000001" customHeight="1" x14ac:dyDescent="0.2">
      <c r="A698" s="87"/>
      <c r="B698" s="10" t="s">
        <v>67</v>
      </c>
      <c r="C698" s="93" t="s">
        <v>158</v>
      </c>
      <c r="D698" s="10">
        <v>25</v>
      </c>
      <c r="E698" s="10"/>
      <c r="F698" s="10">
        <v>4</v>
      </c>
      <c r="G698" s="90">
        <f>VLOOKUP(D698,$C$20:$F$26,3,0)</f>
        <v>1.35</v>
      </c>
      <c r="H698" s="90"/>
      <c r="I698" s="10"/>
      <c r="J698" s="10"/>
      <c r="K698" s="10"/>
      <c r="L698" s="10"/>
      <c r="M698" s="10"/>
      <c r="N698" s="10"/>
      <c r="O698" s="10">
        <f>(E696+2*(G698+(12*D698/1000))+D696)</f>
        <v>6.3000000000000007</v>
      </c>
      <c r="P698" s="10">
        <f t="shared" si="257"/>
        <v>25.200000000000003</v>
      </c>
      <c r="Q698" s="10">
        <f t="shared" si="258"/>
        <v>0</v>
      </c>
      <c r="R698" s="10">
        <f t="shared" si="258"/>
        <v>0</v>
      </c>
      <c r="S698" s="10">
        <f t="shared" si="258"/>
        <v>0</v>
      </c>
      <c r="T698" s="10">
        <f t="shared" si="258"/>
        <v>0</v>
      </c>
      <c r="U698" s="10">
        <f t="shared" si="258"/>
        <v>0</v>
      </c>
      <c r="V698" s="10">
        <f t="shared" si="258"/>
        <v>97.143750000000026</v>
      </c>
      <c r="W698" s="10">
        <f t="shared" si="258"/>
        <v>0</v>
      </c>
      <c r="X698" s="10">
        <f t="shared" si="259"/>
        <v>97.143750000000026</v>
      </c>
      <c r="Y698" s="10"/>
      <c r="Z698" s="10"/>
      <c r="AA698" s="10"/>
      <c r="AB698" s="10"/>
      <c r="AC698" s="10"/>
      <c r="AD698" s="10"/>
      <c r="AE698" s="10"/>
    </row>
    <row r="699" spans="1:32" s="3" customFormat="1" ht="19.5" customHeight="1" x14ac:dyDescent="0.2">
      <c r="A699" s="87"/>
      <c r="B699" s="10" t="s">
        <v>67</v>
      </c>
      <c r="C699" s="93" t="s">
        <v>73</v>
      </c>
      <c r="D699" s="10">
        <v>10</v>
      </c>
      <c r="E699" s="10">
        <v>0.1</v>
      </c>
      <c r="F699" s="10">
        <f>ROUNDUP(E696/E699,0)</f>
        <v>20</v>
      </c>
      <c r="H699" s="10"/>
      <c r="I699" s="10"/>
      <c r="J699" s="10"/>
      <c r="K699" s="10"/>
      <c r="L699" s="10"/>
      <c r="M699" s="10"/>
      <c r="N699" s="10"/>
      <c r="O699" s="10">
        <f>(2*((G696-(2*$D$11))+(F696-(2*$D$11)))+(2*10*D699/1000))*D696</f>
        <v>2.9600000000000004</v>
      </c>
      <c r="P699" s="10">
        <f>O699*F699</f>
        <v>59.20000000000001</v>
      </c>
      <c r="Q699" s="10">
        <f t="shared" si="258"/>
        <v>0</v>
      </c>
      <c r="R699" s="10">
        <f t="shared" si="258"/>
        <v>36.513714285714293</v>
      </c>
      <c r="S699" s="10">
        <f t="shared" si="258"/>
        <v>0</v>
      </c>
      <c r="T699" s="10">
        <f t="shared" si="258"/>
        <v>0</v>
      </c>
      <c r="U699" s="10">
        <f t="shared" si="258"/>
        <v>0</v>
      </c>
      <c r="V699" s="10">
        <f t="shared" si="258"/>
        <v>0</v>
      </c>
      <c r="W699" s="10">
        <f t="shared" si="258"/>
        <v>0</v>
      </c>
      <c r="X699" s="10">
        <f t="shared" si="259"/>
        <v>36.513714285714293</v>
      </c>
      <c r="Y699" s="10"/>
      <c r="Z699" s="10"/>
      <c r="AA699" s="10"/>
      <c r="AB699" s="10"/>
      <c r="AC699" s="10"/>
      <c r="AD699" s="10"/>
      <c r="AE699" s="10"/>
    </row>
    <row r="700" spans="1:32" s="2" customFormat="1" ht="20.100000000000001" customHeight="1" x14ac:dyDescent="0.2">
      <c r="B700" s="10" t="s">
        <v>67</v>
      </c>
      <c r="C700" s="93" t="s">
        <v>74</v>
      </c>
      <c r="D700" s="10">
        <f>+D699</f>
        <v>10</v>
      </c>
      <c r="E700" s="2">
        <f>+E699</f>
        <v>0.1</v>
      </c>
      <c r="F700" s="10">
        <f>ROUNDUP(E696/E700,0)</f>
        <v>20</v>
      </c>
      <c r="G700" s="3"/>
      <c r="O700" s="10">
        <f>((((G696-(2*$D$11))+(2*10*D700/1000))*D696))*2</f>
        <v>2.48</v>
      </c>
      <c r="P700" s="10">
        <f>O700*F700</f>
        <v>49.6</v>
      </c>
      <c r="Q700" s="10">
        <f t="shared" si="258"/>
        <v>0</v>
      </c>
      <c r="R700" s="10">
        <f t="shared" si="258"/>
        <v>30.592571428571429</v>
      </c>
      <c r="S700" s="10">
        <f t="shared" si="258"/>
        <v>0</v>
      </c>
      <c r="T700" s="10">
        <f t="shared" si="258"/>
        <v>0</v>
      </c>
      <c r="U700" s="10">
        <f t="shared" si="258"/>
        <v>0</v>
      </c>
      <c r="V700" s="10">
        <f t="shared" si="258"/>
        <v>0</v>
      </c>
      <c r="W700" s="10">
        <f t="shared" si="258"/>
        <v>0</v>
      </c>
      <c r="X700" s="10">
        <f t="shared" si="259"/>
        <v>30.592571428571429</v>
      </c>
    </row>
    <row r="701" spans="1:32" s="3" customFormat="1" ht="21" customHeight="1" x14ac:dyDescent="0.2">
      <c r="A701" s="10">
        <v>1</v>
      </c>
      <c r="B701" s="10" t="s">
        <v>67</v>
      </c>
      <c r="C701" s="91" t="s">
        <v>167</v>
      </c>
      <c r="D701" s="91">
        <v>1</v>
      </c>
      <c r="E701" s="91">
        <v>3.3</v>
      </c>
      <c r="F701" s="91">
        <v>0.45</v>
      </c>
      <c r="G701" s="91">
        <v>0.6</v>
      </c>
      <c r="H701" s="10">
        <f>G701-0.2</f>
        <v>0.39999999999999997</v>
      </c>
      <c r="I701" s="10">
        <f>E701*F701*G701*D701</f>
        <v>0.8909999999999999</v>
      </c>
      <c r="J701" s="10">
        <f>(2*(E701)*H701*D701)+(E701*F701)</f>
        <v>4.125</v>
      </c>
      <c r="K701" s="92">
        <f>IF(E701=0.3,J701,0)</f>
        <v>0</v>
      </c>
      <c r="L701" s="92">
        <f>IF(AND(E701&gt;0.3,E701&lt;=0.75),J701,0)</f>
        <v>0</v>
      </c>
      <c r="M701" s="92">
        <f>IF(AND(E701&gt;0.75,E701&lt;=1.2),J701,0)</f>
        <v>0</v>
      </c>
      <c r="N701" s="92">
        <f>IF(E701&gt;1.2,J701,0)</f>
        <v>4.125</v>
      </c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>
        <f>SUM(X702:X705)/I701</f>
        <v>230.37964021164029</v>
      </c>
      <c r="Z701" s="10"/>
      <c r="AA701" s="10"/>
      <c r="AB701" s="10"/>
      <c r="AC701" s="10"/>
      <c r="AD701" s="10"/>
      <c r="AE701" s="10"/>
      <c r="AF701" s="10"/>
    </row>
    <row r="702" spans="1:32" s="3" customFormat="1" ht="20.100000000000001" customHeight="1" x14ac:dyDescent="0.2">
      <c r="A702" s="87"/>
      <c r="B702" s="10" t="s">
        <v>67</v>
      </c>
      <c r="C702" s="93" t="s">
        <v>69</v>
      </c>
      <c r="D702" s="10">
        <v>20</v>
      </c>
      <c r="E702" s="10"/>
      <c r="F702" s="10">
        <v>4</v>
      </c>
      <c r="G702" s="90">
        <f>VLOOKUP(D702,$C$20:$F$26,3,0)</f>
        <v>1.05</v>
      </c>
      <c r="H702" s="90"/>
      <c r="I702" s="10"/>
      <c r="J702" s="10"/>
      <c r="K702" s="10"/>
      <c r="L702" s="10"/>
      <c r="M702" s="10"/>
      <c r="N702" s="10"/>
      <c r="O702" s="10">
        <f>(E701+1*(G702+(12*D702/1000))+1*(0.75/2)*D701)</f>
        <v>4.9649999999999999</v>
      </c>
      <c r="P702" s="10">
        <f t="shared" ref="P702:P703" si="260">O702*F702</f>
        <v>19.86</v>
      </c>
      <c r="Q702" s="10">
        <f t="shared" si="258"/>
        <v>0</v>
      </c>
      <c r="R702" s="10">
        <f t="shared" si="258"/>
        <v>0</v>
      </c>
      <c r="S702" s="10">
        <f t="shared" si="258"/>
        <v>0</v>
      </c>
      <c r="T702" s="10">
        <f t="shared" si="258"/>
        <v>0</v>
      </c>
      <c r="U702" s="10">
        <f t="shared" si="258"/>
        <v>48.997457142857144</v>
      </c>
      <c r="V702" s="10">
        <f t="shared" si="258"/>
        <v>0</v>
      </c>
      <c r="W702" s="10">
        <f t="shared" si="258"/>
        <v>0</v>
      </c>
      <c r="X702" s="10">
        <f t="shared" ref="X702:X705" si="261">SUM(Q702:W702)</f>
        <v>48.997457142857144</v>
      </c>
      <c r="Y702" s="10"/>
      <c r="Z702" s="10"/>
      <c r="AA702" s="10"/>
      <c r="AB702" s="10"/>
      <c r="AC702" s="10"/>
      <c r="AD702" s="10"/>
      <c r="AE702" s="10"/>
    </row>
    <row r="703" spans="1:32" s="3" customFormat="1" ht="20.100000000000001" customHeight="1" x14ac:dyDescent="0.2">
      <c r="A703" s="87"/>
      <c r="B703" s="10" t="s">
        <v>67</v>
      </c>
      <c r="C703" s="93" t="s">
        <v>158</v>
      </c>
      <c r="D703" s="10">
        <v>20</v>
      </c>
      <c r="E703" s="10"/>
      <c r="F703" s="10">
        <v>4</v>
      </c>
      <c r="G703" s="90">
        <f>VLOOKUP(D703,$C$20:$F$26,3,0)</f>
        <v>1.05</v>
      </c>
      <c r="H703" s="90"/>
      <c r="I703" s="10"/>
      <c r="J703" s="10"/>
      <c r="K703" s="10"/>
      <c r="L703" s="10"/>
      <c r="M703" s="10"/>
      <c r="N703" s="10"/>
      <c r="O703" s="10">
        <f>(E701+1*(G703+(12*D703/1000))+1*(0.75/2)*D701)</f>
        <v>4.9649999999999999</v>
      </c>
      <c r="P703" s="10">
        <f t="shared" si="260"/>
        <v>19.86</v>
      </c>
      <c r="Q703" s="10">
        <f t="shared" si="258"/>
        <v>0</v>
      </c>
      <c r="R703" s="10">
        <f t="shared" si="258"/>
        <v>0</v>
      </c>
      <c r="S703" s="10">
        <f t="shared" si="258"/>
        <v>0</v>
      </c>
      <c r="T703" s="10">
        <f t="shared" si="258"/>
        <v>0</v>
      </c>
      <c r="U703" s="10">
        <f t="shared" si="258"/>
        <v>48.997457142857144</v>
      </c>
      <c r="V703" s="10">
        <f t="shared" si="258"/>
        <v>0</v>
      </c>
      <c r="W703" s="10">
        <f t="shared" si="258"/>
        <v>0</v>
      </c>
      <c r="X703" s="10">
        <f t="shared" si="261"/>
        <v>48.997457142857144</v>
      </c>
      <c r="Y703" s="10"/>
      <c r="Z703" s="10"/>
      <c r="AA703" s="10"/>
      <c r="AB703" s="10"/>
      <c r="AC703" s="10"/>
      <c r="AD703" s="10"/>
      <c r="AE703" s="10"/>
    </row>
    <row r="704" spans="1:32" s="3" customFormat="1" ht="19.5" customHeight="1" x14ac:dyDescent="0.2">
      <c r="A704" s="87"/>
      <c r="B704" s="10" t="s">
        <v>67</v>
      </c>
      <c r="C704" s="93" t="s">
        <v>73</v>
      </c>
      <c r="D704" s="10">
        <v>12</v>
      </c>
      <c r="E704" s="10">
        <v>0.1</v>
      </c>
      <c r="F704" s="10">
        <f>ROUNDUP(E701/E704,0)</f>
        <v>33</v>
      </c>
      <c r="H704" s="10"/>
      <c r="I704" s="10"/>
      <c r="J704" s="10"/>
      <c r="K704" s="10"/>
      <c r="L704" s="10"/>
      <c r="M704" s="10"/>
      <c r="N704" s="10"/>
      <c r="O704" s="10">
        <f>(2*((G701-(2*$D$11))+(F701-(2*$D$11)))+(2*10*D704/1000))*D701</f>
        <v>2.1</v>
      </c>
      <c r="P704" s="10">
        <f>O704*F704</f>
        <v>69.3</v>
      </c>
      <c r="Q704" s="10">
        <f t="shared" si="258"/>
        <v>0</v>
      </c>
      <c r="R704" s="10">
        <f t="shared" si="258"/>
        <v>0</v>
      </c>
      <c r="S704" s="10">
        <f t="shared" si="258"/>
        <v>61.550280000000008</v>
      </c>
      <c r="T704" s="10">
        <f t="shared" si="258"/>
        <v>0</v>
      </c>
      <c r="U704" s="10">
        <f t="shared" si="258"/>
        <v>0</v>
      </c>
      <c r="V704" s="10">
        <f t="shared" si="258"/>
        <v>0</v>
      </c>
      <c r="W704" s="10">
        <f t="shared" si="258"/>
        <v>0</v>
      </c>
      <c r="X704" s="10">
        <f t="shared" si="261"/>
        <v>61.550280000000008</v>
      </c>
      <c r="Y704" s="10"/>
      <c r="Z704" s="10"/>
      <c r="AA704" s="10"/>
      <c r="AB704" s="10"/>
      <c r="AC704" s="10"/>
      <c r="AD704" s="10"/>
      <c r="AE704" s="10"/>
    </row>
    <row r="705" spans="1:32" s="2" customFormat="1" ht="20.100000000000001" customHeight="1" x14ac:dyDescent="0.2">
      <c r="B705" s="10" t="s">
        <v>67</v>
      </c>
      <c r="C705" s="93" t="s">
        <v>74</v>
      </c>
      <c r="D705" s="10">
        <f>+D704</f>
        <v>12</v>
      </c>
      <c r="E705" s="2">
        <f>+E704</f>
        <v>0.1</v>
      </c>
      <c r="F705" s="10">
        <f>ROUNDUP(E701/E705,0)</f>
        <v>33</v>
      </c>
      <c r="G705" s="3"/>
      <c r="O705" s="10">
        <f>((((G701-(2*$D$11))+(2*10*D705/1000))*D701))*2</f>
        <v>1.56</v>
      </c>
      <c r="P705" s="10">
        <f>O705*F705</f>
        <v>51.480000000000004</v>
      </c>
      <c r="Q705" s="10">
        <f t="shared" si="258"/>
        <v>0</v>
      </c>
      <c r="R705" s="10">
        <f t="shared" si="258"/>
        <v>0</v>
      </c>
      <c r="S705" s="10">
        <f t="shared" si="258"/>
        <v>45.723065142857152</v>
      </c>
      <c r="T705" s="10">
        <f t="shared" si="258"/>
        <v>0</v>
      </c>
      <c r="U705" s="10">
        <f t="shared" si="258"/>
        <v>0</v>
      </c>
      <c r="V705" s="10">
        <f t="shared" si="258"/>
        <v>0</v>
      </c>
      <c r="W705" s="10">
        <f t="shared" si="258"/>
        <v>0</v>
      </c>
      <c r="X705" s="10">
        <f t="shared" si="261"/>
        <v>45.723065142857152</v>
      </c>
    </row>
    <row r="706" spans="1:32" s="3" customFormat="1" ht="21" customHeight="1" x14ac:dyDescent="0.2">
      <c r="A706" s="10">
        <v>1</v>
      </c>
      <c r="B706" s="10" t="s">
        <v>67</v>
      </c>
      <c r="C706" s="91" t="s">
        <v>168</v>
      </c>
      <c r="D706" s="91">
        <v>1</v>
      </c>
      <c r="E706" s="91">
        <v>6</v>
      </c>
      <c r="F706" s="91">
        <v>0.45</v>
      </c>
      <c r="G706" s="91">
        <v>0.6</v>
      </c>
      <c r="H706" s="10">
        <f>G706-0.2</f>
        <v>0.39999999999999997</v>
      </c>
      <c r="I706" s="10">
        <f>E706*F706*G706*D706</f>
        <v>1.62</v>
      </c>
      <c r="J706" s="10">
        <f>(2*(E706)*H706*D706)+(E706*F706)</f>
        <v>7.5</v>
      </c>
      <c r="K706" s="92">
        <f>IF(E706=0.3,J706,0)</f>
        <v>0</v>
      </c>
      <c r="L706" s="92">
        <f>IF(AND(E706&gt;0.3,E706&lt;=0.75),J706,0)</f>
        <v>0</v>
      </c>
      <c r="M706" s="92">
        <f>IF(AND(E706&gt;0.75,E706&lt;=1.2),J706,0)</f>
        <v>0</v>
      </c>
      <c r="N706" s="92">
        <f>IF(E706&gt;1.2,J706,0)</f>
        <v>7.5</v>
      </c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>
        <f>SUM(X707:X713)/I706</f>
        <v>240.72689550264553</v>
      </c>
      <c r="Z706" s="10"/>
      <c r="AA706" s="10"/>
      <c r="AB706" s="10"/>
      <c r="AC706" s="10"/>
      <c r="AD706" s="10"/>
      <c r="AE706" s="10"/>
      <c r="AF706" s="10"/>
    </row>
    <row r="707" spans="1:32" s="3" customFormat="1" ht="20.100000000000001" customHeight="1" x14ac:dyDescent="0.2">
      <c r="A707" s="87"/>
      <c r="B707" s="10" t="s">
        <v>67</v>
      </c>
      <c r="C707" s="93" t="s">
        <v>69</v>
      </c>
      <c r="D707" s="10">
        <v>20</v>
      </c>
      <c r="E707" s="10"/>
      <c r="F707" s="10">
        <v>4</v>
      </c>
      <c r="G707" s="90">
        <f>VLOOKUP(D707,$C$20:$F$26,3,0)</f>
        <v>1.05</v>
      </c>
      <c r="H707" s="90"/>
      <c r="I707" s="10"/>
      <c r="J707" s="10"/>
      <c r="K707" s="10"/>
      <c r="L707" s="10"/>
      <c r="M707" s="10"/>
      <c r="N707" s="10"/>
      <c r="O707" s="10">
        <f>(E706+1*(0.3/2)+1*(0.75/2)*D706)</f>
        <v>6.5250000000000004</v>
      </c>
      <c r="P707" s="10">
        <f t="shared" ref="P707:P710" si="262">O707*F707</f>
        <v>26.1</v>
      </c>
      <c r="Q707" s="10">
        <f t="shared" si="258"/>
        <v>0</v>
      </c>
      <c r="R707" s="10">
        <f t="shared" si="258"/>
        <v>0</v>
      </c>
      <c r="S707" s="10">
        <f t="shared" si="258"/>
        <v>0</v>
      </c>
      <c r="T707" s="10">
        <f t="shared" si="258"/>
        <v>0</v>
      </c>
      <c r="U707" s="10">
        <f t="shared" si="258"/>
        <v>64.392428571428567</v>
      </c>
      <c r="V707" s="10">
        <f t="shared" si="258"/>
        <v>0</v>
      </c>
      <c r="W707" s="10">
        <f t="shared" si="258"/>
        <v>0</v>
      </c>
      <c r="X707" s="10">
        <f t="shared" ref="X707:X713" si="263">SUM(Q707:W707)</f>
        <v>64.392428571428567</v>
      </c>
      <c r="Y707" s="10"/>
      <c r="Z707" s="10"/>
      <c r="AA707" s="10"/>
      <c r="AB707" s="10"/>
      <c r="AC707" s="10"/>
      <c r="AD707" s="10"/>
      <c r="AE707" s="10"/>
    </row>
    <row r="708" spans="1:32" s="3" customFormat="1" ht="20.100000000000001" customHeight="1" x14ac:dyDescent="0.2">
      <c r="A708" s="87"/>
      <c r="B708" s="10" t="s">
        <v>67</v>
      </c>
      <c r="C708" s="93" t="s">
        <v>112</v>
      </c>
      <c r="D708" s="10">
        <v>25</v>
      </c>
      <c r="E708" s="10"/>
      <c r="F708" s="10">
        <v>4</v>
      </c>
      <c r="G708" s="90">
        <f>VLOOKUP(D708,$C$20:$F$26,3,0)</f>
        <v>1.35</v>
      </c>
      <c r="H708" s="90"/>
      <c r="I708" s="10"/>
      <c r="J708" s="10"/>
      <c r="K708" s="10"/>
      <c r="L708" s="10"/>
      <c r="M708" s="10"/>
      <c r="N708" s="10"/>
      <c r="O708" s="10">
        <f>1.65+1*(0.3)</f>
        <v>1.95</v>
      </c>
      <c r="P708" s="10">
        <f t="shared" si="262"/>
        <v>7.8</v>
      </c>
      <c r="Q708" s="10">
        <f t="shared" si="258"/>
        <v>0</v>
      </c>
      <c r="R708" s="10">
        <f t="shared" si="258"/>
        <v>0</v>
      </c>
      <c r="S708" s="10">
        <f t="shared" si="258"/>
        <v>0</v>
      </c>
      <c r="T708" s="10">
        <f t="shared" si="258"/>
        <v>0</v>
      </c>
      <c r="U708" s="10">
        <f t="shared" si="258"/>
        <v>0</v>
      </c>
      <c r="V708" s="10">
        <f t="shared" si="258"/>
        <v>30.068303571428576</v>
      </c>
      <c r="W708" s="10">
        <f t="shared" si="258"/>
        <v>0</v>
      </c>
      <c r="X708" s="10">
        <f t="shared" si="263"/>
        <v>30.068303571428576</v>
      </c>
      <c r="Y708" s="10"/>
      <c r="Z708" s="10"/>
      <c r="AA708" s="10"/>
      <c r="AB708" s="10"/>
      <c r="AC708" s="10"/>
      <c r="AD708" s="10"/>
      <c r="AE708" s="10"/>
    </row>
    <row r="709" spans="1:32" s="3" customFormat="1" ht="20.100000000000001" customHeight="1" x14ac:dyDescent="0.2">
      <c r="A709" s="87"/>
      <c r="B709" s="10" t="s">
        <v>67</v>
      </c>
      <c r="C709" s="93" t="s">
        <v>158</v>
      </c>
      <c r="D709" s="10">
        <v>20</v>
      </c>
      <c r="E709" s="10"/>
      <c r="F709" s="10">
        <v>4</v>
      </c>
      <c r="G709" s="90">
        <f>VLOOKUP(D709,$C$20:$F$26,3,0)</f>
        <v>1.05</v>
      </c>
      <c r="H709" s="90"/>
      <c r="I709" s="10"/>
      <c r="J709" s="10"/>
      <c r="K709" s="10"/>
      <c r="L709" s="10"/>
      <c r="M709" s="10"/>
      <c r="N709" s="10"/>
      <c r="O709" s="10">
        <f>(E706+1*(0.3/2)+1*(0.75/2)*D706)</f>
        <v>6.5250000000000004</v>
      </c>
      <c r="P709" s="10">
        <f t="shared" si="262"/>
        <v>26.1</v>
      </c>
      <c r="Q709" s="10">
        <f t="shared" si="258"/>
        <v>0</v>
      </c>
      <c r="R709" s="10">
        <f t="shared" si="258"/>
        <v>0</v>
      </c>
      <c r="S709" s="10">
        <f t="shared" si="258"/>
        <v>0</v>
      </c>
      <c r="T709" s="10">
        <f t="shared" si="258"/>
        <v>0</v>
      </c>
      <c r="U709" s="10">
        <f t="shared" si="258"/>
        <v>64.392428571428567</v>
      </c>
      <c r="V709" s="10">
        <f t="shared" si="258"/>
        <v>0</v>
      </c>
      <c r="W709" s="10">
        <f t="shared" si="258"/>
        <v>0</v>
      </c>
      <c r="X709" s="10">
        <f t="shared" si="263"/>
        <v>64.392428571428567</v>
      </c>
      <c r="Y709" s="10"/>
      <c r="Z709" s="10"/>
      <c r="AA709" s="10"/>
      <c r="AB709" s="10"/>
      <c r="AC709" s="10"/>
      <c r="AD709" s="10"/>
      <c r="AE709" s="10"/>
    </row>
    <row r="710" spans="1:32" s="3" customFormat="1" ht="20.100000000000001" customHeight="1" x14ac:dyDescent="0.2">
      <c r="A710" s="87"/>
      <c r="B710" s="10" t="s">
        <v>67</v>
      </c>
      <c r="C710" s="93" t="s">
        <v>158</v>
      </c>
      <c r="D710" s="10">
        <v>25</v>
      </c>
      <c r="E710" s="10"/>
      <c r="F710" s="10">
        <v>4</v>
      </c>
      <c r="G710" s="90">
        <f>VLOOKUP(D710,$C$20:$F$26,3,0)</f>
        <v>1.35</v>
      </c>
      <c r="H710" s="90"/>
      <c r="I710" s="10"/>
      <c r="J710" s="10"/>
      <c r="K710" s="10"/>
      <c r="L710" s="10"/>
      <c r="M710" s="10"/>
      <c r="N710" s="10"/>
      <c r="O710" s="10">
        <f>1.65+1*(0.3)</f>
        <v>1.95</v>
      </c>
      <c r="P710" s="10">
        <f t="shared" si="262"/>
        <v>7.8</v>
      </c>
      <c r="Q710" s="10">
        <f t="shared" si="258"/>
        <v>0</v>
      </c>
      <c r="R710" s="10">
        <f t="shared" si="258"/>
        <v>0</v>
      </c>
      <c r="S710" s="10">
        <f t="shared" si="258"/>
        <v>0</v>
      </c>
      <c r="T710" s="10">
        <f t="shared" si="258"/>
        <v>0</v>
      </c>
      <c r="U710" s="10">
        <f t="shared" si="258"/>
        <v>0</v>
      </c>
      <c r="V710" s="10">
        <f t="shared" si="258"/>
        <v>30.068303571428576</v>
      </c>
      <c r="W710" s="10">
        <f t="shared" si="258"/>
        <v>0</v>
      </c>
      <c r="X710" s="10">
        <f t="shared" si="263"/>
        <v>30.068303571428576</v>
      </c>
      <c r="Y710" s="10"/>
      <c r="Z710" s="10"/>
      <c r="AA710" s="10"/>
      <c r="AB710" s="10"/>
      <c r="AC710" s="10"/>
      <c r="AD710" s="10"/>
      <c r="AE710" s="10"/>
    </row>
    <row r="711" spans="1:32" s="3" customFormat="1" ht="19.5" customHeight="1" x14ac:dyDescent="0.2">
      <c r="A711" s="87"/>
      <c r="B711" s="10" t="s">
        <v>67</v>
      </c>
      <c r="C711" s="93" t="s">
        <v>73</v>
      </c>
      <c r="D711" s="10">
        <v>12</v>
      </c>
      <c r="E711" s="10">
        <v>0.1</v>
      </c>
      <c r="F711" s="10">
        <f>ROUNDUP(E706/E711,0)</f>
        <v>60</v>
      </c>
      <c r="H711" s="10"/>
      <c r="I711" s="10"/>
      <c r="J711" s="10"/>
      <c r="K711" s="10"/>
      <c r="L711" s="10"/>
      <c r="M711" s="10"/>
      <c r="N711" s="10"/>
      <c r="O711" s="10">
        <f>(2*((G706-(2*$D$11))+(F706-(2*$D$11)))+(2*10*D711/1000))*D706</f>
        <v>2.1</v>
      </c>
      <c r="P711" s="10">
        <f>O711*F711</f>
        <v>126</v>
      </c>
      <c r="Q711" s="10">
        <f t="shared" si="258"/>
        <v>0</v>
      </c>
      <c r="R711" s="10">
        <f t="shared" si="258"/>
        <v>0</v>
      </c>
      <c r="S711" s="10">
        <f t="shared" si="258"/>
        <v>111.90960000000003</v>
      </c>
      <c r="T711" s="10">
        <f t="shared" si="258"/>
        <v>0</v>
      </c>
      <c r="U711" s="10">
        <f t="shared" si="258"/>
        <v>0</v>
      </c>
      <c r="V711" s="10">
        <f t="shared" si="258"/>
        <v>0</v>
      </c>
      <c r="W711" s="10">
        <f t="shared" si="258"/>
        <v>0</v>
      </c>
      <c r="X711" s="10">
        <f t="shared" si="263"/>
        <v>111.90960000000003</v>
      </c>
      <c r="Y711" s="10"/>
      <c r="Z711" s="10"/>
      <c r="AA711" s="10"/>
      <c r="AB711" s="10"/>
      <c r="AC711" s="10"/>
      <c r="AD711" s="10"/>
      <c r="AE711" s="10"/>
    </row>
    <row r="712" spans="1:32" s="2" customFormat="1" ht="20.100000000000001" customHeight="1" x14ac:dyDescent="0.2">
      <c r="B712" s="10" t="s">
        <v>67</v>
      </c>
      <c r="C712" s="93" t="s">
        <v>74</v>
      </c>
      <c r="D712" s="10">
        <f>+D711</f>
        <v>12</v>
      </c>
      <c r="E712" s="2">
        <f>+E711</f>
        <v>0.1</v>
      </c>
      <c r="F712" s="10">
        <f>ROUNDUP(E706/E712,0)</f>
        <v>60</v>
      </c>
      <c r="G712" s="3"/>
      <c r="O712" s="10">
        <f>((((G706-(2*$D$11))+(2*10*D712/1000))*D706))*2</f>
        <v>1.56</v>
      </c>
      <c r="P712" s="10">
        <f>O712*F712</f>
        <v>93.600000000000009</v>
      </c>
      <c r="Q712" s="10">
        <f t="shared" si="258"/>
        <v>0</v>
      </c>
      <c r="R712" s="10">
        <f t="shared" si="258"/>
        <v>0</v>
      </c>
      <c r="S712" s="10">
        <f t="shared" si="258"/>
        <v>83.132845714285736</v>
      </c>
      <c r="T712" s="10">
        <f t="shared" si="258"/>
        <v>0</v>
      </c>
      <c r="U712" s="10">
        <f t="shared" si="258"/>
        <v>0</v>
      </c>
      <c r="V712" s="10">
        <f t="shared" si="258"/>
        <v>0</v>
      </c>
      <c r="W712" s="10">
        <f t="shared" si="258"/>
        <v>0</v>
      </c>
      <c r="X712" s="10">
        <f t="shared" si="263"/>
        <v>83.132845714285736</v>
      </c>
    </row>
    <row r="713" spans="1:32" s="3" customFormat="1" ht="20.100000000000001" customHeight="1" x14ac:dyDescent="0.2">
      <c r="A713" s="87"/>
      <c r="B713" s="10" t="s">
        <v>67</v>
      </c>
      <c r="C713" s="93" t="s">
        <v>75</v>
      </c>
      <c r="D713" s="10">
        <f>+$D$15</f>
        <v>25</v>
      </c>
      <c r="E713" s="10">
        <f>+$E$15</f>
        <v>1</v>
      </c>
      <c r="F713" s="10">
        <f>ROUNDUP((O708++O710)/E713,0)</f>
        <v>4</v>
      </c>
      <c r="G713" s="90"/>
      <c r="H713" s="90"/>
      <c r="I713" s="10"/>
      <c r="J713" s="10"/>
      <c r="K713" s="10"/>
      <c r="L713" s="10"/>
      <c r="M713" s="10"/>
      <c r="N713" s="10"/>
      <c r="O713" s="10">
        <f>F706-$F$15</f>
        <v>0.39</v>
      </c>
      <c r="P713" s="10">
        <f t="shared" ref="P713" si="264">O713*F713</f>
        <v>1.56</v>
      </c>
      <c r="Q713" s="10">
        <f t="shared" si="258"/>
        <v>0</v>
      </c>
      <c r="R713" s="10">
        <f t="shared" si="258"/>
        <v>0</v>
      </c>
      <c r="S713" s="10">
        <f t="shared" si="258"/>
        <v>0</v>
      </c>
      <c r="T713" s="10">
        <f t="shared" si="258"/>
        <v>0</v>
      </c>
      <c r="U713" s="10">
        <f t="shared" si="258"/>
        <v>0</v>
      </c>
      <c r="V713" s="10">
        <f t="shared" si="258"/>
        <v>6.0136607142857157</v>
      </c>
      <c r="W713" s="10">
        <f t="shared" si="258"/>
        <v>0</v>
      </c>
      <c r="X713" s="10">
        <f t="shared" si="263"/>
        <v>6.0136607142857157</v>
      </c>
      <c r="Y713" s="10"/>
      <c r="Z713" s="10"/>
      <c r="AA713" s="10"/>
      <c r="AB713" s="10"/>
      <c r="AC713" s="10"/>
      <c r="AD713" s="10"/>
      <c r="AE713" s="10"/>
    </row>
    <row r="714" spans="1:32" s="3" customFormat="1" ht="21" customHeight="1" x14ac:dyDescent="0.2">
      <c r="A714" s="10">
        <v>1</v>
      </c>
      <c r="B714" s="10" t="s">
        <v>67</v>
      </c>
      <c r="C714" s="91" t="s">
        <v>169</v>
      </c>
      <c r="D714" s="91">
        <v>1</v>
      </c>
      <c r="E714" s="91">
        <v>7.65</v>
      </c>
      <c r="F714" s="91">
        <v>0.6</v>
      </c>
      <c r="G714" s="91">
        <v>0.6</v>
      </c>
      <c r="H714" s="10">
        <f>G714-0.2</f>
        <v>0.39999999999999997</v>
      </c>
      <c r="I714" s="10">
        <f>E714*F714*G714*D714</f>
        <v>2.754</v>
      </c>
      <c r="J714" s="10">
        <f>(2*(E714)*H714*D714)+(E714*F714)</f>
        <v>10.71</v>
      </c>
      <c r="K714" s="92">
        <f>IF(E714=0.3,J714,0)</f>
        <v>0</v>
      </c>
      <c r="L714" s="92">
        <f>IF(AND(E714&gt;0.3,E714&lt;=0.75),J714,0)</f>
        <v>0</v>
      </c>
      <c r="M714" s="92">
        <f>IF(AND(E714&gt;0.75,E714&lt;=1.2),J714,0)</f>
        <v>0</v>
      </c>
      <c r="N714" s="92">
        <f>IF(E714&gt;1.2,J714,0)</f>
        <v>10.71</v>
      </c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>
        <f>SUM(X715:X724)/I714</f>
        <v>215.64601438427226</v>
      </c>
      <c r="Z714" s="10"/>
      <c r="AA714" s="10"/>
      <c r="AB714" s="10"/>
      <c r="AC714" s="10"/>
      <c r="AD714" s="10"/>
      <c r="AE714" s="10"/>
      <c r="AF714" s="10"/>
    </row>
    <row r="715" spans="1:32" s="3" customFormat="1" ht="20.100000000000001" customHeight="1" x14ac:dyDescent="0.2">
      <c r="A715" s="87"/>
      <c r="B715" s="10" t="s">
        <v>67</v>
      </c>
      <c r="C715" s="93" t="s">
        <v>69</v>
      </c>
      <c r="D715" s="10">
        <v>20</v>
      </c>
      <c r="E715" s="10"/>
      <c r="F715" s="10">
        <v>6</v>
      </c>
      <c r="G715" s="90">
        <f>VLOOKUP(D715,$C$20:$F$26,3,0)</f>
        <v>1.05</v>
      </c>
      <c r="H715" s="90"/>
      <c r="I715" s="10"/>
      <c r="J715" s="10"/>
      <c r="K715" s="10"/>
      <c r="L715" s="10"/>
      <c r="M715" s="10"/>
      <c r="N715" s="10"/>
      <c r="O715" s="10">
        <f>(E714+1*(G715+(12*D715/1000))+1*(0.3/2)*D714)</f>
        <v>9.0900000000000016</v>
      </c>
      <c r="P715" s="10">
        <f t="shared" ref="P715:P724" si="265">O715*F715</f>
        <v>54.540000000000006</v>
      </c>
      <c r="Q715" s="10">
        <f t="shared" si="258"/>
        <v>0</v>
      </c>
      <c r="R715" s="10">
        <f t="shared" si="258"/>
        <v>0</v>
      </c>
      <c r="S715" s="10">
        <f t="shared" si="258"/>
        <v>0</v>
      </c>
      <c r="T715" s="10">
        <f t="shared" si="258"/>
        <v>0</v>
      </c>
      <c r="U715" s="10">
        <f t="shared" si="258"/>
        <v>134.55797142857145</v>
      </c>
      <c r="V715" s="10">
        <f t="shared" si="258"/>
        <v>0</v>
      </c>
      <c r="W715" s="10">
        <f t="shared" si="258"/>
        <v>0</v>
      </c>
      <c r="X715" s="10">
        <f t="shared" ref="X715:X724" si="266">SUM(Q715:W715)</f>
        <v>134.55797142857145</v>
      </c>
      <c r="Y715" s="10"/>
      <c r="Z715" s="10"/>
      <c r="AA715" s="10"/>
      <c r="AB715" s="10"/>
      <c r="AC715" s="10"/>
      <c r="AD715" s="10"/>
      <c r="AE715" s="10"/>
    </row>
    <row r="716" spans="1:32" s="3" customFormat="1" ht="20.100000000000001" customHeight="1" x14ac:dyDescent="0.2">
      <c r="A716" s="87"/>
      <c r="B716" s="10" t="s">
        <v>67</v>
      </c>
      <c r="C716" s="93" t="s">
        <v>112</v>
      </c>
      <c r="D716" s="10">
        <v>25</v>
      </c>
      <c r="E716" s="10"/>
      <c r="F716" s="10">
        <v>4</v>
      </c>
      <c r="G716" s="90">
        <f>VLOOKUP(D716,$C$20:$F$26,3,0)</f>
        <v>1.35</v>
      </c>
      <c r="H716" s="90"/>
      <c r="I716" s="10"/>
      <c r="J716" s="10"/>
      <c r="K716" s="10"/>
      <c r="L716" s="10"/>
      <c r="M716" s="10"/>
      <c r="N716" s="10"/>
      <c r="O716" s="10">
        <f>2+0.3</f>
        <v>2.2999999999999998</v>
      </c>
      <c r="P716" s="10">
        <f t="shared" si="265"/>
        <v>9.1999999999999993</v>
      </c>
      <c r="Q716" s="10">
        <f t="shared" si="258"/>
        <v>0</v>
      </c>
      <c r="R716" s="10">
        <f t="shared" si="258"/>
        <v>0</v>
      </c>
      <c r="S716" s="10">
        <f t="shared" si="258"/>
        <v>0</v>
      </c>
      <c r="T716" s="10">
        <f t="shared" si="258"/>
        <v>0</v>
      </c>
      <c r="U716" s="10">
        <f t="shared" si="258"/>
        <v>0</v>
      </c>
      <c r="V716" s="10">
        <f t="shared" si="258"/>
        <v>35.465178571428574</v>
      </c>
      <c r="W716" s="10">
        <f t="shared" si="258"/>
        <v>0</v>
      </c>
      <c r="X716" s="10">
        <f t="shared" si="266"/>
        <v>35.465178571428574</v>
      </c>
      <c r="Y716" s="10"/>
      <c r="Z716" s="10"/>
      <c r="AA716" s="10"/>
      <c r="AB716" s="10"/>
      <c r="AC716" s="10"/>
      <c r="AD716" s="10"/>
      <c r="AE716" s="10"/>
    </row>
    <row r="717" spans="1:32" s="3" customFormat="1" ht="20.100000000000001" customHeight="1" x14ac:dyDescent="0.2">
      <c r="A717" s="87"/>
      <c r="B717" s="10" t="s">
        <v>67</v>
      </c>
      <c r="C717" s="93" t="s">
        <v>112</v>
      </c>
      <c r="D717" s="10">
        <v>16</v>
      </c>
      <c r="E717" s="10"/>
      <c r="F717" s="10">
        <v>3</v>
      </c>
      <c r="G717" s="90">
        <f>VLOOKUP(D717,$C$20:$F$26,3,0)</f>
        <v>0.85</v>
      </c>
      <c r="H717" s="90"/>
      <c r="I717" s="10"/>
      <c r="J717" s="10"/>
      <c r="K717" s="10"/>
      <c r="L717" s="10"/>
      <c r="M717" s="10"/>
      <c r="N717" s="10"/>
      <c r="O717" s="10">
        <f>(2+1*(G717+(12*D717/1000))*D714)</f>
        <v>3.0419999999999998</v>
      </c>
      <c r="P717" s="10">
        <f t="shared" si="265"/>
        <v>9.1259999999999994</v>
      </c>
      <c r="Q717" s="10">
        <f t="shared" si="258"/>
        <v>0</v>
      </c>
      <c r="R717" s="10">
        <f t="shared" si="258"/>
        <v>0</v>
      </c>
      <c r="S717" s="10">
        <f t="shared" si="258"/>
        <v>0</v>
      </c>
      <c r="T717" s="10">
        <f t="shared" si="258"/>
        <v>14.409693257142857</v>
      </c>
      <c r="U717" s="10">
        <f t="shared" si="258"/>
        <v>0</v>
      </c>
      <c r="V717" s="10">
        <f t="shared" si="258"/>
        <v>0</v>
      </c>
      <c r="W717" s="10">
        <f t="shared" si="258"/>
        <v>0</v>
      </c>
      <c r="X717" s="10">
        <f t="shared" si="266"/>
        <v>14.409693257142857</v>
      </c>
      <c r="Y717" s="10"/>
      <c r="Z717" s="10"/>
      <c r="AA717" s="10"/>
      <c r="AB717" s="10"/>
      <c r="AC717" s="10"/>
      <c r="AD717" s="10"/>
      <c r="AE717" s="10"/>
    </row>
    <row r="718" spans="1:32" s="3" customFormat="1" ht="20.100000000000001" customHeight="1" x14ac:dyDescent="0.2">
      <c r="A718" s="87"/>
      <c r="B718" s="10" t="s">
        <v>67</v>
      </c>
      <c r="C718" s="93" t="s">
        <v>158</v>
      </c>
      <c r="D718" s="10">
        <v>20</v>
      </c>
      <c r="E718" s="10"/>
      <c r="F718" s="10">
        <v>6</v>
      </c>
      <c r="G718" s="90">
        <f>VLOOKUP(D718,$C$20:$F$26,3,0)</f>
        <v>1.05</v>
      </c>
      <c r="H718" s="90"/>
      <c r="I718" s="10"/>
      <c r="J718" s="10"/>
      <c r="K718" s="10"/>
      <c r="L718" s="10"/>
      <c r="M718" s="10"/>
      <c r="N718" s="10"/>
      <c r="O718" s="10">
        <f>(E714+1*(G718+(12*D718/1000))+1*(0.3/2)*D714)</f>
        <v>9.0900000000000016</v>
      </c>
      <c r="P718" s="10">
        <f t="shared" si="265"/>
        <v>54.540000000000006</v>
      </c>
      <c r="Q718" s="10">
        <f t="shared" ref="Q718:W724" si="267">IF($D718=Q$44,$P718*Q$45,0)</f>
        <v>0</v>
      </c>
      <c r="R718" s="10">
        <f t="shared" si="267"/>
        <v>0</v>
      </c>
      <c r="S718" s="10">
        <f t="shared" si="267"/>
        <v>0</v>
      </c>
      <c r="T718" s="10">
        <f t="shared" si="267"/>
        <v>0</v>
      </c>
      <c r="U718" s="10">
        <f t="shared" si="267"/>
        <v>134.55797142857145</v>
      </c>
      <c r="V718" s="10">
        <f t="shared" si="267"/>
        <v>0</v>
      </c>
      <c r="W718" s="10">
        <f t="shared" si="267"/>
        <v>0</v>
      </c>
      <c r="X718" s="10">
        <f t="shared" si="266"/>
        <v>134.55797142857145</v>
      </c>
      <c r="Y718" s="10"/>
      <c r="Z718" s="10"/>
      <c r="AA718" s="10"/>
      <c r="AB718" s="10"/>
      <c r="AC718" s="10"/>
      <c r="AD718" s="10"/>
      <c r="AE718" s="10"/>
    </row>
    <row r="719" spans="1:32" s="3" customFormat="1" ht="20.100000000000001" customHeight="1" x14ac:dyDescent="0.2">
      <c r="A719" s="87"/>
      <c r="B719" s="10" t="s">
        <v>67</v>
      </c>
      <c r="C719" s="93" t="s">
        <v>116</v>
      </c>
      <c r="D719" s="10">
        <v>25</v>
      </c>
      <c r="E719" s="10"/>
      <c r="F719" s="10">
        <v>2</v>
      </c>
      <c r="G719" s="90">
        <f>VLOOKUP(D719,$C$20:$F$26,3,0)</f>
        <v>1.35</v>
      </c>
      <c r="H719" s="90"/>
      <c r="I719" s="10"/>
      <c r="J719" s="10"/>
      <c r="K719" s="10"/>
      <c r="L719" s="10"/>
      <c r="M719" s="10"/>
      <c r="N719" s="10"/>
      <c r="O719" s="10">
        <f>(E714+1*(G719+(12*D719/1000))+1*(0.3/2)*D714)</f>
        <v>9.4500000000000011</v>
      </c>
      <c r="P719" s="10">
        <f t="shared" si="265"/>
        <v>18.900000000000002</v>
      </c>
      <c r="Q719" s="10">
        <f t="shared" si="267"/>
        <v>0</v>
      </c>
      <c r="R719" s="10">
        <f t="shared" si="267"/>
        <v>0</v>
      </c>
      <c r="S719" s="10">
        <f t="shared" si="267"/>
        <v>0</v>
      </c>
      <c r="T719" s="10">
        <f t="shared" si="267"/>
        <v>0</v>
      </c>
      <c r="U719" s="10">
        <f t="shared" si="267"/>
        <v>0</v>
      </c>
      <c r="V719" s="10">
        <f t="shared" si="267"/>
        <v>72.857812500000023</v>
      </c>
      <c r="W719" s="10">
        <f t="shared" si="267"/>
        <v>0</v>
      </c>
      <c r="X719" s="10">
        <f t="shared" si="266"/>
        <v>72.857812500000023</v>
      </c>
      <c r="Y719" s="10"/>
      <c r="Z719" s="10"/>
      <c r="AA719" s="10"/>
      <c r="AB719" s="10"/>
      <c r="AC719" s="10"/>
      <c r="AD719" s="10"/>
      <c r="AE719" s="10"/>
    </row>
    <row r="720" spans="1:32" s="3" customFormat="1" ht="20.100000000000001" customHeight="1" x14ac:dyDescent="0.2">
      <c r="A720" s="87"/>
      <c r="B720" s="10" t="s">
        <v>67</v>
      </c>
      <c r="C720" s="93" t="s">
        <v>73</v>
      </c>
      <c r="D720" s="10">
        <v>10</v>
      </c>
      <c r="E720" s="10">
        <v>0.1</v>
      </c>
      <c r="F720" s="10">
        <f>ROUND(IF(E714/3&gt;(2*G714),(E714/3)/E720,(2*G714)/E720),0)*2+1</f>
        <v>53</v>
      </c>
      <c r="H720" s="10"/>
      <c r="I720" s="10"/>
      <c r="J720" s="10"/>
      <c r="K720" s="10"/>
      <c r="L720" s="10"/>
      <c r="M720" s="10"/>
      <c r="N720" s="10"/>
      <c r="O720" s="10">
        <f>(2*((G714-(2*$D$11))+(F714-(2*$D$11)))+(2*10*D720/1000))*D714</f>
        <v>2.3600000000000003</v>
      </c>
      <c r="P720" s="10">
        <f t="shared" si="265"/>
        <v>125.08000000000001</v>
      </c>
      <c r="Q720" s="10">
        <f t="shared" si="267"/>
        <v>0</v>
      </c>
      <c r="R720" s="10">
        <f t="shared" si="267"/>
        <v>77.147557142857153</v>
      </c>
      <c r="S720" s="10">
        <f t="shared" si="267"/>
        <v>0</v>
      </c>
      <c r="T720" s="10">
        <f t="shared" si="267"/>
        <v>0</v>
      </c>
      <c r="U720" s="10">
        <f t="shared" si="267"/>
        <v>0</v>
      </c>
      <c r="V720" s="10">
        <f t="shared" si="267"/>
        <v>0</v>
      </c>
      <c r="W720" s="10">
        <f t="shared" si="267"/>
        <v>0</v>
      </c>
      <c r="X720" s="10">
        <f t="shared" si="266"/>
        <v>77.147557142857153</v>
      </c>
      <c r="Y720" s="10"/>
      <c r="Z720" s="10"/>
      <c r="AA720" s="10"/>
      <c r="AB720" s="10"/>
      <c r="AC720" s="10"/>
      <c r="AD720" s="10"/>
      <c r="AE720" s="10"/>
    </row>
    <row r="721" spans="1:32" s="2" customFormat="1" ht="20.100000000000001" customHeight="1" x14ac:dyDescent="0.2">
      <c r="B721" s="10" t="s">
        <v>67</v>
      </c>
      <c r="C721" s="93" t="s">
        <v>73</v>
      </c>
      <c r="D721" s="2">
        <f>D720</f>
        <v>10</v>
      </c>
      <c r="E721" s="2">
        <v>0.125</v>
      </c>
      <c r="F721" s="2">
        <f>ROUND((E714-(IF(E714/3&gt;2*G714,E714/3*2,G714*2*2)))/E721,0)</f>
        <v>20</v>
      </c>
      <c r="G721" s="3"/>
      <c r="O721" s="10">
        <f>(2*((G714-(2*$D$11))+(F714-(2*$D$11)))+(2*10*D721/1000))*D714</f>
        <v>2.3600000000000003</v>
      </c>
      <c r="P721" s="10">
        <f t="shared" si="265"/>
        <v>47.2</v>
      </c>
      <c r="Q721" s="10">
        <f t="shared" si="267"/>
        <v>0</v>
      </c>
      <c r="R721" s="10">
        <f t="shared" si="267"/>
        <v>29.112285714285715</v>
      </c>
      <c r="S721" s="10">
        <f t="shared" si="267"/>
        <v>0</v>
      </c>
      <c r="T721" s="10">
        <f t="shared" si="267"/>
        <v>0</v>
      </c>
      <c r="U721" s="10">
        <f t="shared" si="267"/>
        <v>0</v>
      </c>
      <c r="V721" s="10">
        <f t="shared" si="267"/>
        <v>0</v>
      </c>
      <c r="W721" s="10">
        <f t="shared" si="267"/>
        <v>0</v>
      </c>
      <c r="X721" s="10">
        <f t="shared" si="266"/>
        <v>29.112285714285715</v>
      </c>
    </row>
    <row r="722" spans="1:32" s="2" customFormat="1" ht="20.100000000000001" customHeight="1" x14ac:dyDescent="0.2">
      <c r="B722" s="10" t="s">
        <v>67</v>
      </c>
      <c r="C722" s="93" t="s">
        <v>74</v>
      </c>
      <c r="D722" s="2">
        <f>D720</f>
        <v>10</v>
      </c>
      <c r="E722" s="2">
        <f>+E720</f>
        <v>0.1</v>
      </c>
      <c r="F722" s="10">
        <f>ROUND(IF(E714/3&gt;(2*G714),(E714/3)/E722,(2*G714)/E722),0)*2+1</f>
        <v>53</v>
      </c>
      <c r="G722" s="3"/>
      <c r="O722" s="10">
        <f>((((G714-(2*$D$11))+(2*10*D722/1000))*D714))*2</f>
        <v>1.48</v>
      </c>
      <c r="P722" s="10">
        <f t="shared" si="265"/>
        <v>78.44</v>
      </c>
      <c r="Q722" s="10">
        <f t="shared" si="267"/>
        <v>0</v>
      </c>
      <c r="R722" s="10">
        <f t="shared" si="267"/>
        <v>48.380671428571425</v>
      </c>
      <c r="S722" s="10">
        <f t="shared" si="267"/>
        <v>0</v>
      </c>
      <c r="T722" s="10">
        <f t="shared" si="267"/>
        <v>0</v>
      </c>
      <c r="U722" s="10">
        <f t="shared" si="267"/>
        <v>0</v>
      </c>
      <c r="V722" s="10">
        <f t="shared" si="267"/>
        <v>0</v>
      </c>
      <c r="W722" s="10">
        <f t="shared" si="267"/>
        <v>0</v>
      </c>
      <c r="X722" s="10">
        <f t="shared" si="266"/>
        <v>48.380671428571425</v>
      </c>
    </row>
    <row r="723" spans="1:32" s="2" customFormat="1" ht="20.100000000000001" customHeight="1" x14ac:dyDescent="0.2">
      <c r="B723" s="10" t="s">
        <v>67</v>
      </c>
      <c r="C723" s="93" t="s">
        <v>74</v>
      </c>
      <c r="D723" s="2">
        <f>D721</f>
        <v>10</v>
      </c>
      <c r="E723" s="2">
        <f>+E721</f>
        <v>0.125</v>
      </c>
      <c r="F723" s="2">
        <f>ROUND((E714-(IF(E714/3&gt;2*G714,E714/3*2,G714*2*2)))/E723,0)</f>
        <v>20</v>
      </c>
      <c r="G723" s="3"/>
      <c r="O723" s="10">
        <f>((((G714-(2*$D$11))+(2*10*D723/1000))*D714))*2</f>
        <v>1.48</v>
      </c>
      <c r="P723" s="10">
        <f t="shared" si="265"/>
        <v>29.6</v>
      </c>
      <c r="Q723" s="10">
        <f t="shared" si="267"/>
        <v>0</v>
      </c>
      <c r="R723" s="10">
        <f t="shared" si="267"/>
        <v>18.256857142857143</v>
      </c>
      <c r="S723" s="10">
        <f t="shared" si="267"/>
        <v>0</v>
      </c>
      <c r="T723" s="10">
        <f t="shared" si="267"/>
        <v>0</v>
      </c>
      <c r="U723" s="10">
        <f t="shared" si="267"/>
        <v>0</v>
      </c>
      <c r="V723" s="10">
        <f t="shared" si="267"/>
        <v>0</v>
      </c>
      <c r="W723" s="10">
        <f t="shared" si="267"/>
        <v>0</v>
      </c>
      <c r="X723" s="10">
        <f t="shared" si="266"/>
        <v>18.256857142857143</v>
      </c>
    </row>
    <row r="724" spans="1:32" s="3" customFormat="1" ht="20.100000000000001" customHeight="1" x14ac:dyDescent="0.2">
      <c r="A724" s="87"/>
      <c r="B724" s="10" t="s">
        <v>67</v>
      </c>
      <c r="C724" s="93" t="s">
        <v>75</v>
      </c>
      <c r="D724" s="10">
        <f>+$D$15</f>
        <v>25</v>
      </c>
      <c r="E724" s="10">
        <f>+$E$15</f>
        <v>1</v>
      </c>
      <c r="F724" s="10">
        <f>ROUNDUP((O719+4)/E724,0)</f>
        <v>14</v>
      </c>
      <c r="G724" s="90"/>
      <c r="H724" s="90"/>
      <c r="I724" s="10"/>
      <c r="J724" s="10"/>
      <c r="K724" s="10"/>
      <c r="L724" s="10"/>
      <c r="M724" s="10"/>
      <c r="N724" s="10"/>
      <c r="O724" s="10">
        <f>F714-$F$15</f>
        <v>0.54</v>
      </c>
      <c r="P724" s="10">
        <f t="shared" si="265"/>
        <v>7.5600000000000005</v>
      </c>
      <c r="Q724" s="10">
        <f t="shared" si="267"/>
        <v>0</v>
      </c>
      <c r="R724" s="10">
        <f t="shared" si="267"/>
        <v>0</v>
      </c>
      <c r="S724" s="10">
        <f t="shared" si="267"/>
        <v>0</v>
      </c>
      <c r="T724" s="10">
        <f t="shared" si="267"/>
        <v>0</v>
      </c>
      <c r="U724" s="10">
        <f t="shared" si="267"/>
        <v>0</v>
      </c>
      <c r="V724" s="10">
        <f t="shared" si="267"/>
        <v>29.143125000000005</v>
      </c>
      <c r="W724" s="10">
        <f t="shared" si="267"/>
        <v>0</v>
      </c>
      <c r="X724" s="10">
        <f t="shared" si="266"/>
        <v>29.143125000000005</v>
      </c>
      <c r="Y724" s="10"/>
      <c r="Z724" s="10"/>
      <c r="AA724" s="10"/>
      <c r="AB724" s="10"/>
      <c r="AC724" s="10"/>
      <c r="AD724" s="10"/>
      <c r="AE724" s="10"/>
    </row>
    <row r="725" spans="1:32" s="3" customFormat="1" ht="21" customHeight="1" x14ac:dyDescent="0.2">
      <c r="A725" s="10">
        <v>1</v>
      </c>
      <c r="B725" s="10" t="s">
        <v>67</v>
      </c>
      <c r="C725" s="91" t="s">
        <v>170</v>
      </c>
      <c r="D725" s="91">
        <v>1</v>
      </c>
      <c r="E725" s="91">
        <v>2</v>
      </c>
      <c r="F725" s="91">
        <v>0.3</v>
      </c>
      <c r="G725" s="91">
        <v>1.1000000000000001</v>
      </c>
      <c r="H725" s="10">
        <f>G725-0.2</f>
        <v>0.90000000000000013</v>
      </c>
      <c r="I725" s="10">
        <f>E725*F725*G725*D725</f>
        <v>0.66</v>
      </c>
      <c r="J725" s="10">
        <f>(2*(E725)*H725*D725)+(E725*F725)</f>
        <v>4.2</v>
      </c>
      <c r="K725" s="92">
        <f>IF(E725=0.3,J725,0)</f>
        <v>0</v>
      </c>
      <c r="L725" s="92">
        <f>IF(AND(E725&gt;0.3,E725&lt;=0.75),J725,0)</f>
        <v>0</v>
      </c>
      <c r="M725" s="92">
        <f>IF(AND(E725&gt;0.75,E725&lt;=1.2),J725,0)</f>
        <v>0</v>
      </c>
      <c r="N725" s="92">
        <f>IF(E725&gt;1.2,J725,0)</f>
        <v>4.2</v>
      </c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>
        <f>SUM(X726:X729)/I725</f>
        <v>249.98511904761909</v>
      </c>
      <c r="Z725" s="10"/>
      <c r="AA725" s="10"/>
      <c r="AB725" s="10"/>
      <c r="AC725" s="10"/>
      <c r="AD725" s="10"/>
      <c r="AE725" s="10"/>
      <c r="AF725" s="10"/>
    </row>
    <row r="726" spans="1:32" s="3" customFormat="1" ht="20.100000000000001" customHeight="1" x14ac:dyDescent="0.2">
      <c r="A726" s="87"/>
      <c r="B726" s="10" t="s">
        <v>67</v>
      </c>
      <c r="C726" s="93" t="s">
        <v>69</v>
      </c>
      <c r="D726" s="10">
        <v>25</v>
      </c>
      <c r="E726" s="10"/>
      <c r="F726" s="10">
        <v>3</v>
      </c>
      <c r="G726" s="90">
        <f>VLOOKUP(D726,$C$20:$F$26,3,0)</f>
        <v>1.35</v>
      </c>
      <c r="H726" s="90"/>
      <c r="I726" s="10"/>
      <c r="J726" s="10"/>
      <c r="K726" s="10"/>
      <c r="L726" s="10"/>
      <c r="M726" s="10"/>
      <c r="N726" s="10"/>
      <c r="O726" s="10">
        <f>(E725+1*(G726+(12*D726/1000))+G726*D725)</f>
        <v>5</v>
      </c>
      <c r="P726" s="10">
        <f t="shared" ref="P726:P727" si="268">O726*F726</f>
        <v>15</v>
      </c>
      <c r="Q726" s="10">
        <f t="shared" ref="Q726:W741" si="269">IF($D726=Q$44,$P726*Q$45,0)</f>
        <v>0</v>
      </c>
      <c r="R726" s="10">
        <f t="shared" si="269"/>
        <v>0</v>
      </c>
      <c r="S726" s="10">
        <f t="shared" si="269"/>
        <v>0</v>
      </c>
      <c r="T726" s="10">
        <f t="shared" si="269"/>
        <v>0</v>
      </c>
      <c r="U726" s="10">
        <f t="shared" si="269"/>
        <v>0</v>
      </c>
      <c r="V726" s="10">
        <f t="shared" si="269"/>
        <v>57.823660714285722</v>
      </c>
      <c r="W726" s="10">
        <f t="shared" si="269"/>
        <v>0</v>
      </c>
      <c r="X726" s="10">
        <f t="shared" ref="X726:X729" si="270">SUM(Q726:W726)</f>
        <v>57.823660714285722</v>
      </c>
      <c r="Y726" s="10"/>
      <c r="Z726" s="10"/>
      <c r="AA726" s="10"/>
      <c r="AB726" s="10"/>
      <c r="AC726" s="10"/>
      <c r="AD726" s="10"/>
      <c r="AE726" s="10"/>
    </row>
    <row r="727" spans="1:32" s="3" customFormat="1" ht="20.100000000000001" customHeight="1" x14ac:dyDescent="0.2">
      <c r="A727" s="87"/>
      <c r="B727" s="10" t="s">
        <v>67</v>
      </c>
      <c r="C727" s="93" t="s">
        <v>158</v>
      </c>
      <c r="D727" s="10">
        <v>25</v>
      </c>
      <c r="E727" s="10"/>
      <c r="F727" s="10">
        <v>3</v>
      </c>
      <c r="G727" s="90">
        <f>VLOOKUP(D727,$C$20:$F$26,3,0)</f>
        <v>1.35</v>
      </c>
      <c r="H727" s="90"/>
      <c r="I727" s="10"/>
      <c r="J727" s="10"/>
      <c r="K727" s="10"/>
      <c r="L727" s="10"/>
      <c r="M727" s="10"/>
      <c r="N727" s="10"/>
      <c r="O727" s="10">
        <f>(E725+1*(G727+(12*D727/1000))+G727*D725)</f>
        <v>5</v>
      </c>
      <c r="P727" s="10">
        <f t="shared" si="268"/>
        <v>15</v>
      </c>
      <c r="Q727" s="10">
        <f t="shared" si="269"/>
        <v>0</v>
      </c>
      <c r="R727" s="10">
        <f t="shared" si="269"/>
        <v>0</v>
      </c>
      <c r="S727" s="10">
        <f t="shared" si="269"/>
        <v>0</v>
      </c>
      <c r="T727" s="10">
        <f t="shared" si="269"/>
        <v>0</v>
      </c>
      <c r="U727" s="10">
        <f t="shared" si="269"/>
        <v>0</v>
      </c>
      <c r="V727" s="10">
        <f t="shared" si="269"/>
        <v>57.823660714285722</v>
      </c>
      <c r="W727" s="10">
        <f t="shared" si="269"/>
        <v>0</v>
      </c>
      <c r="X727" s="10">
        <f t="shared" si="270"/>
        <v>57.823660714285722</v>
      </c>
      <c r="Y727" s="10"/>
      <c r="Z727" s="10"/>
      <c r="AA727" s="10"/>
      <c r="AB727" s="10"/>
      <c r="AC727" s="10"/>
      <c r="AD727" s="10"/>
      <c r="AE727" s="10"/>
    </row>
    <row r="728" spans="1:32" s="3" customFormat="1" ht="19.5" customHeight="1" x14ac:dyDescent="0.2">
      <c r="A728" s="87"/>
      <c r="B728" s="10" t="s">
        <v>67</v>
      </c>
      <c r="C728" s="93" t="s">
        <v>73</v>
      </c>
      <c r="D728" s="10">
        <v>10</v>
      </c>
      <c r="E728" s="10">
        <v>0.1</v>
      </c>
      <c r="F728" s="10">
        <f>ROUNDUP(E725/E728,0)</f>
        <v>20</v>
      </c>
      <c r="H728" s="10"/>
      <c r="I728" s="10"/>
      <c r="J728" s="10"/>
      <c r="K728" s="10"/>
      <c r="L728" s="10"/>
      <c r="M728" s="10"/>
      <c r="N728" s="10"/>
      <c r="O728" s="10">
        <f>(2*((G725-(2*$D$11))+(F725-(2*$D$11)))+(2*10*D728/1000))*D725</f>
        <v>2.7600000000000002</v>
      </c>
      <c r="P728" s="10">
        <f>O728*F728</f>
        <v>55.2</v>
      </c>
      <c r="Q728" s="10">
        <f t="shared" si="269"/>
        <v>0</v>
      </c>
      <c r="R728" s="10">
        <f t="shared" si="269"/>
        <v>34.046571428571433</v>
      </c>
      <c r="S728" s="10">
        <f t="shared" si="269"/>
        <v>0</v>
      </c>
      <c r="T728" s="10">
        <f t="shared" si="269"/>
        <v>0</v>
      </c>
      <c r="U728" s="10">
        <f t="shared" si="269"/>
        <v>0</v>
      </c>
      <c r="V728" s="10">
        <f t="shared" si="269"/>
        <v>0</v>
      </c>
      <c r="W728" s="10">
        <f t="shared" si="269"/>
        <v>0</v>
      </c>
      <c r="X728" s="10">
        <f t="shared" si="270"/>
        <v>34.046571428571433</v>
      </c>
      <c r="Y728" s="10"/>
      <c r="Z728" s="10"/>
      <c r="AA728" s="10"/>
      <c r="AB728" s="10"/>
      <c r="AC728" s="10"/>
      <c r="AD728" s="10"/>
      <c r="AE728" s="10"/>
    </row>
    <row r="729" spans="1:32" s="2" customFormat="1" ht="20.100000000000001" customHeight="1" x14ac:dyDescent="0.2">
      <c r="B729" s="10" t="s">
        <v>67</v>
      </c>
      <c r="C729" s="93" t="s">
        <v>74</v>
      </c>
      <c r="D729" s="10">
        <f>+D728</f>
        <v>10</v>
      </c>
      <c r="E729" s="2">
        <f>+E728</f>
        <v>0.1</v>
      </c>
      <c r="F729" s="10">
        <f>ROUNDUP(E725/E729,0)</f>
        <v>20</v>
      </c>
      <c r="G729" s="3"/>
      <c r="O729" s="10">
        <f>((((G725-(2*$D$11))+(2*10*D729/1000))*D725))*1</f>
        <v>1.24</v>
      </c>
      <c r="P729" s="10">
        <f>O729*F729</f>
        <v>24.8</v>
      </c>
      <c r="Q729" s="10">
        <f t="shared" si="269"/>
        <v>0</v>
      </c>
      <c r="R729" s="10">
        <f t="shared" si="269"/>
        <v>15.296285714285714</v>
      </c>
      <c r="S729" s="10">
        <f t="shared" si="269"/>
        <v>0</v>
      </c>
      <c r="T729" s="10">
        <f t="shared" si="269"/>
        <v>0</v>
      </c>
      <c r="U729" s="10">
        <f t="shared" si="269"/>
        <v>0</v>
      </c>
      <c r="V729" s="10">
        <f t="shared" si="269"/>
        <v>0</v>
      </c>
      <c r="W729" s="10">
        <f t="shared" si="269"/>
        <v>0</v>
      </c>
      <c r="X729" s="10">
        <f t="shared" si="270"/>
        <v>15.296285714285714</v>
      </c>
    </row>
    <row r="730" spans="1:32" s="3" customFormat="1" ht="21" customHeight="1" x14ac:dyDescent="0.2">
      <c r="A730" s="10">
        <v>1</v>
      </c>
      <c r="B730" s="10" t="s">
        <v>67</v>
      </c>
      <c r="C730" s="91" t="s">
        <v>171</v>
      </c>
      <c r="D730" s="91">
        <v>1</v>
      </c>
      <c r="E730" s="91">
        <v>1.3</v>
      </c>
      <c r="F730" s="91">
        <v>0.5</v>
      </c>
      <c r="G730" s="91">
        <v>0.5</v>
      </c>
      <c r="H730" s="10">
        <f>G730-0.2</f>
        <v>0.3</v>
      </c>
      <c r="I730" s="10">
        <f>E730*F730*G730*D730</f>
        <v>0.32500000000000001</v>
      </c>
      <c r="J730" s="10">
        <f>(2*(E730)*H730*D730)+(E730*F730)</f>
        <v>1.4300000000000002</v>
      </c>
      <c r="K730" s="92">
        <f>IF(E730=0.3,J730,0)</f>
        <v>0</v>
      </c>
      <c r="L730" s="92">
        <f>IF(AND(E730&gt;0.3,E730&lt;=0.75),J730,0)</f>
        <v>0</v>
      </c>
      <c r="M730" s="92">
        <f>IF(AND(E730&gt;0.75,E730&lt;=1.2),J730,0)</f>
        <v>0</v>
      </c>
      <c r="N730" s="92">
        <f>IF(E730&gt;1.2,J730,0)</f>
        <v>1.4300000000000002</v>
      </c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>
        <f>SUM(X731:X734)/I730</f>
        <v>278.73704087912085</v>
      </c>
      <c r="Z730" s="10"/>
      <c r="AA730" s="10"/>
      <c r="AB730" s="10"/>
      <c r="AC730" s="10"/>
      <c r="AD730" s="10"/>
      <c r="AE730" s="10"/>
      <c r="AF730" s="10"/>
    </row>
    <row r="731" spans="1:32" s="3" customFormat="1" ht="20.100000000000001" customHeight="1" x14ac:dyDescent="0.2">
      <c r="A731" s="87"/>
      <c r="B731" s="10" t="s">
        <v>67</v>
      </c>
      <c r="C731" s="93" t="s">
        <v>69</v>
      </c>
      <c r="D731" s="10">
        <v>20</v>
      </c>
      <c r="E731" s="10"/>
      <c r="F731" s="10">
        <v>5</v>
      </c>
      <c r="G731" s="90">
        <f>VLOOKUP(D731,$C$20:$F$26,3,0)</f>
        <v>1.05</v>
      </c>
      <c r="H731" s="90"/>
      <c r="I731" s="10"/>
      <c r="J731" s="10"/>
      <c r="K731" s="10"/>
      <c r="L731" s="10"/>
      <c r="M731" s="10"/>
      <c r="N731" s="10"/>
      <c r="O731" s="10">
        <f>(E730+2*(G731+(12*D731/1000))*D730)</f>
        <v>3.88</v>
      </c>
      <c r="P731" s="10">
        <f t="shared" ref="P731" si="271">O731*F731</f>
        <v>19.399999999999999</v>
      </c>
      <c r="Q731" s="10">
        <f t="shared" si="269"/>
        <v>0</v>
      </c>
      <c r="R731" s="10">
        <f t="shared" si="269"/>
        <v>0</v>
      </c>
      <c r="S731" s="10">
        <f t="shared" si="269"/>
        <v>0</v>
      </c>
      <c r="T731" s="10">
        <f t="shared" si="269"/>
        <v>0</v>
      </c>
      <c r="U731" s="10">
        <f t="shared" si="269"/>
        <v>47.862571428571421</v>
      </c>
      <c r="V731" s="10">
        <f t="shared" si="269"/>
        <v>0</v>
      </c>
      <c r="W731" s="10">
        <f t="shared" si="269"/>
        <v>0</v>
      </c>
      <c r="X731" s="10">
        <f t="shared" ref="X731:X734" si="272">SUM(Q731:W731)</f>
        <v>47.862571428571421</v>
      </c>
      <c r="Y731" s="10"/>
      <c r="Z731" s="10"/>
      <c r="AA731" s="10"/>
      <c r="AB731" s="10"/>
      <c r="AC731" s="10"/>
      <c r="AD731" s="10"/>
      <c r="AE731" s="10"/>
    </row>
    <row r="732" spans="1:32" s="3" customFormat="1" ht="20.100000000000001" customHeight="1" x14ac:dyDescent="0.2">
      <c r="A732" s="87"/>
      <c r="B732" s="10" t="s">
        <v>67</v>
      </c>
      <c r="C732" s="93" t="s">
        <v>158</v>
      </c>
      <c r="D732" s="10">
        <v>16</v>
      </c>
      <c r="E732" s="10"/>
      <c r="F732" s="10">
        <v>5</v>
      </c>
      <c r="G732" s="90">
        <f>VLOOKUP(D732,$C$20:$F$26,3,0)</f>
        <v>0.85</v>
      </c>
      <c r="H732" s="90"/>
      <c r="I732" s="10"/>
      <c r="J732" s="10"/>
      <c r="K732" s="10"/>
      <c r="L732" s="10"/>
      <c r="M732" s="10"/>
      <c r="N732" s="10"/>
      <c r="O732" s="10">
        <f>(E730+2*(G732+(12*D732/1000))*D730)</f>
        <v>3.3840000000000003</v>
      </c>
      <c r="P732" s="10">
        <f>O732*F732</f>
        <v>16.920000000000002</v>
      </c>
      <c r="Q732" s="10">
        <f t="shared" si="269"/>
        <v>0</v>
      </c>
      <c r="R732" s="10">
        <f t="shared" si="269"/>
        <v>0</v>
      </c>
      <c r="S732" s="10">
        <f t="shared" si="269"/>
        <v>0</v>
      </c>
      <c r="T732" s="10">
        <f t="shared" si="269"/>
        <v>26.716196571428576</v>
      </c>
      <c r="U732" s="10">
        <f t="shared" si="269"/>
        <v>0</v>
      </c>
      <c r="V732" s="10">
        <f t="shared" si="269"/>
        <v>0</v>
      </c>
      <c r="W732" s="10">
        <f t="shared" si="269"/>
        <v>0</v>
      </c>
      <c r="X732" s="10">
        <f t="shared" si="272"/>
        <v>26.716196571428576</v>
      </c>
      <c r="Y732" s="10"/>
      <c r="Z732" s="10"/>
      <c r="AA732" s="10"/>
      <c r="AB732" s="10"/>
      <c r="AC732" s="10"/>
      <c r="AD732" s="10"/>
      <c r="AE732" s="10"/>
    </row>
    <row r="733" spans="1:32" s="3" customFormat="1" ht="19.5" customHeight="1" x14ac:dyDescent="0.2">
      <c r="A733" s="87"/>
      <c r="B733" s="10" t="s">
        <v>67</v>
      </c>
      <c r="C733" s="93" t="s">
        <v>73</v>
      </c>
      <c r="D733" s="10">
        <v>8</v>
      </c>
      <c r="E733" s="10">
        <v>0.1</v>
      </c>
      <c r="F733" s="10">
        <f>ROUNDUP(E730/E733,0)</f>
        <v>13</v>
      </c>
      <c r="H733" s="10"/>
      <c r="I733" s="10"/>
      <c r="J733" s="10"/>
      <c r="K733" s="10"/>
      <c r="L733" s="10"/>
      <c r="M733" s="10"/>
      <c r="N733" s="10"/>
      <c r="O733" s="10">
        <f>(2*((G730-(2*$D$11))+(F730-(2*$D$11)))+(2*10*D733/1000))*D730</f>
        <v>1.92</v>
      </c>
      <c r="P733" s="10">
        <f>O733*F733</f>
        <v>24.96</v>
      </c>
      <c r="Q733" s="10">
        <f t="shared" si="269"/>
        <v>9.8527817142857153</v>
      </c>
      <c r="R733" s="10">
        <f t="shared" si="269"/>
        <v>0</v>
      </c>
      <c r="S733" s="10">
        <f t="shared" si="269"/>
        <v>0</v>
      </c>
      <c r="T733" s="10">
        <f t="shared" si="269"/>
        <v>0</v>
      </c>
      <c r="U733" s="10">
        <f t="shared" si="269"/>
        <v>0</v>
      </c>
      <c r="V733" s="10">
        <f t="shared" si="269"/>
        <v>0</v>
      </c>
      <c r="W733" s="10">
        <f t="shared" si="269"/>
        <v>0</v>
      </c>
      <c r="X733" s="10">
        <f t="shared" si="272"/>
        <v>9.8527817142857153</v>
      </c>
      <c r="Y733" s="10"/>
      <c r="Z733" s="10"/>
      <c r="AA733" s="10"/>
      <c r="AB733" s="10"/>
      <c r="AC733" s="10"/>
      <c r="AD733" s="10"/>
      <c r="AE733" s="10"/>
    </row>
    <row r="734" spans="1:32" s="2" customFormat="1" ht="20.100000000000001" customHeight="1" x14ac:dyDescent="0.2">
      <c r="B734" s="10" t="s">
        <v>67</v>
      </c>
      <c r="C734" s="93" t="s">
        <v>74</v>
      </c>
      <c r="D734" s="10">
        <f>+D733</f>
        <v>8</v>
      </c>
      <c r="E734" s="2">
        <f>+E733</f>
        <v>0.1</v>
      </c>
      <c r="F734" s="10">
        <f>ROUNDUP(E730/E734,0)</f>
        <v>13</v>
      </c>
      <c r="G734" s="3"/>
      <c r="O734" s="10">
        <f>((((G730-(2*$D$11))+(2*10*D734/1000))*D730))*2</f>
        <v>1.2</v>
      </c>
      <c r="P734" s="10">
        <f>O734*F734</f>
        <v>15.6</v>
      </c>
      <c r="Q734" s="10">
        <f t="shared" si="269"/>
        <v>6.1579885714285716</v>
      </c>
      <c r="R734" s="10">
        <f t="shared" si="269"/>
        <v>0</v>
      </c>
      <c r="S734" s="10">
        <f t="shared" si="269"/>
        <v>0</v>
      </c>
      <c r="T734" s="10">
        <f t="shared" si="269"/>
        <v>0</v>
      </c>
      <c r="U734" s="10">
        <f t="shared" si="269"/>
        <v>0</v>
      </c>
      <c r="V734" s="10">
        <f t="shared" si="269"/>
        <v>0</v>
      </c>
      <c r="W734" s="10">
        <f t="shared" si="269"/>
        <v>0</v>
      </c>
      <c r="X734" s="10">
        <f t="shared" si="272"/>
        <v>6.1579885714285716</v>
      </c>
    </row>
    <row r="735" spans="1:32" s="3" customFormat="1" ht="21" customHeight="1" x14ac:dyDescent="0.2">
      <c r="A735" s="10">
        <v>1</v>
      </c>
      <c r="B735" s="10" t="s">
        <v>67</v>
      </c>
      <c r="C735" s="91" t="s">
        <v>172</v>
      </c>
      <c r="D735" s="91">
        <v>1</v>
      </c>
      <c r="E735" s="91">
        <v>2.8</v>
      </c>
      <c r="F735" s="91">
        <v>0.4</v>
      </c>
      <c r="G735" s="91">
        <v>0.6</v>
      </c>
      <c r="H735" s="10">
        <f>G735-0.2</f>
        <v>0.39999999999999997</v>
      </c>
      <c r="I735" s="10">
        <f>E735*F735*G735*D735</f>
        <v>0.67199999999999993</v>
      </c>
      <c r="J735" s="10">
        <f>(2*(E735)*H735*D735)+(E735*F735)</f>
        <v>3.3599999999999994</v>
      </c>
      <c r="K735" s="92">
        <f>IF(E735=0.3,J735,0)</f>
        <v>0</v>
      </c>
      <c r="L735" s="92">
        <f>IF(AND(E735&gt;0.3,E735&lt;=0.75),J735,0)</f>
        <v>0</v>
      </c>
      <c r="M735" s="92">
        <f>IF(AND(E735&gt;0.75,E735&lt;=1.2),J735,0)</f>
        <v>0</v>
      </c>
      <c r="N735" s="92">
        <f>IF(E735&gt;1.2,J735,0)</f>
        <v>3.3599999999999994</v>
      </c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>
        <f>SUM(X736:X738)/I735</f>
        <v>123.38533877551025</v>
      </c>
      <c r="Z735" s="10"/>
      <c r="AA735" s="10"/>
      <c r="AB735" s="10"/>
      <c r="AC735" s="10"/>
      <c r="AD735" s="10"/>
      <c r="AE735" s="10"/>
      <c r="AF735" s="10"/>
    </row>
    <row r="736" spans="1:32" s="3" customFormat="1" ht="20.100000000000001" customHeight="1" x14ac:dyDescent="0.2">
      <c r="A736" s="87"/>
      <c r="B736" s="10" t="s">
        <v>67</v>
      </c>
      <c r="C736" s="93" t="s">
        <v>69</v>
      </c>
      <c r="D736" s="10">
        <v>16</v>
      </c>
      <c r="E736" s="10"/>
      <c r="F736" s="10">
        <v>4</v>
      </c>
      <c r="G736" s="90">
        <f>VLOOKUP(D736,$C$20:$F$26,3,0)</f>
        <v>0.85</v>
      </c>
      <c r="H736" s="90"/>
      <c r="I736" s="10"/>
      <c r="J736" s="10"/>
      <c r="K736" s="10"/>
      <c r="L736" s="10"/>
      <c r="M736" s="10"/>
      <c r="N736" s="10"/>
      <c r="O736" s="10">
        <f>(E735+2*(G736+(12*D736/1000))*D735)</f>
        <v>4.8840000000000003</v>
      </c>
      <c r="P736" s="10">
        <f t="shared" ref="P736:P737" si="273">O736*F736</f>
        <v>19.536000000000001</v>
      </c>
      <c r="Q736" s="10">
        <f t="shared" si="269"/>
        <v>0</v>
      </c>
      <c r="R736" s="10">
        <f t="shared" si="269"/>
        <v>0</v>
      </c>
      <c r="S736" s="10">
        <f t="shared" si="269"/>
        <v>0</v>
      </c>
      <c r="T736" s="10">
        <f t="shared" si="269"/>
        <v>30.846785828571434</v>
      </c>
      <c r="U736" s="10">
        <f t="shared" si="269"/>
        <v>0</v>
      </c>
      <c r="V736" s="10">
        <f t="shared" si="269"/>
        <v>0</v>
      </c>
      <c r="W736" s="10">
        <f t="shared" si="269"/>
        <v>0</v>
      </c>
      <c r="X736" s="10">
        <f t="shared" ref="X736:X738" si="274">SUM(Q736:W736)</f>
        <v>30.846785828571434</v>
      </c>
      <c r="Y736" s="10"/>
      <c r="Z736" s="10"/>
      <c r="AA736" s="10"/>
      <c r="AB736" s="10"/>
      <c r="AC736" s="10"/>
      <c r="AD736" s="10"/>
      <c r="AE736" s="10"/>
    </row>
    <row r="737" spans="1:32" s="3" customFormat="1" ht="20.100000000000001" customHeight="1" x14ac:dyDescent="0.2">
      <c r="A737" s="87"/>
      <c r="B737" s="10" t="s">
        <v>67</v>
      </c>
      <c r="C737" s="93" t="s">
        <v>158</v>
      </c>
      <c r="D737" s="10">
        <v>16</v>
      </c>
      <c r="E737" s="10"/>
      <c r="F737" s="10">
        <v>4</v>
      </c>
      <c r="G737" s="90">
        <f>VLOOKUP(D737,$C$20:$F$26,3,0)</f>
        <v>0.85</v>
      </c>
      <c r="H737" s="90"/>
      <c r="I737" s="10"/>
      <c r="J737" s="10"/>
      <c r="K737" s="10"/>
      <c r="L737" s="10"/>
      <c r="M737" s="10"/>
      <c r="N737" s="10"/>
      <c r="O737" s="10">
        <f>(E735+2*(G737+(12*D737/1000))*D735)</f>
        <v>4.8840000000000003</v>
      </c>
      <c r="P737" s="10">
        <f t="shared" si="273"/>
        <v>19.536000000000001</v>
      </c>
      <c r="Q737" s="10">
        <f t="shared" si="269"/>
        <v>0</v>
      </c>
      <c r="R737" s="10">
        <f t="shared" si="269"/>
        <v>0</v>
      </c>
      <c r="S737" s="10">
        <f t="shared" si="269"/>
        <v>0</v>
      </c>
      <c r="T737" s="10">
        <f t="shared" si="269"/>
        <v>30.846785828571434</v>
      </c>
      <c r="U737" s="10">
        <f t="shared" si="269"/>
        <v>0</v>
      </c>
      <c r="V737" s="10">
        <f t="shared" si="269"/>
        <v>0</v>
      </c>
      <c r="W737" s="10">
        <f t="shared" si="269"/>
        <v>0</v>
      </c>
      <c r="X737" s="10">
        <f t="shared" si="274"/>
        <v>30.846785828571434</v>
      </c>
      <c r="Y737" s="10"/>
      <c r="Z737" s="10"/>
      <c r="AA737" s="10"/>
      <c r="AB737" s="10"/>
      <c r="AC737" s="10"/>
      <c r="AD737" s="10"/>
      <c r="AE737" s="10"/>
    </row>
    <row r="738" spans="1:32" s="3" customFormat="1" ht="19.5" customHeight="1" x14ac:dyDescent="0.2">
      <c r="A738" s="87"/>
      <c r="B738" s="10" t="s">
        <v>67</v>
      </c>
      <c r="C738" s="93" t="s">
        <v>73</v>
      </c>
      <c r="D738" s="10">
        <v>8</v>
      </c>
      <c r="E738" s="10">
        <v>0.1</v>
      </c>
      <c r="F738" s="10">
        <f>ROUNDUP(E735/E738,0)</f>
        <v>28</v>
      </c>
      <c r="H738" s="10"/>
      <c r="I738" s="10"/>
      <c r="J738" s="10"/>
      <c r="K738" s="10"/>
      <c r="L738" s="10"/>
      <c r="M738" s="10"/>
      <c r="N738" s="10"/>
      <c r="O738" s="10">
        <f>(2*((G735-(2*$D$11))+(F735-(2*$D$11)))+(2*10*D738/1000))*D735</f>
        <v>1.9200000000000002</v>
      </c>
      <c r="P738" s="10">
        <f>O738*F738</f>
        <v>53.760000000000005</v>
      </c>
      <c r="Q738" s="10">
        <f t="shared" si="269"/>
        <v>21.221376000000003</v>
      </c>
      <c r="R738" s="10">
        <f t="shared" si="269"/>
        <v>0</v>
      </c>
      <c r="S738" s="10">
        <f t="shared" si="269"/>
        <v>0</v>
      </c>
      <c r="T738" s="10">
        <f t="shared" si="269"/>
        <v>0</v>
      </c>
      <c r="U738" s="10">
        <f t="shared" si="269"/>
        <v>0</v>
      </c>
      <c r="V738" s="10">
        <f t="shared" si="269"/>
        <v>0</v>
      </c>
      <c r="W738" s="10">
        <f t="shared" si="269"/>
        <v>0</v>
      </c>
      <c r="X738" s="10">
        <f t="shared" si="274"/>
        <v>21.221376000000003</v>
      </c>
      <c r="Y738" s="10"/>
      <c r="Z738" s="10"/>
      <c r="AA738" s="10"/>
      <c r="AB738" s="10"/>
      <c r="AC738" s="10"/>
      <c r="AD738" s="10"/>
      <c r="AE738" s="10"/>
    </row>
    <row r="739" spans="1:32" s="3" customFormat="1" ht="21" customHeight="1" x14ac:dyDescent="0.2">
      <c r="A739" s="10">
        <v>1</v>
      </c>
      <c r="B739" s="10" t="s">
        <v>67</v>
      </c>
      <c r="C739" s="91" t="s">
        <v>173</v>
      </c>
      <c r="D739" s="91">
        <v>1</v>
      </c>
      <c r="E739" s="91">
        <v>0.998</v>
      </c>
      <c r="F739" s="91">
        <v>0.3</v>
      </c>
      <c r="G739" s="91">
        <v>1.1000000000000001</v>
      </c>
      <c r="H739" s="10">
        <f>G739-0.2</f>
        <v>0.90000000000000013</v>
      </c>
      <c r="I739" s="10">
        <f>E739*F739*G739*D739</f>
        <v>0.32934000000000002</v>
      </c>
      <c r="J739" s="10">
        <f>(2*(E739)*H739*D739)+(E739*F739)</f>
        <v>2.0958000000000001</v>
      </c>
      <c r="K739" s="92">
        <f>IF(E739=0.3,J739,0)</f>
        <v>0</v>
      </c>
      <c r="L739" s="92">
        <f>IF(AND(E739&gt;0.3,E739&lt;=0.75),J739,0)</f>
        <v>0</v>
      </c>
      <c r="M739" s="92">
        <f>IF(AND(E739&gt;0.75,E739&lt;=1.2),J739,0)</f>
        <v>2.0958000000000001</v>
      </c>
      <c r="N739" s="92">
        <f>IF(E739&gt;1.2,J739,0)</f>
        <v>0</v>
      </c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>
        <f>SUM(X740:X743)/I739</f>
        <v>1200.3199852085122</v>
      </c>
      <c r="Z739" s="10"/>
      <c r="AA739" s="10"/>
      <c r="AB739" s="10"/>
      <c r="AC739" s="10"/>
      <c r="AD739" s="10"/>
      <c r="AE739" s="10"/>
      <c r="AF739" s="10"/>
    </row>
    <row r="740" spans="1:32" s="3" customFormat="1" ht="20.100000000000001" customHeight="1" x14ac:dyDescent="0.2">
      <c r="A740" s="87"/>
      <c r="B740" s="10" t="s">
        <v>67</v>
      </c>
      <c r="C740" s="93" t="s">
        <v>69</v>
      </c>
      <c r="D740" s="10">
        <v>25</v>
      </c>
      <c r="E740" s="10"/>
      <c r="F740" s="10">
        <v>3</v>
      </c>
      <c r="G740" s="90">
        <f>VLOOKUP(D740,$C$20:$F$26,3,0)</f>
        <v>1.35</v>
      </c>
      <c r="H740" s="90"/>
      <c r="I740" s="10"/>
      <c r="J740" s="10"/>
      <c r="K740" s="10"/>
      <c r="L740" s="10"/>
      <c r="M740" s="10"/>
      <c r="N740" s="10"/>
      <c r="O740" s="10">
        <f>(E739+2*(G740)*D739)</f>
        <v>3.6980000000000004</v>
      </c>
      <c r="P740" s="10">
        <f t="shared" ref="P740:P741" si="275">O740*F740</f>
        <v>11.094000000000001</v>
      </c>
      <c r="Q740" s="10">
        <f t="shared" si="269"/>
        <v>0</v>
      </c>
      <c r="R740" s="10">
        <f t="shared" si="269"/>
        <v>0</v>
      </c>
      <c r="S740" s="10">
        <f t="shared" si="269"/>
        <v>0</v>
      </c>
      <c r="T740" s="10">
        <f t="shared" si="269"/>
        <v>0</v>
      </c>
      <c r="U740" s="10">
        <f t="shared" si="269"/>
        <v>0</v>
      </c>
      <c r="V740" s="10">
        <f t="shared" si="269"/>
        <v>42.766379464285727</v>
      </c>
      <c r="W740" s="10">
        <f t="shared" si="269"/>
        <v>0</v>
      </c>
      <c r="X740" s="10">
        <f t="shared" ref="X740:X743" si="276">SUM(Q740:W740)</f>
        <v>42.766379464285727</v>
      </c>
      <c r="Y740" s="10"/>
      <c r="Z740" s="10"/>
      <c r="AA740" s="10"/>
      <c r="AB740" s="10"/>
      <c r="AC740" s="10"/>
      <c r="AD740" s="10"/>
      <c r="AE740" s="10"/>
    </row>
    <row r="741" spans="1:32" s="3" customFormat="1" ht="20.100000000000001" customHeight="1" x14ac:dyDescent="0.2">
      <c r="A741" s="87"/>
      <c r="B741" s="10" t="s">
        <v>67</v>
      </c>
      <c r="C741" s="93" t="s">
        <v>158</v>
      </c>
      <c r="D741" s="10">
        <v>25</v>
      </c>
      <c r="E741" s="10"/>
      <c r="F741" s="10">
        <v>23</v>
      </c>
      <c r="G741" s="90">
        <f>VLOOKUP(D741,$C$20:$F$26,3,0)</f>
        <v>1.35</v>
      </c>
      <c r="H741" s="90"/>
      <c r="I741" s="10"/>
      <c r="J741" s="10"/>
      <c r="K741" s="10"/>
      <c r="L741" s="10"/>
      <c r="M741" s="10"/>
      <c r="N741" s="10"/>
      <c r="O741" s="10">
        <f>(E739+2*(G741)*D739)</f>
        <v>3.6980000000000004</v>
      </c>
      <c r="P741" s="10">
        <f t="shared" si="275"/>
        <v>85.054000000000002</v>
      </c>
      <c r="Q741" s="10">
        <f t="shared" si="269"/>
        <v>0</v>
      </c>
      <c r="R741" s="10">
        <f t="shared" si="269"/>
        <v>0</v>
      </c>
      <c r="S741" s="10">
        <f t="shared" si="269"/>
        <v>0</v>
      </c>
      <c r="T741" s="10">
        <f t="shared" si="269"/>
        <v>0</v>
      </c>
      <c r="U741" s="10">
        <f t="shared" si="269"/>
        <v>0</v>
      </c>
      <c r="V741" s="10">
        <f t="shared" si="269"/>
        <v>327.87557589285723</v>
      </c>
      <c r="W741" s="10">
        <f t="shared" si="269"/>
        <v>0</v>
      </c>
      <c r="X741" s="10">
        <f t="shared" si="276"/>
        <v>327.87557589285723</v>
      </c>
      <c r="Y741" s="10"/>
      <c r="Z741" s="10"/>
      <c r="AA741" s="10"/>
      <c r="AB741" s="10"/>
      <c r="AC741" s="10"/>
      <c r="AD741" s="10"/>
      <c r="AE741" s="10"/>
    </row>
    <row r="742" spans="1:32" s="3" customFormat="1" ht="19.5" customHeight="1" x14ac:dyDescent="0.2">
      <c r="A742" s="87"/>
      <c r="B742" s="10" t="s">
        <v>67</v>
      </c>
      <c r="C742" s="93" t="s">
        <v>73</v>
      </c>
      <c r="D742" s="10">
        <v>10</v>
      </c>
      <c r="E742" s="10">
        <v>0.1</v>
      </c>
      <c r="F742" s="10">
        <f>ROUNDUP(E739/E742,0)</f>
        <v>10</v>
      </c>
      <c r="H742" s="10"/>
      <c r="I742" s="10"/>
      <c r="J742" s="10"/>
      <c r="K742" s="10"/>
      <c r="L742" s="10"/>
      <c r="M742" s="10"/>
      <c r="N742" s="10"/>
      <c r="O742" s="10">
        <f>(2*((G739-(2*$D$11))+(F739-(2*$D$11)))+(2*10*D742/1000))*D739</f>
        <v>2.7600000000000002</v>
      </c>
      <c r="P742" s="10">
        <f>O742*F742</f>
        <v>27.6</v>
      </c>
      <c r="Q742" s="10">
        <f t="shared" ref="Q742:W743" si="277">IF($D742=Q$44,$P742*Q$45,0)</f>
        <v>0</v>
      </c>
      <c r="R742" s="10">
        <f t="shared" si="277"/>
        <v>17.023285714285716</v>
      </c>
      <c r="S742" s="10">
        <f t="shared" si="277"/>
        <v>0</v>
      </c>
      <c r="T742" s="10">
        <f t="shared" si="277"/>
        <v>0</v>
      </c>
      <c r="U742" s="10">
        <f t="shared" si="277"/>
        <v>0</v>
      </c>
      <c r="V742" s="10">
        <f t="shared" si="277"/>
        <v>0</v>
      </c>
      <c r="W742" s="10">
        <f t="shared" si="277"/>
        <v>0</v>
      </c>
      <c r="X742" s="10">
        <f t="shared" si="276"/>
        <v>17.023285714285716</v>
      </c>
      <c r="Y742" s="10"/>
      <c r="Z742" s="10"/>
      <c r="AA742" s="10"/>
      <c r="AB742" s="10"/>
      <c r="AC742" s="10"/>
      <c r="AD742" s="10"/>
      <c r="AE742" s="10"/>
    </row>
    <row r="743" spans="1:32" s="2" customFormat="1" ht="20.100000000000001" customHeight="1" x14ac:dyDescent="0.2">
      <c r="B743" s="10" t="s">
        <v>67</v>
      </c>
      <c r="C743" s="93" t="s">
        <v>74</v>
      </c>
      <c r="D743" s="10">
        <f>+D742</f>
        <v>10</v>
      </c>
      <c r="E743" s="2">
        <f>+E742</f>
        <v>0.1</v>
      </c>
      <c r="F743" s="10">
        <f>ROUNDUP(E739/E743,0)</f>
        <v>10</v>
      </c>
      <c r="G743" s="3"/>
      <c r="O743" s="10">
        <f>((((G739-(2*$D$11))+(2*10*D743/1000))*D739))*1</f>
        <v>1.24</v>
      </c>
      <c r="P743" s="10">
        <f>O743*F743</f>
        <v>12.4</v>
      </c>
      <c r="Q743" s="10">
        <f t="shared" si="277"/>
        <v>0</v>
      </c>
      <c r="R743" s="10">
        <f t="shared" si="277"/>
        <v>7.6481428571428571</v>
      </c>
      <c r="S743" s="10">
        <f t="shared" si="277"/>
        <v>0</v>
      </c>
      <c r="T743" s="10">
        <f t="shared" si="277"/>
        <v>0</v>
      </c>
      <c r="U743" s="10">
        <f t="shared" si="277"/>
        <v>0</v>
      </c>
      <c r="V743" s="10">
        <f t="shared" si="277"/>
        <v>0</v>
      </c>
      <c r="W743" s="10">
        <f t="shared" si="277"/>
        <v>0</v>
      </c>
      <c r="X743" s="10">
        <f t="shared" si="276"/>
        <v>7.6481428571428571</v>
      </c>
    </row>
    <row r="744" spans="1:32" s="3" customFormat="1" ht="21" customHeight="1" x14ac:dyDescent="0.2">
      <c r="A744" s="10">
        <v>1</v>
      </c>
      <c r="B744" s="10" t="s">
        <v>67</v>
      </c>
      <c r="C744" s="91" t="s">
        <v>174</v>
      </c>
      <c r="D744" s="91">
        <v>1</v>
      </c>
      <c r="E744" s="91">
        <v>6.28</v>
      </c>
      <c r="F744" s="91">
        <v>0.5</v>
      </c>
      <c r="G744" s="91">
        <v>0.6</v>
      </c>
      <c r="H744" s="10">
        <f>G744-0.2</f>
        <v>0.39999999999999997</v>
      </c>
      <c r="I744" s="10">
        <f>E744*F744*G744*D744</f>
        <v>1.8839999999999999</v>
      </c>
      <c r="J744" s="10">
        <f>(2*(E744)*H744*D744)+(E744*F744)</f>
        <v>8.1639999999999997</v>
      </c>
      <c r="K744" s="92">
        <f>IF(E744=0.3,J744,0)</f>
        <v>0</v>
      </c>
      <c r="L744" s="92">
        <f>IF(AND(E744&gt;0.3,E744&lt;=0.75),J744,0)</f>
        <v>0</v>
      </c>
      <c r="M744" s="92">
        <f>IF(AND(E744&gt;0.75,E744&lt;=1.2),J744,0)</f>
        <v>0</v>
      </c>
      <c r="N744" s="92">
        <f>IF(E744&gt;1.2,J744,0)</f>
        <v>8.1639999999999997</v>
      </c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>
        <f>SUM(X745:X752)/I744</f>
        <v>164.98350000000002</v>
      </c>
      <c r="Z744" s="10"/>
      <c r="AA744" s="10"/>
      <c r="AB744" s="10"/>
      <c r="AC744" s="10"/>
      <c r="AD744" s="10"/>
      <c r="AE744" s="10"/>
      <c r="AF744" s="10"/>
    </row>
    <row r="745" spans="1:32" s="3" customFormat="1" ht="20.100000000000001" customHeight="1" x14ac:dyDescent="0.2">
      <c r="A745" s="87"/>
      <c r="B745" s="10" t="s">
        <v>67</v>
      </c>
      <c r="C745" s="93" t="s">
        <v>69</v>
      </c>
      <c r="D745" s="10">
        <v>20</v>
      </c>
      <c r="E745" s="10"/>
      <c r="F745" s="10">
        <v>5</v>
      </c>
      <c r="G745" s="90">
        <f>VLOOKUP(D745,$C$20:$F$26,3,0)</f>
        <v>1.05</v>
      </c>
      <c r="H745" s="90"/>
      <c r="I745" s="10"/>
      <c r="J745" s="10"/>
      <c r="K745" s="10"/>
      <c r="L745" s="10"/>
      <c r="M745" s="10"/>
      <c r="N745" s="10"/>
      <c r="O745" s="10">
        <f>(E744+1*(G74)+1*(1.5/2)*D744)</f>
        <v>8.08</v>
      </c>
      <c r="P745" s="10">
        <f t="shared" ref="P745:P752" si="278">O745*F745</f>
        <v>40.4</v>
      </c>
      <c r="Q745" s="10">
        <f t="shared" ref="Q745:W763" si="279">IF($D745=Q$44,$P745*Q$45,0)</f>
        <v>0</v>
      </c>
      <c r="R745" s="10">
        <f t="shared" si="279"/>
        <v>0</v>
      </c>
      <c r="S745" s="10">
        <f t="shared" si="279"/>
        <v>0</v>
      </c>
      <c r="T745" s="10">
        <f t="shared" si="279"/>
        <v>0</v>
      </c>
      <c r="U745" s="10">
        <f t="shared" si="279"/>
        <v>99.672571428571416</v>
      </c>
      <c r="V745" s="10">
        <f t="shared" si="279"/>
        <v>0</v>
      </c>
      <c r="W745" s="10">
        <f t="shared" si="279"/>
        <v>0</v>
      </c>
      <c r="X745" s="10">
        <f t="shared" ref="X745:X752" si="280">SUM(Q745:W745)</f>
        <v>99.672571428571416</v>
      </c>
      <c r="Y745" s="10"/>
      <c r="Z745" s="10"/>
      <c r="AA745" s="10"/>
      <c r="AB745" s="10"/>
      <c r="AC745" s="10"/>
      <c r="AD745" s="10"/>
      <c r="AE745" s="10"/>
    </row>
    <row r="746" spans="1:32" s="3" customFormat="1" ht="20.100000000000001" customHeight="1" x14ac:dyDescent="0.2">
      <c r="A746" s="87"/>
      <c r="B746" s="10" t="s">
        <v>67</v>
      </c>
      <c r="C746" s="93" t="s">
        <v>158</v>
      </c>
      <c r="D746" s="10">
        <v>20</v>
      </c>
      <c r="E746" s="10"/>
      <c r="F746" s="10">
        <v>5</v>
      </c>
      <c r="G746" s="90">
        <f>VLOOKUP(D746,$C$20:$F$26,3,0)</f>
        <v>1.05</v>
      </c>
      <c r="H746" s="90"/>
      <c r="I746" s="10"/>
      <c r="J746" s="10"/>
      <c r="K746" s="10"/>
      <c r="L746" s="10"/>
      <c r="M746" s="10"/>
      <c r="N746" s="10"/>
      <c r="O746" s="10">
        <f>(E744+1*(G75)+1*(1.5/2)*D744)</f>
        <v>8.08</v>
      </c>
      <c r="P746" s="10">
        <f t="shared" si="278"/>
        <v>40.4</v>
      </c>
      <c r="Q746" s="10">
        <f t="shared" si="279"/>
        <v>0</v>
      </c>
      <c r="R746" s="10">
        <f t="shared" si="279"/>
        <v>0</v>
      </c>
      <c r="S746" s="10">
        <f t="shared" si="279"/>
        <v>0</v>
      </c>
      <c r="T746" s="10">
        <f t="shared" si="279"/>
        <v>0</v>
      </c>
      <c r="U746" s="10">
        <f t="shared" si="279"/>
        <v>99.672571428571416</v>
      </c>
      <c r="V746" s="10">
        <f t="shared" si="279"/>
        <v>0</v>
      </c>
      <c r="W746" s="10">
        <f t="shared" si="279"/>
        <v>0</v>
      </c>
      <c r="X746" s="10">
        <f t="shared" si="280"/>
        <v>99.672571428571416</v>
      </c>
      <c r="Y746" s="10"/>
      <c r="Z746" s="10"/>
      <c r="AA746" s="10"/>
      <c r="AB746" s="10"/>
      <c r="AC746" s="10"/>
      <c r="AD746" s="10"/>
      <c r="AE746" s="10"/>
    </row>
    <row r="747" spans="1:32" s="3" customFormat="1" ht="20.100000000000001" customHeight="1" x14ac:dyDescent="0.2">
      <c r="A747" s="87"/>
      <c r="B747" s="10" t="s">
        <v>67</v>
      </c>
      <c r="C747" s="93" t="s">
        <v>116</v>
      </c>
      <c r="D747" s="10">
        <v>16</v>
      </c>
      <c r="E747" s="10"/>
      <c r="F747" s="10">
        <v>2</v>
      </c>
      <c r="G747" s="90">
        <f>VLOOKUP(D747,$C$20:$F$26,3,0)</f>
        <v>0.85</v>
      </c>
      <c r="H747" s="90"/>
      <c r="I747" s="10"/>
      <c r="J747" s="10"/>
      <c r="K747" s="10"/>
      <c r="L747" s="10"/>
      <c r="M747" s="10"/>
      <c r="N747" s="10"/>
      <c r="O747" s="10">
        <f>+E744-0.3-0.3</f>
        <v>5.6800000000000006</v>
      </c>
      <c r="P747" s="10">
        <f t="shared" si="278"/>
        <v>11.360000000000001</v>
      </c>
      <c r="Q747" s="10">
        <f t="shared" si="279"/>
        <v>0</v>
      </c>
      <c r="R747" s="10">
        <f t="shared" si="279"/>
        <v>0</v>
      </c>
      <c r="S747" s="10">
        <f t="shared" si="279"/>
        <v>0</v>
      </c>
      <c r="T747" s="10">
        <f t="shared" si="279"/>
        <v>17.937115428571431</v>
      </c>
      <c r="U747" s="10">
        <f t="shared" si="279"/>
        <v>0</v>
      </c>
      <c r="V747" s="10">
        <f t="shared" si="279"/>
        <v>0</v>
      </c>
      <c r="W747" s="10">
        <f t="shared" si="279"/>
        <v>0</v>
      </c>
      <c r="X747" s="10">
        <f t="shared" si="280"/>
        <v>17.937115428571431</v>
      </c>
      <c r="Y747" s="10"/>
      <c r="Z747" s="10"/>
      <c r="AA747" s="10"/>
      <c r="AB747" s="10"/>
      <c r="AC747" s="10"/>
      <c r="AD747" s="10"/>
      <c r="AE747" s="10"/>
    </row>
    <row r="748" spans="1:32" s="3" customFormat="1" ht="20.100000000000001" customHeight="1" x14ac:dyDescent="0.2">
      <c r="A748" s="87"/>
      <c r="B748" s="10" t="s">
        <v>67</v>
      </c>
      <c r="C748" s="93" t="s">
        <v>73</v>
      </c>
      <c r="D748" s="10">
        <v>8</v>
      </c>
      <c r="E748" s="10">
        <v>0.1</v>
      </c>
      <c r="F748" s="10">
        <f>ROUND(IF(E744/3&gt;(2*G744),(E744/3)/E748,(2*G744)/E748),0)*2+1</f>
        <v>43</v>
      </c>
      <c r="H748" s="10"/>
      <c r="I748" s="10"/>
      <c r="J748" s="10"/>
      <c r="K748" s="10"/>
      <c r="L748" s="10"/>
      <c r="M748" s="10"/>
      <c r="N748" s="10"/>
      <c r="O748" s="10">
        <f>(2*((G744-(2*$D$11))+(F744-(2*$D$11)))+(2*10*D748/1000))*D744</f>
        <v>2.12</v>
      </c>
      <c r="P748" s="10">
        <f t="shared" si="278"/>
        <v>91.160000000000011</v>
      </c>
      <c r="Q748" s="10">
        <f t="shared" si="279"/>
        <v>35.984758857142864</v>
      </c>
      <c r="R748" s="10">
        <f t="shared" si="279"/>
        <v>0</v>
      </c>
      <c r="S748" s="10">
        <f t="shared" si="279"/>
        <v>0</v>
      </c>
      <c r="T748" s="10">
        <f t="shared" si="279"/>
        <v>0</v>
      </c>
      <c r="U748" s="10">
        <f t="shared" si="279"/>
        <v>0</v>
      </c>
      <c r="V748" s="10">
        <f t="shared" si="279"/>
        <v>0</v>
      </c>
      <c r="W748" s="10">
        <f t="shared" si="279"/>
        <v>0</v>
      </c>
      <c r="X748" s="10">
        <f t="shared" si="280"/>
        <v>35.984758857142864</v>
      </c>
      <c r="Y748" s="10"/>
      <c r="Z748" s="10"/>
      <c r="AA748" s="10"/>
      <c r="AB748" s="10"/>
      <c r="AC748" s="10"/>
      <c r="AD748" s="10"/>
      <c r="AE748" s="10"/>
    </row>
    <row r="749" spans="1:32" s="2" customFormat="1" ht="20.100000000000001" customHeight="1" x14ac:dyDescent="0.2">
      <c r="B749" s="10" t="s">
        <v>67</v>
      </c>
      <c r="C749" s="93" t="s">
        <v>73</v>
      </c>
      <c r="D749" s="2">
        <f>D748</f>
        <v>8</v>
      </c>
      <c r="E749" s="2">
        <v>0.125</v>
      </c>
      <c r="F749" s="2">
        <f>ROUND((E744-(IF(E744/3&gt;2*G744,E744/3*2,G744*2*2)))/E749,0)</f>
        <v>17</v>
      </c>
      <c r="G749" s="3"/>
      <c r="O749" s="10">
        <f>(2*((G744-(2*$D$11))+(F744-(2*$D$11)))+(2*10*D749/1000))*D744</f>
        <v>2.12</v>
      </c>
      <c r="P749" s="10">
        <f t="shared" si="278"/>
        <v>36.04</v>
      </c>
      <c r="Q749" s="10">
        <f t="shared" si="279"/>
        <v>14.226532571428573</v>
      </c>
      <c r="R749" s="10">
        <f t="shared" si="279"/>
        <v>0</v>
      </c>
      <c r="S749" s="10">
        <f t="shared" si="279"/>
        <v>0</v>
      </c>
      <c r="T749" s="10">
        <f t="shared" si="279"/>
        <v>0</v>
      </c>
      <c r="U749" s="10">
        <f t="shared" si="279"/>
        <v>0</v>
      </c>
      <c r="V749" s="10">
        <f t="shared" si="279"/>
        <v>0</v>
      </c>
      <c r="W749" s="10">
        <f t="shared" si="279"/>
        <v>0</v>
      </c>
      <c r="X749" s="10">
        <f t="shared" si="280"/>
        <v>14.226532571428573</v>
      </c>
    </row>
    <row r="750" spans="1:32" s="2" customFormat="1" ht="20.100000000000001" customHeight="1" x14ac:dyDescent="0.2">
      <c r="B750" s="10" t="s">
        <v>67</v>
      </c>
      <c r="C750" s="93" t="s">
        <v>74</v>
      </c>
      <c r="D750" s="2">
        <f>D748</f>
        <v>8</v>
      </c>
      <c r="E750" s="2">
        <f>+E748</f>
        <v>0.1</v>
      </c>
      <c r="F750" s="10">
        <f>ROUND(IF(E744/3&gt;(2*G744),(E744/3)/E750,(2*G744)/E750),0)*2+1</f>
        <v>43</v>
      </c>
      <c r="G750" s="3"/>
      <c r="O750" s="10">
        <f>((((G744-(2*$D$11))+(2*10*D750/1000))*D744))*2</f>
        <v>1.4000000000000001</v>
      </c>
      <c r="P750" s="10">
        <f t="shared" si="278"/>
        <v>60.2</v>
      </c>
      <c r="Q750" s="10">
        <f t="shared" si="279"/>
        <v>23.763520000000003</v>
      </c>
      <c r="R750" s="10">
        <f t="shared" si="279"/>
        <v>0</v>
      </c>
      <c r="S750" s="10">
        <f t="shared" si="279"/>
        <v>0</v>
      </c>
      <c r="T750" s="10">
        <f t="shared" si="279"/>
        <v>0</v>
      </c>
      <c r="U750" s="10">
        <f t="shared" si="279"/>
        <v>0</v>
      </c>
      <c r="V750" s="10">
        <f t="shared" si="279"/>
        <v>0</v>
      </c>
      <c r="W750" s="10">
        <f t="shared" si="279"/>
        <v>0</v>
      </c>
      <c r="X750" s="10">
        <f t="shared" si="280"/>
        <v>23.763520000000003</v>
      </c>
    </row>
    <row r="751" spans="1:32" s="2" customFormat="1" ht="20.100000000000001" customHeight="1" x14ac:dyDescent="0.2">
      <c r="B751" s="10" t="s">
        <v>67</v>
      </c>
      <c r="C751" s="93" t="s">
        <v>74</v>
      </c>
      <c r="D751" s="2">
        <f>D749</f>
        <v>8</v>
      </c>
      <c r="E751" s="2">
        <f>+E749</f>
        <v>0.125</v>
      </c>
      <c r="F751" s="2">
        <f>ROUND((E744-(IF(E744/3&gt;2*G744,E744/3*2,G744*2*2)))/E751,0)</f>
        <v>17</v>
      </c>
      <c r="G751" s="3"/>
      <c r="O751" s="10">
        <f>((((G744-(2*$D$11))+(2*10*D751/1000))*D744))*2</f>
        <v>1.4000000000000001</v>
      </c>
      <c r="P751" s="10">
        <f t="shared" si="278"/>
        <v>23.8</v>
      </c>
      <c r="Q751" s="10">
        <f t="shared" si="279"/>
        <v>9.3948800000000006</v>
      </c>
      <c r="R751" s="10">
        <f t="shared" si="279"/>
        <v>0</v>
      </c>
      <c r="S751" s="10">
        <f t="shared" si="279"/>
        <v>0</v>
      </c>
      <c r="T751" s="10">
        <f t="shared" si="279"/>
        <v>0</v>
      </c>
      <c r="U751" s="10">
        <f t="shared" si="279"/>
        <v>0</v>
      </c>
      <c r="V751" s="10">
        <f t="shared" si="279"/>
        <v>0</v>
      </c>
      <c r="W751" s="10">
        <f t="shared" si="279"/>
        <v>0</v>
      </c>
      <c r="X751" s="10">
        <f t="shared" si="280"/>
        <v>9.3948800000000006</v>
      </c>
    </row>
    <row r="752" spans="1:32" s="3" customFormat="1" ht="20.100000000000001" customHeight="1" x14ac:dyDescent="0.2">
      <c r="A752" s="87"/>
      <c r="B752" s="10" t="s">
        <v>67</v>
      </c>
      <c r="C752" s="93" t="s">
        <v>75</v>
      </c>
      <c r="D752" s="10">
        <f>+$D$15</f>
        <v>25</v>
      </c>
      <c r="E752" s="10">
        <f>+$E$15</f>
        <v>1</v>
      </c>
      <c r="F752" s="10">
        <f>ROUNDUP((O747)/E752,0)</f>
        <v>6</v>
      </c>
      <c r="G752" s="90"/>
      <c r="H752" s="90"/>
      <c r="I752" s="10"/>
      <c r="J752" s="10"/>
      <c r="K752" s="10"/>
      <c r="L752" s="10"/>
      <c r="M752" s="10"/>
      <c r="N752" s="10"/>
      <c r="O752" s="10">
        <f>F744-$F$15</f>
        <v>0.44</v>
      </c>
      <c r="P752" s="10">
        <f t="shared" si="278"/>
        <v>2.64</v>
      </c>
      <c r="Q752" s="10">
        <f t="shared" si="279"/>
        <v>0</v>
      </c>
      <c r="R752" s="10">
        <f t="shared" si="279"/>
        <v>0</v>
      </c>
      <c r="S752" s="10">
        <f t="shared" si="279"/>
        <v>0</v>
      </c>
      <c r="T752" s="10">
        <f t="shared" si="279"/>
        <v>0</v>
      </c>
      <c r="U752" s="10">
        <f t="shared" si="279"/>
        <v>0</v>
      </c>
      <c r="V752" s="10">
        <f t="shared" si="279"/>
        <v>10.176964285714288</v>
      </c>
      <c r="W752" s="10">
        <f t="shared" si="279"/>
        <v>0</v>
      </c>
      <c r="X752" s="10">
        <f t="shared" si="280"/>
        <v>10.176964285714288</v>
      </c>
      <c r="Y752" s="10"/>
      <c r="Z752" s="10"/>
      <c r="AA752" s="10"/>
      <c r="AB752" s="10"/>
      <c r="AC752" s="10"/>
      <c r="AD752" s="10"/>
      <c r="AE752" s="10"/>
    </row>
    <row r="753" spans="1:32" s="3" customFormat="1" ht="21" customHeight="1" x14ac:dyDescent="0.2">
      <c r="A753" s="10">
        <v>1</v>
      </c>
      <c r="B753" s="10" t="s">
        <v>67</v>
      </c>
      <c r="C753" s="91" t="s">
        <v>175</v>
      </c>
      <c r="D753" s="91">
        <v>1</v>
      </c>
      <c r="E753" s="91">
        <v>1.8</v>
      </c>
      <c r="F753" s="91">
        <v>0.3</v>
      </c>
      <c r="G753" s="91">
        <v>0.6</v>
      </c>
      <c r="H753" s="10">
        <f>G753-0.2</f>
        <v>0.39999999999999997</v>
      </c>
      <c r="I753" s="10">
        <f>E753*F753*G753*D753</f>
        <v>0.32400000000000001</v>
      </c>
      <c r="J753" s="10">
        <f>(2*(E753)*H753*D753)+(E753*F753)</f>
        <v>1.98</v>
      </c>
      <c r="K753" s="92">
        <f>IF(E753=0.3,J753,0)</f>
        <v>0</v>
      </c>
      <c r="L753" s="92">
        <f>IF(AND(E753&gt;0.3,E753&lt;=0.75),J753,0)</f>
        <v>0</v>
      </c>
      <c r="M753" s="92">
        <f>IF(AND(E753&gt;0.75,E753&lt;=1.2),J753,0)</f>
        <v>0</v>
      </c>
      <c r="N753" s="92">
        <f>IF(E753&gt;1.2,J753,0)</f>
        <v>1.98</v>
      </c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>
        <f>SUM(X754:X759)/I753</f>
        <v>222.99316402116398</v>
      </c>
      <c r="Z753" s="10"/>
      <c r="AA753" s="10"/>
      <c r="AB753" s="10"/>
      <c r="AC753" s="10"/>
      <c r="AD753" s="10"/>
      <c r="AE753" s="10"/>
      <c r="AF753" s="10"/>
    </row>
    <row r="754" spans="1:32" s="3" customFormat="1" ht="20.100000000000001" customHeight="1" x14ac:dyDescent="0.2">
      <c r="A754" s="87"/>
      <c r="B754" s="10" t="s">
        <v>67</v>
      </c>
      <c r="C754" s="93" t="s">
        <v>69</v>
      </c>
      <c r="D754" s="10">
        <v>20</v>
      </c>
      <c r="E754" s="10"/>
      <c r="F754" s="10">
        <v>3</v>
      </c>
      <c r="G754" s="90">
        <f>VLOOKUP(D754,$C$20:$F$26,3,0)</f>
        <v>1.05</v>
      </c>
      <c r="H754" s="90"/>
      <c r="I754" s="10"/>
      <c r="J754" s="10"/>
      <c r="K754" s="10"/>
      <c r="L754" s="10"/>
      <c r="M754" s="10"/>
      <c r="N754" s="10"/>
      <c r="O754" s="10">
        <f>(E753+2*(1.5/2)*D753)</f>
        <v>3.3</v>
      </c>
      <c r="P754" s="10">
        <f t="shared" ref="P754:P756" si="281">O754*F754</f>
        <v>9.8999999999999986</v>
      </c>
      <c r="Q754" s="10">
        <f t="shared" si="279"/>
        <v>0</v>
      </c>
      <c r="R754" s="10">
        <f t="shared" si="279"/>
        <v>0</v>
      </c>
      <c r="S754" s="10">
        <f t="shared" si="279"/>
        <v>0</v>
      </c>
      <c r="T754" s="10">
        <f t="shared" si="279"/>
        <v>0</v>
      </c>
      <c r="U754" s="10">
        <f t="shared" si="279"/>
        <v>24.42471428571428</v>
      </c>
      <c r="V754" s="10">
        <f t="shared" si="279"/>
        <v>0</v>
      </c>
      <c r="W754" s="10">
        <f t="shared" si="279"/>
        <v>0</v>
      </c>
      <c r="X754" s="10">
        <f t="shared" ref="X754:X759" si="282">SUM(Q754:W754)</f>
        <v>24.42471428571428</v>
      </c>
      <c r="Y754" s="10"/>
      <c r="Z754" s="10"/>
      <c r="AA754" s="10"/>
      <c r="AB754" s="10"/>
      <c r="AC754" s="10"/>
      <c r="AD754" s="10"/>
      <c r="AE754" s="10"/>
    </row>
    <row r="755" spans="1:32" s="3" customFormat="1" ht="20.100000000000001" customHeight="1" x14ac:dyDescent="0.2">
      <c r="A755" s="87"/>
      <c r="B755" s="10" t="s">
        <v>67</v>
      </c>
      <c r="C755" s="93" t="s">
        <v>158</v>
      </c>
      <c r="D755" s="10">
        <v>20</v>
      </c>
      <c r="E755" s="10"/>
      <c r="F755" s="10">
        <v>3</v>
      </c>
      <c r="G755" s="90">
        <f>VLOOKUP(D755,$C$20:$F$26,3,0)</f>
        <v>1.05</v>
      </c>
      <c r="H755" s="90"/>
      <c r="I755" s="10"/>
      <c r="J755" s="10"/>
      <c r="K755" s="10"/>
      <c r="L755" s="10"/>
      <c r="M755" s="10"/>
      <c r="N755" s="10"/>
      <c r="O755" s="10">
        <f>(E753+2*(1.5/2)*D753)</f>
        <v>3.3</v>
      </c>
      <c r="P755" s="10">
        <f t="shared" si="281"/>
        <v>9.8999999999999986</v>
      </c>
      <c r="Q755" s="10">
        <f t="shared" si="279"/>
        <v>0</v>
      </c>
      <c r="R755" s="10">
        <f t="shared" si="279"/>
        <v>0</v>
      </c>
      <c r="S755" s="10">
        <f t="shared" si="279"/>
        <v>0</v>
      </c>
      <c r="T755" s="10">
        <f t="shared" si="279"/>
        <v>0</v>
      </c>
      <c r="U755" s="10">
        <f t="shared" si="279"/>
        <v>24.42471428571428</v>
      </c>
      <c r="V755" s="10">
        <f t="shared" si="279"/>
        <v>0</v>
      </c>
      <c r="W755" s="10">
        <f t="shared" si="279"/>
        <v>0</v>
      </c>
      <c r="X755" s="10">
        <f t="shared" si="282"/>
        <v>24.42471428571428</v>
      </c>
      <c r="Y755" s="10"/>
      <c r="Z755" s="10"/>
      <c r="AA755" s="10"/>
      <c r="AB755" s="10"/>
      <c r="AC755" s="10"/>
      <c r="AD755" s="10"/>
      <c r="AE755" s="10"/>
    </row>
    <row r="756" spans="1:32" s="3" customFormat="1" ht="20.100000000000001" customHeight="1" x14ac:dyDescent="0.2">
      <c r="A756" s="87"/>
      <c r="B756" s="10" t="s">
        <v>67</v>
      </c>
      <c r="C756" s="93" t="s">
        <v>73</v>
      </c>
      <c r="D756" s="10">
        <v>8</v>
      </c>
      <c r="E756" s="10">
        <v>0.1</v>
      </c>
      <c r="F756" s="10">
        <f>ROUNDUP((E753/3*2)/E756,0)+1</f>
        <v>13</v>
      </c>
      <c r="H756" s="10"/>
      <c r="I756" s="10"/>
      <c r="J756" s="10"/>
      <c r="K756" s="10"/>
      <c r="L756" s="10"/>
      <c r="M756" s="10"/>
      <c r="N756" s="10"/>
      <c r="O756" s="10">
        <f>(2*((G753-(2*$D$11))+(F753-(2*$D$11)))+(2*10*D756/1000))*D753</f>
        <v>1.72</v>
      </c>
      <c r="P756" s="10">
        <f t="shared" si="281"/>
        <v>22.36</v>
      </c>
      <c r="Q756" s="10">
        <f t="shared" si="279"/>
        <v>8.8264502857142855</v>
      </c>
      <c r="R756" s="10">
        <f t="shared" si="279"/>
        <v>0</v>
      </c>
      <c r="S756" s="10">
        <f t="shared" si="279"/>
        <v>0</v>
      </c>
      <c r="T756" s="10">
        <f t="shared" si="279"/>
        <v>0</v>
      </c>
      <c r="U756" s="10">
        <f t="shared" si="279"/>
        <v>0</v>
      </c>
      <c r="V756" s="10">
        <f t="shared" si="279"/>
        <v>0</v>
      </c>
      <c r="W756" s="10">
        <f t="shared" si="279"/>
        <v>0</v>
      </c>
      <c r="X756" s="10">
        <f t="shared" si="282"/>
        <v>8.8264502857142855</v>
      </c>
      <c r="Y756" s="10"/>
      <c r="Z756" s="10"/>
      <c r="AA756" s="10"/>
      <c r="AB756" s="10"/>
      <c r="AC756" s="10"/>
      <c r="AD756" s="10"/>
      <c r="AE756" s="10"/>
    </row>
    <row r="757" spans="1:32" s="2" customFormat="1" ht="20.100000000000001" customHeight="1" x14ac:dyDescent="0.2">
      <c r="B757" s="10" t="s">
        <v>67</v>
      </c>
      <c r="C757" s="93" t="s">
        <v>73</v>
      </c>
      <c r="D757" s="2">
        <f>D756</f>
        <v>8</v>
      </c>
      <c r="E757" s="2">
        <v>0.125</v>
      </c>
      <c r="F757" s="10">
        <f>ROUNDUP((E753/3)/E757,0)+1</f>
        <v>6</v>
      </c>
      <c r="G757" s="3"/>
      <c r="O757" s="10">
        <f>(2*((G753-(2*$D$11))+(F753-(2*$D$11)))+(2*10*D757/1000))*D753</f>
        <v>1.72</v>
      </c>
      <c r="P757" s="10">
        <f>O757*F757</f>
        <v>10.32</v>
      </c>
      <c r="Q757" s="10">
        <f t="shared" si="279"/>
        <v>4.0737462857142859</v>
      </c>
      <c r="R757" s="10">
        <f t="shared" si="279"/>
        <v>0</v>
      </c>
      <c r="S757" s="10">
        <f t="shared" si="279"/>
        <v>0</v>
      </c>
      <c r="T757" s="10">
        <f t="shared" si="279"/>
        <v>0</v>
      </c>
      <c r="U757" s="10">
        <f t="shared" si="279"/>
        <v>0</v>
      </c>
      <c r="V757" s="10">
        <f t="shared" si="279"/>
        <v>0</v>
      </c>
      <c r="W757" s="10">
        <f t="shared" si="279"/>
        <v>0</v>
      </c>
      <c r="X757" s="10">
        <f t="shared" si="282"/>
        <v>4.0737462857142859</v>
      </c>
    </row>
    <row r="758" spans="1:32" s="2" customFormat="1" ht="20.100000000000001" customHeight="1" x14ac:dyDescent="0.2">
      <c r="B758" s="10" t="s">
        <v>67</v>
      </c>
      <c r="C758" s="93" t="s">
        <v>74</v>
      </c>
      <c r="D758" s="2">
        <f>D756</f>
        <v>8</v>
      </c>
      <c r="E758" s="2">
        <f>+E756</f>
        <v>0.1</v>
      </c>
      <c r="F758" s="10">
        <f>ROUNDUP((E753/3*2)/E758,0)+1</f>
        <v>13</v>
      </c>
      <c r="G758" s="3"/>
      <c r="O758" s="10">
        <f>((((G753-(2*$D$11))+(2*10*D758/1000))*D753))*2</f>
        <v>1.4000000000000001</v>
      </c>
      <c r="P758" s="10">
        <f t="shared" ref="P758" si="283">O758*F758</f>
        <v>18.200000000000003</v>
      </c>
      <c r="Q758" s="10">
        <f t="shared" si="279"/>
        <v>7.1843200000000014</v>
      </c>
      <c r="R758" s="10">
        <f t="shared" si="279"/>
        <v>0</v>
      </c>
      <c r="S758" s="10">
        <f t="shared" si="279"/>
        <v>0</v>
      </c>
      <c r="T758" s="10">
        <f t="shared" si="279"/>
        <v>0</v>
      </c>
      <c r="U758" s="10">
        <f t="shared" si="279"/>
        <v>0</v>
      </c>
      <c r="V758" s="10">
        <f t="shared" si="279"/>
        <v>0</v>
      </c>
      <c r="W758" s="10">
        <f t="shared" si="279"/>
        <v>0</v>
      </c>
      <c r="X758" s="10">
        <f t="shared" si="282"/>
        <v>7.1843200000000014</v>
      </c>
    </row>
    <row r="759" spans="1:32" s="2" customFormat="1" ht="20.100000000000001" customHeight="1" x14ac:dyDescent="0.2">
      <c r="B759" s="10" t="s">
        <v>67</v>
      </c>
      <c r="C759" s="93" t="s">
        <v>74</v>
      </c>
      <c r="D759" s="2">
        <f>D757</f>
        <v>8</v>
      </c>
      <c r="E759" s="2">
        <f>+E757</f>
        <v>0.125</v>
      </c>
      <c r="F759" s="10">
        <f>ROUNDUP((E753/3)/E759,0)+1</f>
        <v>6</v>
      </c>
      <c r="G759" s="3"/>
      <c r="O759" s="10">
        <f>((((G753-(2*$D$11))+(2*10*D759/1000))*D753))*2</f>
        <v>1.4000000000000001</v>
      </c>
      <c r="P759" s="10">
        <f>O759*F759</f>
        <v>8.4</v>
      </c>
      <c r="Q759" s="10">
        <f t="shared" si="279"/>
        <v>3.3158400000000006</v>
      </c>
      <c r="R759" s="10">
        <f t="shared" si="279"/>
        <v>0</v>
      </c>
      <c r="S759" s="10">
        <f t="shared" si="279"/>
        <v>0</v>
      </c>
      <c r="T759" s="10">
        <f t="shared" si="279"/>
        <v>0</v>
      </c>
      <c r="U759" s="10">
        <f t="shared" si="279"/>
        <v>0</v>
      </c>
      <c r="V759" s="10">
        <f t="shared" si="279"/>
        <v>0</v>
      </c>
      <c r="W759" s="10">
        <f t="shared" si="279"/>
        <v>0</v>
      </c>
      <c r="X759" s="10">
        <f t="shared" si="282"/>
        <v>3.3158400000000006</v>
      </c>
    </row>
    <row r="760" spans="1:32" s="3" customFormat="1" ht="21" customHeight="1" x14ac:dyDescent="0.2">
      <c r="A760" s="10">
        <v>1</v>
      </c>
      <c r="B760" s="10" t="s">
        <v>67</v>
      </c>
      <c r="C760" s="91" t="s">
        <v>176</v>
      </c>
      <c r="D760" s="91">
        <v>1</v>
      </c>
      <c r="E760" s="91">
        <v>6</v>
      </c>
      <c r="F760" s="91">
        <v>0.45</v>
      </c>
      <c r="G760" s="91">
        <v>0.6</v>
      </c>
      <c r="H760" s="10">
        <f>G760-0.2</f>
        <v>0.39999999999999997</v>
      </c>
      <c r="I760" s="10">
        <f>E760*F760*G760*D760</f>
        <v>1.62</v>
      </c>
      <c r="J760" s="10">
        <f>(2*(E760)*H760*D760)+(E760*F760)</f>
        <v>7.5</v>
      </c>
      <c r="K760" s="92">
        <f>IF(E760=0.3,J760,0)</f>
        <v>0</v>
      </c>
      <c r="L760" s="92">
        <f>IF(AND(E760&gt;0.3,E760&lt;=0.75),J760,0)</f>
        <v>0</v>
      </c>
      <c r="M760" s="92">
        <f>IF(AND(E760&gt;0.75,E760&lt;=1.2),J760,0)</f>
        <v>0</v>
      </c>
      <c r="N760" s="92">
        <f>IF(E760&gt;1.2,J760,0)</f>
        <v>7.5</v>
      </c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>
        <f>SUM(X761:X766)/I760</f>
        <v>178.363387345679</v>
      </c>
      <c r="Z760" s="10"/>
      <c r="AA760" s="10"/>
      <c r="AB760" s="10"/>
      <c r="AC760" s="10"/>
      <c r="AD760" s="10"/>
      <c r="AE760" s="10"/>
      <c r="AF760" s="10"/>
    </row>
    <row r="761" spans="1:32" s="3" customFormat="1" ht="20.100000000000001" customHeight="1" x14ac:dyDescent="0.2">
      <c r="A761" s="87"/>
      <c r="B761" s="10" t="s">
        <v>67</v>
      </c>
      <c r="C761" s="93" t="s">
        <v>69</v>
      </c>
      <c r="D761" s="10">
        <v>20</v>
      </c>
      <c r="E761" s="10"/>
      <c r="F761" s="10">
        <v>4</v>
      </c>
      <c r="G761" s="90">
        <f>VLOOKUP(D761,$C$20:$F$26,3,0)</f>
        <v>1.05</v>
      </c>
      <c r="H761" s="90"/>
      <c r="I761" s="10"/>
      <c r="J761" s="10"/>
      <c r="K761" s="10"/>
      <c r="L761" s="10"/>
      <c r="M761" s="10"/>
      <c r="N761" s="10"/>
      <c r="O761" s="10">
        <f>(E760+1*(1.5/2)+1*(0.3/2)*D760)</f>
        <v>6.9</v>
      </c>
      <c r="P761" s="10">
        <f t="shared" ref="P761:P763" si="284">O761*F761</f>
        <v>27.6</v>
      </c>
      <c r="Q761" s="10">
        <f t="shared" si="279"/>
        <v>0</v>
      </c>
      <c r="R761" s="10">
        <f t="shared" si="279"/>
        <v>0</v>
      </c>
      <c r="S761" s="10">
        <f t="shared" si="279"/>
        <v>0</v>
      </c>
      <c r="T761" s="10">
        <f t="shared" si="279"/>
        <v>0</v>
      </c>
      <c r="U761" s="10">
        <f t="shared" si="279"/>
        <v>68.093142857142865</v>
      </c>
      <c r="V761" s="10">
        <f t="shared" si="279"/>
        <v>0</v>
      </c>
      <c r="W761" s="10">
        <f t="shared" si="279"/>
        <v>0</v>
      </c>
      <c r="X761" s="10">
        <f t="shared" ref="X761:X766" si="285">SUM(Q761:W761)</f>
        <v>68.093142857142865</v>
      </c>
      <c r="Y761" s="10"/>
      <c r="Z761" s="10"/>
      <c r="AA761" s="10"/>
      <c r="AB761" s="10"/>
      <c r="AC761" s="10"/>
      <c r="AD761" s="10"/>
      <c r="AE761" s="10"/>
    </row>
    <row r="762" spans="1:32" s="3" customFormat="1" ht="20.100000000000001" customHeight="1" x14ac:dyDescent="0.2">
      <c r="A762" s="87"/>
      <c r="B762" s="10" t="s">
        <v>67</v>
      </c>
      <c r="C762" s="93" t="s">
        <v>158</v>
      </c>
      <c r="D762" s="10">
        <v>20</v>
      </c>
      <c r="E762" s="10"/>
      <c r="F762" s="10">
        <v>4</v>
      </c>
      <c r="G762" s="90">
        <f>VLOOKUP(D762,$C$20:$F$26,3,0)</f>
        <v>1.05</v>
      </c>
      <c r="H762" s="90"/>
      <c r="I762" s="10"/>
      <c r="J762" s="10"/>
      <c r="K762" s="10"/>
      <c r="L762" s="10"/>
      <c r="M762" s="10"/>
      <c r="N762" s="10"/>
      <c r="O762" s="10">
        <f>(E760+1*(1.5/2)+1*(0.3/2)*D760)</f>
        <v>6.9</v>
      </c>
      <c r="P762" s="10">
        <f t="shared" si="284"/>
        <v>27.6</v>
      </c>
      <c r="Q762" s="10">
        <f t="shared" si="279"/>
        <v>0</v>
      </c>
      <c r="R762" s="10">
        <f t="shared" si="279"/>
        <v>0</v>
      </c>
      <c r="S762" s="10">
        <f t="shared" si="279"/>
        <v>0</v>
      </c>
      <c r="T762" s="10">
        <f t="shared" si="279"/>
        <v>0</v>
      </c>
      <c r="U762" s="10">
        <f t="shared" si="279"/>
        <v>68.093142857142865</v>
      </c>
      <c r="V762" s="10">
        <f t="shared" si="279"/>
        <v>0</v>
      </c>
      <c r="W762" s="10">
        <f t="shared" si="279"/>
        <v>0</v>
      </c>
      <c r="X762" s="10">
        <f t="shared" si="285"/>
        <v>68.093142857142865</v>
      </c>
      <c r="Y762" s="10"/>
      <c r="Z762" s="10"/>
      <c r="AA762" s="10"/>
      <c r="AB762" s="10"/>
      <c r="AC762" s="10"/>
      <c r="AD762" s="10"/>
      <c r="AE762" s="10"/>
    </row>
    <row r="763" spans="1:32" s="3" customFormat="1" ht="20.100000000000001" customHeight="1" x14ac:dyDescent="0.2">
      <c r="A763" s="87"/>
      <c r="B763" s="10" t="s">
        <v>67</v>
      </c>
      <c r="C763" s="93" t="s">
        <v>112</v>
      </c>
      <c r="D763" s="10">
        <v>20</v>
      </c>
      <c r="E763" s="10"/>
      <c r="F763" s="10">
        <v>4</v>
      </c>
      <c r="G763" s="90">
        <f>VLOOKUP(D763,$C$20:$F$26,3,0)</f>
        <v>1.05</v>
      </c>
      <c r="H763" s="90"/>
      <c r="I763" s="10"/>
      <c r="J763" s="10"/>
      <c r="K763" s="10"/>
      <c r="L763" s="10"/>
      <c r="M763" s="10"/>
      <c r="N763" s="10"/>
      <c r="O763" s="10">
        <f>1.75+1*(0.3/2)</f>
        <v>1.9</v>
      </c>
      <c r="P763" s="10">
        <f t="shared" si="284"/>
        <v>7.6</v>
      </c>
      <c r="Q763" s="10">
        <f t="shared" si="279"/>
        <v>0</v>
      </c>
      <c r="R763" s="10">
        <f t="shared" si="279"/>
        <v>0</v>
      </c>
      <c r="S763" s="10">
        <f t="shared" si="279"/>
        <v>0</v>
      </c>
      <c r="T763" s="10">
        <f t="shared" si="279"/>
        <v>0</v>
      </c>
      <c r="U763" s="10">
        <f t="shared" si="279"/>
        <v>18.750285714285713</v>
      </c>
      <c r="V763" s="10">
        <f t="shared" si="279"/>
        <v>0</v>
      </c>
      <c r="W763" s="10">
        <f t="shared" si="279"/>
        <v>0</v>
      </c>
      <c r="X763" s="10">
        <f t="shared" si="285"/>
        <v>18.750285714285713</v>
      </c>
      <c r="Y763" s="10"/>
      <c r="Z763" s="10"/>
      <c r="AA763" s="10"/>
      <c r="AB763" s="10"/>
      <c r="AC763" s="10"/>
      <c r="AD763" s="10"/>
      <c r="AE763" s="10"/>
    </row>
    <row r="764" spans="1:32" s="3" customFormat="1" ht="19.5" customHeight="1" x14ac:dyDescent="0.2">
      <c r="A764" s="87"/>
      <c r="B764" s="10" t="s">
        <v>67</v>
      </c>
      <c r="C764" s="93" t="s">
        <v>73</v>
      </c>
      <c r="D764" s="10">
        <v>10</v>
      </c>
      <c r="E764" s="10">
        <v>0.1</v>
      </c>
      <c r="F764" s="10">
        <f>ROUNDUP(E760/E764,0)</f>
        <v>60</v>
      </c>
      <c r="H764" s="10"/>
      <c r="I764" s="10"/>
      <c r="J764" s="10"/>
      <c r="K764" s="10"/>
      <c r="L764" s="10"/>
      <c r="M764" s="10"/>
      <c r="N764" s="10"/>
      <c r="O764" s="10">
        <f>(2*((G760-(2*$D$11))+(F760-(2*$D$11)))+(2*10*D764/1000))*D760</f>
        <v>2.06</v>
      </c>
      <c r="P764" s="10">
        <f>O764*F764</f>
        <v>123.60000000000001</v>
      </c>
      <c r="Q764" s="10">
        <f t="shared" ref="Q764:W766" si="286">IF($D764=Q$44,$P764*Q$45,0)</f>
        <v>0</v>
      </c>
      <c r="R764" s="10">
        <f t="shared" si="286"/>
        <v>76.23471428571429</v>
      </c>
      <c r="S764" s="10">
        <f t="shared" si="286"/>
        <v>0</v>
      </c>
      <c r="T764" s="10">
        <f t="shared" si="286"/>
        <v>0</v>
      </c>
      <c r="U764" s="10">
        <f t="shared" si="286"/>
        <v>0</v>
      </c>
      <c r="V764" s="10">
        <f t="shared" si="286"/>
        <v>0</v>
      </c>
      <c r="W764" s="10">
        <f t="shared" si="286"/>
        <v>0</v>
      </c>
      <c r="X764" s="10">
        <f t="shared" si="285"/>
        <v>76.23471428571429</v>
      </c>
      <c r="Y764" s="10"/>
      <c r="Z764" s="10"/>
      <c r="AA764" s="10"/>
      <c r="AB764" s="10"/>
      <c r="AC764" s="10"/>
      <c r="AD764" s="10"/>
      <c r="AE764" s="10"/>
    </row>
    <row r="765" spans="1:32" s="2" customFormat="1" ht="20.100000000000001" customHeight="1" x14ac:dyDescent="0.2">
      <c r="B765" s="10" t="s">
        <v>67</v>
      </c>
      <c r="C765" s="93" t="s">
        <v>74</v>
      </c>
      <c r="D765" s="10">
        <f>+D764</f>
        <v>10</v>
      </c>
      <c r="E765" s="2">
        <f>+E764</f>
        <v>0.1</v>
      </c>
      <c r="F765" s="10">
        <f>ROUNDUP(E760/E765,0)</f>
        <v>60</v>
      </c>
      <c r="G765" s="3"/>
      <c r="O765" s="10">
        <f>((((G760-(2*$D$11))+(2*10*D765/1000))*D760))*2</f>
        <v>1.48</v>
      </c>
      <c r="P765" s="10">
        <f>O765*F765</f>
        <v>88.8</v>
      </c>
      <c r="Q765" s="10">
        <f t="shared" si="286"/>
        <v>0</v>
      </c>
      <c r="R765" s="10">
        <f t="shared" si="286"/>
        <v>54.770571428571422</v>
      </c>
      <c r="S765" s="10">
        <f t="shared" si="286"/>
        <v>0</v>
      </c>
      <c r="T765" s="10">
        <f t="shared" si="286"/>
        <v>0</v>
      </c>
      <c r="U765" s="10">
        <f t="shared" si="286"/>
        <v>0</v>
      </c>
      <c r="V765" s="10">
        <f t="shared" si="286"/>
        <v>0</v>
      </c>
      <c r="W765" s="10">
        <f t="shared" si="286"/>
        <v>0</v>
      </c>
      <c r="X765" s="10">
        <f t="shared" si="285"/>
        <v>54.770571428571422</v>
      </c>
    </row>
    <row r="766" spans="1:32" s="3" customFormat="1" ht="20.100000000000001" customHeight="1" x14ac:dyDescent="0.2">
      <c r="A766" s="87"/>
      <c r="B766" s="10" t="s">
        <v>67</v>
      </c>
      <c r="C766" s="93" t="s">
        <v>75</v>
      </c>
      <c r="D766" s="10">
        <f>+$D$15</f>
        <v>25</v>
      </c>
      <c r="E766" s="10">
        <f>+$E$15</f>
        <v>1</v>
      </c>
      <c r="F766" s="10">
        <f>ROUNDUP((O763)/E766,0)</f>
        <v>2</v>
      </c>
      <c r="G766" s="90"/>
      <c r="H766" s="90"/>
      <c r="I766" s="10"/>
      <c r="J766" s="10"/>
      <c r="K766" s="10"/>
      <c r="L766" s="10"/>
      <c r="M766" s="10"/>
      <c r="N766" s="10"/>
      <c r="O766" s="10">
        <f>F760-$F$15</f>
        <v>0.39</v>
      </c>
      <c r="P766" s="10">
        <f t="shared" ref="P766" si="287">O766*F766</f>
        <v>0.78</v>
      </c>
      <c r="Q766" s="10">
        <f t="shared" si="286"/>
        <v>0</v>
      </c>
      <c r="R766" s="10">
        <f t="shared" si="286"/>
        <v>0</v>
      </c>
      <c r="S766" s="10">
        <f t="shared" si="286"/>
        <v>0</v>
      </c>
      <c r="T766" s="10">
        <f t="shared" si="286"/>
        <v>0</v>
      </c>
      <c r="U766" s="10">
        <f t="shared" si="286"/>
        <v>0</v>
      </c>
      <c r="V766" s="10">
        <f t="shared" si="286"/>
        <v>3.0068303571428578</v>
      </c>
      <c r="W766" s="10">
        <f t="shared" si="286"/>
        <v>0</v>
      </c>
      <c r="X766" s="10">
        <f t="shared" si="285"/>
        <v>3.0068303571428578</v>
      </c>
      <c r="Y766" s="10"/>
      <c r="Z766" s="10"/>
      <c r="AA766" s="10"/>
      <c r="AB766" s="10"/>
      <c r="AC766" s="10"/>
      <c r="AD766" s="10"/>
      <c r="AE766" s="10"/>
    </row>
    <row r="767" spans="1:32" s="3" customFormat="1" ht="21" customHeight="1" x14ac:dyDescent="0.2">
      <c r="A767" s="10">
        <v>1</v>
      </c>
      <c r="B767" s="10" t="s">
        <v>67</v>
      </c>
      <c r="C767" s="91" t="s">
        <v>177</v>
      </c>
      <c r="D767" s="91">
        <v>1</v>
      </c>
      <c r="E767" s="91">
        <v>7.2290000000000001</v>
      </c>
      <c r="F767" s="91">
        <v>0.6</v>
      </c>
      <c r="G767" s="91">
        <v>0.6</v>
      </c>
      <c r="H767" s="10">
        <f>G767-0.2</f>
        <v>0.39999999999999997</v>
      </c>
      <c r="I767" s="10">
        <f>E767*F767*G767*D767</f>
        <v>2.6024399999999996</v>
      </c>
      <c r="J767" s="10">
        <f>(2*(E767)*H767*D767)+(E767*F767)</f>
        <v>10.1206</v>
      </c>
      <c r="K767" s="92">
        <f>IF(E767=0.3,J767,0)</f>
        <v>0</v>
      </c>
      <c r="L767" s="92">
        <f>IF(AND(E767&gt;0.3,E767&lt;=0.75),J767,0)</f>
        <v>0</v>
      </c>
      <c r="M767" s="92">
        <f>IF(AND(E767&gt;0.75,E767&lt;=1.2),J767,0)</f>
        <v>0</v>
      </c>
      <c r="N767" s="92">
        <f>IF(E767&gt;1.2,J767,0)</f>
        <v>10.1206</v>
      </c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>
        <f>SUM(X768:X776)/I767</f>
        <v>172.31886148603402</v>
      </c>
      <c r="Z767" s="10"/>
      <c r="AA767" s="10"/>
      <c r="AB767" s="10"/>
      <c r="AC767" s="10"/>
      <c r="AD767" s="10"/>
      <c r="AE767" s="10"/>
      <c r="AF767" s="10"/>
    </row>
    <row r="768" spans="1:32" s="3" customFormat="1" ht="20.100000000000001" customHeight="1" x14ac:dyDescent="0.2">
      <c r="A768" s="87"/>
      <c r="B768" s="10" t="s">
        <v>67</v>
      </c>
      <c r="C768" s="93" t="s">
        <v>69</v>
      </c>
      <c r="D768" s="10">
        <v>20</v>
      </c>
      <c r="E768" s="10"/>
      <c r="F768" s="10">
        <v>6</v>
      </c>
      <c r="G768" s="90">
        <f>VLOOKUP(D768,$C$20:$F$26,3,0)</f>
        <v>1.05</v>
      </c>
      <c r="H768" s="90"/>
      <c r="I768" s="10"/>
      <c r="J768" s="10"/>
      <c r="K768" s="10"/>
      <c r="L768" s="10"/>
      <c r="M768" s="10"/>
      <c r="N768" s="10"/>
      <c r="O768" s="10">
        <f>(E767+1*(G768+(12*D768/1000))+1*(0.3/2)*D767)</f>
        <v>8.6690000000000005</v>
      </c>
      <c r="P768" s="10">
        <f t="shared" ref="P768:P776" si="288">O768*F768</f>
        <v>52.014000000000003</v>
      </c>
      <c r="Q768" s="10">
        <f t="shared" ref="Q768:W776" si="289">IF($D768=Q$44,$P768*Q$45,0)</f>
        <v>0</v>
      </c>
      <c r="R768" s="10">
        <f t="shared" si="289"/>
        <v>0</v>
      </c>
      <c r="S768" s="10">
        <f t="shared" si="289"/>
        <v>0</v>
      </c>
      <c r="T768" s="10">
        <f t="shared" si="289"/>
        <v>0</v>
      </c>
      <c r="U768" s="10">
        <f t="shared" si="289"/>
        <v>128.32596857142858</v>
      </c>
      <c r="V768" s="10">
        <f t="shared" si="289"/>
        <v>0</v>
      </c>
      <c r="W768" s="10">
        <f t="shared" si="289"/>
        <v>0</v>
      </c>
      <c r="X768" s="10">
        <f t="shared" ref="X768:X776" si="290">SUM(Q768:W768)</f>
        <v>128.32596857142858</v>
      </c>
      <c r="Y768" s="10"/>
      <c r="Z768" s="10"/>
      <c r="AA768" s="10"/>
      <c r="AB768" s="10"/>
      <c r="AC768" s="10"/>
      <c r="AD768" s="10"/>
      <c r="AE768" s="10"/>
    </row>
    <row r="769" spans="1:32" s="3" customFormat="1" ht="20.100000000000001" customHeight="1" x14ac:dyDescent="0.2">
      <c r="A769" s="87"/>
      <c r="B769" s="10" t="s">
        <v>67</v>
      </c>
      <c r="C769" s="93" t="s">
        <v>158</v>
      </c>
      <c r="D769" s="10">
        <v>20</v>
      </c>
      <c r="E769" s="10"/>
      <c r="F769" s="10">
        <v>6</v>
      </c>
      <c r="G769" s="90">
        <f>VLOOKUP(D769,$C$20:$F$26,3,0)</f>
        <v>1.05</v>
      </c>
      <c r="H769" s="90"/>
      <c r="I769" s="10"/>
      <c r="J769" s="10"/>
      <c r="K769" s="10"/>
      <c r="L769" s="10"/>
      <c r="M769" s="10"/>
      <c r="N769" s="10"/>
      <c r="O769" s="10">
        <f>(E767+1*(G769+(12*D769/1000))+1*(0.3/2)*D767)</f>
        <v>8.6690000000000005</v>
      </c>
      <c r="P769" s="10">
        <f t="shared" si="288"/>
        <v>52.014000000000003</v>
      </c>
      <c r="Q769" s="10">
        <f t="shared" si="289"/>
        <v>0</v>
      </c>
      <c r="R769" s="10">
        <f t="shared" si="289"/>
        <v>0</v>
      </c>
      <c r="S769" s="10">
        <f t="shared" si="289"/>
        <v>0</v>
      </c>
      <c r="T769" s="10">
        <f t="shared" si="289"/>
        <v>0</v>
      </c>
      <c r="U769" s="10">
        <f t="shared" si="289"/>
        <v>128.32596857142858</v>
      </c>
      <c r="V769" s="10">
        <f t="shared" si="289"/>
        <v>0</v>
      </c>
      <c r="W769" s="10">
        <f t="shared" si="289"/>
        <v>0</v>
      </c>
      <c r="X769" s="10">
        <f t="shared" si="290"/>
        <v>128.32596857142858</v>
      </c>
      <c r="Y769" s="10"/>
      <c r="Z769" s="10"/>
      <c r="AA769" s="10"/>
      <c r="AB769" s="10"/>
      <c r="AC769" s="10"/>
      <c r="AD769" s="10"/>
      <c r="AE769" s="10"/>
    </row>
    <row r="770" spans="1:32" s="3" customFormat="1" ht="20.100000000000001" customHeight="1" x14ac:dyDescent="0.2">
      <c r="A770" s="87"/>
      <c r="B770" s="10" t="s">
        <v>67</v>
      </c>
      <c r="C770" s="93" t="s">
        <v>128</v>
      </c>
      <c r="D770" s="10">
        <v>20</v>
      </c>
      <c r="E770" s="10"/>
      <c r="F770" s="10">
        <v>4</v>
      </c>
      <c r="G770" s="90">
        <f>VLOOKUP(D770,$C$20:$F$26,3,0)</f>
        <v>1.05</v>
      </c>
      <c r="H770" s="90"/>
      <c r="I770" s="10"/>
      <c r="J770" s="10"/>
      <c r="K770" s="10"/>
      <c r="L770" s="10"/>
      <c r="M770" s="10"/>
      <c r="N770" s="10"/>
      <c r="O770" s="10">
        <f>1.9+1*(0.3/2)</f>
        <v>2.0499999999999998</v>
      </c>
      <c r="P770" s="10">
        <f t="shared" si="288"/>
        <v>8.1999999999999993</v>
      </c>
      <c r="Q770" s="10">
        <f t="shared" si="289"/>
        <v>0</v>
      </c>
      <c r="R770" s="10">
        <f t="shared" si="289"/>
        <v>0</v>
      </c>
      <c r="S770" s="10">
        <f t="shared" si="289"/>
        <v>0</v>
      </c>
      <c r="T770" s="10">
        <f t="shared" si="289"/>
        <v>0</v>
      </c>
      <c r="U770" s="10">
        <f t="shared" si="289"/>
        <v>20.230571428571427</v>
      </c>
      <c r="V770" s="10">
        <f t="shared" si="289"/>
        <v>0</v>
      </c>
      <c r="W770" s="10">
        <f t="shared" si="289"/>
        <v>0</v>
      </c>
      <c r="X770" s="10">
        <f t="shared" si="290"/>
        <v>20.230571428571427</v>
      </c>
      <c r="Y770" s="10"/>
      <c r="Z770" s="10"/>
      <c r="AA770" s="10"/>
      <c r="AB770" s="10"/>
      <c r="AC770" s="10"/>
      <c r="AD770" s="10"/>
      <c r="AE770" s="10"/>
    </row>
    <row r="771" spans="1:32" s="3" customFormat="1" ht="20.100000000000001" customHeight="1" x14ac:dyDescent="0.2">
      <c r="A771" s="87"/>
      <c r="B771" s="10" t="s">
        <v>67</v>
      </c>
      <c r="C771" s="93" t="s">
        <v>128</v>
      </c>
      <c r="D771" s="10">
        <v>16</v>
      </c>
      <c r="E771" s="10"/>
      <c r="F771" s="10">
        <v>2</v>
      </c>
      <c r="G771" s="90">
        <f>VLOOKUP(D771,$C$20:$F$26,3,0)</f>
        <v>0.85</v>
      </c>
      <c r="H771" s="90"/>
      <c r="I771" s="10"/>
      <c r="J771" s="10"/>
      <c r="K771" s="10"/>
      <c r="L771" s="10"/>
      <c r="M771" s="10"/>
      <c r="N771" s="10"/>
      <c r="O771" s="10">
        <f>(1.9+1*(G771+(12*D771/1000))*D767)</f>
        <v>2.9420000000000002</v>
      </c>
      <c r="P771" s="10">
        <f t="shared" si="288"/>
        <v>5.8840000000000003</v>
      </c>
      <c r="Q771" s="10">
        <f t="shared" si="289"/>
        <v>0</v>
      </c>
      <c r="R771" s="10">
        <f t="shared" si="289"/>
        <v>0</v>
      </c>
      <c r="S771" s="10">
        <f t="shared" si="289"/>
        <v>0</v>
      </c>
      <c r="T771" s="10">
        <f t="shared" si="289"/>
        <v>9.2906678857142868</v>
      </c>
      <c r="U771" s="10">
        <f t="shared" si="289"/>
        <v>0</v>
      </c>
      <c r="V771" s="10">
        <f t="shared" si="289"/>
        <v>0</v>
      </c>
      <c r="W771" s="10">
        <f t="shared" si="289"/>
        <v>0</v>
      </c>
      <c r="X771" s="10">
        <f t="shared" si="290"/>
        <v>9.2906678857142868</v>
      </c>
      <c r="Y771" s="10"/>
      <c r="Z771" s="10"/>
      <c r="AA771" s="10"/>
      <c r="AB771" s="10"/>
      <c r="AC771" s="10"/>
      <c r="AD771" s="10"/>
      <c r="AE771" s="10"/>
    </row>
    <row r="772" spans="1:32" s="3" customFormat="1" ht="20.100000000000001" customHeight="1" x14ac:dyDescent="0.2">
      <c r="A772" s="87"/>
      <c r="B772" s="10" t="s">
        <v>67</v>
      </c>
      <c r="C772" s="93" t="s">
        <v>73</v>
      </c>
      <c r="D772" s="10">
        <v>10</v>
      </c>
      <c r="E772" s="10">
        <v>0.1</v>
      </c>
      <c r="F772" s="10">
        <f>ROUND(IF(E767/3&gt;(2*G767),(E767/3)/E772,(2*G767)/E772),0)*2+1</f>
        <v>49</v>
      </c>
      <c r="H772" s="10"/>
      <c r="I772" s="10"/>
      <c r="J772" s="10"/>
      <c r="K772" s="10"/>
      <c r="L772" s="10"/>
      <c r="M772" s="10"/>
      <c r="N772" s="10"/>
      <c r="O772" s="10">
        <f>(2*((G767-(2*$D$11))+(F767-(2*$D$11)))+(2*10*D772/1000))*D767</f>
        <v>2.3600000000000003</v>
      </c>
      <c r="P772" s="10">
        <f t="shared" si="288"/>
        <v>115.64000000000001</v>
      </c>
      <c r="Q772" s="10">
        <f t="shared" si="289"/>
        <v>0</v>
      </c>
      <c r="R772" s="10">
        <f t="shared" si="289"/>
        <v>71.325100000000006</v>
      </c>
      <c r="S772" s="10">
        <f t="shared" si="289"/>
        <v>0</v>
      </c>
      <c r="T772" s="10">
        <f t="shared" si="289"/>
        <v>0</v>
      </c>
      <c r="U772" s="10">
        <f t="shared" si="289"/>
        <v>0</v>
      </c>
      <c r="V772" s="10">
        <f t="shared" si="289"/>
        <v>0</v>
      </c>
      <c r="W772" s="10">
        <f t="shared" si="289"/>
        <v>0</v>
      </c>
      <c r="X772" s="10">
        <f t="shared" si="290"/>
        <v>71.325100000000006</v>
      </c>
      <c r="Y772" s="10"/>
      <c r="Z772" s="10"/>
      <c r="AA772" s="10"/>
      <c r="AB772" s="10"/>
      <c r="AC772" s="10"/>
      <c r="AD772" s="10"/>
      <c r="AE772" s="10"/>
    </row>
    <row r="773" spans="1:32" s="2" customFormat="1" ht="20.100000000000001" customHeight="1" x14ac:dyDescent="0.2">
      <c r="B773" s="10" t="s">
        <v>67</v>
      </c>
      <c r="C773" s="93" t="s">
        <v>73</v>
      </c>
      <c r="D773" s="2">
        <f>D772</f>
        <v>10</v>
      </c>
      <c r="E773" s="2">
        <v>0.15</v>
      </c>
      <c r="F773" s="2">
        <f>ROUND((E767-(IF(E767/3&gt;2*G767,E767/3*2,G767*2*2)))/E773,0)</f>
        <v>16</v>
      </c>
      <c r="G773" s="3"/>
      <c r="O773" s="10">
        <f>(2*((G767-(2*$D$11))+(F767-(2*$D$11)))+(2*10*D773/1000))*D767</f>
        <v>2.3600000000000003</v>
      </c>
      <c r="P773" s="10">
        <f t="shared" si="288"/>
        <v>37.760000000000005</v>
      </c>
      <c r="Q773" s="10">
        <f t="shared" si="289"/>
        <v>0</v>
      </c>
      <c r="R773" s="10">
        <f t="shared" si="289"/>
        <v>23.289828571428576</v>
      </c>
      <c r="S773" s="10">
        <f t="shared" si="289"/>
        <v>0</v>
      </c>
      <c r="T773" s="10">
        <f t="shared" si="289"/>
        <v>0</v>
      </c>
      <c r="U773" s="10">
        <f t="shared" si="289"/>
        <v>0</v>
      </c>
      <c r="V773" s="10">
        <f t="shared" si="289"/>
        <v>0</v>
      </c>
      <c r="W773" s="10">
        <f t="shared" si="289"/>
        <v>0</v>
      </c>
      <c r="X773" s="10">
        <f t="shared" si="290"/>
        <v>23.289828571428576</v>
      </c>
    </row>
    <row r="774" spans="1:32" s="2" customFormat="1" ht="20.100000000000001" customHeight="1" x14ac:dyDescent="0.2">
      <c r="B774" s="10" t="s">
        <v>67</v>
      </c>
      <c r="C774" s="93" t="s">
        <v>74</v>
      </c>
      <c r="D774" s="2">
        <f>D772</f>
        <v>10</v>
      </c>
      <c r="E774" s="2">
        <f>+E772</f>
        <v>0.1</v>
      </c>
      <c r="F774" s="10">
        <f>ROUND(IF(E767/3&gt;(2*G767),(E767/3)/E774,(2*G767)/E774),0)*2+1</f>
        <v>49</v>
      </c>
      <c r="G774" s="3"/>
      <c r="O774" s="10">
        <f>((((G767-(2*$D$11))+(2*10*D774/1000))*D767))*2</f>
        <v>1.48</v>
      </c>
      <c r="P774" s="10">
        <f t="shared" si="288"/>
        <v>72.52</v>
      </c>
      <c r="Q774" s="10">
        <f t="shared" si="289"/>
        <v>0</v>
      </c>
      <c r="R774" s="10">
        <f t="shared" si="289"/>
        <v>44.729299999999995</v>
      </c>
      <c r="S774" s="10">
        <f t="shared" si="289"/>
        <v>0</v>
      </c>
      <c r="T774" s="10">
        <f t="shared" si="289"/>
        <v>0</v>
      </c>
      <c r="U774" s="10">
        <f t="shared" si="289"/>
        <v>0</v>
      </c>
      <c r="V774" s="10">
        <f t="shared" si="289"/>
        <v>0</v>
      </c>
      <c r="W774" s="10">
        <f t="shared" si="289"/>
        <v>0</v>
      </c>
      <c r="X774" s="10">
        <f t="shared" si="290"/>
        <v>44.729299999999995</v>
      </c>
    </row>
    <row r="775" spans="1:32" s="2" customFormat="1" ht="20.100000000000001" customHeight="1" x14ac:dyDescent="0.2">
      <c r="B775" s="10" t="s">
        <v>67</v>
      </c>
      <c r="C775" s="93" t="s">
        <v>74</v>
      </c>
      <c r="D775" s="2">
        <f>D773</f>
        <v>10</v>
      </c>
      <c r="E775" s="2">
        <f>+E773</f>
        <v>0.15</v>
      </c>
      <c r="F775" s="2">
        <f>ROUND((E767-(IF(E767/3&gt;2*G767,E767/3*2,G767*2*2)))/E775,0)</f>
        <v>16</v>
      </c>
      <c r="G775" s="3"/>
      <c r="O775" s="10">
        <f>((((G767-(2*$D$11))+(2*10*D775/1000))*D767))*2</f>
        <v>1.48</v>
      </c>
      <c r="P775" s="10">
        <f t="shared" si="288"/>
        <v>23.68</v>
      </c>
      <c r="Q775" s="10">
        <f t="shared" si="289"/>
        <v>0</v>
      </c>
      <c r="R775" s="10">
        <f t="shared" si="289"/>
        <v>14.605485714285713</v>
      </c>
      <c r="S775" s="10">
        <f t="shared" si="289"/>
        <v>0</v>
      </c>
      <c r="T775" s="10">
        <f t="shared" si="289"/>
        <v>0</v>
      </c>
      <c r="U775" s="10">
        <f t="shared" si="289"/>
        <v>0</v>
      </c>
      <c r="V775" s="10">
        <f t="shared" si="289"/>
        <v>0</v>
      </c>
      <c r="W775" s="10">
        <f t="shared" si="289"/>
        <v>0</v>
      </c>
      <c r="X775" s="10">
        <f t="shared" si="290"/>
        <v>14.605485714285713</v>
      </c>
    </row>
    <row r="776" spans="1:32" s="3" customFormat="1" ht="20.100000000000001" customHeight="1" x14ac:dyDescent="0.2">
      <c r="A776" s="87"/>
      <c r="B776" s="10" t="s">
        <v>67</v>
      </c>
      <c r="C776" s="93" t="s">
        <v>75</v>
      </c>
      <c r="D776" s="10">
        <f>+$D$15</f>
        <v>25</v>
      </c>
      <c r="E776" s="10">
        <f>+$E$15</f>
        <v>1</v>
      </c>
      <c r="F776" s="10">
        <f>ROUNDUP((1.9+1.9)/E776,0)</f>
        <v>4</v>
      </c>
      <c r="G776" s="90"/>
      <c r="H776" s="90"/>
      <c r="I776" s="10"/>
      <c r="J776" s="10"/>
      <c r="K776" s="10"/>
      <c r="L776" s="10"/>
      <c r="M776" s="10"/>
      <c r="N776" s="10"/>
      <c r="O776" s="10">
        <f>F767-$F$15</f>
        <v>0.54</v>
      </c>
      <c r="P776" s="10">
        <f t="shared" si="288"/>
        <v>2.16</v>
      </c>
      <c r="Q776" s="10">
        <f t="shared" si="289"/>
        <v>0</v>
      </c>
      <c r="R776" s="10">
        <f t="shared" si="289"/>
        <v>0</v>
      </c>
      <c r="S776" s="10">
        <f t="shared" si="289"/>
        <v>0</v>
      </c>
      <c r="T776" s="10">
        <f t="shared" si="289"/>
        <v>0</v>
      </c>
      <c r="U776" s="10">
        <f t="shared" si="289"/>
        <v>0</v>
      </c>
      <c r="V776" s="10">
        <f t="shared" si="289"/>
        <v>8.326607142857144</v>
      </c>
      <c r="W776" s="10">
        <f t="shared" si="289"/>
        <v>0</v>
      </c>
      <c r="X776" s="10">
        <f t="shared" si="290"/>
        <v>8.326607142857144</v>
      </c>
      <c r="Y776" s="10"/>
      <c r="Z776" s="10"/>
      <c r="AA776" s="10"/>
      <c r="AB776" s="10"/>
      <c r="AC776" s="10"/>
      <c r="AD776" s="10"/>
      <c r="AE776" s="10"/>
    </row>
    <row r="777" spans="1:32" s="3" customFormat="1" ht="21" customHeight="1" x14ac:dyDescent="0.2">
      <c r="A777" s="10">
        <v>1</v>
      </c>
      <c r="B777" s="10" t="s">
        <v>67</v>
      </c>
      <c r="C777" s="91" t="s">
        <v>178</v>
      </c>
      <c r="D777" s="91">
        <v>1</v>
      </c>
      <c r="E777" s="91">
        <v>1.4</v>
      </c>
      <c r="F777" s="91">
        <v>0.4</v>
      </c>
      <c r="G777" s="91">
        <v>1.1000000000000001</v>
      </c>
      <c r="H777" s="10">
        <f>G777-0.2</f>
        <v>0.90000000000000013</v>
      </c>
      <c r="I777" s="10">
        <f>E777*F777*G777*D777</f>
        <v>0.61599999999999999</v>
      </c>
      <c r="J777" s="10">
        <f>(2*(E777)*H777*D777)+(E777*F777)</f>
        <v>3.08</v>
      </c>
      <c r="K777" s="92">
        <f>IF(E777=0.3,J777,0)</f>
        <v>0</v>
      </c>
      <c r="L777" s="92">
        <f>IF(AND(E777&gt;0.3,E777&lt;=0.75),J777,0)</f>
        <v>0</v>
      </c>
      <c r="M777" s="92">
        <f>IF(AND(E777&gt;0.75,E777&lt;=1.2),J777,0)</f>
        <v>0</v>
      </c>
      <c r="N777" s="92">
        <f>IF(E777&gt;1.2,J777,0)</f>
        <v>3.08</v>
      </c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>
        <f>SUM(X778:X781)/I777</f>
        <v>332.51318367346948</v>
      </c>
      <c r="Z777" s="10"/>
      <c r="AA777" s="10"/>
      <c r="AB777" s="10"/>
      <c r="AC777" s="10"/>
      <c r="AD777" s="10"/>
      <c r="AE777" s="10"/>
      <c r="AF777" s="10"/>
    </row>
    <row r="778" spans="1:32" s="3" customFormat="1" ht="20.100000000000001" customHeight="1" x14ac:dyDescent="0.2">
      <c r="A778" s="87"/>
      <c r="B778" s="10" t="s">
        <v>67</v>
      </c>
      <c r="C778" s="93" t="s">
        <v>69</v>
      </c>
      <c r="D778" s="10">
        <v>25</v>
      </c>
      <c r="E778" s="10"/>
      <c r="F778" s="10">
        <v>4</v>
      </c>
      <c r="G778" s="90">
        <f>VLOOKUP(D778,$C$20:$F$26,3,0)</f>
        <v>1.35</v>
      </c>
      <c r="H778" s="90"/>
      <c r="I778" s="10"/>
      <c r="J778" s="10"/>
      <c r="K778" s="10"/>
      <c r="L778" s="10"/>
      <c r="M778" s="10"/>
      <c r="N778" s="10"/>
      <c r="O778" s="10">
        <f>(E777+1*(G778+(12*D778/1000))+G778*D777)</f>
        <v>4.4000000000000004</v>
      </c>
      <c r="P778" s="10">
        <f t="shared" ref="P778:P779" si="291">O778*F778</f>
        <v>17.600000000000001</v>
      </c>
      <c r="Q778" s="10">
        <f t="shared" ref="Q778:W793" si="292">IF($D778=Q$44,$P778*Q$45,0)</f>
        <v>0</v>
      </c>
      <c r="R778" s="10">
        <f t="shared" si="292"/>
        <v>0</v>
      </c>
      <c r="S778" s="10">
        <f t="shared" si="292"/>
        <v>0</v>
      </c>
      <c r="T778" s="10">
        <f t="shared" si="292"/>
        <v>0</v>
      </c>
      <c r="U778" s="10">
        <f t="shared" si="292"/>
        <v>0</v>
      </c>
      <c r="V778" s="10">
        <f t="shared" si="292"/>
        <v>67.846428571428589</v>
      </c>
      <c r="W778" s="10">
        <f t="shared" si="292"/>
        <v>0</v>
      </c>
      <c r="X778" s="10">
        <f t="shared" ref="X778:X781" si="293">SUM(Q778:W778)</f>
        <v>67.846428571428589</v>
      </c>
      <c r="Y778" s="10"/>
      <c r="Z778" s="10"/>
      <c r="AA778" s="10"/>
      <c r="AB778" s="10"/>
      <c r="AC778" s="10"/>
      <c r="AD778" s="10"/>
      <c r="AE778" s="10"/>
    </row>
    <row r="779" spans="1:32" s="3" customFormat="1" ht="20.100000000000001" customHeight="1" x14ac:dyDescent="0.2">
      <c r="A779" s="87"/>
      <c r="B779" s="10" t="s">
        <v>67</v>
      </c>
      <c r="C779" s="93" t="s">
        <v>158</v>
      </c>
      <c r="D779" s="10">
        <v>25</v>
      </c>
      <c r="E779" s="10"/>
      <c r="F779" s="10">
        <v>4</v>
      </c>
      <c r="G779" s="90">
        <f>VLOOKUP(D779,$C$20:$F$26,3,0)</f>
        <v>1.35</v>
      </c>
      <c r="H779" s="90"/>
      <c r="I779" s="10"/>
      <c r="J779" s="10"/>
      <c r="K779" s="10"/>
      <c r="L779" s="10"/>
      <c r="M779" s="10"/>
      <c r="N779" s="10"/>
      <c r="O779" s="10">
        <f>(E777+1*(G779+(12*D779/1000))+G779*D777)</f>
        <v>4.4000000000000004</v>
      </c>
      <c r="P779" s="10">
        <f t="shared" si="291"/>
        <v>17.600000000000001</v>
      </c>
      <c r="Q779" s="10">
        <f t="shared" si="292"/>
        <v>0</v>
      </c>
      <c r="R779" s="10">
        <f t="shared" si="292"/>
        <v>0</v>
      </c>
      <c r="S779" s="10">
        <f t="shared" si="292"/>
        <v>0</v>
      </c>
      <c r="T779" s="10">
        <f t="shared" si="292"/>
        <v>0</v>
      </c>
      <c r="U779" s="10">
        <f t="shared" si="292"/>
        <v>0</v>
      </c>
      <c r="V779" s="10">
        <f t="shared" si="292"/>
        <v>67.846428571428589</v>
      </c>
      <c r="W779" s="10">
        <f t="shared" si="292"/>
        <v>0</v>
      </c>
      <c r="X779" s="10">
        <f t="shared" si="293"/>
        <v>67.846428571428589</v>
      </c>
      <c r="Y779" s="10"/>
      <c r="Z779" s="10"/>
      <c r="AA779" s="10"/>
      <c r="AB779" s="10"/>
      <c r="AC779" s="10"/>
      <c r="AD779" s="10"/>
      <c r="AE779" s="10"/>
    </row>
    <row r="780" spans="1:32" s="3" customFormat="1" ht="19.5" customHeight="1" x14ac:dyDescent="0.2">
      <c r="A780" s="87"/>
      <c r="B780" s="10" t="s">
        <v>67</v>
      </c>
      <c r="C780" s="93" t="s">
        <v>73</v>
      </c>
      <c r="D780" s="10">
        <v>12</v>
      </c>
      <c r="E780" s="10">
        <v>0.1</v>
      </c>
      <c r="F780" s="10">
        <f>ROUNDUP(E777/E780,0)</f>
        <v>14</v>
      </c>
      <c r="H780" s="10"/>
      <c r="I780" s="10"/>
      <c r="J780" s="10"/>
      <c r="K780" s="10"/>
      <c r="L780" s="10"/>
      <c r="M780" s="10"/>
      <c r="N780" s="10"/>
      <c r="O780" s="10">
        <f>(2*((G777-(2*$D$11))+(F777-(2*$D$11)))+(2*10*D780/1000))*D777</f>
        <v>3</v>
      </c>
      <c r="P780" s="10">
        <f>O780*F780</f>
        <v>42</v>
      </c>
      <c r="Q780" s="10">
        <f t="shared" si="292"/>
        <v>0</v>
      </c>
      <c r="R780" s="10">
        <f t="shared" si="292"/>
        <v>0</v>
      </c>
      <c r="S780" s="10">
        <f t="shared" si="292"/>
        <v>37.303200000000004</v>
      </c>
      <c r="T780" s="10">
        <f t="shared" si="292"/>
        <v>0</v>
      </c>
      <c r="U780" s="10">
        <f t="shared" si="292"/>
        <v>0</v>
      </c>
      <c r="V780" s="10">
        <f t="shared" si="292"/>
        <v>0</v>
      </c>
      <c r="W780" s="10">
        <f t="shared" si="292"/>
        <v>0</v>
      </c>
      <c r="X780" s="10">
        <f t="shared" si="293"/>
        <v>37.303200000000004</v>
      </c>
      <c r="Y780" s="10"/>
      <c r="Z780" s="10"/>
      <c r="AA780" s="10"/>
      <c r="AB780" s="10"/>
      <c r="AC780" s="10"/>
      <c r="AD780" s="10"/>
      <c r="AE780" s="10"/>
    </row>
    <row r="781" spans="1:32" s="2" customFormat="1" ht="20.100000000000001" customHeight="1" x14ac:dyDescent="0.2">
      <c r="B781" s="10" t="s">
        <v>67</v>
      </c>
      <c r="C781" s="93" t="s">
        <v>74</v>
      </c>
      <c r="D781" s="10">
        <f>+D780</f>
        <v>12</v>
      </c>
      <c r="E781" s="2">
        <f>+E780</f>
        <v>0.1</v>
      </c>
      <c r="F781" s="10">
        <f>ROUNDUP(E777/E781,0)</f>
        <v>14</v>
      </c>
      <c r="G781" s="3"/>
      <c r="O781" s="10">
        <f>((((G777-(2*$D$11))+(2*10*D781/1000))*D777))*2</f>
        <v>2.56</v>
      </c>
      <c r="P781" s="10">
        <f>O781*F781</f>
        <v>35.840000000000003</v>
      </c>
      <c r="Q781" s="10">
        <f t="shared" si="292"/>
        <v>0</v>
      </c>
      <c r="R781" s="10">
        <f t="shared" si="292"/>
        <v>0</v>
      </c>
      <c r="S781" s="10">
        <f t="shared" si="292"/>
        <v>31.83206400000001</v>
      </c>
      <c r="T781" s="10">
        <f t="shared" si="292"/>
        <v>0</v>
      </c>
      <c r="U781" s="10">
        <f t="shared" si="292"/>
        <v>0</v>
      </c>
      <c r="V781" s="10">
        <f t="shared" si="292"/>
        <v>0</v>
      </c>
      <c r="W781" s="10">
        <f t="shared" si="292"/>
        <v>0</v>
      </c>
      <c r="X781" s="10">
        <f t="shared" si="293"/>
        <v>31.83206400000001</v>
      </c>
    </row>
    <row r="782" spans="1:32" s="3" customFormat="1" ht="21" customHeight="1" x14ac:dyDescent="0.2">
      <c r="A782" s="10">
        <v>1</v>
      </c>
      <c r="B782" s="10" t="s">
        <v>67</v>
      </c>
      <c r="C782" s="91" t="s">
        <v>179</v>
      </c>
      <c r="D782" s="91">
        <v>1</v>
      </c>
      <c r="E782" s="91">
        <v>2.4</v>
      </c>
      <c r="F782" s="91">
        <v>0.4</v>
      </c>
      <c r="G782" s="91">
        <v>0.6</v>
      </c>
      <c r="H782" s="10">
        <f>G782-0.2</f>
        <v>0.39999999999999997</v>
      </c>
      <c r="I782" s="10">
        <f>E782*F782*G782*D782</f>
        <v>0.57599999999999996</v>
      </c>
      <c r="J782" s="10">
        <f>(2*(E782)*H782*D782)+(E782*F782)</f>
        <v>2.88</v>
      </c>
      <c r="K782" s="92">
        <f>IF(E782=0.3,J782,0)</f>
        <v>0</v>
      </c>
      <c r="L782" s="92">
        <f>IF(AND(E782&gt;0.3,E782&lt;=0.75),J782,0)</f>
        <v>0</v>
      </c>
      <c r="M782" s="92">
        <f>IF(AND(E782&gt;0.75,E782&lt;=1.2),J782,0)</f>
        <v>0</v>
      </c>
      <c r="N782" s="92">
        <f>IF(E782&gt;1.2,J782,0)</f>
        <v>2.88</v>
      </c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>
        <f>SUM(X783:X785)/I782</f>
        <v>129.91426031746036</v>
      </c>
      <c r="Z782" s="10"/>
      <c r="AA782" s="10"/>
      <c r="AB782" s="10"/>
      <c r="AC782" s="10"/>
      <c r="AD782" s="10"/>
      <c r="AE782" s="10"/>
      <c r="AF782" s="10"/>
    </row>
    <row r="783" spans="1:32" s="3" customFormat="1" ht="20.100000000000001" customHeight="1" x14ac:dyDescent="0.2">
      <c r="A783" s="87"/>
      <c r="B783" s="10" t="s">
        <v>67</v>
      </c>
      <c r="C783" s="93" t="s">
        <v>69</v>
      </c>
      <c r="D783" s="10">
        <v>16</v>
      </c>
      <c r="E783" s="10"/>
      <c r="F783" s="10">
        <v>4</v>
      </c>
      <c r="G783" s="90">
        <f>VLOOKUP(D783,$C$20:$F$26,3,0)</f>
        <v>0.85</v>
      </c>
      <c r="H783" s="90"/>
      <c r="I783" s="10"/>
      <c r="J783" s="10"/>
      <c r="K783" s="10"/>
      <c r="L783" s="10"/>
      <c r="M783" s="10"/>
      <c r="N783" s="10"/>
      <c r="O783" s="10">
        <f>(E782+2*(G783+(12*D783/1000))*D782)</f>
        <v>4.484</v>
      </c>
      <c r="P783" s="10">
        <f t="shared" ref="P783:P784" si="294">O783*F783</f>
        <v>17.936</v>
      </c>
      <c r="Q783" s="10">
        <f t="shared" si="292"/>
        <v>0</v>
      </c>
      <c r="R783" s="10">
        <f t="shared" si="292"/>
        <v>0</v>
      </c>
      <c r="S783" s="10">
        <f t="shared" si="292"/>
        <v>0</v>
      </c>
      <c r="T783" s="10">
        <f t="shared" si="292"/>
        <v>28.320431542857143</v>
      </c>
      <c r="U783" s="10">
        <f t="shared" si="292"/>
        <v>0</v>
      </c>
      <c r="V783" s="10">
        <f t="shared" si="292"/>
        <v>0</v>
      </c>
      <c r="W783" s="10">
        <f t="shared" si="292"/>
        <v>0</v>
      </c>
      <c r="X783" s="10">
        <f t="shared" ref="X783:X785" si="295">SUM(Q783:W783)</f>
        <v>28.320431542857143</v>
      </c>
      <c r="Y783" s="10"/>
      <c r="Z783" s="10"/>
      <c r="AA783" s="10"/>
      <c r="AB783" s="10"/>
      <c r="AC783" s="10"/>
      <c r="AD783" s="10"/>
      <c r="AE783" s="10"/>
    </row>
    <row r="784" spans="1:32" s="3" customFormat="1" ht="20.100000000000001" customHeight="1" x14ac:dyDescent="0.2">
      <c r="A784" s="87"/>
      <c r="B784" s="10" t="s">
        <v>67</v>
      </c>
      <c r="C784" s="93" t="s">
        <v>158</v>
      </c>
      <c r="D784" s="10">
        <v>16</v>
      </c>
      <c r="E784" s="10"/>
      <c r="F784" s="10">
        <v>4</v>
      </c>
      <c r="G784" s="90">
        <f>VLOOKUP(D784,$C$20:$F$26,3,0)</f>
        <v>0.85</v>
      </c>
      <c r="H784" s="90"/>
      <c r="I784" s="10"/>
      <c r="J784" s="10"/>
      <c r="K784" s="10"/>
      <c r="L784" s="10"/>
      <c r="M784" s="10"/>
      <c r="N784" s="10"/>
      <c r="O784" s="10">
        <f>(E782+2*(G784+(12*D784/1000))*D782)</f>
        <v>4.484</v>
      </c>
      <c r="P784" s="10">
        <f t="shared" si="294"/>
        <v>17.936</v>
      </c>
      <c r="Q784" s="10">
        <f t="shared" si="292"/>
        <v>0</v>
      </c>
      <c r="R784" s="10">
        <f t="shared" si="292"/>
        <v>0</v>
      </c>
      <c r="S784" s="10">
        <f t="shared" si="292"/>
        <v>0</v>
      </c>
      <c r="T784" s="10">
        <f t="shared" si="292"/>
        <v>28.320431542857143</v>
      </c>
      <c r="U784" s="10">
        <f t="shared" si="292"/>
        <v>0</v>
      </c>
      <c r="V784" s="10">
        <f t="shared" si="292"/>
        <v>0</v>
      </c>
      <c r="W784" s="10">
        <f t="shared" si="292"/>
        <v>0</v>
      </c>
      <c r="X784" s="10">
        <f t="shared" si="295"/>
        <v>28.320431542857143</v>
      </c>
      <c r="Y784" s="10"/>
      <c r="Z784" s="10"/>
      <c r="AA784" s="10"/>
      <c r="AB784" s="10"/>
      <c r="AC784" s="10"/>
      <c r="AD784" s="10"/>
      <c r="AE784" s="10"/>
    </row>
    <row r="785" spans="1:32" s="3" customFormat="1" ht="19.5" customHeight="1" x14ac:dyDescent="0.2">
      <c r="A785" s="87"/>
      <c r="B785" s="10" t="s">
        <v>67</v>
      </c>
      <c r="C785" s="93" t="s">
        <v>73</v>
      </c>
      <c r="D785" s="10">
        <v>8</v>
      </c>
      <c r="E785" s="10">
        <v>0.1</v>
      </c>
      <c r="F785" s="10">
        <f>ROUNDUP(E782/E785,0)</f>
        <v>24</v>
      </c>
      <c r="H785" s="10"/>
      <c r="I785" s="10"/>
      <c r="J785" s="10"/>
      <c r="K785" s="10"/>
      <c r="L785" s="10"/>
      <c r="M785" s="10"/>
      <c r="N785" s="10"/>
      <c r="O785" s="10">
        <f>(2*((G782-(2*$D$11))+(F782-(2*$D$11)))+(2*10*D785/1000))*D782</f>
        <v>1.9200000000000002</v>
      </c>
      <c r="P785" s="10">
        <f>O785*F785</f>
        <v>46.080000000000005</v>
      </c>
      <c r="Q785" s="10">
        <f t="shared" si="292"/>
        <v>18.189750857142862</v>
      </c>
      <c r="R785" s="10">
        <f t="shared" si="292"/>
        <v>0</v>
      </c>
      <c r="S785" s="10">
        <f t="shared" si="292"/>
        <v>0</v>
      </c>
      <c r="T785" s="10">
        <f t="shared" si="292"/>
        <v>0</v>
      </c>
      <c r="U785" s="10">
        <f t="shared" si="292"/>
        <v>0</v>
      </c>
      <c r="V785" s="10">
        <f t="shared" si="292"/>
        <v>0</v>
      </c>
      <c r="W785" s="10">
        <f t="shared" si="292"/>
        <v>0</v>
      </c>
      <c r="X785" s="10">
        <f t="shared" si="295"/>
        <v>18.189750857142862</v>
      </c>
      <c r="Y785" s="10"/>
      <c r="Z785" s="10"/>
      <c r="AA785" s="10"/>
      <c r="AB785" s="10"/>
      <c r="AC785" s="10"/>
      <c r="AD785" s="10"/>
      <c r="AE785" s="10"/>
    </row>
    <row r="786" spans="1:32" s="3" customFormat="1" ht="21" customHeight="1" x14ac:dyDescent="0.2">
      <c r="A786" s="10">
        <v>1</v>
      </c>
      <c r="B786" s="10" t="s">
        <v>67</v>
      </c>
      <c r="C786" s="91" t="s">
        <v>180</v>
      </c>
      <c r="D786" s="91">
        <v>1</v>
      </c>
      <c r="E786" s="91">
        <v>1.35</v>
      </c>
      <c r="F786" s="91">
        <v>0.3</v>
      </c>
      <c r="G786" s="91">
        <v>1.1000000000000001</v>
      </c>
      <c r="H786" s="10">
        <f>G786-0.2</f>
        <v>0.90000000000000013</v>
      </c>
      <c r="I786" s="10">
        <f>E786*F786*G786*D786</f>
        <v>0.44550000000000006</v>
      </c>
      <c r="J786" s="10">
        <f>(2*(E786)*H786*D786)+(E786*F786)</f>
        <v>2.8350000000000009</v>
      </c>
      <c r="K786" s="92">
        <f>IF(E786=0.3,J786,0)</f>
        <v>0</v>
      </c>
      <c r="L786" s="92">
        <f>IF(AND(E786&gt;0.3,E786&lt;=0.75),J786,0)</f>
        <v>0</v>
      </c>
      <c r="M786" s="92">
        <f>IF(AND(E786&gt;0.75,E786&lt;=1.2),J786,0)</f>
        <v>0</v>
      </c>
      <c r="N786" s="92">
        <f>IF(E786&gt;1.2,J786,0)</f>
        <v>2.8350000000000009</v>
      </c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>
        <f>SUM(X787:X791)/I786</f>
        <v>256.19104938271602</v>
      </c>
      <c r="Z786" s="10"/>
      <c r="AA786" s="10"/>
      <c r="AB786" s="10"/>
      <c r="AC786" s="10"/>
      <c r="AD786" s="10"/>
      <c r="AE786" s="10"/>
      <c r="AF786" s="10"/>
    </row>
    <row r="787" spans="1:32" s="3" customFormat="1" ht="20.100000000000001" customHeight="1" x14ac:dyDescent="0.2">
      <c r="A787" s="87"/>
      <c r="B787" s="10" t="s">
        <v>67</v>
      </c>
      <c r="C787" s="93" t="s">
        <v>69</v>
      </c>
      <c r="D787" s="10">
        <v>20</v>
      </c>
      <c r="E787" s="10"/>
      <c r="F787" s="10">
        <v>3</v>
      </c>
      <c r="G787" s="90">
        <f>VLOOKUP(D787,$C$20:$F$26,3,0)</f>
        <v>1.05</v>
      </c>
      <c r="H787" s="90"/>
      <c r="I787" s="10"/>
      <c r="J787" s="10"/>
      <c r="K787" s="10"/>
      <c r="L787" s="10"/>
      <c r="M787" s="10"/>
      <c r="N787" s="10"/>
      <c r="O787" s="10">
        <f>(E786+1*(G787+(12*D787/1000))+G787*D786)</f>
        <v>3.6900000000000004</v>
      </c>
      <c r="P787" s="10">
        <f t="shared" ref="P787:P789" si="296">O787*F787</f>
        <v>11.07</v>
      </c>
      <c r="Q787" s="10">
        <f t="shared" si="292"/>
        <v>0</v>
      </c>
      <c r="R787" s="10">
        <f t="shared" si="292"/>
        <v>0</v>
      </c>
      <c r="S787" s="10">
        <f t="shared" si="292"/>
        <v>0</v>
      </c>
      <c r="T787" s="10">
        <f t="shared" si="292"/>
        <v>0</v>
      </c>
      <c r="U787" s="10">
        <f t="shared" si="292"/>
        <v>27.311271428571427</v>
      </c>
      <c r="V787" s="10">
        <f t="shared" si="292"/>
        <v>0</v>
      </c>
      <c r="W787" s="10">
        <f t="shared" si="292"/>
        <v>0</v>
      </c>
      <c r="X787" s="10">
        <f t="shared" ref="X787:X791" si="297">SUM(Q787:W787)</f>
        <v>27.311271428571427</v>
      </c>
      <c r="Y787" s="10"/>
      <c r="Z787" s="10"/>
      <c r="AA787" s="10"/>
      <c r="AB787" s="10"/>
      <c r="AC787" s="10"/>
      <c r="AD787" s="10"/>
      <c r="AE787" s="10"/>
    </row>
    <row r="788" spans="1:32" s="3" customFormat="1" ht="20.100000000000001" customHeight="1" x14ac:dyDescent="0.2">
      <c r="A788" s="87"/>
      <c r="B788" s="10" t="s">
        <v>67</v>
      </c>
      <c r="C788" s="93" t="s">
        <v>158</v>
      </c>
      <c r="D788" s="10">
        <v>20</v>
      </c>
      <c r="E788" s="10"/>
      <c r="F788" s="10">
        <v>3</v>
      </c>
      <c r="G788" s="90">
        <f>VLOOKUP(D788,$C$20:$F$26,3,0)</f>
        <v>1.05</v>
      </c>
      <c r="H788" s="90"/>
      <c r="I788" s="10"/>
      <c r="J788" s="10"/>
      <c r="K788" s="10"/>
      <c r="L788" s="10"/>
      <c r="M788" s="10"/>
      <c r="N788" s="10"/>
      <c r="O788" s="10">
        <f>(E786+1*(G788+(12*D788/1000))+G788*D786)</f>
        <v>3.6900000000000004</v>
      </c>
      <c r="P788" s="10">
        <f t="shared" si="296"/>
        <v>11.07</v>
      </c>
      <c r="Q788" s="10">
        <f t="shared" si="292"/>
        <v>0</v>
      </c>
      <c r="R788" s="10">
        <f t="shared" si="292"/>
        <v>0</v>
      </c>
      <c r="S788" s="10">
        <f t="shared" si="292"/>
        <v>0</v>
      </c>
      <c r="T788" s="10">
        <f t="shared" si="292"/>
        <v>0</v>
      </c>
      <c r="U788" s="10">
        <f t="shared" si="292"/>
        <v>27.311271428571427</v>
      </c>
      <c r="V788" s="10">
        <f t="shared" si="292"/>
        <v>0</v>
      </c>
      <c r="W788" s="10">
        <f t="shared" si="292"/>
        <v>0</v>
      </c>
      <c r="X788" s="10">
        <f t="shared" si="297"/>
        <v>27.311271428571427</v>
      </c>
      <c r="Y788" s="10"/>
      <c r="Z788" s="10"/>
      <c r="AA788" s="10"/>
      <c r="AB788" s="10"/>
      <c r="AC788" s="10"/>
      <c r="AD788" s="10"/>
      <c r="AE788" s="10"/>
    </row>
    <row r="789" spans="1:32" s="3" customFormat="1" ht="20.100000000000001" customHeight="1" x14ac:dyDescent="0.2">
      <c r="A789" s="87"/>
      <c r="B789" s="10" t="s">
        <v>67</v>
      </c>
      <c r="C789" s="93" t="s">
        <v>69</v>
      </c>
      <c r="D789" s="10">
        <v>25</v>
      </c>
      <c r="E789" s="10"/>
      <c r="F789" s="10">
        <v>2</v>
      </c>
      <c r="G789" s="90">
        <f>VLOOKUP(D789,$C$20:$F$26,3,0)</f>
        <v>1.35</v>
      </c>
      <c r="H789" s="90"/>
      <c r="I789" s="10"/>
      <c r="J789" s="10"/>
      <c r="K789" s="10"/>
      <c r="L789" s="10"/>
      <c r="M789" s="10"/>
      <c r="N789" s="10"/>
      <c r="O789" s="10">
        <f>0.8+G787*D786</f>
        <v>1.85</v>
      </c>
      <c r="P789" s="10">
        <f t="shared" si="296"/>
        <v>3.7</v>
      </c>
      <c r="Q789" s="10">
        <f t="shared" si="292"/>
        <v>0</v>
      </c>
      <c r="R789" s="10">
        <f t="shared" si="292"/>
        <v>0</v>
      </c>
      <c r="S789" s="10">
        <f t="shared" si="292"/>
        <v>0</v>
      </c>
      <c r="T789" s="10">
        <f t="shared" si="292"/>
        <v>0</v>
      </c>
      <c r="U789" s="10">
        <f t="shared" si="292"/>
        <v>0</v>
      </c>
      <c r="V789" s="10">
        <f t="shared" si="292"/>
        <v>14.263169642857145</v>
      </c>
      <c r="W789" s="10">
        <f t="shared" si="292"/>
        <v>0</v>
      </c>
      <c r="X789" s="10">
        <f t="shared" si="297"/>
        <v>14.263169642857145</v>
      </c>
      <c r="Y789" s="10"/>
      <c r="Z789" s="10"/>
      <c r="AA789" s="10"/>
      <c r="AB789" s="10"/>
      <c r="AC789" s="10"/>
      <c r="AD789" s="10"/>
      <c r="AE789" s="10"/>
    </row>
    <row r="790" spans="1:32" s="3" customFormat="1" ht="19.5" customHeight="1" x14ac:dyDescent="0.2">
      <c r="A790" s="87"/>
      <c r="B790" s="10" t="s">
        <v>67</v>
      </c>
      <c r="C790" s="93" t="s">
        <v>73</v>
      </c>
      <c r="D790" s="10">
        <v>10</v>
      </c>
      <c r="E790" s="10">
        <v>0.1</v>
      </c>
      <c r="F790" s="10">
        <f>ROUNDUP(E786/E790,0)</f>
        <v>14</v>
      </c>
      <c r="H790" s="10"/>
      <c r="I790" s="10"/>
      <c r="J790" s="10"/>
      <c r="K790" s="10"/>
      <c r="L790" s="10"/>
      <c r="M790" s="10"/>
      <c r="N790" s="10"/>
      <c r="O790" s="10">
        <f>(2*((G786-(2*$D$11))+(F786-(2*$D$11)))+(2*10*D790/1000))*D786</f>
        <v>2.7600000000000002</v>
      </c>
      <c r="P790" s="10">
        <f>O790*F790</f>
        <v>38.64</v>
      </c>
      <c r="Q790" s="10">
        <f t="shared" si="292"/>
        <v>0</v>
      </c>
      <c r="R790" s="10">
        <f t="shared" si="292"/>
        <v>23.832599999999999</v>
      </c>
      <c r="S790" s="10">
        <f t="shared" si="292"/>
        <v>0</v>
      </c>
      <c r="T790" s="10">
        <f t="shared" si="292"/>
        <v>0</v>
      </c>
      <c r="U790" s="10">
        <f t="shared" si="292"/>
        <v>0</v>
      </c>
      <c r="V790" s="10">
        <f t="shared" si="292"/>
        <v>0</v>
      </c>
      <c r="W790" s="10">
        <f t="shared" si="292"/>
        <v>0</v>
      </c>
      <c r="X790" s="10">
        <f t="shared" si="297"/>
        <v>23.832599999999999</v>
      </c>
      <c r="Y790" s="10"/>
      <c r="Z790" s="10"/>
      <c r="AA790" s="10"/>
      <c r="AB790" s="10"/>
      <c r="AC790" s="10"/>
      <c r="AD790" s="10"/>
      <c r="AE790" s="10"/>
    </row>
    <row r="791" spans="1:32" s="2" customFormat="1" ht="20.100000000000001" customHeight="1" x14ac:dyDescent="0.2">
      <c r="B791" s="10" t="s">
        <v>67</v>
      </c>
      <c r="C791" s="93" t="s">
        <v>74</v>
      </c>
      <c r="D791" s="10">
        <f>+D790</f>
        <v>10</v>
      </c>
      <c r="E791" s="2">
        <f>+E790</f>
        <v>0.1</v>
      </c>
      <c r="F791" s="10">
        <f>ROUNDUP(E786/E791,0)</f>
        <v>14</v>
      </c>
      <c r="G791" s="3"/>
      <c r="O791" s="10">
        <f>((((G786-(2*$D$11))+(2*10*D791/1000))*D786))*2</f>
        <v>2.48</v>
      </c>
      <c r="P791" s="10">
        <f>O791*F791</f>
        <v>34.72</v>
      </c>
      <c r="Q791" s="10">
        <f t="shared" si="292"/>
        <v>0</v>
      </c>
      <c r="R791" s="10">
        <f t="shared" si="292"/>
        <v>21.4148</v>
      </c>
      <c r="S791" s="10">
        <f t="shared" si="292"/>
        <v>0</v>
      </c>
      <c r="T791" s="10">
        <f t="shared" si="292"/>
        <v>0</v>
      </c>
      <c r="U791" s="10">
        <f t="shared" si="292"/>
        <v>0</v>
      </c>
      <c r="V791" s="10">
        <f t="shared" si="292"/>
        <v>0</v>
      </c>
      <c r="W791" s="10">
        <f t="shared" si="292"/>
        <v>0</v>
      </c>
      <c r="X791" s="10">
        <f t="shared" si="297"/>
        <v>21.4148</v>
      </c>
    </row>
    <row r="792" spans="1:32" s="3" customFormat="1" ht="21" customHeight="1" x14ac:dyDescent="0.2">
      <c r="A792" s="10">
        <v>1</v>
      </c>
      <c r="B792" s="10" t="s">
        <v>67</v>
      </c>
      <c r="C792" s="91" t="s">
        <v>181</v>
      </c>
      <c r="D792" s="91">
        <v>1</v>
      </c>
      <c r="E792" s="91">
        <v>1.2509999999999999</v>
      </c>
      <c r="F792" s="91">
        <v>0.3</v>
      </c>
      <c r="G792" s="91">
        <v>1.1000000000000001</v>
      </c>
      <c r="H792" s="10">
        <f>G792-0.2</f>
        <v>0.90000000000000013</v>
      </c>
      <c r="I792" s="10">
        <f>E792*F792*G792*D792</f>
        <v>0.41282999999999997</v>
      </c>
      <c r="J792" s="10">
        <f>(2*(E792)*H792*D792)+(E792*F792)</f>
        <v>2.6271000000000004</v>
      </c>
      <c r="K792" s="92">
        <f>IF(E792=0.3,J792,0)</f>
        <v>0</v>
      </c>
      <c r="L792" s="92">
        <f>IF(AND(E792&gt;0.3,E792&lt;=0.75),J792,0)</f>
        <v>0</v>
      </c>
      <c r="M792" s="92">
        <f>IF(AND(E792&gt;0.75,E792&lt;=1.2),J792,0)</f>
        <v>0</v>
      </c>
      <c r="N792" s="92">
        <f>IF(E792&gt;1.2,J792,0)</f>
        <v>2.6271000000000004</v>
      </c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>
        <f>SUM(X793:X796)/I792</f>
        <v>352.28051558752998</v>
      </c>
      <c r="Z792" s="10"/>
      <c r="AA792" s="10"/>
      <c r="AB792" s="10"/>
      <c r="AC792" s="10"/>
      <c r="AD792" s="10"/>
      <c r="AE792" s="10"/>
      <c r="AF792" s="10"/>
    </row>
    <row r="793" spans="1:32" s="3" customFormat="1" ht="20.100000000000001" customHeight="1" x14ac:dyDescent="0.2">
      <c r="A793" s="87"/>
      <c r="B793" s="10" t="s">
        <v>67</v>
      </c>
      <c r="C793" s="93" t="s">
        <v>69</v>
      </c>
      <c r="D793" s="10">
        <v>25</v>
      </c>
      <c r="E793" s="10"/>
      <c r="F793" s="10">
        <v>3</v>
      </c>
      <c r="G793" s="90">
        <f>VLOOKUP(D793,$C$20:$F$26,3,0)</f>
        <v>1.35</v>
      </c>
      <c r="H793" s="90"/>
      <c r="I793" s="10"/>
      <c r="J793" s="10"/>
      <c r="K793" s="10"/>
      <c r="L793" s="10"/>
      <c r="M793" s="10"/>
      <c r="N793" s="10"/>
      <c r="O793" s="10">
        <f>(E792+1*(G793+(12*D793/1000))+G793*D792)</f>
        <v>4.2509999999999994</v>
      </c>
      <c r="P793" s="10">
        <f t="shared" ref="P793:P794" si="298">O793*F793</f>
        <v>12.752999999999998</v>
      </c>
      <c r="Q793" s="10">
        <f t="shared" si="292"/>
        <v>0</v>
      </c>
      <c r="R793" s="10">
        <f t="shared" si="292"/>
        <v>0</v>
      </c>
      <c r="S793" s="10">
        <f t="shared" si="292"/>
        <v>0</v>
      </c>
      <c r="T793" s="10">
        <f t="shared" si="292"/>
        <v>0</v>
      </c>
      <c r="U793" s="10">
        <f t="shared" si="292"/>
        <v>0</v>
      </c>
      <c r="V793" s="10">
        <f t="shared" si="292"/>
        <v>49.161676339285712</v>
      </c>
      <c r="W793" s="10">
        <f t="shared" si="292"/>
        <v>0</v>
      </c>
      <c r="X793" s="10">
        <f t="shared" ref="X793:X796" si="299">SUM(Q793:W793)</f>
        <v>49.161676339285712</v>
      </c>
      <c r="Y793" s="10"/>
      <c r="Z793" s="10"/>
      <c r="AA793" s="10"/>
      <c r="AB793" s="10"/>
      <c r="AC793" s="10"/>
      <c r="AD793" s="10"/>
      <c r="AE793" s="10"/>
    </row>
    <row r="794" spans="1:32" s="3" customFormat="1" ht="20.100000000000001" customHeight="1" x14ac:dyDescent="0.2">
      <c r="A794" s="87"/>
      <c r="B794" s="10" t="s">
        <v>67</v>
      </c>
      <c r="C794" s="93" t="s">
        <v>158</v>
      </c>
      <c r="D794" s="10">
        <v>25</v>
      </c>
      <c r="E794" s="10"/>
      <c r="F794" s="10">
        <v>3</v>
      </c>
      <c r="G794" s="90">
        <f>VLOOKUP(D794,$C$20:$F$26,3,0)</f>
        <v>1.35</v>
      </c>
      <c r="H794" s="90"/>
      <c r="I794" s="10"/>
      <c r="J794" s="10"/>
      <c r="K794" s="10"/>
      <c r="L794" s="10"/>
      <c r="M794" s="10"/>
      <c r="N794" s="10"/>
      <c r="O794" s="10">
        <f>(E792+1*(G794+(12*D794/1000))+G794*D792)</f>
        <v>4.2509999999999994</v>
      </c>
      <c r="P794" s="10">
        <f t="shared" si="298"/>
        <v>12.752999999999998</v>
      </c>
      <c r="Q794" s="10">
        <f t="shared" ref="Q794:W796" si="300">IF($D794=Q$44,$P794*Q$45,0)</f>
        <v>0</v>
      </c>
      <c r="R794" s="10">
        <f t="shared" si="300"/>
        <v>0</v>
      </c>
      <c r="S794" s="10">
        <f t="shared" si="300"/>
        <v>0</v>
      </c>
      <c r="T794" s="10">
        <f t="shared" si="300"/>
        <v>0</v>
      </c>
      <c r="U794" s="10">
        <f t="shared" si="300"/>
        <v>0</v>
      </c>
      <c r="V794" s="10">
        <f t="shared" si="300"/>
        <v>49.161676339285712</v>
      </c>
      <c r="W794" s="10">
        <f t="shared" si="300"/>
        <v>0</v>
      </c>
      <c r="X794" s="10">
        <f t="shared" si="299"/>
        <v>49.161676339285712</v>
      </c>
      <c r="Y794" s="10"/>
      <c r="Z794" s="10"/>
      <c r="AA794" s="10"/>
      <c r="AB794" s="10"/>
      <c r="AC794" s="10"/>
      <c r="AD794" s="10"/>
      <c r="AE794" s="10"/>
    </row>
    <row r="795" spans="1:32" s="3" customFormat="1" ht="19.5" customHeight="1" x14ac:dyDescent="0.2">
      <c r="A795" s="87"/>
      <c r="B795" s="10" t="s">
        <v>67</v>
      </c>
      <c r="C795" s="93" t="s">
        <v>73</v>
      </c>
      <c r="D795" s="10">
        <v>12</v>
      </c>
      <c r="E795" s="10">
        <v>0.1</v>
      </c>
      <c r="F795" s="10">
        <f>ROUNDUP(E792/E795,0)</f>
        <v>13</v>
      </c>
      <c r="H795" s="10"/>
      <c r="I795" s="10"/>
      <c r="J795" s="10"/>
      <c r="K795" s="10"/>
      <c r="L795" s="10"/>
      <c r="M795" s="10"/>
      <c r="N795" s="10"/>
      <c r="O795" s="10">
        <f>(2*((G792-(2*$D$11))+(F792-(2*$D$11)))+(2*10*D795/1000))*D792</f>
        <v>2.8</v>
      </c>
      <c r="P795" s="10">
        <f>O795*F795</f>
        <v>36.4</v>
      </c>
      <c r="Q795" s="10">
        <f t="shared" si="300"/>
        <v>0</v>
      </c>
      <c r="R795" s="10">
        <f t="shared" si="300"/>
        <v>0</v>
      </c>
      <c r="S795" s="10">
        <f t="shared" si="300"/>
        <v>32.329440000000005</v>
      </c>
      <c r="T795" s="10">
        <f t="shared" si="300"/>
        <v>0</v>
      </c>
      <c r="U795" s="10">
        <f t="shared" si="300"/>
        <v>0</v>
      </c>
      <c r="V795" s="10">
        <f t="shared" si="300"/>
        <v>0</v>
      </c>
      <c r="W795" s="10">
        <f t="shared" si="300"/>
        <v>0</v>
      </c>
      <c r="X795" s="10">
        <f t="shared" si="299"/>
        <v>32.329440000000005</v>
      </c>
      <c r="Y795" s="10"/>
      <c r="Z795" s="10"/>
      <c r="AA795" s="10"/>
      <c r="AB795" s="10"/>
      <c r="AC795" s="10"/>
      <c r="AD795" s="10"/>
      <c r="AE795" s="10"/>
    </row>
    <row r="796" spans="1:32" s="2" customFormat="1" ht="20.100000000000001" customHeight="1" x14ac:dyDescent="0.2">
      <c r="B796" s="10" t="s">
        <v>67</v>
      </c>
      <c r="C796" s="93" t="s">
        <v>74</v>
      </c>
      <c r="D796" s="10">
        <f>+D795</f>
        <v>12</v>
      </c>
      <c r="E796" s="2">
        <f>+E795</f>
        <v>0.1</v>
      </c>
      <c r="F796" s="10">
        <f>ROUNDUP(E792/E796,0)</f>
        <v>13</v>
      </c>
      <c r="G796" s="3"/>
      <c r="O796" s="10">
        <f>((((G792-(2*$D$11))+(2*10*D796/1000))*D792))*1</f>
        <v>1.28</v>
      </c>
      <c r="P796" s="10">
        <f>O796*F796</f>
        <v>16.64</v>
      </c>
      <c r="Q796" s="10">
        <f t="shared" si="300"/>
        <v>0</v>
      </c>
      <c r="R796" s="10">
        <f t="shared" si="300"/>
        <v>0</v>
      </c>
      <c r="S796" s="10">
        <f t="shared" si="300"/>
        <v>14.779172571428575</v>
      </c>
      <c r="T796" s="10">
        <f t="shared" si="300"/>
        <v>0</v>
      </c>
      <c r="U796" s="10">
        <f t="shared" si="300"/>
        <v>0</v>
      </c>
      <c r="V796" s="10">
        <f t="shared" si="300"/>
        <v>0</v>
      </c>
      <c r="W796" s="10">
        <f t="shared" si="300"/>
        <v>0</v>
      </c>
      <c r="X796" s="10">
        <f t="shared" si="299"/>
        <v>14.779172571428575</v>
      </c>
    </row>
    <row r="797" spans="1:32" s="3" customFormat="1" ht="21" customHeight="1" x14ac:dyDescent="0.2">
      <c r="A797" s="10">
        <v>1</v>
      </c>
      <c r="B797" s="10" t="s">
        <v>67</v>
      </c>
      <c r="C797" s="91" t="s">
        <v>182</v>
      </c>
      <c r="D797" s="91">
        <v>1</v>
      </c>
      <c r="E797" s="91">
        <v>6.1970000000000001</v>
      </c>
      <c r="F797" s="91">
        <v>0.5</v>
      </c>
      <c r="G797" s="91">
        <v>0.6</v>
      </c>
      <c r="H797" s="10">
        <f>G797-0.2</f>
        <v>0.39999999999999997</v>
      </c>
      <c r="I797" s="10">
        <f>E797*F797*G797*D797</f>
        <v>1.8591</v>
      </c>
      <c r="J797" s="10">
        <f>(2*(E797)*H797*D797)+(E797*F797)</f>
        <v>8.0560999999999989</v>
      </c>
      <c r="K797" s="92">
        <f>IF(E797=0.3,J797,0)</f>
        <v>0</v>
      </c>
      <c r="L797" s="92">
        <f>IF(AND(E797&gt;0.3,E797&lt;=0.75),J797,0)</f>
        <v>0</v>
      </c>
      <c r="M797" s="92">
        <f>IF(AND(E797&gt;0.75,E797&lt;=1.2),J797,0)</f>
        <v>0</v>
      </c>
      <c r="N797" s="92">
        <f>IF(E797&gt;1.2,J797,0)</f>
        <v>8.0560999999999989</v>
      </c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>
        <f>SUM(X798:X807)/I797</f>
        <v>227.78837648017085</v>
      </c>
      <c r="Z797" s="10"/>
      <c r="AA797" s="10"/>
      <c r="AB797" s="10"/>
      <c r="AC797" s="10"/>
      <c r="AD797" s="10"/>
      <c r="AE797" s="10"/>
      <c r="AF797" s="10"/>
    </row>
    <row r="798" spans="1:32" s="3" customFormat="1" ht="20.100000000000001" customHeight="1" x14ac:dyDescent="0.2">
      <c r="A798" s="87"/>
      <c r="B798" s="10" t="s">
        <v>67</v>
      </c>
      <c r="C798" s="93" t="s">
        <v>69</v>
      </c>
      <c r="D798" s="10">
        <v>20</v>
      </c>
      <c r="E798" s="10"/>
      <c r="F798" s="10">
        <v>5</v>
      </c>
      <c r="G798" s="90">
        <f>VLOOKUP(D798,$C$20:$F$26,3,0)</f>
        <v>1.05</v>
      </c>
      <c r="H798" s="90"/>
      <c r="I798" s="10"/>
      <c r="J798" s="10"/>
      <c r="K798" s="10"/>
      <c r="L798" s="10"/>
      <c r="M798" s="10"/>
      <c r="N798" s="10"/>
      <c r="O798" s="10">
        <f>(E797+1*(G798)+1*(1.5/2)*D797)</f>
        <v>7.9969999999999999</v>
      </c>
      <c r="P798" s="10">
        <f t="shared" ref="P798:P807" si="301">O798*F798</f>
        <v>39.984999999999999</v>
      </c>
      <c r="Q798" s="10">
        <f t="shared" ref="Q798:W807" si="302">IF($D798=Q$44,$P798*Q$45,0)</f>
        <v>0</v>
      </c>
      <c r="R798" s="10">
        <f t="shared" si="302"/>
        <v>0</v>
      </c>
      <c r="S798" s="10">
        <f t="shared" si="302"/>
        <v>0</v>
      </c>
      <c r="T798" s="10">
        <f t="shared" si="302"/>
        <v>0</v>
      </c>
      <c r="U798" s="10">
        <f t="shared" si="302"/>
        <v>98.648707142857134</v>
      </c>
      <c r="V798" s="10">
        <f t="shared" si="302"/>
        <v>0</v>
      </c>
      <c r="W798" s="10">
        <f t="shared" si="302"/>
        <v>0</v>
      </c>
      <c r="X798" s="10">
        <f t="shared" ref="X798:X807" si="303">SUM(Q798:W798)</f>
        <v>98.648707142857134</v>
      </c>
      <c r="Y798" s="10"/>
      <c r="Z798" s="10"/>
      <c r="AA798" s="10"/>
      <c r="AB798" s="10"/>
      <c r="AC798" s="10"/>
      <c r="AD798" s="10"/>
      <c r="AE798" s="10"/>
    </row>
    <row r="799" spans="1:32" s="3" customFormat="1" ht="20.100000000000001" customHeight="1" x14ac:dyDescent="0.2">
      <c r="A799" s="87"/>
      <c r="B799" s="10" t="s">
        <v>67</v>
      </c>
      <c r="C799" s="93" t="s">
        <v>158</v>
      </c>
      <c r="D799" s="10">
        <v>20</v>
      </c>
      <c r="E799" s="10"/>
      <c r="F799" s="10">
        <v>5</v>
      </c>
      <c r="G799" s="90">
        <f>VLOOKUP(D799,$C$20:$F$26,3,0)</f>
        <v>1.05</v>
      </c>
      <c r="H799" s="90"/>
      <c r="I799" s="10"/>
      <c r="J799" s="10"/>
      <c r="K799" s="10"/>
      <c r="L799" s="10"/>
      <c r="M799" s="10"/>
      <c r="N799" s="10"/>
      <c r="O799" s="10">
        <f>(E797+1*(G799)+1*(1.5/2)*D797)</f>
        <v>7.9969999999999999</v>
      </c>
      <c r="P799" s="10">
        <f t="shared" si="301"/>
        <v>39.984999999999999</v>
      </c>
      <c r="Q799" s="10">
        <f t="shared" si="302"/>
        <v>0</v>
      </c>
      <c r="R799" s="10">
        <f t="shared" si="302"/>
        <v>0</v>
      </c>
      <c r="S799" s="10">
        <f t="shared" si="302"/>
        <v>0</v>
      </c>
      <c r="T799" s="10">
        <f t="shared" si="302"/>
        <v>0</v>
      </c>
      <c r="U799" s="10">
        <f t="shared" si="302"/>
        <v>98.648707142857134</v>
      </c>
      <c r="V799" s="10">
        <f t="shared" si="302"/>
        <v>0</v>
      </c>
      <c r="W799" s="10">
        <f t="shared" si="302"/>
        <v>0</v>
      </c>
      <c r="X799" s="10">
        <f t="shared" si="303"/>
        <v>98.648707142857134</v>
      </c>
      <c r="Y799" s="10"/>
      <c r="Z799" s="10"/>
      <c r="AA799" s="10"/>
      <c r="AB799" s="10"/>
      <c r="AC799" s="10"/>
      <c r="AD799" s="10"/>
      <c r="AE799" s="10"/>
    </row>
    <row r="800" spans="1:32" s="3" customFormat="1" ht="20.100000000000001" customHeight="1" x14ac:dyDescent="0.2">
      <c r="A800" s="87"/>
      <c r="B800" s="10" t="s">
        <v>67</v>
      </c>
      <c r="C800" s="93" t="s">
        <v>128</v>
      </c>
      <c r="D800" s="10">
        <v>20</v>
      </c>
      <c r="E800" s="10"/>
      <c r="F800" s="10">
        <v>3</v>
      </c>
      <c r="G800" s="90">
        <f>VLOOKUP(D800,$C$20:$F$26,3,0)</f>
        <v>1.05</v>
      </c>
      <c r="H800" s="90"/>
      <c r="I800" s="10"/>
      <c r="J800" s="10"/>
      <c r="K800" s="10"/>
      <c r="L800" s="10"/>
      <c r="M800" s="10"/>
      <c r="N800" s="10"/>
      <c r="O800" s="10">
        <f>(1.65+1*(G800)*D797)</f>
        <v>2.7</v>
      </c>
      <c r="P800" s="10">
        <f t="shared" si="301"/>
        <v>8.1000000000000014</v>
      </c>
      <c r="Q800" s="10">
        <f t="shared" si="302"/>
        <v>0</v>
      </c>
      <c r="R800" s="10">
        <f t="shared" si="302"/>
        <v>0</v>
      </c>
      <c r="S800" s="10">
        <f t="shared" si="302"/>
        <v>0</v>
      </c>
      <c r="T800" s="10">
        <f t="shared" si="302"/>
        <v>0</v>
      </c>
      <c r="U800" s="10">
        <f t="shared" si="302"/>
        <v>19.983857142857147</v>
      </c>
      <c r="V800" s="10">
        <f t="shared" si="302"/>
        <v>0</v>
      </c>
      <c r="W800" s="10">
        <f t="shared" si="302"/>
        <v>0</v>
      </c>
      <c r="X800" s="10">
        <f t="shared" si="303"/>
        <v>19.983857142857147</v>
      </c>
      <c r="Y800" s="10"/>
      <c r="Z800" s="10"/>
      <c r="AA800" s="10"/>
      <c r="AB800" s="10"/>
      <c r="AC800" s="10"/>
      <c r="AD800" s="10"/>
      <c r="AE800" s="10"/>
    </row>
    <row r="801" spans="1:32" s="3" customFormat="1" ht="20.100000000000001" customHeight="1" x14ac:dyDescent="0.2">
      <c r="A801" s="87"/>
      <c r="B801" s="10" t="s">
        <v>67</v>
      </c>
      <c r="C801" s="93" t="s">
        <v>128</v>
      </c>
      <c r="D801" s="10">
        <v>20</v>
      </c>
      <c r="E801" s="10"/>
      <c r="F801" s="10">
        <v>3</v>
      </c>
      <c r="G801" s="90">
        <f>VLOOKUP(D801,$C$20:$F$26,3,0)</f>
        <v>1.05</v>
      </c>
      <c r="H801" s="90"/>
      <c r="I801" s="10"/>
      <c r="J801" s="10"/>
      <c r="K801" s="10"/>
      <c r="L801" s="10"/>
      <c r="M801" s="10"/>
      <c r="N801" s="10"/>
      <c r="O801" s="10">
        <f>(1.65+1*(G801)*D797)</f>
        <v>2.7</v>
      </c>
      <c r="P801" s="10">
        <f t="shared" si="301"/>
        <v>8.1000000000000014</v>
      </c>
      <c r="Q801" s="10">
        <f t="shared" si="302"/>
        <v>0</v>
      </c>
      <c r="R801" s="10">
        <f t="shared" si="302"/>
        <v>0</v>
      </c>
      <c r="S801" s="10">
        <f t="shared" si="302"/>
        <v>0</v>
      </c>
      <c r="T801" s="10">
        <f t="shared" si="302"/>
        <v>0</v>
      </c>
      <c r="U801" s="10">
        <f t="shared" si="302"/>
        <v>19.983857142857147</v>
      </c>
      <c r="V801" s="10">
        <f t="shared" si="302"/>
        <v>0</v>
      </c>
      <c r="W801" s="10">
        <f t="shared" si="302"/>
        <v>0</v>
      </c>
      <c r="X801" s="10">
        <f t="shared" si="303"/>
        <v>19.983857142857147</v>
      </c>
      <c r="Y801" s="10"/>
      <c r="Z801" s="10"/>
      <c r="AA801" s="10"/>
      <c r="AB801" s="10"/>
      <c r="AC801" s="10"/>
      <c r="AD801" s="10"/>
      <c r="AE801" s="10"/>
    </row>
    <row r="802" spans="1:32" s="3" customFormat="1" ht="20.100000000000001" customHeight="1" x14ac:dyDescent="0.2">
      <c r="A802" s="87"/>
      <c r="B802" s="10" t="s">
        <v>67</v>
      </c>
      <c r="C802" s="93" t="s">
        <v>116</v>
      </c>
      <c r="D802" s="10">
        <v>20</v>
      </c>
      <c r="E802" s="10"/>
      <c r="F802" s="10">
        <v>3</v>
      </c>
      <c r="G802" s="90">
        <f>VLOOKUP(D802,$C$20:$F$26,3,0)</f>
        <v>1.05</v>
      </c>
      <c r="H802" s="90"/>
      <c r="I802" s="10"/>
      <c r="J802" s="10"/>
      <c r="K802" s="10"/>
      <c r="L802" s="10"/>
      <c r="M802" s="10"/>
      <c r="N802" s="10"/>
      <c r="O802" s="10">
        <f>+E797-0.65-0.65</f>
        <v>4.8969999999999994</v>
      </c>
      <c r="P802" s="10">
        <f t="shared" si="301"/>
        <v>14.690999999999999</v>
      </c>
      <c r="Q802" s="10">
        <f t="shared" si="302"/>
        <v>0</v>
      </c>
      <c r="R802" s="10">
        <f t="shared" si="302"/>
        <v>0</v>
      </c>
      <c r="S802" s="10">
        <f t="shared" si="302"/>
        <v>0</v>
      </c>
      <c r="T802" s="10">
        <f t="shared" si="302"/>
        <v>0</v>
      </c>
      <c r="U802" s="10">
        <f t="shared" si="302"/>
        <v>36.244795714285708</v>
      </c>
      <c r="V802" s="10">
        <f t="shared" si="302"/>
        <v>0</v>
      </c>
      <c r="W802" s="10">
        <f t="shared" si="302"/>
        <v>0</v>
      </c>
      <c r="X802" s="10">
        <f t="shared" si="303"/>
        <v>36.244795714285708</v>
      </c>
      <c r="Y802" s="10"/>
      <c r="Z802" s="10"/>
      <c r="AA802" s="10"/>
      <c r="AB802" s="10"/>
      <c r="AC802" s="10"/>
      <c r="AD802" s="10"/>
      <c r="AE802" s="10"/>
    </row>
    <row r="803" spans="1:32" s="3" customFormat="1" ht="20.100000000000001" customHeight="1" x14ac:dyDescent="0.2">
      <c r="A803" s="87"/>
      <c r="B803" s="10" t="s">
        <v>67</v>
      </c>
      <c r="C803" s="93" t="s">
        <v>73</v>
      </c>
      <c r="D803" s="10">
        <v>10</v>
      </c>
      <c r="E803" s="10">
        <v>0.1</v>
      </c>
      <c r="F803" s="10">
        <f>ROUND(IF(E797/3&gt;(2*G797),(E797/3)/E803,(2*G797)/E803),0)*2+1</f>
        <v>43</v>
      </c>
      <c r="H803" s="10"/>
      <c r="I803" s="10"/>
      <c r="J803" s="10"/>
      <c r="K803" s="10"/>
      <c r="L803" s="10"/>
      <c r="M803" s="10"/>
      <c r="N803" s="10"/>
      <c r="O803" s="10">
        <f>(2*((G797-(2*$D$11))+(F797-(2*$D$11)))+(2*10*D803/1000))*D797</f>
        <v>2.16</v>
      </c>
      <c r="P803" s="10">
        <f t="shared" si="301"/>
        <v>92.88000000000001</v>
      </c>
      <c r="Q803" s="10">
        <f t="shared" si="302"/>
        <v>0</v>
      </c>
      <c r="R803" s="10">
        <f t="shared" si="302"/>
        <v>57.287057142857151</v>
      </c>
      <c r="S803" s="10">
        <f t="shared" si="302"/>
        <v>0</v>
      </c>
      <c r="T803" s="10">
        <f t="shared" si="302"/>
        <v>0</v>
      </c>
      <c r="U803" s="10">
        <f t="shared" si="302"/>
        <v>0</v>
      </c>
      <c r="V803" s="10">
        <f t="shared" si="302"/>
        <v>0</v>
      </c>
      <c r="W803" s="10">
        <f t="shared" si="302"/>
        <v>0</v>
      </c>
      <c r="X803" s="10">
        <f t="shared" si="303"/>
        <v>57.287057142857151</v>
      </c>
      <c r="Y803" s="10"/>
      <c r="Z803" s="10"/>
      <c r="AA803" s="10"/>
      <c r="AB803" s="10"/>
      <c r="AC803" s="10"/>
      <c r="AD803" s="10"/>
      <c r="AE803" s="10"/>
    </row>
    <row r="804" spans="1:32" s="2" customFormat="1" ht="20.100000000000001" customHeight="1" x14ac:dyDescent="0.2">
      <c r="B804" s="10" t="s">
        <v>67</v>
      </c>
      <c r="C804" s="93" t="s">
        <v>73</v>
      </c>
      <c r="D804" s="2">
        <f>D803</f>
        <v>10</v>
      </c>
      <c r="E804" s="2">
        <v>0.125</v>
      </c>
      <c r="F804" s="2">
        <f>ROUND((E797-(IF(E797/3&gt;2*G797,E797/3*2,G797*2*2)))/E804,0)</f>
        <v>17</v>
      </c>
      <c r="G804" s="3"/>
      <c r="O804" s="10">
        <f>(2*((G797-(2*$D$11))+(F797-(2*$D$11)))+(2*10*D804/1000))*D797</f>
        <v>2.16</v>
      </c>
      <c r="P804" s="10">
        <f t="shared" si="301"/>
        <v>36.72</v>
      </c>
      <c r="Q804" s="10">
        <f t="shared" si="302"/>
        <v>0</v>
      </c>
      <c r="R804" s="10">
        <f t="shared" si="302"/>
        <v>22.648371428571426</v>
      </c>
      <c r="S804" s="10">
        <f t="shared" si="302"/>
        <v>0</v>
      </c>
      <c r="T804" s="10">
        <f t="shared" si="302"/>
        <v>0</v>
      </c>
      <c r="U804" s="10">
        <f t="shared" si="302"/>
        <v>0</v>
      </c>
      <c r="V804" s="10">
        <f t="shared" si="302"/>
        <v>0</v>
      </c>
      <c r="W804" s="10">
        <f t="shared" si="302"/>
        <v>0</v>
      </c>
      <c r="X804" s="10">
        <f t="shared" si="303"/>
        <v>22.648371428571426</v>
      </c>
    </row>
    <row r="805" spans="1:32" s="2" customFormat="1" ht="20.100000000000001" customHeight="1" x14ac:dyDescent="0.2">
      <c r="B805" s="10" t="s">
        <v>67</v>
      </c>
      <c r="C805" s="93" t="s">
        <v>74</v>
      </c>
      <c r="D805" s="2">
        <f>D803</f>
        <v>10</v>
      </c>
      <c r="E805" s="2">
        <f>+E803</f>
        <v>0.1</v>
      </c>
      <c r="F805" s="10">
        <f>ROUND(IF(E797/3&gt;(2*G797),(E797/3)/E805,(2*G797)/E805),0)*2+1</f>
        <v>43</v>
      </c>
      <c r="G805" s="3"/>
      <c r="O805" s="10">
        <f>((((G797-(2*$D$11))+(2*10*D805/1000))*D797))*2</f>
        <v>1.48</v>
      </c>
      <c r="P805" s="10">
        <f t="shared" si="301"/>
        <v>63.64</v>
      </c>
      <c r="Q805" s="10">
        <f t="shared" si="302"/>
        <v>0</v>
      </c>
      <c r="R805" s="10">
        <f t="shared" si="302"/>
        <v>39.252242857142853</v>
      </c>
      <c r="S805" s="10">
        <f t="shared" si="302"/>
        <v>0</v>
      </c>
      <c r="T805" s="10">
        <f t="shared" si="302"/>
        <v>0</v>
      </c>
      <c r="U805" s="10">
        <f t="shared" si="302"/>
        <v>0</v>
      </c>
      <c r="V805" s="10">
        <f t="shared" si="302"/>
        <v>0</v>
      </c>
      <c r="W805" s="10">
        <f t="shared" si="302"/>
        <v>0</v>
      </c>
      <c r="X805" s="10">
        <f t="shared" si="303"/>
        <v>39.252242857142853</v>
      </c>
    </row>
    <row r="806" spans="1:32" s="2" customFormat="1" ht="20.100000000000001" customHeight="1" x14ac:dyDescent="0.2">
      <c r="B806" s="10" t="s">
        <v>67</v>
      </c>
      <c r="C806" s="93" t="s">
        <v>74</v>
      </c>
      <c r="D806" s="2">
        <f>D804</f>
        <v>10</v>
      </c>
      <c r="E806" s="2">
        <f>+E804</f>
        <v>0.125</v>
      </c>
      <c r="F806" s="2">
        <f>ROUND((E797-(IF(E797/3&gt;2*G797,E797/3*2,G797*2*2)))/E806,0)</f>
        <v>17</v>
      </c>
      <c r="G806" s="3"/>
      <c r="O806" s="10">
        <f>((((G797-(2*$D$11))+(2*10*D806/1000))*D797))*2</f>
        <v>1.48</v>
      </c>
      <c r="P806" s="10">
        <f t="shared" si="301"/>
        <v>25.16</v>
      </c>
      <c r="Q806" s="10">
        <f t="shared" si="302"/>
        <v>0</v>
      </c>
      <c r="R806" s="10">
        <f t="shared" si="302"/>
        <v>15.518328571428571</v>
      </c>
      <c r="S806" s="10">
        <f t="shared" si="302"/>
        <v>0</v>
      </c>
      <c r="T806" s="10">
        <f t="shared" si="302"/>
        <v>0</v>
      </c>
      <c r="U806" s="10">
        <f t="shared" si="302"/>
        <v>0</v>
      </c>
      <c r="V806" s="10">
        <f t="shared" si="302"/>
        <v>0</v>
      </c>
      <c r="W806" s="10">
        <f t="shared" si="302"/>
        <v>0</v>
      </c>
      <c r="X806" s="10">
        <f t="shared" si="303"/>
        <v>15.518328571428571</v>
      </c>
    </row>
    <row r="807" spans="1:32" s="3" customFormat="1" ht="20.100000000000001" customHeight="1" x14ac:dyDescent="0.2">
      <c r="A807" s="87"/>
      <c r="B807" s="10" t="s">
        <v>67</v>
      </c>
      <c r="C807" s="93" t="s">
        <v>75</v>
      </c>
      <c r="D807" s="10">
        <f>+$D$15</f>
        <v>25</v>
      </c>
      <c r="E807" s="10">
        <f>+$E$15</f>
        <v>1</v>
      </c>
      <c r="F807" s="10">
        <f>ROUNDUP((3.3+O802)/E807,0)</f>
        <v>9</v>
      </c>
      <c r="G807" s="90"/>
      <c r="H807" s="90"/>
      <c r="I807" s="10"/>
      <c r="J807" s="10"/>
      <c r="K807" s="10"/>
      <c r="L807" s="10"/>
      <c r="M807" s="10"/>
      <c r="N807" s="10"/>
      <c r="O807" s="10">
        <f>F797-$F$15</f>
        <v>0.44</v>
      </c>
      <c r="P807" s="10">
        <f t="shared" si="301"/>
        <v>3.96</v>
      </c>
      <c r="Q807" s="10">
        <f t="shared" si="302"/>
        <v>0</v>
      </c>
      <c r="R807" s="10">
        <f t="shared" si="302"/>
        <v>0</v>
      </c>
      <c r="S807" s="10">
        <f t="shared" si="302"/>
        <v>0</v>
      </c>
      <c r="T807" s="10">
        <f t="shared" si="302"/>
        <v>0</v>
      </c>
      <c r="U807" s="10">
        <f t="shared" si="302"/>
        <v>0</v>
      </c>
      <c r="V807" s="10">
        <f t="shared" si="302"/>
        <v>15.265446428571432</v>
      </c>
      <c r="W807" s="10">
        <f t="shared" si="302"/>
        <v>0</v>
      </c>
      <c r="X807" s="10">
        <f t="shared" si="303"/>
        <v>15.265446428571432</v>
      </c>
      <c r="Y807" s="10"/>
      <c r="Z807" s="10"/>
      <c r="AA807" s="10"/>
      <c r="AB807" s="10"/>
      <c r="AC807" s="10"/>
      <c r="AD807" s="10"/>
      <c r="AE807" s="10"/>
    </row>
    <row r="808" spans="1:32" s="3" customFormat="1" ht="21" customHeight="1" x14ac:dyDescent="0.2">
      <c r="A808" s="10">
        <v>1</v>
      </c>
      <c r="B808" s="10" t="s">
        <v>67</v>
      </c>
      <c r="C808" s="91" t="s">
        <v>183</v>
      </c>
      <c r="D808" s="91">
        <v>1</v>
      </c>
      <c r="E808" s="91">
        <v>1.8</v>
      </c>
      <c r="F808" s="91">
        <v>0.45</v>
      </c>
      <c r="G808" s="91">
        <v>0.6</v>
      </c>
      <c r="H808" s="10">
        <f>G808-0.2</f>
        <v>0.39999999999999997</v>
      </c>
      <c r="I808" s="10">
        <f>E808*F808*G808*D808</f>
        <v>0.48599999999999999</v>
      </c>
      <c r="J808" s="10">
        <f>(2*(E808)*H808*D808)+(E808*F808)</f>
        <v>2.25</v>
      </c>
      <c r="K808" s="92">
        <f>IF(E808=0.3,J808,0)</f>
        <v>0</v>
      </c>
      <c r="L808" s="92">
        <f>IF(AND(E808&gt;0.3,E808&lt;=0.75),J808,0)</f>
        <v>0</v>
      </c>
      <c r="M808" s="92">
        <f>IF(AND(E808&gt;0.75,E808&lt;=1.2),J808,0)</f>
        <v>0</v>
      </c>
      <c r="N808" s="92">
        <f>IF(E808&gt;1.2,J808,0)</f>
        <v>2.25</v>
      </c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>
        <f>SUM(X809:X811)/I808</f>
        <v>362.67304585537926</v>
      </c>
      <c r="Z808" s="10"/>
      <c r="AA808" s="10"/>
      <c r="AB808" s="10"/>
      <c r="AC808" s="10"/>
      <c r="AD808" s="10"/>
      <c r="AE808" s="10"/>
      <c r="AF808" s="10"/>
    </row>
    <row r="809" spans="1:32" s="3" customFormat="1" ht="20.100000000000001" customHeight="1" x14ac:dyDescent="0.2">
      <c r="A809" s="87"/>
      <c r="B809" s="10" t="s">
        <v>67</v>
      </c>
      <c r="C809" s="93" t="s">
        <v>69</v>
      </c>
      <c r="D809" s="10">
        <v>25</v>
      </c>
      <c r="E809" s="10"/>
      <c r="F809" s="10">
        <v>5</v>
      </c>
      <c r="G809" s="90">
        <f>VLOOKUP(D809,$C$20:$F$26,3,0)</f>
        <v>1.35</v>
      </c>
      <c r="H809" s="90"/>
      <c r="I809" s="10"/>
      <c r="J809" s="10"/>
      <c r="K809" s="10"/>
      <c r="L809" s="10"/>
      <c r="M809" s="10"/>
      <c r="N809" s="10"/>
      <c r="O809" s="10">
        <f>(E808+1*(G809+(12*D809/1000))+1*(1.5/2)*D808)</f>
        <v>4.2</v>
      </c>
      <c r="P809" s="10">
        <f t="shared" ref="P809:P810" si="304">O809*F809</f>
        <v>21</v>
      </c>
      <c r="Q809" s="10">
        <f t="shared" ref="Q809:W811" si="305">IF($D809=Q$44,$P809*Q$45,0)</f>
        <v>0</v>
      </c>
      <c r="R809" s="10">
        <f t="shared" si="305"/>
        <v>0</v>
      </c>
      <c r="S809" s="10">
        <f t="shared" si="305"/>
        <v>0</v>
      </c>
      <c r="T809" s="10">
        <f t="shared" si="305"/>
        <v>0</v>
      </c>
      <c r="U809" s="10">
        <f t="shared" si="305"/>
        <v>0</v>
      </c>
      <c r="V809" s="10">
        <f t="shared" si="305"/>
        <v>80.953125000000014</v>
      </c>
      <c r="W809" s="10">
        <f t="shared" si="305"/>
        <v>0</v>
      </c>
      <c r="X809" s="10">
        <f t="shared" ref="X809:X811" si="306">SUM(Q809:W809)</f>
        <v>80.953125000000014</v>
      </c>
      <c r="Y809" s="10"/>
      <c r="Z809" s="10"/>
      <c r="AA809" s="10"/>
      <c r="AB809" s="10"/>
      <c r="AC809" s="10"/>
      <c r="AD809" s="10"/>
      <c r="AE809" s="10"/>
    </row>
    <row r="810" spans="1:32" s="3" customFormat="1" ht="20.100000000000001" customHeight="1" x14ac:dyDescent="0.2">
      <c r="A810" s="87"/>
      <c r="B810" s="10" t="s">
        <v>67</v>
      </c>
      <c r="C810" s="93" t="s">
        <v>158</v>
      </c>
      <c r="D810" s="10">
        <v>25</v>
      </c>
      <c r="E810" s="10"/>
      <c r="F810" s="10">
        <v>5</v>
      </c>
      <c r="G810" s="90">
        <f>VLOOKUP(D810,$C$20:$F$26,3,0)</f>
        <v>1.35</v>
      </c>
      <c r="H810" s="90"/>
      <c r="I810" s="10"/>
      <c r="J810" s="10"/>
      <c r="K810" s="10"/>
      <c r="L810" s="10"/>
      <c r="M810" s="10"/>
      <c r="N810" s="10"/>
      <c r="O810" s="10">
        <f>(E808+1*(G810+(12*D810/1000))+1*(1.5/2)*D808)</f>
        <v>4.2</v>
      </c>
      <c r="P810" s="10">
        <f t="shared" si="304"/>
        <v>21</v>
      </c>
      <c r="Q810" s="10">
        <f t="shared" si="305"/>
        <v>0</v>
      </c>
      <c r="R810" s="10">
        <f t="shared" si="305"/>
        <v>0</v>
      </c>
      <c r="S810" s="10">
        <f t="shared" si="305"/>
        <v>0</v>
      </c>
      <c r="T810" s="10">
        <f t="shared" si="305"/>
        <v>0</v>
      </c>
      <c r="U810" s="10">
        <f t="shared" si="305"/>
        <v>0</v>
      </c>
      <c r="V810" s="10">
        <f t="shared" si="305"/>
        <v>80.953125000000014</v>
      </c>
      <c r="W810" s="10">
        <f t="shared" si="305"/>
        <v>0</v>
      </c>
      <c r="X810" s="10">
        <f t="shared" si="306"/>
        <v>80.953125000000014</v>
      </c>
      <c r="Y810" s="10"/>
      <c r="Z810" s="10"/>
      <c r="AA810" s="10"/>
      <c r="AB810" s="10"/>
      <c r="AC810" s="10"/>
      <c r="AD810" s="10"/>
      <c r="AE810" s="10"/>
    </row>
    <row r="811" spans="1:32" s="3" customFormat="1" ht="19.5" customHeight="1" x14ac:dyDescent="0.2">
      <c r="A811" s="87"/>
      <c r="B811" s="10" t="s">
        <v>67</v>
      </c>
      <c r="C811" s="93" t="s">
        <v>73</v>
      </c>
      <c r="D811" s="10">
        <v>8</v>
      </c>
      <c r="E811" s="10">
        <v>0.1</v>
      </c>
      <c r="F811" s="10">
        <f>ROUNDUP(E808/E811,0)</f>
        <v>18</v>
      </c>
      <c r="H811" s="10"/>
      <c r="I811" s="10"/>
      <c r="J811" s="10"/>
      <c r="K811" s="10"/>
      <c r="L811" s="10"/>
      <c r="M811" s="10"/>
      <c r="N811" s="10"/>
      <c r="O811" s="10">
        <f>(2*((G808-(2*$D$11))+(F808-(2*$D$11)))+(2*10*D811/1000))*D808</f>
        <v>2.02</v>
      </c>
      <c r="P811" s="10">
        <f>O811*F811</f>
        <v>36.36</v>
      </c>
      <c r="Q811" s="10">
        <f t="shared" si="305"/>
        <v>14.352850285714286</v>
      </c>
      <c r="R811" s="10">
        <f t="shared" si="305"/>
        <v>0</v>
      </c>
      <c r="S811" s="10">
        <f t="shared" si="305"/>
        <v>0</v>
      </c>
      <c r="T811" s="10">
        <f t="shared" si="305"/>
        <v>0</v>
      </c>
      <c r="U811" s="10">
        <f t="shared" si="305"/>
        <v>0</v>
      </c>
      <c r="V811" s="10">
        <f t="shared" si="305"/>
        <v>0</v>
      </c>
      <c r="W811" s="10">
        <f t="shared" si="305"/>
        <v>0</v>
      </c>
      <c r="X811" s="10">
        <f t="shared" si="306"/>
        <v>14.352850285714286</v>
      </c>
      <c r="Y811" s="10"/>
      <c r="Z811" s="10"/>
      <c r="AA811" s="10"/>
      <c r="AB811" s="10"/>
      <c r="AC811" s="10"/>
      <c r="AD811" s="10"/>
      <c r="AE811" s="10"/>
    </row>
    <row r="812" spans="1:32" s="3" customFormat="1" ht="21" customHeight="1" x14ac:dyDescent="0.2">
      <c r="A812" s="10">
        <v>1</v>
      </c>
      <c r="B812" s="10" t="s">
        <v>67</v>
      </c>
      <c r="C812" s="91" t="s">
        <v>184</v>
      </c>
      <c r="D812" s="91">
        <v>1</v>
      </c>
      <c r="E812" s="91">
        <v>6</v>
      </c>
      <c r="F812" s="91">
        <v>0.45</v>
      </c>
      <c r="G812" s="91">
        <v>0.6</v>
      </c>
      <c r="H812" s="10">
        <f>G812-0.2</f>
        <v>0.39999999999999997</v>
      </c>
      <c r="I812" s="10">
        <f>E812*F812*G812*D812</f>
        <v>1.62</v>
      </c>
      <c r="J812" s="10">
        <f>(2*(E812)*H812*D812)+(E812*F812)</f>
        <v>7.5</v>
      </c>
      <c r="K812" s="92">
        <f>IF(E812=0.3,J812,0)</f>
        <v>0</v>
      </c>
      <c r="L812" s="92">
        <f>IF(AND(E812&gt;0.3,E812&lt;=0.75),J812,0)</f>
        <v>0</v>
      </c>
      <c r="M812" s="92">
        <f>IF(AND(E812&gt;0.75,E812&lt;=1.2),J812,0)</f>
        <v>0</v>
      </c>
      <c r="N812" s="92">
        <f>IF(E812&gt;1.2,J812,0)</f>
        <v>7.5</v>
      </c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>
        <f>SUM(X813:X820)/I812</f>
        <v>172.07449552469132</v>
      </c>
      <c r="Z812" s="10"/>
      <c r="AA812" s="10"/>
      <c r="AB812" s="10"/>
      <c r="AC812" s="10"/>
      <c r="AD812" s="10"/>
      <c r="AE812" s="10"/>
      <c r="AF812" s="10"/>
    </row>
    <row r="813" spans="1:32" s="3" customFormat="1" ht="20.100000000000001" customHeight="1" x14ac:dyDescent="0.2">
      <c r="A813" s="87"/>
      <c r="B813" s="10" t="s">
        <v>67</v>
      </c>
      <c r="C813" s="93" t="s">
        <v>69</v>
      </c>
      <c r="D813" s="10">
        <v>20</v>
      </c>
      <c r="E813" s="10"/>
      <c r="F813" s="10">
        <v>4</v>
      </c>
      <c r="G813" s="90">
        <f>VLOOKUP(D813,$C$20:$F$26,3,0)</f>
        <v>1.05</v>
      </c>
      <c r="H813" s="90"/>
      <c r="I813" s="10"/>
      <c r="J813" s="10"/>
      <c r="K813" s="10"/>
      <c r="L813" s="10"/>
      <c r="M813" s="10"/>
      <c r="N813" s="10"/>
      <c r="O813" s="10">
        <f>(E812+1*(G813+(12*D813/1000))+G813*D812)</f>
        <v>8.34</v>
      </c>
      <c r="P813" s="10">
        <f t="shared" ref="P813:P820" si="307">O813*F813</f>
        <v>33.36</v>
      </c>
      <c r="Q813" s="10">
        <f t="shared" ref="Q813:W820" si="308">IF($D813=Q$44,$P813*Q$45,0)</f>
        <v>0</v>
      </c>
      <c r="R813" s="10">
        <f t="shared" si="308"/>
        <v>0</v>
      </c>
      <c r="S813" s="10">
        <f t="shared" si="308"/>
        <v>0</v>
      </c>
      <c r="T813" s="10">
        <f t="shared" si="308"/>
        <v>0</v>
      </c>
      <c r="U813" s="10">
        <f t="shared" si="308"/>
        <v>82.303885714285713</v>
      </c>
      <c r="V813" s="10">
        <f t="shared" si="308"/>
        <v>0</v>
      </c>
      <c r="W813" s="10">
        <f t="shared" si="308"/>
        <v>0</v>
      </c>
      <c r="X813" s="10">
        <f t="shared" ref="X813:X820" si="309">SUM(Q813:W813)</f>
        <v>82.303885714285713</v>
      </c>
      <c r="Y813" s="10"/>
      <c r="Z813" s="10"/>
      <c r="AA813" s="10"/>
      <c r="AB813" s="10"/>
      <c r="AC813" s="10"/>
      <c r="AD813" s="10"/>
      <c r="AE813" s="10"/>
    </row>
    <row r="814" spans="1:32" s="3" customFormat="1" ht="20.100000000000001" customHeight="1" x14ac:dyDescent="0.2">
      <c r="A814" s="87"/>
      <c r="B814" s="10" t="s">
        <v>67</v>
      </c>
      <c r="C814" s="93" t="s">
        <v>158</v>
      </c>
      <c r="D814" s="10">
        <v>20</v>
      </c>
      <c r="E814" s="10"/>
      <c r="F814" s="10">
        <v>4</v>
      </c>
      <c r="G814" s="90">
        <f>VLOOKUP(D814,$C$20:$F$26,3,0)</f>
        <v>1.05</v>
      </c>
      <c r="H814" s="90"/>
      <c r="I814" s="10"/>
      <c r="J814" s="10"/>
      <c r="K814" s="10"/>
      <c r="L814" s="10"/>
      <c r="M814" s="10"/>
      <c r="N814" s="10"/>
      <c r="O814" s="10">
        <f>(E812+1*(G814+(12*D814/1000))+G814*D812)</f>
        <v>8.34</v>
      </c>
      <c r="P814" s="10">
        <f t="shared" si="307"/>
        <v>33.36</v>
      </c>
      <c r="Q814" s="10">
        <f t="shared" si="308"/>
        <v>0</v>
      </c>
      <c r="R814" s="10">
        <f t="shared" si="308"/>
        <v>0</v>
      </c>
      <c r="S814" s="10">
        <f t="shared" si="308"/>
        <v>0</v>
      </c>
      <c r="T814" s="10">
        <f t="shared" si="308"/>
        <v>0</v>
      </c>
      <c r="U814" s="10">
        <f t="shared" si="308"/>
        <v>82.303885714285713</v>
      </c>
      <c r="V814" s="10">
        <f t="shared" si="308"/>
        <v>0</v>
      </c>
      <c r="W814" s="10">
        <f t="shared" si="308"/>
        <v>0</v>
      </c>
      <c r="X814" s="10">
        <f t="shared" si="309"/>
        <v>82.303885714285713</v>
      </c>
      <c r="Y814" s="10"/>
      <c r="Z814" s="10"/>
      <c r="AA814" s="10"/>
      <c r="AB814" s="10"/>
      <c r="AC814" s="10"/>
      <c r="AD814" s="10"/>
      <c r="AE814" s="10"/>
    </row>
    <row r="815" spans="1:32" s="3" customFormat="1" ht="20.100000000000001" customHeight="1" x14ac:dyDescent="0.2">
      <c r="A815" s="87"/>
      <c r="B815" s="10" t="s">
        <v>67</v>
      </c>
      <c r="C815" s="93" t="s">
        <v>116</v>
      </c>
      <c r="D815" s="10">
        <v>16</v>
      </c>
      <c r="E815" s="10"/>
      <c r="F815" s="10">
        <v>4</v>
      </c>
      <c r="G815" s="90">
        <f>VLOOKUP(D815,$C$20:$F$26,3,0)</f>
        <v>0.85</v>
      </c>
      <c r="H815" s="90"/>
      <c r="I815" s="10"/>
      <c r="J815" s="10"/>
      <c r="K815" s="10"/>
      <c r="L815" s="10"/>
      <c r="M815" s="10"/>
      <c r="N815" s="10"/>
      <c r="O815" s="10">
        <f>+E812-0.65-0.65</f>
        <v>4.6999999999999993</v>
      </c>
      <c r="P815" s="10">
        <f t="shared" si="307"/>
        <v>18.799999999999997</v>
      </c>
      <c r="Q815" s="10">
        <f t="shared" si="308"/>
        <v>0</v>
      </c>
      <c r="R815" s="10">
        <f t="shared" si="308"/>
        <v>0</v>
      </c>
      <c r="S815" s="10">
        <f t="shared" si="308"/>
        <v>0</v>
      </c>
      <c r="T815" s="10">
        <f t="shared" si="308"/>
        <v>29.684662857142854</v>
      </c>
      <c r="U815" s="10">
        <f t="shared" si="308"/>
        <v>0</v>
      </c>
      <c r="V815" s="10">
        <f t="shared" si="308"/>
        <v>0</v>
      </c>
      <c r="W815" s="10">
        <f t="shared" si="308"/>
        <v>0</v>
      </c>
      <c r="X815" s="10">
        <f t="shared" si="309"/>
        <v>29.684662857142854</v>
      </c>
      <c r="Y815" s="10"/>
      <c r="Z815" s="10"/>
      <c r="AA815" s="10"/>
      <c r="AB815" s="10"/>
      <c r="AC815" s="10"/>
      <c r="AD815" s="10"/>
      <c r="AE815" s="10"/>
    </row>
    <row r="816" spans="1:32" s="3" customFormat="1" ht="20.100000000000001" customHeight="1" x14ac:dyDescent="0.2">
      <c r="A816" s="87"/>
      <c r="B816" s="10" t="s">
        <v>67</v>
      </c>
      <c r="C816" s="93" t="s">
        <v>73</v>
      </c>
      <c r="D816" s="10">
        <v>8</v>
      </c>
      <c r="E816" s="10">
        <v>0.1</v>
      </c>
      <c r="F816" s="10">
        <f>ROUND(IF(E812/3&gt;(2*G812),(E812/3)/E816,(2*G812)/E816),0)*2+1</f>
        <v>41</v>
      </c>
      <c r="H816" s="10"/>
      <c r="I816" s="10"/>
      <c r="J816" s="10"/>
      <c r="K816" s="10"/>
      <c r="L816" s="10"/>
      <c r="M816" s="10"/>
      <c r="N816" s="10"/>
      <c r="O816" s="10">
        <f>(2*((G812-(2*$D$11))+(F812-(2*$D$11)))+(2*10*D816/1000))*D812</f>
        <v>2.02</v>
      </c>
      <c r="P816" s="10">
        <f t="shared" si="307"/>
        <v>82.820000000000007</v>
      </c>
      <c r="Q816" s="10">
        <f t="shared" si="308"/>
        <v>32.692603428571431</v>
      </c>
      <c r="R816" s="10">
        <f t="shared" si="308"/>
        <v>0</v>
      </c>
      <c r="S816" s="10">
        <f t="shared" si="308"/>
        <v>0</v>
      </c>
      <c r="T816" s="10">
        <f t="shared" si="308"/>
        <v>0</v>
      </c>
      <c r="U816" s="10">
        <f t="shared" si="308"/>
        <v>0</v>
      </c>
      <c r="V816" s="10">
        <f t="shared" si="308"/>
        <v>0</v>
      </c>
      <c r="W816" s="10">
        <f t="shared" si="308"/>
        <v>0</v>
      </c>
      <c r="X816" s="10">
        <f t="shared" si="309"/>
        <v>32.692603428571431</v>
      </c>
      <c r="Y816" s="10"/>
      <c r="Z816" s="10"/>
      <c r="AA816" s="10"/>
      <c r="AB816" s="10"/>
      <c r="AC816" s="10"/>
      <c r="AD816" s="10"/>
      <c r="AE816" s="10"/>
    </row>
    <row r="817" spans="1:32" s="2" customFormat="1" ht="20.100000000000001" customHeight="1" x14ac:dyDescent="0.2">
      <c r="B817" s="10" t="s">
        <v>67</v>
      </c>
      <c r="C817" s="93" t="s">
        <v>73</v>
      </c>
      <c r="D817" s="2">
        <f>D816</f>
        <v>8</v>
      </c>
      <c r="E817" s="2">
        <v>0.125</v>
      </c>
      <c r="F817" s="2">
        <f>ROUND((E812-(IF(E812/3&gt;2*G812,E812/3*2,G812*2*2)))/E817,0)</f>
        <v>16</v>
      </c>
      <c r="G817" s="3"/>
      <c r="O817" s="10">
        <f>(2*((G812-(2*$D$11))+(F812-(2*$D$11)))+(2*10*D817/1000))*D812</f>
        <v>2.02</v>
      </c>
      <c r="P817" s="10">
        <f t="shared" si="307"/>
        <v>32.32</v>
      </c>
      <c r="Q817" s="10">
        <f t="shared" si="308"/>
        <v>12.758089142857145</v>
      </c>
      <c r="R817" s="10">
        <f t="shared" si="308"/>
        <v>0</v>
      </c>
      <c r="S817" s="10">
        <f t="shared" si="308"/>
        <v>0</v>
      </c>
      <c r="T817" s="10">
        <f t="shared" si="308"/>
        <v>0</v>
      </c>
      <c r="U817" s="10">
        <f t="shared" si="308"/>
        <v>0</v>
      </c>
      <c r="V817" s="10">
        <f t="shared" si="308"/>
        <v>0</v>
      </c>
      <c r="W817" s="10">
        <f t="shared" si="308"/>
        <v>0</v>
      </c>
      <c r="X817" s="10">
        <f t="shared" si="309"/>
        <v>12.758089142857145</v>
      </c>
    </row>
    <row r="818" spans="1:32" s="2" customFormat="1" ht="20.100000000000001" customHeight="1" x14ac:dyDescent="0.2">
      <c r="B818" s="10" t="s">
        <v>67</v>
      </c>
      <c r="C818" s="93" t="s">
        <v>74</v>
      </c>
      <c r="D818" s="2">
        <f>D816</f>
        <v>8</v>
      </c>
      <c r="E818" s="2">
        <f>+E816</f>
        <v>0.1</v>
      </c>
      <c r="F818" s="10">
        <f>ROUND(IF(E812/3&gt;(2*G812),(E812/3)/E818,(2*G812)/E818),0)*2+1</f>
        <v>41</v>
      </c>
      <c r="G818" s="3"/>
      <c r="O818" s="10">
        <f>((((G812-(2*$D$11))+(2*10*D818/1000))*D812))*2</f>
        <v>1.4000000000000001</v>
      </c>
      <c r="P818" s="10">
        <f t="shared" si="307"/>
        <v>57.400000000000006</v>
      </c>
      <c r="Q818" s="10">
        <f t="shared" si="308"/>
        <v>22.658240000000003</v>
      </c>
      <c r="R818" s="10">
        <f t="shared" si="308"/>
        <v>0</v>
      </c>
      <c r="S818" s="10">
        <f t="shared" si="308"/>
        <v>0</v>
      </c>
      <c r="T818" s="10">
        <f t="shared" si="308"/>
        <v>0</v>
      </c>
      <c r="U818" s="10">
        <f t="shared" si="308"/>
        <v>0</v>
      </c>
      <c r="V818" s="10">
        <f t="shared" si="308"/>
        <v>0</v>
      </c>
      <c r="W818" s="10">
        <f t="shared" si="308"/>
        <v>0</v>
      </c>
      <c r="X818" s="10">
        <f t="shared" si="309"/>
        <v>22.658240000000003</v>
      </c>
    </row>
    <row r="819" spans="1:32" s="2" customFormat="1" ht="20.100000000000001" customHeight="1" x14ac:dyDescent="0.2">
      <c r="B819" s="10" t="s">
        <v>67</v>
      </c>
      <c r="C819" s="93" t="s">
        <v>74</v>
      </c>
      <c r="D819" s="2">
        <f>D817</f>
        <v>8</v>
      </c>
      <c r="E819" s="2">
        <f>+E817</f>
        <v>0.125</v>
      </c>
      <c r="F819" s="2">
        <f>ROUND((E812-(IF(E812/3&gt;2*G812,E812/3*2,G812*2*2)))/E819,0)</f>
        <v>16</v>
      </c>
      <c r="G819" s="3"/>
      <c r="O819" s="10">
        <f>((((G812-(2*$D$11))+(2*10*D819/1000))*D812))*2</f>
        <v>1.4000000000000001</v>
      </c>
      <c r="P819" s="10">
        <f t="shared" si="307"/>
        <v>22.400000000000002</v>
      </c>
      <c r="Q819" s="10">
        <f t="shared" si="308"/>
        <v>8.8422400000000021</v>
      </c>
      <c r="R819" s="10">
        <f t="shared" si="308"/>
        <v>0</v>
      </c>
      <c r="S819" s="10">
        <f t="shared" si="308"/>
        <v>0</v>
      </c>
      <c r="T819" s="10">
        <f t="shared" si="308"/>
        <v>0</v>
      </c>
      <c r="U819" s="10">
        <f t="shared" si="308"/>
        <v>0</v>
      </c>
      <c r="V819" s="10">
        <f t="shared" si="308"/>
        <v>0</v>
      </c>
      <c r="W819" s="10">
        <f t="shared" si="308"/>
        <v>0</v>
      </c>
      <c r="X819" s="10">
        <f t="shared" si="309"/>
        <v>8.8422400000000021</v>
      </c>
    </row>
    <row r="820" spans="1:32" s="3" customFormat="1" ht="20.100000000000001" customHeight="1" x14ac:dyDescent="0.2">
      <c r="A820" s="87"/>
      <c r="B820" s="10" t="s">
        <v>67</v>
      </c>
      <c r="C820" s="93" t="s">
        <v>75</v>
      </c>
      <c r="D820" s="10">
        <f>+$D$15</f>
        <v>25</v>
      </c>
      <c r="E820" s="10">
        <f>+$E$15</f>
        <v>1</v>
      </c>
      <c r="F820" s="10">
        <f>ROUNDUP((O815)/E820,0)</f>
        <v>5</v>
      </c>
      <c r="G820" s="90"/>
      <c r="H820" s="90"/>
      <c r="I820" s="10"/>
      <c r="J820" s="10"/>
      <c r="K820" s="10"/>
      <c r="L820" s="10"/>
      <c r="M820" s="10"/>
      <c r="N820" s="10"/>
      <c r="O820" s="10">
        <f>F812-$F$15</f>
        <v>0.39</v>
      </c>
      <c r="P820" s="10">
        <f t="shared" si="307"/>
        <v>1.9500000000000002</v>
      </c>
      <c r="Q820" s="10">
        <f t="shared" si="308"/>
        <v>0</v>
      </c>
      <c r="R820" s="10">
        <f t="shared" si="308"/>
        <v>0</v>
      </c>
      <c r="S820" s="10">
        <f t="shared" si="308"/>
        <v>0</v>
      </c>
      <c r="T820" s="10">
        <f t="shared" si="308"/>
        <v>0</v>
      </c>
      <c r="U820" s="10">
        <f t="shared" si="308"/>
        <v>0</v>
      </c>
      <c r="V820" s="10">
        <f t="shared" si="308"/>
        <v>7.5170758928571448</v>
      </c>
      <c r="W820" s="10">
        <f t="shared" si="308"/>
        <v>0</v>
      </c>
      <c r="X820" s="10">
        <f t="shared" si="309"/>
        <v>7.5170758928571448</v>
      </c>
      <c r="Y820" s="10"/>
      <c r="Z820" s="10"/>
      <c r="AA820" s="10"/>
      <c r="AB820" s="10"/>
      <c r="AC820" s="10"/>
      <c r="AD820" s="10"/>
      <c r="AE820" s="10"/>
    </row>
    <row r="821" spans="1:32" s="3" customFormat="1" ht="21" customHeight="1" x14ac:dyDescent="0.2">
      <c r="A821" s="10">
        <v>1</v>
      </c>
      <c r="B821" s="10" t="s">
        <v>67</v>
      </c>
      <c r="C821" s="91" t="s">
        <v>183</v>
      </c>
      <c r="D821" s="91">
        <v>1</v>
      </c>
      <c r="E821" s="91">
        <v>2.4</v>
      </c>
      <c r="F821" s="91">
        <v>0.3</v>
      </c>
      <c r="G821" s="91">
        <v>1.1000000000000001</v>
      </c>
      <c r="H821" s="10">
        <f>G821-0.2</f>
        <v>0.90000000000000013</v>
      </c>
      <c r="I821" s="10">
        <f>E821*F821*G821*D821</f>
        <v>0.79200000000000004</v>
      </c>
      <c r="J821" s="10">
        <f>(2*(E821)*H821*D821)+(E821*F821)</f>
        <v>5.04</v>
      </c>
      <c r="K821" s="92">
        <f>IF(E821=0.3,J821,0)</f>
        <v>0</v>
      </c>
      <c r="L821" s="92">
        <f>IF(AND(E821&gt;0.3,E821&lt;=0.75),J821,0)</f>
        <v>0</v>
      </c>
      <c r="M821" s="92">
        <f>IF(AND(E821&gt;0.75,E821&lt;=1.2),J821,0)</f>
        <v>0</v>
      </c>
      <c r="N821" s="92">
        <f>IF(E821&gt;1.2,J821,0)</f>
        <v>5.04</v>
      </c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>
        <f>SUM(X822:X827)/I821</f>
        <v>109.77838730158732</v>
      </c>
      <c r="Z821" s="10"/>
      <c r="AA821" s="10"/>
      <c r="AB821" s="10"/>
      <c r="AC821" s="10"/>
      <c r="AD821" s="10"/>
      <c r="AE821" s="10"/>
      <c r="AF821" s="10"/>
    </row>
    <row r="822" spans="1:32" s="3" customFormat="1" ht="20.100000000000001" customHeight="1" x14ac:dyDescent="0.2">
      <c r="A822" s="87"/>
      <c r="B822" s="10" t="s">
        <v>67</v>
      </c>
      <c r="C822" s="93" t="s">
        <v>69</v>
      </c>
      <c r="D822" s="10">
        <v>16</v>
      </c>
      <c r="E822" s="10"/>
      <c r="F822" s="10">
        <v>3</v>
      </c>
      <c r="G822" s="90">
        <f>VLOOKUP(D822,$C$20:$F$26,3,0)</f>
        <v>0.85</v>
      </c>
      <c r="H822" s="90"/>
      <c r="I822" s="10"/>
      <c r="J822" s="10"/>
      <c r="K822" s="10"/>
      <c r="L822" s="10"/>
      <c r="M822" s="10"/>
      <c r="N822" s="10"/>
      <c r="O822" s="10">
        <f>(E821+2*(G822+(12*D822/1000))*D821)</f>
        <v>4.484</v>
      </c>
      <c r="P822" s="10">
        <f t="shared" ref="P822:P824" si="310">O822*F822</f>
        <v>13.452</v>
      </c>
      <c r="Q822" s="10">
        <f t="shared" ref="Q822:W827" si="311">IF($D822=Q$44,$P822*Q$45,0)</f>
        <v>0</v>
      </c>
      <c r="R822" s="10">
        <f t="shared" si="311"/>
        <v>0</v>
      </c>
      <c r="S822" s="10">
        <f t="shared" si="311"/>
        <v>0</v>
      </c>
      <c r="T822" s="10">
        <f t="shared" si="311"/>
        <v>21.240323657142859</v>
      </c>
      <c r="U822" s="10">
        <f t="shared" si="311"/>
        <v>0</v>
      </c>
      <c r="V822" s="10">
        <f t="shared" si="311"/>
        <v>0</v>
      </c>
      <c r="W822" s="10">
        <f t="shared" si="311"/>
        <v>0</v>
      </c>
      <c r="X822" s="10">
        <f t="shared" ref="X822:X827" si="312">SUM(Q822:W822)</f>
        <v>21.240323657142859</v>
      </c>
      <c r="Y822" s="10"/>
      <c r="Z822" s="10"/>
      <c r="AA822" s="10"/>
      <c r="AB822" s="10"/>
      <c r="AC822" s="10"/>
      <c r="AD822" s="10"/>
      <c r="AE822" s="10"/>
    </row>
    <row r="823" spans="1:32" s="3" customFormat="1" ht="20.100000000000001" customHeight="1" x14ac:dyDescent="0.2">
      <c r="A823" s="87"/>
      <c r="B823" s="10" t="s">
        <v>67</v>
      </c>
      <c r="C823" s="93" t="s">
        <v>158</v>
      </c>
      <c r="D823" s="10">
        <v>16</v>
      </c>
      <c r="E823" s="10"/>
      <c r="F823" s="10">
        <v>3</v>
      </c>
      <c r="G823" s="90">
        <f>VLOOKUP(D823,$C$20:$F$26,3,0)</f>
        <v>0.85</v>
      </c>
      <c r="H823" s="90"/>
      <c r="I823" s="10"/>
      <c r="J823" s="10"/>
      <c r="K823" s="10"/>
      <c r="L823" s="10"/>
      <c r="M823" s="10"/>
      <c r="N823" s="10"/>
      <c r="O823" s="10">
        <f>(E821+2*(G823+(12*D823/1000))*D821)</f>
        <v>4.484</v>
      </c>
      <c r="P823" s="10">
        <f t="shared" si="310"/>
        <v>13.452</v>
      </c>
      <c r="Q823" s="10">
        <f t="shared" si="311"/>
        <v>0</v>
      </c>
      <c r="R823" s="10">
        <f t="shared" si="311"/>
        <v>0</v>
      </c>
      <c r="S823" s="10">
        <f t="shared" si="311"/>
        <v>0</v>
      </c>
      <c r="T823" s="10">
        <f t="shared" si="311"/>
        <v>21.240323657142859</v>
      </c>
      <c r="U823" s="10">
        <f t="shared" si="311"/>
        <v>0</v>
      </c>
      <c r="V823" s="10">
        <f t="shared" si="311"/>
        <v>0</v>
      </c>
      <c r="W823" s="10">
        <f t="shared" si="311"/>
        <v>0</v>
      </c>
      <c r="X823" s="10">
        <f t="shared" si="312"/>
        <v>21.240323657142859</v>
      </c>
      <c r="Y823" s="10"/>
      <c r="Z823" s="10"/>
      <c r="AA823" s="10"/>
      <c r="AB823" s="10"/>
      <c r="AC823" s="10"/>
      <c r="AD823" s="10"/>
      <c r="AE823" s="10"/>
    </row>
    <row r="824" spans="1:32" s="3" customFormat="1" ht="20.100000000000001" customHeight="1" x14ac:dyDescent="0.2">
      <c r="A824" s="87"/>
      <c r="B824" s="10" t="s">
        <v>67</v>
      </c>
      <c r="C824" s="93" t="s">
        <v>73</v>
      </c>
      <c r="D824" s="10">
        <v>8</v>
      </c>
      <c r="E824" s="10">
        <v>0.1</v>
      </c>
      <c r="F824" s="10">
        <f>ROUNDUP((E821/3*2)/E824,0)+1</f>
        <v>17</v>
      </c>
      <c r="H824" s="10"/>
      <c r="I824" s="10"/>
      <c r="J824" s="10"/>
      <c r="K824" s="10"/>
      <c r="L824" s="10"/>
      <c r="M824" s="10"/>
      <c r="N824" s="10"/>
      <c r="O824" s="10">
        <f>(2*((G821-(2*$D$11))+(F821-(2*$D$11)))+(2*10*D824/1000))*D821</f>
        <v>2.72</v>
      </c>
      <c r="P824" s="10">
        <f t="shared" si="310"/>
        <v>46.24</v>
      </c>
      <c r="Q824" s="10">
        <f t="shared" si="311"/>
        <v>18.252909714285718</v>
      </c>
      <c r="R824" s="10">
        <f t="shared" si="311"/>
        <v>0</v>
      </c>
      <c r="S824" s="10">
        <f t="shared" si="311"/>
        <v>0</v>
      </c>
      <c r="T824" s="10">
        <f t="shared" si="311"/>
        <v>0</v>
      </c>
      <c r="U824" s="10">
        <f t="shared" si="311"/>
        <v>0</v>
      </c>
      <c r="V824" s="10">
        <f t="shared" si="311"/>
        <v>0</v>
      </c>
      <c r="W824" s="10">
        <f t="shared" si="311"/>
        <v>0</v>
      </c>
      <c r="X824" s="10">
        <f t="shared" si="312"/>
        <v>18.252909714285718</v>
      </c>
      <c r="Y824" s="10"/>
      <c r="Z824" s="10"/>
      <c r="AA824" s="10"/>
      <c r="AB824" s="10"/>
      <c r="AC824" s="10"/>
      <c r="AD824" s="10"/>
      <c r="AE824" s="10"/>
    </row>
    <row r="825" spans="1:32" s="2" customFormat="1" ht="20.100000000000001" customHeight="1" x14ac:dyDescent="0.2">
      <c r="B825" s="10" t="s">
        <v>67</v>
      </c>
      <c r="C825" s="93" t="s">
        <v>73</v>
      </c>
      <c r="D825" s="2">
        <f>D824</f>
        <v>8</v>
      </c>
      <c r="E825" s="2">
        <v>0.2</v>
      </c>
      <c r="F825" s="10">
        <f>ROUNDUP((E821/3)/E825,0)+1</f>
        <v>5</v>
      </c>
      <c r="G825" s="3"/>
      <c r="O825" s="10">
        <f>(2*((G821-(2*$D$11))+(F821-(2*$D$11)))+(2*10*D825/1000))*D821</f>
        <v>2.72</v>
      </c>
      <c r="P825" s="10">
        <f>O825*F825</f>
        <v>13.600000000000001</v>
      </c>
      <c r="Q825" s="10">
        <f t="shared" si="311"/>
        <v>5.3685028571428584</v>
      </c>
      <c r="R825" s="10">
        <f t="shared" si="311"/>
        <v>0</v>
      </c>
      <c r="S825" s="10">
        <f t="shared" si="311"/>
        <v>0</v>
      </c>
      <c r="T825" s="10">
        <f t="shared" si="311"/>
        <v>0</v>
      </c>
      <c r="U825" s="10">
        <f t="shared" si="311"/>
        <v>0</v>
      </c>
      <c r="V825" s="10">
        <f t="shared" si="311"/>
        <v>0</v>
      </c>
      <c r="W825" s="10">
        <f t="shared" si="311"/>
        <v>0</v>
      </c>
      <c r="X825" s="10">
        <f t="shared" si="312"/>
        <v>5.3685028571428584</v>
      </c>
    </row>
    <row r="826" spans="1:32" s="2" customFormat="1" ht="20.100000000000001" customHeight="1" x14ac:dyDescent="0.2">
      <c r="B826" s="10" t="s">
        <v>67</v>
      </c>
      <c r="C826" s="93" t="s">
        <v>74</v>
      </c>
      <c r="D826" s="2">
        <f>D824</f>
        <v>8</v>
      </c>
      <c r="E826" s="2">
        <f>+E824</f>
        <v>0.1</v>
      </c>
      <c r="F826" s="10">
        <f>ROUNDUP((E821/3*2)/E826,0)+1</f>
        <v>17</v>
      </c>
      <c r="G826" s="3"/>
      <c r="O826" s="10">
        <f>((((G821-(2*$D$11))+(2*10*D826/1000))*D821))*2</f>
        <v>2.4</v>
      </c>
      <c r="P826" s="10">
        <f t="shared" ref="P826" si="313">O826*F826</f>
        <v>40.799999999999997</v>
      </c>
      <c r="Q826" s="10">
        <f t="shared" si="311"/>
        <v>16.105508571428572</v>
      </c>
      <c r="R826" s="10">
        <f t="shared" si="311"/>
        <v>0</v>
      </c>
      <c r="S826" s="10">
        <f t="shared" si="311"/>
        <v>0</v>
      </c>
      <c r="T826" s="10">
        <f t="shared" si="311"/>
        <v>0</v>
      </c>
      <c r="U826" s="10">
        <f t="shared" si="311"/>
        <v>0</v>
      </c>
      <c r="V826" s="10">
        <f t="shared" si="311"/>
        <v>0</v>
      </c>
      <c r="W826" s="10">
        <f t="shared" si="311"/>
        <v>0</v>
      </c>
      <c r="X826" s="10">
        <f t="shared" si="312"/>
        <v>16.105508571428572</v>
      </c>
    </row>
    <row r="827" spans="1:32" s="2" customFormat="1" ht="20.100000000000001" customHeight="1" x14ac:dyDescent="0.2">
      <c r="B827" s="10" t="s">
        <v>67</v>
      </c>
      <c r="C827" s="93" t="s">
        <v>74</v>
      </c>
      <c r="D827" s="2">
        <f>D825</f>
        <v>8</v>
      </c>
      <c r="E827" s="2">
        <f>+E825</f>
        <v>0.2</v>
      </c>
      <c r="F827" s="10">
        <f>ROUNDUP((E821/3)/E827,0)+1</f>
        <v>5</v>
      </c>
      <c r="G827" s="3"/>
      <c r="O827" s="10">
        <f>((((G821-(2*$D$11))+(2*10*D827/1000))*D821))*2</f>
        <v>2.4</v>
      </c>
      <c r="P827" s="10">
        <f>O827*F827</f>
        <v>12</v>
      </c>
      <c r="Q827" s="10">
        <f t="shared" si="311"/>
        <v>4.7369142857142865</v>
      </c>
      <c r="R827" s="10">
        <f t="shared" si="311"/>
        <v>0</v>
      </c>
      <c r="S827" s="10">
        <f t="shared" si="311"/>
        <v>0</v>
      </c>
      <c r="T827" s="10">
        <f t="shared" si="311"/>
        <v>0</v>
      </c>
      <c r="U827" s="10">
        <f t="shared" si="311"/>
        <v>0</v>
      </c>
      <c r="V827" s="10">
        <f t="shared" si="311"/>
        <v>0</v>
      </c>
      <c r="W827" s="10">
        <f t="shared" si="311"/>
        <v>0</v>
      </c>
      <c r="X827" s="10">
        <f t="shared" si="312"/>
        <v>4.7369142857142865</v>
      </c>
    </row>
    <row r="828" spans="1:32" s="3" customFormat="1" ht="21" customHeight="1" x14ac:dyDescent="0.2">
      <c r="A828" s="10">
        <v>1</v>
      </c>
      <c r="B828" s="10" t="s">
        <v>67</v>
      </c>
      <c r="C828" s="91" t="s">
        <v>185</v>
      </c>
      <c r="D828" s="91">
        <v>1</v>
      </c>
      <c r="E828" s="91">
        <v>4.4249999999999998</v>
      </c>
      <c r="F828" s="91">
        <v>0.3</v>
      </c>
      <c r="G828" s="91">
        <v>1.1000000000000001</v>
      </c>
      <c r="H828" s="10">
        <f>G828-0.2</f>
        <v>0.90000000000000013</v>
      </c>
      <c r="I828" s="10">
        <f>E828*F828*G828*D828</f>
        <v>1.46025</v>
      </c>
      <c r="J828" s="10">
        <f>(2*(E828)*H828*D828)+(E828*F828)</f>
        <v>9.2925000000000004</v>
      </c>
      <c r="K828" s="92">
        <f>IF(E828=0.3,J828,0)</f>
        <v>0</v>
      </c>
      <c r="L828" s="92">
        <f>IF(AND(E828&gt;0.3,E828&lt;=0.75),J828,0)</f>
        <v>0</v>
      </c>
      <c r="M828" s="92">
        <f>IF(AND(E828&gt;0.75,E828&lt;=1.2),J828,0)</f>
        <v>0</v>
      </c>
      <c r="N828" s="92">
        <f>IF(E828&gt;1.2,J828,0)</f>
        <v>9.2925000000000004</v>
      </c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>
        <f>SUM(X829:X834)/I828</f>
        <v>146.80027979553401</v>
      </c>
      <c r="Z828" s="10"/>
      <c r="AA828" s="10"/>
      <c r="AB828" s="10"/>
      <c r="AC828" s="10"/>
      <c r="AD828" s="10"/>
      <c r="AE828" s="10"/>
      <c r="AF828" s="10"/>
    </row>
    <row r="829" spans="1:32" s="3" customFormat="1" ht="20.100000000000001" customHeight="1" x14ac:dyDescent="0.2">
      <c r="A829" s="87"/>
      <c r="B829" s="10" t="s">
        <v>67</v>
      </c>
      <c r="C829" s="93" t="s">
        <v>69</v>
      </c>
      <c r="D829" s="10">
        <v>20</v>
      </c>
      <c r="E829" s="10"/>
      <c r="F829" s="10">
        <v>4</v>
      </c>
      <c r="G829" s="90">
        <f>VLOOKUP(D829,$C$20:$F$26,3,0)</f>
        <v>1.05</v>
      </c>
      <c r="H829" s="90"/>
      <c r="I829" s="10"/>
      <c r="J829" s="10"/>
      <c r="K829" s="10"/>
      <c r="L829" s="10"/>
      <c r="M829" s="10"/>
      <c r="N829" s="10"/>
      <c r="O829" s="10">
        <f>(E828+1*(G829+(12*D829/1000))+G829*D828)</f>
        <v>6.7649999999999997</v>
      </c>
      <c r="P829" s="10">
        <f t="shared" ref="P829:P831" si="314">O829*F829</f>
        <v>27.06</v>
      </c>
      <c r="Q829" s="10">
        <f t="shared" ref="Q829:W847" si="315">IF($D829=Q$44,$P829*Q$45,0)</f>
        <v>0</v>
      </c>
      <c r="R829" s="10">
        <f t="shared" si="315"/>
        <v>0</v>
      </c>
      <c r="S829" s="10">
        <f t="shared" si="315"/>
        <v>0</v>
      </c>
      <c r="T829" s="10">
        <f t="shared" si="315"/>
        <v>0</v>
      </c>
      <c r="U829" s="10">
        <f t="shared" si="315"/>
        <v>66.760885714285706</v>
      </c>
      <c r="V829" s="10">
        <f t="shared" si="315"/>
        <v>0</v>
      </c>
      <c r="W829" s="10">
        <f t="shared" si="315"/>
        <v>0</v>
      </c>
      <c r="X829" s="10">
        <f t="shared" ref="X829:X834" si="316">SUM(Q829:W829)</f>
        <v>66.760885714285706</v>
      </c>
      <c r="Y829" s="10"/>
      <c r="Z829" s="10"/>
      <c r="AA829" s="10"/>
      <c r="AB829" s="10"/>
      <c r="AC829" s="10"/>
      <c r="AD829" s="10"/>
      <c r="AE829" s="10"/>
    </row>
    <row r="830" spans="1:32" s="3" customFormat="1" ht="20.100000000000001" customHeight="1" x14ac:dyDescent="0.2">
      <c r="A830" s="87"/>
      <c r="B830" s="10" t="s">
        <v>67</v>
      </c>
      <c r="C830" s="93" t="s">
        <v>158</v>
      </c>
      <c r="D830" s="10">
        <v>20</v>
      </c>
      <c r="E830" s="10"/>
      <c r="F830" s="10">
        <v>4</v>
      </c>
      <c r="G830" s="90">
        <f>VLOOKUP(D830,$C$20:$F$26,3,0)</f>
        <v>1.05</v>
      </c>
      <c r="H830" s="90"/>
      <c r="I830" s="10"/>
      <c r="J830" s="10"/>
      <c r="K830" s="10"/>
      <c r="L830" s="10"/>
      <c r="M830" s="10"/>
      <c r="N830" s="10"/>
      <c r="O830" s="10">
        <f>(E828+1*(G830+(12*D830/1000))+G830*D828)</f>
        <v>6.7649999999999997</v>
      </c>
      <c r="P830" s="10">
        <f t="shared" si="314"/>
        <v>27.06</v>
      </c>
      <c r="Q830" s="10">
        <f t="shared" si="315"/>
        <v>0</v>
      </c>
      <c r="R830" s="10">
        <f t="shared" si="315"/>
        <v>0</v>
      </c>
      <c r="S830" s="10">
        <f t="shared" si="315"/>
        <v>0</v>
      </c>
      <c r="T830" s="10">
        <f t="shared" si="315"/>
        <v>0</v>
      </c>
      <c r="U830" s="10">
        <f t="shared" si="315"/>
        <v>66.760885714285706</v>
      </c>
      <c r="V830" s="10">
        <f t="shared" si="315"/>
        <v>0</v>
      </c>
      <c r="W830" s="10">
        <f t="shared" si="315"/>
        <v>0</v>
      </c>
      <c r="X830" s="10">
        <f t="shared" si="316"/>
        <v>66.760885714285706</v>
      </c>
      <c r="Y830" s="10"/>
      <c r="Z830" s="10"/>
      <c r="AA830" s="10"/>
      <c r="AB830" s="10"/>
      <c r="AC830" s="10"/>
      <c r="AD830" s="10"/>
      <c r="AE830" s="10"/>
    </row>
    <row r="831" spans="1:32" s="3" customFormat="1" ht="20.100000000000001" customHeight="1" x14ac:dyDescent="0.2">
      <c r="A831" s="87"/>
      <c r="B831" s="10" t="s">
        <v>67</v>
      </c>
      <c r="C831" s="93" t="s">
        <v>73</v>
      </c>
      <c r="D831" s="10">
        <v>8</v>
      </c>
      <c r="E831" s="10">
        <v>0.1</v>
      </c>
      <c r="F831" s="10">
        <f>ROUNDUP((E828/3*2)/E831,0)+1</f>
        <v>31</v>
      </c>
      <c r="H831" s="10"/>
      <c r="I831" s="10"/>
      <c r="J831" s="10"/>
      <c r="K831" s="10"/>
      <c r="L831" s="10"/>
      <c r="M831" s="10"/>
      <c r="N831" s="10"/>
      <c r="O831" s="10">
        <f>(2*((G828-(2*$D$11))+(F828-(2*$D$11)))+(2*10*D831/1000))*D828</f>
        <v>2.72</v>
      </c>
      <c r="P831" s="10">
        <f t="shared" si="314"/>
        <v>84.320000000000007</v>
      </c>
      <c r="Q831" s="10">
        <f t="shared" si="315"/>
        <v>33.284717714285719</v>
      </c>
      <c r="R831" s="10">
        <f t="shared" si="315"/>
        <v>0</v>
      </c>
      <c r="S831" s="10">
        <f t="shared" si="315"/>
        <v>0</v>
      </c>
      <c r="T831" s="10">
        <f t="shared" si="315"/>
        <v>0</v>
      </c>
      <c r="U831" s="10">
        <f t="shared" si="315"/>
        <v>0</v>
      </c>
      <c r="V831" s="10">
        <f t="shared" si="315"/>
        <v>0</v>
      </c>
      <c r="W831" s="10">
        <f t="shared" si="315"/>
        <v>0</v>
      </c>
      <c r="X831" s="10">
        <f t="shared" si="316"/>
        <v>33.284717714285719</v>
      </c>
      <c r="Y831" s="10"/>
      <c r="Z831" s="10"/>
      <c r="AA831" s="10"/>
      <c r="AB831" s="10"/>
      <c r="AC831" s="10"/>
      <c r="AD831" s="10"/>
      <c r="AE831" s="10"/>
    </row>
    <row r="832" spans="1:32" s="2" customFormat="1" ht="20.100000000000001" customHeight="1" x14ac:dyDescent="0.2">
      <c r="B832" s="10" t="s">
        <v>67</v>
      </c>
      <c r="C832" s="93" t="s">
        <v>73</v>
      </c>
      <c r="D832" s="2">
        <f>D831</f>
        <v>8</v>
      </c>
      <c r="E832" s="2">
        <v>0.2</v>
      </c>
      <c r="F832" s="10">
        <f>ROUNDUP((E828/3)/E832,0)+1</f>
        <v>9</v>
      </c>
      <c r="G832" s="3"/>
      <c r="O832" s="10">
        <f>(2*((G828-(2*$D$11))+(F828-(2*$D$11)))+(2*10*D832/1000))*D828</f>
        <v>2.72</v>
      </c>
      <c r="P832" s="10">
        <f>O832*F832</f>
        <v>24.48</v>
      </c>
      <c r="Q832" s="10">
        <f t="shared" si="315"/>
        <v>9.6633051428571441</v>
      </c>
      <c r="R832" s="10">
        <f t="shared" si="315"/>
        <v>0</v>
      </c>
      <c r="S832" s="10">
        <f t="shared" si="315"/>
        <v>0</v>
      </c>
      <c r="T832" s="10">
        <f t="shared" si="315"/>
        <v>0</v>
      </c>
      <c r="U832" s="10">
        <f t="shared" si="315"/>
        <v>0</v>
      </c>
      <c r="V832" s="10">
        <f t="shared" si="315"/>
        <v>0</v>
      </c>
      <c r="W832" s="10">
        <f t="shared" si="315"/>
        <v>0</v>
      </c>
      <c r="X832" s="10">
        <f t="shared" si="316"/>
        <v>9.6633051428571441</v>
      </c>
    </row>
    <row r="833" spans="1:32" s="2" customFormat="1" ht="20.100000000000001" customHeight="1" x14ac:dyDescent="0.2">
      <c r="B833" s="10" t="s">
        <v>67</v>
      </c>
      <c r="C833" s="93" t="s">
        <v>74</v>
      </c>
      <c r="D833" s="2">
        <f>D831</f>
        <v>8</v>
      </c>
      <c r="E833" s="2">
        <f>+E831</f>
        <v>0.1</v>
      </c>
      <c r="F833" s="10">
        <f>ROUNDUP((E828/3*2)/E833,0)+1</f>
        <v>31</v>
      </c>
      <c r="G833" s="3"/>
      <c r="O833" s="10">
        <f>((((G828-(2*$D$11))+(2*10*D833/1000))*D828))*2</f>
        <v>2.4</v>
      </c>
      <c r="P833" s="10">
        <f t="shared" ref="P833" si="317">O833*F833</f>
        <v>74.399999999999991</v>
      </c>
      <c r="Q833" s="10">
        <f t="shared" si="315"/>
        <v>29.368868571428571</v>
      </c>
      <c r="R833" s="10">
        <f t="shared" si="315"/>
        <v>0</v>
      </c>
      <c r="S833" s="10">
        <f t="shared" si="315"/>
        <v>0</v>
      </c>
      <c r="T833" s="10">
        <f t="shared" si="315"/>
        <v>0</v>
      </c>
      <c r="U833" s="10">
        <f t="shared" si="315"/>
        <v>0</v>
      </c>
      <c r="V833" s="10">
        <f t="shared" si="315"/>
        <v>0</v>
      </c>
      <c r="W833" s="10">
        <f t="shared" si="315"/>
        <v>0</v>
      </c>
      <c r="X833" s="10">
        <f t="shared" si="316"/>
        <v>29.368868571428571</v>
      </c>
    </row>
    <row r="834" spans="1:32" s="2" customFormat="1" ht="20.100000000000001" customHeight="1" x14ac:dyDescent="0.2">
      <c r="B834" s="10" t="s">
        <v>67</v>
      </c>
      <c r="C834" s="93" t="s">
        <v>74</v>
      </c>
      <c r="D834" s="2">
        <f>D832</f>
        <v>8</v>
      </c>
      <c r="E834" s="2">
        <f>+E832</f>
        <v>0.2</v>
      </c>
      <c r="F834" s="10">
        <f>ROUNDUP((E828/3)/E834,0)+1</f>
        <v>9</v>
      </c>
      <c r="G834" s="3"/>
      <c r="O834" s="10">
        <f>((((G828-(2*$D$11))+(2*10*D834/1000))*D828))*2</f>
        <v>2.4</v>
      </c>
      <c r="P834" s="10">
        <f>O834*F834</f>
        <v>21.599999999999998</v>
      </c>
      <c r="Q834" s="10">
        <f t="shared" si="315"/>
        <v>8.526445714285714</v>
      </c>
      <c r="R834" s="10">
        <f t="shared" si="315"/>
        <v>0</v>
      </c>
      <c r="S834" s="10">
        <f t="shared" si="315"/>
        <v>0</v>
      </c>
      <c r="T834" s="10">
        <f t="shared" si="315"/>
        <v>0</v>
      </c>
      <c r="U834" s="10">
        <f t="shared" si="315"/>
        <v>0</v>
      </c>
      <c r="V834" s="10">
        <f t="shared" si="315"/>
        <v>0</v>
      </c>
      <c r="W834" s="10">
        <f t="shared" si="315"/>
        <v>0</v>
      </c>
      <c r="X834" s="10">
        <f t="shared" si="316"/>
        <v>8.526445714285714</v>
      </c>
    </row>
    <row r="835" spans="1:32" s="3" customFormat="1" ht="21" customHeight="1" x14ac:dyDescent="0.2">
      <c r="A835" s="10">
        <v>1</v>
      </c>
      <c r="B835" s="10" t="s">
        <v>67</v>
      </c>
      <c r="C835" s="91" t="s">
        <v>186</v>
      </c>
      <c r="D835" s="91">
        <v>2</v>
      </c>
      <c r="E835" s="91">
        <v>2</v>
      </c>
      <c r="F835" s="91">
        <v>0.45</v>
      </c>
      <c r="G835" s="91">
        <v>0.5</v>
      </c>
      <c r="H835" s="10">
        <f>G835-0.2</f>
        <v>0.3</v>
      </c>
      <c r="I835" s="10">
        <f>E835*F835*G835*D835</f>
        <v>0.9</v>
      </c>
      <c r="J835" s="10">
        <f>(2*(E835)*H835*D835)+(E835*F835)</f>
        <v>3.3</v>
      </c>
      <c r="K835" s="92">
        <f>IF(E835=0.3,J835,0)</f>
        <v>0</v>
      </c>
      <c r="L835" s="92">
        <f>IF(AND(E835&gt;0.3,E835&lt;=0.75),J835,0)</f>
        <v>0</v>
      </c>
      <c r="M835" s="92">
        <f>IF(AND(E835&gt;0.75,E835&lt;=1.2),J835,0)</f>
        <v>0</v>
      </c>
      <c r="N835" s="92">
        <f>IF(E835&gt;1.2,J835,0)</f>
        <v>3.3</v>
      </c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>
        <f>SUM(X836:X839)/I835</f>
        <v>166.99815873015874</v>
      </c>
      <c r="Z835" s="10"/>
      <c r="AA835" s="10"/>
      <c r="AB835" s="10"/>
      <c r="AC835" s="10"/>
      <c r="AD835" s="10"/>
      <c r="AE835" s="10"/>
      <c r="AF835" s="10"/>
    </row>
    <row r="836" spans="1:32" s="3" customFormat="1" ht="20.100000000000001" customHeight="1" x14ac:dyDescent="0.2">
      <c r="A836" s="87"/>
      <c r="B836" s="10" t="s">
        <v>67</v>
      </c>
      <c r="C836" s="93" t="s">
        <v>69</v>
      </c>
      <c r="D836" s="10">
        <v>20</v>
      </c>
      <c r="E836" s="10"/>
      <c r="F836" s="10">
        <v>4</v>
      </c>
      <c r="G836" s="90">
        <f>VLOOKUP(D836,$C$20:$F$26,3,0)</f>
        <v>1.05</v>
      </c>
      <c r="H836" s="90"/>
      <c r="I836" s="10"/>
      <c r="J836" s="10"/>
      <c r="K836" s="10"/>
      <c r="L836" s="10"/>
      <c r="M836" s="10"/>
      <c r="N836" s="10"/>
      <c r="O836" s="10">
        <f>(E835+1*(G836+(12*D836/1000))+1*(0.4/2)*D835)</f>
        <v>3.69</v>
      </c>
      <c r="P836" s="10">
        <f t="shared" ref="P836:P837" si="318">O836*F836</f>
        <v>14.76</v>
      </c>
      <c r="Q836" s="10">
        <f t="shared" si="315"/>
        <v>0</v>
      </c>
      <c r="R836" s="10">
        <f t="shared" si="315"/>
        <v>0</v>
      </c>
      <c r="S836" s="10">
        <f t="shared" si="315"/>
        <v>0</v>
      </c>
      <c r="T836" s="10">
        <f t="shared" si="315"/>
        <v>0</v>
      </c>
      <c r="U836" s="10">
        <f t="shared" si="315"/>
        <v>36.415028571428572</v>
      </c>
      <c r="V836" s="10">
        <f t="shared" si="315"/>
        <v>0</v>
      </c>
      <c r="W836" s="10">
        <f t="shared" si="315"/>
        <v>0</v>
      </c>
      <c r="X836" s="10">
        <f t="shared" ref="X836:X839" si="319">SUM(Q836:W836)</f>
        <v>36.415028571428572</v>
      </c>
      <c r="Y836" s="10"/>
      <c r="Z836" s="10"/>
      <c r="AA836" s="10"/>
      <c r="AB836" s="10"/>
      <c r="AC836" s="10"/>
      <c r="AD836" s="10"/>
      <c r="AE836" s="10"/>
    </row>
    <row r="837" spans="1:32" s="3" customFormat="1" ht="20.100000000000001" customHeight="1" x14ac:dyDescent="0.2">
      <c r="A837" s="87"/>
      <c r="B837" s="10" t="s">
        <v>67</v>
      </c>
      <c r="C837" s="93" t="s">
        <v>158</v>
      </c>
      <c r="D837" s="10">
        <v>20</v>
      </c>
      <c r="E837" s="10"/>
      <c r="F837" s="10">
        <v>4</v>
      </c>
      <c r="G837" s="90">
        <f>VLOOKUP(D837,$C$20:$F$26,3,0)</f>
        <v>1.05</v>
      </c>
      <c r="H837" s="90"/>
      <c r="I837" s="10"/>
      <c r="J837" s="10"/>
      <c r="K837" s="10"/>
      <c r="L837" s="10"/>
      <c r="M837" s="10"/>
      <c r="N837" s="10"/>
      <c r="O837" s="10">
        <f>(E835+1*(G837+(12*D837/1000))+1*(0.4/2)*D835)</f>
        <v>3.69</v>
      </c>
      <c r="P837" s="10">
        <f t="shared" si="318"/>
        <v>14.76</v>
      </c>
      <c r="Q837" s="10">
        <f t="shared" si="315"/>
        <v>0</v>
      </c>
      <c r="R837" s="10">
        <f t="shared" si="315"/>
        <v>0</v>
      </c>
      <c r="S837" s="10">
        <f t="shared" si="315"/>
        <v>0</v>
      </c>
      <c r="T837" s="10">
        <f t="shared" si="315"/>
        <v>0</v>
      </c>
      <c r="U837" s="10">
        <f t="shared" si="315"/>
        <v>36.415028571428572</v>
      </c>
      <c r="V837" s="10">
        <f t="shared" si="315"/>
        <v>0</v>
      </c>
      <c r="W837" s="10">
        <f t="shared" si="315"/>
        <v>0</v>
      </c>
      <c r="X837" s="10">
        <f t="shared" si="319"/>
        <v>36.415028571428572</v>
      </c>
      <c r="Y837" s="10"/>
      <c r="Z837" s="10"/>
      <c r="AA837" s="10"/>
      <c r="AB837" s="10"/>
      <c r="AC837" s="10"/>
      <c r="AD837" s="10"/>
      <c r="AE837" s="10"/>
    </row>
    <row r="838" spans="1:32" s="3" customFormat="1" ht="19.5" customHeight="1" x14ac:dyDescent="0.2">
      <c r="A838" s="87"/>
      <c r="B838" s="10" t="s">
        <v>67</v>
      </c>
      <c r="C838" s="93" t="s">
        <v>73</v>
      </c>
      <c r="D838" s="10">
        <v>10</v>
      </c>
      <c r="E838" s="10">
        <v>0.1</v>
      </c>
      <c r="F838" s="10">
        <f>ROUNDUP(E835/E838,0)</f>
        <v>20</v>
      </c>
      <c r="H838" s="10"/>
      <c r="I838" s="10"/>
      <c r="J838" s="10"/>
      <c r="K838" s="10"/>
      <c r="L838" s="10"/>
      <c r="M838" s="10"/>
      <c r="N838" s="10"/>
      <c r="O838" s="10">
        <f>(2*((G835-(2*$D$11))+(F835-(2*$D$11)))+(2*10*D838/1000))*D835</f>
        <v>3.72</v>
      </c>
      <c r="P838" s="10">
        <f>O838*F838</f>
        <v>74.400000000000006</v>
      </c>
      <c r="Q838" s="10">
        <f t="shared" si="315"/>
        <v>0</v>
      </c>
      <c r="R838" s="10">
        <f t="shared" si="315"/>
        <v>45.888857142857148</v>
      </c>
      <c r="S838" s="10">
        <f t="shared" si="315"/>
        <v>0</v>
      </c>
      <c r="T838" s="10">
        <f t="shared" si="315"/>
        <v>0</v>
      </c>
      <c r="U838" s="10">
        <f t="shared" si="315"/>
        <v>0</v>
      </c>
      <c r="V838" s="10">
        <f t="shared" si="315"/>
        <v>0</v>
      </c>
      <c r="W838" s="10">
        <f t="shared" si="315"/>
        <v>0</v>
      </c>
      <c r="X838" s="10">
        <f t="shared" si="319"/>
        <v>45.888857142857148</v>
      </c>
      <c r="Y838" s="10"/>
      <c r="Z838" s="10"/>
      <c r="AA838" s="10"/>
      <c r="AB838" s="10"/>
      <c r="AC838" s="10"/>
      <c r="AD838" s="10"/>
      <c r="AE838" s="10"/>
    </row>
    <row r="839" spans="1:32" s="2" customFormat="1" ht="20.100000000000001" customHeight="1" x14ac:dyDescent="0.2">
      <c r="B839" s="10" t="s">
        <v>67</v>
      </c>
      <c r="C839" s="93" t="s">
        <v>74</v>
      </c>
      <c r="D839" s="10">
        <f>+D838</f>
        <v>10</v>
      </c>
      <c r="E839" s="2">
        <f>+E838</f>
        <v>0.1</v>
      </c>
      <c r="F839" s="10">
        <f>ROUNDUP(E835/E839,0)</f>
        <v>20</v>
      </c>
      <c r="G839" s="3"/>
      <c r="O839" s="10">
        <f>((((G835-(2*$D$11))+(2*10*D839/1000))*D835))*2</f>
        <v>2.56</v>
      </c>
      <c r="P839" s="10">
        <f>O839*F839</f>
        <v>51.2</v>
      </c>
      <c r="Q839" s="10">
        <f t="shared" si="315"/>
        <v>0</v>
      </c>
      <c r="R839" s="10">
        <f t="shared" si="315"/>
        <v>31.579428571428572</v>
      </c>
      <c r="S839" s="10">
        <f t="shared" si="315"/>
        <v>0</v>
      </c>
      <c r="T839" s="10">
        <f t="shared" si="315"/>
        <v>0</v>
      </c>
      <c r="U839" s="10">
        <f t="shared" si="315"/>
        <v>0</v>
      </c>
      <c r="V839" s="10">
        <f t="shared" si="315"/>
        <v>0</v>
      </c>
      <c r="W839" s="10">
        <f t="shared" si="315"/>
        <v>0</v>
      </c>
      <c r="X839" s="10">
        <f t="shared" si="319"/>
        <v>31.579428571428572</v>
      </c>
    </row>
    <row r="840" spans="1:32" s="3" customFormat="1" ht="21" customHeight="1" x14ac:dyDescent="0.2">
      <c r="A840" s="10">
        <v>1</v>
      </c>
      <c r="B840" s="10" t="s">
        <v>67</v>
      </c>
      <c r="C840" s="91" t="s">
        <v>187</v>
      </c>
      <c r="D840" s="91">
        <v>2</v>
      </c>
      <c r="E840" s="91">
        <v>1.1100000000000001</v>
      </c>
      <c r="F840" s="91">
        <v>0.4</v>
      </c>
      <c r="G840" s="91">
        <v>1.1000000000000001</v>
      </c>
      <c r="H840" s="10">
        <f>G840-0.2</f>
        <v>0.90000000000000013</v>
      </c>
      <c r="I840" s="10">
        <f>E840*F840*G840*D840</f>
        <v>0.97680000000000022</v>
      </c>
      <c r="J840" s="10">
        <f>(2*(E840)*H840*D840)+(E840*F840)</f>
        <v>4.4400000000000013</v>
      </c>
      <c r="K840" s="92">
        <f>IF(E840=0.3,J840,0)</f>
        <v>0</v>
      </c>
      <c r="L840" s="92">
        <f>IF(AND(E840&gt;0.3,E840&lt;=0.75),J840,0)</f>
        <v>0</v>
      </c>
      <c r="M840" s="92">
        <f>IF(AND(E840&gt;0.75,E840&lt;=1.2),J840,0)</f>
        <v>4.4400000000000013</v>
      </c>
      <c r="N840" s="92">
        <f>IF(E840&gt;1.2,J840,0)</f>
        <v>0</v>
      </c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>
        <f>SUM(X841:X845)/I840</f>
        <v>212.36018018018012</v>
      </c>
      <c r="Z840" s="10"/>
      <c r="AA840" s="10"/>
      <c r="AB840" s="10"/>
      <c r="AC840" s="10"/>
      <c r="AD840" s="10"/>
      <c r="AE840" s="10"/>
      <c r="AF840" s="10"/>
    </row>
    <row r="841" spans="1:32" s="3" customFormat="1" ht="20.100000000000001" customHeight="1" x14ac:dyDescent="0.2">
      <c r="A841" s="87"/>
      <c r="B841" s="10" t="s">
        <v>67</v>
      </c>
      <c r="C841" s="93" t="s">
        <v>69</v>
      </c>
      <c r="D841" s="10">
        <v>20</v>
      </c>
      <c r="E841" s="10"/>
      <c r="F841" s="10">
        <v>4</v>
      </c>
      <c r="G841" s="90">
        <f>VLOOKUP(D841,$C$20:$F$26,3,0)</f>
        <v>1.05</v>
      </c>
      <c r="H841" s="90"/>
      <c r="I841" s="10"/>
      <c r="J841" s="10"/>
      <c r="K841" s="10"/>
      <c r="L841" s="10"/>
      <c r="M841" s="10"/>
      <c r="N841" s="10"/>
      <c r="O841" s="10">
        <f>(E840+1*(G841)+1*(0.4/2)*D840)</f>
        <v>2.56</v>
      </c>
      <c r="P841" s="10">
        <f>O841*F841</f>
        <v>10.24</v>
      </c>
      <c r="Q841" s="10">
        <f t="shared" si="315"/>
        <v>0</v>
      </c>
      <c r="R841" s="10">
        <f t="shared" si="315"/>
        <v>0</v>
      </c>
      <c r="S841" s="10">
        <f t="shared" si="315"/>
        <v>0</v>
      </c>
      <c r="T841" s="10">
        <f t="shared" si="315"/>
        <v>0</v>
      </c>
      <c r="U841" s="10">
        <f t="shared" si="315"/>
        <v>25.263542857142856</v>
      </c>
      <c r="V841" s="10">
        <f t="shared" si="315"/>
        <v>0</v>
      </c>
      <c r="W841" s="10">
        <f t="shared" si="315"/>
        <v>0</v>
      </c>
      <c r="X841" s="10">
        <f t="shared" ref="X841:X845" si="320">SUM(Q841:W841)</f>
        <v>25.263542857142856</v>
      </c>
      <c r="Y841" s="10"/>
      <c r="Z841" s="10"/>
      <c r="AA841" s="10"/>
      <c r="AB841" s="10"/>
      <c r="AC841" s="10"/>
      <c r="AD841" s="10"/>
      <c r="AE841" s="10"/>
    </row>
    <row r="842" spans="1:32" s="3" customFormat="1" ht="20.100000000000001" customHeight="1" x14ac:dyDescent="0.2">
      <c r="A842" s="87"/>
      <c r="B842" s="10" t="s">
        <v>67</v>
      </c>
      <c r="C842" s="93" t="s">
        <v>158</v>
      </c>
      <c r="D842" s="10">
        <v>20</v>
      </c>
      <c r="E842" s="10"/>
      <c r="F842" s="10">
        <v>4</v>
      </c>
      <c r="G842" s="90">
        <f>VLOOKUP(D842,$C$20:$F$26,3,0)</f>
        <v>1.05</v>
      </c>
      <c r="H842" s="90"/>
      <c r="I842" s="10"/>
      <c r="J842" s="10"/>
      <c r="K842" s="10"/>
      <c r="L842" s="10"/>
      <c r="M842" s="10"/>
      <c r="N842" s="10"/>
      <c r="O842" s="10">
        <f>(E840+1*(G842+(12*D842/1000))*D840)</f>
        <v>3.6900000000000004</v>
      </c>
      <c r="P842" s="10">
        <f t="shared" ref="P842:P843" si="321">O842*F842</f>
        <v>14.760000000000002</v>
      </c>
      <c r="Q842" s="10">
        <f t="shared" si="315"/>
        <v>0</v>
      </c>
      <c r="R842" s="10">
        <f t="shared" si="315"/>
        <v>0</v>
      </c>
      <c r="S842" s="10">
        <f t="shared" si="315"/>
        <v>0</v>
      </c>
      <c r="T842" s="10">
        <f t="shared" si="315"/>
        <v>0</v>
      </c>
      <c r="U842" s="10">
        <f t="shared" si="315"/>
        <v>36.415028571428572</v>
      </c>
      <c r="V842" s="10">
        <f t="shared" si="315"/>
        <v>0</v>
      </c>
      <c r="W842" s="10">
        <f t="shared" si="315"/>
        <v>0</v>
      </c>
      <c r="X842" s="10">
        <f t="shared" si="320"/>
        <v>36.415028571428572</v>
      </c>
      <c r="Y842" s="10"/>
      <c r="Z842" s="10"/>
      <c r="AA842" s="10"/>
      <c r="AB842" s="10"/>
      <c r="AC842" s="10"/>
      <c r="AD842" s="10"/>
      <c r="AE842" s="10"/>
    </row>
    <row r="843" spans="1:32" s="3" customFormat="1" ht="20.100000000000001" customHeight="1" x14ac:dyDescent="0.2">
      <c r="A843" s="87"/>
      <c r="B843" s="10" t="s">
        <v>67</v>
      </c>
      <c r="C843" s="93" t="s">
        <v>128</v>
      </c>
      <c r="D843" s="10">
        <v>20</v>
      </c>
      <c r="E843" s="10"/>
      <c r="F843" s="10">
        <v>4</v>
      </c>
      <c r="G843" s="90">
        <f>VLOOKUP(D843,$C$20:$F$26,3,0)</f>
        <v>1.05</v>
      </c>
      <c r="H843" s="90"/>
      <c r="I843" s="10"/>
      <c r="J843" s="10"/>
      <c r="K843" s="10"/>
      <c r="L843" s="10"/>
      <c r="M843" s="10"/>
      <c r="N843" s="10"/>
      <c r="O843" s="10">
        <f>+E840+1*(G841)+0.6</f>
        <v>2.7600000000000002</v>
      </c>
      <c r="P843" s="10">
        <f t="shared" si="321"/>
        <v>11.040000000000001</v>
      </c>
      <c r="Q843" s="10">
        <f t="shared" si="315"/>
        <v>0</v>
      </c>
      <c r="R843" s="10">
        <f t="shared" si="315"/>
        <v>0</v>
      </c>
      <c r="S843" s="10">
        <f t="shared" si="315"/>
        <v>0</v>
      </c>
      <c r="T843" s="10">
        <f t="shared" si="315"/>
        <v>0</v>
      </c>
      <c r="U843" s="10">
        <f t="shared" si="315"/>
        <v>27.237257142857146</v>
      </c>
      <c r="V843" s="10">
        <f t="shared" si="315"/>
        <v>0</v>
      </c>
      <c r="W843" s="10">
        <f t="shared" si="315"/>
        <v>0</v>
      </c>
      <c r="X843" s="10">
        <f t="shared" si="320"/>
        <v>27.237257142857146</v>
      </c>
      <c r="Y843" s="10"/>
      <c r="Z843" s="10"/>
      <c r="AA843" s="10"/>
      <c r="AB843" s="10"/>
      <c r="AC843" s="10"/>
      <c r="AD843" s="10"/>
      <c r="AE843" s="10"/>
    </row>
    <row r="844" spans="1:32" s="3" customFormat="1" ht="19.5" customHeight="1" x14ac:dyDescent="0.2">
      <c r="A844" s="87"/>
      <c r="B844" s="10" t="s">
        <v>67</v>
      </c>
      <c r="C844" s="93" t="s">
        <v>73</v>
      </c>
      <c r="D844" s="10">
        <v>12</v>
      </c>
      <c r="E844" s="10">
        <v>0.1</v>
      </c>
      <c r="F844" s="10">
        <f>ROUNDUP(E840/E844,0)</f>
        <v>12</v>
      </c>
      <c r="H844" s="10"/>
      <c r="I844" s="10"/>
      <c r="J844" s="10"/>
      <c r="K844" s="10"/>
      <c r="L844" s="10"/>
      <c r="M844" s="10"/>
      <c r="N844" s="10"/>
      <c r="O844" s="10">
        <f>(2*((G840-(2*$D$11))+(F840-(2*$D$11)))+(2*10*D844/1000))*D840</f>
        <v>6</v>
      </c>
      <c r="P844" s="10">
        <f>O844*F844</f>
        <v>72</v>
      </c>
      <c r="Q844" s="10">
        <f t="shared" si="315"/>
        <v>0</v>
      </c>
      <c r="R844" s="10">
        <f t="shared" si="315"/>
        <v>0</v>
      </c>
      <c r="S844" s="10">
        <f t="shared" si="315"/>
        <v>63.948342857142869</v>
      </c>
      <c r="T844" s="10">
        <f t="shared" si="315"/>
        <v>0</v>
      </c>
      <c r="U844" s="10">
        <f t="shared" si="315"/>
        <v>0</v>
      </c>
      <c r="V844" s="10">
        <f t="shared" si="315"/>
        <v>0</v>
      </c>
      <c r="W844" s="10">
        <f t="shared" si="315"/>
        <v>0</v>
      </c>
      <c r="X844" s="10">
        <f t="shared" si="320"/>
        <v>63.948342857142869</v>
      </c>
      <c r="Y844" s="10"/>
      <c r="Z844" s="10"/>
      <c r="AA844" s="10"/>
      <c r="AB844" s="10"/>
      <c r="AC844" s="10"/>
      <c r="AD844" s="10"/>
      <c r="AE844" s="10"/>
    </row>
    <row r="845" spans="1:32" s="2" customFormat="1" ht="20.100000000000001" customHeight="1" x14ac:dyDescent="0.2">
      <c r="B845" s="10" t="s">
        <v>67</v>
      </c>
      <c r="C845" s="93" t="s">
        <v>74</v>
      </c>
      <c r="D845" s="10">
        <f>+D844</f>
        <v>12</v>
      </c>
      <c r="E845" s="2">
        <f>+E844</f>
        <v>0.1</v>
      </c>
      <c r="F845" s="10">
        <f>ROUNDUP(E840/E845,0)</f>
        <v>12</v>
      </c>
      <c r="G845" s="3"/>
      <c r="O845" s="10">
        <f>((((G840-(2*$D$11))+(2*10*D845/1000))*D840))*2</f>
        <v>5.12</v>
      </c>
      <c r="P845" s="10">
        <f>O845*F845</f>
        <v>61.44</v>
      </c>
      <c r="Q845" s="10">
        <f t="shared" si="315"/>
        <v>0</v>
      </c>
      <c r="R845" s="10">
        <f t="shared" si="315"/>
        <v>0</v>
      </c>
      <c r="S845" s="10">
        <f t="shared" si="315"/>
        <v>54.569252571428578</v>
      </c>
      <c r="T845" s="10">
        <f t="shared" si="315"/>
        <v>0</v>
      </c>
      <c r="U845" s="10">
        <f t="shared" si="315"/>
        <v>0</v>
      </c>
      <c r="V845" s="10">
        <f t="shared" si="315"/>
        <v>0</v>
      </c>
      <c r="W845" s="10">
        <f t="shared" si="315"/>
        <v>0</v>
      </c>
      <c r="X845" s="10">
        <f t="shared" si="320"/>
        <v>54.569252571428578</v>
      </c>
    </row>
    <row r="846" spans="1:32" s="3" customFormat="1" ht="21" customHeight="1" x14ac:dyDescent="0.2">
      <c r="A846" s="10">
        <v>1</v>
      </c>
      <c r="B846" s="10" t="s">
        <v>67</v>
      </c>
      <c r="C846" s="91" t="s">
        <v>188</v>
      </c>
      <c r="D846" s="91">
        <v>1</v>
      </c>
      <c r="E846" s="91">
        <v>6.4489999999999998</v>
      </c>
      <c r="F846" s="91">
        <v>0.5</v>
      </c>
      <c r="G846" s="91">
        <v>0.6</v>
      </c>
      <c r="H846" s="10">
        <f>G846-0.2</f>
        <v>0.39999999999999997</v>
      </c>
      <c r="I846" s="10">
        <f>E846*F846*G846*D846</f>
        <v>1.9346999999999999</v>
      </c>
      <c r="J846" s="10">
        <f>(2*(E846)*H846*D846)+(E846*F846)</f>
        <v>8.3836999999999993</v>
      </c>
      <c r="K846" s="92">
        <f>IF(E846=0.3,J846,0)</f>
        <v>0</v>
      </c>
      <c r="L846" s="92">
        <f>IF(AND(E846&gt;0.3,E846&lt;=0.75),J846,0)</f>
        <v>0</v>
      </c>
      <c r="M846" s="92">
        <f>IF(AND(E846&gt;0.75,E846&lt;=1.2),J846,0)</f>
        <v>0</v>
      </c>
      <c r="N846" s="92">
        <f>IF(E846&gt;1.2,J846,0)</f>
        <v>8.3836999999999993</v>
      </c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>
        <f>SUM(X847:X852)/I846</f>
        <v>215.53802656742647</v>
      </c>
      <c r="Z846" s="10"/>
      <c r="AA846" s="10"/>
      <c r="AB846" s="10"/>
      <c r="AC846" s="10"/>
      <c r="AD846" s="10"/>
      <c r="AE846" s="10"/>
      <c r="AF846" s="10"/>
    </row>
    <row r="847" spans="1:32" s="3" customFormat="1" ht="20.100000000000001" customHeight="1" x14ac:dyDescent="0.2">
      <c r="A847" s="87"/>
      <c r="B847" s="10" t="s">
        <v>67</v>
      </c>
      <c r="C847" s="93" t="s">
        <v>69</v>
      </c>
      <c r="D847" s="10">
        <v>20</v>
      </c>
      <c r="E847" s="10"/>
      <c r="F847" s="10">
        <v>5</v>
      </c>
      <c r="G847" s="90">
        <f>VLOOKUP(D847,$C$20:$F$26,3,0)</f>
        <v>1.05</v>
      </c>
      <c r="H847" s="90"/>
      <c r="I847" s="10"/>
      <c r="J847" s="10"/>
      <c r="K847" s="10"/>
      <c r="L847" s="10"/>
      <c r="M847" s="10"/>
      <c r="N847" s="10"/>
      <c r="O847" s="10">
        <f>(E846+1*(G847)+1*(1.5/2)*D846)</f>
        <v>8.2489999999999988</v>
      </c>
      <c r="P847" s="10">
        <f t="shared" ref="P847:P850" si="322">O847*F847</f>
        <v>41.24499999999999</v>
      </c>
      <c r="Q847" s="10">
        <f t="shared" si="315"/>
        <v>0</v>
      </c>
      <c r="R847" s="10">
        <f t="shared" si="315"/>
        <v>0</v>
      </c>
      <c r="S847" s="10">
        <f t="shared" si="315"/>
        <v>0</v>
      </c>
      <c r="T847" s="10">
        <f t="shared" si="315"/>
        <v>0</v>
      </c>
      <c r="U847" s="10">
        <f t="shared" si="315"/>
        <v>101.75730714285712</v>
      </c>
      <c r="V847" s="10">
        <f t="shared" si="315"/>
        <v>0</v>
      </c>
      <c r="W847" s="10">
        <f t="shared" si="315"/>
        <v>0</v>
      </c>
      <c r="X847" s="10">
        <f t="shared" ref="X847:X852" si="323">SUM(Q847:W847)</f>
        <v>101.75730714285712</v>
      </c>
      <c r="Y847" s="10"/>
      <c r="Z847" s="10"/>
      <c r="AA847" s="10"/>
      <c r="AB847" s="10"/>
      <c r="AC847" s="10"/>
      <c r="AD847" s="10"/>
      <c r="AE847" s="10"/>
    </row>
    <row r="848" spans="1:32" s="3" customFormat="1" ht="20.100000000000001" customHeight="1" x14ac:dyDescent="0.2">
      <c r="A848" s="87"/>
      <c r="B848" s="10" t="s">
        <v>67</v>
      </c>
      <c r="C848" s="93" t="s">
        <v>158</v>
      </c>
      <c r="D848" s="10">
        <v>20</v>
      </c>
      <c r="E848" s="10"/>
      <c r="F848" s="10">
        <v>5</v>
      </c>
      <c r="G848" s="90">
        <f>VLOOKUP(D848,$C$20:$F$26,3,0)</f>
        <v>1.05</v>
      </c>
      <c r="H848" s="90"/>
      <c r="I848" s="10"/>
      <c r="J848" s="10"/>
      <c r="K848" s="10"/>
      <c r="L848" s="10"/>
      <c r="M848" s="10"/>
      <c r="N848" s="10"/>
      <c r="O848" s="10">
        <f>(E846+1*(G848)+1*(1.5/2)*D846)</f>
        <v>8.2489999999999988</v>
      </c>
      <c r="P848" s="10">
        <f t="shared" si="322"/>
        <v>41.24499999999999</v>
      </c>
      <c r="Q848" s="10">
        <f t="shared" ref="Q848:W852" si="324">IF($D848=Q$44,$P848*Q$45,0)</f>
        <v>0</v>
      </c>
      <c r="R848" s="10">
        <f t="shared" si="324"/>
        <v>0</v>
      </c>
      <c r="S848" s="10">
        <f t="shared" si="324"/>
        <v>0</v>
      </c>
      <c r="T848" s="10">
        <f t="shared" si="324"/>
        <v>0</v>
      </c>
      <c r="U848" s="10">
        <f t="shared" si="324"/>
        <v>101.75730714285712</v>
      </c>
      <c r="V848" s="10">
        <f t="shared" si="324"/>
        <v>0</v>
      </c>
      <c r="W848" s="10">
        <f t="shared" si="324"/>
        <v>0</v>
      </c>
      <c r="X848" s="10">
        <f t="shared" si="323"/>
        <v>101.75730714285712</v>
      </c>
      <c r="Y848" s="10"/>
      <c r="Z848" s="10"/>
      <c r="AA848" s="10"/>
      <c r="AB848" s="10"/>
      <c r="AC848" s="10"/>
      <c r="AD848" s="10"/>
      <c r="AE848" s="10"/>
    </row>
    <row r="849" spans="1:32" s="3" customFormat="1" ht="20.100000000000001" customHeight="1" x14ac:dyDescent="0.2">
      <c r="A849" s="87"/>
      <c r="B849" s="10" t="s">
        <v>67</v>
      </c>
      <c r="C849" s="93" t="s">
        <v>128</v>
      </c>
      <c r="D849" s="10">
        <v>20</v>
      </c>
      <c r="E849" s="10"/>
      <c r="F849" s="10">
        <v>3</v>
      </c>
      <c r="G849" s="90">
        <f>VLOOKUP(D849,$C$20:$F$26,3,0)</f>
        <v>1.05</v>
      </c>
      <c r="H849" s="90"/>
      <c r="I849" s="10"/>
      <c r="J849" s="10"/>
      <c r="K849" s="10"/>
      <c r="L849" s="10"/>
      <c r="M849" s="10"/>
      <c r="N849" s="10"/>
      <c r="O849" s="10">
        <f>1.75+1*(G849)</f>
        <v>2.8</v>
      </c>
      <c r="P849" s="10">
        <f t="shared" si="322"/>
        <v>8.3999999999999986</v>
      </c>
      <c r="Q849" s="10">
        <f t="shared" si="324"/>
        <v>0</v>
      </c>
      <c r="R849" s="10">
        <f t="shared" si="324"/>
        <v>0</v>
      </c>
      <c r="S849" s="10">
        <f t="shared" si="324"/>
        <v>0</v>
      </c>
      <c r="T849" s="10">
        <f t="shared" si="324"/>
        <v>0</v>
      </c>
      <c r="U849" s="10">
        <f t="shared" si="324"/>
        <v>20.723999999999997</v>
      </c>
      <c r="V849" s="10">
        <f t="shared" si="324"/>
        <v>0</v>
      </c>
      <c r="W849" s="10">
        <f t="shared" si="324"/>
        <v>0</v>
      </c>
      <c r="X849" s="10">
        <f t="shared" si="323"/>
        <v>20.723999999999997</v>
      </c>
      <c r="Y849" s="10"/>
      <c r="Z849" s="10"/>
      <c r="AA849" s="10"/>
      <c r="AB849" s="10"/>
      <c r="AC849" s="10"/>
      <c r="AD849" s="10"/>
      <c r="AE849" s="10"/>
    </row>
    <row r="850" spans="1:32" s="3" customFormat="1" ht="20.100000000000001" customHeight="1" x14ac:dyDescent="0.2">
      <c r="A850" s="87"/>
      <c r="B850" s="10" t="s">
        <v>67</v>
      </c>
      <c r="C850" s="93" t="s">
        <v>128</v>
      </c>
      <c r="D850" s="10">
        <v>20</v>
      </c>
      <c r="E850" s="10"/>
      <c r="F850" s="10">
        <v>3</v>
      </c>
      <c r="G850" s="90">
        <f>VLOOKUP(D850,$C$20:$F$26,3,0)</f>
        <v>1.05</v>
      </c>
      <c r="H850" s="90"/>
      <c r="I850" s="10"/>
      <c r="J850" s="10"/>
      <c r="K850" s="10"/>
      <c r="L850" s="10"/>
      <c r="M850" s="10"/>
      <c r="N850" s="10"/>
      <c r="O850" s="10">
        <f>1.75+1*(G850)</f>
        <v>2.8</v>
      </c>
      <c r="P850" s="10">
        <f t="shared" si="322"/>
        <v>8.3999999999999986</v>
      </c>
      <c r="Q850" s="10">
        <f t="shared" si="324"/>
        <v>0</v>
      </c>
      <c r="R850" s="10">
        <f t="shared" si="324"/>
        <v>0</v>
      </c>
      <c r="S850" s="10">
        <f t="shared" si="324"/>
        <v>0</v>
      </c>
      <c r="T850" s="10">
        <f t="shared" si="324"/>
        <v>0</v>
      </c>
      <c r="U850" s="10">
        <f t="shared" si="324"/>
        <v>20.723999999999997</v>
      </c>
      <c r="V850" s="10">
        <f t="shared" si="324"/>
        <v>0</v>
      </c>
      <c r="W850" s="10">
        <f t="shared" si="324"/>
        <v>0</v>
      </c>
      <c r="X850" s="10">
        <f t="shared" si="323"/>
        <v>20.723999999999997</v>
      </c>
      <c r="Y850" s="10"/>
      <c r="Z850" s="10"/>
      <c r="AA850" s="10"/>
      <c r="AB850" s="10"/>
      <c r="AC850" s="10"/>
      <c r="AD850" s="10"/>
      <c r="AE850" s="10"/>
    </row>
    <row r="851" spans="1:32" s="3" customFormat="1" ht="19.5" customHeight="1" x14ac:dyDescent="0.2">
      <c r="A851" s="87"/>
      <c r="B851" s="10" t="s">
        <v>67</v>
      </c>
      <c r="C851" s="93" t="s">
        <v>73</v>
      </c>
      <c r="D851" s="10">
        <v>12</v>
      </c>
      <c r="E851" s="10">
        <v>0.1</v>
      </c>
      <c r="F851" s="10">
        <f>ROUNDUP(E846/E851,0)</f>
        <v>65</v>
      </c>
      <c r="H851" s="10"/>
      <c r="I851" s="10"/>
      <c r="J851" s="10"/>
      <c r="K851" s="10"/>
      <c r="L851" s="10"/>
      <c r="M851" s="10"/>
      <c r="N851" s="10"/>
      <c r="O851" s="10">
        <f>(2*((G846-(2*$D$11))+(F846-(2*$D$11)))+(2*10*D851/1000))*D846</f>
        <v>2.2000000000000002</v>
      </c>
      <c r="P851" s="10">
        <f>O851*F851</f>
        <v>143</v>
      </c>
      <c r="Q851" s="10">
        <f t="shared" si="324"/>
        <v>0</v>
      </c>
      <c r="R851" s="10">
        <f t="shared" si="324"/>
        <v>0</v>
      </c>
      <c r="S851" s="10">
        <f t="shared" si="324"/>
        <v>127.00851428571431</v>
      </c>
      <c r="T851" s="10">
        <f t="shared" si="324"/>
        <v>0</v>
      </c>
      <c r="U851" s="10">
        <f t="shared" si="324"/>
        <v>0</v>
      </c>
      <c r="V851" s="10">
        <f t="shared" si="324"/>
        <v>0</v>
      </c>
      <c r="W851" s="10">
        <f t="shared" si="324"/>
        <v>0</v>
      </c>
      <c r="X851" s="10">
        <f t="shared" si="323"/>
        <v>127.00851428571431</v>
      </c>
      <c r="Y851" s="10"/>
      <c r="Z851" s="10"/>
      <c r="AA851" s="10"/>
      <c r="AB851" s="10"/>
      <c r="AC851" s="10"/>
      <c r="AD851" s="10"/>
      <c r="AE851" s="10"/>
    </row>
    <row r="852" spans="1:32" s="2" customFormat="1" ht="20.100000000000001" customHeight="1" x14ac:dyDescent="0.2">
      <c r="B852" s="10" t="s">
        <v>67</v>
      </c>
      <c r="C852" s="93" t="s">
        <v>74</v>
      </c>
      <c r="D852" s="10">
        <f>+D851</f>
        <v>12</v>
      </c>
      <c r="E852" s="2">
        <f>+E851</f>
        <v>0.1</v>
      </c>
      <c r="F852" s="10">
        <f>ROUNDUP(E846/E852,0)</f>
        <v>65</v>
      </c>
      <c r="G852" s="3"/>
      <c r="O852" s="10">
        <f>((((G846-(2*$D$11))+(2*10*D852/1000))*D846))*1</f>
        <v>0.78</v>
      </c>
      <c r="P852" s="10">
        <f>O852*F852</f>
        <v>50.7</v>
      </c>
      <c r="Q852" s="10">
        <f t="shared" si="324"/>
        <v>0</v>
      </c>
      <c r="R852" s="10">
        <f t="shared" si="324"/>
        <v>0</v>
      </c>
      <c r="S852" s="10">
        <f t="shared" si="324"/>
        <v>45.030291428571438</v>
      </c>
      <c r="T852" s="10">
        <f t="shared" si="324"/>
        <v>0</v>
      </c>
      <c r="U852" s="10">
        <f t="shared" si="324"/>
        <v>0</v>
      </c>
      <c r="V852" s="10">
        <f t="shared" si="324"/>
        <v>0</v>
      </c>
      <c r="W852" s="10">
        <f t="shared" si="324"/>
        <v>0</v>
      </c>
      <c r="X852" s="10">
        <f t="shared" si="323"/>
        <v>45.030291428571438</v>
      </c>
    </row>
    <row r="853" spans="1:32" s="3" customFormat="1" ht="21" customHeight="1" x14ac:dyDescent="0.2">
      <c r="A853" s="10">
        <v>1</v>
      </c>
      <c r="B853" s="10" t="s">
        <v>67</v>
      </c>
      <c r="C853" s="91" t="s">
        <v>188</v>
      </c>
      <c r="D853" s="91">
        <v>1</v>
      </c>
      <c r="E853" s="91">
        <v>0.95</v>
      </c>
      <c r="F853" s="91">
        <v>0.5</v>
      </c>
      <c r="G853" s="91">
        <v>1.6</v>
      </c>
      <c r="H853" s="10">
        <f>G853-0.2</f>
        <v>1.4000000000000001</v>
      </c>
      <c r="I853" s="10">
        <f>E853*F853*G853*D853</f>
        <v>0.76</v>
      </c>
      <c r="J853" s="10">
        <f>(2*(E853)*H853*D853)+(E853*F853)</f>
        <v>3.1350000000000002</v>
      </c>
      <c r="K853" s="92">
        <f>IF(E853=0.3,J853,0)</f>
        <v>0</v>
      </c>
      <c r="L853" s="92">
        <f>IF(AND(E853&gt;0.3,E853&lt;=0.75),J853,0)</f>
        <v>0</v>
      </c>
      <c r="M853" s="92">
        <f>IF(AND(E853&gt;0.75,E853&lt;=1.2),J853,0)</f>
        <v>3.1350000000000002</v>
      </c>
      <c r="N853" s="92">
        <f>IF(E853&gt;1.2,J853,0)</f>
        <v>0</v>
      </c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>
        <f>SUM(X854:X857)/I853</f>
        <v>142.60085714285717</v>
      </c>
      <c r="Z853" s="10"/>
      <c r="AA853" s="10"/>
      <c r="AB853" s="10"/>
      <c r="AC853" s="10"/>
      <c r="AD853" s="10"/>
      <c r="AE853" s="10"/>
      <c r="AF853" s="10"/>
    </row>
    <row r="854" spans="1:32" s="3" customFormat="1" ht="20.100000000000001" customHeight="1" x14ac:dyDescent="0.2">
      <c r="A854" s="87"/>
      <c r="B854" s="10" t="s">
        <v>67</v>
      </c>
      <c r="C854" s="93" t="s">
        <v>69</v>
      </c>
      <c r="D854" s="10">
        <v>20</v>
      </c>
      <c r="E854" s="10"/>
      <c r="F854" s="10">
        <v>5</v>
      </c>
      <c r="G854" s="90">
        <f>VLOOKUP(D854,$C$20:$F$26,3,0)</f>
        <v>1.05</v>
      </c>
      <c r="H854" s="90"/>
      <c r="I854" s="10"/>
      <c r="J854" s="10"/>
      <c r="K854" s="10"/>
      <c r="L854" s="10"/>
      <c r="M854" s="10"/>
      <c r="N854" s="10"/>
      <c r="O854" s="10">
        <f>(E853+1*(G854+(12*D854/1000))*D853)</f>
        <v>2.2400000000000002</v>
      </c>
      <c r="P854" s="10">
        <f t="shared" ref="P854:P855" si="325">O854*F854</f>
        <v>11.200000000000001</v>
      </c>
      <c r="Q854" s="10">
        <f t="shared" ref="Q854:W857" si="326">IF($D854=Q$44,$P854*Q$45,0)</f>
        <v>0</v>
      </c>
      <c r="R854" s="10">
        <f t="shared" si="326"/>
        <v>0</v>
      </c>
      <c r="S854" s="10">
        <f t="shared" si="326"/>
        <v>0</v>
      </c>
      <c r="T854" s="10">
        <f t="shared" si="326"/>
        <v>0</v>
      </c>
      <c r="U854" s="10">
        <f t="shared" si="326"/>
        <v>27.632000000000001</v>
      </c>
      <c r="V854" s="10">
        <f t="shared" si="326"/>
        <v>0</v>
      </c>
      <c r="W854" s="10">
        <f t="shared" si="326"/>
        <v>0</v>
      </c>
      <c r="X854" s="10">
        <f t="shared" ref="X854:X857" si="327">SUM(Q854:W854)</f>
        <v>27.632000000000001</v>
      </c>
      <c r="Y854" s="10"/>
      <c r="Z854" s="10"/>
      <c r="AA854" s="10"/>
      <c r="AB854" s="10"/>
      <c r="AC854" s="10"/>
      <c r="AD854" s="10"/>
      <c r="AE854" s="10"/>
    </row>
    <row r="855" spans="1:32" s="3" customFormat="1" ht="20.100000000000001" customHeight="1" x14ac:dyDescent="0.2">
      <c r="A855" s="87"/>
      <c r="B855" s="10" t="s">
        <v>67</v>
      </c>
      <c r="C855" s="93" t="s">
        <v>128</v>
      </c>
      <c r="D855" s="10">
        <v>20</v>
      </c>
      <c r="E855" s="10"/>
      <c r="F855" s="10">
        <v>5</v>
      </c>
      <c r="G855" s="90">
        <f>VLOOKUP(D855,$C$20:$F$26,3,0)</f>
        <v>1.05</v>
      </c>
      <c r="H855" s="90"/>
      <c r="I855" s="10"/>
      <c r="J855" s="10"/>
      <c r="K855" s="10"/>
      <c r="L855" s="10"/>
      <c r="M855" s="10"/>
      <c r="N855" s="10"/>
      <c r="O855" s="10">
        <f>(E853+1*(G855+(12*D855/1000))*D853)</f>
        <v>2.2400000000000002</v>
      </c>
      <c r="P855" s="10">
        <f t="shared" si="325"/>
        <v>11.200000000000001</v>
      </c>
      <c r="Q855" s="10">
        <f t="shared" si="326"/>
        <v>0</v>
      </c>
      <c r="R855" s="10">
        <f t="shared" si="326"/>
        <v>0</v>
      </c>
      <c r="S855" s="10">
        <f t="shared" si="326"/>
        <v>0</v>
      </c>
      <c r="T855" s="10">
        <f t="shared" si="326"/>
        <v>0</v>
      </c>
      <c r="U855" s="10">
        <f t="shared" si="326"/>
        <v>27.632000000000001</v>
      </c>
      <c r="V855" s="10">
        <f t="shared" si="326"/>
        <v>0</v>
      </c>
      <c r="W855" s="10">
        <f t="shared" si="326"/>
        <v>0</v>
      </c>
      <c r="X855" s="10">
        <f t="shared" si="327"/>
        <v>27.632000000000001</v>
      </c>
      <c r="Y855" s="10"/>
      <c r="Z855" s="10"/>
      <c r="AA855" s="10"/>
      <c r="AB855" s="10"/>
      <c r="AC855" s="10"/>
      <c r="AD855" s="10"/>
      <c r="AE855" s="10"/>
    </row>
    <row r="856" spans="1:32" s="3" customFormat="1" ht="19.5" customHeight="1" x14ac:dyDescent="0.2">
      <c r="A856" s="87"/>
      <c r="B856" s="10" t="s">
        <v>67</v>
      </c>
      <c r="C856" s="93" t="s">
        <v>73</v>
      </c>
      <c r="D856" s="10">
        <v>12</v>
      </c>
      <c r="E856" s="10">
        <v>0.1</v>
      </c>
      <c r="F856" s="10">
        <f>ROUNDUP(E853/E856,0)</f>
        <v>10</v>
      </c>
      <c r="H856" s="10"/>
      <c r="I856" s="10"/>
      <c r="J856" s="10"/>
      <c r="K856" s="10"/>
      <c r="L856" s="10"/>
      <c r="M856" s="10"/>
      <c r="N856" s="10"/>
      <c r="O856" s="10">
        <f>(2*((G853-(2*$D$11))+(F853-(2*$D$11)))+(2*10*D856/1000))*D853</f>
        <v>4.2</v>
      </c>
      <c r="P856" s="10">
        <f>O856*F856</f>
        <v>42</v>
      </c>
      <c r="Q856" s="10">
        <f t="shared" si="326"/>
        <v>0</v>
      </c>
      <c r="R856" s="10">
        <f t="shared" si="326"/>
        <v>0</v>
      </c>
      <c r="S856" s="10">
        <f t="shared" si="326"/>
        <v>37.303200000000004</v>
      </c>
      <c r="T856" s="10">
        <f t="shared" si="326"/>
        <v>0</v>
      </c>
      <c r="U856" s="10">
        <f t="shared" si="326"/>
        <v>0</v>
      </c>
      <c r="V856" s="10">
        <f t="shared" si="326"/>
        <v>0</v>
      </c>
      <c r="W856" s="10">
        <f t="shared" si="326"/>
        <v>0</v>
      </c>
      <c r="X856" s="10">
        <f t="shared" si="327"/>
        <v>37.303200000000004</v>
      </c>
      <c r="Y856" s="10"/>
      <c r="Z856" s="10"/>
      <c r="AA856" s="10"/>
      <c r="AB856" s="10"/>
      <c r="AC856" s="10"/>
      <c r="AD856" s="10"/>
      <c r="AE856" s="10"/>
    </row>
    <row r="857" spans="1:32" s="2" customFormat="1" ht="20.100000000000001" customHeight="1" x14ac:dyDescent="0.2">
      <c r="B857" s="10" t="s">
        <v>67</v>
      </c>
      <c r="C857" s="93" t="s">
        <v>74</v>
      </c>
      <c r="D857" s="10">
        <f>+D856</f>
        <v>12</v>
      </c>
      <c r="E857" s="2">
        <f>+E856</f>
        <v>0.1</v>
      </c>
      <c r="F857" s="10">
        <f>ROUNDUP(E853/E857,0)</f>
        <v>10</v>
      </c>
      <c r="G857" s="3"/>
      <c r="O857" s="10">
        <f>((((G853-(2*$D$11))+(2*10*D857/1000))*D853))*1</f>
        <v>1.78</v>
      </c>
      <c r="P857" s="10">
        <f>O857*F857</f>
        <v>17.8</v>
      </c>
      <c r="Q857" s="10">
        <f t="shared" si="326"/>
        <v>0</v>
      </c>
      <c r="R857" s="10">
        <f t="shared" si="326"/>
        <v>0</v>
      </c>
      <c r="S857" s="10">
        <f t="shared" si="326"/>
        <v>15.809451428571432</v>
      </c>
      <c r="T857" s="10">
        <f t="shared" si="326"/>
        <v>0</v>
      </c>
      <c r="U857" s="10">
        <f t="shared" si="326"/>
        <v>0</v>
      </c>
      <c r="V857" s="10">
        <f t="shared" si="326"/>
        <v>0</v>
      </c>
      <c r="W857" s="10">
        <f t="shared" si="326"/>
        <v>0</v>
      </c>
      <c r="X857" s="10">
        <f t="shared" si="327"/>
        <v>15.809451428571432</v>
      </c>
    </row>
    <row r="858" spans="1:32" s="3" customFormat="1" ht="21" customHeight="1" x14ac:dyDescent="0.2">
      <c r="A858" s="10">
        <v>1</v>
      </c>
      <c r="B858" s="10" t="s">
        <v>67</v>
      </c>
      <c r="C858" s="91" t="s">
        <v>189</v>
      </c>
      <c r="D858" s="91">
        <v>1</v>
      </c>
      <c r="E858" s="91">
        <v>6</v>
      </c>
      <c r="F858" s="91">
        <v>0.45</v>
      </c>
      <c r="G858" s="91">
        <v>0.6</v>
      </c>
      <c r="H858" s="10">
        <f>G858-0.2</f>
        <v>0.39999999999999997</v>
      </c>
      <c r="I858" s="10">
        <f>E858*F858*G858*D858</f>
        <v>1.62</v>
      </c>
      <c r="J858" s="10">
        <f>(2*(E858)*H858*D858)+(E858*F858)</f>
        <v>7.5</v>
      </c>
      <c r="K858" s="92">
        <f>IF(E858=0.3,J858,0)</f>
        <v>0</v>
      </c>
      <c r="L858" s="92">
        <f>IF(AND(E858&gt;0.3,E858&lt;=0.75),J858,0)</f>
        <v>0</v>
      </c>
      <c r="M858" s="92">
        <f>IF(AND(E858&gt;0.75,E858&lt;=1.2),J858,0)</f>
        <v>0</v>
      </c>
      <c r="N858" s="92">
        <f>IF(E858&gt;1.2,J858,0)</f>
        <v>7.5</v>
      </c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>
        <f>SUM(X859:X864)/I858</f>
        <v>200.72624790564373</v>
      </c>
      <c r="Z858" s="10"/>
      <c r="AA858" s="10"/>
      <c r="AB858" s="10"/>
      <c r="AC858" s="10"/>
      <c r="AD858" s="10"/>
      <c r="AE858" s="10"/>
      <c r="AF858" s="10"/>
    </row>
    <row r="859" spans="1:32" s="3" customFormat="1" ht="20.100000000000001" customHeight="1" x14ac:dyDescent="0.2">
      <c r="A859" s="87"/>
      <c r="B859" s="10" t="s">
        <v>67</v>
      </c>
      <c r="C859" s="93" t="s">
        <v>69</v>
      </c>
      <c r="D859" s="10">
        <v>20</v>
      </c>
      <c r="E859" s="10"/>
      <c r="F859" s="10">
        <v>4</v>
      </c>
      <c r="G859" s="90">
        <f>VLOOKUP(D859,$C$20:$F$26,3,0)</f>
        <v>1.05</v>
      </c>
      <c r="H859" s="90"/>
      <c r="I859" s="10"/>
      <c r="J859" s="10"/>
      <c r="K859" s="10"/>
      <c r="L859" s="10"/>
      <c r="M859" s="10"/>
      <c r="N859" s="10"/>
      <c r="O859" s="10">
        <f>(E858+1*(G859+(12*D859/1000))+1*(1.5/2)*D858)</f>
        <v>8.0399999999999991</v>
      </c>
      <c r="P859" s="10">
        <f t="shared" ref="P859:P861" si="328">O859*F859</f>
        <v>32.159999999999997</v>
      </c>
      <c r="Q859" s="10">
        <f t="shared" ref="Q859:W876" si="329">IF($D859=Q$44,$P859*Q$45,0)</f>
        <v>0</v>
      </c>
      <c r="R859" s="10">
        <f t="shared" si="329"/>
        <v>0</v>
      </c>
      <c r="S859" s="10">
        <f t="shared" si="329"/>
        <v>0</v>
      </c>
      <c r="T859" s="10">
        <f t="shared" si="329"/>
        <v>0</v>
      </c>
      <c r="U859" s="10">
        <f t="shared" si="329"/>
        <v>79.343314285714271</v>
      </c>
      <c r="V859" s="10">
        <f t="shared" si="329"/>
        <v>0</v>
      </c>
      <c r="W859" s="10">
        <f t="shared" si="329"/>
        <v>0</v>
      </c>
      <c r="X859" s="10">
        <f t="shared" ref="X859:X864" si="330">SUM(Q859:W859)</f>
        <v>79.343314285714271</v>
      </c>
      <c r="Y859" s="10"/>
      <c r="Z859" s="10"/>
      <c r="AA859" s="10"/>
      <c r="AB859" s="10"/>
      <c r="AC859" s="10"/>
      <c r="AD859" s="10"/>
      <c r="AE859" s="10"/>
    </row>
    <row r="860" spans="1:32" s="3" customFormat="1" ht="20.100000000000001" customHeight="1" x14ac:dyDescent="0.2">
      <c r="A860" s="87"/>
      <c r="B860" s="10" t="s">
        <v>67</v>
      </c>
      <c r="C860" s="93" t="s">
        <v>158</v>
      </c>
      <c r="D860" s="10">
        <v>25</v>
      </c>
      <c r="E860" s="10"/>
      <c r="F860" s="10">
        <v>4</v>
      </c>
      <c r="G860" s="90">
        <f>VLOOKUP(D860,$C$20:$F$26,3,0)</f>
        <v>1.35</v>
      </c>
      <c r="H860" s="90"/>
      <c r="I860" s="10"/>
      <c r="J860" s="10"/>
      <c r="K860" s="10"/>
      <c r="L860" s="10"/>
      <c r="M860" s="10"/>
      <c r="N860" s="10"/>
      <c r="O860" s="10">
        <f>(E858+1*(G860+(12*D860/1000))+1*(1.5/2)*D858)</f>
        <v>8.4</v>
      </c>
      <c r="P860" s="10">
        <f t="shared" si="328"/>
        <v>33.6</v>
      </c>
      <c r="Q860" s="10">
        <f t="shared" si="329"/>
        <v>0</v>
      </c>
      <c r="R860" s="10">
        <f t="shared" si="329"/>
        <v>0</v>
      </c>
      <c r="S860" s="10">
        <f t="shared" si="329"/>
        <v>0</v>
      </c>
      <c r="T860" s="10">
        <f t="shared" si="329"/>
        <v>0</v>
      </c>
      <c r="U860" s="10">
        <f t="shared" si="329"/>
        <v>0</v>
      </c>
      <c r="V860" s="10">
        <f t="shared" si="329"/>
        <v>129.52500000000003</v>
      </c>
      <c r="W860" s="10">
        <f t="shared" si="329"/>
        <v>0</v>
      </c>
      <c r="X860" s="10">
        <f t="shared" si="330"/>
        <v>129.52500000000003</v>
      </c>
      <c r="Y860" s="10"/>
      <c r="Z860" s="10"/>
      <c r="AA860" s="10"/>
      <c r="AB860" s="10"/>
      <c r="AC860" s="10"/>
      <c r="AD860" s="10"/>
      <c r="AE860" s="10"/>
    </row>
    <row r="861" spans="1:32" s="3" customFormat="1" ht="20.100000000000001" customHeight="1" x14ac:dyDescent="0.2">
      <c r="A861" s="87"/>
      <c r="B861" s="10" t="s">
        <v>67</v>
      </c>
      <c r="C861" s="93" t="s">
        <v>116</v>
      </c>
      <c r="D861" s="10">
        <v>16</v>
      </c>
      <c r="E861" s="10"/>
      <c r="F861" s="10">
        <v>4</v>
      </c>
      <c r="G861" s="90">
        <f>VLOOKUP(D861,$C$20:$F$26,3,0)</f>
        <v>0.85</v>
      </c>
      <c r="H861" s="90"/>
      <c r="I861" s="10"/>
      <c r="J861" s="10"/>
      <c r="K861" s="10"/>
      <c r="L861" s="10"/>
      <c r="M861" s="10"/>
      <c r="N861" s="10"/>
      <c r="O861" s="10">
        <f>+E858-0.8-0.8</f>
        <v>4.4000000000000004</v>
      </c>
      <c r="P861" s="10">
        <f t="shared" si="328"/>
        <v>17.600000000000001</v>
      </c>
      <c r="Q861" s="10">
        <f t="shared" si="329"/>
        <v>0</v>
      </c>
      <c r="R861" s="10">
        <f t="shared" si="329"/>
        <v>0</v>
      </c>
      <c r="S861" s="10">
        <f t="shared" si="329"/>
        <v>0</v>
      </c>
      <c r="T861" s="10">
        <f t="shared" si="329"/>
        <v>27.789897142857146</v>
      </c>
      <c r="U861" s="10">
        <f t="shared" si="329"/>
        <v>0</v>
      </c>
      <c r="V861" s="10">
        <f t="shared" si="329"/>
        <v>0</v>
      </c>
      <c r="W861" s="10">
        <f t="shared" si="329"/>
        <v>0</v>
      </c>
      <c r="X861" s="10">
        <f t="shared" si="330"/>
        <v>27.789897142857146</v>
      </c>
      <c r="Y861" s="10"/>
      <c r="Z861" s="10"/>
      <c r="AA861" s="10"/>
      <c r="AB861" s="10"/>
      <c r="AC861" s="10"/>
      <c r="AD861" s="10"/>
      <c r="AE861" s="10"/>
    </row>
    <row r="862" spans="1:32" s="3" customFormat="1" ht="19.5" customHeight="1" x14ac:dyDescent="0.2">
      <c r="A862" s="87"/>
      <c r="B862" s="10" t="s">
        <v>67</v>
      </c>
      <c r="C862" s="93" t="s">
        <v>73</v>
      </c>
      <c r="D862" s="10">
        <v>8</v>
      </c>
      <c r="E862" s="10">
        <v>0.1</v>
      </c>
      <c r="F862" s="10">
        <f>ROUNDUP(E858/E862,0)</f>
        <v>60</v>
      </c>
      <c r="H862" s="10"/>
      <c r="I862" s="10"/>
      <c r="J862" s="10"/>
      <c r="K862" s="10"/>
      <c r="L862" s="10"/>
      <c r="M862" s="10"/>
      <c r="N862" s="10"/>
      <c r="O862" s="10">
        <f>(2*((G858-(2*$D$11))+(F858-(2*$D$11)))+(2*10*D862/1000))*D858</f>
        <v>2.02</v>
      </c>
      <c r="P862" s="10">
        <f>O862*F862</f>
        <v>121.2</v>
      </c>
      <c r="Q862" s="10">
        <f t="shared" si="329"/>
        <v>47.842834285714289</v>
      </c>
      <c r="R862" s="10">
        <f t="shared" si="329"/>
        <v>0</v>
      </c>
      <c r="S862" s="10">
        <f t="shared" si="329"/>
        <v>0</v>
      </c>
      <c r="T862" s="10">
        <f t="shared" si="329"/>
        <v>0</v>
      </c>
      <c r="U862" s="10">
        <f t="shared" si="329"/>
        <v>0</v>
      </c>
      <c r="V862" s="10">
        <f t="shared" si="329"/>
        <v>0</v>
      </c>
      <c r="W862" s="10">
        <f t="shared" si="329"/>
        <v>0</v>
      </c>
      <c r="X862" s="10">
        <f t="shared" si="330"/>
        <v>47.842834285714289</v>
      </c>
      <c r="Y862" s="10"/>
      <c r="Z862" s="10"/>
      <c r="AA862" s="10"/>
      <c r="AB862" s="10"/>
      <c r="AC862" s="10"/>
      <c r="AD862" s="10"/>
      <c r="AE862" s="10"/>
    </row>
    <row r="863" spans="1:32" s="2" customFormat="1" ht="20.100000000000001" customHeight="1" x14ac:dyDescent="0.2">
      <c r="B863" s="10" t="s">
        <v>67</v>
      </c>
      <c r="C863" s="93" t="s">
        <v>74</v>
      </c>
      <c r="D863" s="10">
        <f>+D862</f>
        <v>8</v>
      </c>
      <c r="E863" s="2">
        <f>+E862</f>
        <v>0.1</v>
      </c>
      <c r="F863" s="10">
        <f>ROUNDUP(E858/E863,0)</f>
        <v>60</v>
      </c>
      <c r="G863" s="3"/>
      <c r="O863" s="10">
        <f>((((G858-(2*$D$11))+(2*10*D863/1000))*D858))*2</f>
        <v>1.4000000000000001</v>
      </c>
      <c r="P863" s="10">
        <f>O863*F863</f>
        <v>84.000000000000014</v>
      </c>
      <c r="Q863" s="10">
        <f t="shared" si="329"/>
        <v>33.158400000000007</v>
      </c>
      <c r="R863" s="10">
        <f t="shared" si="329"/>
        <v>0</v>
      </c>
      <c r="S863" s="10">
        <f t="shared" si="329"/>
        <v>0</v>
      </c>
      <c r="T863" s="10">
        <f t="shared" si="329"/>
        <v>0</v>
      </c>
      <c r="U863" s="10">
        <f t="shared" si="329"/>
        <v>0</v>
      </c>
      <c r="V863" s="10">
        <f t="shared" si="329"/>
        <v>0</v>
      </c>
      <c r="W863" s="10">
        <f t="shared" si="329"/>
        <v>0</v>
      </c>
      <c r="X863" s="10">
        <f t="shared" si="330"/>
        <v>33.158400000000007</v>
      </c>
    </row>
    <row r="864" spans="1:32" s="3" customFormat="1" ht="19.5" customHeight="1" x14ac:dyDescent="0.2">
      <c r="A864" s="87"/>
      <c r="B864" s="10" t="s">
        <v>67</v>
      </c>
      <c r="C864" s="93" t="s">
        <v>75</v>
      </c>
      <c r="D864" s="10">
        <f>+$D$15</f>
        <v>25</v>
      </c>
      <c r="E864" s="10">
        <f>+$E$15</f>
        <v>1</v>
      </c>
      <c r="F864" s="10">
        <f>ROUNDUP((4.4)/E864,0)</f>
        <v>5</v>
      </c>
      <c r="G864" s="90"/>
      <c r="H864" s="90"/>
      <c r="I864" s="10"/>
      <c r="J864" s="10"/>
      <c r="K864" s="10"/>
      <c r="L864" s="10"/>
      <c r="M864" s="10"/>
      <c r="N864" s="10"/>
      <c r="O864" s="10">
        <f>F858-$F$15</f>
        <v>0.39</v>
      </c>
      <c r="P864" s="10">
        <f t="shared" ref="P864" si="331">O864*F864</f>
        <v>1.9500000000000002</v>
      </c>
      <c r="Q864" s="10">
        <f t="shared" si="329"/>
        <v>0</v>
      </c>
      <c r="R864" s="10">
        <f t="shared" si="329"/>
        <v>0</v>
      </c>
      <c r="S864" s="10">
        <f t="shared" si="329"/>
        <v>0</v>
      </c>
      <c r="T864" s="10">
        <f t="shared" si="329"/>
        <v>0</v>
      </c>
      <c r="U864" s="10">
        <f t="shared" si="329"/>
        <v>0</v>
      </c>
      <c r="V864" s="10">
        <f t="shared" si="329"/>
        <v>7.5170758928571448</v>
      </c>
      <c r="W864" s="10">
        <f t="shared" si="329"/>
        <v>0</v>
      </c>
      <c r="X864" s="10">
        <f t="shared" si="330"/>
        <v>7.5170758928571448</v>
      </c>
      <c r="Y864" s="10"/>
      <c r="Z864" s="10"/>
      <c r="AA864" s="10"/>
      <c r="AB864" s="10"/>
      <c r="AC864" s="10"/>
      <c r="AD864" s="10"/>
      <c r="AE864" s="10"/>
    </row>
    <row r="865" spans="1:32" s="3" customFormat="1" ht="21" customHeight="1" x14ac:dyDescent="0.2">
      <c r="A865" s="10">
        <v>1</v>
      </c>
      <c r="B865" s="10" t="s">
        <v>67</v>
      </c>
      <c r="C865" s="91" t="s">
        <v>190</v>
      </c>
      <c r="D865" s="91">
        <v>1</v>
      </c>
      <c r="E865" s="91">
        <v>4.4989999999999997</v>
      </c>
      <c r="F865" s="91">
        <v>0.45</v>
      </c>
      <c r="G865" s="91">
        <v>0.5</v>
      </c>
      <c r="H865" s="10">
        <f>G865-0.2</f>
        <v>0.3</v>
      </c>
      <c r="I865" s="10">
        <f>E865*F865*G865*D865</f>
        <v>1.012275</v>
      </c>
      <c r="J865" s="10">
        <f>(2*(E865)*H865*D865)+(E865*F865)</f>
        <v>4.7239500000000003</v>
      </c>
      <c r="K865" s="92">
        <f>IF(E865=0.3,J865,0)</f>
        <v>0</v>
      </c>
      <c r="L865" s="92">
        <f>IF(AND(E865&gt;0.3,E865&lt;=0.75),J865,0)</f>
        <v>0</v>
      </c>
      <c r="M865" s="92">
        <f>IF(AND(E865&gt;0.75,E865&lt;=1.2),J865,0)</f>
        <v>0</v>
      </c>
      <c r="N865" s="92">
        <f>IF(E865&gt;1.2,J865,0)</f>
        <v>4.7239500000000003</v>
      </c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>
        <f>SUM(X866:X874)/I865</f>
        <v>250.51031381224044</v>
      </c>
      <c r="Z865" s="10"/>
      <c r="AA865" s="10"/>
      <c r="AB865" s="10"/>
      <c r="AC865" s="10"/>
      <c r="AD865" s="10"/>
      <c r="AE865" s="10"/>
      <c r="AF865" s="10"/>
    </row>
    <row r="866" spans="1:32" s="3" customFormat="1" ht="20.100000000000001" customHeight="1" x14ac:dyDescent="0.2">
      <c r="A866" s="87"/>
      <c r="B866" s="10" t="s">
        <v>67</v>
      </c>
      <c r="C866" s="93" t="s">
        <v>69</v>
      </c>
      <c r="D866" s="10">
        <v>20</v>
      </c>
      <c r="E866" s="10"/>
      <c r="F866" s="10">
        <v>4</v>
      </c>
      <c r="G866" s="90">
        <f>VLOOKUP(D866,$C$20:$F$26,3,0)</f>
        <v>1.05</v>
      </c>
      <c r="H866" s="90"/>
      <c r="I866" s="10"/>
      <c r="J866" s="10"/>
      <c r="K866" s="10"/>
      <c r="L866" s="10"/>
      <c r="M866" s="10"/>
      <c r="N866" s="10"/>
      <c r="O866" s="10">
        <f>(E865+1*(G866+(12*D866/1000))+1*(G866)+1*(0.3/2)*D865)</f>
        <v>6.9889999999999999</v>
      </c>
      <c r="P866" s="10">
        <f t="shared" ref="P866:P874" si="332">O866*F866</f>
        <v>27.956</v>
      </c>
      <c r="Q866" s="10">
        <f t="shared" si="329"/>
        <v>0</v>
      </c>
      <c r="R866" s="10">
        <f t="shared" si="329"/>
        <v>0</v>
      </c>
      <c r="S866" s="10">
        <f t="shared" si="329"/>
        <v>0</v>
      </c>
      <c r="T866" s="10">
        <f t="shared" si="329"/>
        <v>0</v>
      </c>
      <c r="U866" s="10">
        <f t="shared" si="329"/>
        <v>68.971445714285707</v>
      </c>
      <c r="V866" s="10">
        <f t="shared" si="329"/>
        <v>0</v>
      </c>
      <c r="W866" s="10">
        <f t="shared" si="329"/>
        <v>0</v>
      </c>
      <c r="X866" s="10">
        <f t="shared" ref="X866:X874" si="333">SUM(Q866:W866)</f>
        <v>68.971445714285707</v>
      </c>
      <c r="Y866" s="10"/>
      <c r="Z866" s="10"/>
      <c r="AA866" s="10"/>
      <c r="AB866" s="10"/>
      <c r="AC866" s="10"/>
      <c r="AD866" s="10"/>
      <c r="AE866" s="10"/>
    </row>
    <row r="867" spans="1:32" s="3" customFormat="1" ht="20.100000000000001" customHeight="1" x14ac:dyDescent="0.2">
      <c r="A867" s="87"/>
      <c r="B867" s="10" t="s">
        <v>67</v>
      </c>
      <c r="C867" s="93" t="s">
        <v>158</v>
      </c>
      <c r="D867" s="10">
        <v>20</v>
      </c>
      <c r="E867" s="10"/>
      <c r="F867" s="10">
        <v>4</v>
      </c>
      <c r="G867" s="90">
        <f>VLOOKUP(D867,$C$20:$F$26,3,0)</f>
        <v>1.05</v>
      </c>
      <c r="H867" s="90"/>
      <c r="I867" s="10"/>
      <c r="J867" s="10"/>
      <c r="K867" s="10"/>
      <c r="L867" s="10"/>
      <c r="M867" s="10"/>
      <c r="N867" s="10"/>
      <c r="O867" s="10">
        <f>(E865+1*(G867+(12*D867/1000))+1*(G867)+1*(0.3/2)*D865)</f>
        <v>6.9889999999999999</v>
      </c>
      <c r="P867" s="10">
        <f t="shared" si="332"/>
        <v>27.956</v>
      </c>
      <c r="Q867" s="10">
        <f t="shared" si="329"/>
        <v>0</v>
      </c>
      <c r="R867" s="10">
        <f t="shared" si="329"/>
        <v>0</v>
      </c>
      <c r="S867" s="10">
        <f t="shared" si="329"/>
        <v>0</v>
      </c>
      <c r="T867" s="10">
        <f t="shared" si="329"/>
        <v>0</v>
      </c>
      <c r="U867" s="10">
        <f t="shared" si="329"/>
        <v>68.971445714285707</v>
      </c>
      <c r="V867" s="10">
        <f t="shared" si="329"/>
        <v>0</v>
      </c>
      <c r="W867" s="10">
        <f t="shared" si="329"/>
        <v>0</v>
      </c>
      <c r="X867" s="10">
        <f t="shared" si="333"/>
        <v>68.971445714285707</v>
      </c>
      <c r="Y867" s="10"/>
      <c r="Z867" s="10"/>
      <c r="AA867" s="10"/>
      <c r="AB867" s="10"/>
      <c r="AC867" s="10"/>
      <c r="AD867" s="10"/>
      <c r="AE867" s="10"/>
    </row>
    <row r="868" spans="1:32" s="3" customFormat="1" ht="20.100000000000001" customHeight="1" x14ac:dyDescent="0.2">
      <c r="A868" s="87"/>
      <c r="B868" s="10" t="s">
        <v>67</v>
      </c>
      <c r="C868" s="93" t="s">
        <v>128</v>
      </c>
      <c r="D868" s="10">
        <v>16</v>
      </c>
      <c r="E868" s="10"/>
      <c r="F868" s="10">
        <v>4</v>
      </c>
      <c r="G868" s="90">
        <f>VLOOKUP(D868,$C$20:$F$26,3,0)</f>
        <v>0.85</v>
      </c>
      <c r="H868" s="90"/>
      <c r="I868" s="10"/>
      <c r="J868" s="10"/>
      <c r="K868" s="10"/>
      <c r="L868" s="10"/>
      <c r="M868" s="10"/>
      <c r="N868" s="10"/>
      <c r="O868" s="10">
        <f>(1.6+1*(G868+(12*D868/1000))*D865)</f>
        <v>2.6420000000000003</v>
      </c>
      <c r="P868" s="10">
        <f t="shared" si="332"/>
        <v>10.568000000000001</v>
      </c>
      <c r="Q868" s="10">
        <f t="shared" si="329"/>
        <v>0</v>
      </c>
      <c r="R868" s="10">
        <f t="shared" si="329"/>
        <v>0</v>
      </c>
      <c r="S868" s="10">
        <f t="shared" si="329"/>
        <v>0</v>
      </c>
      <c r="T868" s="10">
        <f t="shared" si="329"/>
        <v>16.686570057142859</v>
      </c>
      <c r="U868" s="10">
        <f t="shared" si="329"/>
        <v>0</v>
      </c>
      <c r="V868" s="10">
        <f t="shared" si="329"/>
        <v>0</v>
      </c>
      <c r="W868" s="10">
        <f t="shared" si="329"/>
        <v>0</v>
      </c>
      <c r="X868" s="10">
        <f t="shared" si="333"/>
        <v>16.686570057142859</v>
      </c>
      <c r="Y868" s="10"/>
      <c r="Z868" s="10"/>
      <c r="AA868" s="10"/>
      <c r="AB868" s="10"/>
      <c r="AC868" s="10"/>
      <c r="AD868" s="10"/>
      <c r="AE868" s="10"/>
    </row>
    <row r="869" spans="1:32" s="3" customFormat="1" ht="21" customHeight="1" x14ac:dyDescent="0.2">
      <c r="A869" s="87"/>
      <c r="B869" s="10" t="s">
        <v>67</v>
      </c>
      <c r="C869" s="93" t="s">
        <v>128</v>
      </c>
      <c r="D869" s="10">
        <v>16</v>
      </c>
      <c r="E869" s="10"/>
      <c r="F869" s="10">
        <v>4</v>
      </c>
      <c r="G869" s="90">
        <f>VLOOKUP(D869,$C$20:$F$26,3,0)</f>
        <v>0.85</v>
      </c>
      <c r="H869" s="90"/>
      <c r="I869" s="10"/>
      <c r="J869" s="10"/>
      <c r="K869" s="10"/>
      <c r="L869" s="10"/>
      <c r="M869" s="10"/>
      <c r="N869" s="10"/>
      <c r="O869" s="10">
        <f>(1.6+1*(G869)*D865)</f>
        <v>2.4500000000000002</v>
      </c>
      <c r="P869" s="10">
        <f t="shared" si="332"/>
        <v>9.8000000000000007</v>
      </c>
      <c r="Q869" s="10">
        <f t="shared" si="329"/>
        <v>0</v>
      </c>
      <c r="R869" s="10">
        <f t="shared" si="329"/>
        <v>0</v>
      </c>
      <c r="S869" s="10">
        <f t="shared" si="329"/>
        <v>0</v>
      </c>
      <c r="T869" s="10">
        <f t="shared" si="329"/>
        <v>15.473920000000001</v>
      </c>
      <c r="U869" s="10">
        <f t="shared" si="329"/>
        <v>0</v>
      </c>
      <c r="V869" s="10">
        <f t="shared" si="329"/>
        <v>0</v>
      </c>
      <c r="W869" s="10">
        <f t="shared" si="329"/>
        <v>0</v>
      </c>
      <c r="X869" s="10">
        <f t="shared" si="333"/>
        <v>15.473920000000001</v>
      </c>
      <c r="Y869" s="10"/>
      <c r="Z869" s="10"/>
      <c r="AA869" s="10"/>
      <c r="AB869" s="10"/>
      <c r="AC869" s="10"/>
      <c r="AD869" s="10"/>
      <c r="AE869" s="10"/>
    </row>
    <row r="870" spans="1:32" s="3" customFormat="1" ht="20.100000000000001" customHeight="1" x14ac:dyDescent="0.2">
      <c r="A870" s="87"/>
      <c r="B870" s="10" t="s">
        <v>67</v>
      </c>
      <c r="C870" s="93" t="s">
        <v>73</v>
      </c>
      <c r="D870" s="10">
        <v>10</v>
      </c>
      <c r="E870" s="10">
        <v>0.1</v>
      </c>
      <c r="F870" s="10">
        <f>ROUND(IF(E865/3&gt;(2*G865),(E865/3)/E870,(2*G865)/E870),0)*2+1</f>
        <v>31</v>
      </c>
      <c r="H870" s="10"/>
      <c r="I870" s="10"/>
      <c r="J870" s="10"/>
      <c r="K870" s="10"/>
      <c r="L870" s="10"/>
      <c r="M870" s="10"/>
      <c r="N870" s="10"/>
      <c r="O870" s="10">
        <f>(2*((G865-(2*$D$11))+(F865-(2*$D$11)))+(2*10*D870/1000))*D865</f>
        <v>1.86</v>
      </c>
      <c r="P870" s="10">
        <f t="shared" si="332"/>
        <v>57.660000000000004</v>
      </c>
      <c r="Q870" s="10">
        <f t="shared" si="329"/>
        <v>0</v>
      </c>
      <c r="R870" s="10">
        <f t="shared" si="329"/>
        <v>35.563864285714288</v>
      </c>
      <c r="S870" s="10">
        <f t="shared" si="329"/>
        <v>0</v>
      </c>
      <c r="T870" s="10">
        <f t="shared" si="329"/>
        <v>0</v>
      </c>
      <c r="U870" s="10">
        <f t="shared" si="329"/>
        <v>0</v>
      </c>
      <c r="V870" s="10">
        <f t="shared" si="329"/>
        <v>0</v>
      </c>
      <c r="W870" s="10">
        <f t="shared" si="329"/>
        <v>0</v>
      </c>
      <c r="X870" s="10">
        <f t="shared" si="333"/>
        <v>35.563864285714288</v>
      </c>
      <c r="Y870" s="10"/>
      <c r="Z870" s="10"/>
      <c r="AA870" s="10"/>
      <c r="AB870" s="10"/>
      <c r="AC870" s="10"/>
      <c r="AD870" s="10"/>
      <c r="AE870" s="10"/>
    </row>
    <row r="871" spans="1:32" s="2" customFormat="1" ht="20.100000000000001" customHeight="1" x14ac:dyDescent="0.2">
      <c r="B871" s="10" t="s">
        <v>67</v>
      </c>
      <c r="C871" s="93" t="s">
        <v>73</v>
      </c>
      <c r="D871" s="2">
        <f>D870</f>
        <v>10</v>
      </c>
      <c r="E871" s="2">
        <v>0.17499999999999999</v>
      </c>
      <c r="F871" s="2">
        <f>ROUND((E865-(IF(E865/3&gt;2*G865,E865/3*2,G865*2*2)))/E871,0)</f>
        <v>9</v>
      </c>
      <c r="G871" s="3"/>
      <c r="O871" s="10">
        <f>(2*((G865-(2*$D$11))+(F865-(2*$D$11)))+(2*10*D871/1000))*D865</f>
        <v>1.86</v>
      </c>
      <c r="P871" s="10">
        <f t="shared" si="332"/>
        <v>16.740000000000002</v>
      </c>
      <c r="Q871" s="10">
        <f t="shared" si="329"/>
        <v>0</v>
      </c>
      <c r="R871" s="10">
        <f t="shared" si="329"/>
        <v>10.324992857142858</v>
      </c>
      <c r="S871" s="10">
        <f t="shared" si="329"/>
        <v>0</v>
      </c>
      <c r="T871" s="10">
        <f t="shared" si="329"/>
        <v>0</v>
      </c>
      <c r="U871" s="10">
        <f t="shared" si="329"/>
        <v>0</v>
      </c>
      <c r="V871" s="10">
        <f t="shared" si="329"/>
        <v>0</v>
      </c>
      <c r="W871" s="10">
        <f t="shared" si="329"/>
        <v>0</v>
      </c>
      <c r="X871" s="10">
        <f t="shared" si="333"/>
        <v>10.324992857142858</v>
      </c>
    </row>
    <row r="872" spans="1:32" s="2" customFormat="1" ht="20.100000000000001" customHeight="1" x14ac:dyDescent="0.2">
      <c r="B872" s="10" t="s">
        <v>67</v>
      </c>
      <c r="C872" s="93" t="s">
        <v>74</v>
      </c>
      <c r="D872" s="2">
        <f>D870</f>
        <v>10</v>
      </c>
      <c r="E872" s="2">
        <f>+E870</f>
        <v>0.1</v>
      </c>
      <c r="F872" s="10">
        <f>ROUND(IF(E865/3&gt;(2*G865),(E865/3)/E872,(2*G865)/E872),0)*2+1</f>
        <v>31</v>
      </c>
      <c r="G872" s="3"/>
      <c r="O872" s="10">
        <f>((((G865-(2*$D$11))+(2*10*D872/1000))*D865))*2</f>
        <v>1.28</v>
      </c>
      <c r="P872" s="10">
        <f t="shared" si="332"/>
        <v>39.68</v>
      </c>
      <c r="Q872" s="10">
        <f t="shared" si="329"/>
        <v>0</v>
      </c>
      <c r="R872" s="10">
        <f t="shared" si="329"/>
        <v>24.474057142857141</v>
      </c>
      <c r="S872" s="10">
        <f t="shared" si="329"/>
        <v>0</v>
      </c>
      <c r="T872" s="10">
        <f t="shared" si="329"/>
        <v>0</v>
      </c>
      <c r="U872" s="10">
        <f t="shared" si="329"/>
        <v>0</v>
      </c>
      <c r="V872" s="10">
        <f t="shared" si="329"/>
        <v>0</v>
      </c>
      <c r="W872" s="10">
        <f t="shared" si="329"/>
        <v>0</v>
      </c>
      <c r="X872" s="10">
        <f t="shared" si="333"/>
        <v>24.474057142857141</v>
      </c>
    </row>
    <row r="873" spans="1:32" s="2" customFormat="1" ht="20.100000000000001" customHeight="1" x14ac:dyDescent="0.2">
      <c r="B873" s="10" t="s">
        <v>67</v>
      </c>
      <c r="C873" s="93" t="s">
        <v>74</v>
      </c>
      <c r="D873" s="2">
        <f>D871</f>
        <v>10</v>
      </c>
      <c r="E873" s="2">
        <f>+E871</f>
        <v>0.17499999999999999</v>
      </c>
      <c r="F873" s="2">
        <f>ROUND((E865-(IF(E865/3&gt;2*G865,E865/3*2,G865*2*2)))/E873,0)</f>
        <v>9</v>
      </c>
      <c r="G873" s="3"/>
      <c r="O873" s="10">
        <f>((((G865-(2*$D$11))+(2*10*D873/1000))*D865))*2</f>
        <v>1.28</v>
      </c>
      <c r="P873" s="10">
        <f t="shared" si="332"/>
        <v>11.52</v>
      </c>
      <c r="Q873" s="10">
        <f t="shared" si="329"/>
        <v>0</v>
      </c>
      <c r="R873" s="10">
        <f t="shared" si="329"/>
        <v>7.105371428571428</v>
      </c>
      <c r="S873" s="10">
        <f t="shared" si="329"/>
        <v>0</v>
      </c>
      <c r="T873" s="10">
        <f t="shared" si="329"/>
        <v>0</v>
      </c>
      <c r="U873" s="10">
        <f t="shared" si="329"/>
        <v>0</v>
      </c>
      <c r="V873" s="10">
        <f t="shared" si="329"/>
        <v>0</v>
      </c>
      <c r="W873" s="10">
        <f t="shared" si="329"/>
        <v>0</v>
      </c>
      <c r="X873" s="10">
        <f t="shared" si="333"/>
        <v>7.105371428571428</v>
      </c>
    </row>
    <row r="874" spans="1:32" s="3" customFormat="1" ht="20.100000000000001" customHeight="1" x14ac:dyDescent="0.2">
      <c r="A874" s="87"/>
      <c r="B874" s="10" t="s">
        <v>67</v>
      </c>
      <c r="C874" s="93" t="s">
        <v>75</v>
      </c>
      <c r="D874" s="10">
        <f>+$D$15</f>
        <v>25</v>
      </c>
      <c r="E874" s="10">
        <f>+$E$15</f>
        <v>1</v>
      </c>
      <c r="F874" s="10">
        <f>ROUNDUP((1.6+1.6)/E874,0)</f>
        <v>4</v>
      </c>
      <c r="G874" s="90"/>
      <c r="H874" s="90"/>
      <c r="I874" s="10"/>
      <c r="J874" s="10"/>
      <c r="K874" s="10"/>
      <c r="L874" s="10"/>
      <c r="M874" s="10"/>
      <c r="N874" s="10"/>
      <c r="O874" s="10">
        <f>F865-$F$15</f>
        <v>0.39</v>
      </c>
      <c r="P874" s="10">
        <f t="shared" si="332"/>
        <v>1.56</v>
      </c>
      <c r="Q874" s="10">
        <f t="shared" si="329"/>
        <v>0</v>
      </c>
      <c r="R874" s="10">
        <f t="shared" si="329"/>
        <v>0</v>
      </c>
      <c r="S874" s="10">
        <f t="shared" si="329"/>
        <v>0</v>
      </c>
      <c r="T874" s="10">
        <f t="shared" si="329"/>
        <v>0</v>
      </c>
      <c r="U874" s="10">
        <f t="shared" si="329"/>
        <v>0</v>
      </c>
      <c r="V874" s="10">
        <f t="shared" si="329"/>
        <v>6.0136607142857157</v>
      </c>
      <c r="W874" s="10">
        <f t="shared" si="329"/>
        <v>0</v>
      </c>
      <c r="X874" s="10">
        <f t="shared" si="333"/>
        <v>6.0136607142857157</v>
      </c>
      <c r="Y874" s="10"/>
      <c r="Z874" s="10"/>
      <c r="AA874" s="10"/>
      <c r="AB874" s="10"/>
      <c r="AC874" s="10"/>
      <c r="AD874" s="10"/>
      <c r="AE874" s="10"/>
    </row>
    <row r="875" spans="1:32" s="3" customFormat="1" ht="21" customHeight="1" x14ac:dyDescent="0.2">
      <c r="A875" s="10">
        <v>1</v>
      </c>
      <c r="B875" s="10" t="s">
        <v>67</v>
      </c>
      <c r="C875" s="91" t="s">
        <v>191</v>
      </c>
      <c r="D875" s="91">
        <v>1</v>
      </c>
      <c r="E875" s="91">
        <v>2</v>
      </c>
      <c r="F875" s="91">
        <v>0.45</v>
      </c>
      <c r="G875" s="91">
        <v>0.5</v>
      </c>
      <c r="H875" s="10">
        <f>G875-0.2</f>
        <v>0.3</v>
      </c>
      <c r="I875" s="10">
        <f>E875*F875*G875*D875</f>
        <v>0.45</v>
      </c>
      <c r="J875" s="10">
        <f>(2*(E875)*H875*D875)+(E875*F875)</f>
        <v>2.1</v>
      </c>
      <c r="K875" s="92">
        <f>IF(E875=0.3,J875,0)</f>
        <v>0</v>
      </c>
      <c r="L875" s="92">
        <f>IF(AND(E875&gt;0.3,E875&lt;=0.75),J875,0)</f>
        <v>0</v>
      </c>
      <c r="M875" s="92">
        <f>IF(AND(E875&gt;0.75,E875&lt;=1.2),J875,0)</f>
        <v>0</v>
      </c>
      <c r="N875" s="92">
        <f>IF(E875&gt;1.2,J875,0)</f>
        <v>2.1</v>
      </c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>
        <f>SUM(X876:X882)/I875</f>
        <v>516.07557222222226</v>
      </c>
      <c r="Z875" s="10"/>
      <c r="AA875" s="10"/>
      <c r="AB875" s="10"/>
      <c r="AC875" s="10"/>
      <c r="AD875" s="10"/>
      <c r="AE875" s="10"/>
      <c r="AF875" s="10"/>
    </row>
    <row r="876" spans="1:32" s="3" customFormat="1" ht="20.100000000000001" customHeight="1" x14ac:dyDescent="0.2">
      <c r="A876" s="87"/>
      <c r="B876" s="10" t="s">
        <v>67</v>
      </c>
      <c r="C876" s="93" t="s">
        <v>69</v>
      </c>
      <c r="D876" s="10">
        <v>20</v>
      </c>
      <c r="E876" s="10"/>
      <c r="F876" s="10">
        <v>4</v>
      </c>
      <c r="G876" s="90">
        <f>VLOOKUP(D876,$C$20:$F$26,3,0)</f>
        <v>1.05</v>
      </c>
      <c r="H876" s="90"/>
      <c r="I876" s="10"/>
      <c r="J876" s="10"/>
      <c r="K876" s="10"/>
      <c r="L876" s="10"/>
      <c r="M876" s="10"/>
      <c r="N876" s="10"/>
      <c r="O876" s="10">
        <f>(E875+1*(G876+(12*D876/1000))+1*(G876)*D875)</f>
        <v>4.34</v>
      </c>
      <c r="P876" s="10">
        <f t="shared" ref="P876:P882" si="334">O876*F876</f>
        <v>17.36</v>
      </c>
      <c r="Q876" s="10">
        <f t="shared" si="329"/>
        <v>0</v>
      </c>
      <c r="R876" s="10">
        <f t="shared" si="329"/>
        <v>0</v>
      </c>
      <c r="S876" s="10">
        <f t="shared" si="329"/>
        <v>0</v>
      </c>
      <c r="T876" s="10">
        <f t="shared" si="329"/>
        <v>0</v>
      </c>
      <c r="U876" s="10">
        <f t="shared" si="329"/>
        <v>42.829599999999999</v>
      </c>
      <c r="V876" s="10">
        <f t="shared" si="329"/>
        <v>0</v>
      </c>
      <c r="W876" s="10">
        <f t="shared" si="329"/>
        <v>0</v>
      </c>
      <c r="X876" s="10">
        <f t="shared" ref="X876:X882" si="335">SUM(Q876:W876)</f>
        <v>42.829599999999999</v>
      </c>
      <c r="Y876" s="10"/>
      <c r="Z876" s="10"/>
      <c r="AA876" s="10"/>
      <c r="AB876" s="10"/>
      <c r="AC876" s="10"/>
      <c r="AD876" s="10"/>
      <c r="AE876" s="10"/>
    </row>
    <row r="877" spans="1:32" s="3" customFormat="1" ht="20.100000000000001" customHeight="1" x14ac:dyDescent="0.2">
      <c r="A877" s="87"/>
      <c r="B877" s="10" t="s">
        <v>67</v>
      </c>
      <c r="C877" s="93" t="s">
        <v>158</v>
      </c>
      <c r="D877" s="10">
        <v>20</v>
      </c>
      <c r="E877" s="10"/>
      <c r="F877" s="10">
        <v>4</v>
      </c>
      <c r="G877" s="90">
        <f>VLOOKUP(D877,$C$20:$F$26,3,0)</f>
        <v>1.05</v>
      </c>
      <c r="H877" s="90"/>
      <c r="I877" s="10"/>
      <c r="J877" s="10"/>
      <c r="K877" s="10"/>
      <c r="L877" s="10"/>
      <c r="M877" s="10"/>
      <c r="N877" s="10"/>
      <c r="O877" s="10">
        <f>(E875+1*(G877+(12*D877/1000))+1*(G877)*D875)</f>
        <v>4.34</v>
      </c>
      <c r="P877" s="10">
        <f t="shared" si="334"/>
        <v>17.36</v>
      </c>
      <c r="Q877" s="10">
        <f t="shared" ref="Q877:W882" si="336">IF($D877=Q$44,$P877*Q$45,0)</f>
        <v>0</v>
      </c>
      <c r="R877" s="10">
        <f t="shared" si="336"/>
        <v>0</v>
      </c>
      <c r="S877" s="10">
        <f t="shared" si="336"/>
        <v>0</v>
      </c>
      <c r="T877" s="10">
        <f t="shared" si="336"/>
        <v>0</v>
      </c>
      <c r="U877" s="10">
        <f t="shared" si="336"/>
        <v>42.829599999999999</v>
      </c>
      <c r="V877" s="10">
        <f t="shared" si="336"/>
        <v>0</v>
      </c>
      <c r="W877" s="10">
        <f t="shared" si="336"/>
        <v>0</v>
      </c>
      <c r="X877" s="10">
        <f t="shared" si="335"/>
        <v>42.829599999999999</v>
      </c>
      <c r="Y877" s="10"/>
      <c r="Z877" s="10"/>
      <c r="AA877" s="10"/>
      <c r="AB877" s="10"/>
      <c r="AC877" s="10"/>
      <c r="AD877" s="10"/>
      <c r="AE877" s="10"/>
    </row>
    <row r="878" spans="1:32" s="3" customFormat="1" ht="20.100000000000001" customHeight="1" x14ac:dyDescent="0.2">
      <c r="A878" s="87"/>
      <c r="B878" s="10" t="s">
        <v>67</v>
      </c>
      <c r="C878" s="93" t="s">
        <v>128</v>
      </c>
      <c r="D878" s="10">
        <v>20</v>
      </c>
      <c r="E878" s="10"/>
      <c r="F878" s="10">
        <v>4</v>
      </c>
      <c r="G878" s="90">
        <f>VLOOKUP(D878,$C$20:$F$26,3,0)</f>
        <v>1.05</v>
      </c>
      <c r="H878" s="90"/>
      <c r="I878" s="10"/>
      <c r="J878" s="10"/>
      <c r="K878" s="10"/>
      <c r="L878" s="10"/>
      <c r="M878" s="10"/>
      <c r="N878" s="10"/>
      <c r="O878" s="10">
        <f>(E875+1*(G878+(12*D878/1000))+1*(G878)*D875)</f>
        <v>4.34</v>
      </c>
      <c r="P878" s="10">
        <f t="shared" si="334"/>
        <v>17.36</v>
      </c>
      <c r="Q878" s="10">
        <f t="shared" si="336"/>
        <v>0</v>
      </c>
      <c r="R878" s="10">
        <f t="shared" si="336"/>
        <v>0</v>
      </c>
      <c r="S878" s="10">
        <f t="shared" si="336"/>
        <v>0</v>
      </c>
      <c r="T878" s="10">
        <f t="shared" si="336"/>
        <v>0</v>
      </c>
      <c r="U878" s="10">
        <f t="shared" si="336"/>
        <v>42.829599999999999</v>
      </c>
      <c r="V878" s="10">
        <f t="shared" si="336"/>
        <v>0</v>
      </c>
      <c r="W878" s="10">
        <f t="shared" si="336"/>
        <v>0</v>
      </c>
      <c r="X878" s="10">
        <f t="shared" si="335"/>
        <v>42.829599999999999</v>
      </c>
      <c r="Y878" s="10"/>
      <c r="Z878" s="10"/>
      <c r="AA878" s="10"/>
      <c r="AB878" s="10"/>
      <c r="AC878" s="10"/>
      <c r="AD878" s="10"/>
      <c r="AE878" s="10"/>
    </row>
    <row r="879" spans="1:32" s="3" customFormat="1" ht="21" customHeight="1" x14ac:dyDescent="0.2">
      <c r="A879" s="87"/>
      <c r="B879" s="10" t="s">
        <v>67</v>
      </c>
      <c r="C879" s="93" t="s">
        <v>128</v>
      </c>
      <c r="D879" s="10">
        <v>20</v>
      </c>
      <c r="E879" s="10"/>
      <c r="F879" s="10">
        <v>4</v>
      </c>
      <c r="G879" s="90">
        <f>VLOOKUP(D879,$C$20:$F$26,3,0)</f>
        <v>1.05</v>
      </c>
      <c r="H879" s="90"/>
      <c r="I879" s="10"/>
      <c r="J879" s="10"/>
      <c r="K879" s="10"/>
      <c r="L879" s="10"/>
      <c r="M879" s="10"/>
      <c r="N879" s="10"/>
      <c r="O879" s="10">
        <f>(E875+1*(G879+(12*D879/1000))+1*(G879)*D875)</f>
        <v>4.34</v>
      </c>
      <c r="P879" s="10">
        <f t="shared" si="334"/>
        <v>17.36</v>
      </c>
      <c r="Q879" s="10">
        <f t="shared" si="336"/>
        <v>0</v>
      </c>
      <c r="R879" s="10">
        <f t="shared" si="336"/>
        <v>0</v>
      </c>
      <c r="S879" s="10">
        <f t="shared" si="336"/>
        <v>0</v>
      </c>
      <c r="T879" s="10">
        <f t="shared" si="336"/>
        <v>0</v>
      </c>
      <c r="U879" s="10">
        <f t="shared" si="336"/>
        <v>42.829599999999999</v>
      </c>
      <c r="V879" s="10">
        <f t="shared" si="336"/>
        <v>0</v>
      </c>
      <c r="W879" s="10">
        <f t="shared" si="336"/>
        <v>0</v>
      </c>
      <c r="X879" s="10">
        <f t="shared" si="335"/>
        <v>42.829599999999999</v>
      </c>
      <c r="Y879" s="10"/>
      <c r="Z879" s="10"/>
      <c r="AA879" s="10"/>
      <c r="AB879" s="10"/>
      <c r="AC879" s="10"/>
      <c r="AD879" s="10"/>
      <c r="AE879" s="10"/>
    </row>
    <row r="880" spans="1:32" s="3" customFormat="1" ht="19.5" customHeight="1" x14ac:dyDescent="0.2">
      <c r="A880" s="87"/>
      <c r="B880" s="10" t="s">
        <v>67</v>
      </c>
      <c r="C880" s="93" t="s">
        <v>73</v>
      </c>
      <c r="D880" s="10">
        <v>12</v>
      </c>
      <c r="E880" s="10">
        <v>0.1</v>
      </c>
      <c r="F880" s="10">
        <f>ROUNDUP(E875/E880,0)</f>
        <v>20</v>
      </c>
      <c r="H880" s="10"/>
      <c r="I880" s="10"/>
      <c r="J880" s="10"/>
      <c r="K880" s="10"/>
      <c r="L880" s="10"/>
      <c r="M880" s="10"/>
      <c r="N880" s="10"/>
      <c r="O880" s="10">
        <f>(2*((G875-(2*$D$11))+(F875-(2*$D$11)))+(2*10*D880/1000))*D875</f>
        <v>1.9000000000000001</v>
      </c>
      <c r="P880" s="10">
        <f>O880*F880</f>
        <v>38</v>
      </c>
      <c r="Q880" s="10">
        <f t="shared" si="336"/>
        <v>0</v>
      </c>
      <c r="R880" s="10">
        <f t="shared" si="336"/>
        <v>0</v>
      </c>
      <c r="S880" s="10">
        <f t="shared" si="336"/>
        <v>33.750514285714289</v>
      </c>
      <c r="T880" s="10">
        <f t="shared" si="336"/>
        <v>0</v>
      </c>
      <c r="U880" s="10">
        <f t="shared" si="336"/>
        <v>0</v>
      </c>
      <c r="V880" s="10">
        <f t="shared" si="336"/>
        <v>0</v>
      </c>
      <c r="W880" s="10">
        <f t="shared" si="336"/>
        <v>0</v>
      </c>
      <c r="X880" s="10">
        <f t="shared" si="335"/>
        <v>33.750514285714289</v>
      </c>
      <c r="Y880" s="10"/>
      <c r="Z880" s="10"/>
      <c r="AA880" s="10"/>
      <c r="AB880" s="10"/>
      <c r="AC880" s="10"/>
      <c r="AD880" s="10"/>
      <c r="AE880" s="10"/>
    </row>
    <row r="881" spans="1:32" s="2" customFormat="1" ht="20.100000000000001" customHeight="1" x14ac:dyDescent="0.2">
      <c r="B881" s="10" t="s">
        <v>67</v>
      </c>
      <c r="C881" s="93" t="s">
        <v>74</v>
      </c>
      <c r="D881" s="10">
        <f>+D880</f>
        <v>12</v>
      </c>
      <c r="E881" s="2">
        <f>+E880</f>
        <v>0.1</v>
      </c>
      <c r="F881" s="10">
        <f>ROUNDUP(E875/E881,0)</f>
        <v>20</v>
      </c>
      <c r="G881" s="3"/>
      <c r="O881" s="10">
        <f>((((G875-(2*$D$11))+(2*10*D881/1000))*D875))*2</f>
        <v>1.3599999999999999</v>
      </c>
      <c r="P881" s="10">
        <f>O881*F881</f>
        <v>27.199999999999996</v>
      </c>
      <c r="Q881" s="10">
        <f t="shared" si="336"/>
        <v>0</v>
      </c>
      <c r="R881" s="10">
        <f t="shared" si="336"/>
        <v>0</v>
      </c>
      <c r="S881" s="10">
        <f t="shared" si="336"/>
        <v>24.158262857142859</v>
      </c>
      <c r="T881" s="10">
        <f t="shared" si="336"/>
        <v>0</v>
      </c>
      <c r="U881" s="10">
        <f t="shared" si="336"/>
        <v>0</v>
      </c>
      <c r="V881" s="10">
        <f t="shared" si="336"/>
        <v>0</v>
      </c>
      <c r="W881" s="10">
        <f t="shared" si="336"/>
        <v>0</v>
      </c>
      <c r="X881" s="10">
        <f t="shared" si="335"/>
        <v>24.158262857142859</v>
      </c>
    </row>
    <row r="882" spans="1:32" s="3" customFormat="1" ht="20.100000000000001" customHeight="1" x14ac:dyDescent="0.2">
      <c r="A882" s="87"/>
      <c r="B882" s="10" t="s">
        <v>67</v>
      </c>
      <c r="C882" s="93" t="s">
        <v>75</v>
      </c>
      <c r="D882" s="10">
        <f>+$D$15</f>
        <v>25</v>
      </c>
      <c r="E882" s="10">
        <f>+$E$15</f>
        <v>1</v>
      </c>
      <c r="F882" s="10">
        <f>ROUNDUP((E875)/E882,0)</f>
        <v>2</v>
      </c>
      <c r="G882" s="90"/>
      <c r="H882" s="90"/>
      <c r="I882" s="10"/>
      <c r="J882" s="10"/>
      <c r="K882" s="10"/>
      <c r="L882" s="10"/>
      <c r="M882" s="10"/>
      <c r="N882" s="10"/>
      <c r="O882" s="10">
        <f>F875-$F$15</f>
        <v>0.39</v>
      </c>
      <c r="P882" s="10">
        <f t="shared" si="334"/>
        <v>0.78</v>
      </c>
      <c r="Q882" s="10">
        <f t="shared" si="336"/>
        <v>0</v>
      </c>
      <c r="R882" s="10">
        <f t="shared" si="336"/>
        <v>0</v>
      </c>
      <c r="S882" s="10">
        <f t="shared" si="336"/>
        <v>0</v>
      </c>
      <c r="T882" s="10">
        <f t="shared" si="336"/>
        <v>0</v>
      </c>
      <c r="U882" s="10">
        <f t="shared" si="336"/>
        <v>0</v>
      </c>
      <c r="V882" s="10">
        <f t="shared" si="336"/>
        <v>3.0068303571428578</v>
      </c>
      <c r="W882" s="10">
        <f t="shared" si="336"/>
        <v>0</v>
      </c>
      <c r="X882" s="10">
        <f t="shared" si="335"/>
        <v>3.0068303571428578</v>
      </c>
      <c r="Y882" s="10"/>
      <c r="Z882" s="10"/>
      <c r="AA882" s="10"/>
      <c r="AB882" s="10"/>
      <c r="AC882" s="10"/>
      <c r="AD882" s="10"/>
      <c r="AE882" s="10"/>
    </row>
    <row r="883" spans="1:32" s="3" customFormat="1" ht="21" customHeight="1" x14ac:dyDescent="0.2">
      <c r="A883" s="10">
        <v>1</v>
      </c>
      <c r="B883" s="10" t="s">
        <v>67</v>
      </c>
      <c r="C883" s="91" t="s">
        <v>192</v>
      </c>
      <c r="D883" s="91">
        <v>1</v>
      </c>
      <c r="E883" s="91">
        <v>6.24</v>
      </c>
      <c r="F883" s="91">
        <v>0.5</v>
      </c>
      <c r="G883" s="91">
        <v>0.6</v>
      </c>
      <c r="H883" s="10">
        <f>G883-0.2</f>
        <v>0.39999999999999997</v>
      </c>
      <c r="I883" s="10">
        <f>E883*F883*G883*D883</f>
        <v>1.8719999999999999</v>
      </c>
      <c r="J883" s="10">
        <f>(2*(E883)*H883*D883)+(E883*F883)</f>
        <v>8.1120000000000001</v>
      </c>
      <c r="K883" s="92">
        <f>IF(E883=0.3,J883,0)</f>
        <v>0</v>
      </c>
      <c r="L883" s="92">
        <f>IF(AND(E883&gt;0.3,E883&lt;=0.75),J883,0)</f>
        <v>0</v>
      </c>
      <c r="M883" s="92">
        <f>IF(AND(E883&gt;0.75,E883&lt;=1.2),J883,0)</f>
        <v>0</v>
      </c>
      <c r="N883" s="92">
        <f>IF(E883&gt;1.2,J883,0)</f>
        <v>8.1120000000000001</v>
      </c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>
        <f>SUM(X884:X890)/I883</f>
        <v>214.64432799145303</v>
      </c>
      <c r="Z883" s="10"/>
      <c r="AA883" s="10"/>
      <c r="AB883" s="10"/>
      <c r="AC883" s="10"/>
      <c r="AD883" s="10"/>
      <c r="AE883" s="10"/>
      <c r="AF883" s="10"/>
    </row>
    <row r="884" spans="1:32" s="3" customFormat="1" ht="20.100000000000001" customHeight="1" x14ac:dyDescent="0.2">
      <c r="A884" s="87"/>
      <c r="B884" s="10" t="s">
        <v>67</v>
      </c>
      <c r="C884" s="93" t="s">
        <v>69</v>
      </c>
      <c r="D884" s="10">
        <v>20</v>
      </c>
      <c r="E884" s="10"/>
      <c r="F884" s="10">
        <v>5</v>
      </c>
      <c r="G884" s="90">
        <f>VLOOKUP(D884,$C$20:$F$26,3,0)</f>
        <v>1.05</v>
      </c>
      <c r="H884" s="90"/>
      <c r="I884" s="10"/>
      <c r="J884" s="10"/>
      <c r="K884" s="10"/>
      <c r="L884" s="10"/>
      <c r="M884" s="10"/>
      <c r="N884" s="10"/>
      <c r="O884" s="10">
        <f>(E883+2*(G884)+1*(1.5/2)*D883)</f>
        <v>9.09</v>
      </c>
      <c r="P884" s="10">
        <f t="shared" ref="P884:P888" si="337">O884*F884</f>
        <v>45.45</v>
      </c>
      <c r="Q884" s="10">
        <f t="shared" ref="Q884:W890" si="338">IF($D884=Q$44,$P884*Q$45,0)</f>
        <v>0</v>
      </c>
      <c r="R884" s="10">
        <f t="shared" si="338"/>
        <v>0</v>
      </c>
      <c r="S884" s="10">
        <f t="shared" si="338"/>
        <v>0</v>
      </c>
      <c r="T884" s="10">
        <f t="shared" si="338"/>
        <v>0</v>
      </c>
      <c r="U884" s="10">
        <f t="shared" si="338"/>
        <v>112.13164285714286</v>
      </c>
      <c r="V884" s="10">
        <f t="shared" si="338"/>
        <v>0</v>
      </c>
      <c r="W884" s="10">
        <f t="shared" si="338"/>
        <v>0</v>
      </c>
      <c r="X884" s="10">
        <f t="shared" ref="X884:X890" si="339">SUM(Q884:W884)</f>
        <v>112.13164285714286</v>
      </c>
      <c r="Y884" s="10"/>
      <c r="Z884" s="10"/>
      <c r="AA884" s="10"/>
      <c r="AB884" s="10"/>
      <c r="AC884" s="10"/>
      <c r="AD884" s="10"/>
      <c r="AE884" s="10"/>
    </row>
    <row r="885" spans="1:32" s="3" customFormat="1" ht="20.100000000000001" customHeight="1" x14ac:dyDescent="0.2">
      <c r="A885" s="87"/>
      <c r="B885" s="10" t="s">
        <v>67</v>
      </c>
      <c r="C885" s="93" t="s">
        <v>158</v>
      </c>
      <c r="D885" s="10">
        <v>20</v>
      </c>
      <c r="E885" s="10"/>
      <c r="F885" s="10">
        <v>5</v>
      </c>
      <c r="G885" s="90">
        <f>VLOOKUP(D885,$C$20:$F$26,3,0)</f>
        <v>1.05</v>
      </c>
      <c r="H885" s="90"/>
      <c r="I885" s="10"/>
      <c r="J885" s="10"/>
      <c r="K885" s="10"/>
      <c r="L885" s="10"/>
      <c r="M885" s="10"/>
      <c r="N885" s="10"/>
      <c r="O885" s="10">
        <f>(E883+2*(G885)+1*(1.5/2)*D883)</f>
        <v>9.09</v>
      </c>
      <c r="P885" s="10">
        <f t="shared" si="337"/>
        <v>45.45</v>
      </c>
      <c r="Q885" s="10">
        <f t="shared" si="338"/>
        <v>0</v>
      </c>
      <c r="R885" s="10">
        <f t="shared" si="338"/>
        <v>0</v>
      </c>
      <c r="S885" s="10">
        <f t="shared" si="338"/>
        <v>0</v>
      </c>
      <c r="T885" s="10">
        <f t="shared" si="338"/>
        <v>0</v>
      </c>
      <c r="U885" s="10">
        <f t="shared" si="338"/>
        <v>112.13164285714286</v>
      </c>
      <c r="V885" s="10">
        <f t="shared" si="338"/>
        <v>0</v>
      </c>
      <c r="W885" s="10">
        <f t="shared" si="338"/>
        <v>0</v>
      </c>
      <c r="X885" s="10">
        <f t="shared" si="339"/>
        <v>112.13164285714286</v>
      </c>
      <c r="Y885" s="10"/>
      <c r="Z885" s="10"/>
      <c r="AA885" s="10"/>
      <c r="AB885" s="10"/>
      <c r="AC885" s="10"/>
      <c r="AD885" s="10"/>
      <c r="AE885" s="10"/>
    </row>
    <row r="886" spans="1:32" s="3" customFormat="1" ht="20.100000000000001" customHeight="1" x14ac:dyDescent="0.2">
      <c r="A886" s="87"/>
      <c r="B886" s="10" t="s">
        <v>67</v>
      </c>
      <c r="C886" s="93" t="s">
        <v>128</v>
      </c>
      <c r="D886" s="10">
        <v>16</v>
      </c>
      <c r="E886" s="10"/>
      <c r="F886" s="10">
        <v>5</v>
      </c>
      <c r="G886" s="90">
        <f>VLOOKUP(D886,$C$20:$F$26,3,0)</f>
        <v>0.85</v>
      </c>
      <c r="H886" s="90"/>
      <c r="I886" s="10"/>
      <c r="J886" s="10"/>
      <c r="K886" s="10"/>
      <c r="L886" s="10"/>
      <c r="M886" s="10"/>
      <c r="N886" s="10"/>
      <c r="O886" s="10">
        <f>1.75+1*(G886)</f>
        <v>2.6</v>
      </c>
      <c r="P886" s="10">
        <f t="shared" si="337"/>
        <v>13</v>
      </c>
      <c r="Q886" s="10">
        <f t="shared" si="338"/>
        <v>0</v>
      </c>
      <c r="R886" s="10">
        <f t="shared" si="338"/>
        <v>0</v>
      </c>
      <c r="S886" s="10">
        <f t="shared" si="338"/>
        <v>0</v>
      </c>
      <c r="T886" s="10">
        <f t="shared" si="338"/>
        <v>20.526628571428574</v>
      </c>
      <c r="U886" s="10">
        <f t="shared" si="338"/>
        <v>0</v>
      </c>
      <c r="V886" s="10">
        <f t="shared" si="338"/>
        <v>0</v>
      </c>
      <c r="W886" s="10">
        <f t="shared" si="338"/>
        <v>0</v>
      </c>
      <c r="X886" s="10">
        <f t="shared" si="339"/>
        <v>20.526628571428574</v>
      </c>
      <c r="Y886" s="10"/>
      <c r="Z886" s="10"/>
      <c r="AA886" s="10"/>
      <c r="AB886" s="10"/>
      <c r="AC886" s="10"/>
      <c r="AD886" s="10"/>
      <c r="AE886" s="10"/>
    </row>
    <row r="887" spans="1:32" s="3" customFormat="1" ht="20.100000000000001" customHeight="1" x14ac:dyDescent="0.2">
      <c r="A887" s="87"/>
      <c r="B887" s="10" t="s">
        <v>67</v>
      </c>
      <c r="C887" s="93" t="s">
        <v>128</v>
      </c>
      <c r="D887" s="10">
        <v>16</v>
      </c>
      <c r="E887" s="10"/>
      <c r="F887" s="10">
        <v>5</v>
      </c>
      <c r="G887" s="90">
        <f>VLOOKUP(D887,$C$20:$F$26,3,0)</f>
        <v>0.85</v>
      </c>
      <c r="H887" s="90"/>
      <c r="I887" s="10"/>
      <c r="J887" s="10"/>
      <c r="K887" s="10"/>
      <c r="L887" s="10"/>
      <c r="M887" s="10"/>
      <c r="N887" s="10"/>
      <c r="O887" s="10">
        <f>1.75+1*(G887)</f>
        <v>2.6</v>
      </c>
      <c r="P887" s="10">
        <f t="shared" si="337"/>
        <v>13</v>
      </c>
      <c r="Q887" s="10">
        <f t="shared" si="338"/>
        <v>0</v>
      </c>
      <c r="R887" s="10">
        <f t="shared" si="338"/>
        <v>0</v>
      </c>
      <c r="S887" s="10">
        <f t="shared" si="338"/>
        <v>0</v>
      </c>
      <c r="T887" s="10">
        <f t="shared" si="338"/>
        <v>20.526628571428574</v>
      </c>
      <c r="U887" s="10">
        <f t="shared" si="338"/>
        <v>0</v>
      </c>
      <c r="V887" s="10">
        <f t="shared" si="338"/>
        <v>0</v>
      </c>
      <c r="W887" s="10">
        <f t="shared" si="338"/>
        <v>0</v>
      </c>
      <c r="X887" s="10">
        <f t="shared" si="339"/>
        <v>20.526628571428574</v>
      </c>
      <c r="Y887" s="10"/>
      <c r="Z887" s="10"/>
      <c r="AA887" s="10"/>
      <c r="AB887" s="10"/>
      <c r="AC887" s="10"/>
      <c r="AD887" s="10"/>
      <c r="AE887" s="10"/>
    </row>
    <row r="888" spans="1:32" s="3" customFormat="1" ht="20.100000000000001" customHeight="1" x14ac:dyDescent="0.2">
      <c r="A888" s="87"/>
      <c r="B888" s="10" t="s">
        <v>67</v>
      </c>
      <c r="C888" s="93" t="s">
        <v>116</v>
      </c>
      <c r="D888" s="10">
        <v>16</v>
      </c>
      <c r="E888" s="10"/>
      <c r="F888" s="10">
        <v>2</v>
      </c>
      <c r="G888" s="90">
        <f>VLOOKUP(D888,$C$20:$F$26,3,0)</f>
        <v>0.85</v>
      </c>
      <c r="H888" s="90"/>
      <c r="I888" s="10"/>
      <c r="J888" s="10"/>
      <c r="K888" s="10"/>
      <c r="L888" s="10"/>
      <c r="M888" s="10"/>
      <c r="N888" s="10"/>
      <c r="O888" s="10">
        <f>(E883-0.3+1*(G888)+1*(1.5/2)*D883)</f>
        <v>7.54</v>
      </c>
      <c r="P888" s="10">
        <f t="shared" si="337"/>
        <v>15.08</v>
      </c>
      <c r="Q888" s="10">
        <f t="shared" si="338"/>
        <v>0</v>
      </c>
      <c r="R888" s="10">
        <f t="shared" si="338"/>
        <v>0</v>
      </c>
      <c r="S888" s="10">
        <f t="shared" si="338"/>
        <v>0</v>
      </c>
      <c r="T888" s="10">
        <f t="shared" si="338"/>
        <v>23.810889142857146</v>
      </c>
      <c r="U888" s="10">
        <f t="shared" si="338"/>
        <v>0</v>
      </c>
      <c r="V888" s="10">
        <f t="shared" si="338"/>
        <v>0</v>
      </c>
      <c r="W888" s="10">
        <f t="shared" si="338"/>
        <v>0</v>
      </c>
      <c r="X888" s="10">
        <f t="shared" si="339"/>
        <v>23.810889142857146</v>
      </c>
      <c r="Y888" s="10"/>
      <c r="Z888" s="10"/>
      <c r="AA888" s="10"/>
      <c r="AB888" s="10"/>
      <c r="AC888" s="10"/>
      <c r="AD888" s="10"/>
      <c r="AE888" s="10"/>
    </row>
    <row r="889" spans="1:32" s="3" customFormat="1" ht="19.5" customHeight="1" x14ac:dyDescent="0.2">
      <c r="A889" s="87"/>
      <c r="B889" s="10" t="s">
        <v>67</v>
      </c>
      <c r="C889" s="93" t="s">
        <v>73</v>
      </c>
      <c r="D889" s="10">
        <v>10</v>
      </c>
      <c r="E889" s="10">
        <v>0.1</v>
      </c>
      <c r="F889" s="10">
        <f>ROUNDUP(E883/E889,0)</f>
        <v>63</v>
      </c>
      <c r="H889" s="10"/>
      <c r="I889" s="10"/>
      <c r="J889" s="10"/>
      <c r="K889" s="10"/>
      <c r="L889" s="10"/>
      <c r="M889" s="10"/>
      <c r="N889" s="10"/>
      <c r="O889" s="10">
        <f>(2*((G883-(2*$D$11))+(F883-(2*$D$11)))+(2*10*D889/1000))*D883</f>
        <v>2.16</v>
      </c>
      <c r="P889" s="10">
        <f>O889*F889</f>
        <v>136.08000000000001</v>
      </c>
      <c r="Q889" s="10">
        <f t="shared" si="338"/>
        <v>0</v>
      </c>
      <c r="R889" s="10">
        <f t="shared" si="338"/>
        <v>83.932200000000009</v>
      </c>
      <c r="S889" s="10">
        <f t="shared" si="338"/>
        <v>0</v>
      </c>
      <c r="T889" s="10">
        <f t="shared" si="338"/>
        <v>0</v>
      </c>
      <c r="U889" s="10">
        <f t="shared" si="338"/>
        <v>0</v>
      </c>
      <c r="V889" s="10">
        <f t="shared" si="338"/>
        <v>0</v>
      </c>
      <c r="W889" s="10">
        <f t="shared" si="338"/>
        <v>0</v>
      </c>
      <c r="X889" s="10">
        <f t="shared" si="339"/>
        <v>83.932200000000009</v>
      </c>
      <c r="Y889" s="10"/>
      <c r="Z889" s="10"/>
      <c r="AA889" s="10"/>
      <c r="AB889" s="10"/>
      <c r="AC889" s="10"/>
      <c r="AD889" s="10"/>
      <c r="AE889" s="10"/>
    </row>
    <row r="890" spans="1:32" s="2" customFormat="1" ht="20.100000000000001" customHeight="1" x14ac:dyDescent="0.2">
      <c r="B890" s="10" t="s">
        <v>67</v>
      </c>
      <c r="C890" s="93" t="s">
        <v>74</v>
      </c>
      <c r="D890" s="10">
        <f>+D889</f>
        <v>10</v>
      </c>
      <c r="E890" s="2">
        <f>+E889</f>
        <v>0.1</v>
      </c>
      <c r="F890" s="10">
        <f>ROUNDUP(E883/E890,0)</f>
        <v>63</v>
      </c>
      <c r="G890" s="3"/>
      <c r="O890" s="10">
        <f>((((G883-(2*$D$11))+(2*10*D890/1000))*D883))*1</f>
        <v>0.74</v>
      </c>
      <c r="P890" s="10">
        <f>O890*F890</f>
        <v>46.62</v>
      </c>
      <c r="Q890" s="10">
        <f t="shared" si="338"/>
        <v>0</v>
      </c>
      <c r="R890" s="10">
        <f t="shared" si="338"/>
        <v>28.754549999999998</v>
      </c>
      <c r="S890" s="10">
        <f t="shared" si="338"/>
        <v>0</v>
      </c>
      <c r="T890" s="10">
        <f t="shared" si="338"/>
        <v>0</v>
      </c>
      <c r="U890" s="10">
        <f t="shared" si="338"/>
        <v>0</v>
      </c>
      <c r="V890" s="10">
        <f t="shared" si="338"/>
        <v>0</v>
      </c>
      <c r="W890" s="10">
        <f t="shared" si="338"/>
        <v>0</v>
      </c>
      <c r="X890" s="10">
        <f t="shared" si="339"/>
        <v>28.754549999999998</v>
      </c>
    </row>
    <row r="891" spans="1:32" s="3" customFormat="1" ht="21" customHeight="1" x14ac:dyDescent="0.2">
      <c r="A891" s="10">
        <v>1</v>
      </c>
      <c r="B891" s="10" t="s">
        <v>67</v>
      </c>
      <c r="C891" s="91" t="s">
        <v>188</v>
      </c>
      <c r="D891" s="91">
        <v>1</v>
      </c>
      <c r="E891" s="91">
        <v>0.95</v>
      </c>
      <c r="F891" s="91">
        <v>0.5</v>
      </c>
      <c r="G891" s="91">
        <v>1.6</v>
      </c>
      <c r="H891" s="10">
        <f>G891-0.2</f>
        <v>1.4000000000000001</v>
      </c>
      <c r="I891" s="10">
        <f>E891*F891*G891*D891</f>
        <v>0.76</v>
      </c>
      <c r="J891" s="10">
        <f>(2*(E891)*H891*D891)+(E891*F891)</f>
        <v>3.1350000000000002</v>
      </c>
      <c r="K891" s="92">
        <f>IF(E891=0.3,J891,0)</f>
        <v>0</v>
      </c>
      <c r="L891" s="92">
        <f>IF(AND(E891&gt;0.3,E891&lt;=0.75),J891,0)</f>
        <v>0</v>
      </c>
      <c r="M891" s="92">
        <f>IF(AND(E891&gt;0.75,E891&lt;=1.2),J891,0)</f>
        <v>3.1350000000000002</v>
      </c>
      <c r="N891" s="92">
        <f>IF(E891&gt;1.2,J891,0)</f>
        <v>0</v>
      </c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>
        <f>SUM(X892:X895)/I891</f>
        <v>167.70208796992483</v>
      </c>
      <c r="Z891" s="10"/>
      <c r="AA891" s="10"/>
      <c r="AB891" s="10"/>
      <c r="AC891" s="10"/>
      <c r="AD891" s="10"/>
      <c r="AE891" s="10"/>
      <c r="AF891" s="10"/>
    </row>
    <row r="892" spans="1:32" s="3" customFormat="1" ht="20.100000000000001" customHeight="1" x14ac:dyDescent="0.2">
      <c r="A892" s="87"/>
      <c r="B892" s="10" t="s">
        <v>67</v>
      </c>
      <c r="C892" s="93" t="s">
        <v>69</v>
      </c>
      <c r="D892" s="10">
        <v>20</v>
      </c>
      <c r="E892" s="10"/>
      <c r="F892" s="10">
        <v>5</v>
      </c>
      <c r="G892" s="90">
        <f>VLOOKUP(D892,$C$20:$F$26,3,0)</f>
        <v>1.05</v>
      </c>
      <c r="H892" s="90"/>
      <c r="I892" s="10"/>
      <c r="J892" s="10"/>
      <c r="K892" s="10"/>
      <c r="L892" s="10"/>
      <c r="M892" s="10"/>
      <c r="N892" s="10"/>
      <c r="O892" s="10">
        <f>(E891+1*(G892+(12*D892/1000))+1*(1.5/2)*D891)</f>
        <v>2.99</v>
      </c>
      <c r="P892" s="10">
        <f t="shared" ref="P892:P893" si="340">O892*F892</f>
        <v>14.950000000000001</v>
      </c>
      <c r="Q892" s="10">
        <f t="shared" ref="Q892:W895" si="341">IF($D892=Q$44,$P892*Q$45,0)</f>
        <v>0</v>
      </c>
      <c r="R892" s="10">
        <f t="shared" si="341"/>
        <v>0</v>
      </c>
      <c r="S892" s="10">
        <f t="shared" si="341"/>
        <v>0</v>
      </c>
      <c r="T892" s="10">
        <f t="shared" si="341"/>
        <v>0</v>
      </c>
      <c r="U892" s="10">
        <f t="shared" si="341"/>
        <v>36.883785714285715</v>
      </c>
      <c r="V892" s="10">
        <f t="shared" si="341"/>
        <v>0</v>
      </c>
      <c r="W892" s="10">
        <f t="shared" si="341"/>
        <v>0</v>
      </c>
      <c r="X892" s="10">
        <f t="shared" ref="X892:X895" si="342">SUM(Q892:W892)</f>
        <v>36.883785714285715</v>
      </c>
      <c r="Y892" s="10"/>
      <c r="Z892" s="10"/>
      <c r="AA892" s="10"/>
      <c r="AB892" s="10"/>
      <c r="AC892" s="10"/>
      <c r="AD892" s="10"/>
      <c r="AE892" s="10"/>
    </row>
    <row r="893" spans="1:32" s="3" customFormat="1" ht="20.100000000000001" customHeight="1" x14ac:dyDescent="0.2">
      <c r="A893" s="87"/>
      <c r="B893" s="10" t="s">
        <v>67</v>
      </c>
      <c r="C893" s="93" t="s">
        <v>128</v>
      </c>
      <c r="D893" s="10">
        <v>16</v>
      </c>
      <c r="E893" s="10"/>
      <c r="F893" s="10">
        <v>5</v>
      </c>
      <c r="G893" s="90">
        <f>VLOOKUP(D893,$C$20:$F$26,3,0)</f>
        <v>0.85</v>
      </c>
      <c r="H893" s="90"/>
      <c r="I893" s="10"/>
      <c r="J893" s="10"/>
      <c r="K893" s="10"/>
      <c r="L893" s="10"/>
      <c r="M893" s="10"/>
      <c r="N893" s="10"/>
      <c r="O893" s="10">
        <f>(E891+1*(G893+(12*D893/1000))+1*(1.5/2)*D891)</f>
        <v>2.742</v>
      </c>
      <c r="P893" s="10">
        <f t="shared" si="340"/>
        <v>13.71</v>
      </c>
      <c r="Q893" s="10">
        <f t="shared" si="341"/>
        <v>0</v>
      </c>
      <c r="R893" s="10">
        <f t="shared" si="341"/>
        <v>0</v>
      </c>
      <c r="S893" s="10">
        <f t="shared" si="341"/>
        <v>0</v>
      </c>
      <c r="T893" s="10">
        <f t="shared" si="341"/>
        <v>21.647698285714288</v>
      </c>
      <c r="U893" s="10">
        <f t="shared" si="341"/>
        <v>0</v>
      </c>
      <c r="V893" s="10">
        <f t="shared" si="341"/>
        <v>0</v>
      </c>
      <c r="W893" s="10">
        <f t="shared" si="341"/>
        <v>0</v>
      </c>
      <c r="X893" s="10">
        <f t="shared" si="342"/>
        <v>21.647698285714288</v>
      </c>
      <c r="Y893" s="10"/>
      <c r="Z893" s="10"/>
      <c r="AA893" s="10"/>
      <c r="AB893" s="10"/>
      <c r="AC893" s="10"/>
      <c r="AD893" s="10"/>
      <c r="AE893" s="10"/>
    </row>
    <row r="894" spans="1:32" s="3" customFormat="1" ht="19.5" customHeight="1" x14ac:dyDescent="0.2">
      <c r="A894" s="87"/>
      <c r="B894" s="10" t="s">
        <v>67</v>
      </c>
      <c r="C894" s="93" t="s">
        <v>73</v>
      </c>
      <c r="D894" s="10">
        <v>12</v>
      </c>
      <c r="E894" s="10">
        <v>0.1</v>
      </c>
      <c r="F894" s="10">
        <f>ROUNDUP(E891/E894,0)</f>
        <v>10</v>
      </c>
      <c r="H894" s="10"/>
      <c r="I894" s="10"/>
      <c r="J894" s="10"/>
      <c r="K894" s="10"/>
      <c r="L894" s="10"/>
      <c r="M894" s="10"/>
      <c r="N894" s="10"/>
      <c r="O894" s="10">
        <f>(2*((G891-(2*$D$11))+(F891-(2*$D$11)))+(2*10*D894/1000))*D891</f>
        <v>4.2</v>
      </c>
      <c r="P894" s="10">
        <f>O894*F894</f>
        <v>42</v>
      </c>
      <c r="Q894" s="10">
        <f t="shared" si="341"/>
        <v>0</v>
      </c>
      <c r="R894" s="10">
        <f t="shared" si="341"/>
        <v>0</v>
      </c>
      <c r="S894" s="10">
        <f t="shared" si="341"/>
        <v>37.303200000000004</v>
      </c>
      <c r="T894" s="10">
        <f t="shared" si="341"/>
        <v>0</v>
      </c>
      <c r="U894" s="10">
        <f t="shared" si="341"/>
        <v>0</v>
      </c>
      <c r="V894" s="10">
        <f t="shared" si="341"/>
        <v>0</v>
      </c>
      <c r="W894" s="10">
        <f t="shared" si="341"/>
        <v>0</v>
      </c>
      <c r="X894" s="10">
        <f t="shared" si="342"/>
        <v>37.303200000000004</v>
      </c>
      <c r="Y894" s="10"/>
      <c r="Z894" s="10"/>
      <c r="AA894" s="10"/>
      <c r="AB894" s="10"/>
      <c r="AC894" s="10"/>
      <c r="AD894" s="10"/>
      <c r="AE894" s="10"/>
    </row>
    <row r="895" spans="1:32" s="2" customFormat="1" ht="20.100000000000001" customHeight="1" x14ac:dyDescent="0.2">
      <c r="B895" s="10" t="s">
        <v>67</v>
      </c>
      <c r="C895" s="93" t="s">
        <v>74</v>
      </c>
      <c r="D895" s="10">
        <f>+D894</f>
        <v>12</v>
      </c>
      <c r="E895" s="2">
        <f>+E894</f>
        <v>0.1</v>
      </c>
      <c r="F895" s="10">
        <f>ROUNDUP(E891/E895,0)</f>
        <v>10</v>
      </c>
      <c r="G895" s="3"/>
      <c r="O895" s="10">
        <f>((((G891-(2*$D$11))+(2*10*D895/1000))*D891))*2</f>
        <v>3.56</v>
      </c>
      <c r="P895" s="10">
        <f>O895*F895</f>
        <v>35.6</v>
      </c>
      <c r="Q895" s="10">
        <f t="shared" si="341"/>
        <v>0</v>
      </c>
      <c r="R895" s="10">
        <f t="shared" si="341"/>
        <v>0</v>
      </c>
      <c r="S895" s="10">
        <f t="shared" si="341"/>
        <v>31.618902857142864</v>
      </c>
      <c r="T895" s="10">
        <f t="shared" si="341"/>
        <v>0</v>
      </c>
      <c r="U895" s="10">
        <f t="shared" si="341"/>
        <v>0</v>
      </c>
      <c r="V895" s="10">
        <f t="shared" si="341"/>
        <v>0</v>
      </c>
      <c r="W895" s="10">
        <f t="shared" si="341"/>
        <v>0</v>
      </c>
      <c r="X895" s="10">
        <f t="shared" si="342"/>
        <v>31.618902857142864</v>
      </c>
    </row>
    <row r="896" spans="1:32" s="3" customFormat="1" ht="21" customHeight="1" x14ac:dyDescent="0.2">
      <c r="A896" s="10">
        <v>1</v>
      </c>
      <c r="B896" s="10" t="s">
        <v>67</v>
      </c>
      <c r="C896" s="91" t="s">
        <v>193</v>
      </c>
      <c r="D896" s="91">
        <v>1</v>
      </c>
      <c r="E896" s="91">
        <v>4.4989999999999997</v>
      </c>
      <c r="F896" s="91">
        <v>0.45</v>
      </c>
      <c r="G896" s="91">
        <v>0.5</v>
      </c>
      <c r="H896" s="10">
        <f>G896-0.2</f>
        <v>0.3</v>
      </c>
      <c r="I896" s="10">
        <f>E896*F896*G896*D896</f>
        <v>1.012275</v>
      </c>
      <c r="J896" s="10">
        <f>(2*(E896)*H896*D896)+(E896*F896)</f>
        <v>4.7239500000000003</v>
      </c>
      <c r="K896" s="92">
        <f>IF(E896=0.3,J896,0)</f>
        <v>0</v>
      </c>
      <c r="L896" s="92">
        <f>IF(AND(E896&gt;0.3,E896&lt;=0.75),J896,0)</f>
        <v>0</v>
      </c>
      <c r="M896" s="92">
        <f>IF(AND(E896&gt;0.75,E896&lt;=1.2),J896,0)</f>
        <v>0</v>
      </c>
      <c r="N896" s="92">
        <f>IF(E896&gt;1.2,J896,0)</f>
        <v>4.7239500000000003</v>
      </c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>
        <f>SUM(X897:X905)/I896</f>
        <v>250.51031381224044</v>
      </c>
      <c r="Z896" s="10"/>
      <c r="AA896" s="10"/>
      <c r="AB896" s="10"/>
      <c r="AC896" s="10"/>
      <c r="AD896" s="10"/>
      <c r="AE896" s="10"/>
      <c r="AF896" s="10"/>
    </row>
    <row r="897" spans="1:32" s="3" customFormat="1" ht="20.100000000000001" customHeight="1" x14ac:dyDescent="0.2">
      <c r="A897" s="87"/>
      <c r="B897" s="10" t="s">
        <v>67</v>
      </c>
      <c r="C897" s="93" t="s">
        <v>69</v>
      </c>
      <c r="D897" s="10">
        <v>20</v>
      </c>
      <c r="E897" s="10"/>
      <c r="F897" s="10">
        <v>4</v>
      </c>
      <c r="G897" s="90">
        <f>VLOOKUP(D897,$C$20:$F$26,3,0)</f>
        <v>1.05</v>
      </c>
      <c r="H897" s="90"/>
      <c r="I897" s="10"/>
      <c r="J897" s="10"/>
      <c r="K897" s="10"/>
      <c r="L897" s="10"/>
      <c r="M897" s="10"/>
      <c r="N897" s="10"/>
      <c r="O897" s="10">
        <f>(E896+1*(G897+(12*D897/1000))+1*(G897)+1*(0.3/2)*D896)</f>
        <v>6.9889999999999999</v>
      </c>
      <c r="P897" s="10">
        <f t="shared" ref="P897:P905" si="343">O897*F897</f>
        <v>27.956</v>
      </c>
      <c r="Q897" s="10">
        <f t="shared" ref="Q897:W905" si="344">IF($D897=Q$44,$P897*Q$45,0)</f>
        <v>0</v>
      </c>
      <c r="R897" s="10">
        <f t="shared" si="344"/>
        <v>0</v>
      </c>
      <c r="S897" s="10">
        <f t="shared" si="344"/>
        <v>0</v>
      </c>
      <c r="T897" s="10">
        <f t="shared" si="344"/>
        <v>0</v>
      </c>
      <c r="U897" s="10">
        <f t="shared" si="344"/>
        <v>68.971445714285707</v>
      </c>
      <c r="V897" s="10">
        <f t="shared" si="344"/>
        <v>0</v>
      </c>
      <c r="W897" s="10">
        <f t="shared" si="344"/>
        <v>0</v>
      </c>
      <c r="X897" s="10">
        <f t="shared" ref="X897:X905" si="345">SUM(Q897:W897)</f>
        <v>68.971445714285707</v>
      </c>
      <c r="Y897" s="10"/>
      <c r="Z897" s="10"/>
      <c r="AA897" s="10"/>
      <c r="AB897" s="10"/>
      <c r="AC897" s="10"/>
      <c r="AD897" s="10"/>
      <c r="AE897" s="10"/>
    </row>
    <row r="898" spans="1:32" s="3" customFormat="1" ht="20.100000000000001" customHeight="1" x14ac:dyDescent="0.2">
      <c r="A898" s="87"/>
      <c r="B898" s="10" t="s">
        <v>67</v>
      </c>
      <c r="C898" s="93" t="s">
        <v>158</v>
      </c>
      <c r="D898" s="10">
        <v>20</v>
      </c>
      <c r="E898" s="10"/>
      <c r="F898" s="10">
        <v>4</v>
      </c>
      <c r="G898" s="90">
        <f>VLOOKUP(D898,$C$20:$F$26,3,0)</f>
        <v>1.05</v>
      </c>
      <c r="H898" s="90"/>
      <c r="I898" s="10"/>
      <c r="J898" s="10"/>
      <c r="K898" s="10"/>
      <c r="L898" s="10"/>
      <c r="M898" s="10"/>
      <c r="N898" s="10"/>
      <c r="O898" s="10">
        <f>(E896+1*(G898+(12*D898/1000))+1*(G898)+1*(0.3/2)*D896)</f>
        <v>6.9889999999999999</v>
      </c>
      <c r="P898" s="10">
        <f t="shared" si="343"/>
        <v>27.956</v>
      </c>
      <c r="Q898" s="10">
        <f t="shared" si="344"/>
        <v>0</v>
      </c>
      <c r="R898" s="10">
        <f t="shared" si="344"/>
        <v>0</v>
      </c>
      <c r="S898" s="10">
        <f t="shared" si="344"/>
        <v>0</v>
      </c>
      <c r="T898" s="10">
        <f t="shared" si="344"/>
        <v>0</v>
      </c>
      <c r="U898" s="10">
        <f t="shared" si="344"/>
        <v>68.971445714285707</v>
      </c>
      <c r="V898" s="10">
        <f t="shared" si="344"/>
        <v>0</v>
      </c>
      <c r="W898" s="10">
        <f t="shared" si="344"/>
        <v>0</v>
      </c>
      <c r="X898" s="10">
        <f t="shared" si="345"/>
        <v>68.971445714285707</v>
      </c>
      <c r="Y898" s="10"/>
      <c r="Z898" s="10"/>
      <c r="AA898" s="10"/>
      <c r="AB898" s="10"/>
      <c r="AC898" s="10"/>
      <c r="AD898" s="10"/>
      <c r="AE898" s="10"/>
    </row>
    <row r="899" spans="1:32" s="3" customFormat="1" ht="20.100000000000001" customHeight="1" x14ac:dyDescent="0.2">
      <c r="A899" s="87"/>
      <c r="B899" s="10" t="s">
        <v>67</v>
      </c>
      <c r="C899" s="93" t="s">
        <v>128</v>
      </c>
      <c r="D899" s="10">
        <v>16</v>
      </c>
      <c r="E899" s="10"/>
      <c r="F899" s="10">
        <v>4</v>
      </c>
      <c r="G899" s="90">
        <f>VLOOKUP(D899,$C$20:$F$26,3,0)</f>
        <v>0.85</v>
      </c>
      <c r="H899" s="90"/>
      <c r="I899" s="10"/>
      <c r="J899" s="10"/>
      <c r="K899" s="10"/>
      <c r="L899" s="10"/>
      <c r="M899" s="10"/>
      <c r="N899" s="10"/>
      <c r="O899" s="10">
        <f>(1.6+1*(G899+(12*D899/1000))*D896)</f>
        <v>2.6420000000000003</v>
      </c>
      <c r="P899" s="10">
        <f t="shared" si="343"/>
        <v>10.568000000000001</v>
      </c>
      <c r="Q899" s="10">
        <f t="shared" si="344"/>
        <v>0</v>
      </c>
      <c r="R899" s="10">
        <f t="shared" si="344"/>
        <v>0</v>
      </c>
      <c r="S899" s="10">
        <f t="shared" si="344"/>
        <v>0</v>
      </c>
      <c r="T899" s="10">
        <f t="shared" si="344"/>
        <v>16.686570057142859</v>
      </c>
      <c r="U899" s="10">
        <f t="shared" si="344"/>
        <v>0</v>
      </c>
      <c r="V899" s="10">
        <f t="shared" si="344"/>
        <v>0</v>
      </c>
      <c r="W899" s="10">
        <f t="shared" si="344"/>
        <v>0</v>
      </c>
      <c r="X899" s="10">
        <f t="shared" si="345"/>
        <v>16.686570057142859</v>
      </c>
      <c r="Y899" s="10"/>
      <c r="Z899" s="10"/>
      <c r="AA899" s="10"/>
      <c r="AB899" s="10"/>
      <c r="AC899" s="10"/>
      <c r="AD899" s="10"/>
      <c r="AE899" s="10"/>
    </row>
    <row r="900" spans="1:32" s="3" customFormat="1" ht="21" customHeight="1" x14ac:dyDescent="0.2">
      <c r="A900" s="87"/>
      <c r="B900" s="10" t="s">
        <v>67</v>
      </c>
      <c r="C900" s="93" t="s">
        <v>128</v>
      </c>
      <c r="D900" s="10">
        <v>16</v>
      </c>
      <c r="E900" s="10"/>
      <c r="F900" s="10">
        <v>4</v>
      </c>
      <c r="G900" s="90">
        <f>VLOOKUP(D900,$C$20:$F$26,3,0)</f>
        <v>0.85</v>
      </c>
      <c r="H900" s="90"/>
      <c r="I900" s="10"/>
      <c r="J900" s="10"/>
      <c r="K900" s="10"/>
      <c r="L900" s="10"/>
      <c r="M900" s="10"/>
      <c r="N900" s="10"/>
      <c r="O900" s="10">
        <f>(1.6+1*(G900)*D896)</f>
        <v>2.4500000000000002</v>
      </c>
      <c r="P900" s="10">
        <f t="shared" si="343"/>
        <v>9.8000000000000007</v>
      </c>
      <c r="Q900" s="10">
        <f t="shared" si="344"/>
        <v>0</v>
      </c>
      <c r="R900" s="10">
        <f t="shared" si="344"/>
        <v>0</v>
      </c>
      <c r="S900" s="10">
        <f t="shared" si="344"/>
        <v>0</v>
      </c>
      <c r="T900" s="10">
        <f t="shared" si="344"/>
        <v>15.473920000000001</v>
      </c>
      <c r="U900" s="10">
        <f t="shared" si="344"/>
        <v>0</v>
      </c>
      <c r="V900" s="10">
        <f t="shared" si="344"/>
        <v>0</v>
      </c>
      <c r="W900" s="10">
        <f t="shared" si="344"/>
        <v>0</v>
      </c>
      <c r="X900" s="10">
        <f t="shared" si="345"/>
        <v>15.473920000000001</v>
      </c>
      <c r="Y900" s="10"/>
      <c r="Z900" s="10"/>
      <c r="AA900" s="10"/>
      <c r="AB900" s="10"/>
      <c r="AC900" s="10"/>
      <c r="AD900" s="10"/>
      <c r="AE900" s="10"/>
    </row>
    <row r="901" spans="1:32" s="3" customFormat="1" ht="20.100000000000001" customHeight="1" x14ac:dyDescent="0.2">
      <c r="A901" s="87"/>
      <c r="B901" s="10" t="s">
        <v>67</v>
      </c>
      <c r="C901" s="93" t="s">
        <v>73</v>
      </c>
      <c r="D901" s="10">
        <v>10</v>
      </c>
      <c r="E901" s="10">
        <v>0.1</v>
      </c>
      <c r="F901" s="10">
        <f>ROUND(IF(E896/3&gt;(2*G896),(E896/3)/E901,(2*G896)/E901),0)*2+1</f>
        <v>31</v>
      </c>
      <c r="H901" s="10"/>
      <c r="I901" s="10"/>
      <c r="J901" s="10"/>
      <c r="K901" s="10"/>
      <c r="L901" s="10"/>
      <c r="M901" s="10"/>
      <c r="N901" s="10"/>
      <c r="O901" s="10">
        <f>(2*((G896-(2*$D$11))+(F896-(2*$D$11)))+(2*10*D901/1000))*D896</f>
        <v>1.86</v>
      </c>
      <c r="P901" s="10">
        <f t="shared" si="343"/>
        <v>57.660000000000004</v>
      </c>
      <c r="Q901" s="10">
        <f t="shared" si="344"/>
        <v>0</v>
      </c>
      <c r="R901" s="10">
        <f t="shared" si="344"/>
        <v>35.563864285714288</v>
      </c>
      <c r="S901" s="10">
        <f t="shared" si="344"/>
        <v>0</v>
      </c>
      <c r="T901" s="10">
        <f t="shared" si="344"/>
        <v>0</v>
      </c>
      <c r="U901" s="10">
        <f t="shared" si="344"/>
        <v>0</v>
      </c>
      <c r="V901" s="10">
        <f t="shared" si="344"/>
        <v>0</v>
      </c>
      <c r="W901" s="10">
        <f t="shared" si="344"/>
        <v>0</v>
      </c>
      <c r="X901" s="10">
        <f t="shared" si="345"/>
        <v>35.563864285714288</v>
      </c>
      <c r="Y901" s="10"/>
      <c r="Z901" s="10"/>
      <c r="AA901" s="10"/>
      <c r="AB901" s="10"/>
      <c r="AC901" s="10"/>
      <c r="AD901" s="10"/>
      <c r="AE901" s="10"/>
    </row>
    <row r="902" spans="1:32" s="2" customFormat="1" ht="20.100000000000001" customHeight="1" x14ac:dyDescent="0.2">
      <c r="B902" s="10" t="s">
        <v>67</v>
      </c>
      <c r="C902" s="93" t="s">
        <v>73</v>
      </c>
      <c r="D902" s="2">
        <f>D901</f>
        <v>10</v>
      </c>
      <c r="E902" s="2">
        <v>0.17499999999999999</v>
      </c>
      <c r="F902" s="2">
        <f>ROUND((E896-(IF(E896/3&gt;2*G896,E896/3*2,G896*2*2)))/E902,0)</f>
        <v>9</v>
      </c>
      <c r="G902" s="3"/>
      <c r="O902" s="10">
        <f>(2*((G896-(2*$D$11))+(F896-(2*$D$11)))+(2*10*D902/1000))*D896</f>
        <v>1.86</v>
      </c>
      <c r="P902" s="10">
        <f t="shared" si="343"/>
        <v>16.740000000000002</v>
      </c>
      <c r="Q902" s="10">
        <f t="shared" si="344"/>
        <v>0</v>
      </c>
      <c r="R902" s="10">
        <f t="shared" si="344"/>
        <v>10.324992857142858</v>
      </c>
      <c r="S902" s="10">
        <f t="shared" si="344"/>
        <v>0</v>
      </c>
      <c r="T902" s="10">
        <f t="shared" si="344"/>
        <v>0</v>
      </c>
      <c r="U902" s="10">
        <f t="shared" si="344"/>
        <v>0</v>
      </c>
      <c r="V902" s="10">
        <f t="shared" si="344"/>
        <v>0</v>
      </c>
      <c r="W902" s="10">
        <f t="shared" si="344"/>
        <v>0</v>
      </c>
      <c r="X902" s="10">
        <f t="shared" si="345"/>
        <v>10.324992857142858</v>
      </c>
    </row>
    <row r="903" spans="1:32" s="2" customFormat="1" ht="20.100000000000001" customHeight="1" x14ac:dyDescent="0.2">
      <c r="B903" s="10" t="s">
        <v>67</v>
      </c>
      <c r="C903" s="93" t="s">
        <v>74</v>
      </c>
      <c r="D903" s="2">
        <f>D901</f>
        <v>10</v>
      </c>
      <c r="E903" s="2">
        <f>+E901</f>
        <v>0.1</v>
      </c>
      <c r="F903" s="10">
        <f>ROUND(IF(E896/3&gt;(2*G896),(E896/3)/E903,(2*G896)/E903),0)*2+1</f>
        <v>31</v>
      </c>
      <c r="G903" s="3"/>
      <c r="O903" s="10">
        <f>((((G896-(2*$D$11))+(2*10*D903/1000))*D896))*2</f>
        <v>1.28</v>
      </c>
      <c r="P903" s="10">
        <f t="shared" si="343"/>
        <v>39.68</v>
      </c>
      <c r="Q903" s="10">
        <f t="shared" si="344"/>
        <v>0</v>
      </c>
      <c r="R903" s="10">
        <f t="shared" si="344"/>
        <v>24.474057142857141</v>
      </c>
      <c r="S903" s="10">
        <f t="shared" si="344"/>
        <v>0</v>
      </c>
      <c r="T903" s="10">
        <f t="shared" si="344"/>
        <v>0</v>
      </c>
      <c r="U903" s="10">
        <f t="shared" si="344"/>
        <v>0</v>
      </c>
      <c r="V903" s="10">
        <f t="shared" si="344"/>
        <v>0</v>
      </c>
      <c r="W903" s="10">
        <f t="shared" si="344"/>
        <v>0</v>
      </c>
      <c r="X903" s="10">
        <f t="shared" si="345"/>
        <v>24.474057142857141</v>
      </c>
    </row>
    <row r="904" spans="1:32" s="2" customFormat="1" ht="20.100000000000001" customHeight="1" x14ac:dyDescent="0.2">
      <c r="B904" s="10" t="s">
        <v>67</v>
      </c>
      <c r="C904" s="93" t="s">
        <v>74</v>
      </c>
      <c r="D904" s="2">
        <f>D902</f>
        <v>10</v>
      </c>
      <c r="E904" s="2">
        <f>+E902</f>
        <v>0.17499999999999999</v>
      </c>
      <c r="F904" s="2">
        <f>ROUND((E896-(IF(E896/3&gt;2*G896,E896/3*2,G896*2*2)))/E904,0)</f>
        <v>9</v>
      </c>
      <c r="G904" s="3"/>
      <c r="O904" s="10">
        <f>((((G896-(2*$D$11))+(2*10*D904/1000))*D896))*2</f>
        <v>1.28</v>
      </c>
      <c r="P904" s="10">
        <f t="shared" si="343"/>
        <v>11.52</v>
      </c>
      <c r="Q904" s="10">
        <f t="shared" si="344"/>
        <v>0</v>
      </c>
      <c r="R904" s="10">
        <f t="shared" si="344"/>
        <v>7.105371428571428</v>
      </c>
      <c r="S904" s="10">
        <f t="shared" si="344"/>
        <v>0</v>
      </c>
      <c r="T904" s="10">
        <f t="shared" si="344"/>
        <v>0</v>
      </c>
      <c r="U904" s="10">
        <f t="shared" si="344"/>
        <v>0</v>
      </c>
      <c r="V904" s="10">
        <f t="shared" si="344"/>
        <v>0</v>
      </c>
      <c r="W904" s="10">
        <f t="shared" si="344"/>
        <v>0</v>
      </c>
      <c r="X904" s="10">
        <f t="shared" si="345"/>
        <v>7.105371428571428</v>
      </c>
    </row>
    <row r="905" spans="1:32" s="3" customFormat="1" ht="20.100000000000001" customHeight="1" x14ac:dyDescent="0.2">
      <c r="A905" s="87"/>
      <c r="B905" s="10" t="s">
        <v>67</v>
      </c>
      <c r="C905" s="93" t="s">
        <v>75</v>
      </c>
      <c r="D905" s="10">
        <f>+$D$15</f>
        <v>25</v>
      </c>
      <c r="E905" s="10">
        <f>+$E$15</f>
        <v>1</v>
      </c>
      <c r="F905" s="10">
        <f>ROUNDUP((1.6+1.6)/E905,0)</f>
        <v>4</v>
      </c>
      <c r="G905" s="90"/>
      <c r="H905" s="90"/>
      <c r="I905" s="10"/>
      <c r="J905" s="10"/>
      <c r="K905" s="10"/>
      <c r="L905" s="10"/>
      <c r="M905" s="10"/>
      <c r="N905" s="10"/>
      <c r="O905" s="10">
        <f>F896-$F$15</f>
        <v>0.39</v>
      </c>
      <c r="P905" s="10">
        <f t="shared" si="343"/>
        <v>1.56</v>
      </c>
      <c r="Q905" s="10">
        <f t="shared" si="344"/>
        <v>0</v>
      </c>
      <c r="R905" s="10">
        <f t="shared" si="344"/>
        <v>0</v>
      </c>
      <c r="S905" s="10">
        <f t="shared" si="344"/>
        <v>0</v>
      </c>
      <c r="T905" s="10">
        <f t="shared" si="344"/>
        <v>0</v>
      </c>
      <c r="U905" s="10">
        <f t="shared" si="344"/>
        <v>0</v>
      </c>
      <c r="V905" s="10">
        <f t="shared" si="344"/>
        <v>6.0136607142857157</v>
      </c>
      <c r="W905" s="10">
        <f t="shared" si="344"/>
        <v>0</v>
      </c>
      <c r="X905" s="10">
        <f t="shared" si="345"/>
        <v>6.0136607142857157</v>
      </c>
      <c r="Y905" s="10"/>
      <c r="Z905" s="10"/>
      <c r="AA905" s="10"/>
      <c r="AB905" s="10"/>
      <c r="AC905" s="10"/>
      <c r="AD905" s="10"/>
      <c r="AE905" s="10"/>
    </row>
    <row r="906" spans="1:32" s="3" customFormat="1" ht="21" customHeight="1" x14ac:dyDescent="0.2">
      <c r="A906" s="10">
        <v>1</v>
      </c>
      <c r="B906" s="10" t="s">
        <v>67</v>
      </c>
      <c r="C906" s="91" t="s">
        <v>193</v>
      </c>
      <c r="D906" s="91">
        <v>1</v>
      </c>
      <c r="E906" s="91">
        <v>2.23</v>
      </c>
      <c r="F906" s="91">
        <v>0.3</v>
      </c>
      <c r="G906" s="91">
        <v>0.6</v>
      </c>
      <c r="H906" s="10">
        <f>G906-0.2</f>
        <v>0.39999999999999997</v>
      </c>
      <c r="I906" s="10">
        <f>E906*F906*G906*D906</f>
        <v>0.40139999999999992</v>
      </c>
      <c r="J906" s="10">
        <f>(2*(E906)*H906*D906)+(E906*F906)</f>
        <v>2.4529999999999998</v>
      </c>
      <c r="K906" s="92">
        <f>IF(E906=0.3,J906,0)</f>
        <v>0</v>
      </c>
      <c r="L906" s="92">
        <f>IF(AND(E906&gt;0.3,E906&lt;=0.75),J906,0)</f>
        <v>0</v>
      </c>
      <c r="M906" s="92">
        <f>IF(AND(E906&gt;0.75,E906&lt;=1.2),J906,0)</f>
        <v>0</v>
      </c>
      <c r="N906" s="92">
        <f>IF(E906&gt;1.2,J906,0)</f>
        <v>2.4529999999999998</v>
      </c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>
        <f>SUM(X907:X912)/I906</f>
        <v>266.99722400170833</v>
      </c>
      <c r="Z906" s="10"/>
      <c r="AA906" s="10"/>
      <c r="AB906" s="10"/>
      <c r="AC906" s="10"/>
      <c r="AD906" s="10"/>
      <c r="AE906" s="10"/>
      <c r="AF906" s="10"/>
    </row>
    <row r="907" spans="1:32" s="3" customFormat="1" ht="20.100000000000001" customHeight="1" x14ac:dyDescent="0.2">
      <c r="A907" s="87"/>
      <c r="B907" s="10" t="s">
        <v>67</v>
      </c>
      <c r="C907" s="93" t="s">
        <v>69</v>
      </c>
      <c r="D907" s="10">
        <v>20</v>
      </c>
      <c r="E907" s="10"/>
      <c r="F907" s="10">
        <v>3</v>
      </c>
      <c r="G907" s="90">
        <f>VLOOKUP(D907,$C$20:$F$26,3,0)</f>
        <v>1.05</v>
      </c>
      <c r="H907" s="90"/>
      <c r="I907" s="10"/>
      <c r="J907" s="10"/>
      <c r="K907" s="10"/>
      <c r="L907" s="10"/>
      <c r="M907" s="10"/>
      <c r="N907" s="10"/>
      <c r="O907" s="10">
        <f>(E906+1*(G907+(12*D907/1000))+1*(1.5/2)*D906)</f>
        <v>4.2699999999999996</v>
      </c>
      <c r="P907" s="10">
        <f t="shared" ref="P907:P909" si="346">O907*F907</f>
        <v>12.809999999999999</v>
      </c>
      <c r="Q907" s="10">
        <f t="shared" ref="Q907:W912" si="347">IF($D907=Q$44,$P907*Q$45,0)</f>
        <v>0</v>
      </c>
      <c r="R907" s="10">
        <f t="shared" si="347"/>
        <v>0</v>
      </c>
      <c r="S907" s="10">
        <f t="shared" si="347"/>
        <v>0</v>
      </c>
      <c r="T907" s="10">
        <f t="shared" si="347"/>
        <v>0</v>
      </c>
      <c r="U907" s="10">
        <f t="shared" si="347"/>
        <v>31.604099999999995</v>
      </c>
      <c r="V907" s="10">
        <f t="shared" si="347"/>
        <v>0</v>
      </c>
      <c r="W907" s="10">
        <f t="shared" si="347"/>
        <v>0</v>
      </c>
      <c r="X907" s="10">
        <f t="shared" ref="X907:X912" si="348">SUM(Q907:W907)</f>
        <v>31.604099999999995</v>
      </c>
      <c r="Y907" s="10"/>
      <c r="Z907" s="10"/>
      <c r="AA907" s="10"/>
      <c r="AB907" s="10"/>
      <c r="AC907" s="10"/>
      <c r="AD907" s="10"/>
      <c r="AE907" s="10"/>
    </row>
    <row r="908" spans="1:32" s="3" customFormat="1" ht="20.100000000000001" customHeight="1" x14ac:dyDescent="0.2">
      <c r="A908" s="87"/>
      <c r="B908" s="10" t="s">
        <v>67</v>
      </c>
      <c r="C908" s="93" t="s">
        <v>158</v>
      </c>
      <c r="D908" s="10">
        <v>20</v>
      </c>
      <c r="E908" s="10"/>
      <c r="F908" s="10">
        <v>3</v>
      </c>
      <c r="G908" s="90">
        <f>VLOOKUP(D908,$C$20:$F$26,3,0)</f>
        <v>1.05</v>
      </c>
      <c r="H908" s="90"/>
      <c r="I908" s="10"/>
      <c r="J908" s="10"/>
      <c r="K908" s="10"/>
      <c r="L908" s="10"/>
      <c r="M908" s="10"/>
      <c r="N908" s="10"/>
      <c r="O908" s="10">
        <f>(E906+1*(G908+(12*D908/1000))+1*(1.5/2)*D906)</f>
        <v>4.2699999999999996</v>
      </c>
      <c r="P908" s="10">
        <f t="shared" si="346"/>
        <v>12.809999999999999</v>
      </c>
      <c r="Q908" s="10">
        <f t="shared" si="347"/>
        <v>0</v>
      </c>
      <c r="R908" s="10">
        <f t="shared" si="347"/>
        <v>0</v>
      </c>
      <c r="S908" s="10">
        <f t="shared" si="347"/>
        <v>0</v>
      </c>
      <c r="T908" s="10">
        <f t="shared" si="347"/>
        <v>0</v>
      </c>
      <c r="U908" s="10">
        <f t="shared" si="347"/>
        <v>31.604099999999995</v>
      </c>
      <c r="V908" s="10">
        <f t="shared" si="347"/>
        <v>0</v>
      </c>
      <c r="W908" s="10">
        <f t="shared" si="347"/>
        <v>0</v>
      </c>
      <c r="X908" s="10">
        <f t="shared" si="348"/>
        <v>31.604099999999995</v>
      </c>
      <c r="Y908" s="10"/>
      <c r="Z908" s="10"/>
      <c r="AA908" s="10"/>
      <c r="AB908" s="10"/>
      <c r="AC908" s="10"/>
      <c r="AD908" s="10"/>
      <c r="AE908" s="10"/>
    </row>
    <row r="909" spans="1:32" s="3" customFormat="1" ht="20.100000000000001" customHeight="1" x14ac:dyDescent="0.2">
      <c r="A909" s="87"/>
      <c r="B909" s="10" t="s">
        <v>67</v>
      </c>
      <c r="C909" s="93" t="s">
        <v>73</v>
      </c>
      <c r="D909" s="10">
        <v>10</v>
      </c>
      <c r="E909" s="10">
        <v>0.1</v>
      </c>
      <c r="F909" s="10">
        <f>ROUNDUP((E906/3*2)/E909,0)+1</f>
        <v>16</v>
      </c>
      <c r="H909" s="10"/>
      <c r="I909" s="10"/>
      <c r="J909" s="10"/>
      <c r="K909" s="10"/>
      <c r="L909" s="10"/>
      <c r="M909" s="10"/>
      <c r="N909" s="10"/>
      <c r="O909" s="10">
        <f>(2*((G906-(2*$D$11))+(F906-(2*$D$11)))+(2*10*D909/1000))*D906</f>
        <v>1.76</v>
      </c>
      <c r="P909" s="10">
        <f t="shared" si="346"/>
        <v>28.16</v>
      </c>
      <c r="Q909" s="10">
        <f t="shared" si="347"/>
        <v>0</v>
      </c>
      <c r="R909" s="10">
        <f t="shared" si="347"/>
        <v>17.368685714285714</v>
      </c>
      <c r="S909" s="10">
        <f t="shared" si="347"/>
        <v>0</v>
      </c>
      <c r="T909" s="10">
        <f t="shared" si="347"/>
        <v>0</v>
      </c>
      <c r="U909" s="10">
        <f t="shared" si="347"/>
        <v>0</v>
      </c>
      <c r="V909" s="10">
        <f t="shared" si="347"/>
        <v>0</v>
      </c>
      <c r="W909" s="10">
        <f t="shared" si="347"/>
        <v>0</v>
      </c>
      <c r="X909" s="10">
        <f t="shared" si="348"/>
        <v>17.368685714285714</v>
      </c>
      <c r="Y909" s="10"/>
      <c r="Z909" s="10"/>
      <c r="AA909" s="10"/>
      <c r="AB909" s="10"/>
      <c r="AC909" s="10"/>
      <c r="AD909" s="10"/>
      <c r="AE909" s="10"/>
    </row>
    <row r="910" spans="1:32" s="2" customFormat="1" ht="20.100000000000001" customHeight="1" x14ac:dyDescent="0.2">
      <c r="B910" s="10" t="s">
        <v>67</v>
      </c>
      <c r="C910" s="93" t="s">
        <v>73</v>
      </c>
      <c r="D910" s="2">
        <f>D909</f>
        <v>10</v>
      </c>
      <c r="E910" s="2">
        <v>0.15</v>
      </c>
      <c r="F910" s="10">
        <f>ROUNDUP((E906/3)/E910,0)+1</f>
        <v>6</v>
      </c>
      <c r="G910" s="3"/>
      <c r="O910" s="10">
        <f>(2*((G906-(2*$D$11))+(F906-(2*$D$11)))+(2*10*D910/1000))*D906</f>
        <v>1.76</v>
      </c>
      <c r="P910" s="10">
        <f>O910*F910</f>
        <v>10.56</v>
      </c>
      <c r="Q910" s="10">
        <f t="shared" si="347"/>
        <v>0</v>
      </c>
      <c r="R910" s="10">
        <f t="shared" si="347"/>
        <v>6.5132571428571433</v>
      </c>
      <c r="S910" s="10">
        <f t="shared" si="347"/>
        <v>0</v>
      </c>
      <c r="T910" s="10">
        <f t="shared" si="347"/>
        <v>0</v>
      </c>
      <c r="U910" s="10">
        <f t="shared" si="347"/>
        <v>0</v>
      </c>
      <c r="V910" s="10">
        <f t="shared" si="347"/>
        <v>0</v>
      </c>
      <c r="W910" s="10">
        <f t="shared" si="347"/>
        <v>0</v>
      </c>
      <c r="X910" s="10">
        <f t="shared" si="348"/>
        <v>6.5132571428571433</v>
      </c>
    </row>
    <row r="911" spans="1:32" s="2" customFormat="1" ht="20.100000000000001" customHeight="1" x14ac:dyDescent="0.2">
      <c r="B911" s="10" t="s">
        <v>67</v>
      </c>
      <c r="C911" s="93" t="s">
        <v>74</v>
      </c>
      <c r="D911" s="2">
        <f>D909</f>
        <v>10</v>
      </c>
      <c r="E911" s="2">
        <f>+E909</f>
        <v>0.1</v>
      </c>
      <c r="F911" s="10">
        <f>ROUNDUP((E906/3*2)/E911,0)+1</f>
        <v>16</v>
      </c>
      <c r="G911" s="3"/>
      <c r="O911" s="10">
        <f>((((G906-(2*$D$11))+(2*10*D911/1000))*D906))*2</f>
        <v>1.48</v>
      </c>
      <c r="P911" s="10">
        <f t="shared" ref="P911" si="349">O911*F911</f>
        <v>23.68</v>
      </c>
      <c r="Q911" s="10">
        <f t="shared" si="347"/>
        <v>0</v>
      </c>
      <c r="R911" s="10">
        <f t="shared" si="347"/>
        <v>14.605485714285713</v>
      </c>
      <c r="S911" s="10">
        <f t="shared" si="347"/>
        <v>0</v>
      </c>
      <c r="T911" s="10">
        <f t="shared" si="347"/>
        <v>0</v>
      </c>
      <c r="U911" s="10">
        <f t="shared" si="347"/>
        <v>0</v>
      </c>
      <c r="V911" s="10">
        <f t="shared" si="347"/>
        <v>0</v>
      </c>
      <c r="W911" s="10">
        <f t="shared" si="347"/>
        <v>0</v>
      </c>
      <c r="X911" s="10">
        <f t="shared" si="348"/>
        <v>14.605485714285713</v>
      </c>
    </row>
    <row r="912" spans="1:32" s="2" customFormat="1" ht="20.100000000000001" customHeight="1" x14ac:dyDescent="0.2">
      <c r="B912" s="10" t="s">
        <v>67</v>
      </c>
      <c r="C912" s="93" t="s">
        <v>74</v>
      </c>
      <c r="D912" s="2">
        <f>D910</f>
        <v>10</v>
      </c>
      <c r="E912" s="2">
        <f>+E910</f>
        <v>0.15</v>
      </c>
      <c r="F912" s="10">
        <f>ROUNDUP((E906/3)/E912,0)+1</f>
        <v>6</v>
      </c>
      <c r="G912" s="3"/>
      <c r="O912" s="10">
        <f>((((G906-(2*$D$11))+(2*10*D912/1000))*D906))*2</f>
        <v>1.48</v>
      </c>
      <c r="P912" s="10">
        <f>O912*F912</f>
        <v>8.879999999999999</v>
      </c>
      <c r="Q912" s="10">
        <f t="shared" si="347"/>
        <v>0</v>
      </c>
      <c r="R912" s="10">
        <f t="shared" si="347"/>
        <v>5.4770571428571424</v>
      </c>
      <c r="S912" s="10">
        <f t="shared" si="347"/>
        <v>0</v>
      </c>
      <c r="T912" s="10">
        <f t="shared" si="347"/>
        <v>0</v>
      </c>
      <c r="U912" s="10">
        <f t="shared" si="347"/>
        <v>0</v>
      </c>
      <c r="V912" s="10">
        <f t="shared" si="347"/>
        <v>0</v>
      </c>
      <c r="W912" s="10">
        <f t="shared" si="347"/>
        <v>0</v>
      </c>
      <c r="X912" s="10">
        <f t="shared" si="348"/>
        <v>5.4770571428571424</v>
      </c>
    </row>
    <row r="913" spans="1:32" s="3" customFormat="1" ht="21" customHeight="1" x14ac:dyDescent="0.2">
      <c r="A913" s="10">
        <v>1</v>
      </c>
      <c r="B913" s="10" t="s">
        <v>67</v>
      </c>
      <c r="C913" s="91" t="s">
        <v>194</v>
      </c>
      <c r="D913" s="91">
        <v>1</v>
      </c>
      <c r="E913" s="91">
        <v>4.4989999999999997</v>
      </c>
      <c r="F913" s="91">
        <v>0.45</v>
      </c>
      <c r="G913" s="91">
        <v>0.5</v>
      </c>
      <c r="H913" s="10">
        <f>G913-0.2</f>
        <v>0.3</v>
      </c>
      <c r="I913" s="10">
        <f>E913*F913*G913*D913</f>
        <v>1.012275</v>
      </c>
      <c r="J913" s="10">
        <f>(2*(E913)*H913*D913)+(E913*F913)</f>
        <v>4.7239500000000003</v>
      </c>
      <c r="K913" s="92">
        <f>IF(E913=0.3,J913,0)</f>
        <v>0</v>
      </c>
      <c r="L913" s="92">
        <f>IF(AND(E913&gt;0.3,E913&lt;=0.75),J913,0)</f>
        <v>0</v>
      </c>
      <c r="M913" s="92">
        <f>IF(AND(E913&gt;0.75,E913&lt;=1.2),J913,0)</f>
        <v>0</v>
      </c>
      <c r="N913" s="92">
        <f>IF(E913&gt;1.2,J913,0)</f>
        <v>4.7239500000000003</v>
      </c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>
        <f>SUM(X914:X921)/I913</f>
        <v>268.0798488764699</v>
      </c>
      <c r="Z913" s="10"/>
      <c r="AA913" s="10"/>
      <c r="AB913" s="10"/>
      <c r="AC913" s="10"/>
      <c r="AD913" s="10"/>
      <c r="AE913" s="10"/>
      <c r="AF913" s="10"/>
    </row>
    <row r="914" spans="1:32" s="3" customFormat="1" ht="20.100000000000001" customHeight="1" x14ac:dyDescent="0.2">
      <c r="A914" s="87"/>
      <c r="B914" s="10" t="s">
        <v>67</v>
      </c>
      <c r="C914" s="93" t="s">
        <v>69</v>
      </c>
      <c r="D914" s="10">
        <v>16</v>
      </c>
      <c r="E914" s="10"/>
      <c r="F914" s="10">
        <v>3</v>
      </c>
      <c r="G914" s="90">
        <f>VLOOKUP(D914,$C$20:$F$26,3,0)</f>
        <v>0.85</v>
      </c>
      <c r="H914" s="90"/>
      <c r="I914" s="10"/>
      <c r="J914" s="10"/>
      <c r="K914" s="10"/>
      <c r="L914" s="10"/>
      <c r="M914" s="10"/>
      <c r="N914" s="10"/>
      <c r="O914" s="10">
        <f>(E913+1*(G914+(12*D914/1000))+1*(G914)*D913)</f>
        <v>6.3909999999999991</v>
      </c>
      <c r="P914" s="10">
        <f t="shared" ref="P914:P921" si="350">O914*F914</f>
        <v>19.172999999999998</v>
      </c>
      <c r="Q914" s="10">
        <f t="shared" ref="Q914:W929" si="351">IF($D914=Q$44,$P914*Q$45,0)</f>
        <v>0</v>
      </c>
      <c r="R914" s="10">
        <f t="shared" si="351"/>
        <v>0</v>
      </c>
      <c r="S914" s="10">
        <f t="shared" si="351"/>
        <v>0</v>
      </c>
      <c r="T914" s="10">
        <f t="shared" si="351"/>
        <v>30.273619199999999</v>
      </c>
      <c r="U914" s="10">
        <f t="shared" si="351"/>
        <v>0</v>
      </c>
      <c r="V914" s="10">
        <f t="shared" si="351"/>
        <v>0</v>
      </c>
      <c r="W914" s="10">
        <f t="shared" si="351"/>
        <v>0</v>
      </c>
      <c r="X914" s="10">
        <f t="shared" ref="X914:X921" si="352">SUM(Q914:W914)</f>
        <v>30.273619199999999</v>
      </c>
      <c r="Y914" s="10"/>
      <c r="Z914" s="10"/>
      <c r="AA914" s="10"/>
      <c r="AB914" s="10"/>
      <c r="AC914" s="10"/>
      <c r="AD914" s="10"/>
      <c r="AE914" s="10"/>
    </row>
    <row r="915" spans="1:32" s="3" customFormat="1" ht="20.100000000000001" customHeight="1" x14ac:dyDescent="0.2">
      <c r="A915" s="87"/>
      <c r="B915" s="10" t="s">
        <v>67</v>
      </c>
      <c r="C915" s="93" t="s">
        <v>158</v>
      </c>
      <c r="D915" s="10">
        <v>25</v>
      </c>
      <c r="E915" s="10"/>
      <c r="F915" s="10">
        <v>3</v>
      </c>
      <c r="G915" s="90">
        <f>VLOOKUP(D915,$C$20:$F$26,3,0)</f>
        <v>1.35</v>
      </c>
      <c r="H915" s="90"/>
      <c r="I915" s="10"/>
      <c r="J915" s="10"/>
      <c r="K915" s="10"/>
      <c r="L915" s="10"/>
      <c r="M915" s="10"/>
      <c r="N915" s="10"/>
      <c r="O915" s="10">
        <f>(E913+1*(G915+(12*D915/1000))+1*(G915)*D913)</f>
        <v>7.4990000000000006</v>
      </c>
      <c r="P915" s="10">
        <f t="shared" si="350"/>
        <v>22.497</v>
      </c>
      <c r="Q915" s="10">
        <f t="shared" si="351"/>
        <v>0</v>
      </c>
      <c r="R915" s="10">
        <f t="shared" si="351"/>
        <v>0</v>
      </c>
      <c r="S915" s="10">
        <f t="shared" si="351"/>
        <v>0</v>
      </c>
      <c r="T915" s="10">
        <f t="shared" si="351"/>
        <v>0</v>
      </c>
      <c r="U915" s="10">
        <f t="shared" si="351"/>
        <v>0</v>
      </c>
      <c r="V915" s="10">
        <f t="shared" si="351"/>
        <v>86.723926339285725</v>
      </c>
      <c r="W915" s="10">
        <f t="shared" si="351"/>
        <v>0</v>
      </c>
      <c r="X915" s="10">
        <f t="shared" si="352"/>
        <v>86.723926339285725</v>
      </c>
      <c r="Y915" s="10"/>
      <c r="Z915" s="10"/>
      <c r="AA915" s="10"/>
      <c r="AB915" s="10"/>
      <c r="AC915" s="10"/>
      <c r="AD915" s="10"/>
      <c r="AE915" s="10"/>
    </row>
    <row r="916" spans="1:32" s="3" customFormat="1" ht="20.100000000000001" customHeight="1" x14ac:dyDescent="0.2">
      <c r="A916" s="87"/>
      <c r="B916" s="10" t="s">
        <v>67</v>
      </c>
      <c r="C916" s="93" t="s">
        <v>128</v>
      </c>
      <c r="D916" s="10">
        <v>20</v>
      </c>
      <c r="E916" s="10"/>
      <c r="F916" s="10">
        <v>3</v>
      </c>
      <c r="G916" s="90">
        <f>VLOOKUP(D916,$C$20:$F$26,3,0)</f>
        <v>1.05</v>
      </c>
      <c r="H916" s="90"/>
      <c r="I916" s="10"/>
      <c r="J916" s="10"/>
      <c r="K916" s="10"/>
      <c r="L916" s="10"/>
      <c r="M916" s="10"/>
      <c r="N916" s="10"/>
      <c r="O916" s="10">
        <f>(1.15+1*(G916)*D913)</f>
        <v>2.2000000000000002</v>
      </c>
      <c r="P916" s="10">
        <f t="shared" si="350"/>
        <v>6.6000000000000005</v>
      </c>
      <c r="Q916" s="10">
        <f t="shared" si="351"/>
        <v>0</v>
      </c>
      <c r="R916" s="10">
        <f t="shared" si="351"/>
        <v>0</v>
      </c>
      <c r="S916" s="10">
        <f t="shared" si="351"/>
        <v>0</v>
      </c>
      <c r="T916" s="10">
        <f t="shared" si="351"/>
        <v>0</v>
      </c>
      <c r="U916" s="10">
        <f t="shared" si="351"/>
        <v>16.28314285714286</v>
      </c>
      <c r="V916" s="10">
        <f t="shared" si="351"/>
        <v>0</v>
      </c>
      <c r="W916" s="10">
        <f t="shared" si="351"/>
        <v>0</v>
      </c>
      <c r="X916" s="10">
        <f t="shared" si="352"/>
        <v>16.28314285714286</v>
      </c>
      <c r="Y916" s="10"/>
      <c r="Z916" s="10"/>
      <c r="AA916" s="10"/>
      <c r="AB916" s="10"/>
      <c r="AC916" s="10"/>
      <c r="AD916" s="10"/>
      <c r="AE916" s="10"/>
    </row>
    <row r="917" spans="1:32" s="3" customFormat="1" ht="21" customHeight="1" x14ac:dyDescent="0.2">
      <c r="A917" s="87"/>
      <c r="B917" s="10" t="s">
        <v>67</v>
      </c>
      <c r="C917" s="93" t="s">
        <v>128</v>
      </c>
      <c r="D917" s="10">
        <v>20</v>
      </c>
      <c r="E917" s="10"/>
      <c r="F917" s="10">
        <v>3</v>
      </c>
      <c r="G917" s="90">
        <f>VLOOKUP(D917,$C$20:$F$26,3,0)</f>
        <v>1.05</v>
      </c>
      <c r="H917" s="90"/>
      <c r="I917" s="10"/>
      <c r="J917" s="10"/>
      <c r="K917" s="10"/>
      <c r="L917" s="10"/>
      <c r="M917" s="10"/>
      <c r="N917" s="10"/>
      <c r="O917" s="10">
        <f>(1.15+1*(G917+(12*D917/1000))*D913)</f>
        <v>2.44</v>
      </c>
      <c r="P917" s="10">
        <f t="shared" si="350"/>
        <v>7.32</v>
      </c>
      <c r="Q917" s="10">
        <f t="shared" si="351"/>
        <v>0</v>
      </c>
      <c r="R917" s="10">
        <f t="shared" si="351"/>
        <v>0</v>
      </c>
      <c r="S917" s="10">
        <f t="shared" si="351"/>
        <v>0</v>
      </c>
      <c r="T917" s="10">
        <f t="shared" si="351"/>
        <v>0</v>
      </c>
      <c r="U917" s="10">
        <f t="shared" si="351"/>
        <v>18.059485714285714</v>
      </c>
      <c r="V917" s="10">
        <f t="shared" si="351"/>
        <v>0</v>
      </c>
      <c r="W917" s="10">
        <f t="shared" si="351"/>
        <v>0</v>
      </c>
      <c r="X917" s="10">
        <f t="shared" si="352"/>
        <v>18.059485714285714</v>
      </c>
      <c r="Y917" s="10"/>
      <c r="Z917" s="10"/>
      <c r="AA917" s="10"/>
      <c r="AB917" s="10"/>
      <c r="AC917" s="10"/>
      <c r="AD917" s="10"/>
      <c r="AE917" s="10"/>
    </row>
    <row r="918" spans="1:32" s="3" customFormat="1" ht="20.100000000000001" customHeight="1" x14ac:dyDescent="0.2">
      <c r="A918" s="87"/>
      <c r="B918" s="10" t="s">
        <v>67</v>
      </c>
      <c r="C918" s="93" t="s">
        <v>116</v>
      </c>
      <c r="D918" s="10">
        <v>25</v>
      </c>
      <c r="E918" s="10"/>
      <c r="F918" s="10">
        <v>3</v>
      </c>
      <c r="G918" s="90">
        <f>VLOOKUP(D918,$C$20:$F$26,3,0)</f>
        <v>1.35</v>
      </c>
      <c r="H918" s="90"/>
      <c r="I918" s="10"/>
      <c r="J918" s="10"/>
      <c r="K918" s="10"/>
      <c r="L918" s="10"/>
      <c r="M918" s="10"/>
      <c r="N918" s="10"/>
      <c r="O918" s="10">
        <f>+E913-0.45-0.45</f>
        <v>3.5989999999999993</v>
      </c>
      <c r="P918" s="10">
        <f t="shared" si="350"/>
        <v>10.796999999999997</v>
      </c>
      <c r="Q918" s="10">
        <f t="shared" si="351"/>
        <v>0</v>
      </c>
      <c r="R918" s="10">
        <f t="shared" si="351"/>
        <v>0</v>
      </c>
      <c r="S918" s="10">
        <f t="shared" si="351"/>
        <v>0</v>
      </c>
      <c r="T918" s="10">
        <f t="shared" si="351"/>
        <v>0</v>
      </c>
      <c r="U918" s="10">
        <f t="shared" si="351"/>
        <v>0</v>
      </c>
      <c r="V918" s="10">
        <f t="shared" si="351"/>
        <v>41.621470982142853</v>
      </c>
      <c r="W918" s="10">
        <f t="shared" si="351"/>
        <v>0</v>
      </c>
      <c r="X918" s="10">
        <f t="shared" si="352"/>
        <v>41.621470982142853</v>
      </c>
      <c r="Y918" s="10"/>
      <c r="Z918" s="10"/>
      <c r="AA918" s="10"/>
      <c r="AB918" s="10"/>
      <c r="AC918" s="10"/>
      <c r="AD918" s="10"/>
      <c r="AE918" s="10"/>
    </row>
    <row r="919" spans="1:32" s="3" customFormat="1" ht="19.5" customHeight="1" x14ac:dyDescent="0.2">
      <c r="A919" s="87"/>
      <c r="B919" s="10" t="s">
        <v>67</v>
      </c>
      <c r="C919" s="93" t="s">
        <v>73</v>
      </c>
      <c r="D919" s="10">
        <v>10</v>
      </c>
      <c r="E919" s="10">
        <v>0.1</v>
      </c>
      <c r="F919" s="10">
        <f>ROUNDUP(E913/E919,0)</f>
        <v>45</v>
      </c>
      <c r="H919" s="10"/>
      <c r="I919" s="10"/>
      <c r="J919" s="10"/>
      <c r="K919" s="10"/>
      <c r="L919" s="10"/>
      <c r="M919" s="10"/>
      <c r="N919" s="10"/>
      <c r="O919" s="10">
        <f>(2*((G913-(2*$D$11))+(F913-(2*$D$11)))+(2*10*D919/1000))*D913</f>
        <v>1.86</v>
      </c>
      <c r="P919" s="10">
        <f>O919*F919</f>
        <v>83.7</v>
      </c>
      <c r="Q919" s="10">
        <f t="shared" si="351"/>
        <v>0</v>
      </c>
      <c r="R919" s="10">
        <f t="shared" si="351"/>
        <v>51.624964285714285</v>
      </c>
      <c r="S919" s="10">
        <f t="shared" si="351"/>
        <v>0</v>
      </c>
      <c r="T919" s="10">
        <f t="shared" si="351"/>
        <v>0</v>
      </c>
      <c r="U919" s="10">
        <f t="shared" si="351"/>
        <v>0</v>
      </c>
      <c r="V919" s="10">
        <f t="shared" si="351"/>
        <v>0</v>
      </c>
      <c r="W919" s="10">
        <f t="shared" si="351"/>
        <v>0</v>
      </c>
      <c r="X919" s="10">
        <f t="shared" si="352"/>
        <v>51.624964285714285</v>
      </c>
      <c r="Y919" s="10"/>
      <c r="Z919" s="10"/>
      <c r="AA919" s="10"/>
      <c r="AB919" s="10"/>
      <c r="AC919" s="10"/>
      <c r="AD919" s="10"/>
      <c r="AE919" s="10"/>
    </row>
    <row r="920" spans="1:32" s="2" customFormat="1" ht="20.100000000000001" customHeight="1" x14ac:dyDescent="0.2">
      <c r="B920" s="10" t="s">
        <v>67</v>
      </c>
      <c r="C920" s="93" t="s">
        <v>74</v>
      </c>
      <c r="D920" s="10">
        <f>+D919</f>
        <v>10</v>
      </c>
      <c r="E920" s="2">
        <f>+E919</f>
        <v>0.1</v>
      </c>
      <c r="F920" s="10">
        <f>ROUNDUP(E913/E920,0)</f>
        <v>45</v>
      </c>
      <c r="G920" s="3"/>
      <c r="O920" s="10">
        <f>((((G913-(2*$D$11))+(2*10*D920/1000))*D913))*1</f>
        <v>0.64</v>
      </c>
      <c r="P920" s="10">
        <f>O920*F920</f>
        <v>28.8</v>
      </c>
      <c r="Q920" s="10">
        <f t="shared" si="351"/>
        <v>0</v>
      </c>
      <c r="R920" s="10">
        <f t="shared" si="351"/>
        <v>17.763428571428573</v>
      </c>
      <c r="S920" s="10">
        <f t="shared" si="351"/>
        <v>0</v>
      </c>
      <c r="T920" s="10">
        <f t="shared" si="351"/>
        <v>0</v>
      </c>
      <c r="U920" s="10">
        <f t="shared" si="351"/>
        <v>0</v>
      </c>
      <c r="V920" s="10">
        <f t="shared" si="351"/>
        <v>0</v>
      </c>
      <c r="W920" s="10">
        <f t="shared" si="351"/>
        <v>0</v>
      </c>
      <c r="X920" s="10">
        <f t="shared" si="352"/>
        <v>17.763428571428573</v>
      </c>
    </row>
    <row r="921" spans="1:32" s="3" customFormat="1" ht="20.100000000000001" customHeight="1" x14ac:dyDescent="0.2">
      <c r="A921" s="87"/>
      <c r="B921" s="10" t="s">
        <v>67</v>
      </c>
      <c r="C921" s="93" t="s">
        <v>75</v>
      </c>
      <c r="D921" s="10">
        <f>+$D$15</f>
        <v>25</v>
      </c>
      <c r="E921" s="10">
        <f>+$E$15</f>
        <v>1</v>
      </c>
      <c r="F921" s="10">
        <f>ROUNDUP((2.3+O918)/E921,0)</f>
        <v>6</v>
      </c>
      <c r="G921" s="90"/>
      <c r="H921" s="90"/>
      <c r="I921" s="10"/>
      <c r="J921" s="10"/>
      <c r="K921" s="10"/>
      <c r="L921" s="10"/>
      <c r="M921" s="10"/>
      <c r="N921" s="10"/>
      <c r="O921" s="10">
        <f>F913-$F$15</f>
        <v>0.39</v>
      </c>
      <c r="P921" s="10">
        <f t="shared" si="350"/>
        <v>2.34</v>
      </c>
      <c r="Q921" s="10">
        <f t="shared" si="351"/>
        <v>0</v>
      </c>
      <c r="R921" s="10">
        <f t="shared" si="351"/>
        <v>0</v>
      </c>
      <c r="S921" s="10">
        <f t="shared" si="351"/>
        <v>0</v>
      </c>
      <c r="T921" s="10">
        <f t="shared" si="351"/>
        <v>0</v>
      </c>
      <c r="U921" s="10">
        <f t="shared" si="351"/>
        <v>0</v>
      </c>
      <c r="V921" s="10">
        <f t="shared" si="351"/>
        <v>9.0204910714285731</v>
      </c>
      <c r="W921" s="10">
        <f t="shared" si="351"/>
        <v>0</v>
      </c>
      <c r="X921" s="10">
        <f t="shared" si="352"/>
        <v>9.0204910714285731</v>
      </c>
      <c r="Y921" s="10"/>
      <c r="Z921" s="10"/>
      <c r="AA921" s="10"/>
      <c r="AB921" s="10"/>
      <c r="AC921" s="10"/>
      <c r="AD921" s="10"/>
      <c r="AE921" s="10"/>
    </row>
    <row r="922" spans="1:32" s="3" customFormat="1" ht="21" customHeight="1" x14ac:dyDescent="0.2">
      <c r="A922" s="10">
        <v>1</v>
      </c>
      <c r="B922" s="10" t="s">
        <v>67</v>
      </c>
      <c r="C922" s="91" t="s">
        <v>195</v>
      </c>
      <c r="D922" s="91">
        <v>1</v>
      </c>
      <c r="E922" s="91">
        <v>2.56</v>
      </c>
      <c r="F922" s="91">
        <v>0.3</v>
      </c>
      <c r="G922" s="91">
        <v>0.5</v>
      </c>
      <c r="H922" s="10">
        <f>G922-0.2</f>
        <v>0.3</v>
      </c>
      <c r="I922" s="10">
        <f>E922*F922*G922*D922</f>
        <v>0.38400000000000001</v>
      </c>
      <c r="J922" s="10">
        <f>(2*(E922)*H922*D922)+(E922*F922)</f>
        <v>2.3040000000000003</v>
      </c>
      <c r="K922" s="92">
        <f>IF(E922=0.3,J922,0)</f>
        <v>0</v>
      </c>
      <c r="L922" s="92">
        <f>IF(AND(E922&gt;0.3,E922&lt;=0.75),J922,0)</f>
        <v>0</v>
      </c>
      <c r="M922" s="92">
        <f>IF(AND(E922&gt;0.75,E922&lt;=1.2),J922,0)</f>
        <v>0</v>
      </c>
      <c r="N922" s="92">
        <f>IF(E922&gt;1.2,J922,0)</f>
        <v>2.3040000000000003</v>
      </c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>
        <f>SUM(X923:X926)/I922</f>
        <v>201.71257202380951</v>
      </c>
      <c r="Z922" s="10"/>
      <c r="AA922" s="10"/>
      <c r="AB922" s="10"/>
      <c r="AC922" s="10"/>
      <c r="AD922" s="10"/>
      <c r="AE922" s="10"/>
      <c r="AF922" s="10"/>
    </row>
    <row r="923" spans="1:32" s="3" customFormat="1" ht="20.100000000000001" customHeight="1" x14ac:dyDescent="0.2">
      <c r="A923" s="87"/>
      <c r="B923" s="10" t="s">
        <v>67</v>
      </c>
      <c r="C923" s="93" t="s">
        <v>69</v>
      </c>
      <c r="D923" s="10">
        <v>16</v>
      </c>
      <c r="E923" s="10"/>
      <c r="F923" s="10">
        <v>3</v>
      </c>
      <c r="G923" s="90">
        <f>VLOOKUP(D923,$C$20:$F$26,3,0)</f>
        <v>0.85</v>
      </c>
      <c r="H923" s="90"/>
      <c r="I923" s="10"/>
      <c r="J923" s="10"/>
      <c r="K923" s="10"/>
      <c r="L923" s="10"/>
      <c r="M923" s="10"/>
      <c r="N923" s="10"/>
      <c r="O923" s="10">
        <f>(E922+1*(G923+(12*D923/1000))+1*(G923)*D922)</f>
        <v>4.452</v>
      </c>
      <c r="P923" s="10">
        <f t="shared" ref="P923:P924" si="353">O923*F923</f>
        <v>13.356</v>
      </c>
      <c r="Q923" s="10">
        <f t="shared" si="351"/>
        <v>0</v>
      </c>
      <c r="R923" s="10">
        <f t="shared" si="351"/>
        <v>0</v>
      </c>
      <c r="S923" s="10">
        <f t="shared" si="351"/>
        <v>0</v>
      </c>
      <c r="T923" s="10">
        <f t="shared" si="351"/>
        <v>21.088742400000001</v>
      </c>
      <c r="U923" s="10">
        <f t="shared" si="351"/>
        <v>0</v>
      </c>
      <c r="V923" s="10">
        <f t="shared" si="351"/>
        <v>0</v>
      </c>
      <c r="W923" s="10">
        <f t="shared" si="351"/>
        <v>0</v>
      </c>
      <c r="X923" s="10">
        <f t="shared" ref="X923:X926" si="354">SUM(Q923:W923)</f>
        <v>21.088742400000001</v>
      </c>
      <c r="Y923" s="10"/>
      <c r="Z923" s="10"/>
      <c r="AA923" s="10"/>
      <c r="AB923" s="10"/>
      <c r="AC923" s="10"/>
      <c r="AD923" s="10"/>
      <c r="AE923" s="10"/>
    </row>
    <row r="924" spans="1:32" s="3" customFormat="1" ht="20.100000000000001" customHeight="1" x14ac:dyDescent="0.2">
      <c r="A924" s="87"/>
      <c r="B924" s="10" t="s">
        <v>67</v>
      </c>
      <c r="C924" s="93" t="s">
        <v>158</v>
      </c>
      <c r="D924" s="10">
        <v>16</v>
      </c>
      <c r="E924" s="10"/>
      <c r="F924" s="10">
        <v>3</v>
      </c>
      <c r="G924" s="90">
        <f>VLOOKUP(D924,$C$20:$F$26,3,0)</f>
        <v>0.85</v>
      </c>
      <c r="H924" s="90"/>
      <c r="I924" s="10"/>
      <c r="J924" s="10"/>
      <c r="K924" s="10"/>
      <c r="L924" s="10"/>
      <c r="M924" s="10"/>
      <c r="N924" s="10"/>
      <c r="O924" s="10">
        <f>(E922+1*(G924+(12*D924/1000))+1*(G924)*D922)</f>
        <v>4.452</v>
      </c>
      <c r="P924" s="10">
        <f t="shared" si="353"/>
        <v>13.356</v>
      </c>
      <c r="Q924" s="10">
        <f t="shared" si="351"/>
        <v>0</v>
      </c>
      <c r="R924" s="10">
        <f t="shared" si="351"/>
        <v>0</v>
      </c>
      <c r="S924" s="10">
        <f t="shared" si="351"/>
        <v>0</v>
      </c>
      <c r="T924" s="10">
        <f t="shared" si="351"/>
        <v>21.088742400000001</v>
      </c>
      <c r="U924" s="10">
        <f t="shared" si="351"/>
        <v>0</v>
      </c>
      <c r="V924" s="10">
        <f t="shared" si="351"/>
        <v>0</v>
      </c>
      <c r="W924" s="10">
        <f t="shared" si="351"/>
        <v>0</v>
      </c>
      <c r="X924" s="10">
        <f t="shared" si="354"/>
        <v>21.088742400000001</v>
      </c>
      <c r="Y924" s="10"/>
      <c r="Z924" s="10"/>
      <c r="AA924" s="10"/>
      <c r="AB924" s="10"/>
      <c r="AC924" s="10"/>
      <c r="AD924" s="10"/>
      <c r="AE924" s="10"/>
    </row>
    <row r="925" spans="1:32" s="3" customFormat="1" ht="19.5" customHeight="1" x14ac:dyDescent="0.2">
      <c r="A925" s="87"/>
      <c r="B925" s="10" t="s">
        <v>67</v>
      </c>
      <c r="C925" s="93" t="s">
        <v>73</v>
      </c>
      <c r="D925" s="10">
        <v>10</v>
      </c>
      <c r="E925" s="10">
        <v>0.1</v>
      </c>
      <c r="F925" s="10">
        <f>ROUNDUP(E922/E925,0)</f>
        <v>26</v>
      </c>
      <c r="H925" s="10"/>
      <c r="I925" s="10"/>
      <c r="J925" s="10"/>
      <c r="K925" s="10"/>
      <c r="L925" s="10"/>
      <c r="M925" s="10"/>
      <c r="N925" s="10"/>
      <c r="O925" s="10">
        <f>(2*((G922-(2*$D$11))+(F922-(2*$D$11)))+(2*10*D925/1000))*D922</f>
        <v>1.5599999999999998</v>
      </c>
      <c r="P925" s="10">
        <f>O925*F925</f>
        <v>40.559999999999995</v>
      </c>
      <c r="Q925" s="10">
        <f t="shared" si="351"/>
        <v>0</v>
      </c>
      <c r="R925" s="10">
        <f t="shared" si="351"/>
        <v>25.016828571428569</v>
      </c>
      <c r="S925" s="10">
        <f t="shared" si="351"/>
        <v>0</v>
      </c>
      <c r="T925" s="10">
        <f t="shared" si="351"/>
        <v>0</v>
      </c>
      <c r="U925" s="10">
        <f t="shared" si="351"/>
        <v>0</v>
      </c>
      <c r="V925" s="10">
        <f t="shared" si="351"/>
        <v>0</v>
      </c>
      <c r="W925" s="10">
        <f t="shared" si="351"/>
        <v>0</v>
      </c>
      <c r="X925" s="10">
        <f t="shared" si="354"/>
        <v>25.016828571428569</v>
      </c>
      <c r="Y925" s="10"/>
      <c r="Z925" s="10"/>
      <c r="AA925" s="10"/>
      <c r="AB925" s="10"/>
      <c r="AC925" s="10"/>
      <c r="AD925" s="10"/>
      <c r="AE925" s="10"/>
    </row>
    <row r="926" spans="1:32" s="2" customFormat="1" ht="20.100000000000001" customHeight="1" x14ac:dyDescent="0.2">
      <c r="B926" s="10" t="s">
        <v>67</v>
      </c>
      <c r="C926" s="93" t="s">
        <v>74</v>
      </c>
      <c r="D926" s="10">
        <f>+D925</f>
        <v>10</v>
      </c>
      <c r="E926" s="2">
        <f>+E925</f>
        <v>0.1</v>
      </c>
      <c r="F926" s="10">
        <f>ROUNDUP(E922/E926,0)</f>
        <v>26</v>
      </c>
      <c r="G926" s="3"/>
      <c r="O926" s="10">
        <f>((((G922-(2*$D$11))+(2*10*D926/1000))*D922))*1</f>
        <v>0.64</v>
      </c>
      <c r="P926" s="10">
        <f>O926*F926</f>
        <v>16.64</v>
      </c>
      <c r="Q926" s="10">
        <f t="shared" si="351"/>
        <v>0</v>
      </c>
      <c r="R926" s="10">
        <f t="shared" si="351"/>
        <v>10.263314285714285</v>
      </c>
      <c r="S926" s="10">
        <f t="shared" si="351"/>
        <v>0</v>
      </c>
      <c r="T926" s="10">
        <f t="shared" si="351"/>
        <v>0</v>
      </c>
      <c r="U926" s="10">
        <f t="shared" si="351"/>
        <v>0</v>
      </c>
      <c r="V926" s="10">
        <f t="shared" si="351"/>
        <v>0</v>
      </c>
      <c r="W926" s="10">
        <f t="shared" si="351"/>
        <v>0</v>
      </c>
      <c r="X926" s="10">
        <f t="shared" si="354"/>
        <v>10.263314285714285</v>
      </c>
    </row>
    <row r="927" spans="1:32" s="3" customFormat="1" ht="21" customHeight="1" x14ac:dyDescent="0.2">
      <c r="A927" s="10">
        <v>1</v>
      </c>
      <c r="B927" s="10" t="s">
        <v>67</v>
      </c>
      <c r="C927" s="91" t="s">
        <v>196</v>
      </c>
      <c r="D927" s="91">
        <v>1</v>
      </c>
      <c r="E927" s="91">
        <v>2.5</v>
      </c>
      <c r="F927" s="91">
        <v>0.3</v>
      </c>
      <c r="G927" s="91">
        <v>1.1000000000000001</v>
      </c>
      <c r="H927" s="10">
        <f>G927-0.2</f>
        <v>0.90000000000000013</v>
      </c>
      <c r="I927" s="10">
        <f>E927*F927*G927*D927</f>
        <v>0.82500000000000007</v>
      </c>
      <c r="J927" s="10">
        <f>(2*(E927)*H927*D927)+(E927*F927)</f>
        <v>5.2500000000000009</v>
      </c>
      <c r="K927" s="92">
        <f>IF(E927=0.3,J927,0)</f>
        <v>0</v>
      </c>
      <c r="L927" s="92">
        <f>IF(AND(E927&gt;0.3,E927&lt;=0.75),J927,0)</f>
        <v>0</v>
      </c>
      <c r="M927" s="92">
        <f>IF(AND(E927&gt;0.75,E927&lt;=1.2),J927,0)</f>
        <v>0</v>
      </c>
      <c r="N927" s="92">
        <f>IF(E927&gt;1.2,J927,0)</f>
        <v>5.2500000000000009</v>
      </c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>
        <f>SUM(X928:X930)/I927</f>
        <v>85.176417523809519</v>
      </c>
      <c r="Z927" s="10"/>
      <c r="AA927" s="10"/>
      <c r="AB927" s="10"/>
      <c r="AC927" s="10"/>
      <c r="AD927" s="10"/>
      <c r="AE927" s="10"/>
      <c r="AF927" s="10"/>
    </row>
    <row r="928" spans="1:32" s="3" customFormat="1" ht="20.100000000000001" customHeight="1" x14ac:dyDescent="0.2">
      <c r="A928" s="87"/>
      <c r="B928" s="10" t="s">
        <v>67</v>
      </c>
      <c r="C928" s="93" t="s">
        <v>69</v>
      </c>
      <c r="D928" s="10">
        <v>16</v>
      </c>
      <c r="E928" s="10"/>
      <c r="F928" s="10">
        <v>3</v>
      </c>
      <c r="G928" s="90">
        <f>VLOOKUP(D928,$C$20:$F$26,3,0)</f>
        <v>0.85</v>
      </c>
      <c r="H928" s="90"/>
      <c r="I928" s="10"/>
      <c r="J928" s="10"/>
      <c r="K928" s="10"/>
      <c r="L928" s="10"/>
      <c r="M928" s="10"/>
      <c r="N928" s="10"/>
      <c r="O928" s="10">
        <f>(E927+2*(G928+(12*D928/1000))*D927)</f>
        <v>4.5839999999999996</v>
      </c>
      <c r="P928" s="10">
        <f t="shared" ref="P928:P929" si="355">O928*F928</f>
        <v>13.751999999999999</v>
      </c>
      <c r="Q928" s="10">
        <f t="shared" si="351"/>
        <v>0</v>
      </c>
      <c r="R928" s="10">
        <f t="shared" si="351"/>
        <v>0</v>
      </c>
      <c r="S928" s="10">
        <f t="shared" si="351"/>
        <v>0</v>
      </c>
      <c r="T928" s="10">
        <f t="shared" si="351"/>
        <v>21.714015085714287</v>
      </c>
      <c r="U928" s="10">
        <f t="shared" si="351"/>
        <v>0</v>
      </c>
      <c r="V928" s="10">
        <f t="shared" si="351"/>
        <v>0</v>
      </c>
      <c r="W928" s="10">
        <f t="shared" si="351"/>
        <v>0</v>
      </c>
      <c r="X928" s="10">
        <f t="shared" ref="X928:X930" si="356">SUM(Q928:W928)</f>
        <v>21.714015085714287</v>
      </c>
      <c r="Y928" s="10"/>
      <c r="Z928" s="10"/>
      <c r="AA928" s="10"/>
      <c r="AB928" s="10"/>
      <c r="AC928" s="10"/>
      <c r="AD928" s="10"/>
      <c r="AE928" s="10"/>
    </row>
    <row r="929" spans="1:32" s="3" customFormat="1" ht="20.100000000000001" customHeight="1" x14ac:dyDescent="0.2">
      <c r="A929" s="87"/>
      <c r="B929" s="10" t="s">
        <v>67</v>
      </c>
      <c r="C929" s="93" t="s">
        <v>158</v>
      </c>
      <c r="D929" s="10">
        <v>16</v>
      </c>
      <c r="E929" s="10"/>
      <c r="F929" s="10">
        <v>3</v>
      </c>
      <c r="G929" s="90">
        <f>VLOOKUP(D929,$C$20:$F$26,3,0)</f>
        <v>0.85</v>
      </c>
      <c r="H929" s="90"/>
      <c r="I929" s="10"/>
      <c r="J929" s="10"/>
      <c r="K929" s="10"/>
      <c r="L929" s="10"/>
      <c r="M929" s="10"/>
      <c r="N929" s="10"/>
      <c r="O929" s="10">
        <f>(E927+2*(G929+(12*D929/1000))*D927)</f>
        <v>4.5839999999999996</v>
      </c>
      <c r="P929" s="10">
        <f t="shared" si="355"/>
        <v>13.751999999999999</v>
      </c>
      <c r="Q929" s="10">
        <f t="shared" si="351"/>
        <v>0</v>
      </c>
      <c r="R929" s="10">
        <f t="shared" si="351"/>
        <v>0</v>
      </c>
      <c r="S929" s="10">
        <f t="shared" si="351"/>
        <v>0</v>
      </c>
      <c r="T929" s="10">
        <f t="shared" si="351"/>
        <v>21.714015085714287</v>
      </c>
      <c r="U929" s="10">
        <f t="shared" si="351"/>
        <v>0</v>
      </c>
      <c r="V929" s="10">
        <f t="shared" si="351"/>
        <v>0</v>
      </c>
      <c r="W929" s="10">
        <f t="shared" si="351"/>
        <v>0</v>
      </c>
      <c r="X929" s="10">
        <f t="shared" si="356"/>
        <v>21.714015085714287</v>
      </c>
      <c r="Y929" s="10"/>
      <c r="Z929" s="10"/>
      <c r="AA929" s="10"/>
      <c r="AB929" s="10"/>
      <c r="AC929" s="10"/>
      <c r="AD929" s="10"/>
      <c r="AE929" s="10"/>
    </row>
    <row r="930" spans="1:32" s="3" customFormat="1" ht="19.5" customHeight="1" x14ac:dyDescent="0.2">
      <c r="A930" s="87"/>
      <c r="B930" s="10" t="s">
        <v>67</v>
      </c>
      <c r="C930" s="93" t="s">
        <v>73</v>
      </c>
      <c r="D930" s="10">
        <v>8</v>
      </c>
      <c r="E930" s="10">
        <v>0.1</v>
      </c>
      <c r="F930" s="10">
        <f>ROUNDUP(E927/E930,0)</f>
        <v>25</v>
      </c>
      <c r="H930" s="10"/>
      <c r="I930" s="10"/>
      <c r="J930" s="10"/>
      <c r="K930" s="10"/>
      <c r="L930" s="10"/>
      <c r="M930" s="10"/>
      <c r="N930" s="10"/>
      <c r="O930" s="10">
        <f>(2*((G927-(2*$D$11))+(F927-(2*$D$11)))+(2*10*D930/1000))*D927</f>
        <v>2.72</v>
      </c>
      <c r="P930" s="10">
        <f>O930*F930</f>
        <v>68</v>
      </c>
      <c r="Q930" s="10">
        <f t="shared" ref="Q930:W930" si="357">IF($D930=Q$44,$P930*Q$45,0)</f>
        <v>26.842514285714287</v>
      </c>
      <c r="R930" s="10">
        <f t="shared" si="357"/>
        <v>0</v>
      </c>
      <c r="S930" s="10">
        <f t="shared" si="357"/>
        <v>0</v>
      </c>
      <c r="T930" s="10">
        <f t="shared" si="357"/>
        <v>0</v>
      </c>
      <c r="U930" s="10">
        <f t="shared" si="357"/>
        <v>0</v>
      </c>
      <c r="V930" s="10">
        <f t="shared" si="357"/>
        <v>0</v>
      </c>
      <c r="W930" s="10">
        <f t="shared" si="357"/>
        <v>0</v>
      </c>
      <c r="X930" s="10">
        <f t="shared" si="356"/>
        <v>26.842514285714287</v>
      </c>
      <c r="Y930" s="10"/>
      <c r="Z930" s="10"/>
      <c r="AA930" s="10"/>
      <c r="AB930" s="10"/>
      <c r="AC930" s="10"/>
      <c r="AD930" s="10"/>
      <c r="AE930" s="10"/>
    </row>
    <row r="931" spans="1:32" s="3" customFormat="1" ht="21" customHeight="1" x14ac:dyDescent="0.2">
      <c r="A931" s="10">
        <v>1</v>
      </c>
      <c r="B931" s="10" t="s">
        <v>67</v>
      </c>
      <c r="C931" s="91" t="s">
        <v>197</v>
      </c>
      <c r="D931" s="91">
        <v>1</v>
      </c>
      <c r="E931" s="91">
        <v>2.4</v>
      </c>
      <c r="F931" s="91">
        <v>0.4</v>
      </c>
      <c r="G931" s="91">
        <v>0.6</v>
      </c>
      <c r="H931" s="10">
        <f>G931-0.2</f>
        <v>0.39999999999999997</v>
      </c>
      <c r="I931" s="10">
        <f>E931*F931*G931*D931</f>
        <v>0.57599999999999996</v>
      </c>
      <c r="J931" s="10">
        <f>(2*(E931)*H931*D931)+(E931*F931)</f>
        <v>2.88</v>
      </c>
      <c r="K931" s="92">
        <f>IF(E931=0.3,J931,0)</f>
        <v>0</v>
      </c>
      <c r="L931" s="92">
        <f>IF(AND(E931&gt;0.3,E931&lt;=0.75),J931,0)</f>
        <v>0</v>
      </c>
      <c r="M931" s="92">
        <f>IF(AND(E931&gt;0.75,E931&lt;=1.2),J931,0)</f>
        <v>0</v>
      </c>
      <c r="N931" s="92">
        <f>IF(E931&gt;1.2,J931,0)</f>
        <v>2.88</v>
      </c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>
        <f>SUM(X932:X934)/I931</f>
        <v>129.91426031746036</v>
      </c>
      <c r="Z931" s="10"/>
      <c r="AA931" s="10"/>
      <c r="AB931" s="10"/>
      <c r="AC931" s="10"/>
      <c r="AD931" s="10"/>
      <c r="AE931" s="10"/>
      <c r="AF931" s="10"/>
    </row>
    <row r="932" spans="1:32" s="3" customFormat="1" ht="20.100000000000001" customHeight="1" x14ac:dyDescent="0.2">
      <c r="A932" s="87"/>
      <c r="B932" s="10" t="s">
        <v>67</v>
      </c>
      <c r="C932" s="93" t="s">
        <v>69</v>
      </c>
      <c r="D932" s="10">
        <v>16</v>
      </c>
      <c r="E932" s="10"/>
      <c r="F932" s="10">
        <v>4</v>
      </c>
      <c r="G932" s="90">
        <f>VLOOKUP(D932,$C$20:$F$26,3,0)</f>
        <v>0.85</v>
      </c>
      <c r="H932" s="90"/>
      <c r="I932" s="10"/>
      <c r="J932" s="10"/>
      <c r="K932" s="10"/>
      <c r="L932" s="10"/>
      <c r="M932" s="10"/>
      <c r="N932" s="10"/>
      <c r="O932" s="10">
        <f>(E931+2*(G932+(12*D932/1000))*D931)</f>
        <v>4.484</v>
      </c>
      <c r="P932" s="10">
        <f t="shared" ref="P932:P933" si="358">O932*F932</f>
        <v>17.936</v>
      </c>
      <c r="Q932" s="10">
        <f t="shared" ref="Q932:W934" si="359">IF($D932=Q$44,$P932*Q$45,0)</f>
        <v>0</v>
      </c>
      <c r="R932" s="10">
        <f t="shared" si="359"/>
        <v>0</v>
      </c>
      <c r="S932" s="10">
        <f t="shared" si="359"/>
        <v>0</v>
      </c>
      <c r="T932" s="10">
        <f t="shared" si="359"/>
        <v>28.320431542857143</v>
      </c>
      <c r="U932" s="10">
        <f t="shared" si="359"/>
        <v>0</v>
      </c>
      <c r="V932" s="10">
        <f t="shared" si="359"/>
        <v>0</v>
      </c>
      <c r="W932" s="10">
        <f t="shared" si="359"/>
        <v>0</v>
      </c>
      <c r="X932" s="10">
        <f t="shared" ref="X932:X934" si="360">SUM(Q932:W932)</f>
        <v>28.320431542857143</v>
      </c>
      <c r="Y932" s="10"/>
      <c r="Z932" s="10"/>
      <c r="AA932" s="10"/>
      <c r="AB932" s="10"/>
      <c r="AC932" s="10"/>
      <c r="AD932" s="10"/>
      <c r="AE932" s="10"/>
    </row>
    <row r="933" spans="1:32" s="3" customFormat="1" ht="20.100000000000001" customHeight="1" x14ac:dyDescent="0.2">
      <c r="A933" s="87"/>
      <c r="B933" s="10" t="s">
        <v>67</v>
      </c>
      <c r="C933" s="93" t="s">
        <v>158</v>
      </c>
      <c r="D933" s="10">
        <v>16</v>
      </c>
      <c r="E933" s="10"/>
      <c r="F933" s="10">
        <v>4</v>
      </c>
      <c r="G933" s="90">
        <f>VLOOKUP(D933,$C$20:$F$26,3,0)</f>
        <v>0.85</v>
      </c>
      <c r="H933" s="90"/>
      <c r="I933" s="10"/>
      <c r="J933" s="10"/>
      <c r="K933" s="10"/>
      <c r="L933" s="10"/>
      <c r="M933" s="10"/>
      <c r="N933" s="10"/>
      <c r="O933" s="10">
        <f>(E931+2*(G933+(12*D933/1000))*D931)</f>
        <v>4.484</v>
      </c>
      <c r="P933" s="10">
        <f t="shared" si="358"/>
        <v>17.936</v>
      </c>
      <c r="Q933" s="10">
        <f t="shared" si="359"/>
        <v>0</v>
      </c>
      <c r="R933" s="10">
        <f t="shared" si="359"/>
        <v>0</v>
      </c>
      <c r="S933" s="10">
        <f t="shared" si="359"/>
        <v>0</v>
      </c>
      <c r="T933" s="10">
        <f t="shared" si="359"/>
        <v>28.320431542857143</v>
      </c>
      <c r="U933" s="10">
        <f t="shared" si="359"/>
        <v>0</v>
      </c>
      <c r="V933" s="10">
        <f t="shared" si="359"/>
        <v>0</v>
      </c>
      <c r="W933" s="10">
        <f t="shared" si="359"/>
        <v>0</v>
      </c>
      <c r="X933" s="10">
        <f t="shared" si="360"/>
        <v>28.320431542857143</v>
      </c>
      <c r="Y933" s="10"/>
      <c r="Z933" s="10"/>
      <c r="AA933" s="10"/>
      <c r="AB933" s="10"/>
      <c r="AC933" s="10"/>
      <c r="AD933" s="10"/>
      <c r="AE933" s="10"/>
    </row>
    <row r="934" spans="1:32" s="3" customFormat="1" ht="19.5" customHeight="1" x14ac:dyDescent="0.2">
      <c r="A934" s="87"/>
      <c r="B934" s="10" t="s">
        <v>67</v>
      </c>
      <c r="C934" s="93" t="s">
        <v>73</v>
      </c>
      <c r="D934" s="10">
        <v>8</v>
      </c>
      <c r="E934" s="10">
        <v>0.1</v>
      </c>
      <c r="F934" s="10">
        <f>ROUNDUP(E931/E934,0)</f>
        <v>24</v>
      </c>
      <c r="H934" s="10"/>
      <c r="I934" s="10"/>
      <c r="J934" s="10"/>
      <c r="K934" s="10"/>
      <c r="L934" s="10"/>
      <c r="M934" s="10"/>
      <c r="N934" s="10"/>
      <c r="O934" s="10">
        <f>(2*((G931-(2*$D$11))+(F931-(2*$D$11)))+(2*10*D934/1000))*D931</f>
        <v>1.9200000000000002</v>
      </c>
      <c r="P934" s="10">
        <f>O934*F934</f>
        <v>46.080000000000005</v>
      </c>
      <c r="Q934" s="10">
        <f t="shared" si="359"/>
        <v>18.189750857142862</v>
      </c>
      <c r="R934" s="10">
        <f t="shared" si="359"/>
        <v>0</v>
      </c>
      <c r="S934" s="10">
        <f t="shared" si="359"/>
        <v>0</v>
      </c>
      <c r="T934" s="10">
        <f t="shared" si="359"/>
        <v>0</v>
      </c>
      <c r="U934" s="10">
        <f t="shared" si="359"/>
        <v>0</v>
      </c>
      <c r="V934" s="10">
        <f t="shared" si="359"/>
        <v>0</v>
      </c>
      <c r="W934" s="10">
        <f t="shared" si="359"/>
        <v>0</v>
      </c>
      <c r="X934" s="10">
        <f t="shared" si="360"/>
        <v>18.189750857142862</v>
      </c>
      <c r="Y934" s="10"/>
      <c r="Z934" s="10"/>
      <c r="AA934" s="10"/>
      <c r="AB934" s="10"/>
      <c r="AC934" s="10"/>
      <c r="AD934" s="10"/>
      <c r="AE934" s="10"/>
    </row>
    <row r="935" spans="1:32" s="3" customFormat="1" ht="21" customHeight="1" x14ac:dyDescent="0.2">
      <c r="A935" s="10">
        <v>1</v>
      </c>
      <c r="B935" s="10" t="s">
        <v>67</v>
      </c>
      <c r="C935" s="91" t="s">
        <v>198</v>
      </c>
      <c r="D935" s="91">
        <v>1</v>
      </c>
      <c r="E935" s="91">
        <v>1.4</v>
      </c>
      <c r="F935" s="91">
        <v>0.4</v>
      </c>
      <c r="G935" s="91">
        <v>1.1000000000000001</v>
      </c>
      <c r="H935" s="10">
        <f>G935-0.2</f>
        <v>0.90000000000000013</v>
      </c>
      <c r="I935" s="10">
        <f>E935*F935*G935*D935</f>
        <v>0.61599999999999999</v>
      </c>
      <c r="J935" s="10">
        <f>(2*(E935)*H935*D935)+(E935*F935)</f>
        <v>3.08</v>
      </c>
      <c r="K935" s="92">
        <f>IF(E935=0.3,J935,0)</f>
        <v>0</v>
      </c>
      <c r="L935" s="92">
        <f>IF(AND(E935&gt;0.3,E935&lt;=0.75),J935,0)</f>
        <v>0</v>
      </c>
      <c r="M935" s="92">
        <f>IF(AND(E935&gt;0.75,E935&lt;=1.2),J935,0)</f>
        <v>0</v>
      </c>
      <c r="N935" s="92">
        <f>IF(E935&gt;1.2,J935,0)</f>
        <v>3.08</v>
      </c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>
        <f>SUM(X936:X939)/I935</f>
        <v>332.51318367346948</v>
      </c>
      <c r="Z935" s="10"/>
      <c r="AA935" s="10"/>
      <c r="AB935" s="10"/>
      <c r="AC935" s="10"/>
      <c r="AD935" s="10"/>
      <c r="AE935" s="10"/>
      <c r="AF935" s="10"/>
    </row>
    <row r="936" spans="1:32" s="3" customFormat="1" ht="20.100000000000001" customHeight="1" x14ac:dyDescent="0.2">
      <c r="A936" s="87"/>
      <c r="B936" s="10" t="s">
        <v>67</v>
      </c>
      <c r="C936" s="93" t="s">
        <v>69</v>
      </c>
      <c r="D936" s="10">
        <v>25</v>
      </c>
      <c r="E936" s="10"/>
      <c r="F936" s="10">
        <v>4</v>
      </c>
      <c r="G936" s="90">
        <f>VLOOKUP(D936,$C$20:$F$26,3,0)</f>
        <v>1.35</v>
      </c>
      <c r="H936" s="90"/>
      <c r="I936" s="10"/>
      <c r="J936" s="10"/>
      <c r="K936" s="10"/>
      <c r="L936" s="10"/>
      <c r="M936" s="10"/>
      <c r="N936" s="10"/>
      <c r="O936" s="10">
        <f>(E935+1*(G936+(12*D936/1000))+1*(G936)*D935)</f>
        <v>4.4000000000000004</v>
      </c>
      <c r="P936" s="10">
        <f t="shared" ref="P936:P937" si="361">O936*F936</f>
        <v>17.600000000000001</v>
      </c>
      <c r="Q936" s="10">
        <f t="shared" ref="Q936:W948" si="362">IF($D936=Q$44,$P936*Q$45,0)</f>
        <v>0</v>
      </c>
      <c r="R936" s="10">
        <f t="shared" si="362"/>
        <v>0</v>
      </c>
      <c r="S936" s="10">
        <f t="shared" si="362"/>
        <v>0</v>
      </c>
      <c r="T936" s="10">
        <f t="shared" si="362"/>
        <v>0</v>
      </c>
      <c r="U936" s="10">
        <f t="shared" si="362"/>
        <v>0</v>
      </c>
      <c r="V936" s="10">
        <f t="shared" si="362"/>
        <v>67.846428571428589</v>
      </c>
      <c r="W936" s="10">
        <f t="shared" si="362"/>
        <v>0</v>
      </c>
      <c r="X936" s="10">
        <f t="shared" ref="X936:X939" si="363">SUM(Q936:W936)</f>
        <v>67.846428571428589</v>
      </c>
      <c r="Y936" s="10"/>
      <c r="Z936" s="10"/>
      <c r="AA936" s="10"/>
      <c r="AB936" s="10"/>
      <c r="AC936" s="10"/>
      <c r="AD936" s="10"/>
      <c r="AE936" s="10"/>
    </row>
    <row r="937" spans="1:32" s="3" customFormat="1" ht="20.100000000000001" customHeight="1" x14ac:dyDescent="0.2">
      <c r="A937" s="87"/>
      <c r="B937" s="10" t="s">
        <v>67</v>
      </c>
      <c r="C937" s="93" t="s">
        <v>158</v>
      </c>
      <c r="D937" s="10">
        <v>25</v>
      </c>
      <c r="E937" s="10"/>
      <c r="F937" s="10">
        <v>4</v>
      </c>
      <c r="G937" s="90">
        <f>VLOOKUP(D937,$C$20:$F$26,3,0)</f>
        <v>1.35</v>
      </c>
      <c r="H937" s="90"/>
      <c r="I937" s="10"/>
      <c r="J937" s="10"/>
      <c r="K937" s="10"/>
      <c r="L937" s="10"/>
      <c r="M937" s="10"/>
      <c r="N937" s="10"/>
      <c r="O937" s="10">
        <f>(E935+1*(G937+(12*D937/1000))+1*(G937)*D935)</f>
        <v>4.4000000000000004</v>
      </c>
      <c r="P937" s="10">
        <f t="shared" si="361"/>
        <v>17.600000000000001</v>
      </c>
      <c r="Q937" s="10">
        <f t="shared" si="362"/>
        <v>0</v>
      </c>
      <c r="R937" s="10">
        <f t="shared" si="362"/>
        <v>0</v>
      </c>
      <c r="S937" s="10">
        <f t="shared" si="362"/>
        <v>0</v>
      </c>
      <c r="T937" s="10">
        <f t="shared" si="362"/>
        <v>0</v>
      </c>
      <c r="U937" s="10">
        <f t="shared" si="362"/>
        <v>0</v>
      </c>
      <c r="V937" s="10">
        <f t="shared" si="362"/>
        <v>67.846428571428589</v>
      </c>
      <c r="W937" s="10">
        <f t="shared" si="362"/>
        <v>0</v>
      </c>
      <c r="X937" s="10">
        <f t="shared" si="363"/>
        <v>67.846428571428589</v>
      </c>
      <c r="Y937" s="10"/>
      <c r="Z937" s="10"/>
      <c r="AA937" s="10"/>
      <c r="AB937" s="10"/>
      <c r="AC937" s="10"/>
      <c r="AD937" s="10"/>
      <c r="AE937" s="10"/>
    </row>
    <row r="938" spans="1:32" s="3" customFormat="1" ht="19.5" customHeight="1" x14ac:dyDescent="0.2">
      <c r="A938" s="87"/>
      <c r="B938" s="10" t="s">
        <v>67</v>
      </c>
      <c r="C938" s="93" t="s">
        <v>73</v>
      </c>
      <c r="D938" s="10">
        <v>12</v>
      </c>
      <c r="E938" s="10">
        <v>0.1</v>
      </c>
      <c r="F938" s="10">
        <f>ROUNDUP(E935/E938,0)</f>
        <v>14</v>
      </c>
      <c r="H938" s="10"/>
      <c r="I938" s="10"/>
      <c r="J938" s="10"/>
      <c r="K938" s="10"/>
      <c r="L938" s="10"/>
      <c r="M938" s="10"/>
      <c r="N938" s="10"/>
      <c r="O938" s="10">
        <f>(2*((G935-(2*$D$11))+(F935-(2*$D$11)))+(2*10*D938/1000))*D935</f>
        <v>3</v>
      </c>
      <c r="P938" s="10">
        <f>O938*F938</f>
        <v>42</v>
      </c>
      <c r="Q938" s="10">
        <f t="shared" si="362"/>
        <v>0</v>
      </c>
      <c r="R938" s="10">
        <f t="shared" si="362"/>
        <v>0</v>
      </c>
      <c r="S938" s="10">
        <f t="shared" si="362"/>
        <v>37.303200000000004</v>
      </c>
      <c r="T938" s="10">
        <f t="shared" si="362"/>
        <v>0</v>
      </c>
      <c r="U938" s="10">
        <f t="shared" si="362"/>
        <v>0</v>
      </c>
      <c r="V938" s="10">
        <f t="shared" si="362"/>
        <v>0</v>
      </c>
      <c r="W938" s="10">
        <f t="shared" si="362"/>
        <v>0</v>
      </c>
      <c r="X938" s="10">
        <f t="shared" si="363"/>
        <v>37.303200000000004</v>
      </c>
      <c r="Y938" s="10"/>
      <c r="Z938" s="10"/>
      <c r="AA938" s="10"/>
      <c r="AB938" s="10"/>
      <c r="AC938" s="10"/>
      <c r="AD938" s="10"/>
      <c r="AE938" s="10"/>
    </row>
    <row r="939" spans="1:32" s="2" customFormat="1" ht="20.100000000000001" customHeight="1" x14ac:dyDescent="0.2">
      <c r="B939" s="10" t="s">
        <v>67</v>
      </c>
      <c r="C939" s="93" t="s">
        <v>74</v>
      </c>
      <c r="D939" s="10">
        <f>+D938</f>
        <v>12</v>
      </c>
      <c r="E939" s="2">
        <f>+E938</f>
        <v>0.1</v>
      </c>
      <c r="F939" s="10">
        <f>ROUNDUP(E935/E939,0)</f>
        <v>14</v>
      </c>
      <c r="G939" s="3"/>
      <c r="O939" s="10">
        <f>((((G935-(2*$D$11))+(2*10*D939/1000))*D935))*2</f>
        <v>2.56</v>
      </c>
      <c r="P939" s="10">
        <f>O939*F939</f>
        <v>35.840000000000003</v>
      </c>
      <c r="Q939" s="10">
        <f t="shared" si="362"/>
        <v>0</v>
      </c>
      <c r="R939" s="10">
        <f t="shared" si="362"/>
        <v>0</v>
      </c>
      <c r="S939" s="10">
        <f t="shared" si="362"/>
        <v>31.83206400000001</v>
      </c>
      <c r="T939" s="10">
        <f t="shared" si="362"/>
        <v>0</v>
      </c>
      <c r="U939" s="10">
        <f t="shared" si="362"/>
        <v>0</v>
      </c>
      <c r="V939" s="10">
        <f t="shared" si="362"/>
        <v>0</v>
      </c>
      <c r="W939" s="10">
        <f t="shared" si="362"/>
        <v>0</v>
      </c>
      <c r="X939" s="10">
        <f t="shared" si="363"/>
        <v>31.83206400000001</v>
      </c>
    </row>
    <row r="940" spans="1:32" s="3" customFormat="1" ht="21" customHeight="1" x14ac:dyDescent="0.2">
      <c r="A940" s="10">
        <v>1</v>
      </c>
      <c r="B940" s="10" t="s">
        <v>67</v>
      </c>
      <c r="C940" s="91" t="s">
        <v>199</v>
      </c>
      <c r="D940" s="91">
        <v>1</v>
      </c>
      <c r="E940" s="91">
        <v>5.2380000000000004</v>
      </c>
      <c r="F940" s="91">
        <v>0.5</v>
      </c>
      <c r="G940" s="91">
        <v>0.6</v>
      </c>
      <c r="H940" s="10">
        <f>G940-0.2</f>
        <v>0.39999999999999997</v>
      </c>
      <c r="I940" s="10">
        <f>E940*F940*G940*D940</f>
        <v>1.5714000000000001</v>
      </c>
      <c r="J940" s="10">
        <f>(2*(E940)*H940*D940)+(E940*F940)</f>
        <v>6.8094000000000001</v>
      </c>
      <c r="K940" s="92">
        <f>IF(E940=0.3,J940,0)</f>
        <v>0</v>
      </c>
      <c r="L940" s="92">
        <f>IF(AND(E940&gt;0.3,E940&lt;=0.75),J940,0)</f>
        <v>0</v>
      </c>
      <c r="M940" s="92">
        <f>IF(AND(E940&gt;0.75,E940&lt;=1.2),J940,0)</f>
        <v>0</v>
      </c>
      <c r="N940" s="92">
        <f>IF(E940&gt;1.2,J940,0)</f>
        <v>6.8094000000000001</v>
      </c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>
        <f>SUM(X941:X948)/I940</f>
        <v>227.09677903234606</v>
      </c>
      <c r="Z940" s="10"/>
      <c r="AA940" s="10"/>
      <c r="AB940" s="10"/>
      <c r="AC940" s="10"/>
      <c r="AD940" s="10"/>
      <c r="AE940" s="10"/>
      <c r="AF940" s="10"/>
    </row>
    <row r="941" spans="1:32" s="3" customFormat="1" ht="20.100000000000001" customHeight="1" x14ac:dyDescent="0.2">
      <c r="A941" s="87"/>
      <c r="B941" s="10" t="s">
        <v>67</v>
      </c>
      <c r="C941" s="93" t="s">
        <v>69</v>
      </c>
      <c r="D941" s="10">
        <v>20</v>
      </c>
      <c r="E941" s="10"/>
      <c r="F941" s="10">
        <v>5</v>
      </c>
      <c r="G941" s="90">
        <f>VLOOKUP(D941,$C$20:$F$26,3,0)</f>
        <v>1.05</v>
      </c>
      <c r="H941" s="90"/>
      <c r="I941" s="10"/>
      <c r="J941" s="10"/>
      <c r="K941" s="10"/>
      <c r="L941" s="10"/>
      <c r="M941" s="10"/>
      <c r="N941" s="10"/>
      <c r="O941" s="10">
        <f>(E940+2*(G941)*D940)</f>
        <v>7.338000000000001</v>
      </c>
      <c r="P941" s="10">
        <f t="shared" ref="P941:P948" si="364">O941*F941</f>
        <v>36.690000000000005</v>
      </c>
      <c r="Q941" s="10">
        <f t="shared" si="362"/>
        <v>0</v>
      </c>
      <c r="R941" s="10">
        <f t="shared" si="362"/>
        <v>0</v>
      </c>
      <c r="S941" s="10">
        <f t="shared" si="362"/>
        <v>0</v>
      </c>
      <c r="T941" s="10">
        <f t="shared" si="362"/>
        <v>0</v>
      </c>
      <c r="U941" s="10">
        <f t="shared" si="362"/>
        <v>90.519471428571435</v>
      </c>
      <c r="V941" s="10">
        <f t="shared" si="362"/>
        <v>0</v>
      </c>
      <c r="W941" s="10">
        <f t="shared" si="362"/>
        <v>0</v>
      </c>
      <c r="X941" s="10">
        <f t="shared" ref="X941:X948" si="365">SUM(Q941:W941)</f>
        <v>90.519471428571435</v>
      </c>
      <c r="Y941" s="10"/>
      <c r="Z941" s="10"/>
      <c r="AA941" s="10"/>
      <c r="AB941" s="10"/>
      <c r="AC941" s="10"/>
      <c r="AD941" s="10"/>
      <c r="AE941" s="10"/>
    </row>
    <row r="942" spans="1:32" s="3" customFormat="1" ht="20.100000000000001" customHeight="1" x14ac:dyDescent="0.2">
      <c r="A942" s="87"/>
      <c r="B942" s="10" t="s">
        <v>67</v>
      </c>
      <c r="C942" s="93" t="s">
        <v>158</v>
      </c>
      <c r="D942" s="10">
        <v>20</v>
      </c>
      <c r="E942" s="10"/>
      <c r="F942" s="10">
        <v>5</v>
      </c>
      <c r="G942" s="90">
        <f>VLOOKUP(D942,$C$20:$F$26,3,0)</f>
        <v>1.05</v>
      </c>
      <c r="H942" s="90"/>
      <c r="I942" s="10"/>
      <c r="J942" s="10"/>
      <c r="K942" s="10"/>
      <c r="L942" s="10"/>
      <c r="M942" s="10"/>
      <c r="N942" s="10"/>
      <c r="O942" s="10">
        <f>(E940+1*(G942)*D940)</f>
        <v>6.2880000000000003</v>
      </c>
      <c r="P942" s="10">
        <f t="shared" si="364"/>
        <v>31.44</v>
      </c>
      <c r="Q942" s="10">
        <f t="shared" si="362"/>
        <v>0</v>
      </c>
      <c r="R942" s="10">
        <f t="shared" si="362"/>
        <v>0</v>
      </c>
      <c r="S942" s="10">
        <f t="shared" si="362"/>
        <v>0</v>
      </c>
      <c r="T942" s="10">
        <f t="shared" si="362"/>
        <v>0</v>
      </c>
      <c r="U942" s="10">
        <f t="shared" si="362"/>
        <v>77.566971428571435</v>
      </c>
      <c r="V942" s="10">
        <f t="shared" si="362"/>
        <v>0</v>
      </c>
      <c r="W942" s="10">
        <f t="shared" si="362"/>
        <v>0</v>
      </c>
      <c r="X942" s="10">
        <f t="shared" si="365"/>
        <v>77.566971428571435</v>
      </c>
      <c r="Y942" s="10"/>
      <c r="Z942" s="10"/>
      <c r="AA942" s="10"/>
      <c r="AB942" s="10"/>
      <c r="AC942" s="10"/>
      <c r="AD942" s="10"/>
      <c r="AE942" s="10"/>
    </row>
    <row r="943" spans="1:32" s="3" customFormat="1" ht="20.100000000000001" customHeight="1" x14ac:dyDescent="0.2">
      <c r="A943" s="87"/>
      <c r="B943" s="10" t="s">
        <v>67</v>
      </c>
      <c r="C943" s="93" t="s">
        <v>116</v>
      </c>
      <c r="D943" s="10">
        <v>20</v>
      </c>
      <c r="E943" s="10"/>
      <c r="F943" s="10">
        <v>5</v>
      </c>
      <c r="G943" s="90">
        <f>VLOOKUP(D943,$C$20:$F$26,3,0)</f>
        <v>1.05</v>
      </c>
      <c r="H943" s="90"/>
      <c r="I943" s="10"/>
      <c r="J943" s="10"/>
      <c r="K943" s="10"/>
      <c r="L943" s="10"/>
      <c r="M943" s="10"/>
      <c r="N943" s="10"/>
      <c r="O943" s="10">
        <f>(E940+1*(G943)*D940)</f>
        <v>6.2880000000000003</v>
      </c>
      <c r="P943" s="10">
        <f t="shared" si="364"/>
        <v>31.44</v>
      </c>
      <c r="Q943" s="10">
        <f t="shared" si="362"/>
        <v>0</v>
      </c>
      <c r="R943" s="10">
        <f t="shared" si="362"/>
        <v>0</v>
      </c>
      <c r="S943" s="10">
        <f t="shared" si="362"/>
        <v>0</v>
      </c>
      <c r="T943" s="10">
        <f t="shared" si="362"/>
        <v>0</v>
      </c>
      <c r="U943" s="10">
        <f t="shared" si="362"/>
        <v>77.566971428571435</v>
      </c>
      <c r="V943" s="10">
        <f t="shared" si="362"/>
        <v>0</v>
      </c>
      <c r="W943" s="10">
        <f t="shared" si="362"/>
        <v>0</v>
      </c>
      <c r="X943" s="10">
        <f t="shared" si="365"/>
        <v>77.566971428571435</v>
      </c>
      <c r="Y943" s="10"/>
      <c r="Z943" s="10"/>
      <c r="AA943" s="10"/>
      <c r="AB943" s="10"/>
      <c r="AC943" s="10"/>
      <c r="AD943" s="10"/>
      <c r="AE943" s="10"/>
    </row>
    <row r="944" spans="1:32" s="3" customFormat="1" ht="20.100000000000001" customHeight="1" x14ac:dyDescent="0.2">
      <c r="A944" s="87"/>
      <c r="B944" s="10" t="s">
        <v>67</v>
      </c>
      <c r="C944" s="93" t="s">
        <v>73</v>
      </c>
      <c r="D944" s="10">
        <v>10</v>
      </c>
      <c r="E944" s="10">
        <v>0.1</v>
      </c>
      <c r="F944" s="10">
        <f>ROUND(IF(E940/3&gt;(2*G940),(E940/3)/E944,(2*G940)/E944),0)*2+1</f>
        <v>35</v>
      </c>
      <c r="H944" s="10"/>
      <c r="I944" s="10"/>
      <c r="J944" s="10"/>
      <c r="K944" s="10"/>
      <c r="L944" s="10"/>
      <c r="M944" s="10"/>
      <c r="N944" s="10"/>
      <c r="O944" s="10">
        <f>(2*((G940-(2*$D$11))+(F940-(2*$D$11)))+(2*10*D944/1000))*D940</f>
        <v>2.16</v>
      </c>
      <c r="P944" s="10">
        <f t="shared" si="364"/>
        <v>75.600000000000009</v>
      </c>
      <c r="Q944" s="10">
        <f t="shared" si="362"/>
        <v>0</v>
      </c>
      <c r="R944" s="10">
        <f t="shared" si="362"/>
        <v>46.629000000000005</v>
      </c>
      <c r="S944" s="10">
        <f t="shared" si="362"/>
        <v>0</v>
      </c>
      <c r="T944" s="10">
        <f t="shared" si="362"/>
        <v>0</v>
      </c>
      <c r="U944" s="10">
        <f t="shared" si="362"/>
        <v>0</v>
      </c>
      <c r="V944" s="10">
        <f t="shared" si="362"/>
        <v>0</v>
      </c>
      <c r="W944" s="10">
        <f t="shared" si="362"/>
        <v>0</v>
      </c>
      <c r="X944" s="10">
        <f t="shared" si="365"/>
        <v>46.629000000000005</v>
      </c>
      <c r="Y944" s="10"/>
      <c r="Z944" s="10"/>
      <c r="AA944" s="10"/>
      <c r="AB944" s="10"/>
      <c r="AC944" s="10"/>
      <c r="AD944" s="10"/>
      <c r="AE944" s="10"/>
    </row>
    <row r="945" spans="1:32" s="2" customFormat="1" ht="20.100000000000001" customHeight="1" x14ac:dyDescent="0.2">
      <c r="B945" s="10" t="s">
        <v>67</v>
      </c>
      <c r="C945" s="93" t="s">
        <v>73</v>
      </c>
      <c r="D945" s="2">
        <f>D944</f>
        <v>10</v>
      </c>
      <c r="E945" s="2">
        <v>0.17499999999999999</v>
      </c>
      <c r="F945" s="2">
        <f>ROUND((E940-(IF(E940/3&gt;2*G940,E940/3*2,G940*2*2)))/E945,0)</f>
        <v>10</v>
      </c>
      <c r="G945" s="3"/>
      <c r="O945" s="10">
        <f>(2*((G940-(2*$D$11))+(F940-(2*$D$11)))+(2*10*D945/1000))*D940</f>
        <v>2.16</v>
      </c>
      <c r="P945" s="10">
        <f t="shared" si="364"/>
        <v>21.6</v>
      </c>
      <c r="Q945" s="10">
        <f t="shared" si="362"/>
        <v>0</v>
      </c>
      <c r="R945" s="10">
        <f t="shared" si="362"/>
        <v>13.322571428571429</v>
      </c>
      <c r="S945" s="10">
        <f t="shared" si="362"/>
        <v>0</v>
      </c>
      <c r="T945" s="10">
        <f t="shared" si="362"/>
        <v>0</v>
      </c>
      <c r="U945" s="10">
        <f t="shared" si="362"/>
        <v>0</v>
      </c>
      <c r="V945" s="10">
        <f t="shared" si="362"/>
        <v>0</v>
      </c>
      <c r="W945" s="10">
        <f t="shared" si="362"/>
        <v>0</v>
      </c>
      <c r="X945" s="10">
        <f t="shared" si="365"/>
        <v>13.322571428571429</v>
      </c>
    </row>
    <row r="946" spans="1:32" s="2" customFormat="1" ht="20.100000000000001" customHeight="1" x14ac:dyDescent="0.2">
      <c r="B946" s="10" t="s">
        <v>67</v>
      </c>
      <c r="C946" s="93" t="s">
        <v>74</v>
      </c>
      <c r="D946" s="2">
        <f>D944</f>
        <v>10</v>
      </c>
      <c r="E946" s="2">
        <f>+E944</f>
        <v>0.1</v>
      </c>
      <c r="F946" s="10">
        <f>ROUND(IF(E940/3&gt;(2*G940),(E940/3)/E946,(2*G940)/E946),0)*2+1</f>
        <v>35</v>
      </c>
      <c r="G946" s="3"/>
      <c r="O946" s="10">
        <f>((((G940-(2*$D$11))+(2*10*D946/1000))*D940))*2</f>
        <v>1.48</v>
      </c>
      <c r="P946" s="10">
        <f t="shared" si="364"/>
        <v>51.8</v>
      </c>
      <c r="Q946" s="10">
        <f t="shared" si="362"/>
        <v>0</v>
      </c>
      <c r="R946" s="10">
        <f t="shared" si="362"/>
        <v>31.949499999999997</v>
      </c>
      <c r="S946" s="10">
        <f t="shared" si="362"/>
        <v>0</v>
      </c>
      <c r="T946" s="10">
        <f t="shared" si="362"/>
        <v>0</v>
      </c>
      <c r="U946" s="10">
        <f t="shared" si="362"/>
        <v>0</v>
      </c>
      <c r="V946" s="10">
        <f t="shared" si="362"/>
        <v>0</v>
      </c>
      <c r="W946" s="10">
        <f t="shared" si="362"/>
        <v>0</v>
      </c>
      <c r="X946" s="10">
        <f t="shared" si="365"/>
        <v>31.949499999999997</v>
      </c>
    </row>
    <row r="947" spans="1:32" s="2" customFormat="1" ht="20.100000000000001" customHeight="1" x14ac:dyDescent="0.2">
      <c r="B947" s="10" t="s">
        <v>67</v>
      </c>
      <c r="C947" s="93" t="s">
        <v>74</v>
      </c>
      <c r="D947" s="2">
        <f>D945</f>
        <v>10</v>
      </c>
      <c r="E947" s="2">
        <f>+E945</f>
        <v>0.17499999999999999</v>
      </c>
      <c r="F947" s="2">
        <f>ROUND((E940-(IF(E940/3&gt;2*G940,E940/3*2,G940*2*2)))/E947,0)</f>
        <v>10</v>
      </c>
      <c r="G947" s="3"/>
      <c r="O947" s="10">
        <f>((((G940-(2*$D$11))+(2*10*D947/1000))*D940))*2</f>
        <v>1.48</v>
      </c>
      <c r="P947" s="10">
        <f t="shared" si="364"/>
        <v>14.8</v>
      </c>
      <c r="Q947" s="10">
        <f t="shared" si="362"/>
        <v>0</v>
      </c>
      <c r="R947" s="10">
        <f t="shared" si="362"/>
        <v>9.1284285714285716</v>
      </c>
      <c r="S947" s="10">
        <f t="shared" si="362"/>
        <v>0</v>
      </c>
      <c r="T947" s="10">
        <f t="shared" si="362"/>
        <v>0</v>
      </c>
      <c r="U947" s="10">
        <f t="shared" si="362"/>
        <v>0</v>
      </c>
      <c r="V947" s="10">
        <f t="shared" si="362"/>
        <v>0</v>
      </c>
      <c r="W947" s="10">
        <f t="shared" si="362"/>
        <v>0</v>
      </c>
      <c r="X947" s="10">
        <f t="shared" si="365"/>
        <v>9.1284285714285716</v>
      </c>
    </row>
    <row r="948" spans="1:32" s="3" customFormat="1" ht="20.100000000000001" customHeight="1" x14ac:dyDescent="0.2">
      <c r="A948" s="87"/>
      <c r="B948" s="10" t="s">
        <v>67</v>
      </c>
      <c r="C948" s="93" t="s">
        <v>75</v>
      </c>
      <c r="D948" s="10">
        <f>+$D$15</f>
        <v>25</v>
      </c>
      <c r="E948" s="10">
        <f>+$E$15</f>
        <v>1</v>
      </c>
      <c r="F948" s="10">
        <f>ROUNDUP((E940)/E948,0)</f>
        <v>6</v>
      </c>
      <c r="G948" s="90"/>
      <c r="H948" s="90"/>
      <c r="I948" s="10"/>
      <c r="J948" s="10"/>
      <c r="K948" s="10"/>
      <c r="L948" s="10"/>
      <c r="M948" s="10"/>
      <c r="N948" s="10"/>
      <c r="O948" s="10">
        <f>F940-$F$15</f>
        <v>0.44</v>
      </c>
      <c r="P948" s="10">
        <f t="shared" si="364"/>
        <v>2.64</v>
      </c>
      <c r="Q948" s="10">
        <f t="shared" si="362"/>
        <v>0</v>
      </c>
      <c r="R948" s="10">
        <f t="shared" si="362"/>
        <v>0</v>
      </c>
      <c r="S948" s="10">
        <f t="shared" si="362"/>
        <v>0</v>
      </c>
      <c r="T948" s="10">
        <f t="shared" si="362"/>
        <v>0</v>
      </c>
      <c r="U948" s="10">
        <f t="shared" si="362"/>
        <v>0</v>
      </c>
      <c r="V948" s="10">
        <f t="shared" si="362"/>
        <v>10.176964285714288</v>
      </c>
      <c r="W948" s="10">
        <f t="shared" si="362"/>
        <v>0</v>
      </c>
      <c r="X948" s="10">
        <f t="shared" si="365"/>
        <v>10.176964285714288</v>
      </c>
      <c r="Y948" s="10"/>
      <c r="Z948" s="10"/>
      <c r="AA948" s="10"/>
      <c r="AB948" s="10"/>
      <c r="AC948" s="10"/>
      <c r="AD948" s="10"/>
      <c r="AE948" s="10"/>
    </row>
    <row r="949" spans="1:32" s="3" customFormat="1" ht="21" customHeight="1" x14ac:dyDescent="0.2">
      <c r="A949" s="10">
        <v>1</v>
      </c>
      <c r="B949" s="10" t="s">
        <v>67</v>
      </c>
      <c r="C949" s="91" t="s">
        <v>199</v>
      </c>
      <c r="D949" s="91">
        <v>1</v>
      </c>
      <c r="E949" s="91">
        <v>1.6</v>
      </c>
      <c r="F949" s="91">
        <v>0.6</v>
      </c>
      <c r="G949" s="91">
        <v>1.6</v>
      </c>
      <c r="H949" s="10">
        <f>G949-0.2</f>
        <v>1.4000000000000001</v>
      </c>
      <c r="I949" s="10">
        <f>E949*F949*G949*D949</f>
        <v>1.536</v>
      </c>
      <c r="J949" s="10">
        <f>(2*(E949)*H949*D949)+(E949*F949)</f>
        <v>5.44</v>
      </c>
      <c r="K949" s="92">
        <f>IF(E949=0.3,J949,0)</f>
        <v>0</v>
      </c>
      <c r="L949" s="92">
        <f>IF(AND(E949&gt;0.3,E949&lt;=0.75),J949,0)</f>
        <v>0</v>
      </c>
      <c r="M949" s="92">
        <f>IF(AND(E949&gt;0.75,E949&lt;=1.2),J949,0)</f>
        <v>0</v>
      </c>
      <c r="N949" s="92">
        <f>IF(E949&gt;1.2,J949,0)</f>
        <v>5.44</v>
      </c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>
        <f>SUM(X950:X955)/I949</f>
        <v>188.46333224051341</v>
      </c>
      <c r="Z949" s="10"/>
      <c r="AA949" s="10"/>
      <c r="AB949" s="10"/>
      <c r="AC949" s="10"/>
      <c r="AD949" s="10"/>
      <c r="AE949" s="10"/>
      <c r="AF949" s="10"/>
    </row>
    <row r="950" spans="1:32" s="3" customFormat="1" ht="20.100000000000001" customHeight="1" x14ac:dyDescent="0.2">
      <c r="A950" s="87"/>
      <c r="B950" s="10" t="s">
        <v>67</v>
      </c>
      <c r="C950" s="93" t="s">
        <v>69</v>
      </c>
      <c r="D950" s="10">
        <v>20</v>
      </c>
      <c r="E950" s="10"/>
      <c r="F950" s="10">
        <v>5</v>
      </c>
      <c r="G950" s="90">
        <f>VLOOKUP(D950,$C$20:$F$26,3,0)</f>
        <v>1.05</v>
      </c>
      <c r="H950" s="90"/>
      <c r="I950" s="10"/>
      <c r="J950" s="10"/>
      <c r="K950" s="10"/>
      <c r="L950" s="10"/>
      <c r="M950" s="10"/>
      <c r="N950" s="10"/>
      <c r="O950" s="10">
        <f>(E949+2*(G950+(12*D950/1000))*D949)</f>
        <v>4.18</v>
      </c>
      <c r="P950" s="10">
        <f t="shared" ref="P950:P953" si="366">O950*F950</f>
        <v>20.9</v>
      </c>
      <c r="Q950" s="10">
        <f t="shared" ref="Q950:W965" si="367">IF($D950=Q$44,$P950*Q$45,0)</f>
        <v>0</v>
      </c>
      <c r="R950" s="10">
        <f t="shared" si="367"/>
        <v>0</v>
      </c>
      <c r="S950" s="10">
        <f t="shared" si="367"/>
        <v>0</v>
      </c>
      <c r="T950" s="10">
        <f t="shared" si="367"/>
        <v>0</v>
      </c>
      <c r="U950" s="10">
        <f t="shared" si="367"/>
        <v>51.563285714285712</v>
      </c>
      <c r="V950" s="10">
        <f t="shared" si="367"/>
        <v>0</v>
      </c>
      <c r="W950" s="10">
        <f t="shared" si="367"/>
        <v>0</v>
      </c>
      <c r="X950" s="10">
        <f t="shared" ref="X950:X955" si="368">SUM(Q950:W950)</f>
        <v>51.563285714285712</v>
      </c>
      <c r="Y950" s="10"/>
      <c r="Z950" s="10"/>
      <c r="AA950" s="10"/>
      <c r="AB950" s="10"/>
      <c r="AC950" s="10"/>
      <c r="AD950" s="10"/>
      <c r="AE950" s="10"/>
    </row>
    <row r="951" spans="1:32" s="3" customFormat="1" ht="20.100000000000001" customHeight="1" x14ac:dyDescent="0.2">
      <c r="A951" s="87"/>
      <c r="B951" s="10" t="s">
        <v>67</v>
      </c>
      <c r="C951" s="93" t="s">
        <v>158</v>
      </c>
      <c r="D951" s="10">
        <v>25</v>
      </c>
      <c r="E951" s="10"/>
      <c r="F951" s="10">
        <v>3</v>
      </c>
      <c r="G951" s="90">
        <f>VLOOKUP(D951,$C$20:$F$26,3,0)</f>
        <v>1.35</v>
      </c>
      <c r="H951" s="90"/>
      <c r="I951" s="10"/>
      <c r="J951" s="10"/>
      <c r="K951" s="10"/>
      <c r="L951" s="10"/>
      <c r="M951" s="10"/>
      <c r="N951" s="10"/>
      <c r="O951" s="10">
        <f>(E949+1*(G951+(12*D951/1000))*D949)</f>
        <v>3.25</v>
      </c>
      <c r="P951" s="10">
        <f t="shared" si="366"/>
        <v>9.75</v>
      </c>
      <c r="Q951" s="10">
        <f t="shared" si="367"/>
        <v>0</v>
      </c>
      <c r="R951" s="10">
        <f t="shared" si="367"/>
        <v>0</v>
      </c>
      <c r="S951" s="10">
        <f t="shared" si="367"/>
        <v>0</v>
      </c>
      <c r="T951" s="10">
        <f t="shared" si="367"/>
        <v>0</v>
      </c>
      <c r="U951" s="10">
        <f t="shared" si="367"/>
        <v>0</v>
      </c>
      <c r="V951" s="10">
        <f t="shared" si="367"/>
        <v>37.585379464285722</v>
      </c>
      <c r="W951" s="10">
        <f t="shared" si="367"/>
        <v>0</v>
      </c>
      <c r="X951" s="10">
        <f t="shared" si="368"/>
        <v>37.585379464285722</v>
      </c>
      <c r="Y951" s="10"/>
      <c r="Z951" s="10"/>
      <c r="AA951" s="10"/>
      <c r="AB951" s="10"/>
      <c r="AC951" s="10"/>
      <c r="AD951" s="10"/>
      <c r="AE951" s="10"/>
    </row>
    <row r="952" spans="1:32" s="3" customFormat="1" ht="20.100000000000001" customHeight="1" x14ac:dyDescent="0.2">
      <c r="A952" s="87"/>
      <c r="B952" s="10" t="s">
        <v>67</v>
      </c>
      <c r="C952" s="93" t="s">
        <v>128</v>
      </c>
      <c r="D952" s="10">
        <v>20</v>
      </c>
      <c r="E952" s="10"/>
      <c r="F952" s="10">
        <v>5</v>
      </c>
      <c r="G952" s="90">
        <f>VLOOKUP(D952,$C$20:$F$26,3,0)</f>
        <v>1.05</v>
      </c>
      <c r="H952" s="90"/>
      <c r="I952" s="10"/>
      <c r="J952" s="10"/>
      <c r="K952" s="10"/>
      <c r="L952" s="10"/>
      <c r="M952" s="10"/>
      <c r="N952" s="10"/>
      <c r="O952" s="10">
        <f>(E949+2*(G952+(12*D952/1000))*D949)</f>
        <v>4.18</v>
      </c>
      <c r="P952" s="10">
        <f t="shared" si="366"/>
        <v>20.9</v>
      </c>
      <c r="Q952" s="10">
        <f t="shared" si="367"/>
        <v>0</v>
      </c>
      <c r="R952" s="10">
        <f t="shared" si="367"/>
        <v>0</v>
      </c>
      <c r="S952" s="10">
        <f t="shared" si="367"/>
        <v>0</v>
      </c>
      <c r="T952" s="10">
        <f t="shared" si="367"/>
        <v>0</v>
      </c>
      <c r="U952" s="10">
        <f t="shared" si="367"/>
        <v>51.563285714285712</v>
      </c>
      <c r="V952" s="10">
        <f t="shared" si="367"/>
        <v>0</v>
      </c>
      <c r="W952" s="10">
        <f t="shared" si="367"/>
        <v>0</v>
      </c>
      <c r="X952" s="10">
        <f t="shared" si="368"/>
        <v>51.563285714285712</v>
      </c>
      <c r="Y952" s="10"/>
      <c r="Z952" s="10"/>
      <c r="AA952" s="10"/>
      <c r="AB952" s="10"/>
      <c r="AC952" s="10"/>
      <c r="AD952" s="10"/>
      <c r="AE952" s="10"/>
    </row>
    <row r="953" spans="1:32" s="3" customFormat="1" ht="20.100000000000001" customHeight="1" x14ac:dyDescent="0.2">
      <c r="A953" s="87"/>
      <c r="B953" s="10" t="s">
        <v>67</v>
      </c>
      <c r="C953" s="93" t="s">
        <v>116</v>
      </c>
      <c r="D953" s="10">
        <v>20</v>
      </c>
      <c r="E953" s="10"/>
      <c r="F953" s="10">
        <v>5</v>
      </c>
      <c r="G953" s="90">
        <f>VLOOKUP(D953,$C$20:$F$26,3,0)</f>
        <v>1.05</v>
      </c>
      <c r="H953" s="90"/>
      <c r="I953" s="10"/>
      <c r="J953" s="10"/>
      <c r="K953" s="10"/>
      <c r="L953" s="10"/>
      <c r="M953" s="10"/>
      <c r="N953" s="10"/>
      <c r="O953" s="10">
        <f>(E949+1*(G953+(12*D953/1000))*D949)</f>
        <v>2.89</v>
      </c>
      <c r="P953" s="10">
        <f t="shared" si="366"/>
        <v>14.450000000000001</v>
      </c>
      <c r="Q953" s="10">
        <f t="shared" si="367"/>
        <v>0</v>
      </c>
      <c r="R953" s="10">
        <f t="shared" si="367"/>
        <v>0</v>
      </c>
      <c r="S953" s="10">
        <f t="shared" si="367"/>
        <v>0</v>
      </c>
      <c r="T953" s="10">
        <f t="shared" si="367"/>
        <v>0</v>
      </c>
      <c r="U953" s="10">
        <f t="shared" si="367"/>
        <v>35.650214285714284</v>
      </c>
      <c r="V953" s="10">
        <f t="shared" si="367"/>
        <v>0</v>
      </c>
      <c r="W953" s="10">
        <f t="shared" si="367"/>
        <v>0</v>
      </c>
      <c r="X953" s="10">
        <f t="shared" si="368"/>
        <v>35.650214285714284</v>
      </c>
      <c r="Y953" s="10"/>
      <c r="Z953" s="10"/>
      <c r="AA953" s="10"/>
      <c r="AB953" s="10"/>
      <c r="AC953" s="10"/>
      <c r="AD953" s="10"/>
      <c r="AE953" s="10"/>
    </row>
    <row r="954" spans="1:32" s="3" customFormat="1" ht="19.5" customHeight="1" x14ac:dyDescent="0.2">
      <c r="A954" s="87"/>
      <c r="B954" s="10" t="s">
        <v>67</v>
      </c>
      <c r="C954" s="93" t="s">
        <v>73</v>
      </c>
      <c r="D954" s="10">
        <v>12</v>
      </c>
      <c r="E954" s="10">
        <v>0.1</v>
      </c>
      <c r="F954" s="10">
        <f>ROUNDUP(E949/E954,0)</f>
        <v>16</v>
      </c>
      <c r="H954" s="10"/>
      <c r="I954" s="10"/>
      <c r="J954" s="10"/>
      <c r="K954" s="10"/>
      <c r="L954" s="10"/>
      <c r="M954" s="10"/>
      <c r="N954" s="10"/>
      <c r="O954" s="10">
        <f>(2*((G949-(2*$D$11))+(F949-(2*$D$11)))+(2*10*D954/1000))*D949</f>
        <v>4.4000000000000004</v>
      </c>
      <c r="P954" s="10">
        <f>O954*F954</f>
        <v>70.400000000000006</v>
      </c>
      <c r="Q954" s="10">
        <f t="shared" si="367"/>
        <v>0</v>
      </c>
      <c r="R954" s="10">
        <f t="shared" si="367"/>
        <v>0</v>
      </c>
      <c r="S954" s="10">
        <f t="shared" si="367"/>
        <v>62.527268571428586</v>
      </c>
      <c r="T954" s="10">
        <f t="shared" si="367"/>
        <v>0</v>
      </c>
      <c r="U954" s="10">
        <f t="shared" si="367"/>
        <v>0</v>
      </c>
      <c r="V954" s="10">
        <f t="shared" si="367"/>
        <v>0</v>
      </c>
      <c r="W954" s="10">
        <f t="shared" si="367"/>
        <v>0</v>
      </c>
      <c r="X954" s="10">
        <f t="shared" si="368"/>
        <v>62.527268571428586</v>
      </c>
      <c r="Y954" s="10"/>
      <c r="Z954" s="10"/>
      <c r="AA954" s="10"/>
      <c r="AB954" s="10"/>
      <c r="AC954" s="10"/>
      <c r="AD954" s="10"/>
      <c r="AE954" s="10"/>
    </row>
    <row r="955" spans="1:32" s="2" customFormat="1" ht="20.100000000000001" customHeight="1" x14ac:dyDescent="0.2">
      <c r="B955" s="10" t="s">
        <v>67</v>
      </c>
      <c r="C955" s="93" t="s">
        <v>74</v>
      </c>
      <c r="D955" s="10">
        <f>+D954</f>
        <v>12</v>
      </c>
      <c r="E955" s="2">
        <f>+E954</f>
        <v>0.1</v>
      </c>
      <c r="F955" s="10">
        <f>ROUNDUP(E949/E955,0)</f>
        <v>16</v>
      </c>
      <c r="G955" s="3"/>
      <c r="O955" s="10">
        <f>((((G949-(2*$D$11))+(2*10*D955/1000))*D949))*2</f>
        <v>3.56</v>
      </c>
      <c r="P955" s="10">
        <f>O955*F955</f>
        <v>56.96</v>
      </c>
      <c r="Q955" s="10">
        <f t="shared" si="367"/>
        <v>0</v>
      </c>
      <c r="R955" s="10">
        <f t="shared" si="367"/>
        <v>0</v>
      </c>
      <c r="S955" s="10">
        <f t="shared" si="367"/>
        <v>50.590244571428578</v>
      </c>
      <c r="T955" s="10">
        <f t="shared" si="367"/>
        <v>0</v>
      </c>
      <c r="U955" s="10">
        <f t="shared" si="367"/>
        <v>0</v>
      </c>
      <c r="V955" s="10">
        <f t="shared" si="367"/>
        <v>0</v>
      </c>
      <c r="W955" s="10">
        <f t="shared" si="367"/>
        <v>0</v>
      </c>
      <c r="X955" s="10">
        <f t="shared" si="368"/>
        <v>50.590244571428578</v>
      </c>
    </row>
    <row r="956" spans="1:32" s="3" customFormat="1" ht="21" customHeight="1" x14ac:dyDescent="0.2">
      <c r="A956" s="10">
        <v>1</v>
      </c>
      <c r="B956" s="10" t="s">
        <v>67</v>
      </c>
      <c r="C956" s="91" t="s">
        <v>200</v>
      </c>
      <c r="D956" s="91">
        <v>1</v>
      </c>
      <c r="E956" s="91">
        <v>2.4</v>
      </c>
      <c r="F956" s="91">
        <v>0.4</v>
      </c>
      <c r="G956" s="91">
        <v>0.6</v>
      </c>
      <c r="H956" s="10">
        <f>G956-0.2</f>
        <v>0.39999999999999997</v>
      </c>
      <c r="I956" s="10">
        <f>E956*F956*G956*D956</f>
        <v>0.57599999999999996</v>
      </c>
      <c r="J956" s="10">
        <f>(2*(E956)*H956*D956)+(E956*F956)</f>
        <v>2.88</v>
      </c>
      <c r="K956" s="92">
        <f>IF(E956=0.3,J956,0)</f>
        <v>0</v>
      </c>
      <c r="L956" s="92">
        <f>IF(AND(E956&gt;0.3,E956&lt;=0.75),J956,0)</f>
        <v>0</v>
      </c>
      <c r="M956" s="92">
        <f>IF(AND(E956&gt;0.75,E956&lt;=1.2),J956,0)</f>
        <v>0</v>
      </c>
      <c r="N956" s="92">
        <f>IF(E956&gt;1.2,J956,0)</f>
        <v>2.88</v>
      </c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>
        <f>SUM(X957:X959)/I956</f>
        <v>129.91426031746036</v>
      </c>
      <c r="Z956" s="10"/>
      <c r="AA956" s="10"/>
      <c r="AB956" s="10"/>
      <c r="AC956" s="10"/>
      <c r="AD956" s="10"/>
      <c r="AE956" s="10"/>
      <c r="AF956" s="10"/>
    </row>
    <row r="957" spans="1:32" s="3" customFormat="1" ht="20.100000000000001" customHeight="1" x14ac:dyDescent="0.2">
      <c r="A957" s="87"/>
      <c r="B957" s="10" t="s">
        <v>67</v>
      </c>
      <c r="C957" s="93" t="s">
        <v>69</v>
      </c>
      <c r="D957" s="10">
        <v>16</v>
      </c>
      <c r="E957" s="10"/>
      <c r="F957" s="10">
        <v>4</v>
      </c>
      <c r="G957" s="90">
        <f>VLOOKUP(D957,$C$20:$F$26,3,0)</f>
        <v>0.85</v>
      </c>
      <c r="H957" s="90"/>
      <c r="I957" s="10"/>
      <c r="J957" s="10"/>
      <c r="K957" s="10"/>
      <c r="L957" s="10"/>
      <c r="M957" s="10"/>
      <c r="N957" s="10"/>
      <c r="O957" s="10">
        <f>(E956+2*(G957+(12*D957/1000))*D956)</f>
        <v>4.484</v>
      </c>
      <c r="P957" s="10">
        <f t="shared" ref="P957:P958" si="369">O957*F957</f>
        <v>17.936</v>
      </c>
      <c r="Q957" s="10">
        <f t="shared" si="367"/>
        <v>0</v>
      </c>
      <c r="R957" s="10">
        <f t="shared" si="367"/>
        <v>0</v>
      </c>
      <c r="S957" s="10">
        <f t="shared" si="367"/>
        <v>0</v>
      </c>
      <c r="T957" s="10">
        <f t="shared" si="367"/>
        <v>28.320431542857143</v>
      </c>
      <c r="U957" s="10">
        <f t="shared" si="367"/>
        <v>0</v>
      </c>
      <c r="V957" s="10">
        <f t="shared" si="367"/>
        <v>0</v>
      </c>
      <c r="W957" s="10">
        <f t="shared" si="367"/>
        <v>0</v>
      </c>
      <c r="X957" s="10">
        <f t="shared" ref="X957:X959" si="370">SUM(Q957:W957)</f>
        <v>28.320431542857143</v>
      </c>
      <c r="Y957" s="10"/>
      <c r="Z957" s="10"/>
      <c r="AA957" s="10"/>
      <c r="AB957" s="10"/>
      <c r="AC957" s="10"/>
      <c r="AD957" s="10"/>
      <c r="AE957" s="10"/>
    </row>
    <row r="958" spans="1:32" s="3" customFormat="1" ht="20.100000000000001" customHeight="1" x14ac:dyDescent="0.2">
      <c r="A958" s="87"/>
      <c r="B958" s="10" t="s">
        <v>67</v>
      </c>
      <c r="C958" s="93" t="s">
        <v>158</v>
      </c>
      <c r="D958" s="10">
        <v>16</v>
      </c>
      <c r="E958" s="10"/>
      <c r="F958" s="10">
        <v>4</v>
      </c>
      <c r="G958" s="90">
        <f>VLOOKUP(D958,$C$20:$F$26,3,0)</f>
        <v>0.85</v>
      </c>
      <c r="H958" s="90"/>
      <c r="I958" s="10"/>
      <c r="J958" s="10"/>
      <c r="K958" s="10"/>
      <c r="L958" s="10"/>
      <c r="M958" s="10"/>
      <c r="N958" s="10"/>
      <c r="O958" s="10">
        <f>(E956+2*(G958+(12*D958/1000))*D956)</f>
        <v>4.484</v>
      </c>
      <c r="P958" s="10">
        <f t="shared" si="369"/>
        <v>17.936</v>
      </c>
      <c r="Q958" s="10">
        <f t="shared" si="367"/>
        <v>0</v>
      </c>
      <c r="R958" s="10">
        <f t="shared" si="367"/>
        <v>0</v>
      </c>
      <c r="S958" s="10">
        <f t="shared" si="367"/>
        <v>0</v>
      </c>
      <c r="T958" s="10">
        <f t="shared" si="367"/>
        <v>28.320431542857143</v>
      </c>
      <c r="U958" s="10">
        <f t="shared" si="367"/>
        <v>0</v>
      </c>
      <c r="V958" s="10">
        <f t="shared" si="367"/>
        <v>0</v>
      </c>
      <c r="W958" s="10">
        <f t="shared" si="367"/>
        <v>0</v>
      </c>
      <c r="X958" s="10">
        <f t="shared" si="370"/>
        <v>28.320431542857143</v>
      </c>
      <c r="Y958" s="10"/>
      <c r="Z958" s="10"/>
      <c r="AA958" s="10"/>
      <c r="AB958" s="10"/>
      <c r="AC958" s="10"/>
      <c r="AD958" s="10"/>
      <c r="AE958" s="10"/>
    </row>
    <row r="959" spans="1:32" s="3" customFormat="1" ht="19.5" customHeight="1" x14ac:dyDescent="0.2">
      <c r="A959" s="87"/>
      <c r="B959" s="10" t="s">
        <v>67</v>
      </c>
      <c r="C959" s="93" t="s">
        <v>73</v>
      </c>
      <c r="D959" s="10">
        <v>8</v>
      </c>
      <c r="E959" s="10">
        <v>0.1</v>
      </c>
      <c r="F959" s="10">
        <f>ROUNDUP(E956/E959,0)</f>
        <v>24</v>
      </c>
      <c r="H959" s="10"/>
      <c r="I959" s="10"/>
      <c r="J959" s="10"/>
      <c r="K959" s="10"/>
      <c r="L959" s="10"/>
      <c r="M959" s="10"/>
      <c r="N959" s="10"/>
      <c r="O959" s="10">
        <f>(2*((G956-(2*$D$11))+(F956-(2*$D$11)))+(2*10*D959/1000))*D956</f>
        <v>1.9200000000000002</v>
      </c>
      <c r="P959" s="10">
        <f>O959*F959</f>
        <v>46.080000000000005</v>
      </c>
      <c r="Q959" s="10">
        <f t="shared" si="367"/>
        <v>18.189750857142862</v>
      </c>
      <c r="R959" s="10">
        <f t="shared" si="367"/>
        <v>0</v>
      </c>
      <c r="S959" s="10">
        <f t="shared" si="367"/>
        <v>0</v>
      </c>
      <c r="T959" s="10">
        <f t="shared" si="367"/>
        <v>0</v>
      </c>
      <c r="U959" s="10">
        <f t="shared" si="367"/>
        <v>0</v>
      </c>
      <c r="V959" s="10">
        <f t="shared" si="367"/>
        <v>0</v>
      </c>
      <c r="W959" s="10">
        <f t="shared" si="367"/>
        <v>0</v>
      </c>
      <c r="X959" s="10">
        <f t="shared" si="370"/>
        <v>18.189750857142862</v>
      </c>
      <c r="Y959" s="10"/>
      <c r="Z959" s="10"/>
      <c r="AA959" s="10"/>
      <c r="AB959" s="10"/>
      <c r="AC959" s="10"/>
      <c r="AD959" s="10"/>
      <c r="AE959" s="10"/>
    </row>
    <row r="960" spans="1:32" s="3" customFormat="1" ht="21" customHeight="1" x14ac:dyDescent="0.2">
      <c r="A960" s="10">
        <v>1</v>
      </c>
      <c r="B960" s="10" t="s">
        <v>67</v>
      </c>
      <c r="C960" s="91" t="s">
        <v>201</v>
      </c>
      <c r="D960" s="91">
        <v>1</v>
      </c>
      <c r="E960" s="91">
        <v>1.3</v>
      </c>
      <c r="F960" s="91">
        <v>0.5</v>
      </c>
      <c r="G960" s="91">
        <v>0.5</v>
      </c>
      <c r="H960" s="10">
        <f>G960-0.2</f>
        <v>0.3</v>
      </c>
      <c r="I960" s="10">
        <f>E960*F960*G960*D960</f>
        <v>0.32500000000000001</v>
      </c>
      <c r="J960" s="10">
        <f>(2*(E960)*H960*D960)+(E960*F960)</f>
        <v>1.4300000000000002</v>
      </c>
      <c r="K960" s="92">
        <f>IF(E960=0.3,J960,0)</f>
        <v>0</v>
      </c>
      <c r="L960" s="92">
        <f>IF(AND(E960&gt;0.3,E960&lt;=0.75),J960,0)</f>
        <v>0</v>
      </c>
      <c r="M960" s="92">
        <f>IF(AND(E960&gt;0.75,E960&lt;=1.2),J960,0)</f>
        <v>0</v>
      </c>
      <c r="N960" s="92">
        <f>IF(E960&gt;1.2,J960,0)</f>
        <v>1.4300000000000002</v>
      </c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>
        <f>SUM(X961:X963)/I960</f>
        <v>575.93438329670346</v>
      </c>
      <c r="Z960" s="10"/>
      <c r="AA960" s="10"/>
      <c r="AB960" s="10"/>
      <c r="AC960" s="10"/>
      <c r="AD960" s="10"/>
      <c r="AE960" s="10"/>
      <c r="AF960" s="10"/>
    </row>
    <row r="961" spans="1:32" s="3" customFormat="1" ht="20.100000000000001" customHeight="1" x14ac:dyDescent="0.2">
      <c r="A961" s="87"/>
      <c r="B961" s="10" t="s">
        <v>67</v>
      </c>
      <c r="C961" s="93" t="s">
        <v>69</v>
      </c>
      <c r="D961" s="10">
        <v>25</v>
      </c>
      <c r="E961" s="10"/>
      <c r="F961" s="10">
        <v>5</v>
      </c>
      <c r="G961" s="90">
        <f>VLOOKUP(D961,$C$20:$F$26,3,0)</f>
        <v>1.35</v>
      </c>
      <c r="H961" s="90"/>
      <c r="I961" s="10"/>
      <c r="J961" s="10"/>
      <c r="K961" s="10"/>
      <c r="L961" s="10"/>
      <c r="M961" s="10"/>
      <c r="N961" s="10"/>
      <c r="O961" s="10">
        <f>(E960+2*(G961+(12*D961/1000))*D960)</f>
        <v>4.6000000000000005</v>
      </c>
      <c r="P961" s="10">
        <f t="shared" ref="P961:P962" si="371">O961*F961</f>
        <v>23.000000000000004</v>
      </c>
      <c r="Q961" s="10">
        <f t="shared" si="367"/>
        <v>0</v>
      </c>
      <c r="R961" s="10">
        <f t="shared" si="367"/>
        <v>0</v>
      </c>
      <c r="S961" s="10">
        <f t="shared" si="367"/>
        <v>0</v>
      </c>
      <c r="T961" s="10">
        <f t="shared" si="367"/>
        <v>0</v>
      </c>
      <c r="U961" s="10">
        <f t="shared" si="367"/>
        <v>0</v>
      </c>
      <c r="V961" s="10">
        <f t="shared" si="367"/>
        <v>88.662946428571459</v>
      </c>
      <c r="W961" s="10">
        <f t="shared" si="367"/>
        <v>0</v>
      </c>
      <c r="X961" s="10">
        <f t="shared" ref="X961:X963" si="372">SUM(Q961:W961)</f>
        <v>88.662946428571459</v>
      </c>
      <c r="Y961" s="10"/>
      <c r="Z961" s="10"/>
      <c r="AA961" s="10"/>
      <c r="AB961" s="10"/>
      <c r="AC961" s="10"/>
      <c r="AD961" s="10"/>
      <c r="AE961" s="10"/>
    </row>
    <row r="962" spans="1:32" s="3" customFormat="1" ht="20.100000000000001" customHeight="1" x14ac:dyDescent="0.2">
      <c r="A962" s="87"/>
      <c r="B962" s="10" t="s">
        <v>67</v>
      </c>
      <c r="C962" s="93" t="s">
        <v>158</v>
      </c>
      <c r="D962" s="10">
        <v>25</v>
      </c>
      <c r="E962" s="10"/>
      <c r="F962" s="10">
        <v>5</v>
      </c>
      <c r="G962" s="90">
        <f>VLOOKUP(D962,$C$20:$F$26,3,0)</f>
        <v>1.35</v>
      </c>
      <c r="H962" s="90"/>
      <c r="I962" s="10"/>
      <c r="J962" s="10"/>
      <c r="K962" s="10"/>
      <c r="L962" s="10"/>
      <c r="M962" s="10"/>
      <c r="N962" s="10"/>
      <c r="O962" s="10">
        <f>(E960+2*(G962+(12*D962/1000))*D960)</f>
        <v>4.6000000000000005</v>
      </c>
      <c r="P962" s="10">
        <f t="shared" si="371"/>
        <v>23.000000000000004</v>
      </c>
      <c r="Q962" s="10">
        <f t="shared" si="367"/>
        <v>0</v>
      </c>
      <c r="R962" s="10">
        <f t="shared" si="367"/>
        <v>0</v>
      </c>
      <c r="S962" s="10">
        <f t="shared" si="367"/>
        <v>0</v>
      </c>
      <c r="T962" s="10">
        <f t="shared" si="367"/>
        <v>0</v>
      </c>
      <c r="U962" s="10">
        <f t="shared" si="367"/>
        <v>0</v>
      </c>
      <c r="V962" s="10">
        <f t="shared" si="367"/>
        <v>88.662946428571459</v>
      </c>
      <c r="W962" s="10">
        <f t="shared" si="367"/>
        <v>0</v>
      </c>
      <c r="X962" s="10">
        <f t="shared" si="372"/>
        <v>88.662946428571459</v>
      </c>
      <c r="Y962" s="10"/>
      <c r="Z962" s="10"/>
      <c r="AA962" s="10"/>
      <c r="AB962" s="10"/>
      <c r="AC962" s="10"/>
      <c r="AD962" s="10"/>
      <c r="AE962" s="10"/>
    </row>
    <row r="963" spans="1:32" s="3" customFormat="1" ht="19.5" customHeight="1" x14ac:dyDescent="0.2">
      <c r="A963" s="87"/>
      <c r="B963" s="10" t="s">
        <v>67</v>
      </c>
      <c r="C963" s="93" t="s">
        <v>73</v>
      </c>
      <c r="D963" s="10">
        <v>8</v>
      </c>
      <c r="E963" s="10">
        <v>0.1</v>
      </c>
      <c r="F963" s="10">
        <f>ROUNDUP(E960/E963,0)</f>
        <v>13</v>
      </c>
      <c r="H963" s="10"/>
      <c r="I963" s="10"/>
      <c r="J963" s="10"/>
      <c r="K963" s="10"/>
      <c r="L963" s="10"/>
      <c r="M963" s="10"/>
      <c r="N963" s="10"/>
      <c r="O963" s="10">
        <f>(2*((G960-(2*$D$11))+(F960-(2*$D$11)))+(2*10*D963/1000))*D960</f>
        <v>1.92</v>
      </c>
      <c r="P963" s="10">
        <f>O963*F963</f>
        <v>24.96</v>
      </c>
      <c r="Q963" s="10">
        <f t="shared" si="367"/>
        <v>9.8527817142857153</v>
      </c>
      <c r="R963" s="10">
        <f t="shared" si="367"/>
        <v>0</v>
      </c>
      <c r="S963" s="10">
        <f t="shared" si="367"/>
        <v>0</v>
      </c>
      <c r="T963" s="10">
        <f t="shared" si="367"/>
        <v>0</v>
      </c>
      <c r="U963" s="10">
        <f t="shared" si="367"/>
        <v>0</v>
      </c>
      <c r="V963" s="10">
        <f t="shared" si="367"/>
        <v>0</v>
      </c>
      <c r="W963" s="10">
        <f t="shared" si="367"/>
        <v>0</v>
      </c>
      <c r="X963" s="10">
        <f t="shared" si="372"/>
        <v>9.8527817142857153</v>
      </c>
      <c r="Y963" s="10"/>
      <c r="Z963" s="10"/>
      <c r="AA963" s="10"/>
      <c r="AB963" s="10"/>
      <c r="AC963" s="10"/>
      <c r="AD963" s="10"/>
      <c r="AE963" s="10"/>
    </row>
    <row r="964" spans="1:32" s="3" customFormat="1" ht="21" customHeight="1" x14ac:dyDescent="0.2">
      <c r="A964" s="10">
        <v>1</v>
      </c>
      <c r="B964" s="10" t="s">
        <v>67</v>
      </c>
      <c r="C964" s="91" t="s">
        <v>202</v>
      </c>
      <c r="D964" s="91">
        <v>1</v>
      </c>
      <c r="E964" s="91">
        <v>2</v>
      </c>
      <c r="F964" s="91">
        <v>0.3</v>
      </c>
      <c r="G964" s="91">
        <v>1.1000000000000001</v>
      </c>
      <c r="H964" s="10">
        <f>G964-0.2</f>
        <v>0.90000000000000013</v>
      </c>
      <c r="I964" s="10">
        <f>E964*F964*G964*D964</f>
        <v>0.66</v>
      </c>
      <c r="J964" s="10">
        <f>(2*(E964)*H964*D964)+(E964*F964)</f>
        <v>4.2</v>
      </c>
      <c r="K964" s="92">
        <f>IF(E964=0.3,J964,0)</f>
        <v>0</v>
      </c>
      <c r="L964" s="92">
        <f>IF(AND(E964&gt;0.3,E964&lt;=0.75),J964,0)</f>
        <v>0</v>
      </c>
      <c r="M964" s="92">
        <f>IF(AND(E964&gt;0.75,E964&lt;=1.2),J964,0)</f>
        <v>0</v>
      </c>
      <c r="N964" s="92">
        <f>IF(E964&gt;1.2,J964,0)</f>
        <v>4.2</v>
      </c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>
        <f>SUM(X965:X968)/I964</f>
        <v>211.04351190476191</v>
      </c>
      <c r="Z964" s="10"/>
      <c r="AA964" s="10"/>
      <c r="AB964" s="10"/>
      <c r="AC964" s="10"/>
      <c r="AD964" s="10"/>
      <c r="AE964" s="10"/>
      <c r="AF964" s="10"/>
    </row>
    <row r="965" spans="1:32" s="3" customFormat="1" ht="20.100000000000001" customHeight="1" x14ac:dyDescent="0.2">
      <c r="A965" s="87"/>
      <c r="B965" s="10" t="s">
        <v>67</v>
      </c>
      <c r="C965" s="93" t="s">
        <v>69</v>
      </c>
      <c r="D965" s="10">
        <v>25</v>
      </c>
      <c r="E965" s="10"/>
      <c r="F965" s="10">
        <v>3</v>
      </c>
      <c r="G965" s="90">
        <f>VLOOKUP(D965,$C$20:$F$26,3,0)</f>
        <v>1.35</v>
      </c>
      <c r="H965" s="90"/>
      <c r="I965" s="10"/>
      <c r="J965" s="10"/>
      <c r="K965" s="10"/>
      <c r="L965" s="10"/>
      <c r="M965" s="10"/>
      <c r="N965" s="10"/>
      <c r="O965" s="10">
        <f>(E964+1*(G965+(12*D965/1000))+G965*D964)</f>
        <v>5</v>
      </c>
      <c r="P965" s="10">
        <f t="shared" ref="P965:P966" si="373">O965*F965</f>
        <v>15</v>
      </c>
      <c r="Q965" s="10">
        <f t="shared" si="367"/>
        <v>0</v>
      </c>
      <c r="R965" s="10">
        <f t="shared" si="367"/>
        <v>0</v>
      </c>
      <c r="S965" s="10">
        <f t="shared" si="367"/>
        <v>0</v>
      </c>
      <c r="T965" s="10">
        <f t="shared" si="367"/>
        <v>0</v>
      </c>
      <c r="U965" s="10">
        <f t="shared" si="367"/>
        <v>0</v>
      </c>
      <c r="V965" s="10">
        <f t="shared" si="367"/>
        <v>57.823660714285722</v>
      </c>
      <c r="W965" s="10">
        <f t="shared" si="367"/>
        <v>0</v>
      </c>
      <c r="X965" s="10">
        <f t="shared" ref="X965:X968" si="374">SUM(Q965:W965)</f>
        <v>57.823660714285722</v>
      </c>
      <c r="Y965" s="10"/>
      <c r="Z965" s="10"/>
      <c r="AA965" s="10"/>
      <c r="AB965" s="10"/>
      <c r="AC965" s="10"/>
      <c r="AD965" s="10"/>
      <c r="AE965" s="10"/>
    </row>
    <row r="966" spans="1:32" s="3" customFormat="1" ht="20.100000000000001" customHeight="1" x14ac:dyDescent="0.2">
      <c r="A966" s="87"/>
      <c r="B966" s="10" t="s">
        <v>67</v>
      </c>
      <c r="C966" s="93" t="s">
        <v>158</v>
      </c>
      <c r="D966" s="10">
        <v>20</v>
      </c>
      <c r="E966" s="10"/>
      <c r="F966" s="10">
        <v>3</v>
      </c>
      <c r="G966" s="90">
        <f>VLOOKUP(D966,$C$20:$F$26,3,0)</f>
        <v>1.05</v>
      </c>
      <c r="H966" s="90"/>
      <c r="I966" s="10"/>
      <c r="J966" s="10"/>
      <c r="K966" s="10"/>
      <c r="L966" s="10"/>
      <c r="M966" s="10"/>
      <c r="N966" s="10"/>
      <c r="O966" s="10">
        <f>(E964+1*(G966+(12*D966/1000))+G966*D964)</f>
        <v>4.34</v>
      </c>
      <c r="P966" s="10">
        <f t="shared" si="373"/>
        <v>13.02</v>
      </c>
      <c r="Q966" s="10">
        <f t="shared" ref="Q966:W968" si="375">IF($D966=Q$44,$P966*Q$45,0)</f>
        <v>0</v>
      </c>
      <c r="R966" s="10">
        <f t="shared" si="375"/>
        <v>0</v>
      </c>
      <c r="S966" s="10">
        <f t="shared" si="375"/>
        <v>0</v>
      </c>
      <c r="T966" s="10">
        <f t="shared" si="375"/>
        <v>0</v>
      </c>
      <c r="U966" s="10">
        <f t="shared" si="375"/>
        <v>32.122199999999999</v>
      </c>
      <c r="V966" s="10">
        <f t="shared" si="375"/>
        <v>0</v>
      </c>
      <c r="W966" s="10">
        <f t="shared" si="375"/>
        <v>0</v>
      </c>
      <c r="X966" s="10">
        <f t="shared" si="374"/>
        <v>32.122199999999999</v>
      </c>
      <c r="Y966" s="10"/>
      <c r="Z966" s="10"/>
      <c r="AA966" s="10"/>
      <c r="AB966" s="10"/>
      <c r="AC966" s="10"/>
      <c r="AD966" s="10"/>
      <c r="AE966" s="10"/>
    </row>
    <row r="967" spans="1:32" s="3" customFormat="1" ht="19.5" customHeight="1" x14ac:dyDescent="0.2">
      <c r="A967" s="87"/>
      <c r="B967" s="10" t="s">
        <v>67</v>
      </c>
      <c r="C967" s="93" t="s">
        <v>73</v>
      </c>
      <c r="D967" s="10">
        <v>10</v>
      </c>
      <c r="E967" s="10">
        <v>0.1</v>
      </c>
      <c r="F967" s="10">
        <f>ROUNDUP(E964/E967,0)</f>
        <v>20</v>
      </c>
      <c r="H967" s="10"/>
      <c r="I967" s="10"/>
      <c r="J967" s="10"/>
      <c r="K967" s="10"/>
      <c r="L967" s="10"/>
      <c r="M967" s="10"/>
      <c r="N967" s="10"/>
      <c r="O967" s="10">
        <f>(2*((G964-(2*$D$11))+(F964-(2*$D$11)))+(2*10*D967/1000))*D964</f>
        <v>2.7600000000000002</v>
      </c>
      <c r="P967" s="10">
        <f>O967*F967</f>
        <v>55.2</v>
      </c>
      <c r="Q967" s="10">
        <f t="shared" si="375"/>
        <v>0</v>
      </c>
      <c r="R967" s="10">
        <f t="shared" si="375"/>
        <v>34.046571428571433</v>
      </c>
      <c r="S967" s="10">
        <f t="shared" si="375"/>
        <v>0</v>
      </c>
      <c r="T967" s="10">
        <f t="shared" si="375"/>
        <v>0</v>
      </c>
      <c r="U967" s="10">
        <f t="shared" si="375"/>
        <v>0</v>
      </c>
      <c r="V967" s="10">
        <f t="shared" si="375"/>
        <v>0</v>
      </c>
      <c r="W967" s="10">
        <f t="shared" si="375"/>
        <v>0</v>
      </c>
      <c r="X967" s="10">
        <f t="shared" si="374"/>
        <v>34.046571428571433</v>
      </c>
      <c r="Y967" s="10"/>
      <c r="Z967" s="10"/>
      <c r="AA967" s="10"/>
      <c r="AB967" s="10"/>
      <c r="AC967" s="10"/>
      <c r="AD967" s="10"/>
      <c r="AE967" s="10"/>
    </row>
    <row r="968" spans="1:32" s="2" customFormat="1" ht="20.100000000000001" customHeight="1" x14ac:dyDescent="0.2">
      <c r="B968" s="10" t="s">
        <v>67</v>
      </c>
      <c r="C968" s="93" t="s">
        <v>74</v>
      </c>
      <c r="D968" s="10">
        <f>+D967</f>
        <v>10</v>
      </c>
      <c r="E968" s="2">
        <f>+E967</f>
        <v>0.1</v>
      </c>
      <c r="F968" s="10">
        <f>ROUNDUP(E964/E968,0)</f>
        <v>20</v>
      </c>
      <c r="G968" s="3"/>
      <c r="O968" s="10">
        <f>((((G964-(2*$D$11))+(2*10*D968/1000))*D964))*1</f>
        <v>1.24</v>
      </c>
      <c r="P968" s="10">
        <f>O968*F968</f>
        <v>24.8</v>
      </c>
      <c r="Q968" s="10">
        <f t="shared" si="375"/>
        <v>0</v>
      </c>
      <c r="R968" s="10">
        <f t="shared" si="375"/>
        <v>15.296285714285714</v>
      </c>
      <c r="S968" s="10">
        <f t="shared" si="375"/>
        <v>0</v>
      </c>
      <c r="T968" s="10">
        <f t="shared" si="375"/>
        <v>0</v>
      </c>
      <c r="U968" s="10">
        <f t="shared" si="375"/>
        <v>0</v>
      </c>
      <c r="V968" s="10">
        <f t="shared" si="375"/>
        <v>0</v>
      </c>
      <c r="W968" s="10">
        <f t="shared" si="375"/>
        <v>0</v>
      </c>
      <c r="X968" s="10">
        <f t="shared" si="374"/>
        <v>15.296285714285714</v>
      </c>
    </row>
    <row r="969" spans="1:32" s="3" customFormat="1" ht="21" customHeight="1" x14ac:dyDescent="0.2">
      <c r="A969" s="10">
        <v>1</v>
      </c>
      <c r="B969" s="10" t="s">
        <v>67</v>
      </c>
      <c r="C969" s="91" t="s">
        <v>203</v>
      </c>
      <c r="D969" s="91">
        <v>1</v>
      </c>
      <c r="E969" s="91">
        <v>2</v>
      </c>
      <c r="F969" s="91">
        <v>0.4</v>
      </c>
      <c r="G969" s="91">
        <v>1.1000000000000001</v>
      </c>
      <c r="H969" s="10">
        <f>G969-0.2</f>
        <v>0.90000000000000013</v>
      </c>
      <c r="I969" s="10">
        <f>E969*F969*G969*D969</f>
        <v>0.88000000000000012</v>
      </c>
      <c r="J969" s="10">
        <f>(2*(E969)*H969*D969)+(E969*F969)</f>
        <v>4.4000000000000004</v>
      </c>
      <c r="K969" s="92">
        <f>IF(E969=0.3,J969,0)</f>
        <v>0</v>
      </c>
      <c r="L969" s="92">
        <f>IF(AND(E969&gt;0.3,E969&lt;=0.75),J969,0)</f>
        <v>0</v>
      </c>
      <c r="M969" s="92">
        <f>IF(AND(E969&gt;0.75,E969&lt;=1.2),J969,0)</f>
        <v>0</v>
      </c>
      <c r="N969" s="92">
        <f>IF(E969&gt;1.2,J969,0)</f>
        <v>4.4000000000000004</v>
      </c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>
        <f>SUM(X970:X973)/I969</f>
        <v>261.99375000000003</v>
      </c>
      <c r="Z969" s="10"/>
      <c r="AA969" s="10"/>
      <c r="AB969" s="10"/>
      <c r="AC969" s="10"/>
      <c r="AD969" s="10"/>
      <c r="AE969" s="10"/>
      <c r="AF969" s="10"/>
    </row>
    <row r="970" spans="1:32" s="3" customFormat="1" ht="20.100000000000001" customHeight="1" x14ac:dyDescent="0.2">
      <c r="A970" s="87"/>
      <c r="B970" s="10" t="s">
        <v>67</v>
      </c>
      <c r="C970" s="93" t="s">
        <v>69</v>
      </c>
      <c r="D970" s="10">
        <v>25</v>
      </c>
      <c r="E970" s="10"/>
      <c r="F970" s="10">
        <v>4</v>
      </c>
      <c r="G970" s="90">
        <f>VLOOKUP(D970,$C$20:$F$26,3,0)</f>
        <v>1.35</v>
      </c>
      <c r="H970" s="90"/>
      <c r="I970" s="10"/>
      <c r="J970" s="10"/>
      <c r="K970" s="10"/>
      <c r="L970" s="10"/>
      <c r="M970" s="10"/>
      <c r="N970" s="10"/>
      <c r="O970" s="10">
        <f>(E969+2*(G970+(12*D970/1000))*D969)</f>
        <v>5.3000000000000007</v>
      </c>
      <c r="P970" s="10">
        <f t="shared" ref="P970:P971" si="376">O970*F970</f>
        <v>21.200000000000003</v>
      </c>
      <c r="Q970" s="10">
        <f t="shared" ref="Q970:W973" si="377">IF($D970=Q$44,$P970*Q$45,0)</f>
        <v>0</v>
      </c>
      <c r="R970" s="10">
        <f t="shared" si="377"/>
        <v>0</v>
      </c>
      <c r="S970" s="10">
        <f t="shared" si="377"/>
        <v>0</v>
      </c>
      <c r="T970" s="10">
        <f t="shared" si="377"/>
        <v>0</v>
      </c>
      <c r="U970" s="10">
        <f t="shared" si="377"/>
        <v>0</v>
      </c>
      <c r="V970" s="10">
        <f t="shared" si="377"/>
        <v>81.724107142857164</v>
      </c>
      <c r="W970" s="10">
        <f t="shared" si="377"/>
        <v>0</v>
      </c>
      <c r="X970" s="10">
        <f t="shared" ref="X970:X973" si="378">SUM(Q970:W970)</f>
        <v>81.724107142857164</v>
      </c>
      <c r="Y970" s="10"/>
      <c r="Z970" s="10"/>
      <c r="AA970" s="10"/>
      <c r="AB970" s="10"/>
      <c r="AC970" s="10"/>
      <c r="AD970" s="10"/>
      <c r="AE970" s="10"/>
    </row>
    <row r="971" spans="1:32" s="3" customFormat="1" ht="20.100000000000001" customHeight="1" x14ac:dyDescent="0.2">
      <c r="A971" s="87"/>
      <c r="B971" s="10" t="s">
        <v>67</v>
      </c>
      <c r="C971" s="93" t="s">
        <v>158</v>
      </c>
      <c r="D971" s="10">
        <v>25</v>
      </c>
      <c r="E971" s="10"/>
      <c r="F971" s="10">
        <v>4</v>
      </c>
      <c r="G971" s="90">
        <f>VLOOKUP(D971,$C$20:$F$26,3,0)</f>
        <v>1.35</v>
      </c>
      <c r="H971" s="90"/>
      <c r="I971" s="10"/>
      <c r="J971" s="10"/>
      <c r="K971" s="10"/>
      <c r="L971" s="10"/>
      <c r="M971" s="10"/>
      <c r="N971" s="10"/>
      <c r="O971" s="10">
        <f>(E969+2*(G971+(12*D971/1000))*D969)</f>
        <v>5.3000000000000007</v>
      </c>
      <c r="P971" s="10">
        <f t="shared" si="376"/>
        <v>21.200000000000003</v>
      </c>
      <c r="Q971" s="10">
        <f t="shared" si="377"/>
        <v>0</v>
      </c>
      <c r="R971" s="10">
        <f t="shared" si="377"/>
        <v>0</v>
      </c>
      <c r="S971" s="10">
        <f t="shared" si="377"/>
        <v>0</v>
      </c>
      <c r="T971" s="10">
        <f t="shared" si="377"/>
        <v>0</v>
      </c>
      <c r="U971" s="10">
        <f t="shared" si="377"/>
        <v>0</v>
      </c>
      <c r="V971" s="10">
        <f t="shared" si="377"/>
        <v>81.724107142857164</v>
      </c>
      <c r="W971" s="10">
        <f t="shared" si="377"/>
        <v>0</v>
      </c>
      <c r="X971" s="10">
        <f t="shared" si="378"/>
        <v>81.724107142857164</v>
      </c>
      <c r="Y971" s="10"/>
      <c r="Z971" s="10"/>
      <c r="AA971" s="10"/>
      <c r="AB971" s="10"/>
      <c r="AC971" s="10"/>
      <c r="AD971" s="10"/>
      <c r="AE971" s="10"/>
    </row>
    <row r="972" spans="1:32" s="3" customFormat="1" ht="19.5" customHeight="1" x14ac:dyDescent="0.2">
      <c r="A972" s="87"/>
      <c r="B972" s="10" t="s">
        <v>67</v>
      </c>
      <c r="C972" s="93" t="s">
        <v>73</v>
      </c>
      <c r="D972" s="10">
        <v>10</v>
      </c>
      <c r="E972" s="10">
        <v>0.1</v>
      </c>
      <c r="F972" s="10">
        <f>ROUNDUP(E969/E972,0)</f>
        <v>20</v>
      </c>
      <c r="H972" s="10"/>
      <c r="I972" s="10"/>
      <c r="J972" s="10"/>
      <c r="K972" s="10"/>
      <c r="L972" s="10"/>
      <c r="M972" s="10"/>
      <c r="N972" s="10"/>
      <c r="O972" s="10">
        <f>(2*((G969-(2*$D$11))+(F969-(2*$D$11)))+(2*10*D972/1000))*D969</f>
        <v>2.9600000000000004</v>
      </c>
      <c r="P972" s="10">
        <f>O972*F972</f>
        <v>59.20000000000001</v>
      </c>
      <c r="Q972" s="10">
        <f t="shared" si="377"/>
        <v>0</v>
      </c>
      <c r="R972" s="10">
        <f t="shared" si="377"/>
        <v>36.513714285714293</v>
      </c>
      <c r="S972" s="10">
        <f t="shared" si="377"/>
        <v>0</v>
      </c>
      <c r="T972" s="10">
        <f t="shared" si="377"/>
        <v>0</v>
      </c>
      <c r="U972" s="10">
        <f t="shared" si="377"/>
        <v>0</v>
      </c>
      <c r="V972" s="10">
        <f t="shared" si="377"/>
        <v>0</v>
      </c>
      <c r="W972" s="10">
        <f t="shared" si="377"/>
        <v>0</v>
      </c>
      <c r="X972" s="10">
        <f t="shared" si="378"/>
        <v>36.513714285714293</v>
      </c>
      <c r="Y972" s="10"/>
      <c r="Z972" s="10"/>
      <c r="AA972" s="10"/>
      <c r="AB972" s="10"/>
      <c r="AC972" s="10"/>
      <c r="AD972" s="10"/>
      <c r="AE972" s="10"/>
    </row>
    <row r="973" spans="1:32" s="2" customFormat="1" ht="20.100000000000001" customHeight="1" x14ac:dyDescent="0.2">
      <c r="B973" s="10" t="s">
        <v>67</v>
      </c>
      <c r="C973" s="93" t="s">
        <v>74</v>
      </c>
      <c r="D973" s="10">
        <f>+D972</f>
        <v>10</v>
      </c>
      <c r="E973" s="2">
        <f>+E972</f>
        <v>0.1</v>
      </c>
      <c r="F973" s="10">
        <f>ROUNDUP(E969/E973,0)</f>
        <v>20</v>
      </c>
      <c r="G973" s="3"/>
      <c r="O973" s="10">
        <f>((((G969-(2*$D$11))+(2*10*D973/1000))*D969))*2</f>
        <v>2.48</v>
      </c>
      <c r="P973" s="10">
        <f>O973*F973</f>
        <v>49.6</v>
      </c>
      <c r="Q973" s="10">
        <f t="shared" si="377"/>
        <v>0</v>
      </c>
      <c r="R973" s="10">
        <f t="shared" si="377"/>
        <v>30.592571428571429</v>
      </c>
      <c r="S973" s="10">
        <f t="shared" si="377"/>
        <v>0</v>
      </c>
      <c r="T973" s="10">
        <f t="shared" si="377"/>
        <v>0</v>
      </c>
      <c r="U973" s="10">
        <f t="shared" si="377"/>
        <v>0</v>
      </c>
      <c r="V973" s="10">
        <f t="shared" si="377"/>
        <v>0</v>
      </c>
      <c r="W973" s="10">
        <f t="shared" si="377"/>
        <v>0</v>
      </c>
      <c r="X973" s="10">
        <f t="shared" si="378"/>
        <v>30.592571428571429</v>
      </c>
    </row>
    <row r="974" spans="1:32" s="3" customFormat="1" ht="21" customHeight="1" x14ac:dyDescent="0.2">
      <c r="A974" s="10">
        <v>1</v>
      </c>
      <c r="B974" s="10" t="s">
        <v>67</v>
      </c>
      <c r="C974" s="91" t="s">
        <v>204</v>
      </c>
      <c r="D974" s="91">
        <v>1</v>
      </c>
      <c r="E974" s="91">
        <v>4.5999999999999996</v>
      </c>
      <c r="F974" s="91">
        <v>0.5</v>
      </c>
      <c r="G974" s="91">
        <v>0.6</v>
      </c>
      <c r="H974" s="10">
        <f>G974-0.2</f>
        <v>0.39999999999999997</v>
      </c>
      <c r="I974" s="10">
        <f>E974*F974*G974*D974</f>
        <v>1.38</v>
      </c>
      <c r="J974" s="10">
        <f>(2*(E974)*H974*D974)+(E974*F974)</f>
        <v>5.9799999999999986</v>
      </c>
      <c r="K974" s="92">
        <f>IF(E974=0.3,J974,0)</f>
        <v>0</v>
      </c>
      <c r="L974" s="92">
        <f>IF(AND(E974&gt;0.3,E974&lt;=0.75),J974,0)</f>
        <v>0</v>
      </c>
      <c r="M974" s="92">
        <f>IF(AND(E974&gt;0.75,E974&lt;=1.2),J974,0)</f>
        <v>0</v>
      </c>
      <c r="N974" s="92">
        <f>IF(E974&gt;1.2,J974,0)</f>
        <v>5.9799999999999986</v>
      </c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>
        <f>SUM(X975:X978)/I974</f>
        <v>205.29167225672879</v>
      </c>
      <c r="Z974" s="10"/>
      <c r="AA974" s="10"/>
      <c r="AB974" s="10"/>
      <c r="AC974" s="10"/>
      <c r="AD974" s="10"/>
      <c r="AE974" s="10"/>
      <c r="AF974" s="10"/>
    </row>
    <row r="975" spans="1:32" s="3" customFormat="1" ht="20.100000000000001" customHeight="1" x14ac:dyDescent="0.2">
      <c r="A975" s="87"/>
      <c r="B975" s="10" t="s">
        <v>67</v>
      </c>
      <c r="C975" s="93" t="s">
        <v>69</v>
      </c>
      <c r="D975" s="10">
        <v>25</v>
      </c>
      <c r="E975" s="10"/>
      <c r="F975" s="10">
        <v>5</v>
      </c>
      <c r="G975" s="90">
        <f>VLOOKUP(D975,$C$20:$F$26,3,0)</f>
        <v>1.35</v>
      </c>
      <c r="H975" s="90"/>
      <c r="I975" s="10"/>
      <c r="J975" s="10"/>
      <c r="K975" s="10"/>
      <c r="L975" s="10"/>
      <c r="M975" s="10"/>
      <c r="N975" s="10"/>
      <c r="O975" s="10">
        <f>(E974+1*(G975+(12*D975/1000))+G975*D974)</f>
        <v>7.6</v>
      </c>
      <c r="P975" s="10">
        <f t="shared" ref="P975:P976" si="379">O975*F975</f>
        <v>38</v>
      </c>
      <c r="Q975" s="10">
        <f t="shared" ref="Q975:W992" si="380">IF($D975=Q$44,$P975*Q$45,0)</f>
        <v>0</v>
      </c>
      <c r="R975" s="10">
        <f t="shared" si="380"/>
        <v>0</v>
      </c>
      <c r="S975" s="10">
        <f t="shared" si="380"/>
        <v>0</v>
      </c>
      <c r="T975" s="10">
        <f t="shared" si="380"/>
        <v>0</v>
      </c>
      <c r="U975" s="10">
        <f t="shared" si="380"/>
        <v>0</v>
      </c>
      <c r="V975" s="10">
        <f t="shared" si="380"/>
        <v>146.48660714285717</v>
      </c>
      <c r="W975" s="10">
        <f t="shared" si="380"/>
        <v>0</v>
      </c>
      <c r="X975" s="10">
        <f t="shared" ref="X975:X978" si="381">SUM(Q975:W975)</f>
        <v>146.48660714285717</v>
      </c>
      <c r="Y975" s="10"/>
      <c r="Z975" s="10"/>
      <c r="AA975" s="10"/>
      <c r="AB975" s="10"/>
      <c r="AC975" s="10"/>
      <c r="AD975" s="10"/>
      <c r="AE975" s="10"/>
    </row>
    <row r="976" spans="1:32" s="3" customFormat="1" ht="20.100000000000001" customHeight="1" x14ac:dyDescent="0.2">
      <c r="A976" s="87"/>
      <c r="B976" s="10" t="s">
        <v>67</v>
      </c>
      <c r="C976" s="93" t="s">
        <v>158</v>
      </c>
      <c r="D976" s="10">
        <v>20</v>
      </c>
      <c r="E976" s="10"/>
      <c r="F976" s="10">
        <v>5</v>
      </c>
      <c r="G976" s="90">
        <f>VLOOKUP(D976,$C$20:$F$26,3,0)</f>
        <v>1.05</v>
      </c>
      <c r="H976" s="90"/>
      <c r="I976" s="10"/>
      <c r="J976" s="10"/>
      <c r="K976" s="10"/>
      <c r="L976" s="10"/>
      <c r="M976" s="10"/>
      <c r="N976" s="10"/>
      <c r="O976" s="10">
        <f>(E974+1*(G976+(12*D976/1000))+G976*D974)</f>
        <v>6.9399999999999995</v>
      </c>
      <c r="P976" s="10">
        <f t="shared" si="379"/>
        <v>34.699999999999996</v>
      </c>
      <c r="Q976" s="10">
        <f t="shared" si="380"/>
        <v>0</v>
      </c>
      <c r="R976" s="10">
        <f t="shared" si="380"/>
        <v>0</v>
      </c>
      <c r="S976" s="10">
        <f t="shared" si="380"/>
        <v>0</v>
      </c>
      <c r="T976" s="10">
        <f t="shared" si="380"/>
        <v>0</v>
      </c>
      <c r="U976" s="10">
        <f t="shared" si="380"/>
        <v>85.609857142857123</v>
      </c>
      <c r="V976" s="10">
        <f t="shared" si="380"/>
        <v>0</v>
      </c>
      <c r="W976" s="10">
        <f t="shared" si="380"/>
        <v>0</v>
      </c>
      <c r="X976" s="10">
        <f t="shared" si="381"/>
        <v>85.609857142857123</v>
      </c>
      <c r="Y976" s="10"/>
      <c r="Z976" s="10"/>
      <c r="AA976" s="10"/>
      <c r="AB976" s="10"/>
      <c r="AC976" s="10"/>
      <c r="AD976" s="10"/>
      <c r="AE976" s="10"/>
    </row>
    <row r="977" spans="1:32" s="3" customFormat="1" ht="19.5" customHeight="1" x14ac:dyDescent="0.2">
      <c r="A977" s="87"/>
      <c r="B977" s="10" t="s">
        <v>67</v>
      </c>
      <c r="C977" s="93" t="s">
        <v>73</v>
      </c>
      <c r="D977" s="10">
        <v>8</v>
      </c>
      <c r="E977" s="10">
        <v>0.1</v>
      </c>
      <c r="F977" s="10">
        <f>ROUNDUP(E974/E977,0)</f>
        <v>46</v>
      </c>
      <c r="H977" s="10"/>
      <c r="I977" s="10"/>
      <c r="J977" s="10"/>
      <c r="K977" s="10"/>
      <c r="L977" s="10"/>
      <c r="M977" s="10"/>
      <c r="N977" s="10"/>
      <c r="O977" s="10">
        <f>(2*((G974-(2*$D$11))+(F974-(2*$D$11)))+(2*10*D977/1000))*D974</f>
        <v>2.12</v>
      </c>
      <c r="P977" s="10">
        <f>O977*F977</f>
        <v>97.52000000000001</v>
      </c>
      <c r="Q977" s="10">
        <f t="shared" si="380"/>
        <v>38.495323428571439</v>
      </c>
      <c r="R977" s="10">
        <f t="shared" si="380"/>
        <v>0</v>
      </c>
      <c r="S977" s="10">
        <f t="shared" si="380"/>
        <v>0</v>
      </c>
      <c r="T977" s="10">
        <f t="shared" si="380"/>
        <v>0</v>
      </c>
      <c r="U977" s="10">
        <f t="shared" si="380"/>
        <v>0</v>
      </c>
      <c r="V977" s="10">
        <f t="shared" si="380"/>
        <v>0</v>
      </c>
      <c r="W977" s="10">
        <f t="shared" si="380"/>
        <v>0</v>
      </c>
      <c r="X977" s="10">
        <f t="shared" si="381"/>
        <v>38.495323428571439</v>
      </c>
      <c r="Y977" s="10"/>
      <c r="Z977" s="10"/>
      <c r="AA977" s="10"/>
      <c r="AB977" s="10"/>
      <c r="AC977" s="10"/>
      <c r="AD977" s="10"/>
      <c r="AE977" s="10"/>
    </row>
    <row r="978" spans="1:32" s="2" customFormat="1" ht="20.100000000000001" customHeight="1" x14ac:dyDescent="0.2">
      <c r="B978" s="10" t="s">
        <v>67</v>
      </c>
      <c r="C978" s="93" t="s">
        <v>74</v>
      </c>
      <c r="D978" s="10">
        <f>+D977</f>
        <v>8</v>
      </c>
      <c r="E978" s="2">
        <f>+E977</f>
        <v>0.1</v>
      </c>
      <c r="F978" s="10">
        <f>ROUNDUP(E974/E978,0)</f>
        <v>46</v>
      </c>
      <c r="G978" s="3"/>
      <c r="O978" s="10">
        <f>((((G974-(2*$D$11))+(2*10*D978/1000))*D974))*1</f>
        <v>0.70000000000000007</v>
      </c>
      <c r="P978" s="10">
        <f>O978*F978</f>
        <v>32.200000000000003</v>
      </c>
      <c r="Q978" s="10">
        <f t="shared" si="380"/>
        <v>12.710720000000002</v>
      </c>
      <c r="R978" s="10">
        <f t="shared" si="380"/>
        <v>0</v>
      </c>
      <c r="S978" s="10">
        <f t="shared" si="380"/>
        <v>0</v>
      </c>
      <c r="T978" s="10">
        <f t="shared" si="380"/>
        <v>0</v>
      </c>
      <c r="U978" s="10">
        <f t="shared" si="380"/>
        <v>0</v>
      </c>
      <c r="V978" s="10">
        <f t="shared" si="380"/>
        <v>0</v>
      </c>
      <c r="W978" s="10">
        <f t="shared" si="380"/>
        <v>0</v>
      </c>
      <c r="X978" s="10">
        <f t="shared" si="381"/>
        <v>12.710720000000002</v>
      </c>
    </row>
    <row r="979" spans="1:32" s="3" customFormat="1" ht="21" customHeight="1" x14ac:dyDescent="0.2">
      <c r="A979" s="10">
        <v>1</v>
      </c>
      <c r="B979" s="10" t="s">
        <v>67</v>
      </c>
      <c r="C979" s="91" t="s">
        <v>205</v>
      </c>
      <c r="D979" s="91">
        <v>1</v>
      </c>
      <c r="E979" s="91">
        <v>1.127</v>
      </c>
      <c r="F979" s="91">
        <v>0.4</v>
      </c>
      <c r="G979" s="91">
        <v>1.1000000000000001</v>
      </c>
      <c r="H979" s="10">
        <f>G979-0.2</f>
        <v>0.90000000000000013</v>
      </c>
      <c r="I979" s="10">
        <f>E979*F979*G979*D979</f>
        <v>0.4958800000000001</v>
      </c>
      <c r="J979" s="10">
        <f>(2*(E979)*H979*D979)+(E979*F979)</f>
        <v>2.4794000000000005</v>
      </c>
      <c r="K979" s="92">
        <f>IF(E979=0.3,J979,0)</f>
        <v>0</v>
      </c>
      <c r="L979" s="92">
        <f>IF(AND(E979&gt;0.3,E979&lt;=0.75),J979,0)</f>
        <v>0</v>
      </c>
      <c r="M979" s="92">
        <f>IF(AND(E979&gt;0.75,E979&lt;=1.2),J979,0)</f>
        <v>2.4794000000000005</v>
      </c>
      <c r="N979" s="92">
        <f>IF(E979&gt;1.2,J979,0)</f>
        <v>0</v>
      </c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>
        <f>SUM(X980:X983)/I979</f>
        <v>376.16465648371155</v>
      </c>
      <c r="Z979" s="10"/>
      <c r="AA979" s="10"/>
      <c r="AB979" s="10"/>
      <c r="AC979" s="10"/>
      <c r="AD979" s="10"/>
      <c r="AE979" s="10"/>
      <c r="AF979" s="10"/>
    </row>
    <row r="980" spans="1:32" s="3" customFormat="1" ht="20.100000000000001" customHeight="1" x14ac:dyDescent="0.2">
      <c r="A980" s="87"/>
      <c r="B980" s="10" t="s">
        <v>67</v>
      </c>
      <c r="C980" s="93" t="s">
        <v>69</v>
      </c>
      <c r="D980" s="10">
        <v>25</v>
      </c>
      <c r="E980" s="10"/>
      <c r="F980" s="10">
        <v>4</v>
      </c>
      <c r="G980" s="90">
        <f>VLOOKUP(D980,$C$20:$F$26,3,0)</f>
        <v>1.35</v>
      </c>
      <c r="H980" s="90"/>
      <c r="I980" s="10"/>
      <c r="J980" s="10"/>
      <c r="K980" s="10"/>
      <c r="L980" s="10"/>
      <c r="M980" s="10"/>
      <c r="N980" s="10"/>
      <c r="O980" s="10">
        <f>(E979+1*(G980+(12*D980/1000))+G980*D979)</f>
        <v>4.1270000000000007</v>
      </c>
      <c r="P980" s="10">
        <f t="shared" ref="P980:P981" si="382">O980*F980</f>
        <v>16.508000000000003</v>
      </c>
      <c r="Q980" s="10">
        <f t="shared" si="380"/>
        <v>0</v>
      </c>
      <c r="R980" s="10">
        <f t="shared" si="380"/>
        <v>0</v>
      </c>
      <c r="S980" s="10">
        <f t="shared" si="380"/>
        <v>0</v>
      </c>
      <c r="T980" s="10">
        <f t="shared" si="380"/>
        <v>0</v>
      </c>
      <c r="U980" s="10">
        <f t="shared" si="380"/>
        <v>0</v>
      </c>
      <c r="V980" s="10">
        <f t="shared" si="380"/>
        <v>63.636866071428592</v>
      </c>
      <c r="W980" s="10">
        <f t="shared" si="380"/>
        <v>0</v>
      </c>
      <c r="X980" s="10">
        <f t="shared" ref="X980:X983" si="383">SUM(Q980:W980)</f>
        <v>63.636866071428592</v>
      </c>
      <c r="Y980" s="10"/>
      <c r="Z980" s="10"/>
      <c r="AA980" s="10"/>
      <c r="AB980" s="10"/>
      <c r="AC980" s="10"/>
      <c r="AD980" s="10"/>
      <c r="AE980" s="10"/>
    </row>
    <row r="981" spans="1:32" s="3" customFormat="1" ht="20.100000000000001" customHeight="1" x14ac:dyDescent="0.2">
      <c r="A981" s="87"/>
      <c r="B981" s="10" t="s">
        <v>67</v>
      </c>
      <c r="C981" s="93" t="s">
        <v>158</v>
      </c>
      <c r="D981" s="10">
        <v>25</v>
      </c>
      <c r="E981" s="10"/>
      <c r="F981" s="10">
        <v>4</v>
      </c>
      <c r="G981" s="90">
        <f>VLOOKUP(D981,$C$20:$F$26,3,0)</f>
        <v>1.35</v>
      </c>
      <c r="H981" s="90"/>
      <c r="I981" s="10"/>
      <c r="J981" s="10"/>
      <c r="K981" s="10"/>
      <c r="L981" s="10"/>
      <c r="M981" s="10"/>
      <c r="N981" s="10"/>
      <c r="O981" s="10">
        <f>(E979+1*(G981+(12*D981/1000))+G981*D979)</f>
        <v>4.1270000000000007</v>
      </c>
      <c r="P981" s="10">
        <f t="shared" si="382"/>
        <v>16.508000000000003</v>
      </c>
      <c r="Q981" s="10">
        <f t="shared" si="380"/>
        <v>0</v>
      </c>
      <c r="R981" s="10">
        <f t="shared" si="380"/>
        <v>0</v>
      </c>
      <c r="S981" s="10">
        <f t="shared" si="380"/>
        <v>0</v>
      </c>
      <c r="T981" s="10">
        <f t="shared" si="380"/>
        <v>0</v>
      </c>
      <c r="U981" s="10">
        <f t="shared" si="380"/>
        <v>0</v>
      </c>
      <c r="V981" s="10">
        <f t="shared" si="380"/>
        <v>63.636866071428592</v>
      </c>
      <c r="W981" s="10">
        <f t="shared" si="380"/>
        <v>0</v>
      </c>
      <c r="X981" s="10">
        <f t="shared" si="383"/>
        <v>63.636866071428592</v>
      </c>
      <c r="Y981" s="10"/>
      <c r="Z981" s="10"/>
      <c r="AA981" s="10"/>
      <c r="AB981" s="10"/>
      <c r="AC981" s="10"/>
      <c r="AD981" s="10"/>
      <c r="AE981" s="10"/>
    </row>
    <row r="982" spans="1:32" s="3" customFormat="1" ht="19.5" customHeight="1" x14ac:dyDescent="0.2">
      <c r="A982" s="87"/>
      <c r="B982" s="10" t="s">
        <v>67</v>
      </c>
      <c r="C982" s="93" t="s">
        <v>73</v>
      </c>
      <c r="D982" s="10">
        <v>12</v>
      </c>
      <c r="E982" s="10">
        <v>0.1</v>
      </c>
      <c r="F982" s="10">
        <f>ROUNDUP(E979/E982,0)</f>
        <v>12</v>
      </c>
      <c r="H982" s="10"/>
      <c r="I982" s="10"/>
      <c r="J982" s="10"/>
      <c r="K982" s="10"/>
      <c r="L982" s="10"/>
      <c r="M982" s="10"/>
      <c r="N982" s="10"/>
      <c r="O982" s="10">
        <f>(2*((G979-(2*$D$11))+(F979-(2*$D$11)))+(2*10*D982/1000))*D979</f>
        <v>3</v>
      </c>
      <c r="P982" s="10">
        <f>O982*F982</f>
        <v>36</v>
      </c>
      <c r="Q982" s="10">
        <f t="shared" si="380"/>
        <v>0</v>
      </c>
      <c r="R982" s="10">
        <f t="shared" si="380"/>
        <v>0</v>
      </c>
      <c r="S982" s="10">
        <f t="shared" si="380"/>
        <v>31.974171428571434</v>
      </c>
      <c r="T982" s="10">
        <f t="shared" si="380"/>
        <v>0</v>
      </c>
      <c r="U982" s="10">
        <f t="shared" si="380"/>
        <v>0</v>
      </c>
      <c r="V982" s="10">
        <f t="shared" si="380"/>
        <v>0</v>
      </c>
      <c r="W982" s="10">
        <f t="shared" si="380"/>
        <v>0</v>
      </c>
      <c r="X982" s="10">
        <f t="shared" si="383"/>
        <v>31.974171428571434</v>
      </c>
      <c r="Y982" s="10"/>
      <c r="Z982" s="10"/>
      <c r="AA982" s="10"/>
      <c r="AB982" s="10"/>
      <c r="AC982" s="10"/>
      <c r="AD982" s="10"/>
      <c r="AE982" s="10"/>
    </row>
    <row r="983" spans="1:32" s="2" customFormat="1" ht="20.100000000000001" customHeight="1" x14ac:dyDescent="0.2">
      <c r="B983" s="10" t="s">
        <v>67</v>
      </c>
      <c r="C983" s="93" t="s">
        <v>74</v>
      </c>
      <c r="D983" s="10">
        <f>+D982</f>
        <v>12</v>
      </c>
      <c r="E983" s="2">
        <f>+E982</f>
        <v>0.1</v>
      </c>
      <c r="F983" s="10">
        <f>ROUNDUP(E979/E983,0)</f>
        <v>12</v>
      </c>
      <c r="G983" s="3"/>
      <c r="O983" s="10">
        <f>((((G979-(2*$D$11))+(2*10*D983/1000))*D979))*2</f>
        <v>2.56</v>
      </c>
      <c r="P983" s="10">
        <f>O983*F983</f>
        <v>30.72</v>
      </c>
      <c r="Q983" s="10">
        <f t="shared" si="380"/>
        <v>0</v>
      </c>
      <c r="R983" s="10">
        <f t="shared" si="380"/>
        <v>0</v>
      </c>
      <c r="S983" s="10">
        <f t="shared" si="380"/>
        <v>27.284626285714289</v>
      </c>
      <c r="T983" s="10">
        <f t="shared" si="380"/>
        <v>0</v>
      </c>
      <c r="U983" s="10">
        <f t="shared" si="380"/>
        <v>0</v>
      </c>
      <c r="V983" s="10">
        <f t="shared" si="380"/>
        <v>0</v>
      </c>
      <c r="W983" s="10">
        <f t="shared" si="380"/>
        <v>0</v>
      </c>
      <c r="X983" s="10">
        <f t="shared" si="383"/>
        <v>27.284626285714289</v>
      </c>
    </row>
    <row r="984" spans="1:32" s="3" customFormat="1" ht="21" customHeight="1" x14ac:dyDescent="0.2">
      <c r="A984" s="10">
        <v>1</v>
      </c>
      <c r="B984" s="10" t="s">
        <v>67</v>
      </c>
      <c r="C984" s="91" t="s">
        <v>206</v>
      </c>
      <c r="D984" s="91">
        <v>1</v>
      </c>
      <c r="E984" s="91">
        <v>5.7930000000000001</v>
      </c>
      <c r="F984" s="91">
        <v>0.57499999999999996</v>
      </c>
      <c r="G984" s="91">
        <v>0.6</v>
      </c>
      <c r="H984" s="10">
        <f>G984-0.2</f>
        <v>0.39999999999999997</v>
      </c>
      <c r="I984" s="10">
        <f>E984*F984*G984*D984</f>
        <v>1.9985849999999998</v>
      </c>
      <c r="J984" s="10">
        <f>(2*(E984)*H984*D984)+(E984*F984)</f>
        <v>7.9653749999999999</v>
      </c>
      <c r="K984" s="92">
        <f>IF(E984=0.3,J984,0)</f>
        <v>0</v>
      </c>
      <c r="L984" s="92">
        <f>IF(AND(E984&gt;0.3,E984&lt;=0.75),J984,0)</f>
        <v>0</v>
      </c>
      <c r="M984" s="92">
        <f>IF(AND(E984&gt;0.75,E984&lt;=1.2),J984,0)</f>
        <v>0</v>
      </c>
      <c r="N984" s="92">
        <f>IF(E984&gt;1.2,J984,0)</f>
        <v>7.9653749999999999</v>
      </c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>
        <f>SUM(X985:X990)/I984</f>
        <v>158.87921776085156</v>
      </c>
      <c r="Z984" s="10"/>
      <c r="AA984" s="10"/>
      <c r="AB984" s="10"/>
      <c r="AC984" s="10"/>
      <c r="AD984" s="10"/>
      <c r="AE984" s="10"/>
      <c r="AF984" s="10"/>
    </row>
    <row r="985" spans="1:32" s="3" customFormat="1" ht="20.100000000000001" customHeight="1" x14ac:dyDescent="0.2">
      <c r="A985" s="87"/>
      <c r="B985" s="10" t="s">
        <v>67</v>
      </c>
      <c r="C985" s="93" t="s">
        <v>69</v>
      </c>
      <c r="D985" s="10">
        <v>20</v>
      </c>
      <c r="E985" s="10"/>
      <c r="F985" s="10">
        <v>5</v>
      </c>
      <c r="G985" s="90">
        <f>VLOOKUP(D985,$C$20:$F$26,3,0)</f>
        <v>1.05</v>
      </c>
      <c r="H985" s="90"/>
      <c r="I985" s="10"/>
      <c r="J985" s="10"/>
      <c r="K985" s="10"/>
      <c r="L985" s="10"/>
      <c r="M985" s="10"/>
      <c r="N985" s="10"/>
      <c r="O985" s="10">
        <f>(E984+1*(G985+(12*D985/1000))+G985*D984)</f>
        <v>8.1330000000000009</v>
      </c>
      <c r="P985" s="10">
        <f t="shared" ref="P985:P990" si="384">O985*F985</f>
        <v>40.665000000000006</v>
      </c>
      <c r="Q985" s="10">
        <f t="shared" si="380"/>
        <v>0</v>
      </c>
      <c r="R985" s="10">
        <f t="shared" si="380"/>
        <v>0</v>
      </c>
      <c r="S985" s="10">
        <f t="shared" si="380"/>
        <v>0</v>
      </c>
      <c r="T985" s="10">
        <f t="shared" si="380"/>
        <v>0</v>
      </c>
      <c r="U985" s="10">
        <f t="shared" si="380"/>
        <v>100.32636428571431</v>
      </c>
      <c r="V985" s="10">
        <f t="shared" si="380"/>
        <v>0</v>
      </c>
      <c r="W985" s="10">
        <f t="shared" si="380"/>
        <v>0</v>
      </c>
      <c r="X985" s="10">
        <f t="shared" ref="X985:X990" si="385">SUM(Q985:W985)</f>
        <v>100.32636428571431</v>
      </c>
      <c r="Y985" s="10"/>
      <c r="Z985" s="10"/>
      <c r="AA985" s="10"/>
      <c r="AB985" s="10"/>
      <c r="AC985" s="10"/>
      <c r="AD985" s="10"/>
      <c r="AE985" s="10"/>
    </row>
    <row r="986" spans="1:32" s="3" customFormat="1" ht="20.100000000000001" customHeight="1" x14ac:dyDescent="0.2">
      <c r="A986" s="87"/>
      <c r="B986" s="10" t="s">
        <v>67</v>
      </c>
      <c r="C986" s="93" t="s">
        <v>158</v>
      </c>
      <c r="D986" s="10">
        <v>20</v>
      </c>
      <c r="E986" s="10"/>
      <c r="F986" s="10">
        <v>5</v>
      </c>
      <c r="G986" s="90">
        <f>VLOOKUP(D986,$C$20:$F$26,3,0)</f>
        <v>1.05</v>
      </c>
      <c r="H986" s="90"/>
      <c r="I986" s="10"/>
      <c r="J986" s="10"/>
      <c r="K986" s="10"/>
      <c r="L986" s="10"/>
      <c r="M986" s="10"/>
      <c r="N986" s="10"/>
      <c r="O986" s="10">
        <f>(E984+1*(G986+(12*D986/1000))+G986*D984)</f>
        <v>8.1330000000000009</v>
      </c>
      <c r="P986" s="10">
        <f t="shared" si="384"/>
        <v>40.665000000000006</v>
      </c>
      <c r="Q986" s="10">
        <f t="shared" si="380"/>
        <v>0</v>
      </c>
      <c r="R986" s="10">
        <f t="shared" si="380"/>
        <v>0</v>
      </c>
      <c r="S986" s="10">
        <f t="shared" si="380"/>
        <v>0</v>
      </c>
      <c r="T986" s="10">
        <f t="shared" si="380"/>
        <v>0</v>
      </c>
      <c r="U986" s="10">
        <f t="shared" si="380"/>
        <v>100.32636428571431</v>
      </c>
      <c r="V986" s="10">
        <f t="shared" si="380"/>
        <v>0</v>
      </c>
      <c r="W986" s="10">
        <f t="shared" si="380"/>
        <v>0</v>
      </c>
      <c r="X986" s="10">
        <f t="shared" si="385"/>
        <v>100.32636428571431</v>
      </c>
      <c r="Y986" s="10"/>
      <c r="Z986" s="10"/>
      <c r="AA986" s="10"/>
      <c r="AB986" s="10"/>
      <c r="AC986" s="10"/>
      <c r="AD986" s="10"/>
      <c r="AE986" s="10"/>
    </row>
    <row r="987" spans="1:32" s="3" customFormat="1" ht="20.100000000000001" customHeight="1" x14ac:dyDescent="0.2">
      <c r="A987" s="87"/>
      <c r="B987" s="10" t="s">
        <v>67</v>
      </c>
      <c r="C987" s="93" t="s">
        <v>73</v>
      </c>
      <c r="D987" s="10">
        <v>10</v>
      </c>
      <c r="E987" s="10">
        <v>0.1</v>
      </c>
      <c r="F987" s="10">
        <f>ROUND(IF(E984/3&gt;(2*G984),(E984/3)/E987,(2*G984)/E987),0)*2+1</f>
        <v>39</v>
      </c>
      <c r="H987" s="10"/>
      <c r="I987" s="10"/>
      <c r="J987" s="10"/>
      <c r="K987" s="10"/>
      <c r="L987" s="10"/>
      <c r="M987" s="10"/>
      <c r="N987" s="10"/>
      <c r="O987" s="10">
        <f>(2*((G984-(2*$D$11))+(F984-(2*$D$11)))+(2*10*D987/1000))*D984</f>
        <v>2.31</v>
      </c>
      <c r="P987" s="10">
        <f t="shared" si="384"/>
        <v>90.09</v>
      </c>
      <c r="Q987" s="10">
        <f t="shared" si="380"/>
        <v>0</v>
      </c>
      <c r="R987" s="10">
        <f t="shared" si="380"/>
        <v>55.566225000000003</v>
      </c>
      <c r="S987" s="10">
        <f t="shared" si="380"/>
        <v>0</v>
      </c>
      <c r="T987" s="10">
        <f t="shared" si="380"/>
        <v>0</v>
      </c>
      <c r="U987" s="10">
        <f t="shared" si="380"/>
        <v>0</v>
      </c>
      <c r="V987" s="10">
        <f t="shared" si="380"/>
        <v>0</v>
      </c>
      <c r="W987" s="10">
        <f t="shared" si="380"/>
        <v>0</v>
      </c>
      <c r="X987" s="10">
        <f t="shared" si="385"/>
        <v>55.566225000000003</v>
      </c>
      <c r="Y987" s="10"/>
      <c r="Z987" s="10"/>
      <c r="AA987" s="10"/>
      <c r="AB987" s="10"/>
      <c r="AC987" s="10"/>
      <c r="AD987" s="10"/>
      <c r="AE987" s="10"/>
    </row>
    <row r="988" spans="1:32" s="2" customFormat="1" ht="20.100000000000001" customHeight="1" x14ac:dyDescent="0.2">
      <c r="B988" s="10" t="s">
        <v>67</v>
      </c>
      <c r="C988" s="93" t="s">
        <v>73</v>
      </c>
      <c r="D988" s="2">
        <f>D987</f>
        <v>10</v>
      </c>
      <c r="E988" s="2">
        <v>0.17499999999999999</v>
      </c>
      <c r="F988" s="2">
        <f>ROUND((E984-(IF(E984/3&gt;2*G984,E984/3*2,G984*2*2)))/E988,0)</f>
        <v>11</v>
      </c>
      <c r="G988" s="3"/>
      <c r="O988" s="10">
        <f>(2*((G984-(2*$D$11))+(F984-(2*$D$11)))+(2*10*D988/1000))*D984</f>
        <v>2.31</v>
      </c>
      <c r="P988" s="10">
        <f t="shared" si="384"/>
        <v>25.41</v>
      </c>
      <c r="Q988" s="10">
        <f t="shared" si="380"/>
        <v>0</v>
      </c>
      <c r="R988" s="10">
        <f t="shared" si="380"/>
        <v>15.672525</v>
      </c>
      <c r="S988" s="10">
        <f t="shared" si="380"/>
        <v>0</v>
      </c>
      <c r="T988" s="10">
        <f t="shared" si="380"/>
        <v>0</v>
      </c>
      <c r="U988" s="10">
        <f t="shared" si="380"/>
        <v>0</v>
      </c>
      <c r="V988" s="10">
        <f t="shared" si="380"/>
        <v>0</v>
      </c>
      <c r="W988" s="10">
        <f t="shared" si="380"/>
        <v>0</v>
      </c>
      <c r="X988" s="10">
        <f t="shared" si="385"/>
        <v>15.672525</v>
      </c>
    </row>
    <row r="989" spans="1:32" s="2" customFormat="1" ht="20.100000000000001" customHeight="1" x14ac:dyDescent="0.2">
      <c r="B989" s="10" t="s">
        <v>67</v>
      </c>
      <c r="C989" s="93" t="s">
        <v>74</v>
      </c>
      <c r="D989" s="2">
        <f>D987</f>
        <v>10</v>
      </c>
      <c r="E989" s="2">
        <f>+E987</f>
        <v>0.1</v>
      </c>
      <c r="F989" s="10">
        <f>ROUND(IF(E984/3&gt;(2*G984),(E984/3)/E989,(2*G984)/E989),0)*2+1</f>
        <v>39</v>
      </c>
      <c r="G989" s="3"/>
      <c r="O989" s="10">
        <f>((((G984-(2*$D$11))+(2*10*D989/1000))*D984))*2</f>
        <v>1.48</v>
      </c>
      <c r="P989" s="10">
        <f t="shared" si="384"/>
        <v>57.72</v>
      </c>
      <c r="Q989" s="10">
        <f t="shared" si="380"/>
        <v>0</v>
      </c>
      <c r="R989" s="10">
        <f t="shared" si="380"/>
        <v>35.60087142857143</v>
      </c>
      <c r="S989" s="10">
        <f t="shared" si="380"/>
        <v>0</v>
      </c>
      <c r="T989" s="10">
        <f t="shared" si="380"/>
        <v>0</v>
      </c>
      <c r="U989" s="10">
        <f t="shared" si="380"/>
        <v>0</v>
      </c>
      <c r="V989" s="10">
        <f t="shared" si="380"/>
        <v>0</v>
      </c>
      <c r="W989" s="10">
        <f t="shared" si="380"/>
        <v>0</v>
      </c>
      <c r="X989" s="10">
        <f t="shared" si="385"/>
        <v>35.60087142857143</v>
      </c>
    </row>
    <row r="990" spans="1:32" s="2" customFormat="1" ht="20.100000000000001" customHeight="1" x14ac:dyDescent="0.2">
      <c r="B990" s="10" t="s">
        <v>67</v>
      </c>
      <c r="C990" s="93" t="s">
        <v>74</v>
      </c>
      <c r="D990" s="2">
        <f>D988</f>
        <v>10</v>
      </c>
      <c r="E990" s="2">
        <f>+E988</f>
        <v>0.17499999999999999</v>
      </c>
      <c r="F990" s="2">
        <f>ROUND((E984-(IF(E984/3&gt;2*G984,E984/3*2,G984*2*2)))/E990,0)</f>
        <v>11</v>
      </c>
      <c r="G990" s="3"/>
      <c r="O990" s="10">
        <f>((((G984-(2*$D$11))+(2*10*D990/1000))*D984))*2</f>
        <v>1.48</v>
      </c>
      <c r="P990" s="10">
        <f t="shared" si="384"/>
        <v>16.28</v>
      </c>
      <c r="Q990" s="10">
        <f t="shared" si="380"/>
        <v>0</v>
      </c>
      <c r="R990" s="10">
        <f t="shared" si="380"/>
        <v>10.041271428571429</v>
      </c>
      <c r="S990" s="10">
        <f t="shared" si="380"/>
        <v>0</v>
      </c>
      <c r="T990" s="10">
        <f t="shared" si="380"/>
        <v>0</v>
      </c>
      <c r="U990" s="10">
        <f t="shared" si="380"/>
        <v>0</v>
      </c>
      <c r="V990" s="10">
        <f t="shared" si="380"/>
        <v>0</v>
      </c>
      <c r="W990" s="10">
        <f t="shared" si="380"/>
        <v>0</v>
      </c>
      <c r="X990" s="10">
        <f t="shared" si="385"/>
        <v>10.041271428571429</v>
      </c>
    </row>
    <row r="991" spans="1:32" s="3" customFormat="1" ht="21" customHeight="1" x14ac:dyDescent="0.2">
      <c r="A991" s="10">
        <v>1</v>
      </c>
      <c r="B991" s="10" t="s">
        <v>67</v>
      </c>
      <c r="C991" s="91" t="s">
        <v>207</v>
      </c>
      <c r="D991" s="91">
        <v>1</v>
      </c>
      <c r="E991" s="91">
        <v>6.15</v>
      </c>
      <c r="F991" s="91">
        <v>0.3</v>
      </c>
      <c r="G991" s="91">
        <v>0.9</v>
      </c>
      <c r="H991" s="10">
        <f>G991-0.2</f>
        <v>0.7</v>
      </c>
      <c r="I991" s="10">
        <f>E991*F991*G991*D991</f>
        <v>1.6605000000000001</v>
      </c>
      <c r="J991" s="10">
        <f>(2*(E991)*H991*D991)+(E991*F991)</f>
        <v>10.455</v>
      </c>
      <c r="K991" s="92">
        <f>IF(E991=0.3,J991,0)</f>
        <v>0</v>
      </c>
      <c r="L991" s="92">
        <f>IF(AND(E991&gt;0.3,E991&lt;=0.75),J991,0)</f>
        <v>0</v>
      </c>
      <c r="M991" s="92">
        <f>IF(AND(E991&gt;0.75,E991&lt;=1.2),J991,0)</f>
        <v>0</v>
      </c>
      <c r="N991" s="92">
        <f>IF(E991&gt;1.2,J991,0)</f>
        <v>10.455</v>
      </c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>
        <f>SUM(X992:X998)/I991</f>
        <v>233.23674710715366</v>
      </c>
      <c r="Z991" s="10"/>
      <c r="AA991" s="10"/>
      <c r="AB991" s="10"/>
      <c r="AC991" s="10"/>
      <c r="AD991" s="10"/>
      <c r="AE991" s="10"/>
      <c r="AF991" s="10"/>
    </row>
    <row r="992" spans="1:32" s="3" customFormat="1" ht="20.100000000000001" customHeight="1" x14ac:dyDescent="0.2">
      <c r="A992" s="87"/>
      <c r="B992" s="10" t="s">
        <v>67</v>
      </c>
      <c r="C992" s="93" t="s">
        <v>69</v>
      </c>
      <c r="D992" s="10">
        <v>25</v>
      </c>
      <c r="E992" s="10"/>
      <c r="F992" s="10">
        <v>3</v>
      </c>
      <c r="G992" s="90">
        <f>VLOOKUP(D992,$C$20:$F$26,3,0)</f>
        <v>1.35</v>
      </c>
      <c r="H992" s="90"/>
      <c r="I992" s="10"/>
      <c r="J992" s="10"/>
      <c r="K992" s="10"/>
      <c r="L992" s="10"/>
      <c r="M992" s="10"/>
      <c r="N992" s="10"/>
      <c r="O992" s="10">
        <f>(E991+1*(G992)+1*(1.5/2)*D991)</f>
        <v>8.25</v>
      </c>
      <c r="P992" s="10">
        <f t="shared" ref="P992:P998" si="386">O992*F992</f>
        <v>24.75</v>
      </c>
      <c r="Q992" s="10">
        <f t="shared" si="380"/>
        <v>0</v>
      </c>
      <c r="R992" s="10">
        <f t="shared" si="380"/>
        <v>0</v>
      </c>
      <c r="S992" s="10">
        <f t="shared" si="380"/>
        <v>0</v>
      </c>
      <c r="T992" s="10">
        <f t="shared" si="380"/>
        <v>0</v>
      </c>
      <c r="U992" s="10">
        <f t="shared" si="380"/>
        <v>0</v>
      </c>
      <c r="V992" s="10">
        <f t="shared" si="380"/>
        <v>95.409040178571445</v>
      </c>
      <c r="W992" s="10">
        <f t="shared" si="380"/>
        <v>0</v>
      </c>
      <c r="X992" s="10">
        <f t="shared" ref="X992:X998" si="387">SUM(Q992:W992)</f>
        <v>95.409040178571445</v>
      </c>
      <c r="Y992" s="10"/>
      <c r="Z992" s="10"/>
      <c r="AA992" s="10"/>
      <c r="AB992" s="10"/>
      <c r="AC992" s="10"/>
      <c r="AD992" s="10"/>
      <c r="AE992" s="10"/>
    </row>
    <row r="993" spans="1:32" s="3" customFormat="1" ht="20.100000000000001" customHeight="1" x14ac:dyDescent="0.2">
      <c r="A993" s="87"/>
      <c r="B993" s="10" t="s">
        <v>67</v>
      </c>
      <c r="C993" s="93" t="s">
        <v>158</v>
      </c>
      <c r="D993" s="10">
        <v>25</v>
      </c>
      <c r="E993" s="10"/>
      <c r="F993" s="10">
        <v>5</v>
      </c>
      <c r="G993" s="90">
        <f>VLOOKUP(D993,$C$20:$F$26,3,0)</f>
        <v>1.35</v>
      </c>
      <c r="H993" s="90"/>
      <c r="I993" s="10"/>
      <c r="J993" s="10"/>
      <c r="K993" s="10"/>
      <c r="L993" s="10"/>
      <c r="M993" s="10"/>
      <c r="N993" s="10"/>
      <c r="O993" s="10">
        <f>(E991+1*(G993)+1*(1.5/2)*D991)</f>
        <v>8.25</v>
      </c>
      <c r="P993" s="10">
        <f t="shared" si="386"/>
        <v>41.25</v>
      </c>
      <c r="Q993" s="10">
        <f t="shared" ref="Q993:W998" si="388">IF($D993=Q$44,$P993*Q$45,0)</f>
        <v>0</v>
      </c>
      <c r="R993" s="10">
        <f t="shared" si="388"/>
        <v>0</v>
      </c>
      <c r="S993" s="10">
        <f t="shared" si="388"/>
        <v>0</v>
      </c>
      <c r="T993" s="10">
        <f t="shared" si="388"/>
        <v>0</v>
      </c>
      <c r="U993" s="10">
        <f t="shared" si="388"/>
        <v>0</v>
      </c>
      <c r="V993" s="10">
        <f t="shared" si="388"/>
        <v>159.01506696428575</v>
      </c>
      <c r="W993" s="10">
        <f t="shared" si="388"/>
        <v>0</v>
      </c>
      <c r="X993" s="10">
        <f t="shared" si="387"/>
        <v>159.01506696428575</v>
      </c>
      <c r="Y993" s="10"/>
      <c r="Z993" s="10"/>
      <c r="AA993" s="10"/>
      <c r="AB993" s="10"/>
      <c r="AC993" s="10"/>
      <c r="AD993" s="10"/>
      <c r="AE993" s="10"/>
    </row>
    <row r="994" spans="1:32" s="3" customFormat="1" ht="20.100000000000001" customHeight="1" x14ac:dyDescent="0.2">
      <c r="A994" s="87"/>
      <c r="B994" s="10" t="s">
        <v>67</v>
      </c>
      <c r="C994" s="93" t="s">
        <v>116</v>
      </c>
      <c r="D994" s="10">
        <v>16</v>
      </c>
      <c r="E994" s="10"/>
      <c r="F994" s="10">
        <v>2</v>
      </c>
      <c r="G994" s="90">
        <f>VLOOKUP(D994,$C$20:$F$26,3,0)</f>
        <v>0.85</v>
      </c>
      <c r="H994" s="90"/>
      <c r="I994" s="10"/>
      <c r="J994" s="10"/>
      <c r="K994" s="10"/>
      <c r="L994" s="10"/>
      <c r="M994" s="10"/>
      <c r="N994" s="10"/>
      <c r="O994" s="10">
        <f>+E991-0.3-0.3</f>
        <v>5.5500000000000007</v>
      </c>
      <c r="P994" s="10">
        <f t="shared" si="386"/>
        <v>11.100000000000001</v>
      </c>
      <c r="Q994" s="10">
        <f t="shared" si="388"/>
        <v>0</v>
      </c>
      <c r="R994" s="10">
        <f t="shared" si="388"/>
        <v>0</v>
      </c>
      <c r="S994" s="10">
        <f t="shared" si="388"/>
        <v>0</v>
      </c>
      <c r="T994" s="10">
        <f t="shared" si="388"/>
        <v>17.526582857142859</v>
      </c>
      <c r="U994" s="10">
        <f t="shared" si="388"/>
        <v>0</v>
      </c>
      <c r="V994" s="10">
        <f t="shared" si="388"/>
        <v>0</v>
      </c>
      <c r="W994" s="10">
        <f t="shared" si="388"/>
        <v>0</v>
      </c>
      <c r="X994" s="10">
        <f t="shared" si="387"/>
        <v>17.526582857142859</v>
      </c>
      <c r="Y994" s="10"/>
      <c r="Z994" s="10"/>
      <c r="AA994" s="10"/>
      <c r="AB994" s="10"/>
      <c r="AC994" s="10"/>
      <c r="AD994" s="10"/>
      <c r="AE994" s="10"/>
    </row>
    <row r="995" spans="1:32" s="3" customFormat="1" ht="20.100000000000001" customHeight="1" x14ac:dyDescent="0.2">
      <c r="A995" s="87"/>
      <c r="B995" s="10" t="s">
        <v>67</v>
      </c>
      <c r="C995" s="93" t="s">
        <v>73</v>
      </c>
      <c r="D995" s="10">
        <v>10</v>
      </c>
      <c r="E995" s="10">
        <v>0.1</v>
      </c>
      <c r="F995" s="10">
        <f>ROUND(IF(E991/3&gt;(2*G991),(E991/3)/E995,(2*G991)/E995),0)*2+1</f>
        <v>43</v>
      </c>
      <c r="H995" s="10"/>
      <c r="I995" s="10"/>
      <c r="J995" s="10"/>
      <c r="K995" s="10"/>
      <c r="L995" s="10"/>
      <c r="M995" s="10"/>
      <c r="N995" s="10"/>
      <c r="O995" s="10">
        <f>(2*((G991-(2*$D$11))+(F991-(2*$D$11)))+(2*10*D995/1000))*D991</f>
        <v>2.3600000000000003</v>
      </c>
      <c r="P995" s="10">
        <f t="shared" si="386"/>
        <v>101.48000000000002</v>
      </c>
      <c r="Q995" s="10">
        <f t="shared" si="388"/>
        <v>0</v>
      </c>
      <c r="R995" s="10">
        <f t="shared" si="388"/>
        <v>62.591414285714293</v>
      </c>
      <c r="S995" s="10">
        <f t="shared" si="388"/>
        <v>0</v>
      </c>
      <c r="T995" s="10">
        <f t="shared" si="388"/>
        <v>0</v>
      </c>
      <c r="U995" s="10">
        <f t="shared" si="388"/>
        <v>0</v>
      </c>
      <c r="V995" s="10">
        <f t="shared" si="388"/>
        <v>0</v>
      </c>
      <c r="W995" s="10">
        <f t="shared" si="388"/>
        <v>0</v>
      </c>
      <c r="X995" s="10">
        <f t="shared" si="387"/>
        <v>62.591414285714293</v>
      </c>
      <c r="Y995" s="10"/>
      <c r="Z995" s="10"/>
      <c r="AA995" s="10"/>
      <c r="AB995" s="10"/>
      <c r="AC995" s="10"/>
      <c r="AD995" s="10"/>
      <c r="AE995" s="10"/>
    </row>
    <row r="996" spans="1:32" s="2" customFormat="1" ht="20.100000000000001" customHeight="1" x14ac:dyDescent="0.2">
      <c r="B996" s="10" t="s">
        <v>67</v>
      </c>
      <c r="C996" s="93" t="s">
        <v>73</v>
      </c>
      <c r="D996" s="2">
        <f>D995</f>
        <v>10</v>
      </c>
      <c r="E996" s="2">
        <v>0.17499999999999999</v>
      </c>
      <c r="F996" s="2">
        <f>ROUND((E991-(IF(E991/3&gt;2*G991,E991/3*2,G991*2*2)))/E996,0)</f>
        <v>12</v>
      </c>
      <c r="G996" s="3"/>
      <c r="O996" s="10">
        <f>(2*((G991-(2*$D$11))+(F991-(2*$D$11)))+(2*10*D996/1000))*D991</f>
        <v>2.3600000000000003</v>
      </c>
      <c r="P996" s="10">
        <f t="shared" si="386"/>
        <v>28.320000000000004</v>
      </c>
      <c r="Q996" s="10">
        <f t="shared" si="388"/>
        <v>0</v>
      </c>
      <c r="R996" s="10">
        <f t="shared" si="388"/>
        <v>17.467371428571429</v>
      </c>
      <c r="S996" s="10">
        <f t="shared" si="388"/>
        <v>0</v>
      </c>
      <c r="T996" s="10">
        <f t="shared" si="388"/>
        <v>0</v>
      </c>
      <c r="U996" s="10">
        <f t="shared" si="388"/>
        <v>0</v>
      </c>
      <c r="V996" s="10">
        <f t="shared" si="388"/>
        <v>0</v>
      </c>
      <c r="W996" s="10">
        <f t="shared" si="388"/>
        <v>0</v>
      </c>
      <c r="X996" s="10">
        <f t="shared" si="387"/>
        <v>17.467371428571429</v>
      </c>
    </row>
    <row r="997" spans="1:32" s="2" customFormat="1" ht="20.100000000000001" customHeight="1" x14ac:dyDescent="0.2">
      <c r="B997" s="10" t="s">
        <v>67</v>
      </c>
      <c r="C997" s="93" t="s">
        <v>74</v>
      </c>
      <c r="D997" s="2">
        <f>D995</f>
        <v>10</v>
      </c>
      <c r="E997" s="2">
        <f>+E995</f>
        <v>0.1</v>
      </c>
      <c r="F997" s="10">
        <f>ROUND(IF(E991/3&gt;(2*G991),(E991/3)/E997,(2*G991)/E997),0)*2+1</f>
        <v>43</v>
      </c>
      <c r="G997" s="3"/>
      <c r="O997" s="10">
        <f>((((G991-(2*$D$11))+(2*10*D997/1000))*D991))*1</f>
        <v>1.04</v>
      </c>
      <c r="P997" s="10">
        <f t="shared" si="386"/>
        <v>44.72</v>
      </c>
      <c r="Q997" s="10">
        <f t="shared" si="388"/>
        <v>0</v>
      </c>
      <c r="R997" s="10">
        <f t="shared" si="388"/>
        <v>27.582657142857141</v>
      </c>
      <c r="S997" s="10">
        <f t="shared" si="388"/>
        <v>0</v>
      </c>
      <c r="T997" s="10">
        <f t="shared" si="388"/>
        <v>0</v>
      </c>
      <c r="U997" s="10">
        <f t="shared" si="388"/>
        <v>0</v>
      </c>
      <c r="V997" s="10">
        <f t="shared" si="388"/>
        <v>0</v>
      </c>
      <c r="W997" s="10">
        <f t="shared" si="388"/>
        <v>0</v>
      </c>
      <c r="X997" s="10">
        <f t="shared" si="387"/>
        <v>27.582657142857141</v>
      </c>
    </row>
    <row r="998" spans="1:32" s="2" customFormat="1" ht="20.100000000000001" customHeight="1" x14ac:dyDescent="0.2">
      <c r="B998" s="10" t="s">
        <v>67</v>
      </c>
      <c r="C998" s="93" t="s">
        <v>74</v>
      </c>
      <c r="D998" s="2">
        <f>D996</f>
        <v>10</v>
      </c>
      <c r="E998" s="2">
        <f>+E996</f>
        <v>0.17499999999999999</v>
      </c>
      <c r="F998" s="2">
        <f>ROUND((E991-(IF(E991/3&gt;2*G991,E991/3*2,G991*2*2)))/E998,0)</f>
        <v>12</v>
      </c>
      <c r="G998" s="3"/>
      <c r="O998" s="10">
        <f>((((G991-(2*$D$11))+(2*10*D998/1000))*D991))*1</f>
        <v>1.04</v>
      </c>
      <c r="P998" s="10">
        <f t="shared" si="386"/>
        <v>12.48</v>
      </c>
      <c r="Q998" s="10">
        <f t="shared" si="388"/>
        <v>0</v>
      </c>
      <c r="R998" s="10">
        <f t="shared" si="388"/>
        <v>7.6974857142857145</v>
      </c>
      <c r="S998" s="10">
        <f t="shared" si="388"/>
        <v>0</v>
      </c>
      <c r="T998" s="10">
        <f t="shared" si="388"/>
        <v>0</v>
      </c>
      <c r="U998" s="10">
        <f t="shared" si="388"/>
        <v>0</v>
      </c>
      <c r="V998" s="10">
        <f t="shared" si="388"/>
        <v>0</v>
      </c>
      <c r="W998" s="10">
        <f t="shared" si="388"/>
        <v>0</v>
      </c>
      <c r="X998" s="10">
        <f t="shared" si="387"/>
        <v>7.6974857142857145</v>
      </c>
    </row>
    <row r="999" spans="1:32" s="3" customFormat="1" ht="21" customHeight="1" x14ac:dyDescent="0.2">
      <c r="A999" s="10">
        <v>1</v>
      </c>
      <c r="B999" s="10" t="s">
        <v>67</v>
      </c>
      <c r="C999" s="91" t="s">
        <v>208</v>
      </c>
      <c r="D999" s="91">
        <v>1</v>
      </c>
      <c r="E999" s="91">
        <v>3</v>
      </c>
      <c r="F999" s="91">
        <v>0.3</v>
      </c>
      <c r="G999" s="91">
        <v>0.9</v>
      </c>
      <c r="H999" s="10">
        <f>G999-0.2</f>
        <v>0.7</v>
      </c>
      <c r="I999" s="10">
        <f>E999*F999*G999*D999</f>
        <v>0.80999999999999994</v>
      </c>
      <c r="J999" s="10">
        <f>(2*(E999)*H999*D999)+(E999*F999)</f>
        <v>5.0999999999999996</v>
      </c>
      <c r="K999" s="92">
        <f>IF(E999=0.3,J999,0)</f>
        <v>0</v>
      </c>
      <c r="L999" s="92">
        <f>IF(AND(E999&gt;0.3,E999&lt;=0.75),J999,0)</f>
        <v>0</v>
      </c>
      <c r="M999" s="92">
        <f>IF(AND(E999&gt;0.75,E999&lt;=1.2),J999,0)</f>
        <v>0</v>
      </c>
      <c r="N999" s="92">
        <f>IF(E999&gt;1.2,J999,0)</f>
        <v>5.0999999999999996</v>
      </c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>
        <f>SUM(X1000:X1002)/I999</f>
        <v>208.10806878306889</v>
      </c>
      <c r="Z999" s="10"/>
      <c r="AA999" s="10"/>
      <c r="AB999" s="10"/>
      <c r="AC999" s="10"/>
      <c r="AD999" s="10"/>
      <c r="AE999" s="10"/>
      <c r="AF999" s="10"/>
    </row>
    <row r="1000" spans="1:32" s="3" customFormat="1" ht="20.100000000000001" customHeight="1" x14ac:dyDescent="0.2">
      <c r="A1000" s="87"/>
      <c r="B1000" s="10" t="s">
        <v>67</v>
      </c>
      <c r="C1000" s="93" t="s">
        <v>69</v>
      </c>
      <c r="D1000" s="10">
        <v>25</v>
      </c>
      <c r="E1000" s="10"/>
      <c r="F1000" s="10">
        <v>3</v>
      </c>
      <c r="G1000" s="90">
        <f>VLOOKUP(D1000,$C$20:$F$26,3,0)</f>
        <v>1.35</v>
      </c>
      <c r="H1000" s="90"/>
      <c r="I1000" s="10"/>
      <c r="J1000" s="10"/>
      <c r="K1000" s="10"/>
      <c r="L1000" s="10"/>
      <c r="M1000" s="10"/>
      <c r="N1000" s="10"/>
      <c r="O1000" s="10">
        <f>(E999+1*(G1000+(12*D1000/1000))+1*(1.5/2)*D999)</f>
        <v>5.4</v>
      </c>
      <c r="P1000" s="10">
        <f t="shared" ref="P1000:P1001" si="389">O1000*F1000</f>
        <v>16.200000000000003</v>
      </c>
      <c r="Q1000" s="10">
        <f t="shared" ref="Q1000:W1002" si="390">IF($D1000=Q$44,$P1000*Q$45,0)</f>
        <v>0</v>
      </c>
      <c r="R1000" s="10">
        <f t="shared" si="390"/>
        <v>0</v>
      </c>
      <c r="S1000" s="10">
        <f t="shared" si="390"/>
        <v>0</v>
      </c>
      <c r="T1000" s="10">
        <f t="shared" si="390"/>
        <v>0</v>
      </c>
      <c r="U1000" s="10">
        <f t="shared" si="390"/>
        <v>0</v>
      </c>
      <c r="V1000" s="10">
        <f t="shared" si="390"/>
        <v>62.449553571428595</v>
      </c>
      <c r="W1000" s="10">
        <f t="shared" si="390"/>
        <v>0</v>
      </c>
      <c r="X1000" s="10">
        <f t="shared" ref="X1000:X1002" si="391">SUM(Q1000:W1000)</f>
        <v>62.449553571428595</v>
      </c>
      <c r="Y1000" s="10"/>
      <c r="Z1000" s="10"/>
      <c r="AA1000" s="10"/>
      <c r="AB1000" s="10"/>
      <c r="AC1000" s="10"/>
      <c r="AD1000" s="10"/>
      <c r="AE1000" s="10"/>
    </row>
    <row r="1001" spans="1:32" s="3" customFormat="1" ht="20.100000000000001" customHeight="1" x14ac:dyDescent="0.2">
      <c r="A1001" s="87"/>
      <c r="B1001" s="10" t="s">
        <v>67</v>
      </c>
      <c r="C1001" s="93" t="s">
        <v>158</v>
      </c>
      <c r="D1001" s="10">
        <v>25</v>
      </c>
      <c r="E1001" s="10"/>
      <c r="F1001" s="10">
        <v>3</v>
      </c>
      <c r="G1001" s="90">
        <f>VLOOKUP(D1001,$C$20:$F$26,3,0)</f>
        <v>1.35</v>
      </c>
      <c r="H1001" s="90"/>
      <c r="I1001" s="10"/>
      <c r="J1001" s="10"/>
      <c r="K1001" s="10"/>
      <c r="L1001" s="10"/>
      <c r="M1001" s="10"/>
      <c r="N1001" s="10"/>
      <c r="O1001" s="10">
        <f>(E999+1*(G1001+(12*D1001/1000))+1*(1.5/2)*D999)</f>
        <v>5.4</v>
      </c>
      <c r="P1001" s="10">
        <f t="shared" si="389"/>
        <v>16.200000000000003</v>
      </c>
      <c r="Q1001" s="10">
        <f t="shared" si="390"/>
        <v>0</v>
      </c>
      <c r="R1001" s="10">
        <f t="shared" si="390"/>
        <v>0</v>
      </c>
      <c r="S1001" s="10">
        <f t="shared" si="390"/>
        <v>0</v>
      </c>
      <c r="T1001" s="10">
        <f t="shared" si="390"/>
        <v>0</v>
      </c>
      <c r="U1001" s="10">
        <f t="shared" si="390"/>
        <v>0</v>
      </c>
      <c r="V1001" s="10">
        <f t="shared" si="390"/>
        <v>62.449553571428595</v>
      </c>
      <c r="W1001" s="10">
        <f t="shared" si="390"/>
        <v>0</v>
      </c>
      <c r="X1001" s="10">
        <f t="shared" si="391"/>
        <v>62.449553571428595</v>
      </c>
      <c r="Y1001" s="10"/>
      <c r="Z1001" s="10"/>
      <c r="AA1001" s="10"/>
      <c r="AB1001" s="10"/>
      <c r="AC1001" s="10"/>
      <c r="AD1001" s="10"/>
      <c r="AE1001" s="10"/>
    </row>
    <row r="1002" spans="1:32" s="3" customFormat="1" ht="19.5" customHeight="1" x14ac:dyDescent="0.2">
      <c r="A1002" s="87"/>
      <c r="B1002" s="10" t="s">
        <v>67</v>
      </c>
      <c r="C1002" s="93" t="s">
        <v>73</v>
      </c>
      <c r="D1002" s="10">
        <v>10</v>
      </c>
      <c r="E1002" s="10">
        <v>0.1</v>
      </c>
      <c r="F1002" s="10">
        <f>ROUNDUP(E999/E1002,0)</f>
        <v>30</v>
      </c>
      <c r="H1002" s="10"/>
      <c r="I1002" s="10"/>
      <c r="J1002" s="10"/>
      <c r="K1002" s="10"/>
      <c r="L1002" s="10"/>
      <c r="M1002" s="10"/>
      <c r="N1002" s="10"/>
      <c r="O1002" s="10">
        <f>(2*((G999-(2*$D$11))+(F999-(2*$D$11)))+(2*10*D1002/1000))*D999</f>
        <v>2.3600000000000003</v>
      </c>
      <c r="P1002" s="10">
        <f>O1002*F1002</f>
        <v>70.800000000000011</v>
      </c>
      <c r="Q1002" s="10">
        <f t="shared" si="390"/>
        <v>0</v>
      </c>
      <c r="R1002" s="10">
        <f t="shared" si="390"/>
        <v>43.668428571428578</v>
      </c>
      <c r="S1002" s="10">
        <f t="shared" si="390"/>
        <v>0</v>
      </c>
      <c r="T1002" s="10">
        <f t="shared" si="390"/>
        <v>0</v>
      </c>
      <c r="U1002" s="10">
        <f t="shared" si="390"/>
        <v>0</v>
      </c>
      <c r="V1002" s="10">
        <f t="shared" si="390"/>
        <v>0</v>
      </c>
      <c r="W1002" s="10">
        <f t="shared" si="390"/>
        <v>0</v>
      </c>
      <c r="X1002" s="10">
        <f t="shared" si="391"/>
        <v>43.668428571428578</v>
      </c>
      <c r="Y1002" s="10"/>
      <c r="Z1002" s="10"/>
      <c r="AA1002" s="10"/>
      <c r="AB1002" s="10"/>
      <c r="AC1002" s="10"/>
      <c r="AD1002" s="10"/>
      <c r="AE1002" s="10"/>
    </row>
    <row r="1003" spans="1:32" s="3" customFormat="1" ht="21" customHeight="1" x14ac:dyDescent="0.2">
      <c r="A1003" s="10">
        <v>1</v>
      </c>
      <c r="B1003" s="10" t="s">
        <v>67</v>
      </c>
      <c r="C1003" s="91" t="s">
        <v>209</v>
      </c>
      <c r="D1003" s="91">
        <v>1</v>
      </c>
      <c r="E1003" s="91">
        <v>7.37</v>
      </c>
      <c r="F1003" s="91">
        <v>0.4</v>
      </c>
      <c r="G1003" s="91">
        <v>0.5</v>
      </c>
      <c r="H1003" s="10">
        <f>G1003-0.2</f>
        <v>0.3</v>
      </c>
      <c r="I1003" s="10">
        <f>E1003*F1003*G1003*D1003</f>
        <v>1.4740000000000002</v>
      </c>
      <c r="J1003" s="10">
        <f>(2*(E1003)*H1003*D1003)+(E1003*F1003)</f>
        <v>7.37</v>
      </c>
      <c r="K1003" s="92">
        <f>IF(E1003=0.3,J1003,0)</f>
        <v>0</v>
      </c>
      <c r="L1003" s="92">
        <f>IF(AND(E1003&gt;0.3,E1003&lt;=0.75),J1003,0)</f>
        <v>0</v>
      </c>
      <c r="M1003" s="92">
        <f>IF(AND(E1003&gt;0.75,E1003&lt;=1.2),J1003,0)</f>
        <v>0</v>
      </c>
      <c r="N1003" s="92">
        <f>IF(E1003&gt;1.2,J1003,0)</f>
        <v>7.37</v>
      </c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>
        <f>SUM(X1004:X1012)/I1003</f>
        <v>236.10289339019189</v>
      </c>
      <c r="Z1003" s="10"/>
      <c r="AA1003" s="10"/>
      <c r="AB1003" s="10"/>
      <c r="AC1003" s="10"/>
      <c r="AD1003" s="10"/>
      <c r="AE1003" s="10"/>
      <c r="AF1003" s="10"/>
    </row>
    <row r="1004" spans="1:32" s="3" customFormat="1" ht="20.100000000000001" customHeight="1" x14ac:dyDescent="0.2">
      <c r="A1004" s="87"/>
      <c r="B1004" s="10" t="s">
        <v>67</v>
      </c>
      <c r="C1004" s="93" t="s">
        <v>69</v>
      </c>
      <c r="D1004" s="10">
        <v>16</v>
      </c>
      <c r="E1004" s="10"/>
      <c r="F1004" s="10">
        <v>4</v>
      </c>
      <c r="G1004" s="90">
        <f>VLOOKUP(D1004,$C$20:$F$26,3,0)</f>
        <v>0.85</v>
      </c>
      <c r="H1004" s="90"/>
      <c r="I1004" s="10"/>
      <c r="J1004" s="10"/>
      <c r="K1004" s="10"/>
      <c r="L1004" s="10"/>
      <c r="M1004" s="10"/>
      <c r="N1004" s="10"/>
      <c r="O1004" s="10">
        <f>(E1003+1*(G1004)+1*(0.4/2)*D1003)</f>
        <v>8.42</v>
      </c>
      <c r="P1004" s="10">
        <f t="shared" ref="P1004:P1012" si="392">O1004*F1004</f>
        <v>33.68</v>
      </c>
      <c r="Q1004" s="10">
        <f t="shared" ref="Q1004:W1019" si="393">IF($D1004=Q$44,$P1004*Q$45,0)</f>
        <v>0</v>
      </c>
      <c r="R1004" s="10">
        <f t="shared" si="393"/>
        <v>0</v>
      </c>
      <c r="S1004" s="10">
        <f t="shared" si="393"/>
        <v>0</v>
      </c>
      <c r="T1004" s="10">
        <f t="shared" si="393"/>
        <v>53.179757714285721</v>
      </c>
      <c r="U1004" s="10">
        <f t="shared" si="393"/>
        <v>0</v>
      </c>
      <c r="V1004" s="10">
        <f t="shared" si="393"/>
        <v>0</v>
      </c>
      <c r="W1004" s="10">
        <f t="shared" si="393"/>
        <v>0</v>
      </c>
      <c r="X1004" s="10">
        <f t="shared" ref="X1004:X1012" si="394">SUM(Q1004:W1004)</f>
        <v>53.179757714285721</v>
      </c>
      <c r="Y1004" s="10"/>
      <c r="Z1004" s="10"/>
      <c r="AA1004" s="10"/>
      <c r="AB1004" s="10"/>
      <c r="AC1004" s="10"/>
      <c r="AD1004" s="10"/>
      <c r="AE1004" s="10"/>
    </row>
    <row r="1005" spans="1:32" s="3" customFormat="1" ht="20.100000000000001" customHeight="1" x14ac:dyDescent="0.2">
      <c r="A1005" s="87"/>
      <c r="B1005" s="10" t="s">
        <v>67</v>
      </c>
      <c r="C1005" s="93" t="s">
        <v>158</v>
      </c>
      <c r="D1005" s="10">
        <v>20</v>
      </c>
      <c r="E1005" s="10"/>
      <c r="F1005" s="10">
        <v>4</v>
      </c>
      <c r="G1005" s="90">
        <f>VLOOKUP(D1005,$C$20:$F$26,3,0)</f>
        <v>1.05</v>
      </c>
      <c r="H1005" s="90"/>
      <c r="I1005" s="10"/>
      <c r="J1005" s="10"/>
      <c r="K1005" s="10"/>
      <c r="L1005" s="10"/>
      <c r="M1005" s="10"/>
      <c r="N1005" s="10"/>
      <c r="O1005" s="10">
        <f>(E1003+1*(G1005)+1*(0.4/2)*D1003)</f>
        <v>8.6199999999999992</v>
      </c>
      <c r="P1005" s="10">
        <f t="shared" si="392"/>
        <v>34.479999999999997</v>
      </c>
      <c r="Q1005" s="10">
        <f t="shared" si="393"/>
        <v>0</v>
      </c>
      <c r="R1005" s="10">
        <f t="shared" si="393"/>
        <v>0</v>
      </c>
      <c r="S1005" s="10">
        <f t="shared" si="393"/>
        <v>0</v>
      </c>
      <c r="T1005" s="10">
        <f t="shared" si="393"/>
        <v>0</v>
      </c>
      <c r="U1005" s="10">
        <f t="shared" si="393"/>
        <v>85.06708571428571</v>
      </c>
      <c r="V1005" s="10">
        <f t="shared" si="393"/>
        <v>0</v>
      </c>
      <c r="W1005" s="10">
        <f t="shared" si="393"/>
        <v>0</v>
      </c>
      <c r="X1005" s="10">
        <f t="shared" si="394"/>
        <v>85.06708571428571</v>
      </c>
      <c r="Y1005" s="10"/>
      <c r="Z1005" s="10"/>
      <c r="AA1005" s="10"/>
      <c r="AB1005" s="10"/>
      <c r="AC1005" s="10"/>
      <c r="AD1005" s="10"/>
      <c r="AE1005" s="10"/>
    </row>
    <row r="1006" spans="1:32" s="3" customFormat="1" ht="20.100000000000001" customHeight="1" x14ac:dyDescent="0.2">
      <c r="A1006" s="87"/>
      <c r="B1006" s="10" t="s">
        <v>67</v>
      </c>
      <c r="C1006" s="93" t="s">
        <v>128</v>
      </c>
      <c r="D1006" s="10">
        <v>20</v>
      </c>
      <c r="E1006" s="10"/>
      <c r="F1006" s="10">
        <v>4</v>
      </c>
      <c r="G1006" s="90">
        <f>VLOOKUP(D1006,$C$20:$F$26,3,0)</f>
        <v>1.05</v>
      </c>
      <c r="H1006" s="90"/>
      <c r="I1006" s="10"/>
      <c r="J1006" s="10"/>
      <c r="K1006" s="10"/>
      <c r="L1006" s="10"/>
      <c r="M1006" s="10"/>
      <c r="N1006" s="10"/>
      <c r="O1006" s="10">
        <f>1.9+1*(G1006)</f>
        <v>2.95</v>
      </c>
      <c r="P1006" s="10">
        <f t="shared" si="392"/>
        <v>11.8</v>
      </c>
      <c r="Q1006" s="10">
        <f t="shared" si="393"/>
        <v>0</v>
      </c>
      <c r="R1006" s="10">
        <f t="shared" si="393"/>
        <v>0</v>
      </c>
      <c r="S1006" s="10">
        <f t="shared" si="393"/>
        <v>0</v>
      </c>
      <c r="T1006" s="10">
        <f t="shared" si="393"/>
        <v>0</v>
      </c>
      <c r="U1006" s="10">
        <f t="shared" si="393"/>
        <v>29.112285714285715</v>
      </c>
      <c r="V1006" s="10">
        <f t="shared" si="393"/>
        <v>0</v>
      </c>
      <c r="W1006" s="10">
        <f t="shared" si="393"/>
        <v>0</v>
      </c>
      <c r="X1006" s="10">
        <f t="shared" si="394"/>
        <v>29.112285714285715</v>
      </c>
      <c r="Y1006" s="10"/>
      <c r="Z1006" s="10"/>
      <c r="AA1006" s="10"/>
      <c r="AB1006" s="10"/>
      <c r="AC1006" s="10"/>
      <c r="AD1006" s="10"/>
      <c r="AE1006" s="10"/>
    </row>
    <row r="1007" spans="1:32" s="3" customFormat="1" ht="20.100000000000001" customHeight="1" x14ac:dyDescent="0.2">
      <c r="A1007" s="87"/>
      <c r="B1007" s="10" t="s">
        <v>67</v>
      </c>
      <c r="C1007" s="93" t="s">
        <v>128</v>
      </c>
      <c r="D1007" s="10">
        <v>20</v>
      </c>
      <c r="E1007" s="10"/>
      <c r="F1007" s="10">
        <v>4</v>
      </c>
      <c r="G1007" s="90">
        <f>VLOOKUP(D1007,$C$20:$F$26,3,0)</f>
        <v>1.05</v>
      </c>
      <c r="H1007" s="90"/>
      <c r="I1007" s="10"/>
      <c r="J1007" s="10"/>
      <c r="K1007" s="10"/>
      <c r="L1007" s="10"/>
      <c r="M1007" s="10"/>
      <c r="N1007" s="10"/>
      <c r="O1007" s="10">
        <f>1.9+1*(0.4/2)</f>
        <v>2.1</v>
      </c>
      <c r="P1007" s="10">
        <f t="shared" si="392"/>
        <v>8.4</v>
      </c>
      <c r="Q1007" s="10">
        <f t="shared" si="393"/>
        <v>0</v>
      </c>
      <c r="R1007" s="10">
        <f t="shared" si="393"/>
        <v>0</v>
      </c>
      <c r="S1007" s="10">
        <f t="shared" si="393"/>
        <v>0</v>
      </c>
      <c r="T1007" s="10">
        <f t="shared" si="393"/>
        <v>0</v>
      </c>
      <c r="U1007" s="10">
        <f t="shared" si="393"/>
        <v>20.724</v>
      </c>
      <c r="V1007" s="10">
        <f t="shared" si="393"/>
        <v>0</v>
      </c>
      <c r="W1007" s="10">
        <f t="shared" si="393"/>
        <v>0</v>
      </c>
      <c r="X1007" s="10">
        <f t="shared" si="394"/>
        <v>20.724</v>
      </c>
      <c r="Y1007" s="10"/>
      <c r="Z1007" s="10"/>
      <c r="AA1007" s="10"/>
      <c r="AB1007" s="10"/>
      <c r="AC1007" s="10"/>
      <c r="AD1007" s="10"/>
      <c r="AE1007" s="10"/>
    </row>
    <row r="1008" spans="1:32" s="3" customFormat="1" ht="20.100000000000001" customHeight="1" x14ac:dyDescent="0.2">
      <c r="A1008" s="87"/>
      <c r="B1008" s="10" t="s">
        <v>67</v>
      </c>
      <c r="C1008" s="93" t="s">
        <v>73</v>
      </c>
      <c r="D1008" s="10">
        <v>10</v>
      </c>
      <c r="E1008" s="10">
        <v>0.1</v>
      </c>
      <c r="F1008" s="10">
        <f>ROUND(IF(E1003/3&gt;(2*G1003),(E1003/3)/E1008,(2*G1003)/E1008),0)*2+1</f>
        <v>51</v>
      </c>
      <c r="H1008" s="10"/>
      <c r="I1008" s="10"/>
      <c r="J1008" s="10"/>
      <c r="K1008" s="10"/>
      <c r="L1008" s="10"/>
      <c r="M1008" s="10"/>
      <c r="N1008" s="10"/>
      <c r="O1008" s="10">
        <f>(2*((G1003-(2*$D$11))+(F1003-(2*$D$11)))+(2*10*D1008/1000))*D1003</f>
        <v>1.76</v>
      </c>
      <c r="P1008" s="10">
        <f t="shared" si="392"/>
        <v>89.76</v>
      </c>
      <c r="Q1008" s="10">
        <f t="shared" si="393"/>
        <v>0</v>
      </c>
      <c r="R1008" s="10">
        <f t="shared" si="393"/>
        <v>55.362685714285718</v>
      </c>
      <c r="S1008" s="10">
        <f t="shared" si="393"/>
        <v>0</v>
      </c>
      <c r="T1008" s="10">
        <f t="shared" si="393"/>
        <v>0</v>
      </c>
      <c r="U1008" s="10">
        <f t="shared" si="393"/>
        <v>0</v>
      </c>
      <c r="V1008" s="10">
        <f t="shared" si="393"/>
        <v>0</v>
      </c>
      <c r="W1008" s="10">
        <f t="shared" si="393"/>
        <v>0</v>
      </c>
      <c r="X1008" s="10">
        <f t="shared" si="394"/>
        <v>55.362685714285718</v>
      </c>
      <c r="Y1008" s="10"/>
      <c r="Z1008" s="10"/>
      <c r="AA1008" s="10"/>
      <c r="AB1008" s="10"/>
      <c r="AC1008" s="10"/>
      <c r="AD1008" s="10"/>
      <c r="AE1008" s="10"/>
    </row>
    <row r="1009" spans="1:32" s="2" customFormat="1" ht="20.100000000000001" customHeight="1" x14ac:dyDescent="0.2">
      <c r="B1009" s="10" t="s">
        <v>67</v>
      </c>
      <c r="C1009" s="93" t="s">
        <v>73</v>
      </c>
      <c r="D1009" s="2">
        <f>D1008</f>
        <v>10</v>
      </c>
      <c r="E1009" s="2">
        <v>0.15</v>
      </c>
      <c r="F1009" s="2">
        <f>ROUND((E1003-(IF(E1003/3&gt;2*G1003,E1003/3*2,G1003*2*2)))/E1009,0)</f>
        <v>16</v>
      </c>
      <c r="G1009" s="3"/>
      <c r="O1009" s="10">
        <f>(2*((G1003-(2*$D$11))+(F1003-(2*$D$11)))+(2*10*D1009/1000))*D1003</f>
        <v>1.76</v>
      </c>
      <c r="P1009" s="10">
        <f t="shared" si="392"/>
        <v>28.16</v>
      </c>
      <c r="Q1009" s="10">
        <f t="shared" si="393"/>
        <v>0</v>
      </c>
      <c r="R1009" s="10">
        <f t="shared" si="393"/>
        <v>17.368685714285714</v>
      </c>
      <c r="S1009" s="10">
        <f t="shared" si="393"/>
        <v>0</v>
      </c>
      <c r="T1009" s="10">
        <f t="shared" si="393"/>
        <v>0</v>
      </c>
      <c r="U1009" s="10">
        <f t="shared" si="393"/>
        <v>0</v>
      </c>
      <c r="V1009" s="10">
        <f t="shared" si="393"/>
        <v>0</v>
      </c>
      <c r="W1009" s="10">
        <f t="shared" si="393"/>
        <v>0</v>
      </c>
      <c r="X1009" s="10">
        <f t="shared" si="394"/>
        <v>17.368685714285714</v>
      </c>
    </row>
    <row r="1010" spans="1:32" s="2" customFormat="1" ht="20.100000000000001" customHeight="1" x14ac:dyDescent="0.2">
      <c r="B1010" s="10" t="s">
        <v>67</v>
      </c>
      <c r="C1010" s="93" t="s">
        <v>74</v>
      </c>
      <c r="D1010" s="2">
        <f>D1008</f>
        <v>10</v>
      </c>
      <c r="E1010" s="2">
        <f>+E1008</f>
        <v>0.1</v>
      </c>
      <c r="F1010" s="10">
        <f>ROUND(IF(E1003/3&gt;(2*G1003),(E1003/3)/E1010,(2*G1003)/E1010),0)*2+1</f>
        <v>51</v>
      </c>
      <c r="G1010" s="3"/>
      <c r="O1010" s="10">
        <f>((((G1003-(2*$D$11))+(2*10*D1010/1000))*D1003))*1</f>
        <v>0.64</v>
      </c>
      <c r="P1010" s="10">
        <f t="shared" si="392"/>
        <v>32.64</v>
      </c>
      <c r="Q1010" s="10">
        <f t="shared" si="393"/>
        <v>0</v>
      </c>
      <c r="R1010" s="10">
        <f t="shared" si="393"/>
        <v>20.131885714285715</v>
      </c>
      <c r="S1010" s="10">
        <f t="shared" si="393"/>
        <v>0</v>
      </c>
      <c r="T1010" s="10">
        <f t="shared" si="393"/>
        <v>0</v>
      </c>
      <c r="U1010" s="10">
        <f t="shared" si="393"/>
        <v>0</v>
      </c>
      <c r="V1010" s="10">
        <f t="shared" si="393"/>
        <v>0</v>
      </c>
      <c r="W1010" s="10">
        <f t="shared" si="393"/>
        <v>0</v>
      </c>
      <c r="X1010" s="10">
        <f t="shared" si="394"/>
        <v>20.131885714285715</v>
      </c>
    </row>
    <row r="1011" spans="1:32" s="2" customFormat="1" ht="20.100000000000001" customHeight="1" x14ac:dyDescent="0.2">
      <c r="B1011" s="10" t="s">
        <v>67</v>
      </c>
      <c r="C1011" s="93" t="s">
        <v>74</v>
      </c>
      <c r="D1011" s="2">
        <f>D1009</f>
        <v>10</v>
      </c>
      <c r="E1011" s="2">
        <f>+E1009</f>
        <v>0.15</v>
      </c>
      <c r="F1011" s="2">
        <f>ROUND((E1003-(IF(E1003/3&gt;2*G1003,E1003/3*2,G1003*2*2)))/E1011,0)</f>
        <v>16</v>
      </c>
      <c r="G1011" s="3"/>
      <c r="O1011" s="10">
        <f>((((G1003-(2*$D$11))+(2*10*D1011/1000))*D1003))*1</f>
        <v>0.64</v>
      </c>
      <c r="P1011" s="10">
        <f t="shared" si="392"/>
        <v>10.24</v>
      </c>
      <c r="Q1011" s="10">
        <f t="shared" si="393"/>
        <v>0</v>
      </c>
      <c r="R1011" s="10">
        <f t="shared" si="393"/>
        <v>6.3158857142857139</v>
      </c>
      <c r="S1011" s="10">
        <f t="shared" si="393"/>
        <v>0</v>
      </c>
      <c r="T1011" s="10">
        <f t="shared" si="393"/>
        <v>0</v>
      </c>
      <c r="U1011" s="10">
        <f t="shared" si="393"/>
        <v>0</v>
      </c>
      <c r="V1011" s="10">
        <f t="shared" si="393"/>
        <v>0</v>
      </c>
      <c r="W1011" s="10">
        <f t="shared" si="393"/>
        <v>0</v>
      </c>
      <c r="X1011" s="10">
        <f t="shared" si="394"/>
        <v>6.3158857142857139</v>
      </c>
    </row>
    <row r="1012" spans="1:32" s="3" customFormat="1" ht="20.100000000000001" customHeight="1" x14ac:dyDescent="0.2">
      <c r="A1012" s="87"/>
      <c r="B1012" s="10" t="s">
        <v>67</v>
      </c>
      <c r="C1012" s="93" t="s">
        <v>75</v>
      </c>
      <c r="D1012" s="10">
        <f>+$D$15</f>
        <v>25</v>
      </c>
      <c r="E1012" s="10">
        <f>+$E$15</f>
        <v>1</v>
      </c>
      <c r="F1012" s="10">
        <f>ROUNDUP((1.9+1.9)/E1012,0)</f>
        <v>4</v>
      </c>
      <c r="G1012" s="90"/>
      <c r="H1012" s="90"/>
      <c r="I1012" s="10"/>
      <c r="J1012" s="10"/>
      <c r="K1012" s="10"/>
      <c r="L1012" s="10"/>
      <c r="M1012" s="10"/>
      <c r="N1012" s="10"/>
      <c r="O1012" s="10">
        <f>F1004-$F$15</f>
        <v>3.94</v>
      </c>
      <c r="P1012" s="10">
        <f t="shared" si="392"/>
        <v>15.76</v>
      </c>
      <c r="Q1012" s="10">
        <f t="shared" si="393"/>
        <v>0</v>
      </c>
      <c r="R1012" s="10">
        <f t="shared" si="393"/>
        <v>0</v>
      </c>
      <c r="S1012" s="10">
        <f t="shared" si="393"/>
        <v>0</v>
      </c>
      <c r="T1012" s="10">
        <f t="shared" si="393"/>
        <v>0</v>
      </c>
      <c r="U1012" s="10">
        <f t="shared" si="393"/>
        <v>0</v>
      </c>
      <c r="V1012" s="10">
        <f t="shared" si="393"/>
        <v>60.753392857142863</v>
      </c>
      <c r="W1012" s="10">
        <f t="shared" si="393"/>
        <v>0</v>
      </c>
      <c r="X1012" s="10">
        <f t="shared" si="394"/>
        <v>60.753392857142863</v>
      </c>
      <c r="Y1012" s="10"/>
      <c r="Z1012" s="10"/>
      <c r="AA1012" s="10"/>
      <c r="AB1012" s="10"/>
      <c r="AC1012" s="10"/>
      <c r="AD1012" s="10"/>
      <c r="AE1012" s="10"/>
    </row>
    <row r="1013" spans="1:32" s="3" customFormat="1" ht="21" customHeight="1" x14ac:dyDescent="0.2">
      <c r="A1013" s="10">
        <v>1</v>
      </c>
      <c r="B1013" s="10" t="s">
        <v>67</v>
      </c>
      <c r="C1013" s="91" t="s">
        <v>210</v>
      </c>
      <c r="D1013" s="91">
        <v>1</v>
      </c>
      <c r="E1013" s="91">
        <v>2.5</v>
      </c>
      <c r="F1013" s="91">
        <v>0.4</v>
      </c>
      <c r="G1013" s="91">
        <v>0.5</v>
      </c>
      <c r="H1013" s="10">
        <f>G1013-0.2</f>
        <v>0.3</v>
      </c>
      <c r="I1013" s="10">
        <f>E1013*F1013*G1013*D1013</f>
        <v>0.5</v>
      </c>
      <c r="J1013" s="10">
        <f>(2*(E1013)*H1013*D1013)+(E1013*F1013)</f>
        <v>2.5</v>
      </c>
      <c r="K1013" s="92">
        <f>IF(E1013=0.3,J1013,0)</f>
        <v>0</v>
      </c>
      <c r="L1013" s="92">
        <f>IF(AND(E1013&gt;0.3,E1013&lt;=0.75),J1013,0)</f>
        <v>0</v>
      </c>
      <c r="M1013" s="92">
        <f>IF(AND(E1013&gt;0.75,E1013&lt;=1.2),J1013,0)</f>
        <v>0</v>
      </c>
      <c r="N1013" s="92">
        <f>IF(E1013&gt;1.2,J1013,0)</f>
        <v>2.5</v>
      </c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>
        <f>SUM(X1014:X1021)/I1013</f>
        <v>183.20040671428572</v>
      </c>
      <c r="Z1013" s="10"/>
      <c r="AA1013" s="10"/>
      <c r="AB1013" s="10"/>
      <c r="AC1013" s="10"/>
      <c r="AD1013" s="10"/>
      <c r="AE1013" s="10"/>
      <c r="AF1013" s="10"/>
    </row>
    <row r="1014" spans="1:32" s="3" customFormat="1" ht="20.100000000000001" customHeight="1" x14ac:dyDescent="0.2">
      <c r="A1014" s="87"/>
      <c r="B1014" s="10" t="s">
        <v>67</v>
      </c>
      <c r="C1014" s="93" t="s">
        <v>69</v>
      </c>
      <c r="D1014" s="10">
        <v>16</v>
      </c>
      <c r="E1014" s="10"/>
      <c r="F1014" s="10">
        <v>4</v>
      </c>
      <c r="G1014" s="90">
        <f>VLOOKUP(D1014,$C$20:$F$26,3,0)</f>
        <v>0.85</v>
      </c>
      <c r="H1014" s="90"/>
      <c r="I1014" s="10"/>
      <c r="J1014" s="10"/>
      <c r="K1014" s="10"/>
      <c r="L1014" s="10"/>
      <c r="M1014" s="10"/>
      <c r="N1014" s="10"/>
      <c r="O1014" s="10">
        <f>(E1013+1*(G1014)+1*(0.4/2)*D1013)</f>
        <v>3.5500000000000003</v>
      </c>
      <c r="P1014" s="10">
        <f t="shared" ref="P1014:P1021" si="395">O1014*F1014</f>
        <v>14.200000000000001</v>
      </c>
      <c r="Q1014" s="10">
        <f t="shared" si="393"/>
        <v>0</v>
      </c>
      <c r="R1014" s="10">
        <f t="shared" si="393"/>
        <v>0</v>
      </c>
      <c r="S1014" s="10">
        <f t="shared" si="393"/>
        <v>0</v>
      </c>
      <c r="T1014" s="10">
        <f t="shared" si="393"/>
        <v>22.421394285714289</v>
      </c>
      <c r="U1014" s="10">
        <f t="shared" si="393"/>
        <v>0</v>
      </c>
      <c r="V1014" s="10">
        <f t="shared" si="393"/>
        <v>0</v>
      </c>
      <c r="W1014" s="10">
        <f t="shared" si="393"/>
        <v>0</v>
      </c>
      <c r="X1014" s="10">
        <f t="shared" ref="X1014:X1021" si="396">SUM(Q1014:W1014)</f>
        <v>22.421394285714289</v>
      </c>
      <c r="Y1014" s="10"/>
      <c r="Z1014" s="10"/>
      <c r="AA1014" s="10"/>
      <c r="AB1014" s="10"/>
      <c r="AC1014" s="10"/>
      <c r="AD1014" s="10"/>
      <c r="AE1014" s="10"/>
    </row>
    <row r="1015" spans="1:32" s="3" customFormat="1" ht="20.100000000000001" customHeight="1" x14ac:dyDescent="0.2">
      <c r="A1015" s="87"/>
      <c r="B1015" s="10" t="s">
        <v>67</v>
      </c>
      <c r="C1015" s="93" t="s">
        <v>158</v>
      </c>
      <c r="D1015" s="10">
        <v>20</v>
      </c>
      <c r="E1015" s="10"/>
      <c r="F1015" s="10">
        <v>4</v>
      </c>
      <c r="G1015" s="90">
        <f>VLOOKUP(D1015,$C$20:$F$26,3,0)</f>
        <v>1.05</v>
      </c>
      <c r="H1015" s="90"/>
      <c r="I1015" s="10"/>
      <c r="J1015" s="10"/>
      <c r="K1015" s="10"/>
      <c r="L1015" s="10"/>
      <c r="M1015" s="10"/>
      <c r="N1015" s="10"/>
      <c r="O1015" s="10">
        <f>(E1013+1*(G1015)+1*(0.4/2)*D1013)</f>
        <v>3.75</v>
      </c>
      <c r="P1015" s="10">
        <f t="shared" si="395"/>
        <v>15</v>
      </c>
      <c r="Q1015" s="10">
        <f t="shared" si="393"/>
        <v>0</v>
      </c>
      <c r="R1015" s="10">
        <f t="shared" si="393"/>
        <v>0</v>
      </c>
      <c r="S1015" s="10">
        <f t="shared" si="393"/>
        <v>0</v>
      </c>
      <c r="T1015" s="10">
        <f t="shared" si="393"/>
        <v>0</v>
      </c>
      <c r="U1015" s="10">
        <f t="shared" si="393"/>
        <v>37.007142857142853</v>
      </c>
      <c r="V1015" s="10">
        <f t="shared" si="393"/>
        <v>0</v>
      </c>
      <c r="W1015" s="10">
        <f t="shared" si="393"/>
        <v>0</v>
      </c>
      <c r="X1015" s="10">
        <f t="shared" si="396"/>
        <v>37.007142857142853</v>
      </c>
      <c r="Y1015" s="10"/>
      <c r="Z1015" s="10"/>
      <c r="AA1015" s="10"/>
      <c r="AB1015" s="10"/>
      <c r="AC1015" s="10"/>
      <c r="AD1015" s="10"/>
      <c r="AE1015" s="10"/>
    </row>
    <row r="1016" spans="1:32" s="3" customFormat="1" ht="20.100000000000001" customHeight="1" x14ac:dyDescent="0.2">
      <c r="A1016" s="87"/>
      <c r="B1016" s="10" t="s">
        <v>67</v>
      </c>
      <c r="C1016" s="93" t="s">
        <v>128</v>
      </c>
      <c r="D1016" s="10">
        <v>20</v>
      </c>
      <c r="E1016" s="10"/>
      <c r="F1016" s="10">
        <v>4</v>
      </c>
      <c r="G1016" s="90">
        <f>VLOOKUP(D1016,$C$20:$F$26,3,0)</f>
        <v>1.05</v>
      </c>
      <c r="H1016" s="90"/>
      <c r="I1016" s="10"/>
      <c r="J1016" s="10"/>
      <c r="K1016" s="10"/>
      <c r="L1016" s="10"/>
      <c r="M1016" s="10"/>
      <c r="N1016" s="10"/>
      <c r="O1016" s="10">
        <f>0.7+1*(0.4/2)</f>
        <v>0.89999999999999991</v>
      </c>
      <c r="P1016" s="10">
        <f t="shared" si="395"/>
        <v>3.5999999999999996</v>
      </c>
      <c r="Q1016" s="10">
        <f t="shared" si="393"/>
        <v>0</v>
      </c>
      <c r="R1016" s="10">
        <f t="shared" si="393"/>
        <v>0</v>
      </c>
      <c r="S1016" s="10">
        <f t="shared" si="393"/>
        <v>0</v>
      </c>
      <c r="T1016" s="10">
        <f t="shared" si="393"/>
        <v>0</v>
      </c>
      <c r="U1016" s="10">
        <f t="shared" si="393"/>
        <v>8.8817142857142848</v>
      </c>
      <c r="V1016" s="10">
        <f t="shared" si="393"/>
        <v>0</v>
      </c>
      <c r="W1016" s="10">
        <f t="shared" si="393"/>
        <v>0</v>
      </c>
      <c r="X1016" s="10">
        <f t="shared" si="396"/>
        <v>8.8817142857142848</v>
      </c>
      <c r="Y1016" s="10"/>
      <c r="Z1016" s="10"/>
      <c r="AA1016" s="10"/>
      <c r="AB1016" s="10"/>
      <c r="AC1016" s="10"/>
      <c r="AD1016" s="10"/>
      <c r="AE1016" s="10"/>
    </row>
    <row r="1017" spans="1:32" s="3" customFormat="1" ht="20.100000000000001" customHeight="1" x14ac:dyDescent="0.2">
      <c r="A1017" s="87"/>
      <c r="B1017" s="10" t="s">
        <v>67</v>
      </c>
      <c r="C1017" s="93" t="s">
        <v>73</v>
      </c>
      <c r="D1017" s="10">
        <v>8</v>
      </c>
      <c r="E1017" s="10">
        <v>0.1</v>
      </c>
      <c r="F1017" s="10">
        <f>ROUND(IF(E1013/3&gt;(2*G1013),(E1013/3)/E1017,(2*G1013)/E1017),0)*2+1</f>
        <v>21</v>
      </c>
      <c r="H1017" s="10"/>
      <c r="I1017" s="10"/>
      <c r="J1017" s="10"/>
      <c r="K1017" s="10"/>
      <c r="L1017" s="10"/>
      <c r="M1017" s="10"/>
      <c r="N1017" s="10"/>
      <c r="O1017" s="10">
        <f>(2*((G1013-(2*$D$11))+(F1013-(2*$D$11)))+(2*10*D1017/1000))*D1013</f>
        <v>1.72</v>
      </c>
      <c r="P1017" s="10">
        <f t="shared" si="395"/>
        <v>36.119999999999997</v>
      </c>
      <c r="Q1017" s="10">
        <f t="shared" si="393"/>
        <v>14.258112000000001</v>
      </c>
      <c r="R1017" s="10">
        <f t="shared" si="393"/>
        <v>0</v>
      </c>
      <c r="S1017" s="10">
        <f t="shared" si="393"/>
        <v>0</v>
      </c>
      <c r="T1017" s="10">
        <f t="shared" si="393"/>
        <v>0</v>
      </c>
      <c r="U1017" s="10">
        <f t="shared" si="393"/>
        <v>0</v>
      </c>
      <c r="V1017" s="10">
        <f t="shared" si="393"/>
        <v>0</v>
      </c>
      <c r="W1017" s="10">
        <f t="shared" si="393"/>
        <v>0</v>
      </c>
      <c r="X1017" s="10">
        <f t="shared" si="396"/>
        <v>14.258112000000001</v>
      </c>
      <c r="Y1017" s="10"/>
      <c r="Z1017" s="10"/>
      <c r="AA1017" s="10"/>
      <c r="AB1017" s="10"/>
      <c r="AC1017" s="10"/>
      <c r="AD1017" s="10"/>
      <c r="AE1017" s="10"/>
    </row>
    <row r="1018" spans="1:32" s="2" customFormat="1" ht="20.100000000000001" customHeight="1" x14ac:dyDescent="0.2">
      <c r="B1018" s="10" t="s">
        <v>67</v>
      </c>
      <c r="C1018" s="93" t="s">
        <v>73</v>
      </c>
      <c r="D1018" s="2">
        <f>D1017</f>
        <v>8</v>
      </c>
      <c r="E1018" s="2">
        <v>0.15</v>
      </c>
      <c r="F1018" s="2">
        <f>ROUND((E1013-(IF(E1013/3&gt;2*G1013,E1013/3*2,G1013*2*2)))/E1018,0)</f>
        <v>3</v>
      </c>
      <c r="G1018" s="3"/>
      <c r="O1018" s="10">
        <f>(2*((G1013-(2*$D$11))+(F1013-(2*$D$11)))+(2*10*D1018/1000))*D1013</f>
        <v>1.72</v>
      </c>
      <c r="P1018" s="10">
        <f t="shared" si="395"/>
        <v>5.16</v>
      </c>
      <c r="Q1018" s="10">
        <f t="shared" si="393"/>
        <v>2.0368731428571429</v>
      </c>
      <c r="R1018" s="10">
        <f t="shared" si="393"/>
        <v>0</v>
      </c>
      <c r="S1018" s="10">
        <f t="shared" si="393"/>
        <v>0</v>
      </c>
      <c r="T1018" s="10">
        <f t="shared" si="393"/>
        <v>0</v>
      </c>
      <c r="U1018" s="10">
        <f t="shared" si="393"/>
        <v>0</v>
      </c>
      <c r="V1018" s="10">
        <f t="shared" si="393"/>
        <v>0</v>
      </c>
      <c r="W1018" s="10">
        <f t="shared" si="393"/>
        <v>0</v>
      </c>
      <c r="X1018" s="10">
        <f t="shared" si="396"/>
        <v>2.0368731428571429</v>
      </c>
    </row>
    <row r="1019" spans="1:32" s="2" customFormat="1" ht="20.100000000000001" customHeight="1" x14ac:dyDescent="0.2">
      <c r="B1019" s="10" t="s">
        <v>67</v>
      </c>
      <c r="C1019" s="93" t="s">
        <v>74</v>
      </c>
      <c r="D1019" s="2">
        <f>D1017</f>
        <v>8</v>
      </c>
      <c r="E1019" s="2">
        <f>+E1017</f>
        <v>0.1</v>
      </c>
      <c r="F1019" s="10">
        <f>ROUND(IF(E1013/3&gt;(2*G1013),(E1013/3)/E1019,(2*G1013)/E1019),0)*2+1</f>
        <v>21</v>
      </c>
      <c r="G1019" s="3"/>
      <c r="O1019" s="10">
        <f>((((G1013-(2*$D$11))+(2*10*D1019/1000))*D1013))*1</f>
        <v>0.6</v>
      </c>
      <c r="P1019" s="10">
        <f t="shared" si="395"/>
        <v>12.6</v>
      </c>
      <c r="Q1019" s="10">
        <f t="shared" si="393"/>
        <v>4.9737600000000004</v>
      </c>
      <c r="R1019" s="10">
        <f t="shared" si="393"/>
        <v>0</v>
      </c>
      <c r="S1019" s="10">
        <f t="shared" si="393"/>
        <v>0</v>
      </c>
      <c r="T1019" s="10">
        <f t="shared" si="393"/>
        <v>0</v>
      </c>
      <c r="U1019" s="10">
        <f t="shared" si="393"/>
        <v>0</v>
      </c>
      <c r="V1019" s="10">
        <f t="shared" si="393"/>
        <v>0</v>
      </c>
      <c r="W1019" s="10">
        <f t="shared" si="393"/>
        <v>0</v>
      </c>
      <c r="X1019" s="10">
        <f t="shared" si="396"/>
        <v>4.9737600000000004</v>
      </c>
    </row>
    <row r="1020" spans="1:32" s="2" customFormat="1" ht="20.100000000000001" customHeight="1" x14ac:dyDescent="0.2">
      <c r="B1020" s="10" t="s">
        <v>67</v>
      </c>
      <c r="C1020" s="93" t="s">
        <v>74</v>
      </c>
      <c r="D1020" s="2">
        <f>D1018</f>
        <v>8</v>
      </c>
      <c r="E1020" s="2">
        <f>+E1018</f>
        <v>0.15</v>
      </c>
      <c r="F1020" s="2">
        <f>ROUND((E1013-(IF(E1013/3&gt;2*G1013,E1013/3*2,G1013*2*2)))/E1020,0)</f>
        <v>3</v>
      </c>
      <c r="G1020" s="3"/>
      <c r="O1020" s="10">
        <f>((((G1013-(2*$D$11))+(2*10*D1020/1000))*D1013))*1</f>
        <v>0.6</v>
      </c>
      <c r="P1020" s="10">
        <f t="shared" si="395"/>
        <v>1.7999999999999998</v>
      </c>
      <c r="Q1020" s="10">
        <f t="shared" ref="Q1020:W1021" si="397">IF($D1020=Q$44,$P1020*Q$45,0)</f>
        <v>0.71053714285714287</v>
      </c>
      <c r="R1020" s="10">
        <f t="shared" si="397"/>
        <v>0</v>
      </c>
      <c r="S1020" s="10">
        <f t="shared" si="397"/>
        <v>0</v>
      </c>
      <c r="T1020" s="10">
        <f t="shared" si="397"/>
        <v>0</v>
      </c>
      <c r="U1020" s="10">
        <f t="shared" si="397"/>
        <v>0</v>
      </c>
      <c r="V1020" s="10">
        <f t="shared" si="397"/>
        <v>0</v>
      </c>
      <c r="W1020" s="10">
        <f t="shared" si="397"/>
        <v>0</v>
      </c>
      <c r="X1020" s="10">
        <f t="shared" si="396"/>
        <v>0.71053714285714287</v>
      </c>
    </row>
    <row r="1021" spans="1:32" s="3" customFormat="1" ht="20.100000000000001" customHeight="1" x14ac:dyDescent="0.2">
      <c r="A1021" s="87"/>
      <c r="B1021" s="10" t="s">
        <v>67</v>
      </c>
      <c r="C1021" s="93" t="s">
        <v>75</v>
      </c>
      <c r="D1021" s="10">
        <f>+$D$15</f>
        <v>25</v>
      </c>
      <c r="E1021" s="10">
        <f>+$E$15</f>
        <v>1</v>
      </c>
      <c r="F1021" s="10">
        <f>ROUNDUP((0.7)/E1021,0)</f>
        <v>1</v>
      </c>
      <c r="G1021" s="90"/>
      <c r="H1021" s="90"/>
      <c r="I1021" s="10"/>
      <c r="J1021" s="10"/>
      <c r="K1021" s="10"/>
      <c r="L1021" s="10"/>
      <c r="M1021" s="10"/>
      <c r="N1021" s="10"/>
      <c r="O1021" s="10">
        <f>F1013-$F$15</f>
        <v>0.34</v>
      </c>
      <c r="P1021" s="10">
        <f t="shared" si="395"/>
        <v>0.34</v>
      </c>
      <c r="Q1021" s="10">
        <f t="shared" si="397"/>
        <v>0</v>
      </c>
      <c r="R1021" s="10">
        <f t="shared" si="397"/>
        <v>0</v>
      </c>
      <c r="S1021" s="10">
        <f t="shared" si="397"/>
        <v>0</v>
      </c>
      <c r="T1021" s="10">
        <f t="shared" si="397"/>
        <v>0</v>
      </c>
      <c r="U1021" s="10">
        <f t="shared" si="397"/>
        <v>0</v>
      </c>
      <c r="V1021" s="10">
        <f t="shared" si="397"/>
        <v>1.3106696428571432</v>
      </c>
      <c r="W1021" s="10">
        <f t="shared" si="397"/>
        <v>0</v>
      </c>
      <c r="X1021" s="10">
        <f t="shared" si="396"/>
        <v>1.3106696428571432</v>
      </c>
      <c r="Y1021" s="10"/>
      <c r="Z1021" s="10"/>
      <c r="AA1021" s="10"/>
      <c r="AB1021" s="10"/>
      <c r="AC1021" s="10"/>
      <c r="AD1021" s="10"/>
      <c r="AE1021" s="10"/>
    </row>
    <row r="1022" spans="1:32" s="3" customFormat="1" ht="21" customHeight="1" x14ac:dyDescent="0.2">
      <c r="A1022" s="10">
        <v>1</v>
      </c>
      <c r="B1022" s="10" t="s">
        <v>67</v>
      </c>
      <c r="C1022" s="91" t="s">
        <v>211</v>
      </c>
      <c r="D1022" s="91">
        <v>1</v>
      </c>
      <c r="E1022" s="91">
        <v>2.5</v>
      </c>
      <c r="F1022" s="91">
        <v>0.4</v>
      </c>
      <c r="G1022" s="91">
        <v>0.5</v>
      </c>
      <c r="H1022" s="10">
        <f>G1022-0.2</f>
        <v>0.3</v>
      </c>
      <c r="I1022" s="10">
        <f>E1022*F1022*G1022*D1022</f>
        <v>0.5</v>
      </c>
      <c r="J1022" s="10">
        <f>(2*(E1022)*H1022*D1022)+(E1022*F1022)</f>
        <v>2.5</v>
      </c>
      <c r="K1022" s="92">
        <f>IF(E1022=0.3,J1022,0)</f>
        <v>0</v>
      </c>
      <c r="L1022" s="92">
        <f>IF(AND(E1022&gt;0.3,E1022&lt;=0.75),J1022,0)</f>
        <v>0</v>
      </c>
      <c r="M1022" s="92">
        <f>IF(AND(E1022&gt;0.75,E1022&lt;=1.2),J1022,0)</f>
        <v>0</v>
      </c>
      <c r="N1022" s="92">
        <f>IF(E1022&gt;1.2,J1022,0)</f>
        <v>2.5</v>
      </c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>
        <f>SUM(X1023:X1030)/I1022</f>
        <v>183.20040671428572</v>
      </c>
      <c r="Z1022" s="10"/>
      <c r="AA1022" s="10"/>
      <c r="AB1022" s="10"/>
      <c r="AC1022" s="10"/>
      <c r="AD1022" s="10"/>
      <c r="AE1022" s="10"/>
      <c r="AF1022" s="10"/>
    </row>
    <row r="1023" spans="1:32" s="3" customFormat="1" ht="20.100000000000001" customHeight="1" x14ac:dyDescent="0.2">
      <c r="A1023" s="87"/>
      <c r="B1023" s="10" t="s">
        <v>67</v>
      </c>
      <c r="C1023" s="93" t="s">
        <v>69</v>
      </c>
      <c r="D1023" s="10">
        <v>16</v>
      </c>
      <c r="E1023" s="10"/>
      <c r="F1023" s="10">
        <v>4</v>
      </c>
      <c r="G1023" s="90">
        <f>VLOOKUP(D1023,$C$20:$F$26,3,0)</f>
        <v>0.85</v>
      </c>
      <c r="H1023" s="90"/>
      <c r="I1023" s="10"/>
      <c r="J1023" s="10"/>
      <c r="K1023" s="10"/>
      <c r="L1023" s="10"/>
      <c r="M1023" s="10"/>
      <c r="N1023" s="10"/>
      <c r="O1023" s="10">
        <f>(E1022+1*(G1023)+1*(0.4/2)*D1022)</f>
        <v>3.5500000000000003</v>
      </c>
      <c r="P1023" s="10">
        <f t="shared" ref="P1023:P1030" si="398">O1023*F1023</f>
        <v>14.200000000000001</v>
      </c>
      <c r="Q1023" s="10">
        <f t="shared" ref="Q1023:W1030" si="399">IF($D1023=Q$44,$P1023*Q$45,0)</f>
        <v>0</v>
      </c>
      <c r="R1023" s="10">
        <f t="shared" si="399"/>
        <v>0</v>
      </c>
      <c r="S1023" s="10">
        <f t="shared" si="399"/>
        <v>0</v>
      </c>
      <c r="T1023" s="10">
        <f t="shared" si="399"/>
        <v>22.421394285714289</v>
      </c>
      <c r="U1023" s="10">
        <f t="shared" si="399"/>
        <v>0</v>
      </c>
      <c r="V1023" s="10">
        <f t="shared" si="399"/>
        <v>0</v>
      </c>
      <c r="W1023" s="10">
        <f t="shared" si="399"/>
        <v>0</v>
      </c>
      <c r="X1023" s="10">
        <f t="shared" ref="X1023:X1030" si="400">SUM(Q1023:W1023)</f>
        <v>22.421394285714289</v>
      </c>
      <c r="Y1023" s="10"/>
      <c r="Z1023" s="10"/>
      <c r="AA1023" s="10"/>
      <c r="AB1023" s="10"/>
      <c r="AC1023" s="10"/>
      <c r="AD1023" s="10"/>
      <c r="AE1023" s="10"/>
    </row>
    <row r="1024" spans="1:32" s="3" customFormat="1" ht="20.100000000000001" customHeight="1" x14ac:dyDescent="0.2">
      <c r="A1024" s="87"/>
      <c r="B1024" s="10" t="s">
        <v>67</v>
      </c>
      <c r="C1024" s="93" t="s">
        <v>158</v>
      </c>
      <c r="D1024" s="10">
        <v>20</v>
      </c>
      <c r="E1024" s="10"/>
      <c r="F1024" s="10">
        <v>4</v>
      </c>
      <c r="G1024" s="90">
        <f>VLOOKUP(D1024,$C$20:$F$26,3,0)</f>
        <v>1.05</v>
      </c>
      <c r="H1024" s="90"/>
      <c r="I1024" s="10"/>
      <c r="J1024" s="10"/>
      <c r="K1024" s="10"/>
      <c r="L1024" s="10"/>
      <c r="M1024" s="10"/>
      <c r="N1024" s="10"/>
      <c r="O1024" s="10">
        <f>(E1022+1*(G1024)+1*(0.4/2)*D1022)</f>
        <v>3.75</v>
      </c>
      <c r="P1024" s="10">
        <f t="shared" si="398"/>
        <v>15</v>
      </c>
      <c r="Q1024" s="10">
        <f t="shared" si="399"/>
        <v>0</v>
      </c>
      <c r="R1024" s="10">
        <f t="shared" si="399"/>
        <v>0</v>
      </c>
      <c r="S1024" s="10">
        <f t="shared" si="399"/>
        <v>0</v>
      </c>
      <c r="T1024" s="10">
        <f t="shared" si="399"/>
        <v>0</v>
      </c>
      <c r="U1024" s="10">
        <f t="shared" si="399"/>
        <v>37.007142857142853</v>
      </c>
      <c r="V1024" s="10">
        <f t="shared" si="399"/>
        <v>0</v>
      </c>
      <c r="W1024" s="10">
        <f t="shared" si="399"/>
        <v>0</v>
      </c>
      <c r="X1024" s="10">
        <f t="shared" si="400"/>
        <v>37.007142857142853</v>
      </c>
      <c r="Y1024" s="10"/>
      <c r="Z1024" s="10"/>
      <c r="AA1024" s="10"/>
      <c r="AB1024" s="10"/>
      <c r="AC1024" s="10"/>
      <c r="AD1024" s="10"/>
      <c r="AE1024" s="10"/>
    </row>
    <row r="1025" spans="1:32" s="3" customFormat="1" ht="20.100000000000001" customHeight="1" x14ac:dyDescent="0.2">
      <c r="A1025" s="87"/>
      <c r="B1025" s="10" t="s">
        <v>67</v>
      </c>
      <c r="C1025" s="93" t="s">
        <v>128</v>
      </c>
      <c r="D1025" s="10">
        <v>20</v>
      </c>
      <c r="E1025" s="10"/>
      <c r="F1025" s="10">
        <v>4</v>
      </c>
      <c r="G1025" s="90">
        <f>VLOOKUP(D1025,$C$20:$F$26,3,0)</f>
        <v>1.05</v>
      </c>
      <c r="H1025" s="90"/>
      <c r="I1025" s="10"/>
      <c r="J1025" s="10"/>
      <c r="K1025" s="10"/>
      <c r="L1025" s="10"/>
      <c r="M1025" s="10"/>
      <c r="N1025" s="10"/>
      <c r="O1025" s="10">
        <f>0.7+1*(0.4/2)</f>
        <v>0.89999999999999991</v>
      </c>
      <c r="P1025" s="10">
        <f t="shared" si="398"/>
        <v>3.5999999999999996</v>
      </c>
      <c r="Q1025" s="10">
        <f t="shared" si="399"/>
        <v>0</v>
      </c>
      <c r="R1025" s="10">
        <f t="shared" si="399"/>
        <v>0</v>
      </c>
      <c r="S1025" s="10">
        <f t="shared" si="399"/>
        <v>0</v>
      </c>
      <c r="T1025" s="10">
        <f t="shared" si="399"/>
        <v>0</v>
      </c>
      <c r="U1025" s="10">
        <f t="shared" si="399"/>
        <v>8.8817142857142848</v>
      </c>
      <c r="V1025" s="10">
        <f t="shared" si="399"/>
        <v>0</v>
      </c>
      <c r="W1025" s="10">
        <f t="shared" si="399"/>
        <v>0</v>
      </c>
      <c r="X1025" s="10">
        <f t="shared" si="400"/>
        <v>8.8817142857142848</v>
      </c>
      <c r="Y1025" s="10"/>
      <c r="Z1025" s="10"/>
      <c r="AA1025" s="10"/>
      <c r="AB1025" s="10"/>
      <c r="AC1025" s="10"/>
      <c r="AD1025" s="10"/>
      <c r="AE1025" s="10"/>
    </row>
    <row r="1026" spans="1:32" s="3" customFormat="1" ht="20.100000000000001" customHeight="1" x14ac:dyDescent="0.2">
      <c r="A1026" s="87"/>
      <c r="B1026" s="10" t="s">
        <v>67</v>
      </c>
      <c r="C1026" s="93" t="s">
        <v>73</v>
      </c>
      <c r="D1026" s="10">
        <v>8</v>
      </c>
      <c r="E1026" s="10">
        <v>0.1</v>
      </c>
      <c r="F1026" s="10">
        <f>ROUND(IF(E1022/3&gt;(2*G1022),(E1022/3)/E1026,(2*G1022)/E1026),0)*2+1</f>
        <v>21</v>
      </c>
      <c r="H1026" s="10"/>
      <c r="I1026" s="10"/>
      <c r="J1026" s="10"/>
      <c r="K1026" s="10"/>
      <c r="L1026" s="10"/>
      <c r="M1026" s="10"/>
      <c r="N1026" s="10"/>
      <c r="O1026" s="10">
        <f>(2*((G1022-(2*$D$11))+(F1022-(2*$D$11)))+(2*10*D1026/1000))*D1022</f>
        <v>1.72</v>
      </c>
      <c r="P1026" s="10">
        <f t="shared" si="398"/>
        <v>36.119999999999997</v>
      </c>
      <c r="Q1026" s="10">
        <f t="shared" si="399"/>
        <v>14.258112000000001</v>
      </c>
      <c r="R1026" s="10">
        <f t="shared" si="399"/>
        <v>0</v>
      </c>
      <c r="S1026" s="10">
        <f t="shared" si="399"/>
        <v>0</v>
      </c>
      <c r="T1026" s="10">
        <f t="shared" si="399"/>
        <v>0</v>
      </c>
      <c r="U1026" s="10">
        <f t="shared" si="399"/>
        <v>0</v>
      </c>
      <c r="V1026" s="10">
        <f t="shared" si="399"/>
        <v>0</v>
      </c>
      <c r="W1026" s="10">
        <f t="shared" si="399"/>
        <v>0</v>
      </c>
      <c r="X1026" s="10">
        <f t="shared" si="400"/>
        <v>14.258112000000001</v>
      </c>
      <c r="Y1026" s="10"/>
      <c r="Z1026" s="10"/>
      <c r="AA1026" s="10"/>
      <c r="AB1026" s="10"/>
      <c r="AC1026" s="10"/>
      <c r="AD1026" s="10"/>
      <c r="AE1026" s="10"/>
    </row>
    <row r="1027" spans="1:32" s="2" customFormat="1" ht="20.100000000000001" customHeight="1" x14ac:dyDescent="0.2">
      <c r="B1027" s="10" t="s">
        <v>67</v>
      </c>
      <c r="C1027" s="93" t="s">
        <v>73</v>
      </c>
      <c r="D1027" s="2">
        <f>D1026</f>
        <v>8</v>
      </c>
      <c r="E1027" s="2">
        <v>0.15</v>
      </c>
      <c r="F1027" s="2">
        <f>ROUND((E1022-(IF(E1022/3&gt;2*G1022,E1022/3*2,G1022*2*2)))/E1027,0)</f>
        <v>3</v>
      </c>
      <c r="G1027" s="3"/>
      <c r="O1027" s="10">
        <f>(2*((G1022-(2*$D$11))+(F1022-(2*$D$11)))+(2*10*D1027/1000))*D1022</f>
        <v>1.72</v>
      </c>
      <c r="P1027" s="10">
        <f t="shared" si="398"/>
        <v>5.16</v>
      </c>
      <c r="Q1027" s="10">
        <f t="shared" si="399"/>
        <v>2.0368731428571429</v>
      </c>
      <c r="R1027" s="10">
        <f t="shared" si="399"/>
        <v>0</v>
      </c>
      <c r="S1027" s="10">
        <f t="shared" si="399"/>
        <v>0</v>
      </c>
      <c r="T1027" s="10">
        <f t="shared" si="399"/>
        <v>0</v>
      </c>
      <c r="U1027" s="10">
        <f t="shared" si="399"/>
        <v>0</v>
      </c>
      <c r="V1027" s="10">
        <f t="shared" si="399"/>
        <v>0</v>
      </c>
      <c r="W1027" s="10">
        <f t="shared" si="399"/>
        <v>0</v>
      </c>
      <c r="X1027" s="10">
        <f t="shared" si="400"/>
        <v>2.0368731428571429</v>
      </c>
    </row>
    <row r="1028" spans="1:32" s="2" customFormat="1" ht="20.100000000000001" customHeight="1" x14ac:dyDescent="0.2">
      <c r="B1028" s="10" t="s">
        <v>67</v>
      </c>
      <c r="C1028" s="93" t="s">
        <v>74</v>
      </c>
      <c r="D1028" s="2">
        <f>D1026</f>
        <v>8</v>
      </c>
      <c r="E1028" s="2">
        <f>+E1026</f>
        <v>0.1</v>
      </c>
      <c r="F1028" s="10">
        <f>ROUND(IF(E1022/3&gt;(2*G1022),(E1022/3)/E1028,(2*G1022)/E1028),0)*2+1</f>
        <v>21</v>
      </c>
      <c r="G1028" s="3"/>
      <c r="O1028" s="10">
        <f>((((G1022-(2*$D$11))+(2*10*D1028/1000))*D1022))*1</f>
        <v>0.6</v>
      </c>
      <c r="P1028" s="10">
        <f t="shared" si="398"/>
        <v>12.6</v>
      </c>
      <c r="Q1028" s="10">
        <f t="shared" si="399"/>
        <v>4.9737600000000004</v>
      </c>
      <c r="R1028" s="10">
        <f t="shared" si="399"/>
        <v>0</v>
      </c>
      <c r="S1028" s="10">
        <f t="shared" si="399"/>
        <v>0</v>
      </c>
      <c r="T1028" s="10">
        <f t="shared" si="399"/>
        <v>0</v>
      </c>
      <c r="U1028" s="10">
        <f t="shared" si="399"/>
        <v>0</v>
      </c>
      <c r="V1028" s="10">
        <f t="shared" si="399"/>
        <v>0</v>
      </c>
      <c r="W1028" s="10">
        <f t="shared" si="399"/>
        <v>0</v>
      </c>
      <c r="X1028" s="10">
        <f t="shared" si="400"/>
        <v>4.9737600000000004</v>
      </c>
    </row>
    <row r="1029" spans="1:32" s="2" customFormat="1" ht="20.100000000000001" customHeight="1" x14ac:dyDescent="0.2">
      <c r="B1029" s="10" t="s">
        <v>67</v>
      </c>
      <c r="C1029" s="93" t="s">
        <v>74</v>
      </c>
      <c r="D1029" s="2">
        <f>D1027</f>
        <v>8</v>
      </c>
      <c r="E1029" s="2">
        <f>+E1027</f>
        <v>0.15</v>
      </c>
      <c r="F1029" s="2">
        <f>ROUND((E1022-(IF(E1022/3&gt;2*G1022,E1022/3*2,G1022*2*2)))/E1029,0)</f>
        <v>3</v>
      </c>
      <c r="G1029" s="3"/>
      <c r="O1029" s="10">
        <f>((((G1022-(2*$D$11))+(2*10*D1029/1000))*D1022))*1</f>
        <v>0.6</v>
      </c>
      <c r="P1029" s="10">
        <f t="shared" si="398"/>
        <v>1.7999999999999998</v>
      </c>
      <c r="Q1029" s="10">
        <f t="shared" si="399"/>
        <v>0.71053714285714287</v>
      </c>
      <c r="R1029" s="10">
        <f t="shared" si="399"/>
        <v>0</v>
      </c>
      <c r="S1029" s="10">
        <f t="shared" si="399"/>
        <v>0</v>
      </c>
      <c r="T1029" s="10">
        <f t="shared" si="399"/>
        <v>0</v>
      </c>
      <c r="U1029" s="10">
        <f t="shared" si="399"/>
        <v>0</v>
      </c>
      <c r="V1029" s="10">
        <f t="shared" si="399"/>
        <v>0</v>
      </c>
      <c r="W1029" s="10">
        <f t="shared" si="399"/>
        <v>0</v>
      </c>
      <c r="X1029" s="10">
        <f t="shared" si="400"/>
        <v>0.71053714285714287</v>
      </c>
    </row>
    <row r="1030" spans="1:32" s="3" customFormat="1" ht="20.100000000000001" customHeight="1" x14ac:dyDescent="0.2">
      <c r="A1030" s="87"/>
      <c r="B1030" s="10" t="s">
        <v>67</v>
      </c>
      <c r="C1030" s="93" t="s">
        <v>75</v>
      </c>
      <c r="D1030" s="10">
        <f>+$D$15</f>
        <v>25</v>
      </c>
      <c r="E1030" s="10">
        <f>+$E$15</f>
        <v>1</v>
      </c>
      <c r="F1030" s="10">
        <f>ROUNDUP((0.7)/E1030,0)</f>
        <v>1</v>
      </c>
      <c r="G1030" s="90"/>
      <c r="H1030" s="90"/>
      <c r="I1030" s="10"/>
      <c r="J1030" s="10"/>
      <c r="K1030" s="10"/>
      <c r="L1030" s="10"/>
      <c r="M1030" s="10"/>
      <c r="N1030" s="10"/>
      <c r="O1030" s="10">
        <f>F1022-$F$15</f>
        <v>0.34</v>
      </c>
      <c r="P1030" s="10">
        <f t="shared" si="398"/>
        <v>0.34</v>
      </c>
      <c r="Q1030" s="10">
        <f t="shared" si="399"/>
        <v>0</v>
      </c>
      <c r="R1030" s="10">
        <f t="shared" si="399"/>
        <v>0</v>
      </c>
      <c r="S1030" s="10">
        <f t="shared" si="399"/>
        <v>0</v>
      </c>
      <c r="T1030" s="10">
        <f t="shared" si="399"/>
        <v>0</v>
      </c>
      <c r="U1030" s="10">
        <f t="shared" si="399"/>
        <v>0</v>
      </c>
      <c r="V1030" s="10">
        <f t="shared" si="399"/>
        <v>1.3106696428571432</v>
      </c>
      <c r="W1030" s="10">
        <f t="shared" si="399"/>
        <v>0</v>
      </c>
      <c r="X1030" s="10">
        <f t="shared" si="400"/>
        <v>1.3106696428571432</v>
      </c>
      <c r="Y1030" s="10"/>
      <c r="Z1030" s="10"/>
      <c r="AA1030" s="10"/>
      <c r="AB1030" s="10"/>
      <c r="AC1030" s="10"/>
      <c r="AD1030" s="10"/>
      <c r="AE1030" s="10"/>
    </row>
    <row r="1031" spans="1:32" s="3" customFormat="1" ht="21" customHeight="1" x14ac:dyDescent="0.2">
      <c r="A1031" s="10">
        <v>1</v>
      </c>
      <c r="B1031" s="10" t="s">
        <v>67</v>
      </c>
      <c r="C1031" s="91" t="s">
        <v>212</v>
      </c>
      <c r="D1031" s="91">
        <v>1</v>
      </c>
      <c r="E1031" s="91">
        <v>7.37</v>
      </c>
      <c r="F1031" s="91">
        <v>0.4</v>
      </c>
      <c r="G1031" s="91">
        <v>0.5</v>
      </c>
      <c r="H1031" s="10">
        <f>G1031-0.2</f>
        <v>0.3</v>
      </c>
      <c r="I1031" s="10">
        <f>E1031*F1031*G1031*D1031</f>
        <v>1.4740000000000002</v>
      </c>
      <c r="J1031" s="10">
        <f>(2*(E1031)*H1031*D1031)+(E1031*F1031)</f>
        <v>7.37</v>
      </c>
      <c r="K1031" s="92">
        <f>IF(E1031=0.3,J1031,0)</f>
        <v>0</v>
      </c>
      <c r="L1031" s="92">
        <f>IF(AND(E1031&gt;0.3,E1031&lt;=0.75),J1031,0)</f>
        <v>0</v>
      </c>
      <c r="M1031" s="92">
        <f>IF(AND(E1031&gt;0.75,E1031&lt;=1.2),J1031,0)</f>
        <v>0</v>
      </c>
      <c r="N1031" s="92">
        <f>IF(E1031&gt;1.2,J1031,0)</f>
        <v>7.37</v>
      </c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>
        <f>SUM(X1032:X1040)/I1031</f>
        <v>236.10289339019189</v>
      </c>
      <c r="Z1031" s="10"/>
      <c r="AA1031" s="10"/>
      <c r="AB1031" s="10"/>
      <c r="AC1031" s="10"/>
      <c r="AD1031" s="10"/>
      <c r="AE1031" s="10"/>
      <c r="AF1031" s="10"/>
    </row>
    <row r="1032" spans="1:32" s="3" customFormat="1" ht="20.100000000000001" customHeight="1" x14ac:dyDescent="0.2">
      <c r="A1032" s="87"/>
      <c r="B1032" s="10" t="s">
        <v>67</v>
      </c>
      <c r="C1032" s="93" t="s">
        <v>69</v>
      </c>
      <c r="D1032" s="10">
        <v>16</v>
      </c>
      <c r="E1032" s="10"/>
      <c r="F1032" s="10">
        <v>4</v>
      </c>
      <c r="G1032" s="90">
        <f>VLOOKUP(D1032,$C$20:$F$26,3,0)</f>
        <v>0.85</v>
      </c>
      <c r="H1032" s="90"/>
      <c r="I1032" s="10"/>
      <c r="J1032" s="10"/>
      <c r="K1032" s="10"/>
      <c r="L1032" s="10"/>
      <c r="M1032" s="10"/>
      <c r="N1032" s="10"/>
      <c r="O1032" s="10">
        <f>(E1031+1*(G1032)+1*(0.4/2)*D1031)</f>
        <v>8.42</v>
      </c>
      <c r="P1032" s="10">
        <f t="shared" ref="P1032:P1040" si="401">O1032*F1032</f>
        <v>33.68</v>
      </c>
      <c r="Q1032" s="10">
        <f t="shared" ref="Q1032:W1040" si="402">IF($D1032=Q$44,$P1032*Q$45,0)</f>
        <v>0</v>
      </c>
      <c r="R1032" s="10">
        <f t="shared" si="402"/>
        <v>0</v>
      </c>
      <c r="S1032" s="10">
        <f t="shared" si="402"/>
        <v>0</v>
      </c>
      <c r="T1032" s="10">
        <f t="shared" si="402"/>
        <v>53.179757714285721</v>
      </c>
      <c r="U1032" s="10">
        <f t="shared" si="402"/>
        <v>0</v>
      </c>
      <c r="V1032" s="10">
        <f t="shared" si="402"/>
        <v>0</v>
      </c>
      <c r="W1032" s="10">
        <f t="shared" si="402"/>
        <v>0</v>
      </c>
      <c r="X1032" s="10">
        <f t="shared" ref="X1032:X1040" si="403">SUM(Q1032:W1032)</f>
        <v>53.179757714285721</v>
      </c>
      <c r="Y1032" s="10"/>
      <c r="Z1032" s="10"/>
      <c r="AA1032" s="10"/>
      <c r="AB1032" s="10"/>
      <c r="AC1032" s="10"/>
      <c r="AD1032" s="10"/>
      <c r="AE1032" s="10"/>
    </row>
    <row r="1033" spans="1:32" s="3" customFormat="1" ht="20.100000000000001" customHeight="1" x14ac:dyDescent="0.2">
      <c r="A1033" s="87"/>
      <c r="B1033" s="10" t="s">
        <v>67</v>
      </c>
      <c r="C1033" s="93" t="s">
        <v>158</v>
      </c>
      <c r="D1033" s="10">
        <v>20</v>
      </c>
      <c r="E1033" s="10"/>
      <c r="F1033" s="10">
        <v>4</v>
      </c>
      <c r="G1033" s="90">
        <f>VLOOKUP(D1033,$C$20:$F$26,3,0)</f>
        <v>1.05</v>
      </c>
      <c r="H1033" s="90"/>
      <c r="I1033" s="10"/>
      <c r="J1033" s="10"/>
      <c r="K1033" s="10"/>
      <c r="L1033" s="10"/>
      <c r="M1033" s="10"/>
      <c r="N1033" s="10"/>
      <c r="O1033" s="10">
        <f>(E1031+1*(G1033)+1*(0.4/2)*D1031)</f>
        <v>8.6199999999999992</v>
      </c>
      <c r="P1033" s="10">
        <f t="shared" si="401"/>
        <v>34.479999999999997</v>
      </c>
      <c r="Q1033" s="10">
        <f t="shared" si="402"/>
        <v>0</v>
      </c>
      <c r="R1033" s="10">
        <f t="shared" si="402"/>
        <v>0</v>
      </c>
      <c r="S1033" s="10">
        <f t="shared" si="402"/>
        <v>0</v>
      </c>
      <c r="T1033" s="10">
        <f t="shared" si="402"/>
        <v>0</v>
      </c>
      <c r="U1033" s="10">
        <f t="shared" si="402"/>
        <v>85.06708571428571</v>
      </c>
      <c r="V1033" s="10">
        <f t="shared" si="402"/>
        <v>0</v>
      </c>
      <c r="W1033" s="10">
        <f t="shared" si="402"/>
        <v>0</v>
      </c>
      <c r="X1033" s="10">
        <f t="shared" si="403"/>
        <v>85.06708571428571</v>
      </c>
      <c r="Y1033" s="10"/>
      <c r="Z1033" s="10"/>
      <c r="AA1033" s="10"/>
      <c r="AB1033" s="10"/>
      <c r="AC1033" s="10"/>
      <c r="AD1033" s="10"/>
      <c r="AE1033" s="10"/>
    </row>
    <row r="1034" spans="1:32" s="3" customFormat="1" ht="20.100000000000001" customHeight="1" x14ac:dyDescent="0.2">
      <c r="A1034" s="87"/>
      <c r="B1034" s="10" t="s">
        <v>67</v>
      </c>
      <c r="C1034" s="93" t="s">
        <v>128</v>
      </c>
      <c r="D1034" s="10">
        <v>20</v>
      </c>
      <c r="E1034" s="10"/>
      <c r="F1034" s="10">
        <v>4</v>
      </c>
      <c r="G1034" s="90">
        <f>VLOOKUP(D1034,$C$20:$F$26,3,0)</f>
        <v>1.05</v>
      </c>
      <c r="H1034" s="90"/>
      <c r="I1034" s="10"/>
      <c r="J1034" s="10"/>
      <c r="K1034" s="10"/>
      <c r="L1034" s="10"/>
      <c r="M1034" s="10"/>
      <c r="N1034" s="10"/>
      <c r="O1034" s="10">
        <f>1.9+1*(G1034)</f>
        <v>2.95</v>
      </c>
      <c r="P1034" s="10">
        <f t="shared" si="401"/>
        <v>11.8</v>
      </c>
      <c r="Q1034" s="10">
        <f t="shared" si="402"/>
        <v>0</v>
      </c>
      <c r="R1034" s="10">
        <f t="shared" si="402"/>
        <v>0</v>
      </c>
      <c r="S1034" s="10">
        <f t="shared" si="402"/>
        <v>0</v>
      </c>
      <c r="T1034" s="10">
        <f t="shared" si="402"/>
        <v>0</v>
      </c>
      <c r="U1034" s="10">
        <f t="shared" si="402"/>
        <v>29.112285714285715</v>
      </c>
      <c r="V1034" s="10">
        <f t="shared" si="402"/>
        <v>0</v>
      </c>
      <c r="W1034" s="10">
        <f t="shared" si="402"/>
        <v>0</v>
      </c>
      <c r="X1034" s="10">
        <f t="shared" si="403"/>
        <v>29.112285714285715</v>
      </c>
      <c r="Y1034" s="10"/>
      <c r="Z1034" s="10"/>
      <c r="AA1034" s="10"/>
      <c r="AB1034" s="10"/>
      <c r="AC1034" s="10"/>
      <c r="AD1034" s="10"/>
      <c r="AE1034" s="10"/>
    </row>
    <row r="1035" spans="1:32" s="3" customFormat="1" ht="20.100000000000001" customHeight="1" x14ac:dyDescent="0.2">
      <c r="A1035" s="87"/>
      <c r="B1035" s="10" t="s">
        <v>67</v>
      </c>
      <c r="C1035" s="93" t="s">
        <v>128</v>
      </c>
      <c r="D1035" s="10">
        <v>20</v>
      </c>
      <c r="E1035" s="10"/>
      <c r="F1035" s="10">
        <v>4</v>
      </c>
      <c r="G1035" s="90">
        <f>VLOOKUP(D1035,$C$20:$F$26,3,0)</f>
        <v>1.05</v>
      </c>
      <c r="H1035" s="90"/>
      <c r="I1035" s="10"/>
      <c r="J1035" s="10"/>
      <c r="K1035" s="10"/>
      <c r="L1035" s="10"/>
      <c r="M1035" s="10"/>
      <c r="N1035" s="10"/>
      <c r="O1035" s="10">
        <f>1.9+1*(0.4/2)</f>
        <v>2.1</v>
      </c>
      <c r="P1035" s="10">
        <f t="shared" si="401"/>
        <v>8.4</v>
      </c>
      <c r="Q1035" s="10">
        <f t="shared" si="402"/>
        <v>0</v>
      </c>
      <c r="R1035" s="10">
        <f t="shared" si="402"/>
        <v>0</v>
      </c>
      <c r="S1035" s="10">
        <f t="shared" si="402"/>
        <v>0</v>
      </c>
      <c r="T1035" s="10">
        <f t="shared" si="402"/>
        <v>0</v>
      </c>
      <c r="U1035" s="10">
        <f t="shared" si="402"/>
        <v>20.724</v>
      </c>
      <c r="V1035" s="10">
        <f t="shared" si="402"/>
        <v>0</v>
      </c>
      <c r="W1035" s="10">
        <f t="shared" si="402"/>
        <v>0</v>
      </c>
      <c r="X1035" s="10">
        <f t="shared" si="403"/>
        <v>20.724</v>
      </c>
      <c r="Y1035" s="10"/>
      <c r="Z1035" s="10"/>
      <c r="AA1035" s="10"/>
      <c r="AB1035" s="10"/>
      <c r="AC1035" s="10"/>
      <c r="AD1035" s="10"/>
      <c r="AE1035" s="10"/>
    </row>
    <row r="1036" spans="1:32" s="3" customFormat="1" ht="20.100000000000001" customHeight="1" x14ac:dyDescent="0.2">
      <c r="A1036" s="87"/>
      <c r="B1036" s="10" t="s">
        <v>67</v>
      </c>
      <c r="C1036" s="93" t="s">
        <v>73</v>
      </c>
      <c r="D1036" s="10">
        <v>10</v>
      </c>
      <c r="E1036" s="10">
        <v>0.1</v>
      </c>
      <c r="F1036" s="10">
        <f>ROUND(IF(E1031/3&gt;(2*G1031),(E1031/3)/E1036,(2*G1031)/E1036),0)*2+1</f>
        <v>51</v>
      </c>
      <c r="H1036" s="10"/>
      <c r="I1036" s="10"/>
      <c r="J1036" s="10"/>
      <c r="K1036" s="10"/>
      <c r="L1036" s="10"/>
      <c r="M1036" s="10"/>
      <c r="N1036" s="10"/>
      <c r="O1036" s="10">
        <f>(2*((G1031-(2*$D$11))+(F1031-(2*$D$11)))+(2*10*D1036/1000))*D1031</f>
        <v>1.76</v>
      </c>
      <c r="P1036" s="10">
        <f t="shared" si="401"/>
        <v>89.76</v>
      </c>
      <c r="Q1036" s="10">
        <f t="shared" si="402"/>
        <v>0</v>
      </c>
      <c r="R1036" s="10">
        <f t="shared" si="402"/>
        <v>55.362685714285718</v>
      </c>
      <c r="S1036" s="10">
        <f t="shared" si="402"/>
        <v>0</v>
      </c>
      <c r="T1036" s="10">
        <f t="shared" si="402"/>
        <v>0</v>
      </c>
      <c r="U1036" s="10">
        <f t="shared" si="402"/>
        <v>0</v>
      </c>
      <c r="V1036" s="10">
        <f t="shared" si="402"/>
        <v>0</v>
      </c>
      <c r="W1036" s="10">
        <f t="shared" si="402"/>
        <v>0</v>
      </c>
      <c r="X1036" s="10">
        <f t="shared" si="403"/>
        <v>55.362685714285718</v>
      </c>
      <c r="Y1036" s="10"/>
      <c r="Z1036" s="10"/>
      <c r="AA1036" s="10"/>
      <c r="AB1036" s="10"/>
      <c r="AC1036" s="10"/>
      <c r="AD1036" s="10"/>
      <c r="AE1036" s="10"/>
    </row>
    <row r="1037" spans="1:32" s="2" customFormat="1" ht="20.100000000000001" customHeight="1" x14ac:dyDescent="0.2">
      <c r="B1037" s="10" t="s">
        <v>67</v>
      </c>
      <c r="C1037" s="93" t="s">
        <v>73</v>
      </c>
      <c r="D1037" s="2">
        <f>D1036</f>
        <v>10</v>
      </c>
      <c r="E1037" s="2">
        <v>0.15</v>
      </c>
      <c r="F1037" s="2">
        <f>ROUND((E1031-(IF(E1031/3&gt;2*G1031,E1031/3*2,G1031*2*2)))/E1037,0)</f>
        <v>16</v>
      </c>
      <c r="G1037" s="3"/>
      <c r="O1037" s="10">
        <f>(2*((G1031-(2*$D$11))+(F1031-(2*$D$11)))+(2*10*D1037/1000))*D1031</f>
        <v>1.76</v>
      </c>
      <c r="P1037" s="10">
        <f t="shared" si="401"/>
        <v>28.16</v>
      </c>
      <c r="Q1037" s="10">
        <f t="shared" si="402"/>
        <v>0</v>
      </c>
      <c r="R1037" s="10">
        <f t="shared" si="402"/>
        <v>17.368685714285714</v>
      </c>
      <c r="S1037" s="10">
        <f t="shared" si="402"/>
        <v>0</v>
      </c>
      <c r="T1037" s="10">
        <f t="shared" si="402"/>
        <v>0</v>
      </c>
      <c r="U1037" s="10">
        <f t="shared" si="402"/>
        <v>0</v>
      </c>
      <c r="V1037" s="10">
        <f t="shared" si="402"/>
        <v>0</v>
      </c>
      <c r="W1037" s="10">
        <f t="shared" si="402"/>
        <v>0</v>
      </c>
      <c r="X1037" s="10">
        <f t="shared" si="403"/>
        <v>17.368685714285714</v>
      </c>
    </row>
    <row r="1038" spans="1:32" s="2" customFormat="1" ht="20.100000000000001" customHeight="1" x14ac:dyDescent="0.2">
      <c r="B1038" s="10" t="s">
        <v>67</v>
      </c>
      <c r="C1038" s="93" t="s">
        <v>74</v>
      </c>
      <c r="D1038" s="2">
        <f>D1036</f>
        <v>10</v>
      </c>
      <c r="E1038" s="2">
        <f>+E1036</f>
        <v>0.1</v>
      </c>
      <c r="F1038" s="10">
        <f>ROUND(IF(E1031/3&gt;(2*G1031),(E1031/3)/E1038,(2*G1031)/E1038),0)*2+1</f>
        <v>51</v>
      </c>
      <c r="G1038" s="3"/>
      <c r="O1038" s="10">
        <f>((((G1031-(2*$D$11))+(2*10*D1038/1000))*D1031))*1</f>
        <v>0.64</v>
      </c>
      <c r="P1038" s="10">
        <f t="shared" si="401"/>
        <v>32.64</v>
      </c>
      <c r="Q1038" s="10">
        <f t="shared" si="402"/>
        <v>0</v>
      </c>
      <c r="R1038" s="10">
        <f t="shared" si="402"/>
        <v>20.131885714285715</v>
      </c>
      <c r="S1038" s="10">
        <f t="shared" si="402"/>
        <v>0</v>
      </c>
      <c r="T1038" s="10">
        <f t="shared" si="402"/>
        <v>0</v>
      </c>
      <c r="U1038" s="10">
        <f t="shared" si="402"/>
        <v>0</v>
      </c>
      <c r="V1038" s="10">
        <f t="shared" si="402"/>
        <v>0</v>
      </c>
      <c r="W1038" s="10">
        <f t="shared" si="402"/>
        <v>0</v>
      </c>
      <c r="X1038" s="10">
        <f t="shared" si="403"/>
        <v>20.131885714285715</v>
      </c>
    </row>
    <row r="1039" spans="1:32" s="2" customFormat="1" ht="20.100000000000001" customHeight="1" x14ac:dyDescent="0.2">
      <c r="B1039" s="10" t="s">
        <v>67</v>
      </c>
      <c r="C1039" s="93" t="s">
        <v>74</v>
      </c>
      <c r="D1039" s="2">
        <f>D1037</f>
        <v>10</v>
      </c>
      <c r="E1039" s="2">
        <f>+E1037</f>
        <v>0.15</v>
      </c>
      <c r="F1039" s="2">
        <f>ROUND((E1031-(IF(E1031/3&gt;2*G1031,E1031/3*2,G1031*2*2)))/E1039,0)</f>
        <v>16</v>
      </c>
      <c r="G1039" s="3"/>
      <c r="O1039" s="10">
        <f>((((G1031-(2*$D$11))+(2*10*D1039/1000))*D1031))*1</f>
        <v>0.64</v>
      </c>
      <c r="P1039" s="10">
        <f t="shared" si="401"/>
        <v>10.24</v>
      </c>
      <c r="Q1039" s="10">
        <f t="shared" si="402"/>
        <v>0</v>
      </c>
      <c r="R1039" s="10">
        <f t="shared" si="402"/>
        <v>6.3158857142857139</v>
      </c>
      <c r="S1039" s="10">
        <f t="shared" si="402"/>
        <v>0</v>
      </c>
      <c r="T1039" s="10">
        <f t="shared" si="402"/>
        <v>0</v>
      </c>
      <c r="U1039" s="10">
        <f t="shared" si="402"/>
        <v>0</v>
      </c>
      <c r="V1039" s="10">
        <f t="shared" si="402"/>
        <v>0</v>
      </c>
      <c r="W1039" s="10">
        <f t="shared" si="402"/>
        <v>0</v>
      </c>
      <c r="X1039" s="10">
        <f t="shared" si="403"/>
        <v>6.3158857142857139</v>
      </c>
    </row>
    <row r="1040" spans="1:32" s="3" customFormat="1" ht="20.100000000000001" customHeight="1" x14ac:dyDescent="0.2">
      <c r="A1040" s="87"/>
      <c r="B1040" s="10" t="s">
        <v>67</v>
      </c>
      <c r="C1040" s="93" t="s">
        <v>75</v>
      </c>
      <c r="D1040" s="10">
        <f>+$D$15</f>
        <v>25</v>
      </c>
      <c r="E1040" s="10">
        <f>+$E$15</f>
        <v>1</v>
      </c>
      <c r="F1040" s="10">
        <f>ROUNDUP((1.9+1.9)/E1040,0)</f>
        <v>4</v>
      </c>
      <c r="G1040" s="90"/>
      <c r="H1040" s="90"/>
      <c r="I1040" s="10"/>
      <c r="J1040" s="10"/>
      <c r="K1040" s="10"/>
      <c r="L1040" s="10"/>
      <c r="M1040" s="10"/>
      <c r="N1040" s="10"/>
      <c r="O1040" s="10">
        <f>F1032-$F$15</f>
        <v>3.94</v>
      </c>
      <c r="P1040" s="10">
        <f t="shared" si="401"/>
        <v>15.76</v>
      </c>
      <c r="Q1040" s="10">
        <f t="shared" si="402"/>
        <v>0</v>
      </c>
      <c r="R1040" s="10">
        <f t="shared" si="402"/>
        <v>0</v>
      </c>
      <c r="S1040" s="10">
        <f t="shared" si="402"/>
        <v>0</v>
      </c>
      <c r="T1040" s="10">
        <f t="shared" si="402"/>
        <v>0</v>
      </c>
      <c r="U1040" s="10">
        <f t="shared" si="402"/>
        <v>0</v>
      </c>
      <c r="V1040" s="10">
        <f t="shared" si="402"/>
        <v>60.753392857142863</v>
      </c>
      <c r="W1040" s="10">
        <f t="shared" si="402"/>
        <v>0</v>
      </c>
      <c r="X1040" s="10">
        <f t="shared" si="403"/>
        <v>60.753392857142863</v>
      </c>
      <c r="Y1040" s="10"/>
      <c r="Z1040" s="10"/>
      <c r="AA1040" s="10"/>
      <c r="AB1040" s="10"/>
      <c r="AC1040" s="10"/>
      <c r="AD1040" s="10"/>
      <c r="AE1040" s="10"/>
    </row>
    <row r="1041" spans="1:32" s="3" customFormat="1" ht="21" customHeight="1" x14ac:dyDescent="0.2">
      <c r="A1041" s="10">
        <v>1</v>
      </c>
      <c r="B1041" s="10" t="s">
        <v>67</v>
      </c>
      <c r="C1041" s="91" t="s">
        <v>176</v>
      </c>
      <c r="D1041" s="91">
        <v>1</v>
      </c>
      <c r="E1041" s="91">
        <v>6</v>
      </c>
      <c r="F1041" s="91">
        <v>0.45</v>
      </c>
      <c r="G1041" s="91">
        <v>0.6</v>
      </c>
      <c r="H1041" s="10">
        <f>G1041-0.2</f>
        <v>0.39999999999999997</v>
      </c>
      <c r="I1041" s="10">
        <f>E1041*F1041*G1041*D1041</f>
        <v>1.62</v>
      </c>
      <c r="J1041" s="10">
        <f>(2*(E1041)*H1041*D1041)+(E1041*F1041)</f>
        <v>7.5</v>
      </c>
      <c r="K1041" s="92">
        <f>IF(E1041=0.3,J1041,0)</f>
        <v>0</v>
      </c>
      <c r="L1041" s="92">
        <f>IF(AND(E1041&gt;0.3,E1041&lt;=0.75),J1041,0)</f>
        <v>0</v>
      </c>
      <c r="M1041" s="92">
        <f>IF(AND(E1041&gt;0.75,E1041&lt;=1.2),J1041,0)</f>
        <v>0</v>
      </c>
      <c r="N1041" s="92">
        <f>IF(E1041&gt;1.2,J1041,0)</f>
        <v>7.5</v>
      </c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>
        <f>SUM(X1042:X1050)/I1041</f>
        <v>222.67642552028215</v>
      </c>
      <c r="Z1041" s="10"/>
      <c r="AA1041" s="10"/>
      <c r="AB1041" s="10"/>
      <c r="AC1041" s="10"/>
      <c r="AD1041" s="10"/>
      <c r="AE1041" s="10"/>
      <c r="AF1041" s="10"/>
    </row>
    <row r="1042" spans="1:32" s="3" customFormat="1" ht="20.100000000000001" customHeight="1" x14ac:dyDescent="0.2">
      <c r="A1042" s="87"/>
      <c r="B1042" s="10" t="s">
        <v>67</v>
      </c>
      <c r="C1042" s="93" t="s">
        <v>69</v>
      </c>
      <c r="D1042" s="10">
        <v>20</v>
      </c>
      <c r="E1042" s="10"/>
      <c r="F1042" s="10">
        <v>4</v>
      </c>
      <c r="G1042" s="90">
        <f>VLOOKUP(D1042,$C$20:$F$26,3,0)</f>
        <v>1.05</v>
      </c>
      <c r="H1042" s="90"/>
      <c r="I1042" s="10"/>
      <c r="J1042" s="10"/>
      <c r="K1042" s="10"/>
      <c r="L1042" s="10"/>
      <c r="M1042" s="10"/>
      <c r="N1042" s="10"/>
      <c r="O1042" s="10">
        <f>(E1041+1*(G1042+(12*D1042/1000))+G1042+1*(0.3/2)*D1041)</f>
        <v>8.49</v>
      </c>
      <c r="P1042" s="10">
        <f t="shared" ref="P1042:P1050" si="404">O1042*F1042</f>
        <v>33.96</v>
      </c>
      <c r="Q1042" s="10">
        <f t="shared" ref="Q1042:W1062" si="405">IF($D1042=Q$44,$P1042*Q$45,0)</f>
        <v>0</v>
      </c>
      <c r="R1042" s="10">
        <f t="shared" si="405"/>
        <v>0</v>
      </c>
      <c r="S1042" s="10">
        <f t="shared" si="405"/>
        <v>0</v>
      </c>
      <c r="T1042" s="10">
        <f t="shared" si="405"/>
        <v>0</v>
      </c>
      <c r="U1042" s="10">
        <f t="shared" si="405"/>
        <v>83.784171428571426</v>
      </c>
      <c r="V1042" s="10">
        <f t="shared" si="405"/>
        <v>0</v>
      </c>
      <c r="W1042" s="10">
        <f t="shared" si="405"/>
        <v>0</v>
      </c>
      <c r="X1042" s="10">
        <f t="shared" ref="X1042:X1050" si="406">SUM(Q1042:W1042)</f>
        <v>83.784171428571426</v>
      </c>
      <c r="Y1042" s="10"/>
      <c r="Z1042" s="10"/>
      <c r="AA1042" s="10"/>
      <c r="AB1042" s="10"/>
      <c r="AC1042" s="10"/>
      <c r="AD1042" s="10"/>
      <c r="AE1042" s="10"/>
    </row>
    <row r="1043" spans="1:32" s="3" customFormat="1" ht="20.100000000000001" customHeight="1" x14ac:dyDescent="0.2">
      <c r="A1043" s="87"/>
      <c r="B1043" s="10" t="s">
        <v>67</v>
      </c>
      <c r="C1043" s="93" t="s">
        <v>158</v>
      </c>
      <c r="D1043" s="10">
        <v>20</v>
      </c>
      <c r="E1043" s="10"/>
      <c r="F1043" s="10">
        <v>5</v>
      </c>
      <c r="G1043" s="90">
        <f>VLOOKUP(D1043,$C$20:$F$26,3,0)</f>
        <v>1.05</v>
      </c>
      <c r="H1043" s="90"/>
      <c r="I1043" s="10"/>
      <c r="J1043" s="10"/>
      <c r="K1043" s="10"/>
      <c r="L1043" s="10"/>
      <c r="M1043" s="10"/>
      <c r="N1043" s="10"/>
      <c r="O1043" s="10">
        <f>(E1041+1*(G1043+(12*D1043/1000))+G1043+1*(0.3/2)*D1041)</f>
        <v>8.49</v>
      </c>
      <c r="P1043" s="10">
        <f t="shared" si="404"/>
        <v>42.45</v>
      </c>
      <c r="Q1043" s="10">
        <f t="shared" si="405"/>
        <v>0</v>
      </c>
      <c r="R1043" s="10">
        <f t="shared" si="405"/>
        <v>0</v>
      </c>
      <c r="S1043" s="10">
        <f t="shared" si="405"/>
        <v>0</v>
      </c>
      <c r="T1043" s="10">
        <f t="shared" si="405"/>
        <v>0</v>
      </c>
      <c r="U1043" s="10">
        <f t="shared" si="405"/>
        <v>104.7302142857143</v>
      </c>
      <c r="V1043" s="10">
        <f t="shared" si="405"/>
        <v>0</v>
      </c>
      <c r="W1043" s="10">
        <f t="shared" si="405"/>
        <v>0</v>
      </c>
      <c r="X1043" s="10">
        <f t="shared" si="406"/>
        <v>104.7302142857143</v>
      </c>
      <c r="Y1043" s="10"/>
      <c r="Z1043" s="10"/>
      <c r="AA1043" s="10"/>
      <c r="AB1043" s="10"/>
      <c r="AC1043" s="10"/>
      <c r="AD1043" s="10"/>
      <c r="AE1043" s="10"/>
    </row>
    <row r="1044" spans="1:32" s="3" customFormat="1" ht="20.100000000000001" customHeight="1" x14ac:dyDescent="0.2">
      <c r="A1044" s="87"/>
      <c r="B1044" s="10" t="s">
        <v>67</v>
      </c>
      <c r="C1044" s="93" t="s">
        <v>128</v>
      </c>
      <c r="D1044" s="10">
        <v>16</v>
      </c>
      <c r="E1044" s="10"/>
      <c r="F1044" s="10">
        <v>4</v>
      </c>
      <c r="G1044" s="90">
        <f>VLOOKUP(D1044,$C$20:$F$26,3,0)</f>
        <v>0.85</v>
      </c>
      <c r="H1044" s="90"/>
      <c r="I1044" s="10"/>
      <c r="J1044" s="10"/>
      <c r="K1044" s="10"/>
      <c r="L1044" s="10"/>
      <c r="M1044" s="10"/>
      <c r="N1044" s="10"/>
      <c r="O1044" s="10">
        <f>(1.75+1*(G1044+(12*D1044/1000))+G1044*D1041)</f>
        <v>3.6419999999999999</v>
      </c>
      <c r="P1044" s="10">
        <f t="shared" si="404"/>
        <v>14.568</v>
      </c>
      <c r="Q1044" s="10">
        <f t="shared" si="405"/>
        <v>0</v>
      </c>
      <c r="R1044" s="10">
        <f t="shared" si="405"/>
        <v>0</v>
      </c>
      <c r="S1044" s="10">
        <f t="shared" si="405"/>
        <v>0</v>
      </c>
      <c r="T1044" s="10">
        <f t="shared" si="405"/>
        <v>23.002455771428572</v>
      </c>
      <c r="U1044" s="10">
        <f t="shared" si="405"/>
        <v>0</v>
      </c>
      <c r="V1044" s="10">
        <f t="shared" si="405"/>
        <v>0</v>
      </c>
      <c r="W1044" s="10">
        <f t="shared" si="405"/>
        <v>0</v>
      </c>
      <c r="X1044" s="10">
        <f t="shared" si="406"/>
        <v>23.002455771428572</v>
      </c>
      <c r="Y1044" s="10"/>
      <c r="Z1044" s="10"/>
      <c r="AA1044" s="10"/>
      <c r="AB1044" s="10"/>
      <c r="AC1044" s="10"/>
      <c r="AD1044" s="10"/>
      <c r="AE1044" s="10"/>
    </row>
    <row r="1045" spans="1:32" s="3" customFormat="1" ht="20.100000000000001" customHeight="1" x14ac:dyDescent="0.2">
      <c r="A1045" s="87"/>
      <c r="B1045" s="10" t="s">
        <v>67</v>
      </c>
      <c r="C1045" s="93" t="s">
        <v>128</v>
      </c>
      <c r="D1045" s="10">
        <v>20</v>
      </c>
      <c r="E1045" s="10"/>
      <c r="F1045" s="10">
        <v>4</v>
      </c>
      <c r="G1045" s="90">
        <f>VLOOKUP(D1045,$C$20:$F$26,3,0)</f>
        <v>1.05</v>
      </c>
      <c r="H1045" s="90"/>
      <c r="I1045" s="10"/>
      <c r="J1045" s="10"/>
      <c r="K1045" s="10"/>
      <c r="L1045" s="10"/>
      <c r="M1045" s="10"/>
      <c r="N1045" s="10"/>
      <c r="O1045" s="10">
        <f>(1.75+1*(0.3/2)*D1041)</f>
        <v>1.9</v>
      </c>
      <c r="P1045" s="10">
        <f t="shared" si="404"/>
        <v>7.6</v>
      </c>
      <c r="Q1045" s="10">
        <f t="shared" si="405"/>
        <v>0</v>
      </c>
      <c r="R1045" s="10">
        <f t="shared" si="405"/>
        <v>0</v>
      </c>
      <c r="S1045" s="10">
        <f t="shared" si="405"/>
        <v>0</v>
      </c>
      <c r="T1045" s="10">
        <f t="shared" si="405"/>
        <v>0</v>
      </c>
      <c r="U1045" s="10">
        <f t="shared" si="405"/>
        <v>18.750285714285713</v>
      </c>
      <c r="V1045" s="10">
        <f t="shared" si="405"/>
        <v>0</v>
      </c>
      <c r="W1045" s="10">
        <f t="shared" si="405"/>
        <v>0</v>
      </c>
      <c r="X1045" s="10">
        <f t="shared" si="406"/>
        <v>18.750285714285713</v>
      </c>
      <c r="Y1045" s="10"/>
      <c r="Z1045" s="10"/>
      <c r="AA1045" s="10"/>
      <c r="AB1045" s="10"/>
      <c r="AC1045" s="10"/>
      <c r="AD1045" s="10"/>
      <c r="AE1045" s="10"/>
    </row>
    <row r="1046" spans="1:32" s="3" customFormat="1" ht="20.100000000000001" customHeight="1" x14ac:dyDescent="0.2">
      <c r="A1046" s="87"/>
      <c r="B1046" s="10" t="s">
        <v>67</v>
      </c>
      <c r="C1046" s="93" t="s">
        <v>73</v>
      </c>
      <c r="D1046" s="10">
        <v>10</v>
      </c>
      <c r="E1046" s="10">
        <v>0.1</v>
      </c>
      <c r="F1046" s="10">
        <f>ROUND(IF(E1041/3&gt;(2*G1041),(E1041/3)/E1046,(2*G1041)/E1046),0)*2+1</f>
        <v>41</v>
      </c>
      <c r="H1046" s="10"/>
      <c r="I1046" s="10"/>
      <c r="J1046" s="10"/>
      <c r="K1046" s="10"/>
      <c r="L1046" s="10"/>
      <c r="M1046" s="10"/>
      <c r="N1046" s="10"/>
      <c r="O1046" s="10">
        <f>(2*((G1041-(2*$D$11))+(F1041-(2*$D$11)))+(2*10*D1046/1000))*D1041</f>
        <v>2.06</v>
      </c>
      <c r="P1046" s="10">
        <f t="shared" si="404"/>
        <v>84.460000000000008</v>
      </c>
      <c r="Q1046" s="10">
        <f t="shared" si="405"/>
        <v>0</v>
      </c>
      <c r="R1046" s="10">
        <f t="shared" si="405"/>
        <v>52.093721428571435</v>
      </c>
      <c r="S1046" s="10">
        <f t="shared" si="405"/>
        <v>0</v>
      </c>
      <c r="T1046" s="10">
        <f t="shared" si="405"/>
        <v>0</v>
      </c>
      <c r="U1046" s="10">
        <f t="shared" si="405"/>
        <v>0</v>
      </c>
      <c r="V1046" s="10">
        <f t="shared" si="405"/>
        <v>0</v>
      </c>
      <c r="W1046" s="10">
        <f t="shared" si="405"/>
        <v>0</v>
      </c>
      <c r="X1046" s="10">
        <f t="shared" si="406"/>
        <v>52.093721428571435</v>
      </c>
      <c r="Y1046" s="10"/>
      <c r="Z1046" s="10"/>
      <c r="AA1046" s="10"/>
      <c r="AB1046" s="10"/>
      <c r="AC1046" s="10"/>
      <c r="AD1046" s="10"/>
      <c r="AE1046" s="10"/>
    </row>
    <row r="1047" spans="1:32" s="2" customFormat="1" ht="20.100000000000001" customHeight="1" x14ac:dyDescent="0.2">
      <c r="B1047" s="10" t="s">
        <v>67</v>
      </c>
      <c r="C1047" s="93" t="s">
        <v>73</v>
      </c>
      <c r="D1047" s="2">
        <f>D1046</f>
        <v>10</v>
      </c>
      <c r="E1047" s="2">
        <v>0.125</v>
      </c>
      <c r="F1047" s="2">
        <f>ROUND((E1041-(IF(E1041/3&gt;2*G1041,E1041/3*2,G1041*2*2)))/E1047,0)</f>
        <v>16</v>
      </c>
      <c r="G1047" s="3"/>
      <c r="O1047" s="10">
        <f>(2*((G1041-(2*$D$11))+(F1041-(2*$D$11)))+(2*10*D1047/1000))*D1041</f>
        <v>2.06</v>
      </c>
      <c r="P1047" s="10">
        <f t="shared" si="404"/>
        <v>32.96</v>
      </c>
      <c r="Q1047" s="10">
        <f t="shared" si="405"/>
        <v>0</v>
      </c>
      <c r="R1047" s="10">
        <f t="shared" si="405"/>
        <v>20.329257142857141</v>
      </c>
      <c r="S1047" s="10">
        <f t="shared" si="405"/>
        <v>0</v>
      </c>
      <c r="T1047" s="10">
        <f t="shared" si="405"/>
        <v>0</v>
      </c>
      <c r="U1047" s="10">
        <f t="shared" si="405"/>
        <v>0</v>
      </c>
      <c r="V1047" s="10">
        <f t="shared" si="405"/>
        <v>0</v>
      </c>
      <c r="W1047" s="10">
        <f t="shared" si="405"/>
        <v>0</v>
      </c>
      <c r="X1047" s="10">
        <f t="shared" si="406"/>
        <v>20.329257142857141</v>
      </c>
    </row>
    <row r="1048" spans="1:32" s="2" customFormat="1" ht="20.100000000000001" customHeight="1" x14ac:dyDescent="0.2">
      <c r="B1048" s="10" t="s">
        <v>67</v>
      </c>
      <c r="C1048" s="93" t="s">
        <v>74</v>
      </c>
      <c r="D1048" s="2">
        <f>D1046</f>
        <v>10</v>
      </c>
      <c r="E1048" s="2">
        <f>+E1046</f>
        <v>0.1</v>
      </c>
      <c r="F1048" s="10">
        <f>ROUND(IF(E1041/3&gt;(2*G1041),(E1041/3)/E1048,(2*G1041)/E1048),0)*2+1</f>
        <v>41</v>
      </c>
      <c r="G1048" s="3"/>
      <c r="O1048" s="10">
        <f>((((G1041-(2*$D$11))+(2*10*D1048/1000))*D1041))*2</f>
        <v>1.48</v>
      </c>
      <c r="P1048" s="10">
        <f t="shared" si="404"/>
        <v>60.68</v>
      </c>
      <c r="Q1048" s="10">
        <f t="shared" si="405"/>
        <v>0</v>
      </c>
      <c r="R1048" s="10">
        <f t="shared" si="405"/>
        <v>37.426557142857142</v>
      </c>
      <c r="S1048" s="10">
        <f t="shared" si="405"/>
        <v>0</v>
      </c>
      <c r="T1048" s="10">
        <f t="shared" si="405"/>
        <v>0</v>
      </c>
      <c r="U1048" s="10">
        <f t="shared" si="405"/>
        <v>0</v>
      </c>
      <c r="V1048" s="10">
        <f t="shared" si="405"/>
        <v>0</v>
      </c>
      <c r="W1048" s="10">
        <f t="shared" si="405"/>
        <v>0</v>
      </c>
      <c r="X1048" s="10">
        <f t="shared" si="406"/>
        <v>37.426557142857142</v>
      </c>
    </row>
    <row r="1049" spans="1:32" s="2" customFormat="1" ht="20.100000000000001" customHeight="1" x14ac:dyDescent="0.2">
      <c r="B1049" s="10" t="s">
        <v>67</v>
      </c>
      <c r="C1049" s="93" t="s">
        <v>74</v>
      </c>
      <c r="D1049" s="2">
        <f>D1047</f>
        <v>10</v>
      </c>
      <c r="E1049" s="2">
        <f>+E1047</f>
        <v>0.125</v>
      </c>
      <c r="F1049" s="2">
        <f>ROUND((E1041-(IF(E1041/3&gt;2*G1041,E1041/3*2,G1041*2*2)))/E1049,0)</f>
        <v>16</v>
      </c>
      <c r="G1049" s="3"/>
      <c r="O1049" s="10">
        <f>((((G1041-(2*$D$11))+(2*10*D1049/1000))*D1041))*2</f>
        <v>1.48</v>
      </c>
      <c r="P1049" s="10">
        <f t="shared" si="404"/>
        <v>23.68</v>
      </c>
      <c r="Q1049" s="10">
        <f t="shared" si="405"/>
        <v>0</v>
      </c>
      <c r="R1049" s="10">
        <f t="shared" si="405"/>
        <v>14.605485714285713</v>
      </c>
      <c r="S1049" s="10">
        <f t="shared" si="405"/>
        <v>0</v>
      </c>
      <c r="T1049" s="10">
        <f t="shared" si="405"/>
        <v>0</v>
      </c>
      <c r="U1049" s="10">
        <f t="shared" si="405"/>
        <v>0</v>
      </c>
      <c r="V1049" s="10">
        <f t="shared" si="405"/>
        <v>0</v>
      </c>
      <c r="W1049" s="10">
        <f t="shared" si="405"/>
        <v>0</v>
      </c>
      <c r="X1049" s="10">
        <f t="shared" si="406"/>
        <v>14.605485714285713</v>
      </c>
    </row>
    <row r="1050" spans="1:32" s="3" customFormat="1" ht="20.100000000000001" customHeight="1" x14ac:dyDescent="0.2">
      <c r="A1050" s="87"/>
      <c r="B1050" s="10" t="s">
        <v>67</v>
      </c>
      <c r="C1050" s="93" t="s">
        <v>75</v>
      </c>
      <c r="D1050" s="10">
        <f>+$D$15</f>
        <v>25</v>
      </c>
      <c r="E1050" s="10">
        <f>+$E$15</f>
        <v>1</v>
      </c>
      <c r="F1050" s="10">
        <f>ROUNDUP((1.75+1.75)/E1050,0)</f>
        <v>4</v>
      </c>
      <c r="G1050" s="90"/>
      <c r="H1050" s="90"/>
      <c r="I1050" s="10"/>
      <c r="J1050" s="10"/>
      <c r="K1050" s="10"/>
      <c r="L1050" s="10"/>
      <c r="M1050" s="10"/>
      <c r="N1050" s="10"/>
      <c r="O1050" s="10">
        <f>F1041-$F$15</f>
        <v>0.39</v>
      </c>
      <c r="P1050" s="10">
        <f t="shared" si="404"/>
        <v>1.56</v>
      </c>
      <c r="Q1050" s="10">
        <f t="shared" si="405"/>
        <v>0</v>
      </c>
      <c r="R1050" s="10">
        <f t="shared" si="405"/>
        <v>0</v>
      </c>
      <c r="S1050" s="10">
        <f t="shared" si="405"/>
        <v>0</v>
      </c>
      <c r="T1050" s="10">
        <f t="shared" si="405"/>
        <v>0</v>
      </c>
      <c r="U1050" s="10">
        <f t="shared" si="405"/>
        <v>0</v>
      </c>
      <c r="V1050" s="10">
        <f t="shared" si="405"/>
        <v>6.0136607142857157</v>
      </c>
      <c r="W1050" s="10">
        <f t="shared" si="405"/>
        <v>0</v>
      </c>
      <c r="X1050" s="10">
        <f t="shared" si="406"/>
        <v>6.0136607142857157</v>
      </c>
      <c r="Y1050" s="10"/>
      <c r="Z1050" s="10"/>
      <c r="AA1050" s="10"/>
      <c r="AB1050" s="10"/>
      <c r="AC1050" s="10"/>
      <c r="AD1050" s="10"/>
      <c r="AE1050" s="10"/>
    </row>
    <row r="1051" spans="1:32" s="3" customFormat="1" ht="21" customHeight="1" x14ac:dyDescent="0.2">
      <c r="A1051" s="10">
        <v>1</v>
      </c>
      <c r="B1051" s="10" t="s">
        <v>67</v>
      </c>
      <c r="C1051" s="91" t="s">
        <v>176</v>
      </c>
      <c r="D1051" s="91">
        <v>1</v>
      </c>
      <c r="E1051" s="91">
        <v>7.3</v>
      </c>
      <c r="F1051" s="91">
        <v>0.6</v>
      </c>
      <c r="G1051" s="91">
        <v>0.6</v>
      </c>
      <c r="H1051" s="10">
        <f>G1051-0.2</f>
        <v>0.39999999999999997</v>
      </c>
      <c r="I1051" s="10">
        <f>E1051*F1051*G1051*D1051</f>
        <v>2.6279999999999997</v>
      </c>
      <c r="J1051" s="10">
        <f>(2*(E1051)*H1051*D1051)+(E1051*F1051)</f>
        <v>10.219999999999999</v>
      </c>
      <c r="K1051" s="92">
        <f>IF(E1051=0.3,J1051,0)</f>
        <v>0</v>
      </c>
      <c r="L1051" s="92">
        <f>IF(AND(E1051&gt;0.3,E1051&lt;=0.75),J1051,0)</f>
        <v>0</v>
      </c>
      <c r="M1051" s="92">
        <f>IF(AND(E1051&gt;0.75,E1051&lt;=1.2),J1051,0)</f>
        <v>0</v>
      </c>
      <c r="N1051" s="92">
        <f>IF(E1051&gt;1.2,J1051,0)</f>
        <v>10.219999999999999</v>
      </c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>
        <f>SUM(X1052:X1058)/I1051</f>
        <v>159.24205490323982</v>
      </c>
      <c r="Z1051" s="10"/>
      <c r="AA1051" s="10"/>
      <c r="AB1051" s="10"/>
      <c r="AC1051" s="10"/>
      <c r="AD1051" s="10"/>
      <c r="AE1051" s="10"/>
      <c r="AF1051" s="10"/>
    </row>
    <row r="1052" spans="1:32" s="3" customFormat="1" ht="20.100000000000001" customHeight="1" x14ac:dyDescent="0.2">
      <c r="A1052" s="87"/>
      <c r="B1052" s="10" t="s">
        <v>67</v>
      </c>
      <c r="C1052" s="93" t="s">
        <v>69</v>
      </c>
      <c r="D1052" s="10">
        <v>20</v>
      </c>
      <c r="E1052" s="10"/>
      <c r="F1052" s="10">
        <v>6</v>
      </c>
      <c r="G1052" s="90">
        <f>VLOOKUP(D1052,$C$20:$F$26,3,0)</f>
        <v>1.05</v>
      </c>
      <c r="H1052" s="90"/>
      <c r="I1052" s="10"/>
      <c r="J1052" s="10"/>
      <c r="K1052" s="10"/>
      <c r="L1052" s="10"/>
      <c r="M1052" s="10"/>
      <c r="N1052" s="10"/>
      <c r="O1052" s="10">
        <f>(E1051+1*(G1052+(12*D1052/1000))+1*(0.3/2)*D1051)</f>
        <v>8.74</v>
      </c>
      <c r="P1052" s="10">
        <f t="shared" ref="P1052:P1055" si="407">O1052*F1052</f>
        <v>52.44</v>
      </c>
      <c r="Q1052" s="10">
        <f t="shared" si="405"/>
        <v>0</v>
      </c>
      <c r="R1052" s="10">
        <f t="shared" si="405"/>
        <v>0</v>
      </c>
      <c r="S1052" s="10">
        <f t="shared" si="405"/>
        <v>0</v>
      </c>
      <c r="T1052" s="10">
        <f t="shared" si="405"/>
        <v>0</v>
      </c>
      <c r="U1052" s="10">
        <f t="shared" si="405"/>
        <v>129.37697142857141</v>
      </c>
      <c r="V1052" s="10">
        <f t="shared" si="405"/>
        <v>0</v>
      </c>
      <c r="W1052" s="10">
        <f t="shared" si="405"/>
        <v>0</v>
      </c>
      <c r="X1052" s="10">
        <f t="shared" ref="X1052:X1058" si="408">SUM(Q1052:W1052)</f>
        <v>129.37697142857141</v>
      </c>
      <c r="Y1052" s="10"/>
      <c r="Z1052" s="10"/>
      <c r="AA1052" s="10"/>
      <c r="AB1052" s="10"/>
      <c r="AC1052" s="10"/>
      <c r="AD1052" s="10"/>
      <c r="AE1052" s="10"/>
    </row>
    <row r="1053" spans="1:32" s="3" customFormat="1" ht="20.100000000000001" customHeight="1" x14ac:dyDescent="0.2">
      <c r="A1053" s="87"/>
      <c r="B1053" s="10" t="s">
        <v>67</v>
      </c>
      <c r="C1053" s="93" t="s">
        <v>158</v>
      </c>
      <c r="D1053" s="10">
        <v>20</v>
      </c>
      <c r="E1053" s="10"/>
      <c r="F1053" s="10">
        <v>6</v>
      </c>
      <c r="G1053" s="90">
        <f>VLOOKUP(D1053,$C$20:$F$26,3,0)</f>
        <v>1.05</v>
      </c>
      <c r="H1053" s="90"/>
      <c r="I1053" s="10"/>
      <c r="J1053" s="10"/>
      <c r="K1053" s="10"/>
      <c r="L1053" s="10"/>
      <c r="M1053" s="10"/>
      <c r="N1053" s="10"/>
      <c r="O1053" s="10">
        <f>(E1051+1*(G1053+(12*D1053/1000))+1*(0.3/2)*D1051)</f>
        <v>8.74</v>
      </c>
      <c r="P1053" s="10">
        <f t="shared" si="407"/>
        <v>52.44</v>
      </c>
      <c r="Q1053" s="10">
        <f t="shared" si="405"/>
        <v>0</v>
      </c>
      <c r="R1053" s="10">
        <f t="shared" si="405"/>
        <v>0</v>
      </c>
      <c r="S1053" s="10">
        <f t="shared" si="405"/>
        <v>0</v>
      </c>
      <c r="T1053" s="10">
        <f t="shared" si="405"/>
        <v>0</v>
      </c>
      <c r="U1053" s="10">
        <f t="shared" si="405"/>
        <v>129.37697142857141</v>
      </c>
      <c r="V1053" s="10">
        <f t="shared" si="405"/>
        <v>0</v>
      </c>
      <c r="W1053" s="10">
        <f t="shared" si="405"/>
        <v>0</v>
      </c>
      <c r="X1053" s="10">
        <f t="shared" si="408"/>
        <v>129.37697142857141</v>
      </c>
      <c r="Y1053" s="10"/>
      <c r="Z1053" s="10"/>
      <c r="AA1053" s="10"/>
      <c r="AB1053" s="10"/>
      <c r="AC1053" s="10"/>
      <c r="AD1053" s="10"/>
      <c r="AE1053" s="10"/>
    </row>
    <row r="1054" spans="1:32" s="3" customFormat="1" ht="20.100000000000001" customHeight="1" x14ac:dyDescent="0.2">
      <c r="A1054" s="87"/>
      <c r="B1054" s="10" t="s">
        <v>67</v>
      </c>
      <c r="C1054" s="93" t="s">
        <v>128</v>
      </c>
      <c r="D1054" s="10">
        <v>20</v>
      </c>
      <c r="E1054" s="10"/>
      <c r="F1054" s="10">
        <v>4</v>
      </c>
      <c r="G1054" s="90">
        <f>VLOOKUP(D1054,$C$20:$F$26,3,0)</f>
        <v>1.05</v>
      </c>
      <c r="H1054" s="90"/>
      <c r="I1054" s="10"/>
      <c r="J1054" s="10"/>
      <c r="K1054" s="10"/>
      <c r="L1054" s="10"/>
      <c r="M1054" s="10"/>
      <c r="N1054" s="10"/>
      <c r="O1054" s="10">
        <f>1.9+1*(0.3/2)</f>
        <v>2.0499999999999998</v>
      </c>
      <c r="P1054" s="10">
        <f t="shared" si="407"/>
        <v>8.1999999999999993</v>
      </c>
      <c r="Q1054" s="10">
        <f t="shared" si="405"/>
        <v>0</v>
      </c>
      <c r="R1054" s="10">
        <f t="shared" si="405"/>
        <v>0</v>
      </c>
      <c r="S1054" s="10">
        <f t="shared" si="405"/>
        <v>0</v>
      </c>
      <c r="T1054" s="10">
        <f t="shared" si="405"/>
        <v>0</v>
      </c>
      <c r="U1054" s="10">
        <f t="shared" si="405"/>
        <v>20.230571428571427</v>
      </c>
      <c r="V1054" s="10">
        <f t="shared" si="405"/>
        <v>0</v>
      </c>
      <c r="W1054" s="10">
        <f t="shared" si="405"/>
        <v>0</v>
      </c>
      <c r="X1054" s="10">
        <f t="shared" si="408"/>
        <v>20.230571428571427</v>
      </c>
      <c r="Y1054" s="10"/>
      <c r="Z1054" s="10"/>
      <c r="AA1054" s="10"/>
      <c r="AB1054" s="10"/>
      <c r="AC1054" s="10"/>
      <c r="AD1054" s="10"/>
      <c r="AE1054" s="10"/>
    </row>
    <row r="1055" spans="1:32" s="3" customFormat="1" ht="20.100000000000001" customHeight="1" x14ac:dyDescent="0.2">
      <c r="A1055" s="87"/>
      <c r="B1055" s="10" t="s">
        <v>67</v>
      </c>
      <c r="C1055" s="93" t="s">
        <v>128</v>
      </c>
      <c r="D1055" s="10">
        <v>20</v>
      </c>
      <c r="E1055" s="10"/>
      <c r="F1055" s="10">
        <v>3</v>
      </c>
      <c r="G1055" s="90">
        <f>VLOOKUP(D1055,$C$20:$F$26,3,0)</f>
        <v>1.05</v>
      </c>
      <c r="H1055" s="90"/>
      <c r="I1055" s="10"/>
      <c r="J1055" s="10"/>
      <c r="K1055" s="10"/>
      <c r="L1055" s="10"/>
      <c r="M1055" s="10"/>
      <c r="N1055" s="10"/>
      <c r="O1055" s="10">
        <f>(1.95+1*(G1055+(12*D1055/1000))*D1051)</f>
        <v>3.24</v>
      </c>
      <c r="P1055" s="10">
        <f t="shared" si="407"/>
        <v>9.7200000000000006</v>
      </c>
      <c r="Q1055" s="10">
        <f t="shared" si="405"/>
        <v>0</v>
      </c>
      <c r="R1055" s="10">
        <f t="shared" si="405"/>
        <v>0</v>
      </c>
      <c r="S1055" s="10">
        <f t="shared" si="405"/>
        <v>0</v>
      </c>
      <c r="T1055" s="10">
        <f t="shared" si="405"/>
        <v>0</v>
      </c>
      <c r="U1055" s="10">
        <f t="shared" si="405"/>
        <v>23.980628571428571</v>
      </c>
      <c r="V1055" s="10">
        <f t="shared" si="405"/>
        <v>0</v>
      </c>
      <c r="W1055" s="10">
        <f t="shared" si="405"/>
        <v>0</v>
      </c>
      <c r="X1055" s="10">
        <f t="shared" si="408"/>
        <v>23.980628571428571</v>
      </c>
      <c r="Y1055" s="10"/>
      <c r="Z1055" s="10"/>
      <c r="AA1055" s="10"/>
      <c r="AB1055" s="10"/>
      <c r="AC1055" s="10"/>
      <c r="AD1055" s="10"/>
      <c r="AE1055" s="10"/>
    </row>
    <row r="1056" spans="1:32" s="3" customFormat="1" ht="19.5" customHeight="1" x14ac:dyDescent="0.2">
      <c r="A1056" s="87"/>
      <c r="B1056" s="10" t="s">
        <v>67</v>
      </c>
      <c r="C1056" s="93" t="s">
        <v>73</v>
      </c>
      <c r="D1056" s="10">
        <v>8</v>
      </c>
      <c r="E1056" s="10">
        <v>0.1</v>
      </c>
      <c r="F1056" s="10">
        <f>ROUNDUP(E1051/E1056,0)</f>
        <v>73</v>
      </c>
      <c r="H1056" s="10"/>
      <c r="I1056" s="10"/>
      <c r="J1056" s="10"/>
      <c r="K1056" s="10"/>
      <c r="L1056" s="10"/>
      <c r="M1056" s="10"/>
      <c r="N1056" s="10"/>
      <c r="O1056" s="10">
        <f>(2*((G1051-(2*$D$11))+(F1051-(2*$D$11)))+(2*10*D1056/1000))*D1051</f>
        <v>2.3200000000000003</v>
      </c>
      <c r="P1056" s="10">
        <f>O1056*F1056</f>
        <v>169.36</v>
      </c>
      <c r="Q1056" s="10">
        <f t="shared" si="405"/>
        <v>66.853650285714295</v>
      </c>
      <c r="R1056" s="10">
        <f t="shared" si="405"/>
        <v>0</v>
      </c>
      <c r="S1056" s="10">
        <f t="shared" si="405"/>
        <v>0</v>
      </c>
      <c r="T1056" s="10">
        <f t="shared" si="405"/>
        <v>0</v>
      </c>
      <c r="U1056" s="10">
        <f t="shared" si="405"/>
        <v>0</v>
      </c>
      <c r="V1056" s="10">
        <f t="shared" si="405"/>
        <v>0</v>
      </c>
      <c r="W1056" s="10">
        <f t="shared" si="405"/>
        <v>0</v>
      </c>
      <c r="X1056" s="10">
        <f t="shared" si="408"/>
        <v>66.853650285714295</v>
      </c>
      <c r="Y1056" s="10"/>
      <c r="Z1056" s="10"/>
      <c r="AA1056" s="10"/>
      <c r="AB1056" s="10"/>
      <c r="AC1056" s="10"/>
      <c r="AD1056" s="10"/>
      <c r="AE1056" s="10"/>
    </row>
    <row r="1057" spans="1:32" s="2" customFormat="1" ht="20.100000000000001" customHeight="1" x14ac:dyDescent="0.2">
      <c r="B1057" s="10" t="s">
        <v>67</v>
      </c>
      <c r="C1057" s="93" t="s">
        <v>74</v>
      </c>
      <c r="D1057" s="10">
        <f>+D1056</f>
        <v>8</v>
      </c>
      <c r="E1057" s="2">
        <f>+E1056</f>
        <v>0.1</v>
      </c>
      <c r="F1057" s="10">
        <f>ROUNDUP(E1051/E1057,0)</f>
        <v>73</v>
      </c>
      <c r="G1057" s="3"/>
      <c r="O1057" s="10">
        <f>((((G1051-(2*$D$11))+(2*10*D1057/1000))*D1051))*2</f>
        <v>1.4000000000000001</v>
      </c>
      <c r="P1057" s="10">
        <f>O1057*F1057</f>
        <v>102.2</v>
      </c>
      <c r="Q1057" s="10">
        <f t="shared" si="405"/>
        <v>40.342720000000007</v>
      </c>
      <c r="R1057" s="10">
        <f t="shared" si="405"/>
        <v>0</v>
      </c>
      <c r="S1057" s="10">
        <f t="shared" si="405"/>
        <v>0</v>
      </c>
      <c r="T1057" s="10">
        <f t="shared" si="405"/>
        <v>0</v>
      </c>
      <c r="U1057" s="10">
        <f t="shared" si="405"/>
        <v>0</v>
      </c>
      <c r="V1057" s="10">
        <f t="shared" si="405"/>
        <v>0</v>
      </c>
      <c r="W1057" s="10">
        <f t="shared" si="405"/>
        <v>0</v>
      </c>
      <c r="X1057" s="10">
        <f t="shared" si="408"/>
        <v>40.342720000000007</v>
      </c>
    </row>
    <row r="1058" spans="1:32" s="3" customFormat="1" ht="20.100000000000001" customHeight="1" x14ac:dyDescent="0.2">
      <c r="A1058" s="87"/>
      <c r="B1058" s="10" t="s">
        <v>67</v>
      </c>
      <c r="C1058" s="93" t="s">
        <v>75</v>
      </c>
      <c r="D1058" s="10">
        <f>+$D$15</f>
        <v>25</v>
      </c>
      <c r="E1058" s="10">
        <f>+$E$15</f>
        <v>1</v>
      </c>
      <c r="F1058" s="10">
        <f>ROUNDUP((1.95+1.95)/E1058,0)</f>
        <v>4</v>
      </c>
      <c r="G1058" s="90"/>
      <c r="H1058" s="90"/>
      <c r="I1058" s="10"/>
      <c r="J1058" s="10"/>
      <c r="K1058" s="10"/>
      <c r="L1058" s="10"/>
      <c r="M1058" s="10"/>
      <c r="N1058" s="10"/>
      <c r="O1058" s="10">
        <f>F1051-$F$15</f>
        <v>0.54</v>
      </c>
      <c r="P1058" s="10">
        <f t="shared" ref="P1058" si="409">O1058*F1058</f>
        <v>2.16</v>
      </c>
      <c r="Q1058" s="10">
        <f t="shared" si="405"/>
        <v>0</v>
      </c>
      <c r="R1058" s="10">
        <f t="shared" si="405"/>
        <v>0</v>
      </c>
      <c r="S1058" s="10">
        <f t="shared" si="405"/>
        <v>0</v>
      </c>
      <c r="T1058" s="10">
        <f t="shared" si="405"/>
        <v>0</v>
      </c>
      <c r="U1058" s="10">
        <f t="shared" si="405"/>
        <v>0</v>
      </c>
      <c r="V1058" s="10">
        <f t="shared" si="405"/>
        <v>8.326607142857144</v>
      </c>
      <c r="W1058" s="10">
        <f t="shared" si="405"/>
        <v>0</v>
      </c>
      <c r="X1058" s="10">
        <f t="shared" si="408"/>
        <v>8.326607142857144</v>
      </c>
      <c r="Y1058" s="10"/>
      <c r="Z1058" s="10"/>
      <c r="AA1058" s="10"/>
      <c r="AB1058" s="10"/>
      <c r="AC1058" s="10"/>
      <c r="AD1058" s="10"/>
      <c r="AE1058" s="10"/>
    </row>
    <row r="1059" spans="1:32" s="3" customFormat="1" ht="21" customHeight="1" x14ac:dyDescent="0.2">
      <c r="A1059" s="10">
        <v>1</v>
      </c>
      <c r="B1059" s="10" t="s">
        <v>67</v>
      </c>
      <c r="C1059" s="91" t="s">
        <v>213</v>
      </c>
      <c r="D1059" s="91">
        <v>1</v>
      </c>
      <c r="E1059" s="91">
        <v>2.97</v>
      </c>
      <c r="F1059" s="91">
        <v>0.4</v>
      </c>
      <c r="G1059" s="91">
        <v>1.1000000000000001</v>
      </c>
      <c r="H1059" s="10">
        <f>G1059-0.2</f>
        <v>0.90000000000000013</v>
      </c>
      <c r="I1059" s="10">
        <f>E1059*F1059*G1059*D1059</f>
        <v>1.3068000000000002</v>
      </c>
      <c r="J1059" s="10">
        <f>(2*(E1059)*H1059*D1059)+(E1059*F1059)</f>
        <v>6.5340000000000007</v>
      </c>
      <c r="K1059" s="92">
        <f>IF(E1059=0.3,J1059,0)</f>
        <v>0</v>
      </c>
      <c r="L1059" s="92">
        <f>IF(AND(E1059&gt;0.3,E1059&lt;=0.75),J1059,0)</f>
        <v>0</v>
      </c>
      <c r="M1059" s="92">
        <f>IF(AND(E1059&gt;0.75,E1059&lt;=1.2),J1059,0)</f>
        <v>0</v>
      </c>
      <c r="N1059" s="92">
        <f>IF(E1059&gt;1.2,J1059,0)</f>
        <v>6.5340000000000007</v>
      </c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>
        <f>SUM(X1060:X1063)/I1059</f>
        <v>161.95769600769603</v>
      </c>
      <c r="Z1059" s="10"/>
      <c r="AA1059" s="10"/>
      <c r="AB1059" s="10"/>
      <c r="AC1059" s="10"/>
      <c r="AD1059" s="10"/>
      <c r="AE1059" s="10"/>
      <c r="AF1059" s="10"/>
    </row>
    <row r="1060" spans="1:32" s="3" customFormat="1" ht="20.100000000000001" customHeight="1" x14ac:dyDescent="0.2">
      <c r="A1060" s="87"/>
      <c r="B1060" s="10" t="s">
        <v>67</v>
      </c>
      <c r="C1060" s="93" t="s">
        <v>69</v>
      </c>
      <c r="D1060" s="10">
        <v>25</v>
      </c>
      <c r="E1060" s="10"/>
      <c r="F1060" s="10">
        <v>4</v>
      </c>
      <c r="G1060" s="90">
        <f>VLOOKUP(D1060,$C$20:$F$26,3,0)</f>
        <v>1.35</v>
      </c>
      <c r="H1060" s="90"/>
      <c r="I1060" s="10"/>
      <c r="J1060" s="10"/>
      <c r="K1060" s="10"/>
      <c r="L1060" s="10"/>
      <c r="M1060" s="10"/>
      <c r="N1060" s="10"/>
      <c r="O1060" s="10">
        <f>(E1059+1*(G1060+(12*D1060/1000))+1*(0.4/2)*D1059)</f>
        <v>4.82</v>
      </c>
      <c r="P1060" s="10">
        <f t="shared" ref="P1060:P1061" si="410">O1060*F1060</f>
        <v>19.28</v>
      </c>
      <c r="Q1060" s="10">
        <f t="shared" si="405"/>
        <v>0</v>
      </c>
      <c r="R1060" s="10">
        <f t="shared" si="405"/>
        <v>0</v>
      </c>
      <c r="S1060" s="10">
        <f t="shared" si="405"/>
        <v>0</v>
      </c>
      <c r="T1060" s="10">
        <f t="shared" si="405"/>
        <v>0</v>
      </c>
      <c r="U1060" s="10">
        <f t="shared" si="405"/>
        <v>0</v>
      </c>
      <c r="V1060" s="10">
        <f t="shared" si="405"/>
        <v>74.322678571428582</v>
      </c>
      <c r="W1060" s="10">
        <f t="shared" si="405"/>
        <v>0</v>
      </c>
      <c r="X1060" s="10">
        <f t="shared" ref="X1060:X1063" si="411">SUM(Q1060:W1060)</f>
        <v>74.322678571428582</v>
      </c>
      <c r="Y1060" s="10"/>
      <c r="Z1060" s="10"/>
      <c r="AA1060" s="10"/>
      <c r="AB1060" s="10"/>
      <c r="AC1060" s="10"/>
      <c r="AD1060" s="10"/>
      <c r="AE1060" s="10"/>
    </row>
    <row r="1061" spans="1:32" s="3" customFormat="1" ht="19.5" customHeight="1" x14ac:dyDescent="0.2">
      <c r="A1061" s="87"/>
      <c r="B1061" s="10" t="s">
        <v>67</v>
      </c>
      <c r="C1061" s="93" t="s">
        <v>158</v>
      </c>
      <c r="D1061" s="10">
        <v>25</v>
      </c>
      <c r="E1061" s="10"/>
      <c r="F1061" s="10">
        <v>4</v>
      </c>
      <c r="G1061" s="90">
        <f>VLOOKUP(D1061,$C$20:$F$26,3,0)</f>
        <v>1.35</v>
      </c>
      <c r="H1061" s="90"/>
      <c r="I1061" s="10"/>
      <c r="J1061" s="10"/>
      <c r="K1061" s="10"/>
      <c r="L1061" s="10"/>
      <c r="M1061" s="10"/>
      <c r="N1061" s="10"/>
      <c r="O1061" s="10">
        <f>(E1059+1*(G1061+(12*D1061/1000))+1*(0.4/2)*D1059)</f>
        <v>4.82</v>
      </c>
      <c r="P1061" s="10">
        <f t="shared" si="410"/>
        <v>19.28</v>
      </c>
      <c r="Q1061" s="10">
        <f t="shared" si="405"/>
        <v>0</v>
      </c>
      <c r="R1061" s="10">
        <f t="shared" si="405"/>
        <v>0</v>
      </c>
      <c r="S1061" s="10">
        <f t="shared" si="405"/>
        <v>0</v>
      </c>
      <c r="T1061" s="10">
        <f t="shared" si="405"/>
        <v>0</v>
      </c>
      <c r="U1061" s="10">
        <f t="shared" si="405"/>
        <v>0</v>
      </c>
      <c r="V1061" s="10">
        <f t="shared" si="405"/>
        <v>74.322678571428582</v>
      </c>
      <c r="W1061" s="10">
        <f t="shared" si="405"/>
        <v>0</v>
      </c>
      <c r="X1061" s="10">
        <f t="shared" si="411"/>
        <v>74.322678571428582</v>
      </c>
      <c r="Y1061" s="10"/>
      <c r="Z1061" s="10"/>
      <c r="AA1061" s="10"/>
      <c r="AB1061" s="10"/>
      <c r="AC1061" s="10"/>
      <c r="AD1061" s="10"/>
      <c r="AE1061" s="10"/>
    </row>
    <row r="1062" spans="1:32" s="3" customFormat="1" ht="19.5" customHeight="1" x14ac:dyDescent="0.2">
      <c r="A1062" s="87"/>
      <c r="B1062" s="10" t="s">
        <v>67</v>
      </c>
      <c r="C1062" s="93" t="s">
        <v>73</v>
      </c>
      <c r="D1062" s="10">
        <v>8</v>
      </c>
      <c r="E1062" s="10">
        <v>0.1</v>
      </c>
      <c r="F1062" s="10">
        <f>ROUNDUP(E1059/E1062,0)</f>
        <v>30</v>
      </c>
      <c r="H1062" s="10"/>
      <c r="I1062" s="10"/>
      <c r="J1062" s="10"/>
      <c r="K1062" s="10"/>
      <c r="L1062" s="10"/>
      <c r="M1062" s="10"/>
      <c r="N1062" s="10"/>
      <c r="O1062" s="10">
        <f>(2*((G1059-(2*$D$11))+(F1059-(2*$D$11)))+(2*10*D1062/1000))*D1059</f>
        <v>2.9200000000000004</v>
      </c>
      <c r="P1062" s="10">
        <f>O1062*F1062</f>
        <v>87.600000000000009</v>
      </c>
      <c r="Q1062" s="10">
        <f t="shared" si="405"/>
        <v>34.579474285714291</v>
      </c>
      <c r="R1062" s="10">
        <f t="shared" si="405"/>
        <v>0</v>
      </c>
      <c r="S1062" s="10">
        <f t="shared" si="405"/>
        <v>0</v>
      </c>
      <c r="T1062" s="10">
        <f t="shared" si="405"/>
        <v>0</v>
      </c>
      <c r="U1062" s="10">
        <f t="shared" si="405"/>
        <v>0</v>
      </c>
      <c r="V1062" s="10">
        <f t="shared" si="405"/>
        <v>0</v>
      </c>
      <c r="W1062" s="10">
        <f t="shared" si="405"/>
        <v>0</v>
      </c>
      <c r="X1062" s="10">
        <f t="shared" si="411"/>
        <v>34.579474285714291</v>
      </c>
      <c r="Y1062" s="10"/>
      <c r="Z1062" s="10"/>
      <c r="AA1062" s="10"/>
      <c r="AB1062" s="10"/>
      <c r="AC1062" s="10"/>
      <c r="AD1062" s="10"/>
      <c r="AE1062" s="10"/>
    </row>
    <row r="1063" spans="1:32" s="2" customFormat="1" ht="20.100000000000001" customHeight="1" x14ac:dyDescent="0.2">
      <c r="B1063" s="10" t="s">
        <v>67</v>
      </c>
      <c r="C1063" s="93" t="s">
        <v>74</v>
      </c>
      <c r="D1063" s="10">
        <f>+D1062</f>
        <v>8</v>
      </c>
      <c r="E1063" s="2">
        <f>+E1062</f>
        <v>0.1</v>
      </c>
      <c r="F1063" s="10">
        <f>ROUNDUP(E1059/E1063,0)</f>
        <v>30</v>
      </c>
      <c r="G1063" s="3"/>
      <c r="O1063" s="10">
        <f>((((G1059-(2*$D$11))+(2*10*D1063/1000))*D1059))*2</f>
        <v>2.4</v>
      </c>
      <c r="P1063" s="10">
        <f>O1063*F1063</f>
        <v>72</v>
      </c>
      <c r="Q1063" s="10">
        <f t="shared" ref="Q1063:W1063" si="412">IF($D1063=Q$44,$P1063*Q$45,0)</f>
        <v>28.421485714285716</v>
      </c>
      <c r="R1063" s="10">
        <f t="shared" si="412"/>
        <v>0</v>
      </c>
      <c r="S1063" s="10">
        <f t="shared" si="412"/>
        <v>0</v>
      </c>
      <c r="T1063" s="10">
        <f t="shared" si="412"/>
        <v>0</v>
      </c>
      <c r="U1063" s="10">
        <f t="shared" si="412"/>
        <v>0</v>
      </c>
      <c r="V1063" s="10">
        <f t="shared" si="412"/>
        <v>0</v>
      </c>
      <c r="W1063" s="10">
        <f t="shared" si="412"/>
        <v>0</v>
      </c>
      <c r="X1063" s="10">
        <f t="shared" si="411"/>
        <v>28.421485714285716</v>
      </c>
    </row>
    <row r="1064" spans="1:32" s="3" customFormat="1" ht="21" customHeight="1" x14ac:dyDescent="0.2">
      <c r="A1064" s="10">
        <v>1</v>
      </c>
      <c r="B1064" s="10" t="s">
        <v>67</v>
      </c>
      <c r="C1064" s="91" t="s">
        <v>214</v>
      </c>
      <c r="D1064" s="91">
        <v>1</v>
      </c>
      <c r="E1064" s="91">
        <v>3</v>
      </c>
      <c r="F1064" s="91">
        <v>0.4</v>
      </c>
      <c r="G1064" s="91">
        <v>1.1000000000000001</v>
      </c>
      <c r="H1064" s="10">
        <f>G1064-0.2</f>
        <v>0.90000000000000013</v>
      </c>
      <c r="I1064" s="10">
        <f>E1064*F1064*G1064*D1064</f>
        <v>1.3200000000000003</v>
      </c>
      <c r="J1064" s="10">
        <f>(2*(E1064)*H1064*D1064)+(E1064*F1064)</f>
        <v>6.6000000000000005</v>
      </c>
      <c r="K1064" s="92">
        <f>IF(E1064=0.3,J1064,0)</f>
        <v>0</v>
      </c>
      <c r="L1064" s="92">
        <f>IF(AND(E1064&gt;0.3,E1064&lt;=0.75),J1064,0)</f>
        <v>0</v>
      </c>
      <c r="M1064" s="92">
        <f>IF(AND(E1064&gt;0.75,E1064&lt;=1.2),J1064,0)</f>
        <v>0</v>
      </c>
      <c r="N1064" s="92">
        <f>IF(E1064&gt;1.2,J1064,0)</f>
        <v>6.6000000000000005</v>
      </c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>
        <f>SUM(X1065:X1068)/I1064</f>
        <v>127.16252380952379</v>
      </c>
      <c r="Z1064" s="10"/>
      <c r="AA1064" s="10"/>
      <c r="AB1064" s="10"/>
      <c r="AC1064" s="10"/>
      <c r="AD1064" s="10"/>
      <c r="AE1064" s="10"/>
      <c r="AF1064" s="10"/>
    </row>
    <row r="1065" spans="1:32" s="3" customFormat="1" ht="20.100000000000001" customHeight="1" x14ac:dyDescent="0.2">
      <c r="A1065" s="87"/>
      <c r="B1065" s="10" t="s">
        <v>67</v>
      </c>
      <c r="C1065" s="93" t="s">
        <v>69</v>
      </c>
      <c r="D1065" s="10">
        <v>25</v>
      </c>
      <c r="E1065" s="10"/>
      <c r="F1065" s="10">
        <v>4</v>
      </c>
      <c r="G1065" s="90">
        <f>VLOOKUP(D1065,$C$20:$F$26,3,0)</f>
        <v>1.35</v>
      </c>
      <c r="H1065" s="90"/>
      <c r="I1065" s="10"/>
      <c r="J1065" s="10"/>
      <c r="K1065" s="10"/>
      <c r="L1065" s="10"/>
      <c r="M1065" s="10"/>
      <c r="N1065" s="10"/>
      <c r="O1065" s="10">
        <f>+E1064+2*(0.4/2)</f>
        <v>3.4</v>
      </c>
      <c r="P1065" s="10">
        <f t="shared" ref="P1065:P1066" si="413">O1065*F1065</f>
        <v>13.6</v>
      </c>
      <c r="Q1065" s="10">
        <f t="shared" ref="Q1065:W1068" si="414">IF($D1065=Q$44,$P1065*Q$45,0)</f>
        <v>0</v>
      </c>
      <c r="R1065" s="10">
        <f t="shared" si="414"/>
        <v>0</v>
      </c>
      <c r="S1065" s="10">
        <f t="shared" si="414"/>
        <v>0</v>
      </c>
      <c r="T1065" s="10">
        <f t="shared" si="414"/>
        <v>0</v>
      </c>
      <c r="U1065" s="10">
        <f t="shared" si="414"/>
        <v>0</v>
      </c>
      <c r="V1065" s="10">
        <f t="shared" si="414"/>
        <v>52.426785714285721</v>
      </c>
      <c r="W1065" s="10">
        <f t="shared" si="414"/>
        <v>0</v>
      </c>
      <c r="X1065" s="10">
        <f t="shared" ref="X1065:X1068" si="415">SUM(Q1065:W1065)</f>
        <v>52.426785714285721</v>
      </c>
      <c r="Y1065" s="10"/>
      <c r="Z1065" s="10"/>
      <c r="AA1065" s="10"/>
      <c r="AB1065" s="10"/>
      <c r="AC1065" s="10"/>
      <c r="AD1065" s="10"/>
      <c r="AE1065" s="10"/>
    </row>
    <row r="1066" spans="1:32" s="3" customFormat="1" ht="20.100000000000001" customHeight="1" x14ac:dyDescent="0.2">
      <c r="A1066" s="87"/>
      <c r="B1066" s="10" t="s">
        <v>67</v>
      </c>
      <c r="C1066" s="93" t="s">
        <v>158</v>
      </c>
      <c r="D1066" s="10">
        <v>25</v>
      </c>
      <c r="E1066" s="10"/>
      <c r="F1066" s="10">
        <v>4</v>
      </c>
      <c r="G1066" s="90">
        <f>VLOOKUP(D1066,$C$20:$F$26,3,0)</f>
        <v>1.35</v>
      </c>
      <c r="H1066" s="90"/>
      <c r="I1066" s="10"/>
      <c r="J1066" s="10"/>
      <c r="K1066" s="10"/>
      <c r="L1066" s="10"/>
      <c r="M1066" s="10"/>
      <c r="N1066" s="10"/>
      <c r="O1066" s="10">
        <f>+E1064+2*(0.4/2)</f>
        <v>3.4</v>
      </c>
      <c r="P1066" s="10">
        <f t="shared" si="413"/>
        <v>13.6</v>
      </c>
      <c r="Q1066" s="10">
        <f t="shared" si="414"/>
        <v>0</v>
      </c>
      <c r="R1066" s="10">
        <f t="shared" si="414"/>
        <v>0</v>
      </c>
      <c r="S1066" s="10">
        <f t="shared" si="414"/>
        <v>0</v>
      </c>
      <c r="T1066" s="10">
        <f t="shared" si="414"/>
        <v>0</v>
      </c>
      <c r="U1066" s="10">
        <f t="shared" si="414"/>
        <v>0</v>
      </c>
      <c r="V1066" s="10">
        <f t="shared" si="414"/>
        <v>52.426785714285721</v>
      </c>
      <c r="W1066" s="10">
        <f t="shared" si="414"/>
        <v>0</v>
      </c>
      <c r="X1066" s="10">
        <f t="shared" si="415"/>
        <v>52.426785714285721</v>
      </c>
      <c r="Y1066" s="10"/>
      <c r="Z1066" s="10"/>
      <c r="AA1066" s="10"/>
      <c r="AB1066" s="10"/>
      <c r="AC1066" s="10"/>
      <c r="AD1066" s="10"/>
      <c r="AE1066" s="10"/>
    </row>
    <row r="1067" spans="1:32" s="3" customFormat="1" ht="19.5" customHeight="1" x14ac:dyDescent="0.2">
      <c r="A1067" s="87"/>
      <c r="B1067" s="10" t="s">
        <v>67</v>
      </c>
      <c r="C1067" s="93" t="s">
        <v>73</v>
      </c>
      <c r="D1067" s="10">
        <v>8</v>
      </c>
      <c r="E1067" s="10">
        <v>0.1</v>
      </c>
      <c r="F1067" s="10">
        <f>ROUNDUP(E1064/E1067,0)</f>
        <v>30</v>
      </c>
      <c r="H1067" s="10"/>
      <c r="I1067" s="10"/>
      <c r="J1067" s="10"/>
      <c r="K1067" s="10"/>
      <c r="L1067" s="10"/>
      <c r="M1067" s="10"/>
      <c r="N1067" s="10"/>
      <c r="O1067" s="10">
        <f>(2*((G1064-(2*$D$11))+(F1064-(2*$D$11)))+(2*10*D1067/1000))*D1064</f>
        <v>2.9200000000000004</v>
      </c>
      <c r="P1067" s="10">
        <f>O1067*F1067</f>
        <v>87.600000000000009</v>
      </c>
      <c r="Q1067" s="10">
        <f t="shared" si="414"/>
        <v>34.579474285714291</v>
      </c>
      <c r="R1067" s="10">
        <f t="shared" si="414"/>
        <v>0</v>
      </c>
      <c r="S1067" s="10">
        <f t="shared" si="414"/>
        <v>0</v>
      </c>
      <c r="T1067" s="10">
        <f t="shared" si="414"/>
        <v>0</v>
      </c>
      <c r="U1067" s="10">
        <f t="shared" si="414"/>
        <v>0</v>
      </c>
      <c r="V1067" s="10">
        <f t="shared" si="414"/>
        <v>0</v>
      </c>
      <c r="W1067" s="10">
        <f t="shared" si="414"/>
        <v>0</v>
      </c>
      <c r="X1067" s="10">
        <f t="shared" si="415"/>
        <v>34.579474285714291</v>
      </c>
      <c r="Y1067" s="10"/>
      <c r="Z1067" s="10"/>
      <c r="AA1067" s="10"/>
      <c r="AB1067" s="10"/>
      <c r="AC1067" s="10"/>
      <c r="AD1067" s="10"/>
      <c r="AE1067" s="10"/>
    </row>
    <row r="1068" spans="1:32" s="2" customFormat="1" ht="20.100000000000001" customHeight="1" x14ac:dyDescent="0.2">
      <c r="B1068" s="10" t="s">
        <v>67</v>
      </c>
      <c r="C1068" s="93" t="s">
        <v>74</v>
      </c>
      <c r="D1068" s="10">
        <f>+D1067</f>
        <v>8</v>
      </c>
      <c r="E1068" s="2">
        <f>+E1067</f>
        <v>0.1</v>
      </c>
      <c r="F1068" s="10">
        <f>ROUNDUP(E1064/E1068,0)</f>
        <v>30</v>
      </c>
      <c r="G1068" s="3"/>
      <c r="O1068" s="10">
        <f>((((G1064-(2*$D$11))+(2*10*D1068/1000))*D1064))*2</f>
        <v>2.4</v>
      </c>
      <c r="P1068" s="10">
        <f>O1068*F1068</f>
        <v>72</v>
      </c>
      <c r="Q1068" s="10">
        <f t="shared" si="414"/>
        <v>28.421485714285716</v>
      </c>
      <c r="R1068" s="10">
        <f t="shared" si="414"/>
        <v>0</v>
      </c>
      <c r="S1068" s="10">
        <f t="shared" si="414"/>
        <v>0</v>
      </c>
      <c r="T1068" s="10">
        <f t="shared" si="414"/>
        <v>0</v>
      </c>
      <c r="U1068" s="10">
        <f t="shared" si="414"/>
        <v>0</v>
      </c>
      <c r="V1068" s="10">
        <f t="shared" si="414"/>
        <v>0</v>
      </c>
      <c r="W1068" s="10">
        <f t="shared" si="414"/>
        <v>0</v>
      </c>
      <c r="X1068" s="10">
        <f t="shared" si="415"/>
        <v>28.421485714285716</v>
      </c>
    </row>
    <row r="1069" spans="1:32" s="3" customFormat="1" ht="21" customHeight="1" x14ac:dyDescent="0.2">
      <c r="A1069" s="10">
        <v>1</v>
      </c>
      <c r="B1069" s="10" t="s">
        <v>67</v>
      </c>
      <c r="C1069" s="91" t="s">
        <v>215</v>
      </c>
      <c r="D1069" s="91">
        <v>1</v>
      </c>
      <c r="E1069" s="91">
        <v>2.1139999999999999</v>
      </c>
      <c r="F1069" s="91">
        <v>0.4</v>
      </c>
      <c r="G1069" s="91">
        <v>1.1000000000000001</v>
      </c>
      <c r="H1069" s="10">
        <f>G1069-0.2</f>
        <v>0.90000000000000013</v>
      </c>
      <c r="I1069" s="10">
        <f>E1069*F1069*G1069*D1069</f>
        <v>0.9301600000000001</v>
      </c>
      <c r="J1069" s="10">
        <f>(2*(E1069)*H1069*D1069)+(E1069*F1069)</f>
        <v>4.6508000000000003</v>
      </c>
      <c r="K1069" s="92">
        <f>IF(E1069=0.3,J1069,0)</f>
        <v>0</v>
      </c>
      <c r="L1069" s="92">
        <f>IF(AND(E1069&gt;0.3,E1069&lt;=0.75),J1069,0)</f>
        <v>0</v>
      </c>
      <c r="M1069" s="92">
        <f>IF(AND(E1069&gt;0.75,E1069&lt;=1.2),J1069,0)</f>
        <v>0</v>
      </c>
      <c r="N1069" s="92">
        <f>IF(E1069&gt;1.2,J1069,0)</f>
        <v>4.6508000000000003</v>
      </c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>
        <f>SUM(X1070:X1073)/I1069</f>
        <v>210.78507230706856</v>
      </c>
      <c r="Z1069" s="10"/>
      <c r="AA1069" s="10"/>
      <c r="AB1069" s="10"/>
      <c r="AC1069" s="10"/>
      <c r="AD1069" s="10"/>
      <c r="AE1069" s="10"/>
      <c r="AF1069" s="10"/>
    </row>
    <row r="1070" spans="1:32" s="3" customFormat="1" ht="20.100000000000001" customHeight="1" x14ac:dyDescent="0.2">
      <c r="A1070" s="87"/>
      <c r="B1070" s="10" t="s">
        <v>67</v>
      </c>
      <c r="C1070" s="93" t="s">
        <v>69</v>
      </c>
      <c r="D1070" s="10">
        <v>25</v>
      </c>
      <c r="E1070" s="10"/>
      <c r="F1070" s="10">
        <v>4</v>
      </c>
      <c r="G1070" s="90">
        <f>VLOOKUP(D1070,$C$20:$F$26,3,0)</f>
        <v>1.35</v>
      </c>
      <c r="H1070" s="90"/>
      <c r="I1070" s="10"/>
      <c r="J1070" s="10"/>
      <c r="K1070" s="10"/>
      <c r="L1070" s="10"/>
      <c r="M1070" s="10"/>
      <c r="N1070" s="10"/>
      <c r="O1070" s="10">
        <f>(E1069+1*(G1070+(12*D1070/1000))+1*(0.4/2)*D1069)</f>
        <v>3.9640000000000004</v>
      </c>
      <c r="P1070" s="10">
        <f t="shared" ref="P1070:P1071" si="416">O1070*F1070</f>
        <v>15.856000000000002</v>
      </c>
      <c r="Q1070" s="10">
        <f t="shared" ref="Q1070:W1073" si="417">IF($D1070=Q$44,$P1070*Q$45,0)</f>
        <v>0</v>
      </c>
      <c r="R1070" s="10">
        <f t="shared" si="417"/>
        <v>0</v>
      </c>
      <c r="S1070" s="10">
        <f t="shared" si="417"/>
        <v>0</v>
      </c>
      <c r="T1070" s="10">
        <f t="shared" si="417"/>
        <v>0</v>
      </c>
      <c r="U1070" s="10">
        <f t="shared" si="417"/>
        <v>0</v>
      </c>
      <c r="V1070" s="10">
        <f t="shared" si="417"/>
        <v>61.123464285714299</v>
      </c>
      <c r="W1070" s="10">
        <f t="shared" si="417"/>
        <v>0</v>
      </c>
      <c r="X1070" s="10">
        <f t="shared" ref="X1070:X1073" si="418">SUM(Q1070:W1070)</f>
        <v>61.123464285714299</v>
      </c>
      <c r="Y1070" s="10"/>
      <c r="Z1070" s="10"/>
      <c r="AA1070" s="10"/>
      <c r="AB1070" s="10"/>
      <c r="AC1070" s="10"/>
      <c r="AD1070" s="10"/>
      <c r="AE1070" s="10"/>
    </row>
    <row r="1071" spans="1:32" s="3" customFormat="1" ht="19.5" customHeight="1" x14ac:dyDescent="0.2">
      <c r="A1071" s="87"/>
      <c r="B1071" s="10" t="s">
        <v>67</v>
      </c>
      <c r="C1071" s="93" t="s">
        <v>158</v>
      </c>
      <c r="D1071" s="10">
        <v>25</v>
      </c>
      <c r="E1071" s="10"/>
      <c r="F1071" s="10">
        <v>4</v>
      </c>
      <c r="G1071" s="90">
        <f>VLOOKUP(D1071,$C$20:$F$26,3,0)</f>
        <v>1.35</v>
      </c>
      <c r="H1071" s="90"/>
      <c r="I1071" s="10"/>
      <c r="J1071" s="10"/>
      <c r="K1071" s="10"/>
      <c r="L1071" s="10"/>
      <c r="M1071" s="10"/>
      <c r="N1071" s="10"/>
      <c r="O1071" s="10">
        <f>(E1069+1*(G1071+(12*D1071/1000))+1*(0.4/2)*D1069)</f>
        <v>3.9640000000000004</v>
      </c>
      <c r="P1071" s="10">
        <f t="shared" si="416"/>
        <v>15.856000000000002</v>
      </c>
      <c r="Q1071" s="10">
        <f t="shared" si="417"/>
        <v>0</v>
      </c>
      <c r="R1071" s="10">
        <f t="shared" si="417"/>
        <v>0</v>
      </c>
      <c r="S1071" s="10">
        <f t="shared" si="417"/>
        <v>0</v>
      </c>
      <c r="T1071" s="10">
        <f t="shared" si="417"/>
        <v>0</v>
      </c>
      <c r="U1071" s="10">
        <f t="shared" si="417"/>
        <v>0</v>
      </c>
      <c r="V1071" s="10">
        <f t="shared" si="417"/>
        <v>61.123464285714299</v>
      </c>
      <c r="W1071" s="10">
        <f t="shared" si="417"/>
        <v>0</v>
      </c>
      <c r="X1071" s="10">
        <f t="shared" si="418"/>
        <v>61.123464285714299</v>
      </c>
      <c r="Y1071" s="10"/>
      <c r="Z1071" s="10"/>
      <c r="AA1071" s="10"/>
      <c r="AB1071" s="10"/>
      <c r="AC1071" s="10"/>
      <c r="AD1071" s="10"/>
      <c r="AE1071" s="10"/>
    </row>
    <row r="1072" spans="1:32" s="3" customFormat="1" ht="19.5" customHeight="1" x14ac:dyDescent="0.2">
      <c r="A1072" s="87"/>
      <c r="B1072" s="10" t="s">
        <v>67</v>
      </c>
      <c r="C1072" s="93" t="s">
        <v>73</v>
      </c>
      <c r="D1072" s="10">
        <v>10</v>
      </c>
      <c r="E1072" s="10">
        <v>0.1</v>
      </c>
      <c r="F1072" s="10">
        <f>ROUNDUP(E1069/E1072,0)</f>
        <v>22</v>
      </c>
      <c r="H1072" s="10"/>
      <c r="I1072" s="10"/>
      <c r="J1072" s="10"/>
      <c r="K1072" s="10"/>
      <c r="L1072" s="10"/>
      <c r="M1072" s="10"/>
      <c r="N1072" s="10"/>
      <c r="O1072" s="10">
        <f>(2*((G1069-(2*$D$11))+(F1069-(2*$D$11)))+(2*10*D1072/1000))*D1069</f>
        <v>2.9600000000000004</v>
      </c>
      <c r="P1072" s="10">
        <f>O1072*F1072</f>
        <v>65.12</v>
      </c>
      <c r="Q1072" s="10">
        <f t="shared" si="417"/>
        <v>0</v>
      </c>
      <c r="R1072" s="10">
        <f t="shared" si="417"/>
        <v>40.165085714285716</v>
      </c>
      <c r="S1072" s="10">
        <f t="shared" si="417"/>
        <v>0</v>
      </c>
      <c r="T1072" s="10">
        <f t="shared" si="417"/>
        <v>0</v>
      </c>
      <c r="U1072" s="10">
        <f t="shared" si="417"/>
        <v>0</v>
      </c>
      <c r="V1072" s="10">
        <f t="shared" si="417"/>
        <v>0</v>
      </c>
      <c r="W1072" s="10">
        <f t="shared" si="417"/>
        <v>0</v>
      </c>
      <c r="X1072" s="10">
        <f t="shared" si="418"/>
        <v>40.165085714285716</v>
      </c>
      <c r="Y1072" s="10"/>
      <c r="Z1072" s="10"/>
      <c r="AA1072" s="10"/>
      <c r="AB1072" s="10"/>
      <c r="AC1072" s="10"/>
      <c r="AD1072" s="10"/>
      <c r="AE1072" s="10"/>
    </row>
    <row r="1073" spans="1:32" s="2" customFormat="1" ht="20.100000000000001" customHeight="1" x14ac:dyDescent="0.2">
      <c r="B1073" s="10" t="s">
        <v>67</v>
      </c>
      <c r="C1073" s="93" t="s">
        <v>74</v>
      </c>
      <c r="D1073" s="10">
        <f>+D1072</f>
        <v>10</v>
      </c>
      <c r="E1073" s="2">
        <f>+E1072</f>
        <v>0.1</v>
      </c>
      <c r="F1073" s="10">
        <f>ROUNDUP(E1069/E1073,0)</f>
        <v>22</v>
      </c>
      <c r="G1073" s="3"/>
      <c r="O1073" s="10">
        <f>((((G1069-(2*$D$11))+(2*10*D1073/1000))*D1069))*2</f>
        <v>2.48</v>
      </c>
      <c r="P1073" s="10">
        <f>O1073*F1073</f>
        <v>54.56</v>
      </c>
      <c r="Q1073" s="10">
        <f t="shared" si="417"/>
        <v>0</v>
      </c>
      <c r="R1073" s="10">
        <f t="shared" si="417"/>
        <v>33.651828571428574</v>
      </c>
      <c r="S1073" s="10">
        <f t="shared" si="417"/>
        <v>0</v>
      </c>
      <c r="T1073" s="10">
        <f t="shared" si="417"/>
        <v>0</v>
      </c>
      <c r="U1073" s="10">
        <f t="shared" si="417"/>
        <v>0</v>
      </c>
      <c r="V1073" s="10">
        <f t="shared" si="417"/>
        <v>0</v>
      </c>
      <c r="W1073" s="10">
        <f t="shared" si="417"/>
        <v>0</v>
      </c>
      <c r="X1073" s="10">
        <f t="shared" si="418"/>
        <v>33.651828571428574</v>
      </c>
    </row>
    <row r="1074" spans="1:32" s="3" customFormat="1" ht="21" customHeight="1" x14ac:dyDescent="0.2">
      <c r="A1074" s="10">
        <v>1</v>
      </c>
      <c r="B1074" s="10" t="s">
        <v>67</v>
      </c>
      <c r="C1074" s="91" t="s">
        <v>216</v>
      </c>
      <c r="D1074" s="91">
        <v>1</v>
      </c>
      <c r="E1074" s="91">
        <v>2.1139999999999999</v>
      </c>
      <c r="F1074" s="91">
        <v>0.4</v>
      </c>
      <c r="G1074" s="91">
        <v>1.1000000000000001</v>
      </c>
      <c r="H1074" s="10">
        <f>G1074-0.2</f>
        <v>0.90000000000000013</v>
      </c>
      <c r="I1074" s="10">
        <f>E1074*F1074*G1074*D1074</f>
        <v>0.9301600000000001</v>
      </c>
      <c r="J1074" s="10">
        <f>(2*(E1074)*H1074*D1074)+(E1074*F1074)</f>
        <v>4.6508000000000003</v>
      </c>
      <c r="K1074" s="92">
        <f>IF(E1074=0.3,J1074,0)</f>
        <v>0</v>
      </c>
      <c r="L1074" s="92">
        <f>IF(AND(E1074&gt;0.3,E1074&lt;=0.75),J1074,0)</f>
        <v>0</v>
      </c>
      <c r="M1074" s="92">
        <f>IF(AND(E1074&gt;0.75,E1074&lt;=1.2),J1074,0)</f>
        <v>0</v>
      </c>
      <c r="N1074" s="92">
        <f>IF(E1074&gt;1.2,J1074,0)</f>
        <v>4.6508000000000003</v>
      </c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>
        <f>SUM(X1075:X1078)/I1074</f>
        <v>210.78507230706856</v>
      </c>
      <c r="Z1074" s="10"/>
      <c r="AA1074" s="10"/>
      <c r="AB1074" s="10"/>
      <c r="AC1074" s="10"/>
      <c r="AD1074" s="10"/>
      <c r="AE1074" s="10"/>
      <c r="AF1074" s="10"/>
    </row>
    <row r="1075" spans="1:32" s="3" customFormat="1" ht="20.100000000000001" customHeight="1" x14ac:dyDescent="0.2">
      <c r="A1075" s="87"/>
      <c r="B1075" s="10" t="s">
        <v>67</v>
      </c>
      <c r="C1075" s="93" t="s">
        <v>69</v>
      </c>
      <c r="D1075" s="10">
        <v>25</v>
      </c>
      <c r="E1075" s="10"/>
      <c r="F1075" s="10">
        <v>4</v>
      </c>
      <c r="G1075" s="90">
        <f>VLOOKUP(D1075,$C$20:$F$26,3,0)</f>
        <v>1.35</v>
      </c>
      <c r="H1075" s="90"/>
      <c r="I1075" s="10"/>
      <c r="J1075" s="10"/>
      <c r="K1075" s="10"/>
      <c r="L1075" s="10"/>
      <c r="M1075" s="10"/>
      <c r="N1075" s="10"/>
      <c r="O1075" s="10">
        <f>(E1074+1*(G1075+(12*D1075/1000))+1*(0.4/2)*D1074)</f>
        <v>3.9640000000000004</v>
      </c>
      <c r="P1075" s="10">
        <f t="shared" ref="P1075:P1076" si="419">O1075*F1075</f>
        <v>15.856000000000002</v>
      </c>
      <c r="Q1075" s="10">
        <f t="shared" ref="Q1075:W1078" si="420">IF($D1075=Q$44,$P1075*Q$45,0)</f>
        <v>0</v>
      </c>
      <c r="R1075" s="10">
        <f t="shared" si="420"/>
        <v>0</v>
      </c>
      <c r="S1075" s="10">
        <f t="shared" si="420"/>
        <v>0</v>
      </c>
      <c r="T1075" s="10">
        <f t="shared" si="420"/>
        <v>0</v>
      </c>
      <c r="U1075" s="10">
        <f t="shared" si="420"/>
        <v>0</v>
      </c>
      <c r="V1075" s="10">
        <f t="shared" si="420"/>
        <v>61.123464285714299</v>
      </c>
      <c r="W1075" s="10">
        <f t="shared" si="420"/>
        <v>0</v>
      </c>
      <c r="X1075" s="10">
        <f t="shared" ref="X1075:X1078" si="421">SUM(Q1075:W1075)</f>
        <v>61.123464285714299</v>
      </c>
      <c r="Y1075" s="10"/>
      <c r="Z1075" s="10"/>
      <c r="AA1075" s="10"/>
      <c r="AB1075" s="10"/>
      <c r="AC1075" s="10"/>
      <c r="AD1075" s="10"/>
      <c r="AE1075" s="10"/>
    </row>
    <row r="1076" spans="1:32" s="3" customFormat="1" ht="19.5" customHeight="1" x14ac:dyDescent="0.2">
      <c r="A1076" s="87"/>
      <c r="B1076" s="10" t="s">
        <v>67</v>
      </c>
      <c r="C1076" s="93" t="s">
        <v>158</v>
      </c>
      <c r="D1076" s="10">
        <v>25</v>
      </c>
      <c r="E1076" s="10"/>
      <c r="F1076" s="10">
        <v>4</v>
      </c>
      <c r="G1076" s="90">
        <f>VLOOKUP(D1076,$C$20:$F$26,3,0)</f>
        <v>1.35</v>
      </c>
      <c r="H1076" s="90"/>
      <c r="I1076" s="10"/>
      <c r="J1076" s="10"/>
      <c r="K1076" s="10"/>
      <c r="L1076" s="10"/>
      <c r="M1076" s="10"/>
      <c r="N1076" s="10"/>
      <c r="O1076" s="10">
        <f>(E1074+1*(G1076+(12*D1076/1000))+1*(0.4/2)*D1074)</f>
        <v>3.9640000000000004</v>
      </c>
      <c r="P1076" s="10">
        <f t="shared" si="419"/>
        <v>15.856000000000002</v>
      </c>
      <c r="Q1076" s="10">
        <f t="shared" si="420"/>
        <v>0</v>
      </c>
      <c r="R1076" s="10">
        <f t="shared" si="420"/>
        <v>0</v>
      </c>
      <c r="S1076" s="10">
        <f t="shared" si="420"/>
        <v>0</v>
      </c>
      <c r="T1076" s="10">
        <f t="shared" si="420"/>
        <v>0</v>
      </c>
      <c r="U1076" s="10">
        <f t="shared" si="420"/>
        <v>0</v>
      </c>
      <c r="V1076" s="10">
        <f t="shared" si="420"/>
        <v>61.123464285714299</v>
      </c>
      <c r="W1076" s="10">
        <f t="shared" si="420"/>
        <v>0</v>
      </c>
      <c r="X1076" s="10">
        <f t="shared" si="421"/>
        <v>61.123464285714299</v>
      </c>
      <c r="Y1076" s="10"/>
      <c r="Z1076" s="10"/>
      <c r="AA1076" s="10"/>
      <c r="AB1076" s="10"/>
      <c r="AC1076" s="10"/>
      <c r="AD1076" s="10"/>
      <c r="AE1076" s="10"/>
    </row>
    <row r="1077" spans="1:32" s="3" customFormat="1" ht="19.5" customHeight="1" x14ac:dyDescent="0.2">
      <c r="A1077" s="87"/>
      <c r="B1077" s="10" t="s">
        <v>67</v>
      </c>
      <c r="C1077" s="93" t="s">
        <v>73</v>
      </c>
      <c r="D1077" s="10">
        <v>10</v>
      </c>
      <c r="E1077" s="10">
        <v>0.1</v>
      </c>
      <c r="F1077" s="10">
        <f>ROUNDUP(E1074/E1077,0)</f>
        <v>22</v>
      </c>
      <c r="H1077" s="10"/>
      <c r="I1077" s="10"/>
      <c r="J1077" s="10"/>
      <c r="K1077" s="10"/>
      <c r="L1077" s="10"/>
      <c r="M1077" s="10"/>
      <c r="N1077" s="10"/>
      <c r="O1077" s="10">
        <f>(2*((G1074-(2*$D$11))+(F1074-(2*$D$11)))+(2*10*D1077/1000))*D1074</f>
        <v>2.9600000000000004</v>
      </c>
      <c r="P1077" s="10">
        <f>O1077*F1077</f>
        <v>65.12</v>
      </c>
      <c r="Q1077" s="10">
        <f t="shared" si="420"/>
        <v>0</v>
      </c>
      <c r="R1077" s="10">
        <f t="shared" si="420"/>
        <v>40.165085714285716</v>
      </c>
      <c r="S1077" s="10">
        <f t="shared" si="420"/>
        <v>0</v>
      </c>
      <c r="T1077" s="10">
        <f t="shared" si="420"/>
        <v>0</v>
      </c>
      <c r="U1077" s="10">
        <f t="shared" si="420"/>
        <v>0</v>
      </c>
      <c r="V1077" s="10">
        <f t="shared" si="420"/>
        <v>0</v>
      </c>
      <c r="W1077" s="10">
        <f t="shared" si="420"/>
        <v>0</v>
      </c>
      <c r="X1077" s="10">
        <f t="shared" si="421"/>
        <v>40.165085714285716</v>
      </c>
      <c r="Y1077" s="10"/>
      <c r="Z1077" s="10"/>
      <c r="AA1077" s="10"/>
      <c r="AB1077" s="10"/>
      <c r="AC1077" s="10"/>
      <c r="AD1077" s="10"/>
      <c r="AE1077" s="10"/>
    </row>
    <row r="1078" spans="1:32" s="2" customFormat="1" ht="20.100000000000001" customHeight="1" x14ac:dyDescent="0.2">
      <c r="B1078" s="10" t="s">
        <v>67</v>
      </c>
      <c r="C1078" s="93" t="s">
        <v>74</v>
      </c>
      <c r="D1078" s="10">
        <f>+D1077</f>
        <v>10</v>
      </c>
      <c r="E1078" s="2">
        <f>+E1077</f>
        <v>0.1</v>
      </c>
      <c r="F1078" s="10">
        <f>ROUNDUP(E1074/E1078,0)</f>
        <v>22</v>
      </c>
      <c r="G1078" s="3"/>
      <c r="O1078" s="10">
        <f>((((G1074-(2*$D$11))+(2*10*D1078/1000))*D1074))*2</f>
        <v>2.48</v>
      </c>
      <c r="P1078" s="10">
        <f>O1078*F1078</f>
        <v>54.56</v>
      </c>
      <c r="Q1078" s="10">
        <f t="shared" si="420"/>
        <v>0</v>
      </c>
      <c r="R1078" s="10">
        <f t="shared" si="420"/>
        <v>33.651828571428574</v>
      </c>
      <c r="S1078" s="10">
        <f t="shared" si="420"/>
        <v>0</v>
      </c>
      <c r="T1078" s="10">
        <f t="shared" si="420"/>
        <v>0</v>
      </c>
      <c r="U1078" s="10">
        <f t="shared" si="420"/>
        <v>0</v>
      </c>
      <c r="V1078" s="10">
        <f t="shared" si="420"/>
        <v>0</v>
      </c>
      <c r="W1078" s="10">
        <f t="shared" si="420"/>
        <v>0</v>
      </c>
      <c r="X1078" s="10">
        <f t="shared" si="421"/>
        <v>33.651828571428574</v>
      </c>
    </row>
    <row r="1079" spans="1:32" s="3" customFormat="1" ht="21" customHeight="1" x14ac:dyDescent="0.2">
      <c r="A1079" s="10">
        <v>1</v>
      </c>
      <c r="B1079" s="10" t="s">
        <v>67</v>
      </c>
      <c r="C1079" s="91" t="s">
        <v>217</v>
      </c>
      <c r="D1079" s="91">
        <v>1</v>
      </c>
      <c r="E1079" s="91">
        <v>3</v>
      </c>
      <c r="F1079" s="91">
        <v>0.4</v>
      </c>
      <c r="G1079" s="91">
        <v>1.1000000000000001</v>
      </c>
      <c r="H1079" s="10">
        <f>G1079-0.2</f>
        <v>0.90000000000000013</v>
      </c>
      <c r="I1079" s="10">
        <f>E1079*F1079*G1079*D1079</f>
        <v>1.3200000000000003</v>
      </c>
      <c r="J1079" s="10">
        <f>(2*(E1079)*H1079*D1079)+(E1079*F1079)</f>
        <v>6.6000000000000005</v>
      </c>
      <c r="K1079" s="92">
        <f>IF(E1079=0.3,J1079,0)</f>
        <v>0</v>
      </c>
      <c r="L1079" s="92">
        <f>IF(AND(E1079&gt;0.3,E1079&lt;=0.75),J1079,0)</f>
        <v>0</v>
      </c>
      <c r="M1079" s="92">
        <f>IF(AND(E1079&gt;0.75,E1079&lt;=1.2),J1079,0)</f>
        <v>0</v>
      </c>
      <c r="N1079" s="92">
        <f>IF(E1079&gt;1.2,J1079,0)</f>
        <v>6.6000000000000005</v>
      </c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>
        <f>SUM(X1080:X1085)/I1079</f>
        <v>153.14976190476187</v>
      </c>
      <c r="Z1079" s="10"/>
      <c r="AA1079" s="10"/>
      <c r="AB1079" s="10"/>
      <c r="AC1079" s="10"/>
      <c r="AD1079" s="10"/>
      <c r="AE1079" s="10"/>
      <c r="AF1079" s="10"/>
    </row>
    <row r="1080" spans="1:32" s="3" customFormat="1" ht="20.100000000000001" customHeight="1" x14ac:dyDescent="0.2">
      <c r="A1080" s="87"/>
      <c r="B1080" s="10" t="s">
        <v>67</v>
      </c>
      <c r="C1080" s="93" t="s">
        <v>69</v>
      </c>
      <c r="D1080" s="10">
        <v>25</v>
      </c>
      <c r="E1080" s="10"/>
      <c r="F1080" s="10">
        <v>4</v>
      </c>
      <c r="G1080" s="90">
        <f>VLOOKUP(D1080,$C$20:$F$26,3,0)</f>
        <v>1.35</v>
      </c>
      <c r="H1080" s="90"/>
      <c r="I1080" s="10"/>
      <c r="J1080" s="10"/>
      <c r="K1080" s="10"/>
      <c r="L1080" s="10"/>
      <c r="M1080" s="10"/>
      <c r="N1080" s="10"/>
      <c r="O1080" s="10">
        <f>+E1079+2*(0.4/2)</f>
        <v>3.4</v>
      </c>
      <c r="P1080" s="10">
        <f t="shared" ref="P1080:P1082" si="422">O1080*F1080</f>
        <v>13.6</v>
      </c>
      <c r="Q1080" s="10">
        <f t="shared" ref="Q1080:W1085" si="423">IF($D1080=Q$44,$P1080*Q$45,0)</f>
        <v>0</v>
      </c>
      <c r="R1080" s="10">
        <f t="shared" si="423"/>
        <v>0</v>
      </c>
      <c r="S1080" s="10">
        <f t="shared" si="423"/>
        <v>0</v>
      </c>
      <c r="T1080" s="10">
        <f t="shared" si="423"/>
        <v>0</v>
      </c>
      <c r="U1080" s="10">
        <f t="shared" si="423"/>
        <v>0</v>
      </c>
      <c r="V1080" s="10">
        <f t="shared" si="423"/>
        <v>52.426785714285721</v>
      </c>
      <c r="W1080" s="10">
        <f t="shared" si="423"/>
        <v>0</v>
      </c>
      <c r="X1080" s="10">
        <f t="shared" ref="X1080:X1085" si="424">SUM(Q1080:W1080)</f>
        <v>52.426785714285721</v>
      </c>
      <c r="Y1080" s="10"/>
      <c r="Z1080" s="10"/>
      <c r="AA1080" s="10"/>
      <c r="AB1080" s="10"/>
      <c r="AC1080" s="10"/>
      <c r="AD1080" s="10"/>
      <c r="AE1080" s="10"/>
    </row>
    <row r="1081" spans="1:32" s="3" customFormat="1" ht="20.100000000000001" customHeight="1" x14ac:dyDescent="0.2">
      <c r="A1081" s="87"/>
      <c r="B1081" s="10" t="s">
        <v>67</v>
      </c>
      <c r="C1081" s="93" t="s">
        <v>158</v>
      </c>
      <c r="D1081" s="10">
        <v>25</v>
      </c>
      <c r="E1081" s="10"/>
      <c r="F1081" s="10">
        <v>4</v>
      </c>
      <c r="G1081" s="90">
        <f>VLOOKUP(D1081,$C$20:$F$26,3,0)</f>
        <v>1.35</v>
      </c>
      <c r="H1081" s="90"/>
      <c r="I1081" s="10"/>
      <c r="J1081" s="10"/>
      <c r="K1081" s="10"/>
      <c r="L1081" s="10"/>
      <c r="M1081" s="10"/>
      <c r="N1081" s="10"/>
      <c r="O1081" s="10">
        <f>+E1079+2*(0.4/2)</f>
        <v>3.4</v>
      </c>
      <c r="P1081" s="10">
        <f t="shared" si="422"/>
        <v>13.6</v>
      </c>
      <c r="Q1081" s="10">
        <f t="shared" si="423"/>
        <v>0</v>
      </c>
      <c r="R1081" s="10">
        <f t="shared" si="423"/>
        <v>0</v>
      </c>
      <c r="S1081" s="10">
        <f t="shared" si="423"/>
        <v>0</v>
      </c>
      <c r="T1081" s="10">
        <f t="shared" si="423"/>
        <v>0</v>
      </c>
      <c r="U1081" s="10">
        <f t="shared" si="423"/>
        <v>0</v>
      </c>
      <c r="V1081" s="10">
        <f t="shared" si="423"/>
        <v>52.426785714285721</v>
      </c>
      <c r="W1081" s="10">
        <f t="shared" si="423"/>
        <v>0</v>
      </c>
      <c r="X1081" s="10">
        <f t="shared" si="424"/>
        <v>52.426785714285721</v>
      </c>
      <c r="Y1081" s="10"/>
      <c r="Z1081" s="10"/>
      <c r="AA1081" s="10"/>
      <c r="AB1081" s="10"/>
      <c r="AC1081" s="10"/>
      <c r="AD1081" s="10"/>
      <c r="AE1081" s="10"/>
    </row>
    <row r="1082" spans="1:32" s="3" customFormat="1" ht="20.100000000000001" customHeight="1" x14ac:dyDescent="0.2">
      <c r="A1082" s="87"/>
      <c r="B1082" s="10" t="s">
        <v>67</v>
      </c>
      <c r="C1082" s="93" t="s">
        <v>73</v>
      </c>
      <c r="D1082" s="10">
        <v>10</v>
      </c>
      <c r="E1082" s="10">
        <v>0.1</v>
      </c>
      <c r="F1082" s="10">
        <f>ROUNDUP((E1079/3*2)/E1082,0)+1</f>
        <v>21</v>
      </c>
      <c r="H1082" s="10"/>
      <c r="I1082" s="10"/>
      <c r="J1082" s="10"/>
      <c r="K1082" s="10"/>
      <c r="L1082" s="10"/>
      <c r="M1082" s="10"/>
      <c r="N1082" s="10"/>
      <c r="O1082" s="10">
        <f>(2*((G1079-(2*$D$11))+(F1079-(2*$D$11)))+(2*10*D1082/1000))*D1079</f>
        <v>2.9600000000000004</v>
      </c>
      <c r="P1082" s="10">
        <f t="shared" si="422"/>
        <v>62.160000000000011</v>
      </c>
      <c r="Q1082" s="10">
        <f t="shared" si="423"/>
        <v>0</v>
      </c>
      <c r="R1082" s="10">
        <f t="shared" si="423"/>
        <v>38.339400000000005</v>
      </c>
      <c r="S1082" s="10">
        <f t="shared" si="423"/>
        <v>0</v>
      </c>
      <c r="T1082" s="10">
        <f t="shared" si="423"/>
        <v>0</v>
      </c>
      <c r="U1082" s="10">
        <f t="shared" si="423"/>
        <v>0</v>
      </c>
      <c r="V1082" s="10">
        <f t="shared" si="423"/>
        <v>0</v>
      </c>
      <c r="W1082" s="10">
        <f t="shared" si="423"/>
        <v>0</v>
      </c>
      <c r="X1082" s="10">
        <f t="shared" si="424"/>
        <v>38.339400000000005</v>
      </c>
      <c r="Y1082" s="10"/>
      <c r="Z1082" s="10"/>
      <c r="AA1082" s="10"/>
      <c r="AB1082" s="10"/>
      <c r="AC1082" s="10"/>
      <c r="AD1082" s="10"/>
      <c r="AE1082" s="10"/>
    </row>
    <row r="1083" spans="1:32" s="2" customFormat="1" ht="20.100000000000001" customHeight="1" x14ac:dyDescent="0.2">
      <c r="B1083" s="10" t="s">
        <v>67</v>
      </c>
      <c r="C1083" s="93" t="s">
        <v>73</v>
      </c>
      <c r="D1083" s="2">
        <f>D1082</f>
        <v>10</v>
      </c>
      <c r="E1083" s="2">
        <v>0.15</v>
      </c>
      <c r="F1083" s="10">
        <f>ROUNDUP((E1079/3)/E1083,0)+1</f>
        <v>8</v>
      </c>
      <c r="G1083" s="3"/>
      <c r="O1083" s="10">
        <f>(2*((G1079-(2*$D$11))+(F1079-(2*$D$11)))+(2*10*D1083/1000))*D1079</f>
        <v>2.9600000000000004</v>
      </c>
      <c r="P1083" s="10">
        <f>O1083*F1083</f>
        <v>23.680000000000003</v>
      </c>
      <c r="Q1083" s="10">
        <f t="shared" si="423"/>
        <v>0</v>
      </c>
      <c r="R1083" s="10">
        <f t="shared" si="423"/>
        <v>14.605485714285717</v>
      </c>
      <c r="S1083" s="10">
        <f t="shared" si="423"/>
        <v>0</v>
      </c>
      <c r="T1083" s="10">
        <f t="shared" si="423"/>
        <v>0</v>
      </c>
      <c r="U1083" s="10">
        <f t="shared" si="423"/>
        <v>0</v>
      </c>
      <c r="V1083" s="10">
        <f t="shared" si="423"/>
        <v>0</v>
      </c>
      <c r="W1083" s="10">
        <f t="shared" si="423"/>
        <v>0</v>
      </c>
      <c r="X1083" s="10">
        <f t="shared" si="424"/>
        <v>14.605485714285717</v>
      </c>
    </row>
    <row r="1084" spans="1:32" s="2" customFormat="1" ht="20.100000000000001" customHeight="1" x14ac:dyDescent="0.2">
      <c r="B1084" s="10" t="s">
        <v>67</v>
      </c>
      <c r="C1084" s="93" t="s">
        <v>74</v>
      </c>
      <c r="D1084" s="2">
        <f>D1082</f>
        <v>10</v>
      </c>
      <c r="E1084" s="2">
        <f>+E1082</f>
        <v>0.1</v>
      </c>
      <c r="F1084" s="10">
        <f>ROUNDUP((E1079/3*2)/E1084,0)+1</f>
        <v>21</v>
      </c>
      <c r="G1084" s="3"/>
      <c r="O1084" s="10">
        <f>((((G1079-(2*$D$11))+(2*10*D1084/1000))*D1079))*2</f>
        <v>2.48</v>
      </c>
      <c r="P1084" s="10">
        <f t="shared" ref="P1084" si="425">O1084*F1084</f>
        <v>52.08</v>
      </c>
      <c r="Q1084" s="10">
        <f t="shared" si="423"/>
        <v>0</v>
      </c>
      <c r="R1084" s="10">
        <f t="shared" si="423"/>
        <v>32.122199999999999</v>
      </c>
      <c r="S1084" s="10">
        <f t="shared" si="423"/>
        <v>0</v>
      </c>
      <c r="T1084" s="10">
        <f t="shared" si="423"/>
        <v>0</v>
      </c>
      <c r="U1084" s="10">
        <f t="shared" si="423"/>
        <v>0</v>
      </c>
      <c r="V1084" s="10">
        <f t="shared" si="423"/>
        <v>0</v>
      </c>
      <c r="W1084" s="10">
        <f t="shared" si="423"/>
        <v>0</v>
      </c>
      <c r="X1084" s="10">
        <f t="shared" si="424"/>
        <v>32.122199999999999</v>
      </c>
    </row>
    <row r="1085" spans="1:32" s="2" customFormat="1" ht="20.100000000000001" customHeight="1" x14ac:dyDescent="0.2">
      <c r="B1085" s="10" t="s">
        <v>67</v>
      </c>
      <c r="C1085" s="93" t="s">
        <v>74</v>
      </c>
      <c r="D1085" s="2">
        <f>D1083</f>
        <v>10</v>
      </c>
      <c r="E1085" s="2">
        <f>+E1083</f>
        <v>0.15</v>
      </c>
      <c r="F1085" s="10">
        <f>ROUNDUP((E1079/3)/E1085,0)+1</f>
        <v>8</v>
      </c>
      <c r="G1085" s="3"/>
      <c r="O1085" s="10">
        <f>((((G1079-(2*$D$11))+(2*10*D1085/1000))*D1079))*2</f>
        <v>2.48</v>
      </c>
      <c r="P1085" s="10">
        <f>O1085*F1085</f>
        <v>19.84</v>
      </c>
      <c r="Q1085" s="10">
        <f t="shared" si="423"/>
        <v>0</v>
      </c>
      <c r="R1085" s="10">
        <f t="shared" si="423"/>
        <v>12.237028571428571</v>
      </c>
      <c r="S1085" s="10">
        <f t="shared" si="423"/>
        <v>0</v>
      </c>
      <c r="T1085" s="10">
        <f t="shared" si="423"/>
        <v>0</v>
      </c>
      <c r="U1085" s="10">
        <f t="shared" si="423"/>
        <v>0</v>
      </c>
      <c r="V1085" s="10">
        <f t="shared" si="423"/>
        <v>0</v>
      </c>
      <c r="W1085" s="10">
        <f t="shared" si="423"/>
        <v>0</v>
      </c>
      <c r="X1085" s="10">
        <f t="shared" si="424"/>
        <v>12.237028571428571</v>
      </c>
    </row>
    <row r="1086" spans="1:32" s="3" customFormat="1" ht="21" customHeight="1" x14ac:dyDescent="0.2">
      <c r="A1086" s="10">
        <v>1</v>
      </c>
      <c r="B1086" s="10" t="s">
        <v>67</v>
      </c>
      <c r="C1086" s="91" t="s">
        <v>218</v>
      </c>
      <c r="D1086" s="91">
        <v>1</v>
      </c>
      <c r="E1086" s="91">
        <v>2.97</v>
      </c>
      <c r="F1086" s="91">
        <v>0.4</v>
      </c>
      <c r="G1086" s="91">
        <v>1.1000000000000001</v>
      </c>
      <c r="H1086" s="10">
        <f>G1086-0.2</f>
        <v>0.90000000000000013</v>
      </c>
      <c r="I1086" s="10">
        <f>E1086*F1086*G1086*D1086</f>
        <v>1.3068000000000002</v>
      </c>
      <c r="J1086" s="10">
        <f>(2*(E1086)*H1086*D1086)+(E1086*F1086)</f>
        <v>6.5340000000000007</v>
      </c>
      <c r="K1086" s="92">
        <f>IF(E1086=0.3,J1086,0)</f>
        <v>0</v>
      </c>
      <c r="L1086" s="92">
        <f>IF(AND(E1086&gt;0.3,E1086&lt;=0.75),J1086,0)</f>
        <v>0</v>
      </c>
      <c r="M1086" s="92">
        <f>IF(AND(E1086&gt;0.75,E1086&lt;=1.2),J1086,0)</f>
        <v>0</v>
      </c>
      <c r="N1086" s="92">
        <f>IF(E1086&gt;1.2,J1086,0)</f>
        <v>6.5340000000000007</v>
      </c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>
        <f>SUM(X1087:X1092)/I1086</f>
        <v>188.20743145743145</v>
      </c>
      <c r="Z1086" s="10"/>
      <c r="AA1086" s="10"/>
      <c r="AB1086" s="10"/>
      <c r="AC1086" s="10"/>
      <c r="AD1086" s="10"/>
      <c r="AE1086" s="10"/>
      <c r="AF1086" s="10"/>
    </row>
    <row r="1087" spans="1:32" s="3" customFormat="1" ht="20.100000000000001" customHeight="1" x14ac:dyDescent="0.2">
      <c r="A1087" s="87"/>
      <c r="B1087" s="10" t="s">
        <v>67</v>
      </c>
      <c r="C1087" s="93" t="s">
        <v>69</v>
      </c>
      <c r="D1087" s="10">
        <v>25</v>
      </c>
      <c r="E1087" s="10"/>
      <c r="F1087" s="10">
        <v>4</v>
      </c>
      <c r="G1087" s="90">
        <f>VLOOKUP(D1087,$C$20:$F$26,3,0)</f>
        <v>1.35</v>
      </c>
      <c r="H1087" s="90"/>
      <c r="I1087" s="10"/>
      <c r="J1087" s="10"/>
      <c r="K1087" s="10"/>
      <c r="L1087" s="10"/>
      <c r="M1087" s="10"/>
      <c r="N1087" s="10"/>
      <c r="O1087" s="10">
        <f>(E1086+1*(G1087+(12*D1087/1000))+1*(0.4/2)*D1086)</f>
        <v>4.82</v>
      </c>
      <c r="P1087" s="10">
        <f t="shared" ref="P1087:P1089" si="426">O1087*F1087</f>
        <v>19.28</v>
      </c>
      <c r="Q1087" s="10">
        <f t="shared" ref="Q1087:W1100" si="427">IF($D1087=Q$44,$P1087*Q$45,0)</f>
        <v>0</v>
      </c>
      <c r="R1087" s="10">
        <f t="shared" si="427"/>
        <v>0</v>
      </c>
      <c r="S1087" s="10">
        <f t="shared" si="427"/>
        <v>0</v>
      </c>
      <c r="T1087" s="10">
        <f t="shared" si="427"/>
        <v>0</v>
      </c>
      <c r="U1087" s="10">
        <f t="shared" si="427"/>
        <v>0</v>
      </c>
      <c r="V1087" s="10">
        <f t="shared" si="427"/>
        <v>74.322678571428582</v>
      </c>
      <c r="W1087" s="10">
        <f t="shared" si="427"/>
        <v>0</v>
      </c>
      <c r="X1087" s="10">
        <f t="shared" ref="X1087:X1092" si="428">SUM(Q1087:W1087)</f>
        <v>74.322678571428582</v>
      </c>
      <c r="Y1087" s="10"/>
      <c r="Z1087" s="10"/>
      <c r="AA1087" s="10"/>
      <c r="AB1087" s="10"/>
      <c r="AC1087" s="10"/>
      <c r="AD1087" s="10"/>
      <c r="AE1087" s="10"/>
    </row>
    <row r="1088" spans="1:32" s="3" customFormat="1" ht="19.5" customHeight="1" x14ac:dyDescent="0.2">
      <c r="A1088" s="87"/>
      <c r="B1088" s="10" t="s">
        <v>67</v>
      </c>
      <c r="C1088" s="93" t="s">
        <v>158</v>
      </c>
      <c r="D1088" s="10">
        <v>25</v>
      </c>
      <c r="E1088" s="10"/>
      <c r="F1088" s="10">
        <v>4</v>
      </c>
      <c r="G1088" s="90">
        <f>VLOOKUP(D1088,$C$20:$F$26,3,0)</f>
        <v>1.35</v>
      </c>
      <c r="H1088" s="90"/>
      <c r="I1088" s="10"/>
      <c r="J1088" s="10"/>
      <c r="K1088" s="10"/>
      <c r="L1088" s="10"/>
      <c r="M1088" s="10"/>
      <c r="N1088" s="10"/>
      <c r="O1088" s="10">
        <f>(E1086+1*(G1088+(12*D1088/1000))+1*(0.4/2)*D1086)</f>
        <v>4.82</v>
      </c>
      <c r="P1088" s="10">
        <f t="shared" si="426"/>
        <v>19.28</v>
      </c>
      <c r="Q1088" s="10">
        <f t="shared" si="427"/>
        <v>0</v>
      </c>
      <c r="R1088" s="10">
        <f t="shared" si="427"/>
        <v>0</v>
      </c>
      <c r="S1088" s="10">
        <f t="shared" si="427"/>
        <v>0</v>
      </c>
      <c r="T1088" s="10">
        <f t="shared" si="427"/>
        <v>0</v>
      </c>
      <c r="U1088" s="10">
        <f t="shared" si="427"/>
        <v>0</v>
      </c>
      <c r="V1088" s="10">
        <f t="shared" si="427"/>
        <v>74.322678571428582</v>
      </c>
      <c r="W1088" s="10">
        <f t="shared" si="427"/>
        <v>0</v>
      </c>
      <c r="X1088" s="10">
        <f t="shared" si="428"/>
        <v>74.322678571428582</v>
      </c>
      <c r="Y1088" s="10"/>
      <c r="Z1088" s="10"/>
      <c r="AA1088" s="10"/>
      <c r="AB1088" s="10"/>
      <c r="AC1088" s="10"/>
      <c r="AD1088" s="10"/>
      <c r="AE1088" s="10"/>
    </row>
    <row r="1089" spans="1:32" s="3" customFormat="1" ht="20.100000000000001" customHeight="1" x14ac:dyDescent="0.2">
      <c r="A1089" s="87"/>
      <c r="B1089" s="10" t="s">
        <v>67</v>
      </c>
      <c r="C1089" s="93" t="s">
        <v>73</v>
      </c>
      <c r="D1089" s="10">
        <v>10</v>
      </c>
      <c r="E1089" s="10">
        <v>0.1</v>
      </c>
      <c r="F1089" s="10">
        <f>ROUNDUP((E1086/3*2)/E1089,0)+1</f>
        <v>21</v>
      </c>
      <c r="H1089" s="10"/>
      <c r="I1089" s="10"/>
      <c r="J1089" s="10"/>
      <c r="K1089" s="10"/>
      <c r="L1089" s="10"/>
      <c r="M1089" s="10"/>
      <c r="N1089" s="10"/>
      <c r="O1089" s="10">
        <f>(2*((G1086-(2*$D$11))+(F1086-(2*$D$11)))+(2*10*D1089/1000))*D1086</f>
        <v>2.9600000000000004</v>
      </c>
      <c r="P1089" s="10">
        <f t="shared" si="426"/>
        <v>62.160000000000011</v>
      </c>
      <c r="Q1089" s="10">
        <f t="shared" si="427"/>
        <v>0</v>
      </c>
      <c r="R1089" s="10">
        <f t="shared" si="427"/>
        <v>38.339400000000005</v>
      </c>
      <c r="S1089" s="10">
        <f t="shared" si="427"/>
        <v>0</v>
      </c>
      <c r="T1089" s="10">
        <f t="shared" si="427"/>
        <v>0</v>
      </c>
      <c r="U1089" s="10">
        <f t="shared" si="427"/>
        <v>0</v>
      </c>
      <c r="V1089" s="10">
        <f t="shared" si="427"/>
        <v>0</v>
      </c>
      <c r="W1089" s="10">
        <f t="shared" si="427"/>
        <v>0</v>
      </c>
      <c r="X1089" s="10">
        <f t="shared" si="428"/>
        <v>38.339400000000005</v>
      </c>
      <c r="Y1089" s="10"/>
      <c r="Z1089" s="10"/>
      <c r="AA1089" s="10"/>
      <c r="AB1089" s="10"/>
      <c r="AC1089" s="10"/>
      <c r="AD1089" s="10"/>
      <c r="AE1089" s="10"/>
    </row>
    <row r="1090" spans="1:32" s="2" customFormat="1" ht="20.100000000000001" customHeight="1" x14ac:dyDescent="0.2">
      <c r="B1090" s="10" t="s">
        <v>67</v>
      </c>
      <c r="C1090" s="93" t="s">
        <v>73</v>
      </c>
      <c r="D1090" s="2">
        <f>D1089</f>
        <v>10</v>
      </c>
      <c r="E1090" s="2">
        <v>0.15</v>
      </c>
      <c r="F1090" s="10">
        <f>ROUNDUP((E1086/3)/E1090,0)+1</f>
        <v>8</v>
      </c>
      <c r="G1090" s="3"/>
      <c r="O1090" s="10">
        <f>(2*((G1086-(2*$D$11))+(F1086-(2*$D$11)))+(2*10*D1090/1000))*D1086</f>
        <v>2.9600000000000004</v>
      </c>
      <c r="P1090" s="10">
        <f>O1090*F1090</f>
        <v>23.680000000000003</v>
      </c>
      <c r="Q1090" s="10">
        <f t="shared" si="427"/>
        <v>0</v>
      </c>
      <c r="R1090" s="10">
        <f t="shared" si="427"/>
        <v>14.605485714285717</v>
      </c>
      <c r="S1090" s="10">
        <f t="shared" si="427"/>
        <v>0</v>
      </c>
      <c r="T1090" s="10">
        <f t="shared" si="427"/>
        <v>0</v>
      </c>
      <c r="U1090" s="10">
        <f t="shared" si="427"/>
        <v>0</v>
      </c>
      <c r="V1090" s="10">
        <f t="shared" si="427"/>
        <v>0</v>
      </c>
      <c r="W1090" s="10">
        <f t="shared" si="427"/>
        <v>0</v>
      </c>
      <c r="X1090" s="10">
        <f t="shared" si="428"/>
        <v>14.605485714285717</v>
      </c>
    </row>
    <row r="1091" spans="1:32" s="2" customFormat="1" ht="20.100000000000001" customHeight="1" x14ac:dyDescent="0.2">
      <c r="B1091" s="10" t="s">
        <v>67</v>
      </c>
      <c r="C1091" s="93" t="s">
        <v>74</v>
      </c>
      <c r="D1091" s="2">
        <f>D1089</f>
        <v>10</v>
      </c>
      <c r="E1091" s="2">
        <f>+E1089</f>
        <v>0.1</v>
      </c>
      <c r="F1091" s="10">
        <f>ROUNDUP((E1086/3*2)/E1091,0)+1</f>
        <v>21</v>
      </c>
      <c r="G1091" s="3"/>
      <c r="O1091" s="10">
        <f>((((G1086-(2*$D$11))+(2*10*D1091/1000))*D1086))*2</f>
        <v>2.48</v>
      </c>
      <c r="P1091" s="10">
        <f t="shared" ref="P1091" si="429">O1091*F1091</f>
        <v>52.08</v>
      </c>
      <c r="Q1091" s="10">
        <f t="shared" si="427"/>
        <v>0</v>
      </c>
      <c r="R1091" s="10">
        <f t="shared" si="427"/>
        <v>32.122199999999999</v>
      </c>
      <c r="S1091" s="10">
        <f t="shared" si="427"/>
        <v>0</v>
      </c>
      <c r="T1091" s="10">
        <f t="shared" si="427"/>
        <v>0</v>
      </c>
      <c r="U1091" s="10">
        <f t="shared" si="427"/>
        <v>0</v>
      </c>
      <c r="V1091" s="10">
        <f t="shared" si="427"/>
        <v>0</v>
      </c>
      <c r="W1091" s="10">
        <f t="shared" si="427"/>
        <v>0</v>
      </c>
      <c r="X1091" s="10">
        <f t="shared" si="428"/>
        <v>32.122199999999999</v>
      </c>
    </row>
    <row r="1092" spans="1:32" s="2" customFormat="1" ht="20.100000000000001" customHeight="1" x14ac:dyDescent="0.2">
      <c r="B1092" s="10" t="s">
        <v>67</v>
      </c>
      <c r="C1092" s="93" t="s">
        <v>74</v>
      </c>
      <c r="D1092" s="2">
        <f>D1090</f>
        <v>10</v>
      </c>
      <c r="E1092" s="2">
        <f>+E1090</f>
        <v>0.15</v>
      </c>
      <c r="F1092" s="10">
        <f>ROUNDUP((E1086/3)/E1092,0)+1</f>
        <v>8</v>
      </c>
      <c r="G1092" s="3"/>
      <c r="O1092" s="10">
        <f>((((G1086-(2*$D$11))+(2*10*D1092/1000))*D1086))*2</f>
        <v>2.48</v>
      </c>
      <c r="P1092" s="10">
        <f>O1092*F1092</f>
        <v>19.84</v>
      </c>
      <c r="Q1092" s="10">
        <f t="shared" si="427"/>
        <v>0</v>
      </c>
      <c r="R1092" s="10">
        <f t="shared" si="427"/>
        <v>12.237028571428571</v>
      </c>
      <c r="S1092" s="10">
        <f t="shared" si="427"/>
        <v>0</v>
      </c>
      <c r="T1092" s="10">
        <f t="shared" si="427"/>
        <v>0</v>
      </c>
      <c r="U1092" s="10">
        <f t="shared" si="427"/>
        <v>0</v>
      </c>
      <c r="V1092" s="10">
        <f t="shared" si="427"/>
        <v>0</v>
      </c>
      <c r="W1092" s="10">
        <f t="shared" si="427"/>
        <v>0</v>
      </c>
      <c r="X1092" s="10">
        <f t="shared" si="428"/>
        <v>12.237028571428571</v>
      </c>
    </row>
    <row r="1093" spans="1:32" s="3" customFormat="1" ht="21" customHeight="1" x14ac:dyDescent="0.2">
      <c r="A1093" s="10">
        <v>1</v>
      </c>
      <c r="B1093" s="10" t="s">
        <v>67</v>
      </c>
      <c r="C1093" s="91" t="s">
        <v>219</v>
      </c>
      <c r="D1093" s="91">
        <v>1</v>
      </c>
      <c r="E1093" s="91">
        <v>6</v>
      </c>
      <c r="F1093" s="91">
        <v>0.45</v>
      </c>
      <c r="G1093" s="91">
        <v>0.6</v>
      </c>
      <c r="H1093" s="10">
        <f>G1093-0.2</f>
        <v>0.39999999999999997</v>
      </c>
      <c r="I1093" s="10">
        <f>E1093*F1093*G1093*D1093</f>
        <v>1.62</v>
      </c>
      <c r="J1093" s="10">
        <f>(2*(E1093)*H1093*D1093)+(E1093*F1093)</f>
        <v>7.5</v>
      </c>
      <c r="K1093" s="92">
        <f>IF(E1093=0.3,J1093,0)</f>
        <v>0</v>
      </c>
      <c r="L1093" s="92">
        <f>IF(AND(E1093&gt;0.3,E1093&lt;=0.75),J1093,0)</f>
        <v>0</v>
      </c>
      <c r="M1093" s="92">
        <f>IF(AND(E1093&gt;0.75,E1093&lt;=1.2),J1093,0)</f>
        <v>0</v>
      </c>
      <c r="N1093" s="92">
        <f>IF(E1093&gt;1.2,J1093,0)</f>
        <v>7.5</v>
      </c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>
        <f>SUM(X1094:X1100)/I1093</f>
        <v>149.36143774250439</v>
      </c>
      <c r="Z1093" s="10"/>
      <c r="AA1093" s="10"/>
      <c r="AB1093" s="10"/>
      <c r="AC1093" s="10"/>
      <c r="AD1093" s="10"/>
      <c r="AE1093" s="10"/>
      <c r="AF1093" s="10"/>
    </row>
    <row r="1094" spans="1:32" s="3" customFormat="1" ht="20.100000000000001" customHeight="1" x14ac:dyDescent="0.2">
      <c r="A1094" s="87"/>
      <c r="B1094" s="10" t="s">
        <v>67</v>
      </c>
      <c r="C1094" s="93" t="s">
        <v>69</v>
      </c>
      <c r="D1094" s="10">
        <v>20</v>
      </c>
      <c r="E1094" s="10"/>
      <c r="F1094" s="10">
        <v>4</v>
      </c>
      <c r="G1094" s="90">
        <f>VLOOKUP(D1094,$C$20:$F$26,3,0)</f>
        <v>1.05</v>
      </c>
      <c r="H1094" s="90"/>
      <c r="I1094" s="10"/>
      <c r="J1094" s="10"/>
      <c r="K1094" s="10"/>
      <c r="L1094" s="10"/>
      <c r="M1094" s="10"/>
      <c r="N1094" s="10"/>
      <c r="O1094" s="10">
        <f>(E1093+1*(G1094+(12*D1094/1000))+1*(0.4/2)*D1093)</f>
        <v>7.49</v>
      </c>
      <c r="P1094" s="10">
        <f t="shared" ref="P1094:P1097" si="430">O1094*F1094</f>
        <v>29.96</v>
      </c>
      <c r="Q1094" s="10">
        <f t="shared" si="427"/>
        <v>0</v>
      </c>
      <c r="R1094" s="10">
        <f t="shared" si="427"/>
        <v>0</v>
      </c>
      <c r="S1094" s="10">
        <f t="shared" si="427"/>
        <v>0</v>
      </c>
      <c r="T1094" s="10">
        <f t="shared" si="427"/>
        <v>0</v>
      </c>
      <c r="U1094" s="10">
        <f t="shared" si="427"/>
        <v>73.915599999999998</v>
      </c>
      <c r="V1094" s="10">
        <f t="shared" si="427"/>
        <v>0</v>
      </c>
      <c r="W1094" s="10">
        <f t="shared" si="427"/>
        <v>0</v>
      </c>
      <c r="X1094" s="10">
        <f>SUM(Q1094:W1094)</f>
        <v>73.915599999999998</v>
      </c>
      <c r="Y1094" s="10"/>
      <c r="Z1094" s="10"/>
      <c r="AA1094" s="10"/>
      <c r="AB1094" s="10"/>
      <c r="AC1094" s="10"/>
      <c r="AD1094" s="10"/>
      <c r="AE1094" s="10"/>
    </row>
    <row r="1095" spans="1:32" s="3" customFormat="1" ht="19.5" customHeight="1" x14ac:dyDescent="0.2">
      <c r="A1095" s="87"/>
      <c r="B1095" s="10" t="s">
        <v>67</v>
      </c>
      <c r="C1095" s="93" t="s">
        <v>158</v>
      </c>
      <c r="D1095" s="10">
        <v>20</v>
      </c>
      <c r="E1095" s="10"/>
      <c r="F1095" s="10">
        <v>4</v>
      </c>
      <c r="G1095" s="90">
        <f>VLOOKUP(D1095,$C$20:$F$26,3,0)</f>
        <v>1.05</v>
      </c>
      <c r="H1095" s="90"/>
      <c r="I1095" s="10"/>
      <c r="J1095" s="10"/>
      <c r="K1095" s="10"/>
      <c r="L1095" s="10"/>
      <c r="M1095" s="10"/>
      <c r="N1095" s="10"/>
      <c r="O1095" s="10">
        <f>(E1093+1*(G1095+(12*D1095/1000))+G1094+1*(0.4/2)*D1093)</f>
        <v>8.5399999999999991</v>
      </c>
      <c r="P1095" s="10">
        <f t="shared" si="430"/>
        <v>34.159999999999997</v>
      </c>
      <c r="Q1095" s="10">
        <f t="shared" si="427"/>
        <v>0</v>
      </c>
      <c r="R1095" s="10">
        <f t="shared" si="427"/>
        <v>0</v>
      </c>
      <c r="S1095" s="10">
        <f t="shared" si="427"/>
        <v>0</v>
      </c>
      <c r="T1095" s="10">
        <f t="shared" si="427"/>
        <v>0</v>
      </c>
      <c r="U1095" s="10">
        <f t="shared" si="427"/>
        <v>84.277599999999993</v>
      </c>
      <c r="V1095" s="10">
        <f t="shared" si="427"/>
        <v>0</v>
      </c>
      <c r="W1095" s="10">
        <f t="shared" si="427"/>
        <v>0</v>
      </c>
      <c r="X1095" s="10">
        <f>SUM(Q1095:W1095)</f>
        <v>84.277599999999993</v>
      </c>
      <c r="Y1095" s="10"/>
      <c r="Z1095" s="10"/>
      <c r="AA1095" s="10"/>
      <c r="AB1095" s="10"/>
      <c r="AC1095" s="10"/>
      <c r="AD1095" s="10"/>
      <c r="AE1095" s="10"/>
    </row>
    <row r="1096" spans="1:32" s="3" customFormat="1" ht="20.100000000000001" customHeight="1" x14ac:dyDescent="0.2">
      <c r="A1096" s="87"/>
      <c r="B1096" s="10" t="s">
        <v>67</v>
      </c>
      <c r="C1096" s="93" t="s">
        <v>128</v>
      </c>
      <c r="D1096" s="10">
        <v>12</v>
      </c>
      <c r="E1096" s="10"/>
      <c r="F1096" s="10">
        <v>2</v>
      </c>
      <c r="G1096" s="90">
        <f>VLOOKUP(D1096,$C$20:$F$26,3,0)</f>
        <v>0.65</v>
      </c>
      <c r="H1096" s="90"/>
      <c r="I1096" s="10"/>
      <c r="J1096" s="10"/>
      <c r="K1096" s="10"/>
      <c r="L1096" s="10"/>
      <c r="M1096" s="10"/>
      <c r="N1096" s="10"/>
      <c r="O1096" s="10">
        <f>+E1093-0.7-0.7</f>
        <v>4.5999999999999996</v>
      </c>
      <c r="P1096" s="10">
        <f t="shared" si="430"/>
        <v>9.1999999999999993</v>
      </c>
      <c r="Q1096" s="10">
        <f t="shared" si="427"/>
        <v>0</v>
      </c>
      <c r="R1096" s="10">
        <f t="shared" si="427"/>
        <v>0</v>
      </c>
      <c r="S1096" s="10">
        <f t="shared" si="427"/>
        <v>8.1711771428571431</v>
      </c>
      <c r="T1096" s="10">
        <f t="shared" si="427"/>
        <v>0</v>
      </c>
      <c r="U1096" s="10">
        <f t="shared" si="427"/>
        <v>0</v>
      </c>
      <c r="V1096" s="10">
        <f t="shared" si="427"/>
        <v>0</v>
      </c>
      <c r="W1096" s="10">
        <f t="shared" si="427"/>
        <v>0</v>
      </c>
      <c r="X1096" s="10">
        <f t="shared" ref="X1095:X1100" si="431">SUM(Q1096:W1096)</f>
        <v>8.1711771428571431</v>
      </c>
      <c r="Y1096" s="10"/>
      <c r="Z1096" s="10"/>
      <c r="AA1096" s="10"/>
      <c r="AB1096" s="10"/>
      <c r="AC1096" s="10"/>
      <c r="AD1096" s="10"/>
      <c r="AE1096" s="10"/>
    </row>
    <row r="1097" spans="1:32" s="3" customFormat="1" ht="20.100000000000001" customHeight="1" x14ac:dyDescent="0.2">
      <c r="A1097" s="87"/>
      <c r="B1097" s="10" t="s">
        <v>67</v>
      </c>
      <c r="C1097" s="93" t="s">
        <v>73</v>
      </c>
      <c r="D1097" s="10">
        <v>8</v>
      </c>
      <c r="E1097" s="10">
        <v>0.1</v>
      </c>
      <c r="F1097" s="10">
        <f>ROUNDUP((E1093/3*2)/E1097,0)+1</f>
        <v>41</v>
      </c>
      <c r="H1097" s="10"/>
      <c r="I1097" s="10"/>
      <c r="J1097" s="10"/>
      <c r="K1097" s="10"/>
      <c r="L1097" s="10"/>
      <c r="M1097" s="10"/>
      <c r="N1097" s="10"/>
      <c r="O1097" s="10">
        <f>(2*((G1093-(2*$D$11))+(F1093-(2*$D$11)))+(2*10*D1097/1000))*D1093</f>
        <v>2.02</v>
      </c>
      <c r="P1097" s="10">
        <f t="shared" si="430"/>
        <v>82.820000000000007</v>
      </c>
      <c r="Q1097" s="10">
        <f t="shared" si="427"/>
        <v>32.692603428571431</v>
      </c>
      <c r="R1097" s="10">
        <f t="shared" si="427"/>
        <v>0</v>
      </c>
      <c r="S1097" s="10">
        <f t="shared" si="427"/>
        <v>0</v>
      </c>
      <c r="T1097" s="10">
        <f t="shared" si="427"/>
        <v>0</v>
      </c>
      <c r="U1097" s="10">
        <f t="shared" si="427"/>
        <v>0</v>
      </c>
      <c r="V1097" s="10">
        <f t="shared" si="427"/>
        <v>0</v>
      </c>
      <c r="W1097" s="10">
        <f t="shared" si="427"/>
        <v>0</v>
      </c>
      <c r="X1097" s="10">
        <f t="shared" si="431"/>
        <v>32.692603428571431</v>
      </c>
      <c r="Y1097" s="10"/>
      <c r="Z1097" s="10"/>
      <c r="AA1097" s="10"/>
      <c r="AB1097" s="10"/>
      <c r="AC1097" s="10"/>
      <c r="AD1097" s="10"/>
      <c r="AE1097" s="10"/>
    </row>
    <row r="1098" spans="1:32" s="2" customFormat="1" ht="20.100000000000001" customHeight="1" x14ac:dyDescent="0.2">
      <c r="B1098" s="10" t="s">
        <v>67</v>
      </c>
      <c r="C1098" s="93" t="s">
        <v>73</v>
      </c>
      <c r="D1098" s="2">
        <f>D1097</f>
        <v>8</v>
      </c>
      <c r="E1098" s="2">
        <v>0.15</v>
      </c>
      <c r="F1098" s="10">
        <f>ROUNDUP((E1093/3)/E1098,0)+1</f>
        <v>15</v>
      </c>
      <c r="G1098" s="3"/>
      <c r="O1098" s="10">
        <f>(2*((G1093-(2*$D$11))+(F1093-(2*$D$11)))+(2*10*D1098/1000))*D1093</f>
        <v>2.02</v>
      </c>
      <c r="P1098" s="10">
        <f>O1098*F1098</f>
        <v>30.3</v>
      </c>
      <c r="Q1098" s="10">
        <f t="shared" si="427"/>
        <v>11.960708571428572</v>
      </c>
      <c r="R1098" s="10">
        <f t="shared" si="427"/>
        <v>0</v>
      </c>
      <c r="S1098" s="10">
        <f t="shared" si="427"/>
        <v>0</v>
      </c>
      <c r="T1098" s="10">
        <f t="shared" si="427"/>
        <v>0</v>
      </c>
      <c r="U1098" s="10">
        <f t="shared" si="427"/>
        <v>0</v>
      </c>
      <c r="V1098" s="10">
        <f t="shared" si="427"/>
        <v>0</v>
      </c>
      <c r="W1098" s="10">
        <f t="shared" si="427"/>
        <v>0</v>
      </c>
      <c r="X1098" s="10">
        <f t="shared" si="431"/>
        <v>11.960708571428572</v>
      </c>
    </row>
    <row r="1099" spans="1:32" s="2" customFormat="1" ht="20.100000000000001" customHeight="1" x14ac:dyDescent="0.2">
      <c r="B1099" s="10" t="s">
        <v>67</v>
      </c>
      <c r="C1099" s="93" t="s">
        <v>74</v>
      </c>
      <c r="D1099" s="2">
        <f>D1097</f>
        <v>8</v>
      </c>
      <c r="E1099" s="2">
        <f>+E1097</f>
        <v>0.1</v>
      </c>
      <c r="F1099" s="10">
        <f>ROUNDUP((E1093/3*2)/E1099,0)+1</f>
        <v>41</v>
      </c>
      <c r="G1099" s="3"/>
      <c r="O1099" s="10">
        <f>((((G1093-(2*$D$11))+(2*10*D1099/1000))*D1093))*2</f>
        <v>1.4000000000000001</v>
      </c>
      <c r="P1099" s="10">
        <f t="shared" ref="P1099" si="432">O1099*F1099</f>
        <v>57.400000000000006</v>
      </c>
      <c r="Q1099" s="10">
        <f t="shared" si="427"/>
        <v>22.658240000000003</v>
      </c>
      <c r="R1099" s="10">
        <f t="shared" si="427"/>
        <v>0</v>
      </c>
      <c r="S1099" s="10">
        <f t="shared" si="427"/>
        <v>0</v>
      </c>
      <c r="T1099" s="10">
        <f t="shared" si="427"/>
        <v>0</v>
      </c>
      <c r="U1099" s="10">
        <f t="shared" si="427"/>
        <v>0</v>
      </c>
      <c r="V1099" s="10">
        <f t="shared" si="427"/>
        <v>0</v>
      </c>
      <c r="W1099" s="10">
        <f t="shared" si="427"/>
        <v>0</v>
      </c>
      <c r="X1099" s="10">
        <f t="shared" si="431"/>
        <v>22.658240000000003</v>
      </c>
    </row>
    <row r="1100" spans="1:32" s="2" customFormat="1" ht="20.100000000000001" customHeight="1" x14ac:dyDescent="0.2">
      <c r="B1100" s="10" t="s">
        <v>67</v>
      </c>
      <c r="C1100" s="93" t="s">
        <v>74</v>
      </c>
      <c r="D1100" s="2">
        <f>D1098</f>
        <v>8</v>
      </c>
      <c r="E1100" s="2">
        <f>+E1098</f>
        <v>0.15</v>
      </c>
      <c r="F1100" s="10">
        <f>ROUNDUP((E1093/3)/E1100,0)+1</f>
        <v>15</v>
      </c>
      <c r="G1100" s="3"/>
      <c r="O1100" s="10">
        <f>((((G1093-(2*$D$11))+(2*10*D1100/1000))*D1093))*2</f>
        <v>1.4000000000000001</v>
      </c>
      <c r="P1100" s="10">
        <f>O1100*F1100</f>
        <v>21.000000000000004</v>
      </c>
      <c r="Q1100" s="10">
        <f t="shared" si="427"/>
        <v>8.2896000000000019</v>
      </c>
      <c r="R1100" s="10">
        <f t="shared" si="427"/>
        <v>0</v>
      </c>
      <c r="S1100" s="10">
        <f t="shared" si="427"/>
        <v>0</v>
      </c>
      <c r="T1100" s="10">
        <f t="shared" si="427"/>
        <v>0</v>
      </c>
      <c r="U1100" s="10">
        <f t="shared" si="427"/>
        <v>0</v>
      </c>
      <c r="V1100" s="10">
        <f t="shared" si="427"/>
        <v>0</v>
      </c>
      <c r="W1100" s="10">
        <f t="shared" si="427"/>
        <v>0</v>
      </c>
      <c r="X1100" s="10">
        <f t="shared" si="431"/>
        <v>8.2896000000000019</v>
      </c>
    </row>
    <row r="1102" spans="1:32" ht="20.100000000000001" customHeight="1" x14ac:dyDescent="0.2">
      <c r="A1102" s="82"/>
      <c r="B1102" s="82"/>
      <c r="C1102" s="83"/>
      <c r="D1102" s="82"/>
      <c r="E1102" s="83"/>
      <c r="F1102" s="83"/>
      <c r="G1102" s="83"/>
      <c r="H1102" s="83"/>
      <c r="I1102" s="83"/>
      <c r="J1102" s="83"/>
      <c r="K1102" s="83"/>
      <c r="L1102" s="83"/>
      <c r="M1102" s="83"/>
      <c r="N1102" s="83"/>
      <c r="O1102" s="83"/>
      <c r="P1102" s="83"/>
      <c r="Q1102" s="84"/>
      <c r="R1102" s="84"/>
      <c r="S1102" s="84"/>
      <c r="T1102" s="84"/>
      <c r="U1102" s="84"/>
      <c r="V1102" s="84"/>
      <c r="W1102" s="84"/>
      <c r="X1102" s="84"/>
      <c r="Y1102" s="85"/>
    </row>
  </sheetData>
  <mergeCells count="42">
    <mergeCell ref="A5:P5"/>
    <mergeCell ref="A6:P6"/>
    <mergeCell ref="A7:A8"/>
    <mergeCell ref="C7:C8"/>
    <mergeCell ref="D7:D8"/>
    <mergeCell ref="E7:E8"/>
    <mergeCell ref="F7:F8"/>
    <mergeCell ref="J7:J8"/>
    <mergeCell ref="K7:N7"/>
    <mergeCell ref="O7:O8"/>
    <mergeCell ref="P7:P8"/>
    <mergeCell ref="X7:X8"/>
    <mergeCell ref="Y7:Y8"/>
    <mergeCell ref="L10:O10"/>
    <mergeCell ref="A18:C18"/>
    <mergeCell ref="D18:H18"/>
    <mergeCell ref="S28:U28"/>
    <mergeCell ref="V28:X28"/>
    <mergeCell ref="Y28:AA28"/>
    <mergeCell ref="D29:D30"/>
    <mergeCell ref="E29:E30"/>
    <mergeCell ref="F29:F30"/>
    <mergeCell ref="G29:G30"/>
    <mergeCell ref="H29:H30"/>
    <mergeCell ref="I29:I30"/>
    <mergeCell ref="J29:J30"/>
    <mergeCell ref="Y44:Y45"/>
    <mergeCell ref="K29:K30"/>
    <mergeCell ref="L29:L30"/>
    <mergeCell ref="M29:M30"/>
    <mergeCell ref="A42:P42"/>
    <mergeCell ref="A43:P43"/>
    <mergeCell ref="A44:A45"/>
    <mergeCell ref="C44:C45"/>
    <mergeCell ref="D44:D45"/>
    <mergeCell ref="E44:E45"/>
    <mergeCell ref="F44:F45"/>
    <mergeCell ref="J44:J45"/>
    <mergeCell ref="K44:N44"/>
    <mergeCell ref="O44:O45"/>
    <mergeCell ref="P44:P45"/>
    <mergeCell ref="X44:X45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8adf6c-0f3b-41c9-8ffd-f18345290a2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916B07D9DD0446B735FDF3091402F0" ma:contentTypeVersion="8" ma:contentTypeDescription="Create a new document." ma:contentTypeScope="" ma:versionID="52f0e58362e47b7b5d390956e1fa7c15">
  <xsd:schema xmlns:xsd="http://www.w3.org/2001/XMLSchema" xmlns:xs="http://www.w3.org/2001/XMLSchema" xmlns:p="http://schemas.microsoft.com/office/2006/metadata/properties" xmlns:ns3="b68adf6c-0f3b-41c9-8ffd-f18345290a20" targetNamespace="http://schemas.microsoft.com/office/2006/metadata/properties" ma:root="true" ma:fieldsID="34c83c43971857c7135bc465533c0732" ns3:_="">
    <xsd:import namespace="b68adf6c-0f3b-41c9-8ffd-f18345290a2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adf6c-0f3b-41c9-8ffd-f18345290a2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75D857-7D67-4FC7-851B-78232E492889}">
  <ds:schemaRefs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68adf6c-0f3b-41c9-8ffd-f18345290a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727A092-4AFC-4604-9347-976EB18110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38DE97-1CDD-4912-86E7-242A8BE8A1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adf6c-0f3b-41c9-8ffd-f18345290a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Ranganath G R</dc:creator>
  <cp:lastModifiedBy>Ranganath G R</cp:lastModifiedBy>
  <dcterms:created xsi:type="dcterms:W3CDTF">2026-06-26T05:17:15Z</dcterms:created>
  <dcterms:modified xsi:type="dcterms:W3CDTF">2026-06-26T05:39:28Z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0x0101004F916B07D9DD0446B735FDF3091402F0</vt:lpwstr>
  </property>
</Properties>
</file>